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hub\manapristine\db\wateron\"/>
    </mc:Choice>
  </mc:AlternateContent>
  <xr:revisionPtr revIDLastSave="0" documentId="13_ncr:1_{A65CFC72-2FB6-4180-9652-A977710170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L14" i="1" s="1"/>
  <c r="M14" i="1" s="1"/>
  <c r="H15" i="1"/>
  <c r="H16" i="1"/>
  <c r="H17" i="1"/>
  <c r="H18" i="1"/>
  <c r="H19" i="1"/>
  <c r="H20" i="1"/>
  <c r="L20" i="1" s="1"/>
  <c r="M20" i="1" s="1"/>
  <c r="H21" i="1"/>
  <c r="H22" i="1"/>
  <c r="H23" i="1"/>
  <c r="L23" i="1" s="1"/>
  <c r="M23" i="1" s="1"/>
  <c r="H24" i="1"/>
  <c r="L24" i="1" s="1"/>
  <c r="M24" i="1" s="1"/>
  <c r="H25" i="1"/>
  <c r="H26" i="1"/>
  <c r="H27" i="1"/>
  <c r="H28" i="1"/>
  <c r="H29" i="1"/>
  <c r="H30" i="1"/>
  <c r="H31" i="1"/>
  <c r="H32" i="1"/>
  <c r="H33" i="1"/>
  <c r="L33" i="1" s="1"/>
  <c r="M33" i="1" s="1"/>
  <c r="H34" i="1"/>
  <c r="H35" i="1"/>
  <c r="H36" i="1"/>
  <c r="H37" i="1"/>
  <c r="H38" i="1"/>
  <c r="H39" i="1"/>
  <c r="H40" i="1"/>
  <c r="H41" i="1"/>
  <c r="H42" i="1"/>
  <c r="H43" i="1"/>
  <c r="H44" i="1"/>
  <c r="L44" i="1" s="1"/>
  <c r="M44" i="1" s="1"/>
  <c r="H45" i="1"/>
  <c r="H46" i="1"/>
  <c r="H47" i="1"/>
  <c r="H48" i="1"/>
  <c r="H49" i="1"/>
  <c r="H50" i="1"/>
  <c r="L50" i="1" s="1"/>
  <c r="M50" i="1" s="1"/>
  <c r="H51" i="1"/>
  <c r="H52" i="1"/>
  <c r="H53" i="1"/>
  <c r="H54" i="1"/>
  <c r="H55" i="1"/>
  <c r="H56" i="1"/>
  <c r="L56" i="1" s="1"/>
  <c r="M56" i="1" s="1"/>
  <c r="H57" i="1"/>
  <c r="H58" i="1"/>
  <c r="H59" i="1"/>
  <c r="L59" i="1" s="1"/>
  <c r="M59" i="1" s="1"/>
  <c r="H60" i="1"/>
  <c r="L60" i="1" s="1"/>
  <c r="M60" i="1" s="1"/>
  <c r="H61" i="1"/>
  <c r="H62" i="1"/>
  <c r="H63" i="1"/>
  <c r="H64" i="1"/>
  <c r="H65" i="1"/>
  <c r="H2" i="1"/>
  <c r="G18" i="1"/>
  <c r="E1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L18" i="1"/>
  <c r="M18" i="1" s="1"/>
  <c r="G19" i="1"/>
  <c r="G20" i="1"/>
  <c r="G21" i="1"/>
  <c r="G22" i="1"/>
  <c r="G23" i="1"/>
  <c r="G24" i="1"/>
  <c r="G25" i="1"/>
  <c r="G26" i="1"/>
  <c r="G27" i="1"/>
  <c r="G28" i="1"/>
  <c r="G29" i="1"/>
  <c r="G30" i="1"/>
  <c r="L30" i="1" s="1"/>
  <c r="M30" i="1" s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2" i="1"/>
  <c r="L2" i="1"/>
  <c r="M2" i="1" s="1"/>
  <c r="L65" i="1"/>
  <c r="M65" i="1" s="1"/>
  <c r="L64" i="1"/>
  <c r="M64" i="1" s="1"/>
  <c r="L63" i="1"/>
  <c r="M63" i="1" s="1"/>
  <c r="L55" i="1"/>
  <c r="M55" i="1" s="1"/>
  <c r="L54" i="1"/>
  <c r="M54" i="1" s="1"/>
  <c r="L53" i="1"/>
  <c r="M53" i="1" s="1"/>
  <c r="L52" i="1"/>
  <c r="M52" i="1" s="1"/>
  <c r="L51" i="1"/>
  <c r="M51" i="1" s="1"/>
  <c r="L45" i="1"/>
  <c r="M45" i="1" s="1"/>
  <c r="L43" i="1"/>
  <c r="M43" i="1" s="1"/>
  <c r="L42" i="1"/>
  <c r="M42" i="1" s="1"/>
  <c r="L41" i="1"/>
  <c r="M41" i="1" s="1"/>
  <c r="L40" i="1"/>
  <c r="M40" i="1" s="1"/>
  <c r="L39" i="1"/>
  <c r="M39" i="1" s="1"/>
  <c r="L34" i="1"/>
  <c r="M34" i="1" s="1"/>
  <c r="L32" i="1"/>
  <c r="M32" i="1" s="1"/>
  <c r="L31" i="1"/>
  <c r="M31" i="1" s="1"/>
  <c r="L29" i="1"/>
  <c r="M29" i="1" s="1"/>
  <c r="L28" i="1"/>
  <c r="M28" i="1" s="1"/>
  <c r="L27" i="1"/>
  <c r="M27" i="1" s="1"/>
  <c r="L19" i="1"/>
  <c r="M19" i="1" s="1"/>
  <c r="L17" i="1"/>
  <c r="M17" i="1" s="1"/>
  <c r="L16" i="1"/>
  <c r="M16" i="1" s="1"/>
  <c r="L15" i="1"/>
  <c r="M15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  <c r="L62" i="1" l="1"/>
  <c r="M62" i="1" s="1"/>
  <c r="L38" i="1"/>
  <c r="M38" i="1" s="1"/>
  <c r="L26" i="1"/>
  <c r="M26" i="1" s="1"/>
  <c r="L61" i="1"/>
  <c r="M61" i="1" s="1"/>
  <c r="L49" i="1"/>
  <c r="M49" i="1" s="1"/>
  <c r="L37" i="1"/>
  <c r="M37" i="1" s="1"/>
  <c r="L25" i="1"/>
  <c r="M25" i="1" s="1"/>
  <c r="L13" i="1"/>
  <c r="M13" i="1" s="1"/>
  <c r="L48" i="1"/>
  <c r="M48" i="1" s="1"/>
  <c r="L36" i="1"/>
  <c r="M36" i="1" s="1"/>
  <c r="L12" i="1"/>
  <c r="M12" i="1" s="1"/>
  <c r="L47" i="1"/>
  <c r="M47" i="1" s="1"/>
  <c r="L35" i="1"/>
  <c r="M35" i="1" s="1"/>
  <c r="L11" i="1"/>
  <c r="M11" i="1" s="1"/>
  <c r="L58" i="1"/>
  <c r="M58" i="1" s="1"/>
  <c r="L46" i="1"/>
  <c r="M46" i="1" s="1"/>
  <c r="L22" i="1"/>
  <c r="M22" i="1" s="1"/>
  <c r="L10" i="1"/>
  <c r="M10" i="1" s="1"/>
  <c r="L57" i="1"/>
  <c r="M57" i="1" s="1"/>
  <c r="L21" i="1"/>
  <c r="M21" i="1" s="1"/>
</calcChain>
</file>

<file path=xl/sharedStrings.xml><?xml version="1.0" encoding="utf-8"?>
<sst xmlns="http://schemas.openxmlformats.org/spreadsheetml/2006/main" count="133" uniqueCount="130">
  <si>
    <t>flat#</t>
  </si>
  <si>
    <t>flat owner</t>
  </si>
  <si>
    <t>average water usage (L)</t>
  </si>
  <si>
    <t>Variance %</t>
  </si>
  <si>
    <t>F1</t>
  </si>
  <si>
    <t>Shailesh Srivastava</t>
  </si>
  <si>
    <t>F2</t>
  </si>
  <si>
    <t>Rama P</t>
  </si>
  <si>
    <t>F3</t>
  </si>
  <si>
    <t>Samrat Kar</t>
  </si>
  <si>
    <t>F4</t>
  </si>
  <si>
    <t>Renu R</t>
  </si>
  <si>
    <t>F5</t>
  </si>
  <si>
    <t>Vamsidhar Bethanabatla</t>
  </si>
  <si>
    <t>F6</t>
  </si>
  <si>
    <t>Viral Shah</t>
  </si>
  <si>
    <t>F7</t>
  </si>
  <si>
    <t>Vimal NK</t>
  </si>
  <si>
    <t>F8</t>
  </si>
  <si>
    <t>Ruhi Agrawal</t>
  </si>
  <si>
    <t>F9</t>
  </si>
  <si>
    <t>Vijay Suswaram</t>
  </si>
  <si>
    <t>F10</t>
  </si>
  <si>
    <t>Aby Thomas</t>
  </si>
  <si>
    <t>F11</t>
  </si>
  <si>
    <t>F12</t>
  </si>
  <si>
    <t>Kavitha T</t>
  </si>
  <si>
    <t>F13</t>
  </si>
  <si>
    <t>Srinivasa Rao</t>
  </si>
  <si>
    <t>F14</t>
  </si>
  <si>
    <t>Hemant Patel</t>
  </si>
  <si>
    <t>F15</t>
  </si>
  <si>
    <t>Senthil.Vijayaragavan</t>
  </si>
  <si>
    <t>F16</t>
  </si>
  <si>
    <t>Sreeja Sudharma</t>
  </si>
  <si>
    <t>G1</t>
  </si>
  <si>
    <t>Digvijay Verma</t>
  </si>
  <si>
    <t>G2</t>
  </si>
  <si>
    <t>Kaushik Kasibhatla</t>
  </si>
  <si>
    <t>G3</t>
  </si>
  <si>
    <t>Balakrishnan</t>
  </si>
  <si>
    <t>G4</t>
  </si>
  <si>
    <t>Ashwin Pandith</t>
  </si>
  <si>
    <t>G5</t>
  </si>
  <si>
    <t>Mayank Phophaliya</t>
  </si>
  <si>
    <t>G6</t>
  </si>
  <si>
    <t>Srinath</t>
  </si>
  <si>
    <t>G7</t>
  </si>
  <si>
    <t>Prince Richfield</t>
  </si>
  <si>
    <t>G8</t>
  </si>
  <si>
    <t>Arun M</t>
  </si>
  <si>
    <t>G9</t>
  </si>
  <si>
    <t>Chandramouli</t>
  </si>
  <si>
    <t>G10</t>
  </si>
  <si>
    <t>Richa Singh</t>
  </si>
  <si>
    <t>G11</t>
  </si>
  <si>
    <t>Prashant Jaitley</t>
  </si>
  <si>
    <t>G12</t>
  </si>
  <si>
    <t>Shyam Nair</t>
  </si>
  <si>
    <t>G13</t>
  </si>
  <si>
    <t>Ajai.B</t>
  </si>
  <si>
    <t>G14</t>
  </si>
  <si>
    <t>Surajit Borah</t>
  </si>
  <si>
    <t>G15</t>
  </si>
  <si>
    <t>Suresh Nallusamy</t>
  </si>
  <si>
    <t>G16</t>
  </si>
  <si>
    <t>Praveen Ganesan</t>
  </si>
  <si>
    <t>S1</t>
  </si>
  <si>
    <t>S.N.Behera</t>
  </si>
  <si>
    <t>S2</t>
  </si>
  <si>
    <t>Sonal Singh</t>
  </si>
  <si>
    <t>S3</t>
  </si>
  <si>
    <t>Manikandan N</t>
  </si>
  <si>
    <t>S4</t>
  </si>
  <si>
    <t>Swami</t>
  </si>
  <si>
    <t>S5</t>
  </si>
  <si>
    <t>Abhishek Gopalakrishnan</t>
  </si>
  <si>
    <t>S6</t>
  </si>
  <si>
    <t>Vivek Dhingra</t>
  </si>
  <si>
    <t>S7</t>
  </si>
  <si>
    <t>Harish B</t>
  </si>
  <si>
    <t>S8</t>
  </si>
  <si>
    <t>Irudayaraj Alwin</t>
  </si>
  <si>
    <t>S9</t>
  </si>
  <si>
    <t>Pawan GS</t>
  </si>
  <si>
    <t>S10</t>
  </si>
  <si>
    <t>Mayfy</t>
  </si>
  <si>
    <t>S11</t>
  </si>
  <si>
    <t>Gowrish Patnaik</t>
  </si>
  <si>
    <t>S12</t>
  </si>
  <si>
    <t>Saovik Mondal</t>
  </si>
  <si>
    <t>S13</t>
  </si>
  <si>
    <t>S14</t>
  </si>
  <si>
    <t>Nishant Upadhyay</t>
  </si>
  <si>
    <t>S15</t>
  </si>
  <si>
    <t>Manas Dasgupta</t>
  </si>
  <si>
    <t>S16</t>
  </si>
  <si>
    <t>Devendra Singh Rawat</t>
  </si>
  <si>
    <t>T1</t>
  </si>
  <si>
    <t>Prashant Sikdar</t>
  </si>
  <si>
    <t>T2</t>
  </si>
  <si>
    <t>Kunal Raj Mehta</t>
  </si>
  <si>
    <t>T3</t>
  </si>
  <si>
    <t>Kapil Garg</t>
  </si>
  <si>
    <t>T4</t>
  </si>
  <si>
    <t>Vijet Alva</t>
  </si>
  <si>
    <t>T5</t>
  </si>
  <si>
    <t>Ganesh Iyer</t>
  </si>
  <si>
    <t>T6</t>
  </si>
  <si>
    <t>Mythili Ramesh</t>
  </si>
  <si>
    <t>T7</t>
  </si>
  <si>
    <t>Vinyas Ramachandra</t>
  </si>
  <si>
    <t>T8</t>
  </si>
  <si>
    <t>Lalit Kumar Sharma</t>
  </si>
  <si>
    <t>T9</t>
  </si>
  <si>
    <t>Nishith Sahu</t>
  </si>
  <si>
    <t>T10</t>
  </si>
  <si>
    <t>T11</t>
  </si>
  <si>
    <t>Vaishnavi Suthapalli</t>
  </si>
  <si>
    <t>T12</t>
  </si>
  <si>
    <t>Prasenjit</t>
  </si>
  <si>
    <t>T13</t>
  </si>
  <si>
    <t>Sonali Deokhule</t>
  </si>
  <si>
    <t>T14</t>
  </si>
  <si>
    <t>Jeya</t>
  </si>
  <si>
    <t>T15</t>
  </si>
  <si>
    <t>Trevor</t>
  </si>
  <si>
    <t>T16</t>
  </si>
  <si>
    <t>Madhusoodanan P.R.</t>
  </si>
  <si>
    <t>8/26/2026 (avg)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</si>
</sst>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9C000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5" fontId="1" fillId="2" borderId="0" xfId="0" applyNumberFormat="1" applyFont="1" applyFill="1"/>
  </cellXfs>
  <cellStyles count="1">
    <cellStyle name="Normal" xfId="0" builtinId="0"/>
  </cellStyles>
  <dxfs count="1">
    <dxf>
      <font>
        <b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>
      <selection activeCell="J18" sqref="J18"/>
    </sheetView>
  </sheetViews>
  <sheetFormatPr defaultRowHeight="15" x14ac:dyDescent="0.25"/>
  <cols>
    <col min="2" max="2" width="23.85546875" bestFit="1" customWidth="1"/>
    <col min="3" max="3" width="18.140625" bestFit="1" customWidth="1"/>
    <col min="12" max="12" width="22.28515625" bestFit="1" customWidth="1"/>
  </cols>
  <sheetData>
    <row r="1" spans="1:13" x14ac:dyDescent="0.25">
      <c r="A1" t="s">
        <v>0</v>
      </c>
      <c r="B1" t="s">
        <v>1</v>
      </c>
      <c r="C1" s="1">
        <v>46138</v>
      </c>
      <c r="D1" s="1">
        <v>46168</v>
      </c>
      <c r="E1" s="1">
        <v>46199</v>
      </c>
      <c r="F1" s="1">
        <v>46229</v>
      </c>
      <c r="G1" s="1" t="s">
        <v>129</v>
      </c>
      <c r="H1" s="1">
        <v>46291</v>
      </c>
      <c r="I1" s="1">
        <v>46321</v>
      </c>
      <c r="J1" s="1">
        <v>46352</v>
      </c>
      <c r="K1" s="1">
        <v>46382</v>
      </c>
      <c r="L1" t="s">
        <v>2</v>
      </c>
      <c r="M1" t="s">
        <v>3</v>
      </c>
    </row>
    <row r="2" spans="1:13" x14ac:dyDescent="0.25">
      <c r="A2" t="s">
        <v>4</v>
      </c>
      <c r="B2" t="s">
        <v>5</v>
      </c>
      <c r="C2" s="2">
        <v>4356.5</v>
      </c>
      <c r="D2" s="2">
        <v>3678</v>
      </c>
      <c r="E2" s="2">
        <v>4356.5</v>
      </c>
      <c r="F2" s="2">
        <v>1389.5</v>
      </c>
      <c r="G2" s="2">
        <f>(AVERAGE(C2:E2))</f>
        <v>4130.333333333333</v>
      </c>
      <c r="H2" s="2">
        <f>AVERAGE(C2:E2,G2)</f>
        <v>4130.333333333333</v>
      </c>
      <c r="I2" s="2"/>
      <c r="J2" s="2"/>
      <c r="K2" s="2"/>
      <c r="L2" s="2">
        <f t="shared" ref="L2:L33" si="0">SUM(C2:K2)/COUNT(C2:K2)</f>
        <v>3673.5277777777774</v>
      </c>
      <c r="M2" s="3">
        <f t="shared" ref="M2:M33" si="1">IFERROR((F2-L2)/L2, 0)</f>
        <v>-0.62175323447790876</v>
      </c>
    </row>
    <row r="3" spans="1:13" x14ac:dyDescent="0.25">
      <c r="A3" t="s">
        <v>6</v>
      </c>
      <c r="B3" t="s">
        <v>7</v>
      </c>
      <c r="C3" s="2">
        <v>10484</v>
      </c>
      <c r="D3" s="2">
        <v>9240</v>
      </c>
      <c r="E3" s="2">
        <v>10484</v>
      </c>
      <c r="F3" s="2">
        <v>1693.5</v>
      </c>
      <c r="G3" s="2">
        <f t="shared" ref="G3:G65" si="2">(AVERAGE(C3:E3))</f>
        <v>10069.333333333334</v>
      </c>
      <c r="H3" s="2">
        <f t="shared" ref="H3:H65" si="3">AVERAGE(C3:E3,G3)</f>
        <v>10069.333333333334</v>
      </c>
      <c r="I3" s="2"/>
      <c r="J3" s="2"/>
      <c r="K3" s="2"/>
      <c r="L3" s="2">
        <f t="shared" si="0"/>
        <v>8673.3611111111113</v>
      </c>
      <c r="M3" s="3">
        <f t="shared" si="1"/>
        <v>-0.80474697429229347</v>
      </c>
    </row>
    <row r="4" spans="1:13" x14ac:dyDescent="0.25">
      <c r="A4" t="s">
        <v>8</v>
      </c>
      <c r="B4" t="s">
        <v>9</v>
      </c>
      <c r="C4" s="2">
        <v>10870</v>
      </c>
      <c r="D4" s="2">
        <v>8604</v>
      </c>
      <c r="E4" s="2">
        <v>10870</v>
      </c>
      <c r="F4" s="2">
        <v>3553</v>
      </c>
      <c r="G4" s="2">
        <f t="shared" si="2"/>
        <v>10114.666666666666</v>
      </c>
      <c r="H4" s="2">
        <f t="shared" si="3"/>
        <v>10114.666666666666</v>
      </c>
      <c r="I4" s="2"/>
      <c r="J4" s="2"/>
      <c r="K4" s="2"/>
      <c r="L4" s="2">
        <f t="shared" si="0"/>
        <v>9021.0555555555547</v>
      </c>
      <c r="M4" s="3">
        <f t="shared" si="1"/>
        <v>-0.60614365158056149</v>
      </c>
    </row>
    <row r="5" spans="1:13" x14ac:dyDescent="0.25">
      <c r="A5" t="s">
        <v>10</v>
      </c>
      <c r="B5" t="s">
        <v>11</v>
      </c>
      <c r="C5" s="2">
        <v>4632</v>
      </c>
      <c r="D5" s="2">
        <v>4846.5</v>
      </c>
      <c r="E5" s="2">
        <v>4632</v>
      </c>
      <c r="F5" s="2">
        <v>1160.5</v>
      </c>
      <c r="G5" s="2">
        <f t="shared" si="2"/>
        <v>4703.5</v>
      </c>
      <c r="H5" s="2">
        <f t="shared" si="3"/>
        <v>4703.5</v>
      </c>
      <c r="I5" s="2"/>
      <c r="J5" s="2"/>
      <c r="K5" s="2"/>
      <c r="L5" s="2">
        <f t="shared" si="0"/>
        <v>4113</v>
      </c>
      <c r="M5" s="3">
        <f t="shared" si="1"/>
        <v>-0.71784585460734263</v>
      </c>
    </row>
    <row r="6" spans="1:13" x14ac:dyDescent="0.25">
      <c r="A6" t="s">
        <v>12</v>
      </c>
      <c r="B6" t="s">
        <v>13</v>
      </c>
      <c r="C6" s="2">
        <v>3771</v>
      </c>
      <c r="D6" s="2">
        <v>3884.5</v>
      </c>
      <c r="E6" s="2">
        <v>3771</v>
      </c>
      <c r="F6" s="2">
        <v>529</v>
      </c>
      <c r="G6" s="2">
        <f t="shared" si="2"/>
        <v>3808.8333333333335</v>
      </c>
      <c r="H6" s="2">
        <f t="shared" si="3"/>
        <v>3808.8333333333335</v>
      </c>
      <c r="I6" s="2"/>
      <c r="J6" s="2"/>
      <c r="K6" s="2"/>
      <c r="L6" s="2">
        <f t="shared" si="0"/>
        <v>3262.1944444444448</v>
      </c>
      <c r="M6" s="3">
        <f t="shared" si="1"/>
        <v>-0.83783921865819699</v>
      </c>
    </row>
    <row r="7" spans="1:13" x14ac:dyDescent="0.25">
      <c r="A7" t="s">
        <v>14</v>
      </c>
      <c r="B7" t="s">
        <v>15</v>
      </c>
      <c r="C7" s="2">
        <v>6789.5</v>
      </c>
      <c r="D7" s="2">
        <v>7004.5</v>
      </c>
      <c r="E7" s="2">
        <v>6789.5</v>
      </c>
      <c r="F7" s="2">
        <v>2112</v>
      </c>
      <c r="G7" s="2">
        <f t="shared" si="2"/>
        <v>6861.166666666667</v>
      </c>
      <c r="H7" s="2">
        <f t="shared" si="3"/>
        <v>6861.166666666667</v>
      </c>
      <c r="I7" s="2"/>
      <c r="J7" s="2"/>
      <c r="K7" s="2"/>
      <c r="L7" s="2">
        <f t="shared" si="0"/>
        <v>6069.6388888888896</v>
      </c>
      <c r="M7" s="3">
        <f t="shared" si="1"/>
        <v>-0.65203860745879993</v>
      </c>
    </row>
    <row r="8" spans="1:13" x14ac:dyDescent="0.25">
      <c r="A8" t="s">
        <v>16</v>
      </c>
      <c r="B8" t="s">
        <v>17</v>
      </c>
      <c r="C8" s="2">
        <v>59</v>
      </c>
      <c r="D8" s="2">
        <v>4</v>
      </c>
      <c r="E8" s="2">
        <v>59</v>
      </c>
      <c r="F8" s="2">
        <v>23</v>
      </c>
      <c r="G8" s="2">
        <f t="shared" si="2"/>
        <v>40.666666666666664</v>
      </c>
      <c r="H8" s="2">
        <f t="shared" si="3"/>
        <v>40.666666666666664</v>
      </c>
      <c r="I8" s="2"/>
      <c r="J8" s="2"/>
      <c r="K8" s="2"/>
      <c r="L8" s="2">
        <f t="shared" si="0"/>
        <v>37.722222222222221</v>
      </c>
      <c r="M8" s="3">
        <f t="shared" si="1"/>
        <v>-0.39027982326951399</v>
      </c>
    </row>
    <row r="9" spans="1:13" x14ac:dyDescent="0.25">
      <c r="A9" t="s">
        <v>18</v>
      </c>
      <c r="B9" t="s">
        <v>19</v>
      </c>
      <c r="C9" s="2">
        <v>3714</v>
      </c>
      <c r="D9" s="2">
        <v>886.5</v>
      </c>
      <c r="E9" s="2">
        <v>3714</v>
      </c>
      <c r="F9" s="2">
        <v>17</v>
      </c>
      <c r="G9" s="2">
        <f t="shared" si="2"/>
        <v>2771.5</v>
      </c>
      <c r="H9" s="2">
        <f t="shared" si="3"/>
        <v>2771.5</v>
      </c>
      <c r="I9" s="2"/>
      <c r="J9" s="2"/>
      <c r="K9" s="2"/>
      <c r="L9" s="2">
        <f t="shared" si="0"/>
        <v>2312.4166666666665</v>
      </c>
      <c r="M9" s="3">
        <f t="shared" si="1"/>
        <v>-0.99264838372553965</v>
      </c>
    </row>
    <row r="10" spans="1:13" x14ac:dyDescent="0.25">
      <c r="A10" t="s">
        <v>20</v>
      </c>
      <c r="B10" t="s">
        <v>21</v>
      </c>
      <c r="C10" s="2">
        <v>2051</v>
      </c>
      <c r="D10" s="2">
        <v>1981</v>
      </c>
      <c r="E10" s="2">
        <v>2051</v>
      </c>
      <c r="F10" s="2">
        <v>577.5</v>
      </c>
      <c r="G10" s="2">
        <f t="shared" si="2"/>
        <v>2027.6666666666667</v>
      </c>
      <c r="H10" s="2">
        <f t="shared" si="3"/>
        <v>2027.6666666666667</v>
      </c>
      <c r="I10" s="2"/>
      <c r="J10" s="2"/>
      <c r="K10" s="2"/>
      <c r="L10" s="2">
        <f t="shared" si="0"/>
        <v>1785.9722222222219</v>
      </c>
      <c r="M10" s="3">
        <f t="shared" si="1"/>
        <v>-0.67664670658682635</v>
      </c>
    </row>
    <row r="11" spans="1:13" x14ac:dyDescent="0.25">
      <c r="A11" t="s">
        <v>22</v>
      </c>
      <c r="B11" t="s">
        <v>23</v>
      </c>
      <c r="C11" s="2">
        <v>9535</v>
      </c>
      <c r="D11" s="2">
        <v>11864.5</v>
      </c>
      <c r="E11" s="2">
        <v>9535</v>
      </c>
      <c r="F11" s="2">
        <v>2251</v>
      </c>
      <c r="G11" s="2">
        <f t="shared" si="2"/>
        <v>10311.5</v>
      </c>
      <c r="H11" s="2">
        <f t="shared" si="3"/>
        <v>10311.5</v>
      </c>
      <c r="I11" s="2"/>
      <c r="J11" s="2"/>
      <c r="K11" s="2"/>
      <c r="L11" s="2">
        <f t="shared" si="0"/>
        <v>8968.0833333333339</v>
      </c>
      <c r="M11" s="3">
        <f t="shared" si="1"/>
        <v>-0.74899876413577782</v>
      </c>
    </row>
    <row r="12" spans="1:13" x14ac:dyDescent="0.25">
      <c r="A12" t="s">
        <v>24</v>
      </c>
      <c r="B12" t="s">
        <v>11</v>
      </c>
      <c r="C12" s="2">
        <v>874</v>
      </c>
      <c r="D12" s="2">
        <v>925.5</v>
      </c>
      <c r="E12" s="2">
        <v>874</v>
      </c>
      <c r="F12" s="2">
        <v>327.5</v>
      </c>
      <c r="G12" s="2">
        <f t="shared" si="2"/>
        <v>891.16666666666663</v>
      </c>
      <c r="H12" s="2">
        <f t="shared" si="3"/>
        <v>891.16666666666663</v>
      </c>
      <c r="I12" s="2"/>
      <c r="J12" s="2"/>
      <c r="K12" s="2"/>
      <c r="L12" s="2">
        <f t="shared" si="0"/>
        <v>797.22222222222217</v>
      </c>
      <c r="M12" s="3">
        <f t="shared" si="1"/>
        <v>-0.589198606271777</v>
      </c>
    </row>
    <row r="13" spans="1:13" x14ac:dyDescent="0.25">
      <c r="A13" t="s">
        <v>25</v>
      </c>
      <c r="B13" t="s">
        <v>26</v>
      </c>
      <c r="C13" s="2">
        <v>30.5</v>
      </c>
      <c r="D13" s="2">
        <v>7188.5</v>
      </c>
      <c r="E13" s="2">
        <v>30.5</v>
      </c>
      <c r="F13" s="2">
        <v>1037</v>
      </c>
      <c r="G13" s="2">
        <f t="shared" si="2"/>
        <v>2416.5</v>
      </c>
      <c r="H13" s="2">
        <f t="shared" si="3"/>
        <v>2416.5</v>
      </c>
      <c r="I13" s="2"/>
      <c r="J13" s="2"/>
      <c r="K13" s="2"/>
      <c r="L13" s="2">
        <f t="shared" si="0"/>
        <v>2186.5833333333335</v>
      </c>
      <c r="M13" s="3">
        <f t="shared" si="1"/>
        <v>-0.52574412134608794</v>
      </c>
    </row>
    <row r="14" spans="1:13" x14ac:dyDescent="0.25">
      <c r="A14" t="s">
        <v>27</v>
      </c>
      <c r="B14" t="s">
        <v>28</v>
      </c>
      <c r="C14" s="2">
        <v>2465</v>
      </c>
      <c r="D14" s="2">
        <v>1784.5</v>
      </c>
      <c r="E14" s="2">
        <v>2465</v>
      </c>
      <c r="F14" s="2">
        <v>454</v>
      </c>
      <c r="G14" s="2">
        <f t="shared" si="2"/>
        <v>2238.1666666666665</v>
      </c>
      <c r="H14" s="2">
        <f t="shared" si="3"/>
        <v>2238.1666666666665</v>
      </c>
      <c r="I14" s="2"/>
      <c r="J14" s="2"/>
      <c r="K14" s="2"/>
      <c r="L14" s="2">
        <f t="shared" si="0"/>
        <v>1940.8055555555554</v>
      </c>
      <c r="M14" s="3">
        <f t="shared" si="1"/>
        <v>-0.76607651462021786</v>
      </c>
    </row>
    <row r="15" spans="1:13" x14ac:dyDescent="0.25">
      <c r="A15" t="s">
        <v>29</v>
      </c>
      <c r="B15" t="s">
        <v>30</v>
      </c>
      <c r="C15" s="2">
        <v>492.5</v>
      </c>
      <c r="D15" s="2">
        <v>5166.5</v>
      </c>
      <c r="E15" s="2">
        <v>492.5</v>
      </c>
      <c r="F15" s="2">
        <v>2804</v>
      </c>
      <c r="G15" s="2">
        <f t="shared" si="2"/>
        <v>2050.5</v>
      </c>
      <c r="H15" s="2">
        <f t="shared" si="3"/>
        <v>2050.5</v>
      </c>
      <c r="I15" s="2"/>
      <c r="J15" s="2"/>
      <c r="K15" s="2"/>
      <c r="L15" s="2">
        <f t="shared" si="0"/>
        <v>2176.0833333333335</v>
      </c>
      <c r="M15" s="3">
        <f t="shared" si="1"/>
        <v>0.28855359399532793</v>
      </c>
    </row>
    <row r="16" spans="1:13" x14ac:dyDescent="0.25">
      <c r="A16" t="s">
        <v>31</v>
      </c>
      <c r="B16" t="s">
        <v>32</v>
      </c>
      <c r="C16" s="2">
        <v>3827</v>
      </c>
      <c r="D16" s="2">
        <v>4994.5</v>
      </c>
      <c r="E16" s="2">
        <v>3827</v>
      </c>
      <c r="F16" s="2">
        <v>695.5</v>
      </c>
      <c r="G16" s="2">
        <f t="shared" si="2"/>
        <v>4216.166666666667</v>
      </c>
      <c r="H16" s="2">
        <f t="shared" si="3"/>
        <v>4216.166666666667</v>
      </c>
      <c r="I16" s="2"/>
      <c r="J16" s="2"/>
      <c r="K16" s="2"/>
      <c r="L16" s="2">
        <f t="shared" si="0"/>
        <v>3629.3888888888891</v>
      </c>
      <c r="M16" s="3">
        <f t="shared" si="1"/>
        <v>-0.80836994290437636</v>
      </c>
    </row>
    <row r="17" spans="1:13" x14ac:dyDescent="0.25">
      <c r="A17" t="s">
        <v>33</v>
      </c>
      <c r="B17" t="s">
        <v>34</v>
      </c>
      <c r="C17" s="2">
        <v>14264</v>
      </c>
      <c r="D17" s="2">
        <v>15096.5</v>
      </c>
      <c r="E17" s="2">
        <v>14264</v>
      </c>
      <c r="F17" s="2">
        <v>3112</v>
      </c>
      <c r="G17" s="2">
        <f t="shared" si="2"/>
        <v>14541.5</v>
      </c>
      <c r="H17" s="2">
        <f t="shared" si="3"/>
        <v>14541.5</v>
      </c>
      <c r="I17" s="2"/>
      <c r="J17" s="2"/>
      <c r="K17" s="2"/>
      <c r="L17" s="2">
        <f t="shared" si="0"/>
        <v>12636.583333333334</v>
      </c>
      <c r="M17" s="3">
        <f t="shared" si="1"/>
        <v>-0.75373090036204404</v>
      </c>
    </row>
    <row r="18" spans="1:13" x14ac:dyDescent="0.25">
      <c r="A18" t="s">
        <v>35</v>
      </c>
      <c r="B18" t="s">
        <v>36</v>
      </c>
      <c r="C18" s="2">
        <v>11858</v>
      </c>
      <c r="D18" s="2">
        <v>6751.5</v>
      </c>
      <c r="E18" s="2">
        <f>AVERAGE(C18:D18)</f>
        <v>9304.75</v>
      </c>
      <c r="F18" s="2">
        <v>3271.5</v>
      </c>
      <c r="G18" s="2">
        <f>(AVERAGE(C18:E18))</f>
        <v>9304.75</v>
      </c>
      <c r="H18" s="2">
        <f t="shared" si="3"/>
        <v>9304.75</v>
      </c>
      <c r="I18" s="2"/>
      <c r="J18" s="2"/>
      <c r="K18" s="2"/>
      <c r="L18" s="2">
        <f t="shared" si="0"/>
        <v>8299.2083333333339</v>
      </c>
      <c r="M18" s="3">
        <f t="shared" si="1"/>
        <v>-0.60580577464718022</v>
      </c>
    </row>
    <row r="19" spans="1:13" x14ac:dyDescent="0.25">
      <c r="A19" t="s">
        <v>37</v>
      </c>
      <c r="B19" t="s">
        <v>38</v>
      </c>
      <c r="C19" s="2">
        <v>16175.5</v>
      </c>
      <c r="D19" s="2">
        <v>16559</v>
      </c>
      <c r="E19" s="2">
        <v>16175.5</v>
      </c>
      <c r="F19" s="2">
        <v>4493.5</v>
      </c>
      <c r="G19" s="2">
        <f t="shared" si="2"/>
        <v>16303.333333333334</v>
      </c>
      <c r="H19" s="2">
        <f t="shared" si="3"/>
        <v>16303.333333333334</v>
      </c>
      <c r="I19" s="2"/>
      <c r="J19" s="2"/>
      <c r="K19" s="2"/>
      <c r="L19" s="2">
        <f t="shared" si="0"/>
        <v>14335.027777777776</v>
      </c>
      <c r="M19" s="3">
        <f t="shared" si="1"/>
        <v>-0.68653705666578169</v>
      </c>
    </row>
    <row r="20" spans="1:13" x14ac:dyDescent="0.25">
      <c r="A20" t="s">
        <v>39</v>
      </c>
      <c r="B20" t="s">
        <v>40</v>
      </c>
      <c r="C20" s="2">
        <v>11046.5</v>
      </c>
      <c r="D20" s="2">
        <v>12072.5</v>
      </c>
      <c r="E20" s="2">
        <v>11046.5</v>
      </c>
      <c r="F20" s="2">
        <v>1626</v>
      </c>
      <c r="G20" s="2">
        <f t="shared" si="2"/>
        <v>11388.5</v>
      </c>
      <c r="H20" s="2">
        <f t="shared" si="3"/>
        <v>11388.5</v>
      </c>
      <c r="I20" s="2"/>
      <c r="J20" s="2"/>
      <c r="K20" s="2"/>
      <c r="L20" s="2">
        <f t="shared" si="0"/>
        <v>9761.4166666666661</v>
      </c>
      <c r="M20" s="3">
        <f t="shared" si="1"/>
        <v>-0.83342581763234502</v>
      </c>
    </row>
    <row r="21" spans="1:13" x14ac:dyDescent="0.25">
      <c r="A21" t="s">
        <v>41</v>
      </c>
      <c r="B21" t="s">
        <v>42</v>
      </c>
      <c r="C21" s="2">
        <v>19074</v>
      </c>
      <c r="D21" s="2">
        <v>21098.5</v>
      </c>
      <c r="E21" s="2">
        <v>19074</v>
      </c>
      <c r="F21" s="2">
        <v>2908</v>
      </c>
      <c r="G21" s="2">
        <f t="shared" si="2"/>
        <v>19748.833333333332</v>
      </c>
      <c r="H21" s="2">
        <f t="shared" si="3"/>
        <v>19748.833333333332</v>
      </c>
      <c r="I21" s="2"/>
      <c r="J21" s="2"/>
      <c r="K21" s="2"/>
      <c r="L21" s="2">
        <f t="shared" si="0"/>
        <v>16942.027777777777</v>
      </c>
      <c r="M21" s="3">
        <f t="shared" si="1"/>
        <v>-0.82835584747332813</v>
      </c>
    </row>
    <row r="22" spans="1:13" x14ac:dyDescent="0.25">
      <c r="A22" t="s">
        <v>43</v>
      </c>
      <c r="B22" t="s">
        <v>44</v>
      </c>
      <c r="C22" s="2">
        <v>9713</v>
      </c>
      <c r="D22" s="2">
        <v>10981.5</v>
      </c>
      <c r="E22" s="2">
        <v>9713</v>
      </c>
      <c r="F22" s="2">
        <v>1753</v>
      </c>
      <c r="G22" s="2">
        <f t="shared" si="2"/>
        <v>10135.833333333334</v>
      </c>
      <c r="H22" s="2">
        <f t="shared" si="3"/>
        <v>10135.833333333334</v>
      </c>
      <c r="I22" s="2"/>
      <c r="J22" s="2"/>
      <c r="K22" s="2"/>
      <c r="L22" s="2">
        <f t="shared" si="0"/>
        <v>8738.6944444444453</v>
      </c>
      <c r="M22" s="3">
        <f t="shared" si="1"/>
        <v>-0.799397952274844</v>
      </c>
    </row>
    <row r="23" spans="1:13" x14ac:dyDescent="0.25">
      <c r="A23" t="s">
        <v>45</v>
      </c>
      <c r="B23" t="s">
        <v>46</v>
      </c>
      <c r="C23" s="2">
        <v>6507.5</v>
      </c>
      <c r="D23" s="2">
        <v>5031</v>
      </c>
      <c r="E23" s="2">
        <v>6507.5</v>
      </c>
      <c r="F23" s="2">
        <v>1</v>
      </c>
      <c r="G23" s="2">
        <f t="shared" si="2"/>
        <v>6015.333333333333</v>
      </c>
      <c r="H23" s="2">
        <f t="shared" si="3"/>
        <v>6015.333333333333</v>
      </c>
      <c r="I23" s="2"/>
      <c r="J23" s="2"/>
      <c r="K23" s="2"/>
      <c r="L23" s="2">
        <f t="shared" si="0"/>
        <v>5012.9444444444443</v>
      </c>
      <c r="M23" s="3">
        <f t="shared" si="1"/>
        <v>-0.99980051644077006</v>
      </c>
    </row>
    <row r="24" spans="1:13" x14ac:dyDescent="0.25">
      <c r="A24" t="s">
        <v>47</v>
      </c>
      <c r="B24" t="s">
        <v>48</v>
      </c>
      <c r="C24" s="2">
        <v>1733.5</v>
      </c>
      <c r="D24" s="2">
        <v>6896</v>
      </c>
      <c r="E24" s="2">
        <v>1733.5</v>
      </c>
      <c r="F24" s="2">
        <v>667.5</v>
      </c>
      <c r="G24" s="2">
        <f t="shared" si="2"/>
        <v>3454.3333333333335</v>
      </c>
      <c r="H24" s="2">
        <f t="shared" si="3"/>
        <v>3454.3333333333335</v>
      </c>
      <c r="I24" s="2"/>
      <c r="J24" s="2"/>
      <c r="K24" s="2"/>
      <c r="L24" s="2">
        <f t="shared" si="0"/>
        <v>2989.8611111111113</v>
      </c>
      <c r="M24" s="3">
        <f t="shared" si="1"/>
        <v>-0.77674548241742924</v>
      </c>
    </row>
    <row r="25" spans="1:13" x14ac:dyDescent="0.25">
      <c r="A25" t="s">
        <v>49</v>
      </c>
      <c r="B25" t="s">
        <v>50</v>
      </c>
      <c r="C25" s="2">
        <v>3464.5</v>
      </c>
      <c r="D25" s="2">
        <v>8967</v>
      </c>
      <c r="E25" s="2">
        <v>3464.5</v>
      </c>
      <c r="F25" s="2">
        <v>2198</v>
      </c>
      <c r="G25" s="2">
        <f t="shared" si="2"/>
        <v>5298.666666666667</v>
      </c>
      <c r="H25" s="2">
        <f t="shared" si="3"/>
        <v>5298.666666666667</v>
      </c>
      <c r="I25" s="2"/>
      <c r="J25" s="2"/>
      <c r="K25" s="2"/>
      <c r="L25" s="2">
        <f t="shared" si="0"/>
        <v>4781.8888888888896</v>
      </c>
      <c r="M25" s="3">
        <f t="shared" si="1"/>
        <v>-0.54034900202151648</v>
      </c>
    </row>
    <row r="26" spans="1:13" x14ac:dyDescent="0.25">
      <c r="A26" t="s">
        <v>51</v>
      </c>
      <c r="B26" t="s">
        <v>52</v>
      </c>
      <c r="C26" s="2">
        <v>8075.5</v>
      </c>
      <c r="D26" s="2">
        <v>10119.5</v>
      </c>
      <c r="E26" s="2">
        <v>8075.5</v>
      </c>
      <c r="F26" s="2">
        <v>3338.5</v>
      </c>
      <c r="G26" s="2">
        <f t="shared" si="2"/>
        <v>8756.8333333333339</v>
      </c>
      <c r="H26" s="2">
        <f t="shared" si="3"/>
        <v>8756.8333333333339</v>
      </c>
      <c r="I26" s="2"/>
      <c r="J26" s="2"/>
      <c r="K26" s="2"/>
      <c r="L26" s="2">
        <f t="shared" si="0"/>
        <v>7853.7777777777783</v>
      </c>
      <c r="M26" s="3">
        <f t="shared" si="1"/>
        <v>-0.57491794465508461</v>
      </c>
    </row>
    <row r="27" spans="1:13" x14ac:dyDescent="0.25">
      <c r="A27" t="s">
        <v>53</v>
      </c>
      <c r="B27" t="s">
        <v>54</v>
      </c>
      <c r="C27" s="2">
        <v>2618.5</v>
      </c>
      <c r="D27" s="2">
        <v>2522.5</v>
      </c>
      <c r="E27" s="2">
        <v>2618.5</v>
      </c>
      <c r="F27" s="2">
        <v>1695.5</v>
      </c>
      <c r="G27" s="2">
        <f t="shared" si="2"/>
        <v>2586.5</v>
      </c>
      <c r="H27" s="2">
        <f t="shared" si="3"/>
        <v>2586.5</v>
      </c>
      <c r="I27" s="2"/>
      <c r="J27" s="2"/>
      <c r="K27" s="2"/>
      <c r="L27" s="2">
        <f t="shared" si="0"/>
        <v>2438</v>
      </c>
      <c r="M27" s="3">
        <f t="shared" si="1"/>
        <v>-0.30455291222313374</v>
      </c>
    </row>
    <row r="28" spans="1:13" x14ac:dyDescent="0.25">
      <c r="A28" t="s">
        <v>55</v>
      </c>
      <c r="B28" t="s">
        <v>56</v>
      </c>
      <c r="C28" s="2">
        <v>1174.5</v>
      </c>
      <c r="D28" s="2">
        <v>1649.5</v>
      </c>
      <c r="E28" s="2">
        <v>1174.5</v>
      </c>
      <c r="F28" s="2">
        <v>177.5</v>
      </c>
      <c r="G28" s="2">
        <f t="shared" si="2"/>
        <v>1332.8333333333333</v>
      </c>
      <c r="H28" s="2">
        <f t="shared" si="3"/>
        <v>1332.8333333333333</v>
      </c>
      <c r="I28" s="2"/>
      <c r="J28" s="2"/>
      <c r="K28" s="2"/>
      <c r="L28" s="2">
        <f t="shared" si="0"/>
        <v>1140.2777777777776</v>
      </c>
      <c r="M28" s="3">
        <f t="shared" si="1"/>
        <v>-0.8443361753958587</v>
      </c>
    </row>
    <row r="29" spans="1:13" x14ac:dyDescent="0.25">
      <c r="A29" t="s">
        <v>57</v>
      </c>
      <c r="B29" t="s">
        <v>58</v>
      </c>
      <c r="C29" s="2">
        <v>11170</v>
      </c>
      <c r="D29" s="2">
        <v>11154</v>
      </c>
      <c r="E29" s="2">
        <v>11170</v>
      </c>
      <c r="F29" s="2">
        <v>4488.5</v>
      </c>
      <c r="G29" s="2">
        <f t="shared" si="2"/>
        <v>11164.666666666666</v>
      </c>
      <c r="H29" s="2">
        <f t="shared" si="3"/>
        <v>11164.666666666666</v>
      </c>
      <c r="I29" s="2"/>
      <c r="J29" s="2"/>
      <c r="K29" s="2"/>
      <c r="L29" s="2">
        <f t="shared" si="0"/>
        <v>10051.972222222221</v>
      </c>
      <c r="M29" s="3">
        <f t="shared" si="1"/>
        <v>-0.55347071193878472</v>
      </c>
    </row>
    <row r="30" spans="1:13" x14ac:dyDescent="0.25">
      <c r="A30" t="s">
        <v>59</v>
      </c>
      <c r="B30" t="s">
        <v>60</v>
      </c>
      <c r="C30" s="2">
        <v>4030.5</v>
      </c>
      <c r="D30" s="2">
        <v>7309</v>
      </c>
      <c r="E30" s="2">
        <v>4030.5</v>
      </c>
      <c r="F30" s="2">
        <v>1923.5</v>
      </c>
      <c r="G30" s="2">
        <f t="shared" si="2"/>
        <v>5123.333333333333</v>
      </c>
      <c r="H30" s="2">
        <f t="shared" si="3"/>
        <v>5123.333333333333</v>
      </c>
      <c r="I30" s="2"/>
      <c r="J30" s="2"/>
      <c r="K30" s="2"/>
      <c r="L30" s="2">
        <f t="shared" si="0"/>
        <v>4590.0277777777774</v>
      </c>
      <c r="M30" s="3">
        <f t="shared" si="1"/>
        <v>-0.5809393552447637</v>
      </c>
    </row>
    <row r="31" spans="1:13" x14ac:dyDescent="0.25">
      <c r="A31" t="s">
        <v>61</v>
      </c>
      <c r="B31" t="s">
        <v>62</v>
      </c>
      <c r="C31" s="2">
        <v>11722</v>
      </c>
      <c r="D31" s="2">
        <v>10342</v>
      </c>
      <c r="E31" s="2">
        <v>11722</v>
      </c>
      <c r="F31" s="2">
        <v>4551</v>
      </c>
      <c r="G31" s="2">
        <f t="shared" si="2"/>
        <v>11262</v>
      </c>
      <c r="H31" s="2">
        <f t="shared" si="3"/>
        <v>11262</v>
      </c>
      <c r="I31" s="2"/>
      <c r="J31" s="2"/>
      <c r="K31" s="2"/>
      <c r="L31" s="2">
        <f t="shared" si="0"/>
        <v>10143.5</v>
      </c>
      <c r="M31" s="3">
        <f t="shared" si="1"/>
        <v>-0.5513382954601469</v>
      </c>
    </row>
    <row r="32" spans="1:13" x14ac:dyDescent="0.25">
      <c r="A32" t="s">
        <v>63</v>
      </c>
      <c r="B32" t="s">
        <v>64</v>
      </c>
      <c r="C32" s="2">
        <v>24.5</v>
      </c>
      <c r="D32" s="2">
        <v>7275</v>
      </c>
      <c r="E32" s="2">
        <v>24.5</v>
      </c>
      <c r="F32" s="2">
        <v>412</v>
      </c>
      <c r="G32" s="2">
        <f t="shared" si="2"/>
        <v>2441.3333333333335</v>
      </c>
      <c r="H32" s="2">
        <f t="shared" si="3"/>
        <v>2441.3333333333335</v>
      </c>
      <c r="I32" s="2"/>
      <c r="J32" s="2"/>
      <c r="K32" s="2"/>
      <c r="L32" s="2">
        <f t="shared" si="0"/>
        <v>2103.1111111111113</v>
      </c>
      <c r="M32" s="3">
        <f t="shared" si="1"/>
        <v>-0.80409974640743875</v>
      </c>
    </row>
    <row r="33" spans="1:13" x14ac:dyDescent="0.25">
      <c r="A33" t="s">
        <v>65</v>
      </c>
      <c r="B33" t="s">
        <v>66</v>
      </c>
      <c r="C33" s="2">
        <v>3535</v>
      </c>
      <c r="D33" s="2">
        <v>3719.5</v>
      </c>
      <c r="E33" s="2">
        <v>3535</v>
      </c>
      <c r="F33" s="2">
        <v>1872.5</v>
      </c>
      <c r="G33" s="2">
        <f t="shared" si="2"/>
        <v>3596.5</v>
      </c>
      <c r="H33" s="2">
        <f t="shared" si="3"/>
        <v>3596.5</v>
      </c>
      <c r="I33" s="2"/>
      <c r="J33" s="2"/>
      <c r="K33" s="2"/>
      <c r="L33" s="2">
        <f t="shared" si="0"/>
        <v>3309.1666666666665</v>
      </c>
      <c r="M33" s="3">
        <f t="shared" si="1"/>
        <v>-0.43414756988164188</v>
      </c>
    </row>
    <row r="34" spans="1:13" x14ac:dyDescent="0.25">
      <c r="A34" t="s">
        <v>67</v>
      </c>
      <c r="B34" t="s">
        <v>68</v>
      </c>
      <c r="C34" s="2">
        <v>0</v>
      </c>
      <c r="D34" s="2">
        <v>2507.5</v>
      </c>
      <c r="E34" s="2">
        <v>0</v>
      </c>
      <c r="F34" s="2">
        <v>0.5</v>
      </c>
      <c r="G34" s="2">
        <f t="shared" si="2"/>
        <v>835.83333333333337</v>
      </c>
      <c r="H34" s="2">
        <f t="shared" si="3"/>
        <v>835.83333333333337</v>
      </c>
      <c r="I34" s="2"/>
      <c r="J34" s="2"/>
      <c r="K34" s="2"/>
      <c r="L34" s="2">
        <f t="shared" ref="L34:L65" si="4">SUM(C34:K34)/COUNT(C34:K34)</f>
        <v>696.6111111111112</v>
      </c>
      <c r="M34" s="3">
        <f t="shared" ref="M34:M65" si="5">IFERROR((F34-L34)/L34, 0)</f>
        <v>-0.99928223941303129</v>
      </c>
    </row>
    <row r="35" spans="1:13" x14ac:dyDescent="0.25">
      <c r="A35" t="s">
        <v>69</v>
      </c>
      <c r="B35" t="s">
        <v>70</v>
      </c>
      <c r="C35" s="2">
        <v>23292.5</v>
      </c>
      <c r="D35" s="2">
        <v>32103</v>
      </c>
      <c r="E35" s="2">
        <v>23292.5</v>
      </c>
      <c r="F35" s="2">
        <v>1.5</v>
      </c>
      <c r="G35" s="2">
        <f t="shared" si="2"/>
        <v>26229.333333333332</v>
      </c>
      <c r="H35" s="2">
        <f t="shared" si="3"/>
        <v>26229.333333333332</v>
      </c>
      <c r="I35" s="2"/>
      <c r="J35" s="2"/>
      <c r="K35" s="2"/>
      <c r="L35" s="2">
        <f t="shared" si="4"/>
        <v>21858.027777777777</v>
      </c>
      <c r="M35" s="3">
        <f t="shared" si="5"/>
        <v>-0.99993137532739684</v>
      </c>
    </row>
    <row r="36" spans="1:13" x14ac:dyDescent="0.25">
      <c r="A36" t="s">
        <v>71</v>
      </c>
      <c r="B36" t="s">
        <v>72</v>
      </c>
      <c r="C36" s="2">
        <v>4572</v>
      </c>
      <c r="D36" s="2">
        <v>18198.5</v>
      </c>
      <c r="E36" s="2">
        <v>4572</v>
      </c>
      <c r="F36" s="2">
        <v>2933.5</v>
      </c>
      <c r="G36" s="2">
        <f t="shared" si="2"/>
        <v>9114.1666666666661</v>
      </c>
      <c r="H36" s="2">
        <f t="shared" si="3"/>
        <v>9114.1666666666661</v>
      </c>
      <c r="I36" s="2"/>
      <c r="J36" s="2"/>
      <c r="K36" s="2"/>
      <c r="L36" s="2">
        <f t="shared" si="4"/>
        <v>8084.0555555555547</v>
      </c>
      <c r="M36" s="3">
        <f t="shared" si="5"/>
        <v>-0.63712520530811678</v>
      </c>
    </row>
    <row r="37" spans="1:13" x14ac:dyDescent="0.25">
      <c r="A37" t="s">
        <v>73</v>
      </c>
      <c r="B37" t="s">
        <v>74</v>
      </c>
      <c r="C37" s="2">
        <v>11998</v>
      </c>
      <c r="D37" s="2">
        <v>4643.5</v>
      </c>
      <c r="E37" s="2">
        <v>11998</v>
      </c>
      <c r="F37" s="2">
        <v>4123.5</v>
      </c>
      <c r="G37" s="2">
        <f t="shared" si="2"/>
        <v>9546.5</v>
      </c>
      <c r="H37" s="2">
        <f t="shared" si="3"/>
        <v>9546.5</v>
      </c>
      <c r="I37" s="2"/>
      <c r="J37" s="2"/>
      <c r="K37" s="2"/>
      <c r="L37" s="2">
        <f t="shared" si="4"/>
        <v>8642.6666666666661</v>
      </c>
      <c r="M37" s="3">
        <f t="shared" si="5"/>
        <v>-0.52289031163221222</v>
      </c>
    </row>
    <row r="38" spans="1:13" x14ac:dyDescent="0.25">
      <c r="A38" t="s">
        <v>75</v>
      </c>
      <c r="B38" t="s">
        <v>76</v>
      </c>
      <c r="C38" s="2">
        <v>2255</v>
      </c>
      <c r="D38" s="2">
        <v>810</v>
      </c>
      <c r="E38" s="2">
        <v>2255</v>
      </c>
      <c r="F38" s="2">
        <v>1050.5</v>
      </c>
      <c r="G38" s="2">
        <f t="shared" si="2"/>
        <v>1773.3333333333333</v>
      </c>
      <c r="H38" s="2">
        <f t="shared" si="3"/>
        <v>1773.3333333333333</v>
      </c>
      <c r="I38" s="2"/>
      <c r="J38" s="2"/>
      <c r="K38" s="2"/>
      <c r="L38" s="2">
        <f t="shared" si="4"/>
        <v>1652.8611111111111</v>
      </c>
      <c r="M38" s="3">
        <f t="shared" si="5"/>
        <v>-0.36443540661815371</v>
      </c>
    </row>
    <row r="39" spans="1:13" x14ac:dyDescent="0.25">
      <c r="A39" t="s">
        <v>77</v>
      </c>
      <c r="B39" t="s">
        <v>78</v>
      </c>
      <c r="C39" s="2">
        <v>1.5</v>
      </c>
      <c r="D39" s="2">
        <v>2978.5</v>
      </c>
      <c r="E39" s="2">
        <v>1.5</v>
      </c>
      <c r="F39" s="2">
        <v>79.5</v>
      </c>
      <c r="G39" s="2">
        <f t="shared" si="2"/>
        <v>993.83333333333337</v>
      </c>
      <c r="H39" s="2">
        <f t="shared" si="3"/>
        <v>993.83333333333337</v>
      </c>
      <c r="I39" s="2"/>
      <c r="J39" s="2"/>
      <c r="K39" s="2"/>
      <c r="L39" s="2">
        <f t="shared" si="4"/>
        <v>841.44444444444446</v>
      </c>
      <c r="M39" s="3">
        <f t="shared" si="5"/>
        <v>-0.90551960913772611</v>
      </c>
    </row>
    <row r="40" spans="1:13" x14ac:dyDescent="0.25">
      <c r="A40" t="s">
        <v>79</v>
      </c>
      <c r="B40" t="s">
        <v>80</v>
      </c>
      <c r="C40" s="2">
        <v>4062</v>
      </c>
      <c r="D40" s="2">
        <v>4443</v>
      </c>
      <c r="E40" s="2">
        <v>4062</v>
      </c>
      <c r="F40" s="2">
        <v>1062.5</v>
      </c>
      <c r="G40" s="2">
        <f t="shared" si="2"/>
        <v>4189</v>
      </c>
      <c r="H40" s="2">
        <f t="shared" si="3"/>
        <v>4189</v>
      </c>
      <c r="I40" s="2"/>
      <c r="J40" s="2"/>
      <c r="K40" s="2"/>
      <c r="L40" s="2">
        <f t="shared" si="4"/>
        <v>3667.9166666666665</v>
      </c>
      <c r="M40" s="3">
        <f t="shared" si="5"/>
        <v>-0.71032602521867549</v>
      </c>
    </row>
    <row r="41" spans="1:13" x14ac:dyDescent="0.25">
      <c r="A41" t="s">
        <v>81</v>
      </c>
      <c r="B41" t="s">
        <v>82</v>
      </c>
      <c r="C41" s="2">
        <v>8814</v>
      </c>
      <c r="D41" s="2">
        <v>10926</v>
      </c>
      <c r="E41" s="2">
        <v>8814</v>
      </c>
      <c r="F41" s="2">
        <v>2761</v>
      </c>
      <c r="G41" s="2">
        <f t="shared" si="2"/>
        <v>9518</v>
      </c>
      <c r="H41" s="2">
        <f t="shared" si="3"/>
        <v>9518</v>
      </c>
      <c r="I41" s="2"/>
      <c r="J41" s="2"/>
      <c r="K41" s="2"/>
      <c r="L41" s="2">
        <f t="shared" si="4"/>
        <v>8391.8333333333339</v>
      </c>
      <c r="M41" s="3">
        <f t="shared" si="5"/>
        <v>-0.67098965263847787</v>
      </c>
    </row>
    <row r="42" spans="1:13" x14ac:dyDescent="0.25">
      <c r="A42" t="s">
        <v>83</v>
      </c>
      <c r="B42" t="s">
        <v>84</v>
      </c>
      <c r="C42" s="2">
        <v>13391.5</v>
      </c>
      <c r="D42" s="2">
        <v>1156.5</v>
      </c>
      <c r="E42" s="2">
        <v>13391.5</v>
      </c>
      <c r="F42" s="2">
        <v>25</v>
      </c>
      <c r="G42" s="2">
        <f t="shared" si="2"/>
        <v>9313.1666666666661</v>
      </c>
      <c r="H42" s="2">
        <f t="shared" si="3"/>
        <v>9313.1666666666661</v>
      </c>
      <c r="I42" s="2"/>
      <c r="J42" s="2"/>
      <c r="K42" s="2"/>
      <c r="L42" s="2">
        <f t="shared" si="4"/>
        <v>7765.1388888888878</v>
      </c>
      <c r="M42" s="3">
        <f t="shared" si="5"/>
        <v>-0.99678048256989038</v>
      </c>
    </row>
    <row r="43" spans="1:13" x14ac:dyDescent="0.25">
      <c r="A43" t="s">
        <v>85</v>
      </c>
      <c r="B43" t="s">
        <v>86</v>
      </c>
      <c r="C43" s="2">
        <v>411</v>
      </c>
      <c r="D43" s="2">
        <v>1243.5</v>
      </c>
      <c r="E43" s="2">
        <v>411</v>
      </c>
      <c r="F43" s="2">
        <v>12</v>
      </c>
      <c r="G43" s="2">
        <f t="shared" si="2"/>
        <v>688.5</v>
      </c>
      <c r="H43" s="2">
        <f t="shared" si="3"/>
        <v>688.5</v>
      </c>
      <c r="I43" s="2"/>
      <c r="J43" s="2"/>
      <c r="K43" s="2"/>
      <c r="L43" s="2">
        <f t="shared" si="4"/>
        <v>575.75</v>
      </c>
      <c r="M43" s="3">
        <f t="shared" si="5"/>
        <v>-0.97915762049500654</v>
      </c>
    </row>
    <row r="44" spans="1:13" x14ac:dyDescent="0.25">
      <c r="A44" t="s">
        <v>87</v>
      </c>
      <c r="B44" t="s">
        <v>88</v>
      </c>
      <c r="C44" s="2">
        <v>2050.5</v>
      </c>
      <c r="D44" s="2">
        <v>6920.5</v>
      </c>
      <c r="E44" s="2">
        <v>2050.5</v>
      </c>
      <c r="F44" s="2">
        <v>1444.5</v>
      </c>
      <c r="G44" s="2">
        <f t="shared" si="2"/>
        <v>3673.8333333333335</v>
      </c>
      <c r="H44" s="2">
        <f t="shared" si="3"/>
        <v>3673.8333333333335</v>
      </c>
      <c r="I44" s="2"/>
      <c r="J44" s="2"/>
      <c r="K44" s="2"/>
      <c r="L44" s="2">
        <f t="shared" si="4"/>
        <v>3302.2777777777778</v>
      </c>
      <c r="M44" s="3">
        <f t="shared" si="5"/>
        <v>-0.56257465385844785</v>
      </c>
    </row>
    <row r="45" spans="1:13" x14ac:dyDescent="0.25">
      <c r="A45" t="s">
        <v>89</v>
      </c>
      <c r="B45" t="s">
        <v>90</v>
      </c>
      <c r="C45" s="2">
        <v>2166</v>
      </c>
      <c r="D45" s="2">
        <v>8515.5</v>
      </c>
      <c r="E45" s="2">
        <v>2166</v>
      </c>
      <c r="F45" s="2">
        <v>2885</v>
      </c>
      <c r="G45" s="2">
        <f t="shared" si="2"/>
        <v>4282.5</v>
      </c>
      <c r="H45" s="2">
        <f t="shared" si="3"/>
        <v>4282.5</v>
      </c>
      <c r="I45" s="2"/>
      <c r="J45" s="2"/>
      <c r="K45" s="2"/>
      <c r="L45" s="2">
        <f t="shared" si="4"/>
        <v>4049.5833333333335</v>
      </c>
      <c r="M45" s="3">
        <f t="shared" si="5"/>
        <v>-0.28758102685461467</v>
      </c>
    </row>
    <row r="46" spans="1:13" x14ac:dyDescent="0.25">
      <c r="A46" t="s">
        <v>91</v>
      </c>
      <c r="B46" t="s">
        <v>28</v>
      </c>
      <c r="C46" s="2">
        <v>18</v>
      </c>
      <c r="D46" s="2">
        <v>2.5</v>
      </c>
      <c r="E46" s="2">
        <v>18</v>
      </c>
      <c r="F46" s="2">
        <v>467</v>
      </c>
      <c r="G46" s="2">
        <f t="shared" si="2"/>
        <v>12.833333333333334</v>
      </c>
      <c r="H46" s="2">
        <f t="shared" si="3"/>
        <v>12.833333333333334</v>
      </c>
      <c r="I46" s="2"/>
      <c r="J46" s="2"/>
      <c r="K46" s="2"/>
      <c r="L46" s="2">
        <f t="shared" si="4"/>
        <v>88.527777777777786</v>
      </c>
      <c r="M46" s="4">
        <f t="shared" si="5"/>
        <v>4.2751804204581108</v>
      </c>
    </row>
    <row r="47" spans="1:13" x14ac:dyDescent="0.25">
      <c r="A47" t="s">
        <v>92</v>
      </c>
      <c r="B47" t="s">
        <v>93</v>
      </c>
      <c r="C47" s="2">
        <v>5020.5</v>
      </c>
      <c r="D47" s="2">
        <v>8722</v>
      </c>
      <c r="E47" s="2">
        <v>5020.5</v>
      </c>
      <c r="F47" s="2">
        <v>1762</v>
      </c>
      <c r="G47" s="2">
        <f t="shared" si="2"/>
        <v>6254.333333333333</v>
      </c>
      <c r="H47" s="2">
        <f t="shared" si="3"/>
        <v>6254.333333333333</v>
      </c>
      <c r="I47" s="2"/>
      <c r="J47" s="2"/>
      <c r="K47" s="2"/>
      <c r="L47" s="2">
        <f t="shared" si="4"/>
        <v>5505.6111111111104</v>
      </c>
      <c r="M47" s="3">
        <f t="shared" si="5"/>
        <v>-0.67996286616683987</v>
      </c>
    </row>
    <row r="48" spans="1:13" x14ac:dyDescent="0.25">
      <c r="A48" t="s">
        <v>94</v>
      </c>
      <c r="B48" t="s">
        <v>95</v>
      </c>
      <c r="C48" s="2">
        <v>14590.5</v>
      </c>
      <c r="D48" s="2">
        <v>15974.5</v>
      </c>
      <c r="E48" s="2">
        <v>14590.5</v>
      </c>
      <c r="F48" s="2">
        <v>1154</v>
      </c>
      <c r="G48" s="2">
        <f t="shared" si="2"/>
        <v>15051.833333333334</v>
      </c>
      <c r="H48" s="2">
        <f t="shared" si="3"/>
        <v>15051.833333333334</v>
      </c>
      <c r="I48" s="2"/>
      <c r="J48" s="2"/>
      <c r="K48" s="2"/>
      <c r="L48" s="2">
        <f t="shared" si="4"/>
        <v>12735.527777777779</v>
      </c>
      <c r="M48" s="3">
        <f t="shared" si="5"/>
        <v>-0.90938734380418729</v>
      </c>
    </row>
    <row r="49" spans="1:13" x14ac:dyDescent="0.25">
      <c r="A49" t="s">
        <v>96</v>
      </c>
      <c r="B49" t="s">
        <v>97</v>
      </c>
      <c r="C49" s="2">
        <v>2965</v>
      </c>
      <c r="D49" s="2">
        <v>2934.5</v>
      </c>
      <c r="E49" s="2">
        <v>2965</v>
      </c>
      <c r="F49" s="2">
        <v>437.5</v>
      </c>
      <c r="G49" s="2">
        <f t="shared" si="2"/>
        <v>2954.8333333333335</v>
      </c>
      <c r="H49" s="2">
        <f t="shared" si="3"/>
        <v>2954.8333333333335</v>
      </c>
      <c r="I49" s="2"/>
      <c r="J49" s="2"/>
      <c r="K49" s="2"/>
      <c r="L49" s="2">
        <f t="shared" si="4"/>
        <v>2535.2777777777778</v>
      </c>
      <c r="M49" s="3">
        <f t="shared" si="5"/>
        <v>-0.82743508272159527</v>
      </c>
    </row>
    <row r="50" spans="1:13" x14ac:dyDescent="0.25">
      <c r="A50" t="s">
        <v>98</v>
      </c>
      <c r="B50" t="s">
        <v>99</v>
      </c>
      <c r="C50" s="2">
        <v>16605.5</v>
      </c>
      <c r="D50" s="2">
        <v>14527.5</v>
      </c>
      <c r="E50" s="2">
        <v>16605.5</v>
      </c>
      <c r="F50" s="2">
        <v>4436.5</v>
      </c>
      <c r="G50" s="2">
        <f t="shared" si="2"/>
        <v>15912.833333333334</v>
      </c>
      <c r="H50" s="2">
        <f t="shared" si="3"/>
        <v>15912.833333333334</v>
      </c>
      <c r="I50" s="2"/>
      <c r="J50" s="2"/>
      <c r="K50" s="2"/>
      <c r="L50" s="2">
        <f t="shared" si="4"/>
        <v>14000.111111111109</v>
      </c>
      <c r="M50" s="3">
        <f t="shared" si="5"/>
        <v>-0.68310965785985822</v>
      </c>
    </row>
    <row r="51" spans="1:13" x14ac:dyDescent="0.25">
      <c r="A51" t="s">
        <v>100</v>
      </c>
      <c r="B51" t="s">
        <v>101</v>
      </c>
      <c r="C51" s="2">
        <v>12601.5</v>
      </c>
      <c r="D51" s="2">
        <v>14518</v>
      </c>
      <c r="E51" s="2">
        <v>12601.5</v>
      </c>
      <c r="F51" s="2">
        <v>4313.5</v>
      </c>
      <c r="G51" s="2">
        <f t="shared" si="2"/>
        <v>13240.333333333334</v>
      </c>
      <c r="H51" s="2">
        <f t="shared" si="3"/>
        <v>13240.333333333334</v>
      </c>
      <c r="I51" s="2"/>
      <c r="J51" s="2"/>
      <c r="K51" s="2"/>
      <c r="L51" s="2">
        <f t="shared" si="4"/>
        <v>11752.527777777779</v>
      </c>
      <c r="M51" s="3">
        <f t="shared" si="5"/>
        <v>-0.63297257563975606</v>
      </c>
    </row>
    <row r="52" spans="1:13" x14ac:dyDescent="0.25">
      <c r="A52" t="s">
        <v>102</v>
      </c>
      <c r="B52" t="s">
        <v>103</v>
      </c>
      <c r="C52" s="2">
        <v>7247.5</v>
      </c>
      <c r="D52" s="2">
        <v>7856.5</v>
      </c>
      <c r="E52" s="2">
        <v>7247.5</v>
      </c>
      <c r="F52" s="2">
        <v>2627.5</v>
      </c>
      <c r="G52" s="2">
        <f t="shared" si="2"/>
        <v>7450.5</v>
      </c>
      <c r="H52" s="2">
        <f t="shared" si="3"/>
        <v>7450.5</v>
      </c>
      <c r="I52" s="2"/>
      <c r="J52" s="2"/>
      <c r="K52" s="2"/>
      <c r="L52" s="2">
        <f t="shared" si="4"/>
        <v>6646.666666666667</v>
      </c>
      <c r="M52" s="3">
        <f t="shared" si="5"/>
        <v>-0.60468906720160487</v>
      </c>
    </row>
    <row r="53" spans="1:13" x14ac:dyDescent="0.25">
      <c r="A53" t="s">
        <v>104</v>
      </c>
      <c r="B53" t="s">
        <v>105</v>
      </c>
      <c r="C53" s="2">
        <v>344</v>
      </c>
      <c r="D53" s="2">
        <v>9.5</v>
      </c>
      <c r="E53" s="2">
        <v>344</v>
      </c>
      <c r="F53" s="2">
        <v>0.5</v>
      </c>
      <c r="G53" s="2">
        <f t="shared" si="2"/>
        <v>232.5</v>
      </c>
      <c r="H53" s="2">
        <f t="shared" si="3"/>
        <v>232.5</v>
      </c>
      <c r="I53" s="2"/>
      <c r="J53" s="2"/>
      <c r="K53" s="2"/>
      <c r="L53" s="2">
        <f t="shared" si="4"/>
        <v>193.83333333333334</v>
      </c>
      <c r="M53" s="3">
        <f t="shared" si="5"/>
        <v>-0.99742046431642306</v>
      </c>
    </row>
    <row r="54" spans="1:13" x14ac:dyDescent="0.25">
      <c r="A54" t="s">
        <v>106</v>
      </c>
      <c r="B54" t="s">
        <v>107</v>
      </c>
      <c r="C54" s="2">
        <v>3564</v>
      </c>
      <c r="D54" s="2">
        <v>4799.5</v>
      </c>
      <c r="E54" s="2">
        <v>3564</v>
      </c>
      <c r="F54" s="2">
        <v>233.5</v>
      </c>
      <c r="G54" s="2">
        <f t="shared" si="2"/>
        <v>3975.8333333333335</v>
      </c>
      <c r="H54" s="2">
        <f t="shared" si="3"/>
        <v>3975.8333333333335</v>
      </c>
      <c r="I54" s="2"/>
      <c r="J54" s="2"/>
      <c r="K54" s="2"/>
      <c r="L54" s="2">
        <f t="shared" si="4"/>
        <v>3352.1111111111113</v>
      </c>
      <c r="M54" s="3">
        <f t="shared" si="5"/>
        <v>-0.93034240445490402</v>
      </c>
    </row>
    <row r="55" spans="1:13" x14ac:dyDescent="0.25">
      <c r="A55" t="s">
        <v>108</v>
      </c>
      <c r="B55" t="s">
        <v>109</v>
      </c>
      <c r="C55" s="2">
        <v>15798.5</v>
      </c>
      <c r="D55" s="2">
        <v>15169.5</v>
      </c>
      <c r="E55" s="2">
        <v>15798.5</v>
      </c>
      <c r="F55" s="2">
        <v>4056</v>
      </c>
      <c r="G55" s="2">
        <f t="shared" si="2"/>
        <v>15588.833333333334</v>
      </c>
      <c r="H55" s="2">
        <f t="shared" si="3"/>
        <v>15588.833333333334</v>
      </c>
      <c r="I55" s="2"/>
      <c r="J55" s="2"/>
      <c r="K55" s="2"/>
      <c r="L55" s="2">
        <f t="shared" si="4"/>
        <v>13666.694444444443</v>
      </c>
      <c r="M55" s="3">
        <f t="shared" si="5"/>
        <v>-0.7032201154062695</v>
      </c>
    </row>
    <row r="56" spans="1:13" x14ac:dyDescent="0.25">
      <c r="A56" t="s">
        <v>110</v>
      </c>
      <c r="B56" t="s">
        <v>111</v>
      </c>
      <c r="C56" s="2">
        <v>13819.5</v>
      </c>
      <c r="D56" s="2">
        <v>12099.5</v>
      </c>
      <c r="E56" s="2">
        <v>13819.5</v>
      </c>
      <c r="F56" s="2">
        <v>1513</v>
      </c>
      <c r="G56" s="2">
        <f t="shared" si="2"/>
        <v>13246.166666666666</v>
      </c>
      <c r="H56" s="2">
        <f t="shared" si="3"/>
        <v>13246.166666666666</v>
      </c>
      <c r="I56" s="2"/>
      <c r="J56" s="2"/>
      <c r="K56" s="2"/>
      <c r="L56" s="2">
        <f t="shared" si="4"/>
        <v>11290.638888888889</v>
      </c>
      <c r="M56" s="3">
        <f t="shared" si="5"/>
        <v>-0.86599518283336985</v>
      </c>
    </row>
    <row r="57" spans="1:13" x14ac:dyDescent="0.25">
      <c r="A57" t="s">
        <v>112</v>
      </c>
      <c r="B57" t="s">
        <v>113</v>
      </c>
      <c r="C57" s="2">
        <v>5048</v>
      </c>
      <c r="D57" s="2">
        <v>7105</v>
      </c>
      <c r="E57" s="2">
        <v>5048</v>
      </c>
      <c r="F57" s="2">
        <v>3.5</v>
      </c>
      <c r="G57" s="2">
        <f t="shared" si="2"/>
        <v>5733.666666666667</v>
      </c>
      <c r="H57" s="2">
        <f t="shared" si="3"/>
        <v>5733.666666666667</v>
      </c>
      <c r="I57" s="2"/>
      <c r="J57" s="2"/>
      <c r="K57" s="2"/>
      <c r="L57" s="2">
        <f t="shared" si="4"/>
        <v>4778.6388888888896</v>
      </c>
      <c r="M57" s="3">
        <f t="shared" si="5"/>
        <v>-0.99926757386750065</v>
      </c>
    </row>
    <row r="58" spans="1:13" x14ac:dyDescent="0.25">
      <c r="A58" t="s">
        <v>114</v>
      </c>
      <c r="B58" t="s">
        <v>115</v>
      </c>
      <c r="C58" s="2">
        <v>615</v>
      </c>
      <c r="D58" s="2">
        <v>869</v>
      </c>
      <c r="E58" s="2">
        <v>615</v>
      </c>
      <c r="F58" s="2">
        <v>17.5</v>
      </c>
      <c r="G58" s="2">
        <f t="shared" si="2"/>
        <v>699.66666666666663</v>
      </c>
      <c r="H58" s="2">
        <f t="shared" si="3"/>
        <v>699.66666666666663</v>
      </c>
      <c r="I58" s="2"/>
      <c r="J58" s="2"/>
      <c r="K58" s="2"/>
      <c r="L58" s="2">
        <f t="shared" si="4"/>
        <v>585.97222222222217</v>
      </c>
      <c r="M58" s="3">
        <f t="shared" si="5"/>
        <v>-0.97013510310500117</v>
      </c>
    </row>
    <row r="59" spans="1:13" x14ac:dyDescent="0.25">
      <c r="A59" t="s">
        <v>116</v>
      </c>
      <c r="B59" t="s">
        <v>13</v>
      </c>
      <c r="C59" s="2">
        <v>85</v>
      </c>
      <c r="D59" s="2">
        <v>29037.5</v>
      </c>
      <c r="E59" s="2">
        <v>85</v>
      </c>
      <c r="F59" s="2">
        <v>4797</v>
      </c>
      <c r="G59" s="2">
        <f t="shared" si="2"/>
        <v>9735.8333333333339</v>
      </c>
      <c r="H59" s="2">
        <f t="shared" si="3"/>
        <v>9735.8333333333339</v>
      </c>
      <c r="I59" s="2"/>
      <c r="J59" s="2"/>
      <c r="K59" s="2"/>
      <c r="L59" s="2">
        <f t="shared" si="4"/>
        <v>8912.6944444444453</v>
      </c>
      <c r="M59" s="3">
        <f t="shared" si="5"/>
        <v>-0.46177892332098103</v>
      </c>
    </row>
    <row r="60" spans="1:13" x14ac:dyDescent="0.25">
      <c r="A60" t="s">
        <v>117</v>
      </c>
      <c r="B60" t="s">
        <v>118</v>
      </c>
      <c r="C60" s="2">
        <v>5034.5</v>
      </c>
      <c r="D60" s="2">
        <v>6623</v>
      </c>
      <c r="E60" s="2">
        <v>5034.5</v>
      </c>
      <c r="F60" s="2">
        <v>823.5</v>
      </c>
      <c r="G60" s="2">
        <f t="shared" si="2"/>
        <v>5564</v>
      </c>
      <c r="H60" s="2">
        <f t="shared" si="3"/>
        <v>5564</v>
      </c>
      <c r="I60" s="2"/>
      <c r="J60" s="2"/>
      <c r="K60" s="2"/>
      <c r="L60" s="2">
        <f t="shared" si="4"/>
        <v>4773.916666666667</v>
      </c>
      <c r="M60" s="3">
        <f t="shared" si="5"/>
        <v>-0.82750013091975494</v>
      </c>
    </row>
    <row r="61" spans="1:13" x14ac:dyDescent="0.25">
      <c r="A61" t="s">
        <v>119</v>
      </c>
      <c r="B61" t="s">
        <v>120</v>
      </c>
      <c r="C61" s="2">
        <v>1858</v>
      </c>
      <c r="D61" s="2">
        <v>4576.5</v>
      </c>
      <c r="E61" s="2">
        <v>1858</v>
      </c>
      <c r="F61" s="2">
        <v>935</v>
      </c>
      <c r="G61" s="2">
        <f t="shared" si="2"/>
        <v>2764.1666666666665</v>
      </c>
      <c r="H61" s="2">
        <f t="shared" si="3"/>
        <v>2764.1666666666665</v>
      </c>
      <c r="I61" s="2"/>
      <c r="J61" s="2"/>
      <c r="K61" s="2"/>
      <c r="L61" s="2">
        <f t="shared" si="4"/>
        <v>2459.3055555555552</v>
      </c>
      <c r="M61" s="3">
        <f t="shared" si="5"/>
        <v>-0.61981137403286835</v>
      </c>
    </row>
    <row r="62" spans="1:13" x14ac:dyDescent="0.25">
      <c r="A62" t="s">
        <v>121</v>
      </c>
      <c r="B62" t="s">
        <v>122</v>
      </c>
      <c r="C62" s="2">
        <v>4.5</v>
      </c>
      <c r="D62" s="2">
        <v>21858.5</v>
      </c>
      <c r="E62" s="2">
        <v>4.5</v>
      </c>
      <c r="F62" s="2">
        <v>5978.5</v>
      </c>
      <c r="G62" s="2">
        <f t="shared" si="2"/>
        <v>7289.166666666667</v>
      </c>
      <c r="H62" s="2">
        <f t="shared" si="3"/>
        <v>7289.166666666667</v>
      </c>
      <c r="I62" s="2"/>
      <c r="J62" s="2"/>
      <c r="K62" s="2"/>
      <c r="L62" s="2">
        <f t="shared" si="4"/>
        <v>7070.7222222222217</v>
      </c>
      <c r="M62" s="3">
        <f t="shared" si="5"/>
        <v>-0.15447109756193372</v>
      </c>
    </row>
    <row r="63" spans="1:13" x14ac:dyDescent="0.25">
      <c r="A63" t="s">
        <v>123</v>
      </c>
      <c r="B63" t="s">
        <v>124</v>
      </c>
      <c r="C63" s="2">
        <v>5421</v>
      </c>
      <c r="D63" s="2">
        <v>10135</v>
      </c>
      <c r="E63" s="2">
        <v>5421</v>
      </c>
      <c r="F63" s="2">
        <v>2552</v>
      </c>
      <c r="G63" s="2">
        <f t="shared" si="2"/>
        <v>6992.333333333333</v>
      </c>
      <c r="H63" s="2">
        <f t="shared" si="3"/>
        <v>6992.333333333333</v>
      </c>
      <c r="I63" s="2"/>
      <c r="J63" s="2"/>
      <c r="K63" s="2"/>
      <c r="L63" s="2">
        <f t="shared" si="4"/>
        <v>6252.2777777777774</v>
      </c>
      <c r="M63" s="3">
        <f t="shared" si="5"/>
        <v>-0.59182875574235161</v>
      </c>
    </row>
    <row r="64" spans="1:13" x14ac:dyDescent="0.25">
      <c r="A64" t="s">
        <v>125</v>
      </c>
      <c r="B64" t="s">
        <v>126</v>
      </c>
      <c r="C64" s="2">
        <v>7215</v>
      </c>
      <c r="D64" s="2">
        <v>6163</v>
      </c>
      <c r="E64" s="2">
        <v>7215</v>
      </c>
      <c r="F64" s="2">
        <v>3017.5</v>
      </c>
      <c r="G64" s="2">
        <f t="shared" si="2"/>
        <v>6864.333333333333</v>
      </c>
      <c r="H64" s="2">
        <f t="shared" si="3"/>
        <v>6864.333333333333</v>
      </c>
      <c r="I64" s="2"/>
      <c r="J64" s="2"/>
      <c r="K64" s="2"/>
      <c r="L64" s="2">
        <f t="shared" si="4"/>
        <v>6223.1944444444443</v>
      </c>
      <c r="M64" s="3">
        <f t="shared" si="5"/>
        <v>-0.51512040529381564</v>
      </c>
    </row>
    <row r="65" spans="1:13" x14ac:dyDescent="0.25">
      <c r="A65" t="s">
        <v>127</v>
      </c>
      <c r="B65" t="s">
        <v>128</v>
      </c>
      <c r="C65" s="2">
        <v>10490.5</v>
      </c>
      <c r="D65" s="2">
        <v>12278.5</v>
      </c>
      <c r="E65" s="2">
        <v>10490.5</v>
      </c>
      <c r="F65" s="2">
        <v>3726</v>
      </c>
      <c r="G65" s="2">
        <f t="shared" si="2"/>
        <v>11086.5</v>
      </c>
      <c r="H65" s="2">
        <f t="shared" si="3"/>
        <v>11086.5</v>
      </c>
      <c r="I65" s="2"/>
      <c r="J65" s="2"/>
      <c r="K65" s="2"/>
      <c r="L65" s="2">
        <f t="shared" si="4"/>
        <v>9859.75</v>
      </c>
      <c r="M65" s="3">
        <f t="shared" si="5"/>
        <v>-0.62209995182433631</v>
      </c>
    </row>
  </sheetData>
  <conditionalFormatting sqref="M2:M65">
    <cfRule type="cellIs" dxfId="0" priority="1" stopIfTrue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Samrat Kar</dc:creator>
  <cp:lastModifiedBy>Samrat Kar</cp:lastModifiedBy>
  <dcterms:created xsi:type="dcterms:W3CDTF">2015-06-05T18:17:20Z</dcterms:created>
  <dcterms:modified xsi:type="dcterms:W3CDTF">2026-10-04T07:18:50Z</dcterms:modified>
</cp:coreProperties>
</file>