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1_AB6FA5D18765FD824D04D7B47CF3058D6087C900" xr6:coauthVersionLast="47" xr6:coauthVersionMax="47" xr10:uidLastSave="{00000000-0000-0000-0000-000000000000}"/>
  <bookViews>
    <workbookView xWindow="-120" yWindow="-120" windowWidth="29040" windowHeight="15720" tabRatio="954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r:id="rId8"/>
    <sheet name="July2026-COLLECTION" sheetId="9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67" i="27" l="1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S15" i="26"/>
  <c r="Q15" i="26"/>
  <c r="P15" i="26"/>
  <c r="O15" i="26"/>
  <c r="N15" i="26"/>
  <c r="M15" i="26"/>
  <c r="L15" i="26"/>
  <c r="J15" i="26"/>
  <c r="I15" i="26"/>
  <c r="H15" i="26"/>
  <c r="G15" i="26"/>
  <c r="F15" i="26"/>
  <c r="E15" i="26"/>
  <c r="D15" i="26"/>
  <c r="C15" i="26"/>
  <c r="B15" i="26"/>
  <c r="U14" i="26"/>
  <c r="T14" i="26"/>
  <c r="V14" i="26" s="1"/>
  <c r="X13" i="26"/>
  <c r="U13" i="26"/>
  <c r="T13" i="26"/>
  <c r="V13" i="26" s="1"/>
  <c r="U12" i="26"/>
  <c r="T12" i="26"/>
  <c r="X11" i="26"/>
  <c r="U11" i="26"/>
  <c r="T11" i="26"/>
  <c r="V11" i="26" s="1"/>
  <c r="X10" i="26"/>
  <c r="U10" i="26"/>
  <c r="T10" i="26"/>
  <c r="V10" i="26" s="1"/>
  <c r="U9" i="26"/>
  <c r="T9" i="26"/>
  <c r="U8" i="26"/>
  <c r="T8" i="26"/>
  <c r="V8" i="26" s="1"/>
  <c r="X7" i="26"/>
  <c r="U7" i="26"/>
  <c r="T7" i="26"/>
  <c r="V7" i="26" s="1"/>
  <c r="U6" i="26"/>
  <c r="T6" i="26"/>
  <c r="V6" i="26" s="1"/>
  <c r="R6" i="26"/>
  <c r="U5" i="26"/>
  <c r="T5" i="26"/>
  <c r="J5" i="26"/>
  <c r="U4" i="26"/>
  <c r="T4" i="26"/>
  <c r="Q4" i="26"/>
  <c r="K4" i="26"/>
  <c r="K15" i="26" s="1"/>
  <c r="U3" i="26"/>
  <c r="T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K66" i="25" s="1"/>
  <c r="B2" i="25"/>
  <c r="O70" i="24"/>
  <c r="N70" i="24"/>
  <c r="M70" i="24"/>
  <c r="L70" i="24"/>
  <c r="H70" i="24"/>
  <c r="C70" i="24"/>
  <c r="F70" i="24" s="1"/>
  <c r="D69" i="24"/>
  <c r="E69" i="24" s="1"/>
  <c r="B69" i="24"/>
  <c r="K68" i="24"/>
  <c r="E68" i="24"/>
  <c r="D68" i="24"/>
  <c r="B68" i="24"/>
  <c r="F67" i="24"/>
  <c r="G67" i="24" s="1"/>
  <c r="D67" i="24"/>
  <c r="E67" i="24" s="1"/>
  <c r="B67" i="24"/>
  <c r="E66" i="24"/>
  <c r="D66" i="24"/>
  <c r="B66" i="24"/>
  <c r="E65" i="24"/>
  <c r="D65" i="24"/>
  <c r="B65" i="24"/>
  <c r="F64" i="24"/>
  <c r="G64" i="24" s="1"/>
  <c r="D64" i="24"/>
  <c r="E64" i="24" s="1"/>
  <c r="B64" i="24"/>
  <c r="F63" i="24"/>
  <c r="G63" i="24" s="1"/>
  <c r="D63" i="24"/>
  <c r="E63" i="24" s="1"/>
  <c r="B63" i="24"/>
  <c r="E62" i="24"/>
  <c r="D62" i="24"/>
  <c r="B62" i="24"/>
  <c r="G61" i="24"/>
  <c r="F61" i="24"/>
  <c r="E61" i="24"/>
  <c r="D61" i="24"/>
  <c r="B61" i="24"/>
  <c r="D60" i="24"/>
  <c r="E60" i="24" s="1"/>
  <c r="B60" i="24"/>
  <c r="F59" i="24"/>
  <c r="G59" i="24" s="1"/>
  <c r="D59" i="24"/>
  <c r="E59" i="24" s="1"/>
  <c r="B59" i="24"/>
  <c r="F58" i="24"/>
  <c r="G58" i="24" s="1"/>
  <c r="E58" i="24"/>
  <c r="D58" i="24"/>
  <c r="B58" i="24"/>
  <c r="D57" i="24"/>
  <c r="E57" i="24" s="1"/>
  <c r="B57" i="24"/>
  <c r="K56" i="24"/>
  <c r="F56" i="24"/>
  <c r="G56" i="24" s="1"/>
  <c r="D56" i="24"/>
  <c r="E56" i="24" s="1"/>
  <c r="B56" i="24"/>
  <c r="F55" i="24"/>
  <c r="G55" i="24" s="1"/>
  <c r="D55" i="24"/>
  <c r="E55" i="24" s="1"/>
  <c r="B55" i="24"/>
  <c r="K54" i="24"/>
  <c r="D54" i="24"/>
  <c r="E54" i="24" s="1"/>
  <c r="B54" i="24"/>
  <c r="F53" i="24"/>
  <c r="G53" i="24" s="1"/>
  <c r="D53" i="24"/>
  <c r="E53" i="24" s="1"/>
  <c r="B53" i="24"/>
  <c r="F52" i="24"/>
  <c r="D52" i="24"/>
  <c r="E52" i="24" s="1"/>
  <c r="B52" i="24"/>
  <c r="K51" i="24"/>
  <c r="F51" i="24"/>
  <c r="G51" i="24" s="1"/>
  <c r="D51" i="24"/>
  <c r="E51" i="24" s="1"/>
  <c r="B51" i="24"/>
  <c r="F50" i="24"/>
  <c r="G50" i="24" s="1"/>
  <c r="D50" i="24"/>
  <c r="E50" i="24" s="1"/>
  <c r="B50" i="24"/>
  <c r="F49" i="24"/>
  <c r="G49" i="24" s="1"/>
  <c r="D49" i="24"/>
  <c r="E49" i="24" s="1"/>
  <c r="B49" i="24"/>
  <c r="F48" i="24"/>
  <c r="G48" i="24" s="1"/>
  <c r="D48" i="24"/>
  <c r="E48" i="24" s="1"/>
  <c r="B48" i="24"/>
  <c r="F47" i="24"/>
  <c r="G47" i="24" s="1"/>
  <c r="D47" i="24"/>
  <c r="E47" i="24" s="1"/>
  <c r="B47" i="24"/>
  <c r="F46" i="24"/>
  <c r="G46" i="24" s="1"/>
  <c r="D46" i="24"/>
  <c r="E46" i="24" s="1"/>
  <c r="B46" i="24"/>
  <c r="G45" i="24"/>
  <c r="F45" i="24"/>
  <c r="D45" i="24"/>
  <c r="E45" i="24" s="1"/>
  <c r="B45" i="24"/>
  <c r="F44" i="24"/>
  <c r="G44" i="24" s="1"/>
  <c r="D44" i="24"/>
  <c r="E44" i="24" s="1"/>
  <c r="B44" i="24"/>
  <c r="F43" i="24"/>
  <c r="G43" i="24" s="1"/>
  <c r="D43" i="24"/>
  <c r="E43" i="24" s="1"/>
  <c r="B43" i="24"/>
  <c r="K42" i="24"/>
  <c r="F42" i="24"/>
  <c r="G42" i="24" s="1"/>
  <c r="D42" i="24"/>
  <c r="E42" i="24" s="1"/>
  <c r="B42" i="24"/>
  <c r="F41" i="24"/>
  <c r="G41" i="24" s="1"/>
  <c r="D41" i="24"/>
  <c r="E41" i="24" s="1"/>
  <c r="B41" i="24"/>
  <c r="K40" i="24"/>
  <c r="F40" i="24"/>
  <c r="D40" i="24"/>
  <c r="E40" i="24" s="1"/>
  <c r="B40" i="24"/>
  <c r="K39" i="24"/>
  <c r="F39" i="24"/>
  <c r="G39" i="24" s="1"/>
  <c r="D39" i="24"/>
  <c r="E39" i="24" s="1"/>
  <c r="B39" i="24"/>
  <c r="G38" i="24"/>
  <c r="F38" i="24"/>
  <c r="D38" i="24"/>
  <c r="E38" i="24" s="1"/>
  <c r="B38" i="24"/>
  <c r="K37" i="24"/>
  <c r="F37" i="24"/>
  <c r="G37" i="24" s="1"/>
  <c r="D37" i="24"/>
  <c r="E37" i="24" s="1"/>
  <c r="B37" i="24"/>
  <c r="K36" i="24"/>
  <c r="F36" i="24"/>
  <c r="G36" i="24" s="1"/>
  <c r="D36" i="24"/>
  <c r="E36" i="24" s="1"/>
  <c r="B36" i="24"/>
  <c r="G35" i="24"/>
  <c r="F35" i="24"/>
  <c r="D35" i="24"/>
  <c r="E35" i="24" s="1"/>
  <c r="B35" i="24"/>
  <c r="F34" i="24"/>
  <c r="G34" i="24" s="1"/>
  <c r="D34" i="24"/>
  <c r="E34" i="24" s="1"/>
  <c r="B34" i="24"/>
  <c r="K33" i="24"/>
  <c r="E33" i="24"/>
  <c r="D33" i="24"/>
  <c r="B33" i="24"/>
  <c r="F32" i="24"/>
  <c r="G32" i="24" s="1"/>
  <c r="E32" i="24"/>
  <c r="D32" i="24"/>
  <c r="B32" i="24"/>
  <c r="F31" i="24"/>
  <c r="G31" i="24" s="1"/>
  <c r="D31" i="24"/>
  <c r="E31" i="24" s="1"/>
  <c r="B31" i="24"/>
  <c r="F30" i="24"/>
  <c r="G30" i="24" s="1"/>
  <c r="D30" i="24"/>
  <c r="E30" i="24" s="1"/>
  <c r="B30" i="24"/>
  <c r="F29" i="24"/>
  <c r="G29" i="24" s="1"/>
  <c r="D29" i="24"/>
  <c r="E29" i="24" s="1"/>
  <c r="B29" i="24"/>
  <c r="F28" i="24"/>
  <c r="D28" i="24"/>
  <c r="E28" i="24" s="1"/>
  <c r="B28" i="24"/>
  <c r="K27" i="24"/>
  <c r="F27" i="24"/>
  <c r="D27" i="24"/>
  <c r="E27" i="24" s="1"/>
  <c r="B27" i="24"/>
  <c r="K26" i="24"/>
  <c r="F26" i="24"/>
  <c r="G26" i="24" s="1"/>
  <c r="E26" i="24"/>
  <c r="D26" i="24"/>
  <c r="B26" i="24"/>
  <c r="F25" i="24"/>
  <c r="G25" i="24" s="1"/>
  <c r="D25" i="24"/>
  <c r="E25" i="24" s="1"/>
  <c r="B25" i="24"/>
  <c r="F24" i="24"/>
  <c r="D24" i="24"/>
  <c r="E24" i="24" s="1"/>
  <c r="B24" i="24"/>
  <c r="K23" i="24"/>
  <c r="F23" i="24"/>
  <c r="G23" i="24" s="1"/>
  <c r="D23" i="24"/>
  <c r="E23" i="24" s="1"/>
  <c r="B23" i="24"/>
  <c r="F22" i="24"/>
  <c r="G22" i="24" s="1"/>
  <c r="D22" i="24"/>
  <c r="E22" i="24" s="1"/>
  <c r="B22" i="24"/>
  <c r="K21" i="24"/>
  <c r="F21" i="24"/>
  <c r="G21" i="24" s="1"/>
  <c r="E21" i="24"/>
  <c r="D21" i="24"/>
  <c r="B21" i="24"/>
  <c r="K20" i="24"/>
  <c r="F20" i="24"/>
  <c r="G20" i="24" s="1"/>
  <c r="D20" i="24"/>
  <c r="E20" i="24" s="1"/>
  <c r="B20" i="24"/>
  <c r="G19" i="24"/>
  <c r="F19" i="24"/>
  <c r="D19" i="24"/>
  <c r="E19" i="24" s="1"/>
  <c r="B19" i="24"/>
  <c r="F18" i="24"/>
  <c r="G18" i="24" s="1"/>
  <c r="D18" i="24"/>
  <c r="E18" i="24" s="1"/>
  <c r="B18" i="24"/>
  <c r="G17" i="24"/>
  <c r="F17" i="24"/>
  <c r="E17" i="24"/>
  <c r="D17" i="24"/>
  <c r="B17" i="24"/>
  <c r="G16" i="24"/>
  <c r="F16" i="24"/>
  <c r="E16" i="24"/>
  <c r="D16" i="24"/>
  <c r="B16" i="24"/>
  <c r="F15" i="24"/>
  <c r="D15" i="24"/>
  <c r="E15" i="24" s="1"/>
  <c r="B15" i="24"/>
  <c r="F14" i="24"/>
  <c r="G14" i="24" s="1"/>
  <c r="D14" i="24"/>
  <c r="E14" i="24" s="1"/>
  <c r="B14" i="24"/>
  <c r="F13" i="24"/>
  <c r="G13" i="24" s="1"/>
  <c r="E13" i="24"/>
  <c r="D13" i="24"/>
  <c r="B13" i="24"/>
  <c r="F12" i="24"/>
  <c r="G12" i="24" s="1"/>
  <c r="E12" i="24"/>
  <c r="D12" i="24"/>
  <c r="B12" i="24"/>
  <c r="T11" i="24"/>
  <c r="F11" i="24"/>
  <c r="E11" i="24"/>
  <c r="D11" i="24"/>
  <c r="B11" i="24"/>
  <c r="G10" i="24"/>
  <c r="F10" i="24"/>
  <c r="E10" i="24"/>
  <c r="D10" i="24"/>
  <c r="B10" i="24"/>
  <c r="K9" i="24"/>
  <c r="F9" i="24"/>
  <c r="G9" i="24" s="1"/>
  <c r="E9" i="24"/>
  <c r="D9" i="24"/>
  <c r="B9" i="24"/>
  <c r="G8" i="24"/>
  <c r="F8" i="24"/>
  <c r="D8" i="24"/>
  <c r="E8" i="24" s="1"/>
  <c r="E70" i="24" s="1"/>
  <c r="B8" i="24"/>
  <c r="T7" i="24"/>
  <c r="F7" i="24"/>
  <c r="G7" i="24" s="1"/>
  <c r="D7" i="24"/>
  <c r="E7" i="24" s="1"/>
  <c r="B7" i="24"/>
  <c r="K6" i="24"/>
  <c r="F6" i="24"/>
  <c r="E6" i="24"/>
  <c r="D6" i="24"/>
  <c r="B6" i="24"/>
  <c r="T5" i="24"/>
  <c r="G40" i="24" s="1"/>
  <c r="T4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B2" i="23"/>
  <c r="O70" i="22"/>
  <c r="N70" i="22"/>
  <c r="M70" i="22"/>
  <c r="L70" i="22"/>
  <c r="H70" i="22"/>
  <c r="F70" i="22"/>
  <c r="C70" i="22"/>
  <c r="F9" i="22" s="1"/>
  <c r="G9" i="22" s="1"/>
  <c r="D69" i="22"/>
  <c r="E69" i="22" s="1"/>
  <c r="B69" i="22"/>
  <c r="I68" i="22"/>
  <c r="E68" i="22"/>
  <c r="D68" i="22"/>
  <c r="B68" i="22"/>
  <c r="F67" i="22"/>
  <c r="G67" i="22" s="1"/>
  <c r="D67" i="22"/>
  <c r="E67" i="22" s="1"/>
  <c r="B67" i="22"/>
  <c r="E66" i="22"/>
  <c r="D66" i="22"/>
  <c r="B66" i="22"/>
  <c r="I65" i="22"/>
  <c r="F65" i="22"/>
  <c r="G65" i="22" s="1"/>
  <c r="J65" i="22" s="1"/>
  <c r="D65" i="22"/>
  <c r="E65" i="22" s="1"/>
  <c r="B65" i="22"/>
  <c r="E64" i="22"/>
  <c r="D64" i="22"/>
  <c r="B64" i="22"/>
  <c r="E63" i="22"/>
  <c r="D63" i="22"/>
  <c r="B63" i="22"/>
  <c r="F62" i="22"/>
  <c r="G62" i="22" s="1"/>
  <c r="E62" i="22"/>
  <c r="D62" i="22"/>
  <c r="B62" i="22"/>
  <c r="D61" i="22"/>
  <c r="E61" i="22" s="1"/>
  <c r="B61" i="22"/>
  <c r="E60" i="22"/>
  <c r="D60" i="22"/>
  <c r="B60" i="22"/>
  <c r="I59" i="22"/>
  <c r="F59" i="22"/>
  <c r="G59" i="22" s="1"/>
  <c r="J59" i="22" s="1"/>
  <c r="E59" i="22"/>
  <c r="D59" i="22"/>
  <c r="B59" i="22"/>
  <c r="E58" i="22"/>
  <c r="D58" i="22"/>
  <c r="B58" i="22"/>
  <c r="D57" i="22"/>
  <c r="E57" i="22" s="1"/>
  <c r="B57" i="22"/>
  <c r="E56" i="22"/>
  <c r="D56" i="22"/>
  <c r="B56" i="22"/>
  <c r="E55" i="22"/>
  <c r="D55" i="22"/>
  <c r="B55" i="22"/>
  <c r="D54" i="22"/>
  <c r="E54" i="22" s="1"/>
  <c r="B54" i="22"/>
  <c r="D53" i="22"/>
  <c r="E53" i="22" s="1"/>
  <c r="B53" i="22"/>
  <c r="E52" i="22"/>
  <c r="D52" i="22"/>
  <c r="B52" i="22"/>
  <c r="I51" i="22"/>
  <c r="D51" i="22"/>
  <c r="E51" i="22" s="1"/>
  <c r="B51" i="22"/>
  <c r="E50" i="22"/>
  <c r="D50" i="22"/>
  <c r="B50" i="22"/>
  <c r="D49" i="22"/>
  <c r="E49" i="22" s="1"/>
  <c r="B49" i="22"/>
  <c r="I48" i="22"/>
  <c r="F48" i="22"/>
  <c r="G48" i="22" s="1"/>
  <c r="J48" i="22" s="1"/>
  <c r="E48" i="22"/>
  <c r="D48" i="22"/>
  <c r="B48" i="22"/>
  <c r="E47" i="22"/>
  <c r="D47" i="22"/>
  <c r="B47" i="22"/>
  <c r="E46" i="22"/>
  <c r="D46" i="22"/>
  <c r="B46" i="22"/>
  <c r="I45" i="22"/>
  <c r="F45" i="22"/>
  <c r="G45" i="22" s="1"/>
  <c r="J45" i="22" s="1"/>
  <c r="D45" i="22"/>
  <c r="E45" i="22" s="1"/>
  <c r="B45" i="22"/>
  <c r="E44" i="22"/>
  <c r="D44" i="22"/>
  <c r="B44" i="22"/>
  <c r="E43" i="22"/>
  <c r="D43" i="22"/>
  <c r="B43" i="22"/>
  <c r="F42" i="22"/>
  <c r="G42" i="22" s="1"/>
  <c r="D42" i="22"/>
  <c r="E42" i="22" s="1"/>
  <c r="B42" i="22"/>
  <c r="D41" i="22"/>
  <c r="E41" i="22" s="1"/>
  <c r="B41" i="22"/>
  <c r="I40" i="22"/>
  <c r="E40" i="22"/>
  <c r="D40" i="22"/>
  <c r="B40" i="22"/>
  <c r="F39" i="22"/>
  <c r="G39" i="22" s="1"/>
  <c r="E39" i="22"/>
  <c r="D39" i="22"/>
  <c r="B39" i="22"/>
  <c r="D38" i="22"/>
  <c r="E38" i="22" s="1"/>
  <c r="B38" i="22"/>
  <c r="I37" i="22"/>
  <c r="D37" i="22"/>
  <c r="E37" i="22" s="1"/>
  <c r="B37" i="22"/>
  <c r="F36" i="22"/>
  <c r="G36" i="22" s="1"/>
  <c r="E36" i="22"/>
  <c r="D36" i="22"/>
  <c r="B36" i="22"/>
  <c r="D35" i="22"/>
  <c r="E35" i="22" s="1"/>
  <c r="B35" i="22"/>
  <c r="G34" i="22"/>
  <c r="F34" i="22"/>
  <c r="D34" i="22"/>
  <c r="E34" i="22" s="1"/>
  <c r="B34" i="22"/>
  <c r="E33" i="22"/>
  <c r="D33" i="22"/>
  <c r="B33" i="22"/>
  <c r="E32" i="22"/>
  <c r="D32" i="22"/>
  <c r="B32" i="22"/>
  <c r="I31" i="22"/>
  <c r="D31" i="22"/>
  <c r="E31" i="22" s="1"/>
  <c r="B31" i="22"/>
  <c r="F30" i="22"/>
  <c r="G30" i="22" s="1"/>
  <c r="E30" i="22"/>
  <c r="D30" i="22"/>
  <c r="B30" i="22"/>
  <c r="E29" i="22"/>
  <c r="D29" i="22"/>
  <c r="B29" i="22"/>
  <c r="E28" i="22"/>
  <c r="D28" i="22"/>
  <c r="B28" i="22"/>
  <c r="I27" i="22"/>
  <c r="F27" i="22"/>
  <c r="G27" i="22" s="1"/>
  <c r="J27" i="22" s="1"/>
  <c r="D27" i="22"/>
  <c r="E27" i="22" s="1"/>
  <c r="B27" i="22"/>
  <c r="E26" i="22"/>
  <c r="D26" i="22"/>
  <c r="B26" i="22"/>
  <c r="E25" i="22"/>
  <c r="D25" i="22"/>
  <c r="B25" i="22"/>
  <c r="I24" i="22"/>
  <c r="E24" i="22"/>
  <c r="D24" i="22"/>
  <c r="B24" i="22"/>
  <c r="F23" i="22"/>
  <c r="G23" i="22" s="1"/>
  <c r="E23" i="22"/>
  <c r="D23" i="22"/>
  <c r="B23" i="22"/>
  <c r="E22" i="22"/>
  <c r="D22" i="22"/>
  <c r="B22" i="22"/>
  <c r="T21" i="22"/>
  <c r="E21" i="22"/>
  <c r="D21" i="22"/>
  <c r="B21" i="22"/>
  <c r="T20" i="22"/>
  <c r="I20" i="22"/>
  <c r="D20" i="22"/>
  <c r="E20" i="22" s="1"/>
  <c r="B20" i="22"/>
  <c r="T19" i="22"/>
  <c r="G19" i="22"/>
  <c r="F19" i="22"/>
  <c r="E19" i="22"/>
  <c r="D19" i="22"/>
  <c r="B19" i="22"/>
  <c r="T18" i="22"/>
  <c r="D18" i="22"/>
  <c r="E18" i="22" s="1"/>
  <c r="B18" i="22"/>
  <c r="E17" i="22"/>
  <c r="D17" i="22"/>
  <c r="B17" i="22"/>
  <c r="I16" i="22"/>
  <c r="D16" i="22"/>
  <c r="E16" i="22" s="1"/>
  <c r="B16" i="22"/>
  <c r="F15" i="22"/>
  <c r="G15" i="22" s="1"/>
  <c r="D15" i="22"/>
  <c r="E15" i="22" s="1"/>
  <c r="B15" i="22"/>
  <c r="F14" i="22"/>
  <c r="G14" i="22" s="1"/>
  <c r="D14" i="22"/>
  <c r="E14" i="22" s="1"/>
  <c r="B14" i="22"/>
  <c r="D13" i="22"/>
  <c r="E13" i="22" s="1"/>
  <c r="B13" i="22"/>
  <c r="I12" i="22"/>
  <c r="D12" i="22"/>
  <c r="E12" i="22" s="1"/>
  <c r="B12" i="22"/>
  <c r="I11" i="22"/>
  <c r="E11" i="22"/>
  <c r="D11" i="22"/>
  <c r="B11" i="22"/>
  <c r="F10" i="22"/>
  <c r="G10" i="22" s="1"/>
  <c r="D10" i="22"/>
  <c r="E10" i="22" s="1"/>
  <c r="B10" i="22"/>
  <c r="D9" i="22"/>
  <c r="E9" i="22" s="1"/>
  <c r="B9" i="22"/>
  <c r="T8" i="22"/>
  <c r="T9" i="22" s="1"/>
  <c r="D8" i="22"/>
  <c r="B8" i="22"/>
  <c r="T7" i="22"/>
  <c r="E7" i="22"/>
  <c r="D7" i="22"/>
  <c r="B7" i="22"/>
  <c r="I6" i="22"/>
  <c r="F6" i="22"/>
  <c r="G6" i="22" s="1"/>
  <c r="E6" i="22"/>
  <c r="D6" i="22"/>
  <c r="B6" i="22"/>
  <c r="T5" i="22"/>
  <c r="I4" i="22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K66" i="21" s="1"/>
  <c r="B4" i="21"/>
  <c r="K3" i="21"/>
  <c r="B3" i="21"/>
  <c r="K2" i="21"/>
  <c r="B2" i="21"/>
  <c r="O70" i="20"/>
  <c r="N70" i="20"/>
  <c r="M70" i="20"/>
  <c r="L70" i="20"/>
  <c r="H70" i="20"/>
  <c r="F70" i="20"/>
  <c r="C70" i="20"/>
  <c r="F12" i="20" s="1"/>
  <c r="D69" i="20"/>
  <c r="E69" i="20" s="1"/>
  <c r="B69" i="20"/>
  <c r="E68" i="20"/>
  <c r="D68" i="20"/>
  <c r="B68" i="20"/>
  <c r="F67" i="20"/>
  <c r="G67" i="20" s="1"/>
  <c r="J67" i="20" s="1"/>
  <c r="D67" i="20"/>
  <c r="E67" i="20" s="1"/>
  <c r="B67" i="20"/>
  <c r="E66" i="20"/>
  <c r="D66" i="20"/>
  <c r="B66" i="20"/>
  <c r="F65" i="20"/>
  <c r="D65" i="20"/>
  <c r="E65" i="20" s="1"/>
  <c r="B65" i="20"/>
  <c r="E64" i="20"/>
  <c r="D64" i="20"/>
  <c r="B64" i="20"/>
  <c r="I63" i="20"/>
  <c r="F63" i="20"/>
  <c r="D63" i="20"/>
  <c r="E63" i="20" s="1"/>
  <c r="B63" i="20"/>
  <c r="E62" i="20"/>
  <c r="D62" i="20"/>
  <c r="B62" i="20"/>
  <c r="D61" i="20"/>
  <c r="E61" i="20" s="1"/>
  <c r="B61" i="20"/>
  <c r="E60" i="20"/>
  <c r="D60" i="20"/>
  <c r="B60" i="20"/>
  <c r="F59" i="20"/>
  <c r="D59" i="20"/>
  <c r="E59" i="20" s="1"/>
  <c r="B59" i="20"/>
  <c r="F58" i="20"/>
  <c r="G58" i="20" s="1"/>
  <c r="E58" i="20"/>
  <c r="D58" i="20"/>
  <c r="B58" i="20"/>
  <c r="D57" i="20"/>
  <c r="E57" i="20" s="1"/>
  <c r="B57" i="20"/>
  <c r="E56" i="20"/>
  <c r="D56" i="20"/>
  <c r="B56" i="20"/>
  <c r="F55" i="20"/>
  <c r="G55" i="20" s="1"/>
  <c r="D55" i="20"/>
  <c r="E55" i="20" s="1"/>
  <c r="B55" i="20"/>
  <c r="E54" i="20"/>
  <c r="D54" i="20"/>
  <c r="B54" i="20"/>
  <c r="F53" i="20"/>
  <c r="G53" i="20" s="1"/>
  <c r="D53" i="20"/>
  <c r="E53" i="20" s="1"/>
  <c r="B53" i="20"/>
  <c r="E52" i="20"/>
  <c r="D52" i="20"/>
  <c r="B52" i="20"/>
  <c r="I51" i="20"/>
  <c r="F51" i="20"/>
  <c r="D51" i="20"/>
  <c r="E51" i="20" s="1"/>
  <c r="B51" i="20"/>
  <c r="E50" i="20"/>
  <c r="D50" i="20"/>
  <c r="B50" i="20"/>
  <c r="D49" i="20"/>
  <c r="E49" i="20" s="1"/>
  <c r="B49" i="20"/>
  <c r="D48" i="20"/>
  <c r="E48" i="20" s="1"/>
  <c r="B48" i="20"/>
  <c r="F47" i="20"/>
  <c r="D47" i="20"/>
  <c r="E47" i="20" s="1"/>
  <c r="B47" i="20"/>
  <c r="G46" i="20"/>
  <c r="F46" i="20"/>
  <c r="E46" i="20"/>
  <c r="D46" i="20"/>
  <c r="B46" i="20"/>
  <c r="D45" i="20"/>
  <c r="E45" i="20" s="1"/>
  <c r="B45" i="20"/>
  <c r="E44" i="20"/>
  <c r="D44" i="20"/>
  <c r="B44" i="20"/>
  <c r="F43" i="20"/>
  <c r="G43" i="20" s="1"/>
  <c r="D43" i="20"/>
  <c r="E43" i="20" s="1"/>
  <c r="B43" i="20"/>
  <c r="E42" i="20"/>
  <c r="D42" i="20"/>
  <c r="B42" i="20"/>
  <c r="G41" i="20"/>
  <c r="F41" i="20"/>
  <c r="D41" i="20"/>
  <c r="E41" i="20" s="1"/>
  <c r="B41" i="20"/>
  <c r="E40" i="20"/>
  <c r="D40" i="20"/>
  <c r="B40" i="20"/>
  <c r="I39" i="20"/>
  <c r="F39" i="20"/>
  <c r="G39" i="20" s="1"/>
  <c r="J39" i="20" s="1"/>
  <c r="D39" i="20"/>
  <c r="E39" i="20" s="1"/>
  <c r="B39" i="20"/>
  <c r="E38" i="20"/>
  <c r="D38" i="20"/>
  <c r="B38" i="20"/>
  <c r="D37" i="20"/>
  <c r="E37" i="20" s="1"/>
  <c r="B37" i="20"/>
  <c r="D36" i="20"/>
  <c r="E36" i="20" s="1"/>
  <c r="B36" i="20"/>
  <c r="F35" i="20"/>
  <c r="D35" i="20"/>
  <c r="E35" i="20" s="1"/>
  <c r="B35" i="20"/>
  <c r="G34" i="20"/>
  <c r="F34" i="20"/>
  <c r="E34" i="20"/>
  <c r="D34" i="20"/>
  <c r="B34" i="20"/>
  <c r="F33" i="20"/>
  <c r="D33" i="20"/>
  <c r="E33" i="20" s="1"/>
  <c r="B33" i="20"/>
  <c r="E32" i="20"/>
  <c r="D32" i="20"/>
  <c r="B32" i="20"/>
  <c r="F31" i="20"/>
  <c r="G31" i="20" s="1"/>
  <c r="E31" i="20"/>
  <c r="D31" i="20"/>
  <c r="B31" i="20"/>
  <c r="F30" i="20"/>
  <c r="G30" i="20" s="1"/>
  <c r="E30" i="20"/>
  <c r="D30" i="20"/>
  <c r="B30" i="20"/>
  <c r="D29" i="20"/>
  <c r="E29" i="20" s="1"/>
  <c r="B29" i="20"/>
  <c r="I28" i="20"/>
  <c r="F28" i="20"/>
  <c r="D28" i="20"/>
  <c r="E28" i="20" s="1"/>
  <c r="B28" i="20"/>
  <c r="E27" i="20"/>
  <c r="D27" i="20"/>
  <c r="B27" i="20"/>
  <c r="E26" i="20"/>
  <c r="D26" i="20"/>
  <c r="B26" i="20"/>
  <c r="I25" i="20"/>
  <c r="F25" i="20"/>
  <c r="G25" i="20" s="1"/>
  <c r="D25" i="20"/>
  <c r="E25" i="20" s="1"/>
  <c r="B25" i="20"/>
  <c r="E24" i="20"/>
  <c r="D24" i="20"/>
  <c r="B24" i="20"/>
  <c r="I23" i="20"/>
  <c r="F23" i="20"/>
  <c r="G23" i="20" s="1"/>
  <c r="D23" i="20"/>
  <c r="E23" i="20" s="1"/>
  <c r="B23" i="20"/>
  <c r="F22" i="20"/>
  <c r="E22" i="20"/>
  <c r="D22" i="20"/>
  <c r="B22" i="20"/>
  <c r="D21" i="20"/>
  <c r="E21" i="20" s="1"/>
  <c r="B21" i="20"/>
  <c r="I20" i="20"/>
  <c r="E20" i="20"/>
  <c r="D20" i="20"/>
  <c r="B20" i="20"/>
  <c r="I19" i="20"/>
  <c r="F19" i="20"/>
  <c r="D19" i="20"/>
  <c r="E19" i="20" s="1"/>
  <c r="B19" i="20"/>
  <c r="T18" i="20"/>
  <c r="T19" i="20" s="1"/>
  <c r="F18" i="20"/>
  <c r="D18" i="20"/>
  <c r="E18" i="20" s="1"/>
  <c r="B18" i="20"/>
  <c r="F17" i="20"/>
  <c r="G17" i="20" s="1"/>
  <c r="E17" i="20"/>
  <c r="D17" i="20"/>
  <c r="B17" i="20"/>
  <c r="G16" i="20"/>
  <c r="F16" i="20"/>
  <c r="D16" i="20"/>
  <c r="E16" i="20" s="1"/>
  <c r="B16" i="20"/>
  <c r="F15" i="20"/>
  <c r="D15" i="20"/>
  <c r="E15" i="20" s="1"/>
  <c r="B15" i="20"/>
  <c r="I14" i="20"/>
  <c r="E14" i="20"/>
  <c r="D14" i="20"/>
  <c r="B14" i="20"/>
  <c r="I13" i="20"/>
  <c r="F13" i="20"/>
  <c r="D13" i="20"/>
  <c r="E13" i="20" s="1"/>
  <c r="B13" i="20"/>
  <c r="E12" i="20"/>
  <c r="D12" i="20"/>
  <c r="B12" i="20"/>
  <c r="J11" i="20"/>
  <c r="I11" i="20"/>
  <c r="F11" i="20"/>
  <c r="G11" i="20" s="1"/>
  <c r="E11" i="20"/>
  <c r="D11" i="20"/>
  <c r="B11" i="20"/>
  <c r="I10" i="20"/>
  <c r="F10" i="20"/>
  <c r="G10" i="20" s="1"/>
  <c r="E10" i="20"/>
  <c r="D10" i="20"/>
  <c r="B10" i="20"/>
  <c r="T9" i="20"/>
  <c r="J23" i="20" s="1"/>
  <c r="F9" i="20"/>
  <c r="D9" i="20"/>
  <c r="E9" i="20" s="1"/>
  <c r="B9" i="20"/>
  <c r="T8" i="20"/>
  <c r="D8" i="20"/>
  <c r="E8" i="20" s="1"/>
  <c r="B8" i="20"/>
  <c r="T7" i="20"/>
  <c r="I67" i="20" s="1"/>
  <c r="I7" i="20"/>
  <c r="F7" i="20"/>
  <c r="G7" i="20" s="1"/>
  <c r="E7" i="20"/>
  <c r="D7" i="20"/>
  <c r="B7" i="20"/>
  <c r="I6" i="20"/>
  <c r="F6" i="20"/>
  <c r="E6" i="20"/>
  <c r="D6" i="20"/>
  <c r="B6" i="20"/>
  <c r="T5" i="20"/>
  <c r="G12" i="20" s="1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F70" i="18"/>
  <c r="C70" i="18"/>
  <c r="F69" i="18"/>
  <c r="G69" i="18" s="1"/>
  <c r="E69" i="18"/>
  <c r="D69" i="18"/>
  <c r="B69" i="18"/>
  <c r="F68" i="18"/>
  <c r="G68" i="18" s="1"/>
  <c r="D68" i="18"/>
  <c r="E68" i="18" s="1"/>
  <c r="B68" i="18"/>
  <c r="K67" i="18"/>
  <c r="G67" i="18"/>
  <c r="F67" i="18"/>
  <c r="D67" i="18"/>
  <c r="E67" i="18" s="1"/>
  <c r="B67" i="18"/>
  <c r="F66" i="18"/>
  <c r="D66" i="18"/>
  <c r="E66" i="18" s="1"/>
  <c r="B66" i="18"/>
  <c r="K65" i="18"/>
  <c r="F65" i="18"/>
  <c r="G65" i="18" s="1"/>
  <c r="D65" i="18"/>
  <c r="E65" i="18" s="1"/>
  <c r="B65" i="18"/>
  <c r="G64" i="18"/>
  <c r="F64" i="18"/>
  <c r="D64" i="18"/>
  <c r="E64" i="18" s="1"/>
  <c r="B64" i="18"/>
  <c r="F63" i="18"/>
  <c r="E63" i="18"/>
  <c r="D63" i="18"/>
  <c r="B63" i="18"/>
  <c r="K62" i="18"/>
  <c r="I62" i="18"/>
  <c r="F62" i="18"/>
  <c r="D62" i="18"/>
  <c r="E62" i="18" s="1"/>
  <c r="B62" i="18"/>
  <c r="F61" i="18"/>
  <c r="D61" i="18"/>
  <c r="E61" i="18" s="1"/>
  <c r="B61" i="18"/>
  <c r="K60" i="18"/>
  <c r="F60" i="18"/>
  <c r="D60" i="18"/>
  <c r="E60" i="18" s="1"/>
  <c r="B60" i="18"/>
  <c r="F59" i="18"/>
  <c r="G59" i="18" s="1"/>
  <c r="E59" i="18"/>
  <c r="D59" i="18"/>
  <c r="B59" i="18"/>
  <c r="F58" i="18"/>
  <c r="D58" i="18"/>
  <c r="E58" i="18" s="1"/>
  <c r="B58" i="18"/>
  <c r="K57" i="18"/>
  <c r="F57" i="18"/>
  <c r="G57" i="18" s="1"/>
  <c r="E57" i="18"/>
  <c r="D57" i="18"/>
  <c r="B57" i="18"/>
  <c r="F56" i="18"/>
  <c r="G56" i="18" s="1"/>
  <c r="D56" i="18"/>
  <c r="E56" i="18" s="1"/>
  <c r="B56" i="18"/>
  <c r="F55" i="18"/>
  <c r="G55" i="18" s="1"/>
  <c r="E55" i="18"/>
  <c r="D55" i="18"/>
  <c r="B55" i="18"/>
  <c r="K54" i="18"/>
  <c r="I54" i="18"/>
  <c r="F54" i="18"/>
  <c r="D54" i="18"/>
  <c r="E54" i="18" s="1"/>
  <c r="B54" i="18"/>
  <c r="F53" i="18"/>
  <c r="G53" i="18" s="1"/>
  <c r="E53" i="18"/>
  <c r="D53" i="18"/>
  <c r="B53" i="18"/>
  <c r="K52" i="18"/>
  <c r="F52" i="18"/>
  <c r="D52" i="18"/>
  <c r="E52" i="18" s="1"/>
  <c r="B52" i="18"/>
  <c r="G51" i="18"/>
  <c r="F51" i="18"/>
  <c r="E51" i="18"/>
  <c r="D51" i="18"/>
  <c r="B51" i="18"/>
  <c r="F50" i="18"/>
  <c r="D50" i="18"/>
  <c r="E50" i="18" s="1"/>
  <c r="B50" i="18"/>
  <c r="K49" i="18"/>
  <c r="F49" i="18"/>
  <c r="G49" i="18" s="1"/>
  <c r="E49" i="18"/>
  <c r="D49" i="18"/>
  <c r="B49" i="18"/>
  <c r="F48" i="18"/>
  <c r="G48" i="18" s="1"/>
  <c r="D48" i="18"/>
  <c r="E48" i="18" s="1"/>
  <c r="B48" i="18"/>
  <c r="F47" i="18"/>
  <c r="G47" i="18" s="1"/>
  <c r="E47" i="18"/>
  <c r="D47" i="18"/>
  <c r="B47" i="18"/>
  <c r="K46" i="18"/>
  <c r="I46" i="18"/>
  <c r="F46" i="18"/>
  <c r="D46" i="18"/>
  <c r="E46" i="18" s="1"/>
  <c r="B46" i="18"/>
  <c r="F45" i="18"/>
  <c r="G45" i="18" s="1"/>
  <c r="D45" i="18"/>
  <c r="E45" i="18" s="1"/>
  <c r="B45" i="18"/>
  <c r="K44" i="18"/>
  <c r="I44" i="18"/>
  <c r="F44" i="18"/>
  <c r="D44" i="18"/>
  <c r="E44" i="18" s="1"/>
  <c r="B44" i="18"/>
  <c r="F43" i="18"/>
  <c r="G43" i="18" s="1"/>
  <c r="E43" i="18"/>
  <c r="D43" i="18"/>
  <c r="B43" i="18"/>
  <c r="F42" i="18"/>
  <c r="D42" i="18"/>
  <c r="E42" i="18" s="1"/>
  <c r="B42" i="18"/>
  <c r="K41" i="18"/>
  <c r="F41" i="18"/>
  <c r="G41" i="18" s="1"/>
  <c r="E41" i="18"/>
  <c r="D41" i="18"/>
  <c r="B41" i="18"/>
  <c r="G40" i="18"/>
  <c r="F40" i="18"/>
  <c r="D40" i="18"/>
  <c r="E40" i="18" s="1"/>
  <c r="B40" i="18"/>
  <c r="F39" i="18"/>
  <c r="G39" i="18" s="1"/>
  <c r="E39" i="18"/>
  <c r="D39" i="18"/>
  <c r="B39" i="18"/>
  <c r="K38" i="18"/>
  <c r="I38" i="18"/>
  <c r="F38" i="18"/>
  <c r="D38" i="18"/>
  <c r="E38" i="18" s="1"/>
  <c r="B38" i="18"/>
  <c r="F37" i="18"/>
  <c r="G37" i="18" s="1"/>
  <c r="E37" i="18"/>
  <c r="D37" i="18"/>
  <c r="B37" i="18"/>
  <c r="K36" i="18"/>
  <c r="I36" i="18"/>
  <c r="F36" i="18"/>
  <c r="D36" i="18"/>
  <c r="E36" i="18" s="1"/>
  <c r="B36" i="18"/>
  <c r="G35" i="18"/>
  <c r="F35" i="18"/>
  <c r="E35" i="18"/>
  <c r="D35" i="18"/>
  <c r="B35" i="18"/>
  <c r="F34" i="18"/>
  <c r="D34" i="18"/>
  <c r="E34" i="18" s="1"/>
  <c r="B34" i="18"/>
  <c r="K33" i="18"/>
  <c r="F33" i="18"/>
  <c r="G33" i="18" s="1"/>
  <c r="E33" i="18"/>
  <c r="D33" i="18"/>
  <c r="B33" i="18"/>
  <c r="I32" i="18"/>
  <c r="G32" i="18"/>
  <c r="F32" i="18"/>
  <c r="D32" i="18"/>
  <c r="E32" i="18" s="1"/>
  <c r="B32" i="18"/>
  <c r="F31" i="18"/>
  <c r="G31" i="18" s="1"/>
  <c r="E31" i="18"/>
  <c r="D31" i="18"/>
  <c r="B31" i="18"/>
  <c r="K30" i="18"/>
  <c r="I30" i="18"/>
  <c r="F30" i="18"/>
  <c r="D30" i="18"/>
  <c r="E30" i="18" s="1"/>
  <c r="B30" i="18"/>
  <c r="F29" i="18"/>
  <c r="G29" i="18" s="1"/>
  <c r="E29" i="18"/>
  <c r="D29" i="18"/>
  <c r="B29" i="18"/>
  <c r="K28" i="18"/>
  <c r="I28" i="18"/>
  <c r="F28" i="18"/>
  <c r="D28" i="18"/>
  <c r="E28" i="18" s="1"/>
  <c r="B28" i="18"/>
  <c r="G27" i="18"/>
  <c r="F27" i="18"/>
  <c r="E27" i="18"/>
  <c r="D27" i="18"/>
  <c r="B27" i="18"/>
  <c r="F26" i="18"/>
  <c r="D26" i="18"/>
  <c r="E26" i="18" s="1"/>
  <c r="B26" i="18"/>
  <c r="K25" i="18"/>
  <c r="F25" i="18"/>
  <c r="G25" i="18" s="1"/>
  <c r="E25" i="18"/>
  <c r="D25" i="18"/>
  <c r="B25" i="18"/>
  <c r="I24" i="18"/>
  <c r="G24" i="18"/>
  <c r="F24" i="18"/>
  <c r="D24" i="18"/>
  <c r="E24" i="18" s="1"/>
  <c r="B24" i="18"/>
  <c r="F23" i="18"/>
  <c r="G23" i="18" s="1"/>
  <c r="E23" i="18"/>
  <c r="D23" i="18"/>
  <c r="B23" i="18"/>
  <c r="K22" i="18"/>
  <c r="I22" i="18"/>
  <c r="F22" i="18"/>
  <c r="D22" i="18"/>
  <c r="E22" i="18" s="1"/>
  <c r="B22" i="18"/>
  <c r="F21" i="18"/>
  <c r="G21" i="18" s="1"/>
  <c r="D21" i="18"/>
  <c r="E21" i="18" s="1"/>
  <c r="B21" i="18"/>
  <c r="T20" i="18"/>
  <c r="K20" i="18"/>
  <c r="F20" i="18"/>
  <c r="D20" i="18"/>
  <c r="E20" i="18" s="1"/>
  <c r="B20" i="18"/>
  <c r="T19" i="18"/>
  <c r="I19" i="18"/>
  <c r="F19" i="18"/>
  <c r="G19" i="18" s="1"/>
  <c r="E19" i="18"/>
  <c r="D19" i="18"/>
  <c r="B19" i="18"/>
  <c r="T18" i="18"/>
  <c r="K18" i="18"/>
  <c r="I18" i="18"/>
  <c r="F18" i="18"/>
  <c r="G18" i="18" s="1"/>
  <c r="D18" i="18"/>
  <c r="E18" i="18" s="1"/>
  <c r="B18" i="18"/>
  <c r="I17" i="18"/>
  <c r="G17" i="18"/>
  <c r="F17" i="18"/>
  <c r="D17" i="18"/>
  <c r="E17" i="18" s="1"/>
  <c r="B17" i="18"/>
  <c r="F16" i="18"/>
  <c r="G16" i="18" s="1"/>
  <c r="D16" i="18"/>
  <c r="E16" i="18" s="1"/>
  <c r="B16" i="18"/>
  <c r="F15" i="18"/>
  <c r="G15" i="18" s="1"/>
  <c r="D15" i="18"/>
  <c r="E15" i="18" s="1"/>
  <c r="B15" i="18"/>
  <c r="K14" i="18"/>
  <c r="I14" i="18"/>
  <c r="F14" i="18"/>
  <c r="G14" i="18" s="1"/>
  <c r="D14" i="18"/>
  <c r="E14" i="18" s="1"/>
  <c r="B14" i="18"/>
  <c r="K13" i="18"/>
  <c r="I13" i="18"/>
  <c r="F13" i="18"/>
  <c r="D13" i="18"/>
  <c r="E13" i="18" s="1"/>
  <c r="B13" i="18"/>
  <c r="I12" i="18"/>
  <c r="G12" i="18"/>
  <c r="F12" i="18"/>
  <c r="E12" i="18"/>
  <c r="D12" i="18"/>
  <c r="B12" i="18"/>
  <c r="T11" i="18"/>
  <c r="K68" i="18" s="1"/>
  <c r="I11" i="18"/>
  <c r="F11" i="18"/>
  <c r="G11" i="18" s="1"/>
  <c r="D11" i="18"/>
  <c r="E11" i="18" s="1"/>
  <c r="B11" i="18"/>
  <c r="I10" i="18"/>
  <c r="F10" i="18"/>
  <c r="G10" i="18" s="1"/>
  <c r="E10" i="18"/>
  <c r="D10" i="18"/>
  <c r="B10" i="18"/>
  <c r="K9" i="18"/>
  <c r="I9" i="18"/>
  <c r="F9" i="18"/>
  <c r="G9" i="18" s="1"/>
  <c r="D9" i="18"/>
  <c r="E9" i="18" s="1"/>
  <c r="B9" i="18"/>
  <c r="K8" i="18"/>
  <c r="I8" i="18"/>
  <c r="F8" i="18"/>
  <c r="D8" i="18"/>
  <c r="E8" i="18" s="1"/>
  <c r="B8" i="18"/>
  <c r="T7" i="18"/>
  <c r="I66" i="18" s="1"/>
  <c r="I7" i="18"/>
  <c r="G7" i="18"/>
  <c r="F7" i="18"/>
  <c r="E7" i="18"/>
  <c r="D7" i="18"/>
  <c r="B7" i="18"/>
  <c r="I6" i="18"/>
  <c r="F6" i="18"/>
  <c r="G6" i="18" s="1"/>
  <c r="D6" i="18"/>
  <c r="B6" i="18"/>
  <c r="T5" i="18"/>
  <c r="G60" i="18" s="1"/>
  <c r="I5" i="18"/>
  <c r="T4" i="18"/>
  <c r="I4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K66" i="17" s="1"/>
  <c r="B2" i="17"/>
  <c r="O70" i="16"/>
  <c r="N70" i="16"/>
  <c r="M70" i="16"/>
  <c r="L70" i="16"/>
  <c r="H70" i="16"/>
  <c r="F70" i="16"/>
  <c r="C70" i="16"/>
  <c r="F14" i="16" s="1"/>
  <c r="F69" i="16"/>
  <c r="D69" i="16"/>
  <c r="E69" i="16" s="1"/>
  <c r="B69" i="16"/>
  <c r="E68" i="16"/>
  <c r="D68" i="16"/>
  <c r="B68" i="16"/>
  <c r="K67" i="16"/>
  <c r="F67" i="16"/>
  <c r="D67" i="16"/>
  <c r="E67" i="16" s="1"/>
  <c r="B67" i="16"/>
  <c r="I66" i="16"/>
  <c r="G66" i="16"/>
  <c r="F66" i="16"/>
  <c r="E66" i="16"/>
  <c r="D66" i="16"/>
  <c r="B66" i="16"/>
  <c r="F65" i="16"/>
  <c r="G65" i="16" s="1"/>
  <c r="E65" i="16"/>
  <c r="D65" i="16"/>
  <c r="B65" i="16"/>
  <c r="E64" i="16"/>
  <c r="D64" i="16"/>
  <c r="B64" i="16"/>
  <c r="K63" i="16"/>
  <c r="F63" i="16"/>
  <c r="G63" i="16" s="1"/>
  <c r="D63" i="16"/>
  <c r="E63" i="16" s="1"/>
  <c r="B63" i="16"/>
  <c r="I62" i="16"/>
  <c r="F62" i="16"/>
  <c r="E62" i="16"/>
  <c r="D62" i="16"/>
  <c r="B62" i="16"/>
  <c r="F61" i="16"/>
  <c r="D61" i="16"/>
  <c r="E61" i="16" s="1"/>
  <c r="B61" i="16"/>
  <c r="E60" i="16"/>
  <c r="D60" i="16"/>
  <c r="B60" i="16"/>
  <c r="K59" i="16"/>
  <c r="F59" i="16"/>
  <c r="D59" i="16"/>
  <c r="E59" i="16" s="1"/>
  <c r="B59" i="16"/>
  <c r="I58" i="16"/>
  <c r="F58" i="16"/>
  <c r="G58" i="16" s="1"/>
  <c r="E58" i="16"/>
  <c r="D58" i="16"/>
  <c r="B58" i="16"/>
  <c r="F57" i="16"/>
  <c r="D57" i="16"/>
  <c r="E57" i="16" s="1"/>
  <c r="B57" i="16"/>
  <c r="E56" i="16"/>
  <c r="D56" i="16"/>
  <c r="B56" i="16"/>
  <c r="K55" i="16"/>
  <c r="F55" i="16"/>
  <c r="D55" i="16"/>
  <c r="E55" i="16" s="1"/>
  <c r="B55" i="16"/>
  <c r="I54" i="16"/>
  <c r="G54" i="16"/>
  <c r="F54" i="16"/>
  <c r="E54" i="16"/>
  <c r="D54" i="16"/>
  <c r="B54" i="16"/>
  <c r="F53" i="16"/>
  <c r="G53" i="16" s="1"/>
  <c r="E53" i="16"/>
  <c r="D53" i="16"/>
  <c r="B53" i="16"/>
  <c r="E52" i="16"/>
  <c r="D52" i="16"/>
  <c r="B52" i="16"/>
  <c r="K51" i="16"/>
  <c r="F51" i="16"/>
  <c r="G51" i="16" s="1"/>
  <c r="D51" i="16"/>
  <c r="E51" i="16" s="1"/>
  <c r="B51" i="16"/>
  <c r="I50" i="16"/>
  <c r="F50" i="16"/>
  <c r="E50" i="16"/>
  <c r="D50" i="16"/>
  <c r="B50" i="16"/>
  <c r="F49" i="16"/>
  <c r="G49" i="16" s="1"/>
  <c r="D49" i="16"/>
  <c r="E49" i="16" s="1"/>
  <c r="B49" i="16"/>
  <c r="E48" i="16"/>
  <c r="D48" i="16"/>
  <c r="B48" i="16"/>
  <c r="K47" i="16"/>
  <c r="F47" i="16"/>
  <c r="G47" i="16" s="1"/>
  <c r="D47" i="16"/>
  <c r="E47" i="16" s="1"/>
  <c r="B47" i="16"/>
  <c r="I46" i="16"/>
  <c r="G46" i="16"/>
  <c r="F46" i="16"/>
  <c r="E46" i="16"/>
  <c r="D46" i="16"/>
  <c r="B46" i="16"/>
  <c r="F45" i="16"/>
  <c r="D45" i="16"/>
  <c r="E45" i="16" s="1"/>
  <c r="B45" i="16"/>
  <c r="E44" i="16"/>
  <c r="D44" i="16"/>
  <c r="B44" i="16"/>
  <c r="K43" i="16"/>
  <c r="F43" i="16"/>
  <c r="D43" i="16"/>
  <c r="E43" i="16" s="1"/>
  <c r="B43" i="16"/>
  <c r="I42" i="16"/>
  <c r="G42" i="16"/>
  <c r="J42" i="16" s="1"/>
  <c r="F42" i="16"/>
  <c r="E42" i="16"/>
  <c r="D42" i="16"/>
  <c r="B42" i="16"/>
  <c r="F41" i="16"/>
  <c r="E41" i="16"/>
  <c r="D41" i="16"/>
  <c r="B41" i="16"/>
  <c r="F40" i="16"/>
  <c r="G40" i="16" s="1"/>
  <c r="E40" i="16"/>
  <c r="D40" i="16"/>
  <c r="B40" i="16"/>
  <c r="K39" i="16"/>
  <c r="F39" i="16"/>
  <c r="D39" i="16"/>
  <c r="E39" i="16" s="1"/>
  <c r="B39" i="16"/>
  <c r="I38" i="16"/>
  <c r="G38" i="16"/>
  <c r="F38" i="16"/>
  <c r="E38" i="16"/>
  <c r="D38" i="16"/>
  <c r="B38" i="16"/>
  <c r="F37" i="16"/>
  <c r="G37" i="16" s="1"/>
  <c r="E37" i="16"/>
  <c r="D37" i="16"/>
  <c r="B37" i="16"/>
  <c r="F36" i="16"/>
  <c r="E36" i="16"/>
  <c r="D36" i="16"/>
  <c r="B36" i="16"/>
  <c r="K35" i="16"/>
  <c r="I35" i="16"/>
  <c r="F35" i="16"/>
  <c r="D35" i="16"/>
  <c r="E35" i="16" s="1"/>
  <c r="B35" i="16"/>
  <c r="I34" i="16"/>
  <c r="F34" i="16"/>
  <c r="G34" i="16" s="1"/>
  <c r="E34" i="16"/>
  <c r="D34" i="16"/>
  <c r="B34" i="16"/>
  <c r="F33" i="16"/>
  <c r="E33" i="16"/>
  <c r="D33" i="16"/>
  <c r="B33" i="16"/>
  <c r="F32" i="16"/>
  <c r="E32" i="16"/>
  <c r="D32" i="16"/>
  <c r="B32" i="16"/>
  <c r="K31" i="16"/>
  <c r="I31" i="16"/>
  <c r="F31" i="16"/>
  <c r="G31" i="16" s="1"/>
  <c r="D31" i="16"/>
  <c r="E31" i="16" s="1"/>
  <c r="B31" i="16"/>
  <c r="I30" i="16"/>
  <c r="F30" i="16"/>
  <c r="G30" i="16" s="1"/>
  <c r="E30" i="16"/>
  <c r="D30" i="16"/>
  <c r="B30" i="16"/>
  <c r="F29" i="16"/>
  <c r="G29" i="16" s="1"/>
  <c r="D29" i="16"/>
  <c r="E29" i="16" s="1"/>
  <c r="B29" i="16"/>
  <c r="F28" i="16"/>
  <c r="E28" i="16"/>
  <c r="D28" i="16"/>
  <c r="B28" i="16"/>
  <c r="K27" i="16"/>
  <c r="I27" i="16"/>
  <c r="F27" i="16"/>
  <c r="D27" i="16"/>
  <c r="E27" i="16" s="1"/>
  <c r="B27" i="16"/>
  <c r="I26" i="16"/>
  <c r="F26" i="16"/>
  <c r="G26" i="16" s="1"/>
  <c r="E26" i="16"/>
  <c r="D26" i="16"/>
  <c r="B26" i="16"/>
  <c r="F25" i="16"/>
  <c r="G25" i="16" s="1"/>
  <c r="E25" i="16"/>
  <c r="D25" i="16"/>
  <c r="B25" i="16"/>
  <c r="F24" i="16"/>
  <c r="E24" i="16"/>
  <c r="D24" i="16"/>
  <c r="B24" i="16"/>
  <c r="K23" i="16"/>
  <c r="I23" i="16"/>
  <c r="F23" i="16"/>
  <c r="G23" i="16" s="1"/>
  <c r="D23" i="16"/>
  <c r="E23" i="16" s="1"/>
  <c r="B23" i="16"/>
  <c r="I22" i="16"/>
  <c r="F22" i="16"/>
  <c r="E22" i="16"/>
  <c r="D22" i="16"/>
  <c r="B22" i="16"/>
  <c r="T21" i="16"/>
  <c r="K21" i="16"/>
  <c r="G21" i="16"/>
  <c r="F21" i="16"/>
  <c r="E21" i="16"/>
  <c r="D21" i="16"/>
  <c r="B21" i="16"/>
  <c r="I20" i="16"/>
  <c r="D20" i="16"/>
  <c r="E20" i="16" s="1"/>
  <c r="B20" i="16"/>
  <c r="T19" i="16"/>
  <c r="T20" i="16" s="1"/>
  <c r="F19" i="16"/>
  <c r="G19" i="16" s="1"/>
  <c r="E19" i="16"/>
  <c r="D19" i="16"/>
  <c r="B19" i="16"/>
  <c r="K18" i="16"/>
  <c r="I18" i="16"/>
  <c r="F18" i="16"/>
  <c r="D18" i="16"/>
  <c r="E18" i="16" s="1"/>
  <c r="B18" i="16"/>
  <c r="I17" i="16"/>
  <c r="F17" i="16"/>
  <c r="G17" i="16" s="1"/>
  <c r="E17" i="16"/>
  <c r="D17" i="16"/>
  <c r="B17" i="16"/>
  <c r="I16" i="16"/>
  <c r="F16" i="16"/>
  <c r="E16" i="16"/>
  <c r="D16" i="16"/>
  <c r="B16" i="16"/>
  <c r="F15" i="16"/>
  <c r="E15" i="16"/>
  <c r="D15" i="16"/>
  <c r="B15" i="16"/>
  <c r="K14" i="16"/>
  <c r="I14" i="16"/>
  <c r="G14" i="16"/>
  <c r="J14" i="16" s="1"/>
  <c r="R14" i="16" s="1"/>
  <c r="D14" i="16"/>
  <c r="E14" i="16" s="1"/>
  <c r="B14" i="16"/>
  <c r="K13" i="16"/>
  <c r="I13" i="16"/>
  <c r="D13" i="16"/>
  <c r="E13" i="16" s="1"/>
  <c r="B13" i="16"/>
  <c r="K12" i="16"/>
  <c r="F12" i="16"/>
  <c r="G12" i="16" s="1"/>
  <c r="E12" i="16"/>
  <c r="D12" i="16"/>
  <c r="B12" i="16"/>
  <c r="T11" i="16"/>
  <c r="K68" i="16" s="1"/>
  <c r="I11" i="16"/>
  <c r="E11" i="16"/>
  <c r="D11" i="16"/>
  <c r="B11" i="16"/>
  <c r="K10" i="16"/>
  <c r="I10" i="16"/>
  <c r="E10" i="16"/>
  <c r="D10" i="16"/>
  <c r="B10" i="16"/>
  <c r="T9" i="16"/>
  <c r="K9" i="16"/>
  <c r="I9" i="16"/>
  <c r="F9" i="16"/>
  <c r="D9" i="16"/>
  <c r="E9" i="16" s="1"/>
  <c r="B9" i="16"/>
  <c r="T8" i="16"/>
  <c r="K8" i="16"/>
  <c r="I8" i="16"/>
  <c r="D8" i="16"/>
  <c r="E8" i="16" s="1"/>
  <c r="B8" i="16"/>
  <c r="T7" i="16"/>
  <c r="I68" i="16" s="1"/>
  <c r="K7" i="16"/>
  <c r="I7" i="16"/>
  <c r="F7" i="16"/>
  <c r="G7" i="16" s="1"/>
  <c r="J7" i="16" s="1"/>
  <c r="R7" i="16" s="1"/>
  <c r="E7" i="16"/>
  <c r="D7" i="16"/>
  <c r="B7" i="16"/>
  <c r="I6" i="16"/>
  <c r="E6" i="16"/>
  <c r="D6" i="16"/>
  <c r="B6" i="16"/>
  <c r="T5" i="16"/>
  <c r="G62" i="16" s="1"/>
  <c r="I5" i="16"/>
  <c r="T4" i="16"/>
  <c r="I4" i="16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F70" i="14"/>
  <c r="C70" i="14"/>
  <c r="F10" i="14" s="1"/>
  <c r="I69" i="14"/>
  <c r="F69" i="14"/>
  <c r="G69" i="14" s="1"/>
  <c r="D69" i="14"/>
  <c r="E69" i="14" s="1"/>
  <c r="B69" i="14"/>
  <c r="F68" i="14"/>
  <c r="G68" i="14" s="1"/>
  <c r="J68" i="14" s="1"/>
  <c r="E68" i="14"/>
  <c r="D68" i="14"/>
  <c r="B68" i="14"/>
  <c r="I67" i="14"/>
  <c r="F67" i="14"/>
  <c r="G67" i="14" s="1"/>
  <c r="D67" i="14"/>
  <c r="E67" i="14" s="1"/>
  <c r="B67" i="14"/>
  <c r="I66" i="14"/>
  <c r="G66" i="14"/>
  <c r="F66" i="14"/>
  <c r="E66" i="14"/>
  <c r="D66" i="14"/>
  <c r="B66" i="14"/>
  <c r="I65" i="14"/>
  <c r="F65" i="14"/>
  <c r="G65" i="14" s="1"/>
  <c r="D65" i="14"/>
  <c r="E65" i="14" s="1"/>
  <c r="B65" i="14"/>
  <c r="F64" i="14"/>
  <c r="E64" i="14"/>
  <c r="D64" i="14"/>
  <c r="B64" i="14"/>
  <c r="I63" i="14"/>
  <c r="F63" i="14"/>
  <c r="G63" i="14" s="1"/>
  <c r="D63" i="14"/>
  <c r="E63" i="14" s="1"/>
  <c r="B63" i="14"/>
  <c r="I62" i="14"/>
  <c r="G62" i="14"/>
  <c r="F62" i="14"/>
  <c r="E62" i="14"/>
  <c r="D62" i="14"/>
  <c r="B62" i="14"/>
  <c r="I61" i="14"/>
  <c r="F61" i="14"/>
  <c r="G61" i="14" s="1"/>
  <c r="D61" i="14"/>
  <c r="E61" i="14" s="1"/>
  <c r="B61" i="14"/>
  <c r="F60" i="14"/>
  <c r="G60" i="14" s="1"/>
  <c r="E60" i="14"/>
  <c r="D60" i="14"/>
  <c r="B60" i="14"/>
  <c r="I59" i="14"/>
  <c r="F59" i="14"/>
  <c r="G59" i="14" s="1"/>
  <c r="D59" i="14"/>
  <c r="E59" i="14" s="1"/>
  <c r="B59" i="14"/>
  <c r="I58" i="14"/>
  <c r="F58" i="14"/>
  <c r="G58" i="14" s="1"/>
  <c r="E58" i="14"/>
  <c r="D58" i="14"/>
  <c r="B58" i="14"/>
  <c r="I57" i="14"/>
  <c r="F57" i="14"/>
  <c r="D57" i="14"/>
  <c r="E57" i="14" s="1"/>
  <c r="B57" i="14"/>
  <c r="F56" i="14"/>
  <c r="G56" i="14" s="1"/>
  <c r="E56" i="14"/>
  <c r="D56" i="14"/>
  <c r="B56" i="14"/>
  <c r="I55" i="14"/>
  <c r="F55" i="14"/>
  <c r="G55" i="14" s="1"/>
  <c r="D55" i="14"/>
  <c r="E55" i="14" s="1"/>
  <c r="B55" i="14"/>
  <c r="I54" i="14"/>
  <c r="F54" i="14"/>
  <c r="G54" i="14" s="1"/>
  <c r="E54" i="14"/>
  <c r="D54" i="14"/>
  <c r="B54" i="14"/>
  <c r="I53" i="14"/>
  <c r="F53" i="14"/>
  <c r="G53" i="14" s="1"/>
  <c r="D53" i="14"/>
  <c r="E53" i="14" s="1"/>
  <c r="B53" i="14"/>
  <c r="F52" i="14"/>
  <c r="G52" i="14" s="1"/>
  <c r="E52" i="14"/>
  <c r="D52" i="14"/>
  <c r="B52" i="14"/>
  <c r="I51" i="14"/>
  <c r="F51" i="14"/>
  <c r="G51" i="14" s="1"/>
  <c r="D51" i="14"/>
  <c r="E51" i="14" s="1"/>
  <c r="B51" i="14"/>
  <c r="I50" i="14"/>
  <c r="F50" i="14"/>
  <c r="G50" i="14" s="1"/>
  <c r="E50" i="14"/>
  <c r="D50" i="14"/>
  <c r="B50" i="14"/>
  <c r="I49" i="14"/>
  <c r="F49" i="14"/>
  <c r="G49" i="14" s="1"/>
  <c r="D49" i="14"/>
  <c r="E49" i="14" s="1"/>
  <c r="B49" i="14"/>
  <c r="G48" i="14"/>
  <c r="F48" i="14"/>
  <c r="E48" i="14"/>
  <c r="D48" i="14"/>
  <c r="B48" i="14"/>
  <c r="I47" i="14"/>
  <c r="F47" i="14"/>
  <c r="D47" i="14"/>
  <c r="E47" i="14" s="1"/>
  <c r="B47" i="14"/>
  <c r="I46" i="14"/>
  <c r="G46" i="14"/>
  <c r="F46" i="14"/>
  <c r="E46" i="14"/>
  <c r="D46" i="14"/>
  <c r="B46" i="14"/>
  <c r="I45" i="14"/>
  <c r="F45" i="14"/>
  <c r="G45" i="14" s="1"/>
  <c r="J45" i="14" s="1"/>
  <c r="E45" i="14"/>
  <c r="D45" i="14"/>
  <c r="B45" i="14"/>
  <c r="F44" i="14"/>
  <c r="G44" i="14" s="1"/>
  <c r="E44" i="14"/>
  <c r="D44" i="14"/>
  <c r="B44" i="14"/>
  <c r="I43" i="14"/>
  <c r="F43" i="14"/>
  <c r="G43" i="14" s="1"/>
  <c r="D43" i="14"/>
  <c r="E43" i="14" s="1"/>
  <c r="B43" i="14"/>
  <c r="I42" i="14"/>
  <c r="G42" i="14"/>
  <c r="F42" i="14"/>
  <c r="E42" i="14"/>
  <c r="D42" i="14"/>
  <c r="B42" i="14"/>
  <c r="I41" i="14"/>
  <c r="F41" i="14"/>
  <c r="G41" i="14" s="1"/>
  <c r="J41" i="14" s="1"/>
  <c r="D41" i="14"/>
  <c r="E41" i="14" s="1"/>
  <c r="B41" i="14"/>
  <c r="F40" i="14"/>
  <c r="G40" i="14" s="1"/>
  <c r="E40" i="14"/>
  <c r="D40" i="14"/>
  <c r="B40" i="14"/>
  <c r="I39" i="14"/>
  <c r="F39" i="14"/>
  <c r="G39" i="14" s="1"/>
  <c r="D39" i="14"/>
  <c r="E39" i="14" s="1"/>
  <c r="B39" i="14"/>
  <c r="I38" i="14"/>
  <c r="F38" i="14"/>
  <c r="G38" i="14" s="1"/>
  <c r="E38" i="14"/>
  <c r="D38" i="14"/>
  <c r="B38" i="14"/>
  <c r="I37" i="14"/>
  <c r="F37" i="14"/>
  <c r="G37" i="14" s="1"/>
  <c r="D37" i="14"/>
  <c r="E37" i="14" s="1"/>
  <c r="B37" i="14"/>
  <c r="G36" i="14"/>
  <c r="F36" i="14"/>
  <c r="E36" i="14"/>
  <c r="D36" i="14"/>
  <c r="B36" i="14"/>
  <c r="I35" i="14"/>
  <c r="F35" i="14"/>
  <c r="G35" i="14" s="1"/>
  <c r="D35" i="14"/>
  <c r="E35" i="14" s="1"/>
  <c r="B35" i="14"/>
  <c r="I34" i="14"/>
  <c r="G34" i="14"/>
  <c r="F34" i="14"/>
  <c r="E34" i="14"/>
  <c r="D34" i="14"/>
  <c r="B34" i="14"/>
  <c r="I33" i="14"/>
  <c r="F33" i="14"/>
  <c r="G33" i="14" s="1"/>
  <c r="E33" i="14"/>
  <c r="D33" i="14"/>
  <c r="B33" i="14"/>
  <c r="G32" i="14"/>
  <c r="F32" i="14"/>
  <c r="E32" i="14"/>
  <c r="D32" i="14"/>
  <c r="B32" i="14"/>
  <c r="I31" i="14"/>
  <c r="F31" i="14"/>
  <c r="G31" i="14" s="1"/>
  <c r="D31" i="14"/>
  <c r="E31" i="14" s="1"/>
  <c r="B31" i="14"/>
  <c r="I30" i="14"/>
  <c r="G30" i="14"/>
  <c r="F30" i="14"/>
  <c r="E30" i="14"/>
  <c r="D30" i="14"/>
  <c r="B30" i="14"/>
  <c r="I29" i="14"/>
  <c r="F29" i="14"/>
  <c r="G29" i="14" s="1"/>
  <c r="E29" i="14"/>
  <c r="D29" i="14"/>
  <c r="B29" i="14"/>
  <c r="F28" i="14"/>
  <c r="G28" i="14" s="1"/>
  <c r="E28" i="14"/>
  <c r="D28" i="14"/>
  <c r="B28" i="14"/>
  <c r="I27" i="14"/>
  <c r="F27" i="14"/>
  <c r="D27" i="14"/>
  <c r="E27" i="14" s="1"/>
  <c r="B27" i="14"/>
  <c r="I26" i="14"/>
  <c r="F26" i="14"/>
  <c r="G26" i="14" s="1"/>
  <c r="E26" i="14"/>
  <c r="D26" i="14"/>
  <c r="B26" i="14"/>
  <c r="I25" i="14"/>
  <c r="F25" i="14"/>
  <c r="G25" i="14" s="1"/>
  <c r="D25" i="14"/>
  <c r="E25" i="14" s="1"/>
  <c r="B25" i="14"/>
  <c r="G24" i="14"/>
  <c r="F24" i="14"/>
  <c r="E24" i="14"/>
  <c r="D24" i="14"/>
  <c r="B24" i="14"/>
  <c r="I23" i="14"/>
  <c r="F23" i="14"/>
  <c r="G23" i="14" s="1"/>
  <c r="D23" i="14"/>
  <c r="E23" i="14" s="1"/>
  <c r="B23" i="14"/>
  <c r="I22" i="14"/>
  <c r="G22" i="14"/>
  <c r="F22" i="14"/>
  <c r="E22" i="14"/>
  <c r="D22" i="14"/>
  <c r="B22" i="14"/>
  <c r="J21" i="14"/>
  <c r="I21" i="14"/>
  <c r="F21" i="14"/>
  <c r="G21" i="14" s="1"/>
  <c r="E21" i="14"/>
  <c r="D21" i="14"/>
  <c r="B21" i="14"/>
  <c r="G20" i="14"/>
  <c r="F20" i="14"/>
  <c r="E20" i="14"/>
  <c r="D20" i="14"/>
  <c r="B20" i="14"/>
  <c r="J19" i="14"/>
  <c r="I19" i="14"/>
  <c r="F19" i="14"/>
  <c r="G19" i="14" s="1"/>
  <c r="D19" i="14"/>
  <c r="E19" i="14" s="1"/>
  <c r="B19" i="14"/>
  <c r="I18" i="14"/>
  <c r="G18" i="14"/>
  <c r="F18" i="14"/>
  <c r="D18" i="14"/>
  <c r="E18" i="14" s="1"/>
  <c r="B18" i="14"/>
  <c r="I17" i="14"/>
  <c r="G17" i="14"/>
  <c r="F17" i="14"/>
  <c r="D17" i="14"/>
  <c r="E17" i="14" s="1"/>
  <c r="B17" i="14"/>
  <c r="T16" i="14"/>
  <c r="T17" i="14" s="1"/>
  <c r="I16" i="14"/>
  <c r="F16" i="14"/>
  <c r="G16" i="14" s="1"/>
  <c r="E16" i="14"/>
  <c r="D16" i="14"/>
  <c r="B16" i="14"/>
  <c r="G15" i="14"/>
  <c r="F15" i="14"/>
  <c r="E15" i="14"/>
  <c r="D15" i="14"/>
  <c r="B15" i="14"/>
  <c r="I14" i="14"/>
  <c r="G14" i="14"/>
  <c r="F14" i="14"/>
  <c r="D14" i="14"/>
  <c r="E14" i="14" s="1"/>
  <c r="B14" i="14"/>
  <c r="I13" i="14"/>
  <c r="F13" i="14"/>
  <c r="G13" i="14" s="1"/>
  <c r="E13" i="14"/>
  <c r="D13" i="14"/>
  <c r="B13" i="14"/>
  <c r="I12" i="14"/>
  <c r="F12" i="14"/>
  <c r="G12" i="14" s="1"/>
  <c r="D12" i="14"/>
  <c r="E12" i="14" s="1"/>
  <c r="B12" i="14"/>
  <c r="I11" i="14"/>
  <c r="G11" i="14"/>
  <c r="F11" i="14"/>
  <c r="D11" i="14"/>
  <c r="E11" i="14" s="1"/>
  <c r="B11" i="14"/>
  <c r="I10" i="14"/>
  <c r="G10" i="14"/>
  <c r="E10" i="14"/>
  <c r="D10" i="14"/>
  <c r="B10" i="14"/>
  <c r="I9" i="14"/>
  <c r="G9" i="14"/>
  <c r="F9" i="14"/>
  <c r="E9" i="14"/>
  <c r="D9" i="14"/>
  <c r="B9" i="14"/>
  <c r="T8" i="14"/>
  <c r="T9" i="14" s="1"/>
  <c r="I8" i="14"/>
  <c r="G8" i="14"/>
  <c r="F8" i="14"/>
  <c r="D8" i="14"/>
  <c r="E8" i="14" s="1"/>
  <c r="B8" i="14"/>
  <c r="T7" i="14"/>
  <c r="I68" i="14" s="1"/>
  <c r="I7" i="14"/>
  <c r="F7" i="14"/>
  <c r="G7" i="14" s="1"/>
  <c r="E7" i="14"/>
  <c r="D7" i="14"/>
  <c r="B7" i="14"/>
  <c r="I6" i="14"/>
  <c r="G6" i="14"/>
  <c r="F6" i="14"/>
  <c r="D6" i="14"/>
  <c r="B6" i="14"/>
  <c r="T5" i="14"/>
  <c r="J5" i="14"/>
  <c r="I5" i="14"/>
  <c r="J4" i="14"/>
  <c r="I4" i="14"/>
  <c r="I3" i="14"/>
  <c r="K66" i="13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C70" i="12"/>
  <c r="F66" i="12" s="1"/>
  <c r="K69" i="12"/>
  <c r="I69" i="12"/>
  <c r="F69" i="12"/>
  <c r="G69" i="12" s="1"/>
  <c r="D69" i="12"/>
  <c r="E69" i="12" s="1"/>
  <c r="B69" i="12"/>
  <c r="G68" i="12"/>
  <c r="F68" i="12"/>
  <c r="D68" i="12"/>
  <c r="E68" i="12" s="1"/>
  <c r="B68" i="12"/>
  <c r="D67" i="12"/>
  <c r="E67" i="12" s="1"/>
  <c r="B67" i="12"/>
  <c r="K66" i="12"/>
  <c r="G66" i="12"/>
  <c r="E66" i="12"/>
  <c r="D66" i="12"/>
  <c r="B66" i="12"/>
  <c r="K65" i="12"/>
  <c r="F65" i="12"/>
  <c r="G65" i="12" s="1"/>
  <c r="D65" i="12"/>
  <c r="E65" i="12" s="1"/>
  <c r="B65" i="12"/>
  <c r="F64" i="12"/>
  <c r="G64" i="12" s="1"/>
  <c r="E64" i="12"/>
  <c r="D64" i="12"/>
  <c r="B64" i="12"/>
  <c r="D63" i="12"/>
  <c r="E63" i="12" s="1"/>
  <c r="B63" i="12"/>
  <c r="K62" i="12"/>
  <c r="E62" i="12"/>
  <c r="D62" i="12"/>
  <c r="B62" i="12"/>
  <c r="G61" i="12"/>
  <c r="F61" i="12"/>
  <c r="D61" i="12"/>
  <c r="E61" i="12" s="1"/>
  <c r="B61" i="12"/>
  <c r="D60" i="12"/>
  <c r="E60" i="12" s="1"/>
  <c r="B60" i="12"/>
  <c r="K59" i="12"/>
  <c r="F59" i="12"/>
  <c r="G59" i="12" s="1"/>
  <c r="D59" i="12"/>
  <c r="E59" i="12" s="1"/>
  <c r="B59" i="12"/>
  <c r="I58" i="12"/>
  <c r="F58" i="12"/>
  <c r="G58" i="12" s="1"/>
  <c r="E58" i="12"/>
  <c r="D58" i="12"/>
  <c r="B58" i="12"/>
  <c r="F57" i="12"/>
  <c r="G57" i="12" s="1"/>
  <c r="E57" i="12"/>
  <c r="D57" i="12"/>
  <c r="B57" i="12"/>
  <c r="I56" i="12"/>
  <c r="E56" i="12"/>
  <c r="D56" i="12"/>
  <c r="B56" i="12"/>
  <c r="K55" i="12"/>
  <c r="F55" i="12"/>
  <c r="G55" i="12" s="1"/>
  <c r="D55" i="12"/>
  <c r="E55" i="12" s="1"/>
  <c r="B55" i="12"/>
  <c r="F54" i="12"/>
  <c r="G54" i="12" s="1"/>
  <c r="E54" i="12"/>
  <c r="D54" i="12"/>
  <c r="B54" i="12"/>
  <c r="K53" i="12"/>
  <c r="D53" i="12"/>
  <c r="E53" i="12" s="1"/>
  <c r="B53" i="12"/>
  <c r="F52" i="12"/>
  <c r="G52" i="12" s="1"/>
  <c r="D52" i="12"/>
  <c r="E52" i="12" s="1"/>
  <c r="B52" i="12"/>
  <c r="I51" i="12"/>
  <c r="F51" i="12"/>
  <c r="G51" i="12" s="1"/>
  <c r="D51" i="12"/>
  <c r="E51" i="12" s="1"/>
  <c r="B51" i="12"/>
  <c r="E50" i="12"/>
  <c r="D50" i="12"/>
  <c r="B50" i="12"/>
  <c r="K49" i="12"/>
  <c r="E49" i="12"/>
  <c r="D49" i="12"/>
  <c r="B49" i="12"/>
  <c r="I48" i="12"/>
  <c r="G48" i="12"/>
  <c r="F48" i="12"/>
  <c r="D48" i="12"/>
  <c r="E48" i="12" s="1"/>
  <c r="B48" i="12"/>
  <c r="F47" i="12"/>
  <c r="G47" i="12" s="1"/>
  <c r="D47" i="12"/>
  <c r="E47" i="12" s="1"/>
  <c r="B47" i="12"/>
  <c r="E46" i="12"/>
  <c r="D46" i="12"/>
  <c r="B46" i="12"/>
  <c r="K45" i="12"/>
  <c r="I45" i="12"/>
  <c r="F45" i="12"/>
  <c r="G45" i="12" s="1"/>
  <c r="D45" i="12"/>
  <c r="E45" i="12" s="1"/>
  <c r="B45" i="12"/>
  <c r="F44" i="12"/>
  <c r="G44" i="12" s="1"/>
  <c r="D44" i="12"/>
  <c r="E44" i="12" s="1"/>
  <c r="B44" i="12"/>
  <c r="D43" i="12"/>
  <c r="E43" i="12" s="1"/>
  <c r="B43" i="12"/>
  <c r="K42" i="12"/>
  <c r="E42" i="12"/>
  <c r="D42" i="12"/>
  <c r="B42" i="12"/>
  <c r="K41" i="12"/>
  <c r="G41" i="12"/>
  <c r="F41" i="12"/>
  <c r="D41" i="12"/>
  <c r="E41" i="12" s="1"/>
  <c r="B41" i="12"/>
  <c r="F40" i="12"/>
  <c r="G40" i="12" s="1"/>
  <c r="E40" i="12"/>
  <c r="D40" i="12"/>
  <c r="B40" i="12"/>
  <c r="E39" i="12"/>
  <c r="D39" i="12"/>
  <c r="B39" i="12"/>
  <c r="K38" i="12"/>
  <c r="E38" i="12"/>
  <c r="D38" i="12"/>
  <c r="B38" i="12"/>
  <c r="G37" i="12"/>
  <c r="F37" i="12"/>
  <c r="E37" i="12"/>
  <c r="D37" i="12"/>
  <c r="B37" i="12"/>
  <c r="D36" i="12"/>
  <c r="E36" i="12" s="1"/>
  <c r="B36" i="12"/>
  <c r="K35" i="12"/>
  <c r="F35" i="12"/>
  <c r="G35" i="12" s="1"/>
  <c r="D35" i="12"/>
  <c r="E35" i="12" s="1"/>
  <c r="B35" i="12"/>
  <c r="G34" i="12"/>
  <c r="F34" i="12"/>
  <c r="E34" i="12"/>
  <c r="D34" i="12"/>
  <c r="B34" i="12"/>
  <c r="F33" i="12"/>
  <c r="G33" i="12" s="1"/>
  <c r="D33" i="12"/>
  <c r="E33" i="12" s="1"/>
  <c r="B33" i="12"/>
  <c r="I32" i="12"/>
  <c r="E32" i="12"/>
  <c r="D32" i="12"/>
  <c r="B32" i="12"/>
  <c r="K31" i="12"/>
  <c r="I31" i="12"/>
  <c r="F31" i="12"/>
  <c r="G31" i="12" s="1"/>
  <c r="J31" i="12" s="1"/>
  <c r="R31" i="12" s="1"/>
  <c r="D31" i="12"/>
  <c r="E31" i="12" s="1"/>
  <c r="B31" i="12"/>
  <c r="K30" i="12"/>
  <c r="G30" i="12"/>
  <c r="F30" i="12"/>
  <c r="E30" i="12"/>
  <c r="D30" i="12"/>
  <c r="B30" i="12"/>
  <c r="K29" i="12"/>
  <c r="D29" i="12"/>
  <c r="E29" i="12" s="1"/>
  <c r="B29" i="12"/>
  <c r="J28" i="12"/>
  <c r="I28" i="12"/>
  <c r="F28" i="12"/>
  <c r="G28" i="12" s="1"/>
  <c r="D28" i="12"/>
  <c r="E28" i="12" s="1"/>
  <c r="B28" i="12"/>
  <c r="F27" i="12"/>
  <c r="G27" i="12" s="1"/>
  <c r="D27" i="12"/>
  <c r="E27" i="12" s="1"/>
  <c r="B27" i="12"/>
  <c r="E26" i="12"/>
  <c r="D26" i="12"/>
  <c r="B26" i="12"/>
  <c r="K25" i="12"/>
  <c r="I25" i="12"/>
  <c r="E25" i="12"/>
  <c r="D25" i="12"/>
  <c r="B25" i="12"/>
  <c r="I24" i="12"/>
  <c r="F24" i="12"/>
  <c r="G24" i="12" s="1"/>
  <c r="J24" i="12" s="1"/>
  <c r="D24" i="12"/>
  <c r="E24" i="12" s="1"/>
  <c r="B24" i="12"/>
  <c r="K23" i="12"/>
  <c r="F23" i="12"/>
  <c r="G23" i="12" s="1"/>
  <c r="D23" i="12"/>
  <c r="E23" i="12" s="1"/>
  <c r="B23" i="12"/>
  <c r="F22" i="12"/>
  <c r="G22" i="12" s="1"/>
  <c r="E22" i="12"/>
  <c r="D22" i="12"/>
  <c r="B22" i="12"/>
  <c r="K21" i="12"/>
  <c r="F21" i="12"/>
  <c r="G21" i="12" s="1"/>
  <c r="D21" i="12"/>
  <c r="E21" i="12" s="1"/>
  <c r="B21" i="12"/>
  <c r="K20" i="12"/>
  <c r="I20" i="12"/>
  <c r="F20" i="12"/>
  <c r="G20" i="12" s="1"/>
  <c r="J20" i="12" s="1"/>
  <c r="R20" i="12" s="1"/>
  <c r="D20" i="12"/>
  <c r="E20" i="12" s="1"/>
  <c r="B20" i="12"/>
  <c r="I19" i="12"/>
  <c r="F19" i="12"/>
  <c r="G19" i="12" s="1"/>
  <c r="J19" i="12" s="1"/>
  <c r="D19" i="12"/>
  <c r="E19" i="12" s="1"/>
  <c r="B19" i="12"/>
  <c r="T18" i="12"/>
  <c r="T19" i="12" s="1"/>
  <c r="F18" i="12"/>
  <c r="G18" i="12" s="1"/>
  <c r="D18" i="12"/>
  <c r="E18" i="12" s="1"/>
  <c r="B18" i="12"/>
  <c r="F17" i="12"/>
  <c r="G17" i="12" s="1"/>
  <c r="E17" i="12"/>
  <c r="D17" i="12"/>
  <c r="B17" i="12"/>
  <c r="K16" i="12"/>
  <c r="J16" i="12"/>
  <c r="I16" i="12"/>
  <c r="F16" i="12"/>
  <c r="G16" i="12" s="1"/>
  <c r="D16" i="12"/>
  <c r="E16" i="12" s="1"/>
  <c r="B16" i="12"/>
  <c r="G15" i="12"/>
  <c r="F15" i="12"/>
  <c r="E15" i="12"/>
  <c r="D15" i="12"/>
  <c r="B15" i="12"/>
  <c r="F14" i="12"/>
  <c r="G14" i="12" s="1"/>
  <c r="E14" i="12"/>
  <c r="D14" i="12"/>
  <c r="B14" i="12"/>
  <c r="F13" i="12"/>
  <c r="G13" i="12" s="1"/>
  <c r="E13" i="12"/>
  <c r="D13" i="12"/>
  <c r="B13" i="12"/>
  <c r="K12" i="12"/>
  <c r="I12" i="12"/>
  <c r="F12" i="12"/>
  <c r="G12" i="12" s="1"/>
  <c r="D12" i="12"/>
  <c r="E12" i="12" s="1"/>
  <c r="B12" i="12"/>
  <c r="T11" i="12"/>
  <c r="K58" i="12" s="1"/>
  <c r="K11" i="12"/>
  <c r="F11" i="12"/>
  <c r="G11" i="12" s="1"/>
  <c r="D11" i="12"/>
  <c r="E11" i="12" s="1"/>
  <c r="B11" i="12"/>
  <c r="K10" i="12"/>
  <c r="F10" i="12"/>
  <c r="G10" i="12" s="1"/>
  <c r="D10" i="12"/>
  <c r="E10" i="12" s="1"/>
  <c r="B10" i="12"/>
  <c r="D9" i="12"/>
  <c r="E9" i="12" s="1"/>
  <c r="B9" i="12"/>
  <c r="T8" i="12"/>
  <c r="T9" i="12" s="1"/>
  <c r="F8" i="12"/>
  <c r="G8" i="12" s="1"/>
  <c r="E8" i="12"/>
  <c r="D8" i="12"/>
  <c r="B8" i="12"/>
  <c r="T7" i="12"/>
  <c r="I38" i="12" s="1"/>
  <c r="K7" i="12"/>
  <c r="D7" i="12"/>
  <c r="E7" i="12" s="1"/>
  <c r="B7" i="12"/>
  <c r="K6" i="12"/>
  <c r="J6" i="12"/>
  <c r="I6" i="12"/>
  <c r="F6" i="12"/>
  <c r="G6" i="12" s="1"/>
  <c r="D6" i="12"/>
  <c r="B6" i="12"/>
  <c r="T5" i="12"/>
  <c r="T4" i="12"/>
  <c r="I3" i="12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K66" i="11" s="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F70" i="10" s="1"/>
  <c r="E69" i="10"/>
  <c r="D69" i="10"/>
  <c r="B69" i="10"/>
  <c r="I68" i="10"/>
  <c r="F68" i="10"/>
  <c r="E68" i="10"/>
  <c r="D68" i="10"/>
  <c r="B68" i="10"/>
  <c r="F67" i="10"/>
  <c r="E67" i="10"/>
  <c r="D67" i="10"/>
  <c r="B67" i="10"/>
  <c r="K66" i="10"/>
  <c r="E66" i="10"/>
  <c r="D66" i="10"/>
  <c r="B66" i="10"/>
  <c r="E65" i="10"/>
  <c r="D65" i="10"/>
  <c r="B65" i="10"/>
  <c r="F64" i="10"/>
  <c r="D64" i="10"/>
  <c r="E64" i="10" s="1"/>
  <c r="B64" i="10"/>
  <c r="F63" i="10"/>
  <c r="E63" i="10"/>
  <c r="D63" i="10"/>
  <c r="B63" i="10"/>
  <c r="K62" i="10"/>
  <c r="E62" i="10"/>
  <c r="D62" i="10"/>
  <c r="B62" i="10"/>
  <c r="K61" i="10"/>
  <c r="I61" i="10"/>
  <c r="E61" i="10"/>
  <c r="D61" i="10"/>
  <c r="B61" i="10"/>
  <c r="F60" i="10"/>
  <c r="E60" i="10"/>
  <c r="D60" i="10"/>
  <c r="B60" i="10"/>
  <c r="F59" i="10"/>
  <c r="E59" i="10"/>
  <c r="D59" i="10"/>
  <c r="B59" i="10"/>
  <c r="K58" i="10"/>
  <c r="E58" i="10"/>
  <c r="D58" i="10"/>
  <c r="B58" i="10"/>
  <c r="K57" i="10"/>
  <c r="E57" i="10"/>
  <c r="D57" i="10"/>
  <c r="B57" i="10"/>
  <c r="I56" i="10"/>
  <c r="F56" i="10"/>
  <c r="E56" i="10"/>
  <c r="D56" i="10"/>
  <c r="B56" i="10"/>
  <c r="F55" i="10"/>
  <c r="D55" i="10"/>
  <c r="E55" i="10" s="1"/>
  <c r="B55" i="10"/>
  <c r="K54" i="10"/>
  <c r="E54" i="10"/>
  <c r="D54" i="10"/>
  <c r="B54" i="10"/>
  <c r="F53" i="10"/>
  <c r="E53" i="10"/>
  <c r="D53" i="10"/>
  <c r="B53" i="10"/>
  <c r="F52" i="10"/>
  <c r="E52" i="10"/>
  <c r="D52" i="10"/>
  <c r="B52" i="10"/>
  <c r="F51" i="10"/>
  <c r="D51" i="10"/>
  <c r="E51" i="10" s="1"/>
  <c r="B51" i="10"/>
  <c r="I50" i="10"/>
  <c r="E50" i="10"/>
  <c r="D50" i="10"/>
  <c r="B50" i="10"/>
  <c r="K49" i="10"/>
  <c r="F49" i="10"/>
  <c r="E49" i="10"/>
  <c r="D49" i="10"/>
  <c r="B49" i="10"/>
  <c r="I48" i="10"/>
  <c r="F48" i="10"/>
  <c r="D48" i="10"/>
  <c r="E48" i="10" s="1"/>
  <c r="B48" i="10"/>
  <c r="F47" i="10"/>
  <c r="E47" i="10"/>
  <c r="D47" i="10"/>
  <c r="B47" i="10"/>
  <c r="K46" i="10"/>
  <c r="E46" i="10"/>
  <c r="D46" i="10"/>
  <c r="B46" i="10"/>
  <c r="F45" i="10"/>
  <c r="E45" i="10"/>
  <c r="D45" i="10"/>
  <c r="B45" i="10"/>
  <c r="I44" i="10"/>
  <c r="F44" i="10"/>
  <c r="E44" i="10"/>
  <c r="D44" i="10"/>
  <c r="B44" i="10"/>
  <c r="F43" i="10"/>
  <c r="D43" i="10"/>
  <c r="E43" i="10" s="1"/>
  <c r="B43" i="10"/>
  <c r="I42" i="10"/>
  <c r="E42" i="10"/>
  <c r="D42" i="10"/>
  <c r="B42" i="10"/>
  <c r="K41" i="10"/>
  <c r="F41" i="10"/>
  <c r="E41" i="10"/>
  <c r="D41" i="10"/>
  <c r="B41" i="10"/>
  <c r="I40" i="10"/>
  <c r="F40" i="10"/>
  <c r="D40" i="10"/>
  <c r="E40" i="10" s="1"/>
  <c r="B40" i="10"/>
  <c r="F39" i="10"/>
  <c r="E39" i="10"/>
  <c r="D39" i="10"/>
  <c r="B39" i="10"/>
  <c r="K38" i="10"/>
  <c r="F38" i="10"/>
  <c r="E38" i="10"/>
  <c r="D38" i="10"/>
  <c r="B38" i="10"/>
  <c r="K37" i="10"/>
  <c r="F37" i="10"/>
  <c r="E37" i="10"/>
  <c r="D37" i="10"/>
  <c r="B37" i="10"/>
  <c r="F36" i="10"/>
  <c r="E36" i="10"/>
  <c r="D36" i="10"/>
  <c r="B36" i="10"/>
  <c r="F35" i="10"/>
  <c r="D35" i="10"/>
  <c r="E35" i="10" s="1"/>
  <c r="B35" i="10"/>
  <c r="K34" i="10"/>
  <c r="F34" i="10"/>
  <c r="E34" i="10"/>
  <c r="D34" i="10"/>
  <c r="B34" i="10"/>
  <c r="F33" i="10"/>
  <c r="E33" i="10"/>
  <c r="D33" i="10"/>
  <c r="B33" i="10"/>
  <c r="K32" i="10"/>
  <c r="F32" i="10"/>
  <c r="D32" i="10"/>
  <c r="E32" i="10" s="1"/>
  <c r="B32" i="10"/>
  <c r="F31" i="10"/>
  <c r="E31" i="10"/>
  <c r="D31" i="10"/>
  <c r="B31" i="10"/>
  <c r="K30" i="10"/>
  <c r="F30" i="10"/>
  <c r="E30" i="10"/>
  <c r="D30" i="10"/>
  <c r="B30" i="10"/>
  <c r="K29" i="10"/>
  <c r="F29" i="10"/>
  <c r="E29" i="10"/>
  <c r="D29" i="10"/>
  <c r="B29" i="10"/>
  <c r="F28" i="10"/>
  <c r="D28" i="10"/>
  <c r="E28" i="10" s="1"/>
  <c r="B28" i="10"/>
  <c r="I27" i="10"/>
  <c r="F27" i="10"/>
  <c r="E27" i="10"/>
  <c r="D27" i="10"/>
  <c r="B27" i="10"/>
  <c r="F26" i="10"/>
  <c r="E26" i="10"/>
  <c r="D26" i="10"/>
  <c r="B26" i="10"/>
  <c r="K25" i="10"/>
  <c r="I25" i="10"/>
  <c r="F25" i="10"/>
  <c r="E25" i="10"/>
  <c r="D25" i="10"/>
  <c r="B25" i="10"/>
  <c r="K24" i="10"/>
  <c r="F24" i="10"/>
  <c r="E24" i="10"/>
  <c r="D24" i="10"/>
  <c r="B24" i="10"/>
  <c r="I23" i="10"/>
  <c r="F23" i="10"/>
  <c r="E23" i="10"/>
  <c r="D23" i="10"/>
  <c r="B23" i="10"/>
  <c r="K22" i="10"/>
  <c r="F22" i="10"/>
  <c r="D22" i="10"/>
  <c r="E22" i="10" s="1"/>
  <c r="B22" i="10"/>
  <c r="K21" i="10"/>
  <c r="F21" i="10"/>
  <c r="E21" i="10"/>
  <c r="D21" i="10"/>
  <c r="B21" i="10"/>
  <c r="K20" i="10"/>
  <c r="I20" i="10"/>
  <c r="F20" i="10"/>
  <c r="D20" i="10"/>
  <c r="E20" i="10" s="1"/>
  <c r="B20" i="10"/>
  <c r="F19" i="10"/>
  <c r="D19" i="10"/>
  <c r="E19" i="10" s="1"/>
  <c r="B19" i="10"/>
  <c r="K18" i="10"/>
  <c r="F18" i="10"/>
  <c r="D18" i="10"/>
  <c r="E18" i="10" s="1"/>
  <c r="B18" i="10"/>
  <c r="T17" i="10"/>
  <c r="K17" i="10"/>
  <c r="F17" i="10"/>
  <c r="D17" i="10"/>
  <c r="E17" i="10" s="1"/>
  <c r="B17" i="10"/>
  <c r="T16" i="10"/>
  <c r="K16" i="10"/>
  <c r="F16" i="10"/>
  <c r="D16" i="10"/>
  <c r="E16" i="10" s="1"/>
  <c r="B16" i="10"/>
  <c r="K15" i="10"/>
  <c r="F15" i="10"/>
  <c r="E15" i="10"/>
  <c r="D15" i="10"/>
  <c r="B15" i="10"/>
  <c r="K14" i="10"/>
  <c r="F14" i="10"/>
  <c r="D14" i="10"/>
  <c r="E14" i="10" s="1"/>
  <c r="B14" i="10"/>
  <c r="F13" i="10"/>
  <c r="D13" i="10"/>
  <c r="E13" i="10" s="1"/>
  <c r="B13" i="10"/>
  <c r="K12" i="10"/>
  <c r="I12" i="10"/>
  <c r="F12" i="10"/>
  <c r="D12" i="10"/>
  <c r="E12" i="10" s="1"/>
  <c r="B12" i="10"/>
  <c r="T11" i="10"/>
  <c r="K11" i="10"/>
  <c r="I11" i="10"/>
  <c r="F11" i="10"/>
  <c r="G11" i="10" s="1"/>
  <c r="D11" i="10"/>
  <c r="E11" i="10" s="1"/>
  <c r="B11" i="10"/>
  <c r="F10" i="10"/>
  <c r="D10" i="10"/>
  <c r="E10" i="10" s="1"/>
  <c r="B10" i="10"/>
  <c r="K9" i="10"/>
  <c r="F9" i="10"/>
  <c r="D9" i="10"/>
  <c r="E9" i="10" s="1"/>
  <c r="B9" i="10"/>
  <c r="F8" i="10"/>
  <c r="D8" i="10"/>
  <c r="E8" i="10" s="1"/>
  <c r="B8" i="10"/>
  <c r="T7" i="10"/>
  <c r="K7" i="10"/>
  <c r="F7" i="10"/>
  <c r="E7" i="10"/>
  <c r="D7" i="10"/>
  <c r="B7" i="10"/>
  <c r="K6" i="10"/>
  <c r="I6" i="10"/>
  <c r="F6" i="10"/>
  <c r="G6" i="10" s="1"/>
  <c r="D6" i="10"/>
  <c r="B6" i="10"/>
  <c r="T5" i="10"/>
  <c r="G48" i="10" s="1"/>
  <c r="T4" i="10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B6" i="9"/>
  <c r="K5" i="9"/>
  <c r="B5" i="9"/>
  <c r="K4" i="9"/>
  <c r="B4" i="9"/>
  <c r="K3" i="9"/>
  <c r="B3" i="9"/>
  <c r="K2" i="9"/>
  <c r="K66" i="9" s="1"/>
  <c r="B2" i="9"/>
  <c r="O70" i="8"/>
  <c r="N70" i="8"/>
  <c r="M70" i="8"/>
  <c r="L70" i="8"/>
  <c r="H70" i="8"/>
  <c r="C70" i="8"/>
  <c r="I69" i="8"/>
  <c r="D69" i="8"/>
  <c r="E69" i="8" s="1"/>
  <c r="B69" i="8"/>
  <c r="I68" i="8"/>
  <c r="D68" i="8"/>
  <c r="E68" i="8" s="1"/>
  <c r="B68" i="8"/>
  <c r="E67" i="8"/>
  <c r="D67" i="8"/>
  <c r="B67" i="8"/>
  <c r="K66" i="8"/>
  <c r="F66" i="8"/>
  <c r="G66" i="8" s="1"/>
  <c r="E66" i="8"/>
  <c r="D66" i="8"/>
  <c r="B66" i="8"/>
  <c r="D65" i="8"/>
  <c r="E65" i="8" s="1"/>
  <c r="B65" i="8"/>
  <c r="I64" i="8"/>
  <c r="E64" i="8"/>
  <c r="D64" i="8"/>
  <c r="B64" i="8"/>
  <c r="D63" i="8"/>
  <c r="E63" i="8" s="1"/>
  <c r="B63" i="8"/>
  <c r="E62" i="8"/>
  <c r="D62" i="8"/>
  <c r="B62" i="8"/>
  <c r="I61" i="8"/>
  <c r="F61" i="8"/>
  <c r="G61" i="8" s="1"/>
  <c r="J61" i="8" s="1"/>
  <c r="D61" i="8"/>
  <c r="E61" i="8" s="1"/>
  <c r="B61" i="8"/>
  <c r="I60" i="8"/>
  <c r="D60" i="8"/>
  <c r="E60" i="8" s="1"/>
  <c r="B60" i="8"/>
  <c r="F59" i="8"/>
  <c r="G59" i="8" s="1"/>
  <c r="E59" i="8"/>
  <c r="D59" i="8"/>
  <c r="B59" i="8"/>
  <c r="E58" i="8"/>
  <c r="D58" i="8"/>
  <c r="B58" i="8"/>
  <c r="I57" i="8"/>
  <c r="D57" i="8"/>
  <c r="E57" i="8" s="1"/>
  <c r="B57" i="8"/>
  <c r="D56" i="8"/>
  <c r="E56" i="8" s="1"/>
  <c r="F56" i="8" s="1"/>
  <c r="G56" i="8" s="1"/>
  <c r="B56" i="8"/>
  <c r="E55" i="8"/>
  <c r="D55" i="8"/>
  <c r="B55" i="8"/>
  <c r="G54" i="8"/>
  <c r="F54" i="8"/>
  <c r="E54" i="8"/>
  <c r="D54" i="8"/>
  <c r="B54" i="8"/>
  <c r="I53" i="8"/>
  <c r="D53" i="8"/>
  <c r="E53" i="8" s="1"/>
  <c r="B53" i="8"/>
  <c r="I52" i="8"/>
  <c r="D52" i="8"/>
  <c r="E52" i="8" s="1"/>
  <c r="B52" i="8"/>
  <c r="E51" i="8"/>
  <c r="D51" i="8"/>
  <c r="B51" i="8"/>
  <c r="E50" i="8"/>
  <c r="D50" i="8"/>
  <c r="B50" i="8"/>
  <c r="I49" i="8"/>
  <c r="D49" i="8"/>
  <c r="E49" i="8" s="1"/>
  <c r="B49" i="8"/>
  <c r="D48" i="8"/>
  <c r="E48" i="8" s="1"/>
  <c r="B48" i="8"/>
  <c r="K47" i="8"/>
  <c r="E47" i="8"/>
  <c r="D47" i="8"/>
  <c r="B47" i="8"/>
  <c r="E46" i="8"/>
  <c r="D46" i="8"/>
  <c r="B46" i="8"/>
  <c r="I45" i="8"/>
  <c r="D45" i="8"/>
  <c r="E45" i="8" s="1"/>
  <c r="B45" i="8"/>
  <c r="I44" i="8"/>
  <c r="D44" i="8"/>
  <c r="E44" i="8" s="1"/>
  <c r="B44" i="8"/>
  <c r="D43" i="8"/>
  <c r="E43" i="8" s="1"/>
  <c r="B43" i="8"/>
  <c r="K42" i="8"/>
  <c r="F42" i="8"/>
  <c r="G42" i="8" s="1"/>
  <c r="E42" i="8"/>
  <c r="D42" i="8"/>
  <c r="B42" i="8"/>
  <c r="I41" i="8"/>
  <c r="D41" i="8"/>
  <c r="E41" i="8" s="1"/>
  <c r="F41" i="8" s="1"/>
  <c r="G41" i="8" s="1"/>
  <c r="J41" i="8" s="1"/>
  <c r="B41" i="8"/>
  <c r="I40" i="8"/>
  <c r="E40" i="8"/>
  <c r="D40" i="8"/>
  <c r="B40" i="8"/>
  <c r="E39" i="8"/>
  <c r="D39" i="8"/>
  <c r="B39" i="8"/>
  <c r="E38" i="8"/>
  <c r="D38" i="8"/>
  <c r="B38" i="8"/>
  <c r="K37" i="8"/>
  <c r="I37" i="8"/>
  <c r="D37" i="8"/>
  <c r="E37" i="8" s="1"/>
  <c r="B37" i="8"/>
  <c r="I36" i="8"/>
  <c r="E36" i="8"/>
  <c r="F36" i="8" s="1"/>
  <c r="G36" i="8" s="1"/>
  <c r="J36" i="8" s="1"/>
  <c r="D36" i="8"/>
  <c r="B36" i="8"/>
  <c r="K35" i="8"/>
  <c r="D35" i="8"/>
  <c r="E35" i="8" s="1"/>
  <c r="B35" i="8"/>
  <c r="K34" i="8"/>
  <c r="E34" i="8"/>
  <c r="D34" i="8"/>
  <c r="B34" i="8"/>
  <c r="F33" i="8"/>
  <c r="G33" i="8" s="1"/>
  <c r="D33" i="8"/>
  <c r="E33" i="8" s="1"/>
  <c r="B33" i="8"/>
  <c r="I32" i="8"/>
  <c r="E32" i="8"/>
  <c r="D32" i="8"/>
  <c r="B32" i="8"/>
  <c r="D31" i="8"/>
  <c r="E31" i="8" s="1"/>
  <c r="B31" i="8"/>
  <c r="E30" i="8"/>
  <c r="D30" i="8"/>
  <c r="B30" i="8"/>
  <c r="I29" i="8"/>
  <c r="D29" i="8"/>
  <c r="E29" i="8" s="1"/>
  <c r="B29" i="8"/>
  <c r="I28" i="8"/>
  <c r="D28" i="8"/>
  <c r="E28" i="8" s="1"/>
  <c r="B28" i="8"/>
  <c r="K27" i="8"/>
  <c r="F27" i="8"/>
  <c r="G27" i="8" s="1"/>
  <c r="D27" i="8"/>
  <c r="E27" i="8" s="1"/>
  <c r="B27" i="8"/>
  <c r="E26" i="8"/>
  <c r="D26" i="8"/>
  <c r="B26" i="8"/>
  <c r="D25" i="8"/>
  <c r="E25" i="8" s="1"/>
  <c r="B25" i="8"/>
  <c r="I24" i="8"/>
  <c r="E24" i="8"/>
  <c r="D24" i="8"/>
  <c r="B24" i="8"/>
  <c r="D23" i="8"/>
  <c r="E23" i="8" s="1"/>
  <c r="B23" i="8"/>
  <c r="E22" i="8"/>
  <c r="D22" i="8"/>
  <c r="B22" i="8"/>
  <c r="I21" i="8"/>
  <c r="D21" i="8"/>
  <c r="E21" i="8" s="1"/>
  <c r="B21" i="8"/>
  <c r="I20" i="8"/>
  <c r="D20" i="8"/>
  <c r="E20" i="8" s="1"/>
  <c r="B20" i="8"/>
  <c r="K19" i="8"/>
  <c r="F19" i="8"/>
  <c r="G19" i="8" s="1"/>
  <c r="D19" i="8"/>
  <c r="E19" i="8" s="1"/>
  <c r="B19" i="8"/>
  <c r="I18" i="8"/>
  <c r="D18" i="8"/>
  <c r="E18" i="8" s="1"/>
  <c r="B18" i="8"/>
  <c r="T17" i="8"/>
  <c r="T18" i="8" s="1"/>
  <c r="I17" i="8"/>
  <c r="E17" i="8"/>
  <c r="D17" i="8"/>
  <c r="B17" i="8"/>
  <c r="I16" i="8"/>
  <c r="E16" i="8"/>
  <c r="D16" i="8"/>
  <c r="B16" i="8"/>
  <c r="I15" i="8"/>
  <c r="D15" i="8"/>
  <c r="E15" i="8" s="1"/>
  <c r="B15" i="8"/>
  <c r="I14" i="8"/>
  <c r="D14" i="8"/>
  <c r="E14" i="8" s="1"/>
  <c r="B14" i="8"/>
  <c r="I13" i="8"/>
  <c r="E13" i="8"/>
  <c r="F13" i="8" s="1"/>
  <c r="G13" i="8" s="1"/>
  <c r="J13" i="8" s="1"/>
  <c r="D13" i="8"/>
  <c r="B13" i="8"/>
  <c r="E12" i="8"/>
  <c r="D12" i="8"/>
  <c r="B12" i="8"/>
  <c r="T11" i="8"/>
  <c r="I11" i="8"/>
  <c r="E11" i="8"/>
  <c r="D11" i="8"/>
  <c r="B11" i="8"/>
  <c r="D10" i="8"/>
  <c r="E10" i="8" s="1"/>
  <c r="B10" i="8"/>
  <c r="T9" i="8"/>
  <c r="I9" i="8"/>
  <c r="D9" i="8"/>
  <c r="E9" i="8" s="1"/>
  <c r="B9" i="8"/>
  <c r="T8" i="8"/>
  <c r="K8" i="8"/>
  <c r="I8" i="8"/>
  <c r="E8" i="8"/>
  <c r="D8" i="8"/>
  <c r="B8" i="8"/>
  <c r="T7" i="8"/>
  <c r="I65" i="8" s="1"/>
  <c r="I7" i="8"/>
  <c r="D7" i="8"/>
  <c r="E7" i="8" s="1"/>
  <c r="B7" i="8"/>
  <c r="I6" i="8"/>
  <c r="E6" i="8"/>
  <c r="D6" i="8"/>
  <c r="B6" i="8"/>
  <c r="T5" i="8"/>
  <c r="I5" i="8"/>
  <c r="T4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K66" i="7" s="1"/>
  <c r="B5" i="7"/>
  <c r="K4" i="7"/>
  <c r="B4" i="7"/>
  <c r="K3" i="7"/>
  <c r="B3" i="7"/>
  <c r="K2" i="7"/>
  <c r="B2" i="7"/>
  <c r="P70" i="6"/>
  <c r="O70" i="6"/>
  <c r="N70" i="6"/>
  <c r="M70" i="6"/>
  <c r="L70" i="6"/>
  <c r="H70" i="6"/>
  <c r="C70" i="6"/>
  <c r="I69" i="6"/>
  <c r="D69" i="6"/>
  <c r="E69" i="6" s="1"/>
  <c r="F69" i="6" s="1"/>
  <c r="G69" i="6" s="1"/>
  <c r="B69" i="6"/>
  <c r="E68" i="6"/>
  <c r="F68" i="6" s="1"/>
  <c r="G68" i="6" s="1"/>
  <c r="D68" i="6"/>
  <c r="B68" i="6"/>
  <c r="D67" i="6"/>
  <c r="E67" i="6" s="1"/>
  <c r="F67" i="6" s="1"/>
  <c r="G67" i="6" s="1"/>
  <c r="B67" i="6"/>
  <c r="E66" i="6"/>
  <c r="F66" i="6" s="1"/>
  <c r="G66" i="6" s="1"/>
  <c r="D66" i="6"/>
  <c r="B66" i="6"/>
  <c r="E65" i="6"/>
  <c r="F65" i="6" s="1"/>
  <c r="G65" i="6" s="1"/>
  <c r="D65" i="6"/>
  <c r="B65" i="6"/>
  <c r="D64" i="6"/>
  <c r="E64" i="6" s="1"/>
  <c r="F64" i="6" s="1"/>
  <c r="G64" i="6" s="1"/>
  <c r="B64" i="6"/>
  <c r="D63" i="6"/>
  <c r="E63" i="6" s="1"/>
  <c r="F63" i="6" s="1"/>
  <c r="G63" i="6" s="1"/>
  <c r="B63" i="6"/>
  <c r="G62" i="6"/>
  <c r="D62" i="6"/>
  <c r="E62" i="6" s="1"/>
  <c r="F62" i="6" s="1"/>
  <c r="B62" i="6"/>
  <c r="D61" i="6"/>
  <c r="E61" i="6" s="1"/>
  <c r="F61" i="6" s="1"/>
  <c r="G61" i="6" s="1"/>
  <c r="B61" i="6"/>
  <c r="D60" i="6"/>
  <c r="E60" i="6" s="1"/>
  <c r="F60" i="6" s="1"/>
  <c r="G60" i="6" s="1"/>
  <c r="B60" i="6"/>
  <c r="I59" i="6"/>
  <c r="D59" i="6"/>
  <c r="E59" i="6" s="1"/>
  <c r="F59" i="6" s="1"/>
  <c r="G59" i="6" s="1"/>
  <c r="B59" i="6"/>
  <c r="D58" i="6"/>
  <c r="E58" i="6" s="1"/>
  <c r="F58" i="6" s="1"/>
  <c r="G58" i="6" s="1"/>
  <c r="B58" i="6"/>
  <c r="F57" i="6"/>
  <c r="G57" i="6" s="1"/>
  <c r="D57" i="6"/>
  <c r="E57" i="6" s="1"/>
  <c r="B57" i="6"/>
  <c r="I56" i="6"/>
  <c r="D56" i="6"/>
  <c r="E56" i="6" s="1"/>
  <c r="F56" i="6" s="1"/>
  <c r="G56" i="6" s="1"/>
  <c r="J56" i="6" s="1"/>
  <c r="B56" i="6"/>
  <c r="I55" i="6"/>
  <c r="G55" i="6"/>
  <c r="E55" i="6"/>
  <c r="F55" i="6" s="1"/>
  <c r="D55" i="6"/>
  <c r="B55" i="6"/>
  <c r="D54" i="6"/>
  <c r="E54" i="6" s="1"/>
  <c r="F54" i="6" s="1"/>
  <c r="G54" i="6" s="1"/>
  <c r="B54" i="6"/>
  <c r="I53" i="6"/>
  <c r="D53" i="6"/>
  <c r="E53" i="6" s="1"/>
  <c r="F53" i="6" s="1"/>
  <c r="G53" i="6" s="1"/>
  <c r="B53" i="6"/>
  <c r="I52" i="6"/>
  <c r="F52" i="6"/>
  <c r="G52" i="6" s="1"/>
  <c r="J52" i="6" s="1"/>
  <c r="E52" i="6"/>
  <c r="D52" i="6"/>
  <c r="B52" i="6"/>
  <c r="F51" i="6"/>
  <c r="G51" i="6" s="1"/>
  <c r="E51" i="6"/>
  <c r="D51" i="6"/>
  <c r="B51" i="6"/>
  <c r="G50" i="6"/>
  <c r="D50" i="6"/>
  <c r="E50" i="6" s="1"/>
  <c r="F50" i="6" s="1"/>
  <c r="B50" i="6"/>
  <c r="I49" i="6"/>
  <c r="D49" i="6"/>
  <c r="E49" i="6" s="1"/>
  <c r="F49" i="6" s="1"/>
  <c r="G49" i="6" s="1"/>
  <c r="J49" i="6" s="1"/>
  <c r="B49" i="6"/>
  <c r="I48" i="6"/>
  <c r="G48" i="6"/>
  <c r="J48" i="6" s="1"/>
  <c r="F48" i="6"/>
  <c r="E48" i="6"/>
  <c r="D48" i="6"/>
  <c r="B48" i="6"/>
  <c r="F47" i="6"/>
  <c r="G47" i="6" s="1"/>
  <c r="E47" i="6"/>
  <c r="D47" i="6"/>
  <c r="B47" i="6"/>
  <c r="D46" i="6"/>
  <c r="E46" i="6" s="1"/>
  <c r="F46" i="6" s="1"/>
  <c r="G46" i="6" s="1"/>
  <c r="B46" i="6"/>
  <c r="I45" i="6"/>
  <c r="D45" i="6"/>
  <c r="E45" i="6" s="1"/>
  <c r="F45" i="6" s="1"/>
  <c r="G45" i="6" s="1"/>
  <c r="B45" i="6"/>
  <c r="I44" i="6"/>
  <c r="F44" i="6"/>
  <c r="G44" i="6" s="1"/>
  <c r="J44" i="6" s="1"/>
  <c r="E44" i="6"/>
  <c r="D44" i="6"/>
  <c r="B44" i="6"/>
  <c r="F43" i="6"/>
  <c r="G43" i="6" s="1"/>
  <c r="E43" i="6"/>
  <c r="D43" i="6"/>
  <c r="B43" i="6"/>
  <c r="G42" i="6"/>
  <c r="D42" i="6"/>
  <c r="E42" i="6" s="1"/>
  <c r="F42" i="6" s="1"/>
  <c r="B42" i="6"/>
  <c r="I41" i="6"/>
  <c r="D41" i="6"/>
  <c r="E41" i="6" s="1"/>
  <c r="F41" i="6" s="1"/>
  <c r="G41" i="6" s="1"/>
  <c r="J41" i="6" s="1"/>
  <c r="B41" i="6"/>
  <c r="I40" i="6"/>
  <c r="G40" i="6"/>
  <c r="J40" i="6" s="1"/>
  <c r="F40" i="6"/>
  <c r="E40" i="6"/>
  <c r="D40" i="6"/>
  <c r="B40" i="6"/>
  <c r="F39" i="6"/>
  <c r="G39" i="6" s="1"/>
  <c r="E39" i="6"/>
  <c r="D39" i="6"/>
  <c r="B39" i="6"/>
  <c r="D38" i="6"/>
  <c r="E38" i="6" s="1"/>
  <c r="F38" i="6" s="1"/>
  <c r="G38" i="6" s="1"/>
  <c r="B38" i="6"/>
  <c r="I37" i="6"/>
  <c r="D37" i="6"/>
  <c r="E37" i="6" s="1"/>
  <c r="F37" i="6" s="1"/>
  <c r="G37" i="6" s="1"/>
  <c r="B37" i="6"/>
  <c r="I36" i="6"/>
  <c r="F36" i="6"/>
  <c r="G36" i="6" s="1"/>
  <c r="J36" i="6" s="1"/>
  <c r="E36" i="6"/>
  <c r="D36" i="6"/>
  <c r="B36" i="6"/>
  <c r="F35" i="6"/>
  <c r="G35" i="6" s="1"/>
  <c r="E35" i="6"/>
  <c r="D35" i="6"/>
  <c r="B35" i="6"/>
  <c r="G34" i="6"/>
  <c r="D34" i="6"/>
  <c r="E34" i="6" s="1"/>
  <c r="F34" i="6" s="1"/>
  <c r="B34" i="6"/>
  <c r="I33" i="6"/>
  <c r="D33" i="6"/>
  <c r="E33" i="6" s="1"/>
  <c r="F33" i="6" s="1"/>
  <c r="G33" i="6" s="1"/>
  <c r="J33" i="6" s="1"/>
  <c r="B33" i="6"/>
  <c r="I32" i="6"/>
  <c r="G32" i="6"/>
  <c r="J32" i="6" s="1"/>
  <c r="F32" i="6"/>
  <c r="E32" i="6"/>
  <c r="D32" i="6"/>
  <c r="B32" i="6"/>
  <c r="F31" i="6"/>
  <c r="G31" i="6" s="1"/>
  <c r="E31" i="6"/>
  <c r="D31" i="6"/>
  <c r="B31" i="6"/>
  <c r="G30" i="6"/>
  <c r="D30" i="6"/>
  <c r="E30" i="6" s="1"/>
  <c r="F30" i="6" s="1"/>
  <c r="B30" i="6"/>
  <c r="I29" i="6"/>
  <c r="F29" i="6"/>
  <c r="G29" i="6" s="1"/>
  <c r="D29" i="6"/>
  <c r="E29" i="6" s="1"/>
  <c r="B29" i="6"/>
  <c r="I28" i="6"/>
  <c r="F28" i="6"/>
  <c r="G28" i="6" s="1"/>
  <c r="J28" i="6" s="1"/>
  <c r="E28" i="6"/>
  <c r="D28" i="6"/>
  <c r="B28" i="6"/>
  <c r="D27" i="6"/>
  <c r="E27" i="6" s="1"/>
  <c r="F27" i="6" s="1"/>
  <c r="G27" i="6" s="1"/>
  <c r="B27" i="6"/>
  <c r="G26" i="6"/>
  <c r="D26" i="6"/>
  <c r="E26" i="6" s="1"/>
  <c r="F26" i="6" s="1"/>
  <c r="B26" i="6"/>
  <c r="D25" i="6"/>
  <c r="E25" i="6" s="1"/>
  <c r="F25" i="6" s="1"/>
  <c r="G25" i="6" s="1"/>
  <c r="B25" i="6"/>
  <c r="I24" i="6"/>
  <c r="E24" i="6"/>
  <c r="F24" i="6" s="1"/>
  <c r="G24" i="6" s="1"/>
  <c r="D24" i="6"/>
  <c r="B24" i="6"/>
  <c r="F23" i="6"/>
  <c r="G23" i="6" s="1"/>
  <c r="E23" i="6"/>
  <c r="D23" i="6"/>
  <c r="B23" i="6"/>
  <c r="D22" i="6"/>
  <c r="E22" i="6" s="1"/>
  <c r="F22" i="6" s="1"/>
  <c r="G22" i="6" s="1"/>
  <c r="B22" i="6"/>
  <c r="I21" i="6"/>
  <c r="F21" i="6"/>
  <c r="G21" i="6" s="1"/>
  <c r="J21" i="6" s="1"/>
  <c r="D21" i="6"/>
  <c r="E21" i="6" s="1"/>
  <c r="B21" i="6"/>
  <c r="F20" i="6"/>
  <c r="G20" i="6" s="1"/>
  <c r="E20" i="6"/>
  <c r="D20" i="6"/>
  <c r="B20" i="6"/>
  <c r="D19" i="6"/>
  <c r="E19" i="6" s="1"/>
  <c r="F19" i="6" s="1"/>
  <c r="G19" i="6" s="1"/>
  <c r="B19" i="6"/>
  <c r="I18" i="6"/>
  <c r="E18" i="6"/>
  <c r="F18" i="6" s="1"/>
  <c r="G18" i="6" s="1"/>
  <c r="D18" i="6"/>
  <c r="B18" i="6"/>
  <c r="T17" i="6"/>
  <c r="T18" i="6" s="1"/>
  <c r="I17" i="6"/>
  <c r="F17" i="6"/>
  <c r="G17" i="6" s="1"/>
  <c r="J17" i="6" s="1"/>
  <c r="D17" i="6"/>
  <c r="E17" i="6" s="1"/>
  <c r="B17" i="6"/>
  <c r="E16" i="6"/>
  <c r="F16" i="6" s="1"/>
  <c r="G16" i="6" s="1"/>
  <c r="D16" i="6"/>
  <c r="B16" i="6"/>
  <c r="I15" i="6"/>
  <c r="D15" i="6"/>
  <c r="E15" i="6" s="1"/>
  <c r="F15" i="6" s="1"/>
  <c r="G15" i="6" s="1"/>
  <c r="B15" i="6"/>
  <c r="D14" i="6"/>
  <c r="E14" i="6" s="1"/>
  <c r="F14" i="6" s="1"/>
  <c r="G14" i="6" s="1"/>
  <c r="B14" i="6"/>
  <c r="D13" i="6"/>
  <c r="E13" i="6" s="1"/>
  <c r="F13" i="6" s="1"/>
  <c r="G13" i="6" s="1"/>
  <c r="B13" i="6"/>
  <c r="I12" i="6"/>
  <c r="G12" i="6"/>
  <c r="J12" i="6" s="1"/>
  <c r="E12" i="6"/>
  <c r="F12" i="6" s="1"/>
  <c r="D12" i="6"/>
  <c r="B12" i="6"/>
  <c r="I11" i="6"/>
  <c r="E11" i="6"/>
  <c r="F11" i="6" s="1"/>
  <c r="G11" i="6" s="1"/>
  <c r="J11" i="6" s="1"/>
  <c r="D11" i="6"/>
  <c r="B11" i="6"/>
  <c r="D10" i="6"/>
  <c r="E10" i="6" s="1"/>
  <c r="F10" i="6" s="1"/>
  <c r="G10" i="6" s="1"/>
  <c r="B10" i="6"/>
  <c r="T9" i="6"/>
  <c r="J29" i="6" s="1"/>
  <c r="D9" i="6"/>
  <c r="E9" i="6" s="1"/>
  <c r="F9" i="6" s="1"/>
  <c r="G9" i="6" s="1"/>
  <c r="B9" i="6"/>
  <c r="T8" i="6"/>
  <c r="D8" i="6"/>
  <c r="E8" i="6" s="1"/>
  <c r="F8" i="6" s="1"/>
  <c r="G8" i="6" s="1"/>
  <c r="B8" i="6"/>
  <c r="T7" i="6"/>
  <c r="I25" i="6" s="1"/>
  <c r="J7" i="6"/>
  <c r="I7" i="6"/>
  <c r="F7" i="6"/>
  <c r="G7" i="6" s="1"/>
  <c r="D7" i="6"/>
  <c r="E7" i="6" s="1"/>
  <c r="B7" i="6"/>
  <c r="I6" i="6"/>
  <c r="G6" i="6"/>
  <c r="F6" i="6"/>
  <c r="E6" i="6"/>
  <c r="D6" i="6"/>
  <c r="B6" i="6"/>
  <c r="T5" i="6"/>
  <c r="I5" i="6"/>
  <c r="I3" i="6"/>
  <c r="K66" i="5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B2" i="5"/>
  <c r="P70" i="4"/>
  <c r="O70" i="4"/>
  <c r="N70" i="4"/>
  <c r="M70" i="4"/>
  <c r="L70" i="4"/>
  <c r="H70" i="4"/>
  <c r="C70" i="4"/>
  <c r="E69" i="4"/>
  <c r="D69" i="4"/>
  <c r="B69" i="4"/>
  <c r="D68" i="4"/>
  <c r="E68" i="4" s="1"/>
  <c r="F68" i="4" s="1"/>
  <c r="G68" i="4" s="1"/>
  <c r="B68" i="4"/>
  <c r="E67" i="4"/>
  <c r="F67" i="4" s="1"/>
  <c r="G67" i="4" s="1"/>
  <c r="D67" i="4"/>
  <c r="B67" i="4"/>
  <c r="I66" i="4"/>
  <c r="F66" i="4"/>
  <c r="G66" i="4" s="1"/>
  <c r="D66" i="4"/>
  <c r="E66" i="4" s="1"/>
  <c r="B66" i="4"/>
  <c r="I65" i="4"/>
  <c r="E65" i="4"/>
  <c r="D65" i="4"/>
  <c r="B65" i="4"/>
  <c r="D64" i="4"/>
  <c r="E64" i="4" s="1"/>
  <c r="B64" i="4"/>
  <c r="D63" i="4"/>
  <c r="E63" i="4" s="1"/>
  <c r="F63" i="4" s="1"/>
  <c r="G63" i="4" s="1"/>
  <c r="B63" i="4"/>
  <c r="D62" i="4"/>
  <c r="E62" i="4" s="1"/>
  <c r="F62" i="4" s="1"/>
  <c r="G62" i="4" s="1"/>
  <c r="B62" i="4"/>
  <c r="I61" i="4"/>
  <c r="E61" i="4"/>
  <c r="D61" i="4"/>
  <c r="B61" i="4"/>
  <c r="I60" i="4"/>
  <c r="D60" i="4"/>
  <c r="E60" i="4" s="1"/>
  <c r="B60" i="4"/>
  <c r="D59" i="4"/>
  <c r="E59" i="4" s="1"/>
  <c r="B59" i="4"/>
  <c r="D58" i="4"/>
  <c r="E58" i="4" s="1"/>
  <c r="F58" i="4" s="1"/>
  <c r="G58" i="4" s="1"/>
  <c r="B58" i="4"/>
  <c r="E57" i="4"/>
  <c r="D57" i="4"/>
  <c r="B57" i="4"/>
  <c r="I56" i="4"/>
  <c r="E56" i="4"/>
  <c r="D56" i="4"/>
  <c r="B56" i="4"/>
  <c r="D55" i="4"/>
  <c r="E55" i="4" s="1"/>
  <c r="B55" i="4"/>
  <c r="I54" i="4"/>
  <c r="D54" i="4"/>
  <c r="E54" i="4" s="1"/>
  <c r="B54" i="4"/>
  <c r="E53" i="4"/>
  <c r="D53" i="4"/>
  <c r="B53" i="4"/>
  <c r="D52" i="4"/>
  <c r="E52" i="4" s="1"/>
  <c r="F52" i="4" s="1"/>
  <c r="G52" i="4" s="1"/>
  <c r="B52" i="4"/>
  <c r="E51" i="4"/>
  <c r="D51" i="4"/>
  <c r="B51" i="4"/>
  <c r="D50" i="4"/>
  <c r="E50" i="4" s="1"/>
  <c r="B50" i="4"/>
  <c r="I49" i="4"/>
  <c r="E49" i="4"/>
  <c r="D49" i="4"/>
  <c r="B49" i="4"/>
  <c r="E48" i="4"/>
  <c r="F48" i="4" s="1"/>
  <c r="G48" i="4" s="1"/>
  <c r="D48" i="4"/>
  <c r="B48" i="4"/>
  <c r="D47" i="4"/>
  <c r="E47" i="4" s="1"/>
  <c r="F47" i="4" s="1"/>
  <c r="G47" i="4" s="1"/>
  <c r="B47" i="4"/>
  <c r="I46" i="4"/>
  <c r="D46" i="4"/>
  <c r="E46" i="4" s="1"/>
  <c r="B46" i="4"/>
  <c r="E45" i="4"/>
  <c r="D45" i="4"/>
  <c r="B45" i="4"/>
  <c r="I44" i="4"/>
  <c r="D44" i="4"/>
  <c r="E44" i="4" s="1"/>
  <c r="F44" i="4" s="1"/>
  <c r="G44" i="4" s="1"/>
  <c r="B44" i="4"/>
  <c r="F43" i="4"/>
  <c r="G43" i="4" s="1"/>
  <c r="E43" i="4"/>
  <c r="D43" i="4"/>
  <c r="B43" i="4"/>
  <c r="I42" i="4"/>
  <c r="F42" i="4"/>
  <c r="G42" i="4" s="1"/>
  <c r="D42" i="4"/>
  <c r="E42" i="4" s="1"/>
  <c r="B42" i="4"/>
  <c r="I41" i="4"/>
  <c r="E41" i="4"/>
  <c r="D41" i="4"/>
  <c r="B41" i="4"/>
  <c r="D40" i="4"/>
  <c r="E40" i="4" s="1"/>
  <c r="F40" i="4" s="1"/>
  <c r="G40" i="4" s="1"/>
  <c r="B40" i="4"/>
  <c r="D39" i="4"/>
  <c r="E39" i="4" s="1"/>
  <c r="F39" i="4" s="1"/>
  <c r="G39" i="4" s="1"/>
  <c r="B39" i="4"/>
  <c r="I38" i="4"/>
  <c r="F38" i="4"/>
  <c r="G38" i="4" s="1"/>
  <c r="D38" i="4"/>
  <c r="E38" i="4" s="1"/>
  <c r="B38" i="4"/>
  <c r="I37" i="4"/>
  <c r="E37" i="4"/>
  <c r="D37" i="4"/>
  <c r="B37" i="4"/>
  <c r="I36" i="4"/>
  <c r="F36" i="4"/>
  <c r="G36" i="4" s="1"/>
  <c r="D36" i="4"/>
  <c r="E36" i="4" s="1"/>
  <c r="B36" i="4"/>
  <c r="E35" i="4"/>
  <c r="F35" i="4" s="1"/>
  <c r="G35" i="4" s="1"/>
  <c r="D35" i="4"/>
  <c r="B35" i="4"/>
  <c r="D34" i="4"/>
  <c r="E34" i="4" s="1"/>
  <c r="F34" i="4" s="1"/>
  <c r="G34" i="4" s="1"/>
  <c r="B34" i="4"/>
  <c r="I33" i="4"/>
  <c r="E33" i="4"/>
  <c r="D33" i="4"/>
  <c r="B33" i="4"/>
  <c r="I32" i="4"/>
  <c r="D32" i="4"/>
  <c r="E32" i="4" s="1"/>
  <c r="B32" i="4"/>
  <c r="D31" i="4"/>
  <c r="E31" i="4" s="1"/>
  <c r="F31" i="4" s="1"/>
  <c r="G31" i="4" s="1"/>
  <c r="B31" i="4"/>
  <c r="D30" i="4"/>
  <c r="E30" i="4" s="1"/>
  <c r="F30" i="4" s="1"/>
  <c r="G30" i="4" s="1"/>
  <c r="B30" i="4"/>
  <c r="E29" i="4"/>
  <c r="D29" i="4"/>
  <c r="B29" i="4"/>
  <c r="I28" i="4"/>
  <c r="D28" i="4"/>
  <c r="E28" i="4" s="1"/>
  <c r="F28" i="4" s="1"/>
  <c r="G28" i="4" s="1"/>
  <c r="B28" i="4"/>
  <c r="D27" i="4"/>
  <c r="E27" i="4" s="1"/>
  <c r="B27" i="4"/>
  <c r="F26" i="4"/>
  <c r="G26" i="4" s="1"/>
  <c r="D26" i="4"/>
  <c r="E26" i="4" s="1"/>
  <c r="B26" i="4"/>
  <c r="E25" i="4"/>
  <c r="D25" i="4"/>
  <c r="B25" i="4"/>
  <c r="E24" i="4"/>
  <c r="F24" i="4" s="1"/>
  <c r="G24" i="4" s="1"/>
  <c r="D24" i="4"/>
  <c r="B24" i="4"/>
  <c r="D23" i="4"/>
  <c r="E23" i="4" s="1"/>
  <c r="F23" i="4" s="1"/>
  <c r="G23" i="4" s="1"/>
  <c r="B23" i="4"/>
  <c r="I22" i="4"/>
  <c r="D22" i="4"/>
  <c r="E22" i="4" s="1"/>
  <c r="B22" i="4"/>
  <c r="E21" i="4"/>
  <c r="D21" i="4"/>
  <c r="B21" i="4"/>
  <c r="D20" i="4"/>
  <c r="E20" i="4" s="1"/>
  <c r="F20" i="4" s="1"/>
  <c r="G20" i="4" s="1"/>
  <c r="B20" i="4"/>
  <c r="E19" i="4"/>
  <c r="F19" i="4" s="1"/>
  <c r="G19" i="4" s="1"/>
  <c r="D19" i="4"/>
  <c r="B19" i="4"/>
  <c r="I18" i="4"/>
  <c r="D18" i="4"/>
  <c r="E18" i="4" s="1"/>
  <c r="F18" i="4" s="1"/>
  <c r="G18" i="4" s="1"/>
  <c r="B18" i="4"/>
  <c r="E17" i="4"/>
  <c r="F17" i="4" s="1"/>
  <c r="G17" i="4" s="1"/>
  <c r="D17" i="4"/>
  <c r="B17" i="4"/>
  <c r="E16" i="4"/>
  <c r="F16" i="4" s="1"/>
  <c r="G16" i="4" s="1"/>
  <c r="D16" i="4"/>
  <c r="B16" i="4"/>
  <c r="D15" i="4"/>
  <c r="E15" i="4" s="1"/>
  <c r="F15" i="4" s="1"/>
  <c r="G15" i="4" s="1"/>
  <c r="B15" i="4"/>
  <c r="D14" i="4"/>
  <c r="E14" i="4" s="1"/>
  <c r="B14" i="4"/>
  <c r="I13" i="4"/>
  <c r="E13" i="4"/>
  <c r="F13" i="4" s="1"/>
  <c r="G13" i="4" s="1"/>
  <c r="D13" i="4"/>
  <c r="B13" i="4"/>
  <c r="I12" i="4"/>
  <c r="D12" i="4"/>
  <c r="E12" i="4" s="1"/>
  <c r="F12" i="4" s="1"/>
  <c r="G12" i="4" s="1"/>
  <c r="B12" i="4"/>
  <c r="D11" i="4"/>
  <c r="E11" i="4" s="1"/>
  <c r="B11" i="4"/>
  <c r="I10" i="4"/>
  <c r="D10" i="4"/>
  <c r="E10" i="4" s="1"/>
  <c r="B10" i="4"/>
  <c r="I9" i="4"/>
  <c r="F9" i="4"/>
  <c r="G9" i="4" s="1"/>
  <c r="D9" i="4"/>
  <c r="E9" i="4" s="1"/>
  <c r="B9" i="4"/>
  <c r="E8" i="4"/>
  <c r="F8" i="4" s="1"/>
  <c r="G8" i="4" s="1"/>
  <c r="D8" i="4"/>
  <c r="B8" i="4"/>
  <c r="T7" i="4"/>
  <c r="I7" i="4"/>
  <c r="D7" i="4"/>
  <c r="E7" i="4" s="1"/>
  <c r="F7" i="4" s="1"/>
  <c r="G7" i="4" s="1"/>
  <c r="B7" i="4"/>
  <c r="E6" i="4"/>
  <c r="D6" i="4"/>
  <c r="B6" i="4"/>
  <c r="T5" i="4"/>
  <c r="I5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E69" i="2"/>
  <c r="F69" i="2" s="1"/>
  <c r="G69" i="2" s="1"/>
  <c r="D69" i="2"/>
  <c r="B69" i="2"/>
  <c r="D68" i="2"/>
  <c r="E68" i="2" s="1"/>
  <c r="F68" i="2" s="1"/>
  <c r="B68" i="2"/>
  <c r="D67" i="2"/>
  <c r="E67" i="2" s="1"/>
  <c r="F67" i="2" s="1"/>
  <c r="B67" i="2"/>
  <c r="F66" i="2"/>
  <c r="G66" i="2" s="1"/>
  <c r="E66" i="2"/>
  <c r="D66" i="2"/>
  <c r="B66" i="2"/>
  <c r="D65" i="2"/>
  <c r="E65" i="2" s="1"/>
  <c r="F65" i="2" s="1"/>
  <c r="B65" i="2"/>
  <c r="D64" i="2"/>
  <c r="E64" i="2" s="1"/>
  <c r="F64" i="2" s="1"/>
  <c r="G64" i="2" s="1"/>
  <c r="B64" i="2"/>
  <c r="D63" i="2"/>
  <c r="E63" i="2" s="1"/>
  <c r="F63" i="2" s="1"/>
  <c r="G63" i="2" s="1"/>
  <c r="B63" i="2"/>
  <c r="F62" i="2"/>
  <c r="E62" i="2"/>
  <c r="D62" i="2"/>
  <c r="B62" i="2"/>
  <c r="D61" i="2"/>
  <c r="E61" i="2" s="1"/>
  <c r="F61" i="2" s="1"/>
  <c r="G61" i="2" s="1"/>
  <c r="B61" i="2"/>
  <c r="E60" i="2"/>
  <c r="F60" i="2" s="1"/>
  <c r="G60" i="2" s="1"/>
  <c r="D60" i="2"/>
  <c r="B60" i="2"/>
  <c r="F59" i="2"/>
  <c r="D59" i="2"/>
  <c r="E59" i="2" s="1"/>
  <c r="B59" i="2"/>
  <c r="I58" i="2"/>
  <c r="F58" i="2"/>
  <c r="E58" i="2"/>
  <c r="D58" i="2"/>
  <c r="B58" i="2"/>
  <c r="D57" i="2"/>
  <c r="E57" i="2" s="1"/>
  <c r="F57" i="2" s="1"/>
  <c r="G57" i="2" s="1"/>
  <c r="B57" i="2"/>
  <c r="E56" i="2"/>
  <c r="F56" i="2" s="1"/>
  <c r="G56" i="2" s="1"/>
  <c r="D56" i="2"/>
  <c r="B56" i="2"/>
  <c r="D55" i="2"/>
  <c r="E55" i="2" s="1"/>
  <c r="F55" i="2" s="1"/>
  <c r="B55" i="2"/>
  <c r="E54" i="2"/>
  <c r="F54" i="2" s="1"/>
  <c r="G54" i="2" s="1"/>
  <c r="D54" i="2"/>
  <c r="B54" i="2"/>
  <c r="F53" i="2"/>
  <c r="E53" i="2"/>
  <c r="D53" i="2"/>
  <c r="B53" i="2"/>
  <c r="D52" i="2"/>
  <c r="E52" i="2" s="1"/>
  <c r="F52" i="2" s="1"/>
  <c r="G52" i="2" s="1"/>
  <c r="B52" i="2"/>
  <c r="D51" i="2"/>
  <c r="E51" i="2" s="1"/>
  <c r="F51" i="2" s="1"/>
  <c r="B51" i="2"/>
  <c r="E50" i="2"/>
  <c r="F50" i="2" s="1"/>
  <c r="D50" i="2"/>
  <c r="B50" i="2"/>
  <c r="D49" i="2"/>
  <c r="E49" i="2" s="1"/>
  <c r="F49" i="2" s="1"/>
  <c r="G49" i="2" s="1"/>
  <c r="B49" i="2"/>
  <c r="D48" i="2"/>
  <c r="E48" i="2" s="1"/>
  <c r="F48" i="2" s="1"/>
  <c r="G48" i="2" s="1"/>
  <c r="B48" i="2"/>
  <c r="D47" i="2"/>
  <c r="E47" i="2" s="1"/>
  <c r="F47" i="2" s="1"/>
  <c r="G47" i="2" s="1"/>
  <c r="B47" i="2"/>
  <c r="E46" i="2"/>
  <c r="F46" i="2" s="1"/>
  <c r="G46" i="2" s="1"/>
  <c r="D46" i="2"/>
  <c r="B46" i="2"/>
  <c r="D45" i="2"/>
  <c r="E45" i="2" s="1"/>
  <c r="F45" i="2" s="1"/>
  <c r="G45" i="2" s="1"/>
  <c r="B45" i="2"/>
  <c r="D44" i="2"/>
  <c r="E44" i="2" s="1"/>
  <c r="F44" i="2" s="1"/>
  <c r="G44" i="2" s="1"/>
  <c r="B44" i="2"/>
  <c r="D43" i="2"/>
  <c r="E43" i="2" s="1"/>
  <c r="F43" i="2" s="1"/>
  <c r="G43" i="2" s="1"/>
  <c r="B43" i="2"/>
  <c r="F42" i="2"/>
  <c r="G42" i="2" s="1"/>
  <c r="E42" i="2"/>
  <c r="D42" i="2"/>
  <c r="B42" i="2"/>
  <c r="D41" i="2"/>
  <c r="E41" i="2" s="1"/>
  <c r="F41" i="2" s="1"/>
  <c r="G41" i="2" s="1"/>
  <c r="B41" i="2"/>
  <c r="D40" i="2"/>
  <c r="E40" i="2" s="1"/>
  <c r="F40" i="2" s="1"/>
  <c r="G40" i="2" s="1"/>
  <c r="B40" i="2"/>
  <c r="D39" i="2"/>
  <c r="E39" i="2" s="1"/>
  <c r="F39" i="2" s="1"/>
  <c r="G39" i="2" s="1"/>
  <c r="B39" i="2"/>
  <c r="E38" i="2"/>
  <c r="F38" i="2" s="1"/>
  <c r="D38" i="2"/>
  <c r="B38" i="2"/>
  <c r="D37" i="2"/>
  <c r="E37" i="2" s="1"/>
  <c r="F37" i="2" s="1"/>
  <c r="G37" i="2" s="1"/>
  <c r="B37" i="2"/>
  <c r="E36" i="2"/>
  <c r="F36" i="2" s="1"/>
  <c r="D36" i="2"/>
  <c r="B36" i="2"/>
  <c r="F35" i="2"/>
  <c r="D35" i="2"/>
  <c r="E35" i="2" s="1"/>
  <c r="B35" i="2"/>
  <c r="I34" i="2"/>
  <c r="E34" i="2"/>
  <c r="F34" i="2" s="1"/>
  <c r="G34" i="2" s="1"/>
  <c r="D34" i="2"/>
  <c r="B34" i="2"/>
  <c r="D33" i="2"/>
  <c r="E33" i="2" s="1"/>
  <c r="F33" i="2" s="1"/>
  <c r="G33" i="2" s="1"/>
  <c r="B33" i="2"/>
  <c r="E32" i="2"/>
  <c r="F32" i="2" s="1"/>
  <c r="G32" i="2" s="1"/>
  <c r="D32" i="2"/>
  <c r="B32" i="2"/>
  <c r="F31" i="2"/>
  <c r="D31" i="2"/>
  <c r="E31" i="2" s="1"/>
  <c r="B31" i="2"/>
  <c r="E30" i="2"/>
  <c r="F30" i="2" s="1"/>
  <c r="G30" i="2" s="1"/>
  <c r="D30" i="2"/>
  <c r="B30" i="2"/>
  <c r="D29" i="2"/>
  <c r="E29" i="2" s="1"/>
  <c r="F29" i="2" s="1"/>
  <c r="G29" i="2" s="1"/>
  <c r="B29" i="2"/>
  <c r="D28" i="2"/>
  <c r="E28" i="2" s="1"/>
  <c r="F28" i="2" s="1"/>
  <c r="B28" i="2"/>
  <c r="E27" i="2"/>
  <c r="F27" i="2" s="1"/>
  <c r="G27" i="2" s="1"/>
  <c r="D27" i="2"/>
  <c r="B27" i="2"/>
  <c r="E26" i="2"/>
  <c r="F26" i="2" s="1"/>
  <c r="G26" i="2" s="1"/>
  <c r="D26" i="2"/>
  <c r="B26" i="2"/>
  <c r="E25" i="2"/>
  <c r="F25" i="2" s="1"/>
  <c r="G25" i="2" s="1"/>
  <c r="D25" i="2"/>
  <c r="B25" i="2"/>
  <c r="F24" i="2"/>
  <c r="E24" i="2"/>
  <c r="D24" i="2"/>
  <c r="B24" i="2"/>
  <c r="F23" i="2"/>
  <c r="G23" i="2" s="1"/>
  <c r="D23" i="2"/>
  <c r="E23" i="2" s="1"/>
  <c r="B23" i="2"/>
  <c r="E22" i="2"/>
  <c r="F22" i="2" s="1"/>
  <c r="G22" i="2" s="1"/>
  <c r="D22" i="2"/>
  <c r="B22" i="2"/>
  <c r="I21" i="2"/>
  <c r="D21" i="2"/>
  <c r="E21" i="2" s="1"/>
  <c r="F21" i="2" s="1"/>
  <c r="G21" i="2" s="1"/>
  <c r="B21" i="2"/>
  <c r="D20" i="2"/>
  <c r="E20" i="2" s="1"/>
  <c r="F20" i="2" s="1"/>
  <c r="G20" i="2" s="1"/>
  <c r="B20" i="2"/>
  <c r="D19" i="2"/>
  <c r="E19" i="2" s="1"/>
  <c r="F19" i="2" s="1"/>
  <c r="G19" i="2" s="1"/>
  <c r="B19" i="2"/>
  <c r="F18" i="2"/>
  <c r="D18" i="2"/>
  <c r="E18" i="2" s="1"/>
  <c r="B18" i="2"/>
  <c r="U17" i="2"/>
  <c r="D17" i="2"/>
  <c r="E17" i="2" s="1"/>
  <c r="F17" i="2" s="1"/>
  <c r="G17" i="2" s="1"/>
  <c r="B17" i="2"/>
  <c r="U16" i="2"/>
  <c r="U18" i="2" s="1"/>
  <c r="E16" i="2"/>
  <c r="F16" i="2" s="1"/>
  <c r="G16" i="2" s="1"/>
  <c r="D16" i="2"/>
  <c r="B16" i="2"/>
  <c r="E15" i="2"/>
  <c r="F15" i="2" s="1"/>
  <c r="G15" i="2" s="1"/>
  <c r="D15" i="2"/>
  <c r="B15" i="2"/>
  <c r="U14" i="2"/>
  <c r="F14" i="2"/>
  <c r="E14" i="2"/>
  <c r="D14" i="2"/>
  <c r="B14" i="2"/>
  <c r="G13" i="2"/>
  <c r="F13" i="2"/>
  <c r="D13" i="2"/>
  <c r="E13" i="2" s="1"/>
  <c r="B13" i="2"/>
  <c r="D12" i="2"/>
  <c r="E12" i="2" s="1"/>
  <c r="F12" i="2" s="1"/>
  <c r="G12" i="2" s="1"/>
  <c r="B12" i="2"/>
  <c r="D11" i="2"/>
  <c r="E11" i="2" s="1"/>
  <c r="F11" i="2" s="1"/>
  <c r="G11" i="2" s="1"/>
  <c r="B11" i="2"/>
  <c r="D10" i="2"/>
  <c r="E10" i="2" s="1"/>
  <c r="F10" i="2" s="1"/>
  <c r="G10" i="2" s="1"/>
  <c r="B10" i="2"/>
  <c r="D9" i="2"/>
  <c r="E9" i="2" s="1"/>
  <c r="B9" i="2"/>
  <c r="F8" i="2"/>
  <c r="E8" i="2"/>
  <c r="D8" i="2"/>
  <c r="B8" i="2"/>
  <c r="U7" i="2"/>
  <c r="I69" i="2" s="1"/>
  <c r="I7" i="2"/>
  <c r="D7" i="2"/>
  <c r="E7" i="2" s="1"/>
  <c r="F7" i="2" s="1"/>
  <c r="G7" i="2" s="1"/>
  <c r="B7" i="2"/>
  <c r="D6" i="2"/>
  <c r="B6" i="2"/>
  <c r="U5" i="2"/>
  <c r="G24" i="2" s="1"/>
  <c r="H2" i="1"/>
  <c r="G2" i="1"/>
  <c r="AG66" i="27"/>
  <c r="Q66" i="27"/>
  <c r="AC63" i="27"/>
  <c r="M63" i="27"/>
  <c r="F62" i="27"/>
  <c r="Y60" i="27"/>
  <c r="I60" i="27"/>
  <c r="Y65" i="27"/>
  <c r="I65" i="27"/>
  <c r="AG64" i="27"/>
  <c r="Q64" i="27"/>
  <c r="AC61" i="27"/>
  <c r="M61" i="27"/>
  <c r="F60" i="27"/>
  <c r="Y58" i="27"/>
  <c r="I58" i="27"/>
  <c r="AK55" i="27"/>
  <c r="U55" i="27"/>
  <c r="E55" i="27"/>
  <c r="AG52" i="27"/>
  <c r="Q52" i="27"/>
  <c r="AC49" i="27"/>
  <c r="M49" i="27"/>
  <c r="F48" i="27"/>
  <c r="Y46" i="27"/>
  <c r="I46" i="27"/>
  <c r="AK43" i="27"/>
  <c r="U43" i="27"/>
  <c r="E43" i="27"/>
  <c r="AG40" i="27"/>
  <c r="AC66" i="27"/>
  <c r="M66" i="27"/>
  <c r="F65" i="27"/>
  <c r="Y63" i="27"/>
  <c r="I63" i="27"/>
  <c r="AK60" i="27"/>
  <c r="U60" i="27"/>
  <c r="E60" i="27"/>
  <c r="AG57" i="27"/>
  <c r="Q57" i="27"/>
  <c r="AC54" i="27"/>
  <c r="M54" i="27"/>
  <c r="F53" i="27"/>
  <c r="Y51" i="27"/>
  <c r="I51" i="27"/>
  <c r="AK48" i="27"/>
  <c r="U48" i="27"/>
  <c r="AK65" i="27"/>
  <c r="U65" i="27"/>
  <c r="E65" i="27"/>
  <c r="AG62" i="27"/>
  <c r="Q62" i="27"/>
  <c r="AC59" i="27"/>
  <c r="M59" i="27"/>
  <c r="F58" i="27"/>
  <c r="Y56" i="27"/>
  <c r="I56" i="27"/>
  <c r="AK53" i="27"/>
  <c r="U53" i="27"/>
  <c r="E53" i="27"/>
  <c r="AG50" i="27"/>
  <c r="Q50" i="27"/>
  <c r="AC47" i="27"/>
  <c r="M47" i="27"/>
  <c r="F46" i="27"/>
  <c r="Y44" i="27"/>
  <c r="I44" i="27"/>
  <c r="AK41" i="27"/>
  <c r="U41" i="27"/>
  <c r="E41" i="27"/>
  <c r="AG38" i="27"/>
  <c r="Y66" i="27"/>
  <c r="I66" i="27"/>
  <c r="AK63" i="27"/>
  <c r="U63" i="27"/>
  <c r="E63" i="27"/>
  <c r="AG60" i="27"/>
  <c r="Q60" i="27"/>
  <c r="AC57" i="27"/>
  <c r="M57" i="27"/>
  <c r="F56" i="27"/>
  <c r="Y54" i="27"/>
  <c r="I54" i="27"/>
  <c r="AK51" i="27"/>
  <c r="U51" i="27"/>
  <c r="E51" i="27"/>
  <c r="AG48" i="27"/>
  <c r="Q48" i="27"/>
  <c r="AC45" i="27"/>
  <c r="M45" i="27"/>
  <c r="F44" i="27"/>
  <c r="Y42" i="27"/>
  <c r="I42" i="27"/>
  <c r="F66" i="27"/>
  <c r="Y64" i="27"/>
  <c r="I64" i="27"/>
  <c r="AK61" i="27"/>
  <c r="U61" i="27"/>
  <c r="E61" i="27"/>
  <c r="AG58" i="27"/>
  <c r="Q58" i="27"/>
  <c r="AC55" i="27"/>
  <c r="M55" i="27"/>
  <c r="F54" i="27"/>
  <c r="Y52" i="27"/>
  <c r="I52" i="27"/>
  <c r="AC65" i="27"/>
  <c r="M65" i="27"/>
  <c r="F64" i="27"/>
  <c r="Y62" i="27"/>
  <c r="I62" i="27"/>
  <c r="AK59" i="27"/>
  <c r="U59" i="27"/>
  <c r="E59" i="27"/>
  <c r="AG56" i="27"/>
  <c r="Q56" i="27"/>
  <c r="AC53" i="27"/>
  <c r="M53" i="27"/>
  <c r="F52" i="27"/>
  <c r="Y50" i="27"/>
  <c r="I50" i="27"/>
  <c r="AK47" i="27"/>
  <c r="U47" i="27"/>
  <c r="E47" i="27"/>
  <c r="AG44" i="27"/>
  <c r="Q44" i="27"/>
  <c r="F63" i="27"/>
  <c r="AC62" i="27"/>
  <c r="U58" i="27"/>
  <c r="U57" i="27"/>
  <c r="AK52" i="27"/>
  <c r="E52" i="27"/>
  <c r="AG51" i="27"/>
  <c r="F50" i="27"/>
  <c r="F47" i="27"/>
  <c r="E45" i="27"/>
  <c r="Y43" i="27"/>
  <c r="AK42" i="27"/>
  <c r="M42" i="27"/>
  <c r="AC41" i="27"/>
  <c r="I41" i="27"/>
  <c r="E40" i="27"/>
  <c r="AC39" i="27"/>
  <c r="Q38" i="27"/>
  <c r="AC35" i="27"/>
  <c r="M35" i="27"/>
  <c r="F34" i="27"/>
  <c r="Y32" i="27"/>
  <c r="I32" i="27"/>
  <c r="AK29" i="27"/>
  <c r="U29" i="27"/>
  <c r="E29" i="27"/>
  <c r="AG26" i="27"/>
  <c r="Q26" i="27"/>
  <c r="AK66" i="27"/>
  <c r="U64" i="27"/>
  <c r="Q61" i="27"/>
  <c r="Y59" i="27"/>
  <c r="I55" i="27"/>
  <c r="I53" i="27"/>
  <c r="AC50" i="27"/>
  <c r="E50" i="27"/>
  <c r="AK46" i="27"/>
  <c r="M46" i="27"/>
  <c r="AK44" i="27"/>
  <c r="F41" i="27"/>
  <c r="Y37" i="27"/>
  <c r="I37" i="27"/>
  <c r="AK34" i="27"/>
  <c r="U34" i="27"/>
  <c r="E34" i="27"/>
  <c r="M64" i="27"/>
  <c r="M56" i="27"/>
  <c r="AK54" i="27"/>
  <c r="E54" i="27"/>
  <c r="AC51" i="27"/>
  <c r="AK49" i="27"/>
  <c r="I49" i="27"/>
  <c r="Y47" i="27"/>
  <c r="Y45" i="27"/>
  <c r="M44" i="27"/>
  <c r="AG42" i="27"/>
  <c r="U40" i="27"/>
  <c r="I39" i="27"/>
  <c r="AG36" i="27"/>
  <c r="Q36" i="27"/>
  <c r="AC33" i="27"/>
  <c r="U62" i="27"/>
  <c r="I61" i="27"/>
  <c r="M58" i="27"/>
  <c r="F55" i="27"/>
  <c r="AG53" i="27"/>
  <c r="AC52" i="27"/>
  <c r="F49" i="27"/>
  <c r="M48" i="27"/>
  <c r="AG46" i="27"/>
  <c r="F42" i="27"/>
  <c r="Y41" i="27"/>
  <c r="Y39" i="27"/>
  <c r="F39" i="27"/>
  <c r="AC38" i="27"/>
  <c r="M38" i="27"/>
  <c r="F37" i="27"/>
  <c r="Y35" i="27"/>
  <c r="I35" i="27"/>
  <c r="AG63" i="27"/>
  <c r="F61" i="27"/>
  <c r="AC60" i="27"/>
  <c r="Q59" i="27"/>
  <c r="I57" i="27"/>
  <c r="AK56" i="27"/>
  <c r="E56" i="27"/>
  <c r="AG55" i="27"/>
  <c r="AG54" i="27"/>
  <c r="AG49" i="27"/>
  <c r="E49" i="27"/>
  <c r="U45" i="27"/>
  <c r="Q43" i="27"/>
  <c r="AC42" i="27"/>
  <c r="E42" i="27"/>
  <c r="E39" i="27"/>
  <c r="AK37" i="27"/>
  <c r="U37" i="27"/>
  <c r="E37" i="27"/>
  <c r="AG34" i="27"/>
  <c r="Q34" i="27"/>
  <c r="AC31" i="27"/>
  <c r="M31" i="27"/>
  <c r="AG65" i="27"/>
  <c r="I59" i="27"/>
  <c r="AK58" i="27"/>
  <c r="E58" i="27"/>
  <c r="AK57" i="27"/>
  <c r="E57" i="27"/>
  <c r="U52" i="27"/>
  <c r="Q51" i="27"/>
  <c r="U50" i="27"/>
  <c r="Q45" i="27"/>
  <c r="AC44" i="27"/>
  <c r="M43" i="27"/>
  <c r="E62" i="27"/>
  <c r="AG61" i="27"/>
  <c r="AC56" i="27"/>
  <c r="U54" i="27"/>
  <c r="M51" i="27"/>
  <c r="M50" i="27"/>
  <c r="AC48" i="27"/>
  <c r="AK45" i="27"/>
  <c r="AG43" i="27"/>
  <c r="I43" i="27"/>
  <c r="U42" i="27"/>
  <c r="Q39" i="27"/>
  <c r="F38" i="27"/>
  <c r="Y36" i="27"/>
  <c r="I36" i="27"/>
  <c r="AK33" i="27"/>
  <c r="AK64" i="27"/>
  <c r="Q63" i="27"/>
  <c r="Q54" i="27"/>
  <c r="U49" i="27"/>
  <c r="Y48" i="27"/>
  <c r="AG47" i="27"/>
  <c r="E44" i="27"/>
  <c r="Y40" i="27"/>
  <c r="E38" i="27"/>
  <c r="AG37" i="27"/>
  <c r="Y34" i="27"/>
  <c r="AK31" i="27"/>
  <c r="Q31" i="27"/>
  <c r="AK30" i="27"/>
  <c r="F29" i="27"/>
  <c r="Q27" i="27"/>
  <c r="E26" i="27"/>
  <c r="AC23" i="27"/>
  <c r="M23" i="27"/>
  <c r="F22" i="27"/>
  <c r="Y20" i="27"/>
  <c r="I20" i="27"/>
  <c r="AK17" i="27"/>
  <c r="U17" i="27"/>
  <c r="E17" i="27"/>
  <c r="AG14" i="27"/>
  <c r="Q14" i="27"/>
  <c r="AC64" i="27"/>
  <c r="U56" i="27"/>
  <c r="Q55" i="27"/>
  <c r="F51" i="27"/>
  <c r="Q40" i="27"/>
  <c r="AK38" i="27"/>
  <c r="Q32" i="27"/>
  <c r="Q30" i="27"/>
  <c r="Z28" i="27"/>
  <c r="I28" i="27"/>
  <c r="AG27" i="27"/>
  <c r="U26" i="27"/>
  <c r="Y25" i="27"/>
  <c r="I25" i="27"/>
  <c r="AK22" i="27"/>
  <c r="U22" i="27"/>
  <c r="E22" i="27"/>
  <c r="AG19" i="27"/>
  <c r="Q19" i="27"/>
  <c r="AC58" i="27"/>
  <c r="Y57" i="27"/>
  <c r="Q49" i="27"/>
  <c r="I48" i="27"/>
  <c r="Q47" i="27"/>
  <c r="AC46" i="27"/>
  <c r="F43" i="27"/>
  <c r="AG41" i="27"/>
  <c r="M39" i="27"/>
  <c r="AC37" i="27"/>
  <c r="U35" i="27"/>
  <c r="U33" i="27"/>
  <c r="AK32" i="27"/>
  <c r="AG31" i="27"/>
  <c r="Y28" i="27"/>
  <c r="AK26" i="27"/>
  <c r="AG24" i="27"/>
  <c r="Q24" i="27"/>
  <c r="AC21" i="27"/>
  <c r="M21" i="27"/>
  <c r="F20" i="27"/>
  <c r="Y18" i="27"/>
  <c r="I18" i="27"/>
  <c r="AK15" i="27"/>
  <c r="U15" i="27"/>
  <c r="E64" i="27"/>
  <c r="E48" i="27"/>
  <c r="Q42" i="27"/>
  <c r="M40" i="27"/>
  <c r="U36" i="27"/>
  <c r="AG30" i="27"/>
  <c r="F28" i="27"/>
  <c r="M27" i="27"/>
  <c r="F25" i="27"/>
  <c r="Y23" i="27"/>
  <c r="I23" i="27"/>
  <c r="AK20" i="27"/>
  <c r="U20" i="27"/>
  <c r="E20" i="27"/>
  <c r="AG17" i="27"/>
  <c r="Q17" i="27"/>
  <c r="F57" i="27"/>
  <c r="I47" i="27"/>
  <c r="U46" i="27"/>
  <c r="AG45" i="27"/>
  <c r="I40" i="27"/>
  <c r="AK39" i="27"/>
  <c r="Y38" i="27"/>
  <c r="M36" i="27"/>
  <c r="Q35" i="27"/>
  <c r="M34" i="27"/>
  <c r="AG32" i="27"/>
  <c r="M32" i="27"/>
  <c r="M30" i="27"/>
  <c r="Q29" i="27"/>
  <c r="E28" i="27"/>
  <c r="AC27" i="27"/>
  <c r="U25" i="27"/>
  <c r="E25" i="27"/>
  <c r="AG22" i="27"/>
  <c r="Q22" i="27"/>
  <c r="AC19" i="27"/>
  <c r="M19" i="27"/>
  <c r="F18" i="27"/>
  <c r="Y16" i="27"/>
  <c r="I16" i="27"/>
  <c r="AK13" i="27"/>
  <c r="U13" i="27"/>
  <c r="Q65" i="27"/>
  <c r="AG59" i="27"/>
  <c r="Q33" i="27"/>
  <c r="I31" i="27"/>
  <c r="AG29" i="27"/>
  <c r="U28" i="27"/>
  <c r="AK25" i="27"/>
  <c r="AC24" i="27"/>
  <c r="M24" i="27"/>
  <c r="F23" i="27"/>
  <c r="Y21" i="27"/>
  <c r="I21" i="27"/>
  <c r="AK18" i="27"/>
  <c r="U18" i="27"/>
  <c r="E18" i="27"/>
  <c r="AG15" i="27"/>
  <c r="Q15" i="27"/>
  <c r="AC12" i="27"/>
  <c r="M12" i="27"/>
  <c r="U66" i="27"/>
  <c r="Y61" i="27"/>
  <c r="M41" i="27"/>
  <c r="M37" i="27"/>
  <c r="F36" i="27"/>
  <c r="AK35" i="27"/>
  <c r="E35" i="27"/>
  <c r="I33" i="27"/>
  <c r="E32" i="27"/>
  <c r="E31" i="27"/>
  <c r="Y30" i="27"/>
  <c r="F30" i="27"/>
  <c r="AC29" i="27"/>
  <c r="Q28" i="27"/>
  <c r="E27" i="27"/>
  <c r="AG25" i="27"/>
  <c r="Y24" i="27"/>
  <c r="I24" i="27"/>
  <c r="AK21" i="27"/>
  <c r="U21" i="27"/>
  <c r="E21" i="27"/>
  <c r="AG18" i="27"/>
  <c r="Q18" i="27"/>
  <c r="Z17" i="27"/>
  <c r="AC15" i="27"/>
  <c r="M15" i="27"/>
  <c r="F14" i="27"/>
  <c r="E66" i="27"/>
  <c r="Y53" i="27"/>
  <c r="F45" i="27"/>
  <c r="AC40" i="27"/>
  <c r="I38" i="27"/>
  <c r="AC36" i="27"/>
  <c r="AG35" i="27"/>
  <c r="AC34" i="27"/>
  <c r="F33" i="27"/>
  <c r="U31" i="27"/>
  <c r="U30" i="27"/>
  <c r="I29" i="27"/>
  <c r="M28" i="27"/>
  <c r="AK27" i="27"/>
  <c r="Y26" i="27"/>
  <c r="M25" i="27"/>
  <c r="F24" i="27"/>
  <c r="Y22" i="27"/>
  <c r="I22" i="27"/>
  <c r="AK19" i="27"/>
  <c r="U19" i="27"/>
  <c r="E19" i="27"/>
  <c r="AK50" i="27"/>
  <c r="Y29" i="27"/>
  <c r="AK28" i="27"/>
  <c r="Q23" i="27"/>
  <c r="AC22" i="27"/>
  <c r="I17" i="27"/>
  <c r="F16" i="27"/>
  <c r="Y14" i="27"/>
  <c r="I12" i="27"/>
  <c r="AH11" i="27"/>
  <c r="AK9" i="27"/>
  <c r="U9" i="27"/>
  <c r="E9" i="27"/>
  <c r="AG6" i="27"/>
  <c r="Q6" i="27"/>
  <c r="AC3" i="27"/>
  <c r="M3" i="27"/>
  <c r="Q41" i="27"/>
  <c r="Q37" i="27"/>
  <c r="E36" i="27"/>
  <c r="E30" i="27"/>
  <c r="I26" i="27"/>
  <c r="AC25" i="27"/>
  <c r="M20" i="27"/>
  <c r="AK16" i="27"/>
  <c r="E16" i="27"/>
  <c r="AG13" i="27"/>
  <c r="I13" i="27"/>
  <c r="AG11" i="27"/>
  <c r="Q11" i="27"/>
  <c r="AC8" i="27"/>
  <c r="M8" i="27"/>
  <c r="F7" i="27"/>
  <c r="Y5" i="27"/>
  <c r="I5" i="27"/>
  <c r="AH4" i="27"/>
  <c r="AK62" i="27"/>
  <c r="M60" i="27"/>
  <c r="Y55" i="27"/>
  <c r="Q46" i="27"/>
  <c r="U38" i="27"/>
  <c r="AG33" i="27"/>
  <c r="M29" i="27"/>
  <c r="AG28" i="27"/>
  <c r="F26" i="27"/>
  <c r="AK24" i="27"/>
  <c r="E23" i="27"/>
  <c r="M18" i="27"/>
  <c r="F17" i="27"/>
  <c r="U14" i="27"/>
  <c r="Y12" i="27"/>
  <c r="F12" i="27"/>
  <c r="Y10" i="27"/>
  <c r="I10" i="27"/>
  <c r="AK7" i="27"/>
  <c r="U7" i="27"/>
  <c r="E7" i="27"/>
  <c r="AG4" i="27"/>
  <c r="Q4" i="27"/>
  <c r="Q53" i="27"/>
  <c r="AG39" i="27"/>
  <c r="M33" i="27"/>
  <c r="AC32" i="27"/>
  <c r="M22" i="27"/>
  <c r="AG21" i="27"/>
  <c r="AC17" i="27"/>
  <c r="F15" i="27"/>
  <c r="E13" i="27"/>
  <c r="AC11" i="27"/>
  <c r="M11" i="27"/>
  <c r="F10" i="27"/>
  <c r="Y8" i="27"/>
  <c r="I8" i="27"/>
  <c r="AK5" i="27"/>
  <c r="U5" i="27"/>
  <c r="E5" i="27"/>
  <c r="F59" i="27"/>
  <c r="Y49" i="27"/>
  <c r="AK40" i="27"/>
  <c r="F32" i="27"/>
  <c r="AC26" i="27"/>
  <c r="AG23" i="27"/>
  <c r="Q21" i="27"/>
  <c r="F19" i="27"/>
  <c r="Y15" i="27"/>
  <c r="I14" i="27"/>
  <c r="AG10" i="27"/>
  <c r="Q10" i="27"/>
  <c r="AC7" i="27"/>
  <c r="M7" i="27"/>
  <c r="F6" i="27"/>
  <c r="Y4" i="27"/>
  <c r="I4" i="27"/>
  <c r="I45" i="27"/>
  <c r="AK36" i="27"/>
  <c r="I27" i="27"/>
  <c r="AC20" i="27"/>
  <c r="AC18" i="27"/>
  <c r="Q16" i="27"/>
  <c r="Q13" i="27"/>
  <c r="AG12" i="27"/>
  <c r="F11" i="27"/>
  <c r="Y9" i="27"/>
  <c r="I9" i="27"/>
  <c r="AK6" i="27"/>
  <c r="U6" i="27"/>
  <c r="E6" i="27"/>
  <c r="AG3" i="27"/>
  <c r="Q3" i="27"/>
  <c r="M52" i="27"/>
  <c r="Y31" i="27"/>
  <c r="Y27" i="27"/>
  <c r="AK23" i="27"/>
  <c r="AC13" i="27"/>
  <c r="I11" i="27"/>
  <c r="AC9" i="27"/>
  <c r="Y6" i="27"/>
  <c r="U44" i="27"/>
  <c r="U27" i="27"/>
  <c r="M14" i="27"/>
  <c r="Y13" i="27"/>
  <c r="E12" i="27"/>
  <c r="AK11" i="27"/>
  <c r="E11" i="27"/>
  <c r="M4" i="27"/>
  <c r="I34" i="27"/>
  <c r="F31" i="27"/>
  <c r="AC28" i="27"/>
  <c r="F27" i="27"/>
  <c r="U23" i="27"/>
  <c r="AG16" i="27"/>
  <c r="E14" i="27"/>
  <c r="Y7" i="27"/>
  <c r="Q5" i="27"/>
  <c r="Y17" i="27"/>
  <c r="AC16" i="27"/>
  <c r="AC10" i="27"/>
  <c r="U8" i="27"/>
  <c r="M5" i="27"/>
  <c r="I3" i="27"/>
  <c r="U32" i="27"/>
  <c r="U24" i="27"/>
  <c r="Y19" i="27"/>
  <c r="AK12" i="27"/>
  <c r="Q9" i="27"/>
  <c r="Q8" i="27"/>
  <c r="Q7" i="27"/>
  <c r="M6" i="27"/>
  <c r="F4" i="27"/>
  <c r="F3" i="27"/>
  <c r="E46" i="27"/>
  <c r="AC43" i="27"/>
  <c r="U39" i="27"/>
  <c r="M17" i="27"/>
  <c r="U16" i="27"/>
  <c r="M13" i="27"/>
  <c r="U10" i="27"/>
  <c r="F5" i="27"/>
  <c r="AK4" i="27"/>
  <c r="E4" i="27"/>
  <c r="AK3" i="27"/>
  <c r="E3" i="27"/>
  <c r="Y33" i="27"/>
  <c r="E24" i="27"/>
  <c r="AG20" i="27"/>
  <c r="AK14" i="27"/>
  <c r="F13" i="27"/>
  <c r="Y11" i="27"/>
  <c r="M9" i="27"/>
  <c r="I6" i="27"/>
  <c r="M62" i="27"/>
  <c r="Q20" i="27"/>
  <c r="U12" i="27"/>
  <c r="F8" i="27"/>
  <c r="I7" i="27"/>
  <c r="AG5" i="27"/>
  <c r="E15" i="27"/>
  <c r="Q12" i="27"/>
  <c r="AG9" i="27"/>
  <c r="AG8" i="27"/>
  <c r="AG7" i="27"/>
  <c r="AC6" i="27"/>
  <c r="F21" i="27"/>
  <c r="AC4" i="27"/>
  <c r="F9" i="27"/>
  <c r="M26" i="27"/>
  <c r="AK10" i="27"/>
  <c r="U4" i="27"/>
  <c r="I15" i="27"/>
  <c r="M10" i="27"/>
  <c r="F40" i="27"/>
  <c r="E10" i="27"/>
  <c r="Q25" i="27"/>
  <c r="U11" i="27"/>
  <c r="AK8" i="27"/>
  <c r="AC5" i="27"/>
  <c r="F35" i="27"/>
  <c r="AC14" i="27"/>
  <c r="Y3" i="27"/>
  <c r="U3" i="27"/>
  <c r="AC30" i="27"/>
  <c r="M16" i="27"/>
  <c r="I19" i="27"/>
  <c r="E8" i="27"/>
  <c r="I30" i="27"/>
  <c r="E33" i="27"/>
  <c r="H33" i="27" l="1"/>
  <c r="H8" i="27"/>
  <c r="U67" i="27"/>
  <c r="Y67" i="27"/>
  <c r="H10" i="27"/>
  <c r="H15" i="27"/>
  <c r="H24" i="27"/>
  <c r="E67" i="27"/>
  <c r="H3" i="27"/>
  <c r="AK67" i="27"/>
  <c r="H4" i="27"/>
  <c r="H46" i="27"/>
  <c r="F67" i="27"/>
  <c r="I67" i="27"/>
  <c r="AB17" i="27"/>
  <c r="H14" i="27"/>
  <c r="H11" i="27"/>
  <c r="H12" i="27"/>
  <c r="Q67" i="27"/>
  <c r="AG67" i="27"/>
  <c r="H6" i="27"/>
  <c r="H5" i="27"/>
  <c r="H13" i="27"/>
  <c r="AJ4" i="27"/>
  <c r="H7" i="27"/>
  <c r="H23" i="27"/>
  <c r="AJ11" i="27"/>
  <c r="H16" i="27"/>
  <c r="H30" i="27"/>
  <c r="H36" i="27"/>
  <c r="M67" i="27"/>
  <c r="AC67" i="27"/>
  <c r="H9" i="27"/>
  <c r="H19" i="27"/>
  <c r="H66" i="27"/>
  <c r="H21" i="27"/>
  <c r="H27" i="27"/>
  <c r="H31" i="27"/>
  <c r="H32" i="27"/>
  <c r="H35" i="27"/>
  <c r="H18" i="27"/>
  <c r="H25" i="27"/>
  <c r="H28" i="27"/>
  <c r="H20" i="27"/>
  <c r="H48" i="27"/>
  <c r="H64" i="27"/>
  <c r="AB28" i="27"/>
  <c r="H22" i="27"/>
  <c r="H17" i="27"/>
  <c r="H26" i="27"/>
  <c r="H38" i="27"/>
  <c r="H44" i="27"/>
  <c r="H62" i="27"/>
  <c r="H57" i="27"/>
  <c r="H58" i="27"/>
  <c r="H37" i="27"/>
  <c r="H39" i="27"/>
  <c r="H42" i="27"/>
  <c r="H49" i="27"/>
  <c r="H56" i="27"/>
  <c r="H54" i="27"/>
  <c r="H34" i="27"/>
  <c r="H50" i="27"/>
  <c r="H29" i="27"/>
  <c r="H40" i="27"/>
  <c r="H45" i="27"/>
  <c r="H52" i="27"/>
  <c r="H47" i="27"/>
  <c r="H59" i="27"/>
  <c r="H61" i="27"/>
  <c r="H51" i="27"/>
  <c r="H63" i="27"/>
  <c r="H41" i="27"/>
  <c r="H53" i="27"/>
  <c r="H65" i="27"/>
  <c r="H60" i="27"/>
  <c r="H43" i="27"/>
  <c r="H55" i="27"/>
  <c r="J64" i="2"/>
  <c r="J20" i="2"/>
  <c r="J17" i="2"/>
  <c r="J25" i="2"/>
  <c r="J43" i="2"/>
  <c r="J14" i="6"/>
  <c r="J46" i="2"/>
  <c r="J7" i="4"/>
  <c r="J42" i="8"/>
  <c r="R42" i="8" s="1"/>
  <c r="J10" i="2"/>
  <c r="J17" i="4"/>
  <c r="J69" i="2"/>
  <c r="J48" i="2"/>
  <c r="J54" i="2"/>
  <c r="J15" i="4"/>
  <c r="J16" i="2"/>
  <c r="J66" i="6"/>
  <c r="J23" i="2"/>
  <c r="J12" i="2"/>
  <c r="J30" i="6"/>
  <c r="I5" i="2"/>
  <c r="I13" i="2"/>
  <c r="J13" i="2" s="1"/>
  <c r="J47" i="2"/>
  <c r="I49" i="2"/>
  <c r="I63" i="2"/>
  <c r="J63" i="2" s="1"/>
  <c r="I47" i="2"/>
  <c r="I19" i="2"/>
  <c r="J19" i="2" s="1"/>
  <c r="I66" i="2"/>
  <c r="D70" i="2"/>
  <c r="E6" i="2"/>
  <c r="I35" i="2"/>
  <c r="G50" i="2"/>
  <c r="G55" i="2"/>
  <c r="J55" i="2" s="1"/>
  <c r="I59" i="2"/>
  <c r="J26" i="4"/>
  <c r="G70" i="6"/>
  <c r="J6" i="6"/>
  <c r="G31" i="10"/>
  <c r="G24" i="10"/>
  <c r="G7" i="10"/>
  <c r="G17" i="10"/>
  <c r="G56" i="10"/>
  <c r="G28" i="10"/>
  <c r="G60" i="10"/>
  <c r="G35" i="10"/>
  <c r="G64" i="10"/>
  <c r="G8" i="10"/>
  <c r="G53" i="10"/>
  <c r="G13" i="10"/>
  <c r="G68" i="10"/>
  <c r="G27" i="10"/>
  <c r="G36" i="10"/>
  <c r="J43" i="6"/>
  <c r="G23" i="10"/>
  <c r="I14" i="2"/>
  <c r="I10" i="2"/>
  <c r="I4" i="2"/>
  <c r="I68" i="2"/>
  <c r="I64" i="2"/>
  <c r="I60" i="2"/>
  <c r="I56" i="2"/>
  <c r="I52" i="2"/>
  <c r="I48" i="2"/>
  <c r="I44" i="2"/>
  <c r="I40" i="2"/>
  <c r="J40" i="2" s="1"/>
  <c r="I36" i="2"/>
  <c r="I32" i="2"/>
  <c r="J32" i="2" s="1"/>
  <c r="I67" i="2"/>
  <c r="I53" i="2"/>
  <c r="I27" i="2"/>
  <c r="I16" i="2"/>
  <c r="I9" i="2"/>
  <c r="I3" i="2"/>
  <c r="I42" i="2"/>
  <c r="I39" i="2"/>
  <c r="J39" i="2" s="1"/>
  <c r="I24" i="2"/>
  <c r="I54" i="2"/>
  <c r="I51" i="2"/>
  <c r="I37" i="2"/>
  <c r="I22" i="2"/>
  <c r="I57" i="2"/>
  <c r="I25" i="2"/>
  <c r="I18" i="2"/>
  <c r="U8" i="2"/>
  <c r="U9" i="2" s="1"/>
  <c r="J56" i="2" s="1"/>
  <c r="I46" i="2"/>
  <c r="I43" i="2"/>
  <c r="I11" i="2"/>
  <c r="I61" i="2"/>
  <c r="I30" i="2"/>
  <c r="J30" i="2" s="1"/>
  <c r="I23" i="2"/>
  <c r="J25" i="6"/>
  <c r="I17" i="2"/>
  <c r="I28" i="2"/>
  <c r="G35" i="2"/>
  <c r="G59" i="2"/>
  <c r="J59" i="2" s="1"/>
  <c r="J42" i="4"/>
  <c r="G45" i="10"/>
  <c r="J45" i="10" s="1"/>
  <c r="R45" i="10" s="1"/>
  <c r="I6" i="2"/>
  <c r="I12" i="2"/>
  <c r="I45" i="2"/>
  <c r="I50" i="2"/>
  <c r="I55" i="2"/>
  <c r="G67" i="2"/>
  <c r="J67" i="2" s="1"/>
  <c r="F56" i="4"/>
  <c r="G56" i="4" s="1"/>
  <c r="J56" i="4" s="1"/>
  <c r="J15" i="6"/>
  <c r="J31" i="6"/>
  <c r="J55" i="6"/>
  <c r="G14" i="10"/>
  <c r="G19" i="10"/>
  <c r="G29" i="10"/>
  <c r="G40" i="10"/>
  <c r="J8" i="12"/>
  <c r="R8" i="12" s="1"/>
  <c r="R16" i="12"/>
  <c r="R19" i="12"/>
  <c r="G10" i="10"/>
  <c r="G38" i="2"/>
  <c r="J38" i="2" s="1"/>
  <c r="E70" i="4"/>
  <c r="F6" i="4"/>
  <c r="J23" i="6"/>
  <c r="F10" i="8"/>
  <c r="G10" i="8" s="1"/>
  <c r="J10" i="8" s="1"/>
  <c r="G32" i="10"/>
  <c r="I8" i="2"/>
  <c r="I38" i="2"/>
  <c r="G62" i="2"/>
  <c r="G65" i="2"/>
  <c r="K66" i="3"/>
  <c r="E70" i="6"/>
  <c r="F70" i="6" s="1"/>
  <c r="J37" i="6"/>
  <c r="J45" i="6"/>
  <c r="J53" i="6"/>
  <c r="J69" i="6"/>
  <c r="R41" i="8"/>
  <c r="G25" i="10"/>
  <c r="G28" i="2"/>
  <c r="J28" i="2" s="1"/>
  <c r="G8" i="2"/>
  <c r="J8" i="2" s="1"/>
  <c r="G14" i="2"/>
  <c r="J35" i="4"/>
  <c r="G18" i="2"/>
  <c r="J18" i="2" s="1"/>
  <c r="I20" i="2"/>
  <c r="J59" i="6"/>
  <c r="G20" i="10"/>
  <c r="G63" i="10"/>
  <c r="J63" i="10" s="1"/>
  <c r="R63" i="10" s="1"/>
  <c r="J60" i="6"/>
  <c r="I15" i="2"/>
  <c r="I26" i="2"/>
  <c r="I33" i="2"/>
  <c r="J33" i="2" s="1"/>
  <c r="I31" i="2"/>
  <c r="G36" i="2"/>
  <c r="J36" i="2" s="1"/>
  <c r="I41" i="2"/>
  <c r="J41" i="2" s="1"/>
  <c r="G53" i="2"/>
  <c r="J53" i="2" s="1"/>
  <c r="I62" i="2"/>
  <c r="I65" i="2"/>
  <c r="I29" i="2"/>
  <c r="G51" i="2"/>
  <c r="J51" i="2" s="1"/>
  <c r="G58" i="2"/>
  <c r="J58" i="2" s="1"/>
  <c r="G68" i="2"/>
  <c r="J68" i="2" s="1"/>
  <c r="J16" i="6"/>
  <c r="J24" i="6"/>
  <c r="J63" i="6"/>
  <c r="I3" i="4"/>
  <c r="I67" i="4"/>
  <c r="I63" i="4"/>
  <c r="I59" i="4"/>
  <c r="I55" i="4"/>
  <c r="I51" i="4"/>
  <c r="I47" i="4"/>
  <c r="I43" i="4"/>
  <c r="J43" i="4" s="1"/>
  <c r="I39" i="4"/>
  <c r="I35" i="4"/>
  <c r="I31" i="4"/>
  <c r="I27" i="4"/>
  <c r="I23" i="4"/>
  <c r="I19" i="4"/>
  <c r="I15" i="4"/>
  <c r="I11" i="4"/>
  <c r="I6" i="4"/>
  <c r="I21" i="4"/>
  <c r="I26" i="4"/>
  <c r="F46" i="4"/>
  <c r="G46" i="4" s="1"/>
  <c r="J46" i="4" s="1"/>
  <c r="F51" i="4"/>
  <c r="G51" i="4" s="1"/>
  <c r="I64" i="4"/>
  <c r="I69" i="4"/>
  <c r="I60" i="6"/>
  <c r="I62" i="6"/>
  <c r="J62" i="6" s="1"/>
  <c r="K14" i="8"/>
  <c r="K67" i="8"/>
  <c r="K63" i="8"/>
  <c r="K59" i="8"/>
  <c r="K15" i="8"/>
  <c r="K68" i="8"/>
  <c r="K64" i="8"/>
  <c r="K60" i="8"/>
  <c r="K56" i="8"/>
  <c r="K52" i="8"/>
  <c r="K48" i="8"/>
  <c r="K44" i="8"/>
  <c r="K40" i="8"/>
  <c r="K36" i="8"/>
  <c r="R36" i="8" s="1"/>
  <c r="K32" i="8"/>
  <c r="K28" i="8"/>
  <c r="K24" i="8"/>
  <c r="K20" i="8"/>
  <c r="K11" i="8"/>
  <c r="K6" i="8"/>
  <c r="K25" i="8"/>
  <c r="K12" i="8"/>
  <c r="K9" i="8"/>
  <c r="K58" i="8"/>
  <c r="K53" i="8"/>
  <c r="K43" i="8"/>
  <c r="K38" i="8"/>
  <c r="K65" i="8"/>
  <c r="K33" i="8"/>
  <c r="K23" i="8"/>
  <c r="K51" i="8"/>
  <c r="K46" i="8"/>
  <c r="K18" i="8"/>
  <c r="K41" i="8"/>
  <c r="K31" i="8"/>
  <c r="K26" i="8"/>
  <c r="K13" i="8"/>
  <c r="R13" i="8" s="1"/>
  <c r="K10" i="8"/>
  <c r="K7" i="8"/>
  <c r="K61" i="8"/>
  <c r="R61" i="8" s="1"/>
  <c r="K54" i="8"/>
  <c r="K21" i="8"/>
  <c r="K62" i="8"/>
  <c r="K55" i="8"/>
  <c r="K50" i="8"/>
  <c r="K17" i="8"/>
  <c r="K16" i="8"/>
  <c r="K29" i="8"/>
  <c r="K39" i="8"/>
  <c r="I18" i="10"/>
  <c r="I66" i="10"/>
  <c r="I54" i="10"/>
  <c r="I46" i="10"/>
  <c r="I31" i="10"/>
  <c r="I24" i="10"/>
  <c r="I7" i="10"/>
  <c r="I59" i="10"/>
  <c r="I49" i="10"/>
  <c r="I41" i="10"/>
  <c r="I38" i="10"/>
  <c r="I21" i="10"/>
  <c r="I17" i="10"/>
  <c r="I64" i="10"/>
  <c r="I35" i="10"/>
  <c r="I28" i="10"/>
  <c r="I13" i="10"/>
  <c r="I8" i="10"/>
  <c r="I69" i="10"/>
  <c r="I62" i="10"/>
  <c r="I47" i="10"/>
  <c r="I39" i="10"/>
  <c r="I32" i="10"/>
  <c r="I9" i="10"/>
  <c r="I5" i="10"/>
  <c r="I67" i="10"/>
  <c r="I55" i="10"/>
  <c r="I29" i="10"/>
  <c r="I22" i="10"/>
  <c r="I14" i="10"/>
  <c r="I60" i="10"/>
  <c r="I58" i="10"/>
  <c r="I30" i="10"/>
  <c r="I45" i="10"/>
  <c r="I43" i="10"/>
  <c r="I37" i="10"/>
  <c r="I26" i="10"/>
  <c r="I10" i="10"/>
  <c r="T8" i="10"/>
  <c r="T9" i="10" s="1"/>
  <c r="I4" i="10"/>
  <c r="I3" i="10"/>
  <c r="I53" i="10"/>
  <c r="I51" i="10"/>
  <c r="I33" i="10"/>
  <c r="I15" i="10"/>
  <c r="I57" i="10"/>
  <c r="I65" i="10"/>
  <c r="G15" i="10"/>
  <c r="I19" i="10"/>
  <c r="G33" i="10"/>
  <c r="I63" i="10"/>
  <c r="J31" i="14"/>
  <c r="I48" i="4"/>
  <c r="I53" i="4"/>
  <c r="I58" i="4"/>
  <c r="F69" i="4"/>
  <c r="G69" i="4" s="1"/>
  <c r="F65" i="4"/>
  <c r="G65" i="4" s="1"/>
  <c r="F61" i="4"/>
  <c r="G61" i="4" s="1"/>
  <c r="J61" i="4" s="1"/>
  <c r="F57" i="4"/>
  <c r="G57" i="4" s="1"/>
  <c r="J57" i="4" s="1"/>
  <c r="F53" i="4"/>
  <c r="G53" i="4" s="1"/>
  <c r="F49" i="4"/>
  <c r="G49" i="4" s="1"/>
  <c r="J49" i="4" s="1"/>
  <c r="F45" i="4"/>
  <c r="G45" i="4" s="1"/>
  <c r="F41" i="4"/>
  <c r="G41" i="4" s="1"/>
  <c r="J41" i="4" s="1"/>
  <c r="F37" i="4"/>
  <c r="G37" i="4" s="1"/>
  <c r="F33" i="4"/>
  <c r="G33" i="4" s="1"/>
  <c r="F29" i="4"/>
  <c r="G29" i="4" s="1"/>
  <c r="F25" i="4"/>
  <c r="G25" i="4" s="1"/>
  <c r="F21" i="4"/>
  <c r="G21" i="4" s="1"/>
  <c r="I63" i="6"/>
  <c r="I65" i="6"/>
  <c r="J65" i="6" s="1"/>
  <c r="I67" i="6"/>
  <c r="J67" i="6" s="1"/>
  <c r="R6" i="12"/>
  <c r="J53" i="14"/>
  <c r="J37" i="14"/>
  <c r="J22" i="14"/>
  <c r="J29" i="14"/>
  <c r="J50" i="14"/>
  <c r="J59" i="14"/>
  <c r="J66" i="14"/>
  <c r="J39" i="14"/>
  <c r="J63" i="14"/>
  <c r="J10" i="14"/>
  <c r="J54" i="14"/>
  <c r="F9" i="2"/>
  <c r="G9" i="2" s="1"/>
  <c r="J9" i="2" s="1"/>
  <c r="I4" i="4"/>
  <c r="F14" i="4"/>
  <c r="G14" i="4" s="1"/>
  <c r="I20" i="4"/>
  <c r="I25" i="4"/>
  <c r="I30" i="4"/>
  <c r="F50" i="4"/>
  <c r="G50" i="4" s="1"/>
  <c r="F55" i="4"/>
  <c r="G55" i="4" s="1"/>
  <c r="J55" i="4" s="1"/>
  <c r="F60" i="4"/>
  <c r="G60" i="4" s="1"/>
  <c r="I68" i="4"/>
  <c r="J68" i="4" s="1"/>
  <c r="D70" i="4"/>
  <c r="I9" i="6"/>
  <c r="J9" i="6" s="1"/>
  <c r="I16" i="6"/>
  <c r="K22" i="8"/>
  <c r="K30" i="8"/>
  <c r="K45" i="8"/>
  <c r="K69" i="8"/>
  <c r="I16" i="10"/>
  <c r="I34" i="10"/>
  <c r="I36" i="10"/>
  <c r="J15" i="14"/>
  <c r="J17" i="16"/>
  <c r="J58" i="16"/>
  <c r="J46" i="16"/>
  <c r="J31" i="16"/>
  <c r="R31" i="16" s="1"/>
  <c r="J43" i="18"/>
  <c r="G31" i="2"/>
  <c r="J31" i="2" s="1"/>
  <c r="I8" i="4"/>
  <c r="F11" i="4"/>
  <c r="G11" i="4" s="1"/>
  <c r="I14" i="4"/>
  <c r="I17" i="4"/>
  <c r="F22" i="4"/>
  <c r="G22" i="4" s="1"/>
  <c r="F27" i="4"/>
  <c r="G27" i="4" s="1"/>
  <c r="F32" i="4"/>
  <c r="G32" i="4" s="1"/>
  <c r="J32" i="4" s="1"/>
  <c r="I40" i="4"/>
  <c r="I45" i="4"/>
  <c r="I50" i="4"/>
  <c r="I57" i="6"/>
  <c r="J57" i="6" s="1"/>
  <c r="I64" i="6"/>
  <c r="J64" i="6" s="1"/>
  <c r="I54" i="6"/>
  <c r="J54" i="6" s="1"/>
  <c r="I50" i="6"/>
  <c r="J50" i="6" s="1"/>
  <c r="I46" i="6"/>
  <c r="J46" i="6" s="1"/>
  <c r="I42" i="6"/>
  <c r="J42" i="6" s="1"/>
  <c r="I38" i="6"/>
  <c r="J38" i="6" s="1"/>
  <c r="I34" i="6"/>
  <c r="J34" i="6" s="1"/>
  <c r="I30" i="6"/>
  <c r="I26" i="6"/>
  <c r="J26" i="6" s="1"/>
  <c r="I22" i="6"/>
  <c r="J22" i="6" s="1"/>
  <c r="I58" i="6"/>
  <c r="J58" i="6" s="1"/>
  <c r="I14" i="6"/>
  <c r="I51" i="6"/>
  <c r="J51" i="6" s="1"/>
  <c r="I47" i="6"/>
  <c r="J47" i="6" s="1"/>
  <c r="I43" i="6"/>
  <c r="I39" i="6"/>
  <c r="J39" i="6" s="1"/>
  <c r="I35" i="6"/>
  <c r="J35" i="6" s="1"/>
  <c r="I31" i="6"/>
  <c r="I27" i="6"/>
  <c r="J27" i="6" s="1"/>
  <c r="I23" i="6"/>
  <c r="I19" i="6"/>
  <c r="J19" i="6" s="1"/>
  <c r="I10" i="6"/>
  <c r="J10" i="6" s="1"/>
  <c r="I4" i="6"/>
  <c r="J18" i="6"/>
  <c r="I61" i="6"/>
  <c r="J61" i="6" s="1"/>
  <c r="F18" i="8"/>
  <c r="G18" i="8" s="1"/>
  <c r="J18" i="8" s="1"/>
  <c r="R18" i="8" s="1"/>
  <c r="F9" i="8"/>
  <c r="G9" i="8" s="1"/>
  <c r="J9" i="8" s="1"/>
  <c r="R9" i="8" s="1"/>
  <c r="F14" i="8"/>
  <c r="G14" i="8" s="1"/>
  <c r="J14" i="8" s="1"/>
  <c r="F64" i="8"/>
  <c r="G64" i="8" s="1"/>
  <c r="J64" i="8" s="1"/>
  <c r="R64" i="8" s="1"/>
  <c r="F62" i="8"/>
  <c r="G62" i="8" s="1"/>
  <c r="F57" i="8"/>
  <c r="G57" i="8" s="1"/>
  <c r="J57" i="8" s="1"/>
  <c r="R57" i="8" s="1"/>
  <c r="F55" i="8"/>
  <c r="G55" i="8" s="1"/>
  <c r="J55" i="8" s="1"/>
  <c r="R55" i="8" s="1"/>
  <c r="F32" i="8"/>
  <c r="G32" i="8" s="1"/>
  <c r="J32" i="8" s="1"/>
  <c r="R32" i="8" s="1"/>
  <c r="F22" i="8"/>
  <c r="G22" i="8" s="1"/>
  <c r="F11" i="8"/>
  <c r="G11" i="8" s="1"/>
  <c r="J11" i="8" s="1"/>
  <c r="R11" i="8" s="1"/>
  <c r="F50" i="8"/>
  <c r="G50" i="8" s="1"/>
  <c r="J50" i="8" s="1"/>
  <c r="R50" i="8" s="1"/>
  <c r="F37" i="8"/>
  <c r="G37" i="8" s="1"/>
  <c r="J37" i="8" s="1"/>
  <c r="R37" i="8" s="1"/>
  <c r="F35" i="8"/>
  <c r="G35" i="8" s="1"/>
  <c r="F17" i="8"/>
  <c r="G17" i="8" s="1"/>
  <c r="J17" i="8" s="1"/>
  <c r="R17" i="8" s="1"/>
  <c r="F67" i="8"/>
  <c r="G67" i="8" s="1"/>
  <c r="F40" i="8"/>
  <c r="G40" i="8" s="1"/>
  <c r="J40" i="8" s="1"/>
  <c r="F30" i="8"/>
  <c r="G30" i="8" s="1"/>
  <c r="F6" i="8"/>
  <c r="F69" i="8"/>
  <c r="G69" i="8" s="1"/>
  <c r="J69" i="8" s="1"/>
  <c r="R69" i="8" s="1"/>
  <c r="F60" i="8"/>
  <c r="G60" i="8" s="1"/>
  <c r="J60" i="8" s="1"/>
  <c r="F58" i="8"/>
  <c r="G58" i="8" s="1"/>
  <c r="J58" i="8" s="1"/>
  <c r="R58" i="8" s="1"/>
  <c r="F45" i="8"/>
  <c r="G45" i="8" s="1"/>
  <c r="J45" i="8" s="1"/>
  <c r="R45" i="8" s="1"/>
  <c r="F43" i="8"/>
  <c r="G43" i="8" s="1"/>
  <c r="J43" i="8" s="1"/>
  <c r="F20" i="8"/>
  <c r="G20" i="8" s="1"/>
  <c r="J20" i="8" s="1"/>
  <c r="F48" i="8"/>
  <c r="G48" i="8" s="1"/>
  <c r="F38" i="8"/>
  <c r="G38" i="8" s="1"/>
  <c r="F25" i="8"/>
  <c r="G25" i="8" s="1"/>
  <c r="F23" i="8"/>
  <c r="G23" i="8" s="1"/>
  <c r="F12" i="8"/>
  <c r="G12" i="8" s="1"/>
  <c r="F63" i="8"/>
  <c r="G63" i="8" s="1"/>
  <c r="F53" i="8"/>
  <c r="G53" i="8" s="1"/>
  <c r="J53" i="8" s="1"/>
  <c r="R53" i="8" s="1"/>
  <c r="F51" i="8"/>
  <c r="G51" i="8" s="1"/>
  <c r="F28" i="8"/>
  <c r="G28" i="8" s="1"/>
  <c r="J28" i="8" s="1"/>
  <c r="F15" i="8"/>
  <c r="G15" i="8" s="1"/>
  <c r="J15" i="8" s="1"/>
  <c r="R15" i="8" s="1"/>
  <c r="F49" i="8"/>
  <c r="G49" i="8" s="1"/>
  <c r="J49" i="8" s="1"/>
  <c r="R49" i="8" s="1"/>
  <c r="F47" i="8"/>
  <c r="G47" i="8" s="1"/>
  <c r="F24" i="8"/>
  <c r="G24" i="8" s="1"/>
  <c r="J24" i="8" s="1"/>
  <c r="R24" i="8" s="1"/>
  <c r="F16" i="8"/>
  <c r="G16" i="8" s="1"/>
  <c r="J16" i="8" s="1"/>
  <c r="R16" i="8" s="1"/>
  <c r="F8" i="8"/>
  <c r="G8" i="8" s="1"/>
  <c r="J8" i="8" s="1"/>
  <c r="R8" i="8" s="1"/>
  <c r="G9" i="10"/>
  <c r="G18" i="10"/>
  <c r="G44" i="10"/>
  <c r="J12" i="12"/>
  <c r="R12" i="12" s="1"/>
  <c r="J13" i="14"/>
  <c r="J61" i="12"/>
  <c r="J7" i="14"/>
  <c r="J52" i="14"/>
  <c r="I52" i="4"/>
  <c r="I57" i="4"/>
  <c r="I62" i="4"/>
  <c r="I13" i="6"/>
  <c r="J13" i="6" s="1"/>
  <c r="I20" i="6"/>
  <c r="J20" i="6" s="1"/>
  <c r="F7" i="8"/>
  <c r="G7" i="8" s="1"/>
  <c r="J7" i="8" s="1"/>
  <c r="R7" i="8" s="1"/>
  <c r="F21" i="8"/>
  <c r="G21" i="8" s="1"/>
  <c r="J21" i="8" s="1"/>
  <c r="F26" i="8"/>
  <c r="G26" i="8" s="1"/>
  <c r="J26" i="8" s="1"/>
  <c r="R26" i="8" s="1"/>
  <c r="F29" i="8"/>
  <c r="G29" i="8" s="1"/>
  <c r="J29" i="8" s="1"/>
  <c r="R29" i="8" s="1"/>
  <c r="F31" i="8"/>
  <c r="G31" i="8" s="1"/>
  <c r="F46" i="8"/>
  <c r="G46" i="8" s="1"/>
  <c r="F52" i="8"/>
  <c r="G52" i="8" s="1"/>
  <c r="J52" i="8" s="1"/>
  <c r="R52" i="8" s="1"/>
  <c r="F65" i="8"/>
  <c r="G65" i="8" s="1"/>
  <c r="J65" i="8" s="1"/>
  <c r="T8" i="4"/>
  <c r="T9" i="4" s="1"/>
  <c r="J58" i="4" s="1"/>
  <c r="F10" i="4"/>
  <c r="G10" i="4" s="1"/>
  <c r="I16" i="4"/>
  <c r="I24" i="4"/>
  <c r="I29" i="4"/>
  <c r="I34" i="4"/>
  <c r="F54" i="4"/>
  <c r="G54" i="4" s="1"/>
  <c r="F59" i="4"/>
  <c r="G59" i="4" s="1"/>
  <c r="J59" i="4" s="1"/>
  <c r="F64" i="4"/>
  <c r="G64" i="4" s="1"/>
  <c r="J64" i="4" s="1"/>
  <c r="I8" i="6"/>
  <c r="J8" i="6" s="1"/>
  <c r="I66" i="6"/>
  <c r="I68" i="6"/>
  <c r="J68" i="6" s="1"/>
  <c r="F34" i="8"/>
  <c r="G34" i="8" s="1"/>
  <c r="F39" i="8"/>
  <c r="G39" i="8" s="1"/>
  <c r="F44" i="8"/>
  <c r="G44" i="8" s="1"/>
  <c r="J44" i="8" s="1"/>
  <c r="R44" i="8" s="1"/>
  <c r="K49" i="8"/>
  <c r="K57" i="8"/>
  <c r="F68" i="8"/>
  <c r="G68" i="8" s="1"/>
  <c r="J68" i="8" s="1"/>
  <c r="G37" i="10"/>
  <c r="I52" i="10"/>
  <c r="J43" i="14"/>
  <c r="G16" i="10"/>
  <c r="G21" i="10"/>
  <c r="G52" i="10"/>
  <c r="J17" i="12"/>
  <c r="R17" i="12" s="1"/>
  <c r="J13" i="12"/>
  <c r="R13" i="12" s="1"/>
  <c r="J45" i="12"/>
  <c r="R45" i="12" s="1"/>
  <c r="J64" i="12"/>
  <c r="R64" i="12" s="1"/>
  <c r="J26" i="14"/>
  <c r="J21" i="16"/>
  <c r="R21" i="16" s="1"/>
  <c r="J26" i="16"/>
  <c r="G55" i="10"/>
  <c r="D70" i="8"/>
  <c r="I33" i="8"/>
  <c r="J33" i="8" s="1"/>
  <c r="R33" i="8" s="1"/>
  <c r="I56" i="8"/>
  <c r="J56" i="8" s="1"/>
  <c r="R56" i="8" s="1"/>
  <c r="G22" i="10"/>
  <c r="J22" i="10" s="1"/>
  <c r="R22" i="10" s="1"/>
  <c r="G51" i="10"/>
  <c r="J34" i="14"/>
  <c r="J61" i="14"/>
  <c r="J62" i="16"/>
  <c r="E70" i="8"/>
  <c r="J9" i="14"/>
  <c r="J25" i="14"/>
  <c r="J32" i="14"/>
  <c r="J31" i="20"/>
  <c r="I66" i="8"/>
  <c r="J66" i="8" s="1"/>
  <c r="R66" i="8" s="1"/>
  <c r="I62" i="8"/>
  <c r="I58" i="8"/>
  <c r="I54" i="8"/>
  <c r="J54" i="8" s="1"/>
  <c r="R54" i="8" s="1"/>
  <c r="I50" i="8"/>
  <c r="I46" i="8"/>
  <c r="I42" i="8"/>
  <c r="I38" i="8"/>
  <c r="I34" i="8"/>
  <c r="I30" i="8"/>
  <c r="I26" i="8"/>
  <c r="I22" i="8"/>
  <c r="I67" i="8"/>
  <c r="I63" i="8"/>
  <c r="I59" i="8"/>
  <c r="J59" i="8" s="1"/>
  <c r="I55" i="8"/>
  <c r="I51" i="8"/>
  <c r="I47" i="8"/>
  <c r="I43" i="8"/>
  <c r="I39" i="8"/>
  <c r="I35" i="8"/>
  <c r="I31" i="8"/>
  <c r="I27" i="8"/>
  <c r="J27" i="8" s="1"/>
  <c r="R27" i="8" s="1"/>
  <c r="I23" i="8"/>
  <c r="I19" i="8"/>
  <c r="J19" i="8" s="1"/>
  <c r="R19" i="8" s="1"/>
  <c r="I10" i="8"/>
  <c r="I4" i="8"/>
  <c r="I3" i="8"/>
  <c r="I12" i="8"/>
  <c r="I25" i="8"/>
  <c r="I48" i="8"/>
  <c r="G26" i="10"/>
  <c r="G43" i="10"/>
  <c r="G49" i="10"/>
  <c r="J49" i="10" s="1"/>
  <c r="R49" i="10" s="1"/>
  <c r="J27" i="12"/>
  <c r="R27" i="12" s="1"/>
  <c r="J16" i="14"/>
  <c r="J30" i="14"/>
  <c r="J54" i="16"/>
  <c r="G30" i="10"/>
  <c r="J22" i="12"/>
  <c r="R22" i="12" s="1"/>
  <c r="J48" i="12"/>
  <c r="J51" i="12"/>
  <c r="R51" i="12" s="1"/>
  <c r="J69" i="12"/>
  <c r="R69" i="12" s="1"/>
  <c r="J42" i="14"/>
  <c r="J49" i="14"/>
  <c r="J38" i="16"/>
  <c r="D70" i="6"/>
  <c r="G12" i="10"/>
  <c r="G39" i="10"/>
  <c r="G41" i="10"/>
  <c r="G67" i="10"/>
  <c r="J67" i="10" s="1"/>
  <c r="R67" i="10" s="1"/>
  <c r="J23" i="14"/>
  <c r="J23" i="16"/>
  <c r="R23" i="16" s="1"/>
  <c r="K67" i="10"/>
  <c r="K63" i="10"/>
  <c r="K59" i="10"/>
  <c r="K55" i="10"/>
  <c r="K51" i="10"/>
  <c r="K47" i="10"/>
  <c r="K43" i="10"/>
  <c r="K39" i="10"/>
  <c r="K35" i="10"/>
  <c r="K31" i="10"/>
  <c r="K27" i="10"/>
  <c r="K23" i="10"/>
  <c r="K68" i="10"/>
  <c r="K64" i="10"/>
  <c r="K60" i="10"/>
  <c r="K56" i="10"/>
  <c r="K52" i="10"/>
  <c r="K48" i="10"/>
  <c r="K44" i="10"/>
  <c r="K40" i="10"/>
  <c r="K19" i="10"/>
  <c r="K26" i="10"/>
  <c r="K33" i="10"/>
  <c r="K45" i="10"/>
  <c r="G47" i="10"/>
  <c r="K53" i="10"/>
  <c r="K65" i="10"/>
  <c r="I49" i="12"/>
  <c r="I62" i="12"/>
  <c r="D70" i="14"/>
  <c r="E6" i="14"/>
  <c r="E70" i="14" s="1"/>
  <c r="J62" i="14"/>
  <c r="J69" i="14"/>
  <c r="J34" i="16"/>
  <c r="J66" i="16"/>
  <c r="K10" i="10"/>
  <c r="K36" i="10"/>
  <c r="K42" i="10"/>
  <c r="K50" i="10"/>
  <c r="I11" i="12"/>
  <c r="J11" i="12" s="1"/>
  <c r="R11" i="12" s="1"/>
  <c r="J35" i="14"/>
  <c r="J47" i="12"/>
  <c r="R47" i="12" s="1"/>
  <c r="J55" i="12"/>
  <c r="R55" i="12" s="1"/>
  <c r="J6" i="14"/>
  <c r="J33" i="14"/>
  <c r="J55" i="14"/>
  <c r="E70" i="16"/>
  <c r="G38" i="10"/>
  <c r="G59" i="10"/>
  <c r="K69" i="10"/>
  <c r="D70" i="12"/>
  <c r="E6" i="12"/>
  <c r="E70" i="12" s="1"/>
  <c r="I63" i="12"/>
  <c r="I46" i="12"/>
  <c r="I39" i="12"/>
  <c r="I22" i="12"/>
  <c r="I17" i="12"/>
  <c r="I13" i="12"/>
  <c r="I8" i="12"/>
  <c r="I60" i="12"/>
  <c r="I53" i="12"/>
  <c r="I36" i="12"/>
  <c r="I29" i="12"/>
  <c r="I67" i="12"/>
  <c r="I50" i="12"/>
  <c r="I43" i="12"/>
  <c r="I26" i="12"/>
  <c r="I9" i="12"/>
  <c r="I5" i="12"/>
  <c r="I64" i="12"/>
  <c r="I57" i="12"/>
  <c r="J57" i="12" s="1"/>
  <c r="R57" i="12" s="1"/>
  <c r="I40" i="12"/>
  <c r="J40" i="12" s="1"/>
  <c r="I33" i="12"/>
  <c r="J33" i="12" s="1"/>
  <c r="R33" i="12" s="1"/>
  <c r="I18" i="12"/>
  <c r="J18" i="12" s="1"/>
  <c r="I14" i="12"/>
  <c r="J14" i="12" s="1"/>
  <c r="R14" i="12" s="1"/>
  <c r="I54" i="12"/>
  <c r="J54" i="12" s="1"/>
  <c r="R54" i="12" s="1"/>
  <c r="I47" i="12"/>
  <c r="I30" i="12"/>
  <c r="J30" i="12" s="1"/>
  <c r="R30" i="12" s="1"/>
  <c r="I23" i="12"/>
  <c r="J23" i="12" s="1"/>
  <c r="R23" i="12" s="1"/>
  <c r="I10" i="12"/>
  <c r="J10" i="12" s="1"/>
  <c r="R10" i="12" s="1"/>
  <c r="I4" i="12"/>
  <c r="I68" i="12"/>
  <c r="I61" i="12"/>
  <c r="I44" i="12"/>
  <c r="J44" i="12" s="1"/>
  <c r="R44" i="12" s="1"/>
  <c r="I37" i="12"/>
  <c r="J37" i="12" s="1"/>
  <c r="R37" i="12" s="1"/>
  <c r="I65" i="12"/>
  <c r="J65" i="12" s="1"/>
  <c r="R65" i="12" s="1"/>
  <c r="I66" i="12"/>
  <c r="J66" i="12" s="1"/>
  <c r="R66" i="12" s="1"/>
  <c r="I59" i="12"/>
  <c r="J59" i="12" s="1"/>
  <c r="R59" i="12" s="1"/>
  <c r="I42" i="12"/>
  <c r="I35" i="12"/>
  <c r="J35" i="12" s="1"/>
  <c r="R35" i="12" s="1"/>
  <c r="I7" i="12"/>
  <c r="I70" i="12" s="1"/>
  <c r="I15" i="12"/>
  <c r="J15" i="12" s="1"/>
  <c r="R15" i="12" s="1"/>
  <c r="I21" i="12"/>
  <c r="J21" i="12" s="1"/>
  <c r="R21" i="12" s="1"/>
  <c r="I27" i="12"/>
  <c r="I52" i="12"/>
  <c r="J52" i="12" s="1"/>
  <c r="R52" i="12" s="1"/>
  <c r="I55" i="12"/>
  <c r="J14" i="14"/>
  <c r="J46" i="14"/>
  <c r="J65" i="14"/>
  <c r="J67" i="14"/>
  <c r="J16" i="18"/>
  <c r="R16" i="18" s="1"/>
  <c r="D70" i="10"/>
  <c r="J8" i="14"/>
  <c r="J12" i="14"/>
  <c r="J18" i="14"/>
  <c r="J40" i="14"/>
  <c r="J58" i="14"/>
  <c r="J53" i="16"/>
  <c r="E6" i="10"/>
  <c r="E70" i="10" s="1"/>
  <c r="K8" i="10"/>
  <c r="K13" i="10"/>
  <c r="K28" i="10"/>
  <c r="G34" i="10"/>
  <c r="I34" i="12"/>
  <c r="J34" i="12" s="1"/>
  <c r="R34" i="12" s="1"/>
  <c r="I41" i="12"/>
  <c r="J41" i="12" s="1"/>
  <c r="R41" i="12" s="1"/>
  <c r="J58" i="12"/>
  <c r="R58" i="12" s="1"/>
  <c r="J68" i="12"/>
  <c r="J3" i="14"/>
  <c r="J38" i="14"/>
  <c r="J51" i="14"/>
  <c r="J30" i="16"/>
  <c r="J45" i="18"/>
  <c r="R45" i="18" s="1"/>
  <c r="F57" i="10"/>
  <c r="G57" i="10" s="1"/>
  <c r="F61" i="10"/>
  <c r="G61" i="10" s="1"/>
  <c r="J61" i="10" s="1"/>
  <c r="R61" i="10" s="1"/>
  <c r="F65" i="10"/>
  <c r="G65" i="10" s="1"/>
  <c r="F69" i="10"/>
  <c r="G69" i="10" s="1"/>
  <c r="K8" i="12"/>
  <c r="K13" i="12"/>
  <c r="K17" i="12"/>
  <c r="K22" i="12"/>
  <c r="F38" i="12"/>
  <c r="G38" i="12" s="1"/>
  <c r="J38" i="12" s="1"/>
  <c r="R38" i="12" s="1"/>
  <c r="K39" i="12"/>
  <c r="K46" i="12"/>
  <c r="F62" i="12"/>
  <c r="G62" i="12" s="1"/>
  <c r="J62" i="12" s="1"/>
  <c r="R62" i="12" s="1"/>
  <c r="K63" i="12"/>
  <c r="G15" i="16"/>
  <c r="J15" i="16" s="1"/>
  <c r="R15" i="16" s="1"/>
  <c r="G27" i="16"/>
  <c r="J27" i="16" s="1"/>
  <c r="R27" i="16" s="1"/>
  <c r="G33" i="16"/>
  <c r="J33" i="16" s="1"/>
  <c r="R33" i="16" s="1"/>
  <c r="G61" i="16"/>
  <c r="J61" i="16" s="1"/>
  <c r="J55" i="18"/>
  <c r="J46" i="20"/>
  <c r="J6" i="22"/>
  <c r="G16" i="16"/>
  <c r="J16" i="16" s="1"/>
  <c r="G18" i="16"/>
  <c r="J18" i="16" s="1"/>
  <c r="R18" i="16" s="1"/>
  <c r="G59" i="16"/>
  <c r="J59" i="16" s="1"/>
  <c r="R59" i="16" s="1"/>
  <c r="D70" i="18"/>
  <c r="F9" i="12"/>
  <c r="G9" i="12" s="1"/>
  <c r="J9" i="12" s="1"/>
  <c r="R9" i="12" s="1"/>
  <c r="K15" i="12"/>
  <c r="F26" i="12"/>
  <c r="G26" i="12" s="1"/>
  <c r="J26" i="12" s="1"/>
  <c r="R26" i="12" s="1"/>
  <c r="K27" i="12"/>
  <c r="K34" i="12"/>
  <c r="F50" i="12"/>
  <c r="G50" i="12" s="1"/>
  <c r="J50" i="12" s="1"/>
  <c r="K51" i="12"/>
  <c r="G36" i="16"/>
  <c r="G45" i="16"/>
  <c r="G69" i="16"/>
  <c r="E6" i="18"/>
  <c r="E70" i="18" s="1"/>
  <c r="J23" i="18"/>
  <c r="R23" i="18" s="1"/>
  <c r="K68" i="12"/>
  <c r="K64" i="12"/>
  <c r="K60" i="12"/>
  <c r="K56" i="12"/>
  <c r="K52" i="12"/>
  <c r="K48" i="12"/>
  <c r="K44" i="12"/>
  <c r="K40" i="12"/>
  <c r="K36" i="12"/>
  <c r="K32" i="12"/>
  <c r="K28" i="12"/>
  <c r="R28" i="12" s="1"/>
  <c r="K24" i="12"/>
  <c r="R24" i="12" s="1"/>
  <c r="K19" i="12"/>
  <c r="F29" i="12"/>
  <c r="G29" i="12" s="1"/>
  <c r="J29" i="12" s="1"/>
  <c r="R29" i="12" s="1"/>
  <c r="F36" i="12"/>
  <c r="G36" i="12" s="1"/>
  <c r="K37" i="12"/>
  <c r="F43" i="12"/>
  <c r="G43" i="12" s="1"/>
  <c r="F53" i="12"/>
  <c r="G53" i="12" s="1"/>
  <c r="F60" i="12"/>
  <c r="G60" i="12" s="1"/>
  <c r="J60" i="12" s="1"/>
  <c r="R60" i="12" s="1"/>
  <c r="K61" i="12"/>
  <c r="F67" i="12"/>
  <c r="G67" i="12" s="1"/>
  <c r="F70" i="12"/>
  <c r="G32" i="16"/>
  <c r="G43" i="16"/>
  <c r="J43" i="16" s="1"/>
  <c r="R43" i="16" s="1"/>
  <c r="G57" i="16"/>
  <c r="F46" i="12"/>
  <c r="G46" i="12" s="1"/>
  <c r="K47" i="12"/>
  <c r="K54" i="12"/>
  <c r="J11" i="14"/>
  <c r="J17" i="14"/>
  <c r="G9" i="16"/>
  <c r="J9" i="16" s="1"/>
  <c r="R9" i="16" s="1"/>
  <c r="G22" i="16"/>
  <c r="J22" i="16" s="1"/>
  <c r="G28" i="16"/>
  <c r="G50" i="16"/>
  <c r="J50" i="16" s="1"/>
  <c r="J41" i="18"/>
  <c r="R41" i="18" s="1"/>
  <c r="J15" i="22"/>
  <c r="F42" i="10"/>
  <c r="G42" i="10" s="1"/>
  <c r="J42" i="10" s="1"/>
  <c r="R42" i="10" s="1"/>
  <c r="F46" i="10"/>
  <c r="G46" i="10" s="1"/>
  <c r="F50" i="10"/>
  <c r="G50" i="10" s="1"/>
  <c r="F54" i="10"/>
  <c r="G54" i="10" s="1"/>
  <c r="F58" i="10"/>
  <c r="G58" i="10" s="1"/>
  <c r="F62" i="10"/>
  <c r="G62" i="10" s="1"/>
  <c r="F66" i="10"/>
  <c r="G66" i="10" s="1"/>
  <c r="K14" i="12"/>
  <c r="K18" i="12"/>
  <c r="F25" i="12"/>
  <c r="G25" i="12" s="1"/>
  <c r="J25" i="12" s="1"/>
  <c r="R25" i="12" s="1"/>
  <c r="F32" i="12"/>
  <c r="G32" i="12" s="1"/>
  <c r="J32" i="12" s="1"/>
  <c r="R32" i="12" s="1"/>
  <c r="K33" i="12"/>
  <c r="F39" i="12"/>
  <c r="G39" i="12" s="1"/>
  <c r="J39" i="12" s="1"/>
  <c r="R39" i="12" s="1"/>
  <c r="F49" i="12"/>
  <c r="G49" i="12" s="1"/>
  <c r="F56" i="12"/>
  <c r="G56" i="12" s="1"/>
  <c r="J56" i="12" s="1"/>
  <c r="R56" i="12" s="1"/>
  <c r="K57" i="12"/>
  <c r="F63" i="12"/>
  <c r="G63" i="12" s="1"/>
  <c r="J63" i="12" s="1"/>
  <c r="R63" i="12" s="1"/>
  <c r="G27" i="14"/>
  <c r="J27" i="14" s="1"/>
  <c r="G24" i="16"/>
  <c r="G39" i="16"/>
  <c r="G41" i="16"/>
  <c r="J41" i="16" s="1"/>
  <c r="R41" i="16" s="1"/>
  <c r="G55" i="16"/>
  <c r="G67" i="16"/>
  <c r="J67" i="16" s="1"/>
  <c r="R67" i="16" s="1"/>
  <c r="J7" i="20"/>
  <c r="F7" i="12"/>
  <c r="G7" i="12" s="1"/>
  <c r="J7" i="12" s="1"/>
  <c r="R7" i="12" s="1"/>
  <c r="K9" i="12"/>
  <c r="K26" i="12"/>
  <c r="F42" i="12"/>
  <c r="G42" i="12" s="1"/>
  <c r="J42" i="12" s="1"/>
  <c r="R42" i="12" s="1"/>
  <c r="K43" i="12"/>
  <c r="K50" i="12"/>
  <c r="K67" i="12"/>
  <c r="G47" i="14"/>
  <c r="J47" i="14" s="1"/>
  <c r="G57" i="14"/>
  <c r="J57" i="14" s="1"/>
  <c r="G64" i="14"/>
  <c r="K66" i="15"/>
  <c r="D70" i="16"/>
  <c r="G35" i="16"/>
  <c r="J35" i="16" s="1"/>
  <c r="R35" i="16" s="1"/>
  <c r="F8" i="16"/>
  <c r="G8" i="16" s="1"/>
  <c r="J8" i="16" s="1"/>
  <c r="R8" i="16" s="1"/>
  <c r="F13" i="16"/>
  <c r="G13" i="16" s="1"/>
  <c r="J13" i="16" s="1"/>
  <c r="R13" i="16" s="1"/>
  <c r="I39" i="16"/>
  <c r="I43" i="16"/>
  <c r="I47" i="16"/>
  <c r="J47" i="16" s="1"/>
  <c r="R47" i="16" s="1"/>
  <c r="I51" i="16"/>
  <c r="J51" i="16" s="1"/>
  <c r="R51" i="16" s="1"/>
  <c r="I55" i="16"/>
  <c r="I59" i="16"/>
  <c r="I63" i="16"/>
  <c r="J63" i="16" s="1"/>
  <c r="R63" i="16" s="1"/>
  <c r="I67" i="16"/>
  <c r="K10" i="18"/>
  <c r="K19" i="18"/>
  <c r="I68" i="24"/>
  <c r="I64" i="24"/>
  <c r="I60" i="24"/>
  <c r="I56" i="24"/>
  <c r="I52" i="24"/>
  <c r="I48" i="24"/>
  <c r="I44" i="24"/>
  <c r="I40" i="24"/>
  <c r="I36" i="24"/>
  <c r="I32" i="24"/>
  <c r="I28" i="24"/>
  <c r="I24" i="24"/>
  <c r="I20" i="24"/>
  <c r="I16" i="24"/>
  <c r="T8" i="24"/>
  <c r="I57" i="24"/>
  <c r="I54" i="24"/>
  <c r="I27" i="24"/>
  <c r="I43" i="24"/>
  <c r="I37" i="24"/>
  <c r="I21" i="24"/>
  <c r="I63" i="24"/>
  <c r="I49" i="24"/>
  <c r="I46" i="24"/>
  <c r="I34" i="24"/>
  <c r="I18" i="24"/>
  <c r="I11" i="24"/>
  <c r="I7" i="24"/>
  <c r="I69" i="24"/>
  <c r="I66" i="24"/>
  <c r="I31" i="24"/>
  <c r="I15" i="24"/>
  <c r="I55" i="24"/>
  <c r="I41" i="24"/>
  <c r="I25" i="24"/>
  <c r="I12" i="24"/>
  <c r="I61" i="24"/>
  <c r="I58" i="24"/>
  <c r="I38" i="24"/>
  <c r="I22" i="24"/>
  <c r="I8" i="24"/>
  <c r="I5" i="24"/>
  <c r="I42" i="24"/>
  <c r="I4" i="24"/>
  <c r="I65" i="24"/>
  <c r="I53" i="24"/>
  <c r="I51" i="24"/>
  <c r="I33" i="24"/>
  <c r="I3" i="24"/>
  <c r="I35" i="24"/>
  <c r="I14" i="24"/>
  <c r="I10" i="24"/>
  <c r="I62" i="24"/>
  <c r="I67" i="24"/>
  <c r="I39" i="24"/>
  <c r="I26" i="24"/>
  <c r="I6" i="24"/>
  <c r="I50" i="24"/>
  <c r="I30" i="24"/>
  <c r="I45" i="24"/>
  <c r="I19" i="24"/>
  <c r="I9" i="24"/>
  <c r="I13" i="24"/>
  <c r="I47" i="24"/>
  <c r="I29" i="24"/>
  <c r="I59" i="24"/>
  <c r="I23" i="24"/>
  <c r="I17" i="24"/>
  <c r="G8" i="18"/>
  <c r="G13" i="18"/>
  <c r="G22" i="18"/>
  <c r="G30" i="18"/>
  <c r="G38" i="18"/>
  <c r="G46" i="18"/>
  <c r="G54" i="18"/>
  <c r="G62" i="18"/>
  <c r="J62" i="18" s="1"/>
  <c r="R62" i="18" s="1"/>
  <c r="J43" i="20"/>
  <c r="F6" i="16"/>
  <c r="G6" i="16" s="1"/>
  <c r="F11" i="16"/>
  <c r="G11" i="16" s="1"/>
  <c r="J11" i="16" s="1"/>
  <c r="I12" i="16"/>
  <c r="J12" i="16" s="1"/>
  <c r="R12" i="16" s="1"/>
  <c r="K17" i="16"/>
  <c r="F20" i="16"/>
  <c r="G20" i="16" s="1"/>
  <c r="J20" i="16" s="1"/>
  <c r="I21" i="16"/>
  <c r="K22" i="16"/>
  <c r="K26" i="16"/>
  <c r="K30" i="16"/>
  <c r="K34" i="16"/>
  <c r="K38" i="16"/>
  <c r="K42" i="16"/>
  <c r="R42" i="16" s="1"/>
  <c r="K46" i="16"/>
  <c r="K50" i="16"/>
  <c r="K54" i="16"/>
  <c r="K58" i="16"/>
  <c r="K62" i="16"/>
  <c r="K66" i="16"/>
  <c r="K17" i="18"/>
  <c r="K27" i="18"/>
  <c r="K35" i="18"/>
  <c r="I40" i="18"/>
  <c r="K43" i="18"/>
  <c r="I48" i="18"/>
  <c r="K51" i="18"/>
  <c r="I56" i="18"/>
  <c r="K59" i="18"/>
  <c r="I64" i="18"/>
  <c r="G19" i="20"/>
  <c r="J19" i="20" s="1"/>
  <c r="I25" i="16"/>
  <c r="J25" i="16" s="1"/>
  <c r="R25" i="16" s="1"/>
  <c r="I29" i="16"/>
  <c r="J29" i="16" s="1"/>
  <c r="R29" i="16" s="1"/>
  <c r="I33" i="16"/>
  <c r="I37" i="16"/>
  <c r="J37" i="16" s="1"/>
  <c r="R37" i="16" s="1"/>
  <c r="I41" i="16"/>
  <c r="I45" i="16"/>
  <c r="I49" i="16"/>
  <c r="J49" i="16" s="1"/>
  <c r="R49" i="16" s="1"/>
  <c r="I53" i="16"/>
  <c r="I57" i="16"/>
  <c r="I61" i="16"/>
  <c r="I65" i="16"/>
  <c r="J65" i="16" s="1"/>
  <c r="R65" i="16" s="1"/>
  <c r="I69" i="16"/>
  <c r="K7" i="18"/>
  <c r="T8" i="18"/>
  <c r="T9" i="18" s="1"/>
  <c r="J60" i="18" s="1"/>
  <c r="R60" i="18" s="1"/>
  <c r="I16" i="18"/>
  <c r="I21" i="18"/>
  <c r="G61" i="18"/>
  <c r="K64" i="18"/>
  <c r="G66" i="18"/>
  <c r="K69" i="18"/>
  <c r="G65" i="20"/>
  <c r="F44" i="16"/>
  <c r="G44" i="16" s="1"/>
  <c r="J44" i="16" s="1"/>
  <c r="F48" i="16"/>
  <c r="G48" i="16" s="1"/>
  <c r="F52" i="16"/>
  <c r="G52" i="16" s="1"/>
  <c r="J52" i="16" s="1"/>
  <c r="F56" i="16"/>
  <c r="G56" i="16" s="1"/>
  <c r="F60" i="16"/>
  <c r="G60" i="16" s="1"/>
  <c r="F64" i="16"/>
  <c r="G64" i="16" s="1"/>
  <c r="J64" i="16" s="1"/>
  <c r="R64" i="16" s="1"/>
  <c r="F68" i="16"/>
  <c r="G68" i="16" s="1"/>
  <c r="J68" i="16" s="1"/>
  <c r="R68" i="16" s="1"/>
  <c r="K12" i="18"/>
  <c r="G20" i="18"/>
  <c r="K24" i="18"/>
  <c r="G26" i="18"/>
  <c r="K32" i="18"/>
  <c r="G34" i="18"/>
  <c r="K40" i="18"/>
  <c r="G42" i="18"/>
  <c r="K48" i="18"/>
  <c r="G50" i="18"/>
  <c r="K56" i="18"/>
  <c r="G58" i="18"/>
  <c r="D70" i="20"/>
  <c r="J10" i="20"/>
  <c r="J25" i="20"/>
  <c r="E8" i="22"/>
  <c r="E70" i="22" s="1"/>
  <c r="D70" i="22"/>
  <c r="F10" i="16"/>
  <c r="G10" i="16" s="1"/>
  <c r="J10" i="16" s="1"/>
  <c r="R10" i="16" s="1"/>
  <c r="K16" i="16"/>
  <c r="K25" i="16"/>
  <c r="K29" i="16"/>
  <c r="K33" i="16"/>
  <c r="K37" i="16"/>
  <c r="K41" i="16"/>
  <c r="K45" i="16"/>
  <c r="K49" i="16"/>
  <c r="K53" i="16"/>
  <c r="K57" i="16"/>
  <c r="K61" i="16"/>
  <c r="K65" i="16"/>
  <c r="K69" i="16"/>
  <c r="I67" i="18"/>
  <c r="I63" i="18"/>
  <c r="I59" i="18"/>
  <c r="I55" i="18"/>
  <c r="I51" i="18"/>
  <c r="I47" i="18"/>
  <c r="I43" i="18"/>
  <c r="I39" i="18"/>
  <c r="I35" i="18"/>
  <c r="I31" i="18"/>
  <c r="J31" i="18" s="1"/>
  <c r="R31" i="18" s="1"/>
  <c r="I27" i="18"/>
  <c r="I23" i="18"/>
  <c r="I69" i="18"/>
  <c r="I65" i="18"/>
  <c r="I61" i="18"/>
  <c r="I57" i="18"/>
  <c r="I53" i="18"/>
  <c r="I49" i="18"/>
  <c r="I45" i="18"/>
  <c r="I41" i="18"/>
  <c r="I37" i="18"/>
  <c r="I33" i="18"/>
  <c r="I29" i="18"/>
  <c r="I25" i="18"/>
  <c r="K16" i="18"/>
  <c r="I20" i="18"/>
  <c r="K21" i="18"/>
  <c r="I26" i="18"/>
  <c r="K29" i="18"/>
  <c r="I34" i="18"/>
  <c r="K37" i="18"/>
  <c r="I42" i="18"/>
  <c r="K45" i="18"/>
  <c r="I50" i="18"/>
  <c r="K53" i="18"/>
  <c r="I58" i="18"/>
  <c r="K61" i="18"/>
  <c r="E70" i="20"/>
  <c r="G15" i="20"/>
  <c r="G22" i="20"/>
  <c r="G33" i="20"/>
  <c r="G51" i="20"/>
  <c r="J51" i="20" s="1"/>
  <c r="J23" i="22"/>
  <c r="I15" i="14"/>
  <c r="I20" i="14"/>
  <c r="J20" i="14" s="1"/>
  <c r="I24" i="14"/>
  <c r="J24" i="14" s="1"/>
  <c r="I28" i="14"/>
  <c r="J28" i="14" s="1"/>
  <c r="I32" i="14"/>
  <c r="I36" i="14"/>
  <c r="J36" i="14" s="1"/>
  <c r="I40" i="14"/>
  <c r="I44" i="14"/>
  <c r="J44" i="14" s="1"/>
  <c r="I48" i="14"/>
  <c r="J48" i="14" s="1"/>
  <c r="I52" i="14"/>
  <c r="I56" i="14"/>
  <c r="J56" i="14" s="1"/>
  <c r="I60" i="14"/>
  <c r="J60" i="14" s="1"/>
  <c r="I64" i="14"/>
  <c r="I3" i="16"/>
  <c r="K6" i="16"/>
  <c r="K11" i="16"/>
  <c r="I15" i="16"/>
  <c r="I19" i="16"/>
  <c r="J19" i="16" s="1"/>
  <c r="R19" i="16" s="1"/>
  <c r="K20" i="16"/>
  <c r="I24" i="16"/>
  <c r="I28" i="16"/>
  <c r="I32" i="16"/>
  <c r="I36" i="16"/>
  <c r="I40" i="16"/>
  <c r="J40" i="16" s="1"/>
  <c r="R40" i="16" s="1"/>
  <c r="I44" i="16"/>
  <c r="I48" i="16"/>
  <c r="I52" i="16"/>
  <c r="I56" i="16"/>
  <c r="I60" i="16"/>
  <c r="I64" i="16"/>
  <c r="I3" i="18"/>
  <c r="K6" i="18"/>
  <c r="K11" i="18"/>
  <c r="I15" i="18"/>
  <c r="G63" i="18"/>
  <c r="K66" i="18"/>
  <c r="K66" i="19"/>
  <c r="G6" i="20"/>
  <c r="G28" i="20"/>
  <c r="J28" i="20" s="1"/>
  <c r="G63" i="20"/>
  <c r="J63" i="20" s="1"/>
  <c r="K26" i="18"/>
  <c r="G28" i="18"/>
  <c r="K34" i="18"/>
  <c r="G36" i="18"/>
  <c r="K42" i="18"/>
  <c r="G44" i="18"/>
  <c r="K50" i="18"/>
  <c r="G52" i="18"/>
  <c r="K58" i="18"/>
  <c r="I68" i="18"/>
  <c r="G13" i="20"/>
  <c r="J13" i="20" s="1"/>
  <c r="J9" i="22"/>
  <c r="K15" i="16"/>
  <c r="K19" i="16"/>
  <c r="K24" i="16"/>
  <c r="K28" i="16"/>
  <c r="K32" i="16"/>
  <c r="K36" i="16"/>
  <c r="K40" i="16"/>
  <c r="K44" i="16"/>
  <c r="K48" i="16"/>
  <c r="K52" i="16"/>
  <c r="K56" i="16"/>
  <c r="K60" i="16"/>
  <c r="K64" i="16"/>
  <c r="K15" i="18"/>
  <c r="K23" i="18"/>
  <c r="K31" i="18"/>
  <c r="K39" i="18"/>
  <c r="K47" i="18"/>
  <c r="I52" i="18"/>
  <c r="K55" i="18"/>
  <c r="I60" i="18"/>
  <c r="K63" i="18"/>
  <c r="I16" i="20"/>
  <c r="J16" i="20" s="1"/>
  <c r="I31" i="20"/>
  <c r="F36" i="20"/>
  <c r="G36" i="20" s="1"/>
  <c r="J36" i="20" s="1"/>
  <c r="I41" i="20"/>
  <c r="J41" i="20" s="1"/>
  <c r="F48" i="20"/>
  <c r="G48" i="20" s="1"/>
  <c r="J48" i="20" s="1"/>
  <c r="I53" i="20"/>
  <c r="J53" i="20" s="1"/>
  <c r="F60" i="20"/>
  <c r="G60" i="20" s="1"/>
  <c r="J60" i="20" s="1"/>
  <c r="I65" i="20"/>
  <c r="F11" i="22"/>
  <c r="G11" i="22" s="1"/>
  <c r="J11" i="22" s="1"/>
  <c r="F38" i="20"/>
  <c r="G38" i="20" s="1"/>
  <c r="J38" i="20" s="1"/>
  <c r="I43" i="20"/>
  <c r="F45" i="20"/>
  <c r="G45" i="20" s="1"/>
  <c r="F50" i="20"/>
  <c r="G50" i="20" s="1"/>
  <c r="I55" i="20"/>
  <c r="J55" i="20" s="1"/>
  <c r="F57" i="20"/>
  <c r="G57" i="20" s="1"/>
  <c r="F62" i="20"/>
  <c r="G62" i="20" s="1"/>
  <c r="J62" i="20" s="1"/>
  <c r="F69" i="20"/>
  <c r="G69" i="20" s="1"/>
  <c r="J69" i="20" s="1"/>
  <c r="I66" i="20"/>
  <c r="I62" i="20"/>
  <c r="I58" i="20"/>
  <c r="J58" i="20" s="1"/>
  <c r="I54" i="20"/>
  <c r="I50" i="20"/>
  <c r="I46" i="20"/>
  <c r="I42" i="20"/>
  <c r="I38" i="20"/>
  <c r="I34" i="20"/>
  <c r="J34" i="20" s="1"/>
  <c r="I30" i="20"/>
  <c r="J30" i="20" s="1"/>
  <c r="I26" i="20"/>
  <c r="I22" i="20"/>
  <c r="I17" i="20"/>
  <c r="J17" i="20" s="1"/>
  <c r="I68" i="20"/>
  <c r="I64" i="20"/>
  <c r="I60" i="20"/>
  <c r="I56" i="20"/>
  <c r="I52" i="20"/>
  <c r="I48" i="20"/>
  <c r="I44" i="20"/>
  <c r="I40" i="20"/>
  <c r="I36" i="20"/>
  <c r="G9" i="20"/>
  <c r="J9" i="20" s="1"/>
  <c r="G18" i="20"/>
  <c r="I33" i="20"/>
  <c r="T11" i="22"/>
  <c r="T4" i="22"/>
  <c r="I9" i="20"/>
  <c r="I18" i="20"/>
  <c r="F21" i="20"/>
  <c r="G21" i="20" s="1"/>
  <c r="J21" i="20" s="1"/>
  <c r="F24" i="20"/>
  <c r="G24" i="20" s="1"/>
  <c r="F27" i="20"/>
  <c r="G27" i="20" s="1"/>
  <c r="J27" i="20" s="1"/>
  <c r="F40" i="20"/>
  <c r="G40" i="20" s="1"/>
  <c r="I45" i="20"/>
  <c r="F52" i="20"/>
  <c r="G52" i="20" s="1"/>
  <c r="I57" i="20"/>
  <c r="F64" i="20"/>
  <c r="G64" i="20" s="1"/>
  <c r="I69" i="20"/>
  <c r="D70" i="24"/>
  <c r="V4" i="26"/>
  <c r="T4" i="4" s="1"/>
  <c r="I3" i="20"/>
  <c r="I70" i="20" s="1"/>
  <c r="T13" i="20" s="1"/>
  <c r="I12" i="20"/>
  <c r="J12" i="20" s="1"/>
  <c r="I15" i="20"/>
  <c r="I27" i="20"/>
  <c r="G35" i="20"/>
  <c r="J35" i="20" s="1"/>
  <c r="G47" i="20"/>
  <c r="G59" i="20"/>
  <c r="I4" i="20"/>
  <c r="F8" i="20"/>
  <c r="G8" i="20" s="1"/>
  <c r="J8" i="20" s="1"/>
  <c r="I21" i="20"/>
  <c r="I24" i="20"/>
  <c r="F29" i="20"/>
  <c r="G29" i="20" s="1"/>
  <c r="F32" i="20"/>
  <c r="G32" i="20" s="1"/>
  <c r="J32" i="20" s="1"/>
  <c r="I35" i="20"/>
  <c r="F37" i="20"/>
  <c r="G37" i="20" s="1"/>
  <c r="F42" i="20"/>
  <c r="G42" i="20" s="1"/>
  <c r="I47" i="20"/>
  <c r="F49" i="20"/>
  <c r="G49" i="20" s="1"/>
  <c r="F54" i="20"/>
  <c r="G54" i="20" s="1"/>
  <c r="J54" i="20" s="1"/>
  <c r="I59" i="20"/>
  <c r="F61" i="20"/>
  <c r="G61" i="20" s="1"/>
  <c r="J61" i="20" s="1"/>
  <c r="F66" i="20"/>
  <c r="G66" i="20" s="1"/>
  <c r="K66" i="23"/>
  <c r="J10" i="22"/>
  <c r="F20" i="22"/>
  <c r="G20" i="22" s="1"/>
  <c r="J20" i="22" s="1"/>
  <c r="F68" i="22"/>
  <c r="G68" i="22" s="1"/>
  <c r="J68" i="22" s="1"/>
  <c r="F54" i="22"/>
  <c r="G54" i="22" s="1"/>
  <c r="F51" i="22"/>
  <c r="G51" i="22" s="1"/>
  <c r="J51" i="22" s="1"/>
  <c r="F37" i="22"/>
  <c r="G37" i="22" s="1"/>
  <c r="J37" i="22" s="1"/>
  <c r="F24" i="22"/>
  <c r="G24" i="22" s="1"/>
  <c r="J24" i="22" s="1"/>
  <c r="F16" i="22"/>
  <c r="G16" i="22" s="1"/>
  <c r="J16" i="22" s="1"/>
  <c r="F57" i="22"/>
  <c r="G57" i="22" s="1"/>
  <c r="J57" i="22" s="1"/>
  <c r="F40" i="22"/>
  <c r="G40" i="22" s="1"/>
  <c r="J40" i="22" s="1"/>
  <c r="F31" i="22"/>
  <c r="G31" i="22" s="1"/>
  <c r="J31" i="22" s="1"/>
  <c r="F12" i="22"/>
  <c r="G12" i="22" s="1"/>
  <c r="J12" i="22" s="1"/>
  <c r="F60" i="22"/>
  <c r="G60" i="22" s="1"/>
  <c r="F46" i="22"/>
  <c r="G46" i="22" s="1"/>
  <c r="F43" i="22"/>
  <c r="G43" i="22" s="1"/>
  <c r="F28" i="22"/>
  <c r="G28" i="22" s="1"/>
  <c r="J28" i="22" s="1"/>
  <c r="F21" i="22"/>
  <c r="G21" i="22" s="1"/>
  <c r="J21" i="22" s="1"/>
  <c r="F7" i="22"/>
  <c r="G7" i="22" s="1"/>
  <c r="F66" i="22"/>
  <c r="G66" i="22" s="1"/>
  <c r="J66" i="22" s="1"/>
  <c r="F63" i="22"/>
  <c r="G63" i="22" s="1"/>
  <c r="J63" i="22" s="1"/>
  <c r="F49" i="22"/>
  <c r="G49" i="22" s="1"/>
  <c r="F25" i="22"/>
  <c r="G25" i="22" s="1"/>
  <c r="J25" i="22" s="1"/>
  <c r="F17" i="22"/>
  <c r="G17" i="22" s="1"/>
  <c r="F69" i="22"/>
  <c r="G69" i="22" s="1"/>
  <c r="J69" i="22" s="1"/>
  <c r="F52" i="22"/>
  <c r="G52" i="22" s="1"/>
  <c r="F38" i="22"/>
  <c r="G38" i="22" s="1"/>
  <c r="F35" i="22"/>
  <c r="G35" i="22" s="1"/>
  <c r="F32" i="22"/>
  <c r="G32" i="22" s="1"/>
  <c r="F13" i="22"/>
  <c r="G13" i="22" s="1"/>
  <c r="F8" i="22"/>
  <c r="G8" i="22" s="1"/>
  <c r="J8" i="22" s="1"/>
  <c r="F58" i="22"/>
  <c r="G58" i="22" s="1"/>
  <c r="F55" i="22"/>
  <c r="G55" i="22" s="1"/>
  <c r="J55" i="22" s="1"/>
  <c r="F41" i="22"/>
  <c r="G41" i="22" s="1"/>
  <c r="F29" i="22"/>
  <c r="G29" i="22" s="1"/>
  <c r="J29" i="22" s="1"/>
  <c r="F22" i="22"/>
  <c r="G22" i="22" s="1"/>
  <c r="F61" i="22"/>
  <c r="G61" i="22" s="1"/>
  <c r="F44" i="22"/>
  <c r="G44" i="22" s="1"/>
  <c r="F64" i="22"/>
  <c r="G64" i="22" s="1"/>
  <c r="F50" i="22"/>
  <c r="G50" i="22" s="1"/>
  <c r="F47" i="22"/>
  <c r="G47" i="22" s="1"/>
  <c r="J47" i="22" s="1"/>
  <c r="F33" i="22"/>
  <c r="G33" i="22" s="1"/>
  <c r="F26" i="22"/>
  <c r="G26" i="22" s="1"/>
  <c r="J26" i="22" s="1"/>
  <c r="F18" i="22"/>
  <c r="G18" i="22" s="1"/>
  <c r="J18" i="22" s="1"/>
  <c r="I5" i="20"/>
  <c r="I8" i="20"/>
  <c r="F14" i="20"/>
  <c r="G14" i="20" s="1"/>
  <c r="J14" i="20" s="1"/>
  <c r="F20" i="20"/>
  <c r="G20" i="20" s="1"/>
  <c r="J20" i="20" s="1"/>
  <c r="F26" i="20"/>
  <c r="G26" i="20" s="1"/>
  <c r="I29" i="20"/>
  <c r="I32" i="20"/>
  <c r="I37" i="20"/>
  <c r="F44" i="20"/>
  <c r="G44" i="20" s="1"/>
  <c r="I49" i="20"/>
  <c r="F56" i="20"/>
  <c r="G56" i="20" s="1"/>
  <c r="J56" i="20" s="1"/>
  <c r="I61" i="20"/>
  <c r="F68" i="20"/>
  <c r="G68" i="20" s="1"/>
  <c r="J68" i="20" s="1"/>
  <c r="I21" i="22"/>
  <c r="I66" i="22"/>
  <c r="I62" i="22"/>
  <c r="J62" i="22" s="1"/>
  <c r="I58" i="22"/>
  <c r="I54" i="22"/>
  <c r="I50" i="22"/>
  <c r="I46" i="22"/>
  <c r="I42" i="22"/>
  <c r="J42" i="22" s="1"/>
  <c r="I38" i="22"/>
  <c r="I34" i="22"/>
  <c r="J34" i="22" s="1"/>
  <c r="I60" i="22"/>
  <c r="I57" i="22"/>
  <c r="I43" i="22"/>
  <c r="I28" i="22"/>
  <c r="I7" i="22"/>
  <c r="I63" i="22"/>
  <c r="I17" i="22"/>
  <c r="I52" i="22"/>
  <c r="I49" i="22"/>
  <c r="I35" i="22"/>
  <c r="I32" i="22"/>
  <c r="I25" i="22"/>
  <c r="I13" i="22"/>
  <c r="I8" i="22"/>
  <c r="I69" i="22"/>
  <c r="I55" i="22"/>
  <c r="I22" i="22"/>
  <c r="I44" i="22"/>
  <c r="I41" i="22"/>
  <c r="I29" i="22"/>
  <c r="I14" i="22"/>
  <c r="J14" i="22" s="1"/>
  <c r="I9" i="22"/>
  <c r="I5" i="22"/>
  <c r="I64" i="22"/>
  <c r="I61" i="22"/>
  <c r="I47" i="22"/>
  <c r="I26" i="22"/>
  <c r="I18" i="22"/>
  <c r="I67" i="22"/>
  <c r="J67" i="22" s="1"/>
  <c r="I36" i="22"/>
  <c r="J36" i="22" s="1"/>
  <c r="I33" i="22"/>
  <c r="I56" i="22"/>
  <c r="I53" i="22"/>
  <c r="I39" i="22"/>
  <c r="J39" i="22" s="1"/>
  <c r="I30" i="22"/>
  <c r="J30" i="22" s="1"/>
  <c r="I23" i="22"/>
  <c r="I19" i="22"/>
  <c r="J19" i="22" s="1"/>
  <c r="I15" i="22"/>
  <c r="I3" i="22"/>
  <c r="I10" i="22"/>
  <c r="F53" i="22"/>
  <c r="G53" i="22" s="1"/>
  <c r="F56" i="22"/>
  <c r="G56" i="22" s="1"/>
  <c r="J56" i="22" s="1"/>
  <c r="V9" i="26"/>
  <c r="X9" i="26"/>
  <c r="T18" i="14" s="1"/>
  <c r="K7" i="24"/>
  <c r="K69" i="24"/>
  <c r="K65" i="24"/>
  <c r="K61" i="24"/>
  <c r="K57" i="24"/>
  <c r="K53" i="24"/>
  <c r="K49" i="24"/>
  <c r="K45" i="24"/>
  <c r="K41" i="24"/>
  <c r="K63" i="24"/>
  <c r="K60" i="24"/>
  <c r="K46" i="24"/>
  <c r="K34" i="24"/>
  <c r="K18" i="24"/>
  <c r="K11" i="24"/>
  <c r="K66" i="24"/>
  <c r="K31" i="24"/>
  <c r="K15" i="24"/>
  <c r="K55" i="24"/>
  <c r="K52" i="24"/>
  <c r="K28" i="24"/>
  <c r="K25" i="24"/>
  <c r="K58" i="24"/>
  <c r="K38" i="24"/>
  <c r="K22" i="24"/>
  <c r="K12" i="24"/>
  <c r="K8" i="24"/>
  <c r="K47" i="24"/>
  <c r="K44" i="24"/>
  <c r="K35" i="24"/>
  <c r="K19" i="24"/>
  <c r="K67" i="24"/>
  <c r="K64" i="24"/>
  <c r="K50" i="24"/>
  <c r="K32" i="24"/>
  <c r="K29" i="24"/>
  <c r="K16" i="24"/>
  <c r="K62" i="24"/>
  <c r="K13" i="24"/>
  <c r="K17" i="24"/>
  <c r="K59" i="24"/>
  <c r="K43" i="24"/>
  <c r="X5" i="26"/>
  <c r="V5" i="26"/>
  <c r="K24" i="24"/>
  <c r="K30" i="24"/>
  <c r="K48" i="24"/>
  <c r="K10" i="24"/>
  <c r="K14" i="24"/>
  <c r="V12" i="26"/>
  <c r="X8" i="26"/>
  <c r="T20" i="12" s="1"/>
  <c r="X12" i="26"/>
  <c r="T20" i="20" s="1"/>
  <c r="F66" i="24"/>
  <c r="G66" i="24" s="1"/>
  <c r="F69" i="24"/>
  <c r="G69" i="24" s="1"/>
  <c r="G15" i="24"/>
  <c r="G28" i="24"/>
  <c r="G52" i="24"/>
  <c r="G11" i="24"/>
  <c r="U15" i="26"/>
  <c r="F54" i="24"/>
  <c r="G54" i="24" s="1"/>
  <c r="F57" i="24"/>
  <c r="G57" i="24" s="1"/>
  <c r="F60" i="24"/>
  <c r="G60" i="24" s="1"/>
  <c r="V3" i="26"/>
  <c r="X6" i="26"/>
  <c r="X14" i="26"/>
  <c r="G24" i="24"/>
  <c r="G27" i="24"/>
  <c r="T15" i="26"/>
  <c r="G6" i="24"/>
  <c r="F33" i="24"/>
  <c r="G33" i="24" s="1"/>
  <c r="F62" i="24"/>
  <c r="G62" i="24" s="1"/>
  <c r="F65" i="24"/>
  <c r="G65" i="24" s="1"/>
  <c r="F68" i="24"/>
  <c r="G68" i="24" s="1"/>
  <c r="BC67" i="27"/>
  <c r="AO60" i="27"/>
  <c r="AS54" i="27"/>
  <c r="AS47" i="27"/>
  <c r="AS55" i="27"/>
  <c r="AS48" i="27"/>
  <c r="AO48" i="27"/>
  <c r="AO39" i="27"/>
  <c r="AO45" i="27"/>
  <c r="AS19" i="27"/>
  <c r="AS24" i="27"/>
  <c r="AW21" i="27"/>
  <c r="AW53" i="27"/>
  <c r="AS16" i="27"/>
  <c r="AO19" i="27"/>
  <c r="AW9" i="27"/>
  <c r="AO6" i="27"/>
  <c r="AS10" i="27"/>
  <c r="R34" i="27"/>
  <c r="AH20" i="27"/>
  <c r="AH24" i="27"/>
  <c r="AH6" i="27"/>
  <c r="AH65" i="27"/>
  <c r="AS49" i="27"/>
  <c r="AO51" i="27"/>
  <c r="AO44" i="27"/>
  <c r="AO52" i="27"/>
  <c r="AW44" i="27"/>
  <c r="AW47" i="27"/>
  <c r="AS38" i="27"/>
  <c r="AW42" i="27"/>
  <c r="AW39" i="27"/>
  <c r="AS21" i="27"/>
  <c r="AS60" i="27"/>
  <c r="AO16" i="27"/>
  <c r="AO21" i="27"/>
  <c r="AO27" i="27"/>
  <c r="AS32" i="27"/>
  <c r="AO17" i="27"/>
  <c r="AS46" i="27"/>
  <c r="AW25" i="27"/>
  <c r="AW16" i="27"/>
  <c r="AW8" i="27"/>
  <c r="AO26" i="27"/>
  <c r="R15" i="27"/>
  <c r="R21" i="27"/>
  <c r="AH30" i="27"/>
  <c r="Z26" i="27"/>
  <c r="Z53" i="27"/>
  <c r="Z4" i="27"/>
  <c r="AH32" i="27"/>
  <c r="AO65" i="27"/>
  <c r="AO46" i="27"/>
  <c r="AW48" i="27"/>
  <c r="AS35" i="27"/>
  <c r="AW45" i="27"/>
  <c r="AO29" i="27"/>
  <c r="AO18" i="27"/>
  <c r="AS26" i="27"/>
  <c r="AO30" i="27"/>
  <c r="AW23" i="27"/>
  <c r="AS22" i="27"/>
  <c r="AO13" i="27"/>
  <c r="AS5" i="27"/>
  <c r="AW7" i="27"/>
  <c r="AS13" i="27"/>
  <c r="R6" i="27"/>
  <c r="R14" i="27"/>
  <c r="R13" i="27"/>
  <c r="AS65" i="27"/>
  <c r="AO32" i="27"/>
  <c r="AS39" i="27"/>
  <c r="AS43" i="27"/>
  <c r="AS41" i="27"/>
  <c r="AW34" i="27"/>
  <c r="AO59" i="27"/>
  <c r="AS28" i="27"/>
  <c r="AS36" i="27"/>
  <c r="AO61" i="27"/>
  <c r="AW28" i="27"/>
  <c r="AO38" i="27"/>
  <c r="AS18" i="27"/>
  <c r="AO9" i="27"/>
  <c r="AS4" i="27"/>
  <c r="AS6" i="27"/>
  <c r="AO34" i="27"/>
  <c r="R5" i="27"/>
  <c r="Z60" i="27"/>
  <c r="AW62" i="27"/>
  <c r="AW38" i="27"/>
  <c r="AS45" i="27"/>
  <c r="AO62" i="27"/>
  <c r="AS25" i="27"/>
  <c r="AW35" i="27"/>
  <c r="AS44" i="27"/>
  <c r="AW15" i="27"/>
  <c r="AO24" i="27"/>
  <c r="AW12" i="27"/>
  <c r="AO14" i="27"/>
  <c r="AW10" i="27"/>
  <c r="AO3" i="27"/>
  <c r="R61" i="27"/>
  <c r="Z39" i="27"/>
  <c r="AW64" i="27"/>
  <c r="AW40" i="27"/>
  <c r="AO66" i="27"/>
  <c r="AO42" i="27"/>
  <c r="AO37" i="27"/>
  <c r="AO40" i="27"/>
  <c r="AS31" i="27"/>
  <c r="AS51" i="27"/>
  <c r="AS23" i="27"/>
  <c r="AW19" i="27"/>
  <c r="AS34" i="27"/>
  <c r="AO22" i="27"/>
  <c r="AW63" i="27"/>
  <c r="AS29" i="27"/>
  <c r="AO7" i="27"/>
  <c r="AS17" i="27"/>
  <c r="AH28" i="27"/>
  <c r="R4" i="27"/>
  <c r="AH15" i="27"/>
  <c r="AH5" i="27"/>
  <c r="AS66" i="27"/>
  <c r="AS59" i="27"/>
  <c r="AW26" i="27"/>
  <c r="AW36" i="27"/>
  <c r="AO35" i="27"/>
  <c r="AS64" i="27"/>
  <c r="AO20" i="27"/>
  <c r="AW33" i="27"/>
  <c r="AO33" i="27"/>
  <c r="AS12" i="27"/>
  <c r="AO15" i="27"/>
  <c r="AO10" i="27"/>
  <c r="AS7" i="27"/>
  <c r="AW3" i="27"/>
  <c r="AW5" i="27"/>
  <c r="R54" i="27"/>
  <c r="R41" i="27"/>
  <c r="Z14" i="27"/>
  <c r="Z35" i="27"/>
  <c r="AH56" i="27"/>
  <c r="Z57" i="27"/>
  <c r="AH10" i="27"/>
  <c r="Z13" i="27"/>
  <c r="AO58" i="27"/>
  <c r="AW60" i="27"/>
  <c r="AW31" i="27"/>
  <c r="AS33" i="27"/>
  <c r="AW51" i="27"/>
  <c r="AO36" i="27"/>
  <c r="AO23" i="27"/>
  <c r="AW30" i="27"/>
  <c r="AO8" i="27"/>
  <c r="AO31" i="27"/>
  <c r="Z3" i="27"/>
  <c r="R29" i="27"/>
  <c r="R26" i="27"/>
  <c r="Z42" i="27"/>
  <c r="Z52" i="27"/>
  <c r="Z38" i="27"/>
  <c r="Z22" i="27"/>
  <c r="AW57" i="27"/>
  <c r="AW50" i="27"/>
  <c r="AS57" i="27"/>
  <c r="AW58" i="27"/>
  <c r="AO50" i="27"/>
  <c r="AW41" i="27"/>
  <c r="AO55" i="27"/>
  <c r="AW61" i="27"/>
  <c r="AO47" i="27"/>
  <c r="AO25" i="27"/>
  <c r="AW22" i="27"/>
  <c r="AS27" i="27"/>
  <c r="AO12" i="27"/>
  <c r="AW32" i="27"/>
  <c r="AS62" i="27"/>
  <c r="AO5" i="27"/>
  <c r="AW37" i="27"/>
  <c r="AW29" i="27"/>
  <c r="AS20" i="27"/>
  <c r="R8" i="27"/>
  <c r="R42" i="27"/>
  <c r="R12" i="27"/>
  <c r="R63" i="27"/>
  <c r="AH7" i="27"/>
  <c r="R39" i="27"/>
  <c r="AS61" i="27"/>
  <c r="AO64" i="27"/>
  <c r="AS42" i="27"/>
  <c r="AS11" i="27"/>
  <c r="AW49" i="27"/>
  <c r="R51" i="27"/>
  <c r="Z19" i="27"/>
  <c r="Z7" i="27"/>
  <c r="Z12" i="27"/>
  <c r="Z55" i="27"/>
  <c r="Z23" i="27"/>
  <c r="AH22" i="27"/>
  <c r="R23" i="27"/>
  <c r="AO11" i="27"/>
  <c r="Z63" i="27"/>
  <c r="AW65" i="27"/>
  <c r="Z10" i="27"/>
  <c r="Z18" i="27"/>
  <c r="AH26" i="27"/>
  <c r="Z9" i="27"/>
  <c r="R24" i="27"/>
  <c r="AL42" i="27"/>
  <c r="Z5" i="27"/>
  <c r="AW52" i="27"/>
  <c r="AS56" i="27"/>
  <c r="AO41" i="27"/>
  <c r="AS52" i="27"/>
  <c r="AS14" i="27"/>
  <c r="Z48" i="27"/>
  <c r="AH61" i="27"/>
  <c r="AH16" i="27"/>
  <c r="R66" i="27"/>
  <c r="Z62" i="27"/>
  <c r="Z11" i="27"/>
  <c r="AH38" i="27"/>
  <c r="AO63" i="27"/>
  <c r="AW56" i="27"/>
  <c r="AW6" i="27"/>
  <c r="AO4" i="27"/>
  <c r="Z61" i="27"/>
  <c r="Z66" i="27"/>
  <c r="Z54" i="27"/>
  <c r="Z49" i="27"/>
  <c r="AH34" i="27"/>
  <c r="AW11" i="27"/>
  <c r="AH46" i="27"/>
  <c r="R33" i="27"/>
  <c r="Z36" i="27"/>
  <c r="Z16" i="27"/>
  <c r="AS53" i="27"/>
  <c r="AW14" i="27"/>
  <c r="AS3" i="27"/>
  <c r="AS9" i="27"/>
  <c r="Z41" i="27"/>
  <c r="AL59" i="27"/>
  <c r="AS58" i="27"/>
  <c r="AH18" i="27"/>
  <c r="Z30" i="27"/>
  <c r="Z34" i="27"/>
  <c r="AH44" i="27"/>
  <c r="AH39" i="27"/>
  <c r="AO49" i="27"/>
  <c r="AW55" i="27"/>
  <c r="R10" i="27"/>
  <c r="R52" i="27"/>
  <c r="V46" i="27"/>
  <c r="AH48" i="27"/>
  <c r="Z24" i="27"/>
  <c r="AO56" i="27"/>
  <c r="R50" i="27"/>
  <c r="AW43" i="27"/>
  <c r="AO57" i="27"/>
  <c r="AW27" i="27"/>
  <c r="AS37" i="27"/>
  <c r="AS8" i="27"/>
  <c r="AS40" i="27"/>
  <c r="AO43" i="27"/>
  <c r="AW24" i="27"/>
  <c r="AS30" i="27"/>
  <c r="AW13" i="27"/>
  <c r="R55" i="27"/>
  <c r="Z8" i="27"/>
  <c r="Z51" i="27"/>
  <c r="Z56" i="27"/>
  <c r="Z59" i="27"/>
  <c r="AH9" i="27"/>
  <c r="AH37" i="27"/>
  <c r="Z6" i="27"/>
  <c r="AH62" i="27"/>
  <c r="V42" i="27"/>
  <c r="R38" i="27"/>
  <c r="AS63" i="27"/>
  <c r="AO53" i="27"/>
  <c r="AW17" i="27"/>
  <c r="V60" i="27"/>
  <c r="V64" i="27"/>
  <c r="AW59" i="27"/>
  <c r="AO28" i="27"/>
  <c r="AW18" i="27"/>
  <c r="R58" i="27"/>
  <c r="R30" i="27"/>
  <c r="R16" i="27"/>
  <c r="AL13" i="27"/>
  <c r="AL20" i="27"/>
  <c r="Z25" i="27"/>
  <c r="AL38" i="27"/>
  <c r="Z29" i="27"/>
  <c r="AH64" i="27"/>
  <c r="AH60" i="27"/>
  <c r="AO54" i="27"/>
  <c r="AW46" i="27"/>
  <c r="AW20" i="27"/>
  <c r="V19" i="27"/>
  <c r="Z20" i="27"/>
  <c r="V39" i="27"/>
  <c r="AW66" i="27"/>
  <c r="AS50" i="27"/>
  <c r="AS15" i="27"/>
  <c r="AW4" i="27"/>
  <c r="AW54" i="27"/>
  <c r="R47" i="27"/>
  <c r="R46" i="27"/>
  <c r="R49" i="27"/>
  <c r="R53" i="27"/>
  <c r="Z44" i="27"/>
  <c r="Z32" i="27"/>
  <c r="Z31" i="27"/>
  <c r="V58" i="27"/>
  <c r="AH12" i="27"/>
  <c r="Z21" i="27"/>
  <c r="AH40" i="27"/>
  <c r="AL28" i="27"/>
  <c r="AL57" i="27"/>
  <c r="Z27" i="27"/>
  <c r="AB27" i="27" l="1"/>
  <c r="AN57" i="27"/>
  <c r="AN28" i="27"/>
  <c r="AJ40" i="27"/>
  <c r="AB21" i="27"/>
  <c r="AJ12" i="27"/>
  <c r="X58" i="27"/>
  <c r="AB31" i="27"/>
  <c r="AB32" i="27"/>
  <c r="AB44" i="27"/>
  <c r="T53" i="27"/>
  <c r="T49" i="27"/>
  <c r="T46" i="27"/>
  <c r="T47" i="27"/>
  <c r="X39" i="27"/>
  <c r="AB20" i="27"/>
  <c r="X19" i="27"/>
  <c r="BA54" i="27"/>
  <c r="AJ60" i="27"/>
  <c r="AJ64" i="27"/>
  <c r="AB29" i="27"/>
  <c r="AN38" i="27"/>
  <c r="AB25" i="27"/>
  <c r="AN20" i="27"/>
  <c r="AN13" i="27"/>
  <c r="T16" i="27"/>
  <c r="T30" i="27"/>
  <c r="T58" i="27"/>
  <c r="BA28" i="27"/>
  <c r="X64" i="27"/>
  <c r="X60" i="27"/>
  <c r="BA53" i="27"/>
  <c r="T38" i="27"/>
  <c r="X42" i="27"/>
  <c r="AJ62" i="27"/>
  <c r="AB6" i="27"/>
  <c r="AJ37" i="27"/>
  <c r="AJ9" i="27"/>
  <c r="AB59" i="27"/>
  <c r="AB56" i="27"/>
  <c r="AB51" i="27"/>
  <c r="AB8" i="27"/>
  <c r="T55" i="27"/>
  <c r="BA43" i="27"/>
  <c r="BA57" i="27"/>
  <c r="T50" i="27"/>
  <c r="BA56" i="27"/>
  <c r="AB24" i="27"/>
  <c r="AJ48" i="27"/>
  <c r="X46" i="27"/>
  <c r="T52" i="27"/>
  <c r="T10" i="27"/>
  <c r="BA49" i="27"/>
  <c r="AJ39" i="27"/>
  <c r="AJ44" i="27"/>
  <c r="AB34" i="27"/>
  <c r="AB30" i="27"/>
  <c r="AJ18" i="27"/>
  <c r="AN59" i="27"/>
  <c r="AB41" i="27"/>
  <c r="AS67" i="27"/>
  <c r="AB16" i="27"/>
  <c r="AB36" i="27"/>
  <c r="T33" i="27"/>
  <c r="AJ46" i="27"/>
  <c r="AJ34" i="27"/>
  <c r="AB49" i="27"/>
  <c r="AB54" i="27"/>
  <c r="AB66" i="27"/>
  <c r="AB61" i="27"/>
  <c r="BA4" i="27"/>
  <c r="BA63" i="27"/>
  <c r="AJ38" i="27"/>
  <c r="AB11" i="27"/>
  <c r="AB62" i="27"/>
  <c r="T66" i="27"/>
  <c r="AJ16" i="27"/>
  <c r="AJ61" i="27"/>
  <c r="AB48" i="27"/>
  <c r="BA41" i="27"/>
  <c r="AB5" i="27"/>
  <c r="AN42" i="27"/>
  <c r="T24" i="27"/>
  <c r="AB9" i="27"/>
  <c r="AJ26" i="27"/>
  <c r="AB18" i="27"/>
  <c r="AB10" i="27"/>
  <c r="AB63" i="27"/>
  <c r="BA11" i="27"/>
  <c r="T23" i="27"/>
  <c r="AJ22" i="27"/>
  <c r="AB23" i="27"/>
  <c r="AB55" i="27"/>
  <c r="AB12" i="27"/>
  <c r="AB7" i="27"/>
  <c r="AB19" i="27"/>
  <c r="T51" i="27"/>
  <c r="BA64" i="27"/>
  <c r="T39" i="27"/>
  <c r="AJ7" i="27"/>
  <c r="T63" i="27"/>
  <c r="T12" i="27"/>
  <c r="T42" i="27"/>
  <c r="T8" i="27"/>
  <c r="BA5" i="27"/>
  <c r="BA12" i="27"/>
  <c r="BA25" i="27"/>
  <c r="BA47" i="27"/>
  <c r="BA55" i="27"/>
  <c r="BA50" i="27"/>
  <c r="AB22" i="27"/>
  <c r="AB38" i="27"/>
  <c r="AB52" i="27"/>
  <c r="AB42" i="27"/>
  <c r="T26" i="27"/>
  <c r="T29" i="27"/>
  <c r="AB3" i="27"/>
  <c r="BA31" i="27"/>
  <c r="BA8" i="27"/>
  <c r="BA23" i="27"/>
  <c r="BA36" i="27"/>
  <c r="BA58" i="27"/>
  <c r="AB13" i="27"/>
  <c r="AJ10" i="27"/>
  <c r="AB57" i="27"/>
  <c r="AJ56" i="27"/>
  <c r="AB35" i="27"/>
  <c r="AB14" i="27"/>
  <c r="T41" i="27"/>
  <c r="T54" i="27"/>
  <c r="AW67" i="27"/>
  <c r="BA10" i="27"/>
  <c r="BA15" i="27"/>
  <c r="BA33" i="27"/>
  <c r="BA20" i="27"/>
  <c r="BA35" i="27"/>
  <c r="AJ5" i="27"/>
  <c r="AJ15" i="27"/>
  <c r="T4" i="27"/>
  <c r="AJ28" i="27"/>
  <c r="BA7" i="27"/>
  <c r="BA22" i="27"/>
  <c r="BA40" i="27"/>
  <c r="BA37" i="27"/>
  <c r="BA42" i="27"/>
  <c r="BA66" i="27"/>
  <c r="AB39" i="27"/>
  <c r="T61" i="27"/>
  <c r="AO67" i="27"/>
  <c r="BA3" i="27"/>
  <c r="BA14" i="27"/>
  <c r="BA24" i="27"/>
  <c r="BA62" i="27"/>
  <c r="AB60" i="27"/>
  <c r="T5" i="27"/>
  <c r="BA34" i="27"/>
  <c r="BA9" i="27"/>
  <c r="BA38" i="27"/>
  <c r="BA61" i="27"/>
  <c r="BA59" i="27"/>
  <c r="BA32" i="27"/>
  <c r="T13" i="27"/>
  <c r="T14" i="27"/>
  <c r="T6" i="27"/>
  <c r="BA13" i="27"/>
  <c r="BA30" i="27"/>
  <c r="BA18" i="27"/>
  <c r="BA29" i="27"/>
  <c r="BA46" i="27"/>
  <c r="BA65" i="27"/>
  <c r="AJ32" i="27"/>
  <c r="AB4" i="27"/>
  <c r="AB53" i="27"/>
  <c r="AB26" i="27"/>
  <c r="AJ30" i="27"/>
  <c r="T21" i="27"/>
  <c r="T15" i="27"/>
  <c r="BA26" i="27"/>
  <c r="BA17" i="27"/>
  <c r="BA27" i="27"/>
  <c r="BA21" i="27"/>
  <c r="BA16" i="27"/>
  <c r="BA52" i="27"/>
  <c r="BA44" i="27"/>
  <c r="BA51" i="27"/>
  <c r="AJ65" i="27"/>
  <c r="AJ6" i="27"/>
  <c r="AJ24" i="27"/>
  <c r="AJ20" i="27"/>
  <c r="T34" i="27"/>
  <c r="BA6" i="27"/>
  <c r="BA19" i="27"/>
  <c r="BA45" i="27"/>
  <c r="BA39" i="27"/>
  <c r="BA48" i="27"/>
  <c r="BA60" i="27"/>
  <c r="R43" i="8"/>
  <c r="R43" i="18"/>
  <c r="I70" i="10"/>
  <c r="T20" i="10" s="1"/>
  <c r="R10" i="8"/>
  <c r="J6" i="20"/>
  <c r="G70" i="20"/>
  <c r="I70" i="16"/>
  <c r="T14" i="16" s="1"/>
  <c r="J48" i="16"/>
  <c r="R48" i="16" s="1"/>
  <c r="I70" i="6"/>
  <c r="J32" i="18"/>
  <c r="R32" i="18" s="1"/>
  <c r="J6" i="10"/>
  <c r="J48" i="10"/>
  <c r="R48" i="10" s="1"/>
  <c r="J11" i="10"/>
  <c r="R11" i="10" s="1"/>
  <c r="J20" i="10"/>
  <c r="R20" i="10" s="1"/>
  <c r="F70" i="4"/>
  <c r="G6" i="4"/>
  <c r="R26" i="4"/>
  <c r="R40" i="22"/>
  <c r="J31" i="8"/>
  <c r="R31" i="8" s="1"/>
  <c r="R61" i="12"/>
  <c r="R28" i="8"/>
  <c r="J22" i="8"/>
  <c r="R22" i="8" s="1"/>
  <c r="G70" i="10"/>
  <c r="R19" i="22"/>
  <c r="R49" i="4"/>
  <c r="R68" i="8"/>
  <c r="J28" i="10"/>
  <c r="R28" i="10" s="1"/>
  <c r="R53" i="16"/>
  <c r="R40" i="12"/>
  <c r="J47" i="10"/>
  <c r="R47" i="10" s="1"/>
  <c r="R55" i="22"/>
  <c r="R18" i="12"/>
  <c r="R39" i="22"/>
  <c r="R55" i="18"/>
  <c r="J67" i="18"/>
  <c r="R67" i="18" s="1"/>
  <c r="R55" i="4"/>
  <c r="J17" i="10"/>
  <c r="R17" i="10" s="1"/>
  <c r="J62" i="24"/>
  <c r="R62" i="24" s="1"/>
  <c r="G70" i="24"/>
  <c r="J46" i="18"/>
  <c r="R46" i="18" s="1"/>
  <c r="I70" i="14"/>
  <c r="J27" i="18"/>
  <c r="R27" i="18" s="1"/>
  <c r="J35" i="18"/>
  <c r="R35" i="18" s="1"/>
  <c r="J59" i="18"/>
  <c r="R59" i="18" s="1"/>
  <c r="J68" i="18"/>
  <c r="R68" i="18" s="1"/>
  <c r="J29" i="18"/>
  <c r="R29" i="18" s="1"/>
  <c r="J51" i="18"/>
  <c r="R51" i="18" s="1"/>
  <c r="J11" i="18"/>
  <c r="R11" i="18" s="1"/>
  <c r="J65" i="18"/>
  <c r="R65" i="18" s="1"/>
  <c r="J37" i="18"/>
  <c r="R37" i="18" s="1"/>
  <c r="J57" i="18"/>
  <c r="R57" i="18" s="1"/>
  <c r="J47" i="18"/>
  <c r="R47" i="18" s="1"/>
  <c r="J9" i="18"/>
  <c r="R9" i="18" s="1"/>
  <c r="J6" i="18"/>
  <c r="J24" i="18"/>
  <c r="R24" i="18" s="1"/>
  <c r="J69" i="18"/>
  <c r="R69" i="18" s="1"/>
  <c r="J56" i="18"/>
  <c r="R56" i="18" s="1"/>
  <c r="J15" i="18"/>
  <c r="R15" i="18" s="1"/>
  <c r="J49" i="18"/>
  <c r="R49" i="18" s="1"/>
  <c r="J39" i="18"/>
  <c r="R39" i="18" s="1"/>
  <c r="J10" i="18"/>
  <c r="R10" i="18" s="1"/>
  <c r="J18" i="18"/>
  <c r="R18" i="18" s="1"/>
  <c r="J12" i="18"/>
  <c r="R12" i="18" s="1"/>
  <c r="J17" i="18"/>
  <c r="R17" i="18" s="1"/>
  <c r="J7" i="18"/>
  <c r="R7" i="18" s="1"/>
  <c r="J21" i="18"/>
  <c r="R21" i="18" s="1"/>
  <c r="J40" i="18"/>
  <c r="R40" i="18" s="1"/>
  <c r="J48" i="18"/>
  <c r="R48" i="18" s="1"/>
  <c r="J25" i="18"/>
  <c r="R25" i="18" s="1"/>
  <c r="J53" i="18"/>
  <c r="R53" i="18" s="1"/>
  <c r="J14" i="18"/>
  <c r="R14" i="18" s="1"/>
  <c r="J64" i="18"/>
  <c r="R64" i="18" s="1"/>
  <c r="J33" i="18"/>
  <c r="R33" i="18" s="1"/>
  <c r="J19" i="18"/>
  <c r="R19" i="18" s="1"/>
  <c r="K70" i="12"/>
  <c r="J27" i="10"/>
  <c r="R27" i="10" s="1"/>
  <c r="J24" i="10"/>
  <c r="R24" i="10" s="1"/>
  <c r="K70" i="24"/>
  <c r="J7" i="22"/>
  <c r="R7" i="22" s="1"/>
  <c r="G70" i="22"/>
  <c r="J56" i="16"/>
  <c r="R56" i="16" s="1"/>
  <c r="J46" i="12"/>
  <c r="R46" i="12" s="1"/>
  <c r="R58" i="4"/>
  <c r="J44" i="20"/>
  <c r="J41" i="22"/>
  <c r="J49" i="22"/>
  <c r="J29" i="20"/>
  <c r="J40" i="20"/>
  <c r="K70" i="16"/>
  <c r="J50" i="18"/>
  <c r="R50" i="18" s="1"/>
  <c r="J60" i="16"/>
  <c r="R60" i="16" s="1"/>
  <c r="J64" i="14"/>
  <c r="J32" i="16"/>
  <c r="R32" i="16" s="1"/>
  <c r="J57" i="10"/>
  <c r="R57" i="10" s="1"/>
  <c r="R68" i="12"/>
  <c r="J51" i="10"/>
  <c r="R51" i="10" s="1"/>
  <c r="J37" i="10"/>
  <c r="R37" i="10" s="1"/>
  <c r="J54" i="4"/>
  <c r="J46" i="8"/>
  <c r="R46" i="8" s="1"/>
  <c r="J60" i="4"/>
  <c r="J45" i="4"/>
  <c r="R45" i="4" s="1"/>
  <c r="J14" i="2"/>
  <c r="J23" i="10"/>
  <c r="R23" i="10" s="1"/>
  <c r="J56" i="10"/>
  <c r="R56" i="10" s="1"/>
  <c r="J60" i="2"/>
  <c r="J9" i="4"/>
  <c r="J44" i="2"/>
  <c r="J52" i="2"/>
  <c r="J8" i="4"/>
  <c r="J33" i="24"/>
  <c r="R33" i="24" s="1"/>
  <c r="J11" i="24"/>
  <c r="R11" i="24" s="1"/>
  <c r="T11" i="6"/>
  <c r="T4" i="6"/>
  <c r="T4" i="14"/>
  <c r="T11" i="14"/>
  <c r="J58" i="22"/>
  <c r="J66" i="20"/>
  <c r="K67" i="4"/>
  <c r="K63" i="4"/>
  <c r="K59" i="4"/>
  <c r="R59" i="4" s="1"/>
  <c r="K55" i="4"/>
  <c r="K51" i="4"/>
  <c r="K47" i="4"/>
  <c r="K43" i="4"/>
  <c r="R43" i="4" s="1"/>
  <c r="K39" i="4"/>
  <c r="K35" i="4"/>
  <c r="R35" i="4" s="1"/>
  <c r="K31" i="4"/>
  <c r="K27" i="4"/>
  <c r="K23" i="4"/>
  <c r="K19" i="4"/>
  <c r="K15" i="4"/>
  <c r="R15" i="4" s="1"/>
  <c r="K11" i="4"/>
  <c r="K6" i="4"/>
  <c r="K62" i="4"/>
  <c r="K37" i="4"/>
  <c r="K32" i="4"/>
  <c r="K65" i="4"/>
  <c r="K60" i="4"/>
  <c r="K42" i="4"/>
  <c r="R42" i="4" s="1"/>
  <c r="K45" i="4"/>
  <c r="K40" i="4"/>
  <c r="K22" i="4"/>
  <c r="K17" i="4"/>
  <c r="R17" i="4" s="1"/>
  <c r="K14" i="4"/>
  <c r="K8" i="4"/>
  <c r="K53" i="4"/>
  <c r="K48" i="4"/>
  <c r="K30" i="4"/>
  <c r="K58" i="4"/>
  <c r="K33" i="4"/>
  <c r="K28" i="4"/>
  <c r="K12" i="4"/>
  <c r="K9" i="4"/>
  <c r="K61" i="4"/>
  <c r="R61" i="4" s="1"/>
  <c r="K56" i="4"/>
  <c r="R56" i="4" s="1"/>
  <c r="K38" i="4"/>
  <c r="K54" i="4"/>
  <c r="K29" i="4"/>
  <c r="K24" i="4"/>
  <c r="K16" i="4"/>
  <c r="K68" i="4"/>
  <c r="R68" i="4" s="1"/>
  <c r="K46" i="4"/>
  <c r="R46" i="4" s="1"/>
  <c r="K21" i="4"/>
  <c r="K20" i="4"/>
  <c r="K36" i="4"/>
  <c r="K13" i="4"/>
  <c r="K44" i="4"/>
  <c r="K66" i="4"/>
  <c r="K26" i="4"/>
  <c r="K18" i="4"/>
  <c r="K10" i="4"/>
  <c r="K69" i="4"/>
  <c r="K64" i="4"/>
  <c r="K50" i="4"/>
  <c r="K34" i="4"/>
  <c r="K41" i="4"/>
  <c r="R41" i="4" s="1"/>
  <c r="K57" i="4"/>
  <c r="R57" i="4" s="1"/>
  <c r="K7" i="4"/>
  <c r="R7" i="4" s="1"/>
  <c r="K52" i="4"/>
  <c r="K25" i="4"/>
  <c r="K49" i="4"/>
  <c r="J24" i="20"/>
  <c r="J52" i="18"/>
  <c r="R52" i="18" s="1"/>
  <c r="J42" i="18"/>
  <c r="R42" i="18" s="1"/>
  <c r="R52" i="16"/>
  <c r="J54" i="18"/>
  <c r="R54" i="18" s="1"/>
  <c r="T13" i="24"/>
  <c r="T9" i="24"/>
  <c r="J6" i="24" s="1"/>
  <c r="J55" i="16"/>
  <c r="R55" i="16" s="1"/>
  <c r="J67" i="12"/>
  <c r="R67" i="12" s="1"/>
  <c r="R48" i="12"/>
  <c r="J51" i="8"/>
  <c r="R51" i="8" s="1"/>
  <c r="R60" i="8"/>
  <c r="J50" i="4"/>
  <c r="R50" i="4" s="1"/>
  <c r="J53" i="4"/>
  <c r="J33" i="10"/>
  <c r="R33" i="10" s="1"/>
  <c r="J30" i="4"/>
  <c r="R30" i="4" s="1"/>
  <c r="J36" i="10"/>
  <c r="R36" i="10" s="1"/>
  <c r="J7" i="10"/>
  <c r="R7" i="10" s="1"/>
  <c r="J50" i="2"/>
  <c r="J39" i="4"/>
  <c r="R39" i="4" s="1"/>
  <c r="J49" i="2"/>
  <c r="J22" i="2"/>
  <c r="J34" i="2"/>
  <c r="J28" i="4"/>
  <c r="R28" i="4" s="1"/>
  <c r="J28" i="24"/>
  <c r="R28" i="24" s="1"/>
  <c r="R56" i="22"/>
  <c r="J33" i="22"/>
  <c r="R33" i="22" s="1"/>
  <c r="J57" i="20"/>
  <c r="J44" i="18"/>
  <c r="R44" i="18" s="1"/>
  <c r="J34" i="18"/>
  <c r="R34" i="18" s="1"/>
  <c r="J38" i="18"/>
  <c r="R38" i="18" s="1"/>
  <c r="I70" i="24"/>
  <c r="J39" i="16"/>
  <c r="R39" i="16" s="1"/>
  <c r="J69" i="16"/>
  <c r="R69" i="16" s="1"/>
  <c r="R61" i="16"/>
  <c r="J34" i="10"/>
  <c r="R34" i="10" s="1"/>
  <c r="J59" i="10"/>
  <c r="R59" i="10" s="1"/>
  <c r="R66" i="16"/>
  <c r="J41" i="10"/>
  <c r="R41" i="10" s="1"/>
  <c r="G70" i="12"/>
  <c r="J43" i="10"/>
  <c r="R43" i="10" s="1"/>
  <c r="R21" i="8"/>
  <c r="J44" i="10"/>
  <c r="R44" i="10" s="1"/>
  <c r="J63" i="8"/>
  <c r="R63" i="8" s="1"/>
  <c r="G6" i="8"/>
  <c r="F70" i="8"/>
  <c r="R32" i="4"/>
  <c r="J15" i="10"/>
  <c r="R15" i="10" s="1"/>
  <c r="J40" i="10"/>
  <c r="R40" i="10" s="1"/>
  <c r="J62" i="4"/>
  <c r="J68" i="10"/>
  <c r="R68" i="10" s="1"/>
  <c r="J31" i="10"/>
  <c r="R31" i="10" s="1"/>
  <c r="E70" i="2"/>
  <c r="F6" i="2"/>
  <c r="J47" i="4"/>
  <c r="R47" i="4" s="1"/>
  <c r="J32" i="22"/>
  <c r="J54" i="22"/>
  <c r="R20" i="16"/>
  <c r="J30" i="18"/>
  <c r="R30" i="18" s="1"/>
  <c r="J24" i="16"/>
  <c r="R24" i="16" s="1"/>
  <c r="J66" i="10"/>
  <c r="R66" i="10" s="1"/>
  <c r="J53" i="12"/>
  <c r="R53" i="12" s="1"/>
  <c r="J45" i="16"/>
  <c r="R45" i="16" s="1"/>
  <c r="J38" i="10"/>
  <c r="R38" i="10" s="1"/>
  <c r="R34" i="16"/>
  <c r="J39" i="10"/>
  <c r="R39" i="10" s="1"/>
  <c r="J30" i="10"/>
  <c r="R30" i="10" s="1"/>
  <c r="J26" i="10"/>
  <c r="R26" i="10" s="1"/>
  <c r="J39" i="8"/>
  <c r="R39" i="8" s="1"/>
  <c r="J10" i="4"/>
  <c r="R10" i="4" s="1"/>
  <c r="J18" i="10"/>
  <c r="R18" i="10" s="1"/>
  <c r="J12" i="8"/>
  <c r="R12" i="8" s="1"/>
  <c r="J30" i="8"/>
  <c r="R30" i="8" s="1"/>
  <c r="J62" i="8"/>
  <c r="R62" i="8" s="1"/>
  <c r="J27" i="4"/>
  <c r="J65" i="4"/>
  <c r="R65" i="4" s="1"/>
  <c r="J29" i="10"/>
  <c r="R29" i="10" s="1"/>
  <c r="J13" i="4"/>
  <c r="R13" i="4" s="1"/>
  <c r="J35" i="2"/>
  <c r="I70" i="2"/>
  <c r="W3" i="26" s="1"/>
  <c r="J13" i="10"/>
  <c r="R13" i="10" s="1"/>
  <c r="J36" i="4"/>
  <c r="R36" i="4" s="1"/>
  <c r="J31" i="4"/>
  <c r="R31" i="4" s="1"/>
  <c r="J18" i="4"/>
  <c r="J42" i="2"/>
  <c r="J24" i="2"/>
  <c r="J13" i="22"/>
  <c r="R13" i="22" s="1"/>
  <c r="J53" i="22"/>
  <c r="J24" i="24"/>
  <c r="R24" i="24" s="1"/>
  <c r="J69" i="24"/>
  <c r="R69" i="24" s="1"/>
  <c r="J50" i="22"/>
  <c r="J35" i="22"/>
  <c r="J43" i="22"/>
  <c r="R68" i="22"/>
  <c r="J49" i="20"/>
  <c r="J50" i="20"/>
  <c r="J36" i="18"/>
  <c r="R36" i="18" s="1"/>
  <c r="J33" i="20"/>
  <c r="J26" i="18"/>
  <c r="R26" i="18" s="1"/>
  <c r="J65" i="20"/>
  <c r="J22" i="18"/>
  <c r="R22" i="18" s="1"/>
  <c r="J62" i="10"/>
  <c r="R62" i="10" s="1"/>
  <c r="J43" i="12"/>
  <c r="R43" i="12" s="1"/>
  <c r="J36" i="16"/>
  <c r="R36" i="16" s="1"/>
  <c r="R16" i="16"/>
  <c r="R30" i="16"/>
  <c r="J12" i="10"/>
  <c r="R12" i="10" s="1"/>
  <c r="J52" i="10"/>
  <c r="R52" i="10" s="1"/>
  <c r="J34" i="8"/>
  <c r="R34" i="8" s="1"/>
  <c r="J16" i="4"/>
  <c r="R16" i="4" s="1"/>
  <c r="J9" i="10"/>
  <c r="R9" i="10" s="1"/>
  <c r="J23" i="8"/>
  <c r="R23" i="8" s="1"/>
  <c r="R40" i="8"/>
  <c r="J22" i="4"/>
  <c r="R22" i="4" s="1"/>
  <c r="J14" i="4"/>
  <c r="J21" i="4"/>
  <c r="R21" i="4" s="1"/>
  <c r="J69" i="4"/>
  <c r="R69" i="4" s="1"/>
  <c r="I70" i="4"/>
  <c r="W4" i="26" s="1"/>
  <c r="X4" i="26" s="1"/>
  <c r="J44" i="4"/>
  <c r="R44" i="4" s="1"/>
  <c r="J65" i="2"/>
  <c r="J19" i="10"/>
  <c r="R19" i="10" s="1"/>
  <c r="J53" i="10"/>
  <c r="R53" i="10" s="1"/>
  <c r="J23" i="4"/>
  <c r="R23" i="4" s="1"/>
  <c r="J26" i="2"/>
  <c r="J45" i="2"/>
  <c r="J48" i="4"/>
  <c r="R48" i="4" s="1"/>
  <c r="J66" i="2"/>
  <c r="H67" i="27"/>
  <c r="J26" i="20"/>
  <c r="R44" i="16"/>
  <c r="J27" i="24"/>
  <c r="R27" i="24" s="1"/>
  <c r="I70" i="22"/>
  <c r="T13" i="22" s="1"/>
  <c r="J64" i="22"/>
  <c r="J38" i="22"/>
  <c r="J46" i="22"/>
  <c r="J59" i="20"/>
  <c r="K66" i="22"/>
  <c r="R66" i="22" s="1"/>
  <c r="K62" i="22"/>
  <c r="R62" i="22" s="1"/>
  <c r="K58" i="22"/>
  <c r="K54" i="22"/>
  <c r="K50" i="22"/>
  <c r="K46" i="22"/>
  <c r="K42" i="22"/>
  <c r="R42" i="22" s="1"/>
  <c r="K38" i="22"/>
  <c r="K34" i="22"/>
  <c r="R34" i="22" s="1"/>
  <c r="K30" i="22"/>
  <c r="R30" i="22" s="1"/>
  <c r="K26" i="22"/>
  <c r="R26" i="22" s="1"/>
  <c r="K22" i="22"/>
  <c r="K52" i="22"/>
  <c r="K49" i="22"/>
  <c r="K35" i="22"/>
  <c r="K32" i="22"/>
  <c r="K25" i="22"/>
  <c r="R25" i="22" s="1"/>
  <c r="K13" i="22"/>
  <c r="K8" i="22"/>
  <c r="R8" i="22" s="1"/>
  <c r="K69" i="22"/>
  <c r="K55" i="22"/>
  <c r="K44" i="22"/>
  <c r="K41" i="22"/>
  <c r="K29" i="22"/>
  <c r="R29" i="22" s="1"/>
  <c r="K14" i="22"/>
  <c r="R14" i="22" s="1"/>
  <c r="K9" i="22"/>
  <c r="K64" i="22"/>
  <c r="K61" i="22"/>
  <c r="K47" i="22"/>
  <c r="R47" i="22" s="1"/>
  <c r="K18" i="22"/>
  <c r="R18" i="22" s="1"/>
  <c r="K67" i="22"/>
  <c r="R67" i="22" s="1"/>
  <c r="K36" i="22"/>
  <c r="R36" i="22" s="1"/>
  <c r="K33" i="22"/>
  <c r="K10" i="22"/>
  <c r="K56" i="22"/>
  <c r="K53" i="22"/>
  <c r="K39" i="22"/>
  <c r="K23" i="22"/>
  <c r="K19" i="22"/>
  <c r="K15" i="22"/>
  <c r="R15" i="22" s="1"/>
  <c r="K59" i="22"/>
  <c r="R59" i="22" s="1"/>
  <c r="K48" i="22"/>
  <c r="R48" i="22" s="1"/>
  <c r="K45" i="22"/>
  <c r="R45" i="22" s="1"/>
  <c r="K27" i="22"/>
  <c r="R27" i="22" s="1"/>
  <c r="K11" i="22"/>
  <c r="R11" i="22" s="1"/>
  <c r="K6" i="22"/>
  <c r="K21" i="22"/>
  <c r="K7" i="22"/>
  <c r="K63" i="22"/>
  <c r="R63" i="22" s="1"/>
  <c r="K16" i="22"/>
  <c r="R16" i="22" s="1"/>
  <c r="K68" i="22"/>
  <c r="K60" i="22"/>
  <c r="K43" i="22"/>
  <c r="K20" i="22"/>
  <c r="R20" i="22" s="1"/>
  <c r="K65" i="22"/>
  <c r="R65" i="22" s="1"/>
  <c r="K40" i="22"/>
  <c r="K24" i="22"/>
  <c r="R24" i="22" s="1"/>
  <c r="K37" i="22"/>
  <c r="R37" i="22" s="1"/>
  <c r="K12" i="22"/>
  <c r="K51" i="22"/>
  <c r="R51" i="22" s="1"/>
  <c r="K31" i="22"/>
  <c r="K17" i="22"/>
  <c r="K28" i="22"/>
  <c r="R28" i="22" s="1"/>
  <c r="K57" i="22"/>
  <c r="R57" i="22" s="1"/>
  <c r="J45" i="20"/>
  <c r="K70" i="18"/>
  <c r="J22" i="20"/>
  <c r="J13" i="18"/>
  <c r="R13" i="18" s="1"/>
  <c r="J58" i="10"/>
  <c r="R58" i="10" s="1"/>
  <c r="R50" i="16"/>
  <c r="G70" i="14"/>
  <c r="K70" i="10"/>
  <c r="R54" i="16"/>
  <c r="J55" i="10"/>
  <c r="R55" i="10" s="1"/>
  <c r="J21" i="10"/>
  <c r="R21" i="10" s="1"/>
  <c r="J25" i="8"/>
  <c r="R25" i="8" s="1"/>
  <c r="J67" i="8"/>
  <c r="R67" i="8" s="1"/>
  <c r="R14" i="8"/>
  <c r="R46" i="16"/>
  <c r="J25" i="4"/>
  <c r="J19" i="4"/>
  <c r="R19" i="4" s="1"/>
  <c r="J25" i="10"/>
  <c r="R25" i="10" s="1"/>
  <c r="J62" i="2"/>
  <c r="J14" i="10"/>
  <c r="R14" i="10" s="1"/>
  <c r="J8" i="10"/>
  <c r="R8" i="10" s="1"/>
  <c r="J12" i="4"/>
  <c r="R12" i="4" s="1"/>
  <c r="J29" i="2"/>
  <c r="R21" i="22"/>
  <c r="J63" i="18"/>
  <c r="R63" i="18" s="1"/>
  <c r="R23" i="22"/>
  <c r="J15" i="24"/>
  <c r="R15" i="24" s="1"/>
  <c r="J66" i="24"/>
  <c r="R66" i="24" s="1"/>
  <c r="J44" i="22"/>
  <c r="R44" i="22" s="1"/>
  <c r="J52" i="22"/>
  <c r="R52" i="22" s="1"/>
  <c r="J60" i="22"/>
  <c r="R60" i="22" s="1"/>
  <c r="J42" i="20"/>
  <c r="J47" i="20"/>
  <c r="J64" i="20"/>
  <c r="J28" i="18"/>
  <c r="R28" i="18" s="1"/>
  <c r="I70" i="18"/>
  <c r="T13" i="18" s="1"/>
  <c r="J15" i="20"/>
  <c r="J20" i="18"/>
  <c r="R20" i="18" s="1"/>
  <c r="J66" i="18"/>
  <c r="R66" i="18" s="1"/>
  <c r="R11" i="16"/>
  <c r="J8" i="18"/>
  <c r="R8" i="18" s="1"/>
  <c r="J54" i="10"/>
  <c r="R54" i="10" s="1"/>
  <c r="J28" i="16"/>
  <c r="R28" i="16" s="1"/>
  <c r="J36" i="12"/>
  <c r="R36" i="12" s="1"/>
  <c r="R70" i="12" s="1"/>
  <c r="R50" i="12"/>
  <c r="R38" i="16"/>
  <c r="J16" i="10"/>
  <c r="R16" i="10" s="1"/>
  <c r="J38" i="8"/>
  <c r="R38" i="8" s="1"/>
  <c r="R58" i="16"/>
  <c r="J29" i="4"/>
  <c r="J64" i="10"/>
  <c r="R64" i="10" s="1"/>
  <c r="J66" i="4"/>
  <c r="J27" i="2"/>
  <c r="J61" i="2"/>
  <c r="J11" i="2"/>
  <c r="J40" i="4"/>
  <c r="R40" i="4" s="1"/>
  <c r="J57" i="2"/>
  <c r="J37" i="2"/>
  <c r="V15" i="26"/>
  <c r="U4" i="2"/>
  <c r="R69" i="22"/>
  <c r="J37" i="20"/>
  <c r="J6" i="16"/>
  <c r="G70" i="16"/>
  <c r="J50" i="10"/>
  <c r="R50" i="10" s="1"/>
  <c r="R22" i="16"/>
  <c r="G70" i="18"/>
  <c r="R6" i="22"/>
  <c r="J69" i="10"/>
  <c r="R69" i="10" s="1"/>
  <c r="I70" i="8"/>
  <c r="R62" i="16"/>
  <c r="J48" i="8"/>
  <c r="R48" i="8" s="1"/>
  <c r="J35" i="8"/>
  <c r="R35" i="8" s="1"/>
  <c r="J11" i="4"/>
  <c r="R17" i="16"/>
  <c r="J33" i="4"/>
  <c r="R33" i="4" s="1"/>
  <c r="K70" i="8"/>
  <c r="J38" i="4"/>
  <c r="J35" i="10"/>
  <c r="R35" i="10" s="1"/>
  <c r="J70" i="6"/>
  <c r="J67" i="4"/>
  <c r="R67" i="4" s="1"/>
  <c r="J20" i="4"/>
  <c r="R20" i="4" s="1"/>
  <c r="J7" i="2"/>
  <c r="J52" i="4"/>
  <c r="J61" i="22"/>
  <c r="R12" i="22"/>
  <c r="R10" i="22"/>
  <c r="R9" i="22"/>
  <c r="J60" i="24"/>
  <c r="R60" i="24" s="1"/>
  <c r="T11" i="20"/>
  <c r="T4" i="20"/>
  <c r="J22" i="22"/>
  <c r="J17" i="22"/>
  <c r="R17" i="22" s="1"/>
  <c r="R31" i="22"/>
  <c r="J52" i="20"/>
  <c r="J18" i="20"/>
  <c r="J58" i="18"/>
  <c r="R58" i="18" s="1"/>
  <c r="J61" i="18"/>
  <c r="R61" i="18" s="1"/>
  <c r="J49" i="12"/>
  <c r="R49" i="12" s="1"/>
  <c r="J46" i="10"/>
  <c r="R46" i="10" s="1"/>
  <c r="J57" i="16"/>
  <c r="R57" i="16" s="1"/>
  <c r="J65" i="10"/>
  <c r="R65" i="10" s="1"/>
  <c r="J70" i="14"/>
  <c r="R59" i="8"/>
  <c r="R26" i="16"/>
  <c r="R64" i="4"/>
  <c r="R65" i="8"/>
  <c r="J47" i="8"/>
  <c r="R47" i="8" s="1"/>
  <c r="R20" i="8"/>
  <c r="J37" i="4"/>
  <c r="R37" i="4" s="1"/>
  <c r="J51" i="4"/>
  <c r="J32" i="10"/>
  <c r="R32" i="10" s="1"/>
  <c r="J10" i="10"/>
  <c r="R10" i="10" s="1"/>
  <c r="J34" i="4"/>
  <c r="R34" i="4" s="1"/>
  <c r="J60" i="10"/>
  <c r="R60" i="10" s="1"/>
  <c r="J15" i="2"/>
  <c r="J21" i="2"/>
  <c r="J63" i="4"/>
  <c r="J24" i="4"/>
  <c r="R24" i="4" s="1"/>
  <c r="AL29" i="27"/>
  <c r="AL26" i="27"/>
  <c r="AL12" i="27"/>
  <c r="AL50" i="27"/>
  <c r="V4" i="27"/>
  <c r="AL41" i="27"/>
  <c r="AH63" i="27"/>
  <c r="AL27" i="27"/>
  <c r="R36" i="27"/>
  <c r="J10" i="27"/>
  <c r="AX66" i="27"/>
  <c r="AL19" i="27"/>
  <c r="V6" i="27"/>
  <c r="AT24" i="27"/>
  <c r="R22" i="27"/>
  <c r="AH25" i="27"/>
  <c r="V61" i="27"/>
  <c r="J64" i="27"/>
  <c r="AH54" i="27"/>
  <c r="AH35" i="27"/>
  <c r="AH14" i="27"/>
  <c r="AT28" i="27"/>
  <c r="AT20" i="27"/>
  <c r="AT9" i="27"/>
  <c r="V7" i="27"/>
  <c r="AH50" i="27"/>
  <c r="AL24" i="27"/>
  <c r="AX30" i="27"/>
  <c r="J27" i="27"/>
  <c r="J62" i="27"/>
  <c r="AL21" i="27"/>
  <c r="AX8" i="27"/>
  <c r="V27" i="27"/>
  <c r="AT6" i="27"/>
  <c r="R40" i="27"/>
  <c r="AL48" i="27"/>
  <c r="AL46" i="27"/>
  <c r="AL11" i="27"/>
  <c r="AL47" i="27"/>
  <c r="V34" i="27"/>
  <c r="V20" i="27"/>
  <c r="AL49" i="27"/>
  <c r="R48" i="27"/>
  <c r="AL31" i="27"/>
  <c r="V38" i="27"/>
  <c r="V12" i="27"/>
  <c r="AH21" i="27"/>
  <c r="J7" i="27"/>
  <c r="R20" i="27"/>
  <c r="V50" i="27"/>
  <c r="R64" i="27"/>
  <c r="J9" i="27"/>
  <c r="Z33" i="27"/>
  <c r="R45" i="27"/>
  <c r="J17" i="27"/>
  <c r="V62" i="27"/>
  <c r="J34" i="27"/>
  <c r="V29" i="27"/>
  <c r="V13" i="27"/>
  <c r="R56" i="27"/>
  <c r="AT37" i="27"/>
  <c r="V31" i="27"/>
  <c r="V9" i="27"/>
  <c r="AT52" i="27"/>
  <c r="AH41" i="27"/>
  <c r="R28" i="27"/>
  <c r="V14" i="27"/>
  <c r="AL8" i="27"/>
  <c r="AL36" i="27"/>
  <c r="AL61" i="27"/>
  <c r="AH57" i="27"/>
  <c r="V53" i="27"/>
  <c r="AL39" i="27"/>
  <c r="R57" i="27"/>
  <c r="J36" i="27"/>
  <c r="V63" i="27"/>
  <c r="V15" i="27"/>
  <c r="V59" i="27"/>
  <c r="R37" i="27"/>
  <c r="J20" i="27"/>
  <c r="AL10" i="27"/>
  <c r="R11" i="27"/>
  <c r="Z47" i="27"/>
  <c r="V47" i="27"/>
  <c r="R32" i="27"/>
  <c r="AH47" i="27"/>
  <c r="J52" i="27"/>
  <c r="J42" i="27"/>
  <c r="AT53" i="27"/>
  <c r="AL32" i="27"/>
  <c r="R62" i="27"/>
  <c r="AL40" i="27"/>
  <c r="R7" i="27"/>
  <c r="V45" i="27"/>
  <c r="Z58" i="27"/>
  <c r="V25" i="27"/>
  <c r="AL52" i="27"/>
  <c r="AL62" i="27"/>
  <c r="AL7" i="27"/>
  <c r="AL30" i="27"/>
  <c r="R43" i="27"/>
  <c r="AH49" i="27"/>
  <c r="J47" i="27"/>
  <c r="AL35" i="27"/>
  <c r="V40" i="27"/>
  <c r="Z50" i="27"/>
  <c r="R9" i="27"/>
  <c r="V10" i="27"/>
  <c r="Z40" i="27"/>
  <c r="J19" i="27"/>
  <c r="V55" i="27"/>
  <c r="AH43" i="27"/>
  <c r="AT18" i="27"/>
  <c r="AL25" i="27"/>
  <c r="AH19" i="27"/>
  <c r="AT14" i="27"/>
  <c r="AL60" i="27"/>
  <c r="J30" i="27"/>
  <c r="AH53" i="27"/>
  <c r="AH52" i="27"/>
  <c r="AL33" i="27"/>
  <c r="V22" i="27"/>
  <c r="AL58" i="27"/>
  <c r="AT10" i="27"/>
  <c r="AT41" i="27"/>
  <c r="AH8" i="27"/>
  <c r="V8" i="27"/>
  <c r="R25" i="27"/>
  <c r="AL64" i="27"/>
  <c r="AL43" i="27"/>
  <c r="AL34" i="27"/>
  <c r="AL15" i="27"/>
  <c r="AL16" i="27"/>
  <c r="AL51" i="27"/>
  <c r="V37" i="27"/>
  <c r="AH42" i="27"/>
  <c r="R27" i="27"/>
  <c r="J33" i="27"/>
  <c r="AH33" i="27"/>
  <c r="AH45" i="27"/>
  <c r="AL63" i="27"/>
  <c r="J23" i="27"/>
  <c r="Z43" i="27"/>
  <c r="AT30" i="27"/>
  <c r="AT56" i="27"/>
  <c r="V17" i="27"/>
  <c r="R19" i="27"/>
  <c r="R65" i="27"/>
  <c r="AL54" i="27"/>
  <c r="AL9" i="27"/>
  <c r="AH29" i="27"/>
  <c r="AH36" i="27"/>
  <c r="R18" i="27"/>
  <c r="R59" i="27"/>
  <c r="J28" i="27"/>
  <c r="AT65" i="27"/>
  <c r="AH13" i="27"/>
  <c r="J45" i="27"/>
  <c r="J37" i="27"/>
  <c r="AL18" i="27"/>
  <c r="V28" i="27"/>
  <c r="Z37" i="27"/>
  <c r="AL37" i="27"/>
  <c r="Z64" i="27"/>
  <c r="V32" i="27"/>
  <c r="AL44" i="27"/>
  <c r="AL14" i="27"/>
  <c r="V54" i="27"/>
  <c r="J25" i="27"/>
  <c r="AH66" i="27"/>
  <c r="V41" i="27"/>
  <c r="V35" i="27"/>
  <c r="AH27" i="27"/>
  <c r="J18" i="27"/>
  <c r="J16" i="27"/>
  <c r="AX12" i="27"/>
  <c r="R35" i="27"/>
  <c r="AT3" i="27"/>
  <c r="AT7" i="27"/>
  <c r="J31" i="27"/>
  <c r="V57" i="27"/>
  <c r="AT16" i="27"/>
  <c r="V36" i="27"/>
  <c r="J61" i="27"/>
  <c r="V49" i="27"/>
  <c r="AL6" i="27"/>
  <c r="AL4" i="27"/>
  <c r="Z65" i="27"/>
  <c r="V30" i="27"/>
  <c r="AX25" i="27"/>
  <c r="AH58" i="27"/>
  <c r="R60" i="27"/>
  <c r="V65" i="27"/>
  <c r="AH31" i="27"/>
  <c r="J66" i="27"/>
  <c r="AX63" i="27"/>
  <c r="AL17" i="27"/>
  <c r="AH55" i="27"/>
  <c r="V66" i="27"/>
  <c r="AL55" i="27"/>
  <c r="AH23" i="27"/>
  <c r="AX59" i="27"/>
  <c r="J41" i="27"/>
  <c r="AH51" i="27"/>
  <c r="V44" i="27"/>
  <c r="Z15" i="27"/>
  <c r="AL56" i="27"/>
  <c r="AL66" i="27"/>
  <c r="AL45" i="27"/>
  <c r="V24" i="27"/>
  <c r="J29" i="27"/>
  <c r="V23" i="27"/>
  <c r="AL23" i="27"/>
  <c r="R31" i="27"/>
  <c r="AX24" i="27"/>
  <c r="AT45" i="27"/>
  <c r="V52" i="27"/>
  <c r="V11" i="27"/>
  <c r="AT49" i="27"/>
  <c r="AL5" i="27"/>
  <c r="AT66" i="27"/>
  <c r="AX57" i="27"/>
  <c r="Z46" i="27"/>
  <c r="R44" i="27"/>
  <c r="AT4" i="27"/>
  <c r="Z45" i="27"/>
  <c r="V33" i="27"/>
  <c r="V56" i="27"/>
  <c r="J44" i="27"/>
  <c r="V26" i="27"/>
  <c r="AX21" i="27"/>
  <c r="J13" i="27"/>
  <c r="AT62" i="27"/>
  <c r="V18" i="27"/>
  <c r="V5" i="27"/>
  <c r="V51" i="27"/>
  <c r="AH59" i="27"/>
  <c r="R17" i="27"/>
  <c r="J21" i="27"/>
  <c r="J46" i="27"/>
  <c r="AT36" i="27"/>
  <c r="AL65" i="27"/>
  <c r="AL53" i="27"/>
  <c r="AL22" i="27"/>
  <c r="V21" i="27"/>
  <c r="J55" i="27"/>
  <c r="V48" i="27"/>
  <c r="AH17" i="27"/>
  <c r="V16" i="27"/>
  <c r="AT42" i="27"/>
  <c r="AT57" i="27"/>
  <c r="V43" i="27"/>
  <c r="J54" i="27"/>
  <c r="AT12" i="27"/>
  <c r="AT54" i="27"/>
  <c r="AT17" i="27"/>
  <c r="AT39" i="27"/>
  <c r="AT48" i="27"/>
  <c r="J58" i="27"/>
  <c r="J4" i="27"/>
  <c r="AT22" i="27"/>
  <c r="AT44" i="27"/>
  <c r="AT5" i="27"/>
  <c r="AT23" i="27"/>
  <c r="J32" i="27"/>
  <c r="J12" i="27"/>
  <c r="J14" i="27"/>
  <c r="J53" i="27"/>
  <c r="AT15" i="27"/>
  <c r="AT26" i="27"/>
  <c r="AT63" i="27"/>
  <c r="J56" i="27"/>
  <c r="AT64" i="27"/>
  <c r="AT33" i="27"/>
  <c r="AT31" i="27"/>
  <c r="AT8" i="27"/>
  <c r="AT11" i="27"/>
  <c r="AT21" i="27"/>
  <c r="AT27" i="27"/>
  <c r="AT34" i="27"/>
  <c r="J65" i="27"/>
  <c r="J40" i="27"/>
  <c r="AT60" i="27"/>
  <c r="J39" i="27"/>
  <c r="AT59" i="27"/>
  <c r="AT13" i="27"/>
  <c r="J38" i="27"/>
  <c r="AT25" i="27"/>
  <c r="J43" i="27"/>
  <c r="L43" i="27" l="1"/>
  <c r="AV25" i="27"/>
  <c r="L38" i="27"/>
  <c r="AV13" i="27"/>
  <c r="AV59" i="27"/>
  <c r="L39" i="27"/>
  <c r="AV60" i="27"/>
  <c r="L40" i="27"/>
  <c r="L65" i="27"/>
  <c r="AV34" i="27"/>
  <c r="AV27" i="27"/>
  <c r="AV21" i="27"/>
  <c r="AV11" i="27"/>
  <c r="AV8" i="27"/>
  <c r="AV31" i="27"/>
  <c r="AV33" i="27"/>
  <c r="AV64" i="27"/>
  <c r="L56" i="27"/>
  <c r="AV63" i="27"/>
  <c r="AV26" i="27"/>
  <c r="AV15" i="27"/>
  <c r="L53" i="27"/>
  <c r="L14" i="27"/>
  <c r="L12" i="27"/>
  <c r="L32" i="27"/>
  <c r="AV23" i="27"/>
  <c r="AV5" i="27"/>
  <c r="AV44" i="27"/>
  <c r="AV22" i="27"/>
  <c r="L4" i="27"/>
  <c r="L58" i="27"/>
  <c r="AV48" i="27"/>
  <c r="AV39" i="27"/>
  <c r="AV17" i="27"/>
  <c r="AV54" i="27"/>
  <c r="AV12" i="27"/>
  <c r="L54" i="27"/>
  <c r="X43" i="27"/>
  <c r="AV57" i="27"/>
  <c r="AV42" i="27"/>
  <c r="X16" i="27"/>
  <c r="AJ17" i="27"/>
  <c r="X48" i="27"/>
  <c r="L55" i="27"/>
  <c r="X21" i="27"/>
  <c r="AN22" i="27"/>
  <c r="AN53" i="27"/>
  <c r="AN65" i="27"/>
  <c r="AV36" i="27"/>
  <c r="L46" i="27"/>
  <c r="L21" i="27"/>
  <c r="T17" i="27"/>
  <c r="AJ59" i="27"/>
  <c r="X51" i="27"/>
  <c r="X5" i="27"/>
  <c r="X18" i="27"/>
  <c r="AV62" i="27"/>
  <c r="L13" i="27"/>
  <c r="AZ21" i="27"/>
  <c r="X26" i="27"/>
  <c r="L44" i="27"/>
  <c r="X56" i="27"/>
  <c r="X33" i="27"/>
  <c r="AB45" i="27"/>
  <c r="AV4" i="27"/>
  <c r="T44" i="27"/>
  <c r="AB46" i="27"/>
  <c r="AZ57" i="27"/>
  <c r="AV66" i="27"/>
  <c r="AN5" i="27"/>
  <c r="AV49" i="27"/>
  <c r="X11" i="27"/>
  <c r="X52" i="27"/>
  <c r="AV45" i="27"/>
  <c r="AZ24" i="27"/>
  <c r="T31" i="27"/>
  <c r="AN23" i="27"/>
  <c r="X23" i="27"/>
  <c r="L29" i="27"/>
  <c r="X24" i="27"/>
  <c r="AN45" i="27"/>
  <c r="AN66" i="27"/>
  <c r="AN56" i="27"/>
  <c r="AB15" i="27"/>
  <c r="Z67" i="27"/>
  <c r="X44" i="27"/>
  <c r="AJ51" i="27"/>
  <c r="L41" i="27"/>
  <c r="AZ59" i="27"/>
  <c r="AJ23" i="27"/>
  <c r="AN55" i="27"/>
  <c r="X66" i="27"/>
  <c r="AJ55" i="27"/>
  <c r="AN17" i="27"/>
  <c r="AZ63" i="27"/>
  <c r="L66" i="27"/>
  <c r="AJ31" i="27"/>
  <c r="X65" i="27"/>
  <c r="T60" i="27"/>
  <c r="AJ58" i="27"/>
  <c r="AZ25" i="27"/>
  <c r="X30" i="27"/>
  <c r="AB65" i="27"/>
  <c r="AN4" i="27"/>
  <c r="AN6" i="27"/>
  <c r="X49" i="27"/>
  <c r="L61" i="27"/>
  <c r="X36" i="27"/>
  <c r="AV16" i="27"/>
  <c r="X57" i="27"/>
  <c r="L31" i="27"/>
  <c r="AV7" i="27"/>
  <c r="AV3" i="27"/>
  <c r="T35" i="27"/>
  <c r="AZ12" i="27"/>
  <c r="L16" i="27"/>
  <c r="L18" i="27"/>
  <c r="AJ27" i="27"/>
  <c r="X35" i="27"/>
  <c r="X41" i="27"/>
  <c r="AJ66" i="27"/>
  <c r="L25" i="27"/>
  <c r="X54" i="27"/>
  <c r="AN14" i="27"/>
  <c r="AN44" i="27"/>
  <c r="X32" i="27"/>
  <c r="AB64" i="27"/>
  <c r="AN37" i="27"/>
  <c r="AB37" i="27"/>
  <c r="AB67" i="27" s="1"/>
  <c r="X28" i="27"/>
  <c r="AN18" i="27"/>
  <c r="L37" i="27"/>
  <c r="L45" i="27"/>
  <c r="AJ13" i="27"/>
  <c r="AV65" i="27"/>
  <c r="L28" i="27"/>
  <c r="T59" i="27"/>
  <c r="T18" i="27"/>
  <c r="AJ36" i="27"/>
  <c r="AJ29" i="27"/>
  <c r="AN9" i="27"/>
  <c r="AN54" i="27"/>
  <c r="T65" i="27"/>
  <c r="T19" i="27"/>
  <c r="X17" i="27"/>
  <c r="AV56" i="27"/>
  <c r="AV30" i="27"/>
  <c r="AB43" i="27"/>
  <c r="L23" i="27"/>
  <c r="AN63" i="27"/>
  <c r="AJ45" i="27"/>
  <c r="AJ33" i="27"/>
  <c r="L33" i="27"/>
  <c r="T27" i="27"/>
  <c r="AJ42" i="27"/>
  <c r="X37" i="27"/>
  <c r="AN51" i="27"/>
  <c r="AN16" i="27"/>
  <c r="AN15" i="27"/>
  <c r="AN34" i="27"/>
  <c r="AN43" i="27"/>
  <c r="AN64" i="27"/>
  <c r="T25" i="27"/>
  <c r="X8" i="27"/>
  <c r="AJ8" i="27"/>
  <c r="AV41" i="27"/>
  <c r="AV10" i="27"/>
  <c r="AN58" i="27"/>
  <c r="X22" i="27"/>
  <c r="AN33" i="27"/>
  <c r="AJ52" i="27"/>
  <c r="AJ53" i="27"/>
  <c r="L30" i="27"/>
  <c r="AN60" i="27"/>
  <c r="AV14" i="27"/>
  <c r="AJ19" i="27"/>
  <c r="AN25" i="27"/>
  <c r="AV18" i="27"/>
  <c r="AJ43" i="27"/>
  <c r="X55" i="27"/>
  <c r="L19" i="27"/>
  <c r="AB40" i="27"/>
  <c r="X10" i="27"/>
  <c r="T9" i="27"/>
  <c r="AB50" i="27"/>
  <c r="X40" i="27"/>
  <c r="AN35" i="27"/>
  <c r="L47" i="27"/>
  <c r="AJ49" i="27"/>
  <c r="T43" i="27"/>
  <c r="AN30" i="27"/>
  <c r="AN7" i="27"/>
  <c r="AN62" i="27"/>
  <c r="AN52" i="27"/>
  <c r="X25" i="27"/>
  <c r="AB58" i="27"/>
  <c r="X45" i="27"/>
  <c r="T7" i="27"/>
  <c r="AN40" i="27"/>
  <c r="T62" i="27"/>
  <c r="AN32" i="27"/>
  <c r="AV53" i="27"/>
  <c r="L42" i="27"/>
  <c r="L52" i="27"/>
  <c r="AJ47" i="27"/>
  <c r="T32" i="27"/>
  <c r="X47" i="27"/>
  <c r="AB47" i="27"/>
  <c r="T11" i="27"/>
  <c r="AN10" i="27"/>
  <c r="L20" i="27"/>
  <c r="T37" i="27"/>
  <c r="X59" i="27"/>
  <c r="X15" i="27"/>
  <c r="X63" i="27"/>
  <c r="L36" i="27"/>
  <c r="T57" i="27"/>
  <c r="AN39" i="27"/>
  <c r="X53" i="27"/>
  <c r="AJ57" i="27"/>
  <c r="AN61" i="27"/>
  <c r="AN36" i="27"/>
  <c r="AN8" i="27"/>
  <c r="X14" i="27"/>
  <c r="T28" i="27"/>
  <c r="AJ41" i="27"/>
  <c r="AV52" i="27"/>
  <c r="X9" i="27"/>
  <c r="X31" i="27"/>
  <c r="AV37" i="27"/>
  <c r="T56" i="27"/>
  <c r="X13" i="27"/>
  <c r="X29" i="27"/>
  <c r="L34" i="27"/>
  <c r="X62" i="27"/>
  <c r="L17" i="27"/>
  <c r="T45" i="27"/>
  <c r="AB33" i="27"/>
  <c r="L9" i="27"/>
  <c r="T64" i="27"/>
  <c r="X50" i="27"/>
  <c r="T20" i="27"/>
  <c r="L7" i="27"/>
  <c r="AJ21" i="27"/>
  <c r="X12" i="27"/>
  <c r="X38" i="27"/>
  <c r="AN31" i="27"/>
  <c r="T48" i="27"/>
  <c r="AN49" i="27"/>
  <c r="X20" i="27"/>
  <c r="X34" i="27"/>
  <c r="AN47" i="27"/>
  <c r="AN11" i="27"/>
  <c r="AN46" i="27"/>
  <c r="AN48" i="27"/>
  <c r="T40" i="27"/>
  <c r="AV6" i="27"/>
  <c r="X27" i="27"/>
  <c r="AZ8" i="27"/>
  <c r="AN21" i="27"/>
  <c r="L62" i="27"/>
  <c r="L27" i="27"/>
  <c r="AZ30" i="27"/>
  <c r="AN24" i="27"/>
  <c r="AJ50" i="27"/>
  <c r="X7" i="27"/>
  <c r="AV9" i="27"/>
  <c r="AV20" i="27"/>
  <c r="AV28" i="27"/>
  <c r="AJ14" i="27"/>
  <c r="AJ35" i="27"/>
  <c r="AJ54" i="27"/>
  <c r="L64" i="27"/>
  <c r="X61" i="27"/>
  <c r="AJ25" i="27"/>
  <c r="T22" i="27"/>
  <c r="AV24" i="27"/>
  <c r="X6" i="27"/>
  <c r="AN19" i="27"/>
  <c r="AZ66" i="27"/>
  <c r="L10" i="27"/>
  <c r="T36" i="27"/>
  <c r="AN27" i="27"/>
  <c r="AJ63" i="27"/>
  <c r="AN41" i="27"/>
  <c r="X4" i="27"/>
  <c r="AN50" i="27"/>
  <c r="AN12" i="27"/>
  <c r="AN26" i="27"/>
  <c r="AN29" i="27"/>
  <c r="R6" i="24"/>
  <c r="R24" i="20"/>
  <c r="K68" i="20"/>
  <c r="R68" i="20" s="1"/>
  <c r="K64" i="20"/>
  <c r="K60" i="20"/>
  <c r="R60" i="20" s="1"/>
  <c r="K56" i="20"/>
  <c r="R56" i="20" s="1"/>
  <c r="K52" i="20"/>
  <c r="R52" i="20" s="1"/>
  <c r="K48" i="20"/>
  <c r="R48" i="20" s="1"/>
  <c r="K44" i="20"/>
  <c r="K40" i="20"/>
  <c r="K36" i="20"/>
  <c r="R36" i="20" s="1"/>
  <c r="K32" i="20"/>
  <c r="R32" i="20" s="1"/>
  <c r="K28" i="20"/>
  <c r="R28" i="20" s="1"/>
  <c r="K24" i="20"/>
  <c r="K15" i="20"/>
  <c r="K59" i="20"/>
  <c r="K47" i="20"/>
  <c r="K35" i="20"/>
  <c r="R35" i="20" s="1"/>
  <c r="K21" i="20"/>
  <c r="R21" i="20" s="1"/>
  <c r="K27" i="20"/>
  <c r="R27" i="20" s="1"/>
  <c r="K69" i="20"/>
  <c r="R69" i="20" s="1"/>
  <c r="K57" i="20"/>
  <c r="R57" i="20" s="1"/>
  <c r="K45" i="20"/>
  <c r="R45" i="20" s="1"/>
  <c r="K30" i="20"/>
  <c r="R30" i="20" s="1"/>
  <c r="K18" i="20"/>
  <c r="R18" i="20" s="1"/>
  <c r="K9" i="20"/>
  <c r="R9" i="20" s="1"/>
  <c r="K62" i="20"/>
  <c r="R62" i="20" s="1"/>
  <c r="K50" i="20"/>
  <c r="K38" i="20"/>
  <c r="R38" i="20" s="1"/>
  <c r="K33" i="20"/>
  <c r="K6" i="20"/>
  <c r="R6" i="20" s="1"/>
  <c r="K67" i="20"/>
  <c r="R67" i="20" s="1"/>
  <c r="K55" i="20"/>
  <c r="R55" i="20" s="1"/>
  <c r="K43" i="20"/>
  <c r="R43" i="20" s="1"/>
  <c r="K22" i="20"/>
  <c r="R22" i="20" s="1"/>
  <c r="K25" i="20"/>
  <c r="R25" i="20" s="1"/>
  <c r="K65" i="20"/>
  <c r="R65" i="20" s="1"/>
  <c r="K53" i="20"/>
  <c r="R53" i="20" s="1"/>
  <c r="K41" i="20"/>
  <c r="R41" i="20" s="1"/>
  <c r="K31" i="20"/>
  <c r="R31" i="20" s="1"/>
  <c r="K19" i="20"/>
  <c r="R19" i="20" s="1"/>
  <c r="K16" i="20"/>
  <c r="R16" i="20" s="1"/>
  <c r="K13" i="20"/>
  <c r="R13" i="20" s="1"/>
  <c r="K10" i="20"/>
  <c r="R10" i="20" s="1"/>
  <c r="K63" i="20"/>
  <c r="R63" i="20" s="1"/>
  <c r="K51" i="20"/>
  <c r="R51" i="20" s="1"/>
  <c r="K39" i="20"/>
  <c r="R39" i="20" s="1"/>
  <c r="K23" i="20"/>
  <c r="R23" i="20" s="1"/>
  <c r="K20" i="20"/>
  <c r="R20" i="20" s="1"/>
  <c r="K66" i="20"/>
  <c r="K54" i="20"/>
  <c r="R54" i="20" s="1"/>
  <c r="K42" i="20"/>
  <c r="K8" i="20"/>
  <c r="R8" i="20" s="1"/>
  <c r="K17" i="20"/>
  <c r="R17" i="20" s="1"/>
  <c r="K12" i="20"/>
  <c r="R12" i="20" s="1"/>
  <c r="K14" i="20"/>
  <c r="R14" i="20" s="1"/>
  <c r="K37" i="20"/>
  <c r="K11" i="20"/>
  <c r="R11" i="20" s="1"/>
  <c r="K58" i="20"/>
  <c r="R58" i="20" s="1"/>
  <c r="K26" i="20"/>
  <c r="R26" i="20" s="1"/>
  <c r="K49" i="20"/>
  <c r="R49" i="20" s="1"/>
  <c r="K29" i="20"/>
  <c r="K7" i="20"/>
  <c r="R7" i="20" s="1"/>
  <c r="K61" i="20"/>
  <c r="R61" i="20" s="1"/>
  <c r="K46" i="20"/>
  <c r="R46" i="20" s="1"/>
  <c r="K34" i="20"/>
  <c r="R34" i="20" s="1"/>
  <c r="R37" i="20"/>
  <c r="R63" i="4"/>
  <c r="R29" i="4"/>
  <c r="S65" i="2"/>
  <c r="R53" i="22"/>
  <c r="G6" i="2"/>
  <c r="F70" i="2"/>
  <c r="K70" i="4"/>
  <c r="K68" i="6"/>
  <c r="R68" i="6" s="1"/>
  <c r="K64" i="6"/>
  <c r="R64" i="6" s="1"/>
  <c r="K54" i="6"/>
  <c r="R54" i="6" s="1"/>
  <c r="K50" i="6"/>
  <c r="R50" i="6" s="1"/>
  <c r="K46" i="6"/>
  <c r="R46" i="6" s="1"/>
  <c r="K42" i="6"/>
  <c r="R42" i="6" s="1"/>
  <c r="K38" i="6"/>
  <c r="R38" i="6" s="1"/>
  <c r="K34" i="6"/>
  <c r="R34" i="6" s="1"/>
  <c r="K30" i="6"/>
  <c r="R30" i="6" s="1"/>
  <c r="K26" i="6"/>
  <c r="R26" i="6" s="1"/>
  <c r="K22" i="6"/>
  <c r="R22" i="6" s="1"/>
  <c r="K67" i="6"/>
  <c r="R67" i="6" s="1"/>
  <c r="K61" i="6"/>
  <c r="R61" i="6" s="1"/>
  <c r="K58" i="6"/>
  <c r="R58" i="6" s="1"/>
  <c r="K14" i="6"/>
  <c r="R14" i="6" s="1"/>
  <c r="K62" i="6"/>
  <c r="R62" i="6" s="1"/>
  <c r="K55" i="6"/>
  <c r="R55" i="6" s="1"/>
  <c r="K65" i="6"/>
  <c r="R65" i="6" s="1"/>
  <c r="K15" i="6"/>
  <c r="R15" i="6" s="1"/>
  <c r="K53" i="6"/>
  <c r="R53" i="6" s="1"/>
  <c r="K49" i="6"/>
  <c r="R49" i="6" s="1"/>
  <c r="K45" i="6"/>
  <c r="R45" i="6" s="1"/>
  <c r="K41" i="6"/>
  <c r="R41" i="6" s="1"/>
  <c r="K37" i="6"/>
  <c r="R37" i="6" s="1"/>
  <c r="K33" i="6"/>
  <c r="R33" i="6" s="1"/>
  <c r="K13" i="6"/>
  <c r="R13" i="6" s="1"/>
  <c r="K6" i="6"/>
  <c r="K59" i="6"/>
  <c r="R59" i="6" s="1"/>
  <c r="K51" i="6"/>
  <c r="R51" i="6" s="1"/>
  <c r="K47" i="6"/>
  <c r="R47" i="6" s="1"/>
  <c r="K43" i="6"/>
  <c r="R43" i="6" s="1"/>
  <c r="K39" i="6"/>
  <c r="R39" i="6" s="1"/>
  <c r="K35" i="6"/>
  <c r="R35" i="6" s="1"/>
  <c r="K31" i="6"/>
  <c r="R31" i="6" s="1"/>
  <c r="K29" i="6"/>
  <c r="R29" i="6" s="1"/>
  <c r="K11" i="6"/>
  <c r="R11" i="6" s="1"/>
  <c r="K57" i="6"/>
  <c r="R57" i="6" s="1"/>
  <c r="K18" i="6"/>
  <c r="R18" i="6" s="1"/>
  <c r="K63" i="6"/>
  <c r="R63" i="6" s="1"/>
  <c r="K9" i="6"/>
  <c r="R9" i="6" s="1"/>
  <c r="K52" i="6"/>
  <c r="R52" i="6" s="1"/>
  <c r="K48" i="6"/>
  <c r="R48" i="6" s="1"/>
  <c r="K44" i="6"/>
  <c r="R44" i="6" s="1"/>
  <c r="K40" i="6"/>
  <c r="R40" i="6" s="1"/>
  <c r="K36" i="6"/>
  <c r="R36" i="6" s="1"/>
  <c r="K32" i="6"/>
  <c r="R32" i="6" s="1"/>
  <c r="K23" i="6"/>
  <c r="R23" i="6" s="1"/>
  <c r="K21" i="6"/>
  <c r="R21" i="6" s="1"/>
  <c r="K12" i="6"/>
  <c r="R12" i="6" s="1"/>
  <c r="K7" i="6"/>
  <c r="R7" i="6" s="1"/>
  <c r="K66" i="6"/>
  <c r="R66" i="6" s="1"/>
  <c r="K27" i="6"/>
  <c r="R27" i="6" s="1"/>
  <c r="K25" i="6"/>
  <c r="R25" i="6" s="1"/>
  <c r="K69" i="6"/>
  <c r="R69" i="6" s="1"/>
  <c r="K19" i="6"/>
  <c r="R19" i="6" s="1"/>
  <c r="K20" i="6"/>
  <c r="R20" i="6" s="1"/>
  <c r="K56" i="6"/>
  <c r="R56" i="6" s="1"/>
  <c r="K24" i="6"/>
  <c r="R24" i="6" s="1"/>
  <c r="K17" i="6"/>
  <c r="R17" i="6" s="1"/>
  <c r="K8" i="6"/>
  <c r="R8" i="6" s="1"/>
  <c r="K60" i="6"/>
  <c r="R60" i="6" s="1"/>
  <c r="K28" i="6"/>
  <c r="R28" i="6" s="1"/>
  <c r="K16" i="6"/>
  <c r="R16" i="6" s="1"/>
  <c r="K10" i="6"/>
  <c r="R10" i="6" s="1"/>
  <c r="R40" i="20"/>
  <c r="R50" i="20"/>
  <c r="R54" i="22"/>
  <c r="R8" i="4"/>
  <c r="R49" i="22"/>
  <c r="R6" i="18"/>
  <c r="J70" i="18"/>
  <c r="R18" i="4"/>
  <c r="R27" i="4"/>
  <c r="R53" i="4"/>
  <c r="J10" i="24"/>
  <c r="R10" i="24" s="1"/>
  <c r="J42" i="24"/>
  <c r="R42" i="24" s="1"/>
  <c r="J29" i="24"/>
  <c r="R29" i="24" s="1"/>
  <c r="J9" i="24"/>
  <c r="R9" i="24" s="1"/>
  <c r="J56" i="24"/>
  <c r="R56" i="24" s="1"/>
  <c r="J17" i="24"/>
  <c r="R17" i="24" s="1"/>
  <c r="J7" i="24"/>
  <c r="R7" i="24" s="1"/>
  <c r="J53" i="24"/>
  <c r="R53" i="24" s="1"/>
  <c r="J67" i="24"/>
  <c r="R67" i="24" s="1"/>
  <c r="J48" i="24"/>
  <c r="R48" i="24" s="1"/>
  <c r="J58" i="24"/>
  <c r="R58" i="24" s="1"/>
  <c r="J34" i="24"/>
  <c r="R34" i="24" s="1"/>
  <c r="J61" i="24"/>
  <c r="R61" i="24" s="1"/>
  <c r="J55" i="24"/>
  <c r="R55" i="24" s="1"/>
  <c r="J13" i="24"/>
  <c r="R13" i="24" s="1"/>
  <c r="J47" i="24"/>
  <c r="R47" i="24" s="1"/>
  <c r="J38" i="24"/>
  <c r="R38" i="24" s="1"/>
  <c r="J43" i="24"/>
  <c r="R43" i="24" s="1"/>
  <c r="J18" i="24"/>
  <c r="R18" i="24" s="1"/>
  <c r="J41" i="24"/>
  <c r="R41" i="24" s="1"/>
  <c r="J46" i="24"/>
  <c r="R46" i="24" s="1"/>
  <c r="J8" i="24"/>
  <c r="R8" i="24" s="1"/>
  <c r="J35" i="24"/>
  <c r="R35" i="24" s="1"/>
  <c r="J36" i="24"/>
  <c r="R36" i="24" s="1"/>
  <c r="J21" i="24"/>
  <c r="R21" i="24" s="1"/>
  <c r="J64" i="24"/>
  <c r="R64" i="24" s="1"/>
  <c r="J51" i="24"/>
  <c r="R51" i="24" s="1"/>
  <c r="J12" i="24"/>
  <c r="R12" i="24" s="1"/>
  <c r="J25" i="24"/>
  <c r="R25" i="24" s="1"/>
  <c r="J23" i="24"/>
  <c r="R23" i="24" s="1"/>
  <c r="J20" i="24"/>
  <c r="R20" i="24" s="1"/>
  <c r="J40" i="24"/>
  <c r="R40" i="24" s="1"/>
  <c r="J16" i="24"/>
  <c r="R16" i="24" s="1"/>
  <c r="J30" i="24"/>
  <c r="R30" i="24" s="1"/>
  <c r="J44" i="24"/>
  <c r="R44" i="24" s="1"/>
  <c r="J19" i="24"/>
  <c r="R19" i="24" s="1"/>
  <c r="J31" i="24"/>
  <c r="R31" i="24" s="1"/>
  <c r="J22" i="24"/>
  <c r="R22" i="24" s="1"/>
  <c r="J37" i="24"/>
  <c r="R37" i="24" s="1"/>
  <c r="J45" i="24"/>
  <c r="R45" i="24" s="1"/>
  <c r="J63" i="24"/>
  <c r="R63" i="24" s="1"/>
  <c r="J32" i="24"/>
  <c r="R32" i="24" s="1"/>
  <c r="J49" i="24"/>
  <c r="R49" i="24" s="1"/>
  <c r="J59" i="24"/>
  <c r="R59" i="24" s="1"/>
  <c r="J50" i="24"/>
  <c r="R50" i="24" s="1"/>
  <c r="J26" i="24"/>
  <c r="R26" i="24" s="1"/>
  <c r="J14" i="24"/>
  <c r="R14" i="24" s="1"/>
  <c r="J39" i="24"/>
  <c r="R39" i="24" s="1"/>
  <c r="R66" i="20"/>
  <c r="R60" i="4"/>
  <c r="R41" i="22"/>
  <c r="R38" i="4"/>
  <c r="R32" i="22"/>
  <c r="R62" i="4"/>
  <c r="R44" i="20"/>
  <c r="J68" i="24"/>
  <c r="R68" i="24" s="1"/>
  <c r="J70" i="20"/>
  <c r="R33" i="20"/>
  <c r="R59" i="20"/>
  <c r="R14" i="4"/>
  <c r="R43" i="22"/>
  <c r="R9" i="4"/>
  <c r="J54" i="24"/>
  <c r="R54" i="24" s="1"/>
  <c r="G70" i="8"/>
  <c r="J6" i="8"/>
  <c r="R15" i="20"/>
  <c r="R52" i="4"/>
  <c r="R11" i="4"/>
  <c r="S61" i="2"/>
  <c r="S26" i="2"/>
  <c r="R35" i="22"/>
  <c r="R58" i="22"/>
  <c r="J65" i="24"/>
  <c r="R65" i="24" s="1"/>
  <c r="J52" i="24"/>
  <c r="R52" i="24" s="1"/>
  <c r="R29" i="20"/>
  <c r="G70" i="4"/>
  <c r="J6" i="4"/>
  <c r="R25" i="4"/>
  <c r="R61" i="22"/>
  <c r="S45" i="2"/>
  <c r="R51" i="4"/>
  <c r="R22" i="22"/>
  <c r="R64" i="20"/>
  <c r="S29" i="2"/>
  <c r="K70" i="22"/>
  <c r="R46" i="22"/>
  <c r="R50" i="22"/>
  <c r="X3" i="26"/>
  <c r="X15" i="26" s="1"/>
  <c r="W15" i="26"/>
  <c r="R54" i="4"/>
  <c r="J70" i="12"/>
  <c r="R6" i="10"/>
  <c r="J70" i="10"/>
  <c r="BA67" i="27"/>
  <c r="R66" i="4"/>
  <c r="R47" i="20"/>
  <c r="R38" i="22"/>
  <c r="S35" i="2"/>
  <c r="S50" i="2"/>
  <c r="K68" i="14"/>
  <c r="R68" i="14" s="1"/>
  <c r="K64" i="14"/>
  <c r="R64" i="14" s="1"/>
  <c r="K60" i="14"/>
  <c r="R60" i="14" s="1"/>
  <c r="K56" i="14"/>
  <c r="R56" i="14" s="1"/>
  <c r="K52" i="14"/>
  <c r="R52" i="14" s="1"/>
  <c r="K48" i="14"/>
  <c r="R48" i="14" s="1"/>
  <c r="K44" i="14"/>
  <c r="R44" i="14" s="1"/>
  <c r="K40" i="14"/>
  <c r="R40" i="14" s="1"/>
  <c r="K36" i="14"/>
  <c r="R36" i="14" s="1"/>
  <c r="K32" i="14"/>
  <c r="R32" i="14" s="1"/>
  <c r="K28" i="14"/>
  <c r="R28" i="14" s="1"/>
  <c r="K24" i="14"/>
  <c r="R24" i="14" s="1"/>
  <c r="K20" i="14"/>
  <c r="R20" i="14" s="1"/>
  <c r="K69" i="14"/>
  <c r="R69" i="14" s="1"/>
  <c r="K65" i="14"/>
  <c r="R65" i="14" s="1"/>
  <c r="K61" i="14"/>
  <c r="R61" i="14" s="1"/>
  <c r="K57" i="14"/>
  <c r="R57" i="14" s="1"/>
  <c r="K66" i="14"/>
  <c r="R66" i="14" s="1"/>
  <c r="K62" i="14"/>
  <c r="R62" i="14" s="1"/>
  <c r="K58" i="14"/>
  <c r="R58" i="14" s="1"/>
  <c r="K54" i="14"/>
  <c r="R54" i="14" s="1"/>
  <c r="K50" i="14"/>
  <c r="R50" i="14" s="1"/>
  <c r="K46" i="14"/>
  <c r="R46" i="14" s="1"/>
  <c r="K42" i="14"/>
  <c r="R42" i="14" s="1"/>
  <c r="K38" i="14"/>
  <c r="R38" i="14" s="1"/>
  <c r="K34" i="14"/>
  <c r="R34" i="14" s="1"/>
  <c r="K30" i="14"/>
  <c r="R30" i="14" s="1"/>
  <c r="K26" i="14"/>
  <c r="R26" i="14" s="1"/>
  <c r="K22" i="14"/>
  <c r="R22" i="14" s="1"/>
  <c r="K13" i="14"/>
  <c r="R13" i="14" s="1"/>
  <c r="K8" i="14"/>
  <c r="R8" i="14" s="1"/>
  <c r="K35" i="14"/>
  <c r="R35" i="14" s="1"/>
  <c r="K25" i="14"/>
  <c r="R25" i="14" s="1"/>
  <c r="K17" i="14"/>
  <c r="R17" i="14" s="1"/>
  <c r="K14" i="14"/>
  <c r="R14" i="14" s="1"/>
  <c r="K11" i="14"/>
  <c r="R11" i="14" s="1"/>
  <c r="K53" i="14"/>
  <c r="R53" i="14" s="1"/>
  <c r="K67" i="14"/>
  <c r="R67" i="14" s="1"/>
  <c r="K43" i="14"/>
  <c r="R43" i="14" s="1"/>
  <c r="K33" i="14"/>
  <c r="R33" i="14" s="1"/>
  <c r="K23" i="14"/>
  <c r="R23" i="14" s="1"/>
  <c r="K18" i="14"/>
  <c r="R18" i="14" s="1"/>
  <c r="K12" i="14"/>
  <c r="R12" i="14" s="1"/>
  <c r="K9" i="14"/>
  <c r="R9" i="14" s="1"/>
  <c r="K51" i="14"/>
  <c r="R51" i="14" s="1"/>
  <c r="K41" i="14"/>
  <c r="R41" i="14" s="1"/>
  <c r="K15" i="14"/>
  <c r="R15" i="14" s="1"/>
  <c r="K63" i="14"/>
  <c r="R63" i="14" s="1"/>
  <c r="K31" i="14"/>
  <c r="R31" i="14" s="1"/>
  <c r="K21" i="14"/>
  <c r="R21" i="14" s="1"/>
  <c r="K39" i="14"/>
  <c r="R39" i="14" s="1"/>
  <c r="K29" i="14"/>
  <c r="R29" i="14" s="1"/>
  <c r="K10" i="14"/>
  <c r="R10" i="14" s="1"/>
  <c r="K6" i="14"/>
  <c r="K27" i="14"/>
  <c r="R27" i="14" s="1"/>
  <c r="K7" i="14"/>
  <c r="R7" i="14" s="1"/>
  <c r="K16" i="14"/>
  <c r="R16" i="14" s="1"/>
  <c r="K55" i="14"/>
  <c r="R55" i="14" s="1"/>
  <c r="K37" i="14"/>
  <c r="R37" i="14" s="1"/>
  <c r="K47" i="14"/>
  <c r="R47" i="14" s="1"/>
  <c r="K45" i="14"/>
  <c r="R45" i="14" s="1"/>
  <c r="K49" i="14"/>
  <c r="R49" i="14" s="1"/>
  <c r="K59" i="14"/>
  <c r="R59" i="14" s="1"/>
  <c r="K19" i="14"/>
  <c r="R19" i="14" s="1"/>
  <c r="J57" i="24"/>
  <c r="R57" i="24" s="1"/>
  <c r="K68" i="2"/>
  <c r="S68" i="2" s="1"/>
  <c r="K64" i="2"/>
  <c r="S64" i="2" s="1"/>
  <c r="K60" i="2"/>
  <c r="S60" i="2" s="1"/>
  <c r="K56" i="2"/>
  <c r="S56" i="2" s="1"/>
  <c r="K52" i="2"/>
  <c r="S52" i="2" s="1"/>
  <c r="K48" i="2"/>
  <c r="S48" i="2" s="1"/>
  <c r="K44" i="2"/>
  <c r="S44" i="2" s="1"/>
  <c r="K40" i="2"/>
  <c r="S40" i="2" s="1"/>
  <c r="K36" i="2"/>
  <c r="S36" i="2" s="1"/>
  <c r="K32" i="2"/>
  <c r="S32" i="2" s="1"/>
  <c r="K28" i="2"/>
  <c r="S28" i="2" s="1"/>
  <c r="K24" i="2"/>
  <c r="S24" i="2" s="1"/>
  <c r="K20" i="2"/>
  <c r="S20" i="2" s="1"/>
  <c r="K15" i="2"/>
  <c r="S15" i="2" s="1"/>
  <c r="K62" i="2"/>
  <c r="K59" i="2"/>
  <c r="S59" i="2" s="1"/>
  <c r="K45" i="2"/>
  <c r="K17" i="2"/>
  <c r="S17" i="2" s="1"/>
  <c r="K13" i="2"/>
  <c r="S13" i="2" s="1"/>
  <c r="K65" i="2"/>
  <c r="K10" i="2"/>
  <c r="S10" i="2" s="1"/>
  <c r="K6" i="2"/>
  <c r="K34" i="2"/>
  <c r="S34" i="2" s="1"/>
  <c r="K31" i="2"/>
  <c r="S31" i="2" s="1"/>
  <c r="K21" i="2"/>
  <c r="S21" i="2" s="1"/>
  <c r="K46" i="2"/>
  <c r="S46" i="2" s="1"/>
  <c r="K43" i="2"/>
  <c r="S43" i="2" s="1"/>
  <c r="K22" i="2"/>
  <c r="S22" i="2" s="1"/>
  <c r="K14" i="2"/>
  <c r="S14" i="2" s="1"/>
  <c r="K11" i="2"/>
  <c r="K19" i="2"/>
  <c r="S19" i="2" s="1"/>
  <c r="K66" i="2"/>
  <c r="S66" i="2" s="1"/>
  <c r="K63" i="2"/>
  <c r="S63" i="2" s="1"/>
  <c r="K49" i="2"/>
  <c r="S49" i="2" s="1"/>
  <c r="K29" i="2"/>
  <c r="K7" i="2"/>
  <c r="S7" i="2" s="1"/>
  <c r="K69" i="2"/>
  <c r="S69" i="2" s="1"/>
  <c r="K38" i="2"/>
  <c r="S38" i="2" s="1"/>
  <c r="K35" i="2"/>
  <c r="K26" i="2"/>
  <c r="K67" i="2"/>
  <c r="S67" i="2" s="1"/>
  <c r="K53" i="2"/>
  <c r="S53" i="2" s="1"/>
  <c r="K27" i="2"/>
  <c r="S27" i="2" s="1"/>
  <c r="K18" i="2"/>
  <c r="S18" i="2" s="1"/>
  <c r="K16" i="2"/>
  <c r="S16" i="2" s="1"/>
  <c r="K8" i="2"/>
  <c r="S8" i="2" s="1"/>
  <c r="K50" i="2"/>
  <c r="K37" i="2"/>
  <c r="S37" i="2" s="1"/>
  <c r="K55" i="2"/>
  <c r="S55" i="2" s="1"/>
  <c r="K33" i="2"/>
  <c r="S33" i="2" s="1"/>
  <c r="K12" i="2"/>
  <c r="S12" i="2" s="1"/>
  <c r="K25" i="2"/>
  <c r="S25" i="2" s="1"/>
  <c r="K51" i="2"/>
  <c r="S51" i="2" s="1"/>
  <c r="K57" i="2"/>
  <c r="S57" i="2" s="1"/>
  <c r="K47" i="2"/>
  <c r="S47" i="2" s="1"/>
  <c r="K9" i="2"/>
  <c r="S9" i="2" s="1"/>
  <c r="K58" i="2"/>
  <c r="S58" i="2" s="1"/>
  <c r="K23" i="2"/>
  <c r="S23" i="2" s="1"/>
  <c r="K41" i="2"/>
  <c r="S41" i="2" s="1"/>
  <c r="K42" i="2"/>
  <c r="S42" i="2" s="1"/>
  <c r="K30" i="2"/>
  <c r="S30" i="2" s="1"/>
  <c r="K61" i="2"/>
  <c r="K54" i="2"/>
  <c r="S54" i="2" s="1"/>
  <c r="K39" i="2"/>
  <c r="S39" i="2" s="1"/>
  <c r="S62" i="2"/>
  <c r="J70" i="22"/>
  <c r="S11" i="2"/>
  <c r="J70" i="16"/>
  <c r="R6" i="16"/>
  <c r="R42" i="20"/>
  <c r="R64" i="22"/>
  <c r="AP6" i="27"/>
  <c r="AP50" i="27"/>
  <c r="N23" i="27"/>
  <c r="N42" i="27"/>
  <c r="N28" i="27"/>
  <c r="N29" i="27"/>
  <c r="N21" i="27"/>
  <c r="AX4" i="27"/>
  <c r="AX15" i="27"/>
  <c r="AX17" i="27"/>
  <c r="AX46" i="27"/>
  <c r="AD65" i="27"/>
  <c r="AD17" i="27"/>
  <c r="AD35" i="27"/>
  <c r="AD50" i="27"/>
  <c r="AD28" i="27"/>
  <c r="AD42" i="27"/>
  <c r="AP18" i="27"/>
  <c r="AP22" i="27"/>
  <c r="AX22" i="27"/>
  <c r="AH3" i="27"/>
  <c r="N33" i="27"/>
  <c r="AX29" i="27"/>
  <c r="AD44" i="27"/>
  <c r="AP65" i="27"/>
  <c r="AP59" i="27"/>
  <c r="AP38" i="27"/>
  <c r="AP51" i="27"/>
  <c r="AP4" i="27"/>
  <c r="N19" i="27"/>
  <c r="N38" i="27"/>
  <c r="N26" i="27"/>
  <c r="N20" i="27"/>
  <c r="N14" i="27"/>
  <c r="AX50" i="27"/>
  <c r="AX38" i="27"/>
  <c r="AX37" i="27"/>
  <c r="AX56" i="27"/>
  <c r="J35" i="27"/>
  <c r="AT55" i="27"/>
  <c r="AT43" i="27"/>
  <c r="AD66" i="27"/>
  <c r="AD31" i="27"/>
  <c r="AD64" i="27"/>
  <c r="AD18" i="27"/>
  <c r="AD46" i="27"/>
  <c r="AT61" i="27"/>
  <c r="AD36" i="27"/>
  <c r="AX54" i="27"/>
  <c r="AP10" i="27"/>
  <c r="N11" i="27"/>
  <c r="J50" i="27"/>
  <c r="AX16" i="27"/>
  <c r="AP56" i="27"/>
  <c r="J51" i="27"/>
  <c r="AD10" i="27"/>
  <c r="N37" i="27"/>
  <c r="AP61" i="27"/>
  <c r="AX3" i="27"/>
  <c r="AP28" i="27"/>
  <c r="AP58" i="27"/>
  <c r="N64" i="27"/>
  <c r="N34" i="27"/>
  <c r="N8" i="27"/>
  <c r="N18" i="27"/>
  <c r="N5" i="27"/>
  <c r="AX64" i="27"/>
  <c r="AX43" i="27"/>
  <c r="AX13" i="27"/>
  <c r="AX47" i="27"/>
  <c r="AT29" i="27"/>
  <c r="AT47" i="27"/>
  <c r="AD57" i="27"/>
  <c r="AD62" i="27"/>
  <c r="AD27" i="27"/>
  <c r="AD40" i="27"/>
  <c r="AD56" i="27"/>
  <c r="N51" i="27"/>
  <c r="N63" i="27"/>
  <c r="N13" i="27"/>
  <c r="AD45" i="27"/>
  <c r="AD47" i="27"/>
  <c r="N31" i="27"/>
  <c r="AX51" i="27"/>
  <c r="AD43" i="27"/>
  <c r="AP25" i="27"/>
  <c r="N46" i="27"/>
  <c r="AX14" i="27"/>
  <c r="AD8" i="27"/>
  <c r="AP57" i="27"/>
  <c r="AP35" i="27"/>
  <c r="AP16" i="27"/>
  <c r="AP5" i="27"/>
  <c r="AP43" i="27"/>
  <c r="N65" i="27"/>
  <c r="N58" i="27"/>
  <c r="N30" i="27"/>
  <c r="N54" i="27"/>
  <c r="N9" i="27"/>
  <c r="N57" i="27"/>
  <c r="J15" i="27"/>
  <c r="AX45" i="27"/>
  <c r="AX5" i="27"/>
  <c r="AX27" i="27"/>
  <c r="AX23" i="27"/>
  <c r="J59" i="27"/>
  <c r="AP30" i="27"/>
  <c r="J22" i="27"/>
  <c r="AD53" i="27"/>
  <c r="AD58" i="27"/>
  <c r="AD23" i="27"/>
  <c r="AD30" i="27"/>
  <c r="AD26" i="27"/>
  <c r="AD16" i="27"/>
  <c r="AD54" i="27"/>
  <c r="AD19" i="27"/>
  <c r="AD7" i="27"/>
  <c r="AP34" i="27"/>
  <c r="AX31" i="27"/>
  <c r="AD63" i="27"/>
  <c r="AD29" i="27"/>
  <c r="N36" i="27"/>
  <c r="AX53" i="27"/>
  <c r="AP26" i="27"/>
  <c r="AD11" i="27"/>
  <c r="N27" i="27"/>
  <c r="AP21" i="27"/>
  <c r="AP53" i="27"/>
  <c r="AP32" i="27"/>
  <c r="AP13" i="27"/>
  <c r="AP14" i="27"/>
  <c r="AP31" i="27"/>
  <c r="N61" i="27"/>
  <c r="N55" i="27"/>
  <c r="N10" i="27"/>
  <c r="N15" i="27"/>
  <c r="N4" i="27"/>
  <c r="N25" i="27"/>
  <c r="J24" i="27"/>
  <c r="AX55" i="27"/>
  <c r="AX32" i="27"/>
  <c r="AX41" i="27"/>
  <c r="AX11" i="27"/>
  <c r="AX62" i="27"/>
  <c r="AT58" i="27"/>
  <c r="AD49" i="27"/>
  <c r="AD20" i="27"/>
  <c r="AP9" i="27"/>
  <c r="N60" i="27"/>
  <c r="AX33" i="27"/>
  <c r="AX36" i="27"/>
  <c r="AX49" i="27"/>
  <c r="AD15" i="27"/>
  <c r="AD52" i="27"/>
  <c r="AP20" i="27"/>
  <c r="N17" i="27"/>
  <c r="AT46" i="27"/>
  <c r="AD25" i="27"/>
  <c r="AP45" i="27"/>
  <c r="AP24" i="27"/>
  <c r="AP64" i="27"/>
  <c r="AP7" i="27"/>
  <c r="AP11" i="27"/>
  <c r="N47" i="27"/>
  <c r="N59" i="27"/>
  <c r="N56" i="27"/>
  <c r="N6" i="27"/>
  <c r="N24" i="27"/>
  <c r="N7" i="27"/>
  <c r="AP47" i="27"/>
  <c r="AX7" i="27"/>
  <c r="AX58" i="27"/>
  <c r="AX18" i="27"/>
  <c r="AX28" i="27"/>
  <c r="AP63" i="27"/>
  <c r="AP41" i="27"/>
  <c r="J11" i="27"/>
  <c r="AP12" i="27"/>
  <c r="J48" i="27"/>
  <c r="AD41" i="27"/>
  <c r="AD59" i="27"/>
  <c r="AD5" i="27"/>
  <c r="AD9" i="27"/>
  <c r="AD24" i="27"/>
  <c r="AP36" i="27"/>
  <c r="J26" i="27"/>
  <c r="N40" i="27"/>
  <c r="AX6" i="27"/>
  <c r="AP29" i="27"/>
  <c r="N50" i="27"/>
  <c r="AX35" i="27"/>
  <c r="N32" i="27"/>
  <c r="AT32" i="27"/>
  <c r="AD60" i="27"/>
  <c r="AP66" i="27"/>
  <c r="AP52" i="27"/>
  <c r="AP60" i="27"/>
  <c r="N43" i="27"/>
  <c r="N52" i="27"/>
  <c r="N48" i="27"/>
  <c r="N49" i="27"/>
  <c r="N22" i="27"/>
  <c r="AP37" i="27"/>
  <c r="AL3" i="27"/>
  <c r="AX39" i="27"/>
  <c r="AX52" i="27"/>
  <c r="AX61" i="27"/>
  <c r="AX19" i="27"/>
  <c r="AX65" i="27"/>
  <c r="AT40" i="27"/>
  <c r="J49" i="27"/>
  <c r="AT19" i="27"/>
  <c r="V3" i="27"/>
  <c r="J63" i="27"/>
  <c r="AD37" i="27"/>
  <c r="AD55" i="27"/>
  <c r="AD32" i="27"/>
  <c r="AD6" i="27"/>
  <c r="AD4" i="27"/>
  <c r="N35" i="27"/>
  <c r="N16" i="27"/>
  <c r="AX44" i="27"/>
  <c r="AX42" i="27"/>
  <c r="AT38" i="27"/>
  <c r="J6" i="27"/>
  <c r="AD14" i="27"/>
  <c r="AD34" i="27"/>
  <c r="AT50" i="27"/>
  <c r="N53" i="27"/>
  <c r="AX40" i="27"/>
  <c r="AD21" i="27"/>
  <c r="AP39" i="27"/>
  <c r="AP40" i="27"/>
  <c r="AP48" i="27"/>
  <c r="AP8" i="27"/>
  <c r="J60" i="27"/>
  <c r="N39" i="27"/>
  <c r="N62" i="27"/>
  <c r="N44" i="27"/>
  <c r="N45" i="27"/>
  <c r="N66" i="27"/>
  <c r="AT51" i="27"/>
  <c r="AX26" i="27"/>
  <c r="AX10" i="27"/>
  <c r="AX48" i="27"/>
  <c r="AX34" i="27"/>
  <c r="J57" i="27"/>
  <c r="J8" i="27"/>
  <c r="AP44" i="27"/>
  <c r="AD33" i="27"/>
  <c r="AD51" i="27"/>
  <c r="AD22" i="27"/>
  <c r="AD48" i="27"/>
  <c r="AD13" i="27"/>
  <c r="AP33" i="27"/>
  <c r="AP55" i="27"/>
  <c r="N12" i="27"/>
  <c r="N41" i="27"/>
  <c r="J5" i="27"/>
  <c r="AX9" i="27"/>
  <c r="AT35" i="27"/>
  <c r="AD38" i="27"/>
  <c r="AP27" i="27"/>
  <c r="AX60" i="27"/>
  <c r="AD12" i="27"/>
  <c r="AP17" i="27"/>
  <c r="AX20" i="27"/>
  <c r="AD39" i="27"/>
  <c r="AP42" i="27"/>
  <c r="AP19" i="27"/>
  <c r="AP62" i="27"/>
  <c r="AD61" i="27"/>
  <c r="AP23" i="27"/>
  <c r="AP46" i="27"/>
  <c r="AP49" i="27"/>
  <c r="AP15" i="27"/>
  <c r="AP54" i="27"/>
  <c r="AP3" i="27"/>
  <c r="AP67" i="27" l="1"/>
  <c r="AR3" i="27"/>
  <c r="AR54" i="27"/>
  <c r="AR15" i="27"/>
  <c r="AR49" i="27"/>
  <c r="AR46" i="27"/>
  <c r="AR23" i="27"/>
  <c r="AF61" i="27"/>
  <c r="AR62" i="27"/>
  <c r="AR19" i="27"/>
  <c r="AR42" i="27"/>
  <c r="AF39" i="27"/>
  <c r="AZ20" i="27"/>
  <c r="AR17" i="27"/>
  <c r="AF12" i="27"/>
  <c r="AZ60" i="27"/>
  <c r="AR27" i="27"/>
  <c r="AF38" i="27"/>
  <c r="AV35" i="27"/>
  <c r="AZ9" i="27"/>
  <c r="L5" i="27"/>
  <c r="BB5" i="27"/>
  <c r="BD5" i="27" s="1"/>
  <c r="BE5" i="27" s="1"/>
  <c r="P41" i="27"/>
  <c r="BB41" i="27"/>
  <c r="BD41" i="27" s="1"/>
  <c r="BE41" i="27" s="1"/>
  <c r="P12" i="27"/>
  <c r="BB12" i="27"/>
  <c r="BD12" i="27" s="1"/>
  <c r="BE12" i="27" s="1"/>
  <c r="AR55" i="27"/>
  <c r="AR33" i="27"/>
  <c r="AF13" i="27"/>
  <c r="AF48" i="27"/>
  <c r="AF22" i="27"/>
  <c r="AF51" i="27"/>
  <c r="AF33" i="27"/>
  <c r="AR44" i="27"/>
  <c r="BB8" i="27"/>
  <c r="BD8" i="27" s="1"/>
  <c r="BE8" i="27" s="1"/>
  <c r="L8" i="27"/>
  <c r="BB57" i="27"/>
  <c r="BD57" i="27" s="1"/>
  <c r="BE57" i="27" s="1"/>
  <c r="L57" i="27"/>
  <c r="AZ34" i="27"/>
  <c r="AZ48" i="27"/>
  <c r="AZ10" i="27"/>
  <c r="AZ26" i="27"/>
  <c r="AV51" i="27"/>
  <c r="P66" i="27"/>
  <c r="BB66" i="27"/>
  <c r="BD66" i="27" s="1"/>
  <c r="BE66" i="27" s="1"/>
  <c r="P45" i="27"/>
  <c r="BB45" i="27"/>
  <c r="BD45" i="27" s="1"/>
  <c r="BE45" i="27" s="1"/>
  <c r="P44" i="27"/>
  <c r="BB44" i="27"/>
  <c r="BD44" i="27" s="1"/>
  <c r="BE44" i="27" s="1"/>
  <c r="P62" i="27"/>
  <c r="BB62" i="27"/>
  <c r="BD62" i="27" s="1"/>
  <c r="BE62" i="27" s="1"/>
  <c r="P39" i="27"/>
  <c r="BB39" i="27"/>
  <c r="BD39" i="27" s="1"/>
  <c r="BE39" i="27" s="1"/>
  <c r="BB60" i="27"/>
  <c r="BD60" i="27" s="1"/>
  <c r="BE60" i="27" s="1"/>
  <c r="L60" i="27"/>
  <c r="AR8" i="27"/>
  <c r="AR48" i="27"/>
  <c r="AR40" i="27"/>
  <c r="AR39" i="27"/>
  <c r="AF21" i="27"/>
  <c r="AZ40" i="27"/>
  <c r="P53" i="27"/>
  <c r="BB53" i="27"/>
  <c r="BD53" i="27" s="1"/>
  <c r="BE53" i="27" s="1"/>
  <c r="AV50" i="27"/>
  <c r="AF34" i="27"/>
  <c r="AF14" i="27"/>
  <c r="BB6" i="27"/>
  <c r="BD6" i="27" s="1"/>
  <c r="BE6" i="27" s="1"/>
  <c r="L6" i="27"/>
  <c r="AV38" i="27"/>
  <c r="AZ42" i="27"/>
  <c r="AZ44" i="27"/>
  <c r="P16" i="27"/>
  <c r="BB16" i="27"/>
  <c r="BD16" i="27" s="1"/>
  <c r="BE16" i="27" s="1"/>
  <c r="P35" i="27"/>
  <c r="AF4" i="27"/>
  <c r="AF6" i="27"/>
  <c r="AF32" i="27"/>
  <c r="AF55" i="27"/>
  <c r="AF37" i="27"/>
  <c r="BB63" i="27"/>
  <c r="BD63" i="27" s="1"/>
  <c r="BE63" i="27" s="1"/>
  <c r="L63" i="27"/>
  <c r="V67" i="27"/>
  <c r="X3" i="27"/>
  <c r="X67" i="27" s="1"/>
  <c r="AV19" i="27"/>
  <c r="AV67" i="27" s="1"/>
  <c r="AT67" i="27"/>
  <c r="L49" i="27"/>
  <c r="BB49" i="27"/>
  <c r="BD49" i="27" s="1"/>
  <c r="BE49" i="27" s="1"/>
  <c r="AV40" i="27"/>
  <c r="AZ65" i="27"/>
  <c r="AZ19" i="27"/>
  <c r="AZ61" i="27"/>
  <c r="AZ52" i="27"/>
  <c r="AZ39" i="27"/>
  <c r="AL67" i="27"/>
  <c r="AN3" i="27"/>
  <c r="AN67" i="27" s="1"/>
  <c r="AR37" i="27"/>
  <c r="P22" i="27"/>
  <c r="P49" i="27"/>
  <c r="P48" i="27"/>
  <c r="P52" i="27"/>
  <c r="BB52" i="27"/>
  <c r="BD52" i="27" s="1"/>
  <c r="BE52" i="27" s="1"/>
  <c r="P43" i="27"/>
  <c r="BB43" i="27"/>
  <c r="BD43" i="27" s="1"/>
  <c r="BE43" i="27" s="1"/>
  <c r="AR60" i="27"/>
  <c r="AR52" i="27"/>
  <c r="AR66" i="27"/>
  <c r="AF60" i="27"/>
  <c r="AV32" i="27"/>
  <c r="P32" i="27"/>
  <c r="BB32" i="27"/>
  <c r="BD32" i="27" s="1"/>
  <c r="BE32" i="27" s="1"/>
  <c r="AZ35" i="27"/>
  <c r="P50" i="27"/>
  <c r="AR29" i="27"/>
  <c r="AZ6" i="27"/>
  <c r="P40" i="27"/>
  <c r="BB40" i="27"/>
  <c r="BD40" i="27" s="1"/>
  <c r="BE40" i="27" s="1"/>
  <c r="L26" i="27"/>
  <c r="BB26" i="27"/>
  <c r="BD26" i="27" s="1"/>
  <c r="BE26" i="27" s="1"/>
  <c r="AR36" i="27"/>
  <c r="AF24" i="27"/>
  <c r="AF9" i="27"/>
  <c r="AF5" i="27"/>
  <c r="AF59" i="27"/>
  <c r="AF41" i="27"/>
  <c r="BB48" i="27"/>
  <c r="BD48" i="27" s="1"/>
  <c r="BE48" i="27" s="1"/>
  <c r="L48" i="27"/>
  <c r="AR12" i="27"/>
  <c r="L11" i="27"/>
  <c r="BB11" i="27"/>
  <c r="BD11" i="27" s="1"/>
  <c r="BE11" i="27" s="1"/>
  <c r="AR41" i="27"/>
  <c r="AR63" i="27"/>
  <c r="AZ28" i="27"/>
  <c r="AZ18" i="27"/>
  <c r="AZ58" i="27"/>
  <c r="AZ7" i="27"/>
  <c r="AR47" i="27"/>
  <c r="P7" i="27"/>
  <c r="BB7" i="27"/>
  <c r="BD7" i="27" s="1"/>
  <c r="BE7" i="27" s="1"/>
  <c r="P24" i="27"/>
  <c r="P6" i="27"/>
  <c r="P56" i="27"/>
  <c r="BB56" i="27"/>
  <c r="BD56" i="27" s="1"/>
  <c r="BE56" i="27" s="1"/>
  <c r="P59" i="27"/>
  <c r="P47" i="27"/>
  <c r="BB47" i="27"/>
  <c r="BD47" i="27" s="1"/>
  <c r="BE47" i="27" s="1"/>
  <c r="AR11" i="27"/>
  <c r="AR7" i="27"/>
  <c r="AR64" i="27"/>
  <c r="AR24" i="27"/>
  <c r="AR45" i="27"/>
  <c r="AF25" i="27"/>
  <c r="AV46" i="27"/>
  <c r="P17" i="27"/>
  <c r="BB17" i="27"/>
  <c r="BD17" i="27" s="1"/>
  <c r="BE17" i="27" s="1"/>
  <c r="AR20" i="27"/>
  <c r="AF52" i="27"/>
  <c r="AF15" i="27"/>
  <c r="AZ49" i="27"/>
  <c r="AZ36" i="27"/>
  <c r="AZ33" i="27"/>
  <c r="P60" i="27"/>
  <c r="AR9" i="27"/>
  <c r="AF20" i="27"/>
  <c r="AF49" i="27"/>
  <c r="AV58" i="27"/>
  <c r="AZ62" i="27"/>
  <c r="AZ11" i="27"/>
  <c r="AZ41" i="27"/>
  <c r="AZ32" i="27"/>
  <c r="AZ55" i="27"/>
  <c r="BB24" i="27"/>
  <c r="BD24" i="27" s="1"/>
  <c r="BE24" i="27" s="1"/>
  <c r="L24" i="27"/>
  <c r="P25" i="27"/>
  <c r="BB25" i="27"/>
  <c r="BD25" i="27" s="1"/>
  <c r="BE25" i="27" s="1"/>
  <c r="P4" i="27"/>
  <c r="BB4" i="27"/>
  <c r="BD4" i="27" s="1"/>
  <c r="BE4" i="27" s="1"/>
  <c r="P15" i="27"/>
  <c r="P10" i="27"/>
  <c r="BB10" i="27"/>
  <c r="BD10" i="27" s="1"/>
  <c r="BE10" i="27" s="1"/>
  <c r="P55" i="27"/>
  <c r="BB55" i="27"/>
  <c r="BD55" i="27" s="1"/>
  <c r="BE55" i="27" s="1"/>
  <c r="P61" i="27"/>
  <c r="BB61" i="27"/>
  <c r="BD61" i="27" s="1"/>
  <c r="BE61" i="27" s="1"/>
  <c r="AR31" i="27"/>
  <c r="AR14" i="27"/>
  <c r="AR13" i="27"/>
  <c r="AR32" i="27"/>
  <c r="AR53" i="27"/>
  <c r="AR21" i="27"/>
  <c r="P27" i="27"/>
  <c r="BB27" i="27"/>
  <c r="BD27" i="27" s="1"/>
  <c r="BE27" i="27" s="1"/>
  <c r="AF11" i="27"/>
  <c r="AR26" i="27"/>
  <c r="AZ53" i="27"/>
  <c r="P36" i="27"/>
  <c r="BB36" i="27"/>
  <c r="BD36" i="27" s="1"/>
  <c r="BE36" i="27" s="1"/>
  <c r="AF29" i="27"/>
  <c r="AF63" i="27"/>
  <c r="AZ31" i="27"/>
  <c r="AR34" i="27"/>
  <c r="AF7" i="27"/>
  <c r="AF19" i="27"/>
  <c r="AF54" i="27"/>
  <c r="AF16" i="27"/>
  <c r="AF26" i="27"/>
  <c r="AF30" i="27"/>
  <c r="AF23" i="27"/>
  <c r="AF58" i="27"/>
  <c r="AF53" i="27"/>
  <c r="BB22" i="27"/>
  <c r="BD22" i="27" s="1"/>
  <c r="BE22" i="27" s="1"/>
  <c r="L22" i="27"/>
  <c r="AR30" i="27"/>
  <c r="BB59" i="27"/>
  <c r="BD59" i="27" s="1"/>
  <c r="BE59" i="27" s="1"/>
  <c r="L59" i="27"/>
  <c r="AZ23" i="27"/>
  <c r="AZ27" i="27"/>
  <c r="AZ5" i="27"/>
  <c r="AZ45" i="27"/>
  <c r="BB15" i="27"/>
  <c r="BD15" i="27" s="1"/>
  <c r="BE15" i="27" s="1"/>
  <c r="L15" i="27"/>
  <c r="P57" i="27"/>
  <c r="P9" i="27"/>
  <c r="BB9" i="27"/>
  <c r="BD9" i="27" s="1"/>
  <c r="BE9" i="27" s="1"/>
  <c r="P54" i="27"/>
  <c r="BB54" i="27"/>
  <c r="BD54" i="27" s="1"/>
  <c r="BE54" i="27" s="1"/>
  <c r="P30" i="27"/>
  <c r="BB30" i="27"/>
  <c r="BD30" i="27" s="1"/>
  <c r="BE30" i="27" s="1"/>
  <c r="P58" i="27"/>
  <c r="BB58" i="27"/>
  <c r="BD58" i="27" s="1"/>
  <c r="BE58" i="27" s="1"/>
  <c r="P65" i="27"/>
  <c r="BB65" i="27"/>
  <c r="BD65" i="27" s="1"/>
  <c r="BE65" i="27" s="1"/>
  <c r="AR43" i="27"/>
  <c r="AR5" i="27"/>
  <c r="AR16" i="27"/>
  <c r="AR35" i="27"/>
  <c r="AR57" i="27"/>
  <c r="AF8" i="27"/>
  <c r="AZ14" i="27"/>
  <c r="P46" i="27"/>
  <c r="BB46" i="27"/>
  <c r="BD46" i="27" s="1"/>
  <c r="BE46" i="27" s="1"/>
  <c r="AR25" i="27"/>
  <c r="AF43" i="27"/>
  <c r="AZ51" i="27"/>
  <c r="P31" i="27"/>
  <c r="BB31" i="27"/>
  <c r="BD31" i="27" s="1"/>
  <c r="BE31" i="27" s="1"/>
  <c r="AF47" i="27"/>
  <c r="AF45" i="27"/>
  <c r="P13" i="27"/>
  <c r="BB13" i="27"/>
  <c r="BD13" i="27" s="1"/>
  <c r="BE13" i="27" s="1"/>
  <c r="P63" i="27"/>
  <c r="P51" i="27"/>
  <c r="AF56" i="27"/>
  <c r="AF40" i="27"/>
  <c r="AF27" i="27"/>
  <c r="AF62" i="27"/>
  <c r="AF57" i="27"/>
  <c r="AV47" i="27"/>
  <c r="AV29" i="27"/>
  <c r="AZ47" i="27"/>
  <c r="AZ13" i="27"/>
  <c r="AZ43" i="27"/>
  <c r="AZ64" i="27"/>
  <c r="P5" i="27"/>
  <c r="P18" i="27"/>
  <c r="BB18" i="27"/>
  <c r="BD18" i="27" s="1"/>
  <c r="BE18" i="27" s="1"/>
  <c r="P8" i="27"/>
  <c r="P34" i="27"/>
  <c r="BB34" i="27"/>
  <c r="BD34" i="27" s="1"/>
  <c r="BE34" i="27" s="1"/>
  <c r="P64" i="27"/>
  <c r="BB64" i="27"/>
  <c r="BD64" i="27" s="1"/>
  <c r="BE64" i="27" s="1"/>
  <c r="AR58" i="27"/>
  <c r="AR28" i="27"/>
  <c r="AX67" i="27"/>
  <c r="AZ3" i="27"/>
  <c r="AR61" i="27"/>
  <c r="P37" i="27"/>
  <c r="BB37" i="27"/>
  <c r="BD37" i="27" s="1"/>
  <c r="BE37" i="27" s="1"/>
  <c r="AF10" i="27"/>
  <c r="BB51" i="27"/>
  <c r="BD51" i="27" s="1"/>
  <c r="BE51" i="27" s="1"/>
  <c r="L51" i="27"/>
  <c r="AR56" i="27"/>
  <c r="AZ16" i="27"/>
  <c r="BB50" i="27"/>
  <c r="BD50" i="27" s="1"/>
  <c r="BE50" i="27" s="1"/>
  <c r="L50" i="27"/>
  <c r="P11" i="27"/>
  <c r="AR10" i="27"/>
  <c r="AZ54" i="27"/>
  <c r="AF36" i="27"/>
  <c r="AV61" i="27"/>
  <c r="AF46" i="27"/>
  <c r="AF18" i="27"/>
  <c r="AF64" i="27"/>
  <c r="AF31" i="27"/>
  <c r="AF66" i="27"/>
  <c r="AV43" i="27"/>
  <c r="AV55" i="27"/>
  <c r="BB35" i="27"/>
  <c r="BD35" i="27" s="1"/>
  <c r="BE35" i="27" s="1"/>
  <c r="L35" i="27"/>
  <c r="AZ56" i="27"/>
  <c r="AZ37" i="27"/>
  <c r="AZ38" i="27"/>
  <c r="AZ50" i="27"/>
  <c r="P14" i="27"/>
  <c r="BB14" i="27"/>
  <c r="BD14" i="27" s="1"/>
  <c r="BE14" i="27" s="1"/>
  <c r="P20" i="27"/>
  <c r="BB20" i="27"/>
  <c r="BD20" i="27" s="1"/>
  <c r="BE20" i="27" s="1"/>
  <c r="P26" i="27"/>
  <c r="P38" i="27"/>
  <c r="BB38" i="27"/>
  <c r="BD38" i="27" s="1"/>
  <c r="BE38" i="27" s="1"/>
  <c r="P19" i="27"/>
  <c r="BB19" i="27"/>
  <c r="BD19" i="27" s="1"/>
  <c r="BE19" i="27" s="1"/>
  <c r="AR4" i="27"/>
  <c r="AR51" i="27"/>
  <c r="AR38" i="27"/>
  <c r="AR59" i="27"/>
  <c r="AR65" i="27"/>
  <c r="AF44" i="27"/>
  <c r="AZ29" i="27"/>
  <c r="P33" i="27"/>
  <c r="BB33" i="27"/>
  <c r="BD33" i="27" s="1"/>
  <c r="BE33" i="27" s="1"/>
  <c r="AH67" i="27"/>
  <c r="AJ3" i="27"/>
  <c r="AJ67" i="27" s="1"/>
  <c r="AZ22" i="27"/>
  <c r="AR22" i="27"/>
  <c r="AR18" i="27"/>
  <c r="AF42" i="27"/>
  <c r="AF28" i="27"/>
  <c r="AF50" i="27"/>
  <c r="AF35" i="27"/>
  <c r="AF17" i="27"/>
  <c r="AF65" i="27"/>
  <c r="AZ46" i="27"/>
  <c r="AZ17" i="27"/>
  <c r="AZ15" i="27"/>
  <c r="AZ4" i="27"/>
  <c r="P21" i="27"/>
  <c r="BB21" i="27"/>
  <c r="BD21" i="27" s="1"/>
  <c r="BE21" i="27" s="1"/>
  <c r="P29" i="27"/>
  <c r="BB29" i="27"/>
  <c r="BD29" i="27" s="1"/>
  <c r="BE29" i="27" s="1"/>
  <c r="P28" i="27"/>
  <c r="BB28" i="27"/>
  <c r="BD28" i="27" s="1"/>
  <c r="BE28" i="27" s="1"/>
  <c r="P42" i="27"/>
  <c r="BB42" i="27"/>
  <c r="BD42" i="27" s="1"/>
  <c r="BE42" i="27" s="1"/>
  <c r="P23" i="27"/>
  <c r="BB23" i="27"/>
  <c r="BD23" i="27" s="1"/>
  <c r="BE23" i="27" s="1"/>
  <c r="AR50" i="27"/>
  <c r="AR6" i="27"/>
  <c r="R70" i="20"/>
  <c r="K70" i="2"/>
  <c r="R70" i="10"/>
  <c r="R70" i="18"/>
  <c r="K70" i="6"/>
  <c r="R6" i="6"/>
  <c r="K70" i="14"/>
  <c r="R6" i="14"/>
  <c r="K70" i="20"/>
  <c r="R70" i="24"/>
  <c r="R70" i="22"/>
  <c r="J70" i="4"/>
  <c r="R6" i="4"/>
  <c r="R6" i="8"/>
  <c r="J70" i="8"/>
  <c r="J70" i="24"/>
  <c r="R70" i="16"/>
  <c r="G70" i="2"/>
  <c r="J6" i="2"/>
  <c r="J3" i="27"/>
  <c r="N3" i="27"/>
  <c r="R3" i="27"/>
  <c r="AD3" i="27"/>
  <c r="AD67" i="27" l="1"/>
  <c r="AF3" i="27"/>
  <c r="AF67" i="27" s="1"/>
  <c r="R67" i="27"/>
  <c r="T3" i="27"/>
  <c r="T67" i="27" s="1"/>
  <c r="N67" i="27"/>
  <c r="P3" i="27"/>
  <c r="P67" i="27" s="1"/>
  <c r="J67" i="27"/>
  <c r="L3" i="27"/>
  <c r="L67" i="27" s="1"/>
  <c r="BB3" i="27"/>
  <c r="AZ67" i="27"/>
  <c r="R70" i="14"/>
  <c r="S6" i="2"/>
  <c r="S70" i="2" s="1"/>
  <c r="J70" i="2"/>
  <c r="R70" i="8"/>
  <c r="AR67" i="27"/>
  <c r="R70" i="6"/>
  <c r="R70" i="4"/>
  <c r="BB67" i="27" l="1"/>
  <c r="BD3" i="27"/>
  <c r="BD67" i="27" l="1"/>
  <c r="BE67" i="27" s="1"/>
  <c r="BE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Samrat Kar</author>
  </authors>
  <commentList>
    <comment ref="J5" authorId="0" shapeId="0" xr:uid="{00000000-0006-0000-1900-000001000000}">
      <text>
        <r>
          <rPr>
            <sz val="11"/>
            <color rgb="FF000000"/>
            <rFont val="Calibri"/>
            <scheme val="minor"/>
          </rPr>
          <t>Samrat Kar:
Motor new - INR 49500
Motor borewell connection pipeline - 1,130 
motor fix material and labor -12,800</t>
        </r>
      </text>
    </comment>
    <comment ref="J6" authorId="0" shapeId="0" xr:uid="{00000000-0006-0000-1900-000002000000}">
      <text>
        <r>
          <rPr>
            <sz val="11"/>
            <color rgb="FF000000"/>
            <rFont val="Calibri"/>
            <scheme val="minor"/>
          </rPr>
          <t>Samrat Kar:
tiling and plumbing work to fix the leakage in bathroom of culture room on terrace</t>
        </r>
      </text>
    </comment>
  </commentList>
</comments>
</file>

<file path=xl/sharedStrings.xml><?xml version="1.0" encoding="utf-8"?>
<sst xmlns="http://schemas.openxmlformats.org/spreadsheetml/2006/main" count="2702" uniqueCount="431">
  <si>
    <t>FLAT</t>
  </si>
  <si>
    <t>NAME</t>
  </si>
  <si>
    <t>EMAIL</t>
  </si>
  <si>
    <t>PHONE</t>
  </si>
  <si>
    <t>FY_START_YEAR</t>
  </si>
  <si>
    <t>FY_END_YEAR</t>
  </si>
  <si>
    <t>FY_LABEL</t>
  </si>
  <si>
    <t>F1</t>
  </si>
  <si>
    <t>Shailesh Srivastava</t>
  </si>
  <si>
    <t>shailesh.srivastav@gmail.com</t>
  </si>
  <si>
    <t>F2</t>
  </si>
  <si>
    <t>Rama P</t>
  </si>
  <si>
    <t>ramazen1@gmail.com</t>
  </si>
  <si>
    <t>F3</t>
  </si>
  <si>
    <t>Samrat Kar</t>
  </si>
  <si>
    <t>samratk@gmail.com</t>
  </si>
  <si>
    <t>919342554680</t>
  </si>
  <si>
    <t>F4</t>
  </si>
  <si>
    <t>Renu R</t>
  </si>
  <si>
    <t>renu.sabapathy@gmail.com</t>
  </si>
  <si>
    <t>F5</t>
  </si>
  <si>
    <t>Vamsidhar Bethanabatla</t>
  </si>
  <si>
    <t>F6</t>
  </si>
  <si>
    <t>Viral Shah</t>
  </si>
  <si>
    <t>viralshah79@gmail.com</t>
  </si>
  <si>
    <t>F7</t>
  </si>
  <si>
    <t>Vimal NK</t>
  </si>
  <si>
    <t>nkvimal@gmail.com</t>
  </si>
  <si>
    <t>F8</t>
  </si>
  <si>
    <t>Ruhi Agrawal</t>
  </si>
  <si>
    <t>ruhi.agrawal321@gmail.com</t>
  </si>
  <si>
    <t>F9</t>
  </si>
  <si>
    <t>Vijay Suswaram</t>
  </si>
  <si>
    <t>vijay.suswaram@gmail.com</t>
  </si>
  <si>
    <t>9066901046</t>
  </si>
  <si>
    <t>F10</t>
  </si>
  <si>
    <t>Aby Thomas</t>
  </si>
  <si>
    <t>abythomas99@gmail.com</t>
  </si>
  <si>
    <t>9900502987</t>
  </si>
  <si>
    <t>F11</t>
  </si>
  <si>
    <t>F12</t>
  </si>
  <si>
    <t>Kavitha T</t>
  </si>
  <si>
    <t>kaveeonline@gmail.com</t>
  </si>
  <si>
    <t>9945796695</t>
  </si>
  <si>
    <t>F13</t>
  </si>
  <si>
    <t>Srinivasa Rao</t>
  </si>
  <si>
    <t>F14</t>
  </si>
  <si>
    <t>Hemant Patel</t>
  </si>
  <si>
    <t>hemant.patel.ec@gmail.com</t>
  </si>
  <si>
    <t>9880934229</t>
  </si>
  <si>
    <t>F15</t>
  </si>
  <si>
    <t>Senthil.Vijayaragavan</t>
  </si>
  <si>
    <t>senthil.web@gmail.com</t>
  </si>
  <si>
    <t>919035031349</t>
  </si>
  <si>
    <t>F16</t>
  </si>
  <si>
    <t>Sreeja Sudharma</t>
  </si>
  <si>
    <t>sudharma.sreeja@gmail.com</t>
  </si>
  <si>
    <t>G1</t>
  </si>
  <si>
    <t>Digvijay Verma</t>
  </si>
  <si>
    <t>er.digvijay.verma@gmail.com</t>
  </si>
  <si>
    <t>G2</t>
  </si>
  <si>
    <t>Kaushik Kasibhatla</t>
  </si>
  <si>
    <t>G3</t>
  </si>
  <si>
    <t>Balakrishnan</t>
  </si>
  <si>
    <t>balakrishnan.k@gmail.com</t>
  </si>
  <si>
    <t>G4</t>
  </si>
  <si>
    <t>Ashwin Pandith</t>
  </si>
  <si>
    <t>ashwinpandith@gmail.com</t>
  </si>
  <si>
    <t>G5</t>
  </si>
  <si>
    <t>Mayank Phophaliya</t>
  </si>
  <si>
    <t>G6</t>
  </si>
  <si>
    <t>Srinath</t>
  </si>
  <si>
    <t>09910099526</t>
  </si>
  <si>
    <t>G7</t>
  </si>
  <si>
    <t>Prince Richfield</t>
  </si>
  <si>
    <t>princerichfield@gmail.com</t>
  </si>
  <si>
    <t>7760487323</t>
  </si>
  <si>
    <t>G8</t>
  </si>
  <si>
    <t>Arun M</t>
  </si>
  <si>
    <t>arun.pharmaplus@gmail.com</t>
  </si>
  <si>
    <t>G9</t>
  </si>
  <si>
    <t>Chandramouli</t>
  </si>
  <si>
    <t>chandra.gumma@gmail.com</t>
  </si>
  <si>
    <t>G10</t>
  </si>
  <si>
    <t>Richa Singh</t>
  </si>
  <si>
    <t>richasingh.kaharwar@gmail.com</t>
  </si>
  <si>
    <t>9986432045</t>
  </si>
  <si>
    <t>G11</t>
  </si>
  <si>
    <t>Prashant Jaitley</t>
  </si>
  <si>
    <t>prashantjaitly656@gmail.com</t>
  </si>
  <si>
    <t>9654889504</t>
  </si>
  <si>
    <t>G12</t>
  </si>
  <si>
    <t>Shyam Nair</t>
  </si>
  <si>
    <t>g12.shyam@gmail.com</t>
  </si>
  <si>
    <t>7709047957</t>
  </si>
  <si>
    <t>G13</t>
  </si>
  <si>
    <t>Ajai.B</t>
  </si>
  <si>
    <t>ajai.abc@gmail.com</t>
  </si>
  <si>
    <t>G14</t>
  </si>
  <si>
    <t>Surajit Borah</t>
  </si>
  <si>
    <t>surajit.borah@gmail.com</t>
  </si>
  <si>
    <t>7829872270</t>
  </si>
  <si>
    <t>G15</t>
  </si>
  <si>
    <t>Suresh Nallusamy</t>
  </si>
  <si>
    <t>suresh.nallusamy@gmail.com</t>
  </si>
  <si>
    <t>G16</t>
  </si>
  <si>
    <t>Praveen Ganesan</t>
  </si>
  <si>
    <t>praveengb@gmail.com</t>
  </si>
  <si>
    <t>8050164658</t>
  </si>
  <si>
    <t>S1</t>
  </si>
  <si>
    <t>S.N.Behera</t>
  </si>
  <si>
    <t>snbeheras1@gmail.com</t>
  </si>
  <si>
    <t>919980008526</t>
  </si>
  <si>
    <t>S2</t>
  </si>
  <si>
    <t>Sonal Singh</t>
  </si>
  <si>
    <t>sonal.singhal86@gmail.com</t>
  </si>
  <si>
    <t>S3</t>
  </si>
  <si>
    <t>Manikandan N</t>
  </si>
  <si>
    <t>S4</t>
  </si>
  <si>
    <t>Swami</t>
  </si>
  <si>
    <t>swami2007@gmail.com</t>
  </si>
  <si>
    <t>S5</t>
  </si>
  <si>
    <t>Abhishek Gopalakrishnan</t>
  </si>
  <si>
    <t>abhishek.harekrishna@gmail.com</t>
  </si>
  <si>
    <t>7042447356</t>
  </si>
  <si>
    <t>S6</t>
  </si>
  <si>
    <t>Vivek Dhingra</t>
  </si>
  <si>
    <t>vivek.dhingra@gmail.com</t>
  </si>
  <si>
    <t>S7</t>
  </si>
  <si>
    <t>Harish B</t>
  </si>
  <si>
    <t>harishb80@gmail.com</t>
  </si>
  <si>
    <t>9980848757</t>
  </si>
  <si>
    <t>S8</t>
  </si>
  <si>
    <t>Irudayaraj Alwin</t>
  </si>
  <si>
    <t>a.alwin@gmail.com</t>
  </si>
  <si>
    <t>S9</t>
  </si>
  <si>
    <t>Pawan GS</t>
  </si>
  <si>
    <t>pawangs@gmail.com</t>
  </si>
  <si>
    <t>8106966338</t>
  </si>
  <si>
    <t>S10</t>
  </si>
  <si>
    <t>Mayfy</t>
  </si>
  <si>
    <t>S11</t>
  </si>
  <si>
    <t>Gowrish Patnaik</t>
  </si>
  <si>
    <t>gourish.patnaik@gmail.com</t>
  </si>
  <si>
    <t>S12</t>
  </si>
  <si>
    <t>Saovik Mondal</t>
  </si>
  <si>
    <t>saovikmondal@gmail.com</t>
  </si>
  <si>
    <t>S13</t>
  </si>
  <si>
    <t>srinivasa.sambana@gmail.com</t>
  </si>
  <si>
    <t>S14</t>
  </si>
  <si>
    <t>Nishant Upadhyay</t>
  </si>
  <si>
    <t>nishantupadhyayster@gmail.com</t>
  </si>
  <si>
    <t>08066784591</t>
  </si>
  <si>
    <t>S15</t>
  </si>
  <si>
    <t>Manas Dasgupta</t>
  </si>
  <si>
    <t>918105654642</t>
  </si>
  <si>
    <t>S16</t>
  </si>
  <si>
    <t>Devendra Singh Rawat</t>
  </si>
  <si>
    <t>devendrasinghrawat@gmail.com</t>
  </si>
  <si>
    <t>7899740830</t>
  </si>
  <si>
    <t>T1</t>
  </si>
  <si>
    <t>Prashant Sikdar</t>
  </si>
  <si>
    <t>fossil.rvce@gmail.com</t>
  </si>
  <si>
    <t>902833360</t>
  </si>
  <si>
    <t>T2</t>
  </si>
  <si>
    <t>Kunal Raj Mehta</t>
  </si>
  <si>
    <t>ryanmcbeal@gmail.com</t>
  </si>
  <si>
    <t>9731727374</t>
  </si>
  <si>
    <t>T3</t>
  </si>
  <si>
    <t>Kapil Garg</t>
  </si>
  <si>
    <t>kapil.garg82@gmail.com</t>
  </si>
  <si>
    <t>9886279722</t>
  </si>
  <si>
    <t>T4</t>
  </si>
  <si>
    <t>Vijet Alva</t>
  </si>
  <si>
    <t>vijetalva@gmail.com</t>
  </si>
  <si>
    <t>T5</t>
  </si>
  <si>
    <t>Ganesh Iyer</t>
  </si>
  <si>
    <t>giyer.ops@gmail.com</t>
  </si>
  <si>
    <t>402691638</t>
  </si>
  <si>
    <t>T6</t>
  </si>
  <si>
    <t>Mythili Ramesh</t>
  </si>
  <si>
    <t>myth.rmsh@gmail.com</t>
  </si>
  <si>
    <t>9845756755</t>
  </si>
  <si>
    <t>T7</t>
  </si>
  <si>
    <t>Vinyas Ramachandra</t>
  </si>
  <si>
    <t>vinyasr@gmail.com</t>
  </si>
  <si>
    <t>T8</t>
  </si>
  <si>
    <t>Lalit Kumar Sharma</t>
  </si>
  <si>
    <t>lalitsharma21@gmail.com</t>
  </si>
  <si>
    <t>9900159881</t>
  </si>
  <si>
    <t>T9</t>
  </si>
  <si>
    <t>Nishith Sahu</t>
  </si>
  <si>
    <t>nishsahu@gmail.com</t>
  </si>
  <si>
    <t>T10</t>
  </si>
  <si>
    <t>b.vamsidhar@gmail.com</t>
  </si>
  <si>
    <t>9900181705</t>
  </si>
  <si>
    <t>T11</t>
  </si>
  <si>
    <t>Vaishnavi Suthapalli</t>
  </si>
  <si>
    <t>suthapallivaishnavi@gmail.com</t>
  </si>
  <si>
    <t>9500130636</t>
  </si>
  <si>
    <t>T12</t>
  </si>
  <si>
    <t>Prasenjit</t>
  </si>
  <si>
    <t>shumonchaks@gmail.com</t>
  </si>
  <si>
    <t>T13</t>
  </si>
  <si>
    <t>Sonali Deokhule</t>
  </si>
  <si>
    <t>T14</t>
  </si>
  <si>
    <t>Jeya</t>
  </si>
  <si>
    <t>jayajeganathan@gmail.com</t>
  </si>
  <si>
    <t>9620007862</t>
  </si>
  <si>
    <t>T15</t>
  </si>
  <si>
    <t>Trevor</t>
  </si>
  <si>
    <t>9900237201</t>
  </si>
  <si>
    <t>T16</t>
  </si>
  <si>
    <t>Madhusoodanan P.R.</t>
  </si>
  <si>
    <t>madhusoodan.pr@gmail.com</t>
  </si>
  <si>
    <t>APR 2026 EXPENSES</t>
  </si>
  <si>
    <t>FLAT #</t>
  </si>
  <si>
    <t>WATER USED IN LTRS</t>
  </si>
  <si>
    <t>COMMON AREA WATER EQUALLY DIVIDED (L)</t>
  </si>
  <si>
    <t>TOTAL FRESH WATER CONSUMED(L)</t>
  </si>
  <si>
    <t>%OF TOTAL WATER USED</t>
  </si>
  <si>
    <t>WATER EXPENSE SHARING BY %</t>
  </si>
  <si>
    <t>#METERS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</si>
  <si>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</si>
  <si>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</si>
  <si>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</si>
  <si>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</si>
  <si>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</si>
  <si>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</si>
  <si>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</si>
  <si>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</si>
  <si>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</si>
  <si>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LATE PAYMENT FINE</t>
  </si>
  <si>
    <t>TOTAL EXPENSE TO BE PAID (Rs)</t>
  </si>
  <si>
    <t>LATE PAYMENT FINE REASON</t>
  </si>
  <si>
    <t>CH</t>
  </si>
  <si>
    <t>MPFOWA</t>
  </si>
  <si>
    <t>GYM</t>
  </si>
  <si>
    <t>TOTAL FIXED EXPENSE</t>
  </si>
  <si>
    <t>BSMT</t>
  </si>
  <si>
    <t>TOTAL WATER EXPENSE</t>
  </si>
  <si>
    <t>RENT PER METER (Rs)</t>
  </si>
  <si>
    <t>COMMON AREA METER RENT(Rs)</t>
  </si>
  <si>
    <t>COMMON AREA METER RENT/FLAT (Rs)</t>
  </si>
  <si>
    <t>BALANCE IN ACCOUNT ON 30-Apr-2023</t>
  </si>
  <si>
    <t>TOTAL NON MAINTENANCE CORPUS COLLECTION</t>
  </si>
  <si>
    <t>TOTAL FD DONE</t>
  </si>
  <si>
    <t>AMOUNT AVAILABLE FOR NON MAINTENANCE CORPUS IN CURRENT AC</t>
  </si>
  <si>
    <t>Pending vendor payments</t>
  </si>
  <si>
    <t>AMOUNT AVAILABLE FOR MAINTENANCE</t>
  </si>
  <si>
    <t>TOTAL EXPENSE FOR THE MONTH</t>
  </si>
  <si>
    <t>Maintenance deficit</t>
  </si>
  <si>
    <t>TOTAL</t>
  </si>
  <si>
    <t>Amount</t>
  </si>
  <si>
    <t>Date</t>
  </si>
  <si>
    <t>Total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</si>
  <si>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</si>
  <si>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</si>
  <si>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</si>
  <si>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</si>
  <si>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</si>
  <si>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</si>
  <si>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</si>
  <si>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</si>
  <si>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</si>
  <si>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</si>
  <si>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</si>
  <si>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</si>
  <si>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</si>
  <si>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</si>
  <si>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</si>
  <si>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</si>
  <si>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</si>
  <si>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</si>
  <si>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</si>
  <si>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</si>
  <si>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COMMON AREA EQUALLY DEVIDED</t>
  </si>
  <si>
    <t>TOTAL FRESH WATER CONSUMED</t>
  </si>
  <si>
    <t>%OF TOTAL USED</t>
  </si>
  <si>
    <t>METER RENT</t>
  </si>
  <si>
    <t>VARIABLE EXPENSE = COMMON AREA METER RENT + WATER EXPENSE+ FLAT METER RENT</t>
  </si>
  <si>
    <t>FIXED EXPENSE SHARE</t>
  </si>
  <si>
    <t>PARKING FEE</t>
  </si>
  <si>
    <t>CLUB HOUSE BOOKING</t>
  </si>
  <si>
    <t>SHIFTING FEE</t>
  </si>
  <si>
    <t>GYM USAGE FEE</t>
  </si>
  <si>
    <t>ANNUAL MEMBERSHIP FEE</t>
  </si>
  <si>
    <t>TOTAL EXPENSE TO BE PAID</t>
  </si>
  <si>
    <t>RENT PER METER</t>
  </si>
  <si>
    <t>COMMON AREA METER RENT</t>
  </si>
  <si>
    <t>COMMON AREA METER RENT/FLAT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</si>
  <si>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</si>
  <si>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</si>
  <si>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</si>
  <si>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</si>
  <si>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</si>
  <si>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</si>
  <si>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</si>
  <si>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</si>
  <si>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</si>
  <si>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</si>
  <si>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</si>
  <si>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</si>
  <si>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</si>
  <si>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</si>
  <si>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</si>
  <si>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</si>
  <si>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</si>
  <si>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</si>
  <si>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</si>
  <si>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</si>
  <si>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JUN 2026 EXPENSES</t>
  </si>
  <si>
    <t>CLUB BOOKING FEE</t>
  </si>
  <si>
    <t>POLYCARBONATE PROJECT CANCELLATION CREDIT AMOUNT</t>
  </si>
  <si>
    <t>Missed</t>
  </si>
  <si>
    <t>BALANCE IN ACCOUNT ON 30-JUN-2023</t>
  </si>
  <si>
    <t>AMOUNT AVAILABLE FOR NON MAINTENANCE CORPUS</t>
  </si>
  <si>
    <t>16-Jun-26</t>
  </si>
  <si>
    <t>17-Jun-26</t>
  </si>
  <si>
    <t>1-Jun-26</t>
  </si>
  <si>
    <t>13-Jun-26</t>
  </si>
  <si>
    <t>30-Jun-26</t>
  </si>
  <si>
    <t>15-Jun-26</t>
  </si>
  <si>
    <t>29-Jun-26</t>
  </si>
  <si>
    <t>11-Jun-26</t>
  </si>
  <si>
    <t>2-Jun-26</t>
  </si>
  <si>
    <t>12-Jun-26</t>
  </si>
  <si>
    <t>24-Jun-26</t>
  </si>
  <si>
    <t>6-Jun-26</t>
  </si>
  <si>
    <t>23-Jun-26</t>
  </si>
  <si>
    <t>18-Jun-26</t>
  </si>
  <si>
    <t>14-Jun-26</t>
  </si>
  <si>
    <t>20-Jun-26</t>
  </si>
  <si>
    <t>28-Jun-26</t>
  </si>
  <si>
    <t>21-Jun-26</t>
  </si>
  <si>
    <t>JUL 2026 EXPENSES</t>
  </si>
  <si>
    <t>BALANCE IN ACCOUNT ON 31-JULY-2023</t>
  </si>
  <si>
    <t>15-Jul-26</t>
  </si>
  <si>
    <t>1-Jul-26</t>
  </si>
  <si>
    <t>9-Jul-26</t>
  </si>
  <si>
    <t>10-Jul-26</t>
  </si>
  <si>
    <t>6-Jul-26</t>
  </si>
  <si>
    <t>31-Jul-26</t>
  </si>
  <si>
    <t>8-Jul-26</t>
  </si>
  <si>
    <t>5-Jul-26</t>
  </si>
  <si>
    <t>3-Jul-26</t>
  </si>
  <si>
    <t>24-Jul-26</t>
  </si>
  <si>
    <t>12-Jul-26</t>
  </si>
  <si>
    <t>20-Jul-26</t>
  </si>
  <si>
    <t>19-Jul-26</t>
  </si>
  <si>
    <t>7-Jul-26</t>
  </si>
  <si>
    <t>11-Jul-26</t>
  </si>
  <si>
    <t>21-Jul-26</t>
  </si>
  <si>
    <t>16-Jul-26</t>
  </si>
  <si>
    <t>4-Jul-26</t>
  </si>
  <si>
    <t>2-Jul-26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</si>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</sst>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1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  <font>
      <u/>
      <sz val="11"/>
      <color theme="1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13"/>
    <xf numFmtId="0" fontId="7" fillId="0" borderId="13"/>
    <xf numFmtId="0" fontId="20" fillId="0" borderId="13"/>
  </cellStyleXfs>
  <cellXfs count="111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3" fontId="15" fillId="5" borderId="22" xfId="0" applyNumberFormat="1" applyFont="1" applyFill="1" applyBorder="1" applyAlignment="1">
      <alignment horizontal="center" vertical="center"/>
    </xf>
    <xf numFmtId="0" fontId="0" fillId="0" borderId="13" xfId="0"/>
    <xf numFmtId="0" fontId="20" fillId="5" borderId="22" xfId="2" applyFill="1" applyBorder="1" applyAlignment="1">
      <alignment horizontal="left" vertical="center" wrapText="1"/>
    </xf>
    <xf numFmtId="4" fontId="11" fillId="6" borderId="3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1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170" fontId="13" fillId="6" borderId="3" xfId="0" applyNumberFormat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401806</c:v>
                </c:pt>
                <c:pt idx="3">
                  <c:v>393925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7-4F11-9176-11940719F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.pharmaplus@gmail.com" TargetMode="External"/><Relationship Id="rId2" Type="http://schemas.openxmlformats.org/officeDocument/2006/relationships/hyperlink" Target="mailto:er.digvijay.verma@gmail.com" TargetMode="External"/><Relationship Id="rId1" Type="http://schemas.openxmlformats.org/officeDocument/2006/relationships/hyperlink" Target="mailto:ruhi.agrawal321@gmail.com" TargetMode="External"/><Relationship Id="rId4" Type="http://schemas.openxmlformats.org/officeDocument/2006/relationships/hyperlink" Target="mailto:richasingh.kaharwar@gmail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pane ySplit="1" topLeftCell="A2" activePane="bottomLeft" state="frozen"/>
      <selection pane="bottomLeft" activeCell="P14" sqref="P14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/>
      <c r="F1" s="14" t="s">
        <v>4</v>
      </c>
      <c r="G1" s="14" t="s">
        <v>5</v>
      </c>
      <c r="H1" s="14" t="s">
        <v>6</v>
      </c>
    </row>
    <row r="2" spans="1:8" x14ac:dyDescent="0.25">
      <c r="A2" s="15" t="s">
        <v>7</v>
      </c>
      <c r="B2" s="15" t="s">
        <v>8</v>
      </c>
      <c r="C2" s="15" t="s">
        <v>9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10</v>
      </c>
      <c r="B3" s="16" t="s">
        <v>11</v>
      </c>
      <c r="C3" s="16" t="s">
        <v>12</v>
      </c>
      <c r="D3" s="16"/>
      <c r="E3" s="16"/>
      <c r="F3" s="16"/>
      <c r="G3" s="16"/>
      <c r="H3" s="16"/>
    </row>
    <row r="4" spans="1:8" x14ac:dyDescent="0.25">
      <c r="A4" s="15" t="s">
        <v>13</v>
      </c>
      <c r="B4" s="15" t="s">
        <v>14</v>
      </c>
      <c r="C4" s="15" t="s">
        <v>15</v>
      </c>
      <c r="D4" s="15" t="s">
        <v>16</v>
      </c>
      <c r="E4" s="15"/>
      <c r="F4" s="15"/>
      <c r="G4" s="15"/>
      <c r="H4" s="15"/>
    </row>
    <row r="5" spans="1:8" x14ac:dyDescent="0.25">
      <c r="A5" s="16" t="s">
        <v>17</v>
      </c>
      <c r="B5" s="16" t="s">
        <v>18</v>
      </c>
      <c r="C5" s="16" t="s">
        <v>19</v>
      </c>
      <c r="D5" s="16"/>
      <c r="E5" s="16"/>
      <c r="F5" s="16"/>
      <c r="G5" s="16"/>
      <c r="H5" s="16"/>
    </row>
    <row r="6" spans="1:8" ht="25.5" customHeight="1" x14ac:dyDescent="0.25">
      <c r="A6" s="15" t="s">
        <v>20</v>
      </c>
      <c r="B6" s="15" t="s">
        <v>21</v>
      </c>
      <c r="C6" s="15"/>
      <c r="D6" s="15"/>
      <c r="E6" s="15"/>
      <c r="F6" s="15"/>
      <c r="G6" s="15"/>
      <c r="H6" s="15"/>
    </row>
    <row r="7" spans="1:8" x14ac:dyDescent="0.25">
      <c r="A7" s="16" t="s">
        <v>22</v>
      </c>
      <c r="B7" s="16" t="s">
        <v>23</v>
      </c>
      <c r="C7" s="16" t="s">
        <v>24</v>
      </c>
      <c r="D7" s="16"/>
      <c r="E7" s="16"/>
      <c r="F7" s="16"/>
      <c r="G7" s="16"/>
      <c r="H7" s="16"/>
    </row>
    <row r="8" spans="1:8" x14ac:dyDescent="0.25">
      <c r="A8" s="15" t="s">
        <v>25</v>
      </c>
      <c r="B8" s="15" t="s">
        <v>26</v>
      </c>
      <c r="C8" s="15" t="s">
        <v>27</v>
      </c>
      <c r="D8" s="15"/>
      <c r="E8" s="15"/>
      <c r="F8" s="15"/>
      <c r="G8" s="15"/>
      <c r="H8" s="15"/>
    </row>
    <row r="9" spans="1:8" x14ac:dyDescent="0.25">
      <c r="A9" s="16" t="s">
        <v>28</v>
      </c>
      <c r="B9" s="16" t="s">
        <v>29</v>
      </c>
      <c r="C9" s="15" t="s">
        <v>30</v>
      </c>
      <c r="D9" s="16"/>
      <c r="E9" s="16"/>
      <c r="F9" s="16"/>
      <c r="G9" s="16"/>
      <c r="H9" s="16"/>
    </row>
    <row r="10" spans="1:8" x14ac:dyDescent="0.25">
      <c r="A10" s="15" t="s">
        <v>31</v>
      </c>
      <c r="B10" s="15" t="s">
        <v>32</v>
      </c>
      <c r="C10" s="15" t="s">
        <v>33</v>
      </c>
      <c r="D10" s="15" t="s">
        <v>34</v>
      </c>
      <c r="E10" s="15"/>
      <c r="F10" s="15"/>
      <c r="G10" s="15"/>
      <c r="H10" s="15"/>
    </row>
    <row r="11" spans="1:8" x14ac:dyDescent="0.25">
      <c r="A11" s="16" t="s">
        <v>35</v>
      </c>
      <c r="B11" s="16" t="s">
        <v>36</v>
      </c>
      <c r="C11" s="16" t="s">
        <v>37</v>
      </c>
      <c r="D11" s="16" t="s">
        <v>38</v>
      </c>
      <c r="E11" s="16"/>
      <c r="F11" s="16"/>
      <c r="G11" s="16"/>
      <c r="H11" s="16"/>
    </row>
    <row r="12" spans="1:8" x14ac:dyDescent="0.25">
      <c r="A12" s="15" t="s">
        <v>39</v>
      </c>
      <c r="B12" s="15" t="s">
        <v>18</v>
      </c>
      <c r="C12" s="15"/>
      <c r="D12" s="15"/>
      <c r="E12" s="15"/>
      <c r="F12" s="15"/>
      <c r="G12" s="15"/>
      <c r="H12" s="15"/>
    </row>
    <row r="13" spans="1:8" x14ac:dyDescent="0.25">
      <c r="A13" s="16" t="s">
        <v>40</v>
      </c>
      <c r="B13" s="16" t="s">
        <v>41</v>
      </c>
      <c r="C13" s="16" t="s">
        <v>42</v>
      </c>
      <c r="D13" s="16" t="s">
        <v>43</v>
      </c>
      <c r="E13" s="16"/>
      <c r="F13" s="16"/>
      <c r="G13" s="16"/>
      <c r="H13" s="16"/>
    </row>
    <row r="14" spans="1:8" x14ac:dyDescent="0.25">
      <c r="A14" s="15" t="s">
        <v>44</v>
      </c>
      <c r="B14" s="15" t="s">
        <v>45</v>
      </c>
      <c r="C14" s="15"/>
      <c r="D14" s="15"/>
      <c r="E14" s="15"/>
      <c r="F14" s="15"/>
      <c r="G14" s="15"/>
      <c r="H14" s="15"/>
    </row>
    <row r="15" spans="1:8" x14ac:dyDescent="0.25">
      <c r="A15" s="16" t="s">
        <v>46</v>
      </c>
      <c r="B15" s="16" t="s">
        <v>47</v>
      </c>
      <c r="C15" s="16" t="s">
        <v>48</v>
      </c>
      <c r="D15" s="16" t="s">
        <v>49</v>
      </c>
      <c r="E15" s="16"/>
      <c r="F15" s="16"/>
      <c r="G15" s="16"/>
      <c r="H15" s="16"/>
    </row>
    <row r="16" spans="1:8" x14ac:dyDescent="0.25">
      <c r="A16" s="15" t="s">
        <v>50</v>
      </c>
      <c r="B16" s="15" t="s">
        <v>51</v>
      </c>
      <c r="C16" s="15" t="s">
        <v>52</v>
      </c>
      <c r="D16" s="15" t="s">
        <v>53</v>
      </c>
      <c r="E16" s="15"/>
      <c r="F16" s="15"/>
      <c r="G16" s="15"/>
      <c r="H16" s="15"/>
    </row>
    <row r="17" spans="1:8" x14ac:dyDescent="0.25">
      <c r="A17" s="16" t="s">
        <v>54</v>
      </c>
      <c r="B17" s="16" t="s">
        <v>55</v>
      </c>
      <c r="C17" s="16" t="s">
        <v>56</v>
      </c>
      <c r="D17" s="16"/>
      <c r="E17" s="16"/>
      <c r="F17" s="16"/>
      <c r="G17" s="16"/>
      <c r="H17" s="16"/>
    </row>
    <row r="18" spans="1:8" x14ac:dyDescent="0.25">
      <c r="A18" s="15" t="s">
        <v>57</v>
      </c>
      <c r="B18" s="15" t="s">
        <v>58</v>
      </c>
      <c r="C18" s="86" t="s">
        <v>59</v>
      </c>
      <c r="D18" s="15">
        <v>9999574838</v>
      </c>
      <c r="E18" s="15"/>
      <c r="F18" s="15"/>
      <c r="G18" s="15"/>
      <c r="H18" s="15"/>
    </row>
    <row r="19" spans="1:8" x14ac:dyDescent="0.25">
      <c r="A19" s="16" t="s">
        <v>60</v>
      </c>
      <c r="B19" s="16" t="s">
        <v>61</v>
      </c>
      <c r="C19" s="16"/>
      <c r="D19" s="16"/>
      <c r="E19" s="16"/>
      <c r="F19" s="16"/>
      <c r="G19" s="16"/>
      <c r="H19" s="16"/>
    </row>
    <row r="20" spans="1:8" x14ac:dyDescent="0.25">
      <c r="A20" s="15" t="s">
        <v>62</v>
      </c>
      <c r="B20" s="15" t="s">
        <v>63</v>
      </c>
      <c r="C20" s="15" t="s">
        <v>64</v>
      </c>
      <c r="D20" s="15"/>
      <c r="E20" s="15"/>
      <c r="F20" s="15"/>
      <c r="G20" s="15"/>
      <c r="H20" s="15"/>
    </row>
    <row r="21" spans="1:8" x14ac:dyDescent="0.25">
      <c r="A21" s="16" t="s">
        <v>65</v>
      </c>
      <c r="B21" s="16" t="s">
        <v>66</v>
      </c>
      <c r="C21" s="16" t="s">
        <v>67</v>
      </c>
      <c r="D21" s="16"/>
      <c r="E21" s="16"/>
      <c r="F21" s="16"/>
      <c r="G21" s="16"/>
      <c r="H21" s="16"/>
    </row>
    <row r="22" spans="1:8" x14ac:dyDescent="0.25">
      <c r="A22" s="15" t="s">
        <v>68</v>
      </c>
      <c r="B22" s="15" t="s">
        <v>69</v>
      </c>
      <c r="C22" s="15"/>
      <c r="D22" s="15"/>
      <c r="E22" s="15"/>
      <c r="F22" s="15"/>
      <c r="G22" s="15"/>
      <c r="H22" s="15"/>
    </row>
    <row r="23" spans="1:8" x14ac:dyDescent="0.25">
      <c r="A23" s="16" t="s">
        <v>70</v>
      </c>
      <c r="B23" s="16" t="s">
        <v>71</v>
      </c>
      <c r="C23" s="16"/>
      <c r="D23" s="16" t="s">
        <v>72</v>
      </c>
      <c r="E23" s="16"/>
      <c r="F23" s="16"/>
      <c r="G23" s="16"/>
      <c r="H23" s="16"/>
    </row>
    <row r="24" spans="1:8" x14ac:dyDescent="0.25">
      <c r="A24" s="15" t="s">
        <v>73</v>
      </c>
      <c r="B24" s="15" t="s">
        <v>74</v>
      </c>
      <c r="C24" s="15" t="s">
        <v>75</v>
      </c>
      <c r="D24" s="15" t="s">
        <v>76</v>
      </c>
      <c r="E24" s="15"/>
      <c r="F24" s="15"/>
      <c r="G24" s="15"/>
      <c r="H24" s="15"/>
    </row>
    <row r="25" spans="1:8" x14ac:dyDescent="0.25">
      <c r="A25" s="16" t="s">
        <v>77</v>
      </c>
      <c r="B25" s="16" t="s">
        <v>78</v>
      </c>
      <c r="C25" s="15" t="s">
        <v>79</v>
      </c>
      <c r="D25" s="16"/>
      <c r="E25" s="16"/>
      <c r="F25" s="16"/>
      <c r="G25" s="16"/>
      <c r="H25" s="16"/>
    </row>
    <row r="26" spans="1:8" x14ac:dyDescent="0.25">
      <c r="A26" s="15" t="s">
        <v>80</v>
      </c>
      <c r="B26" s="15" t="s">
        <v>81</v>
      </c>
      <c r="C26" s="15" t="s">
        <v>82</v>
      </c>
      <c r="D26" s="15"/>
      <c r="E26" s="15"/>
      <c r="F26" s="15"/>
      <c r="G26" s="15"/>
      <c r="H26" s="15"/>
    </row>
    <row r="27" spans="1:8" x14ac:dyDescent="0.25">
      <c r="A27" s="16" t="s">
        <v>83</v>
      </c>
      <c r="B27" s="16" t="s">
        <v>84</v>
      </c>
      <c r="C27" s="15" t="s">
        <v>85</v>
      </c>
      <c r="D27" s="16" t="s">
        <v>86</v>
      </c>
      <c r="E27" s="16"/>
      <c r="F27" s="16"/>
      <c r="G27" s="16"/>
      <c r="H27" s="16"/>
    </row>
    <row r="28" spans="1:8" x14ac:dyDescent="0.25">
      <c r="A28" s="15" t="s">
        <v>87</v>
      </c>
      <c r="B28" s="15" t="s">
        <v>88</v>
      </c>
      <c r="C28" s="15" t="s">
        <v>89</v>
      </c>
      <c r="D28" s="15" t="s">
        <v>90</v>
      </c>
      <c r="E28" s="15"/>
      <c r="F28" s="15"/>
      <c r="G28" s="15"/>
      <c r="H28" s="15"/>
    </row>
    <row r="29" spans="1:8" x14ac:dyDescent="0.25">
      <c r="A29" s="16" t="s">
        <v>91</v>
      </c>
      <c r="B29" s="16" t="s">
        <v>92</v>
      </c>
      <c r="C29" s="16" t="s">
        <v>93</v>
      </c>
      <c r="D29" s="16" t="s">
        <v>94</v>
      </c>
      <c r="E29" s="16"/>
      <c r="F29" s="16"/>
      <c r="G29" s="16"/>
      <c r="H29" s="16"/>
    </row>
    <row r="30" spans="1:8" x14ac:dyDescent="0.25">
      <c r="A30" s="15" t="s">
        <v>95</v>
      </c>
      <c r="B30" s="15" t="s">
        <v>96</v>
      </c>
      <c r="C30" s="15" t="s">
        <v>97</v>
      </c>
      <c r="D30" s="15"/>
      <c r="E30" s="15"/>
      <c r="F30" s="15"/>
      <c r="G30" s="15"/>
      <c r="H30" s="15"/>
    </row>
    <row r="31" spans="1:8" x14ac:dyDescent="0.25">
      <c r="A31" s="16" t="s">
        <v>98</v>
      </c>
      <c r="B31" s="16" t="s">
        <v>99</v>
      </c>
      <c r="C31" s="16" t="s">
        <v>100</v>
      </c>
      <c r="D31" s="16" t="s">
        <v>101</v>
      </c>
      <c r="E31" s="16"/>
      <c r="F31" s="16"/>
      <c r="G31" s="16"/>
      <c r="H31" s="16"/>
    </row>
    <row r="32" spans="1:8" x14ac:dyDescent="0.25">
      <c r="A32" s="15" t="s">
        <v>102</v>
      </c>
      <c r="B32" s="15" t="s">
        <v>103</v>
      </c>
      <c r="C32" s="15" t="s">
        <v>104</v>
      </c>
      <c r="D32" s="15"/>
      <c r="E32" s="15"/>
      <c r="F32" s="15"/>
      <c r="G32" s="15"/>
      <c r="H32" s="15"/>
    </row>
    <row r="33" spans="1:8" x14ac:dyDescent="0.25">
      <c r="A33" s="16" t="s">
        <v>105</v>
      </c>
      <c r="B33" s="16" t="s">
        <v>106</v>
      </c>
      <c r="C33" s="16" t="s">
        <v>107</v>
      </c>
      <c r="D33" s="16" t="s">
        <v>108</v>
      </c>
      <c r="E33" s="16"/>
      <c r="F33" s="16"/>
      <c r="G33" s="16"/>
      <c r="H33" s="16"/>
    </row>
    <row r="34" spans="1:8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/>
      <c r="F34" s="15"/>
      <c r="G34" s="15"/>
      <c r="H34" s="15"/>
    </row>
    <row r="35" spans="1:8" x14ac:dyDescent="0.25">
      <c r="A35" s="16" t="s">
        <v>113</v>
      </c>
      <c r="B35" s="16" t="s">
        <v>114</v>
      </c>
      <c r="C35" s="16" t="s">
        <v>115</v>
      </c>
      <c r="D35" s="16"/>
      <c r="E35" s="16"/>
      <c r="F35" s="16"/>
      <c r="G35" s="16"/>
      <c r="H35" s="16"/>
    </row>
    <row r="36" spans="1:8" x14ac:dyDescent="0.25">
      <c r="A36" s="15" t="s">
        <v>116</v>
      </c>
      <c r="B36" s="15" t="s">
        <v>117</v>
      </c>
      <c r="C36" s="15"/>
      <c r="D36" s="15"/>
      <c r="E36" s="15"/>
      <c r="F36" s="15"/>
      <c r="G36" s="15"/>
      <c r="H36" s="15"/>
    </row>
    <row r="37" spans="1:8" x14ac:dyDescent="0.25">
      <c r="A37" s="16" t="s">
        <v>118</v>
      </c>
      <c r="B37" s="16" t="s">
        <v>119</v>
      </c>
      <c r="C37" s="16" t="s">
        <v>120</v>
      </c>
      <c r="D37" s="16"/>
      <c r="E37" s="16"/>
      <c r="F37" s="16"/>
      <c r="G37" s="16"/>
      <c r="H37" s="16"/>
    </row>
    <row r="38" spans="1:8" ht="25.5" customHeight="1" x14ac:dyDescent="0.25">
      <c r="A38" s="15" t="s">
        <v>121</v>
      </c>
      <c r="B38" s="15" t="s">
        <v>122</v>
      </c>
      <c r="C38" s="15" t="s">
        <v>123</v>
      </c>
      <c r="D38" s="15" t="s">
        <v>124</v>
      </c>
      <c r="E38" s="15"/>
      <c r="F38" s="15"/>
      <c r="G38" s="15"/>
      <c r="H38" s="15"/>
    </row>
    <row r="39" spans="1:8" x14ac:dyDescent="0.25">
      <c r="A39" s="16" t="s">
        <v>125</v>
      </c>
      <c r="B39" s="16" t="s">
        <v>126</v>
      </c>
      <c r="C39" s="16" t="s">
        <v>127</v>
      </c>
      <c r="D39" s="16"/>
      <c r="E39" s="16"/>
      <c r="F39" s="16"/>
      <c r="G39" s="16"/>
      <c r="H39" s="16"/>
    </row>
    <row r="40" spans="1:8" x14ac:dyDescent="0.25">
      <c r="A40" s="15" t="s">
        <v>128</v>
      </c>
      <c r="B40" s="15" t="s">
        <v>129</v>
      </c>
      <c r="C40" s="15" t="s">
        <v>130</v>
      </c>
      <c r="D40" s="15" t="s">
        <v>131</v>
      </c>
      <c r="E40" s="15"/>
      <c r="F40" s="15"/>
      <c r="G40" s="15"/>
      <c r="H40" s="15"/>
    </row>
    <row r="41" spans="1:8" x14ac:dyDescent="0.25">
      <c r="A41" s="16" t="s">
        <v>132</v>
      </c>
      <c r="B41" s="16" t="s">
        <v>133</v>
      </c>
      <c r="C41" s="16" t="s">
        <v>134</v>
      </c>
      <c r="D41" s="16"/>
      <c r="E41" s="16"/>
      <c r="F41" s="16"/>
      <c r="G41" s="16"/>
      <c r="H41" s="16"/>
    </row>
    <row r="42" spans="1:8" x14ac:dyDescent="0.25">
      <c r="A42" s="15" t="s">
        <v>135</v>
      </c>
      <c r="B42" s="15" t="s">
        <v>136</v>
      </c>
      <c r="C42" s="15" t="s">
        <v>137</v>
      </c>
      <c r="D42" s="15" t="s">
        <v>138</v>
      </c>
      <c r="E42" s="15"/>
      <c r="F42" s="15"/>
      <c r="G42" s="15"/>
      <c r="H42" s="15"/>
    </row>
    <row r="43" spans="1:8" x14ac:dyDescent="0.25">
      <c r="A43" s="16" t="s">
        <v>139</v>
      </c>
      <c r="B43" s="16" t="s">
        <v>140</v>
      </c>
      <c r="C43" s="16"/>
      <c r="D43" s="16"/>
      <c r="E43" s="16"/>
      <c r="F43" s="16"/>
      <c r="G43" s="16"/>
      <c r="H43" s="16"/>
    </row>
    <row r="44" spans="1:8" x14ac:dyDescent="0.25">
      <c r="A44" s="15" t="s">
        <v>141</v>
      </c>
      <c r="B44" s="15" t="s">
        <v>142</v>
      </c>
      <c r="C44" s="15" t="s">
        <v>143</v>
      </c>
      <c r="D44" s="15"/>
      <c r="E44" s="15"/>
      <c r="F44" s="15"/>
      <c r="G44" s="15"/>
      <c r="H44" s="15"/>
    </row>
    <row r="45" spans="1:8" x14ac:dyDescent="0.25">
      <c r="A45" s="16" t="s">
        <v>144</v>
      </c>
      <c r="B45" s="16" t="s">
        <v>145</v>
      </c>
      <c r="C45" s="16" t="s">
        <v>146</v>
      </c>
      <c r="D45" s="16"/>
      <c r="E45" s="16"/>
      <c r="F45" s="16"/>
      <c r="G45" s="16"/>
      <c r="H45" s="16"/>
    </row>
    <row r="46" spans="1:8" x14ac:dyDescent="0.25">
      <c r="A46" s="15" t="s">
        <v>147</v>
      </c>
      <c r="B46" s="15" t="s">
        <v>45</v>
      </c>
      <c r="C46" s="15" t="s">
        <v>148</v>
      </c>
      <c r="D46" s="15"/>
      <c r="E46" s="15"/>
      <c r="F46" s="15"/>
      <c r="G46" s="15"/>
      <c r="H46" s="15"/>
    </row>
    <row r="47" spans="1:8" x14ac:dyDescent="0.25">
      <c r="A47" s="16" t="s">
        <v>149</v>
      </c>
      <c r="B47" s="16" t="s">
        <v>150</v>
      </c>
      <c r="C47" s="16" t="s">
        <v>151</v>
      </c>
      <c r="D47" s="16" t="s">
        <v>152</v>
      </c>
      <c r="E47" s="16"/>
      <c r="F47" s="16"/>
      <c r="G47" s="16"/>
      <c r="H47" s="16"/>
    </row>
    <row r="48" spans="1:8" x14ac:dyDescent="0.25">
      <c r="A48" s="15" t="s">
        <v>153</v>
      </c>
      <c r="B48" s="15" t="s">
        <v>154</v>
      </c>
      <c r="C48" s="15"/>
      <c r="D48" s="15" t="s">
        <v>155</v>
      </c>
      <c r="E48" s="15"/>
      <c r="F48" s="15"/>
      <c r="G48" s="15"/>
      <c r="H48" s="15"/>
    </row>
    <row r="49" spans="1:8" x14ac:dyDescent="0.25">
      <c r="A49" s="16" t="s">
        <v>156</v>
      </c>
      <c r="B49" s="16" t="s">
        <v>157</v>
      </c>
      <c r="C49" s="16" t="s">
        <v>158</v>
      </c>
      <c r="D49" s="16" t="s">
        <v>159</v>
      </c>
      <c r="E49" s="16"/>
      <c r="F49" s="16"/>
      <c r="G49" s="16"/>
      <c r="H49" s="16"/>
    </row>
    <row r="50" spans="1:8" x14ac:dyDescent="0.25">
      <c r="A50" s="15" t="s">
        <v>160</v>
      </c>
      <c r="B50" s="15" t="s">
        <v>161</v>
      </c>
      <c r="C50" s="15" t="s">
        <v>162</v>
      </c>
      <c r="D50" s="15" t="s">
        <v>163</v>
      </c>
      <c r="E50" s="15"/>
      <c r="F50" s="15"/>
      <c r="G50" s="15"/>
      <c r="H50" s="15"/>
    </row>
    <row r="51" spans="1:8" x14ac:dyDescent="0.25">
      <c r="A51" s="16" t="s">
        <v>164</v>
      </c>
      <c r="B51" s="16" t="s">
        <v>165</v>
      </c>
      <c r="C51" s="16" t="s">
        <v>166</v>
      </c>
      <c r="D51" s="16" t="s">
        <v>167</v>
      </c>
      <c r="E51" s="16"/>
      <c r="F51" s="16"/>
      <c r="G51" s="16"/>
      <c r="H51" s="16"/>
    </row>
    <row r="52" spans="1:8" x14ac:dyDescent="0.25">
      <c r="A52" s="15" t="s">
        <v>168</v>
      </c>
      <c r="B52" s="15" t="s">
        <v>169</v>
      </c>
      <c r="C52" s="15" t="s">
        <v>170</v>
      </c>
      <c r="D52" s="15" t="s">
        <v>171</v>
      </c>
      <c r="E52" s="15"/>
      <c r="F52" s="15"/>
      <c r="G52" s="15"/>
      <c r="H52" s="15"/>
    </row>
    <row r="53" spans="1:8" x14ac:dyDescent="0.25">
      <c r="A53" s="16" t="s">
        <v>172</v>
      </c>
      <c r="B53" s="16" t="s">
        <v>173</v>
      </c>
      <c r="C53" s="16" t="s">
        <v>174</v>
      </c>
      <c r="D53" s="16"/>
      <c r="E53" s="16"/>
      <c r="F53" s="16"/>
      <c r="G53" s="16"/>
      <c r="H53" s="16"/>
    </row>
    <row r="54" spans="1:8" x14ac:dyDescent="0.25">
      <c r="A54" s="15" t="s">
        <v>175</v>
      </c>
      <c r="B54" s="15" t="s">
        <v>176</v>
      </c>
      <c r="C54" s="15" t="s">
        <v>177</v>
      </c>
      <c r="D54" s="15" t="s">
        <v>178</v>
      </c>
      <c r="E54" s="15"/>
      <c r="F54" s="15"/>
      <c r="G54" s="15"/>
      <c r="H54" s="15"/>
    </row>
    <row r="55" spans="1:8" x14ac:dyDescent="0.25">
      <c r="A55" s="16" t="s">
        <v>179</v>
      </c>
      <c r="B55" s="16" t="s">
        <v>180</v>
      </c>
      <c r="C55" s="16" t="s">
        <v>181</v>
      </c>
      <c r="D55" s="16" t="s">
        <v>182</v>
      </c>
      <c r="E55" s="16"/>
      <c r="F55" s="16"/>
      <c r="G55" s="16"/>
      <c r="H55" s="16"/>
    </row>
    <row r="56" spans="1:8" x14ac:dyDescent="0.25">
      <c r="A56" s="15" t="s">
        <v>183</v>
      </c>
      <c r="B56" s="15" t="s">
        <v>184</v>
      </c>
      <c r="C56" s="15" t="s">
        <v>185</v>
      </c>
      <c r="D56" s="15"/>
      <c r="E56" s="15"/>
      <c r="F56" s="15"/>
      <c r="G56" s="15"/>
      <c r="H56" s="15"/>
    </row>
    <row r="57" spans="1:8" x14ac:dyDescent="0.25">
      <c r="A57" s="16" t="s">
        <v>186</v>
      </c>
      <c r="B57" s="16" t="s">
        <v>187</v>
      </c>
      <c r="C57" s="16" t="s">
        <v>188</v>
      </c>
      <c r="D57" s="16" t="s">
        <v>189</v>
      </c>
      <c r="E57" s="16"/>
      <c r="F57" s="16"/>
      <c r="G57" s="16"/>
      <c r="H57" s="16"/>
    </row>
    <row r="58" spans="1:8" x14ac:dyDescent="0.25">
      <c r="A58" s="15" t="s">
        <v>190</v>
      </c>
      <c r="B58" s="15" t="s">
        <v>191</v>
      </c>
      <c r="C58" s="15" t="s">
        <v>192</v>
      </c>
      <c r="D58" s="15"/>
      <c r="E58" s="15"/>
      <c r="F58" s="15"/>
      <c r="G58" s="15"/>
      <c r="H58" s="15"/>
    </row>
    <row r="59" spans="1:8" ht="25.5" customHeight="1" x14ac:dyDescent="0.25">
      <c r="A59" s="16" t="s">
        <v>193</v>
      </c>
      <c r="B59" s="16" t="s">
        <v>21</v>
      </c>
      <c r="C59" s="16" t="s">
        <v>194</v>
      </c>
      <c r="D59" s="16" t="s">
        <v>195</v>
      </c>
      <c r="E59" s="16"/>
      <c r="F59" s="16"/>
      <c r="G59" s="16"/>
      <c r="H59" s="16"/>
    </row>
    <row r="60" spans="1:8" x14ac:dyDescent="0.25">
      <c r="A60" s="15" t="s">
        <v>196</v>
      </c>
      <c r="B60" s="15" t="s">
        <v>197</v>
      </c>
      <c r="C60" s="15" t="s">
        <v>198</v>
      </c>
      <c r="D60" s="15" t="s">
        <v>199</v>
      </c>
      <c r="E60" s="15"/>
      <c r="F60" s="15"/>
      <c r="G60" s="15"/>
      <c r="H60" s="15"/>
    </row>
    <row r="61" spans="1:8" x14ac:dyDescent="0.25">
      <c r="A61" s="16" t="s">
        <v>200</v>
      </c>
      <c r="B61" s="16" t="s">
        <v>201</v>
      </c>
      <c r="C61" s="16" t="s">
        <v>202</v>
      </c>
      <c r="D61" s="16"/>
      <c r="E61" s="16"/>
      <c r="F61" s="16"/>
      <c r="G61" s="16"/>
      <c r="H61" s="16"/>
    </row>
    <row r="62" spans="1:8" x14ac:dyDescent="0.25">
      <c r="A62" s="15" t="s">
        <v>203</v>
      </c>
      <c r="B62" s="15" t="s">
        <v>204</v>
      </c>
      <c r="C62" s="15"/>
      <c r="D62" s="15"/>
      <c r="E62" s="15"/>
      <c r="F62" s="15"/>
      <c r="G62" s="15"/>
      <c r="H62" s="15"/>
    </row>
    <row r="63" spans="1:8" x14ac:dyDescent="0.25">
      <c r="A63" s="16" t="s">
        <v>205</v>
      </c>
      <c r="B63" s="16" t="s">
        <v>206</v>
      </c>
      <c r="C63" s="16" t="s">
        <v>207</v>
      </c>
      <c r="D63" s="16" t="s">
        <v>208</v>
      </c>
      <c r="E63" s="16"/>
      <c r="F63" s="16"/>
      <c r="G63" s="16"/>
      <c r="H63" s="16"/>
    </row>
    <row r="64" spans="1:8" x14ac:dyDescent="0.25">
      <c r="A64" s="15" t="s">
        <v>209</v>
      </c>
      <c r="B64" s="15" t="s">
        <v>210</v>
      </c>
      <c r="C64" s="15"/>
      <c r="D64" s="15" t="s">
        <v>211</v>
      </c>
      <c r="E64" s="15"/>
      <c r="F64" s="15"/>
      <c r="G64" s="15"/>
      <c r="H64" s="15"/>
    </row>
    <row r="65" spans="1:8" x14ac:dyDescent="0.25">
      <c r="A65" s="16" t="s">
        <v>212</v>
      </c>
      <c r="B65" s="16" t="s">
        <v>213</v>
      </c>
      <c r="C65" s="16" t="s">
        <v>214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18" r:id="rId2" xr:uid="{00000000-0004-0000-0000-000001000000}"/>
    <hyperlink ref="C25" r:id="rId3" xr:uid="{00000000-0004-0000-0000-000002000000}"/>
    <hyperlink ref="C27" r:id="rId4" xr:uid="{00000000-0004-0000-0000-000003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73"/>
  <sheetViews>
    <sheetView topLeftCell="G1" workbookViewId="0">
      <pane ySplit="2" topLeftCell="A3" activePane="bottomLeft" state="frozen"/>
      <selection pane="bottomLeft" activeCell="R3" sqref="R3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27.42578125" style="85" customWidth="1"/>
    <col min="19" max="19" width="12.28515625" customWidth="1"/>
    <col min="20" max="20" width="44.140625" customWidth="1"/>
    <col min="21" max="21" width="16.28515625" bestFit="1" customWidth="1"/>
  </cols>
  <sheetData>
    <row r="1" spans="1:22" ht="18.75" customHeight="1" x14ac:dyDescent="0.25">
      <c r="A1" s="17"/>
      <c r="B1" s="87" t="s">
        <v>215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9"/>
    </row>
    <row r="2" spans="1:22" ht="58.5" customHeight="1" x14ac:dyDescent="0.25">
      <c r="A2" s="18" t="s">
        <v>216</v>
      </c>
      <c r="B2" s="14">
        <v>1</v>
      </c>
      <c r="C2" s="18" t="s">
        <v>217</v>
      </c>
      <c r="D2" s="18" t="s">
        <v>218</v>
      </c>
      <c r="E2" s="18" t="s">
        <v>219</v>
      </c>
      <c r="F2" s="18" t="s">
        <v>220</v>
      </c>
      <c r="G2" s="18" t="s">
        <v>221</v>
      </c>
      <c r="H2" s="18" t="s">
        <v>222</v>
      </c>
      <c r="I2" s="18" t="s">
        <v>223</v>
      </c>
      <c r="J2" s="18" t="s">
        <v>224</v>
      </c>
      <c r="K2" s="18" t="s">
        <v>225</v>
      </c>
      <c r="L2" s="18" t="s">
        <v>226</v>
      </c>
      <c r="M2" s="18" t="s">
        <v>227</v>
      </c>
      <c r="N2" s="18" t="s">
        <v>228</v>
      </c>
      <c r="O2" s="18" t="s">
        <v>229</v>
      </c>
      <c r="P2" s="18" t="s">
        <v>230</v>
      </c>
      <c r="Q2" s="18" t="s">
        <v>231</v>
      </c>
      <c r="R2" s="18" t="s">
        <v>232</v>
      </c>
      <c r="S2" s="18" t="s">
        <v>233</v>
      </c>
      <c r="T2" s="18"/>
      <c r="U2" s="18"/>
      <c r="V2" t="s">
        <v>234</v>
      </c>
    </row>
    <row r="3" spans="1:22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U7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2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U7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 t="s">
        <v>238</v>
      </c>
      <c r="U4" s="22">
        <f>'ANNUAL-EXPENSE-DETAILS'!V3</f>
        <v>269762</v>
      </c>
    </row>
    <row r="5" spans="1:22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U7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 t="s">
        <v>240</v>
      </c>
      <c r="U5" s="20">
        <f>'ANNUAL-EXPENSE-DETAILS'!U3</f>
        <v>48800</v>
      </c>
    </row>
    <row r="6" spans="1:22" ht="12.75" customHeight="1" x14ac:dyDescent="0.25">
      <c r="A6" s="21" t="s">
        <v>7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F6*$U$5</f>
        <v>529.50998510577881</v>
      </c>
      <c r="H6" s="22">
        <v>3</v>
      </c>
      <c r="I6" s="22">
        <f t="shared" ref="I6:I37" si="4">$U$7*H6</f>
        <v>353.43360000000001</v>
      </c>
      <c r="J6" s="22">
        <f t="shared" ref="J6:J37" si="5">G6+$U$9+I6</f>
        <v>888.46598510577883</v>
      </c>
      <c r="K6" s="22">
        <f t="shared" ref="K6:K37" si="6">$U$4/64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f t="shared" ref="S6:S37" si="7">SUM(J6:R6)*$B$2</f>
        <v>5103.4972351057786</v>
      </c>
      <c r="T6" s="22"/>
      <c r="U6" s="22"/>
    </row>
    <row r="7" spans="1:22" ht="12.75" customHeight="1" x14ac:dyDescent="0.25">
      <c r="A7" s="19" t="s">
        <v>10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/>
      <c r="S7" s="20">
        <f t="shared" si="7"/>
        <v>5966.0742869904707</v>
      </c>
      <c r="T7" s="20" t="s">
        <v>241</v>
      </c>
      <c r="U7" s="80">
        <f>(99.84+0.18*99.84)</f>
        <v>117.8112</v>
      </c>
    </row>
    <row r="8" spans="1:22" ht="12.75" customHeight="1" x14ac:dyDescent="0.25">
      <c r="A8" s="21" t="s">
        <v>13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f t="shared" si="7"/>
        <v>6762.9905854527296</v>
      </c>
      <c r="T8" s="22" t="s">
        <v>242</v>
      </c>
      <c r="U8" s="22">
        <f>$U$7*3</f>
        <v>353.43360000000001</v>
      </c>
    </row>
    <row r="9" spans="1:22" ht="12.75" customHeight="1" x14ac:dyDescent="0.25">
      <c r="A9" s="19" t="s">
        <v>17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f t="shared" si="7"/>
        <v>5254.794031547106</v>
      </c>
      <c r="T9" s="20" t="s">
        <v>243</v>
      </c>
      <c r="U9" s="20">
        <f>U8/64</f>
        <v>5.5224000000000002</v>
      </c>
    </row>
    <row r="10" spans="1:22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f t="shared" si="7"/>
        <v>5032.332746117042</v>
      </c>
      <c r="T10" s="22"/>
      <c r="U10" s="22"/>
    </row>
    <row r="11" spans="1:22" ht="12.75" customHeight="1" x14ac:dyDescent="0.25">
      <c r="A11" s="19" t="s">
        <v>22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7"/>
        <v>5399.2157691956127</v>
      </c>
      <c r="T11" s="20" t="s">
        <v>244</v>
      </c>
      <c r="U11" s="20"/>
    </row>
    <row r="12" spans="1:22" ht="12.75" customHeight="1" x14ac:dyDescent="0.25">
      <c r="A12" s="21" t="s">
        <v>25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f t="shared" si="7"/>
        <v>5331.1583940654746</v>
      </c>
      <c r="T12" s="22" t="s">
        <v>245</v>
      </c>
      <c r="U12" s="22"/>
    </row>
    <row r="13" spans="1:22" ht="12.75" customHeight="1" x14ac:dyDescent="0.25">
      <c r="A13" s="19" t="s">
        <v>28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7"/>
        <v>5025.4046916809048</v>
      </c>
      <c r="T13" s="20" t="s">
        <v>246</v>
      </c>
      <c r="U13" s="20"/>
    </row>
    <row r="14" spans="1:22" ht="12.75" customHeight="1" x14ac:dyDescent="0.25">
      <c r="A14" s="21" t="s">
        <v>31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f t="shared" si="7"/>
        <v>4941.0868648862506</v>
      </c>
      <c r="T14" s="22" t="s">
        <v>247</v>
      </c>
      <c r="U14" s="22">
        <f>U12-U13</f>
        <v>0</v>
      </c>
    </row>
    <row r="15" spans="1:22" ht="12.75" customHeight="1" x14ac:dyDescent="0.25">
      <c r="A15" s="19" t="s">
        <v>35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f t="shared" si="7"/>
        <v>5732.9170578695284</v>
      </c>
      <c r="T15" s="20" t="s">
        <v>248</v>
      </c>
      <c r="U15" s="20"/>
    </row>
    <row r="16" spans="1:22" ht="12.75" customHeight="1" x14ac:dyDescent="0.25">
      <c r="A16" s="21" t="s">
        <v>39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f t="shared" si="7"/>
        <v>4680.2174180207621</v>
      </c>
      <c r="T16" s="22" t="s">
        <v>249</v>
      </c>
      <c r="U16" s="22">
        <f>U11-U14-U15</f>
        <v>0</v>
      </c>
    </row>
    <row r="17" spans="1:21" ht="12.75" customHeight="1" x14ac:dyDescent="0.25">
      <c r="A17" s="19" t="s">
        <v>40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f t="shared" si="7"/>
        <v>4577.6943668474069</v>
      </c>
      <c r="T17" s="20" t="s">
        <v>250</v>
      </c>
      <c r="U17" s="20">
        <f>'ANNUAL-EXPENSE-DETAILS'!Y9</f>
        <v>0</v>
      </c>
    </row>
    <row r="18" spans="1:21" ht="12.75" customHeight="1" x14ac:dyDescent="0.25">
      <c r="A18" s="21" t="s">
        <v>44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f t="shared" si="7"/>
        <v>4991.4064181592439</v>
      </c>
      <c r="T18" s="22" t="s">
        <v>251</v>
      </c>
      <c r="U18" s="22">
        <f>U16-U17</f>
        <v>0</v>
      </c>
    </row>
    <row r="19" spans="1:21" ht="12.75" customHeight="1" x14ac:dyDescent="0.25">
      <c r="A19" s="19" t="s">
        <v>46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f t="shared" si="7"/>
        <v>4751.6592712245147</v>
      </c>
      <c r="T19" s="20"/>
      <c r="U19" s="20"/>
    </row>
    <row r="20" spans="1:21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f t="shared" si="7"/>
        <v>5906.9504557385098</v>
      </c>
      <c r="T20" s="22"/>
      <c r="U20" s="22"/>
    </row>
    <row r="21" spans="1:21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f t="shared" si="7"/>
        <v>6307.7024864395335</v>
      </c>
      <c r="T21" s="20"/>
      <c r="U21" s="20"/>
    </row>
    <row r="22" spans="1:21" ht="12.75" customHeight="1" x14ac:dyDescent="0.25">
      <c r="A22" s="21" t="s">
        <v>57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f t="shared" si="7"/>
        <v>6015.2656623457651</v>
      </c>
      <c r="T22" s="22"/>
      <c r="U22" s="22"/>
    </row>
    <row r="23" spans="1:21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f t="shared" si="7"/>
        <v>6657.8465996794512</v>
      </c>
      <c r="T23" s="20"/>
      <c r="U23" s="20"/>
    </row>
    <row r="24" spans="1:21" ht="12.75" customHeight="1" x14ac:dyDescent="0.25">
      <c r="A24" s="21" t="s">
        <v>62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f t="shared" si="7"/>
        <v>6034.4432452418196</v>
      </c>
      <c r="T24" s="22"/>
      <c r="U24" s="22"/>
    </row>
    <row r="25" spans="1:21" ht="12.75" customHeight="1" x14ac:dyDescent="0.25">
      <c r="A25" s="19" t="s">
        <v>65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f t="shared" si="7"/>
        <v>7010.144244997733</v>
      </c>
      <c r="T25" s="20"/>
      <c r="U25" s="20"/>
    </row>
    <row r="26" spans="1:21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f t="shared" si="7"/>
        <v>5754.5520348806222</v>
      </c>
      <c r="T26" s="22"/>
      <c r="U26" s="22"/>
    </row>
    <row r="27" spans="1:21" ht="12.75" customHeight="1" x14ac:dyDescent="0.25">
      <c r="A27" s="19" t="s">
        <v>70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f t="shared" si="7"/>
        <v>5364.9401314589359</v>
      </c>
      <c r="T27" s="20"/>
      <c r="U27" s="20"/>
    </row>
    <row r="28" spans="1:21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f t="shared" si="7"/>
        <v>4784.6851862288231</v>
      </c>
      <c r="T28" s="22"/>
      <c r="U28" s="22"/>
    </row>
    <row r="29" spans="1:21" ht="12.75" customHeight="1" x14ac:dyDescent="0.25">
      <c r="A29" s="19" t="s">
        <v>77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/>
      <c r="S29" s="20">
        <f t="shared" si="7"/>
        <v>4995.0792604209737</v>
      </c>
      <c r="T29" s="20"/>
      <c r="U29" s="20"/>
    </row>
    <row r="30" spans="1:21" ht="12.75" customHeight="1" x14ac:dyDescent="0.25">
      <c r="A30" s="21" t="s">
        <v>80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f t="shared" si="7"/>
        <v>5791.1448008600291</v>
      </c>
      <c r="T30" s="22"/>
      <c r="U30" s="22"/>
    </row>
    <row r="31" spans="1:21" ht="12.75" customHeight="1" x14ac:dyDescent="0.25">
      <c r="A31" s="19" t="s">
        <v>83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/>
      <c r="S31" s="20">
        <f t="shared" si="7"/>
        <v>4892.2523472109451</v>
      </c>
      <c r="T31" s="20"/>
      <c r="U31" s="20"/>
    </row>
    <row r="32" spans="1:21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f t="shared" si="7"/>
        <v>4716.7416348288161</v>
      </c>
      <c r="T32" s="22"/>
      <c r="U32" s="22"/>
    </row>
    <row r="33" spans="1:21" ht="12.75" customHeight="1" x14ac:dyDescent="0.25">
      <c r="A33" s="19" t="s">
        <v>91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f t="shared" si="7"/>
        <v>5931.6428298534483</v>
      </c>
      <c r="T33" s="20"/>
      <c r="U33" s="20"/>
    </row>
    <row r="34" spans="1:21" ht="12.75" customHeight="1" x14ac:dyDescent="0.25">
      <c r="A34" s="21" t="s">
        <v>95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f t="shared" si="7"/>
        <v>5181.6848255236637</v>
      </c>
      <c r="T34" s="22"/>
      <c r="U34" s="22"/>
    </row>
    <row r="35" spans="1:21" ht="12.75" customHeight="1" x14ac:dyDescent="0.25">
      <c r="A35" s="19" t="s">
        <v>98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f t="shared" si="7"/>
        <v>6116.5467675507725</v>
      </c>
      <c r="T35" s="20"/>
      <c r="U35" s="20"/>
    </row>
    <row r="36" spans="1:21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f t="shared" si="7"/>
        <v>4694.7762979593917</v>
      </c>
      <c r="T36" s="22"/>
      <c r="U36" s="22"/>
    </row>
    <row r="37" spans="1:21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f t="shared" si="7"/>
        <v>5003.6481698551424</v>
      </c>
      <c r="T37" s="20"/>
      <c r="U37" s="20"/>
    </row>
    <row r="38" spans="1:21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F38*$U$5</f>
        <v>0</v>
      </c>
      <c r="H38" s="22">
        <v>3</v>
      </c>
      <c r="I38" s="22">
        <f t="shared" ref="I38:I69" si="12">$U$7*H38</f>
        <v>353.43360000000001</v>
      </c>
      <c r="J38" s="22">
        <f t="shared" ref="J38:J69" si="13">G38+$U$9+I38</f>
        <v>358.95600000000002</v>
      </c>
      <c r="K38" s="22">
        <f t="shared" ref="K38:K69" si="14">$U$4/64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f t="shared" ref="S38:S69" si="15">SUM(J38:R38)*$B$2</f>
        <v>4573.9872500000001</v>
      </c>
      <c r="T38" s="22"/>
      <c r="U38" s="22"/>
    </row>
    <row r="39" spans="1:21" ht="12.75" customHeight="1" x14ac:dyDescent="0.25">
      <c r="A39" s="19" t="s">
        <v>113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f t="shared" si="15"/>
        <v>7522.8810456791816</v>
      </c>
      <c r="T39" s="20"/>
      <c r="U39" s="20"/>
    </row>
    <row r="40" spans="1:21" ht="12.75" customHeight="1" x14ac:dyDescent="0.25">
      <c r="A40" s="21" t="s">
        <v>116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f t="shared" si="15"/>
        <v>5247.501342666962</v>
      </c>
      <c r="T40" s="22"/>
      <c r="U40" s="22"/>
    </row>
    <row r="41" spans="1:21" ht="12.75" customHeight="1" x14ac:dyDescent="0.25">
      <c r="A41" s="19" t="s">
        <v>118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f t="shared" si="15"/>
        <v>6032.281936399434</v>
      </c>
      <c r="T41" s="20"/>
      <c r="U41" s="20"/>
    </row>
    <row r="42" spans="1:21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f t="shared" si="15"/>
        <v>4848.0708070787405</v>
      </c>
      <c r="T42" s="22"/>
      <c r="U42" s="22"/>
    </row>
    <row r="43" spans="1:21" ht="12.75" customHeight="1" x14ac:dyDescent="0.25">
      <c r="A43" s="19" t="s">
        <v>125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f t="shared" si="15"/>
        <v>4574.1695672220039</v>
      </c>
      <c r="T43" s="20"/>
      <c r="U43" s="20"/>
    </row>
    <row r="44" spans="1:21" ht="12.75" customHeight="1" x14ac:dyDescent="0.25">
      <c r="A44" s="21" t="s">
        <v>128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f t="shared" si="15"/>
        <v>5067.7022871857398</v>
      </c>
      <c r="T44" s="22"/>
      <c r="U44" s="22"/>
    </row>
    <row r="45" spans="1:21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f t="shared" si="15"/>
        <v>5645.2832464931334</v>
      </c>
      <c r="T45" s="20"/>
      <c r="U45" s="20"/>
    </row>
    <row r="46" spans="1:21" ht="12.75" customHeight="1" x14ac:dyDescent="0.25">
      <c r="A46" s="21" t="s">
        <v>135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/>
      <c r="S46" s="22">
        <f t="shared" si="15"/>
        <v>6319.4658356407754</v>
      </c>
      <c r="T46" s="22"/>
      <c r="U46" s="22"/>
    </row>
    <row r="47" spans="1:21" ht="12.75" customHeight="1" x14ac:dyDescent="0.25">
      <c r="A47" s="19" t="s">
        <v>139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f t="shared" si="15"/>
        <v>4623.9421688289858</v>
      </c>
      <c r="T47" s="20"/>
      <c r="U47" s="20"/>
    </row>
    <row r="48" spans="1:21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f t="shared" si="15"/>
        <v>4823.2148924789162</v>
      </c>
      <c r="T48" s="22"/>
      <c r="U48" s="22"/>
    </row>
    <row r="49" spans="1:21" ht="12.75" customHeight="1" x14ac:dyDescent="0.25">
      <c r="A49" s="19" t="s">
        <v>144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f t="shared" si="15"/>
        <v>4837.2533185731936</v>
      </c>
      <c r="T49" s="20"/>
      <c r="U49" s="20"/>
    </row>
    <row r="50" spans="1:21" ht="12.75" customHeight="1" x14ac:dyDescent="0.25">
      <c r="A50" s="21" t="s">
        <v>147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f t="shared" si="15"/>
        <v>4693.9862566640431</v>
      </c>
      <c r="T50" s="22"/>
      <c r="U50" s="22"/>
    </row>
    <row r="51" spans="1:21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f t="shared" si="15"/>
        <v>5302.0141920460374</v>
      </c>
      <c r="T51" s="20"/>
      <c r="U51" s="20"/>
    </row>
    <row r="52" spans="1:21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f t="shared" si="15"/>
        <v>6465.1980684289829</v>
      </c>
      <c r="T52" s="22"/>
      <c r="U52" s="22"/>
    </row>
    <row r="53" spans="1:21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/>
      <c r="S53" s="20">
        <f t="shared" si="15"/>
        <v>4934.3676254937764</v>
      </c>
      <c r="T53" s="20"/>
      <c r="U53" s="20"/>
    </row>
    <row r="54" spans="1:21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f t="shared" si="15"/>
        <v>6592.2996699871483</v>
      </c>
      <c r="T54" s="22"/>
      <c r="U54" s="22"/>
    </row>
    <row r="55" spans="1:21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f t="shared" si="15"/>
        <v>6223.4454320522145</v>
      </c>
      <c r="T55" s="20"/>
      <c r="U55" s="20"/>
    </row>
    <row r="56" spans="1:21" ht="12.75" customHeight="1" x14ac:dyDescent="0.25">
      <c r="A56" s="21" t="s">
        <v>168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/>
      <c r="S56" s="22">
        <f t="shared" si="15"/>
        <v>5572.6944943140443</v>
      </c>
      <c r="T56" s="22"/>
      <c r="U56" s="22"/>
    </row>
    <row r="57" spans="1:21" ht="12.75" customHeight="1" x14ac:dyDescent="0.25">
      <c r="A57" s="19" t="s">
        <v>172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f t="shared" si="15"/>
        <v>4733.6098662461582</v>
      </c>
      <c r="T57" s="20"/>
      <c r="U57" s="20"/>
    </row>
    <row r="58" spans="1:21" ht="12.75" customHeight="1" x14ac:dyDescent="0.25">
      <c r="A58" s="21" t="s">
        <v>175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f t="shared" si="15"/>
        <v>5007.1729694805454</v>
      </c>
      <c r="T58" s="22"/>
      <c r="U58" s="22"/>
    </row>
    <row r="59" spans="1:21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f t="shared" si="15"/>
        <v>6494.2130045492131</v>
      </c>
      <c r="T59" s="20"/>
      <c r="U59" s="20"/>
    </row>
    <row r="60" spans="1:21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f t="shared" si="15"/>
        <v>6253.6758163191353</v>
      </c>
      <c r="T60" s="22"/>
      <c r="U60" s="22"/>
    </row>
    <row r="61" spans="1:21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f t="shared" si="15"/>
        <v>5187.5454744494364</v>
      </c>
      <c r="T61" s="20"/>
      <c r="U61" s="20"/>
    </row>
    <row r="62" spans="1:21" ht="12.75" customHeight="1" x14ac:dyDescent="0.25">
      <c r="A62" s="21" t="s">
        <v>190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f t="shared" si="15"/>
        <v>4766.548511021475</v>
      </c>
      <c r="T62" s="22"/>
      <c r="U62" s="22"/>
    </row>
    <row r="63" spans="1:21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f t="shared" si="15"/>
        <v>5334.3185592468708</v>
      </c>
      <c r="T63" s="20"/>
      <c r="U63" s="20"/>
    </row>
    <row r="64" spans="1:21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f t="shared" si="15"/>
        <v>5185.9046194514049</v>
      </c>
      <c r="T64" s="22"/>
      <c r="U64" s="22"/>
    </row>
    <row r="65" spans="1:21" ht="12.75" customHeight="1" x14ac:dyDescent="0.25">
      <c r="A65" s="19" t="s">
        <v>200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f t="shared" si="15"/>
        <v>4799.8175156551215</v>
      </c>
      <c r="T65" s="20"/>
      <c r="U65" s="20"/>
    </row>
    <row r="66" spans="1:21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/>
      <c r="S66" s="22">
        <f t="shared" si="15"/>
        <v>4692.3454016660107</v>
      </c>
      <c r="T66" s="22"/>
      <c r="U66" s="22"/>
    </row>
    <row r="67" spans="1:21" ht="12.75" customHeight="1" x14ac:dyDescent="0.25">
      <c r="A67" s="19" t="s">
        <v>205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f t="shared" si="15"/>
        <v>5350.6928903209973</v>
      </c>
      <c r="T67" s="20"/>
      <c r="U67" s="20"/>
    </row>
    <row r="68" spans="1:21" ht="12.75" customHeight="1" x14ac:dyDescent="0.25">
      <c r="A68" s="21" t="s">
        <v>209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f t="shared" si="15"/>
        <v>5568.7442878372995</v>
      </c>
      <c r="T68" s="22"/>
      <c r="U68" s="22"/>
    </row>
    <row r="69" spans="1:21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f t="shared" si="15"/>
        <v>5849.0531282858201</v>
      </c>
      <c r="T69" s="20"/>
      <c r="U69" s="20"/>
    </row>
    <row r="70" spans="1:21" ht="12.75" customHeight="1" thickBot="1" x14ac:dyDescent="0.3">
      <c r="A70" s="23" t="s">
        <v>252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Q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/>
      <c r="S70" s="24">
        <f>SUM(S6:S69)</f>
        <v>347833.89760000014</v>
      </c>
      <c r="T70" s="24"/>
      <c r="U70" s="24"/>
    </row>
    <row r="71" spans="1:21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0"/>
      <c r="U71" s="20"/>
    </row>
    <row r="72" spans="1:21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2"/>
      <c r="U72" s="22"/>
    </row>
    <row r="73" spans="1:21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0"/>
      <c r="U73" s="20"/>
    </row>
  </sheetData>
  <mergeCells count="1">
    <mergeCell ref="B1:U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8" activePane="bottomLeft" state="frozen"/>
      <selection pane="bottomLeft" activeCell="E47" sqref="E47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27" t="s">
        <v>254</v>
      </c>
      <c r="E1" s="18" t="s">
        <v>253</v>
      </c>
      <c r="F1" s="14" t="s">
        <v>254</v>
      </c>
      <c r="G1" s="18" t="s">
        <v>253</v>
      </c>
      <c r="H1" s="14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>
        <v>9230</v>
      </c>
      <c r="D2" s="28" t="s">
        <v>256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2">
        <v>6000</v>
      </c>
      <c r="D4" s="29" t="s">
        <v>257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5">
        <v>5549</v>
      </c>
      <c r="D5" s="31" t="s">
        <v>258</v>
      </c>
      <c r="E5" s="25">
        <v>440</v>
      </c>
      <c r="F5" s="25" t="s">
        <v>258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>
        <v>4867.34</v>
      </c>
      <c r="D7" s="32" t="s">
        <v>259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>
        <v>5384</v>
      </c>
      <c r="D8" s="28" t="s">
        <v>260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5">
        <v>6070</v>
      </c>
      <c r="D9" s="33" t="s">
        <v>261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5">
        <v>27822</v>
      </c>
      <c r="D11" s="32" t="s">
        <v>261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6">
        <v>5549</v>
      </c>
      <c r="D12" s="28" t="s">
        <v>258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261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>
        <v>4934</v>
      </c>
      <c r="D14" s="30" t="s">
        <v>262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5">
        <v>7000</v>
      </c>
      <c r="D15" s="31" t="s">
        <v>263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>
        <v>5764</v>
      </c>
      <c r="D16" s="28" t="s">
        <v>264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>
        <v>5903.12</v>
      </c>
      <c r="D17" s="25" t="s">
        <v>263</v>
      </c>
      <c r="E17" s="25">
        <v>20000</v>
      </c>
      <c r="F17" s="25" t="s">
        <v>265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5">
        <v>6121</v>
      </c>
      <c r="D19" s="33" t="s">
        <v>262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6">
        <v>5796</v>
      </c>
      <c r="D20" s="30" t="s">
        <v>266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5">
        <v>5604</v>
      </c>
      <c r="D21" s="33" t="s">
        <v>267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>
        <v>5260</v>
      </c>
      <c r="D23" s="25" t="s">
        <v>268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6">
        <v>10621</v>
      </c>
      <c r="D24" s="30" t="s">
        <v>269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>
        <v>495.94</v>
      </c>
      <c r="D25" s="32" t="s">
        <v>270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6">
        <v>5590</v>
      </c>
      <c r="D26" s="30" t="s">
        <v>271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6">
        <v>16648</v>
      </c>
      <c r="D28" s="28" t="s">
        <v>272</v>
      </c>
      <c r="E28" s="26">
        <v>4928</v>
      </c>
      <c r="F28" s="26" t="s">
        <v>261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5">
        <v>4487</v>
      </c>
      <c r="D29" s="32" t="s">
        <v>261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>
        <v>10677</v>
      </c>
      <c r="D30" s="30" t="s">
        <v>263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>
        <v>5970</v>
      </c>
      <c r="D31" s="31" t="s">
        <v>261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>
        <v>4819</v>
      </c>
      <c r="D33" s="33" t="s">
        <v>271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6">
        <v>4890</v>
      </c>
      <c r="D34" s="28" t="s">
        <v>266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5">
        <v>5635</v>
      </c>
      <c r="D35" s="31" t="s">
        <v>257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>
        <v>5092</v>
      </c>
      <c r="D36" s="30" t="s">
        <v>264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>
        <v>28414.74</v>
      </c>
      <c r="D38" s="26" t="s">
        <v>263</v>
      </c>
      <c r="E38" s="26">
        <v>4935</v>
      </c>
      <c r="F38" s="26" t="s">
        <v>261</v>
      </c>
      <c r="G38" s="26">
        <v>1000</v>
      </c>
      <c r="H38" s="26" t="s">
        <v>260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>
        <v>35878</v>
      </c>
      <c r="D39" s="33" t="s">
        <v>272</v>
      </c>
      <c r="E39" s="25">
        <v>4903</v>
      </c>
      <c r="F39" s="25" t="s">
        <v>262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6">
        <v>4936</v>
      </c>
      <c r="D40" s="30" t="s">
        <v>273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5">
        <v>2028.67</v>
      </c>
      <c r="D41" s="31" t="s">
        <v>273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>
        <v>5150</v>
      </c>
      <c r="D44" s="30" t="s">
        <v>261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>
        <v>4739</v>
      </c>
      <c r="D46" s="30" t="s">
        <v>262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6">
        <v>16641</v>
      </c>
      <c r="D48" s="30" t="s">
        <v>263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>
        <v>4839</v>
      </c>
      <c r="D49" s="31" t="s">
        <v>261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>
        <v>5879</v>
      </c>
      <c r="D50" s="30" t="s">
        <v>262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5">
        <v>39847.339999999997</v>
      </c>
      <c r="D51" s="31" t="s">
        <v>264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6">
        <v>5431</v>
      </c>
      <c r="D52" s="28" t="s">
        <v>261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5">
        <v>30484.97</v>
      </c>
      <c r="D53" s="33" t="s">
        <v>274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>
        <v>25990</v>
      </c>
      <c r="D54" s="28" t="s">
        <v>261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5">
        <v>13753.45</v>
      </c>
      <c r="D55" s="32" t="s">
        <v>263</v>
      </c>
      <c r="E55" s="25">
        <v>6246</v>
      </c>
      <c r="F55" s="31" t="s">
        <v>261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>
        <v>4712</v>
      </c>
      <c r="D56" s="28" t="s">
        <v>269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5">
        <v>1536.73</v>
      </c>
      <c r="D57" s="31" t="s">
        <v>271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>
        <v>4785</v>
      </c>
      <c r="D58" s="28" t="s">
        <v>262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5">
        <v>5920</v>
      </c>
      <c r="D59" s="33" t="s">
        <v>261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6">
        <v>4939</v>
      </c>
      <c r="D60" s="30" t="s">
        <v>261</v>
      </c>
      <c r="E60" s="26">
        <v>6348</v>
      </c>
      <c r="F60" s="26" t="s">
        <v>261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5">
        <v>4806</v>
      </c>
      <c r="D61" s="33" t="s">
        <v>261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>
        <v>12000</v>
      </c>
      <c r="D62" s="26" t="s">
        <v>270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5">
        <v>4477</v>
      </c>
      <c r="D63" s="32" t="s">
        <v>262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6">
        <v>5420</v>
      </c>
      <c r="D64" s="30" t="s">
        <v>261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>
        <v>5231</v>
      </c>
      <c r="D65" s="31" t="s">
        <v>261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3"/>
  <sheetViews>
    <sheetView workbookViewId="0">
      <pane xSplit="2" ySplit="2" topLeftCell="G39" activePane="bottomRight" state="frozen"/>
      <selection pane="topRight" activeCell="C1" sqref="C1"/>
      <selection pane="bottomLeft" activeCell="A3" sqref="A3"/>
      <selection pane="bottomRight" activeCell="Q51" sqref="Q51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1" ht="18.75" customHeight="1" x14ac:dyDescent="0.25">
      <c r="A1" s="17">
        <v>1</v>
      </c>
      <c r="B1" s="90" t="s">
        <v>275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1" ht="58.5" customHeight="1" x14ac:dyDescent="0.25">
      <c r="A2" s="18" t="s">
        <v>216</v>
      </c>
      <c r="B2" s="18">
        <v>1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280</v>
      </c>
      <c r="K2" s="18" t="s">
        <v>281</v>
      </c>
      <c r="L2" s="18" t="s">
        <v>282</v>
      </c>
      <c r="M2" s="18" t="s">
        <v>283</v>
      </c>
      <c r="N2" s="18" t="s">
        <v>284</v>
      </c>
      <c r="O2" s="18" t="s">
        <v>285</v>
      </c>
      <c r="P2" s="18" t="s">
        <v>286</v>
      </c>
      <c r="Q2" s="18" t="s">
        <v>232</v>
      </c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238</v>
      </c>
      <c r="T4" s="22">
        <f>'ANNUAL-EXPENSE-DETAILS'!V4</f>
        <v>281008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240</v>
      </c>
      <c r="T5" s="20">
        <f>'ANNUAL-EXPENSE-DETAILS'!U4</f>
        <v>42100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>
        <v>0</v>
      </c>
      <c r="R6" s="22">
        <f t="shared" ref="R6:R37" si="7">SUM(J6:Q6)*$B$2</f>
        <v>5565.8228186401111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>
        <v>0</v>
      </c>
      <c r="R7" s="20">
        <f t="shared" si="7"/>
        <v>6140.4346917049697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>
        <v>0</v>
      </c>
      <c r="R8" s="22">
        <f t="shared" si="7"/>
        <v>6838.8740421419971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>
        <v>0</v>
      </c>
      <c r="R9" s="20">
        <f t="shared" si="7"/>
        <v>5784.2527516815144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>
        <v>0</v>
      </c>
      <c r="R10" s="22">
        <f t="shared" si="7"/>
        <v>5582.5638157073336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>
        <v>0</v>
      </c>
      <c r="R11" s="20">
        <f t="shared" si="7"/>
        <v>5835.5028512992712</v>
      </c>
      <c r="S11" s="20"/>
      <c r="T11" s="20"/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>
        <v>0</v>
      </c>
      <c r="R12" s="22">
        <f t="shared" si="7"/>
        <v>6017.9708901898612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>
        <v>0</v>
      </c>
      <c r="R13" s="20">
        <f t="shared" si="7"/>
        <v>5339.5153449686704</v>
      </c>
      <c r="S13" s="20"/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>
        <v>0</v>
      </c>
      <c r="R14" s="22">
        <f t="shared" si="7"/>
        <v>5551.9460829351374</v>
      </c>
      <c r="S14" s="22"/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>
        <v>0</v>
      </c>
      <c r="R15" s="20">
        <f t="shared" si="7"/>
        <v>6229.5040413559436</v>
      </c>
      <c r="S15" s="25"/>
      <c r="T15" s="25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>
        <v>0</v>
      </c>
      <c r="R16" s="22">
        <f t="shared" si="7"/>
        <v>5342.6770829135703</v>
      </c>
      <c r="S16" s="22"/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>
        <v>0</v>
      </c>
      <c r="R17" s="20">
        <f t="shared" si="7"/>
        <v>5850.4197687828982</v>
      </c>
      <c r="S17" s="20"/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>
        <v>0</v>
      </c>
      <c r="R18" s="22">
        <f t="shared" si="7"/>
        <v>5536.0157879050685</v>
      </c>
      <c r="S18" s="22"/>
      <c r="T18" s="22"/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>
        <v>0</v>
      </c>
      <c r="R19" s="20">
        <f t="shared" si="7"/>
        <v>5810.1952168704311</v>
      </c>
      <c r="S19" s="20"/>
      <c r="T19" s="20"/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>
        <v>0</v>
      </c>
      <c r="R20" s="22">
        <f t="shared" si="7"/>
        <v>6546.2511418313888</v>
      </c>
      <c r="S20" s="22"/>
      <c r="T20" s="22"/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>
        <v>0</v>
      </c>
      <c r="R21" s="20">
        <f t="shared" si="7"/>
        <v>6491.5229397640014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>
        <v>0</v>
      </c>
      <c r="R22" s="22">
        <f t="shared" si="7"/>
        <v>5814.9920897592847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>
        <v>0</v>
      </c>
      <c r="R23" s="20">
        <f t="shared" si="7"/>
        <v>6733.7875126977233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>
        <v>0</v>
      </c>
      <c r="R24" s="22">
        <f t="shared" si="7"/>
        <v>6370.0660437287397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>
        <v>0</v>
      </c>
      <c r="R25" s="20">
        <f t="shared" si="7"/>
        <v>7101.80570246362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>
        <v>0</v>
      </c>
      <c r="R26" s="22">
        <f t="shared" si="7"/>
        <v>6157.9190514752772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>
        <v>0</v>
      </c>
      <c r="R27" s="20">
        <f t="shared" si="7"/>
        <v>5675.5108042669999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>
        <v>0</v>
      </c>
      <c r="R28" s="22">
        <f t="shared" si="7"/>
        <v>5826.7067341961547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>
        <v>0</v>
      </c>
      <c r="R29" s="20">
        <f t="shared" si="7"/>
        <v>5994.6031260906748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>
        <v>0</v>
      </c>
      <c r="R30" s="22">
        <f t="shared" si="7"/>
        <v>6335.4353358726321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>
        <v>0</v>
      </c>
      <c r="R31" s="20">
        <f t="shared" si="7"/>
        <v>5472.1461982470073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>
        <v>0</v>
      </c>
      <c r="R32" s="22">
        <f t="shared" si="7"/>
        <v>5401.3719104034935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>
        <v>0</v>
      </c>
      <c r="R33" s="20">
        <f t="shared" si="7"/>
        <v>6171.9036616161775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>
        <v>0</v>
      </c>
      <c r="R34" s="22">
        <f t="shared" si="7"/>
        <v>5983.8881283306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>
        <v>0</v>
      </c>
      <c r="R35" s="20">
        <f t="shared" si="7"/>
        <v>6229.7740561993014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>
        <v>0</v>
      </c>
      <c r="R36" s="22">
        <f t="shared" si="7"/>
        <v>5981.1317414042778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>
        <v>0</v>
      </c>
      <c r="R37" s="20">
        <f t="shared" si="7"/>
        <v>5569.1872320942985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>
        <v>0</v>
      </c>
      <c r="R38" s="22">
        <f t="shared" ref="R38:R69" si="15">SUM(J38:Q38)*$B$2</f>
        <v>5470.930145191277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>
        <v>0</v>
      </c>
      <c r="R39" s="20">
        <f t="shared" si="15"/>
        <v>7993.9427592493503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>
        <v>0</v>
      </c>
      <c r="R40" s="22">
        <f t="shared" si="15"/>
        <v>6866.7021116890628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>
        <v>0</v>
      </c>
      <c r="R41" s="20">
        <f t="shared" si="15"/>
        <v>5644.096100327296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>
        <v>0</v>
      </c>
      <c r="R42" s="22">
        <f t="shared" si="15"/>
        <v>5333.3134743844457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>
        <v>0</v>
      </c>
      <c r="R43" s="20">
        <f t="shared" si="15"/>
        <v>5509.1142111412137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>
        <v>0</v>
      </c>
      <c r="R44" s="22">
        <f t="shared" si="15"/>
        <v>5627.8415244823645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>
        <v>0</v>
      </c>
      <c r="R45" s="20">
        <f t="shared" si="15"/>
        <v>6153.4196551690738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>
        <v>0</v>
      </c>
      <c r="R46" s="22">
        <f t="shared" si="15"/>
        <v>5485.103699971819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>
        <v>0</v>
      </c>
      <c r="R47" s="20">
        <f t="shared" si="15"/>
        <v>5368.4574076950557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>
        <v>0</v>
      </c>
      <c r="R48" s="22">
        <f t="shared" si="15"/>
        <v>5828.6929541871814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>
        <v>0</v>
      </c>
      <c r="R49" s="20">
        <f t="shared" si="15"/>
        <v>5957.999929113188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>
        <v>0</v>
      </c>
      <c r="R50" s="22">
        <f t="shared" si="15"/>
        <v>5391.5486848842884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>
        <v>0</v>
      </c>
      <c r="R51" s="20">
        <f t="shared" si="15"/>
        <v>6098.4403261804109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>
        <v>0</v>
      </c>
      <c r="R52" s="22">
        <f t="shared" si="15"/>
        <v>6686.4019786260924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>
        <v>0</v>
      </c>
      <c r="R53" s="20">
        <f t="shared" si="15"/>
        <v>5505.547122177737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>
        <v>0</v>
      </c>
      <c r="R54" s="22">
        <f t="shared" si="15"/>
        <v>6445.3939938499598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>
        <v>0</v>
      </c>
      <c r="R55" s="20">
        <f t="shared" si="15"/>
        <v>6568.3232269146638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>
        <v>0</v>
      </c>
      <c r="R56" s="22">
        <f t="shared" si="15"/>
        <v>6028.2740648647623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>
        <v>0</v>
      </c>
      <c r="R57" s="20">
        <f t="shared" si="15"/>
        <v>5392.1161763102955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>
        <v>0</v>
      </c>
      <c r="R58" s="22">
        <f t="shared" si="15"/>
        <v>5656.7430521068927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>
        <v>0</v>
      </c>
      <c r="R59" s="20">
        <f t="shared" si="15"/>
        <v>6497.4410646352235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>
        <v>0</v>
      </c>
      <c r="R60" s="22">
        <f t="shared" si="15"/>
        <v>6248.5555392290544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>
        <v>0</v>
      </c>
      <c r="R61" s="20">
        <f t="shared" si="15"/>
        <v>5843.6504067726655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>
        <v>0</v>
      </c>
      <c r="R62" s="22">
        <f t="shared" si="15"/>
        <v>5461.7960164036522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>
        <v>0</v>
      </c>
      <c r="R63" s="20">
        <f t="shared" si="15"/>
        <v>8371.7226497599004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>
        <v>0</v>
      </c>
      <c r="R64" s="22">
        <f t="shared" si="15"/>
        <v>5804.5745685818601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>
        <v>0</v>
      </c>
      <c r="R65" s="20">
        <f t="shared" si="15"/>
        <v>5638.6643966783668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>
        <v>0</v>
      </c>
      <c r="R67" s="20">
        <f t="shared" si="15"/>
        <v>6212.99252403022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>
        <v>0</v>
      </c>
      <c r="R68" s="22">
        <f t="shared" si="15"/>
        <v>5890.9816748727917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>
        <v>0</v>
      </c>
      <c r="R69" s="20">
        <f t="shared" si="15"/>
        <v>6263.0671056941046</v>
      </c>
      <c r="S69" s="20"/>
      <c r="T69" s="20"/>
    </row>
    <row r="70" spans="1:20" ht="12.75" customHeight="1" x14ac:dyDescent="0.25">
      <c r="A70" s="23" t="s">
        <v>252</v>
      </c>
      <c r="B70" s="23" t="s">
        <v>252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0" activePane="bottomLeft" state="frozen"/>
      <selection pane="bottomLeft" activeCell="K18" sqref="K18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36" t="s">
        <v>254</v>
      </c>
      <c r="E1" s="18" t="s">
        <v>253</v>
      </c>
      <c r="F1" s="36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>
        <v>6000</v>
      </c>
      <c r="D4" s="37" t="s">
        <v>291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>
        <v>4827</v>
      </c>
      <c r="D6" s="37" t="s">
        <v>292</v>
      </c>
      <c r="E6" s="26">
        <v>205</v>
      </c>
      <c r="F6" s="37" t="s">
        <v>293</v>
      </c>
      <c r="G6" s="26">
        <v>205</v>
      </c>
      <c r="H6" s="37" t="s">
        <v>293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>
        <v>9442.7099999999991</v>
      </c>
      <c r="D7" s="38" t="s">
        <v>294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>
        <v>7174</v>
      </c>
      <c r="D8" s="37" t="s">
        <v>295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>
        <v>453</v>
      </c>
      <c r="D9" s="39" t="s">
        <v>292</v>
      </c>
      <c r="E9" s="25">
        <v>468</v>
      </c>
      <c r="F9" s="38" t="s">
        <v>293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>
        <v>4867</v>
      </c>
      <c r="D10" s="37" t="s">
        <v>291</v>
      </c>
      <c r="E10" s="26">
        <v>5366</v>
      </c>
      <c r="F10" s="37" t="s">
        <v>296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>
        <v>6536.41</v>
      </c>
      <c r="D13" s="38" t="s">
        <v>292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>
        <v>5907</v>
      </c>
      <c r="D16" s="37" t="s">
        <v>297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>
        <v>5887.24</v>
      </c>
      <c r="D17" s="38" t="s">
        <v>298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>
        <v>2100</v>
      </c>
      <c r="D20" s="40" t="s">
        <v>299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>
        <v>11592</v>
      </c>
      <c r="D21" s="39" t="s">
        <v>292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>
        <v>5067</v>
      </c>
      <c r="D25" s="38" t="s">
        <v>300</v>
      </c>
      <c r="E25" s="25">
        <v>3879.31</v>
      </c>
      <c r="F25" s="38" t="s">
        <v>301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>
        <v>4440</v>
      </c>
      <c r="D27" s="38" t="s">
        <v>302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>
        <v>6335</v>
      </c>
      <c r="D29" s="39" t="s">
        <v>303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>
        <v>6116.55</v>
      </c>
      <c r="D31" s="38" t="s">
        <v>304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>
        <v>4556.92</v>
      </c>
      <c r="D34" s="40" t="s">
        <v>305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5">
        <v>6948</v>
      </c>
      <c r="D35" s="38" t="s">
        <v>291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>
        <v>6000</v>
      </c>
      <c r="D37" s="38" t="s">
        <v>292</v>
      </c>
      <c r="E37" s="25">
        <v>5000</v>
      </c>
      <c r="F37" s="38" t="s">
        <v>306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>
        <v>4363.79</v>
      </c>
      <c r="D38" s="37" t="s">
        <v>303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>
        <v>5067.7</v>
      </c>
      <c r="D40" s="40" t="s">
        <v>302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>
        <v>8000</v>
      </c>
      <c r="D43" s="25" t="s">
        <v>307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>
        <v>4992</v>
      </c>
      <c r="D44" s="37" t="s">
        <v>308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>
        <v>16123.22</v>
      </c>
      <c r="D45" s="38" t="s">
        <v>292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>
        <v>1511</v>
      </c>
      <c r="D52" s="40" t="s">
        <v>296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>
        <v>10300</v>
      </c>
      <c r="D53" s="38" t="s">
        <v>309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>
        <v>5343</v>
      </c>
      <c r="D54" s="37" t="s">
        <v>306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>
        <v>6494.14</v>
      </c>
      <c r="D55" s="38" t="s">
        <v>304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>
        <v>20028.72</v>
      </c>
      <c r="D56" s="37" t="s">
        <v>295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>
        <v>5287.24</v>
      </c>
      <c r="D57" s="39" t="s">
        <v>298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>
        <v>4766.55</v>
      </c>
      <c r="D58" s="37" t="s">
        <v>295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>
        <v>15000</v>
      </c>
      <c r="D59" s="39" t="s">
        <v>292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>
        <v>5187</v>
      </c>
      <c r="D60" s="40" t="s">
        <v>295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>
        <v>84.49</v>
      </c>
      <c r="D61" s="38" t="s">
        <v>310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>
        <v>5350</v>
      </c>
      <c r="D63" s="38" t="s">
        <v>295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>
        <v>5420</v>
      </c>
      <c r="D64" s="40" t="s">
        <v>293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>
        <v>10000</v>
      </c>
      <c r="D65" s="38" t="s">
        <v>293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T7" sqref="T7"/>
    </sheetView>
  </sheetViews>
  <sheetFormatPr defaultColWidth="14.42578125" defaultRowHeight="15" customHeight="1" x14ac:dyDescent="0.25"/>
  <cols>
    <col min="1" max="1" width="7.7109375" customWidth="1"/>
    <col min="2" max="2" width="24.14062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1" ht="16.5" customHeight="1" x14ac:dyDescent="0.25">
      <c r="A1" s="17"/>
      <c r="B1" s="90" t="s">
        <v>311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1" ht="58.5" customHeight="1" x14ac:dyDescent="0.25">
      <c r="A2" s="18" t="s">
        <v>216</v>
      </c>
      <c r="B2" s="18">
        <v>1</v>
      </c>
      <c r="C2" s="18" t="s">
        <v>217</v>
      </c>
      <c r="D2" s="18" t="s">
        <v>276</v>
      </c>
      <c r="E2" s="18" t="s">
        <v>277</v>
      </c>
      <c r="F2" s="42" t="s">
        <v>278</v>
      </c>
      <c r="G2" s="18" t="s">
        <v>221</v>
      </c>
      <c r="H2" s="18" t="s">
        <v>222</v>
      </c>
      <c r="I2" s="18" t="s">
        <v>279</v>
      </c>
      <c r="J2" s="18" t="s">
        <v>280</v>
      </c>
      <c r="K2" s="18" t="s">
        <v>281</v>
      </c>
      <c r="L2" s="18" t="s">
        <v>282</v>
      </c>
      <c r="M2" s="18" t="s">
        <v>312</v>
      </c>
      <c r="N2" s="18" t="s">
        <v>313</v>
      </c>
      <c r="O2" s="18" t="s">
        <v>284</v>
      </c>
      <c r="P2" s="18" t="s">
        <v>285</v>
      </c>
      <c r="Q2" s="18" t="s">
        <v>232</v>
      </c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238</v>
      </c>
      <c r="T4" s="22">
        <f>'ANNUAL-EXPENSE-DETAILS'!V5</f>
        <v>322871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240</v>
      </c>
      <c r="T5" s="20">
        <f>'ANNUAL-EXPENSE-DETAILS'!U5</f>
        <v>51350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4504</v>
      </c>
      <c r="D6" s="22">
        <f t="shared" ref="D6:D37" si="0">SUM($C$3:$C$5)/64</f>
        <v>0</v>
      </c>
      <c r="E6" s="22">
        <f t="shared" ref="E6:E37" si="1">C6+D6</f>
        <v>4504</v>
      </c>
      <c r="F6" s="44">
        <f t="shared" ref="F6:F37" si="2">IF($C$70=0, 0, E6/$C$70)</f>
        <v>9.365013026600047E-3</v>
      </c>
      <c r="G6" s="22">
        <f t="shared" ref="G6:G37" si="3">F6*$T$5</f>
        <v>480.89341891591243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857.79002829091246</v>
      </c>
      <c r="K6" s="22">
        <f t="shared" ref="K6:K37" si="6">$T$11/64</f>
        <v>5044.859375</v>
      </c>
      <c r="L6" s="22">
        <v>0</v>
      </c>
      <c r="M6" s="22">
        <v>0</v>
      </c>
      <c r="N6" s="22"/>
      <c r="O6" s="22">
        <v>0</v>
      </c>
      <c r="P6" s="22">
        <v>0</v>
      </c>
      <c r="Q6" s="22">
        <v>0</v>
      </c>
      <c r="R6" s="22">
        <f t="shared" ref="R6:R37" si="7">SUM(J6:Q6)*$B$2</f>
        <v>5902.6494032909122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8838</v>
      </c>
      <c r="D7" s="20">
        <f t="shared" si="0"/>
        <v>0</v>
      </c>
      <c r="E7" s="20">
        <f t="shared" si="1"/>
        <v>8838</v>
      </c>
      <c r="F7" s="43">
        <f t="shared" si="2"/>
        <v>1.8376550872355953E-2</v>
      </c>
      <c r="G7" s="20">
        <f t="shared" si="3"/>
        <v>943.63588729547826</v>
      </c>
      <c r="H7" s="20">
        <v>4</v>
      </c>
      <c r="I7" s="20">
        <f t="shared" si="4"/>
        <v>494.79759999999999</v>
      </c>
      <c r="J7" s="20">
        <f t="shared" si="5"/>
        <v>1444.2318966704784</v>
      </c>
      <c r="K7" s="20">
        <f t="shared" si="6"/>
        <v>5044.859375</v>
      </c>
      <c r="L7" s="20">
        <v>0</v>
      </c>
      <c r="M7" s="20">
        <v>0</v>
      </c>
      <c r="N7" s="20"/>
      <c r="O7" s="20">
        <v>0</v>
      </c>
      <c r="P7" s="20">
        <v>0</v>
      </c>
      <c r="Q7" s="20">
        <v>1000</v>
      </c>
      <c r="R7" s="20">
        <f t="shared" si="7"/>
        <v>7489.0912716704788</v>
      </c>
      <c r="S7" s="20" t="s">
        <v>288</v>
      </c>
      <c r="T7" s="80">
        <f>(104.83+0.18*104.83)</f>
        <v>123.6994</v>
      </c>
      <c r="U7" t="s">
        <v>314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10815</v>
      </c>
      <c r="D8" s="22">
        <f t="shared" si="0"/>
        <v>0</v>
      </c>
      <c r="E8" s="22">
        <f t="shared" si="1"/>
        <v>10815</v>
      </c>
      <c r="F8" s="44">
        <f t="shared" si="2"/>
        <v>2.2487259298996337E-2</v>
      </c>
      <c r="G8" s="22">
        <f t="shared" si="3"/>
        <v>1154.720765003462</v>
      </c>
      <c r="H8" s="22">
        <v>4</v>
      </c>
      <c r="I8" s="22">
        <f t="shared" si="4"/>
        <v>494.79759999999999</v>
      </c>
      <c r="J8" s="22">
        <f t="shared" si="5"/>
        <v>1655.316774378462</v>
      </c>
      <c r="K8" s="22">
        <f t="shared" si="6"/>
        <v>5044.859375</v>
      </c>
      <c r="L8" s="22">
        <v>750</v>
      </c>
      <c r="M8" s="22">
        <v>0</v>
      </c>
      <c r="N8" s="22"/>
      <c r="O8" s="22">
        <v>0</v>
      </c>
      <c r="P8" s="22">
        <v>0</v>
      </c>
      <c r="Q8" s="22">
        <v>0</v>
      </c>
      <c r="R8" s="22">
        <f t="shared" si="7"/>
        <v>7450.1761493784616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4583.5</v>
      </c>
      <c r="D9" s="20">
        <f t="shared" si="0"/>
        <v>0</v>
      </c>
      <c r="E9" s="20">
        <f t="shared" si="1"/>
        <v>4583.5</v>
      </c>
      <c r="F9" s="43">
        <f t="shared" si="2"/>
        <v>9.5303146552889236E-3</v>
      </c>
      <c r="G9" s="20">
        <f t="shared" si="3"/>
        <v>489.38165754908624</v>
      </c>
      <c r="H9" s="20">
        <v>4</v>
      </c>
      <c r="I9" s="20">
        <f t="shared" si="4"/>
        <v>494.79759999999999</v>
      </c>
      <c r="J9" s="20">
        <f t="shared" si="5"/>
        <v>989.97766692408618</v>
      </c>
      <c r="K9" s="20">
        <f t="shared" si="6"/>
        <v>5044.859375</v>
      </c>
      <c r="L9" s="20">
        <v>0</v>
      </c>
      <c r="M9" s="20">
        <v>0</v>
      </c>
      <c r="N9" s="20"/>
      <c r="O9" s="20">
        <v>0</v>
      </c>
      <c r="P9" s="20">
        <v>0</v>
      </c>
      <c r="Q9" s="20">
        <v>0</v>
      </c>
      <c r="R9" s="20">
        <f t="shared" si="7"/>
        <v>6034.8370419240864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6683</v>
      </c>
      <c r="D10" s="22">
        <f t="shared" si="0"/>
        <v>0</v>
      </c>
      <c r="E10" s="22">
        <f t="shared" si="1"/>
        <v>6683</v>
      </c>
      <c r="F10" s="44">
        <f t="shared" si="2"/>
        <v>1.3895733138714058E-2</v>
      </c>
      <c r="G10" s="22">
        <f t="shared" si="3"/>
        <v>713.54589667296693</v>
      </c>
      <c r="H10" s="22">
        <v>3</v>
      </c>
      <c r="I10" s="22">
        <f t="shared" si="4"/>
        <v>371.09820000000002</v>
      </c>
      <c r="J10" s="22">
        <f t="shared" si="5"/>
        <v>1090.4425060479671</v>
      </c>
      <c r="K10" s="22">
        <f t="shared" si="6"/>
        <v>5044.859375</v>
      </c>
      <c r="L10" s="22">
        <v>0</v>
      </c>
      <c r="M10" s="22">
        <v>0</v>
      </c>
      <c r="N10" s="22"/>
      <c r="O10" s="22">
        <v>0</v>
      </c>
      <c r="P10" s="22">
        <v>0</v>
      </c>
      <c r="Q10" s="22">
        <v>0</v>
      </c>
      <c r="R10" s="22">
        <f t="shared" si="7"/>
        <v>6135.3018810479671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8675.5</v>
      </c>
      <c r="D11" s="20">
        <f t="shared" si="0"/>
        <v>0</v>
      </c>
      <c r="E11" s="20">
        <f t="shared" si="1"/>
        <v>8675.5</v>
      </c>
      <c r="F11" s="43">
        <f t="shared" si="2"/>
        <v>1.8038670184784347E-2</v>
      </c>
      <c r="G11" s="20">
        <f t="shared" si="3"/>
        <v>926.28571398867621</v>
      </c>
      <c r="H11" s="20">
        <v>3</v>
      </c>
      <c r="I11" s="20">
        <f t="shared" si="4"/>
        <v>371.09820000000002</v>
      </c>
      <c r="J11" s="20">
        <f t="shared" si="5"/>
        <v>1303.1823233636762</v>
      </c>
      <c r="K11" s="20">
        <f t="shared" si="6"/>
        <v>5044.859375</v>
      </c>
      <c r="L11" s="20">
        <v>0</v>
      </c>
      <c r="M11" s="20">
        <v>0</v>
      </c>
      <c r="N11" s="20"/>
      <c r="O11" s="20">
        <v>0</v>
      </c>
      <c r="P11" s="20">
        <v>0</v>
      </c>
      <c r="Q11" s="20">
        <v>0</v>
      </c>
      <c r="R11" s="20">
        <f t="shared" si="7"/>
        <v>6348.041698363676</v>
      </c>
      <c r="S11" s="20" t="s">
        <v>238</v>
      </c>
      <c r="T11" s="20">
        <f>'ANNUAL-EXPENSE-DETAILS'!V5</f>
        <v>322871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35.5</v>
      </c>
      <c r="D12" s="22">
        <f t="shared" si="0"/>
        <v>0</v>
      </c>
      <c r="E12" s="22">
        <f t="shared" si="1"/>
        <v>35.5</v>
      </c>
      <c r="F12" s="44">
        <f t="shared" si="2"/>
        <v>7.3813934823335189E-5</v>
      </c>
      <c r="G12" s="22">
        <f t="shared" si="3"/>
        <v>3.7903455531782622</v>
      </c>
      <c r="H12" s="22">
        <v>3</v>
      </c>
      <c r="I12" s="22">
        <f t="shared" si="4"/>
        <v>371.09820000000002</v>
      </c>
      <c r="J12" s="22">
        <f t="shared" si="5"/>
        <v>380.6869549281783</v>
      </c>
      <c r="K12" s="22">
        <f t="shared" si="6"/>
        <v>5044.859375</v>
      </c>
      <c r="L12" s="22">
        <v>750</v>
      </c>
      <c r="M12" s="22">
        <v>0</v>
      </c>
      <c r="N12" s="22"/>
      <c r="O12" s="22">
        <v>0</v>
      </c>
      <c r="P12" s="22">
        <v>0</v>
      </c>
      <c r="Q12" s="22">
        <v>0</v>
      </c>
      <c r="R12" s="22">
        <f t="shared" si="7"/>
        <v>6175.5463299281782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917</v>
      </c>
      <c r="D13" s="20">
        <f t="shared" si="0"/>
        <v>0</v>
      </c>
      <c r="E13" s="20">
        <f t="shared" si="1"/>
        <v>917</v>
      </c>
      <c r="F13" s="43">
        <f t="shared" si="2"/>
        <v>1.9066867107886863E-3</v>
      </c>
      <c r="G13" s="20">
        <f t="shared" si="3"/>
        <v>97.908362598999034</v>
      </c>
      <c r="H13" s="20">
        <v>3</v>
      </c>
      <c r="I13" s="20">
        <f t="shared" si="4"/>
        <v>371.09820000000002</v>
      </c>
      <c r="J13" s="20">
        <f t="shared" si="5"/>
        <v>474.80497197399905</v>
      </c>
      <c r="K13" s="20">
        <f t="shared" si="6"/>
        <v>5044.859375</v>
      </c>
      <c r="L13" s="20">
        <v>0</v>
      </c>
      <c r="M13" s="20">
        <v>0</v>
      </c>
      <c r="N13" s="20"/>
      <c r="O13" s="20">
        <v>0</v>
      </c>
      <c r="P13" s="20">
        <v>0</v>
      </c>
      <c r="Q13" s="20">
        <v>0</v>
      </c>
      <c r="R13" s="20">
        <f t="shared" si="7"/>
        <v>5519.6643469739993</v>
      </c>
      <c r="S13" s="20"/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1756.5</v>
      </c>
      <c r="D14" s="22">
        <f t="shared" si="0"/>
        <v>0</v>
      </c>
      <c r="E14" s="22">
        <f t="shared" si="1"/>
        <v>1756.5</v>
      </c>
      <c r="F14" s="44">
        <f t="shared" si="2"/>
        <v>3.6522303244278381E-3</v>
      </c>
      <c r="G14" s="22">
        <f t="shared" si="3"/>
        <v>187.5420271593695</v>
      </c>
      <c r="H14" s="22">
        <v>4</v>
      </c>
      <c r="I14" s="22">
        <f t="shared" si="4"/>
        <v>494.79759999999999</v>
      </c>
      <c r="J14" s="22">
        <f t="shared" si="5"/>
        <v>688.13803653436946</v>
      </c>
      <c r="K14" s="22">
        <f t="shared" si="6"/>
        <v>5044.859375</v>
      </c>
      <c r="L14" s="22">
        <v>0</v>
      </c>
      <c r="M14" s="22">
        <v>0</v>
      </c>
      <c r="N14" s="22"/>
      <c r="O14" s="22">
        <v>0</v>
      </c>
      <c r="P14" s="22">
        <v>0</v>
      </c>
      <c r="Q14" s="22">
        <v>0</v>
      </c>
      <c r="R14" s="22">
        <f t="shared" si="7"/>
        <v>5732.9974115343693</v>
      </c>
      <c r="S14" s="22" t="s">
        <v>315</v>
      </c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6880</v>
      </c>
      <c r="D15" s="20">
        <f t="shared" si="0"/>
        <v>0</v>
      </c>
      <c r="E15" s="20">
        <f t="shared" si="1"/>
        <v>6880</v>
      </c>
      <c r="F15" s="43">
        <f t="shared" si="2"/>
        <v>1.4305348495339326E-2</v>
      </c>
      <c r="G15" s="20">
        <f t="shared" si="3"/>
        <v>734.57964523567443</v>
      </c>
      <c r="H15" s="20">
        <v>3</v>
      </c>
      <c r="I15" s="20">
        <f t="shared" si="4"/>
        <v>371.09820000000002</v>
      </c>
      <c r="J15" s="20">
        <f t="shared" si="5"/>
        <v>1111.4762546106745</v>
      </c>
      <c r="K15" s="20">
        <f t="shared" si="6"/>
        <v>5044.859375</v>
      </c>
      <c r="L15" s="20">
        <v>0</v>
      </c>
      <c r="M15" s="20">
        <v>0</v>
      </c>
      <c r="N15" s="20"/>
      <c r="O15" s="20">
        <v>0</v>
      </c>
      <c r="P15" s="20">
        <v>0</v>
      </c>
      <c r="Q15" s="20">
        <v>0</v>
      </c>
      <c r="R15" s="20">
        <f t="shared" si="7"/>
        <v>6156.335629610674</v>
      </c>
      <c r="S15" s="20" t="s">
        <v>245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1201</v>
      </c>
      <c r="D16" s="22">
        <f t="shared" si="0"/>
        <v>0</v>
      </c>
      <c r="E16" s="22">
        <f t="shared" si="1"/>
        <v>1201</v>
      </c>
      <c r="F16" s="44">
        <f t="shared" si="2"/>
        <v>2.4971981893753678E-3</v>
      </c>
      <c r="G16" s="22">
        <f t="shared" si="3"/>
        <v>128.23112702442515</v>
      </c>
      <c r="H16" s="22">
        <v>3</v>
      </c>
      <c r="I16" s="22">
        <f t="shared" si="4"/>
        <v>371.09820000000002</v>
      </c>
      <c r="J16" s="22">
        <f t="shared" si="5"/>
        <v>505.1277363994252</v>
      </c>
      <c r="K16" s="22">
        <f t="shared" si="6"/>
        <v>5044.859375</v>
      </c>
      <c r="L16" s="22">
        <v>0</v>
      </c>
      <c r="M16" s="22">
        <v>0</v>
      </c>
      <c r="N16" s="22"/>
      <c r="O16" s="22">
        <v>0</v>
      </c>
      <c r="P16" s="22">
        <v>0</v>
      </c>
      <c r="Q16" s="22">
        <v>0</v>
      </c>
      <c r="R16" s="22">
        <f t="shared" si="7"/>
        <v>5549.987111399425</v>
      </c>
      <c r="S16" s="22" t="s">
        <v>246</v>
      </c>
      <c r="T16" s="22"/>
    </row>
    <row r="17" spans="1:21" ht="12.75" customHeight="1" x14ac:dyDescent="0.25">
      <c r="A17" s="19" t="s">
        <v>40</v>
      </c>
      <c r="B17" s="19" t="str">
        <f>VLOOKUP(A17,Members!$A$2:$B$65,2,FALSE)</f>
        <v>Kavitha T</v>
      </c>
      <c r="C17" s="20">
        <v>7265</v>
      </c>
      <c r="D17" s="20">
        <f t="shared" si="0"/>
        <v>0</v>
      </c>
      <c r="E17" s="20">
        <f t="shared" si="1"/>
        <v>7265</v>
      </c>
      <c r="F17" s="43">
        <f t="shared" si="2"/>
        <v>1.510586581666282E-2</v>
      </c>
      <c r="G17" s="20">
        <f t="shared" si="3"/>
        <v>775.68620968563584</v>
      </c>
      <c r="H17" s="20">
        <v>3</v>
      </c>
      <c r="I17" s="20">
        <f t="shared" si="4"/>
        <v>371.09820000000002</v>
      </c>
      <c r="J17" s="20">
        <f t="shared" si="5"/>
        <v>1152.5828190606358</v>
      </c>
      <c r="K17" s="20">
        <f t="shared" si="6"/>
        <v>5044.859375</v>
      </c>
      <c r="L17" s="20">
        <v>0</v>
      </c>
      <c r="M17" s="20">
        <v>0</v>
      </c>
      <c r="N17" s="20"/>
      <c r="O17" s="20">
        <v>0</v>
      </c>
      <c r="P17" s="20">
        <v>0</v>
      </c>
      <c r="Q17" s="20">
        <v>0</v>
      </c>
      <c r="R17" s="20">
        <f t="shared" si="7"/>
        <v>6197.4421940606353</v>
      </c>
      <c r="S17" s="20" t="s">
        <v>316</v>
      </c>
      <c r="T17" s="20">
        <f>T15-T16</f>
        <v>0</v>
      </c>
    </row>
    <row r="18" spans="1:21" ht="12.75" customHeight="1" x14ac:dyDescent="0.25">
      <c r="A18" s="21" t="s">
        <v>44</v>
      </c>
      <c r="B18" s="21" t="str">
        <f>VLOOKUP(A18,Members!$A$2:$B$65,2,FALSE)</f>
        <v>Srinivasa Rao</v>
      </c>
      <c r="C18" s="22">
        <v>1396.5</v>
      </c>
      <c r="D18" s="22">
        <f t="shared" si="0"/>
        <v>0</v>
      </c>
      <c r="E18" s="22">
        <f t="shared" si="1"/>
        <v>1396.5</v>
      </c>
      <c r="F18" s="44">
        <f t="shared" si="2"/>
        <v>2.903694647346129E-3</v>
      </c>
      <c r="G18" s="22">
        <f t="shared" si="3"/>
        <v>149.10472014122374</v>
      </c>
      <c r="H18" s="22">
        <v>4</v>
      </c>
      <c r="I18" s="22">
        <f t="shared" si="4"/>
        <v>494.79759999999999</v>
      </c>
      <c r="J18" s="22">
        <f t="shared" si="5"/>
        <v>649.70072951622376</v>
      </c>
      <c r="K18" s="22">
        <f t="shared" si="6"/>
        <v>5044.859375</v>
      </c>
      <c r="L18" s="22">
        <v>0</v>
      </c>
      <c r="M18" s="22">
        <v>0</v>
      </c>
      <c r="N18" s="22"/>
      <c r="O18" s="22">
        <v>0</v>
      </c>
      <c r="P18" s="22">
        <v>0</v>
      </c>
      <c r="Q18" s="22">
        <v>0</v>
      </c>
      <c r="R18" s="22">
        <f t="shared" si="7"/>
        <v>5694.5601045162239</v>
      </c>
      <c r="S18" s="22" t="s">
        <v>249</v>
      </c>
      <c r="T18" s="22">
        <f>T14-T17</f>
        <v>0</v>
      </c>
    </row>
    <row r="19" spans="1:21" ht="12.75" customHeight="1" x14ac:dyDescent="0.25">
      <c r="A19" s="19" t="s">
        <v>46</v>
      </c>
      <c r="B19" s="19" t="str">
        <f>VLOOKUP(A19,Members!$A$2:$B$65,2,FALSE)</f>
        <v>Hemant Patel</v>
      </c>
      <c r="C19" s="20">
        <v>8922.5</v>
      </c>
      <c r="D19" s="20">
        <f t="shared" si="0"/>
        <v>0</v>
      </c>
      <c r="E19" s="20">
        <f t="shared" si="1"/>
        <v>8922.5</v>
      </c>
      <c r="F19" s="43">
        <f t="shared" si="2"/>
        <v>1.8552248829893189E-2</v>
      </c>
      <c r="G19" s="20">
        <f t="shared" si="3"/>
        <v>952.65797741501524</v>
      </c>
      <c r="H19" s="20">
        <v>4</v>
      </c>
      <c r="I19" s="20">
        <f t="shared" si="4"/>
        <v>494.79759999999999</v>
      </c>
      <c r="J19" s="20">
        <f t="shared" si="5"/>
        <v>1453.2539867900152</v>
      </c>
      <c r="K19" s="20">
        <f t="shared" si="6"/>
        <v>5044.859375</v>
      </c>
      <c r="L19" s="20">
        <v>0</v>
      </c>
      <c r="M19" s="20">
        <v>0</v>
      </c>
      <c r="N19" s="20"/>
      <c r="O19" s="20">
        <v>0</v>
      </c>
      <c r="P19" s="20">
        <v>0</v>
      </c>
      <c r="Q19" s="20">
        <v>0</v>
      </c>
      <c r="R19" s="20">
        <f t="shared" si="7"/>
        <v>6498.113361790015</v>
      </c>
      <c r="S19" s="20"/>
      <c r="T19" s="20"/>
    </row>
    <row r="20" spans="1:21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4616</v>
      </c>
      <c r="D20" s="22">
        <f t="shared" si="0"/>
        <v>0</v>
      </c>
      <c r="E20" s="22">
        <f t="shared" si="1"/>
        <v>4616</v>
      </c>
      <c r="F20" s="44">
        <f t="shared" si="2"/>
        <v>9.5978907928032445E-3</v>
      </c>
      <c r="G20" s="22">
        <f t="shared" si="3"/>
        <v>492.85169221044663</v>
      </c>
      <c r="H20" s="22">
        <v>4</v>
      </c>
      <c r="I20" s="22">
        <f t="shared" si="4"/>
        <v>494.79759999999999</v>
      </c>
      <c r="J20" s="22">
        <f t="shared" si="5"/>
        <v>993.44770158544657</v>
      </c>
      <c r="K20" s="22">
        <f t="shared" si="6"/>
        <v>5044.859375</v>
      </c>
      <c r="L20" s="22">
        <v>750</v>
      </c>
      <c r="M20" s="22">
        <v>0</v>
      </c>
      <c r="N20" s="22"/>
      <c r="O20" s="22">
        <v>0</v>
      </c>
      <c r="P20" s="22">
        <v>0</v>
      </c>
      <c r="Q20" s="22">
        <v>0</v>
      </c>
      <c r="R20" s="22">
        <f t="shared" si="7"/>
        <v>6788.3070765854463</v>
      </c>
      <c r="S20" s="22"/>
      <c r="T20" s="22"/>
    </row>
    <row r="21" spans="1:21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14911</v>
      </c>
      <c r="D21" s="20">
        <f t="shared" si="0"/>
        <v>0</v>
      </c>
      <c r="E21" s="20">
        <f t="shared" si="1"/>
        <v>14911</v>
      </c>
      <c r="F21" s="43">
        <f t="shared" si="2"/>
        <v>3.1003931891570448E-2</v>
      </c>
      <c r="G21" s="20">
        <f t="shared" si="3"/>
        <v>1592.0519026321424</v>
      </c>
      <c r="H21" s="20">
        <v>3</v>
      </c>
      <c r="I21" s="20">
        <f t="shared" si="4"/>
        <v>371.09820000000002</v>
      </c>
      <c r="J21" s="20">
        <f t="shared" si="5"/>
        <v>1968.9485120071422</v>
      </c>
      <c r="K21" s="20">
        <f t="shared" si="6"/>
        <v>5044.859375</v>
      </c>
      <c r="L21" s="20">
        <v>0</v>
      </c>
      <c r="M21" s="20">
        <v>0</v>
      </c>
      <c r="N21" s="20"/>
      <c r="O21" s="20">
        <v>0</v>
      </c>
      <c r="P21" s="20">
        <v>0</v>
      </c>
      <c r="Q21" s="20">
        <v>0</v>
      </c>
      <c r="R21" s="20">
        <f t="shared" si="7"/>
        <v>7013.8078870071422</v>
      </c>
      <c r="S21" s="20"/>
      <c r="T21" s="20"/>
    </row>
    <row r="22" spans="1:21" ht="12.75" customHeight="1" x14ac:dyDescent="0.25">
      <c r="A22" s="21" t="s">
        <v>57</v>
      </c>
      <c r="B22" s="21" t="str">
        <f>VLOOKUP(A22,Members!$A$2:$B$65,2,FALSE)</f>
        <v>Digvijay Verma</v>
      </c>
      <c r="C22" s="22">
        <v>36547.5</v>
      </c>
      <c r="D22" s="22">
        <f t="shared" si="0"/>
        <v>0</v>
      </c>
      <c r="E22" s="22">
        <f t="shared" si="1"/>
        <v>36547.5</v>
      </c>
      <c r="F22" s="44">
        <f t="shared" si="2"/>
        <v>7.5991965717065985E-2</v>
      </c>
      <c r="G22" s="22">
        <f t="shared" si="3"/>
        <v>3902.1874395713385</v>
      </c>
      <c r="H22" s="22">
        <v>3</v>
      </c>
      <c r="I22" s="22">
        <f t="shared" si="4"/>
        <v>371.09820000000002</v>
      </c>
      <c r="J22" s="22">
        <f t="shared" si="5"/>
        <v>4279.084048946339</v>
      </c>
      <c r="K22" s="22">
        <f t="shared" si="6"/>
        <v>5044.859375</v>
      </c>
      <c r="L22" s="22">
        <v>0</v>
      </c>
      <c r="M22" s="22">
        <v>0</v>
      </c>
      <c r="N22" s="22"/>
      <c r="O22" s="22">
        <v>0</v>
      </c>
      <c r="P22" s="22">
        <v>0</v>
      </c>
      <c r="Q22" s="22">
        <v>1000</v>
      </c>
      <c r="R22" s="22">
        <f t="shared" si="7"/>
        <v>10323.943423946339</v>
      </c>
      <c r="S22" s="22"/>
      <c r="T22" s="22"/>
      <c r="U22" t="s">
        <v>314</v>
      </c>
    </row>
    <row r="23" spans="1:21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13248.5</v>
      </c>
      <c r="D23" s="20">
        <f t="shared" si="0"/>
        <v>0</v>
      </c>
      <c r="E23" s="20">
        <f t="shared" si="1"/>
        <v>13248.5</v>
      </c>
      <c r="F23" s="43">
        <f t="shared" si="2"/>
        <v>2.7547152549491725E-2</v>
      </c>
      <c r="G23" s="20">
        <f t="shared" si="3"/>
        <v>1414.5462834164</v>
      </c>
      <c r="H23" s="20">
        <v>4</v>
      </c>
      <c r="I23" s="20">
        <f t="shared" si="4"/>
        <v>494.79759999999999</v>
      </c>
      <c r="J23" s="20">
        <f t="shared" si="5"/>
        <v>1915.1422927914</v>
      </c>
      <c r="K23" s="20">
        <f t="shared" si="6"/>
        <v>5044.859375</v>
      </c>
      <c r="L23" s="20">
        <v>0</v>
      </c>
      <c r="M23" s="20">
        <v>0</v>
      </c>
      <c r="N23" s="20"/>
      <c r="O23" s="20">
        <v>0</v>
      </c>
      <c r="P23" s="20">
        <v>0</v>
      </c>
      <c r="Q23" s="20">
        <v>0</v>
      </c>
      <c r="R23" s="20">
        <f t="shared" si="7"/>
        <v>6960.0016677914</v>
      </c>
      <c r="S23" s="20"/>
      <c r="T23" s="20"/>
    </row>
    <row r="24" spans="1:21" ht="12.75" customHeight="1" x14ac:dyDescent="0.25">
      <c r="A24" s="21" t="s">
        <v>62</v>
      </c>
      <c r="B24" s="21" t="str">
        <f>VLOOKUP(A24,Members!$A$2:$B$65,2,FALSE)</f>
        <v>Balakrishnan</v>
      </c>
      <c r="C24" s="22">
        <v>10576.5</v>
      </c>
      <c r="D24" s="22">
        <f t="shared" si="0"/>
        <v>0</v>
      </c>
      <c r="E24" s="22">
        <f t="shared" si="1"/>
        <v>10576.5</v>
      </c>
      <c r="F24" s="44">
        <f t="shared" si="2"/>
        <v>2.1991354412929705E-2</v>
      </c>
      <c r="G24" s="22">
        <f t="shared" si="3"/>
        <v>1129.2560491039403</v>
      </c>
      <c r="H24" s="22">
        <v>4</v>
      </c>
      <c r="I24" s="22">
        <f t="shared" si="4"/>
        <v>494.79759999999999</v>
      </c>
      <c r="J24" s="22">
        <f t="shared" si="5"/>
        <v>1629.8520584789403</v>
      </c>
      <c r="K24" s="22">
        <f t="shared" si="6"/>
        <v>5044.859375</v>
      </c>
      <c r="L24" s="22">
        <v>0</v>
      </c>
      <c r="M24" s="22">
        <v>0</v>
      </c>
      <c r="N24" s="22"/>
      <c r="O24" s="22">
        <v>0</v>
      </c>
      <c r="P24" s="22">
        <v>0</v>
      </c>
      <c r="Q24" s="22">
        <v>0</v>
      </c>
      <c r="R24" s="22">
        <f t="shared" si="7"/>
        <v>6674.7114334789403</v>
      </c>
      <c r="S24" s="22"/>
      <c r="T24" s="22"/>
    </row>
    <row r="25" spans="1:21" ht="12.75" customHeight="1" x14ac:dyDescent="0.25">
      <c r="A25" s="19" t="s">
        <v>65</v>
      </c>
      <c r="B25" s="19" t="str">
        <f>VLOOKUP(A25,Members!$A$2:$B$65,2,FALSE)</f>
        <v>Ashwin Pandith</v>
      </c>
      <c r="C25" s="20">
        <v>7970</v>
      </c>
      <c r="D25" s="20">
        <f t="shared" si="0"/>
        <v>0</v>
      </c>
      <c r="E25" s="20">
        <f t="shared" si="1"/>
        <v>7970</v>
      </c>
      <c r="F25" s="43">
        <f t="shared" si="2"/>
        <v>1.6571748184281167E-2</v>
      </c>
      <c r="G25" s="20">
        <f t="shared" si="3"/>
        <v>850.95926926283789</v>
      </c>
      <c r="H25" s="20">
        <v>4</v>
      </c>
      <c r="I25" s="20">
        <f t="shared" si="4"/>
        <v>494.79759999999999</v>
      </c>
      <c r="J25" s="20">
        <f t="shared" si="5"/>
        <v>1351.555278637838</v>
      </c>
      <c r="K25" s="20">
        <f t="shared" si="6"/>
        <v>5044.859375</v>
      </c>
      <c r="L25" s="20">
        <v>0</v>
      </c>
      <c r="M25" s="20">
        <v>0</v>
      </c>
      <c r="N25" s="20"/>
      <c r="O25" s="20">
        <v>0</v>
      </c>
      <c r="P25" s="20">
        <v>0</v>
      </c>
      <c r="Q25" s="20">
        <v>0</v>
      </c>
      <c r="R25" s="20">
        <f t="shared" si="7"/>
        <v>6396.4146536378375</v>
      </c>
      <c r="S25" s="20"/>
      <c r="T25" s="20"/>
    </row>
    <row r="26" spans="1:21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7252</v>
      </c>
      <c r="D26" s="22">
        <f t="shared" si="0"/>
        <v>0</v>
      </c>
      <c r="E26" s="22">
        <f t="shared" si="1"/>
        <v>7252</v>
      </c>
      <c r="F26" s="44">
        <f t="shared" si="2"/>
        <v>1.5078835361657092E-2</v>
      </c>
      <c r="G26" s="22">
        <f t="shared" si="3"/>
        <v>774.29819582109167</v>
      </c>
      <c r="H26" s="22">
        <v>3</v>
      </c>
      <c r="I26" s="22">
        <f t="shared" si="4"/>
        <v>371.09820000000002</v>
      </c>
      <c r="J26" s="22">
        <f t="shared" si="5"/>
        <v>1151.1948051960917</v>
      </c>
      <c r="K26" s="22">
        <f t="shared" si="6"/>
        <v>5044.859375</v>
      </c>
      <c r="L26" s="22">
        <v>0</v>
      </c>
      <c r="M26" s="22">
        <v>0</v>
      </c>
      <c r="N26" s="22"/>
      <c r="O26" s="22">
        <v>0</v>
      </c>
      <c r="P26" s="22">
        <v>0</v>
      </c>
      <c r="Q26" s="22">
        <v>1000</v>
      </c>
      <c r="R26" s="22">
        <f t="shared" si="7"/>
        <v>7196.0541801960917</v>
      </c>
      <c r="S26" s="22"/>
      <c r="T26" s="22"/>
      <c r="U26" t="s">
        <v>314</v>
      </c>
    </row>
    <row r="27" spans="1:21" ht="12.75" customHeight="1" x14ac:dyDescent="0.25">
      <c r="A27" s="19" t="s">
        <v>70</v>
      </c>
      <c r="B27" s="19" t="str">
        <f>VLOOKUP(A27,Members!$A$2:$B$65,2,FALSE)</f>
        <v>Srinath</v>
      </c>
      <c r="C27" s="20">
        <v>827</v>
      </c>
      <c r="D27" s="20">
        <f t="shared" si="0"/>
        <v>0</v>
      </c>
      <c r="E27" s="20">
        <f t="shared" si="1"/>
        <v>827</v>
      </c>
      <c r="F27" s="43">
        <f t="shared" si="2"/>
        <v>1.719552791518259E-3</v>
      </c>
      <c r="G27" s="20">
        <f t="shared" si="3"/>
        <v>88.299035844462594</v>
      </c>
      <c r="H27" s="20">
        <v>3</v>
      </c>
      <c r="I27" s="20">
        <f t="shared" si="4"/>
        <v>371.09820000000002</v>
      </c>
      <c r="J27" s="20">
        <f t="shared" si="5"/>
        <v>465.19564521946262</v>
      </c>
      <c r="K27" s="20">
        <f t="shared" si="6"/>
        <v>5044.859375</v>
      </c>
      <c r="L27" s="20">
        <v>0</v>
      </c>
      <c r="M27" s="20">
        <v>0</v>
      </c>
      <c r="N27" s="20"/>
      <c r="O27" s="20">
        <v>0</v>
      </c>
      <c r="P27" s="20">
        <v>0</v>
      </c>
      <c r="Q27" s="20">
        <v>0</v>
      </c>
      <c r="R27" s="20">
        <f t="shared" si="7"/>
        <v>5510.0550202194627</v>
      </c>
      <c r="S27" s="20"/>
      <c r="T27" s="20"/>
    </row>
    <row r="28" spans="1:21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7230.5</v>
      </c>
      <c r="D28" s="22">
        <f t="shared" si="0"/>
        <v>0</v>
      </c>
      <c r="E28" s="22">
        <f t="shared" si="1"/>
        <v>7230.5</v>
      </c>
      <c r="F28" s="44">
        <f t="shared" si="2"/>
        <v>1.5034131147609157E-2</v>
      </c>
      <c r="G28" s="22">
        <f t="shared" si="3"/>
        <v>772.00263442973016</v>
      </c>
      <c r="H28" s="22">
        <v>3</v>
      </c>
      <c r="I28" s="22">
        <f t="shared" si="4"/>
        <v>371.09820000000002</v>
      </c>
      <c r="J28" s="22">
        <f t="shared" si="5"/>
        <v>1148.8992438047303</v>
      </c>
      <c r="K28" s="22">
        <f t="shared" si="6"/>
        <v>5044.859375</v>
      </c>
      <c r="L28" s="22">
        <v>0</v>
      </c>
      <c r="M28" s="22">
        <v>0</v>
      </c>
      <c r="N28" s="22"/>
      <c r="O28" s="22">
        <v>0</v>
      </c>
      <c r="P28" s="22">
        <v>0</v>
      </c>
      <c r="Q28" s="22">
        <v>0</v>
      </c>
      <c r="R28" s="22">
        <f t="shared" si="7"/>
        <v>6193.7586188047298</v>
      </c>
      <c r="S28" s="22"/>
      <c r="T28" s="22"/>
    </row>
    <row r="29" spans="1:21" ht="12.75" customHeight="1" x14ac:dyDescent="0.25">
      <c r="A29" s="19" t="s">
        <v>77</v>
      </c>
      <c r="B29" s="19" t="str">
        <f>VLOOKUP(A29,Members!$A$2:$B$65,2,FALSE)</f>
        <v>Arun M</v>
      </c>
      <c r="C29" s="20">
        <v>1050.5</v>
      </c>
      <c r="D29" s="20">
        <f t="shared" si="0"/>
        <v>0</v>
      </c>
      <c r="E29" s="20">
        <f t="shared" si="1"/>
        <v>1050.5</v>
      </c>
      <c r="F29" s="43">
        <f t="shared" si="2"/>
        <v>2.18426869103982E-3</v>
      </c>
      <c r="G29" s="20">
        <f t="shared" si="3"/>
        <v>112.16219728489476</v>
      </c>
      <c r="H29" s="20">
        <v>3</v>
      </c>
      <c r="I29" s="20">
        <f t="shared" si="4"/>
        <v>371.09820000000002</v>
      </c>
      <c r="J29" s="20">
        <f t="shared" si="5"/>
        <v>489.0588066598948</v>
      </c>
      <c r="K29" s="20">
        <f t="shared" si="6"/>
        <v>5044.859375</v>
      </c>
      <c r="L29" s="20">
        <v>0</v>
      </c>
      <c r="M29" s="20">
        <v>0</v>
      </c>
      <c r="N29" s="20"/>
      <c r="O29" s="20">
        <v>0</v>
      </c>
      <c r="P29" s="20">
        <v>0</v>
      </c>
      <c r="Q29" s="20">
        <v>0</v>
      </c>
      <c r="R29" s="20">
        <f t="shared" si="7"/>
        <v>5533.9181816598948</v>
      </c>
      <c r="S29" s="20"/>
      <c r="T29" s="20"/>
    </row>
    <row r="30" spans="1:21" ht="12.75" customHeight="1" x14ac:dyDescent="0.25">
      <c r="A30" s="21" t="s">
        <v>80</v>
      </c>
      <c r="B30" s="21" t="str">
        <f>VLOOKUP(A30,Members!$A$2:$B$65,2,FALSE)</f>
        <v>Chandramouli</v>
      </c>
      <c r="C30" s="22">
        <v>9463.5</v>
      </c>
      <c r="D30" s="22">
        <f t="shared" si="0"/>
        <v>0</v>
      </c>
      <c r="E30" s="22">
        <f t="shared" si="1"/>
        <v>9463.5</v>
      </c>
      <c r="F30" s="44">
        <f t="shared" si="2"/>
        <v>1.9677131611285422E-2</v>
      </c>
      <c r="G30" s="22">
        <f t="shared" si="3"/>
        <v>1010.4207082395064</v>
      </c>
      <c r="H30" s="22">
        <v>5</v>
      </c>
      <c r="I30" s="22">
        <f t="shared" si="4"/>
        <v>618.49699999999996</v>
      </c>
      <c r="J30" s="22">
        <f t="shared" si="5"/>
        <v>1634.7161176145064</v>
      </c>
      <c r="K30" s="22">
        <f t="shared" si="6"/>
        <v>5044.859375</v>
      </c>
      <c r="L30" s="22">
        <v>0</v>
      </c>
      <c r="M30" s="22">
        <v>0</v>
      </c>
      <c r="N30" s="22"/>
      <c r="O30" s="22">
        <v>0</v>
      </c>
      <c r="P30" s="22">
        <v>0</v>
      </c>
      <c r="Q30" s="22">
        <v>0</v>
      </c>
      <c r="R30" s="22">
        <f t="shared" si="7"/>
        <v>6679.5754926145064</v>
      </c>
      <c r="S30" s="22"/>
      <c r="T30" s="22"/>
    </row>
    <row r="31" spans="1:21" ht="12.75" customHeight="1" x14ac:dyDescent="0.25">
      <c r="A31" s="19" t="s">
        <v>83</v>
      </c>
      <c r="B31" s="19" t="str">
        <f>VLOOKUP(A31,Members!$A$2:$B$65,2,FALSE)</f>
        <v>Richa Singh</v>
      </c>
      <c r="C31" s="20">
        <v>3149</v>
      </c>
      <c r="D31" s="20">
        <f t="shared" si="0"/>
        <v>0</v>
      </c>
      <c r="E31" s="20">
        <f t="shared" si="1"/>
        <v>3149</v>
      </c>
      <c r="F31" s="43">
        <f t="shared" si="2"/>
        <v>6.5476079086952818E-3</v>
      </c>
      <c r="G31" s="20">
        <f t="shared" si="3"/>
        <v>336.2196661115027</v>
      </c>
      <c r="H31" s="20">
        <v>3</v>
      </c>
      <c r="I31" s="20">
        <f t="shared" si="4"/>
        <v>371.09820000000002</v>
      </c>
      <c r="J31" s="20">
        <f t="shared" si="5"/>
        <v>713.11627548650267</v>
      </c>
      <c r="K31" s="20">
        <f t="shared" si="6"/>
        <v>5044.859375</v>
      </c>
      <c r="L31" s="20">
        <v>0</v>
      </c>
      <c r="M31" s="20">
        <v>0</v>
      </c>
      <c r="N31" s="20"/>
      <c r="O31" s="20">
        <v>0</v>
      </c>
      <c r="P31" s="20">
        <v>0</v>
      </c>
      <c r="Q31" s="20">
        <v>0</v>
      </c>
      <c r="R31" s="20">
        <f t="shared" si="7"/>
        <v>5757.9756504865027</v>
      </c>
      <c r="S31" s="20"/>
      <c r="T31" s="20"/>
    </row>
    <row r="32" spans="1:21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1303.5</v>
      </c>
      <c r="D32" s="22">
        <f t="shared" si="0"/>
        <v>0</v>
      </c>
      <c r="E32" s="22">
        <f t="shared" si="1"/>
        <v>1303.5</v>
      </c>
      <c r="F32" s="44">
        <f t="shared" si="2"/>
        <v>2.7103229307666875E-3</v>
      </c>
      <c r="G32" s="22">
        <f t="shared" si="3"/>
        <v>139.1750824948694</v>
      </c>
      <c r="H32" s="22">
        <v>3</v>
      </c>
      <c r="I32" s="22">
        <f t="shared" si="4"/>
        <v>371.09820000000002</v>
      </c>
      <c r="J32" s="22">
        <f t="shared" si="5"/>
        <v>516.07169186986948</v>
      </c>
      <c r="K32" s="22">
        <f t="shared" si="6"/>
        <v>5044.859375</v>
      </c>
      <c r="L32" s="22">
        <v>0</v>
      </c>
      <c r="M32" s="22">
        <v>0</v>
      </c>
      <c r="N32" s="22"/>
      <c r="O32" s="22">
        <v>0</v>
      </c>
      <c r="P32" s="22">
        <v>0</v>
      </c>
      <c r="Q32" s="22">
        <v>0</v>
      </c>
      <c r="R32" s="22">
        <f t="shared" si="7"/>
        <v>5560.931066869869</v>
      </c>
      <c r="S32" s="22"/>
      <c r="T32" s="22"/>
    </row>
    <row r="33" spans="1:21" ht="12.75" customHeight="1" x14ac:dyDescent="0.25">
      <c r="A33" s="19" t="s">
        <v>91</v>
      </c>
      <c r="B33" s="19" t="str">
        <f>VLOOKUP(A33,Members!$A$2:$B$65,2,FALSE)</f>
        <v>Shyam Nair</v>
      </c>
      <c r="C33" s="20">
        <v>13248.5</v>
      </c>
      <c r="D33" s="20">
        <f t="shared" si="0"/>
        <v>0</v>
      </c>
      <c r="E33" s="20">
        <f t="shared" si="1"/>
        <v>13248.5</v>
      </c>
      <c r="F33" s="43">
        <f t="shared" si="2"/>
        <v>2.7547152549491725E-2</v>
      </c>
      <c r="G33" s="20">
        <f t="shared" si="3"/>
        <v>1414.5462834164</v>
      </c>
      <c r="H33" s="20">
        <v>3</v>
      </c>
      <c r="I33" s="20">
        <f t="shared" si="4"/>
        <v>371.09820000000002</v>
      </c>
      <c r="J33" s="20">
        <f t="shared" si="5"/>
        <v>1791.4428927914</v>
      </c>
      <c r="K33" s="20">
        <f t="shared" si="6"/>
        <v>5044.859375</v>
      </c>
      <c r="L33" s="20">
        <v>0</v>
      </c>
      <c r="M33" s="20">
        <v>0</v>
      </c>
      <c r="N33" s="20"/>
      <c r="O33" s="20">
        <v>0</v>
      </c>
      <c r="P33" s="20">
        <v>0</v>
      </c>
      <c r="Q33" s="20">
        <v>0</v>
      </c>
      <c r="R33" s="20">
        <f t="shared" si="7"/>
        <v>6836.3022677913996</v>
      </c>
      <c r="S33" s="20"/>
      <c r="T33" s="20"/>
    </row>
    <row r="34" spans="1:21" ht="12.75" customHeight="1" x14ac:dyDescent="0.25">
      <c r="A34" s="21" t="s">
        <v>95</v>
      </c>
      <c r="B34" s="21" t="str">
        <f>VLOOKUP(A34,Members!$A$2:$B$65,2,FALSE)</f>
        <v>Ajai.B</v>
      </c>
      <c r="C34" s="22">
        <v>6907.5</v>
      </c>
      <c r="D34" s="22">
        <f t="shared" si="0"/>
        <v>0</v>
      </c>
      <c r="E34" s="22">
        <f t="shared" si="1"/>
        <v>6907.5</v>
      </c>
      <c r="F34" s="44">
        <f t="shared" si="2"/>
        <v>1.4362528304005289E-2</v>
      </c>
      <c r="G34" s="22">
        <f t="shared" si="3"/>
        <v>737.51582841067159</v>
      </c>
      <c r="H34" s="22">
        <v>4</v>
      </c>
      <c r="I34" s="22">
        <f t="shared" si="4"/>
        <v>494.79759999999999</v>
      </c>
      <c r="J34" s="22">
        <f t="shared" si="5"/>
        <v>1238.1118377856715</v>
      </c>
      <c r="K34" s="22">
        <f t="shared" si="6"/>
        <v>5044.859375</v>
      </c>
      <c r="L34" s="22">
        <v>0</v>
      </c>
      <c r="M34" s="22">
        <v>0</v>
      </c>
      <c r="N34" s="22"/>
      <c r="O34" s="22">
        <v>0</v>
      </c>
      <c r="P34" s="22">
        <v>0</v>
      </c>
      <c r="Q34" s="22">
        <v>0</v>
      </c>
      <c r="R34" s="22">
        <f t="shared" si="7"/>
        <v>6282.971212785671</v>
      </c>
      <c r="S34" s="22"/>
      <c r="T34" s="22"/>
    </row>
    <row r="35" spans="1:21" ht="12.75" customHeight="1" x14ac:dyDescent="0.25">
      <c r="A35" s="19" t="s">
        <v>98</v>
      </c>
      <c r="B35" s="19" t="str">
        <f>VLOOKUP(A35,Members!$A$2:$B$65,2,FALSE)</f>
        <v>Surajit Borah</v>
      </c>
      <c r="C35" s="20">
        <v>11465.5</v>
      </c>
      <c r="D35" s="20">
        <f t="shared" si="0"/>
        <v>0</v>
      </c>
      <c r="E35" s="20">
        <f t="shared" si="1"/>
        <v>11465.5</v>
      </c>
      <c r="F35" s="43">
        <f t="shared" si="2"/>
        <v>2.3839821682167594E-2</v>
      </c>
      <c r="G35" s="20">
        <f t="shared" si="3"/>
        <v>1224.1748433793059</v>
      </c>
      <c r="H35" s="20">
        <v>4</v>
      </c>
      <c r="I35" s="20">
        <f t="shared" si="4"/>
        <v>494.79759999999999</v>
      </c>
      <c r="J35" s="20">
        <f t="shared" si="5"/>
        <v>1724.7708527543059</v>
      </c>
      <c r="K35" s="20">
        <f t="shared" si="6"/>
        <v>5044.859375</v>
      </c>
      <c r="L35" s="20">
        <v>0</v>
      </c>
      <c r="M35" s="20">
        <v>0</v>
      </c>
      <c r="N35" s="20"/>
      <c r="O35" s="20">
        <v>0</v>
      </c>
      <c r="P35" s="20">
        <v>0</v>
      </c>
      <c r="Q35" s="20">
        <v>0</v>
      </c>
      <c r="R35" s="20">
        <f t="shared" si="7"/>
        <v>6769.6302277543055</v>
      </c>
      <c r="S35" s="20"/>
      <c r="T35" s="20"/>
    </row>
    <row r="36" spans="1:21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8395.5</v>
      </c>
      <c r="D36" s="22">
        <f t="shared" si="0"/>
        <v>0</v>
      </c>
      <c r="E36" s="22">
        <f t="shared" si="1"/>
        <v>8395.5</v>
      </c>
      <c r="F36" s="44">
        <f t="shared" si="2"/>
        <v>1.7456475769276353E-2</v>
      </c>
      <c r="G36" s="22">
        <f t="shared" si="3"/>
        <v>896.39003075234075</v>
      </c>
      <c r="H36" s="22">
        <v>4</v>
      </c>
      <c r="I36" s="22">
        <f t="shared" si="4"/>
        <v>494.79759999999999</v>
      </c>
      <c r="J36" s="22">
        <f t="shared" si="5"/>
        <v>1396.9860401273409</v>
      </c>
      <c r="K36" s="22">
        <f t="shared" si="6"/>
        <v>5044.859375</v>
      </c>
      <c r="L36" s="22">
        <v>0</v>
      </c>
      <c r="M36" s="22">
        <v>0</v>
      </c>
      <c r="N36" s="22"/>
      <c r="O36" s="22">
        <v>0</v>
      </c>
      <c r="P36" s="22">
        <v>0</v>
      </c>
      <c r="Q36" s="22">
        <v>1000</v>
      </c>
      <c r="R36" s="22">
        <f t="shared" si="7"/>
        <v>7441.8454151273409</v>
      </c>
      <c r="S36" s="22"/>
      <c r="T36" s="22"/>
      <c r="U36" t="s">
        <v>314</v>
      </c>
    </row>
    <row r="37" spans="1:21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4489</v>
      </c>
      <c r="D37" s="20">
        <f t="shared" si="0"/>
        <v>0</v>
      </c>
      <c r="E37" s="20">
        <f t="shared" si="1"/>
        <v>4489</v>
      </c>
      <c r="F37" s="43">
        <f t="shared" si="2"/>
        <v>9.3338240400549759E-3</v>
      </c>
      <c r="G37" s="20">
        <f t="shared" si="3"/>
        <v>479.29186445682302</v>
      </c>
      <c r="H37" s="20">
        <v>3</v>
      </c>
      <c r="I37" s="20">
        <f t="shared" si="4"/>
        <v>371.09820000000002</v>
      </c>
      <c r="J37" s="20">
        <f t="shared" si="5"/>
        <v>856.1884738318231</v>
      </c>
      <c r="K37" s="20">
        <f t="shared" si="6"/>
        <v>5044.859375</v>
      </c>
      <c r="L37" s="20">
        <v>0</v>
      </c>
      <c r="M37" s="20">
        <v>0</v>
      </c>
      <c r="N37" s="20"/>
      <c r="O37" s="20">
        <v>0</v>
      </c>
      <c r="P37" s="20">
        <v>0</v>
      </c>
      <c r="Q37" s="20">
        <v>0</v>
      </c>
      <c r="R37" s="20">
        <f t="shared" si="7"/>
        <v>5901.0478488318231</v>
      </c>
      <c r="S37" s="20"/>
      <c r="T37" s="20"/>
    </row>
    <row r="38" spans="1:21" ht="12.75" customHeight="1" x14ac:dyDescent="0.25">
      <c r="A38" s="21" t="s">
        <v>109</v>
      </c>
      <c r="B38" s="21" t="str">
        <f>VLOOKUP(A38,Members!$A$2:$B$65,2,FALSE)</f>
        <v>S.N.Behera</v>
      </c>
      <c r="C38" s="22">
        <v>1921</v>
      </c>
      <c r="D38" s="22">
        <f t="shared" ref="D38:D69" si="8">SUM($C$3:$C$5)/64</f>
        <v>0</v>
      </c>
      <c r="E38" s="22">
        <f t="shared" ref="E38:E69" si="9">C38+D38</f>
        <v>1921</v>
      </c>
      <c r="F38" s="44">
        <f t="shared" ref="F38:F69" si="10">IF($C$70=0, 0, E38/$C$70)</f>
        <v>3.994269543538786E-3</v>
      </c>
      <c r="G38" s="22">
        <f t="shared" ref="G38:G69" si="11">F38*$T$5</f>
        <v>205.10574106071667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582.00235043571672</v>
      </c>
      <c r="K38" s="22">
        <f t="shared" ref="K38:K69" si="14">$T$11/64</f>
        <v>5044.859375</v>
      </c>
      <c r="L38" s="22">
        <v>0</v>
      </c>
      <c r="M38" s="22">
        <v>0</v>
      </c>
      <c r="N38" s="22"/>
      <c r="O38" s="22">
        <v>0</v>
      </c>
      <c r="P38" s="22">
        <v>0</v>
      </c>
      <c r="Q38" s="22">
        <v>0</v>
      </c>
      <c r="R38" s="22">
        <f t="shared" ref="R38:R69" si="15">SUM(J38:Q38)*$B$2</f>
        <v>5626.8617254357168</v>
      </c>
      <c r="S38" s="22"/>
      <c r="T38" s="22"/>
    </row>
    <row r="39" spans="1:21" ht="12.75" customHeight="1" x14ac:dyDescent="0.25">
      <c r="A39" s="19" t="s">
        <v>113</v>
      </c>
      <c r="B39" s="19" t="str">
        <f>VLOOKUP(A39,Members!$A$2:$B$65,2,FALSE)</f>
        <v>Sonal Singh</v>
      </c>
      <c r="C39" s="20">
        <v>14576</v>
      </c>
      <c r="D39" s="20">
        <f t="shared" si="8"/>
        <v>0</v>
      </c>
      <c r="E39" s="20">
        <f t="shared" si="9"/>
        <v>14576</v>
      </c>
      <c r="F39" s="43">
        <f t="shared" si="10"/>
        <v>3.0307377858730524E-2</v>
      </c>
      <c r="G39" s="20">
        <f t="shared" si="11"/>
        <v>1556.2838530458125</v>
      </c>
      <c r="H39" s="20">
        <v>4</v>
      </c>
      <c r="I39" s="20">
        <f t="shared" si="12"/>
        <v>494.79759999999999</v>
      </c>
      <c r="J39" s="20">
        <f t="shared" si="13"/>
        <v>2056.8798624208125</v>
      </c>
      <c r="K39" s="20">
        <f t="shared" si="14"/>
        <v>5044.859375</v>
      </c>
      <c r="L39" s="20">
        <v>0</v>
      </c>
      <c r="M39" s="20">
        <v>0</v>
      </c>
      <c r="N39" s="20"/>
      <c r="O39" s="20">
        <v>0</v>
      </c>
      <c r="P39" s="20">
        <v>0</v>
      </c>
      <c r="Q39" s="20">
        <v>0</v>
      </c>
      <c r="R39" s="20">
        <f t="shared" si="15"/>
        <v>7101.7392374208121</v>
      </c>
      <c r="S39" s="20"/>
      <c r="T39" s="20"/>
    </row>
    <row r="40" spans="1:21" ht="12.75" customHeight="1" x14ac:dyDescent="0.25">
      <c r="A40" s="21" t="s">
        <v>116</v>
      </c>
      <c r="B40" s="21" t="str">
        <f>VLOOKUP(A40,Members!$A$2:$B$65,2,FALSE)</f>
        <v>Manikandan N</v>
      </c>
      <c r="C40" s="22">
        <v>8671.5</v>
      </c>
      <c r="D40" s="22">
        <f t="shared" si="8"/>
        <v>0</v>
      </c>
      <c r="E40" s="22">
        <f t="shared" si="9"/>
        <v>8671.5</v>
      </c>
      <c r="F40" s="44">
        <f t="shared" si="10"/>
        <v>1.8030353121705662E-2</v>
      </c>
      <c r="G40" s="22">
        <f t="shared" si="11"/>
        <v>925.85863279958573</v>
      </c>
      <c r="H40" s="22">
        <v>4</v>
      </c>
      <c r="I40" s="22">
        <f t="shared" si="12"/>
        <v>494.79759999999999</v>
      </c>
      <c r="J40" s="22">
        <f t="shared" si="13"/>
        <v>1426.4546421745858</v>
      </c>
      <c r="K40" s="22">
        <f t="shared" si="14"/>
        <v>5044.859375</v>
      </c>
      <c r="L40" s="22">
        <v>0</v>
      </c>
      <c r="M40" s="22">
        <v>0</v>
      </c>
      <c r="N40" s="22"/>
      <c r="O40" s="22">
        <v>0</v>
      </c>
      <c r="P40" s="22">
        <v>0</v>
      </c>
      <c r="Q40" s="22">
        <v>0</v>
      </c>
      <c r="R40" s="22">
        <f t="shared" si="15"/>
        <v>6471.3140171745854</v>
      </c>
      <c r="S40" s="22"/>
      <c r="T40" s="22"/>
    </row>
    <row r="41" spans="1:21" ht="12.75" customHeight="1" x14ac:dyDescent="0.25">
      <c r="A41" s="19" t="s">
        <v>118</v>
      </c>
      <c r="B41" s="19" t="str">
        <f>VLOOKUP(A41,Members!$A$2:$B$65,2,FALSE)</f>
        <v>Swami</v>
      </c>
      <c r="C41" s="20">
        <v>7512</v>
      </c>
      <c r="D41" s="20">
        <f t="shared" si="8"/>
        <v>0</v>
      </c>
      <c r="E41" s="20">
        <f t="shared" si="9"/>
        <v>7512</v>
      </c>
      <c r="F41" s="43">
        <f t="shared" si="10"/>
        <v>1.5619444461771659E-2</v>
      </c>
      <c r="G41" s="20">
        <f t="shared" si="11"/>
        <v>802.05847311197465</v>
      </c>
      <c r="H41" s="20">
        <v>3</v>
      </c>
      <c r="I41" s="20">
        <f t="shared" si="12"/>
        <v>371.09820000000002</v>
      </c>
      <c r="J41" s="20">
        <f t="shared" si="13"/>
        <v>1178.9550824869748</v>
      </c>
      <c r="K41" s="20">
        <f t="shared" si="14"/>
        <v>5044.859375</v>
      </c>
      <c r="L41" s="20">
        <v>0</v>
      </c>
      <c r="M41" s="20">
        <v>0</v>
      </c>
      <c r="N41" s="20"/>
      <c r="O41" s="20">
        <v>0</v>
      </c>
      <c r="P41" s="20">
        <v>0</v>
      </c>
      <c r="Q41" s="20">
        <v>0</v>
      </c>
      <c r="R41" s="20">
        <f t="shared" si="15"/>
        <v>6223.8144574869748</v>
      </c>
      <c r="S41" s="20"/>
      <c r="T41" s="20"/>
    </row>
    <row r="42" spans="1:21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7964.5</v>
      </c>
      <c r="D42" s="22">
        <f t="shared" si="8"/>
        <v>0</v>
      </c>
      <c r="E42" s="22">
        <f t="shared" si="9"/>
        <v>7964.5</v>
      </c>
      <c r="F42" s="44">
        <f t="shared" si="10"/>
        <v>1.6560312222547974E-2</v>
      </c>
      <c r="G42" s="22">
        <f t="shared" si="11"/>
        <v>850.37203262783851</v>
      </c>
      <c r="H42" s="22">
        <v>3</v>
      </c>
      <c r="I42" s="22">
        <f t="shared" si="12"/>
        <v>371.09820000000002</v>
      </c>
      <c r="J42" s="22">
        <f t="shared" si="13"/>
        <v>1227.2686420028385</v>
      </c>
      <c r="K42" s="22">
        <f t="shared" si="14"/>
        <v>5044.859375</v>
      </c>
      <c r="L42" s="22">
        <v>0</v>
      </c>
      <c r="M42" s="22">
        <v>0</v>
      </c>
      <c r="N42" s="22"/>
      <c r="O42" s="22">
        <v>0</v>
      </c>
      <c r="P42" s="22">
        <v>0</v>
      </c>
      <c r="Q42" s="22">
        <v>0</v>
      </c>
      <c r="R42" s="22">
        <f t="shared" si="15"/>
        <v>6272.1280170028385</v>
      </c>
      <c r="S42" s="22"/>
      <c r="T42" s="22"/>
    </row>
    <row r="43" spans="1:21" ht="12.75" customHeight="1" x14ac:dyDescent="0.25">
      <c r="A43" s="19" t="s">
        <v>125</v>
      </c>
      <c r="B43" s="19" t="str">
        <f>VLOOKUP(A43,Members!$A$2:$B$65,2,FALSE)</f>
        <v>Vivek Dhingra</v>
      </c>
      <c r="C43" s="20">
        <v>8347.5</v>
      </c>
      <c r="D43" s="20">
        <f t="shared" si="8"/>
        <v>0</v>
      </c>
      <c r="E43" s="20">
        <f t="shared" si="9"/>
        <v>8347.5</v>
      </c>
      <c r="F43" s="43">
        <f t="shared" si="10"/>
        <v>1.7356671012332126E-2</v>
      </c>
      <c r="G43" s="20">
        <f t="shared" si="11"/>
        <v>891.26505648325463</v>
      </c>
      <c r="H43" s="20">
        <v>3</v>
      </c>
      <c r="I43" s="20">
        <f t="shared" si="12"/>
        <v>371.09820000000002</v>
      </c>
      <c r="J43" s="20">
        <f t="shared" si="13"/>
        <v>1268.1616658582548</v>
      </c>
      <c r="K43" s="20">
        <f t="shared" si="14"/>
        <v>5044.859375</v>
      </c>
      <c r="L43" s="20">
        <v>0</v>
      </c>
      <c r="M43" s="20">
        <v>0</v>
      </c>
      <c r="N43" s="20"/>
      <c r="O43" s="20">
        <v>0</v>
      </c>
      <c r="P43" s="20">
        <v>0</v>
      </c>
      <c r="Q43" s="20">
        <v>0</v>
      </c>
      <c r="R43" s="20">
        <f t="shared" si="15"/>
        <v>6313.0210408582552</v>
      </c>
      <c r="S43" s="20"/>
      <c r="T43" s="20"/>
    </row>
    <row r="44" spans="1:21" ht="12.75" customHeight="1" x14ac:dyDescent="0.25">
      <c r="A44" s="21" t="s">
        <v>128</v>
      </c>
      <c r="B44" s="21" t="str">
        <f>VLOOKUP(A44,Members!$A$2:$B$65,2,FALSE)</f>
        <v>Harish B</v>
      </c>
      <c r="C44" s="22">
        <v>1792.5</v>
      </c>
      <c r="D44" s="22">
        <f t="shared" si="8"/>
        <v>0</v>
      </c>
      <c r="E44" s="22">
        <f t="shared" si="9"/>
        <v>1792.5</v>
      </c>
      <c r="F44" s="44">
        <f t="shared" si="10"/>
        <v>3.7270838921360091E-3</v>
      </c>
      <c r="G44" s="22">
        <f t="shared" si="11"/>
        <v>191.38575786118406</v>
      </c>
      <c r="H44" s="22">
        <v>3</v>
      </c>
      <c r="I44" s="22">
        <f t="shared" si="12"/>
        <v>371.09820000000002</v>
      </c>
      <c r="J44" s="22">
        <f t="shared" si="13"/>
        <v>568.28236723618409</v>
      </c>
      <c r="K44" s="22">
        <f t="shared" si="14"/>
        <v>5044.859375</v>
      </c>
      <c r="L44" s="22">
        <v>0</v>
      </c>
      <c r="M44" s="22">
        <v>0</v>
      </c>
      <c r="N44" s="22"/>
      <c r="O44" s="22">
        <v>0</v>
      </c>
      <c r="P44" s="22">
        <v>0</v>
      </c>
      <c r="Q44" s="22">
        <v>0</v>
      </c>
      <c r="R44" s="22">
        <f t="shared" si="15"/>
        <v>5613.1417422361837</v>
      </c>
      <c r="S44" s="22"/>
      <c r="T44" s="22"/>
    </row>
    <row r="45" spans="1:21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9705</v>
      </c>
      <c r="D45" s="20">
        <f t="shared" si="8"/>
        <v>0</v>
      </c>
      <c r="E45" s="20">
        <f t="shared" si="9"/>
        <v>9705</v>
      </c>
      <c r="F45" s="43">
        <f t="shared" si="10"/>
        <v>2.017927429466107E-2</v>
      </c>
      <c r="G45" s="20">
        <f t="shared" si="11"/>
        <v>1036.205735030846</v>
      </c>
      <c r="H45" s="20">
        <v>3</v>
      </c>
      <c r="I45" s="20">
        <f t="shared" si="12"/>
        <v>371.09820000000002</v>
      </c>
      <c r="J45" s="20">
        <f t="shared" si="13"/>
        <v>1413.102344405846</v>
      </c>
      <c r="K45" s="20">
        <f t="shared" si="14"/>
        <v>5044.859375</v>
      </c>
      <c r="L45" s="20">
        <v>0</v>
      </c>
      <c r="M45" s="20">
        <v>0</v>
      </c>
      <c r="N45" s="20"/>
      <c r="O45" s="20">
        <v>0</v>
      </c>
      <c r="P45" s="20">
        <v>0</v>
      </c>
      <c r="Q45" s="20">
        <v>0</v>
      </c>
      <c r="R45" s="20">
        <f t="shared" si="15"/>
        <v>6457.9617194058465</v>
      </c>
      <c r="S45" s="20"/>
      <c r="T45" s="20"/>
    </row>
    <row r="46" spans="1:21" ht="12.75" customHeight="1" x14ac:dyDescent="0.25">
      <c r="A46" s="21" t="s">
        <v>135</v>
      </c>
      <c r="B46" s="21" t="str">
        <f>VLOOKUP(A46,Members!$A$2:$B$65,2,FALSE)</f>
        <v>Pawan GS</v>
      </c>
      <c r="C46" s="22">
        <v>56</v>
      </c>
      <c r="D46" s="22">
        <f t="shared" si="8"/>
        <v>0</v>
      </c>
      <c r="E46" s="22">
        <f t="shared" si="9"/>
        <v>56</v>
      </c>
      <c r="F46" s="44">
        <f t="shared" si="10"/>
        <v>1.1643888310159916E-4</v>
      </c>
      <c r="G46" s="22">
        <f t="shared" si="11"/>
        <v>5.9791366472671168</v>
      </c>
      <c r="H46" s="22">
        <v>4</v>
      </c>
      <c r="I46" s="22">
        <f t="shared" si="12"/>
        <v>494.79759999999999</v>
      </c>
      <c r="J46" s="22">
        <f t="shared" si="13"/>
        <v>506.57514602226712</v>
      </c>
      <c r="K46" s="22">
        <f t="shared" si="14"/>
        <v>5044.859375</v>
      </c>
      <c r="L46" s="22">
        <v>0</v>
      </c>
      <c r="M46" s="22">
        <v>0</v>
      </c>
      <c r="N46" s="22"/>
      <c r="O46" s="22">
        <v>0</v>
      </c>
      <c r="P46" s="22">
        <v>0</v>
      </c>
      <c r="Q46" s="22">
        <v>1000</v>
      </c>
      <c r="R46" s="22">
        <f t="shared" si="15"/>
        <v>6551.4345210222673</v>
      </c>
      <c r="S46" s="22"/>
      <c r="T46" s="22"/>
      <c r="U46" t="s">
        <v>314</v>
      </c>
    </row>
    <row r="47" spans="1:21" ht="12.75" customHeight="1" x14ac:dyDescent="0.25">
      <c r="A47" s="19" t="s">
        <v>139</v>
      </c>
      <c r="B47" s="19" t="str">
        <f>VLOOKUP(A47,Members!$A$2:$B$65,2,FALSE)</f>
        <v>Mayfy</v>
      </c>
      <c r="C47" s="20">
        <v>446.5</v>
      </c>
      <c r="D47" s="20">
        <f t="shared" si="8"/>
        <v>0</v>
      </c>
      <c r="E47" s="20">
        <f t="shared" si="9"/>
        <v>446.5</v>
      </c>
      <c r="F47" s="43">
        <f t="shared" si="10"/>
        <v>9.2839216615828624E-4</v>
      </c>
      <c r="G47" s="20">
        <f t="shared" si="11"/>
        <v>47.672937732228</v>
      </c>
      <c r="H47" s="20">
        <v>3</v>
      </c>
      <c r="I47" s="20">
        <f t="shared" si="12"/>
        <v>371.09820000000002</v>
      </c>
      <c r="J47" s="20">
        <f t="shared" si="13"/>
        <v>424.569547107228</v>
      </c>
      <c r="K47" s="20">
        <f t="shared" si="14"/>
        <v>5044.859375</v>
      </c>
      <c r="L47" s="20">
        <v>0</v>
      </c>
      <c r="M47" s="20">
        <v>0</v>
      </c>
      <c r="N47" s="20"/>
      <c r="O47" s="20">
        <v>0</v>
      </c>
      <c r="P47" s="20">
        <v>0</v>
      </c>
      <c r="Q47" s="20">
        <v>0</v>
      </c>
      <c r="R47" s="20">
        <f t="shared" si="15"/>
        <v>5469.4289221072277</v>
      </c>
      <c r="S47" s="20"/>
      <c r="T47" s="20"/>
    </row>
    <row r="48" spans="1:21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5003.5</v>
      </c>
      <c r="D48" s="22">
        <f t="shared" si="8"/>
        <v>0</v>
      </c>
      <c r="E48" s="22">
        <f t="shared" si="9"/>
        <v>5003.5</v>
      </c>
      <c r="F48" s="44">
        <f t="shared" si="10"/>
        <v>1.0403606278550918E-2</v>
      </c>
      <c r="G48" s="22">
        <f t="shared" si="11"/>
        <v>534.22518240358966</v>
      </c>
      <c r="H48" s="22">
        <v>3</v>
      </c>
      <c r="I48" s="22">
        <f t="shared" si="12"/>
        <v>371.09820000000002</v>
      </c>
      <c r="J48" s="22">
        <f t="shared" si="13"/>
        <v>911.12179177858968</v>
      </c>
      <c r="K48" s="22">
        <f t="shared" si="14"/>
        <v>5044.859375</v>
      </c>
      <c r="L48" s="22">
        <v>0</v>
      </c>
      <c r="M48" s="22">
        <v>0</v>
      </c>
      <c r="N48" s="22"/>
      <c r="O48" s="22">
        <v>0</v>
      </c>
      <c r="P48" s="22">
        <v>0</v>
      </c>
      <c r="Q48" s="22">
        <v>0</v>
      </c>
      <c r="R48" s="22">
        <f t="shared" si="15"/>
        <v>5955.9811667785898</v>
      </c>
      <c r="S48" s="22"/>
      <c r="T48" s="22"/>
    </row>
    <row r="49" spans="1:21" ht="12.75" customHeight="1" x14ac:dyDescent="0.25">
      <c r="A49" s="19" t="s">
        <v>144</v>
      </c>
      <c r="B49" s="19" t="str">
        <f>VLOOKUP(A49,Members!$A$2:$B$65,2,FALSE)</f>
        <v>Saovik Mondal</v>
      </c>
      <c r="C49" s="20">
        <v>10208</v>
      </c>
      <c r="D49" s="20">
        <f t="shared" si="8"/>
        <v>0</v>
      </c>
      <c r="E49" s="20">
        <f t="shared" si="9"/>
        <v>10208</v>
      </c>
      <c r="F49" s="43">
        <f t="shared" si="10"/>
        <v>2.122514497680579E-2</v>
      </c>
      <c r="G49" s="20">
        <f t="shared" si="11"/>
        <v>1089.9111945589773</v>
      </c>
      <c r="H49" s="20">
        <v>3</v>
      </c>
      <c r="I49" s="20">
        <f t="shared" si="12"/>
        <v>371.09820000000002</v>
      </c>
      <c r="J49" s="20">
        <f t="shared" si="13"/>
        <v>1466.8078039339771</v>
      </c>
      <c r="K49" s="20">
        <f t="shared" si="14"/>
        <v>5044.859375</v>
      </c>
      <c r="L49" s="20">
        <v>0</v>
      </c>
      <c r="M49" s="20">
        <v>0</v>
      </c>
      <c r="N49" s="20"/>
      <c r="O49" s="20">
        <v>0</v>
      </c>
      <c r="P49" s="20">
        <v>0</v>
      </c>
      <c r="Q49" s="20">
        <v>0</v>
      </c>
      <c r="R49" s="20">
        <f t="shared" si="15"/>
        <v>6511.6671789339771</v>
      </c>
      <c r="S49" s="20"/>
      <c r="T49" s="20"/>
    </row>
    <row r="50" spans="1:21" ht="12.75" customHeight="1" x14ac:dyDescent="0.25">
      <c r="A50" s="21" t="s">
        <v>147</v>
      </c>
      <c r="B50" s="21" t="str">
        <f>VLOOKUP(A50,Members!$A$2:$B$65,2,FALSE)</f>
        <v>Srinivasa Rao</v>
      </c>
      <c r="C50" s="22">
        <v>1</v>
      </c>
      <c r="D50" s="22">
        <f t="shared" si="8"/>
        <v>0</v>
      </c>
      <c r="E50" s="22">
        <f t="shared" si="9"/>
        <v>1</v>
      </c>
      <c r="F50" s="44">
        <f t="shared" si="10"/>
        <v>2.0792657696714138E-6</v>
      </c>
      <c r="G50" s="22">
        <f t="shared" si="11"/>
        <v>0.1067702972726271</v>
      </c>
      <c r="H50" s="22">
        <v>4</v>
      </c>
      <c r="I50" s="22">
        <f t="shared" si="12"/>
        <v>494.79759999999999</v>
      </c>
      <c r="J50" s="22">
        <f t="shared" si="13"/>
        <v>500.70277967227264</v>
      </c>
      <c r="K50" s="22">
        <f t="shared" si="14"/>
        <v>5044.859375</v>
      </c>
      <c r="L50" s="22">
        <v>0</v>
      </c>
      <c r="M50" s="22">
        <v>0</v>
      </c>
      <c r="N50" s="22"/>
      <c r="O50" s="22">
        <v>0</v>
      </c>
      <c r="P50" s="22">
        <v>0</v>
      </c>
      <c r="Q50" s="22">
        <v>0</v>
      </c>
      <c r="R50" s="22">
        <f t="shared" si="15"/>
        <v>5545.5621546722723</v>
      </c>
      <c r="S50" s="22"/>
      <c r="T50" s="22"/>
    </row>
    <row r="51" spans="1:21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8093.5</v>
      </c>
      <c r="D51" s="20">
        <f t="shared" si="8"/>
        <v>0</v>
      </c>
      <c r="E51" s="20">
        <f t="shared" si="9"/>
        <v>8093.5</v>
      </c>
      <c r="F51" s="43">
        <f t="shared" si="10"/>
        <v>1.6828537506835585E-2</v>
      </c>
      <c r="G51" s="20">
        <f t="shared" si="11"/>
        <v>864.14540097600729</v>
      </c>
      <c r="H51" s="20">
        <v>4</v>
      </c>
      <c r="I51" s="20">
        <f t="shared" si="12"/>
        <v>494.79759999999999</v>
      </c>
      <c r="J51" s="20">
        <f t="shared" si="13"/>
        <v>1364.7414103510073</v>
      </c>
      <c r="K51" s="20">
        <f t="shared" si="14"/>
        <v>5044.859375</v>
      </c>
      <c r="L51" s="20">
        <v>0</v>
      </c>
      <c r="M51" s="20">
        <v>0</v>
      </c>
      <c r="N51" s="20"/>
      <c r="O51" s="20">
        <v>0</v>
      </c>
      <c r="P51" s="20">
        <v>0</v>
      </c>
      <c r="Q51" s="20">
        <v>1000</v>
      </c>
      <c r="R51" s="20">
        <f t="shared" si="15"/>
        <v>7409.6007853510073</v>
      </c>
      <c r="S51" s="20"/>
      <c r="T51" s="20"/>
      <c r="U51" t="s">
        <v>314</v>
      </c>
    </row>
    <row r="52" spans="1:21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15039</v>
      </c>
      <c r="D52" s="22">
        <f t="shared" si="8"/>
        <v>0</v>
      </c>
      <c r="E52" s="22">
        <f t="shared" si="9"/>
        <v>15039</v>
      </c>
      <c r="F52" s="44">
        <f t="shared" si="10"/>
        <v>3.1270077910088387E-2</v>
      </c>
      <c r="G52" s="22">
        <f t="shared" si="11"/>
        <v>1605.7185006830387</v>
      </c>
      <c r="H52" s="22">
        <v>4</v>
      </c>
      <c r="I52" s="22">
        <f t="shared" si="12"/>
        <v>494.79759999999999</v>
      </c>
      <c r="J52" s="22">
        <f t="shared" si="13"/>
        <v>2106.3145100580386</v>
      </c>
      <c r="K52" s="22">
        <f t="shared" si="14"/>
        <v>5044.859375</v>
      </c>
      <c r="L52" s="22">
        <v>0</v>
      </c>
      <c r="M52" s="22">
        <v>0</v>
      </c>
      <c r="N52" s="22"/>
      <c r="O52" s="22">
        <v>0</v>
      </c>
      <c r="P52" s="22">
        <v>0</v>
      </c>
      <c r="Q52" s="22">
        <v>0</v>
      </c>
      <c r="R52" s="22">
        <f t="shared" si="15"/>
        <v>7151.1738850580386</v>
      </c>
      <c r="S52" s="22"/>
      <c r="T52" s="22"/>
    </row>
    <row r="53" spans="1:21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4321</v>
      </c>
      <c r="D53" s="20">
        <f t="shared" si="8"/>
        <v>0</v>
      </c>
      <c r="E53" s="20">
        <f t="shared" si="9"/>
        <v>4321</v>
      </c>
      <c r="F53" s="43">
        <f t="shared" si="10"/>
        <v>8.984507390750178E-3</v>
      </c>
      <c r="G53" s="20">
        <f t="shared" si="11"/>
        <v>461.35445451502164</v>
      </c>
      <c r="H53" s="20">
        <v>3</v>
      </c>
      <c r="I53" s="20">
        <f t="shared" si="12"/>
        <v>371.09820000000002</v>
      </c>
      <c r="J53" s="20">
        <f t="shared" si="13"/>
        <v>838.25106389002167</v>
      </c>
      <c r="K53" s="20">
        <f t="shared" si="14"/>
        <v>5044.859375</v>
      </c>
      <c r="L53" s="20">
        <v>0</v>
      </c>
      <c r="M53" s="20">
        <v>0</v>
      </c>
      <c r="N53" s="20"/>
      <c r="O53" s="20">
        <v>0</v>
      </c>
      <c r="P53" s="20">
        <v>0</v>
      </c>
      <c r="Q53" s="20">
        <v>0</v>
      </c>
      <c r="R53" s="20">
        <f t="shared" si="15"/>
        <v>5883.1104388900221</v>
      </c>
      <c r="S53" s="20"/>
      <c r="T53" s="20"/>
    </row>
    <row r="54" spans="1:21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13037.5</v>
      </c>
      <c r="D54" s="22">
        <f t="shared" si="8"/>
        <v>0</v>
      </c>
      <c r="E54" s="22">
        <f t="shared" si="9"/>
        <v>13037.5</v>
      </c>
      <c r="F54" s="44">
        <f t="shared" si="10"/>
        <v>2.7108427472091055E-2</v>
      </c>
      <c r="G54" s="22">
        <f t="shared" si="11"/>
        <v>1392.0177506918756</v>
      </c>
      <c r="H54" s="22">
        <v>3</v>
      </c>
      <c r="I54" s="22">
        <f t="shared" si="12"/>
        <v>371.09820000000002</v>
      </c>
      <c r="J54" s="22">
        <f t="shared" si="13"/>
        <v>1768.9143600668754</v>
      </c>
      <c r="K54" s="22">
        <f t="shared" si="14"/>
        <v>5044.859375</v>
      </c>
      <c r="L54" s="22">
        <v>0</v>
      </c>
      <c r="M54" s="22">
        <v>0</v>
      </c>
      <c r="N54" s="22"/>
      <c r="O54" s="22">
        <v>0</v>
      </c>
      <c r="P54" s="22">
        <v>0</v>
      </c>
      <c r="Q54" s="22">
        <v>0</v>
      </c>
      <c r="R54" s="22">
        <f t="shared" si="15"/>
        <v>6813.7737350668758</v>
      </c>
      <c r="S54" s="22"/>
      <c r="T54" s="22"/>
    </row>
    <row r="55" spans="1:21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12495.5</v>
      </c>
      <c r="D55" s="20">
        <f t="shared" si="8"/>
        <v>0</v>
      </c>
      <c r="E55" s="20">
        <f t="shared" si="9"/>
        <v>12495.5</v>
      </c>
      <c r="F55" s="43">
        <f t="shared" si="10"/>
        <v>2.598146542492915E-2</v>
      </c>
      <c r="G55" s="20">
        <f t="shared" si="11"/>
        <v>1334.1482495701118</v>
      </c>
      <c r="H55" s="20">
        <v>4</v>
      </c>
      <c r="I55" s="20">
        <f t="shared" si="12"/>
        <v>494.79759999999999</v>
      </c>
      <c r="J55" s="20">
        <f t="shared" si="13"/>
        <v>1834.7442589451116</v>
      </c>
      <c r="K55" s="20">
        <f t="shared" si="14"/>
        <v>5044.859375</v>
      </c>
      <c r="L55" s="20">
        <v>0</v>
      </c>
      <c r="M55" s="20">
        <v>0</v>
      </c>
      <c r="N55" s="20"/>
      <c r="O55" s="20">
        <v>0</v>
      </c>
      <c r="P55" s="20">
        <v>0</v>
      </c>
      <c r="Q55" s="20">
        <v>0</v>
      </c>
      <c r="R55" s="20">
        <f t="shared" si="15"/>
        <v>6879.6036339451111</v>
      </c>
      <c r="S55" s="20"/>
      <c r="T55" s="20"/>
    </row>
    <row r="56" spans="1:21" ht="12.75" customHeight="1" x14ac:dyDescent="0.25">
      <c r="A56" s="21" t="s">
        <v>168</v>
      </c>
      <c r="B56" s="21" t="str">
        <f>VLOOKUP(A56,Members!$A$2:$B$65,2,FALSE)</f>
        <v>Kapil Garg</v>
      </c>
      <c r="C56" s="22">
        <v>8049.5</v>
      </c>
      <c r="D56" s="22">
        <f t="shared" si="8"/>
        <v>0</v>
      </c>
      <c r="E56" s="22">
        <f t="shared" si="9"/>
        <v>8049.5</v>
      </c>
      <c r="F56" s="44">
        <f t="shared" si="10"/>
        <v>1.6737049812970042E-2</v>
      </c>
      <c r="G56" s="22">
        <f t="shared" si="11"/>
        <v>859.44750789601164</v>
      </c>
      <c r="H56" s="22">
        <v>4</v>
      </c>
      <c r="I56" s="22">
        <f t="shared" si="12"/>
        <v>494.79759999999999</v>
      </c>
      <c r="J56" s="22">
        <f t="shared" si="13"/>
        <v>1360.0435172710118</v>
      </c>
      <c r="K56" s="22">
        <f t="shared" si="14"/>
        <v>5044.859375</v>
      </c>
      <c r="L56" s="22">
        <v>0</v>
      </c>
      <c r="M56" s="22">
        <v>0</v>
      </c>
      <c r="N56" s="22"/>
      <c r="O56" s="22">
        <v>0</v>
      </c>
      <c r="P56" s="22">
        <v>0</v>
      </c>
      <c r="Q56" s="22">
        <v>0</v>
      </c>
      <c r="R56" s="22">
        <f t="shared" si="15"/>
        <v>6404.9028922710113</v>
      </c>
      <c r="S56" s="22"/>
      <c r="T56" s="22"/>
    </row>
    <row r="57" spans="1:21" ht="12.75" customHeight="1" x14ac:dyDescent="0.25">
      <c r="A57" s="19" t="s">
        <v>172</v>
      </c>
      <c r="B57" s="19" t="str">
        <f>VLOOKUP(A57,Members!$A$2:$B$65,2,FALSE)</f>
        <v>Vijet Alva</v>
      </c>
      <c r="C57" s="20">
        <v>7.5</v>
      </c>
      <c r="D57" s="20">
        <f t="shared" si="8"/>
        <v>0</v>
      </c>
      <c r="E57" s="20">
        <f t="shared" si="9"/>
        <v>7.5</v>
      </c>
      <c r="F57" s="43">
        <f t="shared" si="10"/>
        <v>1.5594493272535601E-5</v>
      </c>
      <c r="G57" s="20">
        <f t="shared" si="11"/>
        <v>0.8007772295447031</v>
      </c>
      <c r="H57" s="20">
        <v>4</v>
      </c>
      <c r="I57" s="20">
        <f t="shared" si="12"/>
        <v>494.79759999999999</v>
      </c>
      <c r="J57" s="20">
        <f t="shared" si="13"/>
        <v>501.39678660454467</v>
      </c>
      <c r="K57" s="20">
        <f t="shared" si="14"/>
        <v>5044.859375</v>
      </c>
      <c r="L57" s="20">
        <v>0</v>
      </c>
      <c r="M57" s="20">
        <v>0</v>
      </c>
      <c r="N57" s="20"/>
      <c r="O57" s="20">
        <v>0</v>
      </c>
      <c r="P57" s="20">
        <v>0</v>
      </c>
      <c r="Q57" s="20">
        <v>0</v>
      </c>
      <c r="R57" s="20">
        <f t="shared" si="15"/>
        <v>5546.256161604545</v>
      </c>
      <c r="S57" s="20"/>
      <c r="T57" s="20"/>
    </row>
    <row r="58" spans="1:21" ht="12.75" customHeight="1" x14ac:dyDescent="0.25">
      <c r="A58" s="21" t="s">
        <v>175</v>
      </c>
      <c r="B58" s="21" t="str">
        <f>VLOOKUP(A58,Members!$A$2:$B$65,2,FALSE)</f>
        <v>Ganesh Iyer</v>
      </c>
      <c r="C58" s="22">
        <v>1996</v>
      </c>
      <c r="D58" s="22">
        <f t="shared" si="8"/>
        <v>0</v>
      </c>
      <c r="E58" s="22">
        <f t="shared" si="9"/>
        <v>1996</v>
      </c>
      <c r="F58" s="44">
        <f t="shared" si="10"/>
        <v>4.150214476264142E-3</v>
      </c>
      <c r="G58" s="22">
        <f t="shared" si="11"/>
        <v>213.11351335616368</v>
      </c>
      <c r="H58" s="22">
        <v>3</v>
      </c>
      <c r="I58" s="22">
        <f t="shared" si="12"/>
        <v>371.09820000000002</v>
      </c>
      <c r="J58" s="22">
        <f t="shared" si="13"/>
        <v>590.01012273116373</v>
      </c>
      <c r="K58" s="22">
        <f t="shared" si="14"/>
        <v>5044.859375</v>
      </c>
      <c r="L58" s="22">
        <v>0</v>
      </c>
      <c r="M58" s="22">
        <v>0</v>
      </c>
      <c r="N58" s="22"/>
      <c r="O58" s="22">
        <v>0</v>
      </c>
      <c r="P58" s="22">
        <v>0</v>
      </c>
      <c r="Q58" s="22">
        <v>0</v>
      </c>
      <c r="R58" s="22">
        <f t="shared" si="15"/>
        <v>5634.8694977311634</v>
      </c>
      <c r="S58" s="22"/>
      <c r="T58" s="22"/>
    </row>
    <row r="59" spans="1:21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13625.5</v>
      </c>
      <c r="D59" s="20">
        <f t="shared" si="8"/>
        <v>0</v>
      </c>
      <c r="E59" s="20">
        <f t="shared" si="9"/>
        <v>13625.5</v>
      </c>
      <c r="F59" s="43">
        <f t="shared" si="10"/>
        <v>2.8331035744657847E-2</v>
      </c>
      <c r="G59" s="20">
        <f t="shared" si="11"/>
        <v>1454.7986854881804</v>
      </c>
      <c r="H59" s="20">
        <v>3</v>
      </c>
      <c r="I59" s="20">
        <f t="shared" si="12"/>
        <v>371.09820000000002</v>
      </c>
      <c r="J59" s="20">
        <f t="shared" si="13"/>
        <v>1831.6952948631802</v>
      </c>
      <c r="K59" s="20">
        <f t="shared" si="14"/>
        <v>5044.859375</v>
      </c>
      <c r="L59" s="20">
        <v>0</v>
      </c>
      <c r="M59" s="20">
        <v>0</v>
      </c>
      <c r="N59" s="20"/>
      <c r="O59" s="20">
        <v>0</v>
      </c>
      <c r="P59" s="20">
        <v>0</v>
      </c>
      <c r="Q59" s="20">
        <v>0</v>
      </c>
      <c r="R59" s="20">
        <f t="shared" si="15"/>
        <v>6876.5546698631806</v>
      </c>
      <c r="S59" s="20"/>
      <c r="T59" s="20"/>
    </row>
    <row r="60" spans="1:21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9251</v>
      </c>
      <c r="D60" s="22">
        <f t="shared" si="8"/>
        <v>0</v>
      </c>
      <c r="E60" s="22">
        <f t="shared" si="9"/>
        <v>9251</v>
      </c>
      <c r="F60" s="44">
        <f t="shared" si="10"/>
        <v>1.9235287635230247E-2</v>
      </c>
      <c r="G60" s="22">
        <f t="shared" si="11"/>
        <v>987.7320200690732</v>
      </c>
      <c r="H60" s="22">
        <v>3</v>
      </c>
      <c r="I60" s="22">
        <f t="shared" si="12"/>
        <v>371.09820000000002</v>
      </c>
      <c r="J60" s="22">
        <f t="shared" si="13"/>
        <v>1364.6286294440733</v>
      </c>
      <c r="K60" s="22">
        <f t="shared" si="14"/>
        <v>5044.859375</v>
      </c>
      <c r="L60" s="22">
        <v>0</v>
      </c>
      <c r="M60" s="22">
        <v>0</v>
      </c>
      <c r="N60" s="22"/>
      <c r="O60" s="22">
        <v>0</v>
      </c>
      <c r="P60" s="22">
        <v>0</v>
      </c>
      <c r="Q60" s="22">
        <v>0</v>
      </c>
      <c r="R60" s="22">
        <f t="shared" si="15"/>
        <v>6409.4880044440733</v>
      </c>
      <c r="S60" s="22"/>
      <c r="T60" s="22"/>
    </row>
    <row r="61" spans="1:21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876.5</v>
      </c>
      <c r="D61" s="20">
        <f t="shared" si="8"/>
        <v>0</v>
      </c>
      <c r="E61" s="20">
        <f t="shared" si="9"/>
        <v>876.5</v>
      </c>
      <c r="F61" s="43">
        <f t="shared" si="10"/>
        <v>1.822476447116994E-3</v>
      </c>
      <c r="G61" s="20">
        <f t="shared" si="11"/>
        <v>93.584165559457645</v>
      </c>
      <c r="H61" s="20">
        <v>3</v>
      </c>
      <c r="I61" s="20">
        <f t="shared" si="12"/>
        <v>371.09820000000002</v>
      </c>
      <c r="J61" s="20">
        <f t="shared" si="13"/>
        <v>470.48077493445766</v>
      </c>
      <c r="K61" s="20">
        <f t="shared" si="14"/>
        <v>5044.859375</v>
      </c>
      <c r="L61" s="20">
        <v>0</v>
      </c>
      <c r="M61" s="20">
        <v>0</v>
      </c>
      <c r="N61" s="20"/>
      <c r="O61" s="20">
        <v>0</v>
      </c>
      <c r="P61" s="20">
        <v>0</v>
      </c>
      <c r="Q61" s="20">
        <v>0</v>
      </c>
      <c r="R61" s="20">
        <f t="shared" si="15"/>
        <v>5515.3401499344573</v>
      </c>
      <c r="S61" s="20"/>
      <c r="T61" s="20"/>
    </row>
    <row r="62" spans="1:21" ht="12.75" customHeight="1" x14ac:dyDescent="0.25">
      <c r="A62" s="21" t="s">
        <v>190</v>
      </c>
      <c r="B62" s="21" t="str">
        <f>VLOOKUP(A62,Members!$A$2:$B$65,2,FALSE)</f>
        <v>Nishith Sahu</v>
      </c>
      <c r="C62" s="22">
        <v>334</v>
      </c>
      <c r="D62" s="22">
        <f t="shared" si="8"/>
        <v>0</v>
      </c>
      <c r="E62" s="22">
        <f t="shared" si="9"/>
        <v>334</v>
      </c>
      <c r="F62" s="44">
        <f t="shared" si="10"/>
        <v>6.944747670702522E-4</v>
      </c>
      <c r="G62" s="22">
        <f t="shared" si="11"/>
        <v>35.661279289057447</v>
      </c>
      <c r="H62" s="22">
        <v>4</v>
      </c>
      <c r="I62" s="22">
        <f t="shared" si="12"/>
        <v>494.79759999999999</v>
      </c>
      <c r="J62" s="22">
        <f t="shared" si="13"/>
        <v>536.25728866405746</v>
      </c>
      <c r="K62" s="22">
        <f t="shared" si="14"/>
        <v>5044.859375</v>
      </c>
      <c r="L62" s="22">
        <v>0</v>
      </c>
      <c r="M62" s="22">
        <v>0</v>
      </c>
      <c r="N62" s="22"/>
      <c r="O62" s="22">
        <v>0</v>
      </c>
      <c r="P62" s="22">
        <v>0</v>
      </c>
      <c r="Q62" s="22">
        <v>0</v>
      </c>
      <c r="R62" s="22">
        <f t="shared" si="15"/>
        <v>5581.1166636640573</v>
      </c>
      <c r="S62" s="22"/>
      <c r="T62" s="22"/>
    </row>
    <row r="63" spans="1:21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12576</v>
      </c>
      <c r="D63" s="20">
        <f t="shared" si="8"/>
        <v>0</v>
      </c>
      <c r="E63" s="20">
        <f t="shared" si="9"/>
        <v>12576</v>
      </c>
      <c r="F63" s="43">
        <f t="shared" si="10"/>
        <v>2.6148846319387697E-2</v>
      </c>
      <c r="G63" s="20">
        <f t="shared" si="11"/>
        <v>1342.7432585005583</v>
      </c>
      <c r="H63" s="20">
        <v>3</v>
      </c>
      <c r="I63" s="20">
        <f t="shared" si="12"/>
        <v>371.09820000000002</v>
      </c>
      <c r="J63" s="20">
        <f t="shared" si="13"/>
        <v>1719.6398678755581</v>
      </c>
      <c r="K63" s="20">
        <f t="shared" si="14"/>
        <v>5044.859375</v>
      </c>
      <c r="L63" s="20">
        <v>750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7514.4992428755577</v>
      </c>
      <c r="S63" s="20"/>
      <c r="T63" s="20"/>
    </row>
    <row r="64" spans="1:21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6012</v>
      </c>
      <c r="D64" s="22">
        <f t="shared" si="8"/>
        <v>0</v>
      </c>
      <c r="E64" s="22">
        <f t="shared" si="9"/>
        <v>6012</v>
      </c>
      <c r="F64" s="44">
        <f t="shared" si="10"/>
        <v>1.2500545807264538E-2</v>
      </c>
      <c r="G64" s="22">
        <f t="shared" si="11"/>
        <v>641.90302720303407</v>
      </c>
      <c r="H64" s="22">
        <v>3</v>
      </c>
      <c r="I64" s="22">
        <f t="shared" si="12"/>
        <v>371.09820000000002</v>
      </c>
      <c r="J64" s="22">
        <f t="shared" si="13"/>
        <v>1018.7996365780341</v>
      </c>
      <c r="K64" s="22">
        <f t="shared" si="14"/>
        <v>5044.859375</v>
      </c>
      <c r="L64" s="22">
        <v>0</v>
      </c>
      <c r="M64" s="22">
        <v>0</v>
      </c>
      <c r="N64" s="22"/>
      <c r="O64" s="22">
        <v>0</v>
      </c>
      <c r="P64" s="22">
        <v>0</v>
      </c>
      <c r="Q64" s="22">
        <v>0</v>
      </c>
      <c r="R64" s="22">
        <f t="shared" si="15"/>
        <v>6063.6590115780346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21673.5</v>
      </c>
      <c r="D65" s="20">
        <f t="shared" si="8"/>
        <v>0</v>
      </c>
      <c r="E65" s="20">
        <f t="shared" si="9"/>
        <v>21673.5</v>
      </c>
      <c r="F65" s="43">
        <f t="shared" si="10"/>
        <v>4.5064966658973381E-2</v>
      </c>
      <c r="G65" s="20">
        <f t="shared" si="11"/>
        <v>2314.086037938283</v>
      </c>
      <c r="H65" s="20">
        <v>3</v>
      </c>
      <c r="I65" s="20">
        <f t="shared" si="12"/>
        <v>371.09820000000002</v>
      </c>
      <c r="J65" s="20">
        <f t="shared" si="13"/>
        <v>2690.982647313283</v>
      </c>
      <c r="K65" s="20">
        <f t="shared" si="14"/>
        <v>5044.859375</v>
      </c>
      <c r="L65" s="20">
        <v>0</v>
      </c>
      <c r="M65" s="20">
        <v>0</v>
      </c>
      <c r="N65" s="20"/>
      <c r="O65" s="20">
        <v>0</v>
      </c>
      <c r="P65" s="20">
        <v>0</v>
      </c>
      <c r="Q65" s="20">
        <v>0</v>
      </c>
      <c r="R65" s="20">
        <f t="shared" si="15"/>
        <v>7735.8420223132835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19110.5</v>
      </c>
      <c r="D66" s="22">
        <f t="shared" si="8"/>
        <v>0</v>
      </c>
      <c r="E66" s="22">
        <f t="shared" si="9"/>
        <v>19110.5</v>
      </c>
      <c r="F66" s="44">
        <f t="shared" si="10"/>
        <v>3.9735808491305549E-2</v>
      </c>
      <c r="G66" s="22">
        <f t="shared" si="11"/>
        <v>2040.43376602854</v>
      </c>
      <c r="H66" s="22">
        <v>4</v>
      </c>
      <c r="I66" s="22">
        <f t="shared" si="12"/>
        <v>494.79759999999999</v>
      </c>
      <c r="J66" s="22">
        <f t="shared" si="13"/>
        <v>2541.02977540354</v>
      </c>
      <c r="K66" s="22">
        <f t="shared" si="14"/>
        <v>5044.859375</v>
      </c>
      <c r="L66" s="22">
        <v>0</v>
      </c>
      <c r="M66" s="22">
        <v>0</v>
      </c>
      <c r="N66" s="22"/>
      <c r="O66" s="22">
        <v>0</v>
      </c>
      <c r="P66" s="22">
        <v>0</v>
      </c>
      <c r="Q66" s="22">
        <v>0</v>
      </c>
      <c r="R66" s="22">
        <f t="shared" si="15"/>
        <v>7585.88915040354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4116</v>
      </c>
      <c r="D67" s="20">
        <f t="shared" si="8"/>
        <v>0</v>
      </c>
      <c r="E67" s="20">
        <f t="shared" si="9"/>
        <v>4116</v>
      </c>
      <c r="F67" s="43">
        <f t="shared" si="10"/>
        <v>8.5582579079675394E-3</v>
      </c>
      <c r="G67" s="20">
        <f t="shared" si="11"/>
        <v>439.46654357413314</v>
      </c>
      <c r="H67" s="20">
        <v>4</v>
      </c>
      <c r="I67" s="20">
        <f t="shared" si="12"/>
        <v>494.79759999999999</v>
      </c>
      <c r="J67" s="20">
        <f t="shared" si="13"/>
        <v>940.06255294913308</v>
      </c>
      <c r="K67" s="20">
        <f t="shared" si="14"/>
        <v>5044.859375</v>
      </c>
      <c r="L67" s="20">
        <v>0</v>
      </c>
      <c r="M67" s="20">
        <v>0</v>
      </c>
      <c r="N67" s="20"/>
      <c r="O67" s="20">
        <v>0</v>
      </c>
      <c r="P67" s="20">
        <v>0</v>
      </c>
      <c r="Q67" s="20">
        <v>0</v>
      </c>
      <c r="R67" s="20">
        <f t="shared" si="15"/>
        <v>5984.9219279491335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8970.5</v>
      </c>
      <c r="D68" s="22">
        <f t="shared" si="8"/>
        <v>0</v>
      </c>
      <c r="E68" s="22">
        <f t="shared" si="9"/>
        <v>8970.5</v>
      </c>
      <c r="F68" s="44">
        <f t="shared" si="10"/>
        <v>1.8652053586837417E-2</v>
      </c>
      <c r="G68" s="22">
        <f t="shared" si="11"/>
        <v>957.78295168410136</v>
      </c>
      <c r="H68" s="22">
        <v>4</v>
      </c>
      <c r="I68" s="22">
        <f t="shared" si="12"/>
        <v>494.79759999999999</v>
      </c>
      <c r="J68" s="22">
        <f t="shared" si="13"/>
        <v>1458.3789610591014</v>
      </c>
      <c r="K68" s="22">
        <f t="shared" si="14"/>
        <v>5044.859375</v>
      </c>
      <c r="L68" s="22">
        <v>0</v>
      </c>
      <c r="M68" s="22">
        <v>0</v>
      </c>
      <c r="N68" s="22"/>
      <c r="O68" s="22">
        <v>0</v>
      </c>
      <c r="P68" s="22">
        <v>0</v>
      </c>
      <c r="Q68" s="22">
        <v>0</v>
      </c>
      <c r="R68" s="22">
        <f t="shared" si="15"/>
        <v>6503.2383360591011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10024.5</v>
      </c>
      <c r="D69" s="20">
        <f t="shared" si="8"/>
        <v>0</v>
      </c>
      <c r="E69" s="20">
        <f t="shared" si="9"/>
        <v>10024.5</v>
      </c>
      <c r="F69" s="43">
        <f t="shared" si="10"/>
        <v>2.0843599708071085E-2</v>
      </c>
      <c r="G69" s="20">
        <f t="shared" si="11"/>
        <v>1070.3188450094501</v>
      </c>
      <c r="H69" s="20">
        <v>3</v>
      </c>
      <c r="I69" s="20">
        <f t="shared" si="12"/>
        <v>371.09820000000002</v>
      </c>
      <c r="J69" s="20">
        <f t="shared" si="13"/>
        <v>1447.2154543844499</v>
      </c>
      <c r="K69" s="20">
        <f t="shared" si="14"/>
        <v>5044.859375</v>
      </c>
      <c r="L69" s="20">
        <v>0</v>
      </c>
      <c r="M69" s="20">
        <v>0</v>
      </c>
      <c r="N69" s="20"/>
      <c r="O69" s="20">
        <v>0</v>
      </c>
      <c r="P69" s="20">
        <v>0</v>
      </c>
      <c r="Q69" s="20">
        <v>0</v>
      </c>
      <c r="R69" s="20">
        <f t="shared" si="15"/>
        <v>6492.0748293844499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480939</v>
      </c>
      <c r="D70" s="22">
        <f>SUM(D3:D69)</f>
        <v>0</v>
      </c>
      <c r="E70" s="22">
        <f>SUM(E3:E69)</f>
        <v>480939</v>
      </c>
      <c r="F70" s="44">
        <f t="shared" ref="F70:F101" si="16">IF($C$70=0, 0, E70/$C$70)</f>
        <v>1</v>
      </c>
      <c r="G70" s="22">
        <f t="shared" ref="G70:P70" si="17">SUM(G3:G69)</f>
        <v>51350.000000000007</v>
      </c>
      <c r="H70" s="22">
        <f t="shared" si="17"/>
        <v>223</v>
      </c>
      <c r="I70" s="22">
        <f t="shared" si="17"/>
        <v>27584.966200000028</v>
      </c>
      <c r="J70" s="22">
        <f t="shared" si="17"/>
        <v>78934.96620000001</v>
      </c>
      <c r="K70" s="22">
        <f t="shared" si="17"/>
        <v>322871</v>
      </c>
      <c r="L70" s="22">
        <f t="shared" si="17"/>
        <v>3000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410805.96619999991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32" activePane="bottomLeft" state="frozen"/>
      <selection pane="bottomLeft" activeCell="I59" sqref="I59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>
        <v>10856</v>
      </c>
      <c r="D2" s="29" t="s">
        <v>317</v>
      </c>
      <c r="E2" s="26"/>
      <c r="F2" s="29"/>
      <c r="G2" s="26"/>
      <c r="H2" s="37"/>
      <c r="I2" s="26"/>
      <c r="J2" s="26"/>
      <c r="K2" s="26">
        <f t="shared" ref="K2:K33" si="0">SUM(C2,E2,G2,I2)</f>
        <v>10856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>
        <v>16500</v>
      </c>
      <c r="D3" s="32" t="s">
        <v>318</v>
      </c>
      <c r="E3" s="25"/>
      <c r="F3" s="32"/>
      <c r="G3" s="25"/>
      <c r="H3" s="38"/>
      <c r="I3" s="25"/>
      <c r="J3" s="25"/>
      <c r="K3" s="25">
        <f t="shared" si="0"/>
        <v>16500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>
        <v>6000</v>
      </c>
      <c r="D4" s="40" t="s">
        <v>319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>
        <v>5554.98</v>
      </c>
      <c r="D6" s="29" t="s">
        <v>320</v>
      </c>
      <c r="E6" s="26"/>
      <c r="F6" s="29"/>
      <c r="G6" s="26"/>
      <c r="H6" s="37"/>
      <c r="I6" s="26"/>
      <c r="J6" s="26"/>
      <c r="K6" s="26">
        <f t="shared" si="0"/>
        <v>5554.98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>
        <v>7469</v>
      </c>
      <c r="D7" s="32" t="s">
        <v>321</v>
      </c>
      <c r="E7" s="25"/>
      <c r="F7" s="32"/>
      <c r="G7" s="25"/>
      <c r="H7" s="38"/>
      <c r="I7" s="25"/>
      <c r="J7" s="25"/>
      <c r="K7" s="25">
        <f t="shared" si="0"/>
        <v>7469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>
        <v>5964.86</v>
      </c>
      <c r="D8" s="29" t="s">
        <v>318</v>
      </c>
      <c r="E8" s="26"/>
      <c r="F8" s="29"/>
      <c r="G8" s="26"/>
      <c r="H8" s="37"/>
      <c r="I8" s="26"/>
      <c r="J8" s="26"/>
      <c r="K8" s="26">
        <f t="shared" si="0"/>
        <v>5964.86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>
        <v>5333</v>
      </c>
      <c r="D9" s="32" t="s">
        <v>322</v>
      </c>
      <c r="E9" s="25"/>
      <c r="F9" s="32"/>
      <c r="G9" s="25"/>
      <c r="H9" s="38"/>
      <c r="I9" s="25"/>
      <c r="J9" s="25"/>
      <c r="K9" s="20">
        <f t="shared" si="0"/>
        <v>5333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>
        <v>5538</v>
      </c>
      <c r="D10" s="29" t="s">
        <v>323</v>
      </c>
      <c r="E10" s="26"/>
      <c r="F10" s="29"/>
      <c r="G10" s="26"/>
      <c r="H10" s="37"/>
      <c r="I10" s="26"/>
      <c r="J10" s="26"/>
      <c r="K10" s="22">
        <f t="shared" si="0"/>
        <v>5538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>
        <v>4901</v>
      </c>
      <c r="D12" s="29" t="s">
        <v>324</v>
      </c>
      <c r="E12" s="26"/>
      <c r="F12" s="29"/>
      <c r="G12" s="26"/>
      <c r="H12" s="37"/>
      <c r="I12" s="26"/>
      <c r="J12" s="26"/>
      <c r="K12" s="22">
        <f t="shared" si="0"/>
        <v>4901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>
        <v>5770</v>
      </c>
      <c r="D15" s="32">
        <v>46186</v>
      </c>
      <c r="E15" s="25"/>
      <c r="F15" s="32"/>
      <c r="G15" s="25"/>
      <c r="H15" s="38"/>
      <c r="I15" s="25"/>
      <c r="J15" s="25"/>
      <c r="K15" s="20">
        <f t="shared" si="0"/>
        <v>5770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>
        <v>6016</v>
      </c>
      <c r="D18" s="29" t="s">
        <v>325</v>
      </c>
      <c r="E18" s="22"/>
      <c r="F18" s="29"/>
      <c r="G18" s="26"/>
      <c r="H18" s="37"/>
      <c r="I18" s="26"/>
      <c r="J18" s="26"/>
      <c r="K18" s="22">
        <f t="shared" si="0"/>
        <v>6016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>
        <v>7164.78</v>
      </c>
      <c r="D19" s="32" t="s">
        <v>326</v>
      </c>
      <c r="E19" s="25"/>
      <c r="F19" s="32"/>
      <c r="G19" s="25"/>
      <c r="H19" s="38"/>
      <c r="I19" s="25"/>
      <c r="J19" s="25"/>
      <c r="K19" s="20">
        <f t="shared" si="0"/>
        <v>7164.78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>
        <v>6263</v>
      </c>
      <c r="D20" s="29" t="s">
        <v>320</v>
      </c>
      <c r="E20" s="26"/>
      <c r="F20" s="29"/>
      <c r="G20" s="26"/>
      <c r="H20" s="37"/>
      <c r="I20" s="26"/>
      <c r="J20" s="26"/>
      <c r="K20" s="22">
        <f t="shared" si="0"/>
        <v>6263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>
        <v>7011</v>
      </c>
      <c r="D21" s="32" t="s">
        <v>327</v>
      </c>
      <c r="E21" s="25"/>
      <c r="F21" s="32"/>
      <c r="G21" s="25"/>
      <c r="H21" s="38"/>
      <c r="I21" s="25"/>
      <c r="J21" s="25"/>
      <c r="K21" s="20">
        <f t="shared" si="0"/>
        <v>7011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>
        <v>10563</v>
      </c>
      <c r="D24" s="29" t="s">
        <v>322</v>
      </c>
      <c r="E24" s="26"/>
      <c r="F24" s="29"/>
      <c r="G24" s="26"/>
      <c r="H24" s="37"/>
      <c r="I24" s="26"/>
      <c r="J24" s="26"/>
      <c r="K24" s="22">
        <f t="shared" si="0"/>
        <v>10563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>
        <v>201</v>
      </c>
      <c r="D26" s="29" t="s">
        <v>328</v>
      </c>
      <c r="E26" s="26">
        <v>6264</v>
      </c>
      <c r="F26" s="29" t="s">
        <v>322</v>
      </c>
      <c r="G26" s="26"/>
      <c r="H26" s="37"/>
      <c r="I26" s="26"/>
      <c r="J26" s="26"/>
      <c r="K26" s="22">
        <f t="shared" si="0"/>
        <v>6465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>
        <v>5452.43</v>
      </c>
      <c r="D27" s="32" t="s">
        <v>322</v>
      </c>
      <c r="E27" s="25"/>
      <c r="F27" s="32"/>
      <c r="G27" s="25"/>
      <c r="H27" s="38"/>
      <c r="I27" s="25"/>
      <c r="J27" s="25"/>
      <c r="K27" s="20">
        <f t="shared" si="0"/>
        <v>5452.43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>
        <v>10106</v>
      </c>
      <c r="D28" s="29" t="s">
        <v>329</v>
      </c>
      <c r="E28" s="26"/>
      <c r="F28" s="29"/>
      <c r="G28" s="26"/>
      <c r="H28" s="37"/>
      <c r="I28" s="26"/>
      <c r="J28" s="26"/>
      <c r="K28" s="22">
        <f t="shared" si="0"/>
        <v>10106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>
        <v>5689</v>
      </c>
      <c r="D29" s="32" t="s">
        <v>322</v>
      </c>
      <c r="E29" s="25"/>
      <c r="F29" s="32"/>
      <c r="G29" s="25"/>
      <c r="H29" s="38"/>
      <c r="I29" s="25"/>
      <c r="J29" s="25"/>
      <c r="K29" s="20">
        <f t="shared" si="0"/>
        <v>5689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>
        <v>10117.790000000001</v>
      </c>
      <c r="D30" s="29" t="s">
        <v>319</v>
      </c>
      <c r="E30" s="26">
        <v>5932</v>
      </c>
      <c r="F30" s="29" t="s">
        <v>322</v>
      </c>
      <c r="G30" s="26"/>
      <c r="H30" s="37"/>
      <c r="I30" s="26"/>
      <c r="J30" s="26"/>
      <c r="K30" s="26">
        <f t="shared" si="0"/>
        <v>16049.79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>
        <v>5003.6499999999996</v>
      </c>
      <c r="D33" s="32" t="s">
        <v>330</v>
      </c>
      <c r="E33" s="25"/>
      <c r="F33" s="32"/>
      <c r="G33" s="25"/>
      <c r="H33" s="38"/>
      <c r="I33" s="25"/>
      <c r="J33" s="25"/>
      <c r="K33" s="25">
        <f t="shared" si="0"/>
        <v>5003.6499999999996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>
        <v>5454</v>
      </c>
      <c r="D34" s="29" t="s">
        <v>331</v>
      </c>
      <c r="E34" s="26"/>
      <c r="F34" s="29"/>
      <c r="G34" s="26"/>
      <c r="H34" s="37"/>
      <c r="I34" s="26"/>
      <c r="J34" s="26"/>
      <c r="K34" s="22">
        <f t="shared" ref="K34:K65" si="1">SUM(C34,E34,G34,I34)</f>
        <v>5454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>
        <v>7522.88</v>
      </c>
      <c r="D35" s="32" t="s">
        <v>319</v>
      </c>
      <c r="E35" s="25"/>
      <c r="F35" s="32"/>
      <c r="G35" s="25"/>
      <c r="H35" s="38"/>
      <c r="I35" s="25"/>
      <c r="J35" s="25"/>
      <c r="K35" s="20">
        <f t="shared" si="1"/>
        <v>7522.88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>
        <v>5522.63</v>
      </c>
      <c r="D38" s="29" t="s">
        <v>318</v>
      </c>
      <c r="E38" s="26"/>
      <c r="F38" s="29"/>
      <c r="G38" s="26"/>
      <c r="H38" s="37"/>
      <c r="I38" s="26"/>
      <c r="J38" s="26"/>
      <c r="K38" s="26">
        <f t="shared" si="1"/>
        <v>5522.63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>
        <v>5596.3</v>
      </c>
      <c r="D40" s="29" t="s">
        <v>322</v>
      </c>
      <c r="E40" s="26"/>
      <c r="F40" s="29"/>
      <c r="G40" s="26"/>
      <c r="H40" s="37"/>
      <c r="I40" s="26"/>
      <c r="J40" s="26"/>
      <c r="K40" s="22">
        <f t="shared" si="1"/>
        <v>5596.3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>
        <v>6646</v>
      </c>
      <c r="D41" s="32" t="s">
        <v>319</v>
      </c>
      <c r="E41" s="25">
        <v>6075.85</v>
      </c>
      <c r="F41" s="32" t="s">
        <v>323</v>
      </c>
      <c r="G41" s="25"/>
      <c r="H41" s="38"/>
      <c r="I41" s="25"/>
      <c r="J41" s="25"/>
      <c r="K41" s="20">
        <f t="shared" si="1"/>
        <v>12721.85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>
        <v>5486.89</v>
      </c>
      <c r="D42" s="29" t="s">
        <v>326</v>
      </c>
      <c r="E42" s="26"/>
      <c r="F42" s="29"/>
      <c r="G42" s="26"/>
      <c r="H42" s="37"/>
      <c r="I42" s="26"/>
      <c r="J42" s="26"/>
      <c r="K42" s="22">
        <f t="shared" si="1"/>
        <v>5486.89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>
        <v>5779</v>
      </c>
      <c r="D44" s="29" t="s">
        <v>331</v>
      </c>
      <c r="E44" s="26"/>
      <c r="F44" s="29"/>
      <c r="G44" s="26"/>
      <c r="H44" s="37"/>
      <c r="I44" s="26"/>
      <c r="J44" s="26"/>
      <c r="K44" s="26">
        <f t="shared" si="1"/>
        <v>5779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>
        <v>5403.25</v>
      </c>
      <c r="D45" s="32" t="s">
        <v>326</v>
      </c>
      <c r="E45" s="25"/>
      <c r="F45" s="32"/>
      <c r="G45" s="25"/>
      <c r="H45" s="38"/>
      <c r="I45" s="25"/>
      <c r="J45" s="25"/>
      <c r="K45" s="20">
        <f t="shared" si="1"/>
        <v>5403.25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>
        <v>12562</v>
      </c>
      <c r="D48" s="29" t="s">
        <v>319</v>
      </c>
      <c r="E48" s="26">
        <v>6572</v>
      </c>
      <c r="F48" s="29" t="s">
        <v>318</v>
      </c>
      <c r="G48" s="26"/>
      <c r="H48" s="37"/>
      <c r="I48" s="26"/>
      <c r="J48" s="26"/>
      <c r="K48" s="22">
        <f t="shared" si="1"/>
        <v>19134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>
        <v>4442</v>
      </c>
      <c r="D49" s="32" t="s">
        <v>318</v>
      </c>
      <c r="E49" s="25"/>
      <c r="F49" s="32"/>
      <c r="G49" s="25"/>
      <c r="H49" s="38"/>
      <c r="I49" s="25"/>
      <c r="J49" s="25"/>
      <c r="K49" s="25">
        <f t="shared" si="1"/>
        <v>4442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>
        <v>9000</v>
      </c>
      <c r="D50" s="29" t="s">
        <v>320</v>
      </c>
      <c r="E50" s="26"/>
      <c r="F50" s="29"/>
      <c r="G50" s="26"/>
      <c r="H50" s="37"/>
      <c r="I50" s="26"/>
      <c r="J50" s="26"/>
      <c r="K50" s="26">
        <f t="shared" si="1"/>
        <v>9000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>
        <v>5972</v>
      </c>
      <c r="D52" s="29" t="s">
        <v>332</v>
      </c>
      <c r="E52" s="26"/>
      <c r="F52" s="29"/>
      <c r="G52" s="26"/>
      <c r="H52" s="37"/>
      <c r="I52" s="26"/>
      <c r="J52" s="26"/>
      <c r="K52" s="22">
        <f t="shared" si="1"/>
        <v>5972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>
        <v>5391.88</v>
      </c>
      <c r="D53" s="32" t="s">
        <v>318</v>
      </c>
      <c r="E53" s="25"/>
      <c r="F53" s="32"/>
      <c r="G53" s="25"/>
      <c r="H53" s="38"/>
      <c r="I53" s="25"/>
      <c r="J53" s="25"/>
      <c r="K53" s="20">
        <f t="shared" si="1"/>
        <v>5391.88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>
        <v>5622</v>
      </c>
      <c r="D54" s="29" t="s">
        <v>333</v>
      </c>
      <c r="E54" s="26"/>
      <c r="F54" s="29"/>
      <c r="G54" s="26"/>
      <c r="H54" s="37"/>
      <c r="I54" s="26"/>
      <c r="J54" s="26"/>
      <c r="K54" s="26">
        <f t="shared" si="1"/>
        <v>5622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>
        <v>6389.74</v>
      </c>
      <c r="D55" s="32" t="s">
        <v>320</v>
      </c>
      <c r="E55" s="25"/>
      <c r="F55" s="32"/>
      <c r="G55" s="25"/>
      <c r="H55" s="38"/>
      <c r="I55" s="25"/>
      <c r="J55" s="25"/>
      <c r="K55" s="20">
        <f t="shared" si="1"/>
        <v>6389.74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>
        <v>5793</v>
      </c>
      <c r="D57" s="32" t="s">
        <v>334</v>
      </c>
      <c r="E57" s="25"/>
      <c r="F57" s="32"/>
      <c r="G57" s="25"/>
      <c r="H57" s="38"/>
      <c r="I57" s="25"/>
      <c r="J57" s="25"/>
      <c r="K57" s="20">
        <f t="shared" si="1"/>
        <v>5793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>
        <v>5758</v>
      </c>
      <c r="D60" s="29" t="s">
        <v>318</v>
      </c>
      <c r="E60" s="26"/>
      <c r="F60" s="29"/>
      <c r="G60" s="26"/>
      <c r="H60" s="37"/>
      <c r="I60" s="26"/>
      <c r="J60" s="26"/>
      <c r="K60" s="22">
        <f t="shared" si="1"/>
        <v>5758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>
        <v>5606.17</v>
      </c>
      <c r="D61" s="32" t="s">
        <v>326</v>
      </c>
      <c r="E61" s="25"/>
      <c r="F61" s="32"/>
      <c r="G61" s="25"/>
      <c r="H61" s="38"/>
      <c r="I61" s="25"/>
      <c r="J61" s="25"/>
      <c r="K61" s="20">
        <f t="shared" si="1"/>
        <v>5606.17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>
        <v>6142</v>
      </c>
      <c r="D63" s="32" t="s">
        <v>322</v>
      </c>
      <c r="E63" s="25"/>
      <c r="F63" s="32"/>
      <c r="G63" s="25"/>
      <c r="H63" s="38"/>
      <c r="I63" s="25"/>
      <c r="J63" s="25"/>
      <c r="K63" s="20">
        <f t="shared" si="1"/>
        <v>6142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>
        <v>32894</v>
      </c>
      <c r="D64" s="29" t="s">
        <v>318</v>
      </c>
      <c r="E64" s="26"/>
      <c r="F64" s="29"/>
      <c r="G64" s="26"/>
      <c r="H64" s="37"/>
      <c r="I64" s="26"/>
      <c r="J64" s="26"/>
      <c r="K64" s="22">
        <f t="shared" si="1"/>
        <v>32894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325302.08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R7" sqref="R7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1" ht="16.5" customHeight="1" x14ac:dyDescent="0.25">
      <c r="A1" s="17"/>
      <c r="B1" s="90" t="s">
        <v>335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9"/>
    </row>
    <row r="2" spans="1:21" ht="58.5" customHeight="1" x14ac:dyDescent="0.25">
      <c r="A2" s="18" t="s">
        <v>216</v>
      </c>
      <c r="B2" s="18">
        <v>1</v>
      </c>
      <c r="C2" s="18" t="s">
        <v>217</v>
      </c>
      <c r="D2" s="18" t="s">
        <v>276</v>
      </c>
      <c r="E2" s="18" t="s">
        <v>277</v>
      </c>
      <c r="F2" s="42" t="s">
        <v>278</v>
      </c>
      <c r="G2" s="18" t="s">
        <v>221</v>
      </c>
      <c r="H2" s="18" t="s">
        <v>222</v>
      </c>
      <c r="I2" s="18" t="s">
        <v>279</v>
      </c>
      <c r="J2" s="18" t="s">
        <v>280</v>
      </c>
      <c r="K2" s="18" t="s">
        <v>281</v>
      </c>
      <c r="L2" s="18" t="s">
        <v>282</v>
      </c>
      <c r="M2" s="18" t="s">
        <v>312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23.5</v>
      </c>
      <c r="D4" s="22">
        <v>0</v>
      </c>
      <c r="E4" s="22"/>
      <c r="F4" s="44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'ANNUAL-EXPENSE-DETAILS'!V6</f>
        <v>325440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'ANNUAL-EXPENSE-DETAILS'!U6</f>
        <v>40900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1389.5</v>
      </c>
      <c r="D6" s="22">
        <f t="shared" ref="D6:D37" si="0">SUM($C$3:$C$5)/64</f>
        <v>0.3671875</v>
      </c>
      <c r="E6" s="22">
        <f t="shared" ref="E6:E37" si="1">C6+D6</f>
        <v>1389.8671875</v>
      </c>
      <c r="F6" s="44">
        <f t="shared" ref="F6:F37" si="2">IF($C$70=0, 0, E6/$C$70)</f>
        <v>1.1943774571938041E-2</v>
      </c>
      <c r="G6" s="22">
        <f t="shared" ref="G6:G37" si="3">F6*$T$5</f>
        <v>488.50037999226589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865.39698936726586</v>
      </c>
      <c r="K6" s="22">
        <f t="shared" ref="K6:K37" si="6">$T$11/64</f>
        <v>5085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5950.3969893672656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1693.5</v>
      </c>
      <c r="D7" s="20">
        <f t="shared" si="0"/>
        <v>0.3671875</v>
      </c>
      <c r="E7" s="20">
        <f t="shared" si="1"/>
        <v>1693.8671875</v>
      </c>
      <c r="F7" s="43">
        <f t="shared" si="2"/>
        <v>1.4556187831654027E-2</v>
      </c>
      <c r="G7" s="20">
        <f t="shared" si="3"/>
        <v>595.34808231464967</v>
      </c>
      <c r="H7" s="20">
        <v>4</v>
      </c>
      <c r="I7" s="20">
        <f t="shared" si="4"/>
        <v>494.79759999999999</v>
      </c>
      <c r="J7" s="20">
        <f t="shared" si="5"/>
        <v>1095.9440916896497</v>
      </c>
      <c r="K7" s="20">
        <f t="shared" si="6"/>
        <v>5085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6180.9440916896492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3553</v>
      </c>
      <c r="D8" s="22">
        <f t="shared" si="0"/>
        <v>0.3671875</v>
      </c>
      <c r="E8" s="22">
        <f t="shared" si="1"/>
        <v>3553.3671875</v>
      </c>
      <c r="F8" s="44">
        <f t="shared" si="2"/>
        <v>3.0535735385739147E-2</v>
      </c>
      <c r="G8" s="22">
        <f t="shared" si="3"/>
        <v>1248.9115772767311</v>
      </c>
      <c r="H8" s="22">
        <v>4</v>
      </c>
      <c r="I8" s="22">
        <f t="shared" si="4"/>
        <v>494.79759999999999</v>
      </c>
      <c r="J8" s="22">
        <f t="shared" si="5"/>
        <v>1749.5075866517309</v>
      </c>
      <c r="K8" s="22">
        <f t="shared" si="6"/>
        <v>5085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7584.5075866517309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1160.5</v>
      </c>
      <c r="D9" s="20">
        <f t="shared" si="0"/>
        <v>0.3671875</v>
      </c>
      <c r="E9" s="20">
        <f t="shared" si="1"/>
        <v>1160.8671875</v>
      </c>
      <c r="F9" s="43">
        <f t="shared" si="2"/>
        <v>9.975871162480934E-3</v>
      </c>
      <c r="G9" s="20">
        <f t="shared" si="3"/>
        <v>408.01313054547018</v>
      </c>
      <c r="H9" s="20">
        <v>4</v>
      </c>
      <c r="I9" s="20">
        <f t="shared" si="4"/>
        <v>494.79759999999999</v>
      </c>
      <c r="J9" s="20">
        <f t="shared" si="5"/>
        <v>908.60913992047017</v>
      </c>
      <c r="K9" s="20">
        <f t="shared" si="6"/>
        <v>5085</v>
      </c>
      <c r="L9" s="20">
        <v>0</v>
      </c>
      <c r="M9" s="20">
        <v>0</v>
      </c>
      <c r="N9" s="20">
        <v>0</v>
      </c>
      <c r="O9" s="20">
        <v>0</v>
      </c>
      <c r="P9" s="20">
        <v>1000</v>
      </c>
      <c r="Q9" s="20"/>
      <c r="R9" s="20">
        <f t="shared" si="7"/>
        <v>6993.6091399204706</v>
      </c>
      <c r="S9" s="20" t="s">
        <v>290</v>
      </c>
      <c r="T9" s="20">
        <f>T8/64</f>
        <v>5.7984093750000003</v>
      </c>
      <c r="U9" t="s">
        <v>314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529</v>
      </c>
      <c r="D10" s="22">
        <f t="shared" si="0"/>
        <v>0.3671875</v>
      </c>
      <c r="E10" s="22">
        <f t="shared" si="1"/>
        <v>529.3671875</v>
      </c>
      <c r="F10" s="44">
        <f t="shared" si="2"/>
        <v>4.5490982233011793E-3</v>
      </c>
      <c r="G10" s="22">
        <f t="shared" si="3"/>
        <v>186.05811733301823</v>
      </c>
      <c r="H10" s="22">
        <v>3</v>
      </c>
      <c r="I10" s="22">
        <f t="shared" si="4"/>
        <v>371.09820000000002</v>
      </c>
      <c r="J10" s="22">
        <f t="shared" si="5"/>
        <v>562.95472670801826</v>
      </c>
      <c r="K10" s="22">
        <f t="shared" si="6"/>
        <v>5085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5647.9547267080179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2112</v>
      </c>
      <c r="D11" s="20">
        <f t="shared" si="0"/>
        <v>0.3671875</v>
      </c>
      <c r="E11" s="20">
        <f t="shared" si="1"/>
        <v>2112.3671875</v>
      </c>
      <c r="F11" s="43">
        <f t="shared" si="2"/>
        <v>1.8152552796098568E-2</v>
      </c>
      <c r="G11" s="20">
        <f t="shared" si="3"/>
        <v>742.43940936043145</v>
      </c>
      <c r="H11" s="20">
        <v>3</v>
      </c>
      <c r="I11" s="20">
        <f t="shared" si="4"/>
        <v>371.09820000000002</v>
      </c>
      <c r="J11" s="20">
        <f t="shared" si="5"/>
        <v>1119.3360187354315</v>
      </c>
      <c r="K11" s="20">
        <f t="shared" si="6"/>
        <v>5085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6204.3360187354319</v>
      </c>
      <c r="S11" s="20" t="s">
        <v>238</v>
      </c>
      <c r="T11" s="20">
        <f>'ANNUAL-EXPENSE-DETAILS'!V6</f>
        <v>325440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23</v>
      </c>
      <c r="D12" s="22">
        <f t="shared" si="0"/>
        <v>0.3671875</v>
      </c>
      <c r="E12" s="22">
        <f t="shared" si="1"/>
        <v>23.3671875</v>
      </c>
      <c r="F12" s="44">
        <f t="shared" si="2"/>
        <v>2.0080510022128171E-4</v>
      </c>
      <c r="G12" s="22">
        <f t="shared" si="3"/>
        <v>8.2129285990504215</v>
      </c>
      <c r="H12" s="22">
        <v>3</v>
      </c>
      <c r="I12" s="22">
        <f t="shared" si="4"/>
        <v>371.09820000000002</v>
      </c>
      <c r="J12" s="22">
        <f t="shared" si="5"/>
        <v>385.10953797405045</v>
      </c>
      <c r="K12" s="22">
        <f t="shared" si="6"/>
        <v>5085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6220.1095379740509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17</v>
      </c>
      <c r="D13" s="20">
        <f t="shared" si="0"/>
        <v>0.3671875</v>
      </c>
      <c r="E13" s="20">
        <f t="shared" si="1"/>
        <v>17.3671875</v>
      </c>
      <c r="F13" s="43">
        <f t="shared" si="2"/>
        <v>1.4924431220057148E-4</v>
      </c>
      <c r="G13" s="20">
        <f t="shared" si="3"/>
        <v>6.1040923690033733</v>
      </c>
      <c r="H13" s="20">
        <v>3</v>
      </c>
      <c r="I13" s="20">
        <f t="shared" si="4"/>
        <v>371.09820000000002</v>
      </c>
      <c r="J13" s="20">
        <f t="shared" si="5"/>
        <v>383.00070174400338</v>
      </c>
      <c r="K13" s="20">
        <f t="shared" si="6"/>
        <v>5085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5468.000701744003</v>
      </c>
      <c r="S13" s="20"/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577.5</v>
      </c>
      <c r="D14" s="22">
        <f t="shared" si="0"/>
        <v>0.3671875</v>
      </c>
      <c r="E14" s="22">
        <f t="shared" si="1"/>
        <v>577.8671875</v>
      </c>
      <c r="F14" s="44">
        <f t="shared" si="2"/>
        <v>4.9658812598019205E-3</v>
      </c>
      <c r="G14" s="22">
        <f t="shared" si="3"/>
        <v>203.10454352589855</v>
      </c>
      <c r="H14" s="22">
        <v>4</v>
      </c>
      <c r="I14" s="22">
        <f t="shared" si="4"/>
        <v>494.79759999999999</v>
      </c>
      <c r="J14" s="22">
        <f t="shared" si="5"/>
        <v>703.70055290089851</v>
      </c>
      <c r="K14" s="22">
        <f t="shared" si="6"/>
        <v>5085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5788.7005529008984</v>
      </c>
      <c r="S14" s="22" t="s">
        <v>336</v>
      </c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2251</v>
      </c>
      <c r="D15" s="20">
        <f t="shared" si="0"/>
        <v>0.3671875</v>
      </c>
      <c r="E15" s="20">
        <f t="shared" si="1"/>
        <v>2251.3671875</v>
      </c>
      <c r="F15" s="43">
        <f t="shared" si="2"/>
        <v>1.9347044385245021E-2</v>
      </c>
      <c r="G15" s="20">
        <f t="shared" si="3"/>
        <v>791.29411535652139</v>
      </c>
      <c r="H15" s="20">
        <v>3</v>
      </c>
      <c r="I15" s="20">
        <f t="shared" si="4"/>
        <v>371.09820000000002</v>
      </c>
      <c r="J15" s="20">
        <f t="shared" si="5"/>
        <v>1168.1907247315214</v>
      </c>
      <c r="K15" s="20">
        <f t="shared" si="6"/>
        <v>5085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6253.1907247315212</v>
      </c>
      <c r="S15" s="20" t="s">
        <v>245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327.5</v>
      </c>
      <c r="D16" s="22">
        <f t="shared" si="0"/>
        <v>0.3671875</v>
      </c>
      <c r="E16" s="22">
        <f t="shared" si="1"/>
        <v>327.8671875</v>
      </c>
      <c r="F16" s="44">
        <f t="shared" si="2"/>
        <v>2.817515092272327E-3</v>
      </c>
      <c r="G16" s="22">
        <f t="shared" si="3"/>
        <v>115.23636727393817</v>
      </c>
      <c r="H16" s="22">
        <v>3</v>
      </c>
      <c r="I16" s="22">
        <f t="shared" si="4"/>
        <v>371.09820000000002</v>
      </c>
      <c r="J16" s="22">
        <f t="shared" si="5"/>
        <v>492.13297664893821</v>
      </c>
      <c r="K16" s="22">
        <f t="shared" si="6"/>
        <v>5085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5577.132976648938</v>
      </c>
      <c r="S16" s="22" t="s">
        <v>246</v>
      </c>
      <c r="T16" s="22"/>
    </row>
    <row r="17" spans="1:21" ht="12.75" customHeight="1" x14ac:dyDescent="0.25">
      <c r="A17" s="19" t="s">
        <v>40</v>
      </c>
      <c r="B17" s="19" t="str">
        <f>VLOOKUP(A17,Members!$A$2:$B$65,2,FALSE)</f>
        <v>Kavitha T</v>
      </c>
      <c r="C17" s="20">
        <v>1037</v>
      </c>
      <c r="D17" s="20">
        <f t="shared" si="0"/>
        <v>0.3671875</v>
      </c>
      <c r="E17" s="20">
        <f t="shared" si="1"/>
        <v>1037.3671875</v>
      </c>
      <c r="F17" s="43">
        <f t="shared" si="2"/>
        <v>8.9145782757213132E-3</v>
      </c>
      <c r="G17" s="20">
        <f t="shared" si="3"/>
        <v>364.60625147700171</v>
      </c>
      <c r="H17" s="20">
        <v>3</v>
      </c>
      <c r="I17" s="20">
        <f t="shared" si="4"/>
        <v>371.09820000000002</v>
      </c>
      <c r="J17" s="20">
        <f t="shared" si="5"/>
        <v>741.50286085200173</v>
      </c>
      <c r="K17" s="20">
        <f t="shared" si="6"/>
        <v>5085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5826.5028608520015</v>
      </c>
      <c r="S17" s="20" t="s">
        <v>316</v>
      </c>
      <c r="T17" s="20">
        <f>T15-T16</f>
        <v>0</v>
      </c>
    </row>
    <row r="18" spans="1:21" ht="12.75" customHeight="1" x14ac:dyDescent="0.25">
      <c r="A18" s="21" t="s">
        <v>44</v>
      </c>
      <c r="B18" s="21" t="str">
        <f>VLOOKUP(A18,Members!$A$2:$B$65,2,FALSE)</f>
        <v>Srinivasa Rao</v>
      </c>
      <c r="C18" s="22">
        <v>454</v>
      </c>
      <c r="D18" s="22">
        <f t="shared" si="0"/>
        <v>0.3671875</v>
      </c>
      <c r="E18" s="22">
        <f t="shared" si="1"/>
        <v>454.3671875</v>
      </c>
      <c r="F18" s="44">
        <f t="shared" si="2"/>
        <v>3.9045883730423015E-3</v>
      </c>
      <c r="G18" s="22">
        <f t="shared" si="3"/>
        <v>159.69766445743014</v>
      </c>
      <c r="H18" s="22">
        <v>4</v>
      </c>
      <c r="I18" s="22">
        <f t="shared" si="4"/>
        <v>494.79759999999999</v>
      </c>
      <c r="J18" s="22">
        <f t="shared" si="5"/>
        <v>660.29367383243016</v>
      </c>
      <c r="K18" s="22">
        <f t="shared" si="6"/>
        <v>5085</v>
      </c>
      <c r="L18" s="22">
        <v>0</v>
      </c>
      <c r="M18" s="22">
        <v>0</v>
      </c>
      <c r="N18" s="22">
        <v>0</v>
      </c>
      <c r="O18" s="22">
        <v>0</v>
      </c>
      <c r="P18" s="22">
        <v>1000</v>
      </c>
      <c r="Q18" s="22"/>
      <c r="R18" s="22">
        <f t="shared" si="7"/>
        <v>6745.2936738324297</v>
      </c>
      <c r="S18" s="22" t="s">
        <v>249</v>
      </c>
      <c r="T18" s="22">
        <f>T14-T17</f>
        <v>0</v>
      </c>
      <c r="U18" t="s">
        <v>314</v>
      </c>
    </row>
    <row r="19" spans="1:21" ht="12.75" customHeight="1" x14ac:dyDescent="0.25">
      <c r="A19" s="19" t="s">
        <v>46</v>
      </c>
      <c r="B19" s="19" t="str">
        <f>VLOOKUP(A19,Members!$A$2:$B$65,2,FALSE)</f>
        <v>Hemant Patel</v>
      </c>
      <c r="C19" s="20">
        <v>2804</v>
      </c>
      <c r="D19" s="20">
        <f t="shared" si="0"/>
        <v>0.3671875</v>
      </c>
      <c r="E19" s="20">
        <f t="shared" si="1"/>
        <v>2804.3671875</v>
      </c>
      <c r="F19" s="43">
        <f t="shared" si="2"/>
        <v>2.4099230347820483E-2</v>
      </c>
      <c r="G19" s="20">
        <f t="shared" si="3"/>
        <v>985.65852122585773</v>
      </c>
      <c r="H19" s="20">
        <v>4</v>
      </c>
      <c r="I19" s="20">
        <f t="shared" si="4"/>
        <v>494.79759999999999</v>
      </c>
      <c r="J19" s="20">
        <f t="shared" si="5"/>
        <v>1486.2545306008578</v>
      </c>
      <c r="K19" s="20">
        <f t="shared" si="6"/>
        <v>5085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6571.2545306008578</v>
      </c>
      <c r="S19" s="20"/>
      <c r="T19" s="20"/>
    </row>
    <row r="20" spans="1:21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695.5</v>
      </c>
      <c r="D20" s="22">
        <f t="shared" si="0"/>
        <v>0.3671875</v>
      </c>
      <c r="E20" s="22">
        <f t="shared" si="1"/>
        <v>695.8671875</v>
      </c>
      <c r="F20" s="44">
        <f t="shared" si="2"/>
        <v>5.979910090875889E-3</v>
      </c>
      <c r="G20" s="22">
        <f t="shared" si="3"/>
        <v>244.57832271682386</v>
      </c>
      <c r="H20" s="22">
        <v>4</v>
      </c>
      <c r="I20" s="22">
        <f t="shared" si="4"/>
        <v>494.79759999999999</v>
      </c>
      <c r="J20" s="22">
        <f t="shared" si="5"/>
        <v>745.17433209182389</v>
      </c>
      <c r="K20" s="22">
        <f t="shared" si="6"/>
        <v>5085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6580.174332091824</v>
      </c>
      <c r="S20" s="22"/>
      <c r="T20" s="22"/>
    </row>
    <row r="21" spans="1:21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3112</v>
      </c>
      <c r="D21" s="20">
        <f t="shared" si="0"/>
        <v>0.3671875</v>
      </c>
      <c r="E21" s="20">
        <f t="shared" si="1"/>
        <v>3112.3671875</v>
      </c>
      <c r="F21" s="43">
        <f t="shared" si="2"/>
        <v>2.674601746621694E-2</v>
      </c>
      <c r="G21" s="20">
        <f t="shared" si="3"/>
        <v>1093.9121143682728</v>
      </c>
      <c r="H21" s="20">
        <v>3</v>
      </c>
      <c r="I21" s="20">
        <f t="shared" si="4"/>
        <v>371.09820000000002</v>
      </c>
      <c r="J21" s="20">
        <f t="shared" si="5"/>
        <v>1470.8087237432728</v>
      </c>
      <c r="K21" s="20">
        <f t="shared" si="6"/>
        <v>5085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6555.8087237432728</v>
      </c>
      <c r="S21" s="20"/>
      <c r="T21" s="20"/>
    </row>
    <row r="22" spans="1:21" ht="12.75" customHeight="1" x14ac:dyDescent="0.25">
      <c r="A22" s="21" t="s">
        <v>57</v>
      </c>
      <c r="B22" s="21" t="str">
        <f>VLOOKUP(A22,Members!$A$2:$B$65,2,FALSE)</f>
        <v>Digvijay Verma</v>
      </c>
      <c r="C22" s="22">
        <v>3271.5</v>
      </c>
      <c r="D22" s="22">
        <f t="shared" si="0"/>
        <v>0.3671875</v>
      </c>
      <c r="E22" s="22">
        <f t="shared" si="1"/>
        <v>3271.8671875</v>
      </c>
      <c r="F22" s="44">
        <f t="shared" si="2"/>
        <v>2.8116675081100821E-2</v>
      </c>
      <c r="G22" s="22">
        <f t="shared" si="3"/>
        <v>1149.9720108170236</v>
      </c>
      <c r="H22" s="22">
        <v>3</v>
      </c>
      <c r="I22" s="22">
        <f t="shared" si="4"/>
        <v>371.09820000000002</v>
      </c>
      <c r="J22" s="22">
        <f t="shared" si="5"/>
        <v>1526.8686201920236</v>
      </c>
      <c r="K22" s="22">
        <f t="shared" si="6"/>
        <v>5085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6611.8686201920236</v>
      </c>
      <c r="S22" s="22"/>
      <c r="T22" s="22"/>
    </row>
    <row r="23" spans="1:21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4493.5</v>
      </c>
      <c r="D23" s="20">
        <f t="shared" si="0"/>
        <v>0.3671875</v>
      </c>
      <c r="E23" s="20">
        <f t="shared" si="1"/>
        <v>4493.8671875</v>
      </c>
      <c r="F23" s="43">
        <f t="shared" si="2"/>
        <v>3.8617888907985475E-2</v>
      </c>
      <c r="G23" s="20">
        <f t="shared" si="3"/>
        <v>1579.471656336606</v>
      </c>
      <c r="H23" s="20">
        <v>4</v>
      </c>
      <c r="I23" s="20">
        <f t="shared" si="4"/>
        <v>494.79759999999999</v>
      </c>
      <c r="J23" s="20">
        <f t="shared" si="5"/>
        <v>2080.067665711606</v>
      </c>
      <c r="K23" s="20">
        <f t="shared" si="6"/>
        <v>5085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7165.0676657116055</v>
      </c>
      <c r="S23" s="20"/>
      <c r="T23" s="20"/>
    </row>
    <row r="24" spans="1:21" ht="12.75" customHeight="1" x14ac:dyDescent="0.25">
      <c r="A24" s="21" t="s">
        <v>62</v>
      </c>
      <c r="B24" s="21" t="str">
        <f>VLOOKUP(A24,Members!$A$2:$B$65,2,FALSE)</f>
        <v>Balakrishnan</v>
      </c>
      <c r="C24" s="22">
        <v>1626</v>
      </c>
      <c r="D24" s="22">
        <f t="shared" si="0"/>
        <v>0.3671875</v>
      </c>
      <c r="E24" s="22">
        <f t="shared" si="1"/>
        <v>1626.3671875</v>
      </c>
      <c r="F24" s="44">
        <f t="shared" si="2"/>
        <v>1.3976128966421036E-2</v>
      </c>
      <c r="G24" s="22">
        <f t="shared" si="3"/>
        <v>571.62367472662038</v>
      </c>
      <c r="H24" s="22">
        <v>4</v>
      </c>
      <c r="I24" s="22">
        <f t="shared" si="4"/>
        <v>494.79759999999999</v>
      </c>
      <c r="J24" s="22">
        <f t="shared" si="5"/>
        <v>1072.2196841016203</v>
      </c>
      <c r="K24" s="22">
        <f t="shared" si="6"/>
        <v>5085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6157.2196841016203</v>
      </c>
      <c r="S24" s="22"/>
      <c r="T24" s="22"/>
    </row>
    <row r="25" spans="1:21" ht="12.75" customHeight="1" x14ac:dyDescent="0.25">
      <c r="A25" s="19" t="s">
        <v>65</v>
      </c>
      <c r="B25" s="19" t="str">
        <f>VLOOKUP(A25,Members!$A$2:$B$65,2,FALSE)</f>
        <v>Ashwin Pandith</v>
      </c>
      <c r="C25" s="20">
        <v>2908</v>
      </c>
      <c r="D25" s="20">
        <f t="shared" si="0"/>
        <v>0.3671875</v>
      </c>
      <c r="E25" s="20">
        <f t="shared" si="1"/>
        <v>2908.3671875</v>
      </c>
      <c r="F25" s="43">
        <f t="shared" si="2"/>
        <v>2.4992950673512794E-2</v>
      </c>
      <c r="G25" s="20">
        <f t="shared" si="3"/>
        <v>1022.2116825466733</v>
      </c>
      <c r="H25" s="20">
        <v>4</v>
      </c>
      <c r="I25" s="20">
        <f t="shared" si="4"/>
        <v>494.79759999999999</v>
      </c>
      <c r="J25" s="20">
        <f t="shared" si="5"/>
        <v>1522.8076919216733</v>
      </c>
      <c r="K25" s="20">
        <f t="shared" si="6"/>
        <v>5085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6607.8076919216728</v>
      </c>
      <c r="S25" s="20"/>
      <c r="T25" s="20"/>
    </row>
    <row r="26" spans="1:21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1753</v>
      </c>
      <c r="D26" s="22">
        <f t="shared" si="0"/>
        <v>0.3671875</v>
      </c>
      <c r="E26" s="22">
        <f t="shared" si="1"/>
        <v>1753.3671875</v>
      </c>
      <c r="F26" s="44">
        <f t="shared" si="2"/>
        <v>1.506749897952607E-2</v>
      </c>
      <c r="G26" s="22">
        <f t="shared" si="3"/>
        <v>616.26070826261628</v>
      </c>
      <c r="H26" s="22">
        <v>3</v>
      </c>
      <c r="I26" s="22">
        <f t="shared" si="4"/>
        <v>371.09820000000002</v>
      </c>
      <c r="J26" s="22">
        <f t="shared" si="5"/>
        <v>993.1573176376163</v>
      </c>
      <c r="K26" s="22">
        <f t="shared" si="6"/>
        <v>5085</v>
      </c>
      <c r="L26" s="22">
        <v>0</v>
      </c>
      <c r="M26" s="22">
        <v>0</v>
      </c>
      <c r="N26" s="22">
        <v>0</v>
      </c>
      <c r="O26" s="22">
        <v>0</v>
      </c>
      <c r="P26" s="22">
        <v>1000</v>
      </c>
      <c r="Q26" s="22"/>
      <c r="R26" s="22">
        <f t="shared" si="7"/>
        <v>7078.157317637616</v>
      </c>
      <c r="S26" s="22"/>
      <c r="T26" s="22"/>
      <c r="U26" t="s">
        <v>314</v>
      </c>
    </row>
    <row r="27" spans="1:21" ht="12.75" customHeight="1" x14ac:dyDescent="0.25">
      <c r="A27" s="19" t="s">
        <v>70</v>
      </c>
      <c r="B27" s="19" t="str">
        <f>VLOOKUP(A27,Members!$A$2:$B$65,2,FALSE)</f>
        <v>Srinath</v>
      </c>
      <c r="C27" s="20">
        <v>1</v>
      </c>
      <c r="D27" s="20">
        <f t="shared" si="0"/>
        <v>0.3671875</v>
      </c>
      <c r="E27" s="20">
        <f t="shared" si="1"/>
        <v>1.3671875</v>
      </c>
      <c r="F27" s="43">
        <f t="shared" si="2"/>
        <v>1.1748877478677466E-5</v>
      </c>
      <c r="G27" s="20">
        <f t="shared" si="3"/>
        <v>0.48052908887790835</v>
      </c>
      <c r="H27" s="20">
        <v>3</v>
      </c>
      <c r="I27" s="20">
        <f t="shared" si="4"/>
        <v>371.09820000000002</v>
      </c>
      <c r="J27" s="20">
        <f t="shared" si="5"/>
        <v>377.37713846387794</v>
      </c>
      <c r="K27" s="20">
        <f t="shared" si="6"/>
        <v>5085</v>
      </c>
      <c r="L27" s="20">
        <v>0</v>
      </c>
      <c r="M27" s="20">
        <v>0</v>
      </c>
      <c r="N27" s="20">
        <v>0</v>
      </c>
      <c r="O27" s="20">
        <v>0</v>
      </c>
      <c r="P27" s="20">
        <v>1000</v>
      </c>
      <c r="Q27" s="20"/>
      <c r="R27" s="20">
        <f t="shared" si="7"/>
        <v>6462.3771384638776</v>
      </c>
      <c r="S27" s="20"/>
      <c r="T27" s="20"/>
      <c r="U27" t="s">
        <v>314</v>
      </c>
    </row>
    <row r="28" spans="1:21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667.5</v>
      </c>
      <c r="D28" s="22">
        <f t="shared" si="0"/>
        <v>0.3671875</v>
      </c>
      <c r="E28" s="22">
        <f t="shared" si="1"/>
        <v>667.8671875</v>
      </c>
      <c r="F28" s="44">
        <f t="shared" si="2"/>
        <v>5.739293080112574E-3</v>
      </c>
      <c r="G28" s="22">
        <f t="shared" si="3"/>
        <v>234.73708697660427</v>
      </c>
      <c r="H28" s="22">
        <v>3</v>
      </c>
      <c r="I28" s="22">
        <f t="shared" si="4"/>
        <v>371.09820000000002</v>
      </c>
      <c r="J28" s="22">
        <f t="shared" si="5"/>
        <v>611.63369635160427</v>
      </c>
      <c r="K28" s="22">
        <f t="shared" si="6"/>
        <v>5085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5696.6336963516042</v>
      </c>
      <c r="S28" s="22"/>
      <c r="T28" s="22"/>
    </row>
    <row r="29" spans="1:21" ht="12.75" customHeight="1" x14ac:dyDescent="0.25">
      <c r="A29" s="19" t="s">
        <v>77</v>
      </c>
      <c r="B29" s="19" t="str">
        <f>VLOOKUP(A29,Members!$A$2:$B$65,2,FALSE)</f>
        <v>Arun M</v>
      </c>
      <c r="C29" s="20">
        <v>2198</v>
      </c>
      <c r="D29" s="20">
        <f t="shared" si="0"/>
        <v>0.3671875</v>
      </c>
      <c r="E29" s="20">
        <f t="shared" si="1"/>
        <v>2198.3671875</v>
      </c>
      <c r="F29" s="43">
        <f t="shared" si="2"/>
        <v>1.8891590757728748E-2</v>
      </c>
      <c r="G29" s="20">
        <f t="shared" si="3"/>
        <v>772.66606199110572</v>
      </c>
      <c r="H29" s="20">
        <v>3</v>
      </c>
      <c r="I29" s="20">
        <f t="shared" si="4"/>
        <v>371.09820000000002</v>
      </c>
      <c r="J29" s="20">
        <f t="shared" si="5"/>
        <v>1149.5626713661059</v>
      </c>
      <c r="K29" s="20">
        <f t="shared" si="6"/>
        <v>5085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6234.5626713661059</v>
      </c>
      <c r="S29" s="20"/>
      <c r="T29" s="20"/>
    </row>
    <row r="30" spans="1:21" ht="12.75" customHeight="1" x14ac:dyDescent="0.25">
      <c r="A30" s="21" t="s">
        <v>80</v>
      </c>
      <c r="B30" s="21" t="str">
        <f>VLOOKUP(A30,Members!$A$2:$B$65,2,FALSE)</f>
        <v>Chandramouli</v>
      </c>
      <c r="C30" s="22">
        <v>3338.5</v>
      </c>
      <c r="D30" s="22">
        <f t="shared" si="0"/>
        <v>0.3671875</v>
      </c>
      <c r="E30" s="22">
        <f t="shared" si="1"/>
        <v>3338.8671875</v>
      </c>
      <c r="F30" s="44">
        <f t="shared" si="2"/>
        <v>2.8692437213998754E-2</v>
      </c>
      <c r="G30" s="22">
        <f t="shared" si="3"/>
        <v>1173.5206820525491</v>
      </c>
      <c r="H30" s="22">
        <v>5</v>
      </c>
      <c r="I30" s="22">
        <f t="shared" si="4"/>
        <v>618.49699999999996</v>
      </c>
      <c r="J30" s="22">
        <f t="shared" si="5"/>
        <v>1797.8160914275491</v>
      </c>
      <c r="K30" s="22">
        <f t="shared" si="6"/>
        <v>5085</v>
      </c>
      <c r="L30" s="22">
        <v>0</v>
      </c>
      <c r="M30" s="22">
        <v>500</v>
      </c>
      <c r="N30" s="22">
        <v>0</v>
      </c>
      <c r="O30" s="22">
        <v>0</v>
      </c>
      <c r="P30" s="22">
        <v>0</v>
      </c>
      <c r="Q30" s="22"/>
      <c r="R30" s="22">
        <f t="shared" si="7"/>
        <v>7382.8160914275486</v>
      </c>
      <c r="S30" s="22"/>
      <c r="T30" s="22"/>
    </row>
    <row r="31" spans="1:21" ht="12.75" customHeight="1" x14ac:dyDescent="0.25">
      <c r="A31" s="19" t="s">
        <v>83</v>
      </c>
      <c r="B31" s="19" t="str">
        <f>VLOOKUP(A31,Members!$A$2:$B$65,2,FALSE)</f>
        <v>Richa Singh</v>
      </c>
      <c r="C31" s="20">
        <v>1695.5</v>
      </c>
      <c r="D31" s="20">
        <f t="shared" si="0"/>
        <v>0.3671875</v>
      </c>
      <c r="E31" s="20">
        <f t="shared" si="1"/>
        <v>1695.8671875</v>
      </c>
      <c r="F31" s="43">
        <f t="shared" si="2"/>
        <v>1.4573374760994264E-2</v>
      </c>
      <c r="G31" s="20">
        <f t="shared" si="3"/>
        <v>596.05102772466546</v>
      </c>
      <c r="H31" s="20">
        <v>3</v>
      </c>
      <c r="I31" s="20">
        <f t="shared" si="4"/>
        <v>371.09820000000002</v>
      </c>
      <c r="J31" s="20">
        <f t="shared" si="5"/>
        <v>972.94763709966549</v>
      </c>
      <c r="K31" s="20">
        <f t="shared" si="6"/>
        <v>5085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6057.9476370996654</v>
      </c>
      <c r="S31" s="20"/>
      <c r="T31" s="20"/>
    </row>
    <row r="32" spans="1:21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177.5</v>
      </c>
      <c r="D32" s="22">
        <f t="shared" si="0"/>
        <v>0.3671875</v>
      </c>
      <c r="E32" s="22">
        <f t="shared" si="1"/>
        <v>177.8671875</v>
      </c>
      <c r="F32" s="44">
        <f t="shared" si="2"/>
        <v>1.5284953917545706E-3</v>
      </c>
      <c r="G32" s="22">
        <f t="shared" si="3"/>
        <v>62.515461522761939</v>
      </c>
      <c r="H32" s="22">
        <v>3</v>
      </c>
      <c r="I32" s="22">
        <f t="shared" si="4"/>
        <v>371.09820000000002</v>
      </c>
      <c r="J32" s="22">
        <f t="shared" si="5"/>
        <v>439.41207089776196</v>
      </c>
      <c r="K32" s="22">
        <f t="shared" si="6"/>
        <v>5085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5524.4120708977616</v>
      </c>
      <c r="S32" s="22"/>
      <c r="T32" s="22"/>
    </row>
    <row r="33" spans="1:21" ht="12.75" customHeight="1" x14ac:dyDescent="0.25">
      <c r="A33" s="19" t="s">
        <v>91</v>
      </c>
      <c r="B33" s="19" t="str">
        <f>VLOOKUP(A33,Members!$A$2:$B$65,2,FALSE)</f>
        <v>Shyam Nair</v>
      </c>
      <c r="C33" s="20">
        <v>4488.5</v>
      </c>
      <c r="D33" s="20">
        <f t="shared" si="0"/>
        <v>0.3671875</v>
      </c>
      <c r="E33" s="20">
        <f t="shared" si="1"/>
        <v>4488.8671875</v>
      </c>
      <c r="F33" s="43">
        <f t="shared" si="2"/>
        <v>3.8574921584634887E-2</v>
      </c>
      <c r="G33" s="20">
        <f t="shared" si="3"/>
        <v>1577.7142928115668</v>
      </c>
      <c r="H33" s="20">
        <v>3</v>
      </c>
      <c r="I33" s="20">
        <f t="shared" si="4"/>
        <v>371.09820000000002</v>
      </c>
      <c r="J33" s="20">
        <f t="shared" si="5"/>
        <v>1954.6109021865668</v>
      </c>
      <c r="K33" s="20">
        <f t="shared" si="6"/>
        <v>5085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7039.6109021865668</v>
      </c>
      <c r="S33" s="20"/>
      <c r="T33" s="20"/>
    </row>
    <row r="34" spans="1:21" ht="12.75" customHeight="1" x14ac:dyDescent="0.25">
      <c r="A34" s="21" t="s">
        <v>95</v>
      </c>
      <c r="B34" s="21" t="str">
        <f>VLOOKUP(A34,Members!$A$2:$B$65,2,FALSE)</f>
        <v>Ajai.B</v>
      </c>
      <c r="C34" s="22">
        <v>1923.5</v>
      </c>
      <c r="D34" s="22">
        <f t="shared" si="0"/>
        <v>0.3671875</v>
      </c>
      <c r="E34" s="22">
        <f t="shared" si="1"/>
        <v>1923.8671875</v>
      </c>
      <c r="F34" s="44">
        <f t="shared" si="2"/>
        <v>1.6532684705781252E-2</v>
      </c>
      <c r="G34" s="22">
        <f t="shared" si="3"/>
        <v>676.18680446645317</v>
      </c>
      <c r="H34" s="22">
        <v>4</v>
      </c>
      <c r="I34" s="22">
        <f t="shared" si="4"/>
        <v>494.79759999999999</v>
      </c>
      <c r="J34" s="22">
        <f t="shared" si="5"/>
        <v>1176.7828138414532</v>
      </c>
      <c r="K34" s="22">
        <f t="shared" si="6"/>
        <v>5085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6261.7828138414534</v>
      </c>
      <c r="S34" s="22"/>
      <c r="T34" s="22"/>
    </row>
    <row r="35" spans="1:21" ht="12.75" customHeight="1" x14ac:dyDescent="0.25">
      <c r="A35" s="19" t="s">
        <v>98</v>
      </c>
      <c r="B35" s="19" t="str">
        <f>VLOOKUP(A35,Members!$A$2:$B$65,2,FALSE)</f>
        <v>Surajit Borah</v>
      </c>
      <c r="C35" s="20">
        <v>4551</v>
      </c>
      <c r="D35" s="20">
        <f t="shared" si="0"/>
        <v>0.3671875</v>
      </c>
      <c r="E35" s="20">
        <f t="shared" si="1"/>
        <v>4551.3671875</v>
      </c>
      <c r="F35" s="43">
        <f t="shared" si="2"/>
        <v>3.9112013126517284E-2</v>
      </c>
      <c r="G35" s="20">
        <f t="shared" si="3"/>
        <v>1599.681336874557</v>
      </c>
      <c r="H35" s="20">
        <v>4</v>
      </c>
      <c r="I35" s="20">
        <f t="shared" si="4"/>
        <v>494.79759999999999</v>
      </c>
      <c r="J35" s="20">
        <f t="shared" si="5"/>
        <v>2100.277346249557</v>
      </c>
      <c r="K35" s="20">
        <f t="shared" si="6"/>
        <v>5085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7185.277346249557</v>
      </c>
      <c r="S35" s="20"/>
      <c r="T35" s="20"/>
    </row>
    <row r="36" spans="1:21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412</v>
      </c>
      <c r="D36" s="22">
        <f t="shared" si="0"/>
        <v>0.3671875</v>
      </c>
      <c r="E36" s="22">
        <f t="shared" si="1"/>
        <v>412.3671875</v>
      </c>
      <c r="F36" s="44">
        <f t="shared" si="2"/>
        <v>3.5436628568973295E-3</v>
      </c>
      <c r="G36" s="22">
        <f t="shared" si="3"/>
        <v>144.93581084710078</v>
      </c>
      <c r="H36" s="22">
        <v>4</v>
      </c>
      <c r="I36" s="22">
        <f t="shared" si="4"/>
        <v>494.79759999999999</v>
      </c>
      <c r="J36" s="22">
        <f t="shared" si="5"/>
        <v>645.53182022210081</v>
      </c>
      <c r="K36" s="22">
        <f t="shared" si="6"/>
        <v>5085</v>
      </c>
      <c r="L36" s="22">
        <v>0</v>
      </c>
      <c r="M36" s="22">
        <v>0</v>
      </c>
      <c r="N36" s="22">
        <v>0</v>
      </c>
      <c r="O36" s="22">
        <v>0</v>
      </c>
      <c r="P36" s="22">
        <v>1000</v>
      </c>
      <c r="Q36" s="22"/>
      <c r="R36" s="22">
        <f t="shared" si="7"/>
        <v>6730.5318202221006</v>
      </c>
      <c r="S36" s="22"/>
      <c r="T36" s="22"/>
      <c r="U36" t="s">
        <v>314</v>
      </c>
    </row>
    <row r="37" spans="1:21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1872.5</v>
      </c>
      <c r="D37" s="20">
        <f t="shared" si="0"/>
        <v>0.3671875</v>
      </c>
      <c r="E37" s="20">
        <f t="shared" si="1"/>
        <v>1872.8671875</v>
      </c>
      <c r="F37" s="43">
        <f t="shared" si="2"/>
        <v>1.6094418007605218E-2</v>
      </c>
      <c r="G37" s="20">
        <f t="shared" si="3"/>
        <v>658.2616965110534</v>
      </c>
      <c r="H37" s="20">
        <v>3</v>
      </c>
      <c r="I37" s="20">
        <f t="shared" si="4"/>
        <v>371.09820000000002</v>
      </c>
      <c r="J37" s="20">
        <f t="shared" si="5"/>
        <v>1035.1583058860533</v>
      </c>
      <c r="K37" s="20">
        <f t="shared" si="6"/>
        <v>5085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6120.1583058860533</v>
      </c>
      <c r="S37" s="20"/>
      <c r="T37" s="20"/>
    </row>
    <row r="38" spans="1:21" ht="12.75" customHeight="1" x14ac:dyDescent="0.25">
      <c r="A38" s="21" t="s">
        <v>109</v>
      </c>
      <c r="B38" s="21" t="str">
        <f>VLOOKUP(A38,Members!$A$2:$B$65,2,FALSE)</f>
        <v>S.N.Behera</v>
      </c>
      <c r="C38" s="22">
        <v>0.5</v>
      </c>
      <c r="D38" s="22">
        <f t="shared" ref="D38:D69" si="8">SUM($C$3:$C$5)/64</f>
        <v>0.3671875</v>
      </c>
      <c r="E38" s="22">
        <f t="shared" ref="E38:E69" si="9">C38+D38</f>
        <v>0.8671875</v>
      </c>
      <c r="F38" s="44">
        <f t="shared" ref="F38:F69" si="10">IF($C$70=0, 0, E38/$C$70)</f>
        <v>7.4521451436182783E-6</v>
      </c>
      <c r="G38" s="22">
        <f t="shared" ref="G38:G69" si="11">F38*$T$5</f>
        <v>0.30479273637398757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377.20140211137402</v>
      </c>
      <c r="K38" s="22">
        <f t="shared" ref="K38:K69" si="14">$T$11/64</f>
        <v>5085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5462.2014021113737</v>
      </c>
      <c r="S38" s="22"/>
      <c r="T38" s="22"/>
    </row>
    <row r="39" spans="1:21" ht="12.75" customHeight="1" x14ac:dyDescent="0.25">
      <c r="A39" s="19" t="s">
        <v>113</v>
      </c>
      <c r="B39" s="19" t="str">
        <f>VLOOKUP(A39,Members!$A$2:$B$65,2,FALSE)</f>
        <v>Sonal Singh</v>
      </c>
      <c r="C39" s="20">
        <v>1.5</v>
      </c>
      <c r="D39" s="20">
        <f t="shared" si="8"/>
        <v>0.3671875</v>
      </c>
      <c r="E39" s="20">
        <f t="shared" si="9"/>
        <v>1.8671875</v>
      </c>
      <c r="F39" s="43">
        <f t="shared" si="10"/>
        <v>1.6045609813736654E-5</v>
      </c>
      <c r="G39" s="20">
        <f t="shared" si="11"/>
        <v>0.65626544138182918</v>
      </c>
      <c r="H39" s="20">
        <v>4</v>
      </c>
      <c r="I39" s="20">
        <f t="shared" si="12"/>
        <v>494.79759999999999</v>
      </c>
      <c r="J39" s="20">
        <f t="shared" si="13"/>
        <v>501.25227481638183</v>
      </c>
      <c r="K39" s="20">
        <f t="shared" si="14"/>
        <v>5085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5586.2522748163819</v>
      </c>
      <c r="S39" s="20"/>
      <c r="T39" s="20"/>
    </row>
    <row r="40" spans="1:21" ht="12.75" customHeight="1" x14ac:dyDescent="0.25">
      <c r="A40" s="21" t="s">
        <v>116</v>
      </c>
      <c r="B40" s="21" t="str">
        <f>VLOOKUP(A40,Members!$A$2:$B$65,2,FALSE)</f>
        <v>Manikandan N</v>
      </c>
      <c r="C40" s="22">
        <v>2933.5</v>
      </c>
      <c r="D40" s="22">
        <f t="shared" si="8"/>
        <v>0.3671875</v>
      </c>
      <c r="E40" s="22">
        <f t="shared" si="9"/>
        <v>2933.8671875</v>
      </c>
      <c r="F40" s="44">
        <f t="shared" si="10"/>
        <v>2.5212084022600813E-2</v>
      </c>
      <c r="G40" s="22">
        <f t="shared" si="11"/>
        <v>1031.1742365243733</v>
      </c>
      <c r="H40" s="22">
        <v>4</v>
      </c>
      <c r="I40" s="22">
        <f t="shared" si="12"/>
        <v>494.79759999999999</v>
      </c>
      <c r="J40" s="22">
        <f t="shared" si="13"/>
        <v>1531.7702458993731</v>
      </c>
      <c r="K40" s="22">
        <f t="shared" si="14"/>
        <v>5085</v>
      </c>
      <c r="L40" s="22">
        <v>0</v>
      </c>
      <c r="M40" s="22">
        <v>0</v>
      </c>
      <c r="N40" s="22">
        <v>0</v>
      </c>
      <c r="O40" s="22">
        <v>0</v>
      </c>
      <c r="P40" s="22">
        <v>1000</v>
      </c>
      <c r="Q40" s="22"/>
      <c r="R40" s="22">
        <f t="shared" si="15"/>
        <v>7616.7702458993735</v>
      </c>
      <c r="S40" s="22"/>
      <c r="T40" s="22"/>
      <c r="U40" t="s">
        <v>314</v>
      </c>
    </row>
    <row r="41" spans="1:21" ht="12.75" customHeight="1" x14ac:dyDescent="0.25">
      <c r="A41" s="19" t="s">
        <v>118</v>
      </c>
      <c r="B41" s="19" t="str">
        <f>VLOOKUP(A41,Members!$A$2:$B$65,2,FALSE)</f>
        <v>Swami</v>
      </c>
      <c r="C41" s="20">
        <v>4123.5</v>
      </c>
      <c r="D41" s="20">
        <f t="shared" si="8"/>
        <v>0.3671875</v>
      </c>
      <c r="E41" s="20">
        <f t="shared" si="9"/>
        <v>4123.8671875</v>
      </c>
      <c r="F41" s="43">
        <f t="shared" si="10"/>
        <v>3.5438306980041676E-2</v>
      </c>
      <c r="G41" s="20">
        <f t="shared" si="11"/>
        <v>1449.4267554837045</v>
      </c>
      <c r="H41" s="20">
        <v>3</v>
      </c>
      <c r="I41" s="20">
        <f t="shared" si="12"/>
        <v>371.09820000000002</v>
      </c>
      <c r="J41" s="20">
        <f t="shared" si="13"/>
        <v>1826.3233648587043</v>
      </c>
      <c r="K41" s="20">
        <f t="shared" si="14"/>
        <v>5085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6911.3233648587047</v>
      </c>
      <c r="S41" s="20"/>
      <c r="T41" s="20"/>
    </row>
    <row r="42" spans="1:21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1050.5</v>
      </c>
      <c r="D42" s="22">
        <f t="shared" si="8"/>
        <v>0.3671875</v>
      </c>
      <c r="E42" s="22">
        <f t="shared" si="9"/>
        <v>1050.8671875</v>
      </c>
      <c r="F42" s="44">
        <f t="shared" si="10"/>
        <v>9.0305900487679114E-3</v>
      </c>
      <c r="G42" s="22">
        <f t="shared" si="11"/>
        <v>369.35113299460755</v>
      </c>
      <c r="H42" s="22">
        <v>3</v>
      </c>
      <c r="I42" s="22">
        <f t="shared" si="12"/>
        <v>371.09820000000002</v>
      </c>
      <c r="J42" s="22">
        <f t="shared" si="13"/>
        <v>746.24774236960752</v>
      </c>
      <c r="K42" s="22">
        <f t="shared" si="14"/>
        <v>5085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5831.2477423696073</v>
      </c>
      <c r="S42" s="22"/>
      <c r="T42" s="22"/>
    </row>
    <row r="43" spans="1:21" ht="12.75" customHeight="1" x14ac:dyDescent="0.25">
      <c r="A43" s="19" t="s">
        <v>125</v>
      </c>
      <c r="B43" s="19" t="str">
        <f>VLOOKUP(A43,Members!$A$2:$B$65,2,FALSE)</f>
        <v>Vivek Dhingra</v>
      </c>
      <c r="C43" s="20">
        <v>79.5</v>
      </c>
      <c r="D43" s="20">
        <f t="shared" si="8"/>
        <v>0.3671875</v>
      </c>
      <c r="E43" s="20">
        <f t="shared" si="9"/>
        <v>79.8671875</v>
      </c>
      <c r="F43" s="43">
        <f t="shared" si="10"/>
        <v>6.8633585408296987E-4</v>
      </c>
      <c r="G43" s="20">
        <f t="shared" si="11"/>
        <v>28.071136431993466</v>
      </c>
      <c r="H43" s="20">
        <v>3</v>
      </c>
      <c r="I43" s="20">
        <f t="shared" si="12"/>
        <v>371.09820000000002</v>
      </c>
      <c r="J43" s="20">
        <f t="shared" si="13"/>
        <v>404.96774580699349</v>
      </c>
      <c r="K43" s="20">
        <f t="shared" si="14"/>
        <v>5085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5489.9677458069937</v>
      </c>
      <c r="S43" s="20"/>
      <c r="T43" s="20"/>
    </row>
    <row r="44" spans="1:21" ht="12.75" customHeight="1" x14ac:dyDescent="0.25">
      <c r="A44" s="21" t="s">
        <v>128</v>
      </c>
      <c r="B44" s="21" t="str">
        <f>VLOOKUP(A44,Members!$A$2:$B$65,2,FALSE)</f>
        <v>Harish B</v>
      </c>
      <c r="C44" s="22">
        <v>1062.5</v>
      </c>
      <c r="D44" s="22">
        <f t="shared" si="8"/>
        <v>0.3671875</v>
      </c>
      <c r="E44" s="22">
        <f t="shared" si="9"/>
        <v>1062.8671875</v>
      </c>
      <c r="F44" s="44">
        <f t="shared" si="10"/>
        <v>9.133711624809332E-3</v>
      </c>
      <c r="G44" s="22">
        <f t="shared" si="11"/>
        <v>373.5688054547017</v>
      </c>
      <c r="H44" s="22">
        <v>3</v>
      </c>
      <c r="I44" s="22">
        <f t="shared" si="12"/>
        <v>371.09820000000002</v>
      </c>
      <c r="J44" s="22">
        <f t="shared" si="13"/>
        <v>750.46541482970179</v>
      </c>
      <c r="K44" s="22">
        <f t="shared" si="14"/>
        <v>5085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5835.4654148297013</v>
      </c>
      <c r="S44" s="22"/>
      <c r="T44" s="22"/>
    </row>
    <row r="45" spans="1:21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2761</v>
      </c>
      <c r="D45" s="20">
        <f t="shared" si="8"/>
        <v>0.3671875</v>
      </c>
      <c r="E45" s="20">
        <f t="shared" si="9"/>
        <v>2761.3671875</v>
      </c>
      <c r="F45" s="43">
        <f t="shared" si="10"/>
        <v>2.3729711367005392E-2</v>
      </c>
      <c r="G45" s="20">
        <f t="shared" si="11"/>
        <v>970.54519491052054</v>
      </c>
      <c r="H45" s="20">
        <v>3</v>
      </c>
      <c r="I45" s="20">
        <f t="shared" si="12"/>
        <v>371.09820000000002</v>
      </c>
      <c r="J45" s="20">
        <f t="shared" si="13"/>
        <v>1347.4418042855204</v>
      </c>
      <c r="K45" s="20">
        <f t="shared" si="14"/>
        <v>5085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6432.4418042855204</v>
      </c>
      <c r="S45" s="20"/>
      <c r="T45" s="20"/>
    </row>
    <row r="46" spans="1:21" ht="12.75" customHeight="1" x14ac:dyDescent="0.25">
      <c r="A46" s="21" t="s">
        <v>135</v>
      </c>
      <c r="B46" s="21" t="str">
        <f>VLOOKUP(A46,Members!$A$2:$B$65,2,FALSE)</f>
        <v>Pawan GS</v>
      </c>
      <c r="C46" s="22">
        <v>25</v>
      </c>
      <c r="D46" s="22">
        <f t="shared" si="8"/>
        <v>0.3671875</v>
      </c>
      <c r="E46" s="22">
        <f t="shared" si="9"/>
        <v>25.3671875</v>
      </c>
      <c r="F46" s="44">
        <f t="shared" si="10"/>
        <v>2.1799202956151846E-4</v>
      </c>
      <c r="G46" s="22">
        <f t="shared" si="11"/>
        <v>8.9158740090661048</v>
      </c>
      <c r="H46" s="22">
        <v>4</v>
      </c>
      <c r="I46" s="22">
        <f t="shared" si="12"/>
        <v>494.79759999999999</v>
      </c>
      <c r="J46" s="22">
        <f t="shared" si="13"/>
        <v>509.5118833840661</v>
      </c>
      <c r="K46" s="22">
        <f t="shared" si="14"/>
        <v>5085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5594.5118833840661</v>
      </c>
      <c r="S46" s="22"/>
      <c r="T46" s="22"/>
    </row>
    <row r="47" spans="1:21" ht="12.75" customHeight="1" x14ac:dyDescent="0.25">
      <c r="A47" s="19" t="s">
        <v>139</v>
      </c>
      <c r="B47" s="19" t="str">
        <f>VLOOKUP(A47,Members!$A$2:$B$65,2,FALSE)</f>
        <v>Mayfy</v>
      </c>
      <c r="C47" s="20">
        <v>12</v>
      </c>
      <c r="D47" s="20">
        <f t="shared" si="8"/>
        <v>0.3671875</v>
      </c>
      <c r="E47" s="20">
        <f t="shared" si="9"/>
        <v>12.3671875</v>
      </c>
      <c r="F47" s="43">
        <f t="shared" si="10"/>
        <v>1.0627698884997958E-4</v>
      </c>
      <c r="G47" s="20">
        <f t="shared" si="11"/>
        <v>4.3467288439641649</v>
      </c>
      <c r="H47" s="20">
        <v>3</v>
      </c>
      <c r="I47" s="20">
        <f t="shared" si="12"/>
        <v>371.09820000000002</v>
      </c>
      <c r="J47" s="20">
        <f t="shared" si="13"/>
        <v>381.2433382189642</v>
      </c>
      <c r="K47" s="20">
        <f t="shared" si="14"/>
        <v>5085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5466.2433382189638</v>
      </c>
      <c r="S47" s="20"/>
      <c r="T47" s="20"/>
    </row>
    <row r="48" spans="1:21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1444.5</v>
      </c>
      <c r="D48" s="22">
        <f t="shared" si="8"/>
        <v>0.3671875</v>
      </c>
      <c r="E48" s="22">
        <f t="shared" si="9"/>
        <v>1444.8671875</v>
      </c>
      <c r="F48" s="44">
        <f t="shared" si="10"/>
        <v>1.2416415128794552E-2</v>
      </c>
      <c r="G48" s="22">
        <f t="shared" si="11"/>
        <v>507.83137876769717</v>
      </c>
      <c r="H48" s="22">
        <v>3</v>
      </c>
      <c r="I48" s="22">
        <f t="shared" si="12"/>
        <v>371.09820000000002</v>
      </c>
      <c r="J48" s="22">
        <f t="shared" si="13"/>
        <v>884.7279881426972</v>
      </c>
      <c r="K48" s="22">
        <f t="shared" si="14"/>
        <v>5085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5969.7279881426975</v>
      </c>
      <c r="S48" s="22"/>
      <c r="T48" s="22"/>
    </row>
    <row r="49" spans="1:21" ht="12.75" customHeight="1" x14ac:dyDescent="0.25">
      <c r="A49" s="19" t="s">
        <v>144</v>
      </c>
      <c r="B49" s="19" t="str">
        <f>VLOOKUP(A49,Members!$A$2:$B$65,2,FALSE)</f>
        <v>Saovik Mondal</v>
      </c>
      <c r="C49" s="20">
        <v>2885</v>
      </c>
      <c r="D49" s="20">
        <f t="shared" si="8"/>
        <v>0.3671875</v>
      </c>
      <c r="E49" s="20">
        <f t="shared" si="9"/>
        <v>2885.3671875</v>
      </c>
      <c r="F49" s="43">
        <f t="shared" si="10"/>
        <v>2.4795300986100072E-2</v>
      </c>
      <c r="G49" s="20">
        <f t="shared" si="11"/>
        <v>1014.1278103314929</v>
      </c>
      <c r="H49" s="20">
        <v>3</v>
      </c>
      <c r="I49" s="20">
        <f t="shared" si="12"/>
        <v>371.09820000000002</v>
      </c>
      <c r="J49" s="20">
        <f t="shared" si="13"/>
        <v>1391.0244197064931</v>
      </c>
      <c r="K49" s="20">
        <f t="shared" si="14"/>
        <v>5085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6476.0244197064931</v>
      </c>
      <c r="S49" s="20"/>
      <c r="T49" s="20"/>
    </row>
    <row r="50" spans="1:21" ht="12.75" customHeight="1" x14ac:dyDescent="0.25">
      <c r="A50" s="21" t="s">
        <v>147</v>
      </c>
      <c r="B50" s="21" t="str">
        <f>VLOOKUP(A50,Members!$A$2:$B$65,2,FALSE)</f>
        <v>Srinivasa Rao</v>
      </c>
      <c r="C50" s="22">
        <v>467</v>
      </c>
      <c r="D50" s="22">
        <f t="shared" si="8"/>
        <v>0.3671875</v>
      </c>
      <c r="E50" s="22">
        <f t="shared" si="9"/>
        <v>467.3671875</v>
      </c>
      <c r="F50" s="44">
        <f t="shared" si="10"/>
        <v>4.0163034137538399E-3</v>
      </c>
      <c r="G50" s="22">
        <f t="shared" si="11"/>
        <v>164.26680962253207</v>
      </c>
      <c r="H50" s="22">
        <v>4</v>
      </c>
      <c r="I50" s="22">
        <f t="shared" si="12"/>
        <v>494.79759999999999</v>
      </c>
      <c r="J50" s="22">
        <f t="shared" si="13"/>
        <v>664.86281899753203</v>
      </c>
      <c r="K50" s="22">
        <f t="shared" si="14"/>
        <v>5085</v>
      </c>
      <c r="L50" s="22">
        <v>0</v>
      </c>
      <c r="M50" s="22">
        <v>0</v>
      </c>
      <c r="N50" s="22">
        <v>0</v>
      </c>
      <c r="O50" s="22">
        <v>0</v>
      </c>
      <c r="P50" s="22">
        <v>1000</v>
      </c>
      <c r="Q50" s="22"/>
      <c r="R50" s="22">
        <f t="shared" si="15"/>
        <v>6749.8628189975316</v>
      </c>
      <c r="S50" s="22"/>
      <c r="T50" s="22"/>
      <c r="U50" t="s">
        <v>314</v>
      </c>
    </row>
    <row r="51" spans="1:21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1762</v>
      </c>
      <c r="D51" s="20">
        <f t="shared" si="8"/>
        <v>0.3671875</v>
      </c>
      <c r="E51" s="20">
        <f t="shared" si="9"/>
        <v>1762.3671875</v>
      </c>
      <c r="F51" s="43">
        <f t="shared" si="10"/>
        <v>1.5144840161557135E-2</v>
      </c>
      <c r="G51" s="20">
        <f t="shared" si="11"/>
        <v>619.4239626076868</v>
      </c>
      <c r="H51" s="20">
        <v>4</v>
      </c>
      <c r="I51" s="20">
        <f t="shared" si="12"/>
        <v>494.79759999999999</v>
      </c>
      <c r="J51" s="20">
        <f t="shared" si="13"/>
        <v>1120.0199719826869</v>
      </c>
      <c r="K51" s="20">
        <f t="shared" si="14"/>
        <v>5085</v>
      </c>
      <c r="L51" s="20">
        <v>0</v>
      </c>
      <c r="M51" s="20">
        <v>0</v>
      </c>
      <c r="N51" s="20">
        <v>0</v>
      </c>
      <c r="O51" s="20">
        <v>0</v>
      </c>
      <c r="P51" s="20">
        <v>1000</v>
      </c>
      <c r="Q51" s="20"/>
      <c r="R51" s="20">
        <f t="shared" si="15"/>
        <v>7205.0199719826869</v>
      </c>
      <c r="S51" s="20"/>
      <c r="T51" s="20"/>
      <c r="U51" t="s">
        <v>314</v>
      </c>
    </row>
    <row r="52" spans="1:21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1154</v>
      </c>
      <c r="D52" s="22">
        <f t="shared" si="8"/>
        <v>0.3671875</v>
      </c>
      <c r="E52" s="22">
        <f t="shared" si="9"/>
        <v>1154.3671875</v>
      </c>
      <c r="F52" s="44">
        <f t="shared" si="10"/>
        <v>9.9200136421251639E-3</v>
      </c>
      <c r="G52" s="22">
        <f t="shared" si="11"/>
        <v>405.72855796291918</v>
      </c>
      <c r="H52" s="22">
        <v>4</v>
      </c>
      <c r="I52" s="22">
        <f t="shared" si="12"/>
        <v>494.79759999999999</v>
      </c>
      <c r="J52" s="22">
        <f t="shared" si="13"/>
        <v>906.32456733791923</v>
      </c>
      <c r="K52" s="22">
        <f t="shared" si="14"/>
        <v>5085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5991.3245673379188</v>
      </c>
      <c r="S52" s="22"/>
      <c r="T52" s="22"/>
    </row>
    <row r="53" spans="1:21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437.5</v>
      </c>
      <c r="D53" s="20">
        <f t="shared" si="8"/>
        <v>0.3671875</v>
      </c>
      <c r="E53" s="20">
        <f t="shared" si="9"/>
        <v>437.8671875</v>
      </c>
      <c r="F53" s="43">
        <f t="shared" si="10"/>
        <v>3.7627962059853482E-3</v>
      </c>
      <c r="G53" s="20">
        <f t="shared" si="11"/>
        <v>153.89836482480075</v>
      </c>
      <c r="H53" s="20">
        <v>3</v>
      </c>
      <c r="I53" s="20">
        <f t="shared" si="12"/>
        <v>371.09820000000002</v>
      </c>
      <c r="J53" s="20">
        <f t="shared" si="13"/>
        <v>530.79497419980078</v>
      </c>
      <c r="K53" s="20">
        <f t="shared" si="14"/>
        <v>5085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5615.7949741998009</v>
      </c>
      <c r="S53" s="20"/>
      <c r="T53" s="20"/>
    </row>
    <row r="54" spans="1:21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4436.5</v>
      </c>
      <c r="D54" s="22">
        <f t="shared" si="8"/>
        <v>0.3671875</v>
      </c>
      <c r="E54" s="22">
        <f t="shared" si="9"/>
        <v>4436.8671875</v>
      </c>
      <c r="F54" s="44">
        <f t="shared" si="10"/>
        <v>3.8128061421788727E-2</v>
      </c>
      <c r="G54" s="22">
        <f t="shared" si="11"/>
        <v>1559.4377121511588</v>
      </c>
      <c r="H54" s="22">
        <v>3</v>
      </c>
      <c r="I54" s="22">
        <f t="shared" si="12"/>
        <v>371.09820000000002</v>
      </c>
      <c r="J54" s="22">
        <f t="shared" si="13"/>
        <v>1936.3343215261589</v>
      </c>
      <c r="K54" s="22">
        <f t="shared" si="14"/>
        <v>5085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7021.3343215261593</v>
      </c>
      <c r="S54" s="22"/>
      <c r="T54" s="22"/>
    </row>
    <row r="55" spans="1:21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4313.5</v>
      </c>
      <c r="D55" s="20">
        <f t="shared" si="8"/>
        <v>0.3671875</v>
      </c>
      <c r="E55" s="20">
        <f t="shared" si="9"/>
        <v>4313.8671875</v>
      </c>
      <c r="F55" s="43">
        <f t="shared" si="10"/>
        <v>3.7071065267364173E-2</v>
      </c>
      <c r="G55" s="20">
        <f t="shared" si="11"/>
        <v>1516.2065694351948</v>
      </c>
      <c r="H55" s="20">
        <v>4</v>
      </c>
      <c r="I55" s="20">
        <f t="shared" si="12"/>
        <v>494.79759999999999</v>
      </c>
      <c r="J55" s="20">
        <f t="shared" si="13"/>
        <v>2016.8025788101945</v>
      </c>
      <c r="K55" s="20">
        <f t="shared" si="14"/>
        <v>5085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7101.802578810195</v>
      </c>
      <c r="S55" s="20"/>
      <c r="T55" s="20"/>
    </row>
    <row r="56" spans="1:21" ht="12.75" customHeight="1" x14ac:dyDescent="0.25">
      <c r="A56" s="21" t="s">
        <v>168</v>
      </c>
      <c r="B56" s="21" t="str">
        <f>VLOOKUP(A56,Members!$A$2:$B$65,2,FALSE)</f>
        <v>Kapil Garg</v>
      </c>
      <c r="C56" s="22">
        <v>2627.5</v>
      </c>
      <c r="D56" s="22">
        <f t="shared" si="8"/>
        <v>0.3671875</v>
      </c>
      <c r="E56" s="22">
        <f t="shared" si="9"/>
        <v>2627.8671875</v>
      </c>
      <c r="F56" s="44">
        <f t="shared" si="10"/>
        <v>2.2582483833544588E-2</v>
      </c>
      <c r="G56" s="22">
        <f t="shared" si="11"/>
        <v>923.6235887919737</v>
      </c>
      <c r="H56" s="22">
        <v>4</v>
      </c>
      <c r="I56" s="22">
        <f t="shared" si="12"/>
        <v>494.79759999999999</v>
      </c>
      <c r="J56" s="22">
        <f t="shared" si="13"/>
        <v>1424.2195981669738</v>
      </c>
      <c r="K56" s="22">
        <f t="shared" si="14"/>
        <v>5085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6509.2195981669738</v>
      </c>
      <c r="S56" s="22"/>
      <c r="T56" s="22"/>
    </row>
    <row r="57" spans="1:21" ht="12.75" customHeight="1" x14ac:dyDescent="0.25">
      <c r="A57" s="19" t="s">
        <v>172</v>
      </c>
      <c r="B57" s="19" t="str">
        <f>VLOOKUP(A57,Members!$A$2:$B$65,2,FALSE)</f>
        <v>Vijet Alva</v>
      </c>
      <c r="C57" s="20">
        <v>0.5</v>
      </c>
      <c r="D57" s="20">
        <f t="shared" si="8"/>
        <v>0.3671875</v>
      </c>
      <c r="E57" s="20">
        <f t="shared" si="9"/>
        <v>0.8671875</v>
      </c>
      <c r="F57" s="43">
        <f t="shared" si="10"/>
        <v>7.4521451436182783E-6</v>
      </c>
      <c r="G57" s="20">
        <f t="shared" si="11"/>
        <v>0.30479273637398757</v>
      </c>
      <c r="H57" s="20">
        <v>4</v>
      </c>
      <c r="I57" s="20">
        <f t="shared" si="12"/>
        <v>494.79759999999999</v>
      </c>
      <c r="J57" s="20">
        <f t="shared" si="13"/>
        <v>500.90080211137399</v>
      </c>
      <c r="K57" s="20">
        <f t="shared" si="14"/>
        <v>5085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5585.9008021113741</v>
      </c>
      <c r="S57" s="20"/>
      <c r="T57" s="20"/>
    </row>
    <row r="58" spans="1:21" ht="12.75" customHeight="1" x14ac:dyDescent="0.25">
      <c r="A58" s="21" t="s">
        <v>175</v>
      </c>
      <c r="B58" s="21" t="str">
        <f>VLOOKUP(A58,Members!$A$2:$B$65,2,FALSE)</f>
        <v>Ganesh Iyer</v>
      </c>
      <c r="C58" s="22">
        <v>233.5</v>
      </c>
      <c r="D58" s="22">
        <f t="shared" si="8"/>
        <v>0.3671875</v>
      </c>
      <c r="E58" s="22">
        <f t="shared" si="9"/>
        <v>233.8671875</v>
      </c>
      <c r="F58" s="44">
        <f t="shared" si="10"/>
        <v>2.0097294132811997E-3</v>
      </c>
      <c r="G58" s="22">
        <f t="shared" si="11"/>
        <v>82.197933003201072</v>
      </c>
      <c r="H58" s="22">
        <v>3</v>
      </c>
      <c r="I58" s="22">
        <f t="shared" si="12"/>
        <v>371.09820000000002</v>
      </c>
      <c r="J58" s="22">
        <f t="shared" si="13"/>
        <v>459.09454237820108</v>
      </c>
      <c r="K58" s="22">
        <f t="shared" si="14"/>
        <v>5085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5544.0945423782014</v>
      </c>
      <c r="S58" s="22"/>
      <c r="T58" s="22"/>
    </row>
    <row r="59" spans="1:21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4056</v>
      </c>
      <c r="D59" s="20">
        <f t="shared" si="8"/>
        <v>0.3671875</v>
      </c>
      <c r="E59" s="20">
        <f t="shared" si="9"/>
        <v>4056.3671875</v>
      </c>
      <c r="F59" s="43">
        <f t="shared" si="10"/>
        <v>3.4858248114808685E-2</v>
      </c>
      <c r="G59" s="20">
        <f t="shared" si="11"/>
        <v>1425.7023478956753</v>
      </c>
      <c r="H59" s="20">
        <v>3</v>
      </c>
      <c r="I59" s="20">
        <f t="shared" si="12"/>
        <v>371.09820000000002</v>
      </c>
      <c r="J59" s="20">
        <f t="shared" si="13"/>
        <v>1802.5989572706753</v>
      </c>
      <c r="K59" s="20">
        <f t="shared" si="14"/>
        <v>5085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6887.5989572706749</v>
      </c>
      <c r="S59" s="20"/>
      <c r="T59" s="20"/>
    </row>
    <row r="60" spans="1:21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1513</v>
      </c>
      <c r="D60" s="22">
        <f t="shared" si="8"/>
        <v>0.3671875</v>
      </c>
      <c r="E60" s="22">
        <f t="shared" si="9"/>
        <v>1513.3671875</v>
      </c>
      <c r="F60" s="44">
        <f t="shared" si="10"/>
        <v>1.300506745869766E-2</v>
      </c>
      <c r="G60" s="22">
        <f t="shared" si="11"/>
        <v>531.9072590607343</v>
      </c>
      <c r="H60" s="22">
        <v>3</v>
      </c>
      <c r="I60" s="22">
        <f t="shared" si="12"/>
        <v>371.09820000000002</v>
      </c>
      <c r="J60" s="22">
        <f t="shared" si="13"/>
        <v>908.80386843573433</v>
      </c>
      <c r="K60" s="22">
        <f t="shared" si="14"/>
        <v>5085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5993.8038684357343</v>
      </c>
      <c r="S60" s="22"/>
      <c r="T60" s="22"/>
    </row>
    <row r="61" spans="1:21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3.5</v>
      </c>
      <c r="D61" s="20">
        <f t="shared" si="8"/>
        <v>0.3671875</v>
      </c>
      <c r="E61" s="20">
        <f t="shared" si="9"/>
        <v>3.8671875</v>
      </c>
      <c r="F61" s="43">
        <f t="shared" si="10"/>
        <v>3.3232539153973403E-5</v>
      </c>
      <c r="G61" s="20">
        <f t="shared" si="11"/>
        <v>1.3592108513975121</v>
      </c>
      <c r="H61" s="20">
        <v>3</v>
      </c>
      <c r="I61" s="20">
        <f t="shared" si="12"/>
        <v>371.09820000000002</v>
      </c>
      <c r="J61" s="20">
        <f t="shared" si="13"/>
        <v>378.25582022639753</v>
      </c>
      <c r="K61" s="20">
        <f t="shared" si="14"/>
        <v>5085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5463.2558202263972</v>
      </c>
      <c r="S61" s="20"/>
      <c r="T61" s="20"/>
    </row>
    <row r="62" spans="1:21" ht="12.75" customHeight="1" x14ac:dyDescent="0.25">
      <c r="A62" s="21" t="s">
        <v>190</v>
      </c>
      <c r="B62" s="21" t="str">
        <f>VLOOKUP(A62,Members!$A$2:$B$65,2,FALSE)</f>
        <v>Nishith Sahu</v>
      </c>
      <c r="C62" s="22">
        <v>17.5</v>
      </c>
      <c r="D62" s="22">
        <f t="shared" si="8"/>
        <v>0.3671875</v>
      </c>
      <c r="E62" s="22">
        <f t="shared" si="9"/>
        <v>17.8671875</v>
      </c>
      <c r="F62" s="44">
        <f t="shared" si="10"/>
        <v>1.5354104453563065E-4</v>
      </c>
      <c r="G62" s="22">
        <f t="shared" si="11"/>
        <v>6.2798287215072932</v>
      </c>
      <c r="H62" s="22">
        <v>4</v>
      </c>
      <c r="I62" s="22">
        <f t="shared" si="12"/>
        <v>494.79759999999999</v>
      </c>
      <c r="J62" s="22">
        <f t="shared" si="13"/>
        <v>506.87583809650727</v>
      </c>
      <c r="K62" s="22">
        <f t="shared" si="14"/>
        <v>5085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5591.8758380965073</v>
      </c>
      <c r="S62" s="22"/>
      <c r="T62" s="22"/>
    </row>
    <row r="63" spans="1:21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4797</v>
      </c>
      <c r="D63" s="20">
        <f t="shared" si="8"/>
        <v>0.3671875</v>
      </c>
      <c r="E63" s="20">
        <f t="shared" si="9"/>
        <v>4797.3671875</v>
      </c>
      <c r="F63" s="43">
        <f t="shared" si="10"/>
        <v>4.1226005435366406E-2</v>
      </c>
      <c r="G63" s="20">
        <f t="shared" si="11"/>
        <v>1686.1436223064859</v>
      </c>
      <c r="H63" s="20">
        <v>3</v>
      </c>
      <c r="I63" s="20">
        <f t="shared" si="12"/>
        <v>371.09820000000002</v>
      </c>
      <c r="J63" s="20">
        <f t="shared" si="13"/>
        <v>2063.0402316814857</v>
      </c>
      <c r="K63" s="20">
        <f t="shared" si="14"/>
        <v>5085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7898.0402316814852</v>
      </c>
      <c r="S63" s="20"/>
      <c r="T63" s="20"/>
    </row>
    <row r="64" spans="1:21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823.5</v>
      </c>
      <c r="D64" s="22">
        <f t="shared" si="8"/>
        <v>0.3671875</v>
      </c>
      <c r="E64" s="22">
        <f t="shared" si="9"/>
        <v>823.8671875</v>
      </c>
      <c r="F64" s="44">
        <f t="shared" si="10"/>
        <v>7.0798735686510407E-3</v>
      </c>
      <c r="G64" s="22">
        <f t="shared" si="11"/>
        <v>289.56682895782757</v>
      </c>
      <c r="H64" s="22">
        <v>3</v>
      </c>
      <c r="I64" s="22">
        <f t="shared" si="12"/>
        <v>371.09820000000002</v>
      </c>
      <c r="J64" s="22">
        <f t="shared" si="13"/>
        <v>666.46343833282754</v>
      </c>
      <c r="K64" s="22">
        <f t="shared" si="14"/>
        <v>5085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5751.4634383328275</v>
      </c>
      <c r="S64" s="22"/>
      <c r="T64" s="22"/>
    </row>
    <row r="65" spans="1:21" ht="12.75" customHeight="1" x14ac:dyDescent="0.25">
      <c r="A65" s="19" t="s">
        <v>200</v>
      </c>
      <c r="B65" s="19" t="str">
        <f>VLOOKUP(A65,Members!$A$2:$B$65,2,FALSE)</f>
        <v>Prasenjit</v>
      </c>
      <c r="C65" s="20">
        <v>935</v>
      </c>
      <c r="D65" s="20">
        <f t="shared" si="8"/>
        <v>0.3671875</v>
      </c>
      <c r="E65" s="20">
        <f t="shared" si="9"/>
        <v>935.3671875</v>
      </c>
      <c r="F65" s="43">
        <f t="shared" si="10"/>
        <v>8.03804487936924E-3</v>
      </c>
      <c r="G65" s="20">
        <f t="shared" si="11"/>
        <v>328.75603556620194</v>
      </c>
      <c r="H65" s="20">
        <v>3</v>
      </c>
      <c r="I65" s="20">
        <f t="shared" si="12"/>
        <v>371.09820000000002</v>
      </c>
      <c r="J65" s="20">
        <f t="shared" si="13"/>
        <v>705.65264494120197</v>
      </c>
      <c r="K65" s="20">
        <f t="shared" si="14"/>
        <v>5085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5790.6526449412022</v>
      </c>
      <c r="S65" s="20"/>
      <c r="T65" s="20"/>
    </row>
    <row r="66" spans="1:21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5978.5</v>
      </c>
      <c r="D66" s="22">
        <f t="shared" si="8"/>
        <v>0.3671875</v>
      </c>
      <c r="E66" s="22">
        <f t="shared" si="9"/>
        <v>5978.8671875</v>
      </c>
      <c r="F66" s="44">
        <f t="shared" si="10"/>
        <v>5.1379183943111265E-2</v>
      </c>
      <c r="G66" s="22">
        <f t="shared" si="11"/>
        <v>2101.4086232732507</v>
      </c>
      <c r="H66" s="22">
        <v>4</v>
      </c>
      <c r="I66" s="22">
        <f t="shared" si="12"/>
        <v>494.79759999999999</v>
      </c>
      <c r="J66" s="22">
        <f t="shared" si="13"/>
        <v>2602.0046326482507</v>
      </c>
      <c r="K66" s="22">
        <f t="shared" si="14"/>
        <v>5085</v>
      </c>
      <c r="L66" s="22">
        <v>0</v>
      </c>
      <c r="M66" s="22">
        <v>0</v>
      </c>
      <c r="N66" s="22">
        <v>0</v>
      </c>
      <c r="O66" s="22">
        <v>0</v>
      </c>
      <c r="P66" s="22">
        <v>1000</v>
      </c>
      <c r="Q66" s="22"/>
      <c r="R66" s="22">
        <f t="shared" si="15"/>
        <v>8687.0046326482516</v>
      </c>
      <c r="S66" s="22"/>
      <c r="T66" s="22"/>
      <c r="U66" t="s">
        <v>314</v>
      </c>
    </row>
    <row r="67" spans="1:21" ht="12.75" customHeight="1" x14ac:dyDescent="0.25">
      <c r="A67" s="19" t="s">
        <v>205</v>
      </c>
      <c r="B67" s="19" t="str">
        <f>VLOOKUP(A67,Members!$A$2:$B$65,2,FALSE)</f>
        <v>Jeya</v>
      </c>
      <c r="C67" s="20">
        <v>2552</v>
      </c>
      <c r="D67" s="20">
        <f t="shared" si="8"/>
        <v>0.3671875</v>
      </c>
      <c r="E67" s="20">
        <f t="shared" si="9"/>
        <v>2552.3671875</v>
      </c>
      <c r="F67" s="43">
        <f t="shared" si="10"/>
        <v>2.1933677250950651E-2</v>
      </c>
      <c r="G67" s="20">
        <f t="shared" si="11"/>
        <v>897.0873995638816</v>
      </c>
      <c r="H67" s="20">
        <v>4</v>
      </c>
      <c r="I67" s="20">
        <f t="shared" si="12"/>
        <v>494.79759999999999</v>
      </c>
      <c r="J67" s="20">
        <f t="shared" si="13"/>
        <v>1397.6834089388817</v>
      </c>
      <c r="K67" s="20">
        <f t="shared" si="14"/>
        <v>5085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6482.6834089388813</v>
      </c>
      <c r="S67" s="20"/>
      <c r="T67" s="20"/>
    </row>
    <row r="68" spans="1:21" ht="12.75" customHeight="1" x14ac:dyDescent="0.25">
      <c r="A68" s="21" t="s">
        <v>209</v>
      </c>
      <c r="B68" s="21" t="str">
        <f>VLOOKUP(A68,Members!$A$2:$B$65,2,FALSE)</f>
        <v>Trevor</v>
      </c>
      <c r="C68" s="22">
        <v>3017.5</v>
      </c>
      <c r="D68" s="22">
        <f t="shared" si="8"/>
        <v>0.3671875</v>
      </c>
      <c r="E68" s="22">
        <f t="shared" si="9"/>
        <v>3017.8671875</v>
      </c>
      <c r="F68" s="44">
        <f t="shared" si="10"/>
        <v>2.5933935054890757E-2</v>
      </c>
      <c r="G68" s="22">
        <f t="shared" si="11"/>
        <v>1060.697943745032</v>
      </c>
      <c r="H68" s="22">
        <v>4</v>
      </c>
      <c r="I68" s="22">
        <f t="shared" si="12"/>
        <v>494.79759999999999</v>
      </c>
      <c r="J68" s="22">
        <f t="shared" si="13"/>
        <v>1561.2939531200318</v>
      </c>
      <c r="K68" s="22">
        <f t="shared" si="14"/>
        <v>5085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6646.2939531200318</v>
      </c>
      <c r="S68" s="22"/>
      <c r="T68" s="22"/>
    </row>
    <row r="69" spans="1:21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3726</v>
      </c>
      <c r="D69" s="20">
        <f t="shared" si="8"/>
        <v>0.3671875</v>
      </c>
      <c r="E69" s="20">
        <f t="shared" si="9"/>
        <v>3726.3671875</v>
      </c>
      <c r="F69" s="43">
        <f t="shared" si="10"/>
        <v>3.2022404773669626E-2</v>
      </c>
      <c r="G69" s="20">
        <f t="shared" si="11"/>
        <v>1309.7163552430877</v>
      </c>
      <c r="H69" s="20">
        <v>3</v>
      </c>
      <c r="I69" s="20">
        <f t="shared" si="12"/>
        <v>371.09820000000002</v>
      </c>
      <c r="J69" s="20">
        <f t="shared" si="13"/>
        <v>1686.6129646180875</v>
      </c>
      <c r="K69" s="20">
        <f t="shared" si="14"/>
        <v>5085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6771.6129646180871</v>
      </c>
      <c r="S69" s="20"/>
      <c r="T69" s="20"/>
    </row>
    <row r="70" spans="1:21" ht="12.75" customHeight="1" x14ac:dyDescent="0.25">
      <c r="A70" s="21"/>
      <c r="B70" s="21" t="s">
        <v>252</v>
      </c>
      <c r="C70" s="22">
        <f t="shared" ref="C70:O70" si="16">SUM(C3:C69)</f>
        <v>116367.5</v>
      </c>
      <c r="D70" s="22">
        <f t="shared" si="16"/>
        <v>23.5</v>
      </c>
      <c r="E70" s="22">
        <f t="shared" si="16"/>
        <v>116367.5</v>
      </c>
      <c r="F70" s="44">
        <f t="shared" si="16"/>
        <v>0.99999999999999967</v>
      </c>
      <c r="G70" s="22">
        <f t="shared" si="16"/>
        <v>40900</v>
      </c>
      <c r="H70" s="22">
        <f t="shared" si="16"/>
        <v>223</v>
      </c>
      <c r="I70" s="22">
        <f t="shared" si="16"/>
        <v>27584.966200000028</v>
      </c>
      <c r="J70" s="22">
        <f t="shared" si="16"/>
        <v>68484.96620000001</v>
      </c>
      <c r="K70" s="22">
        <f t="shared" si="16"/>
        <v>325440</v>
      </c>
      <c r="L70" s="22">
        <f t="shared" si="16"/>
        <v>3000</v>
      </c>
      <c r="M70" s="22">
        <f t="shared" si="16"/>
        <v>500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406424.96619999991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workbookViewId="0">
      <pane ySplit="1" topLeftCell="A10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>
        <v>6005</v>
      </c>
      <c r="D2" s="29" t="s">
        <v>337</v>
      </c>
      <c r="E2" s="26"/>
      <c r="F2" s="29"/>
      <c r="G2" s="26"/>
      <c r="H2" s="37"/>
      <c r="I2" s="26"/>
      <c r="J2" s="26"/>
      <c r="K2" s="26">
        <f t="shared" ref="K2:K33" si="0">SUM(C2,E2,G2,I2)</f>
        <v>6005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>
        <v>6000</v>
      </c>
      <c r="D4" s="29" t="s">
        <v>338</v>
      </c>
      <c r="E4" s="22"/>
      <c r="F4" s="29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>
        <v>16823</v>
      </c>
      <c r="D5" s="32" t="s">
        <v>339</v>
      </c>
      <c r="E5" s="25">
        <v>5666</v>
      </c>
      <c r="F5" s="32" t="s">
        <v>340</v>
      </c>
      <c r="G5" s="25"/>
      <c r="H5" s="38"/>
      <c r="I5" s="25"/>
      <c r="J5" s="25"/>
      <c r="K5" s="20">
        <f t="shared" si="0"/>
        <v>22489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>
        <v>5904.05</v>
      </c>
      <c r="D6" s="29" t="s">
        <v>341</v>
      </c>
      <c r="E6" s="26">
        <v>5355</v>
      </c>
      <c r="F6" s="29" t="s">
        <v>340</v>
      </c>
      <c r="G6" s="26"/>
      <c r="H6" s="37"/>
      <c r="I6" s="26"/>
      <c r="J6" s="26"/>
      <c r="K6" s="26">
        <f t="shared" si="0"/>
        <v>11259.05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>
        <v>6339.79</v>
      </c>
      <c r="D7" s="32" t="s">
        <v>342</v>
      </c>
      <c r="E7" s="25"/>
      <c r="F7" s="32"/>
      <c r="G7" s="25"/>
      <c r="H7" s="38"/>
      <c r="I7" s="25"/>
      <c r="J7" s="25"/>
      <c r="K7" s="25">
        <f t="shared" si="0"/>
        <v>6339.79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>
        <v>6179.33</v>
      </c>
      <c r="D8" s="29" t="s">
        <v>343</v>
      </c>
      <c r="E8" s="26"/>
      <c r="F8" s="29"/>
      <c r="G8" s="26"/>
      <c r="H8" s="37"/>
      <c r="I8" s="26"/>
      <c r="J8" s="26"/>
      <c r="K8" s="26">
        <f t="shared" si="0"/>
        <v>6179.33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>
        <v>5903</v>
      </c>
      <c r="D9" s="32" t="s">
        <v>340</v>
      </c>
      <c r="E9" s="25"/>
      <c r="F9" s="32"/>
      <c r="G9" s="25"/>
      <c r="H9" s="38"/>
      <c r="I9" s="25"/>
      <c r="J9" s="25"/>
      <c r="K9" s="20">
        <f t="shared" si="0"/>
        <v>5903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>
        <v>18604</v>
      </c>
      <c r="D11" s="32" t="s">
        <v>343</v>
      </c>
      <c r="E11" s="25"/>
      <c r="F11" s="32"/>
      <c r="G11" s="25"/>
      <c r="H11" s="38"/>
      <c r="I11" s="25"/>
      <c r="J11" s="25"/>
      <c r="K11" s="20">
        <f t="shared" si="0"/>
        <v>18604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>
        <v>4714.75</v>
      </c>
      <c r="D13" s="32" t="s">
        <v>343</v>
      </c>
      <c r="E13" s="25"/>
      <c r="F13" s="32"/>
      <c r="G13" s="25"/>
      <c r="H13" s="38"/>
      <c r="I13" s="25"/>
      <c r="J13" s="25"/>
      <c r="K13" s="20">
        <f t="shared" si="0"/>
        <v>4714.75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>
        <v>5523.35</v>
      </c>
      <c r="D14" s="29" t="s">
        <v>344</v>
      </c>
      <c r="E14" s="26">
        <v>5860.72</v>
      </c>
      <c r="F14" s="29" t="s">
        <v>343</v>
      </c>
      <c r="G14" s="26"/>
      <c r="H14" s="37"/>
      <c r="I14" s="26"/>
      <c r="J14" s="26"/>
      <c r="K14" s="26">
        <f t="shared" si="0"/>
        <v>11384.07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>
        <v>5600</v>
      </c>
      <c r="D15" s="32" t="s">
        <v>343</v>
      </c>
      <c r="E15" s="25"/>
      <c r="F15" s="32"/>
      <c r="G15" s="25"/>
      <c r="H15" s="38"/>
      <c r="I15" s="25"/>
      <c r="J15" s="25"/>
      <c r="K15" s="20">
        <f t="shared" si="0"/>
        <v>5600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>
        <v>6511</v>
      </c>
      <c r="D16" s="29" t="s">
        <v>345</v>
      </c>
      <c r="E16" s="26"/>
      <c r="F16" s="29"/>
      <c r="G16" s="26"/>
      <c r="H16" s="37"/>
      <c r="I16" s="26"/>
      <c r="J16" s="26"/>
      <c r="K16" s="26">
        <f t="shared" si="0"/>
        <v>6511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>
        <v>7247</v>
      </c>
      <c r="D17" s="32">
        <v>46213</v>
      </c>
      <c r="E17" s="25"/>
      <c r="F17" s="32"/>
      <c r="G17" s="25"/>
      <c r="H17" s="38"/>
      <c r="I17" s="25"/>
      <c r="J17" s="25"/>
      <c r="K17" s="25">
        <f t="shared" si="0"/>
        <v>7247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>
        <v>7044</v>
      </c>
      <c r="D20" s="29" t="s">
        <v>346</v>
      </c>
      <c r="E20" s="26"/>
      <c r="F20" s="29"/>
      <c r="G20" s="26"/>
      <c r="H20" s="37"/>
      <c r="I20" s="26"/>
      <c r="J20" s="26"/>
      <c r="K20" s="22">
        <f t="shared" si="0"/>
        <v>7044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>
        <v>7400</v>
      </c>
      <c r="D21" s="32" t="s">
        <v>343</v>
      </c>
      <c r="E21" s="25"/>
      <c r="F21" s="32"/>
      <c r="G21" s="25"/>
      <c r="H21" s="38"/>
      <c r="I21" s="25"/>
      <c r="J21" s="25"/>
      <c r="K21" s="20">
        <f t="shared" si="0"/>
        <v>7400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>
        <v>29212.36</v>
      </c>
      <c r="D22" s="29" t="s">
        <v>343</v>
      </c>
      <c r="E22" s="26"/>
      <c r="F22" s="29"/>
      <c r="G22" s="26"/>
      <c r="H22" s="37"/>
      <c r="I22" s="26"/>
      <c r="J22" s="26"/>
      <c r="K22" s="22">
        <f t="shared" si="0"/>
        <v>29212.36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>
        <v>3743</v>
      </c>
      <c r="D23" s="32" t="s">
        <v>347</v>
      </c>
      <c r="E23" s="25"/>
      <c r="F23" s="32"/>
      <c r="G23" s="25"/>
      <c r="H23" s="38"/>
      <c r="I23" s="25"/>
      <c r="J23" s="25"/>
      <c r="K23" s="25">
        <f t="shared" si="0"/>
        <v>3743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>
        <v>5693</v>
      </c>
      <c r="D24" s="29" t="s">
        <v>348</v>
      </c>
      <c r="E24" s="26"/>
      <c r="F24" s="29"/>
      <c r="G24" s="26"/>
      <c r="H24" s="37"/>
      <c r="I24" s="26"/>
      <c r="J24" s="26"/>
      <c r="K24" s="22">
        <f t="shared" si="0"/>
        <v>5693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>
        <v>6702</v>
      </c>
      <c r="D26" s="29" t="s">
        <v>349</v>
      </c>
      <c r="E26" s="26"/>
      <c r="F26" s="29"/>
      <c r="G26" s="26"/>
      <c r="H26" s="37"/>
      <c r="I26" s="26"/>
      <c r="J26" s="26"/>
      <c r="K26" s="22">
        <f t="shared" si="0"/>
        <v>6702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>
        <v>5775</v>
      </c>
      <c r="D27" s="32" t="s">
        <v>343</v>
      </c>
      <c r="E27" s="25"/>
      <c r="F27" s="32"/>
      <c r="G27" s="25"/>
      <c r="H27" s="38"/>
      <c r="I27" s="25"/>
      <c r="J27" s="25"/>
      <c r="K27" s="20">
        <f t="shared" si="0"/>
        <v>5775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>
        <v>5584</v>
      </c>
      <c r="D28" s="29" t="s">
        <v>350</v>
      </c>
      <c r="E28" s="26"/>
      <c r="F28" s="29"/>
      <c r="G28" s="26"/>
      <c r="H28" s="37"/>
      <c r="I28" s="26"/>
      <c r="J28" s="26"/>
      <c r="K28" s="22">
        <f t="shared" si="0"/>
        <v>5584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>
        <v>6929</v>
      </c>
      <c r="D29" s="32" t="s">
        <v>339</v>
      </c>
      <c r="E29" s="25"/>
      <c r="F29" s="32"/>
      <c r="G29" s="25"/>
      <c r="H29" s="38"/>
      <c r="I29" s="25"/>
      <c r="J29" s="25"/>
      <c r="K29" s="20">
        <f t="shared" si="0"/>
        <v>6929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>
        <v>1062</v>
      </c>
      <c r="D30" s="29" t="s">
        <v>340</v>
      </c>
      <c r="E30" s="26"/>
      <c r="F30" s="29"/>
      <c r="G30" s="26"/>
      <c r="H30" s="37"/>
      <c r="I30" s="26"/>
      <c r="J30" s="26"/>
      <c r="K30" s="26">
        <f t="shared" si="0"/>
        <v>1062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>
        <v>7044.65</v>
      </c>
      <c r="D31" s="32" t="s">
        <v>341</v>
      </c>
      <c r="E31" s="25"/>
      <c r="F31" s="32"/>
      <c r="G31" s="25"/>
      <c r="H31" s="38"/>
      <c r="I31" s="25"/>
      <c r="J31" s="25"/>
      <c r="K31" s="25">
        <f t="shared" si="0"/>
        <v>7044.65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>
        <v>11443.06</v>
      </c>
      <c r="D33" s="32" t="s">
        <v>347</v>
      </c>
      <c r="E33" s="25"/>
      <c r="F33" s="32"/>
      <c r="G33" s="25"/>
      <c r="H33" s="38"/>
      <c r="I33" s="25"/>
      <c r="J33" s="25"/>
      <c r="K33" s="25">
        <f t="shared" si="0"/>
        <v>11443.06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>
        <v>5470.93</v>
      </c>
      <c r="D34" s="29" t="s">
        <v>351</v>
      </c>
      <c r="E34" s="26"/>
      <c r="F34" s="29"/>
      <c r="G34" s="26"/>
      <c r="H34" s="37"/>
      <c r="I34" s="26"/>
      <c r="J34" s="26"/>
      <c r="K34" s="22">
        <f t="shared" ref="K34:K65" si="1">SUM(C34,E34,G34,I34)</f>
        <v>5470.93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>
        <v>13500</v>
      </c>
      <c r="D36" s="29" t="s">
        <v>343</v>
      </c>
      <c r="E36" s="26"/>
      <c r="F36" s="29"/>
      <c r="G36" s="26"/>
      <c r="H36" s="37"/>
      <c r="I36" s="26"/>
      <c r="J36" s="26"/>
      <c r="K36" s="26">
        <f t="shared" si="1"/>
        <v>13500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>
        <v>5000</v>
      </c>
      <c r="D37" s="32" t="s">
        <v>338</v>
      </c>
      <c r="E37" s="25">
        <v>10000</v>
      </c>
      <c r="F37" s="32" t="s">
        <v>352</v>
      </c>
      <c r="G37" s="25">
        <v>21000</v>
      </c>
      <c r="H37" s="38" t="s">
        <v>352</v>
      </c>
      <c r="I37" s="25"/>
      <c r="J37" s="25"/>
      <c r="K37" s="20">
        <f t="shared" si="1"/>
        <v>36000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>
        <v>15506</v>
      </c>
      <c r="D39" s="32" t="s">
        <v>352</v>
      </c>
      <c r="E39" s="25"/>
      <c r="F39" s="32"/>
      <c r="G39" s="25"/>
      <c r="H39" s="38"/>
      <c r="I39" s="25"/>
      <c r="J39" s="25"/>
      <c r="K39" s="25">
        <f t="shared" si="1"/>
        <v>15506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>
        <v>5941.27</v>
      </c>
      <c r="D40" s="29" t="s">
        <v>343</v>
      </c>
      <c r="E40" s="26"/>
      <c r="F40" s="29"/>
      <c r="G40" s="26"/>
      <c r="H40" s="37"/>
      <c r="I40" s="26"/>
      <c r="J40" s="26"/>
      <c r="K40" s="22">
        <f t="shared" si="1"/>
        <v>5941.27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>
        <v>7663.64</v>
      </c>
      <c r="D42" s="29" t="s">
        <v>351</v>
      </c>
      <c r="E42" s="26"/>
      <c r="F42" s="29"/>
      <c r="G42" s="26"/>
      <c r="H42" s="37"/>
      <c r="I42" s="26"/>
      <c r="J42" s="26"/>
      <c r="K42" s="22">
        <f t="shared" si="1"/>
        <v>7663.64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>
        <v>5734</v>
      </c>
      <c r="D44" s="29" t="s">
        <v>343</v>
      </c>
      <c r="E44" s="26"/>
      <c r="F44" s="29"/>
      <c r="G44" s="26"/>
      <c r="H44" s="37"/>
      <c r="I44" s="26"/>
      <c r="J44" s="26"/>
      <c r="K44" s="26">
        <f t="shared" si="1"/>
        <v>5734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>
        <v>5391.53</v>
      </c>
      <c r="D46" s="29" t="s">
        <v>344</v>
      </c>
      <c r="E46" s="26">
        <v>5547.76</v>
      </c>
      <c r="F46" s="29" t="s">
        <v>343</v>
      </c>
      <c r="G46" s="26"/>
      <c r="H46" s="37"/>
      <c r="I46" s="26"/>
      <c r="J46" s="26"/>
      <c r="K46" s="26">
        <f t="shared" si="1"/>
        <v>10939.29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>
        <v>7526</v>
      </c>
      <c r="D48" s="29" t="s">
        <v>343</v>
      </c>
      <c r="E48" s="26"/>
      <c r="F48" s="29"/>
      <c r="G48" s="26"/>
      <c r="H48" s="37"/>
      <c r="I48" s="26"/>
      <c r="J48" s="26"/>
      <c r="K48" s="22">
        <f t="shared" si="1"/>
        <v>7526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>
        <v>3062</v>
      </c>
      <c r="D49" s="32" t="s">
        <v>350</v>
      </c>
      <c r="E49" s="25"/>
      <c r="F49" s="32"/>
      <c r="G49" s="25"/>
      <c r="H49" s="38"/>
      <c r="I49" s="25"/>
      <c r="J49" s="25"/>
      <c r="K49" s="25">
        <f t="shared" si="1"/>
        <v>3062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>
        <v>7640</v>
      </c>
      <c r="D50" s="29" t="s">
        <v>343</v>
      </c>
      <c r="E50" s="26"/>
      <c r="F50" s="29"/>
      <c r="G50" s="26"/>
      <c r="H50" s="37"/>
      <c r="I50" s="26"/>
      <c r="J50" s="26"/>
      <c r="K50" s="26">
        <f t="shared" si="1"/>
        <v>7640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>
        <v>19898.43</v>
      </c>
      <c r="D51" s="32" t="s">
        <v>341</v>
      </c>
      <c r="E51" s="25"/>
      <c r="F51" s="32"/>
      <c r="G51" s="25"/>
      <c r="H51" s="38"/>
      <c r="I51" s="25"/>
      <c r="J51" s="25"/>
      <c r="K51" s="20">
        <f t="shared" si="1"/>
        <v>19898.43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>
        <v>6472</v>
      </c>
      <c r="D52" s="29" t="s">
        <v>346</v>
      </c>
      <c r="E52" s="26"/>
      <c r="F52" s="29"/>
      <c r="G52" s="26"/>
      <c r="H52" s="37"/>
      <c r="I52" s="26"/>
      <c r="J52" s="26"/>
      <c r="K52" s="22">
        <f t="shared" si="1"/>
        <v>6472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>
        <v>5589.52</v>
      </c>
      <c r="D53" s="32" t="s">
        <v>353</v>
      </c>
      <c r="E53" s="25"/>
      <c r="F53" s="32"/>
      <c r="G53" s="25"/>
      <c r="H53" s="38"/>
      <c r="I53" s="25"/>
      <c r="J53" s="25"/>
      <c r="K53" s="20">
        <f t="shared" si="1"/>
        <v>5589.52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>
        <v>5455.63</v>
      </c>
      <c r="D58" s="29" t="s">
        <v>354</v>
      </c>
      <c r="E58" s="26"/>
      <c r="F58" s="29"/>
      <c r="G58" s="26"/>
      <c r="H58" s="37"/>
      <c r="I58" s="26"/>
      <c r="J58" s="26"/>
      <c r="K58" s="26">
        <f t="shared" si="1"/>
        <v>5455.63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>
        <v>2664</v>
      </c>
      <c r="D59" s="32" t="s">
        <v>343</v>
      </c>
      <c r="E59" s="25"/>
      <c r="F59" s="32"/>
      <c r="G59" s="25"/>
      <c r="H59" s="38"/>
      <c r="I59" s="25"/>
      <c r="J59" s="25"/>
      <c r="K59" s="20">
        <f t="shared" si="1"/>
        <v>2664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>
        <v>6112</v>
      </c>
      <c r="D60" s="29" t="s">
        <v>343</v>
      </c>
      <c r="E60" s="26"/>
      <c r="F60" s="29"/>
      <c r="G60" s="26"/>
      <c r="H60" s="37"/>
      <c r="I60" s="26"/>
      <c r="J60" s="26"/>
      <c r="K60" s="22">
        <f t="shared" si="1"/>
        <v>6112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>
        <v>5659.39</v>
      </c>
      <c r="D61" s="32" t="s">
        <v>350</v>
      </c>
      <c r="E61" s="25"/>
      <c r="F61" s="32"/>
      <c r="G61" s="25"/>
      <c r="H61" s="38"/>
      <c r="I61" s="25"/>
      <c r="J61" s="25"/>
      <c r="K61" s="20">
        <f t="shared" si="1"/>
        <v>5659.39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>
        <v>12000</v>
      </c>
      <c r="D62" s="28" t="s">
        <v>355</v>
      </c>
      <c r="E62" s="26"/>
      <c r="F62" s="29"/>
      <c r="G62" s="26"/>
      <c r="H62" s="37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>
        <v>2530</v>
      </c>
      <c r="D63" s="32" t="s">
        <v>341</v>
      </c>
      <c r="E63" s="25"/>
      <c r="F63" s="32"/>
      <c r="G63" s="25"/>
      <c r="H63" s="38"/>
      <c r="I63" s="25"/>
      <c r="J63" s="25"/>
      <c r="K63" s="20">
        <f t="shared" si="1"/>
        <v>2530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401232.16000000003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0"/>
  <sheetViews>
    <sheetView topLeftCell="L1" workbookViewId="0">
      <pane ySplit="2" topLeftCell="A3" activePane="bottomLeft" state="frozen"/>
      <selection pane="bottomLeft" activeCell="T7" sqref="T7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1" ht="16.5" customHeight="1" x14ac:dyDescent="0.25">
      <c r="A1" s="47"/>
      <c r="B1" s="91" t="s">
        <v>356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283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/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/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'ANNUAL-EXPENSE-DETAILS'!V7</f>
        <v>0</v>
      </c>
    </row>
    <row r="5" spans="1:21" ht="12.75" customHeight="1" x14ac:dyDescent="0.25">
      <c r="A5" s="19" t="s">
        <v>239</v>
      </c>
      <c r="B5" s="19" t="s">
        <v>236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'ANNUAL-EXPENSE-DETAILS'!U7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238</v>
      </c>
      <c r="T11" s="20">
        <f>'ANNUAL-EXPENSE-DETAILS'!V7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358</v>
      </c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245</v>
      </c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246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247</v>
      </c>
      <c r="T16" s="22">
        <f>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249</v>
      </c>
      <c r="T17" s="20">
        <f>T13-T16</f>
        <v>0</v>
      </c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359</v>
      </c>
      <c r="T20" s="22">
        <f>I70</f>
        <v>27584.966200000028</v>
      </c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1" ht="16.5" customHeight="1" x14ac:dyDescent="0.25">
      <c r="A1" s="48"/>
      <c r="B1" s="94" t="s">
        <v>360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361</v>
      </c>
      <c r="J2" s="18" t="s">
        <v>357</v>
      </c>
      <c r="K2" s="18" t="s">
        <v>281</v>
      </c>
      <c r="L2" s="18" t="s">
        <v>282</v>
      </c>
      <c r="M2" s="18" t="s">
        <v>283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'ANNUAL-EXPENSE-DETAILS'!V8</f>
        <v>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'ANNUAL-EXPENSE-DETAILS'!U8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362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238</v>
      </c>
      <c r="T11" s="20">
        <f>'ANNUAL-EXPENSE-DETAILS'!V8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/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363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245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246</v>
      </c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247</v>
      </c>
      <c r="T18" s="22">
        <f>T16-T17</f>
        <v>0</v>
      </c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249</v>
      </c>
      <c r="T19" s="20">
        <f>T15-T18</f>
        <v>0</v>
      </c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250</v>
      </c>
      <c r="T20" s="22">
        <f>'ANNUAL-EXPENSE-DETAILS'!X8</f>
        <v>0</v>
      </c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29" t="s">
        <v>364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1" ht="16.5" customHeight="1" x14ac:dyDescent="0.25">
      <c r="A1" s="48"/>
      <c r="B1" s="94" t="s">
        <v>365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366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>
        <f>I3</f>
        <v>123.6994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>
        <f>I4</f>
        <v>123.6994</v>
      </c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'ANNUAL-EXPENSE-DETAILS'!V9</f>
        <v>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>
        <f>I5</f>
        <v>123.6994</v>
      </c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'ANNUAL-EXPENSE-DETAILS'!U9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238</v>
      </c>
      <c r="T11" s="20">
        <f>'ANNUAL-EXPENSE-DETAILS'!V9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367</v>
      </c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 t="s">
        <v>245</v>
      </c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246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247</v>
      </c>
      <c r="T16" s="22">
        <f>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249</v>
      </c>
      <c r="T17" s="20">
        <f>T13-T16</f>
        <v>0</v>
      </c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250</v>
      </c>
      <c r="T18" s="22">
        <f>'ANNUAL-EXPENSE-DETAILS'!X9</f>
        <v>0</v>
      </c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27956.064399999985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1" ht="16.5" customHeight="1" x14ac:dyDescent="0.25">
      <c r="A1" s="48"/>
      <c r="B1" s="94" t="s">
        <v>368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312</v>
      </c>
      <c r="N2" s="18" t="s">
        <v>284</v>
      </c>
      <c r="O2" s="18" t="s">
        <v>285</v>
      </c>
      <c r="P2" s="18" t="s">
        <v>369</v>
      </c>
      <c r="Q2" s="18" t="s">
        <v>232</v>
      </c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'ANNUAL-EXPENSE-DETAILS'!V10</f>
        <v>0</v>
      </c>
    </row>
    <row r="5" spans="1:21" ht="12.75" customHeight="1" x14ac:dyDescent="0.25">
      <c r="A5" s="19" t="s">
        <v>239</v>
      </c>
      <c r="B5" s="19" t="s">
        <v>236</v>
      </c>
      <c r="C5" s="20"/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'ANNUAL-EXPENSE-DETAILS'!U10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>
        <v>0</v>
      </c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238</v>
      </c>
      <c r="T11" s="20">
        <f>'ANNUAL-EXPENSE-DETAILS'!V10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/>
      <c r="T13" s="20"/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 t="s">
        <v>370</v>
      </c>
      <c r="T14" s="22">
        <f>CEILING( I70,1)</f>
        <v>27585</v>
      </c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 t="s">
        <v>371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>
        <v>0</v>
      </c>
      <c r="R17" s="20">
        <f t="shared" si="7"/>
        <v>0</v>
      </c>
      <c r="S17" s="20" t="s">
        <v>245</v>
      </c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 t="s">
        <v>246</v>
      </c>
      <c r="T18" s="22"/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 t="s">
        <v>247</v>
      </c>
      <c r="T19" s="20">
        <f>T17-T18</f>
        <v>0</v>
      </c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 t="s">
        <v>249</v>
      </c>
      <c r="T20" s="22">
        <f>T16-T19</f>
        <v>0</v>
      </c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 t="s">
        <v>250</v>
      </c>
      <c r="T21" s="20">
        <f>'ANNUAL-EXPENSE-DETAILS'!X10</f>
        <v>0</v>
      </c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>
        <v>0</v>
      </c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1" ht="16.5" customHeight="1" x14ac:dyDescent="0.25">
      <c r="A1" s="48"/>
      <c r="B1" s="94" t="s">
        <v>372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312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'ANNUAL-EXPENSE-DETAILS'!V11</f>
        <v>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'ANNUAL-EXPENSE-DETAILS'!U11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238</v>
      </c>
      <c r="T11" s="20">
        <f>'ANNUAL-EXPENSE-DETAILS'!V11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373</v>
      </c>
      <c r="T13" s="20">
        <f>I70</f>
        <v>27584.966200000028</v>
      </c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374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245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246</v>
      </c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247</v>
      </c>
      <c r="T18" s="22">
        <f>T16-T17</f>
        <v>0</v>
      </c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249</v>
      </c>
      <c r="T19" s="20">
        <f>T15-T18</f>
        <v>0</v>
      </c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250</v>
      </c>
      <c r="T20" s="22">
        <f>'ANNUAL-EXPENSE-DETAILS'!X11</f>
        <v>0</v>
      </c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1" ht="16.5" customHeight="1" x14ac:dyDescent="0.25">
      <c r="A1" s="48"/>
      <c r="B1" s="94" t="s">
        <v>375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6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312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'ANNUAL-EXPENSE-DETAILS'!V12</f>
        <v>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'ANNUAL-EXPENSE-DETAILS'!U12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238</v>
      </c>
      <c r="T11" s="20">
        <f>'ANNUAL-EXPENSE-DETAILS'!V12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373</v>
      </c>
      <c r="T13" s="20">
        <f>I70</f>
        <v>27584.966200000028</v>
      </c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376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245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246</v>
      </c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247</v>
      </c>
      <c r="T18" s="22">
        <f>T16-T17</f>
        <v>0</v>
      </c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249</v>
      </c>
      <c r="T19" s="20">
        <f>T15-T18</f>
        <v>0</v>
      </c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250</v>
      </c>
      <c r="T20" s="22">
        <f>'ANNUAL-EXPENSE-DETAILS'!X12</f>
        <v>0</v>
      </c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70"/>
  <sheetViews>
    <sheetView topLeftCell="F1"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1" ht="16.5" customHeight="1" x14ac:dyDescent="0.25">
      <c r="A1" s="50"/>
      <c r="B1" s="97" t="s">
        <v>377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312</v>
      </c>
      <c r="N2" s="18" t="s">
        <v>284</v>
      </c>
      <c r="O2" s="18" t="s">
        <v>285</v>
      </c>
      <c r="P2" s="18" t="s">
        <v>232</v>
      </c>
      <c r="Q2" s="18"/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'ANNUAL-EXPENSE-DETAILS'!V13</f>
        <v>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'ANNUAL-EXPENSE-DETAILS'!U13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/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/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20">
        <f t="shared" si="7"/>
        <v>0</v>
      </c>
      <c r="S11" s="20" t="s">
        <v>238</v>
      </c>
      <c r="T11" s="20">
        <f>'ANNUAL-EXPENSE-DETAILS'!V13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/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20">
        <f t="shared" si="7"/>
        <v>0</v>
      </c>
      <c r="S13" s="20" t="s">
        <v>373</v>
      </c>
      <c r="T13" s="20">
        <f>T8+I70</f>
        <v>27956.064400000028</v>
      </c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/>
      <c r="R14" s="22">
        <f t="shared" si="7"/>
        <v>0</v>
      </c>
      <c r="S14" s="22"/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/>
      <c r="R15" s="20">
        <f t="shared" si="7"/>
        <v>0</v>
      </c>
      <c r="S15" s="20" t="s">
        <v>378</v>
      </c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/>
      <c r="R16" s="22">
        <f t="shared" si="7"/>
        <v>0</v>
      </c>
      <c r="S16" s="22" t="s">
        <v>245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 t="s">
        <v>246</v>
      </c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/>
      <c r="R18" s="22">
        <f t="shared" si="7"/>
        <v>0</v>
      </c>
      <c r="S18" s="22" t="s">
        <v>247</v>
      </c>
      <c r="T18" s="22">
        <f>T16-T17</f>
        <v>0</v>
      </c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20">
        <f t="shared" si="7"/>
        <v>0</v>
      </c>
      <c r="S19" s="20" t="s">
        <v>249</v>
      </c>
      <c r="T19" s="20">
        <f>T15-T18</f>
        <v>0</v>
      </c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/>
      <c r="R20" s="22">
        <f t="shared" si="7"/>
        <v>0</v>
      </c>
      <c r="S20" s="22" t="s">
        <v>250</v>
      </c>
      <c r="T20" s="22">
        <f>'ANNUAL-EXPENSE-DETAILS'!X13</f>
        <v>0</v>
      </c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/>
      <c r="R21" s="20">
        <f t="shared" si="7"/>
        <v>0</v>
      </c>
      <c r="S21" s="20" t="s">
        <v>251</v>
      </c>
      <c r="T21" s="20">
        <f>T19-T20</f>
        <v>0</v>
      </c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/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1" ht="16.5" customHeight="1" x14ac:dyDescent="0.25">
      <c r="A1" s="51"/>
      <c r="B1" s="99" t="s">
        <v>379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</row>
    <row r="2" spans="1:21" ht="58.5" customHeight="1" x14ac:dyDescent="0.25">
      <c r="A2" s="18" t="s">
        <v>216</v>
      </c>
      <c r="B2" s="18">
        <v>0</v>
      </c>
      <c r="C2" s="18" t="s">
        <v>217</v>
      </c>
      <c r="D2" s="18" t="s">
        <v>276</v>
      </c>
      <c r="E2" s="18" t="s">
        <v>277</v>
      </c>
      <c r="F2" s="18" t="s">
        <v>278</v>
      </c>
      <c r="G2" s="18" t="s">
        <v>221</v>
      </c>
      <c r="H2" s="18" t="s">
        <v>222</v>
      </c>
      <c r="I2" s="18" t="s">
        <v>279</v>
      </c>
      <c r="J2" s="18" t="s">
        <v>357</v>
      </c>
      <c r="K2" s="18" t="s">
        <v>281</v>
      </c>
      <c r="L2" s="18" t="s">
        <v>282</v>
      </c>
      <c r="M2" s="18" t="s">
        <v>312</v>
      </c>
      <c r="N2" s="18" t="s">
        <v>284</v>
      </c>
      <c r="O2" s="18" t="s">
        <v>285</v>
      </c>
      <c r="P2" s="18" t="s">
        <v>369</v>
      </c>
      <c r="Q2" s="18" t="s">
        <v>232</v>
      </c>
      <c r="R2" s="18" t="s">
        <v>287</v>
      </c>
      <c r="S2" s="18"/>
      <c r="T2" s="18"/>
      <c r="U2" t="s">
        <v>234</v>
      </c>
    </row>
    <row r="3" spans="1:21" ht="12.75" customHeight="1" x14ac:dyDescent="0.25">
      <c r="A3" s="19" t="s">
        <v>235</v>
      </c>
      <c r="B3" s="19" t="s">
        <v>236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1" ht="12.75" customHeight="1" x14ac:dyDescent="0.25">
      <c r="A4" s="21" t="s">
        <v>237</v>
      </c>
      <c r="B4" s="21" t="s">
        <v>236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238</v>
      </c>
      <c r="T4" s="22">
        <f>'ANNUAL-EXPENSE-DETAILS'!V14</f>
        <v>0</v>
      </c>
    </row>
    <row r="5" spans="1:21" ht="12.75" customHeight="1" x14ac:dyDescent="0.25">
      <c r="A5" s="19" t="s">
        <v>239</v>
      </c>
      <c r="B5" s="19" t="s">
        <v>236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240</v>
      </c>
      <c r="T5" s="20">
        <f>'ANNUAL-EXPENSE-DETAILS'!U14</f>
        <v>0</v>
      </c>
    </row>
    <row r="6" spans="1:21" ht="12.75" customHeight="1" x14ac:dyDescent="0.25">
      <c r="A6" s="21" t="s">
        <v>7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>
        <v>0</v>
      </c>
      <c r="R6" s="22">
        <f t="shared" ref="R6:R37" si="7">SUM(J6:Q6)*$B$2</f>
        <v>0</v>
      </c>
      <c r="S6" s="22"/>
      <c r="T6" s="22"/>
    </row>
    <row r="7" spans="1:21" ht="12.75" customHeight="1" x14ac:dyDescent="0.25">
      <c r="A7" s="19" t="s">
        <v>10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>
        <v>0</v>
      </c>
      <c r="R7" s="20">
        <f t="shared" si="7"/>
        <v>0</v>
      </c>
      <c r="S7" s="20" t="s">
        <v>288</v>
      </c>
      <c r="T7" s="80">
        <f>(104.83+0.18*104.83)</f>
        <v>123.6994</v>
      </c>
    </row>
    <row r="8" spans="1:21" ht="12.75" customHeight="1" x14ac:dyDescent="0.25">
      <c r="A8" s="21" t="s">
        <v>13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750</v>
      </c>
      <c r="M8" s="22">
        <v>0</v>
      </c>
      <c r="N8" s="22">
        <v>0</v>
      </c>
      <c r="O8" s="22">
        <v>0</v>
      </c>
      <c r="P8" s="22"/>
      <c r="Q8" s="22">
        <v>0</v>
      </c>
      <c r="R8" s="22">
        <f t="shared" si="7"/>
        <v>0</v>
      </c>
      <c r="S8" s="22" t="s">
        <v>289</v>
      </c>
      <c r="T8" s="22">
        <f>$T$7*3</f>
        <v>371.09820000000002</v>
      </c>
    </row>
    <row r="9" spans="1:21" ht="12.75" customHeight="1" x14ac:dyDescent="0.25">
      <c r="A9" s="19" t="s">
        <v>17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>
        <v>0</v>
      </c>
      <c r="R9" s="20">
        <f t="shared" si="7"/>
        <v>0</v>
      </c>
      <c r="S9" s="20" t="s">
        <v>290</v>
      </c>
      <c r="T9" s="20">
        <f>T8/64</f>
        <v>5.7984093750000003</v>
      </c>
    </row>
    <row r="10" spans="1:21" ht="12.75" customHeight="1" x14ac:dyDescent="0.25">
      <c r="A10" s="21" t="s">
        <v>20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0</v>
      </c>
      <c r="S10" s="22"/>
      <c r="T10" s="22"/>
    </row>
    <row r="11" spans="1:21" ht="12.75" customHeight="1" x14ac:dyDescent="0.25">
      <c r="A11" s="19" t="s">
        <v>22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>
        <v>0</v>
      </c>
      <c r="R11" s="20">
        <f t="shared" si="7"/>
        <v>0</v>
      </c>
      <c r="S11" s="20" t="s">
        <v>238</v>
      </c>
      <c r="T11" s="20">
        <f>'ANNUAL-EXPENSE-DETAILS'!V14</f>
        <v>0</v>
      </c>
    </row>
    <row r="12" spans="1:21" ht="12.75" customHeight="1" x14ac:dyDescent="0.25">
      <c r="A12" s="21" t="s">
        <v>25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750</v>
      </c>
      <c r="M12" s="22">
        <v>0</v>
      </c>
      <c r="N12" s="22">
        <v>0</v>
      </c>
      <c r="O12" s="22">
        <v>0</v>
      </c>
      <c r="P12" s="22"/>
      <c r="Q12" s="22">
        <v>0</v>
      </c>
      <c r="R12" s="22">
        <f t="shared" si="7"/>
        <v>0</v>
      </c>
      <c r="S12" s="22"/>
      <c r="T12" s="22"/>
    </row>
    <row r="13" spans="1:21" ht="12.75" customHeight="1" x14ac:dyDescent="0.25">
      <c r="A13" s="19" t="s">
        <v>28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>
        <v>0</v>
      </c>
      <c r="R13" s="20">
        <f t="shared" si="7"/>
        <v>0</v>
      </c>
      <c r="S13" s="20" t="s">
        <v>373</v>
      </c>
      <c r="T13" s="20">
        <f>T8+I70</f>
        <v>27956.064400000028</v>
      </c>
    </row>
    <row r="14" spans="1:21" ht="12.75" customHeight="1" x14ac:dyDescent="0.25">
      <c r="A14" s="21" t="s">
        <v>31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>
        <v>0</v>
      </c>
      <c r="R14" s="22">
        <f t="shared" si="7"/>
        <v>0</v>
      </c>
      <c r="S14" s="22"/>
      <c r="T14" s="22"/>
    </row>
    <row r="15" spans="1:21" ht="12.75" customHeight="1" x14ac:dyDescent="0.25">
      <c r="A15" s="19" t="s">
        <v>35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>
        <v>0</v>
      </c>
      <c r="R15" s="20">
        <f t="shared" si="7"/>
        <v>0</v>
      </c>
      <c r="S15" s="20"/>
      <c r="T15" s="20"/>
    </row>
    <row r="16" spans="1:21" ht="12.75" customHeight="1" x14ac:dyDescent="0.25">
      <c r="A16" s="21" t="s">
        <v>39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>
        <v>0</v>
      </c>
      <c r="R16" s="22">
        <f t="shared" si="7"/>
        <v>0</v>
      </c>
      <c r="S16" s="22"/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0</v>
      </c>
      <c r="S17" s="20"/>
      <c r="T17" s="20"/>
    </row>
    <row r="18" spans="1:20" ht="12.75" customHeight="1" x14ac:dyDescent="0.25">
      <c r="A18" s="21" t="s">
        <v>44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>
        <v>0</v>
      </c>
      <c r="R18" s="22">
        <f t="shared" si="7"/>
        <v>0</v>
      </c>
      <c r="S18" s="22"/>
      <c r="T18" s="22"/>
    </row>
    <row r="19" spans="1:20" ht="12.75" customHeight="1" x14ac:dyDescent="0.25">
      <c r="A19" s="19" t="s">
        <v>46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>
        <v>0</v>
      </c>
      <c r="R19" s="20">
        <f t="shared" si="7"/>
        <v>0</v>
      </c>
      <c r="S19" s="20"/>
      <c r="T19" s="20"/>
    </row>
    <row r="20" spans="1:20" ht="12.75" customHeight="1" x14ac:dyDescent="0.25">
      <c r="A20" s="21" t="s">
        <v>50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750</v>
      </c>
      <c r="M20" s="22">
        <v>0</v>
      </c>
      <c r="N20" s="22">
        <v>0</v>
      </c>
      <c r="O20" s="22">
        <v>0</v>
      </c>
      <c r="P20" s="22"/>
      <c r="Q20" s="22">
        <v>0</v>
      </c>
      <c r="R20" s="22">
        <f t="shared" si="7"/>
        <v>0</v>
      </c>
      <c r="S20" s="22"/>
      <c r="T20" s="22"/>
    </row>
    <row r="21" spans="1:20" ht="12.75" customHeight="1" x14ac:dyDescent="0.25">
      <c r="A21" s="19" t="s">
        <v>54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>
        <v>0</v>
      </c>
      <c r="R21" s="20">
        <f t="shared" si="7"/>
        <v>0</v>
      </c>
      <c r="S21" s="20"/>
      <c r="T21" s="20"/>
    </row>
    <row r="22" spans="1:20" ht="12.75" customHeight="1" x14ac:dyDescent="0.25">
      <c r="A22" s="21" t="s">
        <v>57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0</v>
      </c>
      <c r="S22" s="22"/>
      <c r="T22" s="22"/>
    </row>
    <row r="23" spans="1:20" ht="12.75" customHeight="1" x14ac:dyDescent="0.25">
      <c r="A23" s="19" t="s">
        <v>60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>
        <v>0</v>
      </c>
      <c r="R23" s="20">
        <f t="shared" si="7"/>
        <v>0</v>
      </c>
      <c r="S23" s="20"/>
      <c r="T23" s="20"/>
    </row>
    <row r="24" spans="1:20" ht="12.75" customHeight="1" x14ac:dyDescent="0.25">
      <c r="A24" s="21" t="s">
        <v>62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>
        <v>0</v>
      </c>
      <c r="R24" s="22">
        <f t="shared" si="7"/>
        <v>0</v>
      </c>
      <c r="S24" s="22"/>
      <c r="T24" s="22"/>
    </row>
    <row r="25" spans="1:20" ht="12.75" customHeight="1" x14ac:dyDescent="0.25">
      <c r="A25" s="19" t="s">
        <v>65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>
        <v>0</v>
      </c>
      <c r="R25" s="20">
        <f t="shared" si="7"/>
        <v>0</v>
      </c>
      <c r="S25" s="20"/>
      <c r="T25" s="20"/>
    </row>
    <row r="26" spans="1:20" ht="12.75" customHeight="1" x14ac:dyDescent="0.25">
      <c r="A26" s="21" t="s">
        <v>68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>
        <v>0</v>
      </c>
      <c r="R26" s="22">
        <f t="shared" si="7"/>
        <v>0</v>
      </c>
      <c r="S26" s="22"/>
      <c r="T26" s="22"/>
    </row>
    <row r="27" spans="1:20" ht="12.75" customHeight="1" x14ac:dyDescent="0.25">
      <c r="A27" s="19" t="s">
        <v>70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>
        <v>0</v>
      </c>
      <c r="R27" s="20">
        <f t="shared" si="7"/>
        <v>0</v>
      </c>
      <c r="S27" s="20"/>
      <c r="T27" s="20"/>
    </row>
    <row r="28" spans="1:20" ht="12.75" customHeight="1" x14ac:dyDescent="0.25">
      <c r="A28" s="21" t="s">
        <v>73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>
        <v>0</v>
      </c>
      <c r="R28" s="22">
        <f t="shared" si="7"/>
        <v>0</v>
      </c>
      <c r="S28" s="22"/>
      <c r="T28" s="22"/>
    </row>
    <row r="29" spans="1:20" ht="12.75" customHeight="1" x14ac:dyDescent="0.25">
      <c r="A29" s="19" t="s">
        <v>77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>
        <v>0</v>
      </c>
      <c r="R29" s="20">
        <f t="shared" si="7"/>
        <v>0</v>
      </c>
      <c r="S29" s="20"/>
      <c r="T29" s="20"/>
    </row>
    <row r="30" spans="1:20" ht="12.75" customHeight="1" x14ac:dyDescent="0.25">
      <c r="A30" s="21" t="s">
        <v>80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>
        <v>0</v>
      </c>
      <c r="R30" s="22">
        <f t="shared" si="7"/>
        <v>0</v>
      </c>
      <c r="S30" s="22"/>
      <c r="T30" s="22"/>
    </row>
    <row r="31" spans="1:20" ht="12.75" customHeight="1" x14ac:dyDescent="0.25">
      <c r="A31" s="19" t="s">
        <v>83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>
        <v>0</v>
      </c>
      <c r="R31" s="20">
        <f t="shared" si="7"/>
        <v>0</v>
      </c>
      <c r="S31" s="20"/>
      <c r="T31" s="20"/>
    </row>
    <row r="32" spans="1:20" ht="12.75" customHeight="1" x14ac:dyDescent="0.25">
      <c r="A32" s="21" t="s">
        <v>87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>
        <v>0</v>
      </c>
      <c r="R32" s="22">
        <f t="shared" si="7"/>
        <v>0</v>
      </c>
      <c r="S32" s="22"/>
      <c r="T32" s="22"/>
    </row>
    <row r="33" spans="1:20" ht="12.75" customHeight="1" x14ac:dyDescent="0.25">
      <c r="A33" s="19" t="s">
        <v>91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>
        <v>0</v>
      </c>
      <c r="R33" s="20">
        <f t="shared" si="7"/>
        <v>0</v>
      </c>
      <c r="S33" s="20"/>
      <c r="T33" s="20"/>
    </row>
    <row r="34" spans="1:20" ht="12.75" customHeight="1" x14ac:dyDescent="0.25">
      <c r="A34" s="21" t="s">
        <v>95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>
        <v>0</v>
      </c>
      <c r="R34" s="22">
        <f t="shared" si="7"/>
        <v>0</v>
      </c>
      <c r="S34" s="22"/>
      <c r="T34" s="22"/>
    </row>
    <row r="35" spans="1:20" ht="12.75" customHeight="1" x14ac:dyDescent="0.25">
      <c r="A35" s="19" t="s">
        <v>98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>
        <v>0</v>
      </c>
      <c r="R35" s="20">
        <f t="shared" si="7"/>
        <v>0</v>
      </c>
      <c r="S35" s="20"/>
      <c r="T35" s="20"/>
    </row>
    <row r="36" spans="1:20" ht="12.75" customHeight="1" x14ac:dyDescent="0.25">
      <c r="A36" s="21" t="s">
        <v>102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>
        <v>0</v>
      </c>
      <c r="R36" s="22">
        <f t="shared" si="7"/>
        <v>0</v>
      </c>
      <c r="S36" s="22"/>
      <c r="T36" s="22"/>
    </row>
    <row r="37" spans="1:20" ht="12.75" customHeight="1" x14ac:dyDescent="0.25">
      <c r="A37" s="19" t="s">
        <v>105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>
        <v>0</v>
      </c>
      <c r="R37" s="20">
        <f t="shared" si="7"/>
        <v>0</v>
      </c>
      <c r="S37" s="20"/>
      <c r="T37" s="20"/>
    </row>
    <row r="38" spans="1:20" ht="12.75" customHeight="1" x14ac:dyDescent="0.25">
      <c r="A38" s="21" t="s">
        <v>109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>
        <v>0</v>
      </c>
      <c r="R38" s="22">
        <f t="shared" ref="R38:R69" si="15">SUM(J38:Q38)*$B$2</f>
        <v>0</v>
      </c>
      <c r="S38" s="22"/>
      <c r="T38" s="22"/>
    </row>
    <row r="39" spans="1:20" ht="12.75" customHeight="1" x14ac:dyDescent="0.25">
      <c r="A39" s="19" t="s">
        <v>113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>
        <v>0</v>
      </c>
      <c r="R39" s="20">
        <f t="shared" si="15"/>
        <v>0</v>
      </c>
      <c r="S39" s="20"/>
      <c r="T39" s="20"/>
    </row>
    <row r="40" spans="1:20" ht="12.75" customHeight="1" x14ac:dyDescent="0.25">
      <c r="A40" s="21" t="s">
        <v>116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>
        <v>0</v>
      </c>
      <c r="R40" s="22">
        <f t="shared" si="15"/>
        <v>0</v>
      </c>
      <c r="S40" s="22"/>
      <c r="T40" s="22"/>
    </row>
    <row r="41" spans="1:20" ht="12.75" customHeight="1" x14ac:dyDescent="0.25">
      <c r="A41" s="19" t="s">
        <v>118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>
        <v>0</v>
      </c>
      <c r="R41" s="20">
        <f t="shared" si="15"/>
        <v>0</v>
      </c>
      <c r="S41" s="20"/>
      <c r="T41" s="20"/>
    </row>
    <row r="42" spans="1:20" ht="12.75" customHeight="1" x14ac:dyDescent="0.25">
      <c r="A42" s="21" t="s">
        <v>121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>
        <v>0</v>
      </c>
      <c r="R42" s="22">
        <f t="shared" si="15"/>
        <v>0</v>
      </c>
      <c r="S42" s="22"/>
      <c r="T42" s="22"/>
    </row>
    <row r="43" spans="1:20" ht="12.75" customHeight="1" x14ac:dyDescent="0.25">
      <c r="A43" s="19" t="s">
        <v>125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>
        <v>0</v>
      </c>
      <c r="R43" s="20">
        <f t="shared" si="15"/>
        <v>0</v>
      </c>
      <c r="S43" s="20"/>
      <c r="T43" s="20"/>
    </row>
    <row r="44" spans="1:20" ht="12.75" customHeight="1" x14ac:dyDescent="0.25">
      <c r="A44" s="21" t="s">
        <v>128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>
        <v>0</v>
      </c>
      <c r="R44" s="22">
        <f t="shared" si="15"/>
        <v>0</v>
      </c>
      <c r="S44" s="22"/>
      <c r="T44" s="22"/>
    </row>
    <row r="45" spans="1:20" ht="12.75" customHeight="1" x14ac:dyDescent="0.25">
      <c r="A45" s="19" t="s">
        <v>132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>
        <v>0</v>
      </c>
      <c r="R45" s="20">
        <f t="shared" si="15"/>
        <v>0</v>
      </c>
      <c r="S45" s="20"/>
      <c r="T45" s="20"/>
    </row>
    <row r="46" spans="1:20" ht="12.75" customHeight="1" x14ac:dyDescent="0.25">
      <c r="A46" s="21" t="s">
        <v>135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>
        <v>0</v>
      </c>
      <c r="R46" s="22">
        <f t="shared" si="15"/>
        <v>0</v>
      </c>
      <c r="S46" s="22"/>
      <c r="T46" s="22"/>
    </row>
    <row r="47" spans="1:20" ht="12.75" customHeight="1" x14ac:dyDescent="0.25">
      <c r="A47" s="19" t="s">
        <v>139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>
        <v>0</v>
      </c>
      <c r="R47" s="20">
        <f t="shared" si="15"/>
        <v>0</v>
      </c>
      <c r="S47" s="20"/>
      <c r="T47" s="20"/>
    </row>
    <row r="48" spans="1:20" ht="12.75" customHeight="1" x14ac:dyDescent="0.25">
      <c r="A48" s="21" t="s">
        <v>141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>
        <v>0</v>
      </c>
      <c r="R48" s="22">
        <f t="shared" si="15"/>
        <v>0</v>
      </c>
      <c r="S48" s="22"/>
      <c r="T48" s="22"/>
    </row>
    <row r="49" spans="1:20" ht="12.75" customHeight="1" x14ac:dyDescent="0.25">
      <c r="A49" s="19" t="s">
        <v>144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>
        <v>0</v>
      </c>
      <c r="R49" s="20">
        <f t="shared" si="15"/>
        <v>0</v>
      </c>
      <c r="S49" s="20"/>
      <c r="T49" s="20"/>
    </row>
    <row r="50" spans="1:20" ht="12.75" customHeight="1" x14ac:dyDescent="0.25">
      <c r="A50" s="21" t="s">
        <v>147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>
        <v>0</v>
      </c>
      <c r="R50" s="22">
        <f t="shared" si="15"/>
        <v>0</v>
      </c>
      <c r="S50" s="22"/>
      <c r="T50" s="22"/>
    </row>
    <row r="51" spans="1:20" ht="12.75" customHeight="1" x14ac:dyDescent="0.25">
      <c r="A51" s="19" t="s">
        <v>149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>
        <v>0</v>
      </c>
      <c r="R51" s="20">
        <f t="shared" si="15"/>
        <v>0</v>
      </c>
      <c r="S51" s="20"/>
      <c r="T51" s="20"/>
    </row>
    <row r="52" spans="1:20" ht="12.75" customHeight="1" x14ac:dyDescent="0.25">
      <c r="A52" s="21" t="s">
        <v>153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>
        <v>0</v>
      </c>
      <c r="R52" s="22">
        <f t="shared" si="15"/>
        <v>0</v>
      </c>
      <c r="S52" s="22"/>
      <c r="T52" s="22"/>
    </row>
    <row r="53" spans="1:20" ht="12.75" customHeight="1" x14ac:dyDescent="0.25">
      <c r="A53" s="19" t="s">
        <v>156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>
        <v>0</v>
      </c>
      <c r="R53" s="20">
        <f t="shared" si="15"/>
        <v>0</v>
      </c>
      <c r="S53" s="20"/>
      <c r="T53" s="20"/>
    </row>
    <row r="54" spans="1:20" ht="12.75" customHeight="1" x14ac:dyDescent="0.25">
      <c r="A54" s="21" t="s">
        <v>160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>
        <v>0</v>
      </c>
      <c r="R54" s="22">
        <f t="shared" si="15"/>
        <v>0</v>
      </c>
      <c r="S54" s="22"/>
      <c r="T54" s="22"/>
    </row>
    <row r="55" spans="1:20" ht="12.75" customHeight="1" x14ac:dyDescent="0.25">
      <c r="A55" s="19" t="s">
        <v>164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>
        <v>0</v>
      </c>
      <c r="R55" s="20">
        <f t="shared" si="15"/>
        <v>0</v>
      </c>
      <c r="S55" s="20"/>
      <c r="T55" s="20"/>
    </row>
    <row r="56" spans="1:20" ht="12.75" customHeight="1" x14ac:dyDescent="0.25">
      <c r="A56" s="21" t="s">
        <v>168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>
        <v>0</v>
      </c>
      <c r="R56" s="22">
        <f t="shared" si="15"/>
        <v>0</v>
      </c>
      <c r="S56" s="22"/>
      <c r="T56" s="22"/>
    </row>
    <row r="57" spans="1:20" ht="12.75" customHeight="1" x14ac:dyDescent="0.25">
      <c r="A57" s="19" t="s">
        <v>172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>
        <v>0</v>
      </c>
      <c r="R57" s="20">
        <f t="shared" si="15"/>
        <v>0</v>
      </c>
      <c r="S57" s="20"/>
      <c r="T57" s="20"/>
    </row>
    <row r="58" spans="1:20" ht="12.75" customHeight="1" x14ac:dyDescent="0.25">
      <c r="A58" s="21" t="s">
        <v>175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>
        <v>0</v>
      </c>
      <c r="R58" s="22">
        <f t="shared" si="15"/>
        <v>0</v>
      </c>
      <c r="S58" s="22"/>
      <c r="T58" s="22"/>
    </row>
    <row r="59" spans="1:20" ht="12.75" customHeight="1" x14ac:dyDescent="0.25">
      <c r="A59" s="19" t="s">
        <v>179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>
        <v>0</v>
      </c>
      <c r="R59" s="20">
        <f t="shared" si="15"/>
        <v>0</v>
      </c>
      <c r="S59" s="20"/>
      <c r="T59" s="20"/>
    </row>
    <row r="60" spans="1:20" ht="12.75" customHeight="1" x14ac:dyDescent="0.25">
      <c r="A60" s="21" t="s">
        <v>183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>
        <v>0</v>
      </c>
      <c r="R60" s="22">
        <f t="shared" si="15"/>
        <v>0</v>
      </c>
      <c r="S60" s="22"/>
      <c r="T60" s="22"/>
    </row>
    <row r="61" spans="1:20" ht="12.75" customHeight="1" x14ac:dyDescent="0.25">
      <c r="A61" s="19" t="s">
        <v>186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>
        <v>0</v>
      </c>
      <c r="R61" s="20">
        <f t="shared" si="15"/>
        <v>0</v>
      </c>
      <c r="S61" s="20"/>
      <c r="T61" s="20"/>
    </row>
    <row r="62" spans="1:20" ht="12.75" customHeight="1" x14ac:dyDescent="0.25">
      <c r="A62" s="21" t="s">
        <v>190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>
        <v>0</v>
      </c>
      <c r="R62" s="22">
        <f t="shared" si="15"/>
        <v>0</v>
      </c>
      <c r="S62" s="22"/>
      <c r="T62" s="22"/>
    </row>
    <row r="63" spans="1:20" ht="12.75" customHeight="1" x14ac:dyDescent="0.25">
      <c r="A63" s="19" t="s">
        <v>193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>
        <v>0</v>
      </c>
      <c r="R63" s="20">
        <f t="shared" si="15"/>
        <v>0</v>
      </c>
      <c r="S63" s="20"/>
      <c r="T63" s="20"/>
    </row>
    <row r="64" spans="1:20" ht="12.75" customHeight="1" x14ac:dyDescent="0.25">
      <c r="A64" s="21" t="s">
        <v>196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>
        <v>0</v>
      </c>
      <c r="R64" s="22">
        <f t="shared" si="15"/>
        <v>0</v>
      </c>
      <c r="S64" s="22"/>
      <c r="T64" s="22"/>
    </row>
    <row r="65" spans="1:20" ht="12.75" customHeight="1" x14ac:dyDescent="0.25">
      <c r="A65" s="19" t="s">
        <v>200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>
        <v>0</v>
      </c>
      <c r="R65" s="20">
        <f t="shared" si="15"/>
        <v>0</v>
      </c>
      <c r="S65" s="20"/>
      <c r="T65" s="20"/>
    </row>
    <row r="66" spans="1:20" ht="12.75" customHeight="1" x14ac:dyDescent="0.25">
      <c r="A66" s="21" t="s">
        <v>203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>
        <v>0</v>
      </c>
      <c r="R66" s="22">
        <f t="shared" si="15"/>
        <v>0</v>
      </c>
      <c r="S66" s="22"/>
      <c r="T66" s="22"/>
    </row>
    <row r="67" spans="1:20" ht="12.75" customHeight="1" x14ac:dyDescent="0.25">
      <c r="A67" s="19" t="s">
        <v>205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>
        <v>0</v>
      </c>
      <c r="R67" s="20">
        <f t="shared" si="15"/>
        <v>0</v>
      </c>
      <c r="S67" s="20"/>
      <c r="T67" s="20"/>
    </row>
    <row r="68" spans="1:20" ht="12.75" customHeight="1" x14ac:dyDescent="0.25">
      <c r="A68" s="21" t="s">
        <v>209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>
        <v>0</v>
      </c>
      <c r="R68" s="22">
        <f t="shared" si="15"/>
        <v>0</v>
      </c>
      <c r="S68" s="22"/>
      <c r="T68" s="22"/>
    </row>
    <row r="69" spans="1:20" ht="12.75" customHeight="1" x14ac:dyDescent="0.25">
      <c r="A69" s="19" t="s">
        <v>212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>
        <v>0</v>
      </c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252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:F101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2250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216</v>
      </c>
      <c r="B1" s="18"/>
      <c r="C1" s="18" t="s">
        <v>253</v>
      </c>
      <c r="D1" s="45" t="s">
        <v>254</v>
      </c>
      <c r="E1" s="18" t="s">
        <v>253</v>
      </c>
      <c r="F1" s="45" t="s">
        <v>254</v>
      </c>
      <c r="G1" s="18" t="s">
        <v>253</v>
      </c>
      <c r="H1" s="36" t="s">
        <v>254</v>
      </c>
      <c r="I1" s="18" t="s">
        <v>253</v>
      </c>
      <c r="J1" s="14" t="s">
        <v>254</v>
      </c>
      <c r="K1" s="14" t="s">
        <v>255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7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10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13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17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20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22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25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28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31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35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39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44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46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50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54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57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60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62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65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68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70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73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77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80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83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87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91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95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98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102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105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109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113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116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118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121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125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128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132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135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139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141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144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147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149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153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156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160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164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168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172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175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179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183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186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190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193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196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200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203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205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209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212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252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zoomScaleNormal="100" workbookViewId="0">
      <pane xSplit="1" ySplit="2" topLeftCell="E3" activePane="bottomRight" state="frozen"/>
      <selection pane="topRight"/>
      <selection pane="bottomLeft" activeCell="A3" sqref="A3"/>
      <selection pane="bottomRight" activeCell="K11" sqref="K11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4" width="11.42578125" style="83" customWidth="1"/>
    <col min="25" max="57" width="14.42578125" style="67" customWidth="1"/>
    <col min="58" max="16384" width="14.42578125" style="67"/>
  </cols>
  <sheetData>
    <row r="1" spans="1:24" ht="32.25" customHeight="1" x14ac:dyDescent="0.25">
      <c r="A1" s="107" t="s">
        <v>380</v>
      </c>
      <c r="B1" s="104" t="s">
        <v>381</v>
      </c>
      <c r="C1" s="105"/>
      <c r="D1" s="104" t="s">
        <v>382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5"/>
      <c r="T1" s="103" t="s">
        <v>383</v>
      </c>
      <c r="U1" s="103" t="s">
        <v>384</v>
      </c>
      <c r="V1" s="103" t="s">
        <v>385</v>
      </c>
      <c r="W1" s="101" t="s">
        <v>386</v>
      </c>
      <c r="X1" s="101" t="s">
        <v>387</v>
      </c>
    </row>
    <row r="2" spans="1:24" ht="38.25" customHeight="1" thickBot="1" x14ac:dyDescent="0.3">
      <c r="A2" s="102"/>
      <c r="B2" s="57" t="s">
        <v>388</v>
      </c>
      <c r="C2" s="57" t="s">
        <v>389</v>
      </c>
      <c r="D2" s="57" t="s">
        <v>390</v>
      </c>
      <c r="E2" s="57" t="s">
        <v>391</v>
      </c>
      <c r="F2" s="57" t="s">
        <v>392</v>
      </c>
      <c r="G2" s="57" t="s">
        <v>393</v>
      </c>
      <c r="H2" s="57" t="s">
        <v>394</v>
      </c>
      <c r="I2" s="57" t="s">
        <v>395</v>
      </c>
      <c r="J2" s="57" t="s">
        <v>396</v>
      </c>
      <c r="K2" s="57" t="s">
        <v>397</v>
      </c>
      <c r="L2" s="57" t="s">
        <v>398</v>
      </c>
      <c r="M2" s="57" t="s">
        <v>399</v>
      </c>
      <c r="N2" s="57" t="s">
        <v>400</v>
      </c>
      <c r="O2" s="57" t="s">
        <v>401</v>
      </c>
      <c r="P2" s="57" t="s">
        <v>402</v>
      </c>
      <c r="Q2" s="57" t="s">
        <v>403</v>
      </c>
      <c r="R2" s="57" t="s">
        <v>404</v>
      </c>
      <c r="S2" s="57" t="s">
        <v>405</v>
      </c>
      <c r="T2" s="102"/>
      <c r="U2" s="102"/>
      <c r="V2" s="102"/>
      <c r="W2" s="102"/>
      <c r="X2" s="102"/>
    </row>
    <row r="3" spans="1:24" ht="30" customHeight="1" x14ac:dyDescent="0.25">
      <c r="A3" s="60" t="s">
        <v>406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79">
        <f t="shared" ref="X3:X14" si="3">T3+W3</f>
        <v>344833.89760000003</v>
      </c>
    </row>
    <row r="4" spans="1:24" ht="30" customHeight="1" x14ac:dyDescent="0.25">
      <c r="A4" s="62" t="s">
        <v>407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84">
        <f t="shared" si="3"/>
        <v>350692.96620000002</v>
      </c>
    </row>
    <row r="5" spans="1:24" ht="30" customHeight="1" x14ac:dyDescent="0.25">
      <c r="A5" s="60" t="s">
        <v>408</v>
      </c>
      <c r="B5" s="61">
        <v>28350</v>
      </c>
      <c r="C5" s="61">
        <v>23000</v>
      </c>
      <c r="D5" s="61">
        <v>31600</v>
      </c>
      <c r="E5" s="61">
        <v>28401</v>
      </c>
      <c r="F5" s="61">
        <v>151040</v>
      </c>
      <c r="G5" s="61">
        <v>6600</v>
      </c>
      <c r="H5" s="61">
        <v>10000</v>
      </c>
      <c r="I5" s="61">
        <v>0</v>
      </c>
      <c r="J5" s="61">
        <f>1130+49500+12800</f>
        <v>63430</v>
      </c>
      <c r="K5" s="61">
        <v>0</v>
      </c>
      <c r="L5" s="61">
        <v>0</v>
      </c>
      <c r="M5" s="61">
        <v>3000</v>
      </c>
      <c r="N5" s="61">
        <v>7000</v>
      </c>
      <c r="O5" s="61">
        <v>7000</v>
      </c>
      <c r="P5" s="61">
        <v>10000</v>
      </c>
      <c r="Q5" s="61">
        <v>4800</v>
      </c>
      <c r="R5" s="61">
        <v>0</v>
      </c>
      <c r="S5" s="61">
        <v>0</v>
      </c>
      <c r="T5" s="61">
        <f t="shared" si="0"/>
        <v>374221</v>
      </c>
      <c r="U5" s="61">
        <f t="shared" si="1"/>
        <v>51350</v>
      </c>
      <c r="V5" s="61">
        <f t="shared" si="2"/>
        <v>322871</v>
      </c>
      <c r="W5" s="79">
        <v>27585</v>
      </c>
      <c r="X5" s="79">
        <f t="shared" si="3"/>
        <v>401806</v>
      </c>
    </row>
    <row r="6" spans="1:24" ht="30" customHeight="1" x14ac:dyDescent="0.25">
      <c r="A6" s="62" t="s">
        <v>409</v>
      </c>
      <c r="B6" s="63">
        <v>20400</v>
      </c>
      <c r="C6" s="63">
        <v>20500</v>
      </c>
      <c r="D6" s="63">
        <v>31600</v>
      </c>
      <c r="E6" s="63">
        <v>30637</v>
      </c>
      <c r="F6" s="63">
        <v>151040</v>
      </c>
      <c r="G6" s="63">
        <v>6600</v>
      </c>
      <c r="H6" s="63">
        <v>10000</v>
      </c>
      <c r="I6" s="63">
        <v>0</v>
      </c>
      <c r="J6" s="63">
        <v>37900</v>
      </c>
      <c r="K6" s="63">
        <v>0</v>
      </c>
      <c r="L6" s="63">
        <v>0</v>
      </c>
      <c r="M6" s="63">
        <v>3000</v>
      </c>
      <c r="N6" s="63">
        <v>7000</v>
      </c>
      <c r="O6" s="63">
        <v>7000</v>
      </c>
      <c r="P6" s="63">
        <v>10000</v>
      </c>
      <c r="Q6" s="63">
        <v>3300</v>
      </c>
      <c r="R6" s="63">
        <f>20000+590+590</f>
        <v>21180</v>
      </c>
      <c r="S6" s="63">
        <v>6183</v>
      </c>
      <c r="T6" s="63">
        <f t="shared" si="0"/>
        <v>366340</v>
      </c>
      <c r="U6" s="63">
        <f t="shared" si="1"/>
        <v>40900</v>
      </c>
      <c r="V6" s="63">
        <f t="shared" si="2"/>
        <v>325440</v>
      </c>
      <c r="W6" s="79">
        <v>27585</v>
      </c>
      <c r="X6" s="84">
        <f t="shared" si="3"/>
        <v>393925</v>
      </c>
    </row>
    <row r="7" spans="1:24" ht="30" customHeight="1" x14ac:dyDescent="0.25">
      <c r="A7" s="60" t="s">
        <v>410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79">
        <f t="shared" si="3"/>
        <v>0</v>
      </c>
    </row>
    <row r="8" spans="1:24" ht="30" customHeight="1" x14ac:dyDescent="0.25">
      <c r="A8" s="62" t="s">
        <v>411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84">
        <f t="shared" si="3"/>
        <v>0</v>
      </c>
    </row>
    <row r="9" spans="1:24" ht="30" customHeight="1" x14ac:dyDescent="0.25">
      <c r="A9" s="60" t="s">
        <v>412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79">
        <f t="shared" si="3"/>
        <v>0</v>
      </c>
    </row>
    <row r="10" spans="1:24" ht="30" customHeight="1" x14ac:dyDescent="0.25">
      <c r="A10" s="62" t="s">
        <v>413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84">
        <f t="shared" si="3"/>
        <v>0</v>
      </c>
    </row>
    <row r="11" spans="1:24" ht="30" customHeight="1" x14ac:dyDescent="0.25">
      <c r="A11" s="60" t="s">
        <v>414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79">
        <f t="shared" si="3"/>
        <v>0</v>
      </c>
    </row>
    <row r="12" spans="1:24" ht="30" customHeight="1" x14ac:dyDescent="0.25">
      <c r="A12" s="62" t="s">
        <v>415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84">
        <f t="shared" si="3"/>
        <v>0</v>
      </c>
    </row>
    <row r="13" spans="1:24" ht="30" customHeight="1" x14ac:dyDescent="0.25">
      <c r="A13" s="60" t="s">
        <v>416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79">
        <f t="shared" si="3"/>
        <v>0</v>
      </c>
    </row>
    <row r="14" spans="1:24" ht="30" customHeight="1" x14ac:dyDescent="0.25">
      <c r="A14" s="62" t="s">
        <v>417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84">
        <f t="shared" si="3"/>
        <v>0</v>
      </c>
    </row>
    <row r="15" spans="1:24" ht="30" customHeight="1" thickBot="1" x14ac:dyDescent="0.3">
      <c r="A15" s="65" t="s">
        <v>252</v>
      </c>
      <c r="B15" s="66">
        <f t="shared" ref="B15:Q15" si="4">SUM(B3:B14)</f>
        <v>97350</v>
      </c>
      <c r="C15" s="66">
        <f t="shared" si="4"/>
        <v>85800</v>
      </c>
      <c r="D15" s="66">
        <f t="shared" si="4"/>
        <v>126400</v>
      </c>
      <c r="E15" s="66">
        <f t="shared" si="4"/>
        <v>115421</v>
      </c>
      <c r="F15" s="66">
        <f t="shared" si="4"/>
        <v>604160</v>
      </c>
      <c r="G15" s="66">
        <f t="shared" si="4"/>
        <v>26400</v>
      </c>
      <c r="H15" s="66">
        <f t="shared" si="4"/>
        <v>40000</v>
      </c>
      <c r="I15" s="66">
        <f t="shared" si="4"/>
        <v>0</v>
      </c>
      <c r="J15" s="66">
        <f t="shared" si="4"/>
        <v>113130</v>
      </c>
      <c r="K15" s="66">
        <f t="shared" si="4"/>
        <v>13995</v>
      </c>
      <c r="L15" s="66">
        <f t="shared" si="4"/>
        <v>0</v>
      </c>
      <c r="M15" s="66">
        <f t="shared" si="4"/>
        <v>12000</v>
      </c>
      <c r="N15" s="66">
        <f t="shared" si="4"/>
        <v>28000</v>
      </c>
      <c r="O15" s="66">
        <f t="shared" si="4"/>
        <v>28000</v>
      </c>
      <c r="P15" s="66">
        <f t="shared" si="4"/>
        <v>40000</v>
      </c>
      <c r="Q15" s="66">
        <f t="shared" si="4"/>
        <v>19700</v>
      </c>
      <c r="R15" s="66"/>
      <c r="S15" s="66">
        <f>SUM(S3:S14)</f>
        <v>10695</v>
      </c>
      <c r="T15" s="66">
        <f t="shared" si="0"/>
        <v>1361051</v>
      </c>
      <c r="U15" s="66">
        <f>SUM(U3:U14)</f>
        <v>183150</v>
      </c>
      <c r="V15" s="66">
        <f>SUM(V3:V14)</f>
        <v>1199081</v>
      </c>
      <c r="W15" s="81">
        <f>SUM(W3:W14)</f>
        <v>109026.86380000005</v>
      </c>
      <c r="X15" s="81">
        <f>SUM(X3:X14)</f>
        <v>1491257.8637999999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82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82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82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82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82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82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82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82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82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82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82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82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82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82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82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82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82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82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82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82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82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82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82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82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82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82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82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82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82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82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82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82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82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82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82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82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82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82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82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82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82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82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82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82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82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82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82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82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82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82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82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82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82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82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82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82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82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82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82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82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82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82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82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82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82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82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82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82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82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82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82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82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82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82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82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82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82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82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82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82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82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82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82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82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82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82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82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82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82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82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82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82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82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82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82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82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82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82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82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82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82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82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82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82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82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82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82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82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82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82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82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82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82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82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82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82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82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82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82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82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82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82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82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82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82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82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82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82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82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82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82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82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82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82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82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82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82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82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82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82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82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82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82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82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82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82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82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82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82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82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82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82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82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82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82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82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82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82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82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82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82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82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82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82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82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82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82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82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82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82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82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82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82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82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82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82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82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82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82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82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82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82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82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82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82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82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82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82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82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82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82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82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82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82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82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82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82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82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82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82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82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82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82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82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82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82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82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82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82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82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82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82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82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82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82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82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82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82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82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82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82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82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82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82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82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82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82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82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82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82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82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82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82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82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82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82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82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82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82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82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82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82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82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82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82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82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82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82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82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82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82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82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82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82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82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82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82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82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82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82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82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82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82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82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82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82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82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82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82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82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82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82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82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82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82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82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82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82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82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82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82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82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82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82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82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82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82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82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82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82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82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82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82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82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82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82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82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82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82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82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82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82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82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82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82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82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82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82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82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82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82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82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82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82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82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82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82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82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82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82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82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82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82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82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82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82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82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82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82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82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82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82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82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82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82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82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82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82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82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82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82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82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82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82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82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82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82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82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82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82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82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82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82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82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82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82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82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82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82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82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82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82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82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82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82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82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82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82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82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82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82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82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82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82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82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82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82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82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82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82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82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82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82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82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82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82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82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82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82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82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82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82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82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82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82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82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82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82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82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82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82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82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82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82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82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82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82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82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82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82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82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82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82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82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82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82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82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82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82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82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82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82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82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82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82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82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82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82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82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82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82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82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82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82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82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82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82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82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82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82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82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82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82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82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82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82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82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82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82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82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82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82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82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82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82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82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82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82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82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82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82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82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82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82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82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82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82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82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82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82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82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82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82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82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82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82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82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82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82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82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82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82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82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82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82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82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82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82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82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82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82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82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82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82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82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82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82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82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82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82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82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82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82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82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82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82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82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82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82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82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82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82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82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82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82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82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82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82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82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82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82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82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82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82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82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82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82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82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82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82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82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82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82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82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82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82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82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82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82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82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82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82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82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82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82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82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82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82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82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82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82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82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82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82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82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82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82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82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82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82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82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82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82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82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82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82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82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82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82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82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82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82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82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82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82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82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82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82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82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82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82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82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82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82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82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82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82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82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82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82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82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82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82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82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82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82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82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82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82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82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82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82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82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82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82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82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82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82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82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82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82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82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82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82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82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82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82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82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82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82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82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82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82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82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82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82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82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82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82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82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82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82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82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82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82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82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82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82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82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82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82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82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82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82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82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82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82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82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82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82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82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82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82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82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82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82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82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82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82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82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82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82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82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82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82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82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82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82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82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82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82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82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82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82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82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82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82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82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82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82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82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82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82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82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82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82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82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82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82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82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82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82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82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82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82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82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82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82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82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82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82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82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82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82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82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82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82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82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82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82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82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82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82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82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82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82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82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82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82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82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82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82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82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82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82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82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82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82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82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82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82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82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82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82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82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82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82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82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82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82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82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82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82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82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82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82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82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82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82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82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82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82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82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82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82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82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82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82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82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82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82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82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82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82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82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82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82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82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82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82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82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82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82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82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82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82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82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82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82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82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82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82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82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82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82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82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82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82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82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82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82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82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82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82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82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82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82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82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82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82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82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82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82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82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82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82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82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82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82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82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82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82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82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82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82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82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82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82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82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82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82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82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82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82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82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82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82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82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82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82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82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82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82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82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82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82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82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82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82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82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82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82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82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82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82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82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82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82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82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82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82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82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82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82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82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82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82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82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82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82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82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82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82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82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82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82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82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82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82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82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82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82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82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82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82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82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82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82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82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82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82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82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82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82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82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82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82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82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82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82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82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82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82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82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82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82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82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82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82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82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82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82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82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82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82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82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82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82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82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82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82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82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82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82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82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82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82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82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82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82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82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82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82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82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82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82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82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82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82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82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82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82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82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82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82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82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82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82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82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82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82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82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82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82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82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82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82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82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82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82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82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82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82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82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82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82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82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82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82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82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82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82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82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82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82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82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82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82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82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82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82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82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82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82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82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82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82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82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82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82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82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82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82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82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82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82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M3" activePane="bottomRight" state="frozen"/>
      <selection pane="topRight" activeCell="B3" sqref="B3"/>
      <selection pane="bottomLeft" activeCell="B3" sqref="B3"/>
      <selection pane="bottomRight" activeCell="N5" sqref="N5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90" width="14.42578125" style="74" customWidth="1"/>
    <col min="91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418</v>
      </c>
      <c r="E1" s="110">
        <v>46113</v>
      </c>
      <c r="F1" s="88"/>
      <c r="G1" s="88"/>
      <c r="H1" s="89"/>
      <c r="I1" s="109">
        <v>46143</v>
      </c>
      <c r="J1" s="88"/>
      <c r="K1" s="88"/>
      <c r="L1" s="89"/>
      <c r="M1" s="108">
        <v>46174</v>
      </c>
      <c r="N1" s="88"/>
      <c r="O1" s="88"/>
      <c r="P1" s="89"/>
      <c r="Q1" s="108">
        <v>46204</v>
      </c>
      <c r="R1" s="88"/>
      <c r="S1" s="88"/>
      <c r="T1" s="89"/>
      <c r="U1" s="108">
        <v>46235</v>
      </c>
      <c r="V1" s="88"/>
      <c r="W1" s="88"/>
      <c r="X1" s="89"/>
      <c r="Y1" s="108">
        <v>46266</v>
      </c>
      <c r="Z1" s="88"/>
      <c r="AA1" s="88"/>
      <c r="AB1" s="89"/>
      <c r="AC1" s="108">
        <v>46296</v>
      </c>
      <c r="AD1" s="88"/>
      <c r="AE1" s="88"/>
      <c r="AF1" s="89"/>
      <c r="AG1" s="108">
        <v>46327</v>
      </c>
      <c r="AH1" s="88"/>
      <c r="AI1" s="88"/>
      <c r="AJ1" s="89"/>
      <c r="AK1" s="108">
        <v>46357</v>
      </c>
      <c r="AL1" s="88"/>
      <c r="AM1" s="88"/>
      <c r="AN1" s="89"/>
      <c r="AO1" s="108">
        <v>46388</v>
      </c>
      <c r="AP1" s="88"/>
      <c r="AQ1" s="88"/>
      <c r="AR1" s="89"/>
      <c r="AS1" s="108">
        <v>46419</v>
      </c>
      <c r="AT1" s="88"/>
      <c r="AU1" s="88"/>
      <c r="AV1" s="89"/>
      <c r="AW1" s="108">
        <v>46447</v>
      </c>
      <c r="AX1" s="88"/>
      <c r="AY1" s="88"/>
      <c r="AZ1" s="89"/>
      <c r="BA1" s="55" t="s">
        <v>419</v>
      </c>
      <c r="BB1" s="55" t="s">
        <v>420</v>
      </c>
      <c r="BC1" s="55" t="s">
        <v>421</v>
      </c>
      <c r="BD1" s="55" t="s">
        <v>422</v>
      </c>
      <c r="BE1" s="56" t="s">
        <v>423</v>
      </c>
    </row>
    <row r="2" spans="1:57" ht="15.75" customHeight="1" thickBot="1" x14ac:dyDescent="0.3">
      <c r="A2" s="14" t="s">
        <v>424</v>
      </c>
      <c r="B2" s="14" t="s">
        <v>425</v>
      </c>
      <c r="C2" s="14" t="s">
        <v>426</v>
      </c>
      <c r="D2" s="18"/>
      <c r="E2" s="18" t="s">
        <v>427</v>
      </c>
      <c r="F2" s="18" t="s">
        <v>428</v>
      </c>
      <c r="G2" s="18" t="s">
        <v>429</v>
      </c>
      <c r="H2" s="18" t="s">
        <v>430</v>
      </c>
      <c r="I2" s="18" t="s">
        <v>427</v>
      </c>
      <c r="J2" s="18" t="s">
        <v>428</v>
      </c>
      <c r="K2" s="18" t="s">
        <v>429</v>
      </c>
      <c r="L2" s="18" t="s">
        <v>430</v>
      </c>
      <c r="M2" s="18" t="s">
        <v>427</v>
      </c>
      <c r="N2" s="18" t="s">
        <v>428</v>
      </c>
      <c r="O2" s="18" t="s">
        <v>429</v>
      </c>
      <c r="P2" s="18" t="s">
        <v>430</v>
      </c>
      <c r="Q2" s="18" t="s">
        <v>427</v>
      </c>
      <c r="R2" s="18" t="s">
        <v>428</v>
      </c>
      <c r="S2" s="18" t="s">
        <v>429</v>
      </c>
      <c r="T2" s="18" t="s">
        <v>430</v>
      </c>
      <c r="U2" s="18" t="s">
        <v>427</v>
      </c>
      <c r="V2" s="18" t="s">
        <v>428</v>
      </c>
      <c r="W2" s="18" t="s">
        <v>429</v>
      </c>
      <c r="X2" s="18" t="s">
        <v>430</v>
      </c>
      <c r="Y2" s="18" t="s">
        <v>427</v>
      </c>
      <c r="Z2" s="18" t="s">
        <v>428</v>
      </c>
      <c r="AA2" s="18" t="s">
        <v>429</v>
      </c>
      <c r="AB2" s="18" t="s">
        <v>430</v>
      </c>
      <c r="AC2" s="18" t="s">
        <v>427</v>
      </c>
      <c r="AD2" s="18" t="s">
        <v>428</v>
      </c>
      <c r="AE2" s="18" t="s">
        <v>429</v>
      </c>
      <c r="AF2" s="18" t="s">
        <v>430</v>
      </c>
      <c r="AG2" s="18" t="s">
        <v>427</v>
      </c>
      <c r="AH2" s="18" t="s">
        <v>428</v>
      </c>
      <c r="AI2" s="18" t="s">
        <v>429</v>
      </c>
      <c r="AJ2" s="18" t="s">
        <v>430</v>
      </c>
      <c r="AK2" s="18" t="s">
        <v>427</v>
      </c>
      <c r="AL2" s="18" t="s">
        <v>428</v>
      </c>
      <c r="AM2" s="18" t="s">
        <v>429</v>
      </c>
      <c r="AN2" s="18" t="s">
        <v>430</v>
      </c>
      <c r="AO2" s="18" t="s">
        <v>427</v>
      </c>
      <c r="AP2" s="18" t="s">
        <v>428</v>
      </c>
      <c r="AQ2" s="18" t="s">
        <v>429</v>
      </c>
      <c r="AR2" s="18" t="s">
        <v>430</v>
      </c>
      <c r="AS2" s="18" t="s">
        <v>427</v>
      </c>
      <c r="AT2" s="18" t="s">
        <v>428</v>
      </c>
      <c r="AU2" s="18" t="s">
        <v>429</v>
      </c>
      <c r="AV2" s="18" t="s">
        <v>430</v>
      </c>
      <c r="AW2" s="18" t="s">
        <v>427</v>
      </c>
      <c r="AX2" s="18" t="s">
        <v>428</v>
      </c>
      <c r="AY2" s="18" t="s">
        <v>429</v>
      </c>
      <c r="AZ2" s="18" t="s">
        <v>430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7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0</v>
      </c>
      <c r="G3" s="10"/>
      <c r="H3" s="70">
        <f t="shared" ref="H3:H34" ca="1" si="0">E3-(F3+G3)</f>
        <v>9230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10856</v>
      </c>
      <c r="N3" s="70">
        <f ca="1">INDIRECT("'June"&amp;Members!$F$2&amp;"-EXPENSE'!R"&amp;ROW()+3)</f>
        <v>5902.6494032909122</v>
      </c>
      <c r="O3" s="10"/>
      <c r="P3" s="70">
        <f t="shared" ref="P3:P34" ca="1" si="2">M3-(N3+O3)</f>
        <v>4953.3505967090878</v>
      </c>
      <c r="Q3" s="70">
        <f ca="1">INDIRECT("'July"&amp;Members!$F$2&amp;"-COLLECTION'!K"&amp;ROW()-1)</f>
        <v>6005</v>
      </c>
      <c r="R3" s="70">
        <f ca="1">INDIRECT("'July"&amp;Members!$F$2&amp;"-EXPENSE'!R"&amp;ROW()+3)</f>
        <v>5950.3969893672656</v>
      </c>
      <c r="S3" s="11"/>
      <c r="T3" s="70">
        <f t="shared" ref="T3:T34" ca="1" si="3">Q3-(R3+S3)</f>
        <v>54.603010632734367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26091</v>
      </c>
      <c r="BB3" s="70">
        <f t="shared" ref="BB3:BB34" ca="1" si="13">SUM(F3,J3,N3,R3,V3,Z3,AD3,AH3,AL3,AP3,AT3,AX3)</f>
        <v>17418.86921129829</v>
      </c>
      <c r="BC3" s="70">
        <f t="shared" ref="BC3:BC34" si="14">SUM(G3,K3,O3,S3,W3,AA3,AE3,AI3,AM3,AQ3,AU3,AY3)</f>
        <v>0</v>
      </c>
      <c r="BD3" s="70">
        <f t="shared" ref="BD3:BD34" ca="1" si="15">BA3-(BB3+BC3)</f>
        <v>8672.1307887017101</v>
      </c>
      <c r="BE3" s="70">
        <f t="shared" ref="BE3:BE34" ca="1" si="16">BD3+D3</f>
        <v>-770.57544870540005</v>
      </c>
    </row>
    <row r="4" spans="1:57" ht="16.149999999999999" customHeight="1" x14ac:dyDescent="0.25">
      <c r="A4" s="52" t="s">
        <v>10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0</v>
      </c>
      <c r="G4" s="10"/>
      <c r="H4" s="72">
        <f t="shared" ca="1" si="0"/>
        <v>0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16500</v>
      </c>
      <c r="N4" s="72">
        <f ca="1">INDIRECT("'June"&amp;Members!$F$2&amp;"-EXPENSE'!R"&amp;ROW()+3)</f>
        <v>7489.0912716704788</v>
      </c>
      <c r="O4" s="10"/>
      <c r="P4" s="72">
        <f t="shared" ca="1" si="2"/>
        <v>9010.9087283295212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6180.9440916896492</v>
      </c>
      <c r="S4" s="11"/>
      <c r="T4" s="72">
        <f t="shared" ca="1" si="3"/>
        <v>-6180.9440916896492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16500</v>
      </c>
      <c r="BB4" s="72">
        <f t="shared" ca="1" si="13"/>
        <v>19810.470055065096</v>
      </c>
      <c r="BC4" s="72">
        <f t="shared" si="14"/>
        <v>0</v>
      </c>
      <c r="BD4" s="72">
        <f t="shared" ca="1" si="15"/>
        <v>-3310.4700550650959</v>
      </c>
      <c r="BE4" s="72">
        <f t="shared" ca="1" si="16"/>
        <v>-704.95208479432813</v>
      </c>
    </row>
    <row r="5" spans="1:57" ht="16.149999999999999" customHeight="1" x14ac:dyDescent="0.25">
      <c r="A5" s="68" t="s">
        <v>13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0</v>
      </c>
      <c r="G5" s="10"/>
      <c r="H5" s="70">
        <f t="shared" ca="1" si="0"/>
        <v>6000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6000</v>
      </c>
      <c r="N5" s="70">
        <f ca="1">INDIRECT("'June"&amp;Members!$F$2&amp;"-EXPENSE'!R"&amp;ROW()+3)</f>
        <v>7450.1761493784616</v>
      </c>
      <c r="O5" s="10"/>
      <c r="P5" s="70">
        <f t="shared" ca="1" si="2"/>
        <v>-1450.1761493784616</v>
      </c>
      <c r="Q5" s="70">
        <f ca="1">INDIRECT("'July"&amp;Members!$F$2&amp;"-COLLECTION'!K"&amp;ROW()-1)</f>
        <v>6000</v>
      </c>
      <c r="R5" s="70">
        <f ca="1">INDIRECT("'July"&amp;Members!$F$2&amp;"-EXPENSE'!R"&amp;ROW()+3)</f>
        <v>7584.5075866517309</v>
      </c>
      <c r="S5" s="11"/>
      <c r="T5" s="70">
        <f t="shared" ca="1" si="3"/>
        <v>-1584.5075866517309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24000</v>
      </c>
      <c r="BB5" s="70">
        <f t="shared" ca="1" si="13"/>
        <v>21873.557778172188</v>
      </c>
      <c r="BC5" s="70">
        <f t="shared" si="14"/>
        <v>0</v>
      </c>
      <c r="BD5" s="70">
        <f t="shared" ca="1" si="15"/>
        <v>2126.4422218278123</v>
      </c>
      <c r="BE5" s="70">
        <f t="shared" ca="1" si="16"/>
        <v>-4510.8165991876958</v>
      </c>
    </row>
    <row r="6" spans="1:57" ht="16.149999999999999" customHeight="1" x14ac:dyDescent="0.25">
      <c r="A6" s="52" t="s">
        <v>17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0</v>
      </c>
      <c r="G6" s="10"/>
      <c r="H6" s="72">
        <f t="shared" ca="1" si="0"/>
        <v>5989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6034.8370419240864</v>
      </c>
      <c r="O6" s="10"/>
      <c r="P6" s="72">
        <f t="shared" ca="1" si="2"/>
        <v>-6034.8370419240864</v>
      </c>
      <c r="Q6" s="72">
        <f ca="1">INDIRECT("'July"&amp;Members!$F$2&amp;"-COLLECTION'!K"&amp;ROW()-1)</f>
        <v>22489</v>
      </c>
      <c r="R6" s="72">
        <f ca="1">INDIRECT("'July"&amp;Members!$F$2&amp;"-EXPENSE'!R"&amp;ROW()+3)</f>
        <v>6993.6091399204706</v>
      </c>
      <c r="S6" s="11"/>
      <c r="T6" s="72">
        <f t="shared" ca="1" si="3"/>
        <v>15495.390860079529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28478</v>
      </c>
      <c r="BB6" s="72">
        <f t="shared" ca="1" si="13"/>
        <v>18812.698933526073</v>
      </c>
      <c r="BC6" s="72">
        <f t="shared" si="14"/>
        <v>0</v>
      </c>
      <c r="BD6" s="72">
        <f t="shared" ca="1" si="15"/>
        <v>9665.3010664739268</v>
      </c>
      <c r="BE6" s="72">
        <f t="shared" ca="1" si="16"/>
        <v>4030.0791845675994</v>
      </c>
    </row>
    <row r="7" spans="1:57" ht="16.149999999999999" customHeight="1" x14ac:dyDescent="0.25">
      <c r="A7" s="68" t="s">
        <v>20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0</v>
      </c>
      <c r="G7" s="10"/>
      <c r="H7" s="70">
        <f t="shared" ca="1" si="0"/>
        <v>0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5554.98</v>
      </c>
      <c r="N7" s="70">
        <f ca="1">INDIRECT("'June"&amp;Members!$F$2&amp;"-EXPENSE'!R"&amp;ROW()+3)</f>
        <v>6135.3018810479671</v>
      </c>
      <c r="O7" s="10"/>
      <c r="P7" s="70">
        <f t="shared" ca="1" si="2"/>
        <v>-580.32188104796751</v>
      </c>
      <c r="Q7" s="70">
        <f ca="1">INDIRECT("'July"&amp;Members!$F$2&amp;"-COLLECTION'!K"&amp;ROW()-1)</f>
        <v>11259.05</v>
      </c>
      <c r="R7" s="70">
        <f ca="1">INDIRECT("'July"&amp;Members!$F$2&amp;"-EXPENSE'!R"&amp;ROW()+3)</f>
        <v>5647.9547267080179</v>
      </c>
      <c r="S7" s="11"/>
      <c r="T7" s="70">
        <f t="shared" ca="1" si="3"/>
        <v>5611.0952732919814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22051.03</v>
      </c>
      <c r="BB7" s="70">
        <f t="shared" ca="1" si="13"/>
        <v>17365.820423463316</v>
      </c>
      <c r="BC7" s="70">
        <f t="shared" si="14"/>
        <v>0</v>
      </c>
      <c r="BD7" s="70">
        <f t="shared" ca="1" si="15"/>
        <v>4685.209576536683</v>
      </c>
      <c r="BE7" s="70">
        <f t="shared" ca="1" si="16"/>
        <v>-669.67458117260685</v>
      </c>
    </row>
    <row r="8" spans="1:57" ht="16.5" customHeight="1" x14ac:dyDescent="0.25">
      <c r="A8" s="52" t="s">
        <v>22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0</v>
      </c>
      <c r="G8" s="10"/>
      <c r="H8" s="72">
        <f t="shared" ca="1" si="0"/>
        <v>4867.34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7469</v>
      </c>
      <c r="N8" s="72">
        <f ca="1">INDIRECT("'June"&amp;Members!$F$2&amp;"-EXPENSE'!R"&amp;ROW()+3)</f>
        <v>6348.041698363676</v>
      </c>
      <c r="O8" s="10"/>
      <c r="P8" s="72">
        <f t="shared" ca="1" si="2"/>
        <v>1120.958301636324</v>
      </c>
      <c r="Q8" s="72">
        <f ca="1">INDIRECT("'July"&amp;Members!$F$2&amp;"-COLLECTION'!K"&amp;ROW()-1)</f>
        <v>6339.79</v>
      </c>
      <c r="R8" s="72">
        <f ca="1">INDIRECT("'July"&amp;Members!$F$2&amp;"-EXPENSE'!R"&amp;ROW()+3)</f>
        <v>6204.3360187354319</v>
      </c>
      <c r="S8" s="11"/>
      <c r="T8" s="72">
        <f t="shared" ca="1" si="3"/>
        <v>135.45398126456803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28118.84</v>
      </c>
      <c r="BB8" s="72">
        <f t="shared" ca="1" si="13"/>
        <v>18387.880568398381</v>
      </c>
      <c r="BC8" s="72">
        <f t="shared" si="14"/>
        <v>0</v>
      </c>
      <c r="BD8" s="72">
        <f t="shared" ca="1" si="15"/>
        <v>9730.9594316016191</v>
      </c>
      <c r="BE8" s="72">
        <f t="shared" ca="1" si="16"/>
        <v>-863.05731211100101</v>
      </c>
    </row>
    <row r="9" spans="1:57" ht="16.5" customHeight="1" x14ac:dyDescent="0.25">
      <c r="A9" s="68" t="s">
        <v>25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0</v>
      </c>
      <c r="G9" s="10"/>
      <c r="H9" s="70">
        <f t="shared" ca="1" si="0"/>
        <v>5384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5964.86</v>
      </c>
      <c r="N9" s="70">
        <f ca="1">INDIRECT("'June"&amp;Members!$F$2&amp;"-EXPENSE'!R"&amp;ROW()+3)</f>
        <v>6175.5463299281782</v>
      </c>
      <c r="O9" s="10"/>
      <c r="P9" s="70">
        <f t="shared" ca="1" si="2"/>
        <v>-210.68632992817857</v>
      </c>
      <c r="Q9" s="70">
        <f ca="1">INDIRECT("'July"&amp;Members!$F$2&amp;"-COLLECTION'!K"&amp;ROW()-1)</f>
        <v>6179.33</v>
      </c>
      <c r="R9" s="70">
        <f ca="1">INDIRECT("'July"&amp;Members!$F$2&amp;"-EXPENSE'!R"&amp;ROW()+3)</f>
        <v>6220.1095379740509</v>
      </c>
      <c r="S9" s="11"/>
      <c r="T9" s="70">
        <f t="shared" ca="1" si="3"/>
        <v>-40.779537974050982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24702.190000000002</v>
      </c>
      <c r="BB9" s="70">
        <f t="shared" ca="1" si="13"/>
        <v>18413.62675809209</v>
      </c>
      <c r="BC9" s="70">
        <f t="shared" si="14"/>
        <v>0</v>
      </c>
      <c r="BD9" s="70">
        <f t="shared" ca="1" si="15"/>
        <v>6288.563241907912</v>
      </c>
      <c r="BE9" s="70">
        <f t="shared" ca="1" si="16"/>
        <v>-885.19185167902469</v>
      </c>
    </row>
    <row r="10" spans="1:57" ht="16.149999999999999" customHeight="1" x14ac:dyDescent="0.25">
      <c r="A10" s="52" t="s">
        <v>28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0</v>
      </c>
      <c r="G10" s="10"/>
      <c r="H10" s="72">
        <f t="shared" ca="1" si="0"/>
        <v>6070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5333</v>
      </c>
      <c r="N10" s="72">
        <f ca="1">INDIRECT("'June"&amp;Members!$F$2&amp;"-EXPENSE'!R"&amp;ROW()+3)</f>
        <v>5519.6643469739993</v>
      </c>
      <c r="O10" s="10"/>
      <c r="P10" s="72">
        <f t="shared" ca="1" si="2"/>
        <v>-186.66434697399927</v>
      </c>
      <c r="Q10" s="72">
        <f ca="1">INDIRECT("'July"&amp;Members!$F$2&amp;"-COLLECTION'!K"&amp;ROW()-1)</f>
        <v>5903</v>
      </c>
      <c r="R10" s="72">
        <f ca="1">INDIRECT("'July"&amp;Members!$F$2&amp;"-EXPENSE'!R"&amp;ROW()+3)</f>
        <v>5468.000701744003</v>
      </c>
      <c r="S10" s="11"/>
      <c r="T10" s="72">
        <f t="shared" ca="1" si="3"/>
        <v>434.99929825599702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18227</v>
      </c>
      <c r="BB10" s="72">
        <f t="shared" ca="1" si="13"/>
        <v>16327.180393686675</v>
      </c>
      <c r="BC10" s="72">
        <f t="shared" si="14"/>
        <v>0</v>
      </c>
      <c r="BD10" s="72">
        <f t="shared" ca="1" si="15"/>
        <v>1899.8196063133255</v>
      </c>
      <c r="BE10" s="72">
        <f t="shared" ca="1" si="16"/>
        <v>-65.679680786921608</v>
      </c>
    </row>
    <row r="11" spans="1:57" ht="16.149999999999999" customHeight="1" x14ac:dyDescent="0.25">
      <c r="A11" s="68" t="s">
        <v>31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0</v>
      </c>
      <c r="G11" s="10"/>
      <c r="H11" s="70">
        <f t="shared" ca="1" si="0"/>
        <v>0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5538</v>
      </c>
      <c r="N11" s="70">
        <f ca="1">INDIRECT("'June"&amp;Members!$F$2&amp;"-EXPENSE'!R"&amp;ROW()+3)</f>
        <v>5732.9974115343693</v>
      </c>
      <c r="O11" s="10"/>
      <c r="P11" s="70">
        <f t="shared" ca="1" si="2"/>
        <v>-194.99741153436935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5788.7005529008984</v>
      </c>
      <c r="S11" s="11"/>
      <c r="T11" s="70">
        <f t="shared" ca="1" si="3"/>
        <v>-5788.7005529008984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15771</v>
      </c>
      <c r="BB11" s="70">
        <f t="shared" ca="1" si="13"/>
        <v>17073.644047370406</v>
      </c>
      <c r="BC11" s="70">
        <f t="shared" si="14"/>
        <v>0</v>
      </c>
      <c r="BD11" s="70">
        <f t="shared" ca="1" si="15"/>
        <v>-1302.644047370406</v>
      </c>
      <c r="BE11" s="70">
        <f t="shared" ca="1" si="16"/>
        <v>-1899.9016399948305</v>
      </c>
    </row>
    <row r="12" spans="1:57" ht="16.149999999999999" customHeight="1" x14ac:dyDescent="0.25">
      <c r="A12" s="52" t="s">
        <v>35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0</v>
      </c>
      <c r="G12" s="10"/>
      <c r="H12" s="72">
        <f t="shared" ca="1" si="0"/>
        <v>27822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6156.335629610674</v>
      </c>
      <c r="O12" s="10"/>
      <c r="P12" s="72">
        <f t="shared" ca="1" si="2"/>
        <v>-6156.335629610674</v>
      </c>
      <c r="Q12" s="72">
        <f ca="1">INDIRECT("'July"&amp;Members!$F$2&amp;"-COLLECTION'!K"&amp;ROW()-1)</f>
        <v>18604</v>
      </c>
      <c r="R12" s="72">
        <f ca="1">INDIRECT("'July"&amp;Members!$F$2&amp;"-EXPENSE'!R"&amp;ROW()+3)</f>
        <v>6253.1907247315212</v>
      </c>
      <c r="S12" s="11"/>
      <c r="T12" s="72">
        <f t="shared" ca="1" si="3"/>
        <v>12350.809275268479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46426</v>
      </c>
      <c r="BB12" s="72">
        <f t="shared" ca="1" si="13"/>
        <v>18639.030395698137</v>
      </c>
      <c r="BC12" s="72">
        <f t="shared" si="14"/>
        <v>0</v>
      </c>
      <c r="BD12" s="72">
        <f t="shared" ca="1" si="15"/>
        <v>27786.969604301863</v>
      </c>
      <c r="BE12" s="72">
        <f t="shared" ca="1" si="16"/>
        <v>-35.55599050699675</v>
      </c>
    </row>
    <row r="13" spans="1:57" ht="16.149999999999999" customHeight="1" x14ac:dyDescent="0.25">
      <c r="A13" s="68" t="s">
        <v>39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0</v>
      </c>
      <c r="G13" s="10"/>
      <c r="H13" s="70">
        <f t="shared" ca="1" si="0"/>
        <v>5549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4901</v>
      </c>
      <c r="N13" s="70">
        <f ca="1">INDIRECT("'June"&amp;Members!$F$2&amp;"-EXPENSE'!R"&amp;ROW()+3)</f>
        <v>5549.987111399425</v>
      </c>
      <c r="O13" s="10"/>
      <c r="P13" s="70">
        <f t="shared" ca="1" si="2"/>
        <v>-648.98711139942498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5577.132976648938</v>
      </c>
      <c r="S13" s="11"/>
      <c r="T13" s="70">
        <f t="shared" ca="1" si="3"/>
        <v>-5577.132976648938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10450</v>
      </c>
      <c r="BB13" s="70">
        <f t="shared" ca="1" si="13"/>
        <v>16469.797170961931</v>
      </c>
      <c r="BC13" s="70">
        <f t="shared" si="14"/>
        <v>0</v>
      </c>
      <c r="BD13" s="70">
        <f t="shared" ca="1" si="15"/>
        <v>-6019.7971709619305</v>
      </c>
      <c r="BE13" s="70">
        <f t="shared" ca="1" si="16"/>
        <v>-6579.7646309204065</v>
      </c>
    </row>
    <row r="14" spans="1:57" ht="16.149999999999999" customHeight="1" x14ac:dyDescent="0.25">
      <c r="A14" s="52" t="s">
        <v>40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0</v>
      </c>
      <c r="G14" s="10"/>
      <c r="H14" s="72">
        <f t="shared" ca="1" si="0"/>
        <v>5959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6197.4421940606353</v>
      </c>
      <c r="O14" s="10"/>
      <c r="P14" s="72">
        <f t="shared" ca="1" si="2"/>
        <v>-6197.4421940606353</v>
      </c>
      <c r="Q14" s="72">
        <f ca="1">INDIRECT("'July"&amp;Members!$F$2&amp;"-COLLECTION'!K"&amp;ROW()-1)</f>
        <v>4714.75</v>
      </c>
      <c r="R14" s="72">
        <f ca="1">INDIRECT("'July"&amp;Members!$F$2&amp;"-EXPENSE'!R"&amp;ROW()+3)</f>
        <v>5826.5028608520015</v>
      </c>
      <c r="S14" s="11"/>
      <c r="T14" s="72">
        <f t="shared" ca="1" si="3"/>
        <v>-1111.7528608520015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17210.16</v>
      </c>
      <c r="BB14" s="72">
        <f t="shared" ca="1" si="13"/>
        <v>17874.364823695534</v>
      </c>
      <c r="BC14" s="72">
        <f t="shared" si="14"/>
        <v>0</v>
      </c>
      <c r="BD14" s="72">
        <f t="shared" ca="1" si="15"/>
        <v>-664.20482369553429</v>
      </c>
      <c r="BE14" s="72">
        <f t="shared" ca="1" si="16"/>
        <v>-2020.5965966221443</v>
      </c>
    </row>
    <row r="15" spans="1:57" ht="16.149999999999999" customHeight="1" x14ac:dyDescent="0.25">
      <c r="A15" s="68" t="s">
        <v>44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0</v>
      </c>
      <c r="G15" s="10"/>
      <c r="H15" s="70">
        <f t="shared" ca="1" si="0"/>
        <v>4934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5694.5601045162239</v>
      </c>
      <c r="O15" s="10"/>
      <c r="P15" s="70">
        <f t="shared" ca="1" si="2"/>
        <v>-5694.5601045162239</v>
      </c>
      <c r="Q15" s="70">
        <f ca="1">INDIRECT("'July"&amp;Members!$F$2&amp;"-COLLECTION'!K"&amp;ROW()-1)</f>
        <v>11384.07</v>
      </c>
      <c r="R15" s="70">
        <f ca="1">INDIRECT("'July"&amp;Members!$F$2&amp;"-EXPENSE'!R"&amp;ROW()+3)</f>
        <v>6745.2936738324297</v>
      </c>
      <c r="S15" s="11"/>
      <c r="T15" s="70">
        <f t="shared" ca="1" si="3"/>
        <v>4638.77632616757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16318.07</v>
      </c>
      <c r="BB15" s="70">
        <f t="shared" ca="1" si="13"/>
        <v>17975.869566253721</v>
      </c>
      <c r="BC15" s="70">
        <f t="shared" si="14"/>
        <v>0</v>
      </c>
      <c r="BD15" s="70">
        <f t="shared" ca="1" si="15"/>
        <v>-1657.7995662537214</v>
      </c>
      <c r="BE15" s="70">
        <f t="shared" ca="1" si="16"/>
        <v>-2504.0804233961753</v>
      </c>
    </row>
    <row r="16" spans="1:57" ht="16.149999999999999" customHeight="1" x14ac:dyDescent="0.25">
      <c r="A16" s="52" t="s">
        <v>46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0</v>
      </c>
      <c r="G16" s="10"/>
      <c r="H16" s="72">
        <f t="shared" ca="1" si="0"/>
        <v>7000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5770</v>
      </c>
      <c r="N16" s="72">
        <f ca="1">INDIRECT("'June"&amp;Members!$F$2&amp;"-EXPENSE'!R"&amp;ROW()+3)</f>
        <v>6498.113361790015</v>
      </c>
      <c r="O16" s="10"/>
      <c r="P16" s="72">
        <f t="shared" ca="1" si="2"/>
        <v>-728.11336179001501</v>
      </c>
      <c r="Q16" s="72">
        <f ca="1">INDIRECT("'July"&amp;Members!$F$2&amp;"-COLLECTION'!K"&amp;ROW()-1)</f>
        <v>5600</v>
      </c>
      <c r="R16" s="72">
        <f ca="1">INDIRECT("'July"&amp;Members!$F$2&amp;"-EXPENSE'!R"&amp;ROW()+3)</f>
        <v>6571.2545306008578</v>
      </c>
      <c r="S16" s="11"/>
      <c r="T16" s="72">
        <f t="shared" ca="1" si="3"/>
        <v>-971.25453060085783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18370</v>
      </c>
      <c r="BB16" s="72">
        <f t="shared" ca="1" si="13"/>
        <v>18879.563109261304</v>
      </c>
      <c r="BC16" s="72">
        <f t="shared" si="14"/>
        <v>0</v>
      </c>
      <c r="BD16" s="72">
        <f t="shared" ca="1" si="15"/>
        <v>-509.56310926130391</v>
      </c>
      <c r="BE16" s="72">
        <f t="shared" ca="1" si="16"/>
        <v>-13383.821579617654</v>
      </c>
    </row>
    <row r="17" spans="1:57" ht="16.149999999999999" customHeight="1" x14ac:dyDescent="0.25">
      <c r="A17" s="68" t="s">
        <v>50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0</v>
      </c>
      <c r="G17" s="10"/>
      <c r="H17" s="70">
        <f t="shared" ca="1" si="0"/>
        <v>5764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6788.3070765854463</v>
      </c>
      <c r="O17" s="10"/>
      <c r="P17" s="70">
        <f t="shared" ca="1" si="2"/>
        <v>-6788.3070765854463</v>
      </c>
      <c r="Q17" s="70">
        <f ca="1">INDIRECT("'July"&amp;Members!$F$2&amp;"-COLLECTION'!K"&amp;ROW()-1)</f>
        <v>6511</v>
      </c>
      <c r="R17" s="70">
        <f ca="1">INDIRECT("'July"&amp;Members!$F$2&amp;"-EXPENSE'!R"&amp;ROW()+3)</f>
        <v>6580.174332091824</v>
      </c>
      <c r="S17" s="11"/>
      <c r="T17" s="70">
        <f t="shared" ca="1" si="3"/>
        <v>-69.174332091823999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18182</v>
      </c>
      <c r="BB17" s="70">
        <f t="shared" ca="1" si="13"/>
        <v>19914.732550508659</v>
      </c>
      <c r="BC17" s="70">
        <f t="shared" si="14"/>
        <v>0</v>
      </c>
      <c r="BD17" s="70">
        <f t="shared" ca="1" si="15"/>
        <v>-1732.7325505086592</v>
      </c>
      <c r="BE17" s="70">
        <f t="shared" ca="1" si="16"/>
        <v>-2155.1335428216516</v>
      </c>
    </row>
    <row r="18" spans="1:57" ht="16.149999999999999" customHeight="1" x14ac:dyDescent="0.25">
      <c r="A18" s="52" t="s">
        <v>54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0</v>
      </c>
      <c r="G18" s="10"/>
      <c r="H18" s="72">
        <f t="shared" ca="1" si="0"/>
        <v>25903.119999999999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7013.8078870071422</v>
      </c>
      <c r="O18" s="10"/>
      <c r="P18" s="72">
        <f t="shared" ca="1" si="2"/>
        <v>-7013.8078870071422</v>
      </c>
      <c r="Q18" s="72">
        <f ca="1">INDIRECT("'July"&amp;Members!$F$2&amp;"-COLLECTION'!K"&amp;ROW()-1)</f>
        <v>7247</v>
      </c>
      <c r="R18" s="72">
        <f ca="1">INDIRECT("'July"&amp;Members!$F$2&amp;"-EXPENSE'!R"&amp;ROW()+3)</f>
        <v>6555.8087237432728</v>
      </c>
      <c r="S18" s="11"/>
      <c r="T18" s="72">
        <f t="shared" ca="1" si="3"/>
        <v>691.19127625672718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39037.360000000001</v>
      </c>
      <c r="BB18" s="72">
        <f t="shared" ca="1" si="13"/>
        <v>20061.139550514417</v>
      </c>
      <c r="BC18" s="72">
        <f t="shared" si="14"/>
        <v>0</v>
      </c>
      <c r="BD18" s="72">
        <f t="shared" ca="1" si="15"/>
        <v>18976.220449485583</v>
      </c>
      <c r="BE18" s="72">
        <f t="shared" ca="1" si="16"/>
        <v>-37129.55722126997</v>
      </c>
    </row>
    <row r="19" spans="1:57" ht="16.149999999999999" customHeight="1" x14ac:dyDescent="0.25">
      <c r="A19" s="68" t="s">
        <v>57</v>
      </c>
      <c r="B19" s="69" t="str">
        <f>VLOOKUP(A19,Members!$A$2:$C$65,3,FALSE)</f>
        <v>er.digvijay.verma@gmail.com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0</v>
      </c>
      <c r="G19" s="10"/>
      <c r="H19" s="70">
        <f t="shared" ca="1" si="0"/>
        <v>0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6016</v>
      </c>
      <c r="N19" s="70">
        <f ca="1">INDIRECT("'June"&amp;Members!$F$2&amp;"-EXPENSE'!R"&amp;ROW()+3)</f>
        <v>10323.943423946339</v>
      </c>
      <c r="O19" s="10"/>
      <c r="P19" s="70">
        <f t="shared" ca="1" si="2"/>
        <v>-4307.943423946339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6611.8686201920236</v>
      </c>
      <c r="S19" s="11"/>
      <c r="T19" s="70">
        <f t="shared" ca="1" si="3"/>
        <v>-6611.8686201920236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6016</v>
      </c>
      <c r="BB19" s="70">
        <f t="shared" ca="1" si="13"/>
        <v>22750.804133897647</v>
      </c>
      <c r="BC19" s="70">
        <f t="shared" si="14"/>
        <v>0</v>
      </c>
      <c r="BD19" s="70">
        <f t="shared" ca="1" si="15"/>
        <v>-16734.804133897647</v>
      </c>
      <c r="BE19" s="70">
        <f t="shared" ca="1" si="16"/>
        <v>-18508.030422704833</v>
      </c>
    </row>
    <row r="20" spans="1:57" ht="16.149999999999999" customHeight="1" x14ac:dyDescent="0.25">
      <c r="A20" s="52" t="s">
        <v>60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0</v>
      </c>
      <c r="G20" s="10"/>
      <c r="H20" s="72">
        <f t="shared" ca="1" si="0"/>
        <v>6121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7164.78</v>
      </c>
      <c r="N20" s="72">
        <f ca="1">INDIRECT("'June"&amp;Members!$F$2&amp;"-EXPENSE'!R"&amp;ROW()+3)</f>
        <v>6960.0016677914</v>
      </c>
      <c r="O20" s="10"/>
      <c r="P20" s="72">
        <f t="shared" ca="1" si="2"/>
        <v>204.77833220859975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7165.0676657116055</v>
      </c>
      <c r="S20" s="11"/>
      <c r="T20" s="72">
        <f t="shared" ca="1" si="3"/>
        <v>-7165.0676657116055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13285.779999999999</v>
      </c>
      <c r="BB20" s="72">
        <f t="shared" ca="1" si="13"/>
        <v>20858.856846200728</v>
      </c>
      <c r="BC20" s="72">
        <f t="shared" si="14"/>
        <v>0</v>
      </c>
      <c r="BD20" s="72">
        <f t="shared" ca="1" si="15"/>
        <v>-7573.0768462007291</v>
      </c>
      <c r="BE20" s="72">
        <f t="shared" ca="1" si="16"/>
        <v>-7584.7942475427444</v>
      </c>
    </row>
    <row r="21" spans="1:57" ht="15.75" customHeight="1" x14ac:dyDescent="0.25">
      <c r="A21" s="68" t="s">
        <v>62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0</v>
      </c>
      <c r="G21" s="10"/>
      <c r="H21" s="70">
        <f t="shared" ca="1" si="0"/>
        <v>5796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6263</v>
      </c>
      <c r="N21" s="70">
        <f ca="1">INDIRECT("'June"&amp;Members!$F$2&amp;"-EXPENSE'!R"&amp;ROW()+3)</f>
        <v>6674.7114334789403</v>
      </c>
      <c r="O21" s="10"/>
      <c r="P21" s="70">
        <f t="shared" ca="1" si="2"/>
        <v>-411.71143347894031</v>
      </c>
      <c r="Q21" s="70">
        <f ca="1">INDIRECT("'July"&amp;Members!$F$2&amp;"-COLLECTION'!K"&amp;ROW()-1)</f>
        <v>7044</v>
      </c>
      <c r="R21" s="70">
        <f ca="1">INDIRECT("'July"&amp;Members!$F$2&amp;"-EXPENSE'!R"&amp;ROW()+3)</f>
        <v>6157.2196841016203</v>
      </c>
      <c r="S21" s="11"/>
      <c r="T21" s="70">
        <f t="shared" ca="1" si="3"/>
        <v>886.78031589837974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21203</v>
      </c>
      <c r="BB21" s="70">
        <f t="shared" ca="1" si="13"/>
        <v>19201.9971613093</v>
      </c>
      <c r="BC21" s="70">
        <f t="shared" si="14"/>
        <v>0</v>
      </c>
      <c r="BD21" s="70">
        <f t="shared" ca="1" si="15"/>
        <v>2001.0028386906997</v>
      </c>
      <c r="BE21" s="70">
        <f t="shared" ca="1" si="16"/>
        <v>161.56076161951182</v>
      </c>
    </row>
    <row r="22" spans="1:57" ht="15.75" customHeight="1" x14ac:dyDescent="0.25">
      <c r="A22" s="52" t="s">
        <v>65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0</v>
      </c>
      <c r="G22" s="10"/>
      <c r="H22" s="72">
        <f t="shared" ca="1" si="0"/>
        <v>5604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7011</v>
      </c>
      <c r="N22" s="72">
        <f ca="1">INDIRECT("'June"&amp;Members!$F$2&amp;"-EXPENSE'!R"&amp;ROW()+3)</f>
        <v>6396.4146536378375</v>
      </c>
      <c r="O22" s="10"/>
      <c r="P22" s="72">
        <f t="shared" ca="1" si="2"/>
        <v>614.58534636216245</v>
      </c>
      <c r="Q22" s="72">
        <f ca="1">INDIRECT("'July"&amp;Members!$F$2&amp;"-COLLECTION'!K"&amp;ROW()-1)</f>
        <v>7400</v>
      </c>
      <c r="R22" s="72">
        <f ca="1">INDIRECT("'July"&amp;Members!$F$2&amp;"-EXPENSE'!R"&amp;ROW()+3)</f>
        <v>6607.8076919216728</v>
      </c>
      <c r="S22" s="11"/>
      <c r="T22" s="72">
        <f t="shared" ca="1" si="3"/>
        <v>792.19230807832719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31607</v>
      </c>
      <c r="BB22" s="72">
        <f t="shared" ca="1" si="13"/>
        <v>20106.02804802313</v>
      </c>
      <c r="BC22" s="72">
        <f t="shared" si="14"/>
        <v>0</v>
      </c>
      <c r="BD22" s="72">
        <f t="shared" ca="1" si="15"/>
        <v>11500.97195197687</v>
      </c>
      <c r="BE22" s="72">
        <f t="shared" ca="1" si="16"/>
        <v>1992.7799213837279</v>
      </c>
    </row>
    <row r="23" spans="1:57" ht="15.75" customHeight="1" x14ac:dyDescent="0.25">
      <c r="A23" s="68" t="s">
        <v>68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0</v>
      </c>
      <c r="G23" s="10"/>
      <c r="H23" s="70">
        <f t="shared" ca="1" si="0"/>
        <v>0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7196.0541801960917</v>
      </c>
      <c r="O23" s="10"/>
      <c r="P23" s="70">
        <f t="shared" ca="1" si="2"/>
        <v>-7196.0541801960917</v>
      </c>
      <c r="Q23" s="70">
        <f ca="1">INDIRECT("'July"&amp;Members!$F$2&amp;"-COLLECTION'!K"&amp;ROW()-1)</f>
        <v>29212.36</v>
      </c>
      <c r="R23" s="70">
        <f ca="1">INDIRECT("'July"&amp;Members!$F$2&amp;"-EXPENSE'!R"&amp;ROW()+3)</f>
        <v>7078.157317637616</v>
      </c>
      <c r="S23" s="11"/>
      <c r="T23" s="70">
        <f t="shared" ca="1" si="3"/>
        <v>22134.202682362386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29212.36</v>
      </c>
      <c r="BB23" s="70">
        <f t="shared" ca="1" si="13"/>
        <v>20432.130549308986</v>
      </c>
      <c r="BC23" s="70">
        <f t="shared" si="14"/>
        <v>0</v>
      </c>
      <c r="BD23" s="70">
        <f t="shared" ca="1" si="15"/>
        <v>8780.2294506910148</v>
      </c>
      <c r="BE23" s="70">
        <f t="shared" ca="1" si="16"/>
        <v>-1855.6453642092147</v>
      </c>
    </row>
    <row r="24" spans="1:57" ht="15.75" customHeight="1" x14ac:dyDescent="0.25">
      <c r="A24" s="52" t="s">
        <v>70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0</v>
      </c>
      <c r="G24" s="10"/>
      <c r="H24" s="72">
        <f t="shared" ca="1" si="0"/>
        <v>5260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5510.0550202194627</v>
      </c>
      <c r="O24" s="10"/>
      <c r="P24" s="72">
        <f t="shared" ca="1" si="2"/>
        <v>-5510.0550202194627</v>
      </c>
      <c r="Q24" s="72">
        <f ca="1">INDIRECT("'July"&amp;Members!$F$2&amp;"-COLLECTION'!K"&amp;ROW()-1)</f>
        <v>3743</v>
      </c>
      <c r="R24" s="72">
        <f ca="1">INDIRECT("'July"&amp;Members!$F$2&amp;"-EXPENSE'!R"&amp;ROW()+3)</f>
        <v>6462.3771384638776</v>
      </c>
      <c r="S24" s="11"/>
      <c r="T24" s="72">
        <f t="shared" ca="1" si="3"/>
        <v>-2719.3771384638776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9003</v>
      </c>
      <c r="BB24" s="72">
        <f t="shared" ca="1" si="13"/>
        <v>17647.942962950339</v>
      </c>
      <c r="BC24" s="72">
        <f t="shared" si="14"/>
        <v>0</v>
      </c>
      <c r="BD24" s="72">
        <f t="shared" ca="1" si="15"/>
        <v>-8644.9429629503393</v>
      </c>
      <c r="BE24" s="72">
        <f t="shared" ca="1" si="16"/>
        <v>-19812.901312205719</v>
      </c>
    </row>
    <row r="25" spans="1:57" ht="15.75" customHeight="1" x14ac:dyDescent="0.25">
      <c r="A25" s="68" t="s">
        <v>73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0</v>
      </c>
      <c r="G25" s="10"/>
      <c r="H25" s="70">
        <f t="shared" ca="1" si="0"/>
        <v>10621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10563</v>
      </c>
      <c r="N25" s="70">
        <f ca="1">INDIRECT("'June"&amp;Members!$F$2&amp;"-EXPENSE'!R"&amp;ROW()+3)</f>
        <v>6193.7586188047298</v>
      </c>
      <c r="O25" s="10"/>
      <c r="P25" s="70">
        <f t="shared" ca="1" si="2"/>
        <v>4369.2413811952702</v>
      </c>
      <c r="Q25" s="70">
        <f ca="1">INDIRECT("'July"&amp;Members!$F$2&amp;"-COLLECTION'!K"&amp;ROW()-1)</f>
        <v>5693</v>
      </c>
      <c r="R25" s="70">
        <f ca="1">INDIRECT("'July"&amp;Members!$F$2&amp;"-EXPENSE'!R"&amp;ROW()+3)</f>
        <v>5696.6336963516042</v>
      </c>
      <c r="S25" s="11"/>
      <c r="T25" s="70">
        <f t="shared" ca="1" si="3"/>
        <v>-3.6336963516041578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26877</v>
      </c>
      <c r="BB25" s="70">
        <f t="shared" ca="1" si="13"/>
        <v>17717.099049352488</v>
      </c>
      <c r="BC25" s="70">
        <f t="shared" si="14"/>
        <v>0</v>
      </c>
      <c r="BD25" s="70">
        <f t="shared" ca="1" si="15"/>
        <v>9159.9009506475122</v>
      </c>
      <c r="BE25" s="70">
        <f t="shared" ca="1" si="16"/>
        <v>-1461.8062223071083</v>
      </c>
    </row>
    <row r="26" spans="1:57" ht="15.75" customHeight="1" x14ac:dyDescent="0.25">
      <c r="A26" s="52" t="s">
        <v>77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0</v>
      </c>
      <c r="G26" s="10"/>
      <c r="H26" s="72">
        <f t="shared" ca="1" si="0"/>
        <v>495.94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5533.9181816598948</v>
      </c>
      <c r="O26" s="10"/>
      <c r="P26" s="72">
        <f t="shared" ca="1" si="2"/>
        <v>-5533.9181816598948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6234.5626713661059</v>
      </c>
      <c r="S26" s="11"/>
      <c r="T26" s="72">
        <f t="shared" ca="1" si="3"/>
        <v>-6234.5626713661059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17763.083979116673</v>
      </c>
      <c r="BC26" s="72">
        <f t="shared" si="14"/>
        <v>0</v>
      </c>
      <c r="BD26" s="72">
        <f t="shared" ca="1" si="15"/>
        <v>-8320.8339791166727</v>
      </c>
      <c r="BE26" s="72">
        <f t="shared" ca="1" si="16"/>
        <v>-8139.6656444399341</v>
      </c>
    </row>
    <row r="27" spans="1:57" ht="15.75" customHeight="1" x14ac:dyDescent="0.25">
      <c r="A27" s="68" t="s">
        <v>80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0</v>
      </c>
      <c r="G27" s="10"/>
      <c r="H27" s="70">
        <f t="shared" ca="1" si="0"/>
        <v>5590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6465</v>
      </c>
      <c r="N27" s="70">
        <f ca="1">INDIRECT("'June"&amp;Members!$F$2&amp;"-EXPENSE'!R"&amp;ROW()+3)</f>
        <v>6679.5754926145064</v>
      </c>
      <c r="O27" s="10"/>
      <c r="P27" s="70">
        <f t="shared" ca="1" si="2"/>
        <v>-214.5754926145064</v>
      </c>
      <c r="Q27" s="70">
        <f ca="1">INDIRECT("'July"&amp;Members!$F$2&amp;"-COLLECTION'!K"&amp;ROW()-1)</f>
        <v>6702</v>
      </c>
      <c r="R27" s="70">
        <f ca="1">INDIRECT("'July"&amp;Members!$F$2&amp;"-EXPENSE'!R"&amp;ROW()+3)</f>
        <v>7382.8160914275486</v>
      </c>
      <c r="S27" s="11"/>
      <c r="T27" s="70">
        <f t="shared" ca="1" si="3"/>
        <v>-680.8160914275486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18757</v>
      </c>
      <c r="BB27" s="70">
        <f t="shared" ca="1" si="13"/>
        <v>20397.826919914689</v>
      </c>
      <c r="BC27" s="70">
        <f t="shared" si="14"/>
        <v>0</v>
      </c>
      <c r="BD27" s="70">
        <f t="shared" ca="1" si="15"/>
        <v>-1640.8269199146889</v>
      </c>
      <c r="BE27" s="70">
        <f t="shared" ca="1" si="16"/>
        <v>-2852.9256670182949</v>
      </c>
    </row>
    <row r="28" spans="1:57" ht="15.75" customHeight="1" x14ac:dyDescent="0.25">
      <c r="A28" s="52" t="s">
        <v>83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0</v>
      </c>
      <c r="G28" s="10"/>
      <c r="H28" s="72">
        <f t="shared" ca="1" si="0"/>
        <v>0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5452.43</v>
      </c>
      <c r="N28" s="72">
        <f ca="1">INDIRECT("'June"&amp;Members!$F$2&amp;"-EXPENSE'!R"&amp;ROW()+3)</f>
        <v>5757.9756504865027</v>
      </c>
      <c r="O28" s="10"/>
      <c r="P28" s="72">
        <f t="shared" ca="1" si="2"/>
        <v>-305.54565048650238</v>
      </c>
      <c r="Q28" s="72">
        <f ca="1">INDIRECT("'July"&amp;Members!$F$2&amp;"-COLLECTION'!K"&amp;ROW()-1)</f>
        <v>5775</v>
      </c>
      <c r="R28" s="72">
        <f ca="1">INDIRECT("'July"&amp;Members!$F$2&amp;"-EXPENSE'!R"&amp;ROW()+3)</f>
        <v>6057.9476370996654</v>
      </c>
      <c r="S28" s="11"/>
      <c r="T28" s="72">
        <f t="shared" ca="1" si="3"/>
        <v>-282.94763709966537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15667.43</v>
      </c>
      <c r="BB28" s="72">
        <f t="shared" ca="1" si="13"/>
        <v>17288.069485833177</v>
      </c>
      <c r="BC28" s="72">
        <f t="shared" si="14"/>
        <v>0</v>
      </c>
      <c r="BD28" s="72">
        <f t="shared" ca="1" si="15"/>
        <v>-1620.6394858331769</v>
      </c>
      <c r="BE28" s="72">
        <f t="shared" ca="1" si="16"/>
        <v>-1166.5782619420352</v>
      </c>
    </row>
    <row r="29" spans="1:57" ht="15.75" customHeight="1" x14ac:dyDescent="0.25">
      <c r="A29" s="68" t="s">
        <v>87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0</v>
      </c>
      <c r="G29" s="10"/>
      <c r="H29" s="70">
        <f t="shared" ca="1" si="0"/>
        <v>21576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10106</v>
      </c>
      <c r="N29" s="70">
        <f ca="1">INDIRECT("'June"&amp;Members!$F$2&amp;"-EXPENSE'!R"&amp;ROW()+3)</f>
        <v>5560.931066869869</v>
      </c>
      <c r="O29" s="10"/>
      <c r="P29" s="70">
        <f t="shared" ca="1" si="2"/>
        <v>4545.068933130131</v>
      </c>
      <c r="Q29" s="70">
        <f ca="1">INDIRECT("'July"&amp;Members!$F$2&amp;"-COLLECTION'!K"&amp;ROW()-1)</f>
        <v>5584</v>
      </c>
      <c r="R29" s="70">
        <f ca="1">INDIRECT("'July"&amp;Members!$F$2&amp;"-EXPENSE'!R"&amp;ROW()+3)</f>
        <v>5524.4120708977616</v>
      </c>
      <c r="S29" s="11"/>
      <c r="T29" s="70">
        <f t="shared" ca="1" si="3"/>
        <v>59.587929102238377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37266</v>
      </c>
      <c r="BB29" s="70">
        <f t="shared" ca="1" si="13"/>
        <v>16486.715048171125</v>
      </c>
      <c r="BC29" s="70">
        <f t="shared" si="14"/>
        <v>0</v>
      </c>
      <c r="BD29" s="70">
        <f t="shared" ca="1" si="15"/>
        <v>20779.284951828875</v>
      </c>
      <c r="BE29" s="70">
        <f t="shared" ca="1" si="16"/>
        <v>-796.71507519978331</v>
      </c>
    </row>
    <row r="30" spans="1:57" ht="15.75" customHeight="1" x14ac:dyDescent="0.25">
      <c r="A30" s="52" t="s">
        <v>91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0</v>
      </c>
      <c r="G30" s="10"/>
      <c r="H30" s="72">
        <f t="shared" ca="1" si="0"/>
        <v>4487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5689</v>
      </c>
      <c r="N30" s="72">
        <f ca="1">INDIRECT("'June"&amp;Members!$F$2&amp;"-EXPENSE'!R"&amp;ROW()+3)</f>
        <v>6836.3022677913996</v>
      </c>
      <c r="O30" s="10"/>
      <c r="P30" s="72">
        <f t="shared" ca="1" si="2"/>
        <v>-1147.3022677913996</v>
      </c>
      <c r="Q30" s="72">
        <f ca="1">INDIRECT("'July"&amp;Members!$F$2&amp;"-COLLECTION'!K"&amp;ROW()-1)</f>
        <v>6929</v>
      </c>
      <c r="R30" s="72">
        <f ca="1">INDIRECT("'July"&amp;Members!$F$2&amp;"-EXPENSE'!R"&amp;ROW()+3)</f>
        <v>7039.6109021865668</v>
      </c>
      <c r="S30" s="11"/>
      <c r="T30" s="72">
        <f t="shared" ca="1" si="3"/>
        <v>-110.61090218656682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23440</v>
      </c>
      <c r="BB30" s="72">
        <f t="shared" ca="1" si="13"/>
        <v>20047.816831594144</v>
      </c>
      <c r="BC30" s="72">
        <f t="shared" si="14"/>
        <v>0</v>
      </c>
      <c r="BD30" s="72">
        <f t="shared" ca="1" si="15"/>
        <v>3392.1831684058561</v>
      </c>
      <c r="BE30" s="72">
        <f t="shared" ca="1" si="16"/>
        <v>-1094.1204729083693</v>
      </c>
    </row>
    <row r="31" spans="1:57" ht="15.75" customHeight="1" x14ac:dyDescent="0.25">
      <c r="A31" s="68" t="s">
        <v>95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0</v>
      </c>
      <c r="G31" s="10"/>
      <c r="H31" s="70">
        <f t="shared" ca="1" si="0"/>
        <v>10677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16049.79</v>
      </c>
      <c r="N31" s="70">
        <f ca="1">INDIRECT("'June"&amp;Members!$F$2&amp;"-EXPENSE'!R"&amp;ROW()+3)</f>
        <v>6282.971212785671</v>
      </c>
      <c r="O31" s="10"/>
      <c r="P31" s="70">
        <f t="shared" ca="1" si="2"/>
        <v>9766.8187872143299</v>
      </c>
      <c r="Q31" s="70">
        <f ca="1">INDIRECT("'July"&amp;Members!$F$2&amp;"-COLLECTION'!K"&amp;ROW()-1)</f>
        <v>1062</v>
      </c>
      <c r="R31" s="70">
        <f ca="1">INDIRECT("'July"&amp;Members!$F$2&amp;"-EXPENSE'!R"&amp;ROW()+3)</f>
        <v>6261.7828138414534</v>
      </c>
      <c r="S31" s="11"/>
      <c r="T31" s="70">
        <f t="shared" ca="1" si="3"/>
        <v>-5199.7828138414534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27788.79</v>
      </c>
      <c r="BB31" s="70">
        <f t="shared" ca="1" si="13"/>
        <v>18528.642154957724</v>
      </c>
      <c r="BC31" s="70">
        <f t="shared" si="14"/>
        <v>0</v>
      </c>
      <c r="BD31" s="70">
        <f t="shared" ca="1" si="15"/>
        <v>9260.1478450422765</v>
      </c>
      <c r="BE31" s="70">
        <f t="shared" ca="1" si="16"/>
        <v>-6352.9707776212144</v>
      </c>
    </row>
    <row r="32" spans="1:57" ht="15.75" customHeight="1" x14ac:dyDescent="0.25">
      <c r="A32" s="52" t="s">
        <v>98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0</v>
      </c>
      <c r="G32" s="10"/>
      <c r="H32" s="72">
        <f t="shared" ca="1" si="0"/>
        <v>5970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6769.6302277543055</v>
      </c>
      <c r="O32" s="10"/>
      <c r="P32" s="72">
        <f t="shared" ca="1" si="2"/>
        <v>-6769.6302277543055</v>
      </c>
      <c r="Q32" s="72">
        <f ca="1">INDIRECT("'July"&amp;Members!$F$2&amp;"-COLLECTION'!K"&amp;ROW()-1)</f>
        <v>7044.65</v>
      </c>
      <c r="R32" s="72">
        <f ca="1">INDIRECT("'July"&amp;Members!$F$2&amp;"-EXPENSE'!R"&amp;ROW()+3)</f>
        <v>7185.277346249557</v>
      </c>
      <c r="S32" s="11"/>
      <c r="T32" s="72">
        <f t="shared" ca="1" si="3"/>
        <v>-140.62734624955738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19131.199999999997</v>
      </c>
      <c r="BB32" s="72">
        <f t="shared" ca="1" si="13"/>
        <v>20184.681630203166</v>
      </c>
      <c r="BC32" s="72">
        <f t="shared" si="14"/>
        <v>0</v>
      </c>
      <c r="BD32" s="72">
        <f t="shared" ca="1" si="15"/>
        <v>-1053.4816302031686</v>
      </c>
      <c r="BE32" s="72">
        <f t="shared" ca="1" si="16"/>
        <v>-3461.1110364726628</v>
      </c>
    </row>
    <row r="33" spans="1:57" ht="15.75" customHeight="1" x14ac:dyDescent="0.25">
      <c r="A33" s="68" t="s">
        <v>102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0</v>
      </c>
      <c r="G33" s="10"/>
      <c r="H33" s="70">
        <f t="shared" ca="1" si="0"/>
        <v>0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7441.8454151273409</v>
      </c>
      <c r="O33" s="10"/>
      <c r="P33" s="70">
        <f t="shared" ca="1" si="2"/>
        <v>-7441.8454151273409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6730.5318202221006</v>
      </c>
      <c r="S33" s="11"/>
      <c r="T33" s="70">
        <f t="shared" ca="1" si="3"/>
        <v>-6730.5318202221006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20153.508976753721</v>
      </c>
      <c r="BC33" s="70">
        <f t="shared" si="14"/>
        <v>0</v>
      </c>
      <c r="BD33" s="70">
        <f t="shared" ca="1" si="15"/>
        <v>-20153.508976753721</v>
      </c>
      <c r="BE33" s="70">
        <f t="shared" ca="1" si="16"/>
        <v>-39437.035169974763</v>
      </c>
    </row>
    <row r="34" spans="1:57" ht="15.75" customHeight="1" x14ac:dyDescent="0.25">
      <c r="A34" s="52" t="s">
        <v>105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0</v>
      </c>
      <c r="G34" s="10"/>
      <c r="H34" s="72">
        <f t="shared" ca="1" si="0"/>
        <v>4819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5003.6499999999996</v>
      </c>
      <c r="N34" s="72">
        <f ca="1">INDIRECT("'June"&amp;Members!$F$2&amp;"-EXPENSE'!R"&amp;ROW()+3)</f>
        <v>5901.0478488318231</v>
      </c>
      <c r="O34" s="10"/>
      <c r="P34" s="72">
        <f t="shared" ca="1" si="2"/>
        <v>-897.39784883182347</v>
      </c>
      <c r="Q34" s="72">
        <f ca="1">INDIRECT("'July"&amp;Members!$F$2&amp;"-COLLECTION'!K"&amp;ROW()-1)</f>
        <v>11443.06</v>
      </c>
      <c r="R34" s="72">
        <f ca="1">INDIRECT("'July"&amp;Members!$F$2&amp;"-EXPENSE'!R"&amp;ROW()+3)</f>
        <v>6120.1583058860533</v>
      </c>
      <c r="S34" s="11"/>
      <c r="T34" s="72">
        <f t="shared" ca="1" si="3"/>
        <v>5322.9016941139462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21265.71</v>
      </c>
      <c r="BB34" s="72">
        <f t="shared" ca="1" si="13"/>
        <v>17590.393386812175</v>
      </c>
      <c r="BC34" s="72">
        <f t="shared" si="14"/>
        <v>0</v>
      </c>
      <c r="BD34" s="72">
        <f t="shared" ca="1" si="15"/>
        <v>3675.3166131878243</v>
      </c>
      <c r="BE34" s="72">
        <f t="shared" ca="1" si="16"/>
        <v>-1315.0688702336865</v>
      </c>
    </row>
    <row r="35" spans="1:57" ht="15.75" customHeight="1" x14ac:dyDescent="0.25">
      <c r="A35" s="68" t="s">
        <v>109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0</v>
      </c>
      <c r="G35" s="10"/>
      <c r="H35" s="70">
        <f t="shared" ref="H35:H66" ca="1" si="17">E35-(F35+G35)</f>
        <v>4890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5454</v>
      </c>
      <c r="N35" s="70">
        <f ca="1">INDIRECT("'June"&amp;Members!$F$2&amp;"-EXPENSE'!R"&amp;ROW()+3)</f>
        <v>5626.8617254357168</v>
      </c>
      <c r="O35" s="10"/>
      <c r="P35" s="70">
        <f t="shared" ref="P35:P66" ca="1" si="19">M35-(N35+O35)</f>
        <v>-172.86172543571683</v>
      </c>
      <c r="Q35" s="70">
        <f ca="1">INDIRECT("'July"&amp;Members!$F$2&amp;"-COLLECTION'!K"&amp;ROW()-1)</f>
        <v>5470.93</v>
      </c>
      <c r="R35" s="70">
        <f ca="1">INDIRECT("'July"&amp;Members!$F$2&amp;"-EXPENSE'!R"&amp;ROW()+3)</f>
        <v>5462.2014021113737</v>
      </c>
      <c r="S35" s="11"/>
      <c r="T35" s="70">
        <f t="shared" ref="T35:T66" ca="1" si="20">Q35-(R35+S35)</f>
        <v>8.7285978886266093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20371.849999999999</v>
      </c>
      <c r="BB35" s="70">
        <f t="shared" ref="BB35:BB66" ca="1" si="30">SUM(F35,J35,N35,R35,V35,Z35,AD35,AH35,AL35,AP35,AT35,AX35)</f>
        <v>16559.993272738368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3811.856727261631</v>
      </c>
      <c r="BE35" s="70">
        <f t="shared" ref="BE35:BE66" ca="1" si="33">BD35+D35</f>
        <v>2826.881157102016</v>
      </c>
    </row>
    <row r="36" spans="1:57" ht="15.75" customHeight="1" x14ac:dyDescent="0.25">
      <c r="A36" s="52" t="s">
        <v>113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0</v>
      </c>
      <c r="G36" s="10"/>
      <c r="H36" s="72">
        <f t="shared" ca="1" si="17"/>
        <v>5635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7522.88</v>
      </c>
      <c r="N36" s="72">
        <f ca="1">INDIRECT("'June"&amp;Members!$F$2&amp;"-EXPENSE'!R"&amp;ROW()+3)</f>
        <v>7101.7392374208121</v>
      </c>
      <c r="O36" s="10"/>
      <c r="P36" s="72">
        <f t="shared" ca="1" si="19"/>
        <v>421.14076257918805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5586.2522748163819</v>
      </c>
      <c r="S36" s="11"/>
      <c r="T36" s="72">
        <f t="shared" ca="1" si="20"/>
        <v>-5586.2522748163819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20105.88</v>
      </c>
      <c r="BB36" s="72">
        <f t="shared" ca="1" si="30"/>
        <v>20681.934271486545</v>
      </c>
      <c r="BC36" s="72">
        <f t="shared" si="31"/>
        <v>0</v>
      </c>
      <c r="BD36" s="72">
        <f t="shared" ca="1" si="32"/>
        <v>-576.05427148654417</v>
      </c>
      <c r="BE36" s="72">
        <f t="shared" ca="1" si="33"/>
        <v>-7331.6865592759277</v>
      </c>
    </row>
    <row r="37" spans="1:57" ht="15.75" customHeight="1" x14ac:dyDescent="0.25">
      <c r="A37" s="68" t="s">
        <v>116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0</v>
      </c>
      <c r="G37" s="10"/>
      <c r="H37" s="70">
        <f t="shared" ca="1" si="17"/>
        <v>5092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6471.3140171745854</v>
      </c>
      <c r="O37" s="10"/>
      <c r="P37" s="70">
        <f t="shared" ca="1" si="19"/>
        <v>-6471.3140171745854</v>
      </c>
      <c r="Q37" s="70">
        <f ca="1">INDIRECT("'July"&amp;Members!$F$2&amp;"-COLLECTION'!K"&amp;ROW()-1)</f>
        <v>13500</v>
      </c>
      <c r="R37" s="70">
        <f ca="1">INDIRECT("'July"&amp;Members!$F$2&amp;"-EXPENSE'!R"&amp;ROW()+3)</f>
        <v>7616.7702458993735</v>
      </c>
      <c r="S37" s="11"/>
      <c r="T37" s="70">
        <f t="shared" ca="1" si="20"/>
        <v>5883.2297541006265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18592</v>
      </c>
      <c r="BB37" s="70">
        <f t="shared" ca="1" si="30"/>
        <v>20954.786374763022</v>
      </c>
      <c r="BC37" s="70">
        <f t="shared" si="31"/>
        <v>0</v>
      </c>
      <c r="BD37" s="70">
        <f t="shared" ca="1" si="32"/>
        <v>-2362.7863747630217</v>
      </c>
      <c r="BE37" s="70">
        <f t="shared" ca="1" si="33"/>
        <v>-2771.6866370539101</v>
      </c>
    </row>
    <row r="38" spans="1:57" ht="15.75" customHeight="1" x14ac:dyDescent="0.25">
      <c r="A38" s="52" t="s">
        <v>118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0</v>
      </c>
      <c r="G38" s="10"/>
      <c r="H38" s="72">
        <f t="shared" ca="1" si="17"/>
        <v>0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6223.8144574869748</v>
      </c>
      <c r="O38" s="10"/>
      <c r="P38" s="72">
        <f t="shared" ca="1" si="19"/>
        <v>-6223.8144574869748</v>
      </c>
      <c r="Q38" s="72">
        <f ca="1">INDIRECT("'July"&amp;Members!$F$2&amp;"-COLLECTION'!K"&amp;ROW()-1)</f>
        <v>36000</v>
      </c>
      <c r="R38" s="72">
        <f ca="1">INDIRECT("'July"&amp;Members!$F$2&amp;"-EXPENSE'!R"&amp;ROW()+3)</f>
        <v>6911.3233648587047</v>
      </c>
      <c r="S38" s="11"/>
      <c r="T38" s="72">
        <f t="shared" ca="1" si="20"/>
        <v>29088.676635141295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47000</v>
      </c>
      <c r="BB38" s="72">
        <f t="shared" ca="1" si="30"/>
        <v>18779.233922672975</v>
      </c>
      <c r="BC38" s="72">
        <f t="shared" si="31"/>
        <v>0</v>
      </c>
      <c r="BD38" s="72">
        <f t="shared" ca="1" si="32"/>
        <v>28220.766077327025</v>
      </c>
      <c r="BE38" s="72">
        <f t="shared" ca="1" si="33"/>
        <v>4625.0179157302664</v>
      </c>
    </row>
    <row r="39" spans="1:57" ht="15.75" customHeight="1" x14ac:dyDescent="0.25">
      <c r="A39" s="68" t="s">
        <v>121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0</v>
      </c>
      <c r="G39" s="10"/>
      <c r="H39" s="70">
        <f t="shared" ca="1" si="17"/>
        <v>34349.740000000005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5522.63</v>
      </c>
      <c r="N39" s="70">
        <f ca="1">INDIRECT("'June"&amp;Members!$F$2&amp;"-EXPENSE'!R"&amp;ROW()+3)</f>
        <v>6272.1280170028385</v>
      </c>
      <c r="O39" s="10"/>
      <c r="P39" s="70">
        <f t="shared" ca="1" si="19"/>
        <v>-749.49801700283842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5831.2477423696073</v>
      </c>
      <c r="S39" s="11"/>
      <c r="T39" s="70">
        <f t="shared" ca="1" si="20"/>
        <v>-5831.2477423696073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44236.160000000003</v>
      </c>
      <c r="BB39" s="70">
        <f t="shared" ca="1" si="30"/>
        <v>17436.689233756893</v>
      </c>
      <c r="BC39" s="70">
        <f t="shared" si="31"/>
        <v>0</v>
      </c>
      <c r="BD39" s="70">
        <f t="shared" ca="1" si="32"/>
        <v>26799.47076624311</v>
      </c>
      <c r="BE39" s="70">
        <f t="shared" ca="1" si="33"/>
        <v>-7261.0584233476184</v>
      </c>
    </row>
    <row r="40" spans="1:57" ht="15.75" customHeight="1" x14ac:dyDescent="0.25">
      <c r="A40" s="52" t="s">
        <v>125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0</v>
      </c>
      <c r="G40" s="10"/>
      <c r="H40" s="72">
        <f t="shared" ca="1" si="17"/>
        <v>40781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6313.0210408582552</v>
      </c>
      <c r="O40" s="10"/>
      <c r="P40" s="72">
        <f t="shared" ca="1" si="19"/>
        <v>-6313.0210408582552</v>
      </c>
      <c r="Q40" s="72">
        <f ca="1">INDIRECT("'July"&amp;Members!$F$2&amp;"-COLLECTION'!K"&amp;ROW()-1)</f>
        <v>15506</v>
      </c>
      <c r="R40" s="72">
        <f ca="1">INDIRECT("'July"&amp;Members!$F$2&amp;"-EXPENSE'!R"&amp;ROW()+3)</f>
        <v>5489.9677458069937</v>
      </c>
      <c r="S40" s="11"/>
      <c r="T40" s="72">
        <f t="shared" ca="1" si="20"/>
        <v>10016.032254193007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56287</v>
      </c>
      <c r="BB40" s="72">
        <f t="shared" ca="1" si="30"/>
        <v>17312.102997806462</v>
      </c>
      <c r="BC40" s="72">
        <f t="shared" si="31"/>
        <v>0</v>
      </c>
      <c r="BD40" s="72">
        <f t="shared" ca="1" si="32"/>
        <v>38974.897002193538</v>
      </c>
      <c r="BE40" s="72">
        <f t="shared" ca="1" si="33"/>
        <v>-1807.1580849540551</v>
      </c>
    </row>
    <row r="41" spans="1:57" ht="15.75" customHeight="1" x14ac:dyDescent="0.25">
      <c r="A41" s="68" t="s">
        <v>128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0</v>
      </c>
      <c r="G41" s="10"/>
      <c r="H41" s="70">
        <f t="shared" ca="1" si="17"/>
        <v>4936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5596.3</v>
      </c>
      <c r="N41" s="70">
        <f ca="1">INDIRECT("'June"&amp;Members!$F$2&amp;"-EXPENSE'!R"&amp;ROW()+3)</f>
        <v>5613.1417422361837</v>
      </c>
      <c r="O41" s="10"/>
      <c r="P41" s="70">
        <f t="shared" ca="1" si="19"/>
        <v>-16.841742236183563</v>
      </c>
      <c r="Q41" s="70">
        <f ca="1">INDIRECT("'July"&amp;Members!$F$2&amp;"-COLLECTION'!K"&amp;ROW()-1)</f>
        <v>5941.27</v>
      </c>
      <c r="R41" s="70">
        <f ca="1">INDIRECT("'July"&amp;Members!$F$2&amp;"-EXPENSE'!R"&amp;ROW()+3)</f>
        <v>5835.4654148297013</v>
      </c>
      <c r="S41" s="11"/>
      <c r="T41" s="70">
        <f t="shared" ca="1" si="20"/>
        <v>105.80458517029911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21541.27</v>
      </c>
      <c r="BB41" s="70">
        <f t="shared" ca="1" si="30"/>
        <v>17076.448681548249</v>
      </c>
      <c r="BC41" s="70">
        <f t="shared" si="31"/>
        <v>0</v>
      </c>
      <c r="BD41" s="70">
        <f t="shared" ca="1" si="32"/>
        <v>4464.8213184517517</v>
      </c>
      <c r="BE41" s="70">
        <f t="shared" ca="1" si="33"/>
        <v>3811.447896749778</v>
      </c>
    </row>
    <row r="42" spans="1:57" ht="15.75" customHeight="1" x14ac:dyDescent="0.25">
      <c r="A42" s="52" t="s">
        <v>132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0</v>
      </c>
      <c r="G42" s="10"/>
      <c r="H42" s="72">
        <f t="shared" ca="1" si="17"/>
        <v>2028.67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12721.85</v>
      </c>
      <c r="N42" s="72">
        <f ca="1">INDIRECT("'June"&amp;Members!$F$2&amp;"-EXPENSE'!R"&amp;ROW()+3)</f>
        <v>6457.9617194058465</v>
      </c>
      <c r="O42" s="10"/>
      <c r="P42" s="72">
        <f t="shared" ca="1" si="19"/>
        <v>6263.8882805941539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6432.4418042855204</v>
      </c>
      <c r="S42" s="11"/>
      <c r="T42" s="72">
        <f t="shared" ca="1" si="20"/>
        <v>-6432.4418042855204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14750.52</v>
      </c>
      <c r="BB42" s="72">
        <f t="shared" ca="1" si="30"/>
        <v>19043.823178860443</v>
      </c>
      <c r="BC42" s="72">
        <f t="shared" si="31"/>
        <v>0</v>
      </c>
      <c r="BD42" s="72">
        <f t="shared" ca="1" si="32"/>
        <v>-4293.3031788604421</v>
      </c>
      <c r="BE42" s="72">
        <f t="shared" ca="1" si="33"/>
        <v>-7321.9776166012452</v>
      </c>
    </row>
    <row r="43" spans="1:57" ht="15.75" customHeight="1" x14ac:dyDescent="0.25">
      <c r="A43" s="68" t="s">
        <v>135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0</v>
      </c>
      <c r="G43" s="10"/>
      <c r="H43" s="70">
        <f t="shared" ca="1" si="17"/>
        <v>0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5486.89</v>
      </c>
      <c r="N43" s="70">
        <f ca="1">INDIRECT("'June"&amp;Members!$F$2&amp;"-EXPENSE'!R"&amp;ROW()+3)</f>
        <v>6551.4345210222673</v>
      </c>
      <c r="O43" s="10"/>
      <c r="P43" s="70">
        <f t="shared" ca="1" si="19"/>
        <v>-1064.544521022267</v>
      </c>
      <c r="Q43" s="70">
        <f ca="1">INDIRECT("'July"&amp;Members!$F$2&amp;"-COLLECTION'!K"&amp;ROW()-1)</f>
        <v>7663.64</v>
      </c>
      <c r="R43" s="70">
        <f ca="1">INDIRECT("'July"&amp;Members!$F$2&amp;"-EXPENSE'!R"&amp;ROW()+3)</f>
        <v>5594.5118833840661</v>
      </c>
      <c r="S43" s="11"/>
      <c r="T43" s="70">
        <f t="shared" ca="1" si="20"/>
        <v>2069.1281166159342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13150.53</v>
      </c>
      <c r="BB43" s="70">
        <f t="shared" ca="1" si="30"/>
        <v>17631.050104378155</v>
      </c>
      <c r="BC43" s="70">
        <f t="shared" si="31"/>
        <v>0</v>
      </c>
      <c r="BD43" s="70">
        <f t="shared" ca="1" si="32"/>
        <v>-4480.5201043781544</v>
      </c>
      <c r="BE43" s="70">
        <f t="shared" ca="1" si="33"/>
        <v>1431.6947189661023</v>
      </c>
    </row>
    <row r="44" spans="1:57" ht="15.75" customHeight="1" x14ac:dyDescent="0.25">
      <c r="A44" s="52" t="s">
        <v>139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0</v>
      </c>
      <c r="G44" s="10">
        <v>1000</v>
      </c>
      <c r="H44" s="72">
        <f t="shared" ca="1" si="17"/>
        <v>-1000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5469.4289221072277</v>
      </c>
      <c r="O44" s="10"/>
      <c r="P44" s="72">
        <f t="shared" ca="1" si="19"/>
        <v>-5469.4289221072277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5466.2433382189638</v>
      </c>
      <c r="S44" s="11"/>
      <c r="T44" s="72">
        <f t="shared" ca="1" si="20"/>
        <v>-5466.2433382189638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16304.129668021247</v>
      </c>
      <c r="BC44" s="72">
        <f t="shared" si="31"/>
        <v>1000</v>
      </c>
      <c r="BD44" s="72">
        <f t="shared" ca="1" si="32"/>
        <v>-9304.1296680212472</v>
      </c>
      <c r="BE44" s="72">
        <f t="shared" ca="1" si="33"/>
        <v>-71166.63395593391</v>
      </c>
    </row>
    <row r="45" spans="1:57" ht="15.75" customHeight="1" x14ac:dyDescent="0.25">
      <c r="A45" s="68" t="s">
        <v>141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0</v>
      </c>
      <c r="G45" s="10"/>
      <c r="H45" s="70">
        <f t="shared" ca="1" si="17"/>
        <v>5150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5779</v>
      </c>
      <c r="N45" s="70">
        <f ca="1">INDIRECT("'June"&amp;Members!$F$2&amp;"-EXPENSE'!R"&amp;ROW()+3)</f>
        <v>5955.9811667785898</v>
      </c>
      <c r="O45" s="10"/>
      <c r="P45" s="70">
        <f t="shared" ca="1" si="19"/>
        <v>-176.9811667785898</v>
      </c>
      <c r="Q45" s="70">
        <f ca="1">INDIRECT("'July"&amp;Members!$F$2&amp;"-COLLECTION'!K"&amp;ROW()-1)</f>
        <v>5734</v>
      </c>
      <c r="R45" s="70">
        <f ca="1">INDIRECT("'July"&amp;Members!$F$2&amp;"-EXPENSE'!R"&amp;ROW()+3)</f>
        <v>5969.7279881426975</v>
      </c>
      <c r="S45" s="11"/>
      <c r="T45" s="70">
        <f t="shared" ca="1" si="20"/>
        <v>-235.72798814269754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21655</v>
      </c>
      <c r="BB45" s="70">
        <f t="shared" ca="1" si="30"/>
        <v>17754.402109108469</v>
      </c>
      <c r="BC45" s="70">
        <f t="shared" si="31"/>
        <v>0</v>
      </c>
      <c r="BD45" s="70">
        <f t="shared" ca="1" si="32"/>
        <v>3900.5978908915313</v>
      </c>
      <c r="BE45" s="70">
        <f t="shared" ca="1" si="33"/>
        <v>-1417.5717322939854</v>
      </c>
    </row>
    <row r="46" spans="1:57" ht="15.75" customHeight="1" x14ac:dyDescent="0.25">
      <c r="A46" s="52" t="s">
        <v>144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0</v>
      </c>
      <c r="G46" s="10"/>
      <c r="H46" s="72">
        <f t="shared" ca="1" si="17"/>
        <v>0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5403.25</v>
      </c>
      <c r="N46" s="72">
        <f ca="1">INDIRECT("'June"&amp;Members!$F$2&amp;"-EXPENSE'!R"&amp;ROW()+3)</f>
        <v>6511.6671789339771</v>
      </c>
      <c r="O46" s="10"/>
      <c r="P46" s="72">
        <f t="shared" ca="1" si="19"/>
        <v>-1108.4171789339771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6476.0244197064931</v>
      </c>
      <c r="S46" s="11"/>
      <c r="T46" s="72">
        <f t="shared" ca="1" si="20"/>
        <v>-6476.0244197064931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21526.47</v>
      </c>
      <c r="BB46" s="72">
        <f t="shared" ca="1" si="30"/>
        <v>18945.691527753657</v>
      </c>
      <c r="BC46" s="72">
        <f t="shared" si="31"/>
        <v>0</v>
      </c>
      <c r="BD46" s="72">
        <f t="shared" ca="1" si="32"/>
        <v>2580.7784722463439</v>
      </c>
      <c r="BE46" s="72">
        <f t="shared" ca="1" si="33"/>
        <v>-8720.7795770414068</v>
      </c>
    </row>
    <row r="47" spans="1:57" ht="15.75" customHeight="1" x14ac:dyDescent="0.25">
      <c r="A47" s="68" t="s">
        <v>147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0</v>
      </c>
      <c r="G47" s="10"/>
      <c r="H47" s="70">
        <f t="shared" ca="1" si="17"/>
        <v>4739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5545.5621546722723</v>
      </c>
      <c r="O47" s="10"/>
      <c r="P47" s="70">
        <f t="shared" ca="1" si="19"/>
        <v>-5545.5621546722723</v>
      </c>
      <c r="Q47" s="70">
        <f ca="1">INDIRECT("'July"&amp;Members!$F$2&amp;"-COLLECTION'!K"&amp;ROW()-1)</f>
        <v>10939.29</v>
      </c>
      <c r="R47" s="70">
        <f ca="1">INDIRECT("'July"&amp;Members!$F$2&amp;"-EXPENSE'!R"&amp;ROW()+3)</f>
        <v>6749.8628189975316</v>
      </c>
      <c r="S47" s="11"/>
      <c r="T47" s="70">
        <f t="shared" ca="1" si="20"/>
        <v>4189.4271810024693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15678.29</v>
      </c>
      <c r="BB47" s="70">
        <f t="shared" ca="1" si="30"/>
        <v>17686.973658554092</v>
      </c>
      <c r="BC47" s="70">
        <f t="shared" si="31"/>
        <v>0</v>
      </c>
      <c r="BD47" s="70">
        <f t="shared" ca="1" si="32"/>
        <v>-2008.6836585540914</v>
      </c>
      <c r="BE47" s="70">
        <f t="shared" ca="1" si="33"/>
        <v>-2724.1672565077861</v>
      </c>
    </row>
    <row r="48" spans="1:57" ht="15.75" customHeight="1" x14ac:dyDescent="0.25">
      <c r="A48" s="52" t="s">
        <v>149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0</v>
      </c>
      <c r="G48" s="10"/>
      <c r="H48" s="72">
        <f t="shared" ca="1" si="17"/>
        <v>0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7409.6007853510073</v>
      </c>
      <c r="O48" s="10"/>
      <c r="P48" s="72">
        <f t="shared" ca="1" si="19"/>
        <v>-7409.6007853510073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7205.0199719826869</v>
      </c>
      <c r="S48" s="11"/>
      <c r="T48" s="72">
        <f t="shared" ca="1" si="20"/>
        <v>-7205.0199719826869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20713.061083514105</v>
      </c>
      <c r="BC48" s="72">
        <f t="shared" si="31"/>
        <v>0</v>
      </c>
      <c r="BD48" s="72">
        <f t="shared" ca="1" si="32"/>
        <v>-20713.061083514105</v>
      </c>
      <c r="BE48" s="72">
        <f t="shared" ca="1" si="33"/>
        <v>-23613.547398755902</v>
      </c>
    </row>
    <row r="49" spans="1:57" ht="15.75" customHeight="1" x14ac:dyDescent="0.25">
      <c r="A49" s="68" t="s">
        <v>153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0</v>
      </c>
      <c r="G49" s="10"/>
      <c r="H49" s="70">
        <f t="shared" ca="1" si="17"/>
        <v>16641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19134</v>
      </c>
      <c r="N49" s="70">
        <f ca="1">INDIRECT("'June"&amp;Members!$F$2&amp;"-EXPENSE'!R"&amp;ROW()+3)</f>
        <v>7151.1738850580386</v>
      </c>
      <c r="O49" s="10"/>
      <c r="P49" s="70">
        <f t="shared" ca="1" si="19"/>
        <v>11982.826114941961</v>
      </c>
      <c r="Q49" s="70">
        <f ca="1">INDIRECT("'July"&amp;Members!$F$2&amp;"-COLLECTION'!K"&amp;ROW()-1)</f>
        <v>7526</v>
      </c>
      <c r="R49" s="70">
        <f ca="1">INDIRECT("'July"&amp;Members!$F$2&amp;"-EXPENSE'!R"&amp;ROW()+3)</f>
        <v>5991.3245673379188</v>
      </c>
      <c r="S49" s="11"/>
      <c r="T49" s="70">
        <f t="shared" ca="1" si="20"/>
        <v>1534.6754326620812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43301</v>
      </c>
      <c r="BB49" s="70">
        <f t="shared" ca="1" si="30"/>
        <v>19828.900431022048</v>
      </c>
      <c r="BC49" s="70">
        <f t="shared" si="31"/>
        <v>0</v>
      </c>
      <c r="BD49" s="70">
        <f t="shared" ca="1" si="32"/>
        <v>23472.099568977952</v>
      </c>
      <c r="BE49" s="70">
        <f t="shared" ca="1" si="33"/>
        <v>734.04501118738335</v>
      </c>
    </row>
    <row r="50" spans="1:57" ht="15.75" customHeight="1" x14ac:dyDescent="0.25">
      <c r="A50" s="52" t="s">
        <v>156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0</v>
      </c>
      <c r="G50" s="10"/>
      <c r="H50" s="72">
        <f t="shared" ca="1" si="17"/>
        <v>4839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4442</v>
      </c>
      <c r="N50" s="72">
        <f ca="1">INDIRECT("'June"&amp;Members!$F$2&amp;"-EXPENSE'!R"&amp;ROW()+3)</f>
        <v>5883.1104388900221</v>
      </c>
      <c r="O50" s="10"/>
      <c r="P50" s="72">
        <f t="shared" ca="1" si="19"/>
        <v>-1441.1104388900221</v>
      </c>
      <c r="Q50" s="72">
        <f ca="1">INDIRECT("'July"&amp;Members!$F$2&amp;"-COLLECTION'!K"&amp;ROW()-1)</f>
        <v>3062</v>
      </c>
      <c r="R50" s="72">
        <f ca="1">INDIRECT("'July"&amp;Members!$F$2&amp;"-EXPENSE'!R"&amp;ROW()+3)</f>
        <v>5615.7949741998009</v>
      </c>
      <c r="S50" s="11"/>
      <c r="T50" s="72">
        <f t="shared" ca="1" si="20"/>
        <v>-2553.7949741998009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17182</v>
      </c>
      <c r="BB50" s="72">
        <f t="shared" ca="1" si="30"/>
        <v>17004.452535267559</v>
      </c>
      <c r="BC50" s="72">
        <f t="shared" si="31"/>
        <v>0</v>
      </c>
      <c r="BD50" s="72">
        <f t="shared" ca="1" si="32"/>
        <v>177.54746473244086</v>
      </c>
      <c r="BE50" s="72">
        <f t="shared" ca="1" si="33"/>
        <v>5360.3281362176022</v>
      </c>
    </row>
    <row r="51" spans="1:57" ht="15.75" customHeight="1" x14ac:dyDescent="0.25">
      <c r="A51" s="68" t="s">
        <v>160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0</v>
      </c>
      <c r="G51" s="10"/>
      <c r="H51" s="70">
        <f t="shared" ca="1" si="17"/>
        <v>5879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9000</v>
      </c>
      <c r="N51" s="70">
        <f ca="1">INDIRECT("'June"&amp;Members!$F$2&amp;"-EXPENSE'!R"&amp;ROW()+3)</f>
        <v>6813.7737350668758</v>
      </c>
      <c r="O51" s="10"/>
      <c r="P51" s="70">
        <f t="shared" ca="1" si="19"/>
        <v>2186.2262649331242</v>
      </c>
      <c r="Q51" s="70">
        <f ca="1">INDIRECT("'July"&amp;Members!$F$2&amp;"-COLLECTION'!K"&amp;ROW()-1)</f>
        <v>7640</v>
      </c>
      <c r="R51" s="70">
        <f ca="1">INDIRECT("'July"&amp;Members!$F$2&amp;"-EXPENSE'!R"&amp;ROW()+3)</f>
        <v>7021.3343215261593</v>
      </c>
      <c r="S51" s="11"/>
      <c r="T51" s="70">
        <f t="shared" ca="1" si="20"/>
        <v>618.66567847384067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22519</v>
      </c>
      <c r="BB51" s="70">
        <f t="shared" ca="1" si="30"/>
        <v>20280.502050442996</v>
      </c>
      <c r="BC51" s="70">
        <f t="shared" si="31"/>
        <v>0</v>
      </c>
      <c r="BD51" s="70">
        <f t="shared" ca="1" si="32"/>
        <v>2238.4979495570042</v>
      </c>
      <c r="BE51" s="70">
        <f t="shared" ca="1" si="33"/>
        <v>304.22021962135113</v>
      </c>
    </row>
    <row r="52" spans="1:57" ht="15.75" customHeight="1" x14ac:dyDescent="0.25">
      <c r="A52" s="52" t="s">
        <v>164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0</v>
      </c>
      <c r="G52" s="10"/>
      <c r="H52" s="72">
        <f t="shared" ca="1" si="17"/>
        <v>39847.339999999997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6879.6036339451111</v>
      </c>
      <c r="O52" s="10"/>
      <c r="P52" s="72">
        <f t="shared" ca="1" si="19"/>
        <v>-6879.6036339451111</v>
      </c>
      <c r="Q52" s="72">
        <f ca="1">INDIRECT("'July"&amp;Members!$F$2&amp;"-COLLECTION'!K"&amp;ROW()-1)</f>
        <v>19898.43</v>
      </c>
      <c r="R52" s="72">
        <f ca="1">INDIRECT("'July"&amp;Members!$F$2&amp;"-EXPENSE'!R"&amp;ROW()+3)</f>
        <v>7101.802578810195</v>
      </c>
      <c r="S52" s="11"/>
      <c r="T52" s="72">
        <f t="shared" ca="1" si="20"/>
        <v>12796.627421189805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59745.77</v>
      </c>
      <c r="BB52" s="72">
        <f t="shared" ca="1" si="30"/>
        <v>20549.729439669969</v>
      </c>
      <c r="BC52" s="72">
        <f t="shared" si="31"/>
        <v>0</v>
      </c>
      <c r="BD52" s="72">
        <f t="shared" ca="1" si="32"/>
        <v>39196.040560330031</v>
      </c>
      <c r="BE52" s="72">
        <f t="shared" ca="1" si="33"/>
        <v>-651.29724752236507</v>
      </c>
    </row>
    <row r="53" spans="1:57" ht="15.75" customHeight="1" x14ac:dyDescent="0.25">
      <c r="A53" s="68" t="s">
        <v>168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0</v>
      </c>
      <c r="G53" s="10"/>
      <c r="H53" s="70">
        <f t="shared" ca="1" si="17"/>
        <v>5431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5972</v>
      </c>
      <c r="N53" s="70">
        <f ca="1">INDIRECT("'June"&amp;Members!$F$2&amp;"-EXPENSE'!R"&amp;ROW()+3)</f>
        <v>6404.9028922710113</v>
      </c>
      <c r="O53" s="10"/>
      <c r="P53" s="70">
        <f t="shared" ca="1" si="19"/>
        <v>-432.9028922710113</v>
      </c>
      <c r="Q53" s="70">
        <f ca="1">INDIRECT("'July"&amp;Members!$F$2&amp;"-COLLECTION'!K"&amp;ROW()-1)</f>
        <v>6472</v>
      </c>
      <c r="R53" s="70">
        <f ca="1">INDIRECT("'July"&amp;Members!$F$2&amp;"-EXPENSE'!R"&amp;ROW()+3)</f>
        <v>6509.2195981669738</v>
      </c>
      <c r="S53" s="11"/>
      <c r="T53" s="70">
        <f t="shared" ca="1" si="20"/>
        <v>-37.21959816697381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19386</v>
      </c>
      <c r="BB53" s="70">
        <f t="shared" ca="1" si="30"/>
        <v>18942.396555302745</v>
      </c>
      <c r="BC53" s="70">
        <f t="shared" si="31"/>
        <v>0</v>
      </c>
      <c r="BD53" s="70">
        <f t="shared" ca="1" si="32"/>
        <v>443.60344469725533</v>
      </c>
      <c r="BE53" s="70">
        <f t="shared" ca="1" si="33"/>
        <v>4505.4876155577876</v>
      </c>
    </row>
    <row r="54" spans="1:57" ht="15.75" customHeight="1" x14ac:dyDescent="0.25">
      <c r="A54" s="52" t="s">
        <v>172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0</v>
      </c>
      <c r="G54" s="10"/>
      <c r="H54" s="72">
        <f t="shared" ca="1" si="17"/>
        <v>30484.97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5391.88</v>
      </c>
      <c r="N54" s="72">
        <f ca="1">INDIRECT("'June"&amp;Members!$F$2&amp;"-EXPENSE'!R"&amp;ROW()+3)</f>
        <v>5546.256161604545</v>
      </c>
      <c r="O54" s="10"/>
      <c r="P54" s="72">
        <f t="shared" ca="1" si="19"/>
        <v>-154.3761616045449</v>
      </c>
      <c r="Q54" s="72">
        <f ca="1">INDIRECT("'July"&amp;Members!$F$2&amp;"-COLLECTION'!K"&amp;ROW()-1)</f>
        <v>5589.52</v>
      </c>
      <c r="R54" s="72">
        <f ca="1">INDIRECT("'July"&amp;Members!$F$2&amp;"-EXPENSE'!R"&amp;ROW()+3)</f>
        <v>5585.9008021113741</v>
      </c>
      <c r="S54" s="11"/>
      <c r="T54" s="72">
        <f t="shared" ca="1" si="20"/>
        <v>3.6191978886263314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51766.369999999995</v>
      </c>
      <c r="BB54" s="72">
        <f t="shared" ca="1" si="30"/>
        <v>16524.273140026213</v>
      </c>
      <c r="BC54" s="72">
        <f t="shared" si="31"/>
        <v>0</v>
      </c>
      <c r="BD54" s="72">
        <f t="shared" ca="1" si="32"/>
        <v>35242.096859973783</v>
      </c>
      <c r="BE54" s="72">
        <f t="shared" ca="1" si="33"/>
        <v>-809.09901783313398</v>
      </c>
    </row>
    <row r="55" spans="1:57" ht="15.75" customHeight="1" x14ac:dyDescent="0.25">
      <c r="A55" s="68" t="s">
        <v>175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0</v>
      </c>
      <c r="G55" s="10"/>
      <c r="H55" s="70">
        <f t="shared" ca="1" si="17"/>
        <v>25990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5622</v>
      </c>
      <c r="N55" s="70">
        <f ca="1">INDIRECT("'June"&amp;Members!$F$2&amp;"-EXPENSE'!R"&amp;ROW()+3)</f>
        <v>5634.8694977311634</v>
      </c>
      <c r="O55" s="10"/>
      <c r="P55" s="70">
        <f t="shared" ca="1" si="19"/>
        <v>-12.869497731163392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5544.0945423782014</v>
      </c>
      <c r="S55" s="11"/>
      <c r="T55" s="70">
        <f t="shared" ca="1" si="20"/>
        <v>-5544.0945423782014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36955</v>
      </c>
      <c r="BB55" s="70">
        <f t="shared" ca="1" si="30"/>
        <v>16835.70709221626</v>
      </c>
      <c r="BC55" s="70">
        <f t="shared" si="31"/>
        <v>0</v>
      </c>
      <c r="BD55" s="70">
        <f t="shared" ca="1" si="32"/>
        <v>20119.29290778374</v>
      </c>
      <c r="BE55" s="70">
        <f t="shared" ca="1" si="33"/>
        <v>-6206.7132913819914</v>
      </c>
    </row>
    <row r="56" spans="1:57" ht="15.75" customHeight="1" x14ac:dyDescent="0.25">
      <c r="A56" s="52" t="s">
        <v>179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0</v>
      </c>
      <c r="G56" s="10"/>
      <c r="H56" s="72">
        <f t="shared" ca="1" si="17"/>
        <v>19999.45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6389.74</v>
      </c>
      <c r="N56" s="72">
        <f ca="1">INDIRECT("'June"&amp;Members!$F$2&amp;"-EXPENSE'!R"&amp;ROW()+3)</f>
        <v>6876.5546698631806</v>
      </c>
      <c r="O56" s="10"/>
      <c r="P56" s="72">
        <f t="shared" ca="1" si="19"/>
        <v>-486.81466986318082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6887.5989572706749</v>
      </c>
      <c r="S56" s="11"/>
      <c r="T56" s="72">
        <f t="shared" ca="1" si="20"/>
        <v>-6887.5989572706749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32883.33</v>
      </c>
      <c r="BB56" s="72">
        <f t="shared" ca="1" si="30"/>
        <v>20261.594691769078</v>
      </c>
      <c r="BC56" s="72">
        <f t="shared" si="31"/>
        <v>0</v>
      </c>
      <c r="BD56" s="72">
        <f t="shared" ca="1" si="32"/>
        <v>12621.735308230924</v>
      </c>
      <c r="BE56" s="72">
        <f t="shared" ca="1" si="33"/>
        <v>-7377.6382426079363</v>
      </c>
    </row>
    <row r="57" spans="1:57" ht="15.75" customHeight="1" x14ac:dyDescent="0.25">
      <c r="A57" s="68" t="s">
        <v>183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0</v>
      </c>
      <c r="G57" s="10"/>
      <c r="H57" s="70">
        <f t="shared" ca="1" si="17"/>
        <v>4712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6409.4880044440733</v>
      </c>
      <c r="O57" s="10"/>
      <c r="P57" s="70">
        <f t="shared" ca="1" si="19"/>
        <v>-6409.4880044440733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5993.8038684357343</v>
      </c>
      <c r="S57" s="11"/>
      <c r="T57" s="70">
        <f t="shared" ca="1" si="20"/>
        <v>-5993.8038684357343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18651.847412108862</v>
      </c>
      <c r="BC57" s="70">
        <f t="shared" si="31"/>
        <v>0</v>
      </c>
      <c r="BD57" s="70">
        <f t="shared" ca="1" si="32"/>
        <v>6088.8725878911391</v>
      </c>
      <c r="BE57" s="70">
        <f t="shared" ca="1" si="33"/>
        <v>-12398.170634444319</v>
      </c>
    </row>
    <row r="58" spans="1:57" ht="15.75" customHeight="1" x14ac:dyDescent="0.25">
      <c r="A58" s="52" t="s">
        <v>186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0</v>
      </c>
      <c r="G58" s="10"/>
      <c r="H58" s="72">
        <f t="shared" ca="1" si="17"/>
        <v>1536.73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5793</v>
      </c>
      <c r="N58" s="72">
        <f ca="1">INDIRECT("'June"&amp;Members!$F$2&amp;"-EXPENSE'!R"&amp;ROW()+3)</f>
        <v>5515.3401499344573</v>
      </c>
      <c r="O58" s="10"/>
      <c r="P58" s="72">
        <f t="shared" ca="1" si="19"/>
        <v>277.65985006554274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5463.2558202263972</v>
      </c>
      <c r="S58" s="11"/>
      <c r="T58" s="72">
        <f t="shared" ca="1" si="20"/>
        <v>-5463.2558202263972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12616.97</v>
      </c>
      <c r="BB58" s="72">
        <f t="shared" ca="1" si="30"/>
        <v>16822.246376933519</v>
      </c>
      <c r="BC58" s="72">
        <f t="shared" si="31"/>
        <v>0</v>
      </c>
      <c r="BD58" s="72">
        <f t="shared" ca="1" si="32"/>
        <v>-4205.2763769335197</v>
      </c>
      <c r="BE58" s="72">
        <f t="shared" ca="1" si="33"/>
        <v>-5742.0080623540325</v>
      </c>
    </row>
    <row r="59" spans="1:57" ht="15.75" customHeight="1" x14ac:dyDescent="0.25">
      <c r="A59" s="68" t="s">
        <v>190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0</v>
      </c>
      <c r="G59" s="10"/>
      <c r="H59" s="70">
        <f t="shared" ca="1" si="17"/>
        <v>4785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5581.1166636640573</v>
      </c>
      <c r="O59" s="10"/>
      <c r="P59" s="70">
        <f t="shared" ca="1" si="19"/>
        <v>-5581.1166636640573</v>
      </c>
      <c r="Q59" s="70">
        <f ca="1">INDIRECT("'July"&amp;Members!$F$2&amp;"-COLLECTION'!K"&amp;ROW()-1)</f>
        <v>5455.63</v>
      </c>
      <c r="R59" s="70">
        <f ca="1">INDIRECT("'July"&amp;Members!$F$2&amp;"-EXPENSE'!R"&amp;ROW()+3)</f>
        <v>5591.8758380965073</v>
      </c>
      <c r="S59" s="11"/>
      <c r="T59" s="70">
        <f t="shared" ca="1" si="20"/>
        <v>-136.24583809650721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15007.18</v>
      </c>
      <c r="BB59" s="70">
        <f t="shared" ca="1" si="30"/>
        <v>16634.788518164216</v>
      </c>
      <c r="BC59" s="70">
        <f t="shared" si="31"/>
        <v>0</v>
      </c>
      <c r="BD59" s="70">
        <f t="shared" ca="1" si="32"/>
        <v>-1627.6085181642156</v>
      </c>
      <c r="BE59" s="70">
        <f t="shared" ca="1" si="33"/>
        <v>-1909.9932280266548</v>
      </c>
    </row>
    <row r="60" spans="1:57" ht="15.75" customHeight="1" x14ac:dyDescent="0.25">
      <c r="A60" s="52" t="s">
        <v>193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0</v>
      </c>
      <c r="G60" s="10"/>
      <c r="H60" s="72">
        <f t="shared" ca="1" si="17"/>
        <v>5920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7514.4992428755577</v>
      </c>
      <c r="O60" s="10"/>
      <c r="P60" s="72">
        <f t="shared" ca="1" si="19"/>
        <v>-7514.4992428755577</v>
      </c>
      <c r="Q60" s="72">
        <f ca="1">INDIRECT("'July"&amp;Members!$F$2&amp;"-COLLECTION'!K"&amp;ROW()-1)</f>
        <v>2664</v>
      </c>
      <c r="R60" s="72">
        <f ca="1">INDIRECT("'July"&amp;Members!$F$2&amp;"-EXPENSE'!R"&amp;ROW()+3)</f>
        <v>7898.0402316814852</v>
      </c>
      <c r="S60" s="11"/>
      <c r="T60" s="72">
        <f t="shared" ca="1" si="20"/>
        <v>-5234.0402316814852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23584</v>
      </c>
      <c r="BB60" s="72">
        <f t="shared" ca="1" si="30"/>
        <v>23784.262124316941</v>
      </c>
      <c r="BC60" s="72">
        <f t="shared" si="31"/>
        <v>0</v>
      </c>
      <c r="BD60" s="72">
        <f t="shared" ca="1" si="32"/>
        <v>-200.26212431694148</v>
      </c>
      <c r="BE60" s="72">
        <f t="shared" ca="1" si="33"/>
        <v>-3895.4887119981727</v>
      </c>
    </row>
    <row r="61" spans="1:57" ht="15.75" customHeight="1" x14ac:dyDescent="0.25">
      <c r="A61" s="68" t="s">
        <v>196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0</v>
      </c>
      <c r="G61" s="10"/>
      <c r="H61" s="70">
        <f t="shared" ca="1" si="17"/>
        <v>11287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5758</v>
      </c>
      <c r="N61" s="70">
        <f ca="1">INDIRECT("'June"&amp;Members!$F$2&amp;"-EXPENSE'!R"&amp;ROW()+3)</f>
        <v>6063.6590115780346</v>
      </c>
      <c r="O61" s="10"/>
      <c r="P61" s="70">
        <f t="shared" ca="1" si="19"/>
        <v>-305.65901157803455</v>
      </c>
      <c r="Q61" s="70">
        <f ca="1">INDIRECT("'July"&amp;Members!$F$2&amp;"-COLLECTION'!K"&amp;ROW()-1)</f>
        <v>6112</v>
      </c>
      <c r="R61" s="70">
        <f ca="1">INDIRECT("'July"&amp;Members!$F$2&amp;"-EXPENSE'!R"&amp;ROW()+3)</f>
        <v>5751.4634383328275</v>
      </c>
      <c r="S61" s="11"/>
      <c r="T61" s="70">
        <f t="shared" ca="1" si="20"/>
        <v>360.53656166717246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28344</v>
      </c>
      <c r="BB61" s="70">
        <f t="shared" ca="1" si="30"/>
        <v>17619.697018492723</v>
      </c>
      <c r="BC61" s="70">
        <f t="shared" si="31"/>
        <v>0</v>
      </c>
      <c r="BD61" s="70">
        <f t="shared" ca="1" si="32"/>
        <v>10724.302981507277</v>
      </c>
      <c r="BE61" s="70">
        <f t="shared" ca="1" si="33"/>
        <v>-563.56148517232396</v>
      </c>
    </row>
    <row r="62" spans="1:57" ht="15.75" customHeight="1" x14ac:dyDescent="0.25">
      <c r="A62" s="52" t="s">
        <v>200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0</v>
      </c>
      <c r="G62" s="10"/>
      <c r="H62" s="72">
        <f t="shared" ca="1" si="17"/>
        <v>4806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5606.17</v>
      </c>
      <c r="N62" s="72">
        <f ca="1">INDIRECT("'June"&amp;Members!$F$2&amp;"-EXPENSE'!R"&amp;ROW()+3)</f>
        <v>7735.8420223132835</v>
      </c>
      <c r="O62" s="10"/>
      <c r="P62" s="72">
        <f t="shared" ca="1" si="19"/>
        <v>-2129.6720223132834</v>
      </c>
      <c r="Q62" s="72">
        <f ca="1">INDIRECT("'July"&amp;Members!$F$2&amp;"-COLLECTION'!K"&amp;ROW()-1)</f>
        <v>5659.39</v>
      </c>
      <c r="R62" s="72">
        <f ca="1">INDIRECT("'July"&amp;Members!$F$2&amp;"-EXPENSE'!R"&amp;ROW()+3)</f>
        <v>5790.6526449412022</v>
      </c>
      <c r="S62" s="11"/>
      <c r="T62" s="72">
        <f t="shared" ca="1" si="20"/>
        <v>-131.26264494120187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16156.05</v>
      </c>
      <c r="BB62" s="72">
        <f t="shared" ca="1" si="30"/>
        <v>19165.159063932853</v>
      </c>
      <c r="BC62" s="72">
        <f t="shared" si="31"/>
        <v>0</v>
      </c>
      <c r="BD62" s="72">
        <f t="shared" ca="1" si="32"/>
        <v>-3009.109063932854</v>
      </c>
      <c r="BE62" s="72">
        <f t="shared" ca="1" si="33"/>
        <v>-3099.780123108947</v>
      </c>
    </row>
    <row r="63" spans="1:57" ht="15.75" customHeight="1" x14ac:dyDescent="0.25">
      <c r="A63" s="68" t="s">
        <v>203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0</v>
      </c>
      <c r="G63" s="10"/>
      <c r="H63" s="70">
        <f t="shared" ca="1" si="17"/>
        <v>12000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7585.88915040354</v>
      </c>
      <c r="O63" s="10"/>
      <c r="P63" s="70">
        <f t="shared" ca="1" si="19"/>
        <v>-7585.88915040354</v>
      </c>
      <c r="Q63" s="70">
        <f ca="1">INDIRECT("'July"&amp;Members!$F$2&amp;"-COLLECTION'!K"&amp;ROW()-1)</f>
        <v>12000</v>
      </c>
      <c r="R63" s="70">
        <f ca="1">INDIRECT("'July"&amp;Members!$F$2&amp;"-EXPENSE'!R"&amp;ROW()+3)</f>
        <v>8687.0046326482516</v>
      </c>
      <c r="S63" s="11"/>
      <c r="T63" s="70">
        <f t="shared" ca="1" si="20"/>
        <v>3312.9953673517484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24000</v>
      </c>
      <c r="BB63" s="70">
        <f t="shared" ca="1" si="30"/>
        <v>23436.312840339087</v>
      </c>
      <c r="BC63" s="70">
        <f t="shared" si="31"/>
        <v>0</v>
      </c>
      <c r="BD63" s="70">
        <f t="shared" ca="1" si="32"/>
        <v>563.68715966091258</v>
      </c>
      <c r="BE63" s="70">
        <f t="shared" ca="1" si="33"/>
        <v>17421.746274677022</v>
      </c>
    </row>
    <row r="64" spans="1:57" ht="15.75" customHeight="1" x14ac:dyDescent="0.25">
      <c r="A64" s="52" t="s">
        <v>205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0</v>
      </c>
      <c r="G64" s="10"/>
      <c r="H64" s="72">
        <f t="shared" ca="1" si="17"/>
        <v>4477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6142</v>
      </c>
      <c r="N64" s="72">
        <f ca="1">INDIRECT("'June"&amp;Members!$F$2&amp;"-EXPENSE'!R"&amp;ROW()+3)</f>
        <v>5984.9219279491335</v>
      </c>
      <c r="O64" s="10"/>
      <c r="P64" s="72">
        <f t="shared" ca="1" si="19"/>
        <v>157.07807205086647</v>
      </c>
      <c r="Q64" s="72">
        <f ca="1">INDIRECT("'July"&amp;Members!$F$2&amp;"-COLLECTION'!K"&amp;ROW()-1)</f>
        <v>2530</v>
      </c>
      <c r="R64" s="72">
        <f ca="1">INDIRECT("'July"&amp;Members!$F$2&amp;"-EXPENSE'!R"&amp;ROW()+3)</f>
        <v>6482.6834089388813</v>
      </c>
      <c r="S64" s="11"/>
      <c r="T64" s="72">
        <f t="shared" ca="1" si="20"/>
        <v>-3952.6834089388813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18499</v>
      </c>
      <c r="BB64" s="72">
        <f t="shared" ca="1" si="30"/>
        <v>18680.597860918235</v>
      </c>
      <c r="BC64" s="72">
        <f t="shared" si="31"/>
        <v>0</v>
      </c>
      <c r="BD64" s="72">
        <f t="shared" ca="1" si="32"/>
        <v>-181.5978609182348</v>
      </c>
      <c r="BE64" s="72">
        <f t="shared" ca="1" si="33"/>
        <v>-4658.4997217406781</v>
      </c>
    </row>
    <row r="65" spans="1:57" ht="15.75" customHeight="1" x14ac:dyDescent="0.25">
      <c r="A65" s="68" t="s">
        <v>209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0</v>
      </c>
      <c r="G65" s="10"/>
      <c r="H65" s="70">
        <f t="shared" ca="1" si="17"/>
        <v>5420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32894</v>
      </c>
      <c r="N65" s="70">
        <f ca="1">INDIRECT("'June"&amp;Members!$F$2&amp;"-EXPENSE'!R"&amp;ROW()+3)</f>
        <v>6503.2383360591011</v>
      </c>
      <c r="O65" s="10"/>
      <c r="P65" s="70">
        <f t="shared" ca="1" si="19"/>
        <v>26390.761663940899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6646.2939531200318</v>
      </c>
      <c r="S65" s="11"/>
      <c r="T65" s="70">
        <f t="shared" ca="1" si="20"/>
        <v>-6646.2939531200318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43734</v>
      </c>
      <c r="BB65" s="70">
        <f t="shared" ca="1" si="30"/>
        <v>19040.513964051926</v>
      </c>
      <c r="BC65" s="70">
        <f t="shared" si="31"/>
        <v>0</v>
      </c>
      <c r="BD65" s="70">
        <f t="shared" ca="1" si="32"/>
        <v>24693.486035948074</v>
      </c>
      <c r="BE65" s="70">
        <f t="shared" ca="1" si="33"/>
        <v>-7625.3402509667176</v>
      </c>
    </row>
    <row r="66" spans="1:57" ht="15.75" customHeight="1" x14ac:dyDescent="0.25">
      <c r="A66" s="52" t="s">
        <v>212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0</v>
      </c>
      <c r="G66" s="10"/>
      <c r="H66" s="72">
        <f t="shared" ca="1" si="17"/>
        <v>5231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6492.0748293844499</v>
      </c>
      <c r="O66" s="10"/>
      <c r="P66" s="72">
        <f t="shared" ca="1" si="19"/>
        <v>-6492.0748293844499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6771.6129646180871</v>
      </c>
      <c r="S66" s="11"/>
      <c r="T66" s="72">
        <f t="shared" ca="1" si="20"/>
        <v>-6771.6129646180871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19526.754899696643</v>
      </c>
      <c r="BC66" s="72">
        <f t="shared" si="31"/>
        <v>0</v>
      </c>
      <c r="BD66" s="72">
        <f t="shared" ca="1" si="32"/>
        <v>-4295.7548996966434</v>
      </c>
      <c r="BE66" s="72">
        <f t="shared" ca="1" si="33"/>
        <v>-13645.962039089944</v>
      </c>
    </row>
    <row r="67" spans="1:57" ht="15.75" customHeight="1" x14ac:dyDescent="0.25">
      <c r="A67" s="9"/>
      <c r="B67" s="8"/>
      <c r="C67" s="9" t="s">
        <v>252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0</v>
      </c>
      <c r="G67" s="11">
        <f t="shared" si="34"/>
        <v>1000</v>
      </c>
      <c r="H67" s="11">
        <f t="shared" ca="1" si="34"/>
        <v>523376.3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325302.08</v>
      </c>
      <c r="N67" s="11">
        <f t="shared" ca="1" si="34"/>
        <v>410805.96619999991</v>
      </c>
      <c r="O67" s="11">
        <f t="shared" si="34"/>
        <v>0</v>
      </c>
      <c r="P67" s="11">
        <f t="shared" ca="1" si="34"/>
        <v>-85503.886200000023</v>
      </c>
      <c r="Q67" s="11">
        <f t="shared" ca="1" si="34"/>
        <v>401232.16000000003</v>
      </c>
      <c r="R67" s="11">
        <f t="shared" ca="1" si="34"/>
        <v>406424.96619999991</v>
      </c>
      <c r="S67" s="11">
        <f t="shared" si="34"/>
        <v>0</v>
      </c>
      <c r="T67" s="11">
        <f t="shared" ca="1" si="34"/>
        <v>-5192.8061999999991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O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1508441.5300000003</v>
      </c>
      <c r="BB67" s="11">
        <f t="shared" ca="1" si="35"/>
        <v>1202923.8986000002</v>
      </c>
      <c r="BC67" s="11">
        <f t="shared" si="35"/>
        <v>1000</v>
      </c>
      <c r="BD67" s="13">
        <f t="shared" ca="1" si="35"/>
        <v>304517.63140000007</v>
      </c>
      <c r="BE67" s="77">
        <f t="shared" ref="BE67:BE98" ca="1" si="36">BD67+D67</f>
        <v>-343532.25821299979</v>
      </c>
    </row>
  </sheetData>
  <autoFilter ref="A2:BF67" xr:uid="{00000000-0009-0000-0000-00001A000000}"/>
  <mergeCells count="12">
    <mergeCell ref="E1:H1"/>
    <mergeCell ref="AK1:AN1"/>
    <mergeCell ref="AC1:AF1"/>
    <mergeCell ref="AG1:AJ1"/>
    <mergeCell ref="AS1:AV1"/>
    <mergeCell ref="AW1:AZ1"/>
    <mergeCell ref="U1:X1"/>
    <mergeCell ref="Y1:AB1"/>
    <mergeCell ref="I1:L1"/>
    <mergeCell ref="M1:P1"/>
    <mergeCell ref="Q1:T1"/>
    <mergeCell ref="AO1:AR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2026-08-11T18:30:34Z</dcterms:modified>
</cp:coreProperties>
</file>