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367E1B1B-C7E8-4C57-8BB5-FA2354BB7DED}" xr6:coauthVersionLast="47" xr6:coauthVersionMax="47" xr10:uidLastSave="{00000000-0000-0000-0000-000000000000}"/>
  <bookViews>
    <workbookView xWindow="-120" yWindow="-120" windowWidth="29040" windowHeight="15720" tabRatio="954" firstSheet="5" activeTab="25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K66" i="25" s="1"/>
  <c r="B3" i="25"/>
  <c r="K2" i="25"/>
  <c r="B2" i="25"/>
  <c r="O70" i="24"/>
  <c r="N70" i="24"/>
  <c r="M70" i="24"/>
  <c r="L70" i="24"/>
  <c r="H70" i="24"/>
  <c r="C70" i="24"/>
  <c r="F70" i="24" s="1"/>
  <c r="I69" i="24"/>
  <c r="F69" i="24"/>
  <c r="D69" i="24"/>
  <c r="E69" i="24" s="1"/>
  <c r="B69" i="24"/>
  <c r="F68" i="24"/>
  <c r="E68" i="24"/>
  <c r="D68" i="24"/>
  <c r="B68" i="24"/>
  <c r="I67" i="24"/>
  <c r="F67" i="24"/>
  <c r="D67" i="24"/>
  <c r="E67" i="24" s="1"/>
  <c r="B67" i="24"/>
  <c r="I66" i="24"/>
  <c r="E66" i="24"/>
  <c r="D66" i="24"/>
  <c r="B66" i="24"/>
  <c r="I65" i="24"/>
  <c r="F65" i="24"/>
  <c r="D65" i="24"/>
  <c r="E65" i="24" s="1"/>
  <c r="B65" i="24"/>
  <c r="F64" i="24"/>
  <c r="E64" i="24"/>
  <c r="D64" i="24"/>
  <c r="B64" i="24"/>
  <c r="I63" i="24"/>
  <c r="F63" i="24"/>
  <c r="D63" i="24"/>
  <c r="E63" i="24" s="1"/>
  <c r="B63" i="24"/>
  <c r="I62" i="24"/>
  <c r="E62" i="24"/>
  <c r="D62" i="24"/>
  <c r="B62" i="24"/>
  <c r="I61" i="24"/>
  <c r="F61" i="24"/>
  <c r="D61" i="24"/>
  <c r="E61" i="24" s="1"/>
  <c r="B61" i="24"/>
  <c r="F60" i="24"/>
  <c r="E60" i="24"/>
  <c r="D60" i="24"/>
  <c r="B60" i="24"/>
  <c r="I59" i="24"/>
  <c r="F59" i="24"/>
  <c r="D59" i="24"/>
  <c r="E59" i="24" s="1"/>
  <c r="B59" i="24"/>
  <c r="I58" i="24"/>
  <c r="E58" i="24"/>
  <c r="D58" i="24"/>
  <c r="B58" i="24"/>
  <c r="I57" i="24"/>
  <c r="F57" i="24"/>
  <c r="E57" i="24"/>
  <c r="D57" i="24"/>
  <c r="B57" i="24"/>
  <c r="F56" i="24"/>
  <c r="E56" i="24"/>
  <c r="D56" i="24"/>
  <c r="B56" i="24"/>
  <c r="I55" i="24"/>
  <c r="F55" i="24"/>
  <c r="D55" i="24"/>
  <c r="E55" i="24" s="1"/>
  <c r="B55" i="24"/>
  <c r="I54" i="24"/>
  <c r="F54" i="24"/>
  <c r="E54" i="24"/>
  <c r="D54" i="24"/>
  <c r="B54" i="24"/>
  <c r="I53" i="24"/>
  <c r="F53" i="24"/>
  <c r="E53" i="24"/>
  <c r="D53" i="24"/>
  <c r="B53" i="24"/>
  <c r="F52" i="24"/>
  <c r="E52" i="24"/>
  <c r="D52" i="24"/>
  <c r="B52" i="24"/>
  <c r="I51" i="24"/>
  <c r="F51" i="24"/>
  <c r="D51" i="24"/>
  <c r="E51" i="24" s="1"/>
  <c r="B51" i="24"/>
  <c r="I50" i="24"/>
  <c r="F50" i="24"/>
  <c r="E50" i="24"/>
  <c r="D50" i="24"/>
  <c r="B50" i="24"/>
  <c r="I49" i="24"/>
  <c r="F49" i="24"/>
  <c r="E49" i="24"/>
  <c r="D49" i="24"/>
  <c r="B49" i="24"/>
  <c r="F48" i="24"/>
  <c r="E48" i="24"/>
  <c r="D48" i="24"/>
  <c r="B48" i="24"/>
  <c r="I47" i="24"/>
  <c r="F47" i="24"/>
  <c r="D47" i="24"/>
  <c r="E47" i="24" s="1"/>
  <c r="B47" i="24"/>
  <c r="I46" i="24"/>
  <c r="F46" i="24"/>
  <c r="E46" i="24"/>
  <c r="D46" i="24"/>
  <c r="B46" i="24"/>
  <c r="I45" i="24"/>
  <c r="F45" i="24"/>
  <c r="E45" i="24"/>
  <c r="D45" i="24"/>
  <c r="B45" i="24"/>
  <c r="F44" i="24"/>
  <c r="E44" i="24"/>
  <c r="D44" i="24"/>
  <c r="B44" i="24"/>
  <c r="I43" i="24"/>
  <c r="F43" i="24"/>
  <c r="D43" i="24"/>
  <c r="E43" i="24" s="1"/>
  <c r="B43" i="24"/>
  <c r="I42" i="24"/>
  <c r="F42" i="24"/>
  <c r="E42" i="24"/>
  <c r="D42" i="24"/>
  <c r="B42" i="24"/>
  <c r="I41" i="24"/>
  <c r="F41" i="24"/>
  <c r="E41" i="24"/>
  <c r="D41" i="24"/>
  <c r="B41" i="24"/>
  <c r="F40" i="24"/>
  <c r="E40" i="24"/>
  <c r="D40" i="24"/>
  <c r="B40" i="24"/>
  <c r="I39" i="24"/>
  <c r="F39" i="24"/>
  <c r="D39" i="24"/>
  <c r="E39" i="24" s="1"/>
  <c r="B39" i="24"/>
  <c r="I38" i="24"/>
  <c r="F38" i="24"/>
  <c r="E38" i="24"/>
  <c r="D38" i="24"/>
  <c r="B38" i="24"/>
  <c r="I37" i="24"/>
  <c r="F37" i="24"/>
  <c r="E37" i="24"/>
  <c r="D37" i="24"/>
  <c r="B37" i="24"/>
  <c r="F36" i="24"/>
  <c r="E36" i="24"/>
  <c r="D36" i="24"/>
  <c r="B36" i="24"/>
  <c r="I35" i="24"/>
  <c r="F35" i="24"/>
  <c r="D35" i="24"/>
  <c r="E35" i="24" s="1"/>
  <c r="B35" i="24"/>
  <c r="I34" i="24"/>
  <c r="F34" i="24"/>
  <c r="E34" i="24"/>
  <c r="D34" i="24"/>
  <c r="B34" i="24"/>
  <c r="I33" i="24"/>
  <c r="F33" i="24"/>
  <c r="E33" i="24"/>
  <c r="D33" i="24"/>
  <c r="B33" i="24"/>
  <c r="F32" i="24"/>
  <c r="E32" i="24"/>
  <c r="D32" i="24"/>
  <c r="B32" i="24"/>
  <c r="I31" i="24"/>
  <c r="F31" i="24"/>
  <c r="D31" i="24"/>
  <c r="E31" i="24" s="1"/>
  <c r="B31" i="24"/>
  <c r="I30" i="24"/>
  <c r="F30" i="24"/>
  <c r="E30" i="24"/>
  <c r="D30" i="24"/>
  <c r="B30" i="24"/>
  <c r="I29" i="24"/>
  <c r="F29" i="24"/>
  <c r="E29" i="24"/>
  <c r="D29" i="24"/>
  <c r="B29" i="24"/>
  <c r="F28" i="24"/>
  <c r="E28" i="24"/>
  <c r="D28" i="24"/>
  <c r="B28" i="24"/>
  <c r="I27" i="24"/>
  <c r="F27" i="24"/>
  <c r="D27" i="24"/>
  <c r="E27" i="24" s="1"/>
  <c r="B27" i="24"/>
  <c r="I26" i="24"/>
  <c r="F26" i="24"/>
  <c r="E26" i="24"/>
  <c r="D26" i="24"/>
  <c r="B26" i="24"/>
  <c r="I25" i="24"/>
  <c r="F25" i="24"/>
  <c r="E25" i="24"/>
  <c r="D25" i="24"/>
  <c r="B25" i="24"/>
  <c r="F24" i="24"/>
  <c r="E24" i="24"/>
  <c r="D24" i="24"/>
  <c r="B24" i="24"/>
  <c r="I23" i="24"/>
  <c r="F23" i="24"/>
  <c r="D23" i="24"/>
  <c r="E23" i="24" s="1"/>
  <c r="B23" i="24"/>
  <c r="I22" i="24"/>
  <c r="F22" i="24"/>
  <c r="E22" i="24"/>
  <c r="D22" i="24"/>
  <c r="B22" i="24"/>
  <c r="I21" i="24"/>
  <c r="F21" i="24"/>
  <c r="E21" i="24"/>
  <c r="D21" i="24"/>
  <c r="B21" i="24"/>
  <c r="F20" i="24"/>
  <c r="E20" i="24"/>
  <c r="D20" i="24"/>
  <c r="B20" i="24"/>
  <c r="I19" i="24"/>
  <c r="F19" i="24"/>
  <c r="D19" i="24"/>
  <c r="E19" i="24" s="1"/>
  <c r="B19" i="24"/>
  <c r="I18" i="24"/>
  <c r="F18" i="24"/>
  <c r="E18" i="24"/>
  <c r="D18" i="24"/>
  <c r="B18" i="24"/>
  <c r="I17" i="24"/>
  <c r="F17" i="24"/>
  <c r="E17" i="24"/>
  <c r="D17" i="24"/>
  <c r="B17" i="24"/>
  <c r="F16" i="24"/>
  <c r="E16" i="24"/>
  <c r="D16" i="24"/>
  <c r="B16" i="24"/>
  <c r="I15" i="24"/>
  <c r="F15" i="24"/>
  <c r="D15" i="24"/>
  <c r="E15" i="24" s="1"/>
  <c r="B15" i="24"/>
  <c r="I14" i="24"/>
  <c r="F14" i="24"/>
  <c r="E14" i="24"/>
  <c r="D14" i="24"/>
  <c r="B14" i="24"/>
  <c r="F13" i="24"/>
  <c r="E13" i="24"/>
  <c r="D13" i="24"/>
  <c r="B13" i="24"/>
  <c r="I12" i="24"/>
  <c r="F12" i="24"/>
  <c r="D12" i="24"/>
  <c r="E12" i="24" s="1"/>
  <c r="B12" i="24"/>
  <c r="I11" i="24"/>
  <c r="F11" i="24"/>
  <c r="D11" i="24"/>
  <c r="E11" i="24" s="1"/>
  <c r="B11" i="24"/>
  <c r="I10" i="24"/>
  <c r="F10" i="24"/>
  <c r="E10" i="24"/>
  <c r="D10" i="24"/>
  <c r="B10" i="24"/>
  <c r="I9" i="24"/>
  <c r="F9" i="24"/>
  <c r="E9" i="24"/>
  <c r="D9" i="24"/>
  <c r="B9" i="24"/>
  <c r="F8" i="24"/>
  <c r="E8" i="24"/>
  <c r="D8" i="24"/>
  <c r="B8" i="24"/>
  <c r="T7" i="24"/>
  <c r="I68" i="24" s="1"/>
  <c r="I7" i="24"/>
  <c r="F7" i="24"/>
  <c r="E7" i="24"/>
  <c r="D7" i="24"/>
  <c r="B7" i="24"/>
  <c r="I6" i="24"/>
  <c r="F6" i="24"/>
  <c r="E6" i="24"/>
  <c r="D6" i="24"/>
  <c r="B6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O70" i="22"/>
  <c r="N70" i="22"/>
  <c r="M70" i="22"/>
  <c r="L70" i="22"/>
  <c r="H70" i="22"/>
  <c r="F70" i="22"/>
  <c r="C70" i="22"/>
  <c r="F48" i="22" s="1"/>
  <c r="F69" i="22"/>
  <c r="E69" i="22"/>
  <c r="D69" i="22"/>
  <c r="B69" i="22"/>
  <c r="F68" i="22"/>
  <c r="E68" i="22"/>
  <c r="D68" i="22"/>
  <c r="B68" i="22"/>
  <c r="I67" i="22"/>
  <c r="F67" i="22"/>
  <c r="E67" i="22"/>
  <c r="D67" i="22"/>
  <c r="B67" i="22"/>
  <c r="I66" i="22"/>
  <c r="E66" i="22"/>
  <c r="D66" i="22"/>
  <c r="B66" i="22"/>
  <c r="F65" i="22"/>
  <c r="E65" i="22"/>
  <c r="D65" i="22"/>
  <c r="B65" i="22"/>
  <c r="I64" i="22"/>
  <c r="F64" i="22"/>
  <c r="E64" i="22"/>
  <c r="D64" i="22"/>
  <c r="B64" i="22"/>
  <c r="I63" i="22"/>
  <c r="E63" i="22"/>
  <c r="D63" i="22"/>
  <c r="B63" i="22"/>
  <c r="I62" i="22"/>
  <c r="F62" i="22"/>
  <c r="E62" i="22"/>
  <c r="D62" i="22"/>
  <c r="B62" i="22"/>
  <c r="F61" i="22"/>
  <c r="E61" i="22"/>
  <c r="D61" i="22"/>
  <c r="B61" i="22"/>
  <c r="F60" i="22"/>
  <c r="E60" i="22"/>
  <c r="D60" i="22"/>
  <c r="B60" i="22"/>
  <c r="I59" i="22"/>
  <c r="F59" i="22"/>
  <c r="E59" i="22"/>
  <c r="D59" i="22"/>
  <c r="B59" i="22"/>
  <c r="I58" i="22"/>
  <c r="E58" i="22"/>
  <c r="D58" i="22"/>
  <c r="B58" i="22"/>
  <c r="F57" i="22"/>
  <c r="E57" i="22"/>
  <c r="D57" i="22"/>
  <c r="B57" i="22"/>
  <c r="I56" i="22"/>
  <c r="F56" i="22"/>
  <c r="E56" i="22"/>
  <c r="D56" i="22"/>
  <c r="B56" i="22"/>
  <c r="I55" i="22"/>
  <c r="E55" i="22"/>
  <c r="D55" i="22"/>
  <c r="B55" i="22"/>
  <c r="I54" i="22"/>
  <c r="F54" i="22"/>
  <c r="E54" i="22"/>
  <c r="D54" i="22"/>
  <c r="B54" i="22"/>
  <c r="I53" i="22"/>
  <c r="F53" i="22"/>
  <c r="E53" i="22"/>
  <c r="D53" i="22"/>
  <c r="B53" i="22"/>
  <c r="I52" i="22"/>
  <c r="F52" i="22"/>
  <c r="E52" i="22"/>
  <c r="D52" i="22"/>
  <c r="B52" i="22"/>
  <c r="I51" i="22"/>
  <c r="F51" i="22"/>
  <c r="D51" i="22"/>
  <c r="E51" i="22" s="1"/>
  <c r="B51" i="22"/>
  <c r="I50" i="22"/>
  <c r="F50" i="22"/>
  <c r="E50" i="22"/>
  <c r="D50" i="22"/>
  <c r="B50" i="22"/>
  <c r="I49" i="22"/>
  <c r="F49" i="22"/>
  <c r="E49" i="22"/>
  <c r="D49" i="22"/>
  <c r="B49" i="22"/>
  <c r="I48" i="22"/>
  <c r="D48" i="22"/>
  <c r="E48" i="22" s="1"/>
  <c r="B48" i="22"/>
  <c r="I47" i="22"/>
  <c r="F47" i="22"/>
  <c r="D47" i="22"/>
  <c r="E47" i="22" s="1"/>
  <c r="B47" i="22"/>
  <c r="F46" i="22"/>
  <c r="E46" i="22"/>
  <c r="D46" i="22"/>
  <c r="B46" i="22"/>
  <c r="I45" i="22"/>
  <c r="F45" i="22"/>
  <c r="D45" i="22"/>
  <c r="E45" i="22" s="1"/>
  <c r="B45" i="22"/>
  <c r="I44" i="22"/>
  <c r="D44" i="22"/>
  <c r="E44" i="22" s="1"/>
  <c r="B44" i="22"/>
  <c r="I43" i="22"/>
  <c r="F43" i="22"/>
  <c r="D43" i="22"/>
  <c r="E43" i="22" s="1"/>
  <c r="B43" i="22"/>
  <c r="I42" i="22"/>
  <c r="F42" i="22"/>
  <c r="E42" i="22"/>
  <c r="D42" i="22"/>
  <c r="B42" i="22"/>
  <c r="I41" i="22"/>
  <c r="F41" i="22"/>
  <c r="D41" i="22"/>
  <c r="E41" i="22" s="1"/>
  <c r="B41" i="22"/>
  <c r="I40" i="22"/>
  <c r="D40" i="22"/>
  <c r="E40" i="22" s="1"/>
  <c r="B40" i="22"/>
  <c r="I39" i="22"/>
  <c r="F39" i="22"/>
  <c r="D39" i="22"/>
  <c r="E39" i="22" s="1"/>
  <c r="B39" i="22"/>
  <c r="I38" i="22"/>
  <c r="F38" i="22"/>
  <c r="E38" i="22"/>
  <c r="D38" i="22"/>
  <c r="B38" i="22"/>
  <c r="I37" i="22"/>
  <c r="F37" i="22"/>
  <c r="D37" i="22"/>
  <c r="E37" i="22" s="1"/>
  <c r="B37" i="22"/>
  <c r="I36" i="22"/>
  <c r="D36" i="22"/>
  <c r="E36" i="22" s="1"/>
  <c r="B36" i="22"/>
  <c r="I35" i="22"/>
  <c r="F35" i="22"/>
  <c r="D35" i="22"/>
  <c r="E35" i="22" s="1"/>
  <c r="B35" i="22"/>
  <c r="I34" i="22"/>
  <c r="F34" i="22"/>
  <c r="E34" i="22"/>
  <c r="D34" i="22"/>
  <c r="B34" i="22"/>
  <c r="I33" i="22"/>
  <c r="F33" i="22"/>
  <c r="D33" i="22"/>
  <c r="E33" i="22" s="1"/>
  <c r="B33" i="22"/>
  <c r="I32" i="22"/>
  <c r="D32" i="22"/>
  <c r="E32" i="22" s="1"/>
  <c r="B32" i="22"/>
  <c r="I31" i="22"/>
  <c r="F31" i="22"/>
  <c r="E31" i="22"/>
  <c r="D31" i="22"/>
  <c r="B31" i="22"/>
  <c r="I30" i="22"/>
  <c r="F30" i="22"/>
  <c r="E30" i="22"/>
  <c r="D30" i="22"/>
  <c r="B30" i="22"/>
  <c r="I29" i="22"/>
  <c r="F29" i="22"/>
  <c r="D29" i="22"/>
  <c r="E29" i="22" s="1"/>
  <c r="B29" i="22"/>
  <c r="I28" i="22"/>
  <c r="D28" i="22"/>
  <c r="E28" i="22" s="1"/>
  <c r="B28" i="22"/>
  <c r="I27" i="22"/>
  <c r="F27" i="22"/>
  <c r="E27" i="22"/>
  <c r="D27" i="22"/>
  <c r="B27" i="22"/>
  <c r="I26" i="22"/>
  <c r="F26" i="22"/>
  <c r="E26" i="22"/>
  <c r="D26" i="22"/>
  <c r="B26" i="22"/>
  <c r="I25" i="22"/>
  <c r="F25" i="22"/>
  <c r="D25" i="22"/>
  <c r="E25" i="22" s="1"/>
  <c r="B25" i="22"/>
  <c r="I24" i="22"/>
  <c r="D24" i="22"/>
  <c r="E24" i="22" s="1"/>
  <c r="B24" i="22"/>
  <c r="I23" i="22"/>
  <c r="F23" i="22"/>
  <c r="D23" i="22"/>
  <c r="E23" i="22" s="1"/>
  <c r="B23" i="22"/>
  <c r="I22" i="22"/>
  <c r="F22" i="22"/>
  <c r="E22" i="22"/>
  <c r="D22" i="22"/>
  <c r="B22" i="22"/>
  <c r="I21" i="22"/>
  <c r="F21" i="22"/>
  <c r="E21" i="22"/>
  <c r="D21" i="22"/>
  <c r="B21" i="22"/>
  <c r="F20" i="22"/>
  <c r="E20" i="22"/>
  <c r="D20" i="22"/>
  <c r="B20" i="22"/>
  <c r="T19" i="22"/>
  <c r="I19" i="22"/>
  <c r="D19" i="22"/>
  <c r="E19" i="22" s="1"/>
  <c r="B19" i="22"/>
  <c r="T18" i="22"/>
  <c r="I18" i="22"/>
  <c r="F18" i="22"/>
  <c r="E18" i="22"/>
  <c r="D18" i="22"/>
  <c r="B18" i="22"/>
  <c r="I17" i="22"/>
  <c r="F17" i="22"/>
  <c r="E17" i="22"/>
  <c r="D17" i="22"/>
  <c r="B17" i="22"/>
  <c r="I16" i="22"/>
  <c r="F16" i="22"/>
  <c r="E16" i="22"/>
  <c r="D16" i="22"/>
  <c r="B16" i="22"/>
  <c r="I15" i="22"/>
  <c r="F15" i="22"/>
  <c r="D15" i="22"/>
  <c r="E15" i="22" s="1"/>
  <c r="B15" i="22"/>
  <c r="I14" i="22"/>
  <c r="F14" i="22"/>
  <c r="E14" i="22"/>
  <c r="D14" i="22"/>
  <c r="B14" i="22"/>
  <c r="I13" i="22"/>
  <c r="F13" i="22"/>
  <c r="D13" i="22"/>
  <c r="E13" i="22" s="1"/>
  <c r="B13" i="22"/>
  <c r="I12" i="22"/>
  <c r="F12" i="22"/>
  <c r="D12" i="22"/>
  <c r="E12" i="22" s="1"/>
  <c r="B12" i="22"/>
  <c r="I11" i="22"/>
  <c r="F11" i="22"/>
  <c r="D11" i="22"/>
  <c r="E11" i="22" s="1"/>
  <c r="B11" i="22"/>
  <c r="I10" i="22"/>
  <c r="F10" i="22"/>
  <c r="D10" i="22"/>
  <c r="E10" i="22" s="1"/>
  <c r="B10" i="22"/>
  <c r="I9" i="22"/>
  <c r="F9" i="22"/>
  <c r="E9" i="22"/>
  <c r="D9" i="22"/>
  <c r="B9" i="22"/>
  <c r="T8" i="22"/>
  <c r="I8" i="22"/>
  <c r="F8" i="22"/>
  <c r="D8" i="22"/>
  <c r="E8" i="22" s="1"/>
  <c r="B8" i="22"/>
  <c r="T7" i="22"/>
  <c r="I46" i="22" s="1"/>
  <c r="I7" i="22"/>
  <c r="F7" i="22"/>
  <c r="E7" i="22"/>
  <c r="D7" i="22"/>
  <c r="B7" i="22"/>
  <c r="I6" i="22"/>
  <c r="F6" i="22"/>
  <c r="D6" i="22"/>
  <c r="B6" i="22"/>
  <c r="I5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F67" i="20" s="1"/>
  <c r="E69" i="20"/>
  <c r="D69" i="20"/>
  <c r="B69" i="20"/>
  <c r="D68" i="20"/>
  <c r="E68" i="20" s="1"/>
  <c r="B68" i="20"/>
  <c r="E67" i="20"/>
  <c r="D67" i="20"/>
  <c r="B67" i="20"/>
  <c r="F66" i="20"/>
  <c r="E66" i="20"/>
  <c r="D66" i="20"/>
  <c r="B66" i="20"/>
  <c r="E65" i="20"/>
  <c r="D65" i="20"/>
  <c r="B65" i="20"/>
  <c r="D64" i="20"/>
  <c r="E64" i="20" s="1"/>
  <c r="B64" i="20"/>
  <c r="I63" i="20"/>
  <c r="E63" i="20"/>
  <c r="D63" i="20"/>
  <c r="B63" i="20"/>
  <c r="E62" i="20"/>
  <c r="D62" i="20"/>
  <c r="B62" i="20"/>
  <c r="E61" i="20"/>
  <c r="D61" i="20"/>
  <c r="B61" i="20"/>
  <c r="F60" i="20"/>
  <c r="D60" i="20"/>
  <c r="E60" i="20" s="1"/>
  <c r="B60" i="20"/>
  <c r="E59" i="20"/>
  <c r="D59" i="20"/>
  <c r="B59" i="20"/>
  <c r="F58" i="20"/>
  <c r="E58" i="20"/>
  <c r="D58" i="20"/>
  <c r="B58" i="20"/>
  <c r="D57" i="20"/>
  <c r="E57" i="20" s="1"/>
  <c r="B57" i="20"/>
  <c r="E56" i="20"/>
  <c r="D56" i="20"/>
  <c r="B56" i="20"/>
  <c r="F55" i="20"/>
  <c r="E55" i="20"/>
  <c r="D55" i="20"/>
  <c r="B55" i="20"/>
  <c r="F54" i="20"/>
  <c r="E54" i="20"/>
  <c r="D54" i="20"/>
  <c r="B54" i="20"/>
  <c r="F53" i="20"/>
  <c r="D53" i="20"/>
  <c r="E53" i="20" s="1"/>
  <c r="B53" i="20"/>
  <c r="F52" i="20"/>
  <c r="D52" i="20"/>
  <c r="E52" i="20" s="1"/>
  <c r="B52" i="20"/>
  <c r="F51" i="20"/>
  <c r="E51" i="20"/>
  <c r="D51" i="20"/>
  <c r="B51" i="20"/>
  <c r="D50" i="20"/>
  <c r="E50" i="20" s="1"/>
  <c r="B50" i="20"/>
  <c r="F49" i="20"/>
  <c r="D49" i="20"/>
  <c r="E49" i="20" s="1"/>
  <c r="B49" i="20"/>
  <c r="F48" i="20"/>
  <c r="E48" i="20"/>
  <c r="D48" i="20"/>
  <c r="B48" i="20"/>
  <c r="F47" i="20"/>
  <c r="E47" i="20"/>
  <c r="D47" i="20"/>
  <c r="B47" i="20"/>
  <c r="F46" i="20"/>
  <c r="G46" i="20" s="1"/>
  <c r="D46" i="20"/>
  <c r="E46" i="20" s="1"/>
  <c r="B46" i="20"/>
  <c r="F45" i="20"/>
  <c r="D45" i="20"/>
  <c r="E45" i="20" s="1"/>
  <c r="B45" i="20"/>
  <c r="F44" i="20"/>
  <c r="E44" i="20"/>
  <c r="D44" i="20"/>
  <c r="B44" i="20"/>
  <c r="I43" i="20"/>
  <c r="E43" i="20"/>
  <c r="D43" i="20"/>
  <c r="B43" i="20"/>
  <c r="F42" i="20"/>
  <c r="E42" i="20"/>
  <c r="D42" i="20"/>
  <c r="B42" i="20"/>
  <c r="F41" i="20"/>
  <c r="E41" i="20"/>
  <c r="D41" i="20"/>
  <c r="B41" i="20"/>
  <c r="D40" i="20"/>
  <c r="E40" i="20" s="1"/>
  <c r="B40" i="20"/>
  <c r="F39" i="20"/>
  <c r="E39" i="20"/>
  <c r="D39" i="20"/>
  <c r="B39" i="20"/>
  <c r="F38" i="20"/>
  <c r="D38" i="20"/>
  <c r="E38" i="20" s="1"/>
  <c r="B38" i="20"/>
  <c r="F37" i="20"/>
  <c r="E37" i="20"/>
  <c r="D37" i="20"/>
  <c r="B37" i="20"/>
  <c r="I36" i="20"/>
  <c r="F36" i="20"/>
  <c r="D36" i="20"/>
  <c r="E36" i="20" s="1"/>
  <c r="B36" i="20"/>
  <c r="E35" i="20"/>
  <c r="D35" i="20"/>
  <c r="B35" i="20"/>
  <c r="F34" i="20"/>
  <c r="E34" i="20"/>
  <c r="D34" i="20"/>
  <c r="B34" i="20"/>
  <c r="I33" i="20"/>
  <c r="E33" i="20"/>
  <c r="D33" i="20"/>
  <c r="B33" i="20"/>
  <c r="F32" i="20"/>
  <c r="E32" i="20"/>
  <c r="D32" i="20"/>
  <c r="B32" i="20"/>
  <c r="F31" i="20"/>
  <c r="E31" i="20"/>
  <c r="D31" i="20"/>
  <c r="B31" i="20"/>
  <c r="F30" i="20"/>
  <c r="E30" i="20"/>
  <c r="D30" i="20"/>
  <c r="B30" i="20"/>
  <c r="F29" i="20"/>
  <c r="D29" i="20"/>
  <c r="E29" i="20" s="1"/>
  <c r="B29" i="20"/>
  <c r="F28" i="20"/>
  <c r="D28" i="20"/>
  <c r="E28" i="20" s="1"/>
  <c r="B28" i="20"/>
  <c r="F27" i="20"/>
  <c r="E27" i="20"/>
  <c r="D27" i="20"/>
  <c r="B27" i="20"/>
  <c r="I26" i="20"/>
  <c r="E26" i="20"/>
  <c r="D26" i="20"/>
  <c r="B26" i="20"/>
  <c r="F25" i="20"/>
  <c r="E25" i="20"/>
  <c r="D25" i="20"/>
  <c r="B25" i="20"/>
  <c r="F24" i="20"/>
  <c r="E24" i="20"/>
  <c r="D24" i="20"/>
  <c r="B24" i="20"/>
  <c r="F23" i="20"/>
  <c r="E23" i="20"/>
  <c r="D23" i="20"/>
  <c r="B23" i="20"/>
  <c r="F22" i="20"/>
  <c r="E22" i="20"/>
  <c r="D22" i="20"/>
  <c r="B22" i="20"/>
  <c r="F21" i="20"/>
  <c r="D21" i="20"/>
  <c r="E21" i="20" s="1"/>
  <c r="B21" i="20"/>
  <c r="F20" i="20"/>
  <c r="D20" i="20"/>
  <c r="E20" i="20" s="1"/>
  <c r="B20" i="20"/>
  <c r="E19" i="20"/>
  <c r="D19" i="20"/>
  <c r="B19" i="20"/>
  <c r="T18" i="20"/>
  <c r="T19" i="20" s="1"/>
  <c r="F18" i="20"/>
  <c r="E18" i="20"/>
  <c r="D18" i="20"/>
  <c r="B18" i="20"/>
  <c r="F17" i="20"/>
  <c r="D17" i="20"/>
  <c r="E17" i="20" s="1"/>
  <c r="B17" i="20"/>
  <c r="F16" i="20"/>
  <c r="D16" i="20"/>
  <c r="E16" i="20" s="1"/>
  <c r="B16" i="20"/>
  <c r="I15" i="20"/>
  <c r="D15" i="20"/>
  <c r="E15" i="20" s="1"/>
  <c r="B15" i="20"/>
  <c r="F14" i="20"/>
  <c r="D14" i="20"/>
  <c r="E14" i="20" s="1"/>
  <c r="B14" i="20"/>
  <c r="F13" i="20"/>
  <c r="D13" i="20"/>
  <c r="E13" i="20" s="1"/>
  <c r="B13" i="20"/>
  <c r="F12" i="20"/>
  <c r="D12" i="20"/>
  <c r="E12" i="20" s="1"/>
  <c r="B12" i="20"/>
  <c r="F11" i="20"/>
  <c r="D11" i="20"/>
  <c r="E11" i="20" s="1"/>
  <c r="B11" i="20"/>
  <c r="F10" i="20"/>
  <c r="E10" i="20"/>
  <c r="D10" i="20"/>
  <c r="B10" i="20"/>
  <c r="F9" i="20"/>
  <c r="D9" i="20"/>
  <c r="E9" i="20" s="1"/>
  <c r="B9" i="20"/>
  <c r="F8" i="20"/>
  <c r="D8" i="20"/>
  <c r="E8" i="20" s="1"/>
  <c r="B8" i="20"/>
  <c r="T7" i="20"/>
  <c r="F7" i="20"/>
  <c r="E7" i="20"/>
  <c r="D7" i="20"/>
  <c r="B7" i="20"/>
  <c r="F6" i="20"/>
  <c r="D6" i="20"/>
  <c r="B6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F70" i="18"/>
  <c r="C70" i="18"/>
  <c r="F68" i="18" s="1"/>
  <c r="F69" i="18"/>
  <c r="E69" i="18"/>
  <c r="D69" i="18"/>
  <c r="B69" i="18"/>
  <c r="D68" i="18"/>
  <c r="E68" i="18" s="1"/>
  <c r="B68" i="18"/>
  <c r="F67" i="18"/>
  <c r="D67" i="18"/>
  <c r="E67" i="18" s="1"/>
  <c r="B67" i="18"/>
  <c r="F66" i="18"/>
  <c r="E66" i="18"/>
  <c r="D66" i="18"/>
  <c r="B66" i="18"/>
  <c r="F65" i="18"/>
  <c r="E65" i="18"/>
  <c r="D65" i="18"/>
  <c r="B65" i="18"/>
  <c r="D64" i="18"/>
  <c r="E64" i="18" s="1"/>
  <c r="B64" i="18"/>
  <c r="F63" i="18"/>
  <c r="E63" i="18"/>
  <c r="D63" i="18"/>
  <c r="B63" i="18"/>
  <c r="F62" i="18"/>
  <c r="E62" i="18"/>
  <c r="D62" i="18"/>
  <c r="B62" i="18"/>
  <c r="F61" i="18"/>
  <c r="E61" i="18"/>
  <c r="D61" i="18"/>
  <c r="B61" i="18"/>
  <c r="D60" i="18"/>
  <c r="E60" i="18" s="1"/>
  <c r="B60" i="18"/>
  <c r="F59" i="18"/>
  <c r="E59" i="18"/>
  <c r="D59" i="18"/>
  <c r="B59" i="18"/>
  <c r="F58" i="18"/>
  <c r="E58" i="18"/>
  <c r="D58" i="18"/>
  <c r="B58" i="18"/>
  <c r="F57" i="18"/>
  <c r="E57" i="18"/>
  <c r="D57" i="18"/>
  <c r="B57" i="18"/>
  <c r="D56" i="18"/>
  <c r="E56" i="18" s="1"/>
  <c r="B56" i="18"/>
  <c r="F55" i="18"/>
  <c r="D55" i="18"/>
  <c r="E55" i="18" s="1"/>
  <c r="B55" i="18"/>
  <c r="F54" i="18"/>
  <c r="E54" i="18"/>
  <c r="D54" i="18"/>
  <c r="B54" i="18"/>
  <c r="F53" i="18"/>
  <c r="E53" i="18"/>
  <c r="D53" i="18"/>
  <c r="B53" i="18"/>
  <c r="D52" i="18"/>
  <c r="E52" i="18" s="1"/>
  <c r="B52" i="18"/>
  <c r="F51" i="18"/>
  <c r="D51" i="18"/>
  <c r="E51" i="18" s="1"/>
  <c r="B51" i="18"/>
  <c r="F50" i="18"/>
  <c r="E50" i="18"/>
  <c r="D50" i="18"/>
  <c r="B50" i="18"/>
  <c r="F49" i="18"/>
  <c r="E49" i="18"/>
  <c r="D49" i="18"/>
  <c r="B49" i="18"/>
  <c r="D48" i="18"/>
  <c r="E48" i="18" s="1"/>
  <c r="B48" i="18"/>
  <c r="F47" i="18"/>
  <c r="E47" i="18"/>
  <c r="D47" i="18"/>
  <c r="B47" i="18"/>
  <c r="F46" i="18"/>
  <c r="E46" i="18"/>
  <c r="D46" i="18"/>
  <c r="B46" i="18"/>
  <c r="F45" i="18"/>
  <c r="E45" i="18"/>
  <c r="D45" i="18"/>
  <c r="B45" i="18"/>
  <c r="D44" i="18"/>
  <c r="E44" i="18" s="1"/>
  <c r="B44" i="18"/>
  <c r="F43" i="18"/>
  <c r="D43" i="18"/>
  <c r="E43" i="18" s="1"/>
  <c r="B43" i="18"/>
  <c r="F42" i="18"/>
  <c r="E42" i="18"/>
  <c r="D42" i="18"/>
  <c r="B42" i="18"/>
  <c r="F41" i="18"/>
  <c r="E41" i="18"/>
  <c r="D41" i="18"/>
  <c r="B41" i="18"/>
  <c r="D40" i="18"/>
  <c r="E40" i="18" s="1"/>
  <c r="B40" i="18"/>
  <c r="F39" i="18"/>
  <c r="D39" i="18"/>
  <c r="E39" i="18" s="1"/>
  <c r="B39" i="18"/>
  <c r="F38" i="18"/>
  <c r="E38" i="18"/>
  <c r="D38" i="18"/>
  <c r="B38" i="18"/>
  <c r="F37" i="18"/>
  <c r="E37" i="18"/>
  <c r="D37" i="18"/>
  <c r="B37" i="18"/>
  <c r="D36" i="18"/>
  <c r="E36" i="18" s="1"/>
  <c r="B36" i="18"/>
  <c r="F35" i="18"/>
  <c r="E35" i="18"/>
  <c r="D35" i="18"/>
  <c r="B35" i="18"/>
  <c r="F34" i="18"/>
  <c r="E34" i="18"/>
  <c r="D34" i="18"/>
  <c r="B34" i="18"/>
  <c r="F33" i="18"/>
  <c r="E33" i="18"/>
  <c r="D33" i="18"/>
  <c r="B33" i="18"/>
  <c r="D32" i="18"/>
  <c r="E32" i="18" s="1"/>
  <c r="B32" i="18"/>
  <c r="F31" i="18"/>
  <c r="D31" i="18"/>
  <c r="E31" i="18" s="1"/>
  <c r="B31" i="18"/>
  <c r="F30" i="18"/>
  <c r="E30" i="18"/>
  <c r="D30" i="18"/>
  <c r="B30" i="18"/>
  <c r="F29" i="18"/>
  <c r="E29" i="18"/>
  <c r="D29" i="18"/>
  <c r="B29" i="18"/>
  <c r="F28" i="18"/>
  <c r="D28" i="18"/>
  <c r="E28" i="18" s="1"/>
  <c r="B28" i="18"/>
  <c r="F27" i="18"/>
  <c r="E27" i="18"/>
  <c r="D27" i="18"/>
  <c r="B27" i="18"/>
  <c r="F26" i="18"/>
  <c r="E26" i="18"/>
  <c r="D26" i="18"/>
  <c r="B26" i="18"/>
  <c r="F25" i="18"/>
  <c r="E25" i="18"/>
  <c r="D25" i="18"/>
  <c r="B25" i="18"/>
  <c r="F24" i="18"/>
  <c r="D24" i="18"/>
  <c r="E24" i="18" s="1"/>
  <c r="B24" i="18"/>
  <c r="F23" i="18"/>
  <c r="D23" i="18"/>
  <c r="E23" i="18" s="1"/>
  <c r="B23" i="18"/>
  <c r="F22" i="18"/>
  <c r="E22" i="18"/>
  <c r="D22" i="18"/>
  <c r="B22" i="18"/>
  <c r="F21" i="18"/>
  <c r="E21" i="18"/>
  <c r="D21" i="18"/>
  <c r="B21" i="18"/>
  <c r="D20" i="18"/>
  <c r="E20" i="18" s="1"/>
  <c r="B20" i="18"/>
  <c r="F19" i="18"/>
  <c r="E19" i="18"/>
  <c r="D19" i="18"/>
  <c r="B19" i="18"/>
  <c r="T18" i="18"/>
  <c r="T19" i="18" s="1"/>
  <c r="F18" i="18"/>
  <c r="E18" i="18"/>
  <c r="D18" i="18"/>
  <c r="B18" i="18"/>
  <c r="F17" i="18"/>
  <c r="E17" i="18"/>
  <c r="D17" i="18"/>
  <c r="B17" i="18"/>
  <c r="F16" i="18"/>
  <c r="E16" i="18"/>
  <c r="D16" i="18"/>
  <c r="B16" i="18"/>
  <c r="F15" i="18"/>
  <c r="D15" i="18"/>
  <c r="E15" i="18" s="1"/>
  <c r="B15" i="18"/>
  <c r="I14" i="18"/>
  <c r="F14" i="18"/>
  <c r="E14" i="18"/>
  <c r="D14" i="18"/>
  <c r="B14" i="18"/>
  <c r="F13" i="18"/>
  <c r="D13" i="18"/>
  <c r="E13" i="18" s="1"/>
  <c r="B13" i="18"/>
  <c r="F12" i="18"/>
  <c r="E12" i="18"/>
  <c r="D12" i="18"/>
  <c r="B12" i="18"/>
  <c r="F11" i="18"/>
  <c r="E11" i="18"/>
  <c r="D11" i="18"/>
  <c r="B11" i="18"/>
  <c r="F10" i="18"/>
  <c r="E10" i="18"/>
  <c r="D10" i="18"/>
  <c r="B10" i="18"/>
  <c r="F9" i="18"/>
  <c r="E9" i="18"/>
  <c r="D9" i="18"/>
  <c r="B9" i="18"/>
  <c r="F8" i="18"/>
  <c r="D8" i="18"/>
  <c r="E8" i="18" s="1"/>
  <c r="B8" i="18"/>
  <c r="T7" i="18"/>
  <c r="F7" i="18"/>
  <c r="D7" i="18"/>
  <c r="E7" i="18" s="1"/>
  <c r="B7" i="18"/>
  <c r="F6" i="18"/>
  <c r="D6" i="18"/>
  <c r="B6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D69" i="16"/>
  <c r="E69" i="16" s="1"/>
  <c r="B69" i="16"/>
  <c r="D68" i="16"/>
  <c r="E68" i="16" s="1"/>
  <c r="B68" i="16"/>
  <c r="I67" i="16"/>
  <c r="D67" i="16"/>
  <c r="E67" i="16" s="1"/>
  <c r="B67" i="16"/>
  <c r="E66" i="16"/>
  <c r="D66" i="16"/>
  <c r="B66" i="16"/>
  <c r="D65" i="16"/>
  <c r="E65" i="16" s="1"/>
  <c r="B65" i="16"/>
  <c r="E64" i="16"/>
  <c r="D64" i="16"/>
  <c r="B64" i="16"/>
  <c r="E63" i="16"/>
  <c r="D63" i="16"/>
  <c r="B63" i="16"/>
  <c r="I62" i="16"/>
  <c r="E62" i="16"/>
  <c r="D62" i="16"/>
  <c r="B62" i="16"/>
  <c r="E61" i="16"/>
  <c r="D61" i="16"/>
  <c r="B61" i="16"/>
  <c r="E60" i="16"/>
  <c r="D60" i="16"/>
  <c r="B60" i="16"/>
  <c r="D59" i="16"/>
  <c r="E59" i="16" s="1"/>
  <c r="B59" i="16"/>
  <c r="E58" i="16"/>
  <c r="D58" i="16"/>
  <c r="B58" i="16"/>
  <c r="E57" i="16"/>
  <c r="D57" i="16"/>
  <c r="B57" i="16"/>
  <c r="E56" i="16"/>
  <c r="D56" i="16"/>
  <c r="B56" i="16"/>
  <c r="D55" i="16"/>
  <c r="E55" i="16" s="1"/>
  <c r="B55" i="16"/>
  <c r="E54" i="16"/>
  <c r="D54" i="16"/>
  <c r="B54" i="16"/>
  <c r="I53" i="16"/>
  <c r="D53" i="16"/>
  <c r="E53" i="16" s="1"/>
  <c r="B53" i="16"/>
  <c r="E52" i="16"/>
  <c r="D52" i="16"/>
  <c r="B52" i="16"/>
  <c r="D51" i="16"/>
  <c r="E51" i="16" s="1"/>
  <c r="B51" i="16"/>
  <c r="E50" i="16"/>
  <c r="D50" i="16"/>
  <c r="B50" i="16"/>
  <c r="E49" i="16"/>
  <c r="D49" i="16"/>
  <c r="B49" i="16"/>
  <c r="D48" i="16"/>
  <c r="E48" i="16" s="1"/>
  <c r="B48" i="16"/>
  <c r="D47" i="16"/>
  <c r="E47" i="16" s="1"/>
  <c r="B47" i="16"/>
  <c r="E46" i="16"/>
  <c r="D46" i="16"/>
  <c r="B46" i="16"/>
  <c r="F45" i="16"/>
  <c r="E45" i="16"/>
  <c r="D45" i="16"/>
  <c r="B45" i="16"/>
  <c r="E44" i="16"/>
  <c r="D44" i="16"/>
  <c r="B44" i="16"/>
  <c r="I43" i="16"/>
  <c r="D43" i="16"/>
  <c r="E43" i="16" s="1"/>
  <c r="B43" i="16"/>
  <c r="E42" i="16"/>
  <c r="D42" i="16"/>
  <c r="B42" i="16"/>
  <c r="D41" i="16"/>
  <c r="E41" i="16" s="1"/>
  <c r="B41" i="16"/>
  <c r="E40" i="16"/>
  <c r="D40" i="16"/>
  <c r="B40" i="16"/>
  <c r="D39" i="16"/>
  <c r="E39" i="16" s="1"/>
  <c r="B39" i="16"/>
  <c r="D38" i="16"/>
  <c r="E38" i="16" s="1"/>
  <c r="B38" i="16"/>
  <c r="D37" i="16"/>
  <c r="E37" i="16" s="1"/>
  <c r="B37" i="16"/>
  <c r="E36" i="16"/>
  <c r="D36" i="16"/>
  <c r="B36" i="16"/>
  <c r="D35" i="16"/>
  <c r="E35" i="16" s="1"/>
  <c r="B35" i="16"/>
  <c r="I34" i="16"/>
  <c r="D34" i="16"/>
  <c r="E34" i="16" s="1"/>
  <c r="B34" i="16"/>
  <c r="E33" i="16"/>
  <c r="D33" i="16"/>
  <c r="B33" i="16"/>
  <c r="E32" i="16"/>
  <c r="D32" i="16"/>
  <c r="B32" i="16"/>
  <c r="D31" i="16"/>
  <c r="E31" i="16" s="1"/>
  <c r="B31" i="16"/>
  <c r="I30" i="16"/>
  <c r="D30" i="16"/>
  <c r="E30" i="16" s="1"/>
  <c r="B30" i="16"/>
  <c r="E29" i="16"/>
  <c r="D29" i="16"/>
  <c r="B29" i="16"/>
  <c r="E28" i="16"/>
  <c r="D28" i="16"/>
  <c r="B28" i="16"/>
  <c r="I27" i="16"/>
  <c r="D27" i="16"/>
  <c r="E27" i="16" s="1"/>
  <c r="B27" i="16"/>
  <c r="E26" i="16"/>
  <c r="D26" i="16"/>
  <c r="B26" i="16"/>
  <c r="D25" i="16"/>
  <c r="E25" i="16" s="1"/>
  <c r="B25" i="16"/>
  <c r="E24" i="16"/>
  <c r="D24" i="16"/>
  <c r="B24" i="16"/>
  <c r="I23" i="16"/>
  <c r="D23" i="16"/>
  <c r="E23" i="16" s="1"/>
  <c r="B23" i="16"/>
  <c r="D22" i="16"/>
  <c r="E22" i="16" s="1"/>
  <c r="B22" i="16"/>
  <c r="E21" i="16"/>
  <c r="D21" i="16"/>
  <c r="B21" i="16"/>
  <c r="T20" i="16"/>
  <c r="I20" i="16"/>
  <c r="D20" i="16"/>
  <c r="E20" i="16" s="1"/>
  <c r="B20" i="16"/>
  <c r="T19" i="16"/>
  <c r="E19" i="16"/>
  <c r="D19" i="16"/>
  <c r="B19" i="16"/>
  <c r="I18" i="16"/>
  <c r="D18" i="16"/>
  <c r="E18" i="16" s="1"/>
  <c r="B18" i="16"/>
  <c r="E17" i="16"/>
  <c r="D17" i="16"/>
  <c r="B17" i="16"/>
  <c r="D16" i="16"/>
  <c r="E16" i="16" s="1"/>
  <c r="B16" i="16"/>
  <c r="E15" i="16"/>
  <c r="D15" i="16"/>
  <c r="B15" i="16"/>
  <c r="E14" i="16"/>
  <c r="D14" i="16"/>
  <c r="B14" i="16"/>
  <c r="E13" i="16"/>
  <c r="D13" i="16"/>
  <c r="B13" i="16"/>
  <c r="E12" i="16"/>
  <c r="D12" i="16"/>
  <c r="B12" i="16"/>
  <c r="D11" i="16"/>
  <c r="E11" i="16" s="1"/>
  <c r="B11" i="16"/>
  <c r="I10" i="16"/>
  <c r="F10" i="16"/>
  <c r="E10" i="16"/>
  <c r="D10" i="16"/>
  <c r="B10" i="16"/>
  <c r="D9" i="16"/>
  <c r="E9" i="16" s="1"/>
  <c r="B9" i="16"/>
  <c r="E8" i="16"/>
  <c r="D8" i="16"/>
  <c r="B8" i="16"/>
  <c r="T7" i="16"/>
  <c r="I58" i="16" s="1"/>
  <c r="F7" i="16"/>
  <c r="D7" i="16"/>
  <c r="E7" i="16" s="1"/>
  <c r="B7" i="16"/>
  <c r="D6" i="16"/>
  <c r="B6" i="16"/>
  <c r="I5" i="16"/>
  <c r="K66" i="15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F61" i="14" s="1"/>
  <c r="F69" i="14"/>
  <c r="E69" i="14"/>
  <c r="D69" i="14"/>
  <c r="B69" i="14"/>
  <c r="F68" i="14"/>
  <c r="E68" i="14"/>
  <c r="D68" i="14"/>
  <c r="B68" i="14"/>
  <c r="F67" i="14"/>
  <c r="D67" i="14"/>
  <c r="E67" i="14" s="1"/>
  <c r="B67" i="14"/>
  <c r="I66" i="14"/>
  <c r="D66" i="14"/>
  <c r="E66" i="14" s="1"/>
  <c r="B66" i="14"/>
  <c r="I65" i="14"/>
  <c r="E65" i="14"/>
  <c r="D65" i="14"/>
  <c r="B65" i="14"/>
  <c r="F64" i="14"/>
  <c r="E64" i="14"/>
  <c r="D64" i="14"/>
  <c r="B64" i="14"/>
  <c r="F63" i="14"/>
  <c r="D63" i="14"/>
  <c r="E63" i="14" s="1"/>
  <c r="B63" i="14"/>
  <c r="E62" i="14"/>
  <c r="D62" i="14"/>
  <c r="B62" i="14"/>
  <c r="I61" i="14"/>
  <c r="D61" i="14"/>
  <c r="E61" i="14" s="1"/>
  <c r="B61" i="14"/>
  <c r="E60" i="14"/>
  <c r="D60" i="14"/>
  <c r="B60" i="14"/>
  <c r="I59" i="14"/>
  <c r="D59" i="14"/>
  <c r="E59" i="14" s="1"/>
  <c r="B59" i="14"/>
  <c r="E58" i="14"/>
  <c r="D58" i="14"/>
  <c r="B58" i="14"/>
  <c r="E57" i="14"/>
  <c r="D57" i="14"/>
  <c r="B57" i="14"/>
  <c r="E56" i="14"/>
  <c r="D56" i="14"/>
  <c r="B56" i="14"/>
  <c r="D55" i="14"/>
  <c r="E55" i="14" s="1"/>
  <c r="B55" i="14"/>
  <c r="I54" i="14"/>
  <c r="E54" i="14"/>
  <c r="D54" i="14"/>
  <c r="B54" i="14"/>
  <c r="F53" i="14"/>
  <c r="E53" i="14"/>
  <c r="D53" i="14"/>
  <c r="B53" i="14"/>
  <c r="F52" i="14"/>
  <c r="E52" i="14"/>
  <c r="D52" i="14"/>
  <c r="B52" i="14"/>
  <c r="F51" i="14"/>
  <c r="D51" i="14"/>
  <c r="E51" i="14" s="1"/>
  <c r="B51" i="14"/>
  <c r="I50" i="14"/>
  <c r="F50" i="14"/>
  <c r="E50" i="14"/>
  <c r="D50" i="14"/>
  <c r="B50" i="14"/>
  <c r="F49" i="14"/>
  <c r="D49" i="14"/>
  <c r="E49" i="14" s="1"/>
  <c r="B49" i="14"/>
  <c r="F48" i="14"/>
  <c r="E48" i="14"/>
  <c r="D48" i="14"/>
  <c r="B48" i="14"/>
  <c r="I47" i="14"/>
  <c r="D47" i="14"/>
  <c r="E47" i="14" s="1"/>
  <c r="B47" i="14"/>
  <c r="I46" i="14"/>
  <c r="D46" i="14"/>
  <c r="E46" i="14" s="1"/>
  <c r="B46" i="14"/>
  <c r="I45" i="14"/>
  <c r="D45" i="14"/>
  <c r="E45" i="14" s="1"/>
  <c r="B45" i="14"/>
  <c r="I44" i="14"/>
  <c r="E44" i="14"/>
  <c r="D44" i="14"/>
  <c r="B44" i="14"/>
  <c r="I43" i="14"/>
  <c r="F43" i="14"/>
  <c r="E43" i="14"/>
  <c r="D43" i="14"/>
  <c r="B43" i="14"/>
  <c r="F42" i="14"/>
  <c r="D42" i="14"/>
  <c r="E42" i="14" s="1"/>
  <c r="B42" i="14"/>
  <c r="F41" i="14"/>
  <c r="E41" i="14"/>
  <c r="D41" i="14"/>
  <c r="B41" i="14"/>
  <c r="F40" i="14"/>
  <c r="E40" i="14"/>
  <c r="D40" i="14"/>
  <c r="B40" i="14"/>
  <c r="I39" i="14"/>
  <c r="D39" i="14"/>
  <c r="E39" i="14" s="1"/>
  <c r="B39" i="14"/>
  <c r="I38" i="14"/>
  <c r="D38" i="14"/>
  <c r="E38" i="14" s="1"/>
  <c r="B38" i="14"/>
  <c r="I37" i="14"/>
  <c r="D37" i="14"/>
  <c r="E37" i="14" s="1"/>
  <c r="B37" i="14"/>
  <c r="E36" i="14"/>
  <c r="D36" i="14"/>
  <c r="B36" i="14"/>
  <c r="F35" i="14"/>
  <c r="D35" i="14"/>
  <c r="E35" i="14" s="1"/>
  <c r="B35" i="14"/>
  <c r="I34" i="14"/>
  <c r="F34" i="14"/>
  <c r="E34" i="14"/>
  <c r="D34" i="14"/>
  <c r="B34" i="14"/>
  <c r="I33" i="14"/>
  <c r="F33" i="14"/>
  <c r="E33" i="14"/>
  <c r="D33" i="14"/>
  <c r="B33" i="14"/>
  <c r="E32" i="14"/>
  <c r="D32" i="14"/>
  <c r="B32" i="14"/>
  <c r="I31" i="14"/>
  <c r="D31" i="14"/>
  <c r="E31" i="14" s="1"/>
  <c r="B31" i="14"/>
  <c r="I30" i="14"/>
  <c r="F30" i="14"/>
  <c r="D30" i="14"/>
  <c r="E30" i="14" s="1"/>
  <c r="B30" i="14"/>
  <c r="D29" i="14"/>
  <c r="E29" i="14" s="1"/>
  <c r="B29" i="14"/>
  <c r="I28" i="14"/>
  <c r="E28" i="14"/>
  <c r="D28" i="14"/>
  <c r="B28" i="14"/>
  <c r="I27" i="14"/>
  <c r="F27" i="14"/>
  <c r="E27" i="14"/>
  <c r="D27" i="14"/>
  <c r="B27" i="14"/>
  <c r="I26" i="14"/>
  <c r="F26" i="14"/>
  <c r="E26" i="14"/>
  <c r="D26" i="14"/>
  <c r="B26" i="14"/>
  <c r="F25" i="14"/>
  <c r="D25" i="14"/>
  <c r="E25" i="14" s="1"/>
  <c r="B25" i="14"/>
  <c r="F24" i="14"/>
  <c r="E24" i="14"/>
  <c r="D24" i="14"/>
  <c r="B24" i="14"/>
  <c r="I23" i="14"/>
  <c r="F23" i="14"/>
  <c r="D23" i="14"/>
  <c r="E23" i="14" s="1"/>
  <c r="B23" i="14"/>
  <c r="E22" i="14"/>
  <c r="D22" i="14"/>
  <c r="B22" i="14"/>
  <c r="F21" i="14"/>
  <c r="D21" i="14"/>
  <c r="E21" i="14" s="1"/>
  <c r="B21" i="14"/>
  <c r="F20" i="14"/>
  <c r="E20" i="14"/>
  <c r="D20" i="14"/>
  <c r="B20" i="14"/>
  <c r="I19" i="14"/>
  <c r="F19" i="14"/>
  <c r="D19" i="14"/>
  <c r="E19" i="14" s="1"/>
  <c r="B19" i="14"/>
  <c r="I18" i="14"/>
  <c r="F18" i="14"/>
  <c r="E18" i="14"/>
  <c r="D18" i="14"/>
  <c r="B18" i="14"/>
  <c r="I17" i="14"/>
  <c r="D17" i="14"/>
  <c r="E17" i="14" s="1"/>
  <c r="B17" i="14"/>
  <c r="T16" i="14"/>
  <c r="T17" i="14" s="1"/>
  <c r="F16" i="14"/>
  <c r="D16" i="14"/>
  <c r="E16" i="14" s="1"/>
  <c r="B16" i="14"/>
  <c r="F15" i="14"/>
  <c r="G15" i="14" s="1"/>
  <c r="E15" i="14"/>
  <c r="D15" i="14"/>
  <c r="B15" i="14"/>
  <c r="I14" i="14"/>
  <c r="F14" i="14"/>
  <c r="D14" i="14"/>
  <c r="E14" i="14" s="1"/>
  <c r="B14" i="14"/>
  <c r="D13" i="14"/>
  <c r="E13" i="14" s="1"/>
  <c r="B13" i="14"/>
  <c r="F12" i="14"/>
  <c r="D12" i="14"/>
  <c r="E12" i="14" s="1"/>
  <c r="B12" i="14"/>
  <c r="I11" i="14"/>
  <c r="D11" i="14"/>
  <c r="E11" i="14" s="1"/>
  <c r="B11" i="14"/>
  <c r="I10" i="14"/>
  <c r="E10" i="14"/>
  <c r="D10" i="14"/>
  <c r="B10" i="14"/>
  <c r="I9" i="14"/>
  <c r="F9" i="14"/>
  <c r="E9" i="14"/>
  <c r="D9" i="14"/>
  <c r="B9" i="14"/>
  <c r="T8" i="14"/>
  <c r="T9" i="14" s="1"/>
  <c r="F8" i="14"/>
  <c r="D8" i="14"/>
  <c r="E8" i="14" s="1"/>
  <c r="B8" i="14"/>
  <c r="T7" i="14"/>
  <c r="D7" i="14"/>
  <c r="E7" i="14" s="1"/>
  <c r="B7" i="14"/>
  <c r="I6" i="14"/>
  <c r="D6" i="14"/>
  <c r="B6" i="14"/>
  <c r="J5" i="14"/>
  <c r="I5" i="14"/>
  <c r="J4" i="14"/>
  <c r="I4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F70" i="12"/>
  <c r="C70" i="12"/>
  <c r="F69" i="12"/>
  <c r="D69" i="12"/>
  <c r="E69" i="12" s="1"/>
  <c r="B69" i="12"/>
  <c r="I68" i="12"/>
  <c r="E68" i="12"/>
  <c r="D68" i="12"/>
  <c r="B68" i="12"/>
  <c r="F67" i="12"/>
  <c r="E67" i="12"/>
  <c r="D67" i="12"/>
  <c r="B67" i="12"/>
  <c r="I66" i="12"/>
  <c r="F66" i="12"/>
  <c r="E66" i="12"/>
  <c r="D66" i="12"/>
  <c r="B66" i="12"/>
  <c r="I65" i="12"/>
  <c r="F65" i="12"/>
  <c r="D65" i="12"/>
  <c r="E65" i="12" s="1"/>
  <c r="B65" i="12"/>
  <c r="I64" i="12"/>
  <c r="E64" i="12"/>
  <c r="D64" i="12"/>
  <c r="B64" i="12"/>
  <c r="F63" i="12"/>
  <c r="E63" i="12"/>
  <c r="D63" i="12"/>
  <c r="B63" i="12"/>
  <c r="I62" i="12"/>
  <c r="F62" i="12"/>
  <c r="E62" i="12"/>
  <c r="D62" i="12"/>
  <c r="B62" i="12"/>
  <c r="I61" i="12"/>
  <c r="F61" i="12"/>
  <c r="D61" i="12"/>
  <c r="E61" i="12" s="1"/>
  <c r="B61" i="12"/>
  <c r="I60" i="12"/>
  <c r="E60" i="12"/>
  <c r="D60" i="12"/>
  <c r="B60" i="12"/>
  <c r="F59" i="12"/>
  <c r="E59" i="12"/>
  <c r="D59" i="12"/>
  <c r="B59" i="12"/>
  <c r="I58" i="12"/>
  <c r="F58" i="12"/>
  <c r="E58" i="12"/>
  <c r="D58" i="12"/>
  <c r="B58" i="12"/>
  <c r="F57" i="12"/>
  <c r="D57" i="12"/>
  <c r="E57" i="12" s="1"/>
  <c r="B57" i="12"/>
  <c r="I56" i="12"/>
  <c r="E56" i="12"/>
  <c r="D56" i="12"/>
  <c r="B56" i="12"/>
  <c r="F55" i="12"/>
  <c r="E55" i="12"/>
  <c r="D55" i="12"/>
  <c r="B55" i="12"/>
  <c r="I54" i="12"/>
  <c r="F54" i="12"/>
  <c r="E54" i="12"/>
  <c r="D54" i="12"/>
  <c r="B54" i="12"/>
  <c r="I53" i="12"/>
  <c r="F53" i="12"/>
  <c r="D53" i="12"/>
  <c r="E53" i="12" s="1"/>
  <c r="B53" i="12"/>
  <c r="I52" i="12"/>
  <c r="E52" i="12"/>
  <c r="D52" i="12"/>
  <c r="B52" i="12"/>
  <c r="F51" i="12"/>
  <c r="E51" i="12"/>
  <c r="D51" i="12"/>
  <c r="B51" i="12"/>
  <c r="I50" i="12"/>
  <c r="F50" i="12"/>
  <c r="E50" i="12"/>
  <c r="D50" i="12"/>
  <c r="B50" i="12"/>
  <c r="I49" i="12"/>
  <c r="F49" i="12"/>
  <c r="D49" i="12"/>
  <c r="E49" i="12" s="1"/>
  <c r="B49" i="12"/>
  <c r="I48" i="12"/>
  <c r="E48" i="12"/>
  <c r="D48" i="12"/>
  <c r="B48" i="12"/>
  <c r="F47" i="12"/>
  <c r="E47" i="12"/>
  <c r="D47" i="12"/>
  <c r="B47" i="12"/>
  <c r="I46" i="12"/>
  <c r="F46" i="12"/>
  <c r="E46" i="12"/>
  <c r="D46" i="12"/>
  <c r="B46" i="12"/>
  <c r="F45" i="12"/>
  <c r="D45" i="12"/>
  <c r="E45" i="12" s="1"/>
  <c r="B45" i="12"/>
  <c r="I44" i="12"/>
  <c r="E44" i="12"/>
  <c r="D44" i="12"/>
  <c r="B44" i="12"/>
  <c r="F43" i="12"/>
  <c r="E43" i="12"/>
  <c r="D43" i="12"/>
  <c r="B43" i="12"/>
  <c r="I42" i="12"/>
  <c r="F42" i="12"/>
  <c r="E42" i="12"/>
  <c r="D42" i="12"/>
  <c r="B42" i="12"/>
  <c r="I41" i="12"/>
  <c r="F41" i="12"/>
  <c r="D41" i="12"/>
  <c r="E41" i="12" s="1"/>
  <c r="B41" i="12"/>
  <c r="I40" i="12"/>
  <c r="E40" i="12"/>
  <c r="D40" i="12"/>
  <c r="B40" i="12"/>
  <c r="I39" i="12"/>
  <c r="F39" i="12"/>
  <c r="E39" i="12"/>
  <c r="D39" i="12"/>
  <c r="B39" i="12"/>
  <c r="I38" i="12"/>
  <c r="F38" i="12"/>
  <c r="G38" i="12" s="1"/>
  <c r="J38" i="12" s="1"/>
  <c r="E38" i="12"/>
  <c r="D38" i="12"/>
  <c r="B38" i="12"/>
  <c r="I37" i="12"/>
  <c r="F37" i="12"/>
  <c r="D37" i="12"/>
  <c r="E37" i="12" s="1"/>
  <c r="B37" i="12"/>
  <c r="I36" i="12"/>
  <c r="E36" i="12"/>
  <c r="D36" i="12"/>
  <c r="B36" i="12"/>
  <c r="F35" i="12"/>
  <c r="E35" i="12"/>
  <c r="D35" i="12"/>
  <c r="B35" i="12"/>
  <c r="I34" i="12"/>
  <c r="F34" i="12"/>
  <c r="E34" i="12"/>
  <c r="D34" i="12"/>
  <c r="B34" i="12"/>
  <c r="F33" i="12"/>
  <c r="D33" i="12"/>
  <c r="E33" i="12" s="1"/>
  <c r="B33" i="12"/>
  <c r="I32" i="12"/>
  <c r="E32" i="12"/>
  <c r="D32" i="12"/>
  <c r="B32" i="12"/>
  <c r="I31" i="12"/>
  <c r="F31" i="12"/>
  <c r="E31" i="12"/>
  <c r="D31" i="12"/>
  <c r="B31" i="12"/>
  <c r="F30" i="12"/>
  <c r="E30" i="12"/>
  <c r="D30" i="12"/>
  <c r="B30" i="12"/>
  <c r="I29" i="12"/>
  <c r="F29" i="12"/>
  <c r="E29" i="12"/>
  <c r="D29" i="12"/>
  <c r="B29" i="12"/>
  <c r="I28" i="12"/>
  <c r="F28" i="12"/>
  <c r="E28" i="12"/>
  <c r="D28" i="12"/>
  <c r="B28" i="12"/>
  <c r="I27" i="12"/>
  <c r="F27" i="12"/>
  <c r="E27" i="12"/>
  <c r="D27" i="12"/>
  <c r="B27" i="12"/>
  <c r="F26" i="12"/>
  <c r="E26" i="12"/>
  <c r="D26" i="12"/>
  <c r="B26" i="12"/>
  <c r="I25" i="12"/>
  <c r="F25" i="12"/>
  <c r="E25" i="12"/>
  <c r="D25" i="12"/>
  <c r="B25" i="12"/>
  <c r="I24" i="12"/>
  <c r="F24" i="12"/>
  <c r="E24" i="12"/>
  <c r="D24" i="12"/>
  <c r="B24" i="12"/>
  <c r="I23" i="12"/>
  <c r="F23" i="12"/>
  <c r="G23" i="12" s="1"/>
  <c r="J23" i="12" s="1"/>
  <c r="E23" i="12"/>
  <c r="D23" i="12"/>
  <c r="B23" i="12"/>
  <c r="I22" i="12"/>
  <c r="F22" i="12"/>
  <c r="E22" i="12"/>
  <c r="D22" i="12"/>
  <c r="B22" i="12"/>
  <c r="I21" i="12"/>
  <c r="F21" i="12"/>
  <c r="D21" i="12"/>
  <c r="E21" i="12" s="1"/>
  <c r="B21" i="12"/>
  <c r="I20" i="12"/>
  <c r="F20" i="12"/>
  <c r="D20" i="12"/>
  <c r="E20" i="12" s="1"/>
  <c r="B20" i="12"/>
  <c r="T19" i="12"/>
  <c r="I19" i="12"/>
  <c r="F19" i="12"/>
  <c r="D19" i="12"/>
  <c r="E19" i="12" s="1"/>
  <c r="B19" i="12"/>
  <c r="T18" i="12"/>
  <c r="I18" i="12"/>
  <c r="F18" i="12"/>
  <c r="D18" i="12"/>
  <c r="E18" i="12" s="1"/>
  <c r="B18" i="12"/>
  <c r="I17" i="12"/>
  <c r="F17" i="12"/>
  <c r="E17" i="12"/>
  <c r="D17" i="12"/>
  <c r="B17" i="12"/>
  <c r="I16" i="12"/>
  <c r="F16" i="12"/>
  <c r="D16" i="12"/>
  <c r="E16" i="12" s="1"/>
  <c r="B16" i="12"/>
  <c r="F15" i="12"/>
  <c r="E15" i="12"/>
  <c r="D15" i="12"/>
  <c r="B15" i="12"/>
  <c r="I14" i="12"/>
  <c r="F14" i="12"/>
  <c r="D14" i="12"/>
  <c r="E14" i="12" s="1"/>
  <c r="B14" i="12"/>
  <c r="I13" i="12"/>
  <c r="F13" i="12"/>
  <c r="E13" i="12"/>
  <c r="D13" i="12"/>
  <c r="B13" i="12"/>
  <c r="I12" i="12"/>
  <c r="F12" i="12"/>
  <c r="D12" i="12"/>
  <c r="E12" i="12" s="1"/>
  <c r="B12" i="12"/>
  <c r="I11" i="12"/>
  <c r="F11" i="12"/>
  <c r="D11" i="12"/>
  <c r="E11" i="12" s="1"/>
  <c r="B11" i="12"/>
  <c r="I10" i="12"/>
  <c r="F10" i="12"/>
  <c r="D10" i="12"/>
  <c r="E10" i="12" s="1"/>
  <c r="B10" i="12"/>
  <c r="I9" i="12"/>
  <c r="F9" i="12"/>
  <c r="E9" i="12"/>
  <c r="D9" i="12"/>
  <c r="B9" i="12"/>
  <c r="T8" i="12"/>
  <c r="T9" i="12" s="1"/>
  <c r="I8" i="12"/>
  <c r="F8" i="12"/>
  <c r="E8" i="12"/>
  <c r="D8" i="12"/>
  <c r="B8" i="12"/>
  <c r="T7" i="12"/>
  <c r="I59" i="12" s="1"/>
  <c r="I7" i="12"/>
  <c r="F7" i="12"/>
  <c r="E7" i="12"/>
  <c r="D7" i="12"/>
  <c r="B7" i="12"/>
  <c r="I6" i="12"/>
  <c r="F6" i="12"/>
  <c r="D6" i="12"/>
  <c r="B6" i="12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K66" i="11" s="1"/>
  <c r="B2" i="11"/>
  <c r="O70" i="10"/>
  <c r="N70" i="10"/>
  <c r="M70" i="10"/>
  <c r="L70" i="10"/>
  <c r="H70" i="10"/>
  <c r="F70" i="10"/>
  <c r="C70" i="10"/>
  <c r="F69" i="10"/>
  <c r="E69" i="10"/>
  <c r="D69" i="10"/>
  <c r="B69" i="10"/>
  <c r="F68" i="10"/>
  <c r="D68" i="10"/>
  <c r="E68" i="10" s="1"/>
  <c r="B68" i="10"/>
  <c r="F67" i="10"/>
  <c r="E67" i="10"/>
  <c r="D67" i="10"/>
  <c r="B67" i="10"/>
  <c r="I66" i="10"/>
  <c r="F66" i="10"/>
  <c r="D66" i="10"/>
  <c r="E66" i="10" s="1"/>
  <c r="B66" i="10"/>
  <c r="F65" i="10"/>
  <c r="E65" i="10"/>
  <c r="D65" i="10"/>
  <c r="B65" i="10"/>
  <c r="F64" i="10"/>
  <c r="D64" i="10"/>
  <c r="E64" i="10" s="1"/>
  <c r="B64" i="10"/>
  <c r="F63" i="10"/>
  <c r="E63" i="10"/>
  <c r="D63" i="10"/>
  <c r="B63" i="10"/>
  <c r="I62" i="10"/>
  <c r="F62" i="10"/>
  <c r="D62" i="10"/>
  <c r="E62" i="10" s="1"/>
  <c r="B62" i="10"/>
  <c r="F61" i="10"/>
  <c r="E61" i="10"/>
  <c r="D61" i="10"/>
  <c r="B61" i="10"/>
  <c r="F60" i="10"/>
  <c r="D60" i="10"/>
  <c r="E60" i="10" s="1"/>
  <c r="B60" i="10"/>
  <c r="F59" i="10"/>
  <c r="E59" i="10"/>
  <c r="D59" i="10"/>
  <c r="B59" i="10"/>
  <c r="I58" i="10"/>
  <c r="F58" i="10"/>
  <c r="D58" i="10"/>
  <c r="E58" i="10" s="1"/>
  <c r="B58" i="10"/>
  <c r="F57" i="10"/>
  <c r="E57" i="10"/>
  <c r="D57" i="10"/>
  <c r="B57" i="10"/>
  <c r="F56" i="10"/>
  <c r="D56" i="10"/>
  <c r="E56" i="10" s="1"/>
  <c r="B56" i="10"/>
  <c r="F55" i="10"/>
  <c r="E55" i="10"/>
  <c r="D55" i="10"/>
  <c r="B55" i="10"/>
  <c r="I54" i="10"/>
  <c r="F54" i="10"/>
  <c r="D54" i="10"/>
  <c r="E54" i="10" s="1"/>
  <c r="B54" i="10"/>
  <c r="F53" i="10"/>
  <c r="E53" i="10"/>
  <c r="D53" i="10"/>
  <c r="B53" i="10"/>
  <c r="F52" i="10"/>
  <c r="D52" i="10"/>
  <c r="E52" i="10" s="1"/>
  <c r="B52" i="10"/>
  <c r="F51" i="10"/>
  <c r="E51" i="10"/>
  <c r="D51" i="10"/>
  <c r="B51" i="10"/>
  <c r="I50" i="10"/>
  <c r="F50" i="10"/>
  <c r="D50" i="10"/>
  <c r="E50" i="10" s="1"/>
  <c r="B50" i="10"/>
  <c r="F49" i="10"/>
  <c r="E49" i="10"/>
  <c r="D49" i="10"/>
  <c r="B49" i="10"/>
  <c r="F48" i="10"/>
  <c r="D48" i="10"/>
  <c r="E48" i="10" s="1"/>
  <c r="B48" i="10"/>
  <c r="F47" i="10"/>
  <c r="E47" i="10"/>
  <c r="D47" i="10"/>
  <c r="B47" i="10"/>
  <c r="I46" i="10"/>
  <c r="F46" i="10"/>
  <c r="D46" i="10"/>
  <c r="E46" i="10" s="1"/>
  <c r="B46" i="10"/>
  <c r="F45" i="10"/>
  <c r="E45" i="10"/>
  <c r="D45" i="10"/>
  <c r="B45" i="10"/>
  <c r="F44" i="10"/>
  <c r="D44" i="10"/>
  <c r="E44" i="10" s="1"/>
  <c r="B44" i="10"/>
  <c r="F43" i="10"/>
  <c r="E43" i="10"/>
  <c r="D43" i="10"/>
  <c r="B43" i="10"/>
  <c r="I42" i="10"/>
  <c r="F42" i="10"/>
  <c r="D42" i="10"/>
  <c r="E42" i="10" s="1"/>
  <c r="B42" i="10"/>
  <c r="F41" i="10"/>
  <c r="E41" i="10"/>
  <c r="D41" i="10"/>
  <c r="B41" i="10"/>
  <c r="F40" i="10"/>
  <c r="D40" i="10"/>
  <c r="E40" i="10" s="1"/>
  <c r="B40" i="10"/>
  <c r="F39" i="10"/>
  <c r="E39" i="10"/>
  <c r="D39" i="10"/>
  <c r="B39" i="10"/>
  <c r="I38" i="10"/>
  <c r="F38" i="10"/>
  <c r="D38" i="10"/>
  <c r="E38" i="10" s="1"/>
  <c r="B38" i="10"/>
  <c r="F37" i="10"/>
  <c r="E37" i="10"/>
  <c r="D37" i="10"/>
  <c r="B37" i="10"/>
  <c r="F36" i="10"/>
  <c r="D36" i="10"/>
  <c r="E36" i="10" s="1"/>
  <c r="B36" i="10"/>
  <c r="F35" i="10"/>
  <c r="E35" i="10"/>
  <c r="D35" i="10"/>
  <c r="B35" i="10"/>
  <c r="I34" i="10"/>
  <c r="F34" i="10"/>
  <c r="D34" i="10"/>
  <c r="E34" i="10" s="1"/>
  <c r="B34" i="10"/>
  <c r="F33" i="10"/>
  <c r="E33" i="10"/>
  <c r="D33" i="10"/>
  <c r="B33" i="10"/>
  <c r="F32" i="10"/>
  <c r="D32" i="10"/>
  <c r="E32" i="10" s="1"/>
  <c r="B32" i="10"/>
  <c r="F31" i="10"/>
  <c r="E31" i="10"/>
  <c r="D31" i="10"/>
  <c r="B31" i="10"/>
  <c r="I30" i="10"/>
  <c r="F30" i="10"/>
  <c r="D30" i="10"/>
  <c r="E30" i="10" s="1"/>
  <c r="B30" i="10"/>
  <c r="I29" i="10"/>
  <c r="F29" i="10"/>
  <c r="E29" i="10"/>
  <c r="D29" i="10"/>
  <c r="B29" i="10"/>
  <c r="F28" i="10"/>
  <c r="D28" i="10"/>
  <c r="E28" i="10" s="1"/>
  <c r="B28" i="10"/>
  <c r="F27" i="10"/>
  <c r="E27" i="10"/>
  <c r="D27" i="10"/>
  <c r="B27" i="10"/>
  <c r="I26" i="10"/>
  <c r="F26" i="10"/>
  <c r="D26" i="10"/>
  <c r="E26" i="10" s="1"/>
  <c r="B26" i="10"/>
  <c r="I25" i="10"/>
  <c r="F25" i="10"/>
  <c r="E25" i="10"/>
  <c r="D25" i="10"/>
  <c r="B25" i="10"/>
  <c r="F24" i="10"/>
  <c r="D24" i="10"/>
  <c r="E24" i="10" s="1"/>
  <c r="B24" i="10"/>
  <c r="F23" i="10"/>
  <c r="E23" i="10"/>
  <c r="D23" i="10"/>
  <c r="B23" i="10"/>
  <c r="I22" i="10"/>
  <c r="F22" i="10"/>
  <c r="G22" i="10" s="1"/>
  <c r="J22" i="10" s="1"/>
  <c r="D22" i="10"/>
  <c r="E22" i="10" s="1"/>
  <c r="B22" i="10"/>
  <c r="I21" i="10"/>
  <c r="F21" i="10"/>
  <c r="E21" i="10"/>
  <c r="D21" i="10"/>
  <c r="B21" i="10"/>
  <c r="F20" i="10"/>
  <c r="E20" i="10"/>
  <c r="D20" i="10"/>
  <c r="B20" i="10"/>
  <c r="F19" i="10"/>
  <c r="D19" i="10"/>
  <c r="E19" i="10" s="1"/>
  <c r="B19" i="10"/>
  <c r="I18" i="10"/>
  <c r="F18" i="10"/>
  <c r="D18" i="10"/>
  <c r="E18" i="10" s="1"/>
  <c r="B18" i="10"/>
  <c r="I17" i="10"/>
  <c r="F17" i="10"/>
  <c r="E17" i="10"/>
  <c r="D17" i="10"/>
  <c r="B17" i="10"/>
  <c r="T16" i="10"/>
  <c r="T17" i="10" s="1"/>
  <c r="I16" i="10"/>
  <c r="F16" i="10"/>
  <c r="E16" i="10"/>
  <c r="D16" i="10"/>
  <c r="B16" i="10"/>
  <c r="F15" i="10"/>
  <c r="D15" i="10"/>
  <c r="E15" i="10" s="1"/>
  <c r="B15" i="10"/>
  <c r="F14" i="10"/>
  <c r="G14" i="10" s="1"/>
  <c r="E14" i="10"/>
  <c r="D14" i="10"/>
  <c r="B14" i="10"/>
  <c r="I13" i="10"/>
  <c r="F13" i="10"/>
  <c r="D13" i="10"/>
  <c r="E13" i="10" s="1"/>
  <c r="B13" i="10"/>
  <c r="I12" i="10"/>
  <c r="F12" i="10"/>
  <c r="E12" i="10"/>
  <c r="D12" i="10"/>
  <c r="B12" i="10"/>
  <c r="F11" i="10"/>
  <c r="E11" i="10"/>
  <c r="D11" i="10"/>
  <c r="B11" i="10"/>
  <c r="F10" i="10"/>
  <c r="D10" i="10"/>
  <c r="E10" i="10" s="1"/>
  <c r="B10" i="10"/>
  <c r="T9" i="10"/>
  <c r="I9" i="10"/>
  <c r="F9" i="10"/>
  <c r="E9" i="10"/>
  <c r="D9" i="10"/>
  <c r="B9" i="10"/>
  <c r="T8" i="10"/>
  <c r="I8" i="10"/>
  <c r="F8" i="10"/>
  <c r="D8" i="10"/>
  <c r="E8" i="10" s="1"/>
  <c r="B8" i="10"/>
  <c r="T7" i="10"/>
  <c r="I67" i="10" s="1"/>
  <c r="I7" i="10"/>
  <c r="F7" i="10"/>
  <c r="D7" i="10"/>
  <c r="E7" i="10" s="1"/>
  <c r="B7" i="10"/>
  <c r="F6" i="10"/>
  <c r="E6" i="10"/>
  <c r="D6" i="10"/>
  <c r="B6" i="10"/>
  <c r="I5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K66" i="9" s="1"/>
  <c r="B2" i="9"/>
  <c r="O70" i="8"/>
  <c r="N70" i="8"/>
  <c r="M70" i="8"/>
  <c r="L70" i="8"/>
  <c r="H70" i="8"/>
  <c r="C70" i="8"/>
  <c r="D69" i="8"/>
  <c r="E69" i="8" s="1"/>
  <c r="F69" i="8" s="1"/>
  <c r="B69" i="8"/>
  <c r="E68" i="8"/>
  <c r="D68" i="8"/>
  <c r="B68" i="8"/>
  <c r="I67" i="8"/>
  <c r="E67" i="8"/>
  <c r="F67" i="8" s="1"/>
  <c r="D67" i="8"/>
  <c r="B67" i="8"/>
  <c r="E66" i="8"/>
  <c r="F66" i="8" s="1"/>
  <c r="D66" i="8"/>
  <c r="B66" i="8"/>
  <c r="F65" i="8"/>
  <c r="G65" i="8" s="1"/>
  <c r="D65" i="8"/>
  <c r="E65" i="8" s="1"/>
  <c r="B65" i="8"/>
  <c r="E64" i="8"/>
  <c r="D64" i="8"/>
  <c r="B64" i="8"/>
  <c r="I63" i="8"/>
  <c r="E63" i="8"/>
  <c r="F63" i="8" s="1"/>
  <c r="D63" i="8"/>
  <c r="B63" i="8"/>
  <c r="E62" i="8"/>
  <c r="F62" i="8" s="1"/>
  <c r="G62" i="8" s="1"/>
  <c r="D62" i="8"/>
  <c r="B62" i="8"/>
  <c r="D61" i="8"/>
  <c r="E61" i="8" s="1"/>
  <c r="F61" i="8" s="1"/>
  <c r="G61" i="8" s="1"/>
  <c r="B61" i="8"/>
  <c r="E60" i="8"/>
  <c r="D60" i="8"/>
  <c r="B60" i="8"/>
  <c r="I59" i="8"/>
  <c r="F59" i="8"/>
  <c r="E59" i="8"/>
  <c r="D59" i="8"/>
  <c r="B59" i="8"/>
  <c r="E58" i="8"/>
  <c r="F58" i="8" s="1"/>
  <c r="D58" i="8"/>
  <c r="B58" i="8"/>
  <c r="D57" i="8"/>
  <c r="E57" i="8" s="1"/>
  <c r="F57" i="8" s="1"/>
  <c r="G57" i="8" s="1"/>
  <c r="B57" i="8"/>
  <c r="E56" i="8"/>
  <c r="D56" i="8"/>
  <c r="B56" i="8"/>
  <c r="I55" i="8"/>
  <c r="F55" i="8"/>
  <c r="E55" i="8"/>
  <c r="D55" i="8"/>
  <c r="B55" i="8"/>
  <c r="E54" i="8"/>
  <c r="F54" i="8" s="1"/>
  <c r="D54" i="8"/>
  <c r="B54" i="8"/>
  <c r="D53" i="8"/>
  <c r="E53" i="8" s="1"/>
  <c r="F53" i="8" s="1"/>
  <c r="G53" i="8" s="1"/>
  <c r="B53" i="8"/>
  <c r="E52" i="8"/>
  <c r="D52" i="8"/>
  <c r="B52" i="8"/>
  <c r="I51" i="8"/>
  <c r="F51" i="8"/>
  <c r="E51" i="8"/>
  <c r="D51" i="8"/>
  <c r="B51" i="8"/>
  <c r="E50" i="8"/>
  <c r="F50" i="8" s="1"/>
  <c r="G50" i="8" s="1"/>
  <c r="D50" i="8"/>
  <c r="B50" i="8"/>
  <c r="D49" i="8"/>
  <c r="E49" i="8" s="1"/>
  <c r="F49" i="8" s="1"/>
  <c r="G49" i="8" s="1"/>
  <c r="B49" i="8"/>
  <c r="E48" i="8"/>
  <c r="D48" i="8"/>
  <c r="B48" i="8"/>
  <c r="I47" i="8"/>
  <c r="F47" i="8"/>
  <c r="E47" i="8"/>
  <c r="D47" i="8"/>
  <c r="B47" i="8"/>
  <c r="E46" i="8"/>
  <c r="F46" i="8" s="1"/>
  <c r="D46" i="8"/>
  <c r="B46" i="8"/>
  <c r="D45" i="8"/>
  <c r="E45" i="8" s="1"/>
  <c r="F45" i="8" s="1"/>
  <c r="G45" i="8" s="1"/>
  <c r="B45" i="8"/>
  <c r="E44" i="8"/>
  <c r="D44" i="8"/>
  <c r="B44" i="8"/>
  <c r="F43" i="8"/>
  <c r="E43" i="8"/>
  <c r="D43" i="8"/>
  <c r="B43" i="8"/>
  <c r="E42" i="8"/>
  <c r="F42" i="8" s="1"/>
  <c r="G42" i="8" s="1"/>
  <c r="D42" i="8"/>
  <c r="B42" i="8"/>
  <c r="D41" i="8"/>
  <c r="E41" i="8" s="1"/>
  <c r="F41" i="8" s="1"/>
  <c r="G41" i="8" s="1"/>
  <c r="B41" i="8"/>
  <c r="E40" i="8"/>
  <c r="D40" i="8"/>
  <c r="B40" i="8"/>
  <c r="I39" i="8"/>
  <c r="F39" i="8"/>
  <c r="E39" i="8"/>
  <c r="D39" i="8"/>
  <c r="B39" i="8"/>
  <c r="E38" i="8"/>
  <c r="F38" i="8" s="1"/>
  <c r="G38" i="8" s="1"/>
  <c r="D38" i="8"/>
  <c r="B38" i="8"/>
  <c r="D37" i="8"/>
  <c r="E37" i="8" s="1"/>
  <c r="F37" i="8" s="1"/>
  <c r="G37" i="8" s="1"/>
  <c r="B37" i="8"/>
  <c r="E36" i="8"/>
  <c r="D36" i="8"/>
  <c r="B36" i="8"/>
  <c r="F35" i="8"/>
  <c r="E35" i="8"/>
  <c r="D35" i="8"/>
  <c r="B35" i="8"/>
  <c r="E34" i="8"/>
  <c r="F34" i="8" s="1"/>
  <c r="G34" i="8" s="1"/>
  <c r="D34" i="8"/>
  <c r="B34" i="8"/>
  <c r="D33" i="8"/>
  <c r="E33" i="8" s="1"/>
  <c r="F33" i="8" s="1"/>
  <c r="G33" i="8" s="1"/>
  <c r="B33" i="8"/>
  <c r="E32" i="8"/>
  <c r="F32" i="8" s="1"/>
  <c r="D32" i="8"/>
  <c r="B32" i="8"/>
  <c r="I31" i="8"/>
  <c r="F31" i="8"/>
  <c r="E31" i="8"/>
  <c r="D31" i="8"/>
  <c r="B31" i="8"/>
  <c r="E30" i="8"/>
  <c r="F30" i="8" s="1"/>
  <c r="G30" i="8" s="1"/>
  <c r="D30" i="8"/>
  <c r="B30" i="8"/>
  <c r="D29" i="8"/>
  <c r="E29" i="8" s="1"/>
  <c r="F29" i="8" s="1"/>
  <c r="G29" i="8" s="1"/>
  <c r="B29" i="8"/>
  <c r="E28" i="8"/>
  <c r="F28" i="8" s="1"/>
  <c r="G28" i="8" s="1"/>
  <c r="D28" i="8"/>
  <c r="B28" i="8"/>
  <c r="F27" i="8"/>
  <c r="E27" i="8"/>
  <c r="D27" i="8"/>
  <c r="B27" i="8"/>
  <c r="E26" i="8"/>
  <c r="F26" i="8" s="1"/>
  <c r="G26" i="8" s="1"/>
  <c r="D26" i="8"/>
  <c r="B26" i="8"/>
  <c r="D25" i="8"/>
  <c r="E25" i="8" s="1"/>
  <c r="F25" i="8" s="1"/>
  <c r="G25" i="8" s="1"/>
  <c r="B25" i="8"/>
  <c r="E24" i="8"/>
  <c r="F24" i="8" s="1"/>
  <c r="D24" i="8"/>
  <c r="B24" i="8"/>
  <c r="I23" i="8"/>
  <c r="F23" i="8"/>
  <c r="E23" i="8"/>
  <c r="D23" i="8"/>
  <c r="B23" i="8"/>
  <c r="E22" i="8"/>
  <c r="F22" i="8" s="1"/>
  <c r="G22" i="8" s="1"/>
  <c r="D22" i="8"/>
  <c r="B22" i="8"/>
  <c r="D21" i="8"/>
  <c r="E21" i="8" s="1"/>
  <c r="F21" i="8" s="1"/>
  <c r="G21" i="8" s="1"/>
  <c r="B21" i="8"/>
  <c r="E20" i="8"/>
  <c r="F20" i="8" s="1"/>
  <c r="G20" i="8" s="1"/>
  <c r="D20" i="8"/>
  <c r="B20" i="8"/>
  <c r="F19" i="8"/>
  <c r="E19" i="8"/>
  <c r="D19" i="8"/>
  <c r="B19" i="8"/>
  <c r="T18" i="8"/>
  <c r="I18" i="8"/>
  <c r="D18" i="8"/>
  <c r="E18" i="8" s="1"/>
  <c r="F18" i="8" s="1"/>
  <c r="G18" i="8" s="1"/>
  <c r="B18" i="8"/>
  <c r="T17" i="8"/>
  <c r="I17" i="8"/>
  <c r="D17" i="8"/>
  <c r="E17" i="8" s="1"/>
  <c r="F17" i="8" s="1"/>
  <c r="G17" i="8" s="1"/>
  <c r="B17" i="8"/>
  <c r="E16" i="8"/>
  <c r="F16" i="8" s="1"/>
  <c r="G16" i="8" s="1"/>
  <c r="D16" i="8"/>
  <c r="B16" i="8"/>
  <c r="I15" i="8"/>
  <c r="D15" i="8"/>
  <c r="E15" i="8" s="1"/>
  <c r="F15" i="8" s="1"/>
  <c r="B15" i="8"/>
  <c r="I14" i="8"/>
  <c r="E14" i="8"/>
  <c r="D14" i="8"/>
  <c r="B14" i="8"/>
  <c r="F13" i="8"/>
  <c r="E13" i="8"/>
  <c r="D13" i="8"/>
  <c r="B13" i="8"/>
  <c r="E12" i="8"/>
  <c r="F12" i="8" s="1"/>
  <c r="G12" i="8" s="1"/>
  <c r="D12" i="8"/>
  <c r="B12" i="8"/>
  <c r="E11" i="8"/>
  <c r="F11" i="8" s="1"/>
  <c r="D11" i="8"/>
  <c r="B11" i="8"/>
  <c r="I10" i="8"/>
  <c r="F10" i="8"/>
  <c r="E10" i="8"/>
  <c r="D10" i="8"/>
  <c r="B10" i="8"/>
  <c r="I9" i="8"/>
  <c r="D9" i="8"/>
  <c r="E9" i="8" s="1"/>
  <c r="F9" i="8" s="1"/>
  <c r="G9" i="8" s="1"/>
  <c r="B9" i="8"/>
  <c r="I8" i="8"/>
  <c r="E8" i="8"/>
  <c r="D8" i="8"/>
  <c r="B8" i="8"/>
  <c r="T7" i="8"/>
  <c r="I7" i="8"/>
  <c r="F7" i="8"/>
  <c r="D7" i="8"/>
  <c r="E7" i="8" s="1"/>
  <c r="B7" i="8"/>
  <c r="E6" i="8"/>
  <c r="F6" i="8" s="1"/>
  <c r="D6" i="8"/>
  <c r="B6" i="8"/>
  <c r="I5" i="8"/>
  <c r="I4" i="8"/>
  <c r="K66" i="7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E69" i="6"/>
  <c r="F69" i="6" s="1"/>
  <c r="G69" i="6" s="1"/>
  <c r="D69" i="6"/>
  <c r="B69" i="6"/>
  <c r="D68" i="6"/>
  <c r="E68" i="6" s="1"/>
  <c r="F68" i="6" s="1"/>
  <c r="G68" i="6" s="1"/>
  <c r="B68" i="6"/>
  <c r="E67" i="6"/>
  <c r="F67" i="6" s="1"/>
  <c r="D67" i="6"/>
  <c r="B67" i="6"/>
  <c r="D66" i="6"/>
  <c r="E66" i="6" s="1"/>
  <c r="F66" i="6" s="1"/>
  <c r="B66" i="6"/>
  <c r="E65" i="6"/>
  <c r="F65" i="6" s="1"/>
  <c r="D65" i="6"/>
  <c r="B65" i="6"/>
  <c r="D64" i="6"/>
  <c r="E64" i="6" s="1"/>
  <c r="F64" i="6" s="1"/>
  <c r="G64" i="6" s="1"/>
  <c r="B64" i="6"/>
  <c r="E63" i="6"/>
  <c r="F63" i="6" s="1"/>
  <c r="D63" i="6"/>
  <c r="B63" i="6"/>
  <c r="E62" i="6"/>
  <c r="F62" i="6" s="1"/>
  <c r="D62" i="6"/>
  <c r="B62" i="6"/>
  <c r="E61" i="6"/>
  <c r="F61" i="6" s="1"/>
  <c r="D61" i="6"/>
  <c r="B61" i="6"/>
  <c r="F60" i="6"/>
  <c r="G60" i="6" s="1"/>
  <c r="D60" i="6"/>
  <c r="E60" i="6" s="1"/>
  <c r="B60" i="6"/>
  <c r="E59" i="6"/>
  <c r="F59" i="6" s="1"/>
  <c r="D59" i="6"/>
  <c r="B59" i="6"/>
  <c r="D58" i="6"/>
  <c r="E58" i="6" s="1"/>
  <c r="F58" i="6" s="1"/>
  <c r="G58" i="6" s="1"/>
  <c r="B58" i="6"/>
  <c r="E57" i="6"/>
  <c r="F57" i="6" s="1"/>
  <c r="G57" i="6" s="1"/>
  <c r="D57" i="6"/>
  <c r="B57" i="6"/>
  <c r="D56" i="6"/>
  <c r="E56" i="6" s="1"/>
  <c r="F56" i="6" s="1"/>
  <c r="G56" i="6" s="1"/>
  <c r="B56" i="6"/>
  <c r="E55" i="6"/>
  <c r="F55" i="6" s="1"/>
  <c r="D55" i="6"/>
  <c r="B55" i="6"/>
  <c r="E54" i="6"/>
  <c r="F54" i="6" s="1"/>
  <c r="D54" i="6"/>
  <c r="B54" i="6"/>
  <c r="E53" i="6"/>
  <c r="F53" i="6" s="1"/>
  <c r="D53" i="6"/>
  <c r="B53" i="6"/>
  <c r="F52" i="6"/>
  <c r="D52" i="6"/>
  <c r="E52" i="6" s="1"/>
  <c r="B52" i="6"/>
  <c r="E51" i="6"/>
  <c r="F51" i="6" s="1"/>
  <c r="D51" i="6"/>
  <c r="B51" i="6"/>
  <c r="E50" i="6"/>
  <c r="F50" i="6" s="1"/>
  <c r="D50" i="6"/>
  <c r="B50" i="6"/>
  <c r="E49" i="6"/>
  <c r="F49" i="6" s="1"/>
  <c r="D49" i="6"/>
  <c r="B49" i="6"/>
  <c r="F48" i="6"/>
  <c r="D48" i="6"/>
  <c r="E48" i="6" s="1"/>
  <c r="B48" i="6"/>
  <c r="E47" i="6"/>
  <c r="F47" i="6" s="1"/>
  <c r="G47" i="6" s="1"/>
  <c r="D47" i="6"/>
  <c r="B47" i="6"/>
  <c r="D46" i="6"/>
  <c r="E46" i="6" s="1"/>
  <c r="F46" i="6" s="1"/>
  <c r="G46" i="6" s="1"/>
  <c r="B46" i="6"/>
  <c r="E45" i="6"/>
  <c r="F45" i="6" s="1"/>
  <c r="G45" i="6" s="1"/>
  <c r="D45" i="6"/>
  <c r="B45" i="6"/>
  <c r="F44" i="6"/>
  <c r="D44" i="6"/>
  <c r="E44" i="6" s="1"/>
  <c r="B44" i="6"/>
  <c r="E43" i="6"/>
  <c r="F43" i="6" s="1"/>
  <c r="D43" i="6"/>
  <c r="B43" i="6"/>
  <c r="I42" i="6"/>
  <c r="D42" i="6"/>
  <c r="E42" i="6" s="1"/>
  <c r="F42" i="6" s="1"/>
  <c r="B42" i="6"/>
  <c r="F41" i="6"/>
  <c r="E41" i="6"/>
  <c r="D41" i="6"/>
  <c r="B41" i="6"/>
  <c r="D40" i="6"/>
  <c r="E40" i="6" s="1"/>
  <c r="F40" i="6" s="1"/>
  <c r="G40" i="6" s="1"/>
  <c r="B40" i="6"/>
  <c r="E39" i="6"/>
  <c r="F39" i="6" s="1"/>
  <c r="D39" i="6"/>
  <c r="B39" i="6"/>
  <c r="D38" i="6"/>
  <c r="E38" i="6" s="1"/>
  <c r="F38" i="6" s="1"/>
  <c r="G38" i="6" s="1"/>
  <c r="B38" i="6"/>
  <c r="E37" i="6"/>
  <c r="F37" i="6" s="1"/>
  <c r="D37" i="6"/>
  <c r="B37" i="6"/>
  <c r="F36" i="6"/>
  <c r="D36" i="6"/>
  <c r="E36" i="6" s="1"/>
  <c r="B36" i="6"/>
  <c r="G35" i="6"/>
  <c r="E35" i="6"/>
  <c r="F35" i="6" s="1"/>
  <c r="D35" i="6"/>
  <c r="B35" i="6"/>
  <c r="E34" i="6"/>
  <c r="F34" i="6" s="1"/>
  <c r="D34" i="6"/>
  <c r="B34" i="6"/>
  <c r="E33" i="6"/>
  <c r="F33" i="6" s="1"/>
  <c r="G33" i="6" s="1"/>
  <c r="D33" i="6"/>
  <c r="B33" i="6"/>
  <c r="F32" i="6"/>
  <c r="D32" i="6"/>
  <c r="E32" i="6" s="1"/>
  <c r="B32" i="6"/>
  <c r="E31" i="6"/>
  <c r="F31" i="6" s="1"/>
  <c r="D31" i="6"/>
  <c r="B31" i="6"/>
  <c r="D30" i="6"/>
  <c r="E30" i="6" s="1"/>
  <c r="F30" i="6" s="1"/>
  <c r="B30" i="6"/>
  <c r="D29" i="6"/>
  <c r="E29" i="6" s="1"/>
  <c r="F29" i="6" s="1"/>
  <c r="B29" i="6"/>
  <c r="I28" i="6"/>
  <c r="D28" i="6"/>
  <c r="E28" i="6" s="1"/>
  <c r="F28" i="6" s="1"/>
  <c r="G28" i="6" s="1"/>
  <c r="B28" i="6"/>
  <c r="D27" i="6"/>
  <c r="E27" i="6" s="1"/>
  <c r="F27" i="6" s="1"/>
  <c r="B27" i="6"/>
  <c r="E26" i="6"/>
  <c r="F26" i="6" s="1"/>
  <c r="D26" i="6"/>
  <c r="B26" i="6"/>
  <c r="G25" i="6"/>
  <c r="D25" i="6"/>
  <c r="E25" i="6" s="1"/>
  <c r="F25" i="6" s="1"/>
  <c r="B25" i="6"/>
  <c r="F24" i="6"/>
  <c r="D24" i="6"/>
  <c r="E24" i="6" s="1"/>
  <c r="B24" i="6"/>
  <c r="D23" i="6"/>
  <c r="E23" i="6" s="1"/>
  <c r="F23" i="6" s="1"/>
  <c r="B23" i="6"/>
  <c r="D22" i="6"/>
  <c r="E22" i="6" s="1"/>
  <c r="F22" i="6" s="1"/>
  <c r="G22" i="6" s="1"/>
  <c r="B22" i="6"/>
  <c r="F21" i="6"/>
  <c r="E21" i="6"/>
  <c r="D21" i="6"/>
  <c r="B21" i="6"/>
  <c r="F20" i="6"/>
  <c r="D20" i="6"/>
  <c r="E20" i="6" s="1"/>
  <c r="B20" i="6"/>
  <c r="D19" i="6"/>
  <c r="E19" i="6" s="1"/>
  <c r="F19" i="6" s="1"/>
  <c r="G19" i="6" s="1"/>
  <c r="B19" i="6"/>
  <c r="D18" i="6"/>
  <c r="E18" i="6" s="1"/>
  <c r="F18" i="6" s="1"/>
  <c r="B18" i="6"/>
  <c r="T17" i="6"/>
  <c r="T18" i="6" s="1"/>
  <c r="D17" i="6"/>
  <c r="E17" i="6" s="1"/>
  <c r="F17" i="6" s="1"/>
  <c r="B17" i="6"/>
  <c r="D16" i="6"/>
  <c r="E16" i="6" s="1"/>
  <c r="F16" i="6" s="1"/>
  <c r="B16" i="6"/>
  <c r="E15" i="6"/>
  <c r="F15" i="6" s="1"/>
  <c r="G15" i="6" s="1"/>
  <c r="D15" i="6"/>
  <c r="B15" i="6"/>
  <c r="F14" i="6"/>
  <c r="G14" i="6" s="1"/>
  <c r="E14" i="6"/>
  <c r="D14" i="6"/>
  <c r="B14" i="6"/>
  <c r="F13" i="6"/>
  <c r="D13" i="6"/>
  <c r="E13" i="6" s="1"/>
  <c r="B13" i="6"/>
  <c r="D12" i="6"/>
  <c r="E12" i="6" s="1"/>
  <c r="F12" i="6" s="1"/>
  <c r="G12" i="6" s="1"/>
  <c r="B12" i="6"/>
  <c r="D11" i="6"/>
  <c r="E11" i="6" s="1"/>
  <c r="F11" i="6" s="1"/>
  <c r="G11" i="6" s="1"/>
  <c r="B11" i="6"/>
  <c r="D10" i="6"/>
  <c r="E10" i="6" s="1"/>
  <c r="F10" i="6" s="1"/>
  <c r="B10" i="6"/>
  <c r="E9" i="6"/>
  <c r="F9" i="6" s="1"/>
  <c r="D9" i="6"/>
  <c r="B9" i="6"/>
  <c r="F8" i="6"/>
  <c r="G8" i="6" s="1"/>
  <c r="D8" i="6"/>
  <c r="E8" i="6" s="1"/>
  <c r="B8" i="6"/>
  <c r="T7" i="6"/>
  <c r="D7" i="6"/>
  <c r="E7" i="6" s="1"/>
  <c r="B7" i="6"/>
  <c r="F6" i="6"/>
  <c r="D6" i="6"/>
  <c r="E6" i="6" s="1"/>
  <c r="B6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F69" i="4" s="1"/>
  <c r="E69" i="4"/>
  <c r="D69" i="4"/>
  <c r="B69" i="4"/>
  <c r="D68" i="4"/>
  <c r="E68" i="4" s="1"/>
  <c r="F68" i="4" s="1"/>
  <c r="G68" i="4" s="1"/>
  <c r="B68" i="4"/>
  <c r="D67" i="4"/>
  <c r="E67" i="4" s="1"/>
  <c r="F67" i="4" s="1"/>
  <c r="G67" i="4" s="1"/>
  <c r="B67" i="4"/>
  <c r="D66" i="4"/>
  <c r="E66" i="4" s="1"/>
  <c r="F66" i="4" s="1"/>
  <c r="B66" i="4"/>
  <c r="E65" i="4"/>
  <c r="D65" i="4"/>
  <c r="B65" i="4"/>
  <c r="D64" i="4"/>
  <c r="E64" i="4" s="1"/>
  <c r="F64" i="4" s="1"/>
  <c r="G64" i="4" s="1"/>
  <c r="B64" i="4"/>
  <c r="D63" i="4"/>
  <c r="E63" i="4" s="1"/>
  <c r="F63" i="4" s="1"/>
  <c r="G63" i="4" s="1"/>
  <c r="B63" i="4"/>
  <c r="D62" i="4"/>
  <c r="E62" i="4" s="1"/>
  <c r="F62" i="4" s="1"/>
  <c r="B62" i="4"/>
  <c r="E61" i="4"/>
  <c r="D61" i="4"/>
  <c r="B61" i="4"/>
  <c r="F60" i="4"/>
  <c r="G60" i="4" s="1"/>
  <c r="D60" i="4"/>
  <c r="E60" i="4" s="1"/>
  <c r="B60" i="4"/>
  <c r="G59" i="4"/>
  <c r="D59" i="4"/>
  <c r="E59" i="4" s="1"/>
  <c r="F59" i="4" s="1"/>
  <c r="B59" i="4"/>
  <c r="D58" i="4"/>
  <c r="E58" i="4" s="1"/>
  <c r="F58" i="4" s="1"/>
  <c r="G58" i="4" s="1"/>
  <c r="B58" i="4"/>
  <c r="E57" i="4"/>
  <c r="D57" i="4"/>
  <c r="B57" i="4"/>
  <c r="G56" i="4"/>
  <c r="F56" i="4"/>
  <c r="D56" i="4"/>
  <c r="E56" i="4" s="1"/>
  <c r="B56" i="4"/>
  <c r="D55" i="4"/>
  <c r="E55" i="4" s="1"/>
  <c r="F55" i="4" s="1"/>
  <c r="G55" i="4" s="1"/>
  <c r="B55" i="4"/>
  <c r="D54" i="4"/>
  <c r="E54" i="4" s="1"/>
  <c r="F54" i="4" s="1"/>
  <c r="B54" i="4"/>
  <c r="E53" i="4"/>
  <c r="D53" i="4"/>
  <c r="B53" i="4"/>
  <c r="D52" i="4"/>
  <c r="E52" i="4" s="1"/>
  <c r="F52" i="4" s="1"/>
  <c r="G52" i="4" s="1"/>
  <c r="B52" i="4"/>
  <c r="D51" i="4"/>
  <c r="E51" i="4" s="1"/>
  <c r="F51" i="4" s="1"/>
  <c r="G51" i="4" s="1"/>
  <c r="B51" i="4"/>
  <c r="D50" i="4"/>
  <c r="E50" i="4" s="1"/>
  <c r="F50" i="4" s="1"/>
  <c r="B50" i="4"/>
  <c r="E49" i="4"/>
  <c r="D49" i="4"/>
  <c r="B49" i="4"/>
  <c r="D48" i="4"/>
  <c r="E48" i="4" s="1"/>
  <c r="F48" i="4" s="1"/>
  <c r="G48" i="4" s="1"/>
  <c r="B48" i="4"/>
  <c r="D47" i="4"/>
  <c r="E47" i="4" s="1"/>
  <c r="F47" i="4" s="1"/>
  <c r="G47" i="4" s="1"/>
  <c r="B47" i="4"/>
  <c r="D46" i="4"/>
  <c r="E46" i="4" s="1"/>
  <c r="F46" i="4" s="1"/>
  <c r="B46" i="4"/>
  <c r="E45" i="4"/>
  <c r="F45" i="4" s="1"/>
  <c r="D45" i="4"/>
  <c r="B45" i="4"/>
  <c r="F44" i="4"/>
  <c r="G44" i="4" s="1"/>
  <c r="D44" i="4"/>
  <c r="E44" i="4" s="1"/>
  <c r="B44" i="4"/>
  <c r="D43" i="4"/>
  <c r="E43" i="4" s="1"/>
  <c r="F43" i="4" s="1"/>
  <c r="B43" i="4"/>
  <c r="D42" i="4"/>
  <c r="E42" i="4" s="1"/>
  <c r="F42" i="4" s="1"/>
  <c r="G42" i="4" s="1"/>
  <c r="B42" i="4"/>
  <c r="E41" i="4"/>
  <c r="F41" i="4" s="1"/>
  <c r="G41" i="4" s="1"/>
  <c r="D41" i="4"/>
  <c r="B41" i="4"/>
  <c r="D40" i="4"/>
  <c r="E40" i="4" s="1"/>
  <c r="F40" i="4" s="1"/>
  <c r="G40" i="4" s="1"/>
  <c r="B40" i="4"/>
  <c r="D39" i="4"/>
  <c r="E39" i="4" s="1"/>
  <c r="F39" i="4" s="1"/>
  <c r="B39" i="4"/>
  <c r="D38" i="4"/>
  <c r="E38" i="4" s="1"/>
  <c r="F38" i="4" s="1"/>
  <c r="B38" i="4"/>
  <c r="E37" i="4"/>
  <c r="F37" i="4" s="1"/>
  <c r="D37" i="4"/>
  <c r="B37" i="4"/>
  <c r="D36" i="4"/>
  <c r="E36" i="4" s="1"/>
  <c r="F36" i="4" s="1"/>
  <c r="G36" i="4" s="1"/>
  <c r="B36" i="4"/>
  <c r="D35" i="4"/>
  <c r="E35" i="4" s="1"/>
  <c r="F35" i="4" s="1"/>
  <c r="G35" i="4" s="1"/>
  <c r="B35" i="4"/>
  <c r="D34" i="4"/>
  <c r="E34" i="4" s="1"/>
  <c r="F34" i="4" s="1"/>
  <c r="B34" i="4"/>
  <c r="E33" i="4"/>
  <c r="F33" i="4" s="1"/>
  <c r="D33" i="4"/>
  <c r="B33" i="4"/>
  <c r="D32" i="4"/>
  <c r="E32" i="4" s="1"/>
  <c r="F32" i="4" s="1"/>
  <c r="G32" i="4" s="1"/>
  <c r="B32" i="4"/>
  <c r="G31" i="4"/>
  <c r="D31" i="4"/>
  <c r="E31" i="4" s="1"/>
  <c r="F31" i="4" s="1"/>
  <c r="B31" i="4"/>
  <c r="F30" i="4"/>
  <c r="G30" i="4" s="1"/>
  <c r="D30" i="4"/>
  <c r="E30" i="4" s="1"/>
  <c r="B30" i="4"/>
  <c r="E29" i="4"/>
  <c r="F29" i="4" s="1"/>
  <c r="D29" i="4"/>
  <c r="B29" i="4"/>
  <c r="D28" i="4"/>
  <c r="E28" i="4" s="1"/>
  <c r="F28" i="4" s="1"/>
  <c r="G28" i="4" s="1"/>
  <c r="B28" i="4"/>
  <c r="D27" i="4"/>
  <c r="E27" i="4" s="1"/>
  <c r="F27" i="4" s="1"/>
  <c r="G27" i="4" s="1"/>
  <c r="B27" i="4"/>
  <c r="D26" i="4"/>
  <c r="E26" i="4" s="1"/>
  <c r="F26" i="4" s="1"/>
  <c r="G26" i="4" s="1"/>
  <c r="B26" i="4"/>
  <c r="E25" i="4"/>
  <c r="F25" i="4" s="1"/>
  <c r="G25" i="4" s="1"/>
  <c r="D25" i="4"/>
  <c r="B25" i="4"/>
  <c r="D24" i="4"/>
  <c r="E24" i="4" s="1"/>
  <c r="F24" i="4" s="1"/>
  <c r="G24" i="4" s="1"/>
  <c r="B24" i="4"/>
  <c r="D23" i="4"/>
  <c r="E23" i="4" s="1"/>
  <c r="F23" i="4" s="1"/>
  <c r="G23" i="4" s="1"/>
  <c r="B23" i="4"/>
  <c r="D22" i="4"/>
  <c r="E22" i="4" s="1"/>
  <c r="F22" i="4" s="1"/>
  <c r="G22" i="4" s="1"/>
  <c r="B22" i="4"/>
  <c r="E21" i="4"/>
  <c r="F21" i="4" s="1"/>
  <c r="D21" i="4"/>
  <c r="B21" i="4"/>
  <c r="F20" i="4"/>
  <c r="G20" i="4" s="1"/>
  <c r="D20" i="4"/>
  <c r="E20" i="4" s="1"/>
  <c r="B20" i="4"/>
  <c r="D19" i="4"/>
  <c r="E19" i="4" s="1"/>
  <c r="F19" i="4" s="1"/>
  <c r="G19" i="4" s="1"/>
  <c r="B19" i="4"/>
  <c r="F18" i="4"/>
  <c r="D18" i="4"/>
  <c r="E18" i="4" s="1"/>
  <c r="B18" i="4"/>
  <c r="E17" i="4"/>
  <c r="F17" i="4" s="1"/>
  <c r="D17" i="4"/>
  <c r="B17" i="4"/>
  <c r="D16" i="4"/>
  <c r="E16" i="4" s="1"/>
  <c r="F16" i="4" s="1"/>
  <c r="G16" i="4" s="1"/>
  <c r="B16" i="4"/>
  <c r="G15" i="4"/>
  <c r="D15" i="4"/>
  <c r="E15" i="4" s="1"/>
  <c r="F15" i="4" s="1"/>
  <c r="B15" i="4"/>
  <c r="F14" i="4"/>
  <c r="D14" i="4"/>
  <c r="E14" i="4" s="1"/>
  <c r="B14" i="4"/>
  <c r="E13" i="4"/>
  <c r="F13" i="4" s="1"/>
  <c r="D13" i="4"/>
  <c r="B13" i="4"/>
  <c r="D12" i="4"/>
  <c r="E12" i="4" s="1"/>
  <c r="F12" i="4" s="1"/>
  <c r="G12" i="4" s="1"/>
  <c r="B12" i="4"/>
  <c r="D11" i="4"/>
  <c r="E11" i="4" s="1"/>
  <c r="F11" i="4" s="1"/>
  <c r="G11" i="4" s="1"/>
  <c r="B11" i="4"/>
  <c r="D10" i="4"/>
  <c r="E10" i="4" s="1"/>
  <c r="F10" i="4" s="1"/>
  <c r="G10" i="4" s="1"/>
  <c r="B10" i="4"/>
  <c r="F9" i="4"/>
  <c r="D9" i="4"/>
  <c r="E9" i="4" s="1"/>
  <c r="B9" i="4"/>
  <c r="D8" i="4"/>
  <c r="E8" i="4" s="1"/>
  <c r="F8" i="4" s="1"/>
  <c r="B8" i="4"/>
  <c r="T7" i="4"/>
  <c r="I34" i="4" s="1"/>
  <c r="D7" i="4"/>
  <c r="E7" i="4" s="1"/>
  <c r="F7" i="4" s="1"/>
  <c r="G7" i="4" s="1"/>
  <c r="B7" i="4"/>
  <c r="D6" i="4"/>
  <c r="E6" i="4" s="1"/>
  <c r="B6" i="4"/>
  <c r="K66" i="3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F65" i="2" s="1"/>
  <c r="G65" i="2" s="1"/>
  <c r="I69" i="2"/>
  <c r="D69" i="2"/>
  <c r="E69" i="2" s="1"/>
  <c r="B69" i="2"/>
  <c r="E68" i="2"/>
  <c r="D68" i="2"/>
  <c r="B68" i="2"/>
  <c r="I67" i="2"/>
  <c r="D67" i="2"/>
  <c r="E67" i="2" s="1"/>
  <c r="F67" i="2" s="1"/>
  <c r="G67" i="2" s="1"/>
  <c r="B67" i="2"/>
  <c r="E66" i="2"/>
  <c r="D66" i="2"/>
  <c r="B66" i="2"/>
  <c r="I65" i="2"/>
  <c r="D65" i="2"/>
  <c r="E65" i="2" s="1"/>
  <c r="B65" i="2"/>
  <c r="I64" i="2"/>
  <c r="D64" i="2"/>
  <c r="E64" i="2" s="1"/>
  <c r="B64" i="2"/>
  <c r="I63" i="2"/>
  <c r="E63" i="2"/>
  <c r="D63" i="2"/>
  <c r="B63" i="2"/>
  <c r="E62" i="2"/>
  <c r="D62" i="2"/>
  <c r="B62" i="2"/>
  <c r="D61" i="2"/>
  <c r="E61" i="2" s="1"/>
  <c r="B61" i="2"/>
  <c r="I60" i="2"/>
  <c r="D60" i="2"/>
  <c r="E60" i="2" s="1"/>
  <c r="B60" i="2"/>
  <c r="D59" i="2"/>
  <c r="E59" i="2" s="1"/>
  <c r="B59" i="2"/>
  <c r="E58" i="2"/>
  <c r="D58" i="2"/>
  <c r="B58" i="2"/>
  <c r="D57" i="2"/>
  <c r="E57" i="2" s="1"/>
  <c r="B57" i="2"/>
  <c r="D56" i="2"/>
  <c r="E56" i="2" s="1"/>
  <c r="B56" i="2"/>
  <c r="E55" i="2"/>
  <c r="D55" i="2"/>
  <c r="B55" i="2"/>
  <c r="E54" i="2"/>
  <c r="D54" i="2"/>
  <c r="B54" i="2"/>
  <c r="D53" i="2"/>
  <c r="E53" i="2" s="1"/>
  <c r="B53" i="2"/>
  <c r="E52" i="2"/>
  <c r="D52" i="2"/>
  <c r="B52" i="2"/>
  <c r="D51" i="2"/>
  <c r="E51" i="2" s="1"/>
  <c r="B51" i="2"/>
  <c r="E50" i="2"/>
  <c r="D50" i="2"/>
  <c r="B50" i="2"/>
  <c r="D49" i="2"/>
  <c r="E49" i="2" s="1"/>
  <c r="B49" i="2"/>
  <c r="I48" i="2"/>
  <c r="D48" i="2"/>
  <c r="E48" i="2" s="1"/>
  <c r="B48" i="2"/>
  <c r="D47" i="2"/>
  <c r="E47" i="2" s="1"/>
  <c r="B47" i="2"/>
  <c r="E46" i="2"/>
  <c r="D46" i="2"/>
  <c r="B46" i="2"/>
  <c r="F45" i="2"/>
  <c r="G45" i="2" s="1"/>
  <c r="D45" i="2"/>
  <c r="E45" i="2" s="1"/>
  <c r="B45" i="2"/>
  <c r="E44" i="2"/>
  <c r="D44" i="2"/>
  <c r="B44" i="2"/>
  <c r="I43" i="2"/>
  <c r="D43" i="2"/>
  <c r="E43" i="2" s="1"/>
  <c r="F43" i="2" s="1"/>
  <c r="G43" i="2" s="1"/>
  <c r="B43" i="2"/>
  <c r="E42" i="2"/>
  <c r="D42" i="2"/>
  <c r="B42" i="2"/>
  <c r="D41" i="2"/>
  <c r="E41" i="2" s="1"/>
  <c r="F41" i="2" s="1"/>
  <c r="G41" i="2" s="1"/>
  <c r="B41" i="2"/>
  <c r="D40" i="2"/>
  <c r="E40" i="2" s="1"/>
  <c r="B40" i="2"/>
  <c r="E39" i="2"/>
  <c r="F39" i="2" s="1"/>
  <c r="G39" i="2" s="1"/>
  <c r="D39" i="2"/>
  <c r="B39" i="2"/>
  <c r="E38" i="2"/>
  <c r="D38" i="2"/>
  <c r="B38" i="2"/>
  <c r="I37" i="2"/>
  <c r="D37" i="2"/>
  <c r="E37" i="2" s="1"/>
  <c r="B37" i="2"/>
  <c r="I36" i="2"/>
  <c r="D36" i="2"/>
  <c r="E36" i="2" s="1"/>
  <c r="B36" i="2"/>
  <c r="D35" i="2"/>
  <c r="E35" i="2" s="1"/>
  <c r="B35" i="2"/>
  <c r="E34" i="2"/>
  <c r="D34" i="2"/>
  <c r="B34" i="2"/>
  <c r="D33" i="2"/>
  <c r="E33" i="2" s="1"/>
  <c r="B33" i="2"/>
  <c r="D32" i="2"/>
  <c r="E32" i="2" s="1"/>
  <c r="F32" i="2" s="1"/>
  <c r="G32" i="2" s="1"/>
  <c r="B32" i="2"/>
  <c r="D31" i="2"/>
  <c r="E31" i="2" s="1"/>
  <c r="B31" i="2"/>
  <c r="E30" i="2"/>
  <c r="D30" i="2"/>
  <c r="B30" i="2"/>
  <c r="F29" i="2"/>
  <c r="G29" i="2" s="1"/>
  <c r="D29" i="2"/>
  <c r="E29" i="2" s="1"/>
  <c r="B29" i="2"/>
  <c r="E28" i="2"/>
  <c r="D28" i="2"/>
  <c r="B28" i="2"/>
  <c r="I27" i="2"/>
  <c r="D27" i="2"/>
  <c r="E27" i="2" s="1"/>
  <c r="F27" i="2" s="1"/>
  <c r="G27" i="2" s="1"/>
  <c r="B27" i="2"/>
  <c r="E26" i="2"/>
  <c r="D26" i="2"/>
  <c r="B26" i="2"/>
  <c r="D25" i="2"/>
  <c r="E25" i="2" s="1"/>
  <c r="F25" i="2" s="1"/>
  <c r="G25" i="2" s="1"/>
  <c r="B25" i="2"/>
  <c r="D24" i="2"/>
  <c r="E24" i="2" s="1"/>
  <c r="B24" i="2"/>
  <c r="E23" i="2"/>
  <c r="F23" i="2" s="1"/>
  <c r="G23" i="2" s="1"/>
  <c r="D23" i="2"/>
  <c r="B23" i="2"/>
  <c r="E22" i="2"/>
  <c r="D22" i="2"/>
  <c r="B22" i="2"/>
  <c r="I21" i="2"/>
  <c r="D21" i="2"/>
  <c r="E21" i="2" s="1"/>
  <c r="B21" i="2"/>
  <c r="I20" i="2"/>
  <c r="D20" i="2"/>
  <c r="E20" i="2" s="1"/>
  <c r="B20" i="2"/>
  <c r="D19" i="2"/>
  <c r="E19" i="2" s="1"/>
  <c r="B19" i="2"/>
  <c r="D18" i="2"/>
  <c r="E18" i="2" s="1"/>
  <c r="B18" i="2"/>
  <c r="U17" i="2"/>
  <c r="D17" i="2"/>
  <c r="E17" i="2" s="1"/>
  <c r="B17" i="2"/>
  <c r="U16" i="2"/>
  <c r="U18" i="2" s="1"/>
  <c r="I16" i="2"/>
  <c r="D16" i="2"/>
  <c r="E16" i="2" s="1"/>
  <c r="B16" i="2"/>
  <c r="D15" i="2"/>
  <c r="E15" i="2" s="1"/>
  <c r="F15" i="2" s="1"/>
  <c r="G15" i="2" s="1"/>
  <c r="B15" i="2"/>
  <c r="U14" i="2"/>
  <c r="E14" i="2"/>
  <c r="D14" i="2"/>
  <c r="B14" i="2"/>
  <c r="D13" i="2"/>
  <c r="E13" i="2" s="1"/>
  <c r="B13" i="2"/>
  <c r="D12" i="2"/>
  <c r="E12" i="2" s="1"/>
  <c r="B12" i="2"/>
  <c r="E11" i="2"/>
  <c r="F11" i="2" s="1"/>
  <c r="G11" i="2" s="1"/>
  <c r="D11" i="2"/>
  <c r="B11" i="2"/>
  <c r="D10" i="2"/>
  <c r="E10" i="2" s="1"/>
  <c r="B10" i="2"/>
  <c r="E9" i="2"/>
  <c r="D9" i="2"/>
  <c r="B9" i="2"/>
  <c r="E8" i="2"/>
  <c r="D8" i="2"/>
  <c r="B8" i="2"/>
  <c r="U7" i="2"/>
  <c r="D7" i="2"/>
  <c r="E7" i="2" s="1"/>
  <c r="B7" i="2"/>
  <c r="I6" i="2"/>
  <c r="D6" i="2"/>
  <c r="D70" i="2" s="1"/>
  <c r="B6" i="2"/>
  <c r="H2" i="1"/>
  <c r="G2" i="1"/>
  <c r="S15" i="26"/>
  <c r="P15" i="26"/>
  <c r="O15" i="26"/>
  <c r="N15" i="26"/>
  <c r="M15" i="26"/>
  <c r="L15" i="26"/>
  <c r="I15" i="26"/>
  <c r="H15" i="26"/>
  <c r="G15" i="26"/>
  <c r="F15" i="26"/>
  <c r="E15" i="26"/>
  <c r="D15" i="26"/>
  <c r="C15" i="26"/>
  <c r="B15" i="26"/>
  <c r="X14" i="26"/>
  <c r="U14" i="26"/>
  <c r="T5" i="24" s="1"/>
  <c r="T14" i="26"/>
  <c r="V14" i="26" s="1"/>
  <c r="X13" i="26"/>
  <c r="T20" i="22" s="1"/>
  <c r="T21" i="22" s="1"/>
  <c r="V13" i="26"/>
  <c r="U13" i="26"/>
  <c r="T5" i="22" s="1"/>
  <c r="T13" i="26"/>
  <c r="U12" i="26"/>
  <c r="T5" i="20" s="1"/>
  <c r="T12" i="26"/>
  <c r="X12" i="26" s="1"/>
  <c r="T20" i="20" s="1"/>
  <c r="U11" i="26"/>
  <c r="T5" i="18" s="1"/>
  <c r="T11" i="26"/>
  <c r="X11" i="26" s="1"/>
  <c r="T20" i="18" s="1"/>
  <c r="X10" i="26"/>
  <c r="T21" i="16" s="1"/>
  <c r="V10" i="26"/>
  <c r="U10" i="26"/>
  <c r="T5" i="16" s="1"/>
  <c r="T10" i="26"/>
  <c r="U9" i="26"/>
  <c r="T5" i="14" s="1"/>
  <c r="G40" i="14" s="1"/>
  <c r="T9" i="26"/>
  <c r="X9" i="26" s="1"/>
  <c r="T18" i="14" s="1"/>
  <c r="U8" i="26"/>
  <c r="T5" i="12" s="1"/>
  <c r="T8" i="26"/>
  <c r="X8" i="26" s="1"/>
  <c r="T20" i="12" s="1"/>
  <c r="X7" i="26"/>
  <c r="V7" i="26"/>
  <c r="U7" i="26"/>
  <c r="T5" i="10" s="1"/>
  <c r="G18" i="10" s="1"/>
  <c r="J18" i="10" s="1"/>
  <c r="T7" i="26"/>
  <c r="U6" i="26"/>
  <c r="T5" i="8" s="1"/>
  <c r="R6" i="26"/>
  <c r="T6" i="26" s="1"/>
  <c r="U5" i="26"/>
  <c r="T5" i="6" s="1"/>
  <c r="G51" i="6" s="1"/>
  <c r="T5" i="26"/>
  <c r="X5" i="26" s="1"/>
  <c r="J5" i="26"/>
  <c r="J15" i="26" s="1"/>
  <c r="U4" i="26"/>
  <c r="T5" i="4" s="1"/>
  <c r="G43" i="4" s="1"/>
  <c r="Q4" i="26"/>
  <c r="Q15" i="26" s="1"/>
  <c r="K4" i="26"/>
  <c r="V3" i="26"/>
  <c r="U4" i="2" s="1"/>
  <c r="U3" i="26"/>
  <c r="U5" i="2" s="1"/>
  <c r="T3" i="26"/>
  <c r="AG66" i="27"/>
  <c r="Q66" i="27"/>
  <c r="AC63" i="27"/>
  <c r="M63" i="27"/>
  <c r="F62" i="27"/>
  <c r="Y60" i="27"/>
  <c r="I60" i="27"/>
  <c r="AK57" i="27"/>
  <c r="U57" i="27"/>
  <c r="E57" i="27"/>
  <c r="AG54" i="27"/>
  <c r="Q54" i="27"/>
  <c r="AC51" i="27"/>
  <c r="M51" i="27"/>
  <c r="F50" i="27"/>
  <c r="Y48" i="27"/>
  <c r="I48" i="27"/>
  <c r="AK45" i="27"/>
  <c r="U45" i="27"/>
  <c r="E45" i="27"/>
  <c r="AG42" i="27"/>
  <c r="Q42" i="27"/>
  <c r="AC39" i="27"/>
  <c r="M39" i="27"/>
  <c r="Y65" i="27"/>
  <c r="I65" i="27"/>
  <c r="AK62" i="27"/>
  <c r="U62" i="27"/>
  <c r="E62" i="27"/>
  <c r="AG59" i="27"/>
  <c r="Q59" i="27"/>
  <c r="AC56" i="27"/>
  <c r="M56" i="27"/>
  <c r="F55" i="27"/>
  <c r="Y53" i="27"/>
  <c r="I53" i="27"/>
  <c r="AK50" i="27"/>
  <c r="U50" i="27"/>
  <c r="E50" i="27"/>
  <c r="AG64" i="27"/>
  <c r="Q64" i="27"/>
  <c r="AC61" i="27"/>
  <c r="M61" i="27"/>
  <c r="F60" i="27"/>
  <c r="Y58" i="27"/>
  <c r="I58" i="27"/>
  <c r="AC66" i="27"/>
  <c r="M66" i="27"/>
  <c r="F65" i="27"/>
  <c r="Y63" i="27"/>
  <c r="I63" i="27"/>
  <c r="AK65" i="27"/>
  <c r="U65" i="27"/>
  <c r="E65" i="27"/>
  <c r="AG62" i="27"/>
  <c r="Q62" i="27"/>
  <c r="AC59" i="27"/>
  <c r="M59" i="27"/>
  <c r="F58" i="27"/>
  <c r="Y56" i="27"/>
  <c r="I56" i="27"/>
  <c r="AC64" i="27"/>
  <c r="M64" i="27"/>
  <c r="F63" i="27"/>
  <c r="Y61" i="27"/>
  <c r="I61" i="27"/>
  <c r="Y66" i="27"/>
  <c r="I66" i="27"/>
  <c r="AK63" i="27"/>
  <c r="U63" i="27"/>
  <c r="E63" i="27"/>
  <c r="AG60" i="27"/>
  <c r="Q60" i="27"/>
  <c r="AC57" i="27"/>
  <c r="M57" i="27"/>
  <c r="AG65" i="27"/>
  <c r="Q65" i="27"/>
  <c r="AC62" i="27"/>
  <c r="M62" i="27"/>
  <c r="F61" i="27"/>
  <c r="Y59" i="27"/>
  <c r="I59" i="27"/>
  <c r="AK56" i="27"/>
  <c r="U56" i="27"/>
  <c r="E56" i="27"/>
  <c r="AG53" i="27"/>
  <c r="Q53" i="27"/>
  <c r="AC50" i="27"/>
  <c r="M50" i="27"/>
  <c r="F49" i="27"/>
  <c r="Y47" i="27"/>
  <c r="I47" i="27"/>
  <c r="AK44" i="27"/>
  <c r="U44" i="27"/>
  <c r="E44" i="27"/>
  <c r="AG41" i="27"/>
  <c r="Q41" i="27"/>
  <c r="F66" i="27"/>
  <c r="Y64" i="27"/>
  <c r="I64" i="27"/>
  <c r="AK61" i="27"/>
  <c r="U61" i="27"/>
  <c r="E61" i="27"/>
  <c r="AG58" i="27"/>
  <c r="Q58" i="27"/>
  <c r="AC55" i="27"/>
  <c r="M55" i="27"/>
  <c r="F54" i="27"/>
  <c r="Y52" i="27"/>
  <c r="I52" i="27"/>
  <c r="AK49" i="27"/>
  <c r="U49" i="27"/>
  <c r="E49" i="27"/>
  <c r="AG46" i="27"/>
  <c r="Q46" i="27"/>
  <c r="AC43" i="27"/>
  <c r="M43" i="27"/>
  <c r="F42" i="27"/>
  <c r="Y40" i="27"/>
  <c r="I40" i="27"/>
  <c r="AC65" i="27"/>
  <c r="M65" i="27"/>
  <c r="F64" i="27"/>
  <c r="Y62" i="27"/>
  <c r="I62" i="27"/>
  <c r="AK59" i="27"/>
  <c r="U59" i="27"/>
  <c r="E59" i="27"/>
  <c r="AG63" i="27"/>
  <c r="Q61" i="27"/>
  <c r="U60" i="27"/>
  <c r="Y57" i="27"/>
  <c r="AG55" i="27"/>
  <c r="E55" i="27"/>
  <c r="AK52" i="27"/>
  <c r="M52" i="27"/>
  <c r="Y51" i="27"/>
  <c r="Y49" i="27"/>
  <c r="AK48" i="27"/>
  <c r="Q48" i="27"/>
  <c r="F46" i="27"/>
  <c r="AC42" i="27"/>
  <c r="I42" i="27"/>
  <c r="AK40" i="27"/>
  <c r="AK38" i="27"/>
  <c r="U38" i="27"/>
  <c r="E38" i="27"/>
  <c r="AG35" i="27"/>
  <c r="Q35" i="27"/>
  <c r="AC32" i="27"/>
  <c r="M32" i="27"/>
  <c r="F31" i="27"/>
  <c r="Y29" i="27"/>
  <c r="I29" i="27"/>
  <c r="M60" i="27"/>
  <c r="AG52" i="27"/>
  <c r="M48" i="27"/>
  <c r="Y46" i="27"/>
  <c r="E46" i="27"/>
  <c r="M44" i="27"/>
  <c r="AG43" i="27"/>
  <c r="E42" i="27"/>
  <c r="U41" i="27"/>
  <c r="AG39" i="27"/>
  <c r="AC37" i="27"/>
  <c r="M37" i="27"/>
  <c r="F36" i="27"/>
  <c r="Y34" i="27"/>
  <c r="I34" i="27"/>
  <c r="AK31" i="27"/>
  <c r="U31" i="27"/>
  <c r="E31" i="27"/>
  <c r="AK64" i="27"/>
  <c r="Q63" i="27"/>
  <c r="AK54" i="27"/>
  <c r="M54" i="27"/>
  <c r="AC47" i="27"/>
  <c r="F47" i="27"/>
  <c r="AG44" i="27"/>
  <c r="I43" i="27"/>
  <c r="AG40" i="27"/>
  <c r="M40" i="27"/>
  <c r="AK36" i="27"/>
  <c r="U36" i="27"/>
  <c r="E36" i="27"/>
  <c r="AG33" i="27"/>
  <c r="Q33" i="27"/>
  <c r="AC30" i="27"/>
  <c r="M30" i="27"/>
  <c r="F29" i="27"/>
  <c r="Y27" i="27"/>
  <c r="I27" i="27"/>
  <c r="E60" i="27"/>
  <c r="AK58" i="27"/>
  <c r="Q57" i="27"/>
  <c r="U53" i="27"/>
  <c r="F52" i="27"/>
  <c r="U51" i="27"/>
  <c r="AG50" i="27"/>
  <c r="I50" i="27"/>
  <c r="AG48" i="27"/>
  <c r="E47" i="27"/>
  <c r="Q45" i="27"/>
  <c r="F43" i="27"/>
  <c r="Y42" i="27"/>
  <c r="AG38" i="27"/>
  <c r="Q38" i="27"/>
  <c r="AC35" i="27"/>
  <c r="M35" i="27"/>
  <c r="F34" i="27"/>
  <c r="Y32" i="27"/>
  <c r="I32" i="27"/>
  <c r="AK29" i="27"/>
  <c r="U29" i="27"/>
  <c r="E29" i="27"/>
  <c r="AG26" i="27"/>
  <c r="Q26" i="27"/>
  <c r="U64" i="27"/>
  <c r="Q56" i="27"/>
  <c r="Y55" i="27"/>
  <c r="AC52" i="27"/>
  <c r="E52" i="27"/>
  <c r="Q51" i="27"/>
  <c r="Q49" i="27"/>
  <c r="AC48" i="27"/>
  <c r="U46" i="27"/>
  <c r="AC44" i="27"/>
  <c r="I44" i="27"/>
  <c r="E43" i="27"/>
  <c r="U42" i="27"/>
  <c r="AK41" i="27"/>
  <c r="I39" i="27"/>
  <c r="Y37" i="27"/>
  <c r="I37" i="27"/>
  <c r="AK34" i="27"/>
  <c r="U34" i="27"/>
  <c r="E34" i="27"/>
  <c r="AG31" i="27"/>
  <c r="Q31" i="27"/>
  <c r="AC28" i="27"/>
  <c r="M28" i="27"/>
  <c r="F27" i="27"/>
  <c r="Y25" i="27"/>
  <c r="I25" i="27"/>
  <c r="AC58" i="27"/>
  <c r="I57" i="27"/>
  <c r="U55" i="27"/>
  <c r="I54" i="27"/>
  <c r="M49" i="27"/>
  <c r="F48" i="27"/>
  <c r="Y43" i="27"/>
  <c r="M41" i="27"/>
  <c r="AC40" i="27"/>
  <c r="F40" i="27"/>
  <c r="AG36" i="27"/>
  <c r="Q36" i="27"/>
  <c r="AC33" i="27"/>
  <c r="M33" i="27"/>
  <c r="F32" i="27"/>
  <c r="Y30" i="27"/>
  <c r="I30" i="27"/>
  <c r="AK27" i="27"/>
  <c r="U27" i="27"/>
  <c r="U52" i="27"/>
  <c r="AG51" i="27"/>
  <c r="I51" i="27"/>
  <c r="AG49" i="27"/>
  <c r="I49" i="27"/>
  <c r="Q47" i="27"/>
  <c r="M46" i="27"/>
  <c r="AC41" i="27"/>
  <c r="AC36" i="27"/>
  <c r="M36" i="27"/>
  <c r="F35" i="27"/>
  <c r="Y33" i="27"/>
  <c r="I33" i="27"/>
  <c r="AK30" i="27"/>
  <c r="U30" i="27"/>
  <c r="E30" i="27"/>
  <c r="AG27" i="27"/>
  <c r="Q27" i="27"/>
  <c r="AC24" i="27"/>
  <c r="M58" i="27"/>
  <c r="F57" i="27"/>
  <c r="F56" i="27"/>
  <c r="Y54" i="27"/>
  <c r="Q50" i="27"/>
  <c r="AK47" i="27"/>
  <c r="I46" i="27"/>
  <c r="AC45" i="27"/>
  <c r="M42" i="27"/>
  <c r="Q39" i="27"/>
  <c r="AK35" i="27"/>
  <c r="F33" i="27"/>
  <c r="AG32" i="27"/>
  <c r="AC29" i="27"/>
  <c r="AG28" i="27"/>
  <c r="E27" i="27"/>
  <c r="AC25" i="27"/>
  <c r="AG23" i="27"/>
  <c r="Q23" i="27"/>
  <c r="AC20" i="27"/>
  <c r="M20" i="27"/>
  <c r="F19" i="27"/>
  <c r="Y17" i="27"/>
  <c r="I17" i="27"/>
  <c r="AK14" i="27"/>
  <c r="U14" i="27"/>
  <c r="E14" i="27"/>
  <c r="AG11" i="27"/>
  <c r="Q11" i="27"/>
  <c r="AC8" i="27"/>
  <c r="M8" i="27"/>
  <c r="I55" i="27"/>
  <c r="U54" i="27"/>
  <c r="AC53" i="27"/>
  <c r="U48" i="27"/>
  <c r="Y45" i="27"/>
  <c r="F39" i="27"/>
  <c r="AC38" i="27"/>
  <c r="U37" i="27"/>
  <c r="Q34" i="27"/>
  <c r="E33" i="27"/>
  <c r="M31" i="27"/>
  <c r="M26" i="27"/>
  <c r="F24" i="27"/>
  <c r="Y22" i="27"/>
  <c r="I22" i="27"/>
  <c r="AK19" i="27"/>
  <c r="U19" i="27"/>
  <c r="E19" i="27"/>
  <c r="AG16" i="27"/>
  <c r="Q16" i="27"/>
  <c r="AC13" i="27"/>
  <c r="M13" i="27"/>
  <c r="F12" i="27"/>
  <c r="Y10" i="27"/>
  <c r="I10" i="27"/>
  <c r="E58" i="27"/>
  <c r="AG47" i="27"/>
  <c r="Y41" i="27"/>
  <c r="E39" i="27"/>
  <c r="I36" i="27"/>
  <c r="Y28" i="27"/>
  <c r="AC27" i="27"/>
  <c r="AK26" i="27"/>
  <c r="U24" i="27"/>
  <c r="E24" i="27"/>
  <c r="AG21" i="27"/>
  <c r="Q21" i="27"/>
  <c r="AC18" i="27"/>
  <c r="M18" i="27"/>
  <c r="F17" i="27"/>
  <c r="E54" i="27"/>
  <c r="M53" i="27"/>
  <c r="AK51" i="27"/>
  <c r="U47" i="27"/>
  <c r="M45" i="27"/>
  <c r="Y44" i="27"/>
  <c r="Y38" i="27"/>
  <c r="Q37" i="27"/>
  <c r="Y35" i="27"/>
  <c r="M34" i="27"/>
  <c r="AK33" i="27"/>
  <c r="U32" i="27"/>
  <c r="I31" i="27"/>
  <c r="I26" i="27"/>
  <c r="U25" i="27"/>
  <c r="AK24" i="27"/>
  <c r="AC23" i="27"/>
  <c r="M23" i="27"/>
  <c r="F22" i="27"/>
  <c r="Y20" i="27"/>
  <c r="I20" i="27"/>
  <c r="AK17" i="27"/>
  <c r="U17" i="27"/>
  <c r="E17" i="27"/>
  <c r="AG14" i="27"/>
  <c r="Q14" i="27"/>
  <c r="AC11" i="27"/>
  <c r="M11" i="27"/>
  <c r="F10" i="27"/>
  <c r="Y8" i="27"/>
  <c r="I8" i="27"/>
  <c r="AK66" i="27"/>
  <c r="E64" i="27"/>
  <c r="E48" i="27"/>
  <c r="I45" i="27"/>
  <c r="AK43" i="27"/>
  <c r="AG30" i="27"/>
  <c r="Q29" i="27"/>
  <c r="U28" i="27"/>
  <c r="AK22" i="27"/>
  <c r="U22" i="27"/>
  <c r="E22" i="27"/>
  <c r="AG19" i="27"/>
  <c r="Q19" i="27"/>
  <c r="AC16" i="27"/>
  <c r="M16" i="27"/>
  <c r="F15" i="27"/>
  <c r="Y13" i="27"/>
  <c r="I13" i="27"/>
  <c r="AK60" i="27"/>
  <c r="E53" i="27"/>
  <c r="Q44" i="27"/>
  <c r="AK42" i="27"/>
  <c r="F41" i="27"/>
  <c r="U40" i="27"/>
  <c r="M38" i="27"/>
  <c r="E37" i="27"/>
  <c r="M29" i="27"/>
  <c r="Q28" i="27"/>
  <c r="E26" i="27"/>
  <c r="AG24" i="27"/>
  <c r="Y23" i="27"/>
  <c r="I23" i="27"/>
  <c r="AK20" i="27"/>
  <c r="U20" i="27"/>
  <c r="E20" i="27"/>
  <c r="AG17" i="27"/>
  <c r="Q17" i="27"/>
  <c r="AC14" i="27"/>
  <c r="M14" i="27"/>
  <c r="F13" i="27"/>
  <c r="Y11" i="27"/>
  <c r="I11" i="27"/>
  <c r="AK8" i="27"/>
  <c r="E66" i="27"/>
  <c r="AC60" i="27"/>
  <c r="AG56" i="27"/>
  <c r="AK55" i="27"/>
  <c r="M47" i="27"/>
  <c r="F44" i="27"/>
  <c r="U43" i="27"/>
  <c r="E41" i="27"/>
  <c r="AK39" i="27"/>
  <c r="AC46" i="27"/>
  <c r="Q40" i="27"/>
  <c r="Y39" i="27"/>
  <c r="I38" i="27"/>
  <c r="AK37" i="27"/>
  <c r="I35" i="27"/>
  <c r="AG34" i="27"/>
  <c r="U33" i="27"/>
  <c r="E32" i="27"/>
  <c r="AC31" i="27"/>
  <c r="I28" i="27"/>
  <c r="M25" i="27"/>
  <c r="M24" i="27"/>
  <c r="F23" i="27"/>
  <c r="Y21" i="27"/>
  <c r="I21" i="27"/>
  <c r="AK18" i="27"/>
  <c r="U18" i="27"/>
  <c r="E18" i="27"/>
  <c r="AG15" i="27"/>
  <c r="Q15" i="27"/>
  <c r="AC12" i="27"/>
  <c r="M12" i="27"/>
  <c r="F11" i="27"/>
  <c r="AG57" i="27"/>
  <c r="Y50" i="27"/>
  <c r="AC49" i="27"/>
  <c r="Q43" i="27"/>
  <c r="E40" i="27"/>
  <c r="Y36" i="27"/>
  <c r="Q30" i="27"/>
  <c r="F28" i="27"/>
  <c r="M27" i="27"/>
  <c r="AG25" i="27"/>
  <c r="AK23" i="27"/>
  <c r="U23" i="27"/>
  <c r="E23" i="27"/>
  <c r="AG20" i="27"/>
  <c r="Q20" i="27"/>
  <c r="AC17" i="27"/>
  <c r="M17" i="27"/>
  <c r="F16" i="27"/>
  <c r="Y14" i="27"/>
  <c r="I14" i="27"/>
  <c r="AK11" i="27"/>
  <c r="U11" i="27"/>
  <c r="E11" i="27"/>
  <c r="AK53" i="27"/>
  <c r="E28" i="27"/>
  <c r="E25" i="27"/>
  <c r="Q24" i="27"/>
  <c r="U21" i="27"/>
  <c r="Y18" i="27"/>
  <c r="AK13" i="27"/>
  <c r="M10" i="27"/>
  <c r="U9" i="27"/>
  <c r="AG8" i="27"/>
  <c r="AK5" i="27"/>
  <c r="U5" i="27"/>
  <c r="E5" i="27"/>
  <c r="Q55" i="27"/>
  <c r="F38" i="27"/>
  <c r="M21" i="27"/>
  <c r="I16" i="27"/>
  <c r="AC15" i="27"/>
  <c r="U66" i="27"/>
  <c r="F53" i="27"/>
  <c r="F51" i="27"/>
  <c r="E16" i="27"/>
  <c r="Y15" i="27"/>
  <c r="U12" i="27"/>
  <c r="Y6" i="27"/>
  <c r="I6" i="27"/>
  <c r="AK3" i="27"/>
  <c r="U3" i="27"/>
  <c r="E3" i="27"/>
  <c r="E51" i="27"/>
  <c r="AG45" i="27"/>
  <c r="I24" i="27"/>
  <c r="F21" i="27"/>
  <c r="Q18" i="27"/>
  <c r="U15" i="27"/>
  <c r="F14" i="27"/>
  <c r="Q12" i="27"/>
  <c r="AK10" i="27"/>
  <c r="E10" i="27"/>
  <c r="M9" i="27"/>
  <c r="F8" i="27"/>
  <c r="AG5" i="27"/>
  <c r="Q5" i="27"/>
  <c r="F59" i="27"/>
  <c r="U39" i="27"/>
  <c r="AC34" i="27"/>
  <c r="AG22" i="27"/>
  <c r="E21" i="27"/>
  <c r="I18" i="27"/>
  <c r="AK9" i="27"/>
  <c r="E8" i="27"/>
  <c r="AC7" i="27"/>
  <c r="M7" i="27"/>
  <c r="F6" i="27"/>
  <c r="Y4" i="27"/>
  <c r="I4" i="27"/>
  <c r="F45" i="27"/>
  <c r="F30" i="27"/>
  <c r="AC22" i="27"/>
  <c r="F18" i="27"/>
  <c r="U13" i="27"/>
  <c r="AG10" i="27"/>
  <c r="AG9" i="27"/>
  <c r="I9" i="27"/>
  <c r="AK6" i="27"/>
  <c r="U6" i="27"/>
  <c r="E6" i="27"/>
  <c r="AG3" i="27"/>
  <c r="Q3" i="27"/>
  <c r="Q52" i="27"/>
  <c r="AK46" i="27"/>
  <c r="F37" i="27"/>
  <c r="AK28" i="27"/>
  <c r="Y26" i="27"/>
  <c r="Q22" i="27"/>
  <c r="AK21" i="27"/>
  <c r="F20" i="27"/>
  <c r="E15" i="27"/>
  <c r="E9" i="27"/>
  <c r="AG6" i="27"/>
  <c r="Q6" i="27"/>
  <c r="AC3" i="27"/>
  <c r="M3" i="27"/>
  <c r="U58" i="27"/>
  <c r="AK32" i="27"/>
  <c r="U26" i="27"/>
  <c r="Q25" i="27"/>
  <c r="M22" i="27"/>
  <c r="AC21" i="27"/>
  <c r="Y16" i="27"/>
  <c r="AK12" i="27"/>
  <c r="U10" i="27"/>
  <c r="Y9" i="27"/>
  <c r="Q8" i="27"/>
  <c r="F7" i="27"/>
  <c r="Y5" i="27"/>
  <c r="I5" i="27"/>
  <c r="AK16" i="27"/>
  <c r="I15" i="27"/>
  <c r="AC9" i="27"/>
  <c r="M4" i="27"/>
  <c r="AC26" i="27"/>
  <c r="AG18" i="27"/>
  <c r="Q7" i="27"/>
  <c r="F4" i="27"/>
  <c r="U35" i="27"/>
  <c r="U16" i="27"/>
  <c r="AG12" i="27"/>
  <c r="Q10" i="27"/>
  <c r="E4" i="27"/>
  <c r="E35" i="27"/>
  <c r="F26" i="27"/>
  <c r="AC19" i="27"/>
  <c r="Q9" i="27"/>
  <c r="I7" i="27"/>
  <c r="M5" i="27"/>
  <c r="AG37" i="27"/>
  <c r="Y19" i="27"/>
  <c r="AG13" i="27"/>
  <c r="Y12" i="27"/>
  <c r="U8" i="27"/>
  <c r="E7" i="27"/>
  <c r="AK4" i="27"/>
  <c r="Q32" i="27"/>
  <c r="Y24" i="27"/>
  <c r="M19" i="27"/>
  <c r="Q13" i="27"/>
  <c r="I12" i="27"/>
  <c r="F9" i="27"/>
  <c r="AC6" i="27"/>
  <c r="AG4" i="27"/>
  <c r="Y3" i="27"/>
  <c r="AG61" i="27"/>
  <c r="AG29" i="27"/>
  <c r="I19" i="27"/>
  <c r="E12" i="27"/>
  <c r="AK7" i="27"/>
  <c r="F5" i="27"/>
  <c r="AC54" i="27"/>
  <c r="AK25" i="27"/>
  <c r="E13" i="27"/>
  <c r="AC4" i="27"/>
  <c r="AG7" i="27"/>
  <c r="AK15" i="27"/>
  <c r="U4" i="27"/>
  <c r="AC10" i="27"/>
  <c r="Y7" i="27"/>
  <c r="AC5" i="27"/>
  <c r="F25" i="27"/>
  <c r="U7" i="27"/>
  <c r="M15" i="27"/>
  <c r="I3" i="27"/>
  <c r="F3" i="27"/>
  <c r="Y31" i="27"/>
  <c r="I41" i="27"/>
  <c r="Q4" i="27"/>
  <c r="M6" i="27"/>
  <c r="F67" i="27" l="1"/>
  <c r="I67" i="27"/>
  <c r="H13" i="27"/>
  <c r="H12" i="27"/>
  <c r="Y67" i="27"/>
  <c r="H7" i="27"/>
  <c r="H35" i="27"/>
  <c r="H4" i="27"/>
  <c r="M67" i="27"/>
  <c r="AC67" i="27"/>
  <c r="H9" i="27"/>
  <c r="H15" i="27"/>
  <c r="Q67" i="27"/>
  <c r="AG67" i="27"/>
  <c r="H6" i="27"/>
  <c r="H8" i="27"/>
  <c r="H21" i="27"/>
  <c r="H10" i="27"/>
  <c r="H51" i="27"/>
  <c r="E67" i="27"/>
  <c r="H3" i="27"/>
  <c r="U67" i="27"/>
  <c r="AK67" i="27"/>
  <c r="H16" i="27"/>
  <c r="H5" i="27"/>
  <c r="H25" i="27"/>
  <c r="H28" i="27"/>
  <c r="H11" i="27"/>
  <c r="H23" i="27"/>
  <c r="H40" i="27"/>
  <c r="H18" i="27"/>
  <c r="H32" i="27"/>
  <c r="H41" i="27"/>
  <c r="H66" i="27"/>
  <c r="H20" i="27"/>
  <c r="H26" i="27"/>
  <c r="H37" i="27"/>
  <c r="H53" i="27"/>
  <c r="H22" i="27"/>
  <c r="H48" i="27"/>
  <c r="H64" i="27"/>
  <c r="H17" i="27"/>
  <c r="H54" i="27"/>
  <c r="H24" i="27"/>
  <c r="H39" i="27"/>
  <c r="H58" i="27"/>
  <c r="H19" i="27"/>
  <c r="H33" i="27"/>
  <c r="H14" i="27"/>
  <c r="H27" i="27"/>
  <c r="H30" i="27"/>
  <c r="H34" i="27"/>
  <c r="H43" i="27"/>
  <c r="H52" i="27"/>
  <c r="H29" i="27"/>
  <c r="H47" i="27"/>
  <c r="H60" i="27"/>
  <c r="H36" i="27"/>
  <c r="H31" i="27"/>
  <c r="H42" i="27"/>
  <c r="H46" i="27"/>
  <c r="H38" i="27"/>
  <c r="H55" i="27"/>
  <c r="H59" i="27"/>
  <c r="H49" i="27"/>
  <c r="H61" i="27"/>
  <c r="H44" i="27"/>
  <c r="H56" i="27"/>
  <c r="H63" i="27"/>
  <c r="H65" i="27"/>
  <c r="H50" i="27"/>
  <c r="H62" i="27"/>
  <c r="H45" i="27"/>
  <c r="H57" i="27"/>
  <c r="J40" i="4"/>
  <c r="K9" i="2"/>
  <c r="K67" i="2"/>
  <c r="K55" i="2"/>
  <c r="K51" i="2"/>
  <c r="K39" i="2"/>
  <c r="K35" i="2"/>
  <c r="K31" i="2"/>
  <c r="K27" i="2"/>
  <c r="K23" i="2"/>
  <c r="K19" i="2"/>
  <c r="K14" i="2"/>
  <c r="K10" i="2"/>
  <c r="K63" i="2"/>
  <c r="K59" i="2"/>
  <c r="K47" i="2"/>
  <c r="K43" i="2"/>
  <c r="K68" i="2"/>
  <c r="K64" i="2"/>
  <c r="K60" i="2"/>
  <c r="K56" i="2"/>
  <c r="K52" i="2"/>
  <c r="K48" i="2"/>
  <c r="K44" i="2"/>
  <c r="K40" i="2"/>
  <c r="K36" i="2"/>
  <c r="K32" i="2"/>
  <c r="K28" i="2"/>
  <c r="K24" i="2"/>
  <c r="K20" i="2"/>
  <c r="K15" i="2"/>
  <c r="K57" i="2"/>
  <c r="K42" i="2"/>
  <c r="K33" i="2"/>
  <c r="K26" i="2"/>
  <c r="K12" i="2"/>
  <c r="K6" i="2"/>
  <c r="K53" i="2"/>
  <c r="K17" i="2"/>
  <c r="K58" i="2"/>
  <c r="K41" i="2"/>
  <c r="K25" i="2"/>
  <c r="K18" i="2"/>
  <c r="K49" i="2"/>
  <c r="K22" i="2"/>
  <c r="K65" i="2"/>
  <c r="K45" i="2"/>
  <c r="K38" i="2"/>
  <c r="K29" i="2"/>
  <c r="K34" i="2"/>
  <c r="K66" i="2"/>
  <c r="K8" i="2"/>
  <c r="K62" i="2"/>
  <c r="K54" i="2"/>
  <c r="K11" i="2"/>
  <c r="K13" i="2"/>
  <c r="K7" i="2"/>
  <c r="K50" i="2"/>
  <c r="K16" i="2"/>
  <c r="K69" i="2"/>
  <c r="K46" i="2"/>
  <c r="K37" i="2"/>
  <c r="K30" i="2"/>
  <c r="K21" i="2"/>
  <c r="K61" i="2"/>
  <c r="T4" i="24"/>
  <c r="T11" i="24"/>
  <c r="X6" i="26"/>
  <c r="V6" i="26"/>
  <c r="I69" i="6"/>
  <c r="I65" i="6"/>
  <c r="I61" i="6"/>
  <c r="I57" i="6"/>
  <c r="I53" i="6"/>
  <c r="I49" i="6"/>
  <c r="I45" i="6"/>
  <c r="I41" i="6"/>
  <c r="I37" i="6"/>
  <c r="I33" i="6"/>
  <c r="I29" i="6"/>
  <c r="I25" i="6"/>
  <c r="I21" i="6"/>
  <c r="I7" i="6"/>
  <c r="I52" i="6"/>
  <c r="I43" i="6"/>
  <c r="I36" i="6"/>
  <c r="I50" i="6"/>
  <c r="I34" i="6"/>
  <c r="I14" i="6"/>
  <c r="I67" i="6"/>
  <c r="I24" i="6"/>
  <c r="I18" i="6"/>
  <c r="T8" i="6"/>
  <c r="T9" i="6" s="1"/>
  <c r="I63" i="6"/>
  <c r="I48" i="6"/>
  <c r="I39" i="6"/>
  <c r="I32" i="6"/>
  <c r="I27" i="6"/>
  <c r="I11" i="6"/>
  <c r="I59" i="6"/>
  <c r="I46" i="6"/>
  <c r="I30" i="6"/>
  <c r="I15" i="6"/>
  <c r="I55" i="6"/>
  <c r="I22" i="6"/>
  <c r="I19" i="6"/>
  <c r="I8" i="6"/>
  <c r="I5" i="6"/>
  <c r="I51" i="6"/>
  <c r="I44" i="6"/>
  <c r="I35" i="6"/>
  <c r="I12" i="6"/>
  <c r="I68" i="6"/>
  <c r="I66" i="6"/>
  <c r="I16" i="6"/>
  <c r="I9" i="6"/>
  <c r="I3" i="6"/>
  <c r="I64" i="6"/>
  <c r="I62" i="6"/>
  <c r="I47" i="6"/>
  <c r="I40" i="6"/>
  <c r="I31" i="6"/>
  <c r="I20" i="6"/>
  <c r="I13" i="6"/>
  <c r="I60" i="6"/>
  <c r="I58" i="6"/>
  <c r="I38" i="6"/>
  <c r="I26" i="6"/>
  <c r="I23" i="6"/>
  <c r="I56" i="6"/>
  <c r="V12" i="26"/>
  <c r="I66" i="2"/>
  <c r="I62" i="2"/>
  <c r="I58" i="2"/>
  <c r="I54" i="2"/>
  <c r="I50" i="2"/>
  <c r="I46" i="2"/>
  <c r="I42" i="2"/>
  <c r="I38" i="2"/>
  <c r="I34" i="2"/>
  <c r="I30" i="2"/>
  <c r="I26" i="2"/>
  <c r="I22" i="2"/>
  <c r="I8" i="2"/>
  <c r="I18" i="2"/>
  <c r="I13" i="2"/>
  <c r="I9" i="2"/>
  <c r="I5" i="2"/>
  <c r="I14" i="2"/>
  <c r="I10" i="2"/>
  <c r="I4" i="2"/>
  <c r="I23" i="2"/>
  <c r="I32" i="2"/>
  <c r="I39" i="2"/>
  <c r="I52" i="2"/>
  <c r="G8" i="4"/>
  <c r="I10" i="4"/>
  <c r="G33" i="4"/>
  <c r="G50" i="4"/>
  <c r="G69" i="4"/>
  <c r="J69" i="4" s="1"/>
  <c r="G18" i="6"/>
  <c r="G21" i="6"/>
  <c r="V9" i="26"/>
  <c r="T4" i="26"/>
  <c r="U15" i="26"/>
  <c r="I11" i="2"/>
  <c r="F13" i="2"/>
  <c r="G13" i="2" s="1"/>
  <c r="J13" i="2" s="1"/>
  <c r="S13" i="2" s="1"/>
  <c r="F18" i="2"/>
  <c r="G18" i="2" s="1"/>
  <c r="F20" i="2"/>
  <c r="G20" i="2" s="1"/>
  <c r="I25" i="2"/>
  <c r="F36" i="2"/>
  <c r="G36" i="2" s="1"/>
  <c r="I41" i="2"/>
  <c r="I56" i="2"/>
  <c r="E70" i="4"/>
  <c r="F6" i="4"/>
  <c r="I8" i="4"/>
  <c r="G13" i="4"/>
  <c r="G18" i="4"/>
  <c r="G39" i="4"/>
  <c r="J39" i="4" s="1"/>
  <c r="I50" i="4"/>
  <c r="D70" i="4"/>
  <c r="G29" i="6"/>
  <c r="G50" i="6"/>
  <c r="G53" i="6"/>
  <c r="E6" i="2"/>
  <c r="E70" i="2" s="1"/>
  <c r="I30" i="4"/>
  <c r="I18" i="4"/>
  <c r="J25" i="6"/>
  <c r="T8" i="4"/>
  <c r="T9" i="4" s="1"/>
  <c r="J10" i="4" s="1"/>
  <c r="G45" i="4"/>
  <c r="F49" i="2"/>
  <c r="G49" i="2" s="1"/>
  <c r="I68" i="2"/>
  <c r="I26" i="4"/>
  <c r="G34" i="4"/>
  <c r="I62" i="4"/>
  <c r="I4" i="6"/>
  <c r="G30" i="6"/>
  <c r="G54" i="6"/>
  <c r="G66" i="6"/>
  <c r="G21" i="4"/>
  <c r="I42" i="4"/>
  <c r="K66" i="5"/>
  <c r="I15" i="2"/>
  <c r="F24" i="2"/>
  <c r="G24" i="2" s="1"/>
  <c r="I29" i="2"/>
  <c r="F40" i="2"/>
  <c r="G40" i="2" s="1"/>
  <c r="I45" i="2"/>
  <c r="F10" i="2"/>
  <c r="G10" i="2" s="1"/>
  <c r="J10" i="2" s="1"/>
  <c r="S10" i="2" s="1"/>
  <c r="F31" i="2"/>
  <c r="G31" i="2" s="1"/>
  <c r="J31" i="2" s="1"/>
  <c r="S31" i="2" s="1"/>
  <c r="F33" i="2"/>
  <c r="G33" i="2" s="1"/>
  <c r="F47" i="2"/>
  <c r="G47" i="2" s="1"/>
  <c r="F53" i="2"/>
  <c r="G53" i="2" s="1"/>
  <c r="G29" i="4"/>
  <c r="G37" i="4"/>
  <c r="G54" i="4"/>
  <c r="G9" i="6"/>
  <c r="G16" i="6"/>
  <c r="G44" i="6"/>
  <c r="I54" i="6"/>
  <c r="G62" i="6"/>
  <c r="J21" i="8"/>
  <c r="G16" i="12"/>
  <c r="J16" i="12" s="1"/>
  <c r="I69" i="4"/>
  <c r="I65" i="4"/>
  <c r="I61" i="4"/>
  <c r="I57" i="4"/>
  <c r="I53" i="4"/>
  <c r="I49" i="4"/>
  <c r="I45" i="4"/>
  <c r="I41" i="4"/>
  <c r="I37" i="4"/>
  <c r="I33" i="4"/>
  <c r="I29" i="4"/>
  <c r="I25" i="4"/>
  <c r="I21" i="4"/>
  <c r="I17" i="4"/>
  <c r="I13" i="4"/>
  <c r="I9" i="4"/>
  <c r="I5" i="4"/>
  <c r="I3" i="4"/>
  <c r="I67" i="4"/>
  <c r="J67" i="4" s="1"/>
  <c r="I63" i="4"/>
  <c r="I59" i="4"/>
  <c r="I55" i="4"/>
  <c r="I51" i="4"/>
  <c r="I47" i="4"/>
  <c r="I43" i="4"/>
  <c r="I39" i="4"/>
  <c r="I35" i="4"/>
  <c r="I31" i="4"/>
  <c r="I27" i="4"/>
  <c r="J27" i="4" s="1"/>
  <c r="I23" i="4"/>
  <c r="I19" i="4"/>
  <c r="I15" i="4"/>
  <c r="I11" i="4"/>
  <c r="I6" i="4"/>
  <c r="I68" i="4"/>
  <c r="I64" i="4"/>
  <c r="I60" i="4"/>
  <c r="I56" i="4"/>
  <c r="I52" i="4"/>
  <c r="I48" i="4"/>
  <c r="I44" i="4"/>
  <c r="I40" i="4"/>
  <c r="I36" i="4"/>
  <c r="I32" i="4"/>
  <c r="I28" i="4"/>
  <c r="I24" i="4"/>
  <c r="I20" i="4"/>
  <c r="I16" i="4"/>
  <c r="I12" i="4"/>
  <c r="I7" i="4"/>
  <c r="I17" i="2"/>
  <c r="I40" i="2"/>
  <c r="I47" i="2"/>
  <c r="I49" i="2"/>
  <c r="F51" i="2"/>
  <c r="G51" i="2" s="1"/>
  <c r="F57" i="2"/>
  <c r="G57" i="2" s="1"/>
  <c r="G9" i="4"/>
  <c r="J9" i="4" s="1"/>
  <c r="G14" i="4"/>
  <c r="J14" i="4" s="1"/>
  <c r="I54" i="4"/>
  <c r="G13" i="6"/>
  <c r="G26" i="6"/>
  <c r="G34" i="6"/>
  <c r="G37" i="6"/>
  <c r="I38" i="4"/>
  <c r="I58" i="4"/>
  <c r="K15" i="26"/>
  <c r="I24" i="2"/>
  <c r="I31" i="2"/>
  <c r="G43" i="6"/>
  <c r="G67" i="6"/>
  <c r="G65" i="6"/>
  <c r="G24" i="6"/>
  <c r="G63" i="6"/>
  <c r="G61" i="6"/>
  <c r="G39" i="6"/>
  <c r="G26" i="12"/>
  <c r="G9" i="12"/>
  <c r="J9" i="12" s="1"/>
  <c r="G30" i="12"/>
  <c r="J30" i="12" s="1"/>
  <c r="G10" i="12"/>
  <c r="J10" i="12" s="1"/>
  <c r="G15" i="12"/>
  <c r="G25" i="12"/>
  <c r="J25" i="12" s="1"/>
  <c r="G7" i="12"/>
  <c r="J7" i="12" s="1"/>
  <c r="G13" i="12"/>
  <c r="J13" i="12" s="1"/>
  <c r="G8" i="12"/>
  <c r="J8" i="12" s="1"/>
  <c r="G29" i="12"/>
  <c r="J29" i="12" s="1"/>
  <c r="G22" i="12"/>
  <c r="J22" i="12" s="1"/>
  <c r="G17" i="12"/>
  <c r="J17" i="12" s="1"/>
  <c r="G7" i="18"/>
  <c r="G28" i="18"/>
  <c r="G24" i="18"/>
  <c r="J24" i="18" s="1"/>
  <c r="G15" i="18"/>
  <c r="G8" i="18"/>
  <c r="G12" i="18"/>
  <c r="G68" i="18"/>
  <c r="I3" i="2"/>
  <c r="U8" i="2"/>
  <c r="U9" i="2" s="1"/>
  <c r="J29" i="2" s="1"/>
  <c r="S29" i="2" s="1"/>
  <c r="I12" i="2"/>
  <c r="F14" i="2"/>
  <c r="G14" i="2" s="1"/>
  <c r="J14" i="2" s="1"/>
  <c r="S14" i="2" s="1"/>
  <c r="F28" i="2"/>
  <c r="G28" i="2" s="1"/>
  <c r="I33" i="2"/>
  <c r="F44" i="2"/>
  <c r="G44" i="2" s="1"/>
  <c r="I51" i="2"/>
  <c r="I53" i="2"/>
  <c r="F55" i="2"/>
  <c r="G55" i="2" s="1"/>
  <c r="J55" i="2" s="1"/>
  <c r="S55" i="2" s="1"/>
  <c r="F61" i="2"/>
  <c r="G61" i="2" s="1"/>
  <c r="I14" i="4"/>
  <c r="G46" i="4"/>
  <c r="G6" i="6"/>
  <c r="G20" i="6"/>
  <c r="G23" i="6"/>
  <c r="G31" i="6"/>
  <c r="G41" i="6"/>
  <c r="E70" i="8"/>
  <c r="F8" i="8"/>
  <c r="G8" i="8" s="1"/>
  <c r="J8" i="8" s="1"/>
  <c r="J33" i="8"/>
  <c r="J37" i="8"/>
  <c r="I4" i="4"/>
  <c r="T11" i="16"/>
  <c r="T4" i="16"/>
  <c r="F19" i="2"/>
  <c r="G19" i="2" s="1"/>
  <c r="F21" i="2"/>
  <c r="G21" i="2" s="1"/>
  <c r="J21" i="2" s="1"/>
  <c r="S21" i="2" s="1"/>
  <c r="F35" i="2"/>
  <c r="G35" i="2" s="1"/>
  <c r="J35" i="2" s="1"/>
  <c r="S35" i="2" s="1"/>
  <c r="F37" i="2"/>
  <c r="G37" i="2" s="1"/>
  <c r="J37" i="2" s="1"/>
  <c r="S37" i="2" s="1"/>
  <c r="I55" i="2"/>
  <c r="I57" i="2"/>
  <c r="F59" i="2"/>
  <c r="G59" i="2" s="1"/>
  <c r="G17" i="4"/>
  <c r="J17" i="4" s="1"/>
  <c r="I46" i="4"/>
  <c r="G66" i="4"/>
  <c r="I6" i="6"/>
  <c r="G10" i="6"/>
  <c r="G17" i="6"/>
  <c r="G27" i="6"/>
  <c r="G55" i="6"/>
  <c r="G59" i="6"/>
  <c r="J59" i="6" s="1"/>
  <c r="F7" i="6"/>
  <c r="G7" i="6" s="1"/>
  <c r="E70" i="6"/>
  <c r="F70" i="6" s="1"/>
  <c r="F12" i="2"/>
  <c r="G12" i="2" s="1"/>
  <c r="F7" i="2"/>
  <c r="G7" i="2" s="1"/>
  <c r="F17" i="2"/>
  <c r="G17" i="2" s="1"/>
  <c r="J17" i="2" s="1"/>
  <c r="S17" i="2" s="1"/>
  <c r="F8" i="2"/>
  <c r="G8" i="2" s="1"/>
  <c r="J8" i="2" s="1"/>
  <c r="S8" i="2" s="1"/>
  <c r="F66" i="2"/>
  <c r="G66" i="2" s="1"/>
  <c r="J66" i="2" s="1"/>
  <c r="S66" i="2" s="1"/>
  <c r="F62" i="2"/>
  <c r="G62" i="2" s="1"/>
  <c r="J62" i="2" s="1"/>
  <c r="S62" i="2" s="1"/>
  <c r="F58" i="2"/>
  <c r="G58" i="2" s="1"/>
  <c r="J58" i="2" s="1"/>
  <c r="S58" i="2" s="1"/>
  <c r="F54" i="2"/>
  <c r="G54" i="2" s="1"/>
  <c r="J54" i="2" s="1"/>
  <c r="S54" i="2" s="1"/>
  <c r="F50" i="2"/>
  <c r="G50" i="2" s="1"/>
  <c r="J50" i="2" s="1"/>
  <c r="S50" i="2" s="1"/>
  <c r="F46" i="2"/>
  <c r="G46" i="2" s="1"/>
  <c r="J46" i="2" s="1"/>
  <c r="S46" i="2" s="1"/>
  <c r="F42" i="2"/>
  <c r="G42" i="2" s="1"/>
  <c r="J42" i="2" s="1"/>
  <c r="S42" i="2" s="1"/>
  <c r="F38" i="2"/>
  <c r="G38" i="2" s="1"/>
  <c r="J38" i="2" s="1"/>
  <c r="S38" i="2" s="1"/>
  <c r="F34" i="2"/>
  <c r="G34" i="2" s="1"/>
  <c r="J34" i="2" s="1"/>
  <c r="S34" i="2" s="1"/>
  <c r="F30" i="2"/>
  <c r="G30" i="2" s="1"/>
  <c r="J30" i="2" s="1"/>
  <c r="S30" i="2" s="1"/>
  <c r="F26" i="2"/>
  <c r="G26" i="2" s="1"/>
  <c r="J26" i="2" s="1"/>
  <c r="S26" i="2" s="1"/>
  <c r="F22" i="2"/>
  <c r="G22" i="2" s="1"/>
  <c r="J22" i="2" s="1"/>
  <c r="S22" i="2" s="1"/>
  <c r="F9" i="2"/>
  <c r="G9" i="2" s="1"/>
  <c r="J9" i="2" s="1"/>
  <c r="S9" i="2" s="1"/>
  <c r="F68" i="2"/>
  <c r="G68" i="2" s="1"/>
  <c r="J68" i="2" s="1"/>
  <c r="S68" i="2" s="1"/>
  <c r="F64" i="2"/>
  <c r="G64" i="2" s="1"/>
  <c r="J64" i="2" s="1"/>
  <c r="S64" i="2" s="1"/>
  <c r="F60" i="2"/>
  <c r="G60" i="2" s="1"/>
  <c r="J60" i="2" s="1"/>
  <c r="S60" i="2" s="1"/>
  <c r="F56" i="2"/>
  <c r="G56" i="2" s="1"/>
  <c r="J56" i="2" s="1"/>
  <c r="S56" i="2" s="1"/>
  <c r="F52" i="2"/>
  <c r="G52" i="2" s="1"/>
  <c r="J52" i="2" s="1"/>
  <c r="S52" i="2" s="1"/>
  <c r="F48" i="2"/>
  <c r="G48" i="2" s="1"/>
  <c r="J48" i="2" s="1"/>
  <c r="S48" i="2" s="1"/>
  <c r="J56" i="4"/>
  <c r="T11" i="22"/>
  <c r="T4" i="22"/>
  <c r="G62" i="4"/>
  <c r="J62" i="4" s="1"/>
  <c r="T11" i="10"/>
  <c r="T4" i="10"/>
  <c r="G67" i="24"/>
  <c r="G14" i="24"/>
  <c r="G9" i="24"/>
  <c r="G7" i="24"/>
  <c r="G10" i="24"/>
  <c r="G8" i="24"/>
  <c r="G50" i="24"/>
  <c r="G38" i="24"/>
  <c r="G26" i="24"/>
  <c r="G54" i="24"/>
  <c r="G42" i="24"/>
  <c r="G30" i="24"/>
  <c r="G18" i="24"/>
  <c r="G13" i="24"/>
  <c r="G46" i="24"/>
  <c r="G22" i="24"/>
  <c r="G34" i="24"/>
  <c r="V5" i="26"/>
  <c r="V8" i="26"/>
  <c r="V11" i="26"/>
  <c r="I7" i="2"/>
  <c r="T15" i="26"/>
  <c r="F16" i="2"/>
  <c r="G16" i="2" s="1"/>
  <c r="J16" i="2" s="1"/>
  <c r="S16" i="2" s="1"/>
  <c r="I19" i="2"/>
  <c r="I28" i="2"/>
  <c r="I35" i="2"/>
  <c r="I44" i="2"/>
  <c r="I59" i="2"/>
  <c r="I61" i="2"/>
  <c r="F63" i="2"/>
  <c r="G63" i="2" s="1"/>
  <c r="J63" i="2" s="1"/>
  <c r="S63" i="2" s="1"/>
  <c r="F69" i="2"/>
  <c r="G69" i="2" s="1"/>
  <c r="J69" i="2" s="1"/>
  <c r="S69" i="2" s="1"/>
  <c r="I22" i="4"/>
  <c r="G38" i="4"/>
  <c r="J38" i="4" s="1"/>
  <c r="I66" i="4"/>
  <c r="I10" i="6"/>
  <c r="I17" i="6"/>
  <c r="G42" i="6"/>
  <c r="G49" i="6"/>
  <c r="G49" i="12"/>
  <c r="J49" i="12" s="1"/>
  <c r="D70" i="6"/>
  <c r="D70" i="8"/>
  <c r="J28" i="8"/>
  <c r="G47" i="8"/>
  <c r="J47" i="8" s="1"/>
  <c r="G59" i="8"/>
  <c r="J59" i="8" s="1"/>
  <c r="G9" i="10"/>
  <c r="J9" i="10" s="1"/>
  <c r="G11" i="12"/>
  <c r="J11" i="12" s="1"/>
  <c r="G21" i="12"/>
  <c r="J21" i="12" s="1"/>
  <c r="G6" i="8"/>
  <c r="G10" i="8"/>
  <c r="G23" i="8"/>
  <c r="G31" i="8"/>
  <c r="J31" i="8" s="1"/>
  <c r="G39" i="8"/>
  <c r="J39" i="8" s="1"/>
  <c r="G69" i="8"/>
  <c r="J69" i="8" s="1"/>
  <c r="G7" i="10"/>
  <c r="J7" i="10" s="1"/>
  <c r="G28" i="10"/>
  <c r="G34" i="10"/>
  <c r="J34" i="10" s="1"/>
  <c r="G46" i="10"/>
  <c r="J46" i="10" s="1"/>
  <c r="G58" i="10"/>
  <c r="J58" i="10" s="1"/>
  <c r="G9" i="14"/>
  <c r="J9" i="14" s="1"/>
  <c r="G66" i="8"/>
  <c r="J66" i="8" s="1"/>
  <c r="F14" i="8"/>
  <c r="G14" i="8" s="1"/>
  <c r="G31" i="10"/>
  <c r="G40" i="10"/>
  <c r="G43" i="10"/>
  <c r="G52" i="10"/>
  <c r="J52" i="10" s="1"/>
  <c r="G64" i="10"/>
  <c r="J64" i="10" s="1"/>
  <c r="G14" i="12"/>
  <c r="J14" i="12" s="1"/>
  <c r="G58" i="12"/>
  <c r="J58" i="12" s="1"/>
  <c r="G66" i="12"/>
  <c r="J66" i="12" s="1"/>
  <c r="G48" i="14"/>
  <c r="G51" i="14"/>
  <c r="G54" i="8"/>
  <c r="J54" i="8" s="1"/>
  <c r="G63" i="8"/>
  <c r="G15" i="10"/>
  <c r="G19" i="12"/>
  <c r="J19" i="12" s="1"/>
  <c r="G61" i="12"/>
  <c r="J61" i="12" s="1"/>
  <c r="G19" i="14"/>
  <c r="J19" i="14" s="1"/>
  <c r="G51" i="8"/>
  <c r="J51" i="8" s="1"/>
  <c r="G23" i="10"/>
  <c r="G26" i="10"/>
  <c r="J26" i="10" s="1"/>
  <c r="G12" i="12"/>
  <c r="J12" i="12" s="1"/>
  <c r="G50" i="12"/>
  <c r="J50" i="12" s="1"/>
  <c r="G42" i="14"/>
  <c r="G33" i="18"/>
  <c r="G38" i="10"/>
  <c r="J38" i="10" s="1"/>
  <c r="G50" i="10"/>
  <c r="J50" i="10" s="1"/>
  <c r="G62" i="10"/>
  <c r="J62" i="10" s="1"/>
  <c r="G31" i="12"/>
  <c r="J31" i="12" s="1"/>
  <c r="G34" i="12"/>
  <c r="J34" i="12" s="1"/>
  <c r="G23" i="14"/>
  <c r="J23" i="14" s="1"/>
  <c r="G58" i="20"/>
  <c r="G41" i="20"/>
  <c r="G34" i="20"/>
  <c r="G7" i="20"/>
  <c r="G45" i="20"/>
  <c r="G38" i="20"/>
  <c r="G21" i="20"/>
  <c r="G13" i="20"/>
  <c r="J13" i="20" s="1"/>
  <c r="G17" i="20"/>
  <c r="G53" i="20"/>
  <c r="G22" i="20"/>
  <c r="G8" i="20"/>
  <c r="G32" i="6"/>
  <c r="G48" i="6"/>
  <c r="G7" i="8"/>
  <c r="J7" i="8" s="1"/>
  <c r="G15" i="8"/>
  <c r="G24" i="8"/>
  <c r="G32" i="8"/>
  <c r="G67" i="8"/>
  <c r="J67" i="8" s="1"/>
  <c r="G8" i="10"/>
  <c r="J8" i="10" s="1"/>
  <c r="G13" i="10"/>
  <c r="J13" i="10" s="1"/>
  <c r="G32" i="10"/>
  <c r="J32" i="10" s="1"/>
  <c r="G35" i="10"/>
  <c r="G44" i="10"/>
  <c r="G47" i="10"/>
  <c r="G56" i="10"/>
  <c r="G68" i="10"/>
  <c r="J68" i="10" s="1"/>
  <c r="G37" i="12"/>
  <c r="J37" i="12" s="1"/>
  <c r="G42" i="12"/>
  <c r="J42" i="12" s="1"/>
  <c r="G14" i="14"/>
  <c r="J14" i="14" s="1"/>
  <c r="G11" i="8"/>
  <c r="G13" i="8"/>
  <c r="J13" i="8" s="1"/>
  <c r="G19" i="8"/>
  <c r="J19" i="8" s="1"/>
  <c r="G27" i="8"/>
  <c r="J27" i="8" s="1"/>
  <c r="G35" i="8"/>
  <c r="G43" i="8"/>
  <c r="G46" i="8"/>
  <c r="G58" i="8"/>
  <c r="F49" i="4"/>
  <c r="G49" i="4" s="1"/>
  <c r="J49" i="4" s="1"/>
  <c r="F53" i="4"/>
  <c r="G53" i="4" s="1"/>
  <c r="J53" i="4" s="1"/>
  <c r="F57" i="4"/>
  <c r="G57" i="4" s="1"/>
  <c r="J57" i="4" s="1"/>
  <c r="F61" i="4"/>
  <c r="G61" i="4" s="1"/>
  <c r="J61" i="4" s="1"/>
  <c r="F65" i="4"/>
  <c r="G65" i="4" s="1"/>
  <c r="J65" i="4" s="1"/>
  <c r="I3" i="8"/>
  <c r="I68" i="8"/>
  <c r="I64" i="8"/>
  <c r="I60" i="8"/>
  <c r="I56" i="8"/>
  <c r="I52" i="8"/>
  <c r="I48" i="8"/>
  <c r="I44" i="8"/>
  <c r="I40" i="8"/>
  <c r="I36" i="8"/>
  <c r="I32" i="8"/>
  <c r="I28" i="8"/>
  <c r="I24" i="8"/>
  <c r="I20" i="8"/>
  <c r="J20" i="8" s="1"/>
  <c r="I11" i="8"/>
  <c r="I6" i="8"/>
  <c r="T8" i="8"/>
  <c r="T9" i="8" s="1"/>
  <c r="J26" i="8" s="1"/>
  <c r="I16" i="8"/>
  <c r="I12" i="8"/>
  <c r="I69" i="8"/>
  <c r="I65" i="8"/>
  <c r="I61" i="8"/>
  <c r="I57" i="8"/>
  <c r="I53" i="8"/>
  <c r="I49" i="8"/>
  <c r="J49" i="8" s="1"/>
  <c r="I45" i="8"/>
  <c r="I41" i="8"/>
  <c r="J41" i="8" s="1"/>
  <c r="I37" i="8"/>
  <c r="I33" i="8"/>
  <c r="I29" i="8"/>
  <c r="I25" i="8"/>
  <c r="I21" i="8"/>
  <c r="I66" i="8"/>
  <c r="I62" i="8"/>
  <c r="I58" i="8"/>
  <c r="I54" i="8"/>
  <c r="I50" i="8"/>
  <c r="I46" i="8"/>
  <c r="I42" i="8"/>
  <c r="I38" i="8"/>
  <c r="I34" i="8"/>
  <c r="I30" i="8"/>
  <c r="I26" i="8"/>
  <c r="I22" i="8"/>
  <c r="J22" i="8" s="1"/>
  <c r="I13" i="8"/>
  <c r="I19" i="8"/>
  <c r="I27" i="8"/>
  <c r="I35" i="8"/>
  <c r="I43" i="8"/>
  <c r="G55" i="8"/>
  <c r="J55" i="8" s="1"/>
  <c r="D70" i="10"/>
  <c r="G24" i="10"/>
  <c r="G6" i="12"/>
  <c r="G20" i="12"/>
  <c r="J20" i="12" s="1"/>
  <c r="G27" i="12"/>
  <c r="J27" i="12" s="1"/>
  <c r="G62" i="12"/>
  <c r="J62" i="12" s="1"/>
  <c r="G20" i="14"/>
  <c r="G30" i="14"/>
  <c r="J30" i="14" s="1"/>
  <c r="G36" i="6"/>
  <c r="G52" i="6"/>
  <c r="E70" i="10"/>
  <c r="G27" i="10"/>
  <c r="G30" i="10"/>
  <c r="J30" i="10" s="1"/>
  <c r="G42" i="10"/>
  <c r="J42" i="10" s="1"/>
  <c r="G54" i="10"/>
  <c r="J54" i="10" s="1"/>
  <c r="G66" i="10"/>
  <c r="J66" i="10" s="1"/>
  <c r="G18" i="12"/>
  <c r="J18" i="12" s="1"/>
  <c r="G67" i="10"/>
  <c r="J67" i="10" s="1"/>
  <c r="G63" i="10"/>
  <c r="G59" i="10"/>
  <c r="G55" i="10"/>
  <c r="G19" i="10"/>
  <c r="G10" i="10"/>
  <c r="J10" i="10" s="1"/>
  <c r="G20" i="10"/>
  <c r="G11" i="10"/>
  <c r="G6" i="10"/>
  <c r="G69" i="10"/>
  <c r="G65" i="10"/>
  <c r="G61" i="10"/>
  <c r="G57" i="10"/>
  <c r="G53" i="10"/>
  <c r="G49" i="10"/>
  <c r="G45" i="10"/>
  <c r="J45" i="10" s="1"/>
  <c r="G41" i="10"/>
  <c r="G37" i="10"/>
  <c r="J37" i="10" s="1"/>
  <c r="G33" i="10"/>
  <c r="G29" i="10"/>
  <c r="J29" i="10" s="1"/>
  <c r="G25" i="10"/>
  <c r="J25" i="10" s="1"/>
  <c r="G21" i="10"/>
  <c r="J21" i="10" s="1"/>
  <c r="G16" i="10"/>
  <c r="J16" i="10" s="1"/>
  <c r="G12" i="10"/>
  <c r="J12" i="10" s="1"/>
  <c r="G17" i="10"/>
  <c r="J17" i="10" s="1"/>
  <c r="G52" i="22"/>
  <c r="G49" i="22"/>
  <c r="G45" i="22"/>
  <c r="G41" i="22"/>
  <c r="G37" i="22"/>
  <c r="J37" i="22" s="1"/>
  <c r="G21" i="22"/>
  <c r="G16" i="22"/>
  <c r="G46" i="22"/>
  <c r="G42" i="22"/>
  <c r="G47" i="22"/>
  <c r="G43" i="22"/>
  <c r="G39" i="22"/>
  <c r="G35" i="22"/>
  <c r="G31" i="22"/>
  <c r="G27" i="22"/>
  <c r="G23" i="22"/>
  <c r="G34" i="22"/>
  <c r="J34" i="22" s="1"/>
  <c r="G8" i="22"/>
  <c r="G56" i="22"/>
  <c r="G38" i="22"/>
  <c r="G13" i="22"/>
  <c r="G7" i="22"/>
  <c r="G64" i="22"/>
  <c r="G22" i="22"/>
  <c r="G26" i="22"/>
  <c r="G48" i="22"/>
  <c r="G30" i="22"/>
  <c r="G10" i="22"/>
  <c r="G36" i="10"/>
  <c r="J36" i="10" s="1"/>
  <c r="G39" i="10"/>
  <c r="J39" i="10" s="1"/>
  <c r="G48" i="10"/>
  <c r="G51" i="10"/>
  <c r="G60" i="10"/>
  <c r="G46" i="12"/>
  <c r="J46" i="12" s="1"/>
  <c r="G54" i="12"/>
  <c r="J54" i="12" s="1"/>
  <c r="G24" i="14"/>
  <c r="G64" i="14"/>
  <c r="G26" i="14"/>
  <c r="J26" i="14" s="1"/>
  <c r="F70" i="16"/>
  <c r="F60" i="16"/>
  <c r="G60" i="16" s="1"/>
  <c r="F57" i="16"/>
  <c r="G57" i="16" s="1"/>
  <c r="J57" i="16" s="1"/>
  <c r="F54" i="16"/>
  <c r="G54" i="16" s="1"/>
  <c r="F51" i="16"/>
  <c r="G51" i="16" s="1"/>
  <c r="F48" i="16"/>
  <c r="G48" i="16" s="1"/>
  <c r="F20" i="16"/>
  <c r="G20" i="16" s="1"/>
  <c r="F11" i="16"/>
  <c r="G11" i="16" s="1"/>
  <c r="F6" i="16"/>
  <c r="G6" i="16" s="1"/>
  <c r="F63" i="16"/>
  <c r="G63" i="16" s="1"/>
  <c r="F66" i="16"/>
  <c r="G66" i="16" s="1"/>
  <c r="F61" i="16"/>
  <c r="G61" i="16" s="1"/>
  <c r="F58" i="16"/>
  <c r="G58" i="16" s="1"/>
  <c r="F55" i="16"/>
  <c r="G55" i="16" s="1"/>
  <c r="F52" i="16"/>
  <c r="G52" i="16" s="1"/>
  <c r="J52" i="16" s="1"/>
  <c r="F49" i="16"/>
  <c r="G49" i="16" s="1"/>
  <c r="F42" i="16"/>
  <c r="G42" i="16" s="1"/>
  <c r="F38" i="16"/>
  <c r="G38" i="16" s="1"/>
  <c r="F34" i="16"/>
  <c r="G34" i="16" s="1"/>
  <c r="F30" i="16"/>
  <c r="G30" i="16" s="1"/>
  <c r="F26" i="16"/>
  <c r="G26" i="16" s="1"/>
  <c r="F22" i="16"/>
  <c r="G22" i="16" s="1"/>
  <c r="F17" i="16"/>
  <c r="G17" i="16" s="1"/>
  <c r="F67" i="16"/>
  <c r="G67" i="16" s="1"/>
  <c r="F59" i="16"/>
  <c r="G59" i="16" s="1"/>
  <c r="F56" i="16"/>
  <c r="G56" i="16" s="1"/>
  <c r="F53" i="16"/>
  <c r="G53" i="16" s="1"/>
  <c r="J53" i="16" s="1"/>
  <c r="F50" i="16"/>
  <c r="G50" i="16" s="1"/>
  <c r="F47" i="16"/>
  <c r="G47" i="16" s="1"/>
  <c r="F14" i="16"/>
  <c r="G14" i="16" s="1"/>
  <c r="F69" i="16"/>
  <c r="G69" i="16" s="1"/>
  <c r="F62" i="16"/>
  <c r="G62" i="16" s="1"/>
  <c r="F41" i="16"/>
  <c r="G41" i="16" s="1"/>
  <c r="F25" i="16"/>
  <c r="G25" i="16" s="1"/>
  <c r="F64" i="16"/>
  <c r="G64" i="16" s="1"/>
  <c r="F43" i="16"/>
  <c r="G43" i="16" s="1"/>
  <c r="F27" i="16"/>
  <c r="G27" i="16" s="1"/>
  <c r="F32" i="16"/>
  <c r="G32" i="16" s="1"/>
  <c r="F13" i="16"/>
  <c r="G13" i="16" s="1"/>
  <c r="J13" i="16" s="1"/>
  <c r="F8" i="16"/>
  <c r="G8" i="16" s="1"/>
  <c r="F46" i="16"/>
  <c r="G46" i="16" s="1"/>
  <c r="F37" i="16"/>
  <c r="G37" i="16" s="1"/>
  <c r="F16" i="16"/>
  <c r="G16" i="16" s="1"/>
  <c r="F39" i="16"/>
  <c r="G39" i="16" s="1"/>
  <c r="F23" i="16"/>
  <c r="G23" i="16" s="1"/>
  <c r="F21" i="16"/>
  <c r="G21" i="16" s="1"/>
  <c r="F18" i="16"/>
  <c r="G18" i="16" s="1"/>
  <c r="F44" i="16"/>
  <c r="G44" i="16" s="1"/>
  <c r="F28" i="16"/>
  <c r="G28" i="16" s="1"/>
  <c r="F68" i="16"/>
  <c r="G68" i="16" s="1"/>
  <c r="F33" i="16"/>
  <c r="G33" i="16" s="1"/>
  <c r="J33" i="16" s="1"/>
  <c r="F35" i="16"/>
  <c r="G35" i="16" s="1"/>
  <c r="F40" i="16"/>
  <c r="G40" i="16" s="1"/>
  <c r="F24" i="16"/>
  <c r="G24" i="16" s="1"/>
  <c r="F19" i="16"/>
  <c r="G19" i="16" s="1"/>
  <c r="F9" i="16"/>
  <c r="G9" i="16" s="1"/>
  <c r="F65" i="16"/>
  <c r="G65" i="16" s="1"/>
  <c r="F29" i="16"/>
  <c r="G29" i="16" s="1"/>
  <c r="F12" i="16"/>
  <c r="G12" i="16" s="1"/>
  <c r="G17" i="18"/>
  <c r="D70" i="12"/>
  <c r="G39" i="12"/>
  <c r="J39" i="12" s="1"/>
  <c r="G51" i="12"/>
  <c r="J51" i="12" s="1"/>
  <c r="G63" i="12"/>
  <c r="J63" i="12" s="1"/>
  <c r="E6" i="14"/>
  <c r="E70" i="14" s="1"/>
  <c r="D70" i="14"/>
  <c r="G68" i="14"/>
  <c r="G45" i="16"/>
  <c r="G58" i="18"/>
  <c r="E6" i="12"/>
  <c r="E70" i="12" s="1"/>
  <c r="G28" i="12"/>
  <c r="J28" i="12" s="1"/>
  <c r="I51" i="12"/>
  <c r="I63" i="12"/>
  <c r="G16" i="14"/>
  <c r="G18" i="14"/>
  <c r="J18" i="14" s="1"/>
  <c r="G33" i="14"/>
  <c r="J33" i="14" s="1"/>
  <c r="G35" i="14"/>
  <c r="F31" i="16"/>
  <c r="G31" i="16" s="1"/>
  <c r="G55" i="18"/>
  <c r="G41" i="12"/>
  <c r="J41" i="12" s="1"/>
  <c r="G53" i="12"/>
  <c r="J53" i="12" s="1"/>
  <c r="G65" i="12"/>
  <c r="J65" i="12" s="1"/>
  <c r="G8" i="14"/>
  <c r="G50" i="14"/>
  <c r="J50" i="14" s="1"/>
  <c r="G52" i="14"/>
  <c r="G63" i="14"/>
  <c r="G18" i="20"/>
  <c r="J18" i="20" s="1"/>
  <c r="I33" i="10"/>
  <c r="I37" i="10"/>
  <c r="I41" i="10"/>
  <c r="I45" i="10"/>
  <c r="I49" i="10"/>
  <c r="I53" i="10"/>
  <c r="I57" i="10"/>
  <c r="I61" i="10"/>
  <c r="I65" i="10"/>
  <c r="I69" i="10"/>
  <c r="G24" i="12"/>
  <c r="J24" i="12" s="1"/>
  <c r="G12" i="14"/>
  <c r="J12" i="14" s="1"/>
  <c r="G10" i="16"/>
  <c r="G43" i="12"/>
  <c r="J43" i="12" s="1"/>
  <c r="G55" i="12"/>
  <c r="G67" i="12"/>
  <c r="G43" i="14"/>
  <c r="J43" i="14" s="1"/>
  <c r="G7" i="16"/>
  <c r="F36" i="8"/>
  <c r="G36" i="8" s="1"/>
  <c r="J36" i="8" s="1"/>
  <c r="F40" i="8"/>
  <c r="G40" i="8" s="1"/>
  <c r="J40" i="8" s="1"/>
  <c r="F44" i="8"/>
  <c r="G44" i="8" s="1"/>
  <c r="F48" i="8"/>
  <c r="G48" i="8" s="1"/>
  <c r="J48" i="8" s="1"/>
  <c r="F52" i="8"/>
  <c r="G52" i="8" s="1"/>
  <c r="J52" i="8" s="1"/>
  <c r="F56" i="8"/>
  <c r="G56" i="8" s="1"/>
  <c r="J56" i="8" s="1"/>
  <c r="F60" i="8"/>
  <c r="G60" i="8" s="1"/>
  <c r="J60" i="8" s="1"/>
  <c r="F64" i="8"/>
  <c r="G64" i="8" s="1"/>
  <c r="J64" i="8" s="1"/>
  <c r="F68" i="8"/>
  <c r="G68" i="8" s="1"/>
  <c r="I6" i="10"/>
  <c r="I11" i="10"/>
  <c r="I20" i="10"/>
  <c r="I15" i="12"/>
  <c r="I43" i="12"/>
  <c r="I55" i="12"/>
  <c r="I67" i="12"/>
  <c r="J3" i="14"/>
  <c r="G25" i="14"/>
  <c r="G27" i="14"/>
  <c r="J27" i="14" s="1"/>
  <c r="G41" i="14"/>
  <c r="G69" i="14"/>
  <c r="I15" i="10"/>
  <c r="I24" i="10"/>
  <c r="I28" i="10"/>
  <c r="I32" i="10"/>
  <c r="I36" i="10"/>
  <c r="I40" i="10"/>
  <c r="I44" i="10"/>
  <c r="I48" i="10"/>
  <c r="I52" i="10"/>
  <c r="I56" i="10"/>
  <c r="I60" i="10"/>
  <c r="I64" i="10"/>
  <c r="I68" i="10"/>
  <c r="G33" i="12"/>
  <c r="G45" i="12"/>
  <c r="G57" i="12"/>
  <c r="G69" i="12"/>
  <c r="G67" i="14"/>
  <c r="I30" i="12"/>
  <c r="I33" i="12"/>
  <c r="I70" i="12" s="1"/>
  <c r="I45" i="12"/>
  <c r="I57" i="12"/>
  <c r="I69" i="12"/>
  <c r="G21" i="14"/>
  <c r="G34" i="14"/>
  <c r="J34" i="14" s="1"/>
  <c r="G61" i="14"/>
  <c r="J61" i="14" s="1"/>
  <c r="F36" i="16"/>
  <c r="G36" i="16" s="1"/>
  <c r="J36" i="16" s="1"/>
  <c r="I4" i="10"/>
  <c r="I70" i="10" s="1"/>
  <c r="T20" i="10" s="1"/>
  <c r="I10" i="10"/>
  <c r="I19" i="10"/>
  <c r="G35" i="12"/>
  <c r="G47" i="12"/>
  <c r="J47" i="12" s="1"/>
  <c r="G59" i="12"/>
  <c r="J59" i="12" s="1"/>
  <c r="G49" i="14"/>
  <c r="J49" i="14" s="1"/>
  <c r="G53" i="14"/>
  <c r="F15" i="16"/>
  <c r="G15" i="16" s="1"/>
  <c r="I11" i="18"/>
  <c r="I6" i="18"/>
  <c r="I69" i="18"/>
  <c r="I65" i="18"/>
  <c r="I61" i="18"/>
  <c r="I57" i="18"/>
  <c r="I53" i="18"/>
  <c r="I49" i="18"/>
  <c r="I45" i="18"/>
  <c r="I41" i="18"/>
  <c r="I37" i="18"/>
  <c r="I33" i="18"/>
  <c r="I29" i="18"/>
  <c r="I25" i="18"/>
  <c r="I21" i="18"/>
  <c r="I16" i="18"/>
  <c r="T8" i="18"/>
  <c r="T9" i="18" s="1"/>
  <c r="I12" i="18"/>
  <c r="I66" i="18"/>
  <c r="I62" i="18"/>
  <c r="I13" i="18"/>
  <c r="I67" i="18"/>
  <c r="I63" i="18"/>
  <c r="I59" i="18"/>
  <c r="I55" i="18"/>
  <c r="I51" i="18"/>
  <c r="I50" i="18"/>
  <c r="I48" i="18"/>
  <c r="I46" i="18"/>
  <c r="I27" i="18"/>
  <c r="I18" i="18"/>
  <c r="I64" i="18"/>
  <c r="I44" i="18"/>
  <c r="I42" i="18"/>
  <c r="I52" i="18"/>
  <c r="I40" i="18"/>
  <c r="I38" i="18"/>
  <c r="I54" i="18"/>
  <c r="I36" i="18"/>
  <c r="I34" i="18"/>
  <c r="I19" i="18"/>
  <c r="I7" i="18"/>
  <c r="I32" i="18"/>
  <c r="I30" i="18"/>
  <c r="I10" i="18"/>
  <c r="I56" i="18"/>
  <c r="I28" i="18"/>
  <c r="I5" i="18"/>
  <c r="I68" i="18"/>
  <c r="I58" i="18"/>
  <c r="I47" i="18"/>
  <c r="I26" i="18"/>
  <c r="I17" i="18"/>
  <c r="I4" i="18"/>
  <c r="I60" i="18"/>
  <c r="I39" i="18"/>
  <c r="I22" i="18"/>
  <c r="I35" i="18"/>
  <c r="I8" i="18"/>
  <c r="I24" i="18"/>
  <c r="I9" i="18"/>
  <c r="I23" i="18"/>
  <c r="I31" i="18"/>
  <c r="I43" i="18"/>
  <c r="I20" i="18"/>
  <c r="I15" i="18"/>
  <c r="I3" i="18"/>
  <c r="G19" i="18"/>
  <c r="J19" i="18" s="1"/>
  <c r="I14" i="10"/>
  <c r="J14" i="10" s="1"/>
  <c r="I23" i="10"/>
  <c r="I27" i="10"/>
  <c r="I31" i="10"/>
  <c r="I35" i="10"/>
  <c r="I39" i="10"/>
  <c r="I43" i="10"/>
  <c r="I47" i="10"/>
  <c r="I51" i="10"/>
  <c r="I55" i="10"/>
  <c r="I59" i="10"/>
  <c r="I63" i="10"/>
  <c r="I26" i="12"/>
  <c r="I35" i="12"/>
  <c r="I47" i="12"/>
  <c r="F68" i="12"/>
  <c r="G68" i="12" s="1"/>
  <c r="J68" i="12" s="1"/>
  <c r="F64" i="12"/>
  <c r="G64" i="12" s="1"/>
  <c r="J64" i="12" s="1"/>
  <c r="F60" i="12"/>
  <c r="G60" i="12" s="1"/>
  <c r="J60" i="12" s="1"/>
  <c r="F56" i="12"/>
  <c r="G56" i="12" s="1"/>
  <c r="J56" i="12" s="1"/>
  <c r="F52" i="12"/>
  <c r="G52" i="12" s="1"/>
  <c r="J52" i="12" s="1"/>
  <c r="F48" i="12"/>
  <c r="G48" i="12" s="1"/>
  <c r="J48" i="12" s="1"/>
  <c r="F44" i="12"/>
  <c r="G44" i="12" s="1"/>
  <c r="J44" i="12" s="1"/>
  <c r="F40" i="12"/>
  <c r="G40" i="12" s="1"/>
  <c r="J40" i="12" s="1"/>
  <c r="F36" i="12"/>
  <c r="G36" i="12" s="1"/>
  <c r="J36" i="12" s="1"/>
  <c r="F32" i="12"/>
  <c r="G32" i="12" s="1"/>
  <c r="J32" i="12" s="1"/>
  <c r="K66" i="13"/>
  <c r="I68" i="14"/>
  <c r="I64" i="14"/>
  <c r="I60" i="14"/>
  <c r="I56" i="14"/>
  <c r="I52" i="14"/>
  <c r="F10" i="14"/>
  <c r="G10" i="14" s="1"/>
  <c r="J10" i="14" s="1"/>
  <c r="I15" i="14"/>
  <c r="J15" i="14" s="1"/>
  <c r="I20" i="14"/>
  <c r="I24" i="14"/>
  <c r="I41" i="14"/>
  <c r="F44" i="14"/>
  <c r="G44" i="14" s="1"/>
  <c r="J44" i="14" s="1"/>
  <c r="I48" i="14"/>
  <c r="I51" i="14"/>
  <c r="F56" i="14"/>
  <c r="G56" i="14" s="1"/>
  <c r="I69" i="14"/>
  <c r="I4" i="16"/>
  <c r="I49" i="16"/>
  <c r="I60" i="16"/>
  <c r="G62" i="18"/>
  <c r="F37" i="14"/>
  <c r="G37" i="14" s="1"/>
  <c r="J37" i="14" s="1"/>
  <c r="F47" i="14"/>
  <c r="G47" i="14" s="1"/>
  <c r="J47" i="14" s="1"/>
  <c r="I7" i="16"/>
  <c r="I17" i="16"/>
  <c r="I22" i="16"/>
  <c r="I31" i="16"/>
  <c r="I38" i="16"/>
  <c r="I47" i="16"/>
  <c r="G49" i="18"/>
  <c r="G10" i="20"/>
  <c r="J10" i="20" s="1"/>
  <c r="G10" i="18"/>
  <c r="F70" i="14"/>
  <c r="F66" i="14"/>
  <c r="G66" i="14" s="1"/>
  <c r="J66" i="14" s="1"/>
  <c r="F62" i="14"/>
  <c r="G62" i="14" s="1"/>
  <c r="F58" i="14"/>
  <c r="G58" i="14" s="1"/>
  <c r="J58" i="14" s="1"/>
  <c r="F54" i="14"/>
  <c r="G54" i="14" s="1"/>
  <c r="J54" i="14" s="1"/>
  <c r="I69" i="16"/>
  <c r="I65" i="16"/>
  <c r="I61" i="16"/>
  <c r="I68" i="16"/>
  <c r="I57" i="16"/>
  <c r="I51" i="16"/>
  <c r="I41" i="16"/>
  <c r="I37" i="16"/>
  <c r="I33" i="16"/>
  <c r="I29" i="16"/>
  <c r="I25" i="16"/>
  <c r="I16" i="16"/>
  <c r="T8" i="16"/>
  <c r="T9" i="16" s="1"/>
  <c r="I45" i="16"/>
  <c r="I21" i="16"/>
  <c r="I12" i="16"/>
  <c r="I55" i="16"/>
  <c r="I64" i="16"/>
  <c r="I44" i="16"/>
  <c r="I40" i="16"/>
  <c r="I36" i="16"/>
  <c r="I32" i="16"/>
  <c r="I28" i="16"/>
  <c r="I24" i="16"/>
  <c r="I19" i="16"/>
  <c r="I15" i="16"/>
  <c r="I3" i="16"/>
  <c r="I9" i="16"/>
  <c r="I14" i="16"/>
  <c r="I56" i="16"/>
  <c r="I63" i="16"/>
  <c r="D70" i="18"/>
  <c r="E6" i="18"/>
  <c r="E70" i="18" s="1"/>
  <c r="G31" i="18"/>
  <c r="G53" i="18"/>
  <c r="J53" i="18" s="1"/>
  <c r="F13" i="14"/>
  <c r="G13" i="14" s="1"/>
  <c r="J13" i="14" s="1"/>
  <c r="F22" i="14"/>
  <c r="G22" i="14" s="1"/>
  <c r="J22" i="14" s="1"/>
  <c r="F36" i="14"/>
  <c r="G36" i="14" s="1"/>
  <c r="I40" i="14"/>
  <c r="J40" i="14" s="1"/>
  <c r="I53" i="14"/>
  <c r="F55" i="14"/>
  <c r="G55" i="14" s="1"/>
  <c r="J55" i="14" s="1"/>
  <c r="I58" i="14"/>
  <c r="I63" i="14"/>
  <c r="D70" i="16"/>
  <c r="I26" i="16"/>
  <c r="I35" i="16"/>
  <c r="I42" i="16"/>
  <c r="I54" i="16"/>
  <c r="G13" i="18"/>
  <c r="G37" i="20"/>
  <c r="F17" i="14"/>
  <c r="G17" i="14" s="1"/>
  <c r="J17" i="14" s="1"/>
  <c r="F29" i="14"/>
  <c r="G29" i="14" s="1"/>
  <c r="F39" i="14"/>
  <c r="G39" i="14" s="1"/>
  <c r="J39" i="14" s="1"/>
  <c r="F46" i="14"/>
  <c r="G46" i="14" s="1"/>
  <c r="J46" i="14" s="1"/>
  <c r="F60" i="14"/>
  <c r="G60" i="14" s="1"/>
  <c r="J60" i="14" s="1"/>
  <c r="E6" i="16"/>
  <c r="E70" i="16" s="1"/>
  <c r="I11" i="16"/>
  <c r="I52" i="16"/>
  <c r="G31" i="20"/>
  <c r="J31" i="20" s="1"/>
  <c r="F7" i="14"/>
  <c r="G7" i="14" s="1"/>
  <c r="I8" i="14"/>
  <c r="I13" i="14"/>
  <c r="I22" i="14"/>
  <c r="I29" i="14"/>
  <c r="F32" i="14"/>
  <c r="G32" i="14" s="1"/>
  <c r="J32" i="14" s="1"/>
  <c r="I36" i="14"/>
  <c r="I55" i="14"/>
  <c r="F65" i="14"/>
  <c r="G65" i="14" s="1"/>
  <c r="J65" i="14" s="1"/>
  <c r="I6" i="16"/>
  <c r="I59" i="16"/>
  <c r="I66" i="16"/>
  <c r="K66" i="17"/>
  <c r="G26" i="18"/>
  <c r="J26" i="18" s="1"/>
  <c r="G35" i="18"/>
  <c r="G47" i="18"/>
  <c r="G67" i="18"/>
  <c r="I39" i="16"/>
  <c r="I46" i="16"/>
  <c r="I48" i="16"/>
  <c r="I50" i="16"/>
  <c r="G11" i="18"/>
  <c r="J11" i="18" s="1"/>
  <c r="G29" i="18"/>
  <c r="J29" i="18" s="1"/>
  <c r="I7" i="14"/>
  <c r="I70" i="14" s="1"/>
  <c r="I25" i="14"/>
  <c r="F28" i="14"/>
  <c r="G28" i="14" s="1"/>
  <c r="J28" i="14" s="1"/>
  <c r="I32" i="14"/>
  <c r="I49" i="14"/>
  <c r="F57" i="14"/>
  <c r="G57" i="14" s="1"/>
  <c r="I8" i="16"/>
  <c r="I13" i="16"/>
  <c r="F6" i="14"/>
  <c r="G6" i="14" s="1"/>
  <c r="F11" i="14"/>
  <c r="G11" i="14" s="1"/>
  <c r="J11" i="14" s="1"/>
  <c r="I12" i="14"/>
  <c r="I16" i="14"/>
  <c r="I21" i="14"/>
  <c r="F31" i="14"/>
  <c r="G31" i="14" s="1"/>
  <c r="J31" i="14" s="1"/>
  <c r="I35" i="14"/>
  <c r="F38" i="14"/>
  <c r="G38" i="14" s="1"/>
  <c r="J38" i="14" s="1"/>
  <c r="I42" i="14"/>
  <c r="F45" i="14"/>
  <c r="G45" i="14" s="1"/>
  <c r="J45" i="14" s="1"/>
  <c r="I57" i="14"/>
  <c r="F59" i="14"/>
  <c r="G59" i="14" s="1"/>
  <c r="J59" i="14" s="1"/>
  <c r="I62" i="14"/>
  <c r="I67" i="14"/>
  <c r="G45" i="18"/>
  <c r="G29" i="20"/>
  <c r="J29" i="20" s="1"/>
  <c r="G22" i="18"/>
  <c r="J22" i="18" s="1"/>
  <c r="G37" i="18"/>
  <c r="J37" i="18" s="1"/>
  <c r="G39" i="18"/>
  <c r="G65" i="18"/>
  <c r="J65" i="18" s="1"/>
  <c r="G12" i="20"/>
  <c r="G41" i="18"/>
  <c r="J41" i="18" s="1"/>
  <c r="G43" i="18"/>
  <c r="J43" i="18" s="1"/>
  <c r="G51" i="18"/>
  <c r="I20" i="20"/>
  <c r="I68" i="20"/>
  <c r="I47" i="20"/>
  <c r="I40" i="20"/>
  <c r="I23" i="20"/>
  <c r="I19" i="20"/>
  <c r="I11" i="20"/>
  <c r="I6" i="20"/>
  <c r="I54" i="20"/>
  <c r="I37" i="20"/>
  <c r="I30" i="20"/>
  <c r="T8" i="20"/>
  <c r="T9" i="20" s="1"/>
  <c r="I66" i="20"/>
  <c r="I61" i="20"/>
  <c r="I51" i="20"/>
  <c r="I44" i="20"/>
  <c r="I27" i="20"/>
  <c r="I16" i="20"/>
  <c r="I12" i="20"/>
  <c r="I58" i="20"/>
  <c r="I41" i="20"/>
  <c r="I34" i="20"/>
  <c r="I7" i="20"/>
  <c r="I64" i="20"/>
  <c r="I55" i="20"/>
  <c r="I48" i="20"/>
  <c r="I31" i="20"/>
  <c r="I24" i="20"/>
  <c r="I69" i="20"/>
  <c r="I45" i="20"/>
  <c r="I38" i="20"/>
  <c r="I21" i="20"/>
  <c r="I13" i="20"/>
  <c r="I8" i="20"/>
  <c r="I62" i="20"/>
  <c r="I59" i="20"/>
  <c r="I52" i="20"/>
  <c r="I35" i="20"/>
  <c r="I28" i="20"/>
  <c r="I17" i="20"/>
  <c r="I67" i="20"/>
  <c r="I49" i="20"/>
  <c r="I42" i="20"/>
  <c r="I25" i="20"/>
  <c r="I14" i="20"/>
  <c r="I9" i="20"/>
  <c r="I5" i="20"/>
  <c r="I56" i="20"/>
  <c r="I39" i="20"/>
  <c r="I32" i="20"/>
  <c r="I65" i="20"/>
  <c r="I53" i="20"/>
  <c r="I46" i="20"/>
  <c r="I29" i="20"/>
  <c r="I22" i="20"/>
  <c r="I18" i="20"/>
  <c r="I10" i="20"/>
  <c r="I4" i="20"/>
  <c r="I70" i="20" s="1"/>
  <c r="T13" i="20" s="1"/>
  <c r="G49" i="20"/>
  <c r="J49" i="20" s="1"/>
  <c r="G20" i="22"/>
  <c r="G63" i="18"/>
  <c r="J63" i="18" s="1"/>
  <c r="G16" i="20"/>
  <c r="G47" i="20"/>
  <c r="J47" i="20" s="1"/>
  <c r="G55" i="20"/>
  <c r="J55" i="20" s="1"/>
  <c r="G30" i="18"/>
  <c r="G27" i="20"/>
  <c r="G30" i="20"/>
  <c r="I50" i="20"/>
  <c r="G34" i="18"/>
  <c r="J34" i="18" s="1"/>
  <c r="G54" i="18"/>
  <c r="J54" i="18" s="1"/>
  <c r="G61" i="18"/>
  <c r="J61" i="18" s="1"/>
  <c r="G36" i="20"/>
  <c r="J36" i="20" s="1"/>
  <c r="G67" i="20"/>
  <c r="G51" i="22"/>
  <c r="G9" i="18"/>
  <c r="J9" i="18" s="1"/>
  <c r="G14" i="18"/>
  <c r="J14" i="18" s="1"/>
  <c r="G21" i="18"/>
  <c r="J21" i="18" s="1"/>
  <c r="G23" i="18"/>
  <c r="J23" i="18" s="1"/>
  <c r="G38" i="18"/>
  <c r="J38" i="18" s="1"/>
  <c r="G66" i="18"/>
  <c r="J66" i="18" s="1"/>
  <c r="G6" i="20"/>
  <c r="G39" i="20"/>
  <c r="G42" i="20"/>
  <c r="J42" i="20" s="1"/>
  <c r="G66" i="20"/>
  <c r="G59" i="22"/>
  <c r="J59" i="22" s="1"/>
  <c r="G42" i="18"/>
  <c r="J42" i="18" s="1"/>
  <c r="G59" i="18"/>
  <c r="J59" i="18" s="1"/>
  <c r="G69" i="18"/>
  <c r="J69" i="18" s="1"/>
  <c r="G11" i="20"/>
  <c r="J11" i="20" s="1"/>
  <c r="G25" i="20"/>
  <c r="J25" i="20" s="1"/>
  <c r="G16" i="18"/>
  <c r="J16" i="18" s="1"/>
  <c r="G18" i="18"/>
  <c r="J18" i="18" s="1"/>
  <c r="G25" i="18"/>
  <c r="J25" i="18" s="1"/>
  <c r="G27" i="18"/>
  <c r="J27" i="18" s="1"/>
  <c r="G46" i="18"/>
  <c r="J46" i="18" s="1"/>
  <c r="G50" i="18"/>
  <c r="G57" i="18"/>
  <c r="J57" i="18" s="1"/>
  <c r="G14" i="20"/>
  <c r="J14" i="20" s="1"/>
  <c r="G20" i="20"/>
  <c r="G60" i="20"/>
  <c r="J60" i="20" s="1"/>
  <c r="G12" i="22"/>
  <c r="J12" i="22" s="1"/>
  <c r="G54" i="22"/>
  <c r="G6" i="18"/>
  <c r="G9" i="20"/>
  <c r="G23" i="20"/>
  <c r="G51" i="20"/>
  <c r="J51" i="20" s="1"/>
  <c r="G54" i="20"/>
  <c r="J54" i="20" s="1"/>
  <c r="I57" i="20"/>
  <c r="I60" i="20"/>
  <c r="G32" i="20"/>
  <c r="J32" i="20" s="1"/>
  <c r="F56" i="20"/>
  <c r="G56" i="20" s="1"/>
  <c r="J56" i="20" s="1"/>
  <c r="T13" i="22"/>
  <c r="E70" i="24"/>
  <c r="G20" i="24"/>
  <c r="G32" i="24"/>
  <c r="G44" i="24"/>
  <c r="G56" i="24"/>
  <c r="F35" i="20"/>
  <c r="G35" i="20" s="1"/>
  <c r="J35" i="20" s="1"/>
  <c r="F59" i="20"/>
  <c r="G59" i="20" s="1"/>
  <c r="J59" i="20" s="1"/>
  <c r="F62" i="20"/>
  <c r="G62" i="20" s="1"/>
  <c r="I70" i="22"/>
  <c r="G33" i="22"/>
  <c r="G57" i="22"/>
  <c r="G6" i="24"/>
  <c r="G28" i="20"/>
  <c r="J28" i="20" s="1"/>
  <c r="G52" i="20"/>
  <c r="G29" i="22"/>
  <c r="G62" i="22"/>
  <c r="G67" i="22"/>
  <c r="G15" i="22"/>
  <c r="G17" i="22"/>
  <c r="G25" i="22"/>
  <c r="G24" i="20"/>
  <c r="G48" i="20"/>
  <c r="J48" i="20" s="1"/>
  <c r="G9" i="22"/>
  <c r="G11" i="22"/>
  <c r="J11" i="22" s="1"/>
  <c r="G60" i="22"/>
  <c r="J60" i="22" s="1"/>
  <c r="G16" i="24"/>
  <c r="G28" i="24"/>
  <c r="G40" i="24"/>
  <c r="G52" i="24"/>
  <c r="D70" i="20"/>
  <c r="G65" i="22"/>
  <c r="E6" i="20"/>
  <c r="E70" i="20" s="1"/>
  <c r="G44" i="20"/>
  <c r="F19" i="20"/>
  <c r="G19" i="20" s="1"/>
  <c r="F68" i="20"/>
  <c r="G68" i="20" s="1"/>
  <c r="J68" i="20" s="1"/>
  <c r="F64" i="20"/>
  <c r="G64" i="20" s="1"/>
  <c r="J64" i="20" s="1"/>
  <c r="F69" i="20"/>
  <c r="G69" i="20" s="1"/>
  <c r="J69" i="20" s="1"/>
  <c r="F65" i="20"/>
  <c r="G65" i="20" s="1"/>
  <c r="J65" i="20" s="1"/>
  <c r="F61" i="20"/>
  <c r="G61" i="20" s="1"/>
  <c r="J61" i="20" s="1"/>
  <c r="K66" i="21"/>
  <c r="D70" i="22"/>
  <c r="E6" i="22"/>
  <c r="E70" i="22" s="1"/>
  <c r="G6" i="22"/>
  <c r="F20" i="18"/>
  <c r="G20" i="18" s="1"/>
  <c r="J20" i="18" s="1"/>
  <c r="F26" i="20"/>
  <c r="G26" i="20" s="1"/>
  <c r="J26" i="20" s="1"/>
  <c r="F33" i="20"/>
  <c r="G33" i="20" s="1"/>
  <c r="J33" i="20" s="1"/>
  <c r="F40" i="20"/>
  <c r="G40" i="20" s="1"/>
  <c r="F50" i="20"/>
  <c r="G50" i="20" s="1"/>
  <c r="J50" i="20" s="1"/>
  <c r="F57" i="20"/>
  <c r="G57" i="20" s="1"/>
  <c r="J57" i="20" s="1"/>
  <c r="F70" i="20"/>
  <c r="G18" i="22"/>
  <c r="G68" i="22"/>
  <c r="G12" i="24"/>
  <c r="G24" i="24"/>
  <c r="G36" i="24"/>
  <c r="G48" i="24"/>
  <c r="F32" i="18"/>
  <c r="G32" i="18" s="1"/>
  <c r="J32" i="18" s="1"/>
  <c r="F36" i="18"/>
  <c r="G36" i="18" s="1"/>
  <c r="J36" i="18" s="1"/>
  <c r="F40" i="18"/>
  <c r="G40" i="18" s="1"/>
  <c r="J40" i="18" s="1"/>
  <c r="F44" i="18"/>
  <c r="G44" i="18" s="1"/>
  <c r="J44" i="18" s="1"/>
  <c r="F48" i="18"/>
  <c r="G48" i="18" s="1"/>
  <c r="J48" i="18" s="1"/>
  <c r="F52" i="18"/>
  <c r="G52" i="18" s="1"/>
  <c r="J52" i="18" s="1"/>
  <c r="F56" i="18"/>
  <c r="G56" i="18" s="1"/>
  <c r="J56" i="18" s="1"/>
  <c r="F60" i="18"/>
  <c r="G60" i="18" s="1"/>
  <c r="J60" i="18" s="1"/>
  <c r="F64" i="18"/>
  <c r="G64" i="18" s="1"/>
  <c r="F15" i="20"/>
  <c r="G15" i="20" s="1"/>
  <c r="J15" i="20" s="1"/>
  <c r="F43" i="20"/>
  <c r="G43" i="20" s="1"/>
  <c r="J43" i="20" s="1"/>
  <c r="F63" i="20"/>
  <c r="G63" i="20" s="1"/>
  <c r="J63" i="20" s="1"/>
  <c r="G14" i="22"/>
  <c r="J14" i="22" s="1"/>
  <c r="G69" i="24"/>
  <c r="G11" i="24"/>
  <c r="G63" i="24"/>
  <c r="G65" i="24"/>
  <c r="G59" i="24"/>
  <c r="G61" i="24"/>
  <c r="G50" i="22"/>
  <c r="G53" i="22"/>
  <c r="G15" i="24"/>
  <c r="G17" i="24"/>
  <c r="G19" i="24"/>
  <c r="G21" i="24"/>
  <c r="G23" i="24"/>
  <c r="G25" i="24"/>
  <c r="G27" i="24"/>
  <c r="G29" i="24"/>
  <c r="G31" i="24"/>
  <c r="G33" i="24"/>
  <c r="G35" i="24"/>
  <c r="G37" i="24"/>
  <c r="G39" i="24"/>
  <c r="G41" i="24"/>
  <c r="G43" i="24"/>
  <c r="G45" i="24"/>
  <c r="G47" i="24"/>
  <c r="G49" i="24"/>
  <c r="G51" i="24"/>
  <c r="G53" i="24"/>
  <c r="G55" i="24"/>
  <c r="G57" i="24"/>
  <c r="G61" i="22"/>
  <c r="G69" i="22"/>
  <c r="T9" i="22"/>
  <c r="F55" i="22"/>
  <c r="G55" i="22" s="1"/>
  <c r="J55" i="22" s="1"/>
  <c r="F58" i="22"/>
  <c r="G58" i="22" s="1"/>
  <c r="J58" i="22" s="1"/>
  <c r="F63" i="22"/>
  <c r="G63" i="22" s="1"/>
  <c r="F66" i="22"/>
  <c r="G66" i="22" s="1"/>
  <c r="G68" i="24"/>
  <c r="K66" i="23"/>
  <c r="G64" i="24"/>
  <c r="I69" i="22"/>
  <c r="I65" i="22"/>
  <c r="I61" i="22"/>
  <c r="I57" i="22"/>
  <c r="F19" i="22"/>
  <c r="G19" i="22" s="1"/>
  <c r="J19" i="22" s="1"/>
  <c r="I20" i="22"/>
  <c r="F24" i="22"/>
  <c r="G24" i="22" s="1"/>
  <c r="J24" i="22" s="1"/>
  <c r="F28" i="22"/>
  <c r="G28" i="22" s="1"/>
  <c r="F32" i="22"/>
  <c r="G32" i="22" s="1"/>
  <c r="F36" i="22"/>
  <c r="G36" i="22" s="1"/>
  <c r="J36" i="22" s="1"/>
  <c r="F40" i="22"/>
  <c r="G40" i="22" s="1"/>
  <c r="J40" i="22" s="1"/>
  <c r="F44" i="22"/>
  <c r="G44" i="22" s="1"/>
  <c r="J44" i="22" s="1"/>
  <c r="I60" i="22"/>
  <c r="I68" i="22"/>
  <c r="D70" i="24"/>
  <c r="G60" i="24"/>
  <c r="I8" i="24"/>
  <c r="I70" i="24" s="1"/>
  <c r="I13" i="24"/>
  <c r="T8" i="24"/>
  <c r="I16" i="24"/>
  <c r="I20" i="24"/>
  <c r="I24" i="24"/>
  <c r="I28" i="24"/>
  <c r="I32" i="24"/>
  <c r="I36" i="24"/>
  <c r="I40" i="24"/>
  <c r="I44" i="24"/>
  <c r="I48" i="24"/>
  <c r="I52" i="24"/>
  <c r="I56" i="24"/>
  <c r="I60" i="24"/>
  <c r="I64" i="24"/>
  <c r="F58" i="24"/>
  <c r="G58" i="24" s="1"/>
  <c r="F62" i="24"/>
  <c r="G62" i="24" s="1"/>
  <c r="F66" i="24"/>
  <c r="G66" i="24" s="1"/>
  <c r="BC67" i="27"/>
  <c r="AS63" i="27"/>
  <c r="AS39" i="27"/>
  <c r="AO45" i="27"/>
  <c r="AO49" i="27"/>
  <c r="AS28" i="27"/>
  <c r="AW36" i="27"/>
  <c r="AS40" i="27"/>
  <c r="AO36" i="27"/>
  <c r="AW17" i="27"/>
  <c r="AS54" i="27"/>
  <c r="AS12" i="27"/>
  <c r="AW24" i="27"/>
  <c r="AW6" i="27"/>
  <c r="AS6" i="27"/>
  <c r="AO7" i="27"/>
  <c r="AO60" i="27"/>
  <c r="AO65" i="27"/>
  <c r="AS61" i="27"/>
  <c r="AS62" i="27"/>
  <c r="AS38" i="27"/>
  <c r="AS43" i="27"/>
  <c r="AW35" i="27"/>
  <c r="AO41" i="27"/>
  <c r="AS42" i="27"/>
  <c r="AO25" i="27"/>
  <c r="AO39" i="27"/>
  <c r="AS23" i="27"/>
  <c r="AO55" i="27"/>
  <c r="AO9" i="27"/>
  <c r="AS17" i="27"/>
  <c r="AW30" i="27"/>
  <c r="AW5" i="27"/>
  <c r="AS21" i="27"/>
  <c r="AW4" i="27"/>
  <c r="AS5" i="27"/>
  <c r="AO58" i="27"/>
  <c r="AS64" i="27"/>
  <c r="AO59" i="27"/>
  <c r="AO64" i="27"/>
  <c r="AO40" i="27"/>
  <c r="AS37" i="27"/>
  <c r="AW33" i="27"/>
  <c r="AW39" i="27"/>
  <c r="AO46" i="27"/>
  <c r="AW57" i="27"/>
  <c r="AS33" i="27"/>
  <c r="AO24" i="27"/>
  <c r="AW25" i="27"/>
  <c r="AO20" i="27"/>
  <c r="AS14" i="27"/>
  <c r="AO14" i="27"/>
  <c r="AS22" i="27"/>
  <c r="AO16" i="27"/>
  <c r="AS3" i="27"/>
  <c r="AO3" i="27"/>
  <c r="AO42" i="27"/>
  <c r="AO61" i="27"/>
  <c r="AS65" i="27"/>
  <c r="AS32" i="27"/>
  <c r="AO34" i="27"/>
  <c r="AO30" i="27"/>
  <c r="AS36" i="27"/>
  <c r="AW23" i="27"/>
  <c r="AO22" i="27"/>
  <c r="AW21" i="27"/>
  <c r="AW29" i="27"/>
  <c r="AO11" i="27"/>
  <c r="AS41" i="27"/>
  <c r="AW12" i="27"/>
  <c r="AS44" i="27"/>
  <c r="AW18" i="27"/>
  <c r="AW54" i="27"/>
  <c r="AW59" i="27"/>
  <c r="AS66" i="27"/>
  <c r="AO62" i="27"/>
  <c r="AO29" i="27"/>
  <c r="AS30" i="27"/>
  <c r="AW43" i="27"/>
  <c r="AW55" i="27"/>
  <c r="AO33" i="27"/>
  <c r="AW48" i="27"/>
  <c r="AS19" i="27"/>
  <c r="AO38" i="27"/>
  <c r="AO63" i="27"/>
  <c r="AO66" i="27"/>
  <c r="AW53" i="27"/>
  <c r="AW58" i="27"/>
  <c r="AO27" i="27"/>
  <c r="AS35" i="27"/>
  <c r="AW52" i="27"/>
  <c r="AS20" i="27"/>
  <c r="AS18" i="27"/>
  <c r="AW14" i="27"/>
  <c r="AS51" i="27"/>
  <c r="AS56" i="27"/>
  <c r="AS58" i="27"/>
  <c r="AW56" i="27"/>
  <c r="AO32" i="27"/>
  <c r="AW38" i="27"/>
  <c r="AO17" i="27"/>
  <c r="AW16" i="27"/>
  <c r="AO15" i="27"/>
  <c r="AW28" i="27"/>
  <c r="AS7" i="27"/>
  <c r="AO35" i="27"/>
  <c r="AO5" i="27"/>
  <c r="AO48" i="27"/>
  <c r="AO53" i="27"/>
  <c r="AS50" i="27"/>
  <c r="AS55" i="27"/>
  <c r="AO37" i="27"/>
  <c r="AS47" i="27"/>
  <c r="AW27" i="27"/>
  <c r="AS11" i="27"/>
  <c r="AW19" i="27"/>
  <c r="AO50" i="27"/>
  <c r="AO21" i="27"/>
  <c r="AW22" i="27"/>
  <c r="AO6" i="27"/>
  <c r="AO4" i="27"/>
  <c r="AW32" i="27"/>
  <c r="AW10" i="27"/>
  <c r="AW62" i="27"/>
  <c r="AW60" i="27"/>
  <c r="AO47" i="27"/>
  <c r="AO52" i="27"/>
  <c r="AW51" i="27"/>
  <c r="AO54" i="27"/>
  <c r="AS53" i="27"/>
  <c r="AW44" i="27"/>
  <c r="AS13" i="27"/>
  <c r="AO8" i="27"/>
  <c r="AS48" i="27"/>
  <c r="AS26" i="27"/>
  <c r="AS10" i="27"/>
  <c r="AO18" i="27"/>
  <c r="AO26" i="27"/>
  <c r="AW7" i="27"/>
  <c r="AW66" i="27"/>
  <c r="AW42" i="27"/>
  <c r="AS59" i="27"/>
  <c r="AS57" i="27"/>
  <c r="AS45" i="27"/>
  <c r="AS49" i="27"/>
  <c r="AS46" i="27"/>
  <c r="AW31" i="27"/>
  <c r="AW40" i="27"/>
  <c r="AO44" i="27"/>
  <c r="AW34" i="27"/>
  <c r="AO13" i="27"/>
  <c r="AW63" i="27"/>
  <c r="AW64" i="27"/>
  <c r="AO56" i="27"/>
  <c r="AW65" i="27"/>
  <c r="AW41" i="27"/>
  <c r="AW46" i="27"/>
  <c r="AO51" i="27"/>
  <c r="AO43" i="27"/>
  <c r="AS8" i="27"/>
  <c r="AS31" i="27"/>
  <c r="AW61" i="27"/>
  <c r="AS25" i="27"/>
  <c r="AO31" i="27"/>
  <c r="AW47" i="27"/>
  <c r="AS16" i="27"/>
  <c r="AW20" i="27"/>
  <c r="AS27" i="27"/>
  <c r="AS29" i="27"/>
  <c r="AS60" i="27"/>
  <c r="AW3" i="27"/>
  <c r="AW9" i="27"/>
  <c r="AW26" i="27"/>
  <c r="AO23" i="27"/>
  <c r="AS9" i="27"/>
  <c r="AO57" i="27"/>
  <c r="AW13" i="27"/>
  <c r="AW45" i="27"/>
  <c r="AO12" i="27"/>
  <c r="AS52" i="27"/>
  <c r="AO28" i="27"/>
  <c r="AS15" i="27"/>
  <c r="AO10" i="27"/>
  <c r="AS24" i="27"/>
  <c r="AS34" i="27"/>
  <c r="AW11" i="27"/>
  <c r="AW15" i="27"/>
  <c r="AO19" i="27"/>
  <c r="AW8" i="27"/>
  <c r="AS4" i="27"/>
  <c r="AW49" i="27"/>
  <c r="AW50" i="27"/>
  <c r="AW37" i="27"/>
  <c r="BA19" i="27" l="1"/>
  <c r="BA10" i="27"/>
  <c r="BA28" i="27"/>
  <c r="BA12" i="27"/>
  <c r="BA57" i="27"/>
  <c r="BA23" i="27"/>
  <c r="AW67" i="27"/>
  <c r="BA31" i="27"/>
  <c r="BA43" i="27"/>
  <c r="BA51" i="27"/>
  <c r="BA56" i="27"/>
  <c r="BA13" i="27"/>
  <c r="BA44" i="27"/>
  <c r="BA26" i="27"/>
  <c r="BA18" i="27"/>
  <c r="BA8" i="27"/>
  <c r="BA54" i="27"/>
  <c r="BA52" i="27"/>
  <c r="BA47" i="27"/>
  <c r="BA4" i="27"/>
  <c r="BA6" i="27"/>
  <c r="BA21" i="27"/>
  <c r="BA50" i="27"/>
  <c r="BA37" i="27"/>
  <c r="BA53" i="27"/>
  <c r="BA48" i="27"/>
  <c r="BA5" i="27"/>
  <c r="BA35" i="27"/>
  <c r="BA15" i="27"/>
  <c r="BA17" i="27"/>
  <c r="BA32" i="27"/>
  <c r="BA27" i="27"/>
  <c r="BA66" i="27"/>
  <c r="BA63" i="27"/>
  <c r="BA38" i="27"/>
  <c r="BA33" i="27"/>
  <c r="BA29" i="27"/>
  <c r="BA62" i="27"/>
  <c r="BA11" i="27"/>
  <c r="BA22" i="27"/>
  <c r="BA30" i="27"/>
  <c r="BA34" i="27"/>
  <c r="BA61" i="27"/>
  <c r="BA42" i="27"/>
  <c r="AO67" i="27"/>
  <c r="BA3" i="27"/>
  <c r="AS67" i="27"/>
  <c r="BA16" i="27"/>
  <c r="BA14" i="27"/>
  <c r="BA20" i="27"/>
  <c r="BA24" i="27"/>
  <c r="BA46" i="27"/>
  <c r="BA40" i="27"/>
  <c r="BA64" i="27"/>
  <c r="BA59" i="27"/>
  <c r="BA58" i="27"/>
  <c r="BA9" i="27"/>
  <c r="BA55" i="27"/>
  <c r="BA39" i="27"/>
  <c r="BA25" i="27"/>
  <c r="BA41" i="27"/>
  <c r="BA65" i="27"/>
  <c r="BA60" i="27"/>
  <c r="BA7" i="27"/>
  <c r="BA36" i="27"/>
  <c r="BA49" i="27"/>
  <c r="BA45" i="27"/>
  <c r="R44" i="22"/>
  <c r="J52" i="20"/>
  <c r="J54" i="22"/>
  <c r="R54" i="22" s="1"/>
  <c r="J27" i="20"/>
  <c r="J13" i="18"/>
  <c r="J35" i="14"/>
  <c r="J40" i="16"/>
  <c r="R40" i="16" s="1"/>
  <c r="J46" i="16"/>
  <c r="J47" i="16"/>
  <c r="J42" i="16"/>
  <c r="J51" i="16"/>
  <c r="J48" i="10"/>
  <c r="R48" i="10" s="1"/>
  <c r="J56" i="22"/>
  <c r="R56" i="22" s="1"/>
  <c r="J16" i="22"/>
  <c r="J11" i="10"/>
  <c r="R11" i="10" s="1"/>
  <c r="R30" i="10"/>
  <c r="R32" i="10"/>
  <c r="J53" i="20"/>
  <c r="J23" i="10"/>
  <c r="J28" i="10"/>
  <c r="J8" i="18"/>
  <c r="J15" i="12"/>
  <c r="J66" i="24"/>
  <c r="R66" i="24" s="1"/>
  <c r="R12" i="22"/>
  <c r="J30" i="18"/>
  <c r="J7" i="14"/>
  <c r="J25" i="14"/>
  <c r="J10" i="16"/>
  <c r="J35" i="16"/>
  <c r="J8" i="16"/>
  <c r="J50" i="16"/>
  <c r="J49" i="16"/>
  <c r="J54" i="16"/>
  <c r="J8" i="22"/>
  <c r="J21" i="22"/>
  <c r="J33" i="10"/>
  <c r="J20" i="10"/>
  <c r="J27" i="10"/>
  <c r="R27" i="10" s="1"/>
  <c r="J17" i="20"/>
  <c r="J42" i="24"/>
  <c r="R42" i="24" s="1"/>
  <c r="K68" i="10"/>
  <c r="R68" i="10" s="1"/>
  <c r="K64" i="10"/>
  <c r="R64" i="10" s="1"/>
  <c r="K60" i="10"/>
  <c r="K56" i="10"/>
  <c r="K52" i="10"/>
  <c r="K48" i="10"/>
  <c r="K44" i="10"/>
  <c r="K40" i="10"/>
  <c r="K36" i="10"/>
  <c r="K32" i="10"/>
  <c r="K28" i="10"/>
  <c r="K24" i="10"/>
  <c r="K15" i="10"/>
  <c r="K20" i="10"/>
  <c r="K11" i="10"/>
  <c r="K6" i="10"/>
  <c r="K69" i="10"/>
  <c r="K65" i="10"/>
  <c r="K61" i="10"/>
  <c r="K57" i="10"/>
  <c r="K53" i="10"/>
  <c r="K49" i="10"/>
  <c r="K45" i="10"/>
  <c r="K41" i="10"/>
  <c r="K37" i="10"/>
  <c r="R37" i="10" s="1"/>
  <c r="K33" i="10"/>
  <c r="K29" i="10"/>
  <c r="R29" i="10" s="1"/>
  <c r="K25" i="10"/>
  <c r="K21" i="10"/>
  <c r="K16" i="10"/>
  <c r="K12" i="10"/>
  <c r="K7" i="10"/>
  <c r="R7" i="10" s="1"/>
  <c r="K17" i="10"/>
  <c r="K66" i="10"/>
  <c r="K62" i="10"/>
  <c r="R62" i="10" s="1"/>
  <c r="K58" i="10"/>
  <c r="R58" i="10" s="1"/>
  <c r="K54" i="10"/>
  <c r="R54" i="10" s="1"/>
  <c r="K50" i="10"/>
  <c r="R50" i="10" s="1"/>
  <c r="K46" i="10"/>
  <c r="K42" i="10"/>
  <c r="K38" i="10"/>
  <c r="K34" i="10"/>
  <c r="K30" i="10"/>
  <c r="K26" i="10"/>
  <c r="K22" i="10"/>
  <c r="R22" i="10" s="1"/>
  <c r="K13" i="10"/>
  <c r="R13" i="10" s="1"/>
  <c r="K8" i="10"/>
  <c r="R8" i="10" s="1"/>
  <c r="K18" i="10"/>
  <c r="R18" i="10" s="1"/>
  <c r="K9" i="10"/>
  <c r="R9" i="10" s="1"/>
  <c r="K67" i="10"/>
  <c r="R67" i="10" s="1"/>
  <c r="K63" i="10"/>
  <c r="K59" i="10"/>
  <c r="K55" i="10"/>
  <c r="K51" i="10"/>
  <c r="K47" i="10"/>
  <c r="K43" i="10"/>
  <c r="K39" i="10"/>
  <c r="R39" i="10" s="1"/>
  <c r="K35" i="10"/>
  <c r="K31" i="10"/>
  <c r="K27" i="10"/>
  <c r="K23" i="10"/>
  <c r="K14" i="10"/>
  <c r="R14" i="10" s="1"/>
  <c r="K10" i="10"/>
  <c r="K19" i="10"/>
  <c r="J15" i="18"/>
  <c r="R57" i="16"/>
  <c r="I70" i="6"/>
  <c r="J58" i="6"/>
  <c r="J60" i="6"/>
  <c r="J15" i="6"/>
  <c r="J35" i="6"/>
  <c r="J51" i="6"/>
  <c r="J68" i="6"/>
  <c r="J12" i="6"/>
  <c r="J11" i="6"/>
  <c r="J33" i="6"/>
  <c r="J38" i="6"/>
  <c r="J28" i="6"/>
  <c r="J14" i="6"/>
  <c r="J22" i="6"/>
  <c r="J46" i="6"/>
  <c r="J69" i="6"/>
  <c r="J45" i="6"/>
  <c r="J19" i="6"/>
  <c r="J64" i="6"/>
  <c r="J32" i="22"/>
  <c r="J57" i="22"/>
  <c r="J20" i="20"/>
  <c r="J45" i="18"/>
  <c r="J31" i="18"/>
  <c r="J62" i="14"/>
  <c r="I70" i="18"/>
  <c r="T13" i="18" s="1"/>
  <c r="J35" i="12"/>
  <c r="J63" i="14"/>
  <c r="J16" i="14"/>
  <c r="J68" i="16"/>
  <c r="J32" i="16"/>
  <c r="R32" i="16" s="1"/>
  <c r="J56" i="16"/>
  <c r="J55" i="16"/>
  <c r="J60" i="16"/>
  <c r="J10" i="22"/>
  <c r="J23" i="22"/>
  <c r="R23" i="22" s="1"/>
  <c r="J41" i="22"/>
  <c r="R41" i="22" s="1"/>
  <c r="J41" i="10"/>
  <c r="J19" i="10"/>
  <c r="R19" i="10" s="1"/>
  <c r="J52" i="6"/>
  <c r="J11" i="8"/>
  <c r="J21" i="20"/>
  <c r="J43" i="10"/>
  <c r="J55" i="6"/>
  <c r="J44" i="2"/>
  <c r="S44" i="2" s="1"/>
  <c r="J28" i="18"/>
  <c r="J57" i="2"/>
  <c r="S57" i="2" s="1"/>
  <c r="J62" i="6"/>
  <c r="J66" i="6"/>
  <c r="J58" i="24"/>
  <c r="R58" i="24" s="1"/>
  <c r="J66" i="22"/>
  <c r="R66" i="22" s="1"/>
  <c r="J40" i="20"/>
  <c r="J9" i="22"/>
  <c r="J28" i="22"/>
  <c r="R28" i="22" s="1"/>
  <c r="J63" i="22"/>
  <c r="J69" i="24"/>
  <c r="R69" i="24" s="1"/>
  <c r="J19" i="20"/>
  <c r="J33" i="22"/>
  <c r="J51" i="22"/>
  <c r="J16" i="20"/>
  <c r="J67" i="14"/>
  <c r="J44" i="8"/>
  <c r="J52" i="14"/>
  <c r="J28" i="16"/>
  <c r="J27" i="16"/>
  <c r="J59" i="16"/>
  <c r="R59" i="16" s="1"/>
  <c r="J58" i="16"/>
  <c r="J30" i="22"/>
  <c r="J27" i="22"/>
  <c r="R27" i="22" s="1"/>
  <c r="J45" i="22"/>
  <c r="R45" i="10"/>
  <c r="J55" i="10"/>
  <c r="R55" i="10" s="1"/>
  <c r="J36" i="6"/>
  <c r="J32" i="8"/>
  <c r="J38" i="20"/>
  <c r="J40" i="10"/>
  <c r="T11" i="18"/>
  <c r="T4" i="18"/>
  <c r="J38" i="24"/>
  <c r="R38" i="24" s="1"/>
  <c r="K66" i="22"/>
  <c r="K62" i="22"/>
  <c r="K58" i="22"/>
  <c r="K54" i="22"/>
  <c r="K50" i="22"/>
  <c r="K67" i="22"/>
  <c r="K63" i="22"/>
  <c r="K59" i="22"/>
  <c r="K55" i="22"/>
  <c r="K51" i="22"/>
  <c r="K21" i="22"/>
  <c r="K16" i="22"/>
  <c r="K12" i="22"/>
  <c r="K46" i="22"/>
  <c r="K42" i="22"/>
  <c r="K38" i="22"/>
  <c r="K34" i="22"/>
  <c r="K30" i="22"/>
  <c r="K26" i="22"/>
  <c r="K22" i="22"/>
  <c r="K7" i="22"/>
  <c r="K69" i="22"/>
  <c r="K61" i="22"/>
  <c r="K53" i="22"/>
  <c r="K17" i="22"/>
  <c r="K64" i="22"/>
  <c r="K56" i="22"/>
  <c r="K13" i="22"/>
  <c r="K8" i="22"/>
  <c r="K47" i="22"/>
  <c r="K43" i="22"/>
  <c r="K39" i="22"/>
  <c r="K18" i="22"/>
  <c r="K14" i="22"/>
  <c r="R14" i="22" s="1"/>
  <c r="K9" i="22"/>
  <c r="K48" i="22"/>
  <c r="K44" i="22"/>
  <c r="K40" i="22"/>
  <c r="R40" i="22" s="1"/>
  <c r="K36" i="22"/>
  <c r="R36" i="22" s="1"/>
  <c r="K32" i="22"/>
  <c r="K28" i="22"/>
  <c r="K24" i="22"/>
  <c r="K19" i="22"/>
  <c r="K10" i="22"/>
  <c r="K65" i="22"/>
  <c r="K57" i="22"/>
  <c r="K15" i="22"/>
  <c r="K45" i="22"/>
  <c r="K6" i="22"/>
  <c r="K23" i="22"/>
  <c r="K60" i="22"/>
  <c r="R60" i="22" s="1"/>
  <c r="K49" i="22"/>
  <c r="K27" i="22"/>
  <c r="K11" i="22"/>
  <c r="R11" i="22" s="1"/>
  <c r="K31" i="22"/>
  <c r="K25" i="22"/>
  <c r="K35" i="22"/>
  <c r="K29" i="22"/>
  <c r="K33" i="22"/>
  <c r="K37" i="22"/>
  <c r="R37" i="22" s="1"/>
  <c r="K52" i="22"/>
  <c r="K41" i="22"/>
  <c r="K20" i="22"/>
  <c r="K68" i="22"/>
  <c r="J7" i="2"/>
  <c r="S7" i="2" s="1"/>
  <c r="J27" i="6"/>
  <c r="J41" i="6"/>
  <c r="J7" i="18"/>
  <c r="J26" i="12"/>
  <c r="J51" i="2"/>
  <c r="S51" i="2" s="1"/>
  <c r="J25" i="24"/>
  <c r="J6" i="24"/>
  <c r="G70" i="24"/>
  <c r="J67" i="20"/>
  <c r="G70" i="14"/>
  <c r="J6" i="14"/>
  <c r="J62" i="18"/>
  <c r="J69" i="12"/>
  <c r="J17" i="18"/>
  <c r="J44" i="16"/>
  <c r="J43" i="16"/>
  <c r="J67" i="16"/>
  <c r="R67" i="16" s="1"/>
  <c r="J61" i="16"/>
  <c r="R61" i="16" s="1"/>
  <c r="J48" i="22"/>
  <c r="R48" i="22" s="1"/>
  <c r="J31" i="22"/>
  <c r="J49" i="22"/>
  <c r="R49" i="22" s="1"/>
  <c r="J49" i="10"/>
  <c r="R49" i="10" s="1"/>
  <c r="J59" i="10"/>
  <c r="R59" i="10" s="1"/>
  <c r="J24" i="8"/>
  <c r="J45" i="20"/>
  <c r="R38" i="10"/>
  <c r="J15" i="10"/>
  <c r="R15" i="10" s="1"/>
  <c r="J31" i="10"/>
  <c r="R31" i="10" s="1"/>
  <c r="J23" i="8"/>
  <c r="T11" i="12"/>
  <c r="T4" i="12"/>
  <c r="J57" i="6"/>
  <c r="J12" i="2"/>
  <c r="S12" i="2" s="1"/>
  <c r="J17" i="6"/>
  <c r="J19" i="2"/>
  <c r="S19" i="2" s="1"/>
  <c r="J31" i="6"/>
  <c r="J28" i="2"/>
  <c r="S28" i="2" s="1"/>
  <c r="J39" i="6"/>
  <c r="J29" i="8"/>
  <c r="J44" i="6"/>
  <c r="J40" i="6"/>
  <c r="R52" i="10"/>
  <c r="R58" i="22"/>
  <c r="J24" i="20"/>
  <c r="J48" i="24"/>
  <c r="R48" i="24" s="1"/>
  <c r="J25" i="22"/>
  <c r="R25" i="22" s="1"/>
  <c r="J62" i="20"/>
  <c r="J50" i="18"/>
  <c r="J66" i="20"/>
  <c r="J20" i="22"/>
  <c r="R20" i="22" s="1"/>
  <c r="J46" i="20"/>
  <c r="J51" i="18"/>
  <c r="J10" i="18"/>
  <c r="J57" i="12"/>
  <c r="J8" i="14"/>
  <c r="J12" i="16"/>
  <c r="J18" i="16"/>
  <c r="R18" i="16" s="1"/>
  <c r="J64" i="16"/>
  <c r="R64" i="16" s="1"/>
  <c r="J17" i="16"/>
  <c r="J66" i="16"/>
  <c r="J64" i="14"/>
  <c r="J26" i="22"/>
  <c r="R26" i="22" s="1"/>
  <c r="J35" i="22"/>
  <c r="R35" i="22" s="1"/>
  <c r="J52" i="22"/>
  <c r="R52" i="22" s="1"/>
  <c r="J53" i="10"/>
  <c r="R53" i="10" s="1"/>
  <c r="J63" i="10"/>
  <c r="R63" i="10" s="1"/>
  <c r="J20" i="14"/>
  <c r="J15" i="8"/>
  <c r="J7" i="20"/>
  <c r="J63" i="8"/>
  <c r="J14" i="8"/>
  <c r="J10" i="8"/>
  <c r="T4" i="6"/>
  <c r="T11" i="6"/>
  <c r="J10" i="6"/>
  <c r="J23" i="6"/>
  <c r="J61" i="6"/>
  <c r="J25" i="8"/>
  <c r="J62" i="24"/>
  <c r="R62" i="24" s="1"/>
  <c r="R53" i="16"/>
  <c r="R36" i="10"/>
  <c r="R10" i="10"/>
  <c r="I70" i="8"/>
  <c r="R24" i="22"/>
  <c r="J17" i="22"/>
  <c r="R17" i="22" s="1"/>
  <c r="J45" i="12"/>
  <c r="J7" i="16"/>
  <c r="R7" i="16" s="1"/>
  <c r="J29" i="16"/>
  <c r="J21" i="16"/>
  <c r="R21" i="16" s="1"/>
  <c r="J25" i="16"/>
  <c r="R25" i="16" s="1"/>
  <c r="J22" i="16"/>
  <c r="R22" i="16" s="1"/>
  <c r="J63" i="16"/>
  <c r="R63" i="16" s="1"/>
  <c r="J24" i="14"/>
  <c r="J22" i="22"/>
  <c r="R22" i="22" s="1"/>
  <c r="J39" i="22"/>
  <c r="R39" i="22" s="1"/>
  <c r="R17" i="10"/>
  <c r="J57" i="10"/>
  <c r="R57" i="10" s="1"/>
  <c r="J34" i="20"/>
  <c r="J33" i="18"/>
  <c r="F70" i="8"/>
  <c r="J34" i="24"/>
  <c r="J56" i="6"/>
  <c r="K66" i="16"/>
  <c r="K62" i="16"/>
  <c r="K58" i="16"/>
  <c r="K54" i="16"/>
  <c r="K50" i="16"/>
  <c r="K68" i="16"/>
  <c r="K64" i="16"/>
  <c r="K60" i="16"/>
  <c r="K56" i="16"/>
  <c r="K52" i="16"/>
  <c r="R52" i="16" s="1"/>
  <c r="K48" i="16"/>
  <c r="K44" i="16"/>
  <c r="K63" i="16"/>
  <c r="K7" i="16"/>
  <c r="K42" i="16"/>
  <c r="K38" i="16"/>
  <c r="K34" i="16"/>
  <c r="K30" i="16"/>
  <c r="K26" i="16"/>
  <c r="K22" i="16"/>
  <c r="K17" i="16"/>
  <c r="K61" i="16"/>
  <c r="K69" i="16"/>
  <c r="K14" i="16"/>
  <c r="K65" i="16"/>
  <c r="K20" i="16"/>
  <c r="K11" i="16"/>
  <c r="K6" i="16"/>
  <c r="K57" i="16"/>
  <c r="K46" i="16"/>
  <c r="K59" i="16"/>
  <c r="K39" i="16"/>
  <c r="K37" i="16"/>
  <c r="K23" i="16"/>
  <c r="K18" i="16"/>
  <c r="K16" i="16"/>
  <c r="K28" i="16"/>
  <c r="K21" i="16"/>
  <c r="K35" i="16"/>
  <c r="K33" i="16"/>
  <c r="R33" i="16" s="1"/>
  <c r="K40" i="16"/>
  <c r="K24" i="16"/>
  <c r="K19" i="16"/>
  <c r="K9" i="16"/>
  <c r="K47" i="16"/>
  <c r="K49" i="16"/>
  <c r="K31" i="16"/>
  <c r="K29" i="16"/>
  <c r="K12" i="16"/>
  <c r="K51" i="16"/>
  <c r="K45" i="16"/>
  <c r="K36" i="16"/>
  <c r="R36" i="16" s="1"/>
  <c r="K15" i="16"/>
  <c r="K10" i="16"/>
  <c r="K67" i="16"/>
  <c r="K53" i="16"/>
  <c r="K8" i="16"/>
  <c r="K25" i="16"/>
  <c r="K55" i="16"/>
  <c r="K43" i="16"/>
  <c r="K32" i="16"/>
  <c r="K27" i="16"/>
  <c r="K13" i="16"/>
  <c r="R13" i="16" s="1"/>
  <c r="K41" i="16"/>
  <c r="J20" i="6"/>
  <c r="J63" i="6"/>
  <c r="J18" i="8"/>
  <c r="R59" i="22"/>
  <c r="J65" i="22"/>
  <c r="R65" i="22" s="1"/>
  <c r="J39" i="20"/>
  <c r="J57" i="14"/>
  <c r="J49" i="18"/>
  <c r="J33" i="12"/>
  <c r="J58" i="18"/>
  <c r="J65" i="16"/>
  <c r="R65" i="16" s="1"/>
  <c r="J23" i="16"/>
  <c r="J41" i="16"/>
  <c r="J26" i="16"/>
  <c r="R26" i="16" s="1"/>
  <c r="J6" i="16"/>
  <c r="G70" i="16"/>
  <c r="J64" i="22"/>
  <c r="R64" i="22" s="1"/>
  <c r="J43" i="22"/>
  <c r="R43" i="22" s="1"/>
  <c r="R12" i="10"/>
  <c r="J61" i="10"/>
  <c r="R61" i="10" s="1"/>
  <c r="J58" i="8"/>
  <c r="J56" i="10"/>
  <c r="R56" i="10" s="1"/>
  <c r="J48" i="6"/>
  <c r="J41" i="20"/>
  <c r="J42" i="14"/>
  <c r="J51" i="14"/>
  <c r="G70" i="8"/>
  <c r="J6" i="8"/>
  <c r="J30" i="8"/>
  <c r="J7" i="24"/>
  <c r="J66" i="4"/>
  <c r="G70" i="6"/>
  <c r="J6" i="6"/>
  <c r="J32" i="2"/>
  <c r="S32" i="2" s="1"/>
  <c r="J25" i="2"/>
  <c r="S25" i="2" s="1"/>
  <c r="J65" i="2"/>
  <c r="S65" i="2" s="1"/>
  <c r="J41" i="2"/>
  <c r="S41" i="2" s="1"/>
  <c r="J45" i="2"/>
  <c r="S45" i="2" s="1"/>
  <c r="J39" i="2"/>
  <c r="S39" i="2" s="1"/>
  <c r="J23" i="2"/>
  <c r="S23" i="2" s="1"/>
  <c r="J11" i="2"/>
  <c r="S11" i="2" s="1"/>
  <c r="J43" i="2"/>
  <c r="S43" i="2" s="1"/>
  <c r="J27" i="2"/>
  <c r="S27" i="2" s="1"/>
  <c r="J15" i="2"/>
  <c r="S15" i="2" s="1"/>
  <c r="J67" i="2"/>
  <c r="S67" i="2" s="1"/>
  <c r="J24" i="6"/>
  <c r="J37" i="6"/>
  <c r="J54" i="4"/>
  <c r="J63" i="24"/>
  <c r="R63" i="24" s="1"/>
  <c r="R34" i="22"/>
  <c r="T13" i="24"/>
  <c r="T9" i="24"/>
  <c r="J64" i="24" s="1"/>
  <c r="R64" i="24" s="1"/>
  <c r="J44" i="20"/>
  <c r="G70" i="22"/>
  <c r="J6" i="22"/>
  <c r="J69" i="22"/>
  <c r="J61" i="22"/>
  <c r="J35" i="24"/>
  <c r="J53" i="22"/>
  <c r="J64" i="18"/>
  <c r="J52" i="24"/>
  <c r="R52" i="24" s="1"/>
  <c r="J67" i="22"/>
  <c r="R67" i="22" s="1"/>
  <c r="J56" i="24"/>
  <c r="J23" i="20"/>
  <c r="G70" i="20"/>
  <c r="J6" i="20"/>
  <c r="J12" i="20"/>
  <c r="J67" i="18"/>
  <c r="J29" i="14"/>
  <c r="J45" i="16"/>
  <c r="R45" i="16" s="1"/>
  <c r="J9" i="16"/>
  <c r="R9" i="16" s="1"/>
  <c r="J39" i="16"/>
  <c r="R39" i="16" s="1"/>
  <c r="J62" i="16"/>
  <c r="R62" i="16" s="1"/>
  <c r="J30" i="16"/>
  <c r="J11" i="16"/>
  <c r="R11" i="16" s="1"/>
  <c r="J7" i="22"/>
  <c r="R7" i="22" s="1"/>
  <c r="J47" i="22"/>
  <c r="R47" i="22" s="1"/>
  <c r="R16" i="10"/>
  <c r="J65" i="10"/>
  <c r="R65" i="10" s="1"/>
  <c r="R66" i="10"/>
  <c r="J46" i="8"/>
  <c r="J47" i="10"/>
  <c r="R47" i="10" s="1"/>
  <c r="J32" i="6"/>
  <c r="J58" i="20"/>
  <c r="J48" i="14"/>
  <c r="J9" i="24"/>
  <c r="R9" i="24" s="1"/>
  <c r="J7" i="6"/>
  <c r="J47" i="6"/>
  <c r="J46" i="4"/>
  <c r="I70" i="2"/>
  <c r="W3" i="26" s="1"/>
  <c r="J65" i="6"/>
  <c r="J34" i="6"/>
  <c r="J8" i="6"/>
  <c r="J19" i="24"/>
  <c r="R19" i="24" s="1"/>
  <c r="R55" i="22"/>
  <c r="J15" i="22"/>
  <c r="J57" i="24"/>
  <c r="J50" i="22"/>
  <c r="R50" i="22" s="1"/>
  <c r="J68" i="22"/>
  <c r="R68" i="22" s="1"/>
  <c r="J40" i="24"/>
  <c r="R40" i="24" s="1"/>
  <c r="J62" i="22"/>
  <c r="R62" i="22" s="1"/>
  <c r="J9" i="20"/>
  <c r="J47" i="18"/>
  <c r="I70" i="16"/>
  <c r="T14" i="16" s="1"/>
  <c r="J56" i="14"/>
  <c r="J15" i="16"/>
  <c r="J21" i="14"/>
  <c r="J69" i="14"/>
  <c r="J68" i="8"/>
  <c r="J67" i="12"/>
  <c r="J55" i="18"/>
  <c r="J68" i="14"/>
  <c r="J19" i="16"/>
  <c r="R19" i="16" s="1"/>
  <c r="J16" i="16"/>
  <c r="R16" i="16" s="1"/>
  <c r="J69" i="16"/>
  <c r="R69" i="16" s="1"/>
  <c r="J34" i="16"/>
  <c r="R34" i="16" s="1"/>
  <c r="J20" i="16"/>
  <c r="R20" i="16" s="1"/>
  <c r="J60" i="10"/>
  <c r="R60" i="10" s="1"/>
  <c r="J13" i="22"/>
  <c r="R13" i="22" s="1"/>
  <c r="J42" i="22"/>
  <c r="R42" i="22" s="1"/>
  <c r="R21" i="10"/>
  <c r="J69" i="10"/>
  <c r="R69" i="10" s="1"/>
  <c r="J6" i="12"/>
  <c r="G70" i="12"/>
  <c r="J16" i="8"/>
  <c r="J57" i="8"/>
  <c r="J50" i="8"/>
  <c r="J61" i="8"/>
  <c r="J65" i="8"/>
  <c r="J38" i="8"/>
  <c r="J42" i="8"/>
  <c r="J62" i="8"/>
  <c r="J34" i="8"/>
  <c r="J17" i="8"/>
  <c r="J12" i="8"/>
  <c r="J43" i="8"/>
  <c r="J44" i="10"/>
  <c r="R44" i="10" s="1"/>
  <c r="J8" i="20"/>
  <c r="R46" i="10"/>
  <c r="J49" i="6"/>
  <c r="J13" i="24"/>
  <c r="J14" i="24"/>
  <c r="J68" i="18"/>
  <c r="J67" i="6"/>
  <c r="J26" i="6"/>
  <c r="J53" i="8"/>
  <c r="J49" i="24"/>
  <c r="R49" i="24" s="1"/>
  <c r="R19" i="22"/>
  <c r="J55" i="24"/>
  <c r="J31" i="24"/>
  <c r="R31" i="24" s="1"/>
  <c r="J61" i="24"/>
  <c r="R61" i="24" s="1"/>
  <c r="J18" i="22"/>
  <c r="R18" i="22" s="1"/>
  <c r="J29" i="22"/>
  <c r="J32" i="24"/>
  <c r="G70" i="18"/>
  <c r="J6" i="18"/>
  <c r="J30" i="20"/>
  <c r="J39" i="18"/>
  <c r="J35" i="18"/>
  <c r="J37" i="20"/>
  <c r="J36" i="14"/>
  <c r="J53" i="14"/>
  <c r="J41" i="14"/>
  <c r="J55" i="12"/>
  <c r="J31" i="16"/>
  <c r="R31" i="16" s="1"/>
  <c r="J24" i="16"/>
  <c r="J37" i="16"/>
  <c r="R37" i="16" s="1"/>
  <c r="J14" i="16"/>
  <c r="R14" i="16" s="1"/>
  <c r="J38" i="16"/>
  <c r="R38" i="16" s="1"/>
  <c r="J48" i="16"/>
  <c r="R48" i="16" s="1"/>
  <c r="J51" i="10"/>
  <c r="R51" i="10" s="1"/>
  <c r="J38" i="22"/>
  <c r="R38" i="22" s="1"/>
  <c r="J46" i="22"/>
  <c r="R46" i="22" s="1"/>
  <c r="R25" i="10"/>
  <c r="J6" i="10"/>
  <c r="G70" i="10"/>
  <c r="R42" i="10"/>
  <c r="J24" i="10"/>
  <c r="J35" i="8"/>
  <c r="J35" i="10"/>
  <c r="R35" i="10" s="1"/>
  <c r="J22" i="20"/>
  <c r="R26" i="10"/>
  <c r="R34" i="10"/>
  <c r="J42" i="6"/>
  <c r="J18" i="24"/>
  <c r="R18" i="24" s="1"/>
  <c r="J45" i="8"/>
  <c r="J59" i="2"/>
  <c r="S59" i="2" s="1"/>
  <c r="J9" i="8"/>
  <c r="J61" i="2"/>
  <c r="S61" i="2" s="1"/>
  <c r="J12" i="18"/>
  <c r="J43" i="6"/>
  <c r="J13" i="6"/>
  <c r="J45" i="4"/>
  <c r="J20" i="2"/>
  <c r="S20" i="2" s="1"/>
  <c r="J21" i="6"/>
  <c r="J48" i="4"/>
  <c r="J18" i="2"/>
  <c r="S18" i="2" s="1"/>
  <c r="J18" i="6"/>
  <c r="J63" i="4"/>
  <c r="J28" i="4"/>
  <c r="J47" i="4"/>
  <c r="J40" i="2"/>
  <c r="S40" i="2" s="1"/>
  <c r="J54" i="6"/>
  <c r="J59" i="4"/>
  <c r="J42" i="4"/>
  <c r="J18" i="4"/>
  <c r="J50" i="4"/>
  <c r="J58" i="4"/>
  <c r="K68" i="24"/>
  <c r="K64" i="24"/>
  <c r="K60" i="24"/>
  <c r="K56" i="24"/>
  <c r="K52" i="24"/>
  <c r="K48" i="24"/>
  <c r="K44" i="24"/>
  <c r="K40" i="24"/>
  <c r="K36" i="24"/>
  <c r="K32" i="24"/>
  <c r="K28" i="24"/>
  <c r="K24" i="24"/>
  <c r="K20" i="24"/>
  <c r="K16" i="24"/>
  <c r="K12" i="24"/>
  <c r="K7" i="24"/>
  <c r="K69" i="24"/>
  <c r="K65" i="24"/>
  <c r="K61" i="24"/>
  <c r="K57" i="24"/>
  <c r="K53" i="24"/>
  <c r="K49" i="24"/>
  <c r="K45" i="24"/>
  <c r="K41" i="24"/>
  <c r="K37" i="24"/>
  <c r="K33" i="24"/>
  <c r="K29" i="24"/>
  <c r="K25" i="24"/>
  <c r="K21" i="24"/>
  <c r="K17" i="24"/>
  <c r="K66" i="24"/>
  <c r="K62" i="24"/>
  <c r="K58" i="24"/>
  <c r="K54" i="24"/>
  <c r="K50" i="24"/>
  <c r="K46" i="24"/>
  <c r="K42" i="24"/>
  <c r="K38" i="24"/>
  <c r="K34" i="24"/>
  <c r="K30" i="24"/>
  <c r="K26" i="24"/>
  <c r="K22" i="24"/>
  <c r="K18" i="24"/>
  <c r="K14" i="24"/>
  <c r="K9" i="24"/>
  <c r="K10" i="24"/>
  <c r="K55" i="24"/>
  <c r="K51" i="24"/>
  <c r="K47" i="24"/>
  <c r="K43" i="24"/>
  <c r="K39" i="24"/>
  <c r="K35" i="24"/>
  <c r="K31" i="24"/>
  <c r="K27" i="24"/>
  <c r="K23" i="24"/>
  <c r="K19" i="24"/>
  <c r="K15" i="24"/>
  <c r="K59" i="24"/>
  <c r="K13" i="24"/>
  <c r="K63" i="24"/>
  <c r="K11" i="24"/>
  <c r="K8" i="24"/>
  <c r="K67" i="24"/>
  <c r="K6" i="24"/>
  <c r="K70" i="24" s="1"/>
  <c r="J32" i="4"/>
  <c r="J52" i="4"/>
  <c r="J15" i="4"/>
  <c r="J16" i="6"/>
  <c r="J30" i="6"/>
  <c r="J13" i="4"/>
  <c r="J33" i="4"/>
  <c r="J44" i="4"/>
  <c r="J22" i="4"/>
  <c r="K70" i="2"/>
  <c r="J35" i="4"/>
  <c r="I70" i="4"/>
  <c r="W4" i="26" s="1"/>
  <c r="X4" i="26" s="1"/>
  <c r="J9" i="6"/>
  <c r="J24" i="2"/>
  <c r="S24" i="2" s="1"/>
  <c r="V4" i="26"/>
  <c r="J24" i="4"/>
  <c r="J43" i="4"/>
  <c r="J12" i="4"/>
  <c r="J25" i="4"/>
  <c r="J64" i="4"/>
  <c r="F70" i="4"/>
  <c r="G6" i="4"/>
  <c r="T4" i="14"/>
  <c r="T11" i="14"/>
  <c r="J8" i="4"/>
  <c r="J19" i="4"/>
  <c r="J36" i="4"/>
  <c r="J20" i="4"/>
  <c r="J37" i="4"/>
  <c r="J34" i="4"/>
  <c r="F6" i="2"/>
  <c r="J26" i="4"/>
  <c r="J11" i="4"/>
  <c r="H67" i="27"/>
  <c r="J29" i="4"/>
  <c r="T11" i="20"/>
  <c r="T4" i="20"/>
  <c r="T11" i="8"/>
  <c r="T4" i="8"/>
  <c r="J31" i="4"/>
  <c r="J60" i="4"/>
  <c r="J53" i="2"/>
  <c r="S53" i="2" s="1"/>
  <c r="J53" i="6"/>
  <c r="J68" i="4"/>
  <c r="J41" i="4"/>
  <c r="J51" i="4"/>
  <c r="J47" i="2"/>
  <c r="S47" i="2" s="1"/>
  <c r="J21" i="4"/>
  <c r="J49" i="2"/>
  <c r="S49" i="2" s="1"/>
  <c r="J30" i="4"/>
  <c r="J50" i="6"/>
  <c r="J36" i="2"/>
  <c r="S36" i="2" s="1"/>
  <c r="J23" i="4"/>
  <c r="J7" i="4"/>
  <c r="J16" i="4"/>
  <c r="J55" i="4"/>
  <c r="J33" i="2"/>
  <c r="S33" i="2" s="1"/>
  <c r="J29" i="6"/>
  <c r="AT49" i="27"/>
  <c r="V33" i="27"/>
  <c r="V9" i="27"/>
  <c r="AH6" i="27"/>
  <c r="AT59" i="27"/>
  <c r="V57" i="27"/>
  <c r="V43" i="27"/>
  <c r="AT15" i="27"/>
  <c r="AH45" i="27"/>
  <c r="V31" i="27"/>
  <c r="V27" i="27"/>
  <c r="V35" i="27"/>
  <c r="AH37" i="27"/>
  <c r="AH50" i="27"/>
  <c r="AT46" i="27"/>
  <c r="V50" i="27"/>
  <c r="V7" i="27"/>
  <c r="AT19" i="27"/>
  <c r="V58" i="27"/>
  <c r="AH36" i="27"/>
  <c r="V44" i="27"/>
  <c r="AT10" i="27"/>
  <c r="V48" i="27"/>
  <c r="V23" i="27"/>
  <c r="V14" i="27"/>
  <c r="AX6" i="27"/>
  <c r="AX28" i="27"/>
  <c r="AT61" i="27"/>
  <c r="AX35" i="27"/>
  <c r="AT32" i="27"/>
  <c r="AT40" i="27"/>
  <c r="AT52" i="27"/>
  <c r="AH35" i="27"/>
  <c r="V46" i="27"/>
  <c r="V60" i="27"/>
  <c r="AT36" i="27"/>
  <c r="AT31" i="27"/>
  <c r="AH59" i="27"/>
  <c r="AT39" i="27"/>
  <c r="AT35" i="27"/>
  <c r="V18" i="27"/>
  <c r="AT43" i="27"/>
  <c r="AX39" i="27"/>
  <c r="AX59" i="27"/>
  <c r="AT23" i="27"/>
  <c r="V63" i="27"/>
  <c r="AH31" i="27"/>
  <c r="V32" i="27"/>
  <c r="AX63" i="27"/>
  <c r="AT45" i="27"/>
  <c r="AX46" i="27"/>
  <c r="V56" i="27"/>
  <c r="AH62" i="27"/>
  <c r="AX66" i="27"/>
  <c r="AH58" i="27"/>
  <c r="AT14" i="27"/>
  <c r="AH34" i="27"/>
  <c r="V42" i="27"/>
  <c r="AT65" i="27"/>
  <c r="AH11" i="27"/>
  <c r="V29" i="27"/>
  <c r="AH54" i="27"/>
  <c r="AH42" i="27"/>
  <c r="AH17" i="27"/>
  <c r="V45" i="27"/>
  <c r="AT20" i="27"/>
  <c r="V49" i="27"/>
  <c r="AT17" i="27"/>
  <c r="V54" i="27"/>
  <c r="AH8" i="27"/>
  <c r="V66" i="27"/>
  <c r="AT16" i="27"/>
  <c r="V22" i="27"/>
  <c r="AX55" i="27"/>
  <c r="V12" i="27"/>
  <c r="AT64" i="27"/>
  <c r="V28" i="27"/>
  <c r="AX37" i="27"/>
  <c r="AT53" i="27"/>
  <c r="AT38" i="27"/>
  <c r="AT25" i="27"/>
  <c r="AH56" i="27"/>
  <c r="AT55" i="27"/>
  <c r="AH15" i="27"/>
  <c r="AT21" i="27"/>
  <c r="AH4" i="27"/>
  <c r="V53" i="27"/>
  <c r="V62" i="27"/>
  <c r="V19" i="27"/>
  <c r="AH61" i="27"/>
  <c r="AT56" i="27"/>
  <c r="AH23" i="27"/>
  <c r="AT4" i="27"/>
  <c r="AX15" i="27"/>
  <c r="AT41" i="27"/>
  <c r="AT63" i="27"/>
  <c r="V16" i="27"/>
  <c r="AT44" i="27"/>
  <c r="AH16" i="27"/>
  <c r="AH28" i="27"/>
  <c r="V39" i="27"/>
  <c r="AH66" i="27"/>
  <c r="AH19" i="27"/>
  <c r="AX58" i="27"/>
  <c r="V52" i="27"/>
  <c r="AT22" i="27"/>
  <c r="V8" i="27"/>
  <c r="AT24" i="27"/>
  <c r="AH64" i="27"/>
  <c r="AH18" i="27"/>
  <c r="AT62" i="27"/>
  <c r="V13" i="27"/>
  <c r="AT47" i="27"/>
  <c r="AH13" i="27"/>
  <c r="V41" i="27"/>
  <c r="AT51" i="27"/>
  <c r="AT9" i="27"/>
  <c r="V15" i="27"/>
  <c r="AX45" i="27"/>
  <c r="AH22" i="27"/>
  <c r="AX49" i="27"/>
  <c r="AX16" i="27"/>
  <c r="V24" i="27"/>
  <c r="AH29" i="27"/>
  <c r="AH60" i="27"/>
  <c r="AX60" i="27"/>
  <c r="V61" i="27"/>
  <c r="V47" i="27"/>
  <c r="V64" i="27"/>
  <c r="V11" i="27"/>
  <c r="AT57" i="27"/>
  <c r="V26" i="27"/>
  <c r="AT37" i="27"/>
  <c r="AH10" i="27"/>
  <c r="AT33" i="27"/>
  <c r="AH30" i="27"/>
  <c r="AH33" i="27"/>
  <c r="AT8" i="27"/>
  <c r="V34" i="27"/>
  <c r="V55" i="27"/>
  <c r="V6" i="27"/>
  <c r="V4" i="27"/>
  <c r="AX61" i="27"/>
  <c r="V65" i="27"/>
  <c r="V36" i="27"/>
  <c r="AH49" i="27"/>
  <c r="AT34" i="27"/>
  <c r="V10" i="27"/>
  <c r="V51" i="27"/>
  <c r="V59" i="27"/>
  <c r="V5" i="27"/>
  <c r="AT11" i="27"/>
  <c r="AV11" i="27" l="1"/>
  <c r="X5" i="27"/>
  <c r="X59" i="27"/>
  <c r="X51" i="27"/>
  <c r="X10" i="27"/>
  <c r="AV34" i="27"/>
  <c r="AJ49" i="27"/>
  <c r="X36" i="27"/>
  <c r="X65" i="27"/>
  <c r="AZ61" i="27"/>
  <c r="X4" i="27"/>
  <c r="X6" i="27"/>
  <c r="X55" i="27"/>
  <c r="X34" i="27"/>
  <c r="AV8" i="27"/>
  <c r="AJ33" i="27"/>
  <c r="AJ30" i="27"/>
  <c r="AV33" i="27"/>
  <c r="AJ10" i="27"/>
  <c r="AV37" i="27"/>
  <c r="X26" i="27"/>
  <c r="AV57" i="27"/>
  <c r="X11" i="27"/>
  <c r="X64" i="27"/>
  <c r="X47" i="27"/>
  <c r="X61" i="27"/>
  <c r="AZ60" i="27"/>
  <c r="AJ60" i="27"/>
  <c r="AJ29" i="27"/>
  <c r="X24" i="27"/>
  <c r="AZ16" i="27"/>
  <c r="AZ49" i="27"/>
  <c r="AJ22" i="27"/>
  <c r="AZ45" i="27"/>
  <c r="X15" i="27"/>
  <c r="AV9" i="27"/>
  <c r="AV51" i="27"/>
  <c r="X41" i="27"/>
  <c r="AJ13" i="27"/>
  <c r="AV47" i="27"/>
  <c r="X13" i="27"/>
  <c r="AV62" i="27"/>
  <c r="AJ18" i="27"/>
  <c r="AJ64" i="27"/>
  <c r="AV24" i="27"/>
  <c r="X8" i="27"/>
  <c r="AV22" i="27"/>
  <c r="X52" i="27"/>
  <c r="AZ58" i="27"/>
  <c r="AJ19" i="27"/>
  <c r="AJ66" i="27"/>
  <c r="X39" i="27"/>
  <c r="AJ28" i="27"/>
  <c r="AJ16" i="27"/>
  <c r="AV44" i="27"/>
  <c r="X16" i="27"/>
  <c r="AV63" i="27"/>
  <c r="AV41" i="27"/>
  <c r="AZ15" i="27"/>
  <c r="AV4" i="27"/>
  <c r="AJ23" i="27"/>
  <c r="AV56" i="27"/>
  <c r="AJ61" i="27"/>
  <c r="X19" i="27"/>
  <c r="X62" i="27"/>
  <c r="X53" i="27"/>
  <c r="AJ4" i="27"/>
  <c r="AV21" i="27"/>
  <c r="AJ15" i="27"/>
  <c r="AV55" i="27"/>
  <c r="AJ56" i="27"/>
  <c r="AV25" i="27"/>
  <c r="AV38" i="27"/>
  <c r="AV53" i="27"/>
  <c r="AZ37" i="27"/>
  <c r="X28" i="27"/>
  <c r="AV64" i="27"/>
  <c r="X12" i="27"/>
  <c r="AZ55" i="27"/>
  <c r="X22" i="27"/>
  <c r="AV16" i="27"/>
  <c r="X66" i="27"/>
  <c r="AJ8" i="27"/>
  <c r="X54" i="27"/>
  <c r="AV17" i="27"/>
  <c r="X49" i="27"/>
  <c r="AV20" i="27"/>
  <c r="X45" i="27"/>
  <c r="AJ17" i="27"/>
  <c r="AJ42" i="27"/>
  <c r="AJ54" i="27"/>
  <c r="X29" i="27"/>
  <c r="AJ11" i="27"/>
  <c r="AV65" i="27"/>
  <c r="X42" i="27"/>
  <c r="AJ34" i="27"/>
  <c r="AV14" i="27"/>
  <c r="AJ58" i="27"/>
  <c r="AZ66" i="27"/>
  <c r="AJ62" i="27"/>
  <c r="X56" i="27"/>
  <c r="AZ46" i="27"/>
  <c r="AV45" i="27"/>
  <c r="AZ63" i="27"/>
  <c r="X32" i="27"/>
  <c r="AJ31" i="27"/>
  <c r="X63" i="27"/>
  <c r="AV23" i="27"/>
  <c r="AZ59" i="27"/>
  <c r="AZ39" i="27"/>
  <c r="AV43" i="27"/>
  <c r="X18" i="27"/>
  <c r="AV35" i="27"/>
  <c r="AV39" i="27"/>
  <c r="AJ59" i="27"/>
  <c r="AV31" i="27"/>
  <c r="AV36" i="27"/>
  <c r="X60" i="27"/>
  <c r="X46" i="27"/>
  <c r="AJ35" i="27"/>
  <c r="AV52" i="27"/>
  <c r="AV40" i="27"/>
  <c r="AV32" i="27"/>
  <c r="AZ35" i="27"/>
  <c r="AV61" i="27"/>
  <c r="AZ28" i="27"/>
  <c r="AZ6" i="27"/>
  <c r="X14" i="27"/>
  <c r="X23" i="27"/>
  <c r="X48" i="27"/>
  <c r="AV10" i="27"/>
  <c r="X44" i="27"/>
  <c r="AJ36" i="27"/>
  <c r="X58" i="27"/>
  <c r="AV19" i="27"/>
  <c r="X7" i="27"/>
  <c r="X50" i="27"/>
  <c r="AV46" i="27"/>
  <c r="AJ50" i="27"/>
  <c r="AJ37" i="27"/>
  <c r="X35" i="27"/>
  <c r="X27" i="27"/>
  <c r="X31" i="27"/>
  <c r="AJ45" i="27"/>
  <c r="AV15" i="27"/>
  <c r="X43" i="27"/>
  <c r="X57" i="27"/>
  <c r="AV59" i="27"/>
  <c r="AJ6" i="27"/>
  <c r="X9" i="27"/>
  <c r="X33" i="27"/>
  <c r="AV49" i="27"/>
  <c r="R39" i="6"/>
  <c r="R45" i="18"/>
  <c r="J46" i="24"/>
  <c r="R46" i="24" s="1"/>
  <c r="J12" i="24"/>
  <c r="R12" i="24" s="1"/>
  <c r="R24" i="6"/>
  <c r="J39" i="24"/>
  <c r="R39" i="24" s="1"/>
  <c r="R66" i="16"/>
  <c r="J21" i="24"/>
  <c r="R21" i="24" s="1"/>
  <c r="R21" i="22"/>
  <c r="R25" i="14"/>
  <c r="R8" i="18"/>
  <c r="J20" i="24"/>
  <c r="R20" i="24" s="1"/>
  <c r="R61" i="8"/>
  <c r="R31" i="18"/>
  <c r="R68" i="16"/>
  <c r="R20" i="10"/>
  <c r="R33" i="10"/>
  <c r="R15" i="12"/>
  <c r="R24" i="10"/>
  <c r="R24" i="16"/>
  <c r="R55" i="24"/>
  <c r="F70" i="2"/>
  <c r="G6" i="2"/>
  <c r="J67" i="24"/>
  <c r="R67" i="24" s="1"/>
  <c r="J37" i="24"/>
  <c r="R37" i="24" s="1"/>
  <c r="R47" i="18"/>
  <c r="J33" i="24"/>
  <c r="R33" i="24" s="1"/>
  <c r="J43" i="24"/>
  <c r="R43" i="24" s="1"/>
  <c r="R41" i="20"/>
  <c r="J70" i="16"/>
  <c r="R6" i="16"/>
  <c r="J15" i="24"/>
  <c r="R15" i="24" s="1"/>
  <c r="R29" i="16"/>
  <c r="R17" i="16"/>
  <c r="J17" i="24"/>
  <c r="R17" i="24" s="1"/>
  <c r="R43" i="16"/>
  <c r="R7" i="18"/>
  <c r="R40" i="10"/>
  <c r="R30" i="22"/>
  <c r="J45" i="24"/>
  <c r="R45" i="24" s="1"/>
  <c r="R15" i="6"/>
  <c r="R8" i="22"/>
  <c r="R6" i="24"/>
  <c r="R21" i="6"/>
  <c r="J70" i="18"/>
  <c r="J70" i="12"/>
  <c r="R68" i="14"/>
  <c r="R57" i="24"/>
  <c r="R53" i="22"/>
  <c r="J70" i="6"/>
  <c r="R44" i="16"/>
  <c r="R58" i="16"/>
  <c r="R51" i="22"/>
  <c r="R63" i="22"/>
  <c r="J26" i="24"/>
  <c r="R26" i="24" s="1"/>
  <c r="R41" i="10"/>
  <c r="J30" i="24"/>
  <c r="R30" i="24" s="1"/>
  <c r="R16" i="22"/>
  <c r="J16" i="24"/>
  <c r="R16" i="24" s="1"/>
  <c r="R15" i="22"/>
  <c r="R12" i="20"/>
  <c r="R35" i="24"/>
  <c r="R41" i="16"/>
  <c r="R56" i="6"/>
  <c r="R23" i="6"/>
  <c r="R46" i="20"/>
  <c r="R17" i="18"/>
  <c r="R54" i="16"/>
  <c r="R33" i="18"/>
  <c r="R12" i="6"/>
  <c r="R42" i="6"/>
  <c r="R6" i="10"/>
  <c r="J70" i="10"/>
  <c r="R30" i="6"/>
  <c r="R32" i="24"/>
  <c r="R14" i="24"/>
  <c r="J24" i="24"/>
  <c r="R24" i="24" s="1"/>
  <c r="R34" i="6"/>
  <c r="R61" i="22"/>
  <c r="R23" i="16"/>
  <c r="J10" i="24"/>
  <c r="R10" i="24" s="1"/>
  <c r="R12" i="16"/>
  <c r="R27" i="16"/>
  <c r="R9" i="22"/>
  <c r="R14" i="6"/>
  <c r="R49" i="16"/>
  <c r="R28" i="10"/>
  <c r="R29" i="6"/>
  <c r="J70" i="22"/>
  <c r="R6" i="22"/>
  <c r="K70" i="16"/>
  <c r="R34" i="24"/>
  <c r="J50" i="24"/>
  <c r="R50" i="24" s="1"/>
  <c r="R28" i="16"/>
  <c r="R43" i="10"/>
  <c r="R10" i="22"/>
  <c r="R57" i="22"/>
  <c r="R50" i="16"/>
  <c r="J65" i="24"/>
  <c r="R65" i="24" s="1"/>
  <c r="R51" i="16"/>
  <c r="J59" i="24"/>
  <c r="R59" i="24" s="1"/>
  <c r="BA67" i="27"/>
  <c r="R35" i="14"/>
  <c r="R37" i="6"/>
  <c r="R29" i="22"/>
  <c r="R30" i="16"/>
  <c r="J70" i="20"/>
  <c r="R7" i="24"/>
  <c r="K68" i="8"/>
  <c r="R68" i="8" s="1"/>
  <c r="K64" i="8"/>
  <c r="R64" i="8" s="1"/>
  <c r="K60" i="8"/>
  <c r="R60" i="8" s="1"/>
  <c r="K56" i="8"/>
  <c r="R56" i="8" s="1"/>
  <c r="K52" i="8"/>
  <c r="R52" i="8" s="1"/>
  <c r="K48" i="8"/>
  <c r="R48" i="8" s="1"/>
  <c r="K44" i="8"/>
  <c r="R44" i="8" s="1"/>
  <c r="K40" i="8"/>
  <c r="R40" i="8" s="1"/>
  <c r="K36" i="8"/>
  <c r="R36" i="8" s="1"/>
  <c r="K32" i="8"/>
  <c r="R32" i="8" s="1"/>
  <c r="K28" i="8"/>
  <c r="R28" i="8" s="1"/>
  <c r="K24" i="8"/>
  <c r="R24" i="8" s="1"/>
  <c r="K20" i="8"/>
  <c r="R20" i="8" s="1"/>
  <c r="K11" i="8"/>
  <c r="R11" i="8" s="1"/>
  <c r="K6" i="8"/>
  <c r="K16" i="8"/>
  <c r="R16" i="8" s="1"/>
  <c r="K12" i="8"/>
  <c r="R12" i="8" s="1"/>
  <c r="K69" i="8"/>
  <c r="R69" i="8" s="1"/>
  <c r="K65" i="8"/>
  <c r="K61" i="8"/>
  <c r="K57" i="8"/>
  <c r="R57" i="8" s="1"/>
  <c r="K53" i="8"/>
  <c r="R53" i="8" s="1"/>
  <c r="K49" i="8"/>
  <c r="R49" i="8" s="1"/>
  <c r="K45" i="8"/>
  <c r="R45" i="8" s="1"/>
  <c r="K41" i="8"/>
  <c r="R41" i="8" s="1"/>
  <c r="K37" i="8"/>
  <c r="R37" i="8" s="1"/>
  <c r="K33" i="8"/>
  <c r="R33" i="8" s="1"/>
  <c r="K29" i="8"/>
  <c r="R29" i="8" s="1"/>
  <c r="K25" i="8"/>
  <c r="R25" i="8" s="1"/>
  <c r="K21" i="8"/>
  <c r="R21" i="8" s="1"/>
  <c r="K7" i="8"/>
  <c r="R7" i="8" s="1"/>
  <c r="K66" i="8"/>
  <c r="R66" i="8" s="1"/>
  <c r="K62" i="8"/>
  <c r="K58" i="8"/>
  <c r="R58" i="8" s="1"/>
  <c r="K54" i="8"/>
  <c r="R54" i="8" s="1"/>
  <c r="K50" i="8"/>
  <c r="R50" i="8" s="1"/>
  <c r="K46" i="8"/>
  <c r="R46" i="8" s="1"/>
  <c r="K42" i="8"/>
  <c r="R42" i="8" s="1"/>
  <c r="K38" i="8"/>
  <c r="R38" i="8" s="1"/>
  <c r="K34" i="8"/>
  <c r="R34" i="8" s="1"/>
  <c r="K30" i="8"/>
  <c r="K26" i="8"/>
  <c r="R26" i="8" s="1"/>
  <c r="K22" i="8"/>
  <c r="R22" i="8" s="1"/>
  <c r="K14" i="8"/>
  <c r="R14" i="8" s="1"/>
  <c r="K67" i="8"/>
  <c r="R67" i="8" s="1"/>
  <c r="K63" i="8"/>
  <c r="R63" i="8" s="1"/>
  <c r="K59" i="8"/>
  <c r="R59" i="8" s="1"/>
  <c r="K55" i="8"/>
  <c r="R55" i="8" s="1"/>
  <c r="K51" i="8"/>
  <c r="R51" i="8" s="1"/>
  <c r="K47" i="8"/>
  <c r="R47" i="8" s="1"/>
  <c r="K43" i="8"/>
  <c r="R43" i="8" s="1"/>
  <c r="K35" i="8"/>
  <c r="R35" i="8" s="1"/>
  <c r="K27" i="8"/>
  <c r="R27" i="8" s="1"/>
  <c r="K19" i="8"/>
  <c r="R19" i="8" s="1"/>
  <c r="K13" i="8"/>
  <c r="R13" i="8" s="1"/>
  <c r="K17" i="8"/>
  <c r="R17" i="8" s="1"/>
  <c r="K15" i="8"/>
  <c r="R15" i="8" s="1"/>
  <c r="K9" i="8"/>
  <c r="R9" i="8" s="1"/>
  <c r="K10" i="8"/>
  <c r="R10" i="8" s="1"/>
  <c r="K39" i="8"/>
  <c r="R39" i="8" s="1"/>
  <c r="K31" i="8"/>
  <c r="R31" i="8" s="1"/>
  <c r="K23" i="8"/>
  <c r="K18" i="8"/>
  <c r="R18" i="8" s="1"/>
  <c r="K8" i="8"/>
  <c r="R8" i="8" s="1"/>
  <c r="R43" i="6"/>
  <c r="J28" i="24"/>
  <c r="R28" i="24" s="1"/>
  <c r="R69" i="14"/>
  <c r="R9" i="20"/>
  <c r="R32" i="6"/>
  <c r="R69" i="22"/>
  <c r="J22" i="24"/>
  <c r="R22" i="24" s="1"/>
  <c r="J8" i="24"/>
  <c r="R8" i="24" s="1"/>
  <c r="R40" i="6"/>
  <c r="R33" i="22"/>
  <c r="J68" i="24"/>
  <c r="R68" i="24" s="1"/>
  <c r="R60" i="16"/>
  <c r="R8" i="16"/>
  <c r="J27" i="24"/>
  <c r="R27" i="24" s="1"/>
  <c r="R23" i="10"/>
  <c r="R42" i="16"/>
  <c r="J29" i="24"/>
  <c r="R29" i="24" s="1"/>
  <c r="R56" i="24"/>
  <c r="G70" i="4"/>
  <c r="J6" i="4"/>
  <c r="R25" i="24"/>
  <c r="R45" i="22"/>
  <c r="T4" i="4"/>
  <c r="V15" i="26"/>
  <c r="R62" i="8"/>
  <c r="R37" i="20"/>
  <c r="R21" i="14"/>
  <c r="J44" i="24"/>
  <c r="R44" i="24" s="1"/>
  <c r="J36" i="24"/>
  <c r="R36" i="24" s="1"/>
  <c r="W15" i="26"/>
  <c r="X3" i="26"/>
  <c r="X15" i="26" s="1"/>
  <c r="J60" i="24"/>
  <c r="R60" i="24" s="1"/>
  <c r="R30" i="8"/>
  <c r="K69" i="6"/>
  <c r="R69" i="6" s="1"/>
  <c r="K65" i="6"/>
  <c r="K61" i="6"/>
  <c r="R61" i="6" s="1"/>
  <c r="K57" i="6"/>
  <c r="R57" i="6" s="1"/>
  <c r="K53" i="6"/>
  <c r="R53" i="6" s="1"/>
  <c r="K49" i="6"/>
  <c r="R49" i="6" s="1"/>
  <c r="K45" i="6"/>
  <c r="R45" i="6" s="1"/>
  <c r="K41" i="6"/>
  <c r="R41" i="6" s="1"/>
  <c r="K37" i="6"/>
  <c r="K33" i="6"/>
  <c r="K17" i="6"/>
  <c r="R17" i="6" s="1"/>
  <c r="K13" i="6"/>
  <c r="R13" i="6" s="1"/>
  <c r="K8" i="6"/>
  <c r="R8" i="6" s="1"/>
  <c r="K67" i="6"/>
  <c r="R67" i="6" s="1"/>
  <c r="K63" i="6"/>
  <c r="R63" i="6" s="1"/>
  <c r="K59" i="6"/>
  <c r="R59" i="6" s="1"/>
  <c r="K55" i="6"/>
  <c r="R55" i="6" s="1"/>
  <c r="K51" i="6"/>
  <c r="R51" i="6" s="1"/>
  <c r="K47" i="6"/>
  <c r="R47" i="6" s="1"/>
  <c r="K43" i="6"/>
  <c r="K39" i="6"/>
  <c r="K35" i="6"/>
  <c r="R35" i="6" s="1"/>
  <c r="K31" i="6"/>
  <c r="R31" i="6" s="1"/>
  <c r="K21" i="6"/>
  <c r="K18" i="6"/>
  <c r="R18" i="6" s="1"/>
  <c r="K27" i="6"/>
  <c r="R27" i="6" s="1"/>
  <c r="K24" i="6"/>
  <c r="K11" i="6"/>
  <c r="K7" i="6"/>
  <c r="R7" i="6" s="1"/>
  <c r="K48" i="6"/>
  <c r="R48" i="6" s="1"/>
  <c r="K46" i="6"/>
  <c r="R46" i="6" s="1"/>
  <c r="K32" i="6"/>
  <c r="K30" i="6"/>
  <c r="K15" i="6"/>
  <c r="K22" i="6"/>
  <c r="R22" i="6" s="1"/>
  <c r="K19" i="6"/>
  <c r="R19" i="6" s="1"/>
  <c r="K12" i="6"/>
  <c r="K44" i="6"/>
  <c r="K42" i="6"/>
  <c r="K25" i="6"/>
  <c r="R25" i="6" s="1"/>
  <c r="K28" i="6"/>
  <c r="R28" i="6" s="1"/>
  <c r="K16" i="6"/>
  <c r="R16" i="6" s="1"/>
  <c r="K9" i="6"/>
  <c r="K64" i="6"/>
  <c r="R64" i="6" s="1"/>
  <c r="K62" i="6"/>
  <c r="K40" i="6"/>
  <c r="K38" i="6"/>
  <c r="R38" i="6" s="1"/>
  <c r="K26" i="6"/>
  <c r="R26" i="6" s="1"/>
  <c r="K23" i="6"/>
  <c r="K20" i="6"/>
  <c r="R20" i="6" s="1"/>
  <c r="K60" i="6"/>
  <c r="R60" i="6" s="1"/>
  <c r="K58" i="6"/>
  <c r="R58" i="6" s="1"/>
  <c r="K10" i="6"/>
  <c r="R10" i="6" s="1"/>
  <c r="K6" i="6"/>
  <c r="R6" i="6" s="1"/>
  <c r="K56" i="6"/>
  <c r="K54" i="6"/>
  <c r="R54" i="6" s="1"/>
  <c r="K29" i="6"/>
  <c r="K34" i="6"/>
  <c r="K66" i="6"/>
  <c r="K36" i="6"/>
  <c r="R36" i="6" s="1"/>
  <c r="K50" i="6"/>
  <c r="R50" i="6" s="1"/>
  <c r="K52" i="6"/>
  <c r="R52" i="6" s="1"/>
  <c r="K14" i="6"/>
  <c r="K68" i="6"/>
  <c r="R68" i="6" s="1"/>
  <c r="R44" i="6"/>
  <c r="K69" i="12"/>
  <c r="R69" i="12" s="1"/>
  <c r="K65" i="12"/>
  <c r="R65" i="12" s="1"/>
  <c r="K61" i="12"/>
  <c r="R61" i="12" s="1"/>
  <c r="K57" i="12"/>
  <c r="K53" i="12"/>
  <c r="R53" i="12" s="1"/>
  <c r="K49" i="12"/>
  <c r="R49" i="12" s="1"/>
  <c r="K45" i="12"/>
  <c r="R45" i="12" s="1"/>
  <c r="K41" i="12"/>
  <c r="R41" i="12" s="1"/>
  <c r="K37" i="12"/>
  <c r="R37" i="12" s="1"/>
  <c r="K33" i="12"/>
  <c r="R33" i="12" s="1"/>
  <c r="K29" i="12"/>
  <c r="R29" i="12" s="1"/>
  <c r="K25" i="12"/>
  <c r="R25" i="12" s="1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0" i="12"/>
  <c r="R30" i="12" s="1"/>
  <c r="K10" i="12"/>
  <c r="R10" i="12" s="1"/>
  <c r="K27" i="12"/>
  <c r="R27" i="12" s="1"/>
  <c r="K19" i="12"/>
  <c r="R19" i="12" s="1"/>
  <c r="K67" i="12"/>
  <c r="R67" i="12" s="1"/>
  <c r="K55" i="12"/>
  <c r="R55" i="12" s="1"/>
  <c r="K43" i="12"/>
  <c r="R43" i="12" s="1"/>
  <c r="K15" i="12"/>
  <c r="K31" i="12"/>
  <c r="R31" i="12" s="1"/>
  <c r="K24" i="12"/>
  <c r="R24" i="12" s="1"/>
  <c r="K20" i="12"/>
  <c r="R20" i="12" s="1"/>
  <c r="K11" i="12"/>
  <c r="R11" i="12" s="1"/>
  <c r="K6" i="12"/>
  <c r="K28" i="12"/>
  <c r="R28" i="12" s="1"/>
  <c r="K21" i="12"/>
  <c r="R21" i="12" s="1"/>
  <c r="K16" i="12"/>
  <c r="R16" i="12" s="1"/>
  <c r="K12" i="12"/>
  <c r="R12" i="12" s="1"/>
  <c r="K63" i="12"/>
  <c r="R63" i="12" s="1"/>
  <c r="K51" i="12"/>
  <c r="R51" i="12" s="1"/>
  <c r="K39" i="12"/>
  <c r="R39" i="12" s="1"/>
  <c r="K7" i="12"/>
  <c r="R7" i="12" s="1"/>
  <c r="K32" i="12"/>
  <c r="R32" i="12" s="1"/>
  <c r="K22" i="12"/>
  <c r="R22" i="12" s="1"/>
  <c r="K17" i="12"/>
  <c r="R17" i="12" s="1"/>
  <c r="K13" i="12"/>
  <c r="R13" i="12" s="1"/>
  <c r="K8" i="12"/>
  <c r="R8" i="12" s="1"/>
  <c r="K59" i="12"/>
  <c r="R59" i="12" s="1"/>
  <c r="K47" i="12"/>
  <c r="R47" i="12" s="1"/>
  <c r="K35" i="12"/>
  <c r="R35" i="12" s="1"/>
  <c r="K26" i="12"/>
  <c r="R26" i="12" s="1"/>
  <c r="K9" i="12"/>
  <c r="R9" i="12" s="1"/>
  <c r="K14" i="12"/>
  <c r="R14" i="12" s="1"/>
  <c r="K23" i="12"/>
  <c r="R23" i="12" s="1"/>
  <c r="K18" i="12"/>
  <c r="R18" i="12" s="1"/>
  <c r="J11" i="24"/>
  <c r="R11" i="24" s="1"/>
  <c r="R66" i="6"/>
  <c r="R55" i="16"/>
  <c r="J23" i="24"/>
  <c r="R23" i="24" s="1"/>
  <c r="R33" i="6"/>
  <c r="J54" i="24"/>
  <c r="R54" i="24" s="1"/>
  <c r="K70" i="10"/>
  <c r="R35" i="16"/>
  <c r="J51" i="24"/>
  <c r="R51" i="24" s="1"/>
  <c r="R47" i="16"/>
  <c r="J53" i="24"/>
  <c r="R53" i="24" s="1"/>
  <c r="R22" i="20"/>
  <c r="J70" i="14"/>
  <c r="R10" i="16"/>
  <c r="K12" i="18"/>
  <c r="R12" i="18" s="1"/>
  <c r="K7" i="18"/>
  <c r="K66" i="18"/>
  <c r="R66" i="18" s="1"/>
  <c r="K62" i="18"/>
  <c r="R62" i="18" s="1"/>
  <c r="K58" i="18"/>
  <c r="R58" i="18" s="1"/>
  <c r="K54" i="18"/>
  <c r="R54" i="18" s="1"/>
  <c r="K50" i="18"/>
  <c r="R50" i="18" s="1"/>
  <c r="K46" i="18"/>
  <c r="R46" i="18" s="1"/>
  <c r="K42" i="18"/>
  <c r="R42" i="18" s="1"/>
  <c r="K38" i="18"/>
  <c r="R38" i="18" s="1"/>
  <c r="K34" i="18"/>
  <c r="R34" i="18" s="1"/>
  <c r="K30" i="18"/>
  <c r="K26" i="18"/>
  <c r="R26" i="18" s="1"/>
  <c r="K22" i="18"/>
  <c r="R22" i="18" s="1"/>
  <c r="K17" i="18"/>
  <c r="K67" i="18"/>
  <c r="R67" i="18" s="1"/>
  <c r="K63" i="18"/>
  <c r="R63" i="18" s="1"/>
  <c r="K59" i="18"/>
  <c r="R59" i="18" s="1"/>
  <c r="K55" i="18"/>
  <c r="R55" i="18" s="1"/>
  <c r="K51" i="18"/>
  <c r="R51" i="18" s="1"/>
  <c r="K47" i="18"/>
  <c r="K43" i="18"/>
  <c r="R43" i="18" s="1"/>
  <c r="K39" i="18"/>
  <c r="R39" i="18" s="1"/>
  <c r="K35" i="18"/>
  <c r="K31" i="18"/>
  <c r="K27" i="18"/>
  <c r="R27" i="18" s="1"/>
  <c r="K23" i="18"/>
  <c r="R23" i="18" s="1"/>
  <c r="K18" i="18"/>
  <c r="R18" i="18" s="1"/>
  <c r="K14" i="18"/>
  <c r="R14" i="18" s="1"/>
  <c r="K68" i="18"/>
  <c r="R68" i="18" s="1"/>
  <c r="K64" i="18"/>
  <c r="R64" i="18" s="1"/>
  <c r="K60" i="18"/>
  <c r="R60" i="18" s="1"/>
  <c r="K56" i="18"/>
  <c r="R56" i="18" s="1"/>
  <c r="K52" i="18"/>
  <c r="R52" i="18" s="1"/>
  <c r="K48" i="18"/>
  <c r="R48" i="18" s="1"/>
  <c r="K44" i="18"/>
  <c r="R44" i="18" s="1"/>
  <c r="K40" i="18"/>
  <c r="R40" i="18" s="1"/>
  <c r="K36" i="18"/>
  <c r="R36" i="18" s="1"/>
  <c r="K32" i="18"/>
  <c r="R32" i="18" s="1"/>
  <c r="K28" i="18"/>
  <c r="K24" i="18"/>
  <c r="R24" i="18" s="1"/>
  <c r="K15" i="18"/>
  <c r="R15" i="18" s="1"/>
  <c r="K57" i="18"/>
  <c r="R57" i="18" s="1"/>
  <c r="K25" i="18"/>
  <c r="R25" i="18" s="1"/>
  <c r="K16" i="18"/>
  <c r="R16" i="18" s="1"/>
  <c r="K9" i="18"/>
  <c r="R9" i="18" s="1"/>
  <c r="K69" i="18"/>
  <c r="R69" i="18" s="1"/>
  <c r="K61" i="18"/>
  <c r="R61" i="18" s="1"/>
  <c r="K10" i="18"/>
  <c r="R10" i="18" s="1"/>
  <c r="K49" i="18"/>
  <c r="R49" i="18" s="1"/>
  <c r="K45" i="18"/>
  <c r="K65" i="18"/>
  <c r="R65" i="18" s="1"/>
  <c r="K37" i="18"/>
  <c r="R37" i="18" s="1"/>
  <c r="K20" i="18"/>
  <c r="R20" i="18" s="1"/>
  <c r="K11" i="18"/>
  <c r="R11" i="18" s="1"/>
  <c r="K53" i="18"/>
  <c r="R53" i="18" s="1"/>
  <c r="K33" i="18"/>
  <c r="K29" i="18"/>
  <c r="R29" i="18" s="1"/>
  <c r="K21" i="18"/>
  <c r="R21" i="18" s="1"/>
  <c r="K41" i="18"/>
  <c r="R41" i="18" s="1"/>
  <c r="K6" i="18"/>
  <c r="K13" i="18"/>
  <c r="R13" i="18" s="1"/>
  <c r="K8" i="18"/>
  <c r="K19" i="18"/>
  <c r="R19" i="18" s="1"/>
  <c r="R28" i="18"/>
  <c r="R13" i="24"/>
  <c r="R65" i="6"/>
  <c r="K69" i="20"/>
  <c r="R69" i="20" s="1"/>
  <c r="K65" i="20"/>
  <c r="R65" i="20" s="1"/>
  <c r="K61" i="20"/>
  <c r="R61" i="20" s="1"/>
  <c r="K57" i="20"/>
  <c r="R57" i="20" s="1"/>
  <c r="K53" i="20"/>
  <c r="K49" i="20"/>
  <c r="R49" i="20" s="1"/>
  <c r="K45" i="20"/>
  <c r="R45" i="20" s="1"/>
  <c r="K41" i="20"/>
  <c r="K37" i="20"/>
  <c r="K33" i="20"/>
  <c r="R33" i="20" s="1"/>
  <c r="K29" i="20"/>
  <c r="R29" i="20" s="1"/>
  <c r="K25" i="20"/>
  <c r="R25" i="20" s="1"/>
  <c r="K21" i="20"/>
  <c r="R21" i="20" s="1"/>
  <c r="K16" i="20"/>
  <c r="R16" i="20" s="1"/>
  <c r="K68" i="20"/>
  <c r="R68" i="20" s="1"/>
  <c r="K64" i="20"/>
  <c r="R64" i="20" s="1"/>
  <c r="K51" i="20"/>
  <c r="R51" i="20" s="1"/>
  <c r="K44" i="20"/>
  <c r="R44" i="20" s="1"/>
  <c r="K27" i="20"/>
  <c r="K12" i="20"/>
  <c r="K66" i="20"/>
  <c r="R66" i="20" s="1"/>
  <c r="K58" i="20"/>
  <c r="R58" i="20" s="1"/>
  <c r="K34" i="20"/>
  <c r="R34" i="20" s="1"/>
  <c r="K20" i="20"/>
  <c r="R20" i="20" s="1"/>
  <c r="K7" i="20"/>
  <c r="R7" i="20" s="1"/>
  <c r="K55" i="20"/>
  <c r="R55" i="20" s="1"/>
  <c r="K48" i="20"/>
  <c r="R48" i="20" s="1"/>
  <c r="K31" i="20"/>
  <c r="R31" i="20" s="1"/>
  <c r="K24" i="20"/>
  <c r="R24" i="20" s="1"/>
  <c r="K38" i="20"/>
  <c r="R38" i="20" s="1"/>
  <c r="K13" i="20"/>
  <c r="R13" i="20" s="1"/>
  <c r="K8" i="20"/>
  <c r="R8" i="20" s="1"/>
  <c r="K59" i="20"/>
  <c r="R59" i="20" s="1"/>
  <c r="K52" i="20"/>
  <c r="R52" i="20" s="1"/>
  <c r="K35" i="20"/>
  <c r="R35" i="20" s="1"/>
  <c r="K28" i="20"/>
  <c r="R28" i="20" s="1"/>
  <c r="K17" i="20"/>
  <c r="R17" i="20" s="1"/>
  <c r="K67" i="20"/>
  <c r="R67" i="20" s="1"/>
  <c r="K62" i="20"/>
  <c r="R62" i="20" s="1"/>
  <c r="K42" i="20"/>
  <c r="R42" i="20" s="1"/>
  <c r="K14" i="20"/>
  <c r="R14" i="20" s="1"/>
  <c r="K9" i="20"/>
  <c r="K56" i="20"/>
  <c r="R56" i="20" s="1"/>
  <c r="K39" i="20"/>
  <c r="K32" i="20"/>
  <c r="R32" i="20" s="1"/>
  <c r="K46" i="20"/>
  <c r="K22" i="20"/>
  <c r="K18" i="20"/>
  <c r="R18" i="20" s="1"/>
  <c r="K10" i="20"/>
  <c r="R10" i="20" s="1"/>
  <c r="K60" i="20"/>
  <c r="R60" i="20" s="1"/>
  <c r="K43" i="20"/>
  <c r="R43" i="20" s="1"/>
  <c r="K36" i="20"/>
  <c r="R36" i="20" s="1"/>
  <c r="K63" i="20"/>
  <c r="R63" i="20" s="1"/>
  <c r="K50" i="20"/>
  <c r="R50" i="20" s="1"/>
  <c r="K26" i="20"/>
  <c r="R26" i="20" s="1"/>
  <c r="K15" i="20"/>
  <c r="R15" i="20" s="1"/>
  <c r="K11" i="20"/>
  <c r="R11" i="20" s="1"/>
  <c r="K6" i="20"/>
  <c r="R6" i="20" s="1"/>
  <c r="K47" i="20"/>
  <c r="R47" i="20" s="1"/>
  <c r="K30" i="20"/>
  <c r="R30" i="20" s="1"/>
  <c r="K19" i="20"/>
  <c r="R19" i="20" s="1"/>
  <c r="K54" i="20"/>
  <c r="R54" i="20" s="1"/>
  <c r="K40" i="20"/>
  <c r="R40" i="20" s="1"/>
  <c r="K23" i="20"/>
  <c r="R23" i="20" s="1"/>
  <c r="K66" i="14"/>
  <c r="R66" i="14" s="1"/>
  <c r="K62" i="14"/>
  <c r="K58" i="14"/>
  <c r="R58" i="14" s="1"/>
  <c r="K54" i="14"/>
  <c r="R54" i="14" s="1"/>
  <c r="K50" i="14"/>
  <c r="R50" i="14" s="1"/>
  <c r="K46" i="14"/>
  <c r="R46" i="14" s="1"/>
  <c r="K42" i="14"/>
  <c r="R42" i="14" s="1"/>
  <c r="K38" i="14"/>
  <c r="R38" i="14" s="1"/>
  <c r="K34" i="14"/>
  <c r="R34" i="14" s="1"/>
  <c r="K30" i="14"/>
  <c r="R30" i="14" s="1"/>
  <c r="K26" i="14"/>
  <c r="R26" i="14" s="1"/>
  <c r="K65" i="14"/>
  <c r="R65" i="14" s="1"/>
  <c r="K39" i="14"/>
  <c r="R39" i="14" s="1"/>
  <c r="K17" i="14"/>
  <c r="R17" i="14" s="1"/>
  <c r="K60" i="14"/>
  <c r="R60" i="14" s="1"/>
  <c r="K36" i="14"/>
  <c r="R36" i="14" s="1"/>
  <c r="K29" i="14"/>
  <c r="R29" i="14" s="1"/>
  <c r="K22" i="14"/>
  <c r="R22" i="14" s="1"/>
  <c r="K13" i="14"/>
  <c r="R13" i="14" s="1"/>
  <c r="K8" i="14"/>
  <c r="R8" i="14" s="1"/>
  <c r="K68" i="14"/>
  <c r="K53" i="14"/>
  <c r="R53" i="14" s="1"/>
  <c r="K40" i="14"/>
  <c r="R40" i="14" s="1"/>
  <c r="K33" i="14"/>
  <c r="R33" i="14" s="1"/>
  <c r="K9" i="14"/>
  <c r="R9" i="14" s="1"/>
  <c r="K63" i="14"/>
  <c r="R63" i="14" s="1"/>
  <c r="K47" i="14"/>
  <c r="R47" i="14" s="1"/>
  <c r="K23" i="14"/>
  <c r="R23" i="14" s="1"/>
  <c r="K19" i="14"/>
  <c r="R19" i="14" s="1"/>
  <c r="K14" i="14"/>
  <c r="R14" i="14" s="1"/>
  <c r="K61" i="14"/>
  <c r="R61" i="14" s="1"/>
  <c r="K44" i="14"/>
  <c r="R44" i="14" s="1"/>
  <c r="K37" i="14"/>
  <c r="R37" i="14" s="1"/>
  <c r="K10" i="14"/>
  <c r="R10" i="14" s="1"/>
  <c r="K64" i="14"/>
  <c r="R64" i="14" s="1"/>
  <c r="K31" i="14"/>
  <c r="R31" i="14" s="1"/>
  <c r="K59" i="14"/>
  <c r="R59" i="14" s="1"/>
  <c r="K45" i="14"/>
  <c r="R45" i="14" s="1"/>
  <c r="K28" i="14"/>
  <c r="R28" i="14" s="1"/>
  <c r="K56" i="14"/>
  <c r="R56" i="14" s="1"/>
  <c r="K51" i="14"/>
  <c r="R51" i="14" s="1"/>
  <c r="K49" i="14"/>
  <c r="R49" i="14" s="1"/>
  <c r="K21" i="14"/>
  <c r="K15" i="14"/>
  <c r="R15" i="14" s="1"/>
  <c r="K32" i="14"/>
  <c r="R32" i="14" s="1"/>
  <c r="K27" i="14"/>
  <c r="R27" i="14" s="1"/>
  <c r="K7" i="14"/>
  <c r="R7" i="14" s="1"/>
  <c r="K67" i="14"/>
  <c r="R67" i="14" s="1"/>
  <c r="K69" i="14"/>
  <c r="K43" i="14"/>
  <c r="R43" i="14" s="1"/>
  <c r="K41" i="14"/>
  <c r="R41" i="14" s="1"/>
  <c r="K25" i="14"/>
  <c r="K12" i="14"/>
  <c r="R12" i="14" s="1"/>
  <c r="K55" i="14"/>
  <c r="R55" i="14" s="1"/>
  <c r="K48" i="14"/>
  <c r="R48" i="14" s="1"/>
  <c r="K52" i="14"/>
  <c r="R52" i="14" s="1"/>
  <c r="K35" i="14"/>
  <c r="K20" i="14"/>
  <c r="R20" i="14" s="1"/>
  <c r="K18" i="14"/>
  <c r="R18" i="14" s="1"/>
  <c r="K16" i="14"/>
  <c r="R16" i="14" s="1"/>
  <c r="K6" i="14"/>
  <c r="R6" i="14" s="1"/>
  <c r="K57" i="14"/>
  <c r="R57" i="14" s="1"/>
  <c r="K24" i="14"/>
  <c r="R24" i="14" s="1"/>
  <c r="K11" i="14"/>
  <c r="R11" i="14" s="1"/>
  <c r="R9" i="6"/>
  <c r="R35" i="18"/>
  <c r="R65" i="8"/>
  <c r="R15" i="16"/>
  <c r="J41" i="24"/>
  <c r="R41" i="24" s="1"/>
  <c r="J70" i="8"/>
  <c r="R39" i="20"/>
  <c r="R57" i="12"/>
  <c r="R23" i="8"/>
  <c r="R31" i="22"/>
  <c r="K70" i="22"/>
  <c r="J47" i="24"/>
  <c r="R47" i="24" s="1"/>
  <c r="R62" i="6"/>
  <c r="R56" i="16"/>
  <c r="R62" i="14"/>
  <c r="R32" i="22"/>
  <c r="R11" i="6"/>
  <c r="R30" i="18"/>
  <c r="R53" i="20"/>
  <c r="R46" i="16"/>
  <c r="R27" i="20"/>
  <c r="AH3" i="27"/>
  <c r="AH20" i="27"/>
  <c r="AH46" i="27"/>
  <c r="AT54" i="27"/>
  <c r="R49" i="27"/>
  <c r="R24" i="27"/>
  <c r="AX19" i="27"/>
  <c r="AX53" i="27"/>
  <c r="AX33" i="27"/>
  <c r="Z63" i="27"/>
  <c r="Z53" i="27"/>
  <c r="Z40" i="27"/>
  <c r="Z48" i="27"/>
  <c r="Z6" i="27"/>
  <c r="AH32" i="27"/>
  <c r="AL43" i="27"/>
  <c r="AL57" i="27"/>
  <c r="AL22" i="27"/>
  <c r="AL50" i="27"/>
  <c r="AP48" i="27"/>
  <c r="AP11" i="27"/>
  <c r="AP60" i="27"/>
  <c r="AD63" i="27"/>
  <c r="AD36" i="27"/>
  <c r="AD6" i="27"/>
  <c r="AD56" i="27"/>
  <c r="AT28" i="27"/>
  <c r="AL27" i="27"/>
  <c r="AD20" i="27"/>
  <c r="AP24" i="27"/>
  <c r="AH39" i="27"/>
  <c r="Z43" i="27"/>
  <c r="AX8" i="27"/>
  <c r="AL37" i="27"/>
  <c r="AD43" i="27"/>
  <c r="AD52" i="27"/>
  <c r="AT58" i="27"/>
  <c r="R44" i="27"/>
  <c r="AP6" i="27"/>
  <c r="AP51" i="27"/>
  <c r="R62" i="27"/>
  <c r="R30" i="27"/>
  <c r="AX65" i="27"/>
  <c r="Z61" i="27"/>
  <c r="AL51" i="27"/>
  <c r="AX17" i="27"/>
  <c r="AT27" i="27"/>
  <c r="N27" i="27"/>
  <c r="R5" i="27"/>
  <c r="Z60" i="27"/>
  <c r="AP33" i="27"/>
  <c r="AD28" i="27"/>
  <c r="AX12" i="27"/>
  <c r="AX42" i="27"/>
  <c r="V25" i="27"/>
  <c r="AT3" i="27"/>
  <c r="R45" i="27"/>
  <c r="R66" i="27"/>
  <c r="R18" i="27"/>
  <c r="R23" i="27"/>
  <c r="R16" i="27"/>
  <c r="AH5" i="27"/>
  <c r="Z62" i="27"/>
  <c r="Z59" i="27"/>
  <c r="Z49" i="27"/>
  <c r="Z36" i="27"/>
  <c r="Z11" i="27"/>
  <c r="AX48" i="27"/>
  <c r="AL39" i="27"/>
  <c r="AL53" i="27"/>
  <c r="AL13" i="27"/>
  <c r="AP46" i="27"/>
  <c r="AP47" i="27"/>
  <c r="AD14" i="27"/>
  <c r="AD42" i="27"/>
  <c r="AD40" i="27"/>
  <c r="AP50" i="27"/>
  <c r="AD57" i="27"/>
  <c r="AD25" i="27"/>
  <c r="AH43" i="27"/>
  <c r="N21" i="27"/>
  <c r="AX31" i="27"/>
  <c r="AP30" i="27"/>
  <c r="AD46" i="27"/>
  <c r="Z13" i="27"/>
  <c r="AL11" i="27"/>
  <c r="AP52" i="27"/>
  <c r="R60" i="27"/>
  <c r="V40" i="27"/>
  <c r="Z26" i="27"/>
  <c r="AH12" i="27"/>
  <c r="R50" i="27"/>
  <c r="AX41" i="27"/>
  <c r="Z57" i="27"/>
  <c r="AL54" i="27"/>
  <c r="AP39" i="27"/>
  <c r="R20" i="27"/>
  <c r="AX43" i="27"/>
  <c r="AH65" i="27"/>
  <c r="V21" i="27"/>
  <c r="AX64" i="27"/>
  <c r="AH26" i="27"/>
  <c r="AX27" i="27"/>
  <c r="AT12" i="27"/>
  <c r="AX7" i="27"/>
  <c r="AT26" i="27"/>
  <c r="R4" i="27"/>
  <c r="R19" i="27"/>
  <c r="R10" i="27"/>
  <c r="AX5" i="27"/>
  <c r="Z58" i="27"/>
  <c r="Z55" i="27"/>
  <c r="Z45" i="27"/>
  <c r="Z28" i="27"/>
  <c r="Z4" i="27"/>
  <c r="Z20" i="27"/>
  <c r="AH44" i="27"/>
  <c r="AH7" i="27"/>
  <c r="AL35" i="27"/>
  <c r="AL40" i="27"/>
  <c r="AL49" i="27"/>
  <c r="AL6" i="27"/>
  <c r="AL26" i="27"/>
  <c r="AP10" i="27"/>
  <c r="AP53" i="27"/>
  <c r="AP23" i="27"/>
  <c r="AD55" i="27"/>
  <c r="AD44" i="27"/>
  <c r="AD51" i="27"/>
  <c r="AD8" i="27"/>
  <c r="N12" i="27"/>
  <c r="N39" i="27"/>
  <c r="AX62" i="27"/>
  <c r="AX22" i="27"/>
  <c r="Z46" i="27"/>
  <c r="Z14" i="27"/>
  <c r="AD19" i="27"/>
  <c r="AX44" i="27"/>
  <c r="R61" i="27"/>
  <c r="AL21" i="27"/>
  <c r="AD59" i="27"/>
  <c r="AP43" i="27"/>
  <c r="R57" i="27"/>
  <c r="AP45" i="27"/>
  <c r="AT7" i="27"/>
  <c r="AP54" i="27"/>
  <c r="AX9" i="27"/>
  <c r="AX18" i="27"/>
  <c r="V17" i="27"/>
  <c r="AH21" i="27"/>
  <c r="AX34" i="27"/>
  <c r="AT13" i="27"/>
  <c r="AX29" i="27"/>
  <c r="AH27" i="27"/>
  <c r="R37" i="27"/>
  <c r="R63" i="27"/>
  <c r="N40" i="27"/>
  <c r="AX24" i="27"/>
  <c r="AX57" i="27"/>
  <c r="Z51" i="27"/>
  <c r="Z41" i="27"/>
  <c r="Z21" i="27"/>
  <c r="Z29" i="27"/>
  <c r="Z15" i="27"/>
  <c r="AX50" i="27"/>
  <c r="AL31" i="27"/>
  <c r="AL45" i="27"/>
  <c r="AL66" i="27"/>
  <c r="AL18" i="27"/>
  <c r="AX10" i="27"/>
  <c r="AP12" i="27"/>
  <c r="AL42" i="27"/>
  <c r="R58" i="27"/>
  <c r="AL44" i="27"/>
  <c r="AD65" i="27"/>
  <c r="AD32" i="27"/>
  <c r="AX25" i="27"/>
  <c r="Z8" i="27"/>
  <c r="AD11" i="27"/>
  <c r="AP36" i="27"/>
  <c r="AT6" i="27"/>
  <c r="AL5" i="27"/>
  <c r="AX23" i="27"/>
  <c r="N29" i="27"/>
  <c r="AX51" i="27"/>
  <c r="AP58" i="27"/>
  <c r="AD23" i="27"/>
  <c r="AX3" i="27"/>
  <c r="R55" i="27"/>
  <c r="AX52" i="27"/>
  <c r="AH41" i="27"/>
  <c r="AX13" i="27"/>
  <c r="AH51" i="27"/>
  <c r="AX11" i="27"/>
  <c r="AH47" i="27"/>
  <c r="R33" i="27"/>
  <c r="R64" i="27"/>
  <c r="V20" i="27"/>
  <c r="R47" i="27"/>
  <c r="R27" i="27"/>
  <c r="Z50" i="27"/>
  <c r="Z47" i="27"/>
  <c r="Z37" i="27"/>
  <c r="Z17" i="27"/>
  <c r="Z19" i="27"/>
  <c r="R41" i="27"/>
  <c r="AL41" i="27"/>
  <c r="AL58" i="27"/>
  <c r="AL38" i="27"/>
  <c r="N62" i="27"/>
  <c r="AP56" i="27"/>
  <c r="AP29" i="27"/>
  <c r="AP8" i="27"/>
  <c r="AD47" i="27"/>
  <c r="AD16" i="27"/>
  <c r="AD9" i="27"/>
  <c r="N6" i="27"/>
  <c r="AH14" i="27"/>
  <c r="AP9" i="27"/>
  <c r="AH9" i="27"/>
  <c r="N37" i="27"/>
  <c r="R59" i="27"/>
  <c r="Z33" i="27"/>
  <c r="AL23" i="27"/>
  <c r="N22" i="27"/>
  <c r="Z16" i="27"/>
  <c r="AL60" i="27"/>
  <c r="AD24" i="27"/>
  <c r="AH57" i="27"/>
  <c r="AP61" i="27"/>
  <c r="AD62" i="27"/>
  <c r="N8" i="27"/>
  <c r="AX30" i="27"/>
  <c r="AX14" i="27"/>
  <c r="AT5" i="27"/>
  <c r="AX54" i="27"/>
  <c r="AX32" i="27"/>
  <c r="V3" i="27"/>
  <c r="AH48" i="27"/>
  <c r="AX4" i="27"/>
  <c r="R25" i="27"/>
  <c r="R46" i="27"/>
  <c r="R51" i="27"/>
  <c r="R56" i="27"/>
  <c r="AX26" i="27"/>
  <c r="Z39" i="27"/>
  <c r="Z27" i="27"/>
  <c r="Z10" i="27"/>
  <c r="N63" i="27"/>
  <c r="AL19" i="27"/>
  <c r="AL24" i="27"/>
  <c r="AL33" i="27"/>
  <c r="AP26" i="27"/>
  <c r="AP32" i="27"/>
  <c r="AP44" i="27"/>
  <c r="AD10" i="27"/>
  <c r="AD58" i="27"/>
  <c r="N59" i="27"/>
  <c r="AT30" i="27"/>
  <c r="Z18" i="27"/>
  <c r="AL16" i="27"/>
  <c r="AP66" i="27"/>
  <c r="AD31" i="27"/>
  <c r="Z54" i="27"/>
  <c r="AL28" i="27"/>
  <c r="AT60" i="27"/>
  <c r="N20" i="27"/>
  <c r="AH25" i="27"/>
  <c r="R34" i="27"/>
  <c r="N30" i="27"/>
  <c r="AL25" i="27"/>
  <c r="AP38" i="27"/>
  <c r="N9" i="27"/>
  <c r="AP65" i="27"/>
  <c r="R53" i="27"/>
  <c r="Z22" i="27"/>
  <c r="AL8" i="27"/>
  <c r="AX38" i="27"/>
  <c r="V30" i="27"/>
  <c r="AH55" i="27"/>
  <c r="AH38" i="27"/>
  <c r="AX21" i="27"/>
  <c r="AX47" i="27"/>
  <c r="AX56" i="27"/>
  <c r="R52" i="27"/>
  <c r="R36" i="27"/>
  <c r="Z38" i="27"/>
  <c r="Z35" i="27"/>
  <c r="Z7" i="27"/>
  <c r="Z25" i="27"/>
  <c r="Z5" i="27"/>
  <c r="AH52" i="27"/>
  <c r="AL63" i="27"/>
  <c r="AL20" i="27"/>
  <c r="AL29" i="27"/>
  <c r="AP22" i="27"/>
  <c r="AP25" i="27"/>
  <c r="AP15" i="27"/>
  <c r="AD35" i="27"/>
  <c r="AD41" i="27"/>
  <c r="AD12" i="27"/>
  <c r="AH24" i="27"/>
  <c r="AD66" i="27"/>
  <c r="AP34" i="27"/>
  <c r="Z31" i="27"/>
  <c r="AX20" i="27"/>
  <c r="AL15" i="27"/>
  <c r="AL62" i="27"/>
  <c r="AP7" i="27"/>
  <c r="AD34" i="27"/>
  <c r="AD29" i="27"/>
  <c r="AL32" i="27"/>
  <c r="AH53" i="27"/>
  <c r="R22" i="27"/>
  <c r="AX40" i="27"/>
  <c r="AL4" i="27"/>
  <c r="N56" i="27"/>
  <c r="Z44" i="27"/>
  <c r="AL34" i="27"/>
  <c r="AD27" i="27"/>
  <c r="AD18" i="27"/>
  <c r="AL56" i="27"/>
  <c r="AP40" i="27"/>
  <c r="AT29" i="27"/>
  <c r="V38" i="27"/>
  <c r="N26" i="27"/>
  <c r="AT66" i="27"/>
  <c r="AP19" i="27"/>
  <c r="AD30" i="27"/>
  <c r="N36" i="27"/>
  <c r="AX36" i="27"/>
  <c r="AT18" i="27"/>
  <c r="Z12" i="27"/>
  <c r="AH40" i="27"/>
  <c r="AT50" i="27"/>
  <c r="AT48" i="27"/>
  <c r="N53" i="27"/>
  <c r="N31" i="27"/>
  <c r="N34" i="27"/>
  <c r="R17" i="27"/>
  <c r="R38" i="27"/>
  <c r="R48" i="27"/>
  <c r="R28" i="27"/>
  <c r="R54" i="27"/>
  <c r="Z34" i="27"/>
  <c r="Z24" i="27"/>
  <c r="Z56" i="27"/>
  <c r="AD22" i="27"/>
  <c r="N18" i="27"/>
  <c r="AL30" i="27"/>
  <c r="Z65" i="27"/>
  <c r="AP62" i="27"/>
  <c r="AP57" i="27"/>
  <c r="AD7" i="27"/>
  <c r="V37" i="27"/>
  <c r="AT42" i="27"/>
  <c r="Z9" i="27"/>
  <c r="AL17" i="27"/>
  <c r="AD37" i="27"/>
  <c r="AD15" i="27"/>
  <c r="AH63" i="27"/>
  <c r="AL14" i="27"/>
  <c r="N11" i="27"/>
  <c r="N41" i="27"/>
  <c r="AP28" i="27"/>
  <c r="R65" i="27"/>
  <c r="R43" i="27"/>
  <c r="N32" i="27"/>
  <c r="AP59" i="27"/>
  <c r="AP37" i="27"/>
  <c r="AD61" i="27"/>
  <c r="AD4" i="27"/>
  <c r="AP20" i="27"/>
  <c r="AD64" i="27"/>
  <c r="N16" i="27"/>
  <c r="AP21" i="27"/>
  <c r="AD54" i="27"/>
  <c r="N49" i="27"/>
  <c r="AD21" i="27"/>
  <c r="Z30" i="27"/>
  <c r="AD33" i="27"/>
  <c r="R7" i="27"/>
  <c r="AP14" i="27"/>
  <c r="AD50" i="27"/>
  <c r="R8" i="27"/>
  <c r="R39" i="27"/>
  <c r="N14" i="27"/>
  <c r="N28" i="27"/>
  <c r="N19" i="27"/>
  <c r="N35" i="27"/>
  <c r="AL36" i="27"/>
  <c r="AD13" i="27"/>
  <c r="N10" i="27"/>
  <c r="N33" i="27"/>
  <c r="Z42" i="27"/>
  <c r="AD3" i="27"/>
  <c r="R9" i="27"/>
  <c r="N64" i="27"/>
  <c r="N17" i="27"/>
  <c r="AL46" i="27"/>
  <c r="AP42" i="27"/>
  <c r="AD38" i="27"/>
  <c r="AP64" i="27"/>
  <c r="R35" i="27"/>
  <c r="R40" i="27"/>
  <c r="R15" i="27"/>
  <c r="N23" i="27"/>
  <c r="N24" i="27"/>
  <c r="AL10" i="27"/>
  <c r="N60" i="27"/>
  <c r="AP5" i="27"/>
  <c r="N38" i="27"/>
  <c r="AL48" i="27"/>
  <c r="AP16" i="27"/>
  <c r="AD17" i="27"/>
  <c r="R13" i="27"/>
  <c r="R26" i="27"/>
  <c r="R31" i="27"/>
  <c r="R32" i="27"/>
  <c r="N66" i="27"/>
  <c r="N5" i="27"/>
  <c r="N15" i="27"/>
  <c r="N47" i="27"/>
  <c r="AL9" i="27"/>
  <c r="AL7" i="27"/>
  <c r="AP41" i="27"/>
  <c r="AP35" i="27"/>
  <c r="AD60" i="27"/>
  <c r="N58" i="27"/>
  <c r="N57" i="27"/>
  <c r="AD53" i="27"/>
  <c r="AP27" i="27"/>
  <c r="N61" i="27"/>
  <c r="AP4" i="27"/>
  <c r="R42" i="27"/>
  <c r="AP13" i="27"/>
  <c r="N54" i="27"/>
  <c r="N55" i="27"/>
  <c r="N65" i="27"/>
  <c r="Z64" i="27"/>
  <c r="Z32" i="27"/>
  <c r="AL59" i="27"/>
  <c r="AL64" i="27"/>
  <c r="AP63" i="27"/>
  <c r="AD26" i="27"/>
  <c r="AD48" i="27"/>
  <c r="N43" i="27"/>
  <c r="AD49" i="27"/>
  <c r="R11" i="27"/>
  <c r="R14" i="27"/>
  <c r="N50" i="27"/>
  <c r="N52" i="27"/>
  <c r="N4" i="27"/>
  <c r="N25" i="27"/>
  <c r="N7" i="27"/>
  <c r="Z52" i="27"/>
  <c r="Z23" i="27"/>
  <c r="AL55" i="27"/>
  <c r="AP55" i="27"/>
  <c r="AP49" i="27"/>
  <c r="AP3" i="27"/>
  <c r="AL47" i="27"/>
  <c r="AL61" i="27"/>
  <c r="AP17" i="27"/>
  <c r="AD5" i="27"/>
  <c r="R21" i="27"/>
  <c r="R12" i="27"/>
  <c r="N46" i="27"/>
  <c r="N48" i="27"/>
  <c r="N45" i="27"/>
  <c r="N13" i="27"/>
  <c r="N3" i="27"/>
  <c r="Z66" i="27"/>
  <c r="AL65" i="27"/>
  <c r="AL12" i="27"/>
  <c r="AP31" i="27"/>
  <c r="AD39" i="27"/>
  <c r="AD45" i="27"/>
  <c r="R29" i="27"/>
  <c r="R6" i="27"/>
  <c r="N42" i="27"/>
  <c r="N44" i="27"/>
  <c r="AL52" i="27"/>
  <c r="N51" i="27"/>
  <c r="AP18" i="27"/>
  <c r="AR18" i="27" l="1"/>
  <c r="P51" i="27"/>
  <c r="AN52" i="27"/>
  <c r="P44" i="27"/>
  <c r="P42" i="27"/>
  <c r="T6" i="27"/>
  <c r="T29" i="27"/>
  <c r="AF45" i="27"/>
  <c r="AF39" i="27"/>
  <c r="AR31" i="27"/>
  <c r="AN12" i="27"/>
  <c r="AN65" i="27"/>
  <c r="AB66" i="27"/>
  <c r="N67" i="27"/>
  <c r="P3" i="27"/>
  <c r="P13" i="27"/>
  <c r="P45" i="27"/>
  <c r="P48" i="27"/>
  <c r="P46" i="27"/>
  <c r="T12" i="27"/>
  <c r="T21" i="27"/>
  <c r="AF5" i="27"/>
  <c r="AR17" i="27"/>
  <c r="AN61" i="27"/>
  <c r="AN47" i="27"/>
  <c r="AP67" i="27"/>
  <c r="AR3" i="27"/>
  <c r="AR49" i="27"/>
  <c r="AR55" i="27"/>
  <c r="AN55" i="27"/>
  <c r="AB23" i="27"/>
  <c r="AB52" i="27"/>
  <c r="P7" i="27"/>
  <c r="P25" i="27"/>
  <c r="P4" i="27"/>
  <c r="P52" i="27"/>
  <c r="P50" i="27"/>
  <c r="T14" i="27"/>
  <c r="T11" i="27"/>
  <c r="AF49" i="27"/>
  <c r="P43" i="27"/>
  <c r="AF48" i="27"/>
  <c r="AF26" i="27"/>
  <c r="AR63" i="27"/>
  <c r="AN64" i="27"/>
  <c r="AN59" i="27"/>
  <c r="AB32" i="27"/>
  <c r="AB64" i="27"/>
  <c r="P65" i="27"/>
  <c r="P55" i="27"/>
  <c r="P54" i="27"/>
  <c r="AR13" i="27"/>
  <c r="T42" i="27"/>
  <c r="AR4" i="27"/>
  <c r="P61" i="27"/>
  <c r="AR27" i="27"/>
  <c r="AF53" i="27"/>
  <c r="P57" i="27"/>
  <c r="P58" i="27"/>
  <c r="AF60" i="27"/>
  <c r="AR35" i="27"/>
  <c r="AR41" i="27"/>
  <c r="AN7" i="27"/>
  <c r="AN9" i="27"/>
  <c r="P47" i="27"/>
  <c r="P15" i="27"/>
  <c r="P5" i="27"/>
  <c r="P66" i="27"/>
  <c r="T32" i="27"/>
  <c r="T31" i="27"/>
  <c r="T26" i="27"/>
  <c r="T13" i="27"/>
  <c r="AF17" i="27"/>
  <c r="AR16" i="27"/>
  <c r="AN48" i="27"/>
  <c r="P38" i="27"/>
  <c r="AR5" i="27"/>
  <c r="P60" i="27"/>
  <c r="AN10" i="27"/>
  <c r="P24" i="27"/>
  <c r="P23" i="27"/>
  <c r="T15" i="27"/>
  <c r="T40" i="27"/>
  <c r="T35" i="27"/>
  <c r="AR64" i="27"/>
  <c r="AF38" i="27"/>
  <c r="AR42" i="27"/>
  <c r="AN46" i="27"/>
  <c r="P17" i="27"/>
  <c r="P64" i="27"/>
  <c r="T9" i="27"/>
  <c r="AD67" i="27"/>
  <c r="AF3" i="27"/>
  <c r="AB42" i="27"/>
  <c r="P33" i="27"/>
  <c r="P10" i="27"/>
  <c r="AF13" i="27"/>
  <c r="AN36" i="27"/>
  <c r="P35" i="27"/>
  <c r="P19" i="27"/>
  <c r="P28" i="27"/>
  <c r="P14" i="27"/>
  <c r="T39" i="27"/>
  <c r="T8" i="27"/>
  <c r="AF50" i="27"/>
  <c r="AR14" i="27"/>
  <c r="T7" i="27"/>
  <c r="AF33" i="27"/>
  <c r="AB30" i="27"/>
  <c r="AF21" i="27"/>
  <c r="P49" i="27"/>
  <c r="AF54" i="27"/>
  <c r="AR21" i="27"/>
  <c r="P16" i="27"/>
  <c r="AF64" i="27"/>
  <c r="AR20" i="27"/>
  <c r="AF4" i="27"/>
  <c r="AF61" i="27"/>
  <c r="AR37" i="27"/>
  <c r="AR59" i="27"/>
  <c r="P32" i="27"/>
  <c r="T43" i="27"/>
  <c r="T65" i="27"/>
  <c r="AR28" i="27"/>
  <c r="P41" i="27"/>
  <c r="P11" i="27"/>
  <c r="AN14" i="27"/>
  <c r="AJ63" i="27"/>
  <c r="AF15" i="27"/>
  <c r="AF37" i="27"/>
  <c r="AN17" i="27"/>
  <c r="AB9" i="27"/>
  <c r="AV42" i="27"/>
  <c r="X37" i="27"/>
  <c r="AF7" i="27"/>
  <c r="AR57" i="27"/>
  <c r="AR62" i="27"/>
  <c r="AB65" i="27"/>
  <c r="AN30" i="27"/>
  <c r="P18" i="27"/>
  <c r="AF22" i="27"/>
  <c r="AB56" i="27"/>
  <c r="AB24" i="27"/>
  <c r="AB34" i="27"/>
  <c r="T54" i="27"/>
  <c r="T28" i="27"/>
  <c r="T48" i="27"/>
  <c r="T38" i="27"/>
  <c r="T17" i="27"/>
  <c r="P34" i="27"/>
  <c r="P31" i="27"/>
  <c r="P53" i="27"/>
  <c r="AV48" i="27"/>
  <c r="AV50" i="27"/>
  <c r="AJ40" i="27"/>
  <c r="AB12" i="27"/>
  <c r="AV18" i="27"/>
  <c r="AZ36" i="27"/>
  <c r="P36" i="27"/>
  <c r="AF30" i="27"/>
  <c r="AR19" i="27"/>
  <c r="AV66" i="27"/>
  <c r="P26" i="27"/>
  <c r="X38" i="27"/>
  <c r="AV29" i="27"/>
  <c r="AR40" i="27"/>
  <c r="AN56" i="27"/>
  <c r="AF18" i="27"/>
  <c r="AF27" i="27"/>
  <c r="AN34" i="27"/>
  <c r="AB44" i="27"/>
  <c r="P56" i="27"/>
  <c r="AN4" i="27"/>
  <c r="AZ40" i="27"/>
  <c r="T22" i="27"/>
  <c r="AJ53" i="27"/>
  <c r="AN32" i="27"/>
  <c r="AF29" i="27"/>
  <c r="AF34" i="27"/>
  <c r="AR7" i="27"/>
  <c r="AN62" i="27"/>
  <c r="AN15" i="27"/>
  <c r="AZ20" i="27"/>
  <c r="AB31" i="27"/>
  <c r="AR34" i="27"/>
  <c r="AF66" i="27"/>
  <c r="AJ24" i="27"/>
  <c r="AF12" i="27"/>
  <c r="AF41" i="27"/>
  <c r="AF35" i="27"/>
  <c r="AR15" i="27"/>
  <c r="AR25" i="27"/>
  <c r="AR22" i="27"/>
  <c r="AN29" i="27"/>
  <c r="AN20" i="27"/>
  <c r="AN63" i="27"/>
  <c r="AJ52" i="27"/>
  <c r="AB5" i="27"/>
  <c r="AB25" i="27"/>
  <c r="AB7" i="27"/>
  <c r="AB35" i="27"/>
  <c r="AB38" i="27"/>
  <c r="T36" i="27"/>
  <c r="T52" i="27"/>
  <c r="AZ56" i="27"/>
  <c r="AZ47" i="27"/>
  <c r="AZ21" i="27"/>
  <c r="AJ38" i="27"/>
  <c r="AJ55" i="27"/>
  <c r="X30" i="27"/>
  <c r="AZ38" i="27"/>
  <c r="AN8" i="27"/>
  <c r="AB22" i="27"/>
  <c r="T53" i="27"/>
  <c r="AR65" i="27"/>
  <c r="P9" i="27"/>
  <c r="AR38" i="27"/>
  <c r="AN25" i="27"/>
  <c r="P30" i="27"/>
  <c r="T34" i="27"/>
  <c r="AJ25" i="27"/>
  <c r="P20" i="27"/>
  <c r="AV60" i="27"/>
  <c r="AN28" i="27"/>
  <c r="AB54" i="27"/>
  <c r="AF31" i="27"/>
  <c r="AR66" i="27"/>
  <c r="AN16" i="27"/>
  <c r="AB18" i="27"/>
  <c r="AV30" i="27"/>
  <c r="P59" i="27"/>
  <c r="AF58" i="27"/>
  <c r="AF10" i="27"/>
  <c r="AR44" i="27"/>
  <c r="AR32" i="27"/>
  <c r="AR26" i="27"/>
  <c r="AN33" i="27"/>
  <c r="AN24" i="27"/>
  <c r="AN19" i="27"/>
  <c r="P63" i="27"/>
  <c r="AB10" i="27"/>
  <c r="AB27" i="27"/>
  <c r="AB39" i="27"/>
  <c r="AZ26" i="27"/>
  <c r="T56" i="27"/>
  <c r="T51" i="27"/>
  <c r="T46" i="27"/>
  <c r="T25" i="27"/>
  <c r="AZ4" i="27"/>
  <c r="AJ48" i="27"/>
  <c r="V67" i="27"/>
  <c r="X3" i="27"/>
  <c r="AZ32" i="27"/>
  <c r="AZ54" i="27"/>
  <c r="AV5" i="27"/>
  <c r="AZ14" i="27"/>
  <c r="AZ30" i="27"/>
  <c r="P8" i="27"/>
  <c r="AF62" i="27"/>
  <c r="AR61" i="27"/>
  <c r="AJ57" i="27"/>
  <c r="AF24" i="27"/>
  <c r="AN60" i="27"/>
  <c r="AB16" i="27"/>
  <c r="P22" i="27"/>
  <c r="AN23" i="27"/>
  <c r="AB33" i="27"/>
  <c r="T59" i="27"/>
  <c r="P37" i="27"/>
  <c r="AJ9" i="27"/>
  <c r="AR9" i="27"/>
  <c r="AJ14" i="27"/>
  <c r="P6" i="27"/>
  <c r="AF9" i="27"/>
  <c r="AF16" i="27"/>
  <c r="AF47" i="27"/>
  <c r="AR8" i="27"/>
  <c r="AR29" i="27"/>
  <c r="AR56" i="27"/>
  <c r="P62" i="27"/>
  <c r="AN38" i="27"/>
  <c r="AN58" i="27"/>
  <c r="AN41" i="27"/>
  <c r="T41" i="27"/>
  <c r="AB19" i="27"/>
  <c r="AB17" i="27"/>
  <c r="AB37" i="27"/>
  <c r="AB47" i="27"/>
  <c r="AB50" i="27"/>
  <c r="T27" i="27"/>
  <c r="T47" i="27"/>
  <c r="X20" i="27"/>
  <c r="T64" i="27"/>
  <c r="T33" i="27"/>
  <c r="AJ47" i="27"/>
  <c r="AZ11" i="27"/>
  <c r="AJ51" i="27"/>
  <c r="AZ13" i="27"/>
  <c r="AJ41" i="27"/>
  <c r="AZ52" i="27"/>
  <c r="T55" i="27"/>
  <c r="AX67" i="27"/>
  <c r="AZ3" i="27"/>
  <c r="AF23" i="27"/>
  <c r="AR58" i="27"/>
  <c r="AZ51" i="27"/>
  <c r="P29" i="27"/>
  <c r="AZ23" i="27"/>
  <c r="AN5" i="27"/>
  <c r="AV6" i="27"/>
  <c r="AR36" i="27"/>
  <c r="AF11" i="27"/>
  <c r="AB8" i="27"/>
  <c r="AZ25" i="27"/>
  <c r="AF32" i="27"/>
  <c r="AF65" i="27"/>
  <c r="AN44" i="27"/>
  <c r="T58" i="27"/>
  <c r="AN42" i="27"/>
  <c r="AR12" i="27"/>
  <c r="AZ10" i="27"/>
  <c r="AN18" i="27"/>
  <c r="AN66" i="27"/>
  <c r="AN45" i="27"/>
  <c r="AN31" i="27"/>
  <c r="AZ50" i="27"/>
  <c r="AB15" i="27"/>
  <c r="AB29" i="27"/>
  <c r="AB21" i="27"/>
  <c r="AB41" i="27"/>
  <c r="AB51" i="27"/>
  <c r="AZ57" i="27"/>
  <c r="AZ24" i="27"/>
  <c r="P40" i="27"/>
  <c r="T63" i="27"/>
  <c r="T37" i="27"/>
  <c r="AJ27" i="27"/>
  <c r="AZ29" i="27"/>
  <c r="AV13" i="27"/>
  <c r="AZ34" i="27"/>
  <c r="AJ21" i="27"/>
  <c r="X17" i="27"/>
  <c r="AZ18" i="27"/>
  <c r="AZ9" i="27"/>
  <c r="AR54" i="27"/>
  <c r="AV7" i="27"/>
  <c r="AR45" i="27"/>
  <c r="T57" i="27"/>
  <c r="AR43" i="27"/>
  <c r="AF59" i="27"/>
  <c r="AN21" i="27"/>
  <c r="T61" i="27"/>
  <c r="AZ44" i="27"/>
  <c r="AF19" i="27"/>
  <c r="AB14" i="27"/>
  <c r="AB46" i="27"/>
  <c r="AZ22" i="27"/>
  <c r="AZ62" i="27"/>
  <c r="P39" i="27"/>
  <c r="P12" i="27"/>
  <c r="AF8" i="27"/>
  <c r="AF51" i="27"/>
  <c r="AF44" i="27"/>
  <c r="AF55" i="27"/>
  <c r="AR23" i="27"/>
  <c r="AR53" i="27"/>
  <c r="AR10" i="27"/>
  <c r="AN26" i="27"/>
  <c r="AN6" i="27"/>
  <c r="AN49" i="27"/>
  <c r="AN40" i="27"/>
  <c r="AN35" i="27"/>
  <c r="AJ7" i="27"/>
  <c r="AJ44" i="27"/>
  <c r="AB20" i="27"/>
  <c r="AB4" i="27"/>
  <c r="AB28" i="27"/>
  <c r="AB45" i="27"/>
  <c r="AB55" i="27"/>
  <c r="AB58" i="27"/>
  <c r="AZ5" i="27"/>
  <c r="T10" i="27"/>
  <c r="T19" i="27"/>
  <c r="T4" i="27"/>
  <c r="AV26" i="27"/>
  <c r="AZ7" i="27"/>
  <c r="AV12" i="27"/>
  <c r="AZ27" i="27"/>
  <c r="AJ26" i="27"/>
  <c r="AZ64" i="27"/>
  <c r="X21" i="27"/>
  <c r="AJ65" i="27"/>
  <c r="AZ43" i="27"/>
  <c r="T20" i="27"/>
  <c r="AR39" i="27"/>
  <c r="AN54" i="27"/>
  <c r="AB57" i="27"/>
  <c r="AZ41" i="27"/>
  <c r="T50" i="27"/>
  <c r="AJ12" i="27"/>
  <c r="AB26" i="27"/>
  <c r="X40" i="27"/>
  <c r="T60" i="27"/>
  <c r="AR52" i="27"/>
  <c r="AN11" i="27"/>
  <c r="AB13" i="27"/>
  <c r="AF46" i="27"/>
  <c r="AR30" i="27"/>
  <c r="AZ31" i="27"/>
  <c r="P21" i="27"/>
  <c r="AJ43" i="27"/>
  <c r="AF25" i="27"/>
  <c r="AF57" i="27"/>
  <c r="AR50" i="27"/>
  <c r="AF40" i="27"/>
  <c r="AF42" i="27"/>
  <c r="AF14" i="27"/>
  <c r="AR47" i="27"/>
  <c r="AR46" i="27"/>
  <c r="AN13" i="27"/>
  <c r="AN53" i="27"/>
  <c r="AN39" i="27"/>
  <c r="AZ48" i="27"/>
  <c r="AB11" i="27"/>
  <c r="AB36" i="27"/>
  <c r="AB49" i="27"/>
  <c r="AB59" i="27"/>
  <c r="AB62" i="27"/>
  <c r="AJ5" i="27"/>
  <c r="T16" i="27"/>
  <c r="T23" i="27"/>
  <c r="T18" i="27"/>
  <c r="T66" i="27"/>
  <c r="T45" i="27"/>
  <c r="AT67" i="27"/>
  <c r="AV3" i="27"/>
  <c r="X25" i="27"/>
  <c r="AZ42" i="27"/>
  <c r="AZ12" i="27"/>
  <c r="AF28" i="27"/>
  <c r="AR33" i="27"/>
  <c r="AB60" i="27"/>
  <c r="T5" i="27"/>
  <c r="P27" i="27"/>
  <c r="AV27" i="27"/>
  <c r="AZ17" i="27"/>
  <c r="AN51" i="27"/>
  <c r="AB61" i="27"/>
  <c r="AZ65" i="27"/>
  <c r="T30" i="27"/>
  <c r="T62" i="27"/>
  <c r="AR51" i="27"/>
  <c r="AR6" i="27"/>
  <c r="T44" i="27"/>
  <c r="AV58" i="27"/>
  <c r="AF52" i="27"/>
  <c r="AF43" i="27"/>
  <c r="AN37" i="27"/>
  <c r="AZ8" i="27"/>
  <c r="AB43" i="27"/>
  <c r="AJ39" i="27"/>
  <c r="AR24" i="27"/>
  <c r="AF20" i="27"/>
  <c r="AN27" i="27"/>
  <c r="AV28" i="27"/>
  <c r="AF56" i="27"/>
  <c r="AF6" i="27"/>
  <c r="AF36" i="27"/>
  <c r="AF63" i="27"/>
  <c r="AR60" i="27"/>
  <c r="AR11" i="27"/>
  <c r="AR48" i="27"/>
  <c r="AN50" i="27"/>
  <c r="AN22" i="27"/>
  <c r="AN57" i="27"/>
  <c r="AN43" i="27"/>
  <c r="AJ32" i="27"/>
  <c r="AB6" i="27"/>
  <c r="AB48" i="27"/>
  <c r="AB40" i="27"/>
  <c r="AB53" i="27"/>
  <c r="AB63" i="27"/>
  <c r="AZ33" i="27"/>
  <c r="AZ53" i="27"/>
  <c r="AZ19" i="27"/>
  <c r="T24" i="27"/>
  <c r="T49" i="27"/>
  <c r="AV54" i="27"/>
  <c r="AJ46" i="27"/>
  <c r="AJ20" i="27"/>
  <c r="AH67" i="27"/>
  <c r="AJ3" i="27"/>
  <c r="AJ67" i="27" s="1"/>
  <c r="R70" i="6"/>
  <c r="R70" i="20"/>
  <c r="R70" i="14"/>
  <c r="K70" i="8"/>
  <c r="G70" i="2"/>
  <c r="J6" i="2"/>
  <c r="K70" i="12"/>
  <c r="R70" i="10"/>
  <c r="K70" i="6"/>
  <c r="R6" i="8"/>
  <c r="R6" i="12"/>
  <c r="R70" i="24"/>
  <c r="K70" i="20"/>
  <c r="K70" i="18"/>
  <c r="J70" i="4"/>
  <c r="K66" i="4"/>
  <c r="R66" i="4" s="1"/>
  <c r="K62" i="4"/>
  <c r="R62" i="4" s="1"/>
  <c r="K58" i="4"/>
  <c r="R58" i="4" s="1"/>
  <c r="K54" i="4"/>
  <c r="R54" i="4" s="1"/>
  <c r="K50" i="4"/>
  <c r="R50" i="4" s="1"/>
  <c r="K46" i="4"/>
  <c r="R46" i="4" s="1"/>
  <c r="K42" i="4"/>
  <c r="R42" i="4" s="1"/>
  <c r="K38" i="4"/>
  <c r="R38" i="4" s="1"/>
  <c r="K34" i="4"/>
  <c r="R34" i="4" s="1"/>
  <c r="K30" i="4"/>
  <c r="R30" i="4" s="1"/>
  <c r="K26" i="4"/>
  <c r="R26" i="4" s="1"/>
  <c r="K22" i="4"/>
  <c r="R22" i="4" s="1"/>
  <c r="K18" i="4"/>
  <c r="R18" i="4" s="1"/>
  <c r="K14" i="4"/>
  <c r="R14" i="4" s="1"/>
  <c r="K10" i="4"/>
  <c r="R10" i="4" s="1"/>
  <c r="K67" i="4"/>
  <c r="R67" i="4" s="1"/>
  <c r="K63" i="4"/>
  <c r="R63" i="4" s="1"/>
  <c r="K59" i="4"/>
  <c r="R59" i="4" s="1"/>
  <c r="K55" i="4"/>
  <c r="R55" i="4" s="1"/>
  <c r="K51" i="4"/>
  <c r="R51" i="4" s="1"/>
  <c r="K47" i="4"/>
  <c r="R47" i="4" s="1"/>
  <c r="K43" i="4"/>
  <c r="R43" i="4" s="1"/>
  <c r="K39" i="4"/>
  <c r="R39" i="4" s="1"/>
  <c r="K35" i="4"/>
  <c r="R35" i="4" s="1"/>
  <c r="K31" i="4"/>
  <c r="R31" i="4" s="1"/>
  <c r="K27" i="4"/>
  <c r="R27" i="4" s="1"/>
  <c r="K23" i="4"/>
  <c r="R23" i="4" s="1"/>
  <c r="K19" i="4"/>
  <c r="R19" i="4" s="1"/>
  <c r="K15" i="4"/>
  <c r="R15" i="4" s="1"/>
  <c r="K11" i="4"/>
  <c r="R11" i="4" s="1"/>
  <c r="K6" i="4"/>
  <c r="K8" i="4"/>
  <c r="R8" i="4" s="1"/>
  <c r="K32" i="4"/>
  <c r="R32" i="4" s="1"/>
  <c r="K7" i="4"/>
  <c r="R7" i="4" s="1"/>
  <c r="K60" i="4"/>
  <c r="R60" i="4" s="1"/>
  <c r="K57" i="4"/>
  <c r="R57" i="4" s="1"/>
  <c r="K12" i="4"/>
  <c r="R12" i="4" s="1"/>
  <c r="K40" i="4"/>
  <c r="R40" i="4" s="1"/>
  <c r="K37" i="4"/>
  <c r="R37" i="4" s="1"/>
  <c r="K29" i="4"/>
  <c r="R29" i="4" s="1"/>
  <c r="K24" i="4"/>
  <c r="R24" i="4" s="1"/>
  <c r="K9" i="4"/>
  <c r="R9" i="4" s="1"/>
  <c r="K33" i="4"/>
  <c r="R33" i="4" s="1"/>
  <c r="K68" i="4"/>
  <c r="R68" i="4" s="1"/>
  <c r="K65" i="4"/>
  <c r="R65" i="4" s="1"/>
  <c r="K48" i="4"/>
  <c r="R48" i="4" s="1"/>
  <c r="K45" i="4"/>
  <c r="R45" i="4" s="1"/>
  <c r="K21" i="4"/>
  <c r="R21" i="4" s="1"/>
  <c r="K16" i="4"/>
  <c r="R16" i="4" s="1"/>
  <c r="K56" i="4"/>
  <c r="R56" i="4" s="1"/>
  <c r="K53" i="4"/>
  <c r="R53" i="4" s="1"/>
  <c r="K13" i="4"/>
  <c r="R13" i="4" s="1"/>
  <c r="K36" i="4"/>
  <c r="R36" i="4" s="1"/>
  <c r="K28" i="4"/>
  <c r="R28" i="4" s="1"/>
  <c r="K52" i="4"/>
  <c r="R52" i="4" s="1"/>
  <c r="K17" i="4"/>
  <c r="R17" i="4" s="1"/>
  <c r="K64" i="4"/>
  <c r="R64" i="4" s="1"/>
  <c r="K61" i="4"/>
  <c r="R61" i="4" s="1"/>
  <c r="K49" i="4"/>
  <c r="R49" i="4" s="1"/>
  <c r="K44" i="4"/>
  <c r="R44" i="4" s="1"/>
  <c r="K41" i="4"/>
  <c r="R41" i="4" s="1"/>
  <c r="K25" i="4"/>
  <c r="R25" i="4" s="1"/>
  <c r="K20" i="4"/>
  <c r="R20" i="4" s="1"/>
  <c r="K69" i="4"/>
  <c r="R69" i="4" s="1"/>
  <c r="R70" i="22"/>
  <c r="K70" i="14"/>
  <c r="R6" i="18"/>
  <c r="J70" i="24"/>
  <c r="R70" i="16"/>
  <c r="J31" i="27"/>
  <c r="J44" i="27"/>
  <c r="J29" i="27"/>
  <c r="J62" i="27"/>
  <c r="J61" i="27"/>
  <c r="J58" i="27"/>
  <c r="J36" i="27"/>
  <c r="J38" i="27"/>
  <c r="J37" i="27"/>
  <c r="J27" i="27"/>
  <c r="J40" i="27"/>
  <c r="J4" i="27"/>
  <c r="J45" i="27"/>
  <c r="J57" i="27"/>
  <c r="J46" i="27"/>
  <c r="J59" i="27"/>
  <c r="J53" i="27"/>
  <c r="J5" i="27"/>
  <c r="J23" i="27"/>
  <c r="J42" i="27"/>
  <c r="J24" i="27"/>
  <c r="J49" i="27"/>
  <c r="J19" i="27"/>
  <c r="J32" i="27"/>
  <c r="J54" i="27"/>
  <c r="J18" i="27"/>
  <c r="J41" i="27"/>
  <c r="J63" i="27"/>
  <c r="J15" i="27"/>
  <c r="J28" i="27"/>
  <c r="J9" i="27"/>
  <c r="J13" i="27"/>
  <c r="J22" i="27"/>
  <c r="J30" i="27"/>
  <c r="J14" i="27"/>
  <c r="J11" i="27"/>
  <c r="J39" i="27"/>
  <c r="J48" i="27"/>
  <c r="J55" i="27"/>
  <c r="J7" i="27"/>
  <c r="J20" i="27"/>
  <c r="J34" i="27"/>
  <c r="J50" i="27"/>
  <c r="J17" i="27"/>
  <c r="J56" i="27"/>
  <c r="J52" i="27"/>
  <c r="J51" i="27"/>
  <c r="J64" i="27"/>
  <c r="J16" i="27"/>
  <c r="J26" i="27"/>
  <c r="J10" i="27"/>
  <c r="J66" i="27"/>
  <c r="Z3" i="27"/>
  <c r="J35" i="27"/>
  <c r="J47" i="27"/>
  <c r="J60" i="27"/>
  <c r="J12" i="27"/>
  <c r="J21" i="27"/>
  <c r="J33" i="27"/>
  <c r="J43" i="27"/>
  <c r="J6" i="27"/>
  <c r="J25" i="27"/>
  <c r="R3" i="27"/>
  <c r="J8" i="27"/>
  <c r="AL3" i="27"/>
  <c r="J65" i="27"/>
  <c r="X67" i="27" l="1"/>
  <c r="BB65" i="27"/>
  <c r="BD65" i="27" s="1"/>
  <c r="BE65" i="27" s="1"/>
  <c r="L65" i="27"/>
  <c r="AL67" i="27"/>
  <c r="AN3" i="27"/>
  <c r="AN67" i="27" s="1"/>
  <c r="BB8" i="27"/>
  <c r="BD8" i="27" s="1"/>
  <c r="BE8" i="27" s="1"/>
  <c r="L8" i="27"/>
  <c r="R67" i="27"/>
  <c r="T3" i="27"/>
  <c r="T67" i="27" s="1"/>
  <c r="L25" i="27"/>
  <c r="BB25" i="27"/>
  <c r="BD25" i="27" s="1"/>
  <c r="BE25" i="27" s="1"/>
  <c r="BB6" i="27"/>
  <c r="BD6" i="27" s="1"/>
  <c r="BE6" i="27" s="1"/>
  <c r="L6" i="27"/>
  <c r="L43" i="27"/>
  <c r="BB43" i="27"/>
  <c r="BD43" i="27" s="1"/>
  <c r="BE43" i="27" s="1"/>
  <c r="BB33" i="27"/>
  <c r="BD33" i="27" s="1"/>
  <c r="BE33" i="27" s="1"/>
  <c r="L33" i="27"/>
  <c r="L21" i="27"/>
  <c r="BB21" i="27"/>
  <c r="BD21" i="27" s="1"/>
  <c r="BE21" i="27" s="1"/>
  <c r="BB12" i="27"/>
  <c r="BD12" i="27" s="1"/>
  <c r="BE12" i="27" s="1"/>
  <c r="L12" i="27"/>
  <c r="BB60" i="27"/>
  <c r="BD60" i="27" s="1"/>
  <c r="BE60" i="27" s="1"/>
  <c r="L60" i="27"/>
  <c r="L47" i="27"/>
  <c r="BB47" i="27"/>
  <c r="BD47" i="27" s="1"/>
  <c r="BE47" i="27" s="1"/>
  <c r="L35" i="27"/>
  <c r="BB35" i="27"/>
  <c r="BD35" i="27" s="1"/>
  <c r="BE35" i="27" s="1"/>
  <c r="Z67" i="27"/>
  <c r="AB3" i="27"/>
  <c r="AB67" i="27" s="1"/>
  <c r="L66" i="27"/>
  <c r="BB66" i="27"/>
  <c r="BD66" i="27" s="1"/>
  <c r="BE66" i="27" s="1"/>
  <c r="L10" i="27"/>
  <c r="BB10" i="27"/>
  <c r="BD10" i="27" s="1"/>
  <c r="BE10" i="27" s="1"/>
  <c r="BB26" i="27"/>
  <c r="BD26" i="27" s="1"/>
  <c r="BE26" i="27" s="1"/>
  <c r="L26" i="27"/>
  <c r="L16" i="27"/>
  <c r="BB16" i="27"/>
  <c r="BD16" i="27" s="1"/>
  <c r="BE16" i="27" s="1"/>
  <c r="BB64" i="27"/>
  <c r="BD64" i="27" s="1"/>
  <c r="BE64" i="27" s="1"/>
  <c r="L64" i="27"/>
  <c r="BB51" i="27"/>
  <c r="BD51" i="27" s="1"/>
  <c r="BE51" i="27" s="1"/>
  <c r="L51" i="27"/>
  <c r="BB52" i="27"/>
  <c r="BD52" i="27" s="1"/>
  <c r="BE52" i="27" s="1"/>
  <c r="L52" i="27"/>
  <c r="L56" i="27"/>
  <c r="BB56" i="27"/>
  <c r="BD56" i="27" s="1"/>
  <c r="BE56" i="27" s="1"/>
  <c r="BB17" i="27"/>
  <c r="BD17" i="27" s="1"/>
  <c r="BE17" i="27" s="1"/>
  <c r="L17" i="27"/>
  <c r="BB50" i="27"/>
  <c r="BD50" i="27" s="1"/>
  <c r="BE50" i="27" s="1"/>
  <c r="L50" i="27"/>
  <c r="L34" i="27"/>
  <c r="BB34" i="27"/>
  <c r="BD34" i="27" s="1"/>
  <c r="BE34" i="27" s="1"/>
  <c r="BB20" i="27"/>
  <c r="BD20" i="27" s="1"/>
  <c r="BE20" i="27" s="1"/>
  <c r="L20" i="27"/>
  <c r="L7" i="27"/>
  <c r="BB7" i="27"/>
  <c r="BD7" i="27" s="1"/>
  <c r="BE7" i="27" s="1"/>
  <c r="L55" i="27"/>
  <c r="BB55" i="27"/>
  <c r="BD55" i="27" s="1"/>
  <c r="BE55" i="27" s="1"/>
  <c r="L48" i="27"/>
  <c r="BB48" i="27"/>
  <c r="BD48" i="27" s="1"/>
  <c r="BE48" i="27" s="1"/>
  <c r="L39" i="27"/>
  <c r="BB39" i="27"/>
  <c r="BD39" i="27" s="1"/>
  <c r="BE39" i="27" s="1"/>
  <c r="BB11" i="27"/>
  <c r="BD11" i="27" s="1"/>
  <c r="BE11" i="27" s="1"/>
  <c r="L11" i="27"/>
  <c r="BB14" i="27"/>
  <c r="BD14" i="27" s="1"/>
  <c r="BE14" i="27" s="1"/>
  <c r="L14" i="27"/>
  <c r="BB30" i="27"/>
  <c r="BD30" i="27" s="1"/>
  <c r="BE30" i="27" s="1"/>
  <c r="L30" i="27"/>
  <c r="BB22" i="27"/>
  <c r="BD22" i="27" s="1"/>
  <c r="BE22" i="27" s="1"/>
  <c r="L22" i="27"/>
  <c r="L13" i="27"/>
  <c r="BB13" i="27"/>
  <c r="BD13" i="27" s="1"/>
  <c r="BE13" i="27" s="1"/>
  <c r="L9" i="27"/>
  <c r="BB9" i="27"/>
  <c r="BD9" i="27" s="1"/>
  <c r="BE9" i="27" s="1"/>
  <c r="L28" i="27"/>
  <c r="BB28" i="27"/>
  <c r="BD28" i="27" s="1"/>
  <c r="BE28" i="27" s="1"/>
  <c r="BB15" i="27"/>
  <c r="BD15" i="27" s="1"/>
  <c r="BE15" i="27" s="1"/>
  <c r="L15" i="27"/>
  <c r="L63" i="27"/>
  <c r="BB63" i="27"/>
  <c r="BD63" i="27" s="1"/>
  <c r="BE63" i="27" s="1"/>
  <c r="L41" i="27"/>
  <c r="BB41" i="27"/>
  <c r="BD41" i="27" s="1"/>
  <c r="BE41" i="27" s="1"/>
  <c r="BB18" i="27"/>
  <c r="BD18" i="27" s="1"/>
  <c r="BE18" i="27" s="1"/>
  <c r="L18" i="27"/>
  <c r="L54" i="27"/>
  <c r="BB54" i="27"/>
  <c r="BD54" i="27" s="1"/>
  <c r="BE54" i="27" s="1"/>
  <c r="BB32" i="27"/>
  <c r="BD32" i="27" s="1"/>
  <c r="BE32" i="27" s="1"/>
  <c r="L32" i="27"/>
  <c r="BB19" i="27"/>
  <c r="BD19" i="27" s="1"/>
  <c r="BE19" i="27" s="1"/>
  <c r="L19" i="27"/>
  <c r="L49" i="27"/>
  <c r="BB49" i="27"/>
  <c r="BD49" i="27" s="1"/>
  <c r="BE49" i="27" s="1"/>
  <c r="BB24" i="27"/>
  <c r="BD24" i="27" s="1"/>
  <c r="BE24" i="27" s="1"/>
  <c r="L24" i="27"/>
  <c r="L42" i="27"/>
  <c r="BB42" i="27"/>
  <c r="BD42" i="27" s="1"/>
  <c r="BE42" i="27" s="1"/>
  <c r="BB23" i="27"/>
  <c r="BD23" i="27" s="1"/>
  <c r="BE23" i="27" s="1"/>
  <c r="L23" i="27"/>
  <c r="L5" i="27"/>
  <c r="BB5" i="27"/>
  <c r="BD5" i="27" s="1"/>
  <c r="BE5" i="27" s="1"/>
  <c r="L53" i="27"/>
  <c r="BB53" i="27"/>
  <c r="BD53" i="27" s="1"/>
  <c r="BE53" i="27" s="1"/>
  <c r="L59" i="27"/>
  <c r="BB59" i="27"/>
  <c r="BD59" i="27" s="1"/>
  <c r="BE59" i="27" s="1"/>
  <c r="L46" i="27"/>
  <c r="BB46" i="27"/>
  <c r="BD46" i="27" s="1"/>
  <c r="BE46" i="27" s="1"/>
  <c r="L57" i="27"/>
  <c r="BB57" i="27"/>
  <c r="BD57" i="27" s="1"/>
  <c r="BE57" i="27" s="1"/>
  <c r="L45" i="27"/>
  <c r="BB45" i="27"/>
  <c r="BD45" i="27" s="1"/>
  <c r="BE45" i="27" s="1"/>
  <c r="BB4" i="27"/>
  <c r="BD4" i="27" s="1"/>
  <c r="BE4" i="27" s="1"/>
  <c r="L4" i="27"/>
  <c r="BB40" i="27"/>
  <c r="BD40" i="27" s="1"/>
  <c r="BE40" i="27" s="1"/>
  <c r="L40" i="27"/>
  <c r="L27" i="27"/>
  <c r="BB27" i="27"/>
  <c r="BD27" i="27" s="1"/>
  <c r="BE27" i="27" s="1"/>
  <c r="BB37" i="27"/>
  <c r="BD37" i="27" s="1"/>
  <c r="BE37" i="27" s="1"/>
  <c r="L37" i="27"/>
  <c r="L38" i="27"/>
  <c r="BB38" i="27"/>
  <c r="BD38" i="27" s="1"/>
  <c r="BE38" i="27" s="1"/>
  <c r="BB36" i="27"/>
  <c r="BD36" i="27" s="1"/>
  <c r="BE36" i="27" s="1"/>
  <c r="L36" i="27"/>
  <c r="BB58" i="27"/>
  <c r="BD58" i="27" s="1"/>
  <c r="BE58" i="27" s="1"/>
  <c r="L58" i="27"/>
  <c r="BB61" i="27"/>
  <c r="BD61" i="27" s="1"/>
  <c r="BE61" i="27" s="1"/>
  <c r="L61" i="27"/>
  <c r="BB62" i="27"/>
  <c r="BD62" i="27" s="1"/>
  <c r="BE62" i="27" s="1"/>
  <c r="L62" i="27"/>
  <c r="BB29" i="27"/>
  <c r="BD29" i="27" s="1"/>
  <c r="BE29" i="27" s="1"/>
  <c r="L29" i="27"/>
  <c r="BB44" i="27"/>
  <c r="BD44" i="27" s="1"/>
  <c r="BE44" i="27" s="1"/>
  <c r="L44" i="27"/>
  <c r="L31" i="27"/>
  <c r="BB31" i="27"/>
  <c r="BD31" i="27" s="1"/>
  <c r="BE31" i="27" s="1"/>
  <c r="R70" i="18"/>
  <c r="R70" i="8"/>
  <c r="K70" i="4"/>
  <c r="AF67" i="27"/>
  <c r="R70" i="12"/>
  <c r="S6" i="2"/>
  <c r="S70" i="2" s="1"/>
  <c r="J70" i="2"/>
  <c r="R6" i="4"/>
  <c r="AV67" i="27"/>
  <c r="AZ67" i="27"/>
  <c r="AR67" i="27"/>
  <c r="P67" i="27"/>
  <c r="J3" i="27"/>
  <c r="J67" i="27" l="1"/>
  <c r="BB3" i="27"/>
  <c r="L3" i="27"/>
  <c r="L67" i="27" s="1"/>
  <c r="R70" i="4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2DCCFC14-8867-4235-AF8F-FB9BF4D02CC5}">
      <text>
        <r>
          <rPr>
            <b/>
            <sz val="9"/>
            <color indexed="81"/>
            <rFont val="Tahoma"/>
            <charset val="1"/>
          </rPr>
          <t>Samrat Kar:</t>
        </r>
        <r>
          <rPr>
            <sz val="9"/>
            <color indexed="81"/>
            <rFont val="Tahoma"/>
            <charset val="1"/>
          </rPr>
          <t xml:space="preserve">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<sst xmlns="http://schemas.openxmlformats.org/spreadsheetml/2006/main" count="2676" uniqueCount="430">
  <si>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</si>
  <si>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</si>
  <si>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</si>
  <si>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</si>
  <si>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</si>
  <si>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</si>
  <si>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</si>
  <si>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</si>
  <si>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</si>
  <si>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</si>
  <si>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</si>
  <si>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</si>
  <si>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</si>
  <si>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</si>
  <si>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</si>
  <si>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</si>
  <si>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</si>
  <si>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</si>
  <si>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</si>
  <si>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</si>
  <si>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</si>
  <si>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</si>
  <si>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</si>
  <si>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</si>
  <si>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</si>
  <si>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</si>
  <si>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</si>
  <si>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</si>
  <si>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</si>
  <si>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</si>
  <si>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</si>
  <si>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</si>
  <si>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</si>
  <si>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</si>
  <si>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</si>
  <si>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</si>
  <si>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</si>
  <si>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</si>
  <si>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</si>
  <si>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</si>
  <si>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</si>
  <si>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</si>
  <si>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</si>
  <si>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</si>
  <si>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</si>
  <si>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</si>
  <si>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F1</t>
  </si>
  <si>
    <t>Shailesh Srivastava</t>
  </si>
  <si>
    <t>shailesh.srivastav@gmail.com</t>
  </si>
  <si>
    <t>F2</t>
  </si>
  <si>
    <t>Rama P</t>
  </si>
  <si>
    <t>ramazen1@gmail.com</t>
  </si>
  <si>
    <t>F3</t>
  </si>
  <si>
    <t>Samrat Kar</t>
  </si>
  <si>
    <t>samratk@gmail.com</t>
  </si>
  <si>
    <t>919342554680</t>
  </si>
  <si>
    <t>F4</t>
  </si>
  <si>
    <t>Renu R</t>
  </si>
  <si>
    <t>renu.sabapathy@gmail.com</t>
  </si>
  <si>
    <t>F5</t>
  </si>
  <si>
    <t>Vamsidhar Bethanabatla</t>
  </si>
  <si>
    <t>F6</t>
  </si>
  <si>
    <t>Viral Shah</t>
  </si>
  <si>
    <t>viralshah79@gmail.com</t>
  </si>
  <si>
    <t>F7</t>
  </si>
  <si>
    <t>Vimal NK</t>
  </si>
  <si>
    <t>nkvimal@gmail.com</t>
  </si>
  <si>
    <t>F8</t>
  </si>
  <si>
    <t>Ruhi Agrawal</t>
  </si>
  <si>
    <t>ruhi.agrawal321@gmail.com</t>
  </si>
  <si>
    <t>F9</t>
  </si>
  <si>
    <t>Vijay Suswaram</t>
  </si>
  <si>
    <t>vijay.suswaram@gmail.com</t>
  </si>
  <si>
    <t>9066901046</t>
  </si>
  <si>
    <t>F10</t>
  </si>
  <si>
    <t>Aby Thomas</t>
  </si>
  <si>
    <t>abythomas99@gmail.com</t>
  </si>
  <si>
    <t>9900502987</t>
  </si>
  <si>
    <t>F11</t>
  </si>
  <si>
    <t>F12</t>
  </si>
  <si>
    <t>Kavitha T</t>
  </si>
  <si>
    <t>kaveeonline@gmail.com</t>
  </si>
  <si>
    <t>9945796695</t>
  </si>
  <si>
    <t>F13</t>
  </si>
  <si>
    <t>Srinivasa Rao</t>
  </si>
  <si>
    <t>F14</t>
  </si>
  <si>
    <t>Hemant Patel</t>
  </si>
  <si>
    <t>hemant.patel.ec@gmail.com</t>
  </si>
  <si>
    <t>9880934229</t>
  </si>
  <si>
    <t>F15</t>
  </si>
  <si>
    <t>Senthil.Vijayaragavan</t>
  </si>
  <si>
    <t>senthil.web@gmail.com</t>
  </si>
  <si>
    <t>919035031349</t>
  </si>
  <si>
    <t>F16</t>
  </si>
  <si>
    <t>Sreeja Sudharma</t>
  </si>
  <si>
    <t>sudharma.sreeja@gmail.com</t>
  </si>
  <si>
    <t>G1</t>
  </si>
  <si>
    <t>Digvijay Verma</t>
  </si>
  <si>
    <t>jyothij1979@gmail.com</t>
  </si>
  <si>
    <t>9686438624</t>
  </si>
  <si>
    <t>G2</t>
  </si>
  <si>
    <t>Kaushik Kasibhatla</t>
  </si>
  <si>
    <t>G3</t>
  </si>
  <si>
    <t>Balakrishnan</t>
  </si>
  <si>
    <t>balakrishnan.k@gmail.com</t>
  </si>
  <si>
    <t>G4</t>
  </si>
  <si>
    <t>Ashwin Pandith</t>
  </si>
  <si>
    <t>ashwinpandith@gmail.com</t>
  </si>
  <si>
    <t>G5</t>
  </si>
  <si>
    <t>Mayank Phophaliya</t>
  </si>
  <si>
    <t>G6</t>
  </si>
  <si>
    <t>Srinath</t>
  </si>
  <si>
    <t>09910099526</t>
  </si>
  <si>
    <t>G7</t>
  </si>
  <si>
    <t>Prince Richfield</t>
  </si>
  <si>
    <t>princerichfield@gmail.com</t>
  </si>
  <si>
    <t>7760487323</t>
  </si>
  <si>
    <t>G8</t>
  </si>
  <si>
    <t>Arun M</t>
  </si>
  <si>
    <t>arun.pharmaplus@gmail.com</t>
  </si>
  <si>
    <t>G9</t>
  </si>
  <si>
    <t>Chandramouli</t>
  </si>
  <si>
    <t>chandra.gumma@gmail.com</t>
  </si>
  <si>
    <t>G10</t>
  </si>
  <si>
    <t>Richa Singh</t>
  </si>
  <si>
    <t>richasingh.kaharwar@gmail.com</t>
  </si>
  <si>
    <t>9986432045</t>
  </si>
  <si>
    <t>G11</t>
  </si>
  <si>
    <t>Prashant Jaitley</t>
  </si>
  <si>
    <t>prashantjaitly656@gmail.com</t>
  </si>
  <si>
    <t>9654889504</t>
  </si>
  <si>
    <t>G12</t>
  </si>
  <si>
    <t>Shyam Nair</t>
  </si>
  <si>
    <t>g12.shyam@gmail.com</t>
  </si>
  <si>
    <t>7709047957</t>
  </si>
  <si>
    <t>G13</t>
  </si>
  <si>
    <t>Ajai.B</t>
  </si>
  <si>
    <t>ajai.abc@gmail.com</t>
  </si>
  <si>
    <t>G14</t>
  </si>
  <si>
    <t>Surajit Borah</t>
  </si>
  <si>
    <t>surajit.borah@gmail.com</t>
  </si>
  <si>
    <t>7829872270</t>
  </si>
  <si>
    <t>G15</t>
  </si>
  <si>
    <t>Suresh Nallusamy</t>
  </si>
  <si>
    <t>suresh.nallusamy@gmail.com</t>
  </si>
  <si>
    <t>G16</t>
  </si>
  <si>
    <t>Praveen Ganesan</t>
  </si>
  <si>
    <t>praveengb@gmail.com</t>
  </si>
  <si>
    <t>8050164658</t>
  </si>
  <si>
    <t>S1</t>
  </si>
  <si>
    <t>S.N.Behera</t>
  </si>
  <si>
    <t>snbeheras1@gmail.com</t>
  </si>
  <si>
    <t>919980008526</t>
  </si>
  <si>
    <t>S2</t>
  </si>
  <si>
    <t>Sonal Singh</t>
  </si>
  <si>
    <t>sonal.singhal86@gmail.com</t>
  </si>
  <si>
    <t>S3</t>
  </si>
  <si>
    <t>Manikandan N</t>
  </si>
  <si>
    <t>S4</t>
  </si>
  <si>
    <t>Swami</t>
  </si>
  <si>
    <t>swami2007@gmail.com</t>
  </si>
  <si>
    <t>S5</t>
  </si>
  <si>
    <t>Abhishek Gopalakrishnan</t>
  </si>
  <si>
    <t>abhishek.harekrishna@gmail.com</t>
  </si>
  <si>
    <t>7042447356</t>
  </si>
  <si>
    <t>S6</t>
  </si>
  <si>
    <t>Vivek Dhingra</t>
  </si>
  <si>
    <t>vivek.dhingra@gmail.com</t>
  </si>
  <si>
    <t>S7</t>
  </si>
  <si>
    <t>Harish B</t>
  </si>
  <si>
    <t>harishb80@gmail.com</t>
  </si>
  <si>
    <t>9980848757</t>
  </si>
  <si>
    <t>S8</t>
  </si>
  <si>
    <t>Irudayaraj Alwin</t>
  </si>
  <si>
    <t>a.alwin@gmail.com</t>
  </si>
  <si>
    <t>S9</t>
  </si>
  <si>
    <t>Pawan GS</t>
  </si>
  <si>
    <t>pawangs@gmail.com</t>
  </si>
  <si>
    <t>8106966338</t>
  </si>
  <si>
    <t>S10</t>
  </si>
  <si>
    <t>Mayfy</t>
  </si>
  <si>
    <t>S11</t>
  </si>
  <si>
    <t>Gowrish Patnaik</t>
  </si>
  <si>
    <t>gourish.patnaik@gmail.com</t>
  </si>
  <si>
    <t>S12</t>
  </si>
  <si>
    <t>Saovik Mondal</t>
  </si>
  <si>
    <t>saovikmondal@gmail.com</t>
  </si>
  <si>
    <t>S13</t>
  </si>
  <si>
    <t>srinivasa.sambana@gmail.com</t>
  </si>
  <si>
    <t>S14</t>
  </si>
  <si>
    <t>Nishant Upadhyay</t>
  </si>
  <si>
    <t>nishantupadhyayster@gmail.com</t>
  </si>
  <si>
    <t>08066784591</t>
  </si>
  <si>
    <t>S15</t>
  </si>
  <si>
    <t>Manas Dasgupta</t>
  </si>
  <si>
    <t>918105654642</t>
  </si>
  <si>
    <t>S16</t>
  </si>
  <si>
    <t>Devendra Singh Rawat</t>
  </si>
  <si>
    <t>devendrasinghrawat@gmail.com</t>
  </si>
  <si>
    <t>7899740830</t>
  </si>
  <si>
    <t>T1</t>
  </si>
  <si>
    <t>Prashant Sikdar</t>
  </si>
  <si>
    <t>fossil.rvce@gmail.com</t>
  </si>
  <si>
    <t>902833360</t>
  </si>
  <si>
    <t>T2</t>
  </si>
  <si>
    <t>Kunal Raj Mehta</t>
  </si>
  <si>
    <t>ryanmcbeal@gmail.com</t>
  </si>
  <si>
    <t>9731727374</t>
  </si>
  <si>
    <t>T3</t>
  </si>
  <si>
    <t>Kapil Garg</t>
  </si>
  <si>
    <t>kapil.garg82@gmail.com</t>
  </si>
  <si>
    <t>9886279722</t>
  </si>
  <si>
    <t>T4</t>
  </si>
  <si>
    <t>Vijet Alva</t>
  </si>
  <si>
    <t>vijetalva@gmail.com</t>
  </si>
  <si>
    <t>T5</t>
  </si>
  <si>
    <t>Ganesh Iyer</t>
  </si>
  <si>
    <t>giyer.ops@gmail.com</t>
  </si>
  <si>
    <t>402691638</t>
  </si>
  <si>
    <t>T6</t>
  </si>
  <si>
    <t>Mythili Ramesh</t>
  </si>
  <si>
    <t>myth.rmsh@gmail.com</t>
  </si>
  <si>
    <t>9845756755</t>
  </si>
  <si>
    <t>T7</t>
  </si>
  <si>
    <t>Vinyas Ramachandra</t>
  </si>
  <si>
    <t>vinyasr@gmail.com</t>
  </si>
  <si>
    <t>T8</t>
  </si>
  <si>
    <t>Lalit Kumar Sharma</t>
  </si>
  <si>
    <t>lalitsharma21@gmail.com</t>
  </si>
  <si>
    <t>9900159881</t>
  </si>
  <si>
    <t>T9</t>
  </si>
  <si>
    <t>Nishith Sahu</t>
  </si>
  <si>
    <t>nishsahu@gmail.com</t>
  </si>
  <si>
    <t>T10</t>
  </si>
  <si>
    <t>b.vamsidhar@gmail.com</t>
  </si>
  <si>
    <t>9900181705</t>
  </si>
  <si>
    <t>T11</t>
  </si>
  <si>
    <t>Vaishnavi Suthapalli</t>
  </si>
  <si>
    <t>suthapallivaishnavi@gmail.com</t>
  </si>
  <si>
    <t>9500130636</t>
  </si>
  <si>
    <t>T12</t>
  </si>
  <si>
    <t>Prasenjit</t>
  </si>
  <si>
    <t>shumonchaks@gmail.com</t>
  </si>
  <si>
    <t>T13</t>
  </si>
  <si>
    <t>Sonali Deokhule</t>
  </si>
  <si>
    <t>T14</t>
  </si>
  <si>
    <t>Jeya</t>
  </si>
  <si>
    <t>jayajeganathan@gmail.com</t>
  </si>
  <si>
    <t>9620007862</t>
  </si>
  <si>
    <t>T15</t>
  </si>
  <si>
    <t>Trevor</t>
  </si>
  <si>
    <t>9900237201</t>
  </si>
  <si>
    <t>T16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</si>
  <si>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</si>
  <si>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</si>
  <si>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</si>
  <si>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</si>
  <si>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</si>
  <si>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</si>
  <si>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</si>
  <si>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</si>
  <si>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</si>
  <si>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</si>
  <si>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</si>
  <si>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</si>
  <si>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</si>
  <si>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</si>
  <si>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</si>
  <si>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</si>
  <si>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</si>
  <si>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</si>
  <si>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</si>
  <si>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</si>
  <si>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</si>
  <si>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</si>
  <si>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</si>
  <si>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</si>
  <si>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</si>
  <si>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</si>
  <si>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</si>
  <si>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</si>
  <si>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</si>
  <si>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</si>
  <si>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</si>
  <si>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</si>
  <si>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</si>
  <si>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</si>
  <si>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</si>
  <si>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</si>
  <si>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</si>
  <si>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</si>
  <si>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</si>
  <si>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</si>
  <si>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</si>
  <si>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</si>
  <si>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</si>
  <si>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</si>
  <si>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</si>
  <si>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</si>
  <si>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</si>
  <si>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</si>
  <si>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</si>
  <si>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</si>
  <si>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</si>
  <si>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</si>
  <si>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</si>
  <si>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</si>
  <si>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</si>
  <si>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</si>
  <si>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</si>
  <si>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</si>
  <si>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</si>
  <si>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</si>
  <si>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</si>
  <si>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</si>
  <si>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</si>
  <si>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</si>
  <si>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</si>
  <si>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</si>
  <si>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</si>
  <si>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</si>
  <si>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</si>
  <si>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</si>
  <si>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</si>
  <si>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</si>
  <si>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</si>
  <si>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</si>
  <si>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</si>
  <si>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</si>
  <si>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</si>
  <si>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</si>
  <si>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</si>
  <si>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</si>
  <si>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</si>
  <si>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</si>
  <si>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</si>
  <si>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</si>
  <si>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</si>
  <si>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</si>
  <si>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</si>
  <si>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</si>
  <si>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</si>
  <si>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</si>
  <si>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</si>
  <si>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</si>
  <si>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</si>
  <si>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</si>
  <si>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</si>
  <si>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</si>
  <si>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</si>
  <si>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</si>
  <si>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</si>
  <si>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</si>
  <si>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</si>
  <si>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</si>
  <si>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</si>
  <si>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</si>
  <si>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</si>
  <si>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</si>
  <si>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</si>
  <si>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</si>
  <si>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</si>
  <si>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</si>
  <si>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</si>
  <si>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</si>
  <si>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</si>
  <si>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</si>
  <si>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</si>
  <si>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</si>
  <si>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</si>
  <si>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</si>
  <si>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</si>
  <si>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</si>
  <si>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</si>
  <si>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</si>
  <si>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</si>
  <si>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</si>
  <si>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</si>
  <si>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</si>
  <si>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</si>
  <si>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</si>
  <si>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</si>
  <si>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</si>
  <si>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</si>
  <si>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12-Jul-26</t>
  </si>
  <si>
    <t>20-Jul-26</t>
  </si>
  <si>
    <t>19-Jul-26</t>
  </si>
  <si>
    <t>7-Jul-26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</si>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</sst>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2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1-446A-8873-6DEEB9B30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39</v>
      </c>
      <c r="B1" s="14" t="s">
        <v>40</v>
      </c>
      <c r="C1" s="14" t="s">
        <v>41</v>
      </c>
      <c r="D1" s="14" t="s">
        <v>42</v>
      </c>
      <c r="E1" s="14"/>
      <c r="F1" s="14" t="s">
        <v>43</v>
      </c>
      <c r="G1" s="14" t="s">
        <v>44</v>
      </c>
      <c r="H1" s="14" t="s">
        <v>45</v>
      </c>
    </row>
    <row r="2" spans="1:8" x14ac:dyDescent="0.25">
      <c r="A2" s="15" t="s">
        <v>46</v>
      </c>
      <c r="B2" s="15" t="s">
        <v>47</v>
      </c>
      <c r="C2" s="15" t="s">
        <v>48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49</v>
      </c>
      <c r="B3" s="16" t="s">
        <v>50</v>
      </c>
      <c r="C3" s="16" t="s">
        <v>51</v>
      </c>
      <c r="D3" s="16"/>
      <c r="E3" s="16"/>
      <c r="F3" s="16"/>
      <c r="G3" s="16"/>
      <c r="H3" s="16"/>
    </row>
    <row r="4" spans="1:8" x14ac:dyDescent="0.25">
      <c r="A4" s="15" t="s">
        <v>52</v>
      </c>
      <c r="B4" s="15" t="s">
        <v>53</v>
      </c>
      <c r="C4" s="15" t="s">
        <v>54</v>
      </c>
      <c r="D4" s="15" t="s">
        <v>55</v>
      </c>
      <c r="E4" s="15"/>
      <c r="F4" s="15"/>
      <c r="G4" s="15"/>
      <c r="H4" s="15"/>
    </row>
    <row r="5" spans="1:8" x14ac:dyDescent="0.25">
      <c r="A5" s="16" t="s">
        <v>56</v>
      </c>
      <c r="B5" s="16" t="s">
        <v>57</v>
      </c>
      <c r="C5" s="16" t="s">
        <v>58</v>
      </c>
      <c r="D5" s="16"/>
      <c r="E5" s="16"/>
      <c r="F5" s="16"/>
      <c r="G5" s="16"/>
      <c r="H5" s="16"/>
    </row>
    <row r="6" spans="1:8" ht="25.5" customHeight="1" x14ac:dyDescent="0.25">
      <c r="A6" s="15" t="s">
        <v>59</v>
      </c>
      <c r="B6" s="15" t="s">
        <v>60</v>
      </c>
      <c r="C6" s="15"/>
      <c r="D6" s="15"/>
      <c r="E6" s="15"/>
      <c r="F6" s="15"/>
      <c r="G6" s="15"/>
      <c r="H6" s="15"/>
    </row>
    <row r="7" spans="1:8" x14ac:dyDescent="0.25">
      <c r="A7" s="16" t="s">
        <v>61</v>
      </c>
      <c r="B7" s="16" t="s">
        <v>62</v>
      </c>
      <c r="C7" s="16" t="s">
        <v>63</v>
      </c>
      <c r="D7" s="16"/>
      <c r="E7" s="16"/>
      <c r="F7" s="16"/>
      <c r="G7" s="16"/>
      <c r="H7" s="16"/>
    </row>
    <row r="8" spans="1:8" x14ac:dyDescent="0.25">
      <c r="A8" s="15" t="s">
        <v>64</v>
      </c>
      <c r="B8" s="15" t="s">
        <v>65</v>
      </c>
      <c r="C8" s="15" t="s">
        <v>66</v>
      </c>
      <c r="D8" s="15"/>
      <c r="E8" s="15"/>
      <c r="F8" s="15"/>
      <c r="G8" s="15"/>
      <c r="H8" s="15"/>
    </row>
    <row r="9" spans="1:8" x14ac:dyDescent="0.25">
      <c r="A9" s="16" t="s">
        <v>67</v>
      </c>
      <c r="B9" s="16" t="s">
        <v>68</v>
      </c>
      <c r="C9" s="15" t="s">
        <v>69</v>
      </c>
      <c r="D9" s="16"/>
      <c r="E9" s="16"/>
      <c r="F9" s="16"/>
      <c r="G9" s="16"/>
      <c r="H9" s="16"/>
    </row>
    <row r="10" spans="1:8" x14ac:dyDescent="0.25">
      <c r="A10" s="15" t="s">
        <v>70</v>
      </c>
      <c r="B10" s="15" t="s">
        <v>71</v>
      </c>
      <c r="C10" s="15" t="s">
        <v>72</v>
      </c>
      <c r="D10" s="15" t="s">
        <v>73</v>
      </c>
      <c r="E10" s="15"/>
      <c r="F10" s="15"/>
      <c r="G10" s="15"/>
      <c r="H10" s="15"/>
    </row>
    <row r="11" spans="1:8" x14ac:dyDescent="0.25">
      <c r="A11" s="16" t="s">
        <v>74</v>
      </c>
      <c r="B11" s="16" t="s">
        <v>75</v>
      </c>
      <c r="C11" s="16" t="s">
        <v>76</v>
      </c>
      <c r="D11" s="16" t="s">
        <v>77</v>
      </c>
      <c r="E11" s="16"/>
      <c r="F11" s="16"/>
      <c r="G11" s="16"/>
      <c r="H11" s="16"/>
    </row>
    <row r="12" spans="1:8" x14ac:dyDescent="0.25">
      <c r="A12" s="15" t="s">
        <v>78</v>
      </c>
      <c r="B12" s="15" t="s">
        <v>57</v>
      </c>
      <c r="C12" s="15"/>
      <c r="D12" s="15"/>
      <c r="E12" s="15"/>
      <c r="F12" s="15"/>
      <c r="G12" s="15"/>
      <c r="H12" s="15"/>
    </row>
    <row r="13" spans="1:8" x14ac:dyDescent="0.25">
      <c r="A13" s="16" t="s">
        <v>79</v>
      </c>
      <c r="B13" s="16" t="s">
        <v>80</v>
      </c>
      <c r="C13" s="16" t="s">
        <v>81</v>
      </c>
      <c r="D13" s="16" t="s">
        <v>82</v>
      </c>
      <c r="E13" s="16"/>
      <c r="F13" s="16"/>
      <c r="G13" s="16"/>
      <c r="H13" s="16"/>
    </row>
    <row r="14" spans="1:8" x14ac:dyDescent="0.25">
      <c r="A14" s="15" t="s">
        <v>83</v>
      </c>
      <c r="B14" s="15" t="s">
        <v>84</v>
      </c>
      <c r="C14" s="15"/>
      <c r="D14" s="15"/>
      <c r="E14" s="15"/>
      <c r="F14" s="15"/>
      <c r="G14" s="15"/>
      <c r="H14" s="15"/>
    </row>
    <row r="15" spans="1:8" x14ac:dyDescent="0.25">
      <c r="A15" s="16" t="s">
        <v>85</v>
      </c>
      <c r="B15" s="16" t="s">
        <v>86</v>
      </c>
      <c r="C15" s="16" t="s">
        <v>87</v>
      </c>
      <c r="D15" s="16" t="s">
        <v>88</v>
      </c>
      <c r="E15" s="16"/>
      <c r="F15" s="16"/>
      <c r="G15" s="16"/>
      <c r="H15" s="16"/>
    </row>
    <row r="16" spans="1:8" x14ac:dyDescent="0.25">
      <c r="A16" s="15" t="s">
        <v>89</v>
      </c>
      <c r="B16" s="15" t="s">
        <v>90</v>
      </c>
      <c r="C16" s="15" t="s">
        <v>91</v>
      </c>
      <c r="D16" s="15" t="s">
        <v>92</v>
      </c>
      <c r="E16" s="15"/>
      <c r="F16" s="15"/>
      <c r="G16" s="15"/>
      <c r="H16" s="15"/>
    </row>
    <row r="17" spans="1:8" x14ac:dyDescent="0.25">
      <c r="A17" s="16" t="s">
        <v>93</v>
      </c>
      <c r="B17" s="16" t="s">
        <v>94</v>
      </c>
      <c r="C17" s="16" t="s">
        <v>95</v>
      </c>
      <c r="D17" s="16"/>
      <c r="E17" s="16"/>
      <c r="F17" s="16"/>
      <c r="G17" s="16"/>
      <c r="H17" s="16"/>
    </row>
    <row r="18" spans="1:8" x14ac:dyDescent="0.25">
      <c r="A18" s="15" t="s">
        <v>96</v>
      </c>
      <c r="B18" s="15" t="s">
        <v>97</v>
      </c>
      <c r="C18" s="15" t="s">
        <v>98</v>
      </c>
      <c r="D18" s="15" t="s">
        <v>99</v>
      </c>
      <c r="E18" s="15"/>
      <c r="F18" s="15"/>
      <c r="G18" s="15"/>
      <c r="H18" s="15"/>
    </row>
    <row r="19" spans="1:8" x14ac:dyDescent="0.25">
      <c r="A19" s="16" t="s">
        <v>100</v>
      </c>
      <c r="B19" s="16" t="s">
        <v>101</v>
      </c>
      <c r="C19" s="16"/>
      <c r="D19" s="16"/>
      <c r="E19" s="16"/>
      <c r="F19" s="16"/>
      <c r="G19" s="16"/>
      <c r="H19" s="16"/>
    </row>
    <row r="20" spans="1:8" x14ac:dyDescent="0.25">
      <c r="A20" s="15" t="s">
        <v>102</v>
      </c>
      <c r="B20" s="15" t="s">
        <v>103</v>
      </c>
      <c r="C20" s="15" t="s">
        <v>104</v>
      </c>
      <c r="D20" s="15"/>
      <c r="E20" s="15"/>
      <c r="F20" s="15"/>
      <c r="G20" s="15"/>
      <c r="H20" s="15"/>
    </row>
    <row r="21" spans="1:8" x14ac:dyDescent="0.25">
      <c r="A21" s="16" t="s">
        <v>105</v>
      </c>
      <c r="B21" s="16" t="s">
        <v>106</v>
      </c>
      <c r="C21" s="16" t="s">
        <v>107</v>
      </c>
      <c r="D21" s="16"/>
      <c r="E21" s="16"/>
      <c r="F21" s="16"/>
      <c r="G21" s="16"/>
      <c r="H21" s="16"/>
    </row>
    <row r="22" spans="1:8" x14ac:dyDescent="0.25">
      <c r="A22" s="15" t="s">
        <v>108</v>
      </c>
      <c r="B22" s="15" t="s">
        <v>109</v>
      </c>
      <c r="C22" s="15"/>
      <c r="D22" s="15"/>
      <c r="E22" s="15"/>
      <c r="F22" s="15"/>
      <c r="G22" s="15"/>
      <c r="H22" s="15"/>
    </row>
    <row r="23" spans="1:8" x14ac:dyDescent="0.25">
      <c r="A23" s="16" t="s">
        <v>110</v>
      </c>
      <c r="B23" s="16" t="s">
        <v>111</v>
      </c>
      <c r="C23" s="16"/>
      <c r="D23" s="16" t="s">
        <v>112</v>
      </c>
      <c r="E23" s="16"/>
      <c r="F23" s="16"/>
      <c r="G23" s="16"/>
      <c r="H23" s="16"/>
    </row>
    <row r="24" spans="1:8" x14ac:dyDescent="0.25">
      <c r="A24" s="15" t="s">
        <v>113</v>
      </c>
      <c r="B24" s="15" t="s">
        <v>114</v>
      </c>
      <c r="C24" s="15" t="s">
        <v>115</v>
      </c>
      <c r="D24" s="15" t="s">
        <v>116</v>
      </c>
      <c r="E24" s="15"/>
      <c r="F24" s="15"/>
      <c r="G24" s="15"/>
      <c r="H24" s="15"/>
    </row>
    <row r="25" spans="1:8" x14ac:dyDescent="0.25">
      <c r="A25" s="16" t="s">
        <v>117</v>
      </c>
      <c r="B25" s="16" t="s">
        <v>118</v>
      </c>
      <c r="C25" s="15" t="s">
        <v>119</v>
      </c>
      <c r="D25" s="16"/>
      <c r="E25" s="16"/>
      <c r="F25" s="16"/>
      <c r="G25" s="16"/>
      <c r="H25" s="16"/>
    </row>
    <row r="26" spans="1:8" x14ac:dyDescent="0.25">
      <c r="A26" s="15" t="s">
        <v>120</v>
      </c>
      <c r="B26" s="15" t="s">
        <v>121</v>
      </c>
      <c r="C26" s="15" t="s">
        <v>122</v>
      </c>
      <c r="D26" s="15"/>
      <c r="E26" s="15"/>
      <c r="F26" s="15"/>
      <c r="G26" s="15"/>
      <c r="H26" s="15"/>
    </row>
    <row r="27" spans="1:8" x14ac:dyDescent="0.25">
      <c r="A27" s="16" t="s">
        <v>123</v>
      </c>
      <c r="B27" s="16" t="s">
        <v>124</v>
      </c>
      <c r="C27" s="15" t="s">
        <v>125</v>
      </c>
      <c r="D27" s="16" t="s">
        <v>126</v>
      </c>
      <c r="E27" s="16"/>
      <c r="F27" s="16"/>
      <c r="G27" s="16"/>
      <c r="H27" s="16"/>
    </row>
    <row r="28" spans="1:8" x14ac:dyDescent="0.25">
      <c r="A28" s="15" t="s">
        <v>127</v>
      </c>
      <c r="B28" s="15" t="s">
        <v>128</v>
      </c>
      <c r="C28" s="15" t="s">
        <v>129</v>
      </c>
      <c r="D28" s="15" t="s">
        <v>130</v>
      </c>
      <c r="E28" s="15"/>
      <c r="F28" s="15"/>
      <c r="G28" s="15"/>
      <c r="H28" s="15"/>
    </row>
    <row r="29" spans="1:8" x14ac:dyDescent="0.25">
      <c r="A29" s="16" t="s">
        <v>131</v>
      </c>
      <c r="B29" s="16" t="s">
        <v>132</v>
      </c>
      <c r="C29" s="16" t="s">
        <v>133</v>
      </c>
      <c r="D29" s="16" t="s">
        <v>134</v>
      </c>
      <c r="E29" s="16"/>
      <c r="F29" s="16"/>
      <c r="G29" s="16"/>
      <c r="H29" s="16"/>
    </row>
    <row r="30" spans="1:8" x14ac:dyDescent="0.25">
      <c r="A30" s="15" t="s">
        <v>135</v>
      </c>
      <c r="B30" s="15" t="s">
        <v>136</v>
      </c>
      <c r="C30" s="15" t="s">
        <v>137</v>
      </c>
      <c r="D30" s="15"/>
      <c r="E30" s="15"/>
      <c r="F30" s="15"/>
      <c r="G30" s="15"/>
      <c r="H30" s="15"/>
    </row>
    <row r="31" spans="1:8" x14ac:dyDescent="0.25">
      <c r="A31" s="16" t="s">
        <v>138</v>
      </c>
      <c r="B31" s="16" t="s">
        <v>139</v>
      </c>
      <c r="C31" s="16" t="s">
        <v>140</v>
      </c>
      <c r="D31" s="16" t="s">
        <v>141</v>
      </c>
      <c r="E31" s="16"/>
      <c r="F31" s="16"/>
      <c r="G31" s="16"/>
      <c r="H31" s="16"/>
    </row>
    <row r="32" spans="1:8" x14ac:dyDescent="0.25">
      <c r="A32" s="15" t="s">
        <v>142</v>
      </c>
      <c r="B32" s="15" t="s">
        <v>143</v>
      </c>
      <c r="C32" s="15" t="s">
        <v>144</v>
      </c>
      <c r="D32" s="15"/>
      <c r="E32" s="15"/>
      <c r="F32" s="15"/>
      <c r="G32" s="15"/>
      <c r="H32" s="15"/>
    </row>
    <row r="33" spans="1:8" x14ac:dyDescent="0.25">
      <c r="A33" s="16" t="s">
        <v>145</v>
      </c>
      <c r="B33" s="16" t="s">
        <v>146</v>
      </c>
      <c r="C33" s="16" t="s">
        <v>147</v>
      </c>
      <c r="D33" s="16" t="s">
        <v>148</v>
      </c>
      <c r="E33" s="16"/>
      <c r="F33" s="16"/>
      <c r="G33" s="16"/>
      <c r="H33" s="16"/>
    </row>
    <row r="34" spans="1:8" x14ac:dyDescent="0.25">
      <c r="A34" s="15" t="s">
        <v>149</v>
      </c>
      <c r="B34" s="15" t="s">
        <v>150</v>
      </c>
      <c r="C34" s="15" t="s">
        <v>151</v>
      </c>
      <c r="D34" s="15" t="s">
        <v>152</v>
      </c>
      <c r="E34" s="15"/>
      <c r="F34" s="15"/>
      <c r="G34" s="15"/>
      <c r="H34" s="15"/>
    </row>
    <row r="35" spans="1:8" x14ac:dyDescent="0.25">
      <c r="A35" s="16" t="s">
        <v>153</v>
      </c>
      <c r="B35" s="16" t="s">
        <v>154</v>
      </c>
      <c r="C35" s="16" t="s">
        <v>155</v>
      </c>
      <c r="D35" s="16"/>
      <c r="E35" s="16"/>
      <c r="F35" s="16"/>
      <c r="G35" s="16"/>
      <c r="H35" s="16"/>
    </row>
    <row r="36" spans="1:8" x14ac:dyDescent="0.25">
      <c r="A36" s="15" t="s">
        <v>156</v>
      </c>
      <c r="B36" s="15" t="s">
        <v>157</v>
      </c>
      <c r="C36" s="15"/>
      <c r="D36" s="15"/>
      <c r="E36" s="15"/>
      <c r="F36" s="15"/>
      <c r="G36" s="15"/>
      <c r="H36" s="15"/>
    </row>
    <row r="37" spans="1:8" x14ac:dyDescent="0.25">
      <c r="A37" s="16" t="s">
        <v>158</v>
      </c>
      <c r="B37" s="16" t="s">
        <v>159</v>
      </c>
      <c r="C37" s="16" t="s">
        <v>160</v>
      </c>
      <c r="D37" s="16"/>
      <c r="E37" s="16"/>
      <c r="F37" s="16"/>
      <c r="G37" s="16"/>
      <c r="H37" s="16"/>
    </row>
    <row r="38" spans="1:8" ht="25.5" customHeight="1" x14ac:dyDescent="0.25">
      <c r="A38" s="15" t="s">
        <v>161</v>
      </c>
      <c r="B38" s="15" t="s">
        <v>162</v>
      </c>
      <c r="C38" s="15" t="s">
        <v>163</v>
      </c>
      <c r="D38" s="15" t="s">
        <v>164</v>
      </c>
      <c r="E38" s="15"/>
      <c r="F38" s="15"/>
      <c r="G38" s="15"/>
      <c r="H38" s="15"/>
    </row>
    <row r="39" spans="1:8" x14ac:dyDescent="0.25">
      <c r="A39" s="16" t="s">
        <v>165</v>
      </c>
      <c r="B39" s="16" t="s">
        <v>166</v>
      </c>
      <c r="C39" s="16" t="s">
        <v>167</v>
      </c>
      <c r="D39" s="16"/>
      <c r="E39" s="16"/>
      <c r="F39" s="16"/>
      <c r="G39" s="16"/>
      <c r="H39" s="16"/>
    </row>
    <row r="40" spans="1:8" x14ac:dyDescent="0.25">
      <c r="A40" s="15" t="s">
        <v>168</v>
      </c>
      <c r="B40" s="15" t="s">
        <v>169</v>
      </c>
      <c r="C40" s="15" t="s">
        <v>170</v>
      </c>
      <c r="D40" s="15" t="s">
        <v>171</v>
      </c>
      <c r="E40" s="15"/>
      <c r="F40" s="15"/>
      <c r="G40" s="15"/>
      <c r="H40" s="15"/>
    </row>
    <row r="41" spans="1:8" x14ac:dyDescent="0.25">
      <c r="A41" s="16" t="s">
        <v>172</v>
      </c>
      <c r="B41" s="16" t="s">
        <v>173</v>
      </c>
      <c r="C41" s="16" t="s">
        <v>174</v>
      </c>
      <c r="D41" s="16"/>
      <c r="E41" s="16"/>
      <c r="F41" s="16"/>
      <c r="G41" s="16"/>
      <c r="H41" s="16"/>
    </row>
    <row r="42" spans="1:8" x14ac:dyDescent="0.25">
      <c r="A42" s="15" t="s">
        <v>175</v>
      </c>
      <c r="B42" s="15" t="s">
        <v>176</v>
      </c>
      <c r="C42" s="15" t="s">
        <v>177</v>
      </c>
      <c r="D42" s="15" t="s">
        <v>178</v>
      </c>
      <c r="E42" s="15"/>
      <c r="F42" s="15"/>
      <c r="G42" s="15"/>
      <c r="H42" s="15"/>
    </row>
    <row r="43" spans="1:8" x14ac:dyDescent="0.25">
      <c r="A43" s="16" t="s">
        <v>179</v>
      </c>
      <c r="B43" s="16" t="s">
        <v>180</v>
      </c>
      <c r="C43" s="16"/>
      <c r="D43" s="16"/>
      <c r="E43" s="16"/>
      <c r="F43" s="16"/>
      <c r="G43" s="16"/>
      <c r="H43" s="16"/>
    </row>
    <row r="44" spans="1:8" x14ac:dyDescent="0.25">
      <c r="A44" s="15" t="s">
        <v>181</v>
      </c>
      <c r="B44" s="15" t="s">
        <v>182</v>
      </c>
      <c r="C44" s="15" t="s">
        <v>183</v>
      </c>
      <c r="D44" s="15"/>
      <c r="E44" s="15"/>
      <c r="F44" s="15"/>
      <c r="G44" s="15"/>
      <c r="H44" s="15"/>
    </row>
    <row r="45" spans="1:8" x14ac:dyDescent="0.25">
      <c r="A45" s="16" t="s">
        <v>184</v>
      </c>
      <c r="B45" s="16" t="s">
        <v>185</v>
      </c>
      <c r="C45" s="16" t="s">
        <v>186</v>
      </c>
      <c r="D45" s="16"/>
      <c r="E45" s="16"/>
      <c r="F45" s="16"/>
      <c r="G45" s="16"/>
      <c r="H45" s="16"/>
    </row>
    <row r="46" spans="1:8" x14ac:dyDescent="0.25">
      <c r="A46" s="15" t="s">
        <v>187</v>
      </c>
      <c r="B46" s="15" t="s">
        <v>84</v>
      </c>
      <c r="C46" s="15" t="s">
        <v>188</v>
      </c>
      <c r="D46" s="15"/>
      <c r="E46" s="15"/>
      <c r="F46" s="15"/>
      <c r="G46" s="15"/>
      <c r="H46" s="15"/>
    </row>
    <row r="47" spans="1:8" x14ac:dyDescent="0.25">
      <c r="A47" s="16" t="s">
        <v>189</v>
      </c>
      <c r="B47" s="16" t="s">
        <v>190</v>
      </c>
      <c r="C47" s="16" t="s">
        <v>191</v>
      </c>
      <c r="D47" s="16" t="s">
        <v>192</v>
      </c>
      <c r="E47" s="16"/>
      <c r="F47" s="16"/>
      <c r="G47" s="16"/>
      <c r="H47" s="16"/>
    </row>
    <row r="48" spans="1:8" x14ac:dyDescent="0.25">
      <c r="A48" s="15" t="s">
        <v>193</v>
      </c>
      <c r="B48" s="15" t="s">
        <v>194</v>
      </c>
      <c r="C48" s="15"/>
      <c r="D48" s="15" t="s">
        <v>195</v>
      </c>
      <c r="E48" s="15"/>
      <c r="F48" s="15"/>
      <c r="G48" s="15"/>
      <c r="H48" s="15"/>
    </row>
    <row r="49" spans="1:8" x14ac:dyDescent="0.25">
      <c r="A49" s="16" t="s">
        <v>196</v>
      </c>
      <c r="B49" s="16" t="s">
        <v>197</v>
      </c>
      <c r="C49" s="16" t="s">
        <v>198</v>
      </c>
      <c r="D49" s="16" t="s">
        <v>199</v>
      </c>
      <c r="E49" s="16"/>
      <c r="F49" s="16"/>
      <c r="G49" s="16"/>
      <c r="H49" s="16"/>
    </row>
    <row r="50" spans="1:8" x14ac:dyDescent="0.25">
      <c r="A50" s="15" t="s">
        <v>200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204</v>
      </c>
      <c r="B51" s="16" t="s">
        <v>205</v>
      </c>
      <c r="C51" s="16" t="s">
        <v>206</v>
      </c>
      <c r="D51" s="16" t="s">
        <v>207</v>
      </c>
      <c r="E51" s="16"/>
      <c r="F51" s="16"/>
      <c r="G51" s="16"/>
      <c r="H51" s="16"/>
    </row>
    <row r="52" spans="1:8" x14ac:dyDescent="0.25">
      <c r="A52" s="15" t="s">
        <v>208</v>
      </c>
      <c r="B52" s="15" t="s">
        <v>209</v>
      </c>
      <c r="C52" s="15" t="s">
        <v>210</v>
      </c>
      <c r="D52" s="15" t="s">
        <v>211</v>
      </c>
      <c r="E52" s="15"/>
      <c r="F52" s="15"/>
      <c r="G52" s="15"/>
      <c r="H52" s="15"/>
    </row>
    <row r="53" spans="1:8" x14ac:dyDescent="0.25">
      <c r="A53" s="16" t="s">
        <v>212</v>
      </c>
      <c r="B53" s="16" t="s">
        <v>213</v>
      </c>
      <c r="C53" s="16" t="s">
        <v>214</v>
      </c>
      <c r="D53" s="16"/>
      <c r="E53" s="16"/>
      <c r="F53" s="16"/>
      <c r="G53" s="16"/>
      <c r="H53" s="16"/>
    </row>
    <row r="54" spans="1:8" x14ac:dyDescent="0.25">
      <c r="A54" s="15" t="s">
        <v>215</v>
      </c>
      <c r="B54" s="15" t="s">
        <v>216</v>
      </c>
      <c r="C54" s="15" t="s">
        <v>217</v>
      </c>
      <c r="D54" s="15" t="s">
        <v>218</v>
      </c>
      <c r="E54" s="15"/>
      <c r="F54" s="15"/>
      <c r="G54" s="15"/>
      <c r="H54" s="15"/>
    </row>
    <row r="55" spans="1:8" x14ac:dyDescent="0.25">
      <c r="A55" s="16" t="s">
        <v>219</v>
      </c>
      <c r="B55" s="16" t="s">
        <v>220</v>
      </c>
      <c r="C55" s="16" t="s">
        <v>221</v>
      </c>
      <c r="D55" s="16" t="s">
        <v>222</v>
      </c>
      <c r="E55" s="16"/>
      <c r="F55" s="16"/>
      <c r="G55" s="16"/>
      <c r="H55" s="16"/>
    </row>
    <row r="56" spans="1:8" x14ac:dyDescent="0.25">
      <c r="A56" s="15" t="s">
        <v>223</v>
      </c>
      <c r="B56" s="15" t="s">
        <v>224</v>
      </c>
      <c r="C56" s="15" t="s">
        <v>225</v>
      </c>
      <c r="D56" s="15"/>
      <c r="E56" s="15"/>
      <c r="F56" s="15"/>
      <c r="G56" s="15"/>
      <c r="H56" s="15"/>
    </row>
    <row r="57" spans="1:8" x14ac:dyDescent="0.25">
      <c r="A57" s="16" t="s">
        <v>226</v>
      </c>
      <c r="B57" s="16" t="s">
        <v>227</v>
      </c>
      <c r="C57" s="16" t="s">
        <v>228</v>
      </c>
      <c r="D57" s="16" t="s">
        <v>229</v>
      </c>
      <c r="E57" s="16"/>
      <c r="F57" s="16"/>
      <c r="G57" s="16"/>
      <c r="H57" s="16"/>
    </row>
    <row r="58" spans="1:8" x14ac:dyDescent="0.25">
      <c r="A58" s="15" t="s">
        <v>230</v>
      </c>
      <c r="B58" s="15" t="s">
        <v>231</v>
      </c>
      <c r="C58" s="15" t="s">
        <v>232</v>
      </c>
      <c r="D58" s="15"/>
      <c r="E58" s="15"/>
      <c r="F58" s="15"/>
      <c r="G58" s="15"/>
      <c r="H58" s="15"/>
    </row>
    <row r="59" spans="1:8" ht="25.5" customHeight="1" x14ac:dyDescent="0.25">
      <c r="A59" s="16" t="s">
        <v>233</v>
      </c>
      <c r="B59" s="16" t="s">
        <v>60</v>
      </c>
      <c r="C59" s="16" t="s">
        <v>234</v>
      </c>
      <c r="D59" s="16" t="s">
        <v>235</v>
      </c>
      <c r="E59" s="16"/>
      <c r="F59" s="16"/>
      <c r="G59" s="16"/>
      <c r="H59" s="16"/>
    </row>
    <row r="60" spans="1:8" x14ac:dyDescent="0.25">
      <c r="A60" s="15" t="s">
        <v>236</v>
      </c>
      <c r="B60" s="15" t="s">
        <v>237</v>
      </c>
      <c r="C60" s="15" t="s">
        <v>238</v>
      </c>
      <c r="D60" s="15" t="s">
        <v>239</v>
      </c>
      <c r="E60" s="15"/>
      <c r="F60" s="15"/>
      <c r="G60" s="15"/>
      <c r="H60" s="15"/>
    </row>
    <row r="61" spans="1:8" x14ac:dyDescent="0.25">
      <c r="A61" s="16" t="s">
        <v>240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25">
      <c r="A62" s="15" t="s">
        <v>243</v>
      </c>
      <c r="B62" s="15" t="s">
        <v>244</v>
      </c>
      <c r="C62" s="15"/>
      <c r="D62" s="15"/>
      <c r="E62" s="15"/>
      <c r="F62" s="15"/>
      <c r="G62" s="15"/>
      <c r="H62" s="15"/>
    </row>
    <row r="63" spans="1:8" x14ac:dyDescent="0.25">
      <c r="A63" s="16" t="s">
        <v>245</v>
      </c>
      <c r="B63" s="16" t="s">
        <v>246</v>
      </c>
      <c r="C63" s="16" t="s">
        <v>247</v>
      </c>
      <c r="D63" s="16" t="s">
        <v>248</v>
      </c>
      <c r="E63" s="16"/>
      <c r="F63" s="16"/>
      <c r="G63" s="16"/>
      <c r="H63" s="16"/>
    </row>
    <row r="64" spans="1:8" x14ac:dyDescent="0.25">
      <c r="A64" s="15" t="s">
        <v>249</v>
      </c>
      <c r="B64" s="15" t="s">
        <v>250</v>
      </c>
      <c r="C64" s="15"/>
      <c r="D64" s="15" t="s">
        <v>251</v>
      </c>
      <c r="E64" s="15"/>
      <c r="F64" s="15"/>
      <c r="G64" s="15"/>
      <c r="H64" s="15"/>
    </row>
    <row r="65" spans="1:8" x14ac:dyDescent="0.25">
      <c r="A65" s="16" t="s">
        <v>252</v>
      </c>
      <c r="B65" s="16" t="s">
        <v>253</v>
      </c>
      <c r="C65" s="16" t="s">
        <v>254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93" t="s">
        <v>255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</row>
    <row r="2" spans="1:21" ht="58.5" customHeight="1" x14ac:dyDescent="0.25">
      <c r="A2" s="18" t="s">
        <v>256</v>
      </c>
      <c r="B2" s="14">
        <v>1</v>
      </c>
      <c r="C2" s="18" t="s">
        <v>257</v>
      </c>
      <c r="D2" s="18" t="s">
        <v>258</v>
      </c>
      <c r="E2" s="18" t="s">
        <v>259</v>
      </c>
      <c r="F2" s="18" t="s">
        <v>260</v>
      </c>
      <c r="G2" s="18" t="s">
        <v>261</v>
      </c>
      <c r="H2" s="18" t="s">
        <v>262</v>
      </c>
      <c r="I2" s="18" t="s">
        <v>263</v>
      </c>
      <c r="J2" s="18" t="s">
        <v>264</v>
      </c>
      <c r="K2" s="18" t="s">
        <v>265</v>
      </c>
      <c r="L2" s="18" t="s">
        <v>266</v>
      </c>
      <c r="M2" s="18" t="s">
        <v>267</v>
      </c>
      <c r="N2" s="18" t="s">
        <v>268</v>
      </c>
      <c r="O2" s="18" t="s">
        <v>269</v>
      </c>
      <c r="P2" s="18" t="s">
        <v>270</v>
      </c>
      <c r="Q2" s="18" t="s">
        <v>271</v>
      </c>
      <c r="R2" s="18" t="s">
        <v>272</v>
      </c>
      <c r="S2" s="18" t="s">
        <v>273</v>
      </c>
      <c r="T2" s="18"/>
      <c r="U2" s="18"/>
    </row>
    <row r="3" spans="1:21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277</v>
      </c>
      <c r="U4" s="22">
        <f>'ANNUAL-EXPENSE-DETAILS'!V3</f>
        <v>269762</v>
      </c>
    </row>
    <row r="5" spans="1:21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279</v>
      </c>
      <c r="U5" s="20">
        <f>'ANNUAL-EXPENSE-DETAILS'!U3</f>
        <v>48800</v>
      </c>
    </row>
    <row r="6" spans="1:21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49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280</v>
      </c>
      <c r="U7" s="80">
        <f>(99.84+0.18*99.84)</f>
        <v>117.8112</v>
      </c>
    </row>
    <row r="8" spans="1:21" ht="12.75" customHeight="1" x14ac:dyDescent="0.25">
      <c r="A8" s="21" t="s">
        <v>52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281</v>
      </c>
      <c r="U8" s="22">
        <f>$U$7*3</f>
        <v>353.43360000000001</v>
      </c>
    </row>
    <row r="9" spans="1:21" ht="12.75" customHeight="1" x14ac:dyDescent="0.25">
      <c r="A9" s="19" t="s">
        <v>56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282</v>
      </c>
      <c r="U9" s="20">
        <f>U8/64</f>
        <v>5.5224000000000002</v>
      </c>
    </row>
    <row r="10" spans="1:21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61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283</v>
      </c>
      <c r="U11" s="20"/>
    </row>
    <row r="12" spans="1:21" ht="12.75" customHeight="1" x14ac:dyDescent="0.25">
      <c r="A12" s="21" t="s">
        <v>64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284</v>
      </c>
      <c r="U12" s="22"/>
    </row>
    <row r="13" spans="1:21" ht="12.75" customHeight="1" x14ac:dyDescent="0.25">
      <c r="A13" s="19" t="s">
        <v>67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285</v>
      </c>
      <c r="U13" s="20"/>
    </row>
    <row r="14" spans="1:21" ht="12.75" customHeight="1" x14ac:dyDescent="0.25">
      <c r="A14" s="21" t="s">
        <v>70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286</v>
      </c>
      <c r="U14" s="22">
        <f>U12-U13</f>
        <v>0</v>
      </c>
    </row>
    <row r="15" spans="1:21" ht="12.75" customHeight="1" x14ac:dyDescent="0.25">
      <c r="A15" s="19" t="s">
        <v>74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287</v>
      </c>
      <c r="U15" s="20"/>
    </row>
    <row r="16" spans="1:21" ht="12.75" customHeight="1" x14ac:dyDescent="0.25">
      <c r="A16" s="21" t="s">
        <v>78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288</v>
      </c>
      <c r="U16" s="22">
        <f>U11-U14-U15</f>
        <v>0</v>
      </c>
    </row>
    <row r="17" spans="1:21" ht="12.75" customHeight="1" x14ac:dyDescent="0.25">
      <c r="A17" s="19" t="s">
        <v>79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289</v>
      </c>
      <c r="U17" s="20">
        <f>'ANNUAL-EXPENSE-DETAILS'!Y9</f>
        <v>0</v>
      </c>
    </row>
    <row r="18" spans="1:21" ht="12.75" customHeight="1" x14ac:dyDescent="0.25">
      <c r="A18" s="21" t="s">
        <v>83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290</v>
      </c>
      <c r="U18" s="22">
        <f>U16-U17</f>
        <v>0</v>
      </c>
    </row>
    <row r="19" spans="1:21" ht="12.75" customHeight="1" x14ac:dyDescent="0.25">
      <c r="A19" s="19" t="s">
        <v>85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96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102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110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117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120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123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131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135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153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156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158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165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168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175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179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184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187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208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212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215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230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240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245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249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38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27" t="s">
        <v>292</v>
      </c>
      <c r="E1" s="18" t="s">
        <v>291</v>
      </c>
      <c r="F1" s="14" t="s">
        <v>292</v>
      </c>
      <c r="G1" s="18" t="s">
        <v>291</v>
      </c>
      <c r="H1" s="14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9230</v>
      </c>
      <c r="D2" s="28" t="s">
        <v>294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>
        <v>6000</v>
      </c>
      <c r="D4" s="29" t="s">
        <v>295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5">
        <v>5549</v>
      </c>
      <c r="D5" s="31" t="s">
        <v>296</v>
      </c>
      <c r="E5" s="25">
        <v>440</v>
      </c>
      <c r="F5" s="25" t="s">
        <v>296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4867.34</v>
      </c>
      <c r="D7" s="32" t="s">
        <v>297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5384</v>
      </c>
      <c r="D8" s="28" t="s">
        <v>298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>
        <v>6070</v>
      </c>
      <c r="D9" s="33" t="s">
        <v>299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>
        <v>27822</v>
      </c>
      <c r="D11" s="32" t="s">
        <v>299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6">
        <v>5549</v>
      </c>
      <c r="D12" s="28" t="s">
        <v>296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299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>
        <v>4934</v>
      </c>
      <c r="D14" s="30" t="s">
        <v>300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>
        <v>7000</v>
      </c>
      <c r="D15" s="31" t="s">
        <v>301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5764</v>
      </c>
      <c r="D16" s="28" t="s">
        <v>302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>
        <v>5903.12</v>
      </c>
      <c r="D17" s="25" t="s">
        <v>301</v>
      </c>
      <c r="E17" s="25">
        <v>20000</v>
      </c>
      <c r="F17" s="25" t="s">
        <v>303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5">
        <v>6121</v>
      </c>
      <c r="D19" s="33" t="s">
        <v>300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6">
        <v>5796</v>
      </c>
      <c r="D20" s="30" t="s">
        <v>304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5">
        <v>5604</v>
      </c>
      <c r="D21" s="33" t="s">
        <v>305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>
        <v>5260</v>
      </c>
      <c r="D23" s="25" t="s">
        <v>306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>
        <v>10621</v>
      </c>
      <c r="D24" s="30" t="s">
        <v>307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>
        <v>495.94</v>
      </c>
      <c r="D25" s="32" t="s">
        <v>308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6">
        <v>5590</v>
      </c>
      <c r="D26" s="30" t="s">
        <v>309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>
        <v>16648</v>
      </c>
      <c r="D28" s="28" t="s">
        <v>310</v>
      </c>
      <c r="E28" s="26">
        <v>4928</v>
      </c>
      <c r="F28" s="26" t="s">
        <v>299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5">
        <v>4487</v>
      </c>
      <c r="D29" s="32" t="s">
        <v>299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10677</v>
      </c>
      <c r="D30" s="30" t="s">
        <v>301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5970</v>
      </c>
      <c r="D31" s="31" t="s">
        <v>299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4819</v>
      </c>
      <c r="D33" s="33" t="s">
        <v>309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6">
        <v>4890</v>
      </c>
      <c r="D34" s="28" t="s">
        <v>304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>
        <v>5635</v>
      </c>
      <c r="D35" s="31" t="s">
        <v>295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>
        <v>5092</v>
      </c>
      <c r="D36" s="30" t="s">
        <v>302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28414.74</v>
      </c>
      <c r="D38" s="26" t="s">
        <v>301</v>
      </c>
      <c r="E38" s="26">
        <v>4935</v>
      </c>
      <c r="F38" s="26" t="s">
        <v>299</v>
      </c>
      <c r="G38" s="26">
        <v>1000</v>
      </c>
      <c r="H38" s="26" t="s">
        <v>298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>
        <v>35878</v>
      </c>
      <c r="D39" s="33" t="s">
        <v>310</v>
      </c>
      <c r="E39" s="25">
        <v>4903</v>
      </c>
      <c r="F39" s="25" t="s">
        <v>300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>
        <v>4936</v>
      </c>
      <c r="D40" s="30" t="s">
        <v>311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5">
        <v>2028.67</v>
      </c>
      <c r="D41" s="31" t="s">
        <v>311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5150</v>
      </c>
      <c r="D44" s="30" t="s">
        <v>299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>
        <v>4739</v>
      </c>
      <c r="D46" s="30" t="s">
        <v>300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>
        <v>16641</v>
      </c>
      <c r="D48" s="30" t="s">
        <v>301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4839</v>
      </c>
      <c r="D49" s="31" t="s">
        <v>299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5879</v>
      </c>
      <c r="D50" s="30" t="s">
        <v>300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>
        <v>39847.339999999997</v>
      </c>
      <c r="D51" s="31" t="s">
        <v>302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>
        <v>5431</v>
      </c>
      <c r="D52" s="28" t="s">
        <v>299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5">
        <v>30484.97</v>
      </c>
      <c r="D53" s="33" t="s">
        <v>312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25990</v>
      </c>
      <c r="D54" s="28" t="s">
        <v>299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5">
        <v>13753.45</v>
      </c>
      <c r="D55" s="32" t="s">
        <v>301</v>
      </c>
      <c r="E55" s="25">
        <v>6246</v>
      </c>
      <c r="F55" s="31" t="s">
        <v>299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>
        <v>4712</v>
      </c>
      <c r="D56" s="28" t="s">
        <v>307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>
        <v>1536.73</v>
      </c>
      <c r="D57" s="31" t="s">
        <v>309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4785</v>
      </c>
      <c r="D58" s="28" t="s">
        <v>300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5">
        <v>5920</v>
      </c>
      <c r="D59" s="33" t="s">
        <v>299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6">
        <v>4939</v>
      </c>
      <c r="D60" s="30" t="s">
        <v>299</v>
      </c>
      <c r="E60" s="26">
        <v>6348</v>
      </c>
      <c r="F60" s="26" t="s">
        <v>299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5">
        <v>4806</v>
      </c>
      <c r="D61" s="33" t="s">
        <v>299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>
        <v>12000</v>
      </c>
      <c r="D62" s="26" t="s">
        <v>308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5">
        <v>4477</v>
      </c>
      <c r="D63" s="32" t="s">
        <v>300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6">
        <v>5420</v>
      </c>
      <c r="D64" s="30" t="s">
        <v>299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>
        <v>5231</v>
      </c>
      <c r="D65" s="31" t="s">
        <v>299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96" t="s">
        <v>313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324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277</v>
      </c>
      <c r="T4" s="22">
        <f>'ANNUAL-EXPENSE-DETAILS'!V4</f>
        <v>281008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279</v>
      </c>
      <c r="T5" s="20">
        <f>'ANNUAL-EXPENSE-DETAILS'!U4</f>
        <v>42100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/>
      <c r="R6" s="22">
        <f t="shared" ref="R6:R37" si="7">SUM(J6:Q6)*$B$2</f>
        <v>5565.8228186401111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/>
      <c r="R8" s="22">
        <f t="shared" si="7"/>
        <v>6838.8740421419971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/>
      <c r="R9" s="20">
        <f t="shared" si="7"/>
        <v>5784.2527516815144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/>
      <c r="R11" s="20">
        <f t="shared" si="7"/>
        <v>5835.5028512992712</v>
      </c>
      <c r="S11" s="20"/>
      <c r="T11" s="20"/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/>
      <c r="R12" s="22">
        <f t="shared" si="7"/>
        <v>6017.9708901898612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/>
      <c r="R13" s="20">
        <f t="shared" si="7"/>
        <v>5339.5153449686704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/>
      <c r="R15" s="20">
        <f t="shared" si="7"/>
        <v>6229.5040413559436</v>
      </c>
      <c r="S15" s="25"/>
      <c r="T15" s="25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/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/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/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/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/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/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/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/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/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/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/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/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/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/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/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/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/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/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/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/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/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/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/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/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/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/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/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/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/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/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/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/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/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/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/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/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/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/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/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/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38</v>
      </c>
      <c r="B70" s="23" t="s">
        <v>38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397692.96620000008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36" t="s">
        <v>292</v>
      </c>
      <c r="E1" s="18" t="s">
        <v>291</v>
      </c>
      <c r="F1" s="36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37" t="s">
        <v>329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4827</v>
      </c>
      <c r="D6" s="37" t="s">
        <v>330</v>
      </c>
      <c r="E6" s="26">
        <v>205</v>
      </c>
      <c r="F6" s="37" t="s">
        <v>331</v>
      </c>
      <c r="G6" s="26">
        <v>205</v>
      </c>
      <c r="H6" s="37" t="s">
        <v>331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9442.7099999999991</v>
      </c>
      <c r="D7" s="38" t="s">
        <v>332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7174</v>
      </c>
      <c r="D8" s="37" t="s">
        <v>333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453</v>
      </c>
      <c r="D9" s="39" t="s">
        <v>330</v>
      </c>
      <c r="E9" s="25">
        <v>468</v>
      </c>
      <c r="F9" s="38" t="s">
        <v>331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>
        <v>4867</v>
      </c>
      <c r="D10" s="37" t="s">
        <v>329</v>
      </c>
      <c r="E10" s="26">
        <v>5366</v>
      </c>
      <c r="F10" s="37" t="s">
        <v>334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>
        <v>6536.41</v>
      </c>
      <c r="D13" s="38" t="s">
        <v>330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5907</v>
      </c>
      <c r="D16" s="37" t="s">
        <v>335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>
        <v>5887.24</v>
      </c>
      <c r="D17" s="38" t="s">
        <v>336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2100</v>
      </c>
      <c r="D20" s="40" t="s">
        <v>337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11592</v>
      </c>
      <c r="D21" s="39" t="s">
        <v>330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>
        <v>5067</v>
      </c>
      <c r="D25" s="38" t="s">
        <v>338</v>
      </c>
      <c r="E25" s="25">
        <v>3879.31</v>
      </c>
      <c r="F25" s="38" t="s">
        <v>339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4440</v>
      </c>
      <c r="D27" s="38" t="s">
        <v>340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6335</v>
      </c>
      <c r="D29" s="39" t="s">
        <v>341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6116.55</v>
      </c>
      <c r="D31" s="38" t="s">
        <v>342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4556.92</v>
      </c>
      <c r="D34" s="40" t="s">
        <v>343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>
        <v>6948</v>
      </c>
      <c r="D35" s="38" t="s">
        <v>329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>
        <v>6000</v>
      </c>
      <c r="D37" s="38" t="s">
        <v>330</v>
      </c>
      <c r="E37" s="25">
        <v>5000</v>
      </c>
      <c r="F37" s="38" t="s">
        <v>344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4363.79</v>
      </c>
      <c r="D38" s="37" t="s">
        <v>341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5067.7</v>
      </c>
      <c r="D40" s="40" t="s">
        <v>340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>
        <v>8000</v>
      </c>
      <c r="D43" s="25" t="s">
        <v>345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4992</v>
      </c>
      <c r="D44" s="37" t="s">
        <v>346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>
        <v>16123.22</v>
      </c>
      <c r="D45" s="38" t="s">
        <v>330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1511</v>
      </c>
      <c r="D52" s="40" t="s">
        <v>334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10300</v>
      </c>
      <c r="D53" s="38" t="s">
        <v>347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5343</v>
      </c>
      <c r="D54" s="37" t="s">
        <v>344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>
        <v>6494.14</v>
      </c>
      <c r="D55" s="38" t="s">
        <v>342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>
        <v>20028.72</v>
      </c>
      <c r="D56" s="37" t="s">
        <v>333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>
        <v>5287.24</v>
      </c>
      <c r="D57" s="39" t="s">
        <v>336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4766.55</v>
      </c>
      <c r="D58" s="37" t="s">
        <v>333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>
        <v>15000</v>
      </c>
      <c r="D59" s="39" t="s">
        <v>330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5187</v>
      </c>
      <c r="D60" s="40" t="s">
        <v>333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84.49</v>
      </c>
      <c r="D61" s="38" t="s">
        <v>348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5350</v>
      </c>
      <c r="D63" s="38" t="s">
        <v>333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>
        <v>5420</v>
      </c>
      <c r="D64" s="40" t="s">
        <v>331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>
        <v>10000</v>
      </c>
      <c r="D65" s="38" t="s">
        <v>331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96" t="s">
        <v>349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42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350</v>
      </c>
      <c r="N2" s="18" t="s">
        <v>351</v>
      </c>
      <c r="O2" s="18" t="s">
        <v>322</v>
      </c>
      <c r="P2" s="18" t="s">
        <v>323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277</v>
      </c>
      <c r="T4" s="22">
        <f>'ANNUAL-EXPENSE-DETAILS'!V5</f>
        <v>322871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279</v>
      </c>
      <c r="T5" s="20">
        <f>'ANNUAL-EXPENSE-DETAILS'!U5</f>
        <v>51350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7450.1761493784616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6135.3018810479671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6348.041698363676</v>
      </c>
      <c r="S11" s="20" t="s">
        <v>277</v>
      </c>
      <c r="T11" s="20">
        <f>'ANNUAL-EXPENSE-DETAILS'!V5</f>
        <v>322871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6175.5463299281782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5519.6643469739993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5732.9974115343693</v>
      </c>
      <c r="S14" s="22" t="s">
        <v>352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284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285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6197.4421940606353</v>
      </c>
      <c r="S17" s="20" t="s">
        <v>353</v>
      </c>
      <c r="T17" s="20">
        <f>T15-T16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288</v>
      </c>
      <c r="T18" s="22">
        <f>T14-T17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6788.3070765854463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7013.8078870071422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6674.7114334789403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6396.4146536378375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5533.9181816598948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5757.9756504865027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6836.3022677913996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6769.6302277543055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SUM(J38:Q38)*$B$2</f>
        <v>5626.8617254357168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7101.7392374208121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6223.8144574869748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6272.1280170028385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5613.1417422361837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5469.4289221072277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5955.9811667785898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6511.6671789339771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6404.9028922710113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5546.256161604545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5634.8694977311634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6876.5546698631806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6409.4880044440733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5515.3401499344573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5581.1166636640573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6063.6590115780346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7735.8420223132835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5984.9219279491335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6503.2383360591011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6492.0748293844499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430805.96619999985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10856</v>
      </c>
      <c r="D2" s="29" t="s">
        <v>354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>
        <v>16500</v>
      </c>
      <c r="D3" s="32" t="s">
        <v>355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40" t="s">
        <v>356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5554.98</v>
      </c>
      <c r="D6" s="29" t="s">
        <v>357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7469</v>
      </c>
      <c r="D7" s="32" t="s">
        <v>358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5964.86</v>
      </c>
      <c r="D8" s="29" t="s">
        <v>355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5333</v>
      </c>
      <c r="D9" s="32" t="s">
        <v>359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>
        <v>5538</v>
      </c>
      <c r="D10" s="29" t="s">
        <v>360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>
        <v>4901</v>
      </c>
      <c r="D12" s="29" t="s">
        <v>361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>
        <v>6016</v>
      </c>
      <c r="D18" s="29" t="s">
        <v>362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>
        <v>7164.78</v>
      </c>
      <c r="D19" s="32" t="s">
        <v>363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6263</v>
      </c>
      <c r="D20" s="29" t="s">
        <v>357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7011</v>
      </c>
      <c r="D21" s="32" t="s">
        <v>364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>
        <v>10563</v>
      </c>
      <c r="D24" s="29" t="s">
        <v>359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>
        <v>201</v>
      </c>
      <c r="D26" s="29" t="s">
        <v>365</v>
      </c>
      <c r="E26" s="26">
        <v>6264</v>
      </c>
      <c r="F26" s="29" t="s">
        <v>359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5452.43</v>
      </c>
      <c r="D27" s="32" t="s">
        <v>359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>
        <v>10106</v>
      </c>
      <c r="D28" s="29" t="s">
        <v>366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5689</v>
      </c>
      <c r="D29" s="32" t="s">
        <v>359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10117.790000000001</v>
      </c>
      <c r="D30" s="29" t="s">
        <v>356</v>
      </c>
      <c r="E30" s="26">
        <v>5932</v>
      </c>
      <c r="F30" s="29" t="s">
        <v>359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5003.6499999999996</v>
      </c>
      <c r="D33" s="32" t="s">
        <v>367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5454</v>
      </c>
      <c r="D34" s="29" t="s">
        <v>368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>
        <v>7522.88</v>
      </c>
      <c r="D35" s="32" t="s">
        <v>356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5522.63</v>
      </c>
      <c r="D38" s="29" t="s">
        <v>355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5596.3</v>
      </c>
      <c r="D40" s="29" t="s">
        <v>359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>
        <v>6646</v>
      </c>
      <c r="D41" s="32" t="s">
        <v>356</v>
      </c>
      <c r="E41" s="25">
        <v>6075.85</v>
      </c>
      <c r="F41" s="32" t="s">
        <v>360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>
        <v>5486.89</v>
      </c>
      <c r="D42" s="29" t="s">
        <v>363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5779</v>
      </c>
      <c r="D44" s="29" t="s">
        <v>368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>
        <v>5403.25</v>
      </c>
      <c r="D45" s="32" t="s">
        <v>363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>
        <v>12562</v>
      </c>
      <c r="D48" s="29" t="s">
        <v>356</v>
      </c>
      <c r="E48" s="26">
        <v>6572</v>
      </c>
      <c r="F48" s="29" t="s">
        <v>355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4442</v>
      </c>
      <c r="D49" s="32" t="s">
        <v>355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9000</v>
      </c>
      <c r="D50" s="29" t="s">
        <v>357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5972</v>
      </c>
      <c r="D52" s="29" t="s">
        <v>369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5391.88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5622</v>
      </c>
      <c r="D54" s="29" t="s">
        <v>370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>
        <v>6389.74</v>
      </c>
      <c r="D55" s="32" t="s">
        <v>357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>
        <v>5793</v>
      </c>
      <c r="D57" s="32" t="s">
        <v>371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5758</v>
      </c>
      <c r="D60" s="29" t="s">
        <v>355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5606.17</v>
      </c>
      <c r="D61" s="32" t="s">
        <v>363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6142</v>
      </c>
      <c r="D63" s="32" t="s">
        <v>359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>
        <v>32894</v>
      </c>
      <c r="D64" s="29" t="s">
        <v>355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96" t="s">
        <v>372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42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'ANNUAL-EXPENSE-DETAILS'!V6</f>
        <v>325440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'ANNUAL-EXPENSE-DETAILS'!U6</f>
        <v>40900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5950.3969893672656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6180.9440916896492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7584.5075866517309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5647.9547267080179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6204.3360187354319</v>
      </c>
      <c r="S11" s="20" t="s">
        <v>277</v>
      </c>
      <c r="T11" s="20">
        <f>'ANNUAL-EXPENSE-DETAILS'!V6</f>
        <v>325440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6220.1095379740509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5468.000701744003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5788.7005529008984</v>
      </c>
      <c r="S14" s="22" t="s">
        <v>373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7253.1907247315212</v>
      </c>
      <c r="S15" s="20" t="s">
        <v>284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5577.132976648938</v>
      </c>
      <c r="S16" s="22" t="s">
        <v>285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6826.5028608520015</v>
      </c>
      <c r="S17" s="20" t="s">
        <v>353</v>
      </c>
      <c r="T17" s="20">
        <f>T15-T16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288</v>
      </c>
      <c r="T18" s="22">
        <f>T14-T17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6571.2545306008578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7580.174332091824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7555.8087237432728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6611.8686201920236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7165.0676657116055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6157.2196841016203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6607.8076919216728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5696.6336963516042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7234.5626713661059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7382.8160914275486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6057.9476370996654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5524.4120708977616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7039.6109021865668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6261.7828138414534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8185.277346249557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6120.1583058860533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5462.2014021113737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5586.2522748163819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7911.3233648587047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5831.2477423696073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6489.9677458069937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5835.4654148297013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6432.4418042855204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5594.5118833840661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6466.2433382189638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5969.7279881426975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6476.0244197064931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5991.3245673379188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5615.7949741998009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7021.3343215261593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8101.802578810195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6509.2195981669738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5585.9008021113741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5544.0945423782014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6887.5989572706749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6993.8038684357343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5463.2558202263972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6591.8758380965073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8898.0402316814852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5751.4634383328275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5790.6526449412022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7687.0046326482507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6482.6834089388813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6646.2939531200318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7771.6129646180871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419424.96619999991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7" activePane="bottomLeft" state="frozen"/>
      <selection pane="bottomLeft" activeCell="C59" sqref="C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6005</v>
      </c>
      <c r="D2" s="29" t="s">
        <v>374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29" t="s">
        <v>375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>
        <v>16823</v>
      </c>
      <c r="D5" s="32" t="s">
        <v>376</v>
      </c>
      <c r="E5" s="25">
        <v>5666</v>
      </c>
      <c r="F5" s="32" t="s">
        <v>377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5904.05</v>
      </c>
      <c r="D6" s="29" t="s">
        <v>378</v>
      </c>
      <c r="E6" s="26">
        <v>5355</v>
      </c>
      <c r="F6" s="29" t="s">
        <v>377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6339.79</v>
      </c>
      <c r="D7" s="32" t="s">
        <v>379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6179.33</v>
      </c>
      <c r="D8" s="29" t="s">
        <v>380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5903</v>
      </c>
      <c r="D9" s="32" t="s">
        <v>377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>
        <v>18604</v>
      </c>
      <c r="D11" s="32" t="s">
        <v>380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>
        <v>4714.75</v>
      </c>
      <c r="D13" s="32" t="s">
        <v>380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>
        <v>5523.35</v>
      </c>
      <c r="D14" s="29" t="s">
        <v>381</v>
      </c>
      <c r="E14" s="26">
        <v>5860.72</v>
      </c>
      <c r="F14" s="29" t="s">
        <v>380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>
        <v>5600</v>
      </c>
      <c r="D15" s="32" t="s">
        <v>380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6511</v>
      </c>
      <c r="D16" s="29" t="s">
        <v>382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7044</v>
      </c>
      <c r="D20" s="29" t="s">
        <v>383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7400</v>
      </c>
      <c r="D21" s="32" t="s">
        <v>380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>
        <v>29212.36</v>
      </c>
      <c r="D22" s="29" t="s">
        <v>380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>
        <v>3743</v>
      </c>
      <c r="D23" s="32" t="s">
        <v>384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>
        <v>5693</v>
      </c>
      <c r="D24" s="29" t="s">
        <v>385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>
        <v>6702</v>
      </c>
      <c r="D26" s="29" t="s">
        <v>386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5775</v>
      </c>
      <c r="D27" s="32" t="s">
        <v>380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>
        <v>5584</v>
      </c>
      <c r="D28" s="29" t="s">
        <v>387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6929</v>
      </c>
      <c r="D29" s="32" t="s">
        <v>376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1062</v>
      </c>
      <c r="D30" s="29" t="s">
        <v>377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7044.65</v>
      </c>
      <c r="D31" s="32" t="s">
        <v>378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11443.06</v>
      </c>
      <c r="D33" s="32" t="s">
        <v>384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5470.93</v>
      </c>
      <c r="D34" s="29" t="s">
        <v>388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>
        <v>13500</v>
      </c>
      <c r="D36" s="29" t="s">
        <v>380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>
        <v>5000</v>
      </c>
      <c r="D37" s="32" t="s">
        <v>375</v>
      </c>
      <c r="E37" s="25">
        <v>10000</v>
      </c>
      <c r="F37" s="32" t="s">
        <v>389</v>
      </c>
      <c r="G37" s="25">
        <v>21000</v>
      </c>
      <c r="H37" s="38" t="s">
        <v>389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>
        <v>15506</v>
      </c>
      <c r="D39" s="32" t="s">
        <v>389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5941.27</v>
      </c>
      <c r="D40" s="29" t="s">
        <v>380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>
        <v>7663.64</v>
      </c>
      <c r="D42" s="29" t="s">
        <v>388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5734</v>
      </c>
      <c r="D44" s="29" t="s">
        <v>380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>
        <v>5391.53</v>
      </c>
      <c r="D46" s="29" t="s">
        <v>381</v>
      </c>
      <c r="E46" s="26">
        <v>5547.76</v>
      </c>
      <c r="F46" s="29" t="s">
        <v>380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>
        <v>7526</v>
      </c>
      <c r="D48" s="29" t="s">
        <v>380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3062</v>
      </c>
      <c r="D49" s="32" t="s">
        <v>387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7640</v>
      </c>
      <c r="D50" s="29" t="s">
        <v>380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>
        <v>19898.43</v>
      </c>
      <c r="D51" s="32" t="s">
        <v>378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6472</v>
      </c>
      <c r="D52" s="29" t="s">
        <v>383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5589.52</v>
      </c>
      <c r="D53" s="32" t="s">
        <v>390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5455.63</v>
      </c>
      <c r="D58" s="29" t="s">
        <v>391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>
        <v>2664</v>
      </c>
      <c r="D59" s="32" t="s">
        <v>380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6112</v>
      </c>
      <c r="D60" s="29" t="s">
        <v>380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5659.39</v>
      </c>
      <c r="D61" s="32" t="s">
        <v>387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>
        <v>12000</v>
      </c>
      <c r="D62" s="28" t="s">
        <v>392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2530</v>
      </c>
      <c r="D63" s="32" t="s">
        <v>378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393985.16000000003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97" t="s">
        <v>393</v>
      </c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9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'ANNUAL-EXPENSE-DETAILS'!V7</f>
        <v>0</v>
      </c>
    </row>
    <row r="5" spans="1:20" ht="12.75" customHeight="1" x14ac:dyDescent="0.25">
      <c r="A5" s="19" t="s">
        <v>278</v>
      </c>
      <c r="B5" s="19" t="s">
        <v>275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'ANNUAL-EXPENSE-DETAILS'!U7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277</v>
      </c>
      <c r="T11" s="20">
        <f>'ANNUAL-EXPENSE-DETAILS'!V7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395</v>
      </c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284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285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286</v>
      </c>
      <c r="T16" s="22">
        <f>T14-T15</f>
        <v>0</v>
      </c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288</v>
      </c>
      <c r="T17" s="20">
        <f>T13-T16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396</v>
      </c>
      <c r="T20" s="22">
        <f>I70</f>
        <v>27584.966200000028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100" t="s">
        <v>397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398</v>
      </c>
      <c r="J2" s="18" t="s">
        <v>394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'ANNUAL-EXPENSE-DETAILS'!V8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'ANNUAL-EXPENSE-DETAILS'!U8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399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'ANNUAL-EXPENSE-DETAILS'!V8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400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'ANNUAL-EXPENSE-DETAILS'!X8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 t="s">
        <v>401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100" t="s">
        <v>402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403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'ANNUAL-EXPENSE-DETAILS'!V9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'ANNUAL-EXPENSE-DETAILS'!U9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'ANNUAL-EXPENSE-DETAILS'!V9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404</v>
      </c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284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285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286</v>
      </c>
      <c r="T16" s="22">
        <f>T14-T15</f>
        <v>0</v>
      </c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288</v>
      </c>
      <c r="T17" s="20">
        <f>T13-T16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289</v>
      </c>
      <c r="T18" s="22">
        <f>'ANNUAL-EXPENSE-DETAILS'!X9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100" t="s">
        <v>405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406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'ANNUAL-EXPENSE-DETAILS'!V10</f>
        <v>0</v>
      </c>
    </row>
    <row r="5" spans="1:20" ht="12.75" customHeight="1" x14ac:dyDescent="0.25">
      <c r="A5" s="19" t="s">
        <v>278</v>
      </c>
      <c r="B5" s="19" t="s">
        <v>275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'ANNUAL-EXPENSE-DETAILS'!U10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277</v>
      </c>
      <c r="T11" s="20">
        <f>'ANNUAL-EXPENSE-DETAILS'!V10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407</v>
      </c>
      <c r="T14" s="22">
        <f>CEILING( I70,1)</f>
        <v>27585</v>
      </c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408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284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285</v>
      </c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286</v>
      </c>
      <c r="T19" s="20">
        <f>T17-T18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288</v>
      </c>
      <c r="T20" s="22">
        <f>T16-T19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289</v>
      </c>
      <c r="T21" s="20">
        <f>'ANNUAL-EXPENSE-DETAILS'!X10</f>
        <v>0</v>
      </c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100" t="s">
        <v>409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'ANNUAL-EXPENSE-DETAILS'!V11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'ANNUAL-EXPENSE-DETAILS'!U11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'ANNUAL-EXPENSE-DETAILS'!V11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I70</f>
        <v>27584.966200000028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411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'ANNUAL-EXPENSE-DETAILS'!X11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100" t="s">
        <v>412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'ANNUAL-EXPENSE-DETAILS'!V12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'ANNUAL-EXPENSE-DETAILS'!U12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'ANNUAL-EXPENSE-DETAILS'!V12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I70</f>
        <v>27584.966200000028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413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'ANNUAL-EXPENSE-DETAILS'!X12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103" t="s">
        <v>414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'ANNUAL-EXPENSE-DETAILS'!V13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'ANNUAL-EXPENSE-DETAILS'!U13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'ANNUAL-EXPENSE-DETAILS'!V13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T8+I70</f>
        <v>27956.064400000028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'ANNUAL-EXPENSE-DETAILS'!X13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290</v>
      </c>
      <c r="T21" s="20">
        <f>T19-T20</f>
        <v>0</v>
      </c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105" t="s">
        <v>416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406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'ANNUAL-EXPENSE-DETAILS'!V14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'ANNUAL-EXPENSE-DETAILS'!U14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277</v>
      </c>
      <c r="T11" s="20">
        <f>'ANNUAL-EXPENSE-DETAILS'!V14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410</v>
      </c>
      <c r="T13" s="20">
        <f>T8+I70</f>
        <v>27956.064400000028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tabSelected="1"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42" width="14.42578125" style="67" customWidth="1"/>
    <col min="43" max="16384" width="14.42578125" style="67"/>
  </cols>
  <sheetData>
    <row r="1" spans="1:24" ht="32.25" customHeight="1" x14ac:dyDescent="0.25">
      <c r="A1" s="92" t="s">
        <v>0</v>
      </c>
      <c r="B1" s="89" t="s">
        <v>1</v>
      </c>
      <c r="C1" s="90"/>
      <c r="D1" s="89" t="s">
        <v>2</v>
      </c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0"/>
      <c r="T1" s="88" t="s">
        <v>3</v>
      </c>
      <c r="U1" s="88" t="s">
        <v>4</v>
      </c>
      <c r="V1" s="88" t="s">
        <v>5</v>
      </c>
      <c r="W1" s="86" t="s">
        <v>6</v>
      </c>
      <c r="X1" s="86" t="s">
        <v>7</v>
      </c>
    </row>
    <row r="2" spans="1:24" ht="38.25" customHeight="1" thickBot="1" x14ac:dyDescent="0.3">
      <c r="A2" s="87"/>
      <c r="B2" s="57" t="s">
        <v>8</v>
      </c>
      <c r="C2" s="57" t="s">
        <v>9</v>
      </c>
      <c r="D2" s="57" t="s">
        <v>10</v>
      </c>
      <c r="E2" s="57" t="s">
        <v>11</v>
      </c>
      <c r="F2" s="57" t="s">
        <v>12</v>
      </c>
      <c r="G2" s="57" t="s">
        <v>13</v>
      </c>
      <c r="H2" s="57" t="s">
        <v>14</v>
      </c>
      <c r="I2" s="57" t="s">
        <v>15</v>
      </c>
      <c r="J2" s="57" t="s">
        <v>16</v>
      </c>
      <c r="K2" s="57" t="s">
        <v>17</v>
      </c>
      <c r="L2" s="57" t="s">
        <v>18</v>
      </c>
      <c r="M2" s="57" t="s">
        <v>19</v>
      </c>
      <c r="N2" s="57" t="s">
        <v>20</v>
      </c>
      <c r="O2" s="57" t="s">
        <v>21</v>
      </c>
      <c r="P2" s="57" t="s">
        <v>22</v>
      </c>
      <c r="Q2" s="57" t="s">
        <v>23</v>
      </c>
      <c r="R2" s="57" t="s">
        <v>24</v>
      </c>
      <c r="S2" s="57" t="s">
        <v>25</v>
      </c>
      <c r="T2" s="87"/>
      <c r="U2" s="87"/>
      <c r="V2" s="87"/>
      <c r="W2" s="87"/>
      <c r="X2" s="87"/>
    </row>
    <row r="3" spans="1:24" ht="30" customHeight="1" x14ac:dyDescent="0.25">
      <c r="A3" s="60" t="s">
        <v>26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27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28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29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30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31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32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33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34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35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36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37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38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75" width="14.42578125" style="74" customWidth="1"/>
    <col min="76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417</v>
      </c>
      <c r="E1" s="109">
        <v>46113</v>
      </c>
      <c r="F1" s="94"/>
      <c r="G1" s="94"/>
      <c r="H1" s="95"/>
      <c r="I1" s="108">
        <v>46143</v>
      </c>
      <c r="J1" s="94"/>
      <c r="K1" s="94"/>
      <c r="L1" s="95"/>
      <c r="M1" s="107">
        <v>46174</v>
      </c>
      <c r="N1" s="94"/>
      <c r="O1" s="94"/>
      <c r="P1" s="95"/>
      <c r="Q1" s="107">
        <v>46204</v>
      </c>
      <c r="R1" s="94"/>
      <c r="S1" s="94"/>
      <c r="T1" s="95"/>
      <c r="U1" s="107">
        <v>46235</v>
      </c>
      <c r="V1" s="94"/>
      <c r="W1" s="94"/>
      <c r="X1" s="95"/>
      <c r="Y1" s="107">
        <v>46266</v>
      </c>
      <c r="Z1" s="94"/>
      <c r="AA1" s="94"/>
      <c r="AB1" s="95"/>
      <c r="AC1" s="107">
        <v>46296</v>
      </c>
      <c r="AD1" s="94"/>
      <c r="AE1" s="94"/>
      <c r="AF1" s="95"/>
      <c r="AG1" s="107">
        <v>46327</v>
      </c>
      <c r="AH1" s="94"/>
      <c r="AI1" s="94"/>
      <c r="AJ1" s="95"/>
      <c r="AK1" s="107">
        <v>46357</v>
      </c>
      <c r="AL1" s="94"/>
      <c r="AM1" s="94"/>
      <c r="AN1" s="95"/>
      <c r="AO1" s="107">
        <v>46388</v>
      </c>
      <c r="AP1" s="94"/>
      <c r="AQ1" s="94"/>
      <c r="AR1" s="95"/>
      <c r="AS1" s="107">
        <v>46419</v>
      </c>
      <c r="AT1" s="94"/>
      <c r="AU1" s="94"/>
      <c r="AV1" s="95"/>
      <c r="AW1" s="107">
        <v>46447</v>
      </c>
      <c r="AX1" s="94"/>
      <c r="AY1" s="94"/>
      <c r="AZ1" s="95"/>
      <c r="BA1" s="55" t="s">
        <v>418</v>
      </c>
      <c r="BB1" s="55" t="s">
        <v>419</v>
      </c>
      <c r="BC1" s="55" t="s">
        <v>420</v>
      </c>
      <c r="BD1" s="55" t="s">
        <v>421</v>
      </c>
      <c r="BE1" s="56" t="s">
        <v>422</v>
      </c>
    </row>
    <row r="2" spans="1:57" ht="15.75" customHeight="1" thickBot="1" x14ac:dyDescent="0.3">
      <c r="A2" s="14" t="s">
        <v>423</v>
      </c>
      <c r="B2" s="14" t="s">
        <v>424</v>
      </c>
      <c r="C2" s="14" t="s">
        <v>425</v>
      </c>
      <c r="D2" s="18"/>
      <c r="E2" s="18" t="s">
        <v>426</v>
      </c>
      <c r="F2" s="18" t="s">
        <v>427</v>
      </c>
      <c r="G2" s="18" t="s">
        <v>428</v>
      </c>
      <c r="H2" s="18" t="s">
        <v>429</v>
      </c>
      <c r="I2" s="18" t="s">
        <v>426</v>
      </c>
      <c r="J2" s="18" t="s">
        <v>427</v>
      </c>
      <c r="K2" s="18" t="s">
        <v>428</v>
      </c>
      <c r="L2" s="18" t="s">
        <v>429</v>
      </c>
      <c r="M2" s="18" t="s">
        <v>426</v>
      </c>
      <c r="N2" s="18" t="s">
        <v>427</v>
      </c>
      <c r="O2" s="18" t="s">
        <v>428</v>
      </c>
      <c r="P2" s="18" t="s">
        <v>429</v>
      </c>
      <c r="Q2" s="18" t="s">
        <v>426</v>
      </c>
      <c r="R2" s="18" t="s">
        <v>427</v>
      </c>
      <c r="S2" s="18" t="s">
        <v>428</v>
      </c>
      <c r="T2" s="18" t="s">
        <v>429</v>
      </c>
      <c r="U2" s="18" t="s">
        <v>426</v>
      </c>
      <c r="V2" s="18" t="s">
        <v>427</v>
      </c>
      <c r="W2" s="18" t="s">
        <v>428</v>
      </c>
      <c r="X2" s="18" t="s">
        <v>429</v>
      </c>
      <c r="Y2" s="18" t="s">
        <v>426</v>
      </c>
      <c r="Z2" s="18" t="s">
        <v>427</v>
      </c>
      <c r="AA2" s="18" t="s">
        <v>428</v>
      </c>
      <c r="AB2" s="18" t="s">
        <v>429</v>
      </c>
      <c r="AC2" s="18" t="s">
        <v>426</v>
      </c>
      <c r="AD2" s="18" t="s">
        <v>427</v>
      </c>
      <c r="AE2" s="18" t="s">
        <v>428</v>
      </c>
      <c r="AF2" s="18" t="s">
        <v>429</v>
      </c>
      <c r="AG2" s="18" t="s">
        <v>426</v>
      </c>
      <c r="AH2" s="18" t="s">
        <v>427</v>
      </c>
      <c r="AI2" s="18" t="s">
        <v>428</v>
      </c>
      <c r="AJ2" s="18" t="s">
        <v>429</v>
      </c>
      <c r="AK2" s="18" t="s">
        <v>426</v>
      </c>
      <c r="AL2" s="18" t="s">
        <v>427</v>
      </c>
      <c r="AM2" s="18" t="s">
        <v>428</v>
      </c>
      <c r="AN2" s="18" t="s">
        <v>429</v>
      </c>
      <c r="AO2" s="18" t="s">
        <v>426</v>
      </c>
      <c r="AP2" s="18" t="s">
        <v>427</v>
      </c>
      <c r="AQ2" s="18" t="s">
        <v>428</v>
      </c>
      <c r="AR2" s="18" t="s">
        <v>429</v>
      </c>
      <c r="AS2" s="18" t="s">
        <v>426</v>
      </c>
      <c r="AT2" s="18" t="s">
        <v>427</v>
      </c>
      <c r="AU2" s="18" t="s">
        <v>428</v>
      </c>
      <c r="AV2" s="18" t="s">
        <v>429</v>
      </c>
      <c r="AW2" s="18" t="s">
        <v>426</v>
      </c>
      <c r="AX2" s="18" t="s">
        <v>427</v>
      </c>
      <c r="AY2" s="18" t="s">
        <v>428</v>
      </c>
      <c r="AZ2" s="18" t="s">
        <v>429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46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18418.86921129829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7672.1307887017101</v>
      </c>
      <c r="BE3" s="70">
        <f t="shared" ref="BE3:BE34" ca="1" si="16">BD3+D3</f>
        <v>-1770.5754487054</v>
      </c>
    </row>
    <row r="4" spans="1:57" ht="16.149999999999999" customHeight="1" x14ac:dyDescent="0.25">
      <c r="A4" s="52" t="s">
        <v>49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6180.9440916896492</v>
      </c>
      <c r="S4" s="11"/>
      <c r="T4" s="72">
        <f t="shared" ca="1" si="3"/>
        <v>-6180.9440916896492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20810.470055065096</v>
      </c>
      <c r="BC4" s="72">
        <f t="shared" si="14"/>
        <v>0</v>
      </c>
      <c r="BD4" s="72">
        <f t="shared" ca="1" si="15"/>
        <v>-4310.4700550650959</v>
      </c>
      <c r="BE4" s="72">
        <f t="shared" ca="1" si="16"/>
        <v>-1704.9520847943281</v>
      </c>
    </row>
    <row r="5" spans="1:57" ht="16.149999999999999" customHeight="1" x14ac:dyDescent="0.25">
      <c r="A5" s="68" t="s">
        <v>52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7450.1761493784616</v>
      </c>
      <c r="O5" s="10"/>
      <c r="P5" s="70">
        <f t="shared" ca="1" si="2"/>
        <v>-1450.1761493784616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21873.557778172188</v>
      </c>
      <c r="BC5" s="70">
        <f t="shared" si="14"/>
        <v>0</v>
      </c>
      <c r="BD5" s="70">
        <f t="shared" ca="1" si="15"/>
        <v>2126.4422218278123</v>
      </c>
      <c r="BE5" s="70">
        <f t="shared" ca="1" si="16"/>
        <v>-4510.8165991876958</v>
      </c>
    </row>
    <row r="6" spans="1:57" ht="16.149999999999999" customHeight="1" x14ac:dyDescent="0.25">
      <c r="A6" s="52" t="s">
        <v>56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19812.698933526073</v>
      </c>
      <c r="BC6" s="72">
        <f t="shared" si="14"/>
        <v>0</v>
      </c>
      <c r="BD6" s="72">
        <f t="shared" ca="1" si="15"/>
        <v>8665.3010664739268</v>
      </c>
      <c r="BE6" s="72">
        <f t="shared" ca="1" si="16"/>
        <v>3030.0791845675994</v>
      </c>
    </row>
    <row r="7" spans="1:57" ht="16.149999999999999" customHeight="1" x14ac:dyDescent="0.25">
      <c r="A7" s="68" t="s">
        <v>59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6135.3018810479671</v>
      </c>
      <c r="O7" s="10"/>
      <c r="P7" s="70">
        <f t="shared" ca="1" si="2"/>
        <v>-580.32188104796751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18365.820423463316</v>
      </c>
      <c r="BC7" s="70">
        <f t="shared" si="14"/>
        <v>0</v>
      </c>
      <c r="BD7" s="70">
        <f t="shared" ca="1" si="15"/>
        <v>3685.209576536683</v>
      </c>
      <c r="BE7" s="70">
        <f t="shared" ca="1" si="16"/>
        <v>-1669.6745811726068</v>
      </c>
    </row>
    <row r="8" spans="1:57" ht="16.5" customHeight="1" x14ac:dyDescent="0.25">
      <c r="A8" s="52" t="s">
        <v>61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18387.880568398381</v>
      </c>
      <c r="BC8" s="72">
        <f t="shared" si="14"/>
        <v>0</v>
      </c>
      <c r="BD8" s="72">
        <f t="shared" ca="1" si="15"/>
        <v>9730.9594316016191</v>
      </c>
      <c r="BE8" s="72">
        <f t="shared" ca="1" si="16"/>
        <v>-863.05731211100101</v>
      </c>
    </row>
    <row r="9" spans="1:57" ht="16.5" customHeight="1" x14ac:dyDescent="0.25">
      <c r="A9" s="68" t="s">
        <v>64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6175.5463299281782</v>
      </c>
      <c r="O9" s="10"/>
      <c r="P9" s="70">
        <f t="shared" ca="1" si="2"/>
        <v>-210.68632992817857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18413.62675809209</v>
      </c>
      <c r="BC9" s="70">
        <f t="shared" si="14"/>
        <v>0</v>
      </c>
      <c r="BD9" s="70">
        <f t="shared" ca="1" si="15"/>
        <v>6288.563241907912</v>
      </c>
      <c r="BE9" s="70">
        <f t="shared" ca="1" si="16"/>
        <v>-885.19185167902469</v>
      </c>
    </row>
    <row r="10" spans="1:57" ht="16.149999999999999" customHeight="1" x14ac:dyDescent="0.25">
      <c r="A10" s="52" t="s">
        <v>67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5519.6643469739993</v>
      </c>
      <c r="O10" s="10"/>
      <c r="P10" s="72">
        <f t="shared" ca="1" si="2"/>
        <v>-186.66434697399927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16327.180393686675</v>
      </c>
      <c r="BC10" s="72">
        <f t="shared" si="14"/>
        <v>0</v>
      </c>
      <c r="BD10" s="72">
        <f t="shared" ca="1" si="15"/>
        <v>1899.8196063133255</v>
      </c>
      <c r="BE10" s="72">
        <f t="shared" ca="1" si="16"/>
        <v>-65.679680786921608</v>
      </c>
    </row>
    <row r="11" spans="1:57" ht="16.149999999999999" customHeight="1" x14ac:dyDescent="0.25">
      <c r="A11" s="68" t="s">
        <v>70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5732.9974115343693</v>
      </c>
      <c r="O11" s="10"/>
      <c r="P11" s="70">
        <f t="shared" ca="1" si="2"/>
        <v>-194.99741153436935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18073.644047370406</v>
      </c>
      <c r="BC11" s="70">
        <f t="shared" si="14"/>
        <v>0</v>
      </c>
      <c r="BD11" s="70">
        <f t="shared" ca="1" si="15"/>
        <v>-2302.644047370406</v>
      </c>
      <c r="BE11" s="70">
        <f t="shared" ca="1" si="16"/>
        <v>-2899.9016399948305</v>
      </c>
    </row>
    <row r="12" spans="1:57" ht="16.149999999999999" customHeight="1" x14ac:dyDescent="0.25">
      <c r="A12" s="52" t="s">
        <v>74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7253.1907247315212</v>
      </c>
      <c r="S12" s="11"/>
      <c r="T12" s="72">
        <f t="shared" ca="1" si="3"/>
        <v>11350.809275268479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20639.030395698137</v>
      </c>
      <c r="BC12" s="72">
        <f t="shared" si="14"/>
        <v>0</v>
      </c>
      <c r="BD12" s="72">
        <f t="shared" ca="1" si="15"/>
        <v>25786.969604301863</v>
      </c>
      <c r="BE12" s="72">
        <f t="shared" ca="1" si="16"/>
        <v>-2035.5559905069967</v>
      </c>
    </row>
    <row r="13" spans="1:57" ht="16.149999999999999" customHeight="1" x14ac:dyDescent="0.25">
      <c r="A13" s="68" t="s">
        <v>78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17469.797170961931</v>
      </c>
      <c r="BC13" s="70">
        <f t="shared" si="14"/>
        <v>0</v>
      </c>
      <c r="BD13" s="70">
        <f t="shared" ca="1" si="15"/>
        <v>-7019.7971709619305</v>
      </c>
      <c r="BE13" s="70">
        <f t="shared" ca="1" si="16"/>
        <v>-7579.7646309204065</v>
      </c>
    </row>
    <row r="14" spans="1:57" ht="16.149999999999999" customHeight="1" x14ac:dyDescent="0.25">
      <c r="A14" s="52" t="s">
        <v>79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6826.5028608520015</v>
      </c>
      <c r="S14" s="11"/>
      <c r="T14" s="72">
        <f t="shared" ca="1" si="3"/>
        <v>-2111.7528608520015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18874.364823695534</v>
      </c>
      <c r="BC14" s="72">
        <f t="shared" si="14"/>
        <v>0</v>
      </c>
      <c r="BD14" s="72">
        <f t="shared" ca="1" si="15"/>
        <v>-1664.2048236955343</v>
      </c>
      <c r="BE14" s="72">
        <f t="shared" ca="1" si="16"/>
        <v>-3020.5965966221443</v>
      </c>
    </row>
    <row r="15" spans="1:57" ht="16.149999999999999" customHeight="1" x14ac:dyDescent="0.25">
      <c r="A15" s="68" t="s">
        <v>83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18975.869566253721</v>
      </c>
      <c r="BC15" s="70">
        <f t="shared" si="14"/>
        <v>0</v>
      </c>
      <c r="BD15" s="70">
        <f t="shared" ca="1" si="15"/>
        <v>-2657.7995662537214</v>
      </c>
      <c r="BE15" s="70">
        <f t="shared" ca="1" si="16"/>
        <v>-3504.0804233961753</v>
      </c>
    </row>
    <row r="16" spans="1:57" ht="16.149999999999999" customHeight="1" x14ac:dyDescent="0.25">
      <c r="A16" s="52" t="s">
        <v>85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19879.563109261304</v>
      </c>
      <c r="BC16" s="72">
        <f t="shared" si="14"/>
        <v>0</v>
      </c>
      <c r="BD16" s="72">
        <f t="shared" ca="1" si="15"/>
        <v>-1509.5631092613039</v>
      </c>
      <c r="BE16" s="72">
        <f t="shared" ca="1" si="16"/>
        <v>-14383.821579617654</v>
      </c>
    </row>
    <row r="17" spans="1:57" ht="16.149999999999999" customHeight="1" x14ac:dyDescent="0.25">
      <c r="A17" s="68" t="s">
        <v>89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6788.3070765854463</v>
      </c>
      <c r="O17" s="10"/>
      <c r="P17" s="70">
        <f t="shared" ca="1" si="2"/>
        <v>-6788.3070765854463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7580.174332091824</v>
      </c>
      <c r="S17" s="11"/>
      <c r="T17" s="70">
        <f t="shared" ca="1" si="3"/>
        <v>-1069.174332091824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20914.732550508659</v>
      </c>
      <c r="BC17" s="70">
        <f t="shared" si="14"/>
        <v>0</v>
      </c>
      <c r="BD17" s="70">
        <f t="shared" ca="1" si="15"/>
        <v>-2732.7325505086592</v>
      </c>
      <c r="BE17" s="70">
        <f t="shared" ca="1" si="16"/>
        <v>-3155.1335428216516</v>
      </c>
    </row>
    <row r="18" spans="1:57" ht="16.149999999999999" customHeight="1" x14ac:dyDescent="0.25">
      <c r="A18" s="52" t="s">
        <v>93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7555.8087237432728</v>
      </c>
      <c r="S18" s="11"/>
      <c r="T18" s="72">
        <f t="shared" ca="1" si="3"/>
        <v>-7555.8087237432728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21061.139550514417</v>
      </c>
      <c r="BC18" s="72">
        <f t="shared" si="14"/>
        <v>0</v>
      </c>
      <c r="BD18" s="72">
        <f t="shared" ca="1" si="15"/>
        <v>10729.220449485583</v>
      </c>
      <c r="BE18" s="72">
        <f t="shared" ca="1" si="16"/>
        <v>-45376.55722126997</v>
      </c>
    </row>
    <row r="19" spans="1:57" ht="16.149999999999999" customHeight="1" x14ac:dyDescent="0.25">
      <c r="A19" s="68" t="s">
        <v>96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6611.8686201920236</v>
      </c>
      <c r="S19" s="11"/>
      <c r="T19" s="70">
        <f t="shared" ca="1" si="3"/>
        <v>-6611.8686201920236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23750.804133897647</v>
      </c>
      <c r="BC19" s="70">
        <f t="shared" si="14"/>
        <v>0</v>
      </c>
      <c r="BD19" s="70">
        <f t="shared" ca="1" si="15"/>
        <v>-17734.804133897647</v>
      </c>
      <c r="BE19" s="70">
        <f t="shared" ca="1" si="16"/>
        <v>-19508.030422704833</v>
      </c>
    </row>
    <row r="20" spans="1:57" ht="16.149999999999999" customHeight="1" x14ac:dyDescent="0.25">
      <c r="A20" s="52" t="s">
        <v>100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21858.856846200728</v>
      </c>
      <c r="BC20" s="72">
        <f t="shared" si="14"/>
        <v>0</v>
      </c>
      <c r="BD20" s="72">
        <f t="shared" ca="1" si="15"/>
        <v>-8573.0768462007291</v>
      </c>
      <c r="BE20" s="72">
        <f t="shared" ca="1" si="16"/>
        <v>-8584.7942475427444</v>
      </c>
    </row>
    <row r="21" spans="1:57" ht="15.75" customHeight="1" x14ac:dyDescent="0.25">
      <c r="A21" s="68" t="s">
        <v>102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6674.7114334789403</v>
      </c>
      <c r="O21" s="10"/>
      <c r="P21" s="70">
        <f t="shared" ca="1" si="2"/>
        <v>-411.71143347894031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19201.9971613093</v>
      </c>
      <c r="BC21" s="70">
        <f t="shared" si="14"/>
        <v>0</v>
      </c>
      <c r="BD21" s="70">
        <f t="shared" ca="1" si="15"/>
        <v>2001.0028386906997</v>
      </c>
      <c r="BE21" s="70">
        <f t="shared" ca="1" si="16"/>
        <v>161.56076161951182</v>
      </c>
    </row>
    <row r="22" spans="1:57" ht="15.75" customHeight="1" x14ac:dyDescent="0.25">
      <c r="A22" s="52" t="s">
        <v>105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20106.02804802313</v>
      </c>
      <c r="BC22" s="72">
        <f t="shared" si="14"/>
        <v>0</v>
      </c>
      <c r="BD22" s="72">
        <f t="shared" ca="1" si="15"/>
        <v>11500.97195197687</v>
      </c>
      <c r="BE22" s="72">
        <f t="shared" ca="1" si="16"/>
        <v>1992.7799213837279</v>
      </c>
    </row>
    <row r="23" spans="1:57" ht="15.75" customHeight="1" x14ac:dyDescent="0.25">
      <c r="A23" s="68" t="s">
        <v>108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21432.130549308986</v>
      </c>
      <c r="BC23" s="70">
        <f t="shared" si="14"/>
        <v>0</v>
      </c>
      <c r="BD23" s="70">
        <f t="shared" ca="1" si="15"/>
        <v>7780.2294506910148</v>
      </c>
      <c r="BE23" s="70">
        <f t="shared" ca="1" si="16"/>
        <v>-2855.6453642092147</v>
      </c>
    </row>
    <row r="24" spans="1:57" ht="15.75" customHeight="1" x14ac:dyDescent="0.25">
      <c r="A24" s="52" t="s">
        <v>110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6462.3771384638776</v>
      </c>
      <c r="S24" s="11"/>
      <c r="T24" s="72">
        <f t="shared" ca="1" si="3"/>
        <v>-2719.3771384638776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18647.942962950339</v>
      </c>
      <c r="BC24" s="72">
        <f t="shared" si="14"/>
        <v>0</v>
      </c>
      <c r="BD24" s="72">
        <f t="shared" ca="1" si="15"/>
        <v>-9644.9429629503393</v>
      </c>
      <c r="BE24" s="72">
        <f t="shared" ca="1" si="16"/>
        <v>-20812.901312205719</v>
      </c>
    </row>
    <row r="25" spans="1:57" ht="15.75" customHeight="1" x14ac:dyDescent="0.25">
      <c r="A25" s="68" t="s">
        <v>113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18717.099049352488</v>
      </c>
      <c r="BC25" s="70">
        <f t="shared" si="14"/>
        <v>0</v>
      </c>
      <c r="BD25" s="70">
        <f t="shared" ca="1" si="15"/>
        <v>8159.9009506475122</v>
      </c>
      <c r="BE25" s="70">
        <f t="shared" ca="1" si="16"/>
        <v>-2461.8062223071083</v>
      </c>
    </row>
    <row r="26" spans="1:57" ht="15.75" customHeight="1" x14ac:dyDescent="0.25">
      <c r="A26" s="52" t="s">
        <v>117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5533.9181816598948</v>
      </c>
      <c r="O26" s="10"/>
      <c r="P26" s="72">
        <f t="shared" ca="1" si="2"/>
        <v>-5533.9181816598948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7234.5626713661059</v>
      </c>
      <c r="S26" s="11"/>
      <c r="T26" s="72">
        <f t="shared" ca="1" si="3"/>
        <v>-7234.5626713661059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18763.083979116673</v>
      </c>
      <c r="BC26" s="72">
        <f t="shared" si="14"/>
        <v>0</v>
      </c>
      <c r="BD26" s="72">
        <f t="shared" ca="1" si="15"/>
        <v>-9320.8339791166727</v>
      </c>
      <c r="BE26" s="72">
        <f t="shared" ca="1" si="16"/>
        <v>-9139.6656444399341</v>
      </c>
    </row>
    <row r="27" spans="1:57" ht="15.75" customHeight="1" x14ac:dyDescent="0.25">
      <c r="A27" s="68" t="s">
        <v>120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21397.826919914689</v>
      </c>
      <c r="BC27" s="70">
        <f t="shared" si="14"/>
        <v>0</v>
      </c>
      <c r="BD27" s="70">
        <f t="shared" ca="1" si="15"/>
        <v>-2640.8269199146889</v>
      </c>
      <c r="BE27" s="70">
        <f t="shared" ca="1" si="16"/>
        <v>-3852.9256670182949</v>
      </c>
    </row>
    <row r="28" spans="1:57" ht="15.75" customHeight="1" x14ac:dyDescent="0.25">
      <c r="A28" s="52" t="s">
        <v>123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5757.9756504865027</v>
      </c>
      <c r="O28" s="10"/>
      <c r="P28" s="72">
        <f t="shared" ca="1" si="2"/>
        <v>-305.54565048650238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18288.069485833177</v>
      </c>
      <c r="BC28" s="72">
        <f t="shared" si="14"/>
        <v>0</v>
      </c>
      <c r="BD28" s="72">
        <f t="shared" ca="1" si="15"/>
        <v>-2620.6394858331769</v>
      </c>
      <c r="BE28" s="72">
        <f t="shared" ca="1" si="16"/>
        <v>-2166.5782619420352</v>
      </c>
    </row>
    <row r="29" spans="1:57" ht="15.75" customHeight="1" x14ac:dyDescent="0.25">
      <c r="A29" s="68" t="s">
        <v>127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17486.715048171125</v>
      </c>
      <c r="BC29" s="70">
        <f t="shared" si="14"/>
        <v>0</v>
      </c>
      <c r="BD29" s="70">
        <f t="shared" ca="1" si="15"/>
        <v>19779.284951828875</v>
      </c>
      <c r="BE29" s="70">
        <f t="shared" ca="1" si="16"/>
        <v>-1796.7150751997833</v>
      </c>
    </row>
    <row r="30" spans="1:57" ht="15.75" customHeight="1" x14ac:dyDescent="0.25">
      <c r="A30" s="52" t="s">
        <v>131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6836.3022677913996</v>
      </c>
      <c r="O30" s="10"/>
      <c r="P30" s="72">
        <f t="shared" ca="1" si="2"/>
        <v>-1147.3022677913996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20047.816831594144</v>
      </c>
      <c r="BC30" s="72">
        <f t="shared" si="14"/>
        <v>0</v>
      </c>
      <c r="BD30" s="72">
        <f t="shared" ca="1" si="15"/>
        <v>3392.1831684058561</v>
      </c>
      <c r="BE30" s="72">
        <f t="shared" ca="1" si="16"/>
        <v>-1094.1204729083693</v>
      </c>
    </row>
    <row r="31" spans="1:57" ht="15.75" customHeight="1" x14ac:dyDescent="0.25">
      <c r="A31" s="68" t="s">
        <v>135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19528.642154957724</v>
      </c>
      <c r="BC31" s="70">
        <f t="shared" si="14"/>
        <v>0</v>
      </c>
      <c r="BD31" s="70">
        <f t="shared" ca="1" si="15"/>
        <v>8260.1478450422765</v>
      </c>
      <c r="BE31" s="70">
        <f t="shared" ca="1" si="16"/>
        <v>-7352.9707776212144</v>
      </c>
    </row>
    <row r="32" spans="1:57" ht="15.75" customHeight="1" x14ac:dyDescent="0.25">
      <c r="A32" s="52" t="s">
        <v>138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6769.6302277543055</v>
      </c>
      <c r="O32" s="10"/>
      <c r="P32" s="72">
        <f t="shared" ca="1" si="2"/>
        <v>-6769.6302277543055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8185.277346249557</v>
      </c>
      <c r="S32" s="11"/>
      <c r="T32" s="72">
        <f t="shared" ca="1" si="3"/>
        <v>-1140.6273462495574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21184.681630203166</v>
      </c>
      <c r="BC32" s="72">
        <f t="shared" si="14"/>
        <v>0</v>
      </c>
      <c r="BD32" s="72">
        <f t="shared" ca="1" si="15"/>
        <v>-2053.4816302031686</v>
      </c>
      <c r="BE32" s="72">
        <f t="shared" ca="1" si="16"/>
        <v>-4461.1110364726628</v>
      </c>
    </row>
    <row r="33" spans="1:57" ht="15.75" customHeight="1" x14ac:dyDescent="0.25">
      <c r="A33" s="68" t="s">
        <v>142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21153.508976753721</v>
      </c>
      <c r="BC33" s="70">
        <f t="shared" si="14"/>
        <v>0</v>
      </c>
      <c r="BD33" s="70">
        <f t="shared" ca="1" si="15"/>
        <v>-21153.508976753721</v>
      </c>
      <c r="BE33" s="70">
        <f t="shared" ca="1" si="16"/>
        <v>-40437.035169974763</v>
      </c>
    </row>
    <row r="34" spans="1:57" ht="15.75" customHeight="1" x14ac:dyDescent="0.25">
      <c r="A34" s="52" t="s">
        <v>145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18590.393386812175</v>
      </c>
      <c r="BC34" s="72">
        <f t="shared" si="14"/>
        <v>0</v>
      </c>
      <c r="BD34" s="72">
        <f t="shared" ca="1" si="15"/>
        <v>2675.3166131878243</v>
      </c>
      <c r="BE34" s="72">
        <f t="shared" ca="1" si="16"/>
        <v>-2315.0688702336865</v>
      </c>
    </row>
    <row r="35" spans="1:57" ht="15.75" customHeight="1" x14ac:dyDescent="0.25">
      <c r="A35" s="68" t="s">
        <v>149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5626.8617254357168</v>
      </c>
      <c r="O35" s="10"/>
      <c r="P35" s="70">
        <f t="shared" ref="P35:P66" ca="1" si="19">M35-(N35+O35)</f>
        <v>-172.86172543571683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16559.993272738368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3811.856727261631</v>
      </c>
      <c r="BE35" s="70">
        <f t="shared" ref="BE35:BE66" ca="1" si="33">BD35+D35</f>
        <v>2826.881157102016</v>
      </c>
    </row>
    <row r="36" spans="1:57" ht="15.75" customHeight="1" x14ac:dyDescent="0.25">
      <c r="A36" s="52" t="s">
        <v>153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7101.7392374208121</v>
      </c>
      <c r="O36" s="10"/>
      <c r="P36" s="72">
        <f t="shared" ca="1" si="19"/>
        <v>421.14076257918805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20681.934271486545</v>
      </c>
      <c r="BC36" s="72">
        <f t="shared" si="31"/>
        <v>0</v>
      </c>
      <c r="BD36" s="72">
        <f t="shared" ca="1" si="32"/>
        <v>-576.05427148654417</v>
      </c>
      <c r="BE36" s="72">
        <f t="shared" ca="1" si="33"/>
        <v>-7331.6865592759277</v>
      </c>
    </row>
    <row r="37" spans="1:57" ht="15.75" customHeight="1" x14ac:dyDescent="0.25">
      <c r="A37" s="68" t="s">
        <v>156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21954.786374763022</v>
      </c>
      <c r="BC37" s="70">
        <f t="shared" si="31"/>
        <v>0</v>
      </c>
      <c r="BD37" s="70">
        <f t="shared" ca="1" si="32"/>
        <v>-3362.7863747630217</v>
      </c>
      <c r="BE37" s="70">
        <f t="shared" ca="1" si="33"/>
        <v>-3771.6866370539101</v>
      </c>
    </row>
    <row r="38" spans="1:57" ht="15.75" customHeight="1" x14ac:dyDescent="0.25">
      <c r="A38" s="52" t="s">
        <v>158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6223.8144574869748</v>
      </c>
      <c r="O38" s="10"/>
      <c r="P38" s="72">
        <f t="shared" ca="1" si="19"/>
        <v>-6223.8144574869748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7911.3233648587047</v>
      </c>
      <c r="S38" s="11"/>
      <c r="T38" s="72">
        <f t="shared" ca="1" si="20"/>
        <v>28088.676635141295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20779.233922672975</v>
      </c>
      <c r="BC38" s="72">
        <f t="shared" si="31"/>
        <v>0</v>
      </c>
      <c r="BD38" s="72">
        <f t="shared" ca="1" si="32"/>
        <v>26220.766077327025</v>
      </c>
      <c r="BE38" s="72">
        <f t="shared" ca="1" si="33"/>
        <v>2625.0179157302664</v>
      </c>
    </row>
    <row r="39" spans="1:57" ht="15.75" customHeight="1" x14ac:dyDescent="0.25">
      <c r="A39" s="68" t="s">
        <v>161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17436.689233756893</v>
      </c>
      <c r="BC39" s="70">
        <f t="shared" si="31"/>
        <v>0</v>
      </c>
      <c r="BD39" s="70">
        <f t="shared" ca="1" si="32"/>
        <v>26799.47076624311</v>
      </c>
      <c r="BE39" s="70">
        <f t="shared" ca="1" si="33"/>
        <v>-7261.0584233476184</v>
      </c>
    </row>
    <row r="40" spans="1:57" ht="15.75" customHeight="1" x14ac:dyDescent="0.25">
      <c r="A40" s="52" t="s">
        <v>165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6489.9677458069937</v>
      </c>
      <c r="S40" s="11"/>
      <c r="T40" s="72">
        <f t="shared" ca="1" si="20"/>
        <v>9016.0322541930072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19312.102997806462</v>
      </c>
      <c r="BC40" s="72">
        <f t="shared" si="31"/>
        <v>0</v>
      </c>
      <c r="BD40" s="72">
        <f t="shared" ca="1" si="32"/>
        <v>36974.897002193538</v>
      </c>
      <c r="BE40" s="72">
        <f t="shared" ca="1" si="33"/>
        <v>-3807.1580849540551</v>
      </c>
    </row>
    <row r="41" spans="1:57" ht="15.75" customHeight="1" x14ac:dyDescent="0.25">
      <c r="A41" s="68" t="s">
        <v>168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5613.1417422361837</v>
      </c>
      <c r="O41" s="10"/>
      <c r="P41" s="70">
        <f t="shared" ca="1" si="19"/>
        <v>-16.841742236183563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17076.448681548249</v>
      </c>
      <c r="BC41" s="70">
        <f t="shared" si="31"/>
        <v>0</v>
      </c>
      <c r="BD41" s="70">
        <f t="shared" ca="1" si="32"/>
        <v>4464.8213184517517</v>
      </c>
      <c r="BE41" s="70">
        <f t="shared" ca="1" si="33"/>
        <v>3811.447896749778</v>
      </c>
    </row>
    <row r="42" spans="1:57" ht="15.75" customHeight="1" x14ac:dyDescent="0.25">
      <c r="A42" s="52" t="s">
        <v>172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20043.823178860443</v>
      </c>
      <c r="BC42" s="72">
        <f t="shared" si="31"/>
        <v>0</v>
      </c>
      <c r="BD42" s="72">
        <f t="shared" ca="1" si="32"/>
        <v>-5293.3031788604421</v>
      </c>
      <c r="BE42" s="72">
        <f t="shared" ca="1" si="33"/>
        <v>-8321.9776166012452</v>
      </c>
    </row>
    <row r="43" spans="1:57" ht="15.75" customHeight="1" x14ac:dyDescent="0.25">
      <c r="A43" s="68" t="s">
        <v>175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5594.5118833840661</v>
      </c>
      <c r="S43" s="11"/>
      <c r="T43" s="70">
        <f t="shared" ca="1" si="20"/>
        <v>2069.1281166159342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18631.050104378155</v>
      </c>
      <c r="BC43" s="70">
        <f t="shared" si="31"/>
        <v>0</v>
      </c>
      <c r="BD43" s="70">
        <f t="shared" ca="1" si="32"/>
        <v>-5480.5201043781544</v>
      </c>
      <c r="BE43" s="70">
        <f t="shared" ca="1" si="33"/>
        <v>431.6947189661023</v>
      </c>
    </row>
    <row r="44" spans="1:57" ht="15.75" customHeight="1" x14ac:dyDescent="0.25">
      <c r="A44" s="52" t="s">
        <v>179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5469.4289221072277</v>
      </c>
      <c r="O44" s="10"/>
      <c r="P44" s="72">
        <f t="shared" ca="1" si="19"/>
        <v>-5469.4289221072277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6466.2433382189638</v>
      </c>
      <c r="S44" s="11"/>
      <c r="T44" s="72">
        <f t="shared" ca="1" si="20"/>
        <v>-6466.2433382189638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18304.129668021247</v>
      </c>
      <c r="BC44" s="72">
        <f t="shared" si="31"/>
        <v>1000</v>
      </c>
      <c r="BD44" s="72">
        <f t="shared" ca="1" si="32"/>
        <v>-11304.129668021247</v>
      </c>
      <c r="BE44" s="72">
        <f t="shared" ca="1" si="33"/>
        <v>-73166.63395593391</v>
      </c>
    </row>
    <row r="45" spans="1:57" ht="15.75" customHeight="1" x14ac:dyDescent="0.25">
      <c r="A45" s="68" t="s">
        <v>181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5955.9811667785898</v>
      </c>
      <c r="O45" s="10"/>
      <c r="P45" s="70">
        <f t="shared" ca="1" si="19"/>
        <v>-176.9811667785898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17754.402109108469</v>
      </c>
      <c r="BC45" s="70">
        <f t="shared" si="31"/>
        <v>0</v>
      </c>
      <c r="BD45" s="70">
        <f t="shared" ca="1" si="32"/>
        <v>3900.5978908915313</v>
      </c>
      <c r="BE45" s="70">
        <f t="shared" ca="1" si="33"/>
        <v>-1417.5717322939854</v>
      </c>
    </row>
    <row r="46" spans="1:57" ht="15.75" customHeight="1" x14ac:dyDescent="0.25">
      <c r="A46" s="52" t="s">
        <v>184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19945.691527753657</v>
      </c>
      <c r="BC46" s="72">
        <f t="shared" si="31"/>
        <v>0</v>
      </c>
      <c r="BD46" s="72">
        <f t="shared" ca="1" si="32"/>
        <v>1580.7784722463439</v>
      </c>
      <c r="BE46" s="72">
        <f t="shared" ca="1" si="33"/>
        <v>-9720.7795770414068</v>
      </c>
    </row>
    <row r="47" spans="1:57" ht="15.75" customHeight="1" x14ac:dyDescent="0.25">
      <c r="A47" s="68" t="s">
        <v>187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18686.973658554092</v>
      </c>
      <c r="BC47" s="70">
        <f t="shared" si="31"/>
        <v>0</v>
      </c>
      <c r="BD47" s="70">
        <f t="shared" ca="1" si="32"/>
        <v>-3008.6836585540914</v>
      </c>
      <c r="BE47" s="70">
        <f t="shared" ca="1" si="33"/>
        <v>-3724.1672565077861</v>
      </c>
    </row>
    <row r="48" spans="1:57" ht="15.75" customHeight="1" x14ac:dyDescent="0.25">
      <c r="A48" s="52" t="s">
        <v>189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21713.061083514105</v>
      </c>
      <c r="BC48" s="72">
        <f t="shared" si="31"/>
        <v>0</v>
      </c>
      <c r="BD48" s="72">
        <f t="shared" ca="1" si="32"/>
        <v>-21713.061083514105</v>
      </c>
      <c r="BE48" s="72">
        <f t="shared" ca="1" si="33"/>
        <v>-24613.547398755902</v>
      </c>
    </row>
    <row r="49" spans="1:57" ht="15.75" customHeight="1" x14ac:dyDescent="0.25">
      <c r="A49" s="68" t="s">
        <v>193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20828.900431022048</v>
      </c>
      <c r="BC49" s="70">
        <f t="shared" si="31"/>
        <v>0</v>
      </c>
      <c r="BD49" s="70">
        <f t="shared" ca="1" si="32"/>
        <v>22472.099568977952</v>
      </c>
      <c r="BE49" s="70">
        <f t="shared" ca="1" si="33"/>
        <v>-265.95498881261665</v>
      </c>
    </row>
    <row r="50" spans="1:57" ht="15.75" customHeight="1" x14ac:dyDescent="0.25">
      <c r="A50" s="52" t="s">
        <v>196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17004.452535267559</v>
      </c>
      <c r="BC50" s="72">
        <f t="shared" si="31"/>
        <v>0</v>
      </c>
      <c r="BD50" s="72">
        <f t="shared" ca="1" si="32"/>
        <v>177.54746473244086</v>
      </c>
      <c r="BE50" s="72">
        <f t="shared" ca="1" si="33"/>
        <v>5360.3281362176022</v>
      </c>
    </row>
    <row r="51" spans="1:57" ht="15.75" customHeight="1" x14ac:dyDescent="0.25">
      <c r="A51" s="68" t="s">
        <v>200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21280.502050442996</v>
      </c>
      <c r="BC51" s="70">
        <f t="shared" si="31"/>
        <v>0</v>
      </c>
      <c r="BD51" s="70">
        <f t="shared" ca="1" si="32"/>
        <v>1238.4979495570042</v>
      </c>
      <c r="BE51" s="70">
        <f t="shared" ca="1" si="33"/>
        <v>-695.77978037864887</v>
      </c>
    </row>
    <row r="52" spans="1:57" ht="15.75" customHeight="1" x14ac:dyDescent="0.25">
      <c r="A52" s="52" t="s">
        <v>204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8101.802578810195</v>
      </c>
      <c r="S52" s="11"/>
      <c r="T52" s="72">
        <f t="shared" ca="1" si="20"/>
        <v>11796.627421189805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22549.729439669969</v>
      </c>
      <c r="BC52" s="72">
        <f t="shared" si="31"/>
        <v>0</v>
      </c>
      <c r="BD52" s="72">
        <f t="shared" ca="1" si="32"/>
        <v>37196.040560330031</v>
      </c>
      <c r="BE52" s="72">
        <f t="shared" ca="1" si="33"/>
        <v>-2651.2972475223651</v>
      </c>
    </row>
    <row r="53" spans="1:57" ht="15.75" customHeight="1" x14ac:dyDescent="0.25">
      <c r="A53" s="68" t="s">
        <v>208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6404.9028922710113</v>
      </c>
      <c r="O53" s="10"/>
      <c r="P53" s="70">
        <f t="shared" ca="1" si="19"/>
        <v>-432.9028922710113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18942.396555302745</v>
      </c>
      <c r="BC53" s="70">
        <f t="shared" si="31"/>
        <v>0</v>
      </c>
      <c r="BD53" s="70">
        <f t="shared" ca="1" si="32"/>
        <v>443.60344469725533</v>
      </c>
      <c r="BE53" s="70">
        <f t="shared" ca="1" si="33"/>
        <v>4505.4876155577876</v>
      </c>
    </row>
    <row r="54" spans="1:57" ht="15.75" customHeight="1" x14ac:dyDescent="0.25">
      <c r="A54" s="52" t="s">
        <v>212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16524.273140026213</v>
      </c>
      <c r="BC54" s="72">
        <f t="shared" si="31"/>
        <v>0</v>
      </c>
      <c r="BD54" s="72">
        <f t="shared" ca="1" si="32"/>
        <v>35242.096859973783</v>
      </c>
      <c r="BE54" s="72">
        <f t="shared" ca="1" si="33"/>
        <v>-809.09901783313398</v>
      </c>
    </row>
    <row r="55" spans="1:57" ht="15.75" customHeight="1" x14ac:dyDescent="0.25">
      <c r="A55" s="68" t="s">
        <v>215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16835.70709221626</v>
      </c>
      <c r="BC55" s="70">
        <f t="shared" si="31"/>
        <v>0</v>
      </c>
      <c r="BD55" s="70">
        <f t="shared" ca="1" si="32"/>
        <v>20119.29290778374</v>
      </c>
      <c r="BE55" s="70">
        <f t="shared" ca="1" si="33"/>
        <v>-6206.7132913819914</v>
      </c>
    </row>
    <row r="56" spans="1:57" ht="15.75" customHeight="1" x14ac:dyDescent="0.25">
      <c r="A56" s="52" t="s">
        <v>219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20261.594691769078</v>
      </c>
      <c r="BC56" s="72">
        <f t="shared" si="31"/>
        <v>0</v>
      </c>
      <c r="BD56" s="72">
        <f t="shared" ca="1" si="32"/>
        <v>12621.735308230924</v>
      </c>
      <c r="BE56" s="72">
        <f t="shared" ca="1" si="33"/>
        <v>-7377.6382426079363</v>
      </c>
    </row>
    <row r="57" spans="1:57" ht="15.75" customHeight="1" x14ac:dyDescent="0.25">
      <c r="A57" s="68" t="s">
        <v>223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6993.8038684357343</v>
      </c>
      <c r="S57" s="11"/>
      <c r="T57" s="70">
        <f t="shared" ca="1" si="20"/>
        <v>-6993.8038684357343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19651.847412108862</v>
      </c>
      <c r="BC57" s="70">
        <f t="shared" si="31"/>
        <v>0</v>
      </c>
      <c r="BD57" s="70">
        <f t="shared" ca="1" si="32"/>
        <v>5088.8725878911391</v>
      </c>
      <c r="BE57" s="70">
        <f t="shared" ca="1" si="33"/>
        <v>-13398.170634444319</v>
      </c>
    </row>
    <row r="58" spans="1:57" ht="15.75" customHeight="1" x14ac:dyDescent="0.25">
      <c r="A58" s="52" t="s">
        <v>226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5515.3401499344573</v>
      </c>
      <c r="O58" s="10"/>
      <c r="P58" s="72">
        <f t="shared" ca="1" si="19"/>
        <v>277.65985006554274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16822.246376933519</v>
      </c>
      <c r="BC58" s="72">
        <f t="shared" si="31"/>
        <v>0</v>
      </c>
      <c r="BD58" s="72">
        <f t="shared" ca="1" si="32"/>
        <v>-4205.2763769335197</v>
      </c>
      <c r="BE58" s="72">
        <f t="shared" ca="1" si="33"/>
        <v>-5742.0080623540325</v>
      </c>
    </row>
    <row r="59" spans="1:57" ht="15.75" customHeight="1" x14ac:dyDescent="0.25">
      <c r="A59" s="68" t="s">
        <v>230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5581.1166636640573</v>
      </c>
      <c r="O59" s="10"/>
      <c r="P59" s="70">
        <f t="shared" ca="1" si="19"/>
        <v>-5581.1166636640573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6591.8758380965073</v>
      </c>
      <c r="S59" s="11"/>
      <c r="T59" s="70">
        <f t="shared" ca="1" si="20"/>
        <v>-1136.2458380965072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17634.788518164216</v>
      </c>
      <c r="BC59" s="70">
        <f t="shared" si="31"/>
        <v>0</v>
      </c>
      <c r="BD59" s="70">
        <f t="shared" ca="1" si="32"/>
        <v>-2627.6085181642156</v>
      </c>
      <c r="BE59" s="70">
        <f t="shared" ca="1" si="33"/>
        <v>-2909.9932280266548</v>
      </c>
    </row>
    <row r="60" spans="1:57" ht="15.75" customHeight="1" x14ac:dyDescent="0.25">
      <c r="A60" s="52" t="s">
        <v>233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8898.0402316814852</v>
      </c>
      <c r="S60" s="11"/>
      <c r="T60" s="72">
        <f t="shared" ca="1" si="20"/>
        <v>-6234.0402316814852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24784.262124316941</v>
      </c>
      <c r="BC60" s="72">
        <f t="shared" si="31"/>
        <v>0</v>
      </c>
      <c r="BD60" s="72">
        <f t="shared" ca="1" si="32"/>
        <v>-1200.2621243169415</v>
      </c>
      <c r="BE60" s="72">
        <f t="shared" ca="1" si="33"/>
        <v>-4895.4887119981722</v>
      </c>
    </row>
    <row r="61" spans="1:57" ht="15.75" customHeight="1" x14ac:dyDescent="0.25">
      <c r="A61" s="68" t="s">
        <v>236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17619.697018492723</v>
      </c>
      <c r="BC61" s="70">
        <f t="shared" si="31"/>
        <v>0</v>
      </c>
      <c r="BD61" s="70">
        <f t="shared" ca="1" si="32"/>
        <v>10724.302981507277</v>
      </c>
      <c r="BE61" s="70">
        <f t="shared" ca="1" si="33"/>
        <v>-563.56148517232396</v>
      </c>
    </row>
    <row r="62" spans="1:57" ht="15.75" customHeight="1" x14ac:dyDescent="0.25">
      <c r="A62" s="52" t="s">
        <v>240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7735.8420223132835</v>
      </c>
      <c r="O62" s="10"/>
      <c r="P62" s="72">
        <f t="shared" ca="1" si="19"/>
        <v>-2129.6720223132834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19165.159063932853</v>
      </c>
      <c r="BC62" s="72">
        <f t="shared" si="31"/>
        <v>0</v>
      </c>
      <c r="BD62" s="72">
        <f t="shared" ca="1" si="32"/>
        <v>-3009.109063932854</v>
      </c>
      <c r="BE62" s="72">
        <f t="shared" ca="1" si="33"/>
        <v>-3099.780123108947</v>
      </c>
    </row>
    <row r="63" spans="1:57" ht="15.75" customHeight="1" x14ac:dyDescent="0.25">
      <c r="A63" s="68" t="s">
        <v>243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7687.0046326482507</v>
      </c>
      <c r="S63" s="11"/>
      <c r="T63" s="70">
        <f t="shared" ca="1" si="20"/>
        <v>4312.9953673517493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22436.312840339087</v>
      </c>
      <c r="BC63" s="70">
        <f t="shared" si="31"/>
        <v>0</v>
      </c>
      <c r="BD63" s="70">
        <f t="shared" ca="1" si="32"/>
        <v>1563.6871596609126</v>
      </c>
      <c r="BE63" s="70">
        <f t="shared" ca="1" si="33"/>
        <v>18421.746274677022</v>
      </c>
    </row>
    <row r="64" spans="1:57" ht="15.75" customHeight="1" x14ac:dyDescent="0.25">
      <c r="A64" s="52" t="s">
        <v>245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5984.9219279491335</v>
      </c>
      <c r="O64" s="10"/>
      <c r="P64" s="72">
        <f t="shared" ca="1" si="19"/>
        <v>157.07807205086647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6482.6834089388813</v>
      </c>
      <c r="S64" s="11"/>
      <c r="T64" s="72">
        <f t="shared" ca="1" si="20"/>
        <v>-3952.6834089388813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18680.597860918235</v>
      </c>
      <c r="BC64" s="72">
        <f t="shared" si="31"/>
        <v>0</v>
      </c>
      <c r="BD64" s="72">
        <f t="shared" ca="1" si="32"/>
        <v>-181.5978609182348</v>
      </c>
      <c r="BE64" s="72">
        <f t="shared" ca="1" si="33"/>
        <v>-4658.4997217406781</v>
      </c>
    </row>
    <row r="65" spans="1:57" ht="15.75" customHeight="1" x14ac:dyDescent="0.25">
      <c r="A65" s="68" t="s">
        <v>249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6503.2383360591011</v>
      </c>
      <c r="O65" s="10"/>
      <c r="P65" s="70">
        <f t="shared" ca="1" si="19"/>
        <v>26390.761663940899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19040.513964051926</v>
      </c>
      <c r="BC65" s="70">
        <f t="shared" si="31"/>
        <v>0</v>
      </c>
      <c r="BD65" s="70">
        <f t="shared" ca="1" si="32"/>
        <v>24693.486035948074</v>
      </c>
      <c r="BE65" s="70">
        <f t="shared" ca="1" si="33"/>
        <v>-7625.3402509667176</v>
      </c>
    </row>
    <row r="66" spans="1:57" ht="15.75" customHeight="1" x14ac:dyDescent="0.25">
      <c r="A66" s="52" t="s">
        <v>252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7771.6129646180871</v>
      </c>
      <c r="S66" s="11"/>
      <c r="T66" s="72">
        <f t="shared" ca="1" si="20"/>
        <v>-7771.6129646180871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20526.754899696643</v>
      </c>
      <c r="BC66" s="72">
        <f t="shared" si="31"/>
        <v>0</v>
      </c>
      <c r="BD66" s="72">
        <f t="shared" ca="1" si="32"/>
        <v>-5295.7548996966434</v>
      </c>
      <c r="BE66" s="72">
        <f t="shared" ca="1" si="33"/>
        <v>-14645.962039089944</v>
      </c>
    </row>
    <row r="67" spans="1:57" ht="15.75" customHeight="1" x14ac:dyDescent="0.25">
      <c r="A67" s="9"/>
      <c r="B67" s="8"/>
      <c r="C67" s="9" t="s">
        <v>38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397692.96620000008</v>
      </c>
      <c r="K67" s="11">
        <f t="shared" si="34"/>
        <v>0</v>
      </c>
      <c r="L67" s="11">
        <f t="shared" ca="1" si="34"/>
        <v>-140161.97619999992</v>
      </c>
      <c r="M67" s="11">
        <f t="shared" ca="1" si="34"/>
        <v>325302.08</v>
      </c>
      <c r="N67" s="11">
        <f t="shared" ca="1" si="34"/>
        <v>430805.96619999985</v>
      </c>
      <c r="O67" s="11">
        <f t="shared" si="34"/>
        <v>0</v>
      </c>
      <c r="P67" s="11">
        <f t="shared" ca="1" si="34"/>
        <v>-105503.88620000002</v>
      </c>
      <c r="Q67" s="11">
        <f t="shared" ca="1" si="34"/>
        <v>393985.16000000003</v>
      </c>
      <c r="R67" s="11">
        <f t="shared" ca="1" si="34"/>
        <v>419424.96619999991</v>
      </c>
      <c r="S67" s="11">
        <f t="shared" si="34"/>
        <v>0</v>
      </c>
      <c r="T67" s="11">
        <f t="shared" ca="1" si="34"/>
        <v>-25439.806199999992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1501194.5300000003</v>
      </c>
      <c r="BB67" s="11">
        <f t="shared" ca="1" si="35"/>
        <v>1247923.8986000002</v>
      </c>
      <c r="BC67" s="11">
        <f t="shared" si="35"/>
        <v>1000</v>
      </c>
      <c r="BD67" s="13">
        <f t="shared" ca="1" si="35"/>
        <v>252270.63139999998</v>
      </c>
      <c r="BE67" s="77">
        <f t="shared" ref="BE67:BE98" ca="1" si="36">BD67+D67</f>
        <v>-395779.25821299991</v>
      </c>
    </row>
  </sheetData>
  <autoFilter ref="A2:BF67" xr:uid="{00000000-0009-0000-0000-00001A000000}"/>
  <mergeCells count="12">
    <mergeCell ref="E1:H1"/>
    <mergeCell ref="AK1:AN1"/>
    <mergeCell ref="AC1:AF1"/>
    <mergeCell ref="Y1:AB1"/>
    <mergeCell ref="AS1:AV1"/>
    <mergeCell ref="AW1:AZ1"/>
    <mergeCell ref="U1:X1"/>
    <mergeCell ref="AG1:AJ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2026-08-11T03:07:27Z</dcterms:modified>
</cp:coreProperties>
</file>