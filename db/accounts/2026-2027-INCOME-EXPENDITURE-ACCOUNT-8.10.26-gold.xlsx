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4" firstSheet="1" activeTab="7" autoFilterDateGrouping="1"/>
  </bookViews>
  <sheets>
    <sheet name="Members" sheetId="1" state="visible" r:id="rId1"/>
    <sheet name="Apr2026-EXPENSE" sheetId="2" state="visible" r:id="rId2"/>
    <sheet name="Apr2026-COLLECTION" sheetId="3" state="visible" r:id="rId3"/>
    <sheet name="May2026-EXPENSE" sheetId="4" state="visible" r:id="rId4"/>
    <sheet name="May2026-COLLECTION" sheetId="5" state="visible" r:id="rId5"/>
    <sheet name="June2026-EXPENSE" sheetId="6" state="visible" r:id="rId6"/>
    <sheet name="June2026-COLLECTION" sheetId="7" state="visible" r:id="rId7"/>
    <sheet name="July2026-EXPENSE" sheetId="8" state="visible" r:id="rId8"/>
    <sheet name="July2026-COLLECTION" sheetId="9" state="visible" r:id="rId9"/>
    <sheet name="Aug2026-EXPENSE" sheetId="10" state="hidden" r:id="rId10"/>
    <sheet name="Aug2026-COLLECTION" sheetId="11" state="hidden" r:id="rId11"/>
    <sheet name="Sep2026-EXPENSE" sheetId="12" state="hidden" r:id="rId12"/>
    <sheet name="Sep2026-COLLECTION" sheetId="13" state="hidden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state="visible" r:id="rId26"/>
    <sheet name="INCOME-EXPENSE-CYCLES" sheetId="27" state="visible" r:id="rId27"/>
  </sheets>
  <definedNames>
    <definedName name="Z_C4B61514_58E1_45A0_9AB3_765E539BE84D_.wvu.FilterData" localSheetId="26" hidden="1">'INCOME-EXPENSE-CYCLES'!$A$2:$BD$67</definedName>
    <definedName name="_xlnm._FilterDatabase" localSheetId="26" hidden="1">'INCOME-EXPENSE-CYCLES'!$A$2:$BF$67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0">
    <font>
      <name val="Calibri"/>
      <color rgb="FF000000"/>
      <sz val="11"/>
      <scheme val="minor"/>
    </font>
    <font>
      <name val="Nunito"/>
      <color theme="1"/>
      <sz val="11"/>
    </font>
    <font>
      <name val="Nunito"/>
      <color rgb="FF000000"/>
      <sz val="10"/>
    </font>
    <font>
      <name val="Nunito"/>
      <b val="1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Nunito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FFFFFF"/>
      <sz val="10"/>
    </font>
    <font>
      <name val="Calibri"/>
      <family val="2"/>
      <color rgb="FF1A1A2E"/>
      <sz val="10"/>
    </font>
    <font>
      <name val="Calibri"/>
      <family val="2"/>
      <b val="1"/>
      <color rgb="FFFFFFFF"/>
      <sz val="14"/>
    </font>
    <font>
      <name val="Calibri"/>
      <family val="2"/>
      <b val="1"/>
      <color rgb="FF1B3A5C"/>
      <sz val="10"/>
    </font>
    <font>
      <name val="Calibri"/>
      <family val="2"/>
      <b val="1"/>
      <color rgb="FFFFFFFF"/>
      <sz val="11"/>
    </font>
    <font>
      <name val="Aptos"/>
      <family val="2"/>
      <b val="1"/>
      <color rgb="FFFFFFFF"/>
      <sz val="10"/>
    </font>
    <font>
      <name val="Aptos"/>
      <family val="2"/>
      <color rgb="FF1A1A2E"/>
      <sz val="10"/>
    </font>
    <font>
      <name val="Aptos"/>
      <family val="2"/>
      <b val="1"/>
      <color rgb="FF1B3A5C"/>
      <sz val="10"/>
    </font>
    <font>
      <name val="Aptos"/>
      <family val="2"/>
      <color theme="1"/>
      <sz val="10"/>
    </font>
    <font>
      <name val="Aptos"/>
      <family val="2"/>
      <color rgb="FF000000"/>
      <sz val="10"/>
    </font>
    <font>
      <name val="Aptos"/>
      <family val="2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3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3"/>
    <xf numFmtId="0" fontId="7" fillId="0" borderId="13"/>
  </cellStyleXfs>
  <cellXfs count="110">
    <xf numFmtId="0" fontId="0" fillId="0" borderId="0" pivotButton="0" quotePrefix="0" xfId="0"/>
    <xf numFmtId="4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64" fontId="4" fillId="0" borderId="0" pivotButton="0" quotePrefix="0" xfId="0"/>
    <xf numFmtId="165" fontId="5" fillId="0" borderId="0" applyAlignment="1" pivotButton="0" quotePrefix="0" xfId="0">
      <alignment horizontal="right"/>
    </xf>
    <xf numFmtId="165" fontId="4" fillId="0" borderId="0" pivotButton="0" quotePrefix="0" xfId="0"/>
    <xf numFmtId="4" fontId="6" fillId="0" borderId="1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6" fillId="0" borderId="3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9" fillId="4" borderId="21" applyAlignment="1" pivotButton="0" quotePrefix="0" xfId="0">
      <alignment horizontal="center" vertical="center" wrapText="1"/>
    </xf>
    <xf numFmtId="0" fontId="10" fillId="5" borderId="22" applyAlignment="1" pivotButton="0" quotePrefix="0" xfId="0">
      <alignment horizontal="left" vertical="center" wrapText="1"/>
    </xf>
    <xf numFmtId="0" fontId="10" fillId="2" borderId="22" applyAlignment="1" pivotButton="0" quotePrefix="0" xfId="0">
      <alignment horizontal="left" vertical="center" wrapText="1"/>
    </xf>
    <xf numFmtId="4" fontId="11" fillId="6" borderId="1" applyAlignment="1" pivotButton="0" quotePrefix="0" xfId="0">
      <alignment horizontal="center" vertical="center" wrapText="1"/>
    </xf>
    <xf numFmtId="4" fontId="9" fillId="4" borderId="21" applyAlignment="1" pivotButton="0" quotePrefix="0" xfId="0">
      <alignment horizontal="center" vertical="center" wrapText="1"/>
    </xf>
    <xf numFmtId="4" fontId="10" fillId="2" borderId="22" applyAlignment="1" pivotButton="0" quotePrefix="0" xfId="0">
      <alignment horizontal="left" vertical="center" wrapText="1"/>
    </xf>
    <xf numFmtId="4" fontId="10" fillId="2" borderId="22" applyAlignment="1" pivotButton="0" quotePrefix="0" xfId="0">
      <alignment horizontal="right" vertical="center"/>
    </xf>
    <xf numFmtId="4" fontId="10" fillId="5" borderId="22" applyAlignment="1" pivotButton="0" quotePrefix="0" xfId="0">
      <alignment horizontal="left" vertical="center" wrapText="1"/>
    </xf>
    <xf numFmtId="4" fontId="10" fillId="5" borderId="22" applyAlignment="1" pivotButton="0" quotePrefix="0" xfId="0">
      <alignment horizontal="right" vertical="center"/>
    </xf>
    <xf numFmtId="4" fontId="12" fillId="7" borderId="23" applyAlignment="1" pivotButton="0" quotePrefix="0" xfId="0">
      <alignment horizontal="left" vertical="center" wrapText="1"/>
    </xf>
    <xf numFmtId="4" fontId="12" fillId="7" borderId="23" applyAlignment="1" pivotButton="0" quotePrefix="0" xfId="0">
      <alignment horizontal="right" vertical="center"/>
    </xf>
    <xf numFmtId="0" fontId="10" fillId="2" borderId="22" applyAlignment="1" pivotButton="0" quotePrefix="0" xfId="0">
      <alignment horizontal="right" vertical="center"/>
    </xf>
    <xf numFmtId="0" fontId="10" fillId="5" borderId="22" applyAlignment="1" pivotButton="0" quotePrefix="0" xfId="0">
      <alignment horizontal="right" vertical="center"/>
    </xf>
    <xf numFmtId="14" fontId="9" fillId="4" borderId="21" applyAlignment="1" pivotButton="0" quotePrefix="0" xfId="0">
      <alignment horizontal="center" vertical="center" wrapText="1"/>
    </xf>
    <xf numFmtId="166" fontId="10" fillId="5" borderId="22" applyAlignment="1" pivotButton="0" quotePrefix="0" xfId="0">
      <alignment horizontal="right" vertical="center"/>
    </xf>
    <xf numFmtId="165" fontId="10" fillId="5" borderId="22" applyAlignment="1" pivotButton="0" quotePrefix="0" xfId="0">
      <alignment horizontal="right" vertical="center"/>
    </xf>
    <xf numFmtId="167" fontId="10" fillId="5" borderId="22" applyAlignment="1" pivotButton="0" quotePrefix="0" xfId="0">
      <alignment horizontal="right" vertical="center"/>
    </xf>
    <xf numFmtId="167" fontId="10" fillId="2" borderId="22" applyAlignment="1" pivotButton="0" quotePrefix="0" xfId="0">
      <alignment horizontal="right" vertical="center"/>
    </xf>
    <xf numFmtId="165" fontId="10" fillId="2" borderId="22" applyAlignment="1" pivotButton="0" quotePrefix="0" xfId="0">
      <alignment horizontal="right" vertical="center"/>
    </xf>
    <xf numFmtId="166" fontId="10" fillId="2" borderId="22" applyAlignment="1" pivotButton="0" quotePrefix="0" xfId="0">
      <alignment horizontal="right" vertical="center"/>
    </xf>
    <xf numFmtId="0" fontId="12" fillId="7" borderId="23" applyAlignment="1" pivotButton="0" quotePrefix="0" xfId="0">
      <alignment horizontal="left" vertical="center" wrapText="1"/>
    </xf>
    <xf numFmtId="0" fontId="12" fillId="7" borderId="23" applyAlignment="1" pivotButton="0" quotePrefix="0" xfId="0">
      <alignment horizontal="right" vertical="center"/>
    </xf>
    <xf numFmtId="164" fontId="9" fillId="4" borderId="21" applyAlignment="1" pivotButton="0" quotePrefix="0" xfId="0">
      <alignment horizontal="center" vertical="center" wrapText="1"/>
    </xf>
    <xf numFmtId="164" fontId="10" fillId="5" borderId="22" applyAlignment="1" pivotButton="0" quotePrefix="0" xfId="0">
      <alignment horizontal="right" vertical="center"/>
    </xf>
    <xf numFmtId="164" fontId="10" fillId="2" borderId="22" applyAlignment="1" pivotButton="0" quotePrefix="0" xfId="0">
      <alignment horizontal="right" vertical="center"/>
    </xf>
    <xf numFmtId="168" fontId="10" fillId="2" borderId="22" applyAlignment="1" pivotButton="0" quotePrefix="0" xfId="0">
      <alignment horizontal="right" vertical="center"/>
    </xf>
    <xf numFmtId="168" fontId="10" fillId="5" borderId="22" applyAlignment="1" pivotButton="0" quotePrefix="0" xfId="0">
      <alignment horizontal="right" vertical="center"/>
    </xf>
    <xf numFmtId="164" fontId="12" fillId="7" borderId="23" applyAlignment="1" pivotButton="0" quotePrefix="0" xfId="0">
      <alignment horizontal="right" vertical="center"/>
    </xf>
    <xf numFmtId="10" fontId="9" fillId="4" borderId="21" applyAlignment="1" pivotButton="0" quotePrefix="0" xfId="0">
      <alignment horizontal="center" vertical="center" wrapText="1"/>
    </xf>
    <xf numFmtId="10" fontId="10" fillId="2" borderId="22" applyAlignment="1" pivotButton="0" quotePrefix="0" xfId="0">
      <alignment horizontal="right" vertical="center"/>
    </xf>
    <xf numFmtId="10" fontId="10" fillId="5" borderId="22" applyAlignment="1" pivotButton="0" quotePrefix="0" xfId="0">
      <alignment horizontal="right" vertical="center"/>
    </xf>
    <xf numFmtId="165" fontId="9" fillId="4" borderId="21" applyAlignment="1" pivotButton="0" quotePrefix="0" xfId="0">
      <alignment horizontal="center" vertical="center" wrapText="1"/>
    </xf>
    <xf numFmtId="165" fontId="12" fillId="7" borderId="23" applyAlignment="1" pivotButton="0" quotePrefix="0" xfId="0">
      <alignment horizontal="right" vertical="center"/>
    </xf>
    <xf numFmtId="4" fontId="11" fillId="6" borderId="7" applyAlignment="1" pivotButton="0" quotePrefix="0" xfId="0">
      <alignment horizontal="center" vertical="center" wrapText="1"/>
    </xf>
    <xf numFmtId="4" fontId="11" fillId="6" borderId="10" applyAlignment="1" pivotButton="0" quotePrefix="0" xfId="0">
      <alignment horizontal="center" vertical="center" wrapText="1"/>
    </xf>
    <xf numFmtId="3" fontId="10" fillId="5" borderId="22" applyAlignment="1" pivotButton="0" quotePrefix="0" xfId="0">
      <alignment horizontal="right" vertical="center"/>
    </xf>
    <xf numFmtId="4" fontId="11" fillId="6" borderId="14" applyAlignment="1" pivotButton="0" quotePrefix="0" xfId="0">
      <alignment horizontal="center" vertical="center" wrapText="1"/>
    </xf>
    <xf numFmtId="4" fontId="11" fillId="6" borderId="15" applyAlignment="1" pivotButton="0" quotePrefix="0" xfId="0">
      <alignment horizontal="center" vertical="center" wrapText="1"/>
    </xf>
    <xf numFmtId="0" fontId="10" fillId="5" borderId="22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4" fontId="13" fillId="6" borderId="6" applyAlignment="1" pivotButton="0" quotePrefix="0" xfId="1">
      <alignment horizontal="center" vertical="center" wrapText="1"/>
    </xf>
    <xf numFmtId="4" fontId="13" fillId="6" borderId="1" applyAlignment="1" pivotButton="0" quotePrefix="0" xfId="0">
      <alignment horizontal="center" vertical="center" wrapText="1"/>
    </xf>
    <xf numFmtId="4" fontId="13" fillId="6" borderId="19" applyAlignment="1" pivotButton="0" quotePrefix="0" xfId="0">
      <alignment horizontal="center" vertical="center" wrapText="1"/>
    </xf>
    <xf numFmtId="4" fontId="14" fillId="4" borderId="21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" fontId="17" fillId="0" borderId="0" applyAlignment="1" pivotButton="0" quotePrefix="0" xfId="0">
      <alignment horizontal="center" vertical="center"/>
    </xf>
    <xf numFmtId="49" fontId="15" fillId="2" borderId="22" applyAlignment="1" pivotButton="0" quotePrefix="0" xfId="0">
      <alignment horizontal="center" vertical="center" wrapText="1"/>
    </xf>
    <xf numFmtId="4" fontId="15" fillId="2" borderId="22" applyAlignment="1" pivotButton="0" quotePrefix="0" xfId="0">
      <alignment horizontal="center" vertical="center"/>
    </xf>
    <xf numFmtId="49" fontId="15" fillId="5" borderId="22" applyAlignment="1" pivotButton="0" quotePrefix="0" xfId="0">
      <alignment horizontal="center" vertical="center" wrapText="1"/>
    </xf>
    <xf numFmtId="4" fontId="15" fillId="5" borderId="22" applyAlignment="1" pivotButton="0" quotePrefix="0" xfId="0">
      <alignment horizontal="center" vertical="center"/>
    </xf>
    <xf numFmtId="0" fontId="15" fillId="5" borderId="22" applyAlignment="1" pivotButton="0" quotePrefix="0" xfId="0">
      <alignment horizontal="center" vertical="center"/>
    </xf>
    <xf numFmtId="49" fontId="16" fillId="7" borderId="23" applyAlignment="1" pivotButton="0" quotePrefix="0" xfId="0">
      <alignment horizontal="center" vertical="center" wrapText="1"/>
    </xf>
    <xf numFmtId="4" fontId="16" fillId="7" borderId="23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0" fillId="2" borderId="22" applyAlignment="1" pivotButton="0" quotePrefix="0" xfId="0">
      <alignment horizontal="center" vertical="center" wrapText="1"/>
    </xf>
    <xf numFmtId="4" fontId="10" fillId="2" borderId="22" applyAlignment="1" pivotButton="0" quotePrefix="0" xfId="0">
      <alignment horizontal="center" vertical="center" wrapText="1"/>
    </xf>
    <xf numFmtId="4" fontId="10" fillId="2" borderId="22" applyAlignment="1" pivotButton="0" quotePrefix="0" xfId="0">
      <alignment horizontal="center" vertical="center"/>
    </xf>
    <xf numFmtId="4" fontId="10" fillId="5" borderId="22" applyAlignment="1" pivotButton="0" quotePrefix="0" xfId="0">
      <alignment horizontal="center" vertical="center" wrapText="1"/>
    </xf>
    <xf numFmtId="4" fontId="10" fillId="5" borderId="2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1" fillId="0" borderId="5" applyAlignment="1" pivotButton="0" quotePrefix="0" xfId="0">
      <alignment horizontal="center" vertical="center"/>
    </xf>
    <xf numFmtId="4" fontId="1" fillId="0" borderId="4" applyAlignment="1" pivotButton="0" quotePrefix="0" xfId="0">
      <alignment horizontal="center" vertical="center"/>
    </xf>
    <xf numFmtId="4" fontId="0" fillId="0" borderId="2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3" fontId="15" fillId="2" borderId="22" applyAlignment="1" pivotButton="0" quotePrefix="0" xfId="0">
      <alignment horizontal="center" vertical="center"/>
    </xf>
    <xf numFmtId="169" fontId="10" fillId="2" borderId="22" applyAlignment="1" pivotButton="0" quotePrefix="0" xfId="0">
      <alignment horizontal="right" vertical="center"/>
    </xf>
    <xf numFmtId="3" fontId="16" fillId="7" borderId="23" applyAlignment="1" pivotButton="0" quotePrefix="0" xfId="0">
      <alignment horizontal="center" vertical="center"/>
    </xf>
    <xf numFmtId="3" fontId="17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3" fontId="15" fillId="5" borderId="22" applyAlignment="1" pivotButton="0" quotePrefix="0" xfId="0">
      <alignment horizontal="center" vertical="center"/>
    </xf>
    <xf numFmtId="0" fontId="0" fillId="0" borderId="13" pivotButton="0" quotePrefix="0" xfId="0"/>
    <xf numFmtId="4" fontId="11" fillId="6" borderId="15" applyAlignment="1" pivotButton="0" quotePrefix="0" xfId="0">
      <alignment horizontal="center" vertical="center" wrapText="1"/>
    </xf>
    <xf numFmtId="0" fontId="0" fillId="0" borderId="15" pivotButton="0" quotePrefix="0" xfId="0"/>
    <xf numFmtId="4" fontId="11" fillId="6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4" fontId="11" fillId="6" borderId="1" applyAlignment="1" pivotButton="0" quotePrefix="0" xfId="0">
      <alignment horizontal="center" vertical="center" wrapText="1"/>
    </xf>
    <xf numFmtId="4" fontId="11" fillId="6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" fontId="11" fillId="6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4" fontId="11" fillId="6" borderId="13" applyAlignment="1" pivotButton="0" quotePrefix="0" xfId="0">
      <alignment horizontal="center" vertical="center" wrapText="1"/>
    </xf>
    <xf numFmtId="0" fontId="0" fillId="0" borderId="0" pivotButton="0" quotePrefix="0" xfId="0"/>
    <xf numFmtId="3" fontId="19" fillId="6" borderId="18" applyAlignment="1" pivotButton="0" quotePrefix="0" xfId="0">
      <alignment horizontal="center" vertical="center" wrapText="1"/>
    </xf>
    <xf numFmtId="0" fontId="0" fillId="0" borderId="24" pivotButton="0" quotePrefix="0" xfId="0"/>
    <xf numFmtId="4" fontId="19" fillId="6" borderId="18" applyAlignment="1" pivotButton="0" quotePrefix="0" xfId="0">
      <alignment horizontal="center" vertical="center" wrapText="1"/>
    </xf>
    <xf numFmtId="4" fontId="14" fillId="6" borderId="18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14" fillId="6" borderId="18" applyAlignment="1" pivotButton="0" quotePrefix="0" xfId="0">
      <alignment horizontal="center" vertical="center" wrapText="1"/>
    </xf>
    <xf numFmtId="170" fontId="13" fillId="6" borderId="1" applyAlignment="1" pivotButton="0" quotePrefix="0" xfId="0">
      <alignment horizontal="center" vertical="center" wrapText="1"/>
    </xf>
    <xf numFmtId="171" fontId="13" fillId="6" borderId="1" applyAlignment="1" pivotButton="0" quotePrefix="0" xfId="0">
      <alignment horizontal="center" vertical="center" wrapText="1"/>
    </xf>
    <xf numFmtId="170" fontId="13" fillId="6" borderId="3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rich>
      </tx>
      <overlay val="0"/>
    </title>
    <plotArea>
      <layout/>
      <areaChart>
        <grouping val="standard"/>
        <varyColors val="1"/>
        <ser>
          <idx val="0"/>
          <order val="0"/>
          <tx>
            <strRef>
              <f>'ANNUAL-EXPENSE-DETAILS'!$X$1:$X$2</f>
              <strCache>
                <ptCount val="2"/>
                <pt idx="0">
                  <v>total expense</v>
                </pt>
              </strCache>
            </strRef>
          </tx>
          <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 lvl="0">
                  <a:defRPr/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'ANNUAL-EXPENSE-DETAILS'!$A$3:$A$14</f>
              <strCache>
                <ptCount val="12"/>
                <pt idx="0">
                  <v>APRIL 2026</v>
                </pt>
                <pt idx="1">
                  <v>MAY 2026</v>
                </pt>
                <pt idx="2">
                  <v>JUN 2026</v>
                </pt>
                <pt idx="3">
                  <v>JUL 2026</v>
                </pt>
                <pt idx="4">
                  <v>AUG 2026</v>
                </pt>
                <pt idx="5">
                  <v>SEP 2026</v>
                </pt>
                <pt idx="6">
                  <v>OCT 2026</v>
                </pt>
                <pt idx="7">
                  <v>NOV 2026</v>
                </pt>
                <pt idx="8">
                  <v>DEC 2026</v>
                </pt>
                <pt idx="9">
                  <v>JAN 2027</v>
                </pt>
                <pt idx="10">
                  <v>FEB 2027</v>
                </pt>
                <pt idx="11">
                  <v>MAR 2027</v>
                </pt>
              </strCache>
            </strRef>
          </cat>
          <val>
            <numRef>
              <f>'ANNUAL-EXPENSE-DETAILS'!$X$3:$X$14</f>
              <numCache>
                <formatCode>#,##0</formatCode>
                <ptCount val="12"/>
                <pt idx="0">
                  <v>344833.8976</v>
                </pt>
                <pt idx="1">
                  <v>350692.9662</v>
                </pt>
                <pt idx="2">
                  <v>401806</v>
                </pt>
                <pt idx="3">
                  <v>356025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Samrat Kar</author>
  </authors>
  <commentList>
    <comment ref="J5" authorId="0" shapeId="0">
      <text>
        <t>Samrat Kar:
Motor new - INR 49500
Motor borewell connection pipeline - 1,130 
motor fix material and labor -12,800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66675</colOff>
      <row>15</row>
      <rowOff>266700</rowOff>
    </from>
    <ext cx="17668875" cy="47625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uhi.agrawal321@gmail.com" TargetMode="External" Id="rId1" /><Relationship Type="http://schemas.openxmlformats.org/officeDocument/2006/relationships/hyperlink" Target="mailto:arun.pharmaplus@gmail.com" TargetMode="External" Id="rId2" /><Relationship Type="http://schemas.openxmlformats.org/officeDocument/2006/relationships/hyperlink" Target="mailto:richasingh.kaharwar@gmail.com" TargetMode="External" Id="rId3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E1" sqref="E1"/>
    </sheetView>
  </sheetViews>
  <sheetFormatPr baseColWidth="8" defaultColWidth="8.7109375" defaultRowHeight="15"/>
  <cols>
    <col width="20.28515625" bestFit="1" customWidth="1" style="99" min="2" max="2"/>
    <col width="34.28515625" customWidth="1" style="99" min="3" max="3"/>
    <col width="24.42578125" customWidth="1" style="99" min="4" max="4"/>
    <col width="18.7109375" customWidth="1" style="99" min="6" max="6"/>
    <col width="21" customWidth="1" style="99" min="7" max="7"/>
    <col width="15.7109375" customWidth="1" style="99" min="8" max="8"/>
  </cols>
  <sheetData>
    <row r="1">
      <c r="A1" s="14" t="inlineStr">
        <is>
          <t>FLAT</t>
        </is>
      </c>
      <c r="B1" s="14" t="inlineStr">
        <is>
          <t>NAME</t>
        </is>
      </c>
      <c r="C1" s="14" t="inlineStr">
        <is>
          <t>EMAIL</t>
        </is>
      </c>
      <c r="D1" s="14" t="inlineStr">
        <is>
          <t>PHONE</t>
        </is>
      </c>
      <c r="E1" s="14" t="n"/>
      <c r="F1" s="14" t="inlineStr">
        <is>
          <t>FY_START_YEAR</t>
        </is>
      </c>
      <c r="G1" s="14" t="inlineStr">
        <is>
          <t>FY_END_YEAR</t>
        </is>
      </c>
      <c r="H1" s="14" t="inlineStr">
        <is>
          <t>FY_LABEL</t>
        </is>
      </c>
    </row>
    <row r="2">
      <c r="A2" s="15" t="inlineStr">
        <is>
          <t>F1</t>
        </is>
      </c>
      <c r="B2" s="15" t="inlineStr">
        <is>
          <t>Shailesh Srivastava</t>
        </is>
      </c>
      <c r="C2" s="15" t="inlineStr">
        <is>
          <t>shailesh.srivastav@gmail.com</t>
        </is>
      </c>
      <c r="D2" s="15" t="n"/>
      <c r="E2" s="15" t="n"/>
      <c r="F2" s="52" t="n">
        <v>2026</v>
      </c>
      <c r="G2" s="52">
        <f>F2+1</f>
        <v/>
      </c>
      <c r="H2" s="52">
        <f>F2&amp;"-"&amp;RIGHT(F2+1,2)</f>
        <v/>
      </c>
    </row>
    <row r="3">
      <c r="A3" s="16" t="inlineStr">
        <is>
          <t>F2</t>
        </is>
      </c>
      <c r="B3" s="16" t="inlineStr">
        <is>
          <t>Rama P</t>
        </is>
      </c>
      <c r="C3" s="16" t="inlineStr">
        <is>
          <t>ramazen1@gmail.com</t>
        </is>
      </c>
      <c r="D3" s="16" t="n"/>
      <c r="E3" s="16" t="n"/>
      <c r="F3" s="16" t="n"/>
      <c r="G3" s="16" t="n"/>
      <c r="H3" s="16" t="n"/>
    </row>
    <row r="4">
      <c r="A4" s="15" t="inlineStr">
        <is>
          <t>F3</t>
        </is>
      </c>
      <c r="B4" s="15" t="inlineStr">
        <is>
          <t>Samrat Kar</t>
        </is>
      </c>
      <c r="C4" s="15" t="inlineStr">
        <is>
          <t>samratk@gmail.com</t>
        </is>
      </c>
      <c r="D4" s="15" t="inlineStr">
        <is>
          <t>919342554680</t>
        </is>
      </c>
      <c r="E4" s="15" t="n"/>
      <c r="F4" s="15" t="n"/>
      <c r="G4" s="15" t="n"/>
      <c r="H4" s="15" t="n"/>
    </row>
    <row r="5">
      <c r="A5" s="16" t="inlineStr">
        <is>
          <t>F4</t>
        </is>
      </c>
      <c r="B5" s="16" t="inlineStr">
        <is>
          <t>Renu R</t>
        </is>
      </c>
      <c r="C5" s="16" t="inlineStr">
        <is>
          <t>renu.sabapathy@gmail.com</t>
        </is>
      </c>
      <c r="D5" s="16" t="n"/>
      <c r="E5" s="16" t="n"/>
      <c r="F5" s="16" t="n"/>
      <c r="G5" s="16" t="n"/>
      <c r="H5" s="16" t="n"/>
    </row>
    <row r="6" ht="25.5" customHeight="1" s="99">
      <c r="A6" s="15" t="inlineStr">
        <is>
          <t>F5</t>
        </is>
      </c>
      <c r="B6" s="15" t="inlineStr">
        <is>
          <t>Vamsidhar Bethanabatla</t>
        </is>
      </c>
      <c r="C6" s="15" t="n"/>
      <c r="D6" s="15" t="n"/>
      <c r="E6" s="15" t="n"/>
      <c r="F6" s="15" t="n"/>
      <c r="G6" s="15" t="n"/>
      <c r="H6" s="15" t="n"/>
    </row>
    <row r="7">
      <c r="A7" s="16" t="inlineStr">
        <is>
          <t>F6</t>
        </is>
      </c>
      <c r="B7" s="16" t="inlineStr">
        <is>
          <t>Viral Shah</t>
        </is>
      </c>
      <c r="C7" s="16" t="inlineStr">
        <is>
          <t>viralshah79@gmail.com</t>
        </is>
      </c>
      <c r="D7" s="16" t="n"/>
      <c r="E7" s="16" t="n"/>
      <c r="F7" s="16" t="n"/>
      <c r="G7" s="16" t="n"/>
      <c r="H7" s="16" t="n"/>
    </row>
    <row r="8">
      <c r="A8" s="15" t="inlineStr">
        <is>
          <t>F7</t>
        </is>
      </c>
      <c r="B8" s="15" t="inlineStr">
        <is>
          <t>Vimal NK</t>
        </is>
      </c>
      <c r="C8" s="15" t="inlineStr">
        <is>
          <t>nkvimal@gmail.com</t>
        </is>
      </c>
      <c r="D8" s="15" t="n"/>
      <c r="E8" s="15" t="n"/>
      <c r="F8" s="15" t="n"/>
      <c r="G8" s="15" t="n"/>
      <c r="H8" s="15" t="n"/>
    </row>
    <row r="9">
      <c r="A9" s="16" t="inlineStr">
        <is>
          <t>F8</t>
        </is>
      </c>
      <c r="B9" s="16" t="inlineStr">
        <is>
          <t>Ruhi Agrawal</t>
        </is>
      </c>
      <c r="C9" s="15" t="inlineStr">
        <is>
          <t>ruhi.agrawal321@gmail.com</t>
        </is>
      </c>
      <c r="D9" s="16" t="n"/>
      <c r="E9" s="16" t="n"/>
      <c r="F9" s="16" t="n"/>
      <c r="G9" s="16" t="n"/>
      <c r="H9" s="16" t="n"/>
    </row>
    <row r="10">
      <c r="A10" s="15" t="inlineStr">
        <is>
          <t>F9</t>
        </is>
      </c>
      <c r="B10" s="15" t="inlineStr">
        <is>
          <t>Vijay Suswaram</t>
        </is>
      </c>
      <c r="C10" s="15" t="inlineStr">
        <is>
          <t>vijay.suswaram@gmail.com</t>
        </is>
      </c>
      <c r="D10" s="15" t="inlineStr">
        <is>
          <t>9066901046</t>
        </is>
      </c>
      <c r="E10" s="15" t="n"/>
      <c r="F10" s="15" t="n"/>
      <c r="G10" s="15" t="n"/>
      <c r="H10" s="15" t="n"/>
    </row>
    <row r="11">
      <c r="A11" s="16" t="inlineStr">
        <is>
          <t>F10</t>
        </is>
      </c>
      <c r="B11" s="16" t="inlineStr">
        <is>
          <t>Aby Thomas</t>
        </is>
      </c>
      <c r="C11" s="16" t="inlineStr">
        <is>
          <t>abythomas99@gmail.com</t>
        </is>
      </c>
      <c r="D11" s="16" t="inlineStr">
        <is>
          <t>9900502987</t>
        </is>
      </c>
      <c r="E11" s="16" t="n"/>
      <c r="F11" s="16" t="n"/>
      <c r="G11" s="16" t="n"/>
      <c r="H11" s="16" t="n"/>
    </row>
    <row r="12">
      <c r="A12" s="15" t="inlineStr">
        <is>
          <t>F11</t>
        </is>
      </c>
      <c r="B12" s="15" t="inlineStr">
        <is>
          <t>Renu R</t>
        </is>
      </c>
      <c r="C12" s="15" t="n"/>
      <c r="D12" s="15" t="n"/>
      <c r="E12" s="15" t="n"/>
      <c r="F12" s="15" t="n"/>
      <c r="G12" s="15" t="n"/>
      <c r="H12" s="15" t="n"/>
    </row>
    <row r="13">
      <c r="A13" s="16" t="inlineStr">
        <is>
          <t>F12</t>
        </is>
      </c>
      <c r="B13" s="16" t="inlineStr">
        <is>
          <t>Kavitha T</t>
        </is>
      </c>
      <c r="C13" s="16" t="inlineStr">
        <is>
          <t>kaveeonline@gmail.com</t>
        </is>
      </c>
      <c r="D13" s="16" t="inlineStr">
        <is>
          <t>9945796695</t>
        </is>
      </c>
      <c r="E13" s="16" t="n"/>
      <c r="F13" s="16" t="n"/>
      <c r="G13" s="16" t="n"/>
      <c r="H13" s="16" t="n"/>
    </row>
    <row r="14">
      <c r="A14" s="15" t="inlineStr">
        <is>
          <t>F13</t>
        </is>
      </c>
      <c r="B14" s="15" t="inlineStr">
        <is>
          <t>Srinivasa Rao</t>
        </is>
      </c>
      <c r="C14" s="15" t="n"/>
      <c r="D14" s="15" t="n"/>
      <c r="E14" s="15" t="n"/>
      <c r="F14" s="15" t="n"/>
      <c r="G14" s="15" t="n"/>
      <c r="H14" s="15" t="n"/>
    </row>
    <row r="15">
      <c r="A15" s="16" t="inlineStr">
        <is>
          <t>F14</t>
        </is>
      </c>
      <c r="B15" s="16" t="inlineStr">
        <is>
          <t>Hemant Patel</t>
        </is>
      </c>
      <c r="C15" s="16" t="inlineStr">
        <is>
          <t>hemant.patel.ec@gmail.com</t>
        </is>
      </c>
      <c r="D15" s="16" t="inlineStr">
        <is>
          <t>9880934229</t>
        </is>
      </c>
      <c r="E15" s="16" t="n"/>
      <c r="F15" s="16" t="n"/>
      <c r="G15" s="16" t="n"/>
      <c r="H15" s="16" t="n"/>
    </row>
    <row r="16">
      <c r="A16" s="15" t="inlineStr">
        <is>
          <t>F15</t>
        </is>
      </c>
      <c r="B16" s="15" t="inlineStr">
        <is>
          <t>Senthil.Vijayaragavan</t>
        </is>
      </c>
      <c r="C16" s="15" t="inlineStr">
        <is>
          <t>senthil.web@gmail.com</t>
        </is>
      </c>
      <c r="D16" s="15" t="inlineStr">
        <is>
          <t>919035031349</t>
        </is>
      </c>
      <c r="E16" s="15" t="n"/>
      <c r="F16" s="15" t="n"/>
      <c r="G16" s="15" t="n"/>
      <c r="H16" s="15" t="n"/>
    </row>
    <row r="17">
      <c r="A17" s="16" t="inlineStr">
        <is>
          <t>F16</t>
        </is>
      </c>
      <c r="B17" s="16" t="inlineStr">
        <is>
          <t>Sreeja Sudharma</t>
        </is>
      </c>
      <c r="C17" s="16" t="inlineStr">
        <is>
          <t>sudharma.sreeja@gmail.com</t>
        </is>
      </c>
      <c r="D17" s="16" t="n"/>
      <c r="E17" s="16" t="n"/>
      <c r="F17" s="16" t="n"/>
      <c r="G17" s="16" t="n"/>
      <c r="H17" s="16" t="n"/>
    </row>
    <row r="18">
      <c r="A18" s="15" t="inlineStr">
        <is>
          <t>G1</t>
        </is>
      </c>
      <c r="B18" s="15" t="inlineStr">
        <is>
          <t>Digvijay Verma</t>
        </is>
      </c>
      <c r="C18" s="15" t="inlineStr">
        <is>
          <t>jyothij1979@gmail.com</t>
        </is>
      </c>
      <c r="D18" s="15" t="inlineStr">
        <is>
          <t>9686438624</t>
        </is>
      </c>
      <c r="E18" s="15" t="n"/>
      <c r="F18" s="15" t="n"/>
      <c r="G18" s="15" t="n"/>
      <c r="H18" s="15" t="n"/>
    </row>
    <row r="19">
      <c r="A19" s="16" t="inlineStr">
        <is>
          <t>G2</t>
        </is>
      </c>
      <c r="B19" s="16" t="inlineStr">
        <is>
          <t>Kaushik Kasibhatla</t>
        </is>
      </c>
      <c r="C19" s="16" t="n"/>
      <c r="D19" s="16" t="n"/>
      <c r="E19" s="16" t="n"/>
      <c r="F19" s="16" t="n"/>
      <c r="G19" s="16" t="n"/>
      <c r="H19" s="16" t="n"/>
    </row>
    <row r="20">
      <c r="A20" s="15" t="inlineStr">
        <is>
          <t>G3</t>
        </is>
      </c>
      <c r="B20" s="15" t="inlineStr">
        <is>
          <t>Balakrishnan</t>
        </is>
      </c>
      <c r="C20" s="15" t="inlineStr">
        <is>
          <t>balakrishnan.k@gmail.com</t>
        </is>
      </c>
      <c r="D20" s="15" t="n"/>
      <c r="E20" s="15" t="n"/>
      <c r="F20" s="15" t="n"/>
      <c r="G20" s="15" t="n"/>
      <c r="H20" s="15" t="n"/>
    </row>
    <row r="21">
      <c r="A21" s="16" t="inlineStr">
        <is>
          <t>G4</t>
        </is>
      </c>
      <c r="B21" s="16" t="inlineStr">
        <is>
          <t>Ashwin Pandith</t>
        </is>
      </c>
      <c r="C21" s="16" t="inlineStr">
        <is>
          <t>ashwinpandith@gmail.com</t>
        </is>
      </c>
      <c r="D21" s="16" t="n"/>
      <c r="E21" s="16" t="n"/>
      <c r="F21" s="16" t="n"/>
      <c r="G21" s="16" t="n"/>
      <c r="H21" s="16" t="n"/>
    </row>
    <row r="22">
      <c r="A22" s="15" t="inlineStr">
        <is>
          <t>G5</t>
        </is>
      </c>
      <c r="B22" s="15" t="inlineStr">
        <is>
          <t>Mayank Phophaliya</t>
        </is>
      </c>
      <c r="C22" s="15" t="n"/>
      <c r="D22" s="15" t="n"/>
      <c r="E22" s="15" t="n"/>
      <c r="F22" s="15" t="n"/>
      <c r="G22" s="15" t="n"/>
      <c r="H22" s="15" t="n"/>
    </row>
    <row r="23">
      <c r="A23" s="16" t="inlineStr">
        <is>
          <t>G6</t>
        </is>
      </c>
      <c r="B23" s="16" t="inlineStr">
        <is>
          <t>Srinath</t>
        </is>
      </c>
      <c r="C23" s="16" t="n"/>
      <c r="D23" s="16" t="inlineStr">
        <is>
          <t>09910099526</t>
        </is>
      </c>
      <c r="E23" s="16" t="n"/>
      <c r="F23" s="16" t="n"/>
      <c r="G23" s="16" t="n"/>
      <c r="H23" s="16" t="n"/>
    </row>
    <row r="24">
      <c r="A24" s="15" t="inlineStr">
        <is>
          <t>G7</t>
        </is>
      </c>
      <c r="B24" s="15" t="inlineStr">
        <is>
          <t>Prince Richfield</t>
        </is>
      </c>
      <c r="C24" s="15" t="inlineStr">
        <is>
          <t>princerichfield@gmail.com</t>
        </is>
      </c>
      <c r="D24" s="15" t="inlineStr">
        <is>
          <t>7760487323</t>
        </is>
      </c>
      <c r="E24" s="15" t="n"/>
      <c r="F24" s="15" t="n"/>
      <c r="G24" s="15" t="n"/>
      <c r="H24" s="15" t="n"/>
    </row>
    <row r="25">
      <c r="A25" s="16" t="inlineStr">
        <is>
          <t>G8</t>
        </is>
      </c>
      <c r="B25" s="16" t="inlineStr">
        <is>
          <t>Arun M</t>
        </is>
      </c>
      <c r="C25" s="15" t="inlineStr">
        <is>
          <t>arun.pharmaplus@gmail.com</t>
        </is>
      </c>
      <c r="D25" s="16" t="n"/>
      <c r="E25" s="16" t="n"/>
      <c r="F25" s="16" t="n"/>
      <c r="G25" s="16" t="n"/>
      <c r="H25" s="16" t="n"/>
    </row>
    <row r="26">
      <c r="A26" s="15" t="inlineStr">
        <is>
          <t>G9</t>
        </is>
      </c>
      <c r="B26" s="15" t="inlineStr">
        <is>
          <t>Chandramouli</t>
        </is>
      </c>
      <c r="C26" s="15" t="inlineStr">
        <is>
          <t>chandra.gumma@gmail.com</t>
        </is>
      </c>
      <c r="D26" s="15" t="n"/>
      <c r="E26" s="15" t="n"/>
      <c r="F26" s="15" t="n"/>
      <c r="G26" s="15" t="n"/>
      <c r="H26" s="15" t="n"/>
    </row>
    <row r="27">
      <c r="A27" s="16" t="inlineStr">
        <is>
          <t>G10</t>
        </is>
      </c>
      <c r="B27" s="16" t="inlineStr">
        <is>
          <t>Richa Singh</t>
        </is>
      </c>
      <c r="C27" s="15" t="inlineStr">
        <is>
          <t>richasingh.kaharwar@gmail.com</t>
        </is>
      </c>
      <c r="D27" s="16" t="inlineStr">
        <is>
          <t>9986432045</t>
        </is>
      </c>
      <c r="E27" s="16" t="n"/>
      <c r="F27" s="16" t="n"/>
      <c r="G27" s="16" t="n"/>
      <c r="H27" s="16" t="n"/>
    </row>
    <row r="28">
      <c r="A28" s="15" t="inlineStr">
        <is>
          <t>G11</t>
        </is>
      </c>
      <c r="B28" s="15" t="inlineStr">
        <is>
          <t>Prashant Jaitley</t>
        </is>
      </c>
      <c r="C28" s="15" t="inlineStr">
        <is>
          <t>prashantjaitly656@gmail.com</t>
        </is>
      </c>
      <c r="D28" s="15" t="inlineStr">
        <is>
          <t>9654889504</t>
        </is>
      </c>
      <c r="E28" s="15" t="n"/>
      <c r="F28" s="15" t="n"/>
      <c r="G28" s="15" t="n"/>
      <c r="H28" s="15" t="n"/>
    </row>
    <row r="29">
      <c r="A29" s="16" t="inlineStr">
        <is>
          <t>G12</t>
        </is>
      </c>
      <c r="B29" s="16" t="inlineStr">
        <is>
          <t>Shyam Nair</t>
        </is>
      </c>
      <c r="C29" s="16" t="inlineStr">
        <is>
          <t>g12.shyam@gmail.com</t>
        </is>
      </c>
      <c r="D29" s="16" t="inlineStr">
        <is>
          <t>7709047957</t>
        </is>
      </c>
      <c r="E29" s="16" t="n"/>
      <c r="F29" s="16" t="n"/>
      <c r="G29" s="16" t="n"/>
      <c r="H29" s="16" t="n"/>
    </row>
    <row r="30">
      <c r="A30" s="15" t="inlineStr">
        <is>
          <t>G13</t>
        </is>
      </c>
      <c r="B30" s="15" t="inlineStr">
        <is>
          <t>Ajai.B</t>
        </is>
      </c>
      <c r="C30" s="15" t="inlineStr">
        <is>
          <t>ajai.abc@gmail.com</t>
        </is>
      </c>
      <c r="D30" s="15" t="n"/>
      <c r="E30" s="15" t="n"/>
      <c r="F30" s="15" t="n"/>
      <c r="G30" s="15" t="n"/>
      <c r="H30" s="15" t="n"/>
    </row>
    <row r="31">
      <c r="A31" s="16" t="inlineStr">
        <is>
          <t>G14</t>
        </is>
      </c>
      <c r="B31" s="16" t="inlineStr">
        <is>
          <t>Surajit Borah</t>
        </is>
      </c>
      <c r="C31" s="16" t="inlineStr">
        <is>
          <t>surajit.borah@gmail.com</t>
        </is>
      </c>
      <c r="D31" s="16" t="inlineStr">
        <is>
          <t>7829872270</t>
        </is>
      </c>
      <c r="E31" s="16" t="n"/>
      <c r="F31" s="16" t="n"/>
      <c r="G31" s="16" t="n"/>
      <c r="H31" s="16" t="n"/>
    </row>
    <row r="32">
      <c r="A32" s="15" t="inlineStr">
        <is>
          <t>G15</t>
        </is>
      </c>
      <c r="B32" s="15" t="inlineStr">
        <is>
          <t>Suresh Nallusamy</t>
        </is>
      </c>
      <c r="C32" s="15" t="inlineStr">
        <is>
          <t>suresh.nallusamy@gmail.com</t>
        </is>
      </c>
      <c r="D32" s="15" t="n"/>
      <c r="E32" s="15" t="n"/>
      <c r="F32" s="15" t="n"/>
      <c r="G32" s="15" t="n"/>
      <c r="H32" s="15" t="n"/>
    </row>
    <row r="33">
      <c r="A33" s="16" t="inlineStr">
        <is>
          <t>G16</t>
        </is>
      </c>
      <c r="B33" s="16" t="inlineStr">
        <is>
          <t>Praveen Ganesan</t>
        </is>
      </c>
      <c r="C33" s="16" t="inlineStr">
        <is>
          <t>praveengb@gmail.com</t>
        </is>
      </c>
      <c r="D33" s="16" t="inlineStr">
        <is>
          <t>8050164658</t>
        </is>
      </c>
      <c r="E33" s="16" t="n"/>
      <c r="F33" s="16" t="n"/>
      <c r="G33" s="16" t="n"/>
      <c r="H33" s="16" t="n"/>
    </row>
    <row r="34">
      <c r="A34" s="15" t="inlineStr">
        <is>
          <t>S1</t>
        </is>
      </c>
      <c r="B34" s="15" t="inlineStr">
        <is>
          <t>S.N.Behera</t>
        </is>
      </c>
      <c r="C34" s="15" t="inlineStr">
        <is>
          <t>snbeheras1@gmail.com</t>
        </is>
      </c>
      <c r="D34" s="15" t="inlineStr">
        <is>
          <t>919980008526</t>
        </is>
      </c>
      <c r="E34" s="15" t="n"/>
      <c r="F34" s="15" t="n"/>
      <c r="G34" s="15" t="n"/>
      <c r="H34" s="15" t="n"/>
    </row>
    <row r="35">
      <c r="A35" s="16" t="inlineStr">
        <is>
          <t>S2</t>
        </is>
      </c>
      <c r="B35" s="16" t="inlineStr">
        <is>
          <t>Sonal Singh</t>
        </is>
      </c>
      <c r="C35" s="16" t="inlineStr">
        <is>
          <t>sonal.singhal86@gmail.com</t>
        </is>
      </c>
      <c r="D35" s="16" t="n"/>
      <c r="E35" s="16" t="n"/>
      <c r="F35" s="16" t="n"/>
      <c r="G35" s="16" t="n"/>
      <c r="H35" s="16" t="n"/>
    </row>
    <row r="36">
      <c r="A36" s="15" t="inlineStr">
        <is>
          <t>S3</t>
        </is>
      </c>
      <c r="B36" s="15" t="inlineStr">
        <is>
          <t>Manikandan N</t>
        </is>
      </c>
      <c r="C36" s="15" t="n"/>
      <c r="D36" s="15" t="n"/>
      <c r="E36" s="15" t="n"/>
      <c r="F36" s="15" t="n"/>
      <c r="G36" s="15" t="n"/>
      <c r="H36" s="15" t="n"/>
    </row>
    <row r="37">
      <c r="A37" s="16" t="inlineStr">
        <is>
          <t>S4</t>
        </is>
      </c>
      <c r="B37" s="16" t="inlineStr">
        <is>
          <t>Swami</t>
        </is>
      </c>
      <c r="C37" s="16" t="inlineStr">
        <is>
          <t>swami2007@gmail.com</t>
        </is>
      </c>
      <c r="D37" s="16" t="n"/>
      <c r="E37" s="16" t="n"/>
      <c r="F37" s="16" t="n"/>
      <c r="G37" s="16" t="n"/>
      <c r="H37" s="16" t="n"/>
    </row>
    <row r="38" ht="25.5" customHeight="1" s="99">
      <c r="A38" s="15" t="inlineStr">
        <is>
          <t>S5</t>
        </is>
      </c>
      <c r="B38" s="15" t="inlineStr">
        <is>
          <t>Abhishek Gopalakrishnan</t>
        </is>
      </c>
      <c r="C38" s="15" t="inlineStr">
        <is>
          <t>abhishek.harekrishna@gmail.com</t>
        </is>
      </c>
      <c r="D38" s="15" t="inlineStr">
        <is>
          <t>7042447356</t>
        </is>
      </c>
      <c r="E38" s="15" t="n"/>
      <c r="F38" s="15" t="n"/>
      <c r="G38" s="15" t="n"/>
      <c r="H38" s="15" t="n"/>
    </row>
    <row r="39">
      <c r="A39" s="16" t="inlineStr">
        <is>
          <t>S6</t>
        </is>
      </c>
      <c r="B39" s="16" t="inlineStr">
        <is>
          <t>Vivek Dhingra</t>
        </is>
      </c>
      <c r="C39" s="16" t="inlineStr">
        <is>
          <t>vivek.dhingra@gmail.com</t>
        </is>
      </c>
      <c r="D39" s="16" t="n"/>
      <c r="E39" s="16" t="n"/>
      <c r="F39" s="16" t="n"/>
      <c r="G39" s="16" t="n"/>
      <c r="H39" s="16" t="n"/>
    </row>
    <row r="40">
      <c r="A40" s="15" t="inlineStr">
        <is>
          <t>S7</t>
        </is>
      </c>
      <c r="B40" s="15" t="inlineStr">
        <is>
          <t>Harish B</t>
        </is>
      </c>
      <c r="C40" s="15" t="inlineStr">
        <is>
          <t>harishb80@gmail.com</t>
        </is>
      </c>
      <c r="D40" s="15" t="inlineStr">
        <is>
          <t>9980848757</t>
        </is>
      </c>
      <c r="E40" s="15" t="n"/>
      <c r="F40" s="15" t="n"/>
      <c r="G40" s="15" t="n"/>
      <c r="H40" s="15" t="n"/>
    </row>
    <row r="41">
      <c r="A41" s="16" t="inlineStr">
        <is>
          <t>S8</t>
        </is>
      </c>
      <c r="B41" s="16" t="inlineStr">
        <is>
          <t>Irudayaraj Alwin</t>
        </is>
      </c>
      <c r="C41" s="16" t="inlineStr">
        <is>
          <t>a.alwin@gmail.com</t>
        </is>
      </c>
      <c r="D41" s="16" t="n"/>
      <c r="E41" s="16" t="n"/>
      <c r="F41" s="16" t="n"/>
      <c r="G41" s="16" t="n"/>
      <c r="H41" s="16" t="n"/>
    </row>
    <row r="42">
      <c r="A42" s="15" t="inlineStr">
        <is>
          <t>S9</t>
        </is>
      </c>
      <c r="B42" s="15" t="inlineStr">
        <is>
          <t>Pawan GS</t>
        </is>
      </c>
      <c r="C42" s="15" t="inlineStr">
        <is>
          <t>pawangs@gmail.com</t>
        </is>
      </c>
      <c r="D42" s="15" t="inlineStr">
        <is>
          <t>8106966338</t>
        </is>
      </c>
      <c r="E42" s="15" t="n"/>
      <c r="F42" s="15" t="n"/>
      <c r="G42" s="15" t="n"/>
      <c r="H42" s="15" t="n"/>
    </row>
    <row r="43">
      <c r="A43" s="16" t="inlineStr">
        <is>
          <t>S10</t>
        </is>
      </c>
      <c r="B43" s="16" t="inlineStr">
        <is>
          <t>Mayfy</t>
        </is>
      </c>
      <c r="C43" s="16" t="n"/>
      <c r="D43" s="16" t="n"/>
      <c r="E43" s="16" t="n"/>
      <c r="F43" s="16" t="n"/>
      <c r="G43" s="16" t="n"/>
      <c r="H43" s="16" t="n"/>
    </row>
    <row r="44">
      <c r="A44" s="15" t="inlineStr">
        <is>
          <t>S11</t>
        </is>
      </c>
      <c r="B44" s="15" t="inlineStr">
        <is>
          <t>Gowrish Patnaik</t>
        </is>
      </c>
      <c r="C44" s="15" t="inlineStr">
        <is>
          <t>gourish.patnaik@gmail.com</t>
        </is>
      </c>
      <c r="D44" s="15" t="n"/>
      <c r="E44" s="15" t="n"/>
      <c r="F44" s="15" t="n"/>
      <c r="G44" s="15" t="n"/>
      <c r="H44" s="15" t="n"/>
    </row>
    <row r="45">
      <c r="A45" s="16" t="inlineStr">
        <is>
          <t>S12</t>
        </is>
      </c>
      <c r="B45" s="16" t="inlineStr">
        <is>
          <t>Saovik Mondal</t>
        </is>
      </c>
      <c r="C45" s="16" t="inlineStr">
        <is>
          <t>saovikmondal@gmail.com</t>
        </is>
      </c>
      <c r="D45" s="16" t="n"/>
      <c r="E45" s="16" t="n"/>
      <c r="F45" s="16" t="n"/>
      <c r="G45" s="16" t="n"/>
      <c r="H45" s="16" t="n"/>
    </row>
    <row r="46">
      <c r="A46" s="15" t="inlineStr">
        <is>
          <t>S13</t>
        </is>
      </c>
      <c r="B46" s="15" t="inlineStr">
        <is>
          <t>Srinivasa Rao</t>
        </is>
      </c>
      <c r="C46" s="15" t="inlineStr">
        <is>
          <t>srinivasa.sambana@gmail.com</t>
        </is>
      </c>
      <c r="D46" s="15" t="n"/>
      <c r="E46" s="15" t="n"/>
      <c r="F46" s="15" t="n"/>
      <c r="G46" s="15" t="n"/>
      <c r="H46" s="15" t="n"/>
    </row>
    <row r="47">
      <c r="A47" s="16" t="inlineStr">
        <is>
          <t>S14</t>
        </is>
      </c>
      <c r="B47" s="16" t="inlineStr">
        <is>
          <t>Nishant Upadhyay</t>
        </is>
      </c>
      <c r="C47" s="16" t="inlineStr">
        <is>
          <t>nishantupadhyayster@gmail.com</t>
        </is>
      </c>
      <c r="D47" s="16" t="inlineStr">
        <is>
          <t>08066784591</t>
        </is>
      </c>
      <c r="E47" s="16" t="n"/>
      <c r="F47" s="16" t="n"/>
      <c r="G47" s="16" t="n"/>
      <c r="H47" s="16" t="n"/>
    </row>
    <row r="48">
      <c r="A48" s="15" t="inlineStr">
        <is>
          <t>S15</t>
        </is>
      </c>
      <c r="B48" s="15" t="inlineStr">
        <is>
          <t>Manas Dasgupta</t>
        </is>
      </c>
      <c r="C48" s="15" t="n"/>
      <c r="D48" s="15" t="inlineStr">
        <is>
          <t>918105654642</t>
        </is>
      </c>
      <c r="E48" s="15" t="n"/>
      <c r="F48" s="15" t="n"/>
      <c r="G48" s="15" t="n"/>
      <c r="H48" s="15" t="n"/>
    </row>
    <row r="49">
      <c r="A49" s="16" t="inlineStr">
        <is>
          <t>S16</t>
        </is>
      </c>
      <c r="B49" s="16" t="inlineStr">
        <is>
          <t>Devendra Singh Rawat</t>
        </is>
      </c>
      <c r="C49" s="16" t="inlineStr">
        <is>
          <t>devendrasinghrawat@gmail.com</t>
        </is>
      </c>
      <c r="D49" s="16" t="inlineStr">
        <is>
          <t>7899740830</t>
        </is>
      </c>
      <c r="E49" s="16" t="n"/>
      <c r="F49" s="16" t="n"/>
      <c r="G49" s="16" t="n"/>
      <c r="H49" s="16" t="n"/>
    </row>
    <row r="50">
      <c r="A50" s="15" t="inlineStr">
        <is>
          <t>T1</t>
        </is>
      </c>
      <c r="B50" s="15" t="inlineStr">
        <is>
          <t>Prashant Sikdar</t>
        </is>
      </c>
      <c r="C50" s="15" t="inlineStr">
        <is>
          <t>fossil.rvce@gmail.com</t>
        </is>
      </c>
      <c r="D50" s="15" t="inlineStr">
        <is>
          <t>902833360</t>
        </is>
      </c>
      <c r="E50" s="15" t="n"/>
      <c r="F50" s="15" t="n"/>
      <c r="G50" s="15" t="n"/>
      <c r="H50" s="15" t="n"/>
    </row>
    <row r="51">
      <c r="A51" s="16" t="inlineStr">
        <is>
          <t>T2</t>
        </is>
      </c>
      <c r="B51" s="16" t="inlineStr">
        <is>
          <t>Kunal Raj Mehta</t>
        </is>
      </c>
      <c r="C51" s="16" t="inlineStr">
        <is>
          <t>ryanmcbeal@gmail.com</t>
        </is>
      </c>
      <c r="D51" s="16" t="inlineStr">
        <is>
          <t>9731727374</t>
        </is>
      </c>
      <c r="E51" s="16" t="n"/>
      <c r="F51" s="16" t="n"/>
      <c r="G51" s="16" t="n"/>
      <c r="H51" s="16" t="n"/>
    </row>
    <row r="52">
      <c r="A52" s="15" t="inlineStr">
        <is>
          <t>T3</t>
        </is>
      </c>
      <c r="B52" s="15" t="inlineStr">
        <is>
          <t>Kapil Garg</t>
        </is>
      </c>
      <c r="C52" s="15" t="inlineStr">
        <is>
          <t>kapil.garg82@gmail.com</t>
        </is>
      </c>
      <c r="D52" s="15" t="inlineStr">
        <is>
          <t>9886279722</t>
        </is>
      </c>
      <c r="E52" s="15" t="n"/>
      <c r="F52" s="15" t="n"/>
      <c r="G52" s="15" t="n"/>
      <c r="H52" s="15" t="n"/>
    </row>
    <row r="53">
      <c r="A53" s="16" t="inlineStr">
        <is>
          <t>T4</t>
        </is>
      </c>
      <c r="B53" s="16" t="inlineStr">
        <is>
          <t>Vijet Alva</t>
        </is>
      </c>
      <c r="C53" s="16" t="inlineStr">
        <is>
          <t>vijetalva@gmail.com</t>
        </is>
      </c>
      <c r="D53" s="16" t="n"/>
      <c r="E53" s="16" t="n"/>
      <c r="F53" s="16" t="n"/>
      <c r="G53" s="16" t="n"/>
      <c r="H53" s="16" t="n"/>
    </row>
    <row r="54">
      <c r="A54" s="15" t="inlineStr">
        <is>
          <t>T5</t>
        </is>
      </c>
      <c r="B54" s="15" t="inlineStr">
        <is>
          <t>Ganesh Iyer</t>
        </is>
      </c>
      <c r="C54" s="15" t="inlineStr">
        <is>
          <t>giyer.ops@gmail.com</t>
        </is>
      </c>
      <c r="D54" s="15" t="inlineStr">
        <is>
          <t>402691638</t>
        </is>
      </c>
      <c r="E54" s="15" t="n"/>
      <c r="F54" s="15" t="n"/>
      <c r="G54" s="15" t="n"/>
      <c r="H54" s="15" t="n"/>
    </row>
    <row r="55">
      <c r="A55" s="16" t="inlineStr">
        <is>
          <t>T6</t>
        </is>
      </c>
      <c r="B55" s="16" t="inlineStr">
        <is>
          <t>Mythili Ramesh</t>
        </is>
      </c>
      <c r="C55" s="16" t="inlineStr">
        <is>
          <t>myth.rmsh@gmail.com</t>
        </is>
      </c>
      <c r="D55" s="16" t="inlineStr">
        <is>
          <t>9845756755</t>
        </is>
      </c>
      <c r="E55" s="16" t="n"/>
      <c r="F55" s="16" t="n"/>
      <c r="G55" s="16" t="n"/>
      <c r="H55" s="16" t="n"/>
    </row>
    <row r="56">
      <c r="A56" s="15" t="inlineStr">
        <is>
          <t>T7</t>
        </is>
      </c>
      <c r="B56" s="15" t="inlineStr">
        <is>
          <t>Vinyas Ramachandra</t>
        </is>
      </c>
      <c r="C56" s="15" t="inlineStr">
        <is>
          <t>vinyasr@gmail.com</t>
        </is>
      </c>
      <c r="D56" s="15" t="n"/>
      <c r="E56" s="15" t="n"/>
      <c r="F56" s="15" t="n"/>
      <c r="G56" s="15" t="n"/>
      <c r="H56" s="15" t="n"/>
    </row>
    <row r="57">
      <c r="A57" s="16" t="inlineStr">
        <is>
          <t>T8</t>
        </is>
      </c>
      <c r="B57" s="16" t="inlineStr">
        <is>
          <t>Lalit Kumar Sharma</t>
        </is>
      </c>
      <c r="C57" s="16" t="inlineStr">
        <is>
          <t>lalitsharma21@gmail.com</t>
        </is>
      </c>
      <c r="D57" s="16" t="inlineStr">
        <is>
          <t>9900159881</t>
        </is>
      </c>
      <c r="E57" s="16" t="n"/>
      <c r="F57" s="16" t="n"/>
      <c r="G57" s="16" t="n"/>
      <c r="H57" s="16" t="n"/>
    </row>
    <row r="58">
      <c r="A58" s="15" t="inlineStr">
        <is>
          <t>T9</t>
        </is>
      </c>
      <c r="B58" s="15" t="inlineStr">
        <is>
          <t>Nishith Sahu</t>
        </is>
      </c>
      <c r="C58" s="15" t="inlineStr">
        <is>
          <t>nishsahu@gmail.com</t>
        </is>
      </c>
      <c r="D58" s="15" t="n"/>
      <c r="E58" s="15" t="n"/>
      <c r="F58" s="15" t="n"/>
      <c r="G58" s="15" t="n"/>
      <c r="H58" s="15" t="n"/>
    </row>
    <row r="59" ht="25.5" customHeight="1" s="99">
      <c r="A59" s="16" t="inlineStr">
        <is>
          <t>T10</t>
        </is>
      </c>
      <c r="B59" s="16" t="inlineStr">
        <is>
          <t>Vamsidhar Bethanabatla</t>
        </is>
      </c>
      <c r="C59" s="16" t="inlineStr">
        <is>
          <t>b.vamsidhar@gmail.com</t>
        </is>
      </c>
      <c r="D59" s="16" t="inlineStr">
        <is>
          <t>9900181705</t>
        </is>
      </c>
      <c r="E59" s="16" t="n"/>
      <c r="F59" s="16" t="n"/>
      <c r="G59" s="16" t="n"/>
      <c r="H59" s="16" t="n"/>
    </row>
    <row r="60">
      <c r="A60" s="15" t="inlineStr">
        <is>
          <t>T11</t>
        </is>
      </c>
      <c r="B60" s="15" t="inlineStr">
        <is>
          <t>Vaishnavi Suthapalli</t>
        </is>
      </c>
      <c r="C60" s="15" t="inlineStr">
        <is>
          <t>suthapallivaishnavi@gmail.com</t>
        </is>
      </c>
      <c r="D60" s="15" t="inlineStr">
        <is>
          <t>9500130636</t>
        </is>
      </c>
      <c r="E60" s="15" t="n"/>
      <c r="F60" s="15" t="n"/>
      <c r="G60" s="15" t="n"/>
      <c r="H60" s="15" t="n"/>
    </row>
    <row r="61">
      <c r="A61" s="16" t="inlineStr">
        <is>
          <t>T12</t>
        </is>
      </c>
      <c r="B61" s="16" t="inlineStr">
        <is>
          <t>Prasenjit</t>
        </is>
      </c>
      <c r="C61" s="16" t="inlineStr">
        <is>
          <t>shumonchaks@gmail.com</t>
        </is>
      </c>
      <c r="D61" s="16" t="n"/>
      <c r="E61" s="16" t="n"/>
      <c r="F61" s="16" t="n"/>
      <c r="G61" s="16" t="n"/>
      <c r="H61" s="16" t="n"/>
    </row>
    <row r="62">
      <c r="A62" s="15" t="inlineStr">
        <is>
          <t>T13</t>
        </is>
      </c>
      <c r="B62" s="15" t="inlineStr">
        <is>
          <t>Sonali Deokhule</t>
        </is>
      </c>
      <c r="C62" s="15" t="n"/>
      <c r="D62" s="15" t="n"/>
      <c r="E62" s="15" t="n"/>
      <c r="F62" s="15" t="n"/>
      <c r="G62" s="15" t="n"/>
      <c r="H62" s="15" t="n"/>
    </row>
    <row r="63">
      <c r="A63" s="16" t="inlineStr">
        <is>
          <t>T14</t>
        </is>
      </c>
      <c r="B63" s="16" t="inlineStr">
        <is>
          <t>Jeya</t>
        </is>
      </c>
      <c r="C63" s="16" t="inlineStr">
        <is>
          <t>jayajeganathan@gmail.com</t>
        </is>
      </c>
      <c r="D63" s="16" t="inlineStr">
        <is>
          <t>9620007862</t>
        </is>
      </c>
      <c r="E63" s="16" t="n"/>
      <c r="F63" s="16" t="n"/>
      <c r="G63" s="16" t="n"/>
      <c r="H63" s="16" t="n"/>
    </row>
    <row r="64">
      <c r="A64" s="15" t="inlineStr">
        <is>
          <t>T15</t>
        </is>
      </c>
      <c r="B64" s="15" t="inlineStr">
        <is>
          <t>Trevor</t>
        </is>
      </c>
      <c r="C64" s="15" t="n"/>
      <c r="D64" s="15" t="inlineStr">
        <is>
          <t>9900237201</t>
        </is>
      </c>
      <c r="E64" s="15" t="n"/>
      <c r="F64" s="15" t="n"/>
      <c r="G64" s="15" t="n"/>
      <c r="H64" s="15" t="n"/>
    </row>
    <row r="65">
      <c r="A65" s="16" t="inlineStr">
        <is>
          <t>T16</t>
        </is>
      </c>
      <c r="B65" s="16" t="inlineStr">
        <is>
          <t>Madhusoodanan P.R.</t>
        </is>
      </c>
      <c r="C65" s="16" t="inlineStr">
        <is>
          <t>madhusoodan.pr@gmail.com</t>
        </is>
      </c>
      <c r="D65" s="16" t="n"/>
      <c r="E65" s="16" t="n"/>
      <c r="F65" s="16" t="n"/>
      <c r="G65" s="16" t="n"/>
      <c r="H65" s="16" t="n"/>
    </row>
  </sheetData>
  <hyperlinks>
    <hyperlink xmlns:r="http://schemas.openxmlformats.org/officeDocument/2006/relationships" ref="C9" r:id="rId1"/>
    <hyperlink xmlns:r="http://schemas.openxmlformats.org/officeDocument/2006/relationships" ref="C25" r:id="rId2"/>
    <hyperlink xmlns:r="http://schemas.openxmlformats.org/officeDocument/2006/relationships" ref="C2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73"/>
  <sheetViews>
    <sheetView topLeftCell="G1" workbookViewId="0">
      <pane ySplit="2" topLeftCell="A3" activePane="bottomLeft" state="frozen"/>
      <selection pane="bottomLeft" activeCell="R3" sqref="R3"/>
    </sheetView>
  </sheetViews>
  <sheetFormatPr baseColWidth="8" defaultColWidth="14.42578125" defaultRowHeight="15" customHeight="1"/>
  <cols>
    <col width="7.7109375" customWidth="1" style="99" min="1" max="1"/>
    <col width="32" customWidth="1" style="99" min="2" max="2"/>
    <col width="15.7109375" customWidth="1" style="99" min="3" max="3"/>
    <col width="20.140625" customWidth="1" style="99" min="4" max="4"/>
    <col width="19.42578125" customWidth="1" style="99" min="5" max="5"/>
    <col width="15" customWidth="1" style="99" min="6" max="6"/>
    <col width="16.28515625" customWidth="1" style="99" min="7" max="7"/>
    <col width="13.7109375" customWidth="1" style="99" min="8" max="8"/>
    <col width="14.28515625" customWidth="1" style="99" min="9" max="9"/>
    <col width="28.42578125" customWidth="1" style="99" min="10" max="10"/>
    <col width="16.7109375" customWidth="1" style="99" min="11" max="11"/>
    <col width="17.7109375" customWidth="1" style="99" min="12" max="12"/>
    <col width="17.28515625" customWidth="1" style="99" min="13" max="13"/>
    <col width="15.7109375" customWidth="1" style="99" min="14" max="14"/>
    <col width="16.7109375" customWidth="1" style="99" min="15" max="15"/>
    <col width="17.7109375" customWidth="1" style="99" min="16" max="16"/>
    <col width="27.42578125" customWidth="1" style="99" min="17" max="17"/>
    <col width="27.42578125" customWidth="1" style="85" min="18" max="18"/>
    <col width="12.28515625" customWidth="1" style="99" min="19" max="19"/>
    <col width="44.140625" customWidth="1" style="99" min="20" max="20"/>
    <col width="16.28515625" bestFit="1" customWidth="1" style="99" min="21" max="21"/>
  </cols>
  <sheetData>
    <row r="1" ht="18.75" customHeight="1" s="99">
      <c r="A1" s="91" t="n"/>
      <c r="B1" s="88" t="inlineStr">
        <is>
          <t>APR 2026 EXPENSES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90" t="n"/>
    </row>
    <row r="2" ht="58.5" customHeight="1" s="99">
      <c r="A2" s="18" t="inlineStr">
        <is>
          <t>FLAT #</t>
        </is>
      </c>
      <c r="B2" s="14" t="n">
        <v>1</v>
      </c>
      <c r="C2" s="18" t="inlineStr">
        <is>
          <t>WATER USED IN LTRS</t>
        </is>
      </c>
      <c r="D2" s="18" t="inlineStr">
        <is>
          <t>COMMON AREA WATER EQUALLY DIVIDED (L)</t>
        </is>
      </c>
      <c r="E2" s="18" t="inlineStr">
        <is>
          <t>TOTAL FRESH WATER CONSUMED(L)</t>
        </is>
      </c>
      <c r="F2" s="18" t="inlineStr">
        <is>
          <t>%OF TOTAL WATER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 (Rs)</t>
        </is>
      </c>
      <c r="J2" s="18" t="inlineStr">
        <is>
          <t>TOTAL VARIABLE = (COMMON AREA METER RENT + 
WATER EXPENSE+ 
FLAT METER RENT (Rs))</t>
        </is>
      </c>
      <c r="K2" s="18" t="inlineStr">
        <is>
          <t>FIXED EXPENSE SHARE(Rs)</t>
        </is>
      </c>
      <c r="L2" s="18" t="inlineStr">
        <is>
          <t>PARKING FEE(Rs)</t>
        </is>
      </c>
      <c r="M2" s="18" t="inlineStr">
        <is>
          <t>CLUB HOUSE FEE (Rs)</t>
        </is>
      </c>
      <c r="N2" s="18" t="inlineStr">
        <is>
          <t>SHIFTING FEE (Rs)</t>
        </is>
      </c>
      <c r="O2" s="18" t="inlineStr">
        <is>
          <t>GYM USAGE FEE(Rs)</t>
        </is>
      </c>
      <c r="P2" s="18" t="inlineStr">
        <is>
          <t>COVID+ GARBAGE FEE (Rs)</t>
        </is>
      </c>
      <c r="Q2" s="18" t="inlineStr">
        <is>
          <t>ANNUAL MEMBERSHIP FEE (Rs)</t>
        </is>
      </c>
      <c r="R2" s="18" t="inlineStr">
        <is>
          <t>LATE PAYMENT FINE</t>
        </is>
      </c>
      <c r="S2" s="18" t="inlineStr">
        <is>
          <t>TOTAL EXPENSE TO BE PAID (Rs)</t>
        </is>
      </c>
      <c r="T2" s="18" t="n"/>
      <c r="U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U7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U7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inlineStr">
        <is>
          <t>TOTAL FIXED EXPENSE</t>
        </is>
      </c>
      <c r="U4" s="22">
        <f>'ANNUAL-EXPENSE-DETAILS'!V3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U7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inlineStr">
        <is>
          <t>TOTAL WATER EXPENSE</t>
        </is>
      </c>
      <c r="U5" s="20">
        <f>'ANNUAL-EXPENSE-DETAILS'!U3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4356.5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F6*$U$5</f>
        <v/>
      </c>
      <c r="H6" s="22" t="n">
        <v>3</v>
      </c>
      <c r="I6" s="22">
        <f>$U$7*H6</f>
        <v/>
      </c>
      <c r="J6" s="22">
        <f>G6+$U$9+I6</f>
        <v/>
      </c>
      <c r="K6" s="22">
        <f>$U$4/64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/>
      <c r="S6" s="22">
        <f>SUM(J6:R6)*$B$2</f>
        <v/>
      </c>
      <c r="T6" s="22" t="n"/>
      <c r="U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10484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F7*$U$5</f>
        <v/>
      </c>
      <c r="H7" s="20" t="n">
        <v>4</v>
      </c>
      <c r="I7" s="20">
        <f>$U$7*H7</f>
        <v/>
      </c>
      <c r="J7" s="20">
        <f>G7+$U$9+I7</f>
        <v/>
      </c>
      <c r="K7" s="20">
        <f>$U$4/64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/>
      <c r="S7" s="20">
        <f>SUM(J7:R7)*$B$2</f>
        <v/>
      </c>
      <c r="T7" s="20" t="inlineStr">
        <is>
          <t>RENT PER METER (Rs)</t>
        </is>
      </c>
      <c r="U7" s="80">
        <f>(99.84+0.18*99.84)</f>
        <v/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10870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F8*$U$5</f>
        <v/>
      </c>
      <c r="H8" s="22" t="n">
        <v>4</v>
      </c>
      <c r="I8" s="22">
        <f>$U$7*H8</f>
        <v/>
      </c>
      <c r="J8" s="22">
        <f>G8+$U$9+I8</f>
        <v/>
      </c>
      <c r="K8" s="22">
        <f>$U$4/64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/>
      <c r="S8" s="22">
        <f>SUM(J8:R8)*$B$2</f>
        <v/>
      </c>
      <c r="T8" s="22" t="inlineStr">
        <is>
          <t>COMMON AREA METER RENT(Rs)</t>
        </is>
      </c>
      <c r="U8" s="22">
        <f>$U$7*3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4632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F9*$U$5</f>
        <v/>
      </c>
      <c r="H9" s="20" t="n">
        <v>4</v>
      </c>
      <c r="I9" s="20">
        <f>$U$7*H9</f>
        <v/>
      </c>
      <c r="J9" s="20">
        <f>G9+$U$9+I9</f>
        <v/>
      </c>
      <c r="K9" s="20">
        <f>$U$4/64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/>
      <c r="S9" s="20">
        <f>SUM(J9:R9)*$B$2</f>
        <v/>
      </c>
      <c r="T9" s="20" t="inlineStr">
        <is>
          <t>COMMON AREA METER RENT/FLAT (Rs)</t>
        </is>
      </c>
      <c r="U9" s="20">
        <f>U8/64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3771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F10*$U$5</f>
        <v/>
      </c>
      <c r="H10" s="22" t="n">
        <v>3</v>
      </c>
      <c r="I10" s="22">
        <f>$U$7*H10</f>
        <v/>
      </c>
      <c r="J10" s="22">
        <f>G10+$U$9+I10</f>
        <v/>
      </c>
      <c r="K10" s="22">
        <f>$U$4/64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/>
      <c r="S10" s="22">
        <f>SUM(J10:R10)*$B$2</f>
        <v/>
      </c>
      <c r="T10" s="22" t="n"/>
      <c r="U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6789.5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F11*$U$5</f>
        <v/>
      </c>
      <c r="H11" s="20" t="n">
        <v>3</v>
      </c>
      <c r="I11" s="20">
        <f>$U$7*H11</f>
        <v/>
      </c>
      <c r="J11" s="20">
        <f>G11+$U$9+I11</f>
        <v/>
      </c>
      <c r="K11" s="20">
        <f>$U$4/64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/>
      <c r="S11" s="20">
        <f>SUM(J11:R11)*$B$2</f>
        <v/>
      </c>
      <c r="T11" s="20" t="inlineStr">
        <is>
          <t>BALANCE IN ACCOUNT ON 30-Apr-2023</t>
        </is>
      </c>
      <c r="U11" s="20" t="n"/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59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F12*$U$5</f>
        <v/>
      </c>
      <c r="H12" s="22" t="n">
        <v>3</v>
      </c>
      <c r="I12" s="22">
        <f>$U$7*H12</f>
        <v/>
      </c>
      <c r="J12" s="22">
        <f>G12+$U$9+I12</f>
        <v/>
      </c>
      <c r="K12" s="22">
        <f>$U$4/64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/>
      <c r="S12" s="22">
        <f>SUM(J12:R12)*$B$2</f>
        <v/>
      </c>
      <c r="T12" s="22" t="inlineStr">
        <is>
          <t>TOTAL NON MAINTENANCE CORPUS COLLECTION</t>
        </is>
      </c>
      <c r="U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3714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F13*$U$5</f>
        <v/>
      </c>
      <c r="H13" s="20" t="n">
        <v>3</v>
      </c>
      <c r="I13" s="20">
        <f>$U$7*H13</f>
        <v/>
      </c>
      <c r="J13" s="20">
        <f>G13+$U$9+I13</f>
        <v/>
      </c>
      <c r="K13" s="20">
        <f>$U$4/64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>
        <v>0</v>
      </c>
      <c r="R13" s="20" t="n"/>
      <c r="S13" s="20">
        <f>SUM(J13:R13)*$B$2</f>
        <v/>
      </c>
      <c r="T13" s="20" t="inlineStr">
        <is>
          <t>TOTAL FD DONE</t>
        </is>
      </c>
      <c r="U13" s="20" t="n"/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2051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F14*$U$5</f>
        <v/>
      </c>
      <c r="H14" s="22" t="n">
        <v>4</v>
      </c>
      <c r="I14" s="22">
        <f>$U$7*H14</f>
        <v/>
      </c>
      <c r="J14" s="22">
        <f>G14+$U$9+I14</f>
        <v/>
      </c>
      <c r="K14" s="22">
        <f>$U$4/64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/>
      <c r="S14" s="22">
        <f>SUM(J14:R14)*$B$2</f>
        <v/>
      </c>
      <c r="T14" s="22" t="inlineStr">
        <is>
          <t>AMOUNT AVAILABLE FOR NON MAINTENANCE CORPUS IN CURRENT AC</t>
        </is>
      </c>
      <c r="U14" s="22">
        <f>U12-U13</f>
        <v/>
      </c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9535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F15*$U$5</f>
        <v/>
      </c>
      <c r="H15" s="20" t="n">
        <v>3</v>
      </c>
      <c r="I15" s="20">
        <f>$U$7*H15</f>
        <v/>
      </c>
      <c r="J15" s="20">
        <f>G15+$U$9+I15</f>
        <v/>
      </c>
      <c r="K15" s="20">
        <f>$U$4/64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0" t="n"/>
      <c r="S15" s="20">
        <f>SUM(J15:R15)*$B$2</f>
        <v/>
      </c>
      <c r="T15" s="20" t="inlineStr">
        <is>
          <t>Pending vendor payments</t>
        </is>
      </c>
      <c r="U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874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F16*$U$5</f>
        <v/>
      </c>
      <c r="H16" s="22" t="n">
        <v>3</v>
      </c>
      <c r="I16" s="22">
        <f>$U$7*H16</f>
        <v/>
      </c>
      <c r="J16" s="22">
        <f>G16+$U$9+I16</f>
        <v/>
      </c>
      <c r="K16" s="22">
        <f>$U$4/64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/>
      <c r="S16" s="22">
        <f>SUM(J16:R16)*$B$2</f>
        <v/>
      </c>
      <c r="T16" s="22" t="inlineStr">
        <is>
          <t>AMOUNT AVAILABLE FOR MAINTENANCE</t>
        </is>
      </c>
      <c r="U16" s="22">
        <f>U11-U14-U15</f>
        <v/>
      </c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30.5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F17*$U$5</f>
        <v/>
      </c>
      <c r="H17" s="20" t="n">
        <v>3</v>
      </c>
      <c r="I17" s="20">
        <f>$U$7*H17</f>
        <v/>
      </c>
      <c r="J17" s="20">
        <f>G17+$U$9+I17</f>
        <v/>
      </c>
      <c r="K17" s="20">
        <f>$U$4/64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 t="n"/>
      <c r="S17" s="20">
        <f>SUM(J17:R17)*$B$2</f>
        <v/>
      </c>
      <c r="T17" s="20" t="inlineStr">
        <is>
          <t>TOTAL EXPENSE FOR THE MONTH</t>
        </is>
      </c>
      <c r="U17" s="20">
        <f>'ANNUAL-EXPENSE-DETAILS'!Y9</f>
        <v/>
      </c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2465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F18*$U$5</f>
        <v/>
      </c>
      <c r="H18" s="22" t="n">
        <v>4</v>
      </c>
      <c r="I18" s="22">
        <f>$U$7*H18</f>
        <v/>
      </c>
      <c r="J18" s="22">
        <f>G18+$U$9+I18</f>
        <v/>
      </c>
      <c r="K18" s="22">
        <f>$U$4/64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/>
      <c r="S18" s="22">
        <f>SUM(J18:R18)*$B$2</f>
        <v/>
      </c>
      <c r="T18" s="22" t="inlineStr">
        <is>
          <t>Maintenance deficit</t>
        </is>
      </c>
      <c r="U18" s="22">
        <f>U16-U17</f>
        <v/>
      </c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492.5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F19*$U$5</f>
        <v/>
      </c>
      <c r="H19" s="20" t="n">
        <v>4</v>
      </c>
      <c r="I19" s="20">
        <f>$U$7*H19</f>
        <v/>
      </c>
      <c r="J19" s="20">
        <f>G19+$U$9+I19</f>
        <v/>
      </c>
      <c r="K19" s="20">
        <f>$U$4/64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/>
      <c r="S19" s="20">
        <f>SUM(J19:R19)*$B$2</f>
        <v/>
      </c>
      <c r="T19" s="20" t="n"/>
      <c r="U19" s="20" t="n"/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3827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F20*$U$5</f>
        <v/>
      </c>
      <c r="H20" s="22" t="n">
        <v>4</v>
      </c>
      <c r="I20" s="22">
        <f>$U$7*H20</f>
        <v/>
      </c>
      <c r="J20" s="22">
        <f>G20+$U$9+I20</f>
        <v/>
      </c>
      <c r="K20" s="22">
        <f>$U$4/64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/>
      <c r="S20" s="22">
        <f>SUM(J20:R20)*$B$2</f>
        <v/>
      </c>
      <c r="T20" s="22" t="n"/>
      <c r="U20" s="22" t="n"/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14264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F21*$U$5</f>
        <v/>
      </c>
      <c r="H21" s="20" t="n">
        <v>3</v>
      </c>
      <c r="I21" s="20">
        <f>$U$7*H21</f>
        <v/>
      </c>
      <c r="J21" s="20">
        <f>G21+$U$9+I21</f>
        <v/>
      </c>
      <c r="K21" s="20">
        <f>$U$4/64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0</v>
      </c>
      <c r="R21" s="20" t="n"/>
      <c r="S21" s="20">
        <f>SUM(J21:R21)*$B$2</f>
        <v/>
      </c>
      <c r="T21" s="20" t="n"/>
      <c r="U21" s="20" t="n"/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11858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F22*$U$5</f>
        <v/>
      </c>
      <c r="H22" s="22" t="n">
        <v>3</v>
      </c>
      <c r="I22" s="22">
        <f>$U$7*H22</f>
        <v/>
      </c>
      <c r="J22" s="22">
        <f>G22+$U$9+I22</f>
        <v/>
      </c>
      <c r="K22" s="22">
        <f>$U$4/64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/>
      <c r="S22" s="22">
        <f>SUM(J22:R22)*$B$2</f>
        <v/>
      </c>
      <c r="T22" s="22" t="n"/>
      <c r="U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16175.5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F23*$U$5</f>
        <v/>
      </c>
      <c r="H23" s="20" t="n">
        <v>4</v>
      </c>
      <c r="I23" s="20">
        <f>$U$7*H23</f>
        <v/>
      </c>
      <c r="J23" s="20">
        <f>G23+$U$9+I23</f>
        <v/>
      </c>
      <c r="K23" s="20">
        <f>$U$4/64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>
        <v>0</v>
      </c>
      <c r="R23" s="20" t="n"/>
      <c r="S23" s="20">
        <f>SUM(J23:R23)*$B$2</f>
        <v/>
      </c>
      <c r="T23" s="20" t="n"/>
      <c r="U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11046.5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F24*$U$5</f>
        <v/>
      </c>
      <c r="H24" s="22" t="n">
        <v>4</v>
      </c>
      <c r="I24" s="22">
        <f>$U$7*H24</f>
        <v/>
      </c>
      <c r="J24" s="22">
        <f>G24+$U$9+I24</f>
        <v/>
      </c>
      <c r="K24" s="22">
        <f>$U$4/64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/>
      <c r="S24" s="22">
        <f>SUM(J24:R24)*$B$2</f>
        <v/>
      </c>
      <c r="T24" s="22" t="n"/>
      <c r="U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19074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F25*$U$5</f>
        <v/>
      </c>
      <c r="H25" s="20" t="n">
        <v>4</v>
      </c>
      <c r="I25" s="20">
        <f>$U$7*H25</f>
        <v/>
      </c>
      <c r="J25" s="20">
        <f>G25+$U$9+I25</f>
        <v/>
      </c>
      <c r="K25" s="20">
        <f>$U$4/64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/>
      <c r="S25" s="20">
        <f>SUM(J25:R25)*$B$2</f>
        <v/>
      </c>
      <c r="T25" s="20" t="n"/>
      <c r="U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9713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F26*$U$5</f>
        <v/>
      </c>
      <c r="H26" s="22" t="n">
        <v>3</v>
      </c>
      <c r="I26" s="22">
        <f>$U$7*H26</f>
        <v/>
      </c>
      <c r="J26" s="22">
        <f>G26+$U$9+I26</f>
        <v/>
      </c>
      <c r="K26" s="22">
        <f>$U$4/64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/>
      <c r="S26" s="22">
        <f>SUM(J26:R26)*$B$2</f>
        <v/>
      </c>
      <c r="T26" s="22" t="n"/>
      <c r="U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6507.5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F27*$U$5</f>
        <v/>
      </c>
      <c r="H27" s="20" t="n">
        <v>3</v>
      </c>
      <c r="I27" s="20">
        <f>$U$7*H27</f>
        <v/>
      </c>
      <c r="J27" s="20">
        <f>G27+$U$9+I27</f>
        <v/>
      </c>
      <c r="K27" s="20">
        <f>$U$4/64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/>
      <c r="S27" s="20">
        <f>SUM(J27:R27)*$B$2</f>
        <v/>
      </c>
      <c r="T27" s="20" t="n"/>
      <c r="U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1733.5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F28*$U$5</f>
        <v/>
      </c>
      <c r="H28" s="22" t="n">
        <v>3</v>
      </c>
      <c r="I28" s="22">
        <f>$U$7*H28</f>
        <v/>
      </c>
      <c r="J28" s="22">
        <f>G28+$U$9+I28</f>
        <v/>
      </c>
      <c r="K28" s="22">
        <f>$U$4/64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/>
      <c r="S28" s="22">
        <f>SUM(J28:R28)*$B$2</f>
        <v/>
      </c>
      <c r="T28" s="22" t="n"/>
      <c r="U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3464.5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F29*$U$5</f>
        <v/>
      </c>
      <c r="H29" s="20" t="n">
        <v>3</v>
      </c>
      <c r="I29" s="20">
        <f>$U$7*H29</f>
        <v/>
      </c>
      <c r="J29" s="20">
        <f>G29+$U$9+I29</f>
        <v/>
      </c>
      <c r="K29" s="20">
        <f>$U$4/64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/>
      <c r="S29" s="20">
        <f>SUM(J29:R29)*$B$2</f>
        <v/>
      </c>
      <c r="T29" s="20" t="n"/>
      <c r="U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8075.5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F30*$U$5</f>
        <v/>
      </c>
      <c r="H30" s="22" t="n">
        <v>5</v>
      </c>
      <c r="I30" s="22">
        <f>$U$7*H30</f>
        <v/>
      </c>
      <c r="J30" s="22">
        <f>G30+$U$9+I30</f>
        <v/>
      </c>
      <c r="K30" s="22">
        <f>$U$4/64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/>
      <c r="S30" s="22">
        <f>SUM(J30:R30)*$B$2</f>
        <v/>
      </c>
      <c r="T30" s="22" t="n"/>
      <c r="U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2618.5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F31*$U$5</f>
        <v/>
      </c>
      <c r="H31" s="20" t="n">
        <v>3</v>
      </c>
      <c r="I31" s="20">
        <f>$U$7*H31</f>
        <v/>
      </c>
      <c r="J31" s="20">
        <f>G31+$U$9+I31</f>
        <v/>
      </c>
      <c r="K31" s="20">
        <f>$U$4/64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/>
      <c r="S31" s="20">
        <f>SUM(J31:R31)*$B$2</f>
        <v/>
      </c>
      <c r="T31" s="20" t="n"/>
      <c r="U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1174.5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F32*$U$5</f>
        <v/>
      </c>
      <c r="H32" s="22" t="n">
        <v>3</v>
      </c>
      <c r="I32" s="22">
        <f>$U$7*H32</f>
        <v/>
      </c>
      <c r="J32" s="22">
        <f>G32+$U$9+I32</f>
        <v/>
      </c>
      <c r="K32" s="22">
        <f>$U$4/64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/>
      <c r="S32" s="22">
        <f>SUM(J32:R32)*$B$2</f>
        <v/>
      </c>
      <c r="T32" s="22" t="n"/>
      <c r="U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11170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F33*$U$5</f>
        <v/>
      </c>
      <c r="H33" s="20" t="n">
        <v>3</v>
      </c>
      <c r="I33" s="20">
        <f>$U$7*H33</f>
        <v/>
      </c>
      <c r="J33" s="20">
        <f>G33+$U$9+I33</f>
        <v/>
      </c>
      <c r="K33" s="20">
        <f>$U$4/64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</v>
      </c>
      <c r="R33" s="20" t="n"/>
      <c r="S33" s="20">
        <f>SUM(J33:R33)*$B$2</f>
        <v/>
      </c>
      <c r="T33" s="20" t="n"/>
      <c r="U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4030.5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F34*$U$5</f>
        <v/>
      </c>
      <c r="H34" s="22" t="n">
        <v>4</v>
      </c>
      <c r="I34" s="22">
        <f>$U$7*H34</f>
        <v/>
      </c>
      <c r="J34" s="22">
        <f>G34+$U$9+I34</f>
        <v/>
      </c>
      <c r="K34" s="22">
        <f>$U$4/64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/>
      <c r="S34" s="22">
        <f>SUM(J34:R34)*$B$2</f>
        <v/>
      </c>
      <c r="T34" s="22" t="n"/>
      <c r="U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11722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F35*$U$5</f>
        <v/>
      </c>
      <c r="H35" s="20" t="n">
        <v>4</v>
      </c>
      <c r="I35" s="20">
        <f>$U$7*H35</f>
        <v/>
      </c>
      <c r="J35" s="20">
        <f>G35+$U$9+I35</f>
        <v/>
      </c>
      <c r="K35" s="20">
        <f>$U$4/64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</v>
      </c>
      <c r="R35" s="20" t="n"/>
      <c r="S35" s="20">
        <f>SUM(J35:R35)*$B$2</f>
        <v/>
      </c>
      <c r="T35" s="20" t="n"/>
      <c r="U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24.5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F36*$U$5</f>
        <v/>
      </c>
      <c r="H36" s="22" t="n">
        <v>4</v>
      </c>
      <c r="I36" s="22">
        <f>$U$7*H36</f>
        <v/>
      </c>
      <c r="J36" s="22">
        <f>G36+$U$9+I36</f>
        <v/>
      </c>
      <c r="K36" s="22">
        <f>$U$4/64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/>
      <c r="S36" s="22">
        <f>SUM(J36:R36)*$B$2</f>
        <v/>
      </c>
      <c r="T36" s="22" t="n"/>
      <c r="U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3535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F37*$U$5</f>
        <v/>
      </c>
      <c r="H37" s="20" t="n">
        <v>3</v>
      </c>
      <c r="I37" s="20">
        <f>$U$7*H37</f>
        <v/>
      </c>
      <c r="J37" s="20">
        <f>G37+$U$9+I37</f>
        <v/>
      </c>
      <c r="K37" s="20">
        <f>$U$4/64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/>
      <c r="S37" s="20">
        <f>SUM(J37:R37)*$B$2</f>
        <v/>
      </c>
      <c r="T37" s="20" t="n"/>
      <c r="U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F38*$U$5</f>
        <v/>
      </c>
      <c r="H38" s="22" t="n">
        <v>3</v>
      </c>
      <c r="I38" s="22">
        <f>$U$7*H38</f>
        <v/>
      </c>
      <c r="J38" s="22">
        <f>G38+$U$9+I38</f>
        <v/>
      </c>
      <c r="K38" s="22">
        <f>$U$4/64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/>
      <c r="S38" s="22">
        <f>SUM(J38:R38)*$B$2</f>
        <v/>
      </c>
      <c r="T38" s="22" t="n"/>
      <c r="U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23292.5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F39*$U$5</f>
        <v/>
      </c>
      <c r="H39" s="20" t="n">
        <v>4</v>
      </c>
      <c r="I39" s="20">
        <f>$U$7*H39</f>
        <v/>
      </c>
      <c r="J39" s="20">
        <f>G39+$U$9+I39</f>
        <v/>
      </c>
      <c r="K39" s="20">
        <f>$U$4/64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  <c r="R39" s="20" t="n"/>
      <c r="S39" s="20">
        <f>SUM(J39:R39)*$B$2</f>
        <v/>
      </c>
      <c r="T39" s="20" t="n"/>
      <c r="U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4572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F40*$U$5</f>
        <v/>
      </c>
      <c r="H40" s="22" t="n">
        <v>4</v>
      </c>
      <c r="I40" s="22">
        <f>$U$7*H40</f>
        <v/>
      </c>
      <c r="J40" s="22">
        <f>G40+$U$9+I40</f>
        <v/>
      </c>
      <c r="K40" s="22">
        <f>$U$4/64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/>
      <c r="S40" s="22">
        <f>SUM(J40:R40)*$B$2</f>
        <v/>
      </c>
      <c r="T40" s="22" t="n"/>
      <c r="U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11998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F41*$U$5</f>
        <v/>
      </c>
      <c r="H41" s="20" t="n">
        <v>3</v>
      </c>
      <c r="I41" s="20">
        <f>$U$7*H41</f>
        <v/>
      </c>
      <c r="J41" s="20">
        <f>G41+$U$9+I41</f>
        <v/>
      </c>
      <c r="K41" s="20">
        <f>$U$4/64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/>
      <c r="S41" s="20">
        <f>SUM(J41:R41)*$B$2</f>
        <v/>
      </c>
      <c r="T41" s="20" t="n"/>
      <c r="U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2255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F42*$U$5</f>
        <v/>
      </c>
      <c r="H42" s="22" t="n">
        <v>3</v>
      </c>
      <c r="I42" s="22">
        <f>$U$7*H42</f>
        <v/>
      </c>
      <c r="J42" s="22">
        <f>G42+$U$9+I42</f>
        <v/>
      </c>
      <c r="K42" s="22">
        <f>$U$4/64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/>
      <c r="S42" s="22">
        <f>SUM(J42:R42)*$B$2</f>
        <v/>
      </c>
      <c r="T42" s="22" t="n"/>
      <c r="U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1.5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F43*$U$5</f>
        <v/>
      </c>
      <c r="H43" s="20" t="n">
        <v>3</v>
      </c>
      <c r="I43" s="20">
        <f>$U$7*H43</f>
        <v/>
      </c>
      <c r="J43" s="20">
        <f>G43+$U$9+I43</f>
        <v/>
      </c>
      <c r="K43" s="20">
        <f>$U$4/64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/>
      <c r="S43" s="20">
        <f>SUM(J43:R43)*$B$2</f>
        <v/>
      </c>
      <c r="T43" s="20" t="n"/>
      <c r="U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4062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F44*$U$5</f>
        <v/>
      </c>
      <c r="H44" s="22" t="n">
        <v>3</v>
      </c>
      <c r="I44" s="22">
        <f>$U$7*H44</f>
        <v/>
      </c>
      <c r="J44" s="22">
        <f>G44+$U$9+I44</f>
        <v/>
      </c>
      <c r="K44" s="22">
        <f>$U$4/64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/>
      <c r="S44" s="22">
        <f>SUM(J44:R44)*$B$2</f>
        <v/>
      </c>
      <c r="T44" s="22" t="n"/>
      <c r="U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8814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F45*$U$5</f>
        <v/>
      </c>
      <c r="H45" s="20" t="n">
        <v>3</v>
      </c>
      <c r="I45" s="20">
        <f>$U$7*H45</f>
        <v/>
      </c>
      <c r="J45" s="20">
        <f>G45+$U$9+I45</f>
        <v/>
      </c>
      <c r="K45" s="20">
        <f>$U$4/64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/>
      <c r="S45" s="20">
        <f>SUM(J45:R45)*$B$2</f>
        <v/>
      </c>
      <c r="T45" s="20" t="n"/>
      <c r="U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13391.5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F46*$U$5</f>
        <v/>
      </c>
      <c r="H46" s="22" t="n">
        <v>4</v>
      </c>
      <c r="I46" s="22">
        <f>$U$7*H46</f>
        <v/>
      </c>
      <c r="J46" s="22">
        <f>G46+$U$9+I46</f>
        <v/>
      </c>
      <c r="K46" s="22">
        <f>$U$4/64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/>
      <c r="S46" s="22">
        <f>SUM(J46:R46)*$B$2</f>
        <v/>
      </c>
      <c r="T46" s="22" t="n"/>
      <c r="U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411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F47*$U$5</f>
        <v/>
      </c>
      <c r="H47" s="20" t="n">
        <v>3</v>
      </c>
      <c r="I47" s="20">
        <f>$U$7*H47</f>
        <v/>
      </c>
      <c r="J47" s="20">
        <f>G47+$U$9+I47</f>
        <v/>
      </c>
      <c r="K47" s="20">
        <f>$U$4/64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>
        <v>0</v>
      </c>
      <c r="R47" s="20" t="n"/>
      <c r="S47" s="20">
        <f>SUM(J47:R47)*$B$2</f>
        <v/>
      </c>
      <c r="T47" s="20" t="n"/>
      <c r="U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2050.5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F48*$U$5</f>
        <v/>
      </c>
      <c r="H48" s="22" t="n">
        <v>3</v>
      </c>
      <c r="I48" s="22">
        <f>$U$7*H48</f>
        <v/>
      </c>
      <c r="J48" s="22">
        <f>G48+$U$9+I48</f>
        <v/>
      </c>
      <c r="K48" s="22">
        <f>$U$4/64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/>
      <c r="S48" s="22">
        <f>SUM(J48:R48)*$B$2</f>
        <v/>
      </c>
      <c r="T48" s="22" t="n"/>
      <c r="U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2166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F49*$U$5</f>
        <v/>
      </c>
      <c r="H49" s="20" t="n">
        <v>3</v>
      </c>
      <c r="I49" s="20">
        <f>$U$7*H49</f>
        <v/>
      </c>
      <c r="J49" s="20">
        <f>G49+$U$9+I49</f>
        <v/>
      </c>
      <c r="K49" s="20">
        <f>$U$4/64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/>
      <c r="S49" s="20">
        <f>SUM(J49:R49)*$B$2</f>
        <v/>
      </c>
      <c r="T49" s="20" t="n"/>
      <c r="U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18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F50*$U$5</f>
        <v/>
      </c>
      <c r="H50" s="22" t="n">
        <v>4</v>
      </c>
      <c r="I50" s="22">
        <f>$U$7*H50</f>
        <v/>
      </c>
      <c r="J50" s="22">
        <f>G50+$U$9+I50</f>
        <v/>
      </c>
      <c r="K50" s="22">
        <f>$U$4/64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/>
      <c r="S50" s="22">
        <f>SUM(J50:R50)*$B$2</f>
        <v/>
      </c>
      <c r="T50" s="22" t="n"/>
      <c r="U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5020.5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F51*$U$5</f>
        <v/>
      </c>
      <c r="H51" s="20" t="n">
        <v>4</v>
      </c>
      <c r="I51" s="20">
        <f>$U$7*H51</f>
        <v/>
      </c>
      <c r="J51" s="20">
        <f>G51+$U$9+I51</f>
        <v/>
      </c>
      <c r="K51" s="20">
        <f>$U$4/64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/>
      <c r="S51" s="20">
        <f>SUM(J51:R51)*$B$2</f>
        <v/>
      </c>
      <c r="T51" s="20" t="n"/>
      <c r="U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14590.5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F52*$U$5</f>
        <v/>
      </c>
      <c r="H52" s="22" t="n">
        <v>4</v>
      </c>
      <c r="I52" s="22">
        <f>$U$7*H52</f>
        <v/>
      </c>
      <c r="J52" s="22">
        <f>G52+$U$9+I52</f>
        <v/>
      </c>
      <c r="K52" s="22">
        <f>$U$4/64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22" t="n"/>
      <c r="S52" s="22">
        <f>SUM(J52:R52)*$B$2</f>
        <v/>
      </c>
      <c r="T52" s="22" t="n"/>
      <c r="U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2965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F53*$U$5</f>
        <v/>
      </c>
      <c r="H53" s="20" t="n">
        <v>3</v>
      </c>
      <c r="I53" s="20">
        <f>$U$7*H53</f>
        <v/>
      </c>
      <c r="J53" s="20">
        <f>G53+$U$9+I53</f>
        <v/>
      </c>
      <c r="K53" s="20">
        <f>$U$4/64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>
        <v>0</v>
      </c>
      <c r="R53" s="20" t="n"/>
      <c r="S53" s="20">
        <f>SUM(J53:R53)*$B$2</f>
        <v/>
      </c>
      <c r="T53" s="20" t="n"/>
      <c r="U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16605.5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F54*$U$5</f>
        <v/>
      </c>
      <c r="H54" s="22" t="n">
        <v>3</v>
      </c>
      <c r="I54" s="22">
        <f>$U$7*H54</f>
        <v/>
      </c>
      <c r="J54" s="22">
        <f>G54+$U$9+I54</f>
        <v/>
      </c>
      <c r="K54" s="22">
        <f>$U$4/64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/>
      <c r="S54" s="22">
        <f>SUM(J54:R54)*$B$2</f>
        <v/>
      </c>
      <c r="T54" s="22" t="n"/>
      <c r="U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12601.5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F55*$U$5</f>
        <v/>
      </c>
      <c r="H55" s="20" t="n">
        <v>4</v>
      </c>
      <c r="I55" s="20">
        <f>$U$7*H55</f>
        <v/>
      </c>
      <c r="J55" s="20">
        <f>G55+$U$9+I55</f>
        <v/>
      </c>
      <c r="K55" s="20">
        <f>$U$4/64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/>
      <c r="S55" s="20">
        <f>SUM(J55:R55)*$B$2</f>
        <v/>
      </c>
      <c r="T55" s="20" t="n"/>
      <c r="U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7247.5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F56*$U$5</f>
        <v/>
      </c>
      <c r="H56" s="22" t="n">
        <v>4</v>
      </c>
      <c r="I56" s="22">
        <f>$U$7*H56</f>
        <v/>
      </c>
      <c r="J56" s="22">
        <f>G56+$U$9+I56</f>
        <v/>
      </c>
      <c r="K56" s="22">
        <f>$U$4/64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/>
      <c r="S56" s="22">
        <f>SUM(J56:R56)*$B$2</f>
        <v/>
      </c>
      <c r="T56" s="22" t="n"/>
      <c r="U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344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F57*$U$5</f>
        <v/>
      </c>
      <c r="H57" s="20" t="n">
        <v>4</v>
      </c>
      <c r="I57" s="20">
        <f>$U$7*H57</f>
        <v/>
      </c>
      <c r="J57" s="20">
        <f>G57+$U$9+I57</f>
        <v/>
      </c>
      <c r="K57" s="20">
        <f>$U$4/64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>
        <v>0</v>
      </c>
      <c r="R57" s="20" t="n"/>
      <c r="S57" s="20">
        <f>SUM(J57:R57)*$B$2</f>
        <v/>
      </c>
      <c r="T57" s="20" t="n"/>
      <c r="U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3564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F58*$U$5</f>
        <v/>
      </c>
      <c r="H58" s="22" t="n">
        <v>3</v>
      </c>
      <c r="I58" s="22">
        <f>$U$7*H58</f>
        <v/>
      </c>
      <c r="J58" s="22">
        <f>G58+$U$9+I58</f>
        <v/>
      </c>
      <c r="K58" s="22">
        <f>$U$4/64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/>
      <c r="S58" s="22">
        <f>SUM(J58:R58)*$B$2</f>
        <v/>
      </c>
      <c r="T58" s="22" t="n"/>
      <c r="U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15798.5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F59*$U$5</f>
        <v/>
      </c>
      <c r="H59" s="20" t="n">
        <v>3</v>
      </c>
      <c r="I59" s="20">
        <f>$U$7*H59</f>
        <v/>
      </c>
      <c r="J59" s="20">
        <f>G59+$U$9+I59</f>
        <v/>
      </c>
      <c r="K59" s="20">
        <f>$U$4/64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</v>
      </c>
      <c r="R59" s="20" t="n"/>
      <c r="S59" s="20">
        <f>SUM(J59:R59)*$B$2</f>
        <v/>
      </c>
      <c r="T59" s="20" t="n"/>
      <c r="U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13819.5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F60*$U$5</f>
        <v/>
      </c>
      <c r="H60" s="22" t="n">
        <v>3</v>
      </c>
      <c r="I60" s="22">
        <f>$U$7*H60</f>
        <v/>
      </c>
      <c r="J60" s="22">
        <f>G60+$U$9+I60</f>
        <v/>
      </c>
      <c r="K60" s="22">
        <f>$U$4/64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/>
      <c r="S60" s="22">
        <f>SUM(J60:R60)*$B$2</f>
        <v/>
      </c>
      <c r="T60" s="22" t="n"/>
      <c r="U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5048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F61*$U$5</f>
        <v/>
      </c>
      <c r="H61" s="20" t="n">
        <v>3</v>
      </c>
      <c r="I61" s="20">
        <f>$U$7*H61</f>
        <v/>
      </c>
      <c r="J61" s="20">
        <f>G61+$U$9+I61</f>
        <v/>
      </c>
      <c r="K61" s="20">
        <f>$U$4/64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>
        <v>0</v>
      </c>
      <c r="R61" s="20" t="n"/>
      <c r="S61" s="20">
        <f>SUM(J61:R61)*$B$2</f>
        <v/>
      </c>
      <c r="T61" s="20" t="n"/>
      <c r="U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615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F62*$U$5</f>
        <v/>
      </c>
      <c r="H62" s="22" t="n">
        <v>4</v>
      </c>
      <c r="I62" s="22">
        <f>$U$7*H62</f>
        <v/>
      </c>
      <c r="J62" s="22">
        <f>G62+$U$9+I62</f>
        <v/>
      </c>
      <c r="K62" s="22">
        <f>$U$4/64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/>
      <c r="S62" s="22">
        <f>SUM(J62:R62)*$B$2</f>
        <v/>
      </c>
      <c r="T62" s="22" t="n"/>
      <c r="U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85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F63*$U$5</f>
        <v/>
      </c>
      <c r="H63" s="20" t="n">
        <v>3</v>
      </c>
      <c r="I63" s="20">
        <f>$U$7*H63</f>
        <v/>
      </c>
      <c r="J63" s="20">
        <f>G63+$U$9+I63</f>
        <v/>
      </c>
      <c r="K63" s="20">
        <f>$U$4/64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>
        <v>0</v>
      </c>
      <c r="R63" s="20" t="n"/>
      <c r="S63" s="20">
        <f>SUM(J63:R63)*$B$2</f>
        <v/>
      </c>
      <c r="T63" s="20" t="n"/>
      <c r="U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5034.5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F64*$U$5</f>
        <v/>
      </c>
      <c r="H64" s="22" t="n">
        <v>3</v>
      </c>
      <c r="I64" s="22">
        <f>$U$7*H64</f>
        <v/>
      </c>
      <c r="J64" s="22">
        <f>G64+$U$9+I64</f>
        <v/>
      </c>
      <c r="K64" s="22">
        <f>$U$4/64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0</v>
      </c>
      <c r="R64" s="22" t="n"/>
      <c r="S64" s="22">
        <f>SUM(J64:R64)*$B$2</f>
        <v/>
      </c>
      <c r="T64" s="22" t="n"/>
      <c r="U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1858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F65*$U$5</f>
        <v/>
      </c>
      <c r="H65" s="20" t="n">
        <v>3</v>
      </c>
      <c r="I65" s="20">
        <f>$U$7*H65</f>
        <v/>
      </c>
      <c r="J65" s="20">
        <f>G65+$U$9+I65</f>
        <v/>
      </c>
      <c r="K65" s="20">
        <f>$U$4/64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0</v>
      </c>
      <c r="R65" s="20" t="n"/>
      <c r="S65" s="20">
        <f>SUM(J65:R65)*$B$2</f>
        <v/>
      </c>
      <c r="T65" s="20" t="n"/>
      <c r="U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4.5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F66*$U$5</f>
        <v/>
      </c>
      <c r="H66" s="22" t="n">
        <v>4</v>
      </c>
      <c r="I66" s="22">
        <f>$U$7*H66</f>
        <v/>
      </c>
      <c r="J66" s="22">
        <f>G66+$U$9+I66</f>
        <v/>
      </c>
      <c r="K66" s="22">
        <f>$U$4/64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0</v>
      </c>
      <c r="R66" s="22" t="n"/>
      <c r="S66" s="22">
        <f>SUM(J66:R66)*$B$2</f>
        <v/>
      </c>
      <c r="T66" s="22" t="n"/>
      <c r="U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5421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F67*$U$5</f>
        <v/>
      </c>
      <c r="H67" s="20" t="n">
        <v>4</v>
      </c>
      <c r="I67" s="20">
        <f>$U$7*H67</f>
        <v/>
      </c>
      <c r="J67" s="20">
        <f>G67+$U$9+I67</f>
        <v/>
      </c>
      <c r="K67" s="20">
        <f>$U$4/64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/>
      <c r="S67" s="20">
        <f>SUM(J67:R67)*$B$2</f>
        <v/>
      </c>
      <c r="T67" s="20" t="n"/>
      <c r="U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7215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F68*$U$5</f>
        <v/>
      </c>
      <c r="H68" s="22" t="n">
        <v>4</v>
      </c>
      <c r="I68" s="22">
        <f>$U$7*H68</f>
        <v/>
      </c>
      <c r="J68" s="22">
        <f>G68+$U$9+I68</f>
        <v/>
      </c>
      <c r="K68" s="22">
        <f>$U$4/64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>
        <v>0</v>
      </c>
      <c r="R68" s="22" t="n"/>
      <c r="S68" s="22">
        <f>SUM(J68:R68)*$B$2</f>
        <v/>
      </c>
      <c r="T68" s="22" t="n"/>
      <c r="U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10490.5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F69*$U$5</f>
        <v/>
      </c>
      <c r="H69" s="20" t="n">
        <v>3</v>
      </c>
      <c r="I69" s="20">
        <f>$U$7*H69</f>
        <v/>
      </c>
      <c r="J69" s="20">
        <f>G69+$U$9+I69</f>
        <v/>
      </c>
      <c r="K69" s="20">
        <f>$U$4/64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0</v>
      </c>
      <c r="R69" s="20" t="n"/>
      <c r="S69" s="20">
        <f>SUM(J69:R69)*$B$2</f>
        <v/>
      </c>
      <c r="T69" s="20" t="n"/>
      <c r="U69" s="20" t="n"/>
    </row>
    <row r="70" ht="12.75" customHeight="1" s="99" thickBot="1">
      <c r="A70" s="23" t="inlineStr">
        <is>
          <t>TOTAL</t>
        </is>
      </c>
      <c r="B70" s="23" t="n"/>
      <c r="C70" s="24">
        <f>SUM(C3:C69)</f>
        <v/>
      </c>
      <c r="D70" s="24">
        <f>SUM(D3:D69)</f>
        <v/>
      </c>
      <c r="E70" s="24">
        <f>SUM(E5:E69)</f>
        <v/>
      </c>
      <c r="F70" s="24">
        <f>SUM(F6:F69)</f>
        <v/>
      </c>
      <c r="G70" s="24">
        <f>SUM(G6:G69)</f>
        <v/>
      </c>
      <c r="H70" s="24">
        <f>SUM(H3:H69)</f>
        <v/>
      </c>
      <c r="I70" s="24">
        <f>SUM(I3:I69)</f>
        <v/>
      </c>
      <c r="J70" s="24">
        <f>SUM(J6:J69)</f>
        <v/>
      </c>
      <c r="K70" s="24">
        <f>SUM(K6:K69)</f>
        <v/>
      </c>
      <c r="L70" s="24">
        <f>SUM(L6:L69)</f>
        <v/>
      </c>
      <c r="M70" s="24">
        <f>SUM(M6:M69)</f>
        <v/>
      </c>
      <c r="N70" s="24">
        <f>SUM(N6:N69)</f>
        <v/>
      </c>
      <c r="O70" s="24">
        <f>SUM(O6:O69)</f>
        <v/>
      </c>
      <c r="P70" s="24">
        <f>SUM(P6:P69)</f>
        <v/>
      </c>
      <c r="Q70" s="24">
        <f>SUM(Q6:Q69)</f>
        <v/>
      </c>
      <c r="R70" s="24" t="n"/>
      <c r="S70" s="24">
        <f>SUM(S6:S69)</f>
        <v/>
      </c>
      <c r="T70" s="24" t="n"/>
      <c r="U70" s="24" t="n"/>
    </row>
    <row r="71" ht="12.75" customHeight="1" s="99">
      <c r="A71" s="16" t="n"/>
      <c r="B71" s="16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0" t="n"/>
      <c r="U71" s="20" t="n"/>
    </row>
    <row r="72" ht="12.75" customHeight="1" s="99">
      <c r="A72" s="15" t="n"/>
      <c r="B72" s="15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2" t="n"/>
      <c r="U72" s="22" t="n"/>
    </row>
    <row r="73" ht="12.75" customHeight="1" s="99">
      <c r="A73" s="16" t="n"/>
      <c r="B73" s="16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0" t="n"/>
      <c r="U73" s="20" t="n"/>
    </row>
  </sheetData>
  <mergeCells count="1">
    <mergeCell ref="B1:U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42"/>
  <sheetViews>
    <sheetView workbookViewId="0">
      <pane ySplit="1" topLeftCell="A28" activePane="bottomLeft" state="frozen"/>
      <selection pane="bottomLeft" activeCell="E47" sqref="E47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27" t="inlineStr">
        <is>
          <t>Date</t>
        </is>
      </c>
      <c r="E1" s="18" t="inlineStr">
        <is>
          <t>Amount</t>
        </is>
      </c>
      <c r="F1" s="14" t="inlineStr">
        <is>
          <t>Date</t>
        </is>
      </c>
      <c r="G1" s="18" t="inlineStr">
        <is>
          <t>Amount</t>
        </is>
      </c>
      <c r="H1" s="14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>
        <v>9230</v>
      </c>
      <c r="D2" s="28" t="inlineStr">
        <is>
          <t xml:space="preserve">13 Apr 2026 </t>
        </is>
      </c>
      <c r="E2" s="26" t="n"/>
      <c r="F2" s="26" t="n"/>
      <c r="G2" s="26" t="n"/>
      <c r="H2" s="26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2" t="n">
        <v>6000</v>
      </c>
      <c r="D4" s="29" t="inlineStr">
        <is>
          <t xml:space="preserve">1 Apr 2026 </t>
        </is>
      </c>
      <c r="E4" s="26" t="n"/>
      <c r="F4" s="30" t="n"/>
      <c r="G4" s="26" t="n"/>
      <c r="H4" s="26" t="n"/>
      <c r="I4" s="26" t="n"/>
      <c r="J4" s="26" t="n"/>
      <c r="K4" s="22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5" t="n">
        <v>5549</v>
      </c>
      <c r="D5" s="31" t="inlineStr">
        <is>
          <t xml:space="preserve">9 Apr 2026 </t>
        </is>
      </c>
      <c r="E5" s="25" t="n">
        <v>440</v>
      </c>
      <c r="F5" s="25" t="inlineStr">
        <is>
          <t xml:space="preserve">9 Apr 2026 </t>
        </is>
      </c>
      <c r="G5" s="25" t="n"/>
      <c r="H5" s="25" t="n"/>
      <c r="I5" s="25" t="n"/>
      <c r="J5" s="25" t="n"/>
      <c r="K5" s="25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/>
      <c r="D6" s="30" t="n"/>
      <c r="E6" s="26" t="n"/>
      <c r="F6" s="26" t="n"/>
      <c r="G6" s="26" t="n"/>
      <c r="H6" s="26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>
        <v>4867.34</v>
      </c>
      <c r="D7" s="32" t="inlineStr">
        <is>
          <t xml:space="preserve">3 Apr 2026 </t>
        </is>
      </c>
      <c r="E7" s="25" t="n"/>
      <c r="F7" s="31" t="n"/>
      <c r="G7" s="25" t="n"/>
      <c r="H7" s="25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>
        <v>5384</v>
      </c>
      <c r="D8" s="28" t="inlineStr">
        <is>
          <t xml:space="preserve">28 Apr 2026 </t>
        </is>
      </c>
      <c r="E8" s="26" t="n"/>
      <c r="F8" s="26" t="n"/>
      <c r="G8" s="26" t="n"/>
      <c r="H8" s="26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5" t="n">
        <v>6070</v>
      </c>
      <c r="D9" s="33" t="inlineStr">
        <is>
          <t xml:space="preserve">19 Apr 2026 </t>
        </is>
      </c>
      <c r="E9" s="25" t="n"/>
      <c r="F9" s="25" t="n"/>
      <c r="G9" s="25" t="n"/>
      <c r="H9" s="25" t="n"/>
      <c r="I9" s="25" t="n"/>
      <c r="J9" s="25" t="n"/>
      <c r="K9" s="25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6" t="n"/>
      <c r="D10" s="28" t="n"/>
      <c r="E10" s="26" t="n"/>
      <c r="F10" s="26" t="n"/>
      <c r="G10" s="26" t="n"/>
      <c r="H10" s="26" t="n"/>
      <c r="I10" s="26" t="n"/>
      <c r="J10" s="26" t="n"/>
      <c r="K10" s="26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5" t="n">
        <v>27822</v>
      </c>
      <c r="D11" s="32" t="inlineStr">
        <is>
          <t xml:space="preserve">19 Apr 2026 </t>
        </is>
      </c>
      <c r="E11" s="25" t="n"/>
      <c r="F11" s="25" t="n"/>
      <c r="G11" s="25" t="n"/>
      <c r="H11" s="25" t="n"/>
      <c r="I11" s="25" t="n"/>
      <c r="J11" s="25" t="n"/>
      <c r="K11" s="25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6" t="n">
        <v>5549</v>
      </c>
      <c r="D12" s="28" t="inlineStr">
        <is>
          <t xml:space="preserve">9 Apr 2026 </t>
        </is>
      </c>
      <c r="E12" s="26" t="n"/>
      <c r="F12" s="26" t="n"/>
      <c r="G12" s="26" t="n"/>
      <c r="H12" s="26" t="n"/>
      <c r="I12" s="26" t="n"/>
      <c r="J12" s="26" t="n"/>
      <c r="K12" s="26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5" t="n"/>
      <c r="D13" s="33" t="n"/>
      <c r="E13" s="25" t="n">
        <v>5959</v>
      </c>
      <c r="F13" s="25" t="inlineStr">
        <is>
          <t xml:space="preserve">19 Apr 2026 </t>
        </is>
      </c>
      <c r="G13" s="25" t="n"/>
      <c r="H13" s="25" t="n"/>
      <c r="I13" s="25" t="n"/>
      <c r="J13" s="25" t="n"/>
      <c r="K13" s="25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>
        <v>4934</v>
      </c>
      <c r="D14" s="30" t="inlineStr">
        <is>
          <t xml:space="preserve">22 Apr 2026 </t>
        </is>
      </c>
      <c r="E14" s="26" t="n"/>
      <c r="F14" s="30" t="n"/>
      <c r="G14" s="26" t="n"/>
      <c r="H14" s="30" t="n"/>
      <c r="I14" s="26" t="n"/>
      <c r="J14" s="30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5" t="n">
        <v>7000</v>
      </c>
      <c r="D15" s="31" t="inlineStr">
        <is>
          <t xml:space="preserve">4 Apr 2026 </t>
        </is>
      </c>
      <c r="E15" s="25" t="n"/>
      <c r="F15" s="25" t="n"/>
      <c r="G15" s="25" t="n"/>
      <c r="H15" s="25" t="n"/>
      <c r="I15" s="25" t="n"/>
      <c r="J15" s="25" t="n"/>
      <c r="K15" s="25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>
        <v>5764</v>
      </c>
      <c r="D16" s="28" t="inlineStr">
        <is>
          <t xml:space="preserve">29 Apr 2026 </t>
        </is>
      </c>
      <c r="E16" s="26" t="n"/>
      <c r="F16" s="26" t="n"/>
      <c r="G16" s="26" t="n"/>
      <c r="H16" s="26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>
        <v>5903.12</v>
      </c>
      <c r="D17" s="25" t="inlineStr">
        <is>
          <t xml:space="preserve">4 Apr 2026 </t>
        </is>
      </c>
      <c r="E17" s="25" t="n">
        <v>20000</v>
      </c>
      <c r="F17" s="25" t="inlineStr">
        <is>
          <t xml:space="preserve">16 Apr 2026 </t>
        </is>
      </c>
      <c r="G17" s="25" t="n"/>
      <c r="H17" s="25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6" t="n"/>
      <c r="D18" s="30" t="n"/>
      <c r="E18" s="26" t="n"/>
      <c r="F18" s="26" t="n"/>
      <c r="G18" s="26" t="n"/>
      <c r="H18" s="26" t="n"/>
      <c r="I18" s="26" t="n"/>
      <c r="J18" s="26" t="n"/>
      <c r="K18" s="26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5" t="n">
        <v>6121</v>
      </c>
      <c r="D19" s="33" t="inlineStr">
        <is>
          <t xml:space="preserve">22 Apr 2026 </t>
        </is>
      </c>
      <c r="E19" s="25" t="n"/>
      <c r="F19" s="25" t="n"/>
      <c r="G19" s="25" t="n"/>
      <c r="H19" s="25" t="n"/>
      <c r="I19" s="25" t="n"/>
      <c r="J19" s="25" t="n"/>
      <c r="K19" s="25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6" t="n">
        <v>5796</v>
      </c>
      <c r="D20" s="30" t="inlineStr">
        <is>
          <t xml:space="preserve">25 Apr 2026 </t>
        </is>
      </c>
      <c r="E20" s="26" t="n"/>
      <c r="F20" s="26" t="n"/>
      <c r="G20" s="26" t="n"/>
      <c r="H20" s="26" t="n"/>
      <c r="I20" s="26" t="n"/>
      <c r="J20" s="26" t="n"/>
      <c r="K20" s="26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5" t="n">
        <v>5604</v>
      </c>
      <c r="D21" s="33" t="inlineStr">
        <is>
          <t xml:space="preserve">21 Apr 2026 </t>
        </is>
      </c>
      <c r="E21" s="25" t="n"/>
      <c r="F21" s="25" t="n"/>
      <c r="G21" s="25" t="n"/>
      <c r="H21" s="25" t="n"/>
      <c r="I21" s="25" t="n"/>
      <c r="J21" s="25" t="n"/>
      <c r="K21" s="25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6" t="n"/>
      <c r="D22" s="30" t="n"/>
      <c r="E22" s="26" t="n"/>
      <c r="F22" s="26" t="n"/>
      <c r="G22" s="26" t="n"/>
      <c r="H22" s="26" t="n"/>
      <c r="I22" s="26" t="n"/>
      <c r="J22" s="26" t="n"/>
      <c r="K22" s="26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>
        <v>5260</v>
      </c>
      <c r="D23" s="25" t="inlineStr">
        <is>
          <t xml:space="preserve">12 Apr 2026 </t>
        </is>
      </c>
      <c r="E23" s="25" t="n"/>
      <c r="F23" s="25" t="n"/>
      <c r="G23" s="25" t="n"/>
      <c r="H23" s="25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6" t="n">
        <v>10621</v>
      </c>
      <c r="D24" s="30" t="inlineStr">
        <is>
          <t xml:space="preserve">20 Apr 2026 </t>
        </is>
      </c>
      <c r="E24" s="26" t="n"/>
      <c r="F24" s="26" t="n"/>
      <c r="G24" s="26" t="n"/>
      <c r="H24" s="26" t="n"/>
      <c r="I24" s="26" t="n"/>
      <c r="J24" s="26" t="n"/>
      <c r="K24" s="26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>
        <v>495.94</v>
      </c>
      <c r="D25" s="32" t="inlineStr">
        <is>
          <t xml:space="preserve">8 Apr 2026 </t>
        </is>
      </c>
      <c r="E25" s="25" t="n"/>
      <c r="F25" s="25" t="n"/>
      <c r="G25" s="25" t="n"/>
      <c r="H25" s="25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6" t="n">
        <v>5590</v>
      </c>
      <c r="D26" s="30" t="inlineStr">
        <is>
          <t xml:space="preserve">26 Apr 2026 </t>
        </is>
      </c>
      <c r="E26" s="26" t="n"/>
      <c r="F26" s="26" t="n"/>
      <c r="G26" s="26" t="n"/>
      <c r="H26" s="26" t="n"/>
      <c r="I26" s="26" t="n"/>
      <c r="J26" s="26" t="n"/>
      <c r="K26" s="26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5" t="n"/>
      <c r="D27" s="31" t="n"/>
      <c r="E27" s="25" t="n"/>
      <c r="F27" s="25" t="n"/>
      <c r="G27" s="25" t="n"/>
      <c r="H27" s="25" t="n"/>
      <c r="I27" s="25" t="n"/>
      <c r="J27" s="25" t="n"/>
      <c r="K27" s="25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6" t="n">
        <v>16648</v>
      </c>
      <c r="D28" s="28" t="inlineStr">
        <is>
          <t xml:space="preserve">5 Apr 2026 </t>
        </is>
      </c>
      <c r="E28" s="26" t="n">
        <v>4928</v>
      </c>
      <c r="F28" s="26" t="inlineStr">
        <is>
          <t xml:space="preserve">19 Apr 2026 </t>
        </is>
      </c>
      <c r="G28" s="26" t="n"/>
      <c r="H28" s="26" t="n"/>
      <c r="I28" s="26" t="n"/>
      <c r="J28" s="26" t="n"/>
      <c r="K28" s="26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5" t="n">
        <v>4487</v>
      </c>
      <c r="D29" s="32" t="inlineStr">
        <is>
          <t xml:space="preserve">19 Apr 2026 </t>
        </is>
      </c>
      <c r="E29" s="25" t="n"/>
      <c r="F29" s="31" t="n"/>
      <c r="G29" s="25" t="n"/>
      <c r="H29" s="25" t="n"/>
      <c r="I29" s="25" t="n"/>
      <c r="J29" s="25" t="n"/>
      <c r="K29" s="25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>
        <v>10677</v>
      </c>
      <c r="D30" s="30" t="inlineStr">
        <is>
          <t xml:space="preserve">4 Apr 2026 </t>
        </is>
      </c>
      <c r="E30" s="26" t="n"/>
      <c r="F30" s="26" t="n"/>
      <c r="G30" s="26" t="n"/>
      <c r="H30" s="26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>
        <v>5970</v>
      </c>
      <c r="D31" s="31" t="inlineStr">
        <is>
          <t xml:space="preserve">19 Apr 2026 </t>
        </is>
      </c>
      <c r="E31" s="25" t="n"/>
      <c r="F31" s="25" t="n"/>
      <c r="G31" s="25" t="n"/>
      <c r="H31" s="25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6" t="n"/>
      <c r="D32" s="29" t="n"/>
      <c r="E32" s="26" t="n"/>
      <c r="F32" s="30" t="n"/>
      <c r="G32" s="26" t="n"/>
      <c r="H32" s="26" t="n"/>
      <c r="I32" s="26" t="n"/>
      <c r="J32" s="26" t="n"/>
      <c r="K32" s="26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>
        <v>4819</v>
      </c>
      <c r="D33" s="33" t="inlineStr">
        <is>
          <t xml:space="preserve">26 Apr 2026 </t>
        </is>
      </c>
      <c r="E33" s="25" t="n"/>
      <c r="F33" s="25" t="n"/>
      <c r="G33" s="25" t="n"/>
      <c r="H33" s="25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6" t="n">
        <v>4890</v>
      </c>
      <c r="D34" s="28" t="inlineStr">
        <is>
          <t xml:space="preserve">25 Apr 2026 </t>
        </is>
      </c>
      <c r="E34" s="26" t="n"/>
      <c r="F34" s="30" t="n"/>
      <c r="G34" s="26" t="n"/>
      <c r="H34" s="26" t="n"/>
      <c r="I34" s="26" t="n"/>
      <c r="J34" s="26" t="n"/>
      <c r="K34" s="26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5" t="n">
        <v>5635</v>
      </c>
      <c r="D35" s="31" t="inlineStr">
        <is>
          <t xml:space="preserve">1 Apr 2026 </t>
        </is>
      </c>
      <c r="E35" s="25" t="n"/>
      <c r="F35" s="25" t="n"/>
      <c r="G35" s="25" t="n"/>
      <c r="H35" s="25" t="n"/>
      <c r="I35" s="25" t="n"/>
      <c r="J35" s="25" t="n"/>
      <c r="K35" s="25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>
        <v>5092</v>
      </c>
      <c r="D36" s="30" t="inlineStr">
        <is>
          <t xml:space="preserve">29 Apr 2026 </t>
        </is>
      </c>
      <c r="E36" s="26" t="n"/>
      <c r="F36" s="26" t="n"/>
      <c r="G36" s="26" t="n"/>
      <c r="H36" s="26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5" t="n"/>
      <c r="D37" s="33" t="n"/>
      <c r="E37" s="25" t="n"/>
      <c r="F37" s="25" t="n"/>
      <c r="G37" s="25" t="n"/>
      <c r="H37" s="25" t="n"/>
      <c r="I37" s="25" t="n"/>
      <c r="J37" s="25" t="n"/>
      <c r="K37" s="25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>
        <v>28414.74</v>
      </c>
      <c r="D38" s="26" t="inlineStr">
        <is>
          <t xml:space="preserve">4 Apr 2026 </t>
        </is>
      </c>
      <c r="E38" s="26" t="n">
        <v>4935</v>
      </c>
      <c r="F38" s="26" t="inlineStr">
        <is>
          <t xml:space="preserve">19 Apr 2026 </t>
        </is>
      </c>
      <c r="G38" s="26" t="n">
        <v>1000</v>
      </c>
      <c r="H38" s="26" t="inlineStr">
        <is>
          <t xml:space="preserve">28 Apr 2026 </t>
        </is>
      </c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>
        <v>35878</v>
      </c>
      <c r="D39" s="33" t="inlineStr">
        <is>
          <t xml:space="preserve">5 Apr 2026 </t>
        </is>
      </c>
      <c r="E39" s="25" t="n">
        <v>4903</v>
      </c>
      <c r="F39" s="25" t="inlineStr">
        <is>
          <t xml:space="preserve">22 Apr 2026 </t>
        </is>
      </c>
      <c r="G39" s="25" t="n"/>
      <c r="H39" s="25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6" t="n">
        <v>4936</v>
      </c>
      <c r="D40" s="30" t="inlineStr">
        <is>
          <t xml:space="preserve">24 Apr 2026 </t>
        </is>
      </c>
      <c r="E40" s="26" t="n"/>
      <c r="F40" s="26" t="n"/>
      <c r="G40" s="26" t="n"/>
      <c r="H40" s="26" t="n"/>
      <c r="I40" s="26" t="n"/>
      <c r="J40" s="26" t="n"/>
      <c r="K40" s="26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5" t="n">
        <v>2028.67</v>
      </c>
      <c r="D41" s="31" t="inlineStr">
        <is>
          <t xml:space="preserve">24 Apr 2026 </t>
        </is>
      </c>
      <c r="E41" s="25" t="n"/>
      <c r="F41" s="25" t="n"/>
      <c r="G41" s="25" t="n"/>
      <c r="H41" s="25" t="n"/>
      <c r="I41" s="25" t="n"/>
      <c r="J41" s="25" t="n"/>
      <c r="K41" s="25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6" t="n"/>
      <c r="D42" s="30" t="n"/>
      <c r="E42" s="26" t="n"/>
      <c r="F42" s="26" t="n"/>
      <c r="G42" s="26" t="n"/>
      <c r="H42" s="26" t="n"/>
      <c r="I42" s="26" t="n"/>
      <c r="J42" s="26" t="n"/>
      <c r="K42" s="26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>
        <v>5150</v>
      </c>
      <c r="D44" s="30" t="inlineStr">
        <is>
          <t xml:space="preserve">19 Apr 2026 </t>
        </is>
      </c>
      <c r="E44" s="26" t="n"/>
      <c r="F44" s="26" t="n"/>
      <c r="G44" s="26" t="n"/>
      <c r="H44" s="26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5" t="n"/>
      <c r="D45" s="33" t="n"/>
      <c r="E45" s="25" t="n"/>
      <c r="F45" s="25" t="n"/>
      <c r="G45" s="25" t="n"/>
      <c r="H45" s="25" t="n"/>
      <c r="I45" s="25" t="n"/>
      <c r="J45" s="25" t="n"/>
      <c r="K45" s="25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>
        <v>4739</v>
      </c>
      <c r="D46" s="30" t="inlineStr">
        <is>
          <t xml:space="preserve">22 Apr 2026 </t>
        </is>
      </c>
      <c r="E46" s="26" t="n"/>
      <c r="F46" s="30" t="n"/>
      <c r="G46" s="26" t="n"/>
      <c r="H46" s="30" t="n"/>
      <c r="I46" s="26" t="n"/>
      <c r="J46" s="30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1" t="n"/>
      <c r="E47" s="25" t="n"/>
      <c r="F47" s="25" t="n"/>
      <c r="G47" s="25" t="n"/>
      <c r="H47" s="25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6" t="n">
        <v>16641</v>
      </c>
      <c r="D48" s="30" t="inlineStr">
        <is>
          <t xml:space="preserve">4 Apr 2026 </t>
        </is>
      </c>
      <c r="E48" s="26" t="n"/>
      <c r="F48" s="26" t="n"/>
      <c r="G48" s="26" t="n"/>
      <c r="H48" s="26" t="n"/>
      <c r="I48" s="26" t="n"/>
      <c r="J48" s="26" t="n"/>
      <c r="K48" s="26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>
        <v>4839</v>
      </c>
      <c r="D49" s="31" t="inlineStr">
        <is>
          <t xml:space="preserve">19 Apr 2026 </t>
        </is>
      </c>
      <c r="E49" s="25" t="n"/>
      <c r="F49" s="25" t="n"/>
      <c r="G49" s="25" t="n"/>
      <c r="H49" s="25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>
        <v>5879</v>
      </c>
      <c r="D50" s="30" t="inlineStr">
        <is>
          <t xml:space="preserve">22 Apr 2026 </t>
        </is>
      </c>
      <c r="E50" s="26" t="n"/>
      <c r="F50" s="26" t="n"/>
      <c r="G50" s="26" t="n"/>
      <c r="H50" s="26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5" t="n">
        <v>39847.34</v>
      </c>
      <c r="D51" s="31" t="inlineStr">
        <is>
          <t xml:space="preserve">29 Apr 2026 </t>
        </is>
      </c>
      <c r="E51" s="25" t="n"/>
      <c r="F51" s="25" t="n"/>
      <c r="G51" s="25" t="n"/>
      <c r="H51" s="25" t="n"/>
      <c r="I51" s="25" t="n"/>
      <c r="J51" s="25" t="n"/>
      <c r="K51" s="25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6" t="n">
        <v>5431</v>
      </c>
      <c r="D52" s="28" t="inlineStr">
        <is>
          <t xml:space="preserve">19 Apr 2026 </t>
        </is>
      </c>
      <c r="E52" s="26" t="n"/>
      <c r="F52" s="26" t="n"/>
      <c r="G52" s="26" t="n"/>
      <c r="H52" s="26" t="n"/>
      <c r="I52" s="26" t="n"/>
      <c r="J52" s="26" t="n"/>
      <c r="K52" s="26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5" t="n">
        <v>30484.97</v>
      </c>
      <c r="D53" s="33" t="inlineStr">
        <is>
          <t xml:space="preserve">6 Apr 2026 </t>
        </is>
      </c>
      <c r="E53" s="25" t="n"/>
      <c r="F53" s="25" t="n"/>
      <c r="G53" s="25" t="n"/>
      <c r="H53" s="25" t="n"/>
      <c r="I53" s="25" t="n"/>
      <c r="J53" s="25" t="n"/>
      <c r="K53" s="25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>
        <v>25990</v>
      </c>
      <c r="D54" s="28" t="inlineStr">
        <is>
          <t xml:space="preserve">19 Apr 2026 </t>
        </is>
      </c>
      <c r="E54" s="26" t="n"/>
      <c r="F54" s="26" t="n"/>
      <c r="G54" s="26" t="n"/>
      <c r="H54" s="26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5" t="n">
        <v>13753.45</v>
      </c>
      <c r="D55" s="32" t="inlineStr">
        <is>
          <t xml:space="preserve">4 Apr 2026 </t>
        </is>
      </c>
      <c r="E55" s="25" t="n">
        <v>6246</v>
      </c>
      <c r="F55" s="31" t="inlineStr">
        <is>
          <t xml:space="preserve">19 Apr 2026 </t>
        </is>
      </c>
      <c r="G55" s="25" t="n"/>
      <c r="H55" s="25" t="n"/>
      <c r="I55" s="25" t="n"/>
      <c r="J55" s="25" t="n"/>
      <c r="K55" s="25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>
        <v>4712</v>
      </c>
      <c r="D56" s="28" t="inlineStr">
        <is>
          <t xml:space="preserve">20 Apr 2026 </t>
        </is>
      </c>
      <c r="E56" s="26" t="n"/>
      <c r="F56" s="26" t="n"/>
      <c r="G56" s="26" t="n"/>
      <c r="H56" s="26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5" t="n">
        <v>1536.73</v>
      </c>
      <c r="D57" s="31" t="inlineStr">
        <is>
          <t xml:space="preserve">26 Apr 2026 </t>
        </is>
      </c>
      <c r="E57" s="25" t="n"/>
      <c r="F57" s="31" t="n"/>
      <c r="G57" s="25" t="n"/>
      <c r="H57" s="25" t="n"/>
      <c r="I57" s="25" t="n"/>
      <c r="J57" s="25" t="n"/>
      <c r="K57" s="25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>
        <v>4785</v>
      </c>
      <c r="D58" s="28" t="inlineStr">
        <is>
          <t xml:space="preserve">22 Apr 2026 </t>
        </is>
      </c>
      <c r="E58" s="26" t="n"/>
      <c r="F58" s="26" t="n"/>
      <c r="G58" s="26" t="n"/>
      <c r="H58" s="26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5" t="n">
        <v>5920</v>
      </c>
      <c r="D59" s="33" t="inlineStr">
        <is>
          <t xml:space="preserve">19 Apr 2026 </t>
        </is>
      </c>
      <c r="E59" s="25" t="n"/>
      <c r="F59" s="25" t="n"/>
      <c r="G59" s="25" t="n"/>
      <c r="H59" s="25" t="n"/>
      <c r="I59" s="25" t="n"/>
      <c r="J59" s="25" t="n"/>
      <c r="K59" s="25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6" t="n">
        <v>4939</v>
      </c>
      <c r="D60" s="30" t="inlineStr">
        <is>
          <t xml:space="preserve">19 Apr 2026 </t>
        </is>
      </c>
      <c r="E60" s="26" t="n">
        <v>6348</v>
      </c>
      <c r="F60" s="26" t="inlineStr">
        <is>
          <t xml:space="preserve">19 Apr 2026 </t>
        </is>
      </c>
      <c r="G60" s="26" t="n"/>
      <c r="H60" s="26" t="n"/>
      <c r="I60" s="26" t="n"/>
      <c r="J60" s="26" t="n"/>
      <c r="K60" s="26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5" t="n">
        <v>4806</v>
      </c>
      <c r="D61" s="33" t="inlineStr">
        <is>
          <t xml:space="preserve">19 Apr 2026 </t>
        </is>
      </c>
      <c r="E61" s="25" t="n"/>
      <c r="F61" s="25" t="n"/>
      <c r="G61" s="25" t="n"/>
      <c r="H61" s="25" t="n"/>
      <c r="I61" s="25" t="n"/>
      <c r="J61" s="25" t="n"/>
      <c r="K61" s="25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6" t="n">
        <v>12000</v>
      </c>
      <c r="D62" s="26" t="inlineStr">
        <is>
          <t xml:space="preserve">8 Apr 2026 </t>
        </is>
      </c>
      <c r="E62" s="26" t="n"/>
      <c r="F62" s="26" t="n"/>
      <c r="G62" s="26" t="n"/>
      <c r="H62" s="26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5" t="n">
        <v>4477</v>
      </c>
      <c r="D63" s="32" t="inlineStr">
        <is>
          <t xml:space="preserve">22 Apr 2026 </t>
        </is>
      </c>
      <c r="E63" s="25" t="n"/>
      <c r="F63" s="25" t="n"/>
      <c r="G63" s="25" t="n"/>
      <c r="H63" s="25" t="n"/>
      <c r="I63" s="25" t="n"/>
      <c r="J63" s="25" t="n"/>
      <c r="K63" s="25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6" t="n">
        <v>5420</v>
      </c>
      <c r="D64" s="30" t="inlineStr">
        <is>
          <t xml:space="preserve">19 Apr 2026 </t>
        </is>
      </c>
      <c r="E64" s="26" t="n"/>
      <c r="F64" s="26" t="n"/>
      <c r="G64" s="26" t="n"/>
      <c r="H64" s="26" t="n"/>
      <c r="I64" s="26" t="n"/>
      <c r="J64" s="26" t="n"/>
      <c r="K64" s="26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5" t="n">
        <v>5231</v>
      </c>
      <c r="D65" s="31" t="inlineStr">
        <is>
          <t xml:space="preserve">19 Apr 2026 </t>
        </is>
      </c>
      <c r="E65" s="25" t="n"/>
      <c r="F65" s="25" t="n"/>
      <c r="G65" s="25" t="n"/>
      <c r="H65" s="25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/>
    <row r="68"/>
    <row r="69"/>
    <row r="70">
      <c r="A70" s="1" t="n"/>
    </row>
    <row r="71">
      <c r="A71" s="1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3" t="n"/>
    </row>
    <row r="140"/>
    <row r="141"/>
    <row r="142"/>
    <row r="143">
      <c r="A143" s="1" t="n"/>
    </row>
    <row r="144">
      <c r="A144" s="1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3" t="n"/>
    </row>
    <row r="213"/>
    <row r="214"/>
    <row r="215"/>
    <row r="216">
      <c r="A216" s="1" t="n"/>
    </row>
    <row r="217">
      <c r="A217" s="1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3" t="n"/>
    </row>
    <row r="286"/>
    <row r="287"/>
    <row r="288"/>
    <row r="289">
      <c r="A289" s="1" t="n"/>
    </row>
    <row r="290">
      <c r="A290" s="1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3" t="n"/>
    </row>
    <row r="359"/>
    <row r="360"/>
    <row r="361"/>
    <row r="362">
      <c r="A362" s="1" t="n"/>
    </row>
    <row r="363">
      <c r="A363" s="1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3" t="n"/>
    </row>
    <row r="432"/>
    <row r="433"/>
    <row r="434"/>
    <row r="435">
      <c r="A435" s="1" t="n"/>
    </row>
    <row r="436">
      <c r="A436" s="1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3" t="n"/>
    </row>
    <row r="505"/>
    <row r="506"/>
    <row r="507"/>
    <row r="508">
      <c r="A508" s="1" t="n"/>
    </row>
    <row r="509">
      <c r="A509" s="1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3" t="n"/>
    </row>
    <row r="578"/>
    <row r="579"/>
    <row r="580"/>
    <row r="581">
      <c r="A581" s="1" t="n"/>
    </row>
    <row r="582">
      <c r="A582" s="1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3" t="n"/>
    </row>
    <row r="651"/>
    <row r="652"/>
    <row r="653"/>
    <row r="654">
      <c r="A654" s="1" t="n"/>
    </row>
    <row r="655">
      <c r="A655" s="1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3" t="n"/>
    </row>
    <row r="724"/>
    <row r="725"/>
    <row r="726"/>
    <row r="727">
      <c r="A727" s="1" t="n"/>
    </row>
    <row r="728">
      <c r="A728" s="1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3" t="n"/>
    </row>
    <row r="797"/>
    <row r="798"/>
    <row r="799"/>
    <row r="800">
      <c r="A800" s="1" t="n"/>
    </row>
    <row r="801">
      <c r="A801" s="1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3" t="n"/>
    </row>
    <row r="870"/>
    <row r="871"/>
    <row r="872"/>
    <row r="873">
      <c r="A873" s="1" t="n"/>
    </row>
    <row r="874">
      <c r="A874" s="1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3"/>
  <sheetViews>
    <sheetView workbookViewId="0">
      <pane xSplit="2" ySplit="2" topLeftCell="G39" activePane="bottomRight" state="frozen"/>
      <selection pane="topRight" activeCell="C1" sqref="C1"/>
      <selection pane="bottomLeft" activeCell="A3" sqref="A3"/>
      <selection pane="bottomRight" activeCell="Q51" sqref="Q51"/>
    </sheetView>
  </sheetViews>
  <sheetFormatPr baseColWidth="8" defaultColWidth="14.42578125" defaultRowHeight="15" customHeight="1"/>
  <cols>
    <col width="7.7109375" customWidth="1" style="99" min="1" max="1"/>
    <col width="30.42578125" customWidth="1" style="99" min="2" max="2"/>
    <col width="18.7109375" customWidth="1" style="99" min="3" max="9"/>
    <col width="25" customWidth="1" style="99" min="10" max="10"/>
    <col width="18.7109375" customWidth="1" style="99" min="11" max="18"/>
    <col width="44.7109375" customWidth="1" style="99" min="19" max="19"/>
    <col width="13.42578125" customWidth="1" style="99" min="20" max="20"/>
  </cols>
  <sheetData>
    <row r="1" ht="18.75" customHeight="1" s="99">
      <c r="A1" s="91" t="n">
        <v>1</v>
      </c>
      <c r="B1" s="91" t="inlineStr">
        <is>
          <t>MAY 2026 EXPENSES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90" t="n"/>
    </row>
    <row r="2" ht="58.5" customHeight="1" s="99">
      <c r="A2" s="18" t="inlineStr">
        <is>
          <t>FLAT #</t>
        </is>
      </c>
      <c r="B2" s="18" t="n">
        <v>1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VARIABLE EXPENSE = 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HOUSE BOOKING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ANNUAL MEMBERSHIP FEE</t>
        </is>
      </c>
      <c r="Q2" s="18" t="inlineStr">
        <is>
          <t>LATE PAYMENT FINE</t>
        </is>
      </c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6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'ANNUAL-EXPENSE-DETAILS'!V4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5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'ANNUAL-EXPENSE-DETAILS'!U4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3678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$T$4/64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500</v>
      </c>
      <c r="Q6" s="22" t="n"/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9240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$T$4/64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500</v>
      </c>
      <c r="Q7" s="20" t="n">
        <v>1000</v>
      </c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8604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$T$4/64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500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4846.5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$T$4/64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500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3884.5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$T$4/64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500</v>
      </c>
      <c r="Q10" s="22" t="n">
        <v>1000</v>
      </c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7004.5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$T$4/64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500</v>
      </c>
      <c r="Q11" s="20" t="n"/>
      <c r="R11" s="20">
        <f>SUM(J11:Q11)*$B$2</f>
        <v/>
      </c>
      <c r="S11" s="20" t="n"/>
      <c r="T11" s="20" t="n"/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4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$T$4/64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500</v>
      </c>
      <c r="Q12" s="22" t="n"/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886.5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$T$4/64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500</v>
      </c>
      <c r="Q13" s="20" t="n"/>
      <c r="R13" s="20">
        <f>SUM(J13:Q13)*$B$2</f>
        <v/>
      </c>
      <c r="S13" s="20" t="n"/>
      <c r="T13" s="20" t="n"/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1981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$T$4/64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500</v>
      </c>
      <c r="Q14" s="22" t="n">
        <v>1000</v>
      </c>
      <c r="R14" s="22">
        <f>SUM(J14:Q14)*$B$2</f>
        <v/>
      </c>
      <c r="S14" s="22" t="n"/>
      <c r="T14" s="22" t="n"/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11864.5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$T$4/64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500</v>
      </c>
      <c r="Q15" s="20" t="n"/>
      <c r="R15" s="20">
        <f>SUM(J15:Q15)*$B$2</f>
        <v/>
      </c>
      <c r="S15" s="25" t="n"/>
      <c r="T15" s="25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925.5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$T$4/64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500</v>
      </c>
      <c r="Q16" s="22" t="n"/>
      <c r="R16" s="22">
        <f>SUM(J16:Q16)*$B$2</f>
        <v/>
      </c>
      <c r="S16" s="22" t="n"/>
      <c r="T16" s="22" t="n"/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7188.5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$T$4/64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500</v>
      </c>
      <c r="Q17" s="20" t="n"/>
      <c r="R17" s="20">
        <f>SUM(J17:Q17)*$B$2</f>
        <v/>
      </c>
      <c r="S17" s="20" t="n"/>
      <c r="T17" s="20" t="n"/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1784.5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$T$4/64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500</v>
      </c>
      <c r="Q18" s="22" t="n"/>
      <c r="R18" s="22">
        <f>SUM(J18:Q18)*$B$2</f>
        <v/>
      </c>
      <c r="S18" s="22" t="n"/>
      <c r="T18" s="22" t="n"/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5166.5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$T$4/64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500</v>
      </c>
      <c r="Q19" s="20" t="n"/>
      <c r="R19" s="20">
        <f>SUM(J19:Q19)*$B$2</f>
        <v/>
      </c>
      <c r="S19" s="20" t="n"/>
      <c r="T19" s="20" t="n"/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4994.5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$T$4/64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500</v>
      </c>
      <c r="Q20" s="22" t="n"/>
      <c r="R20" s="22">
        <f>SUM(J20:Q20)*$B$2</f>
        <v/>
      </c>
      <c r="S20" s="22" t="n"/>
      <c r="T20" s="22" t="n"/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15096.5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$T$4/64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500</v>
      </c>
      <c r="Q21" s="20" t="n"/>
      <c r="R21" s="20">
        <f>SUM(J21:Q21)*$B$2</f>
        <v/>
      </c>
      <c r="S21" s="20" t="n"/>
      <c r="T21" s="20" t="n"/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6751.5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$T$4/64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500</v>
      </c>
      <c r="Q22" s="22" t="n">
        <v>1000</v>
      </c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16559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$T$4/64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500</v>
      </c>
      <c r="Q23" s="20" t="n"/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12072.5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$T$4/64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500</v>
      </c>
      <c r="Q24" s="22" t="n"/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21098.5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$T$4/64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500</v>
      </c>
      <c r="Q25" s="20" t="n"/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10981.5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$T$4/64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500</v>
      </c>
      <c r="Q26" s="22" t="n">
        <v>1000</v>
      </c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5031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$T$4/64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500</v>
      </c>
      <c r="Q27" s="20" t="n"/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6896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$T$4/64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500</v>
      </c>
      <c r="Q28" s="22" t="n"/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8967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$T$4/64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500</v>
      </c>
      <c r="Q29" s="20" t="n"/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10119.5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$T$4/64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500</v>
      </c>
      <c r="Q30" s="22" t="n"/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2522.5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$T$4/64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500</v>
      </c>
      <c r="Q31" s="20" t="n">
        <v>1000</v>
      </c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1649.5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$T$4/64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500</v>
      </c>
      <c r="Q32" s="22" t="n"/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11154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$T$4/64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500</v>
      </c>
      <c r="Q33" s="20" t="n"/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7309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$T$4/64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500</v>
      </c>
      <c r="Q34" s="22" t="n"/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10342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$T$4/64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500</v>
      </c>
      <c r="Q35" s="20" t="n"/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7275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$T$4/64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500</v>
      </c>
      <c r="Q36" s="22" t="n">
        <v>1000</v>
      </c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3719.5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$T$4/64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500</v>
      </c>
      <c r="Q37" s="20" t="n"/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2507.5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$T$4/64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500</v>
      </c>
      <c r="Q38" s="22" t="n"/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32103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$T$4/64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500</v>
      </c>
      <c r="Q39" s="20" t="n"/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18198.5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$T$4/64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500</v>
      </c>
      <c r="Q40" s="22" t="n"/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4643.5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$T$4/64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500</v>
      </c>
      <c r="Q41" s="20" t="n">
        <v>1000</v>
      </c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810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$T$4/64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500</v>
      </c>
      <c r="Q42" s="22" t="n"/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2978.5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$T$4/64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500</v>
      </c>
      <c r="Q43" s="20" t="n"/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4443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$T$4/64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500</v>
      </c>
      <c r="Q44" s="22" t="n"/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10926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$T$4/64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500</v>
      </c>
      <c r="Q45" s="20" t="n"/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1156.5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$T$4/64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500</v>
      </c>
      <c r="Q46" s="22" t="n">
        <v>1000</v>
      </c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1243.5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$T$4/64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500</v>
      </c>
      <c r="Q47" s="20" t="n">
        <v>1000</v>
      </c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6920.5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$T$4/64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500</v>
      </c>
      <c r="Q48" s="22" t="n"/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8515.5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$T$4/64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500</v>
      </c>
      <c r="Q49" s="20" t="n">
        <v>1000</v>
      </c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2.5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$T$4/64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500</v>
      </c>
      <c r="Q50" s="22" t="n"/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8722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$T$4/64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500</v>
      </c>
      <c r="Q51" s="20" t="n">
        <v>1000</v>
      </c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15974.5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$T$4/64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500</v>
      </c>
      <c r="Q52" s="22" t="n"/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2934.5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$T$4/64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500</v>
      </c>
      <c r="Q53" s="20" t="n"/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14527.5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$T$4/64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500</v>
      </c>
      <c r="Q54" s="22" t="n"/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14518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$T$4/64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500</v>
      </c>
      <c r="Q55" s="20" t="n"/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7856.5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$T$4/64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500</v>
      </c>
      <c r="Q56" s="22" t="n"/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9.5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$T$4/64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500</v>
      </c>
      <c r="Q57" s="20" t="n"/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4799.5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$T$4/64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500</v>
      </c>
      <c r="Q58" s="22" t="n"/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15169.5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$T$4/64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500</v>
      </c>
      <c r="Q59" s="20" t="n"/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12099.5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$T$4/64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500</v>
      </c>
      <c r="Q60" s="22" t="n"/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7105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$T$4/64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500</v>
      </c>
      <c r="Q61" s="20" t="n"/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869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$T$4/64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500</v>
      </c>
      <c r="Q62" s="22" t="n"/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29037.5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$T$4/64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>
        <v>500</v>
      </c>
      <c r="Q63" s="20" t="n"/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6623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$T$4/64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500</v>
      </c>
      <c r="Q64" s="22" t="n"/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4576.5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$T$4/64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500</v>
      </c>
      <c r="Q65" s="20" t="n"/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21858.5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$T$4/64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500</v>
      </c>
      <c r="Q66" s="22" t="n"/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10135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$T$4/64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500</v>
      </c>
      <c r="Q67" s="20" t="n"/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6163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$T$4/64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500</v>
      </c>
      <c r="Q68" s="22" t="n"/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12278.5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$T$4/64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500</v>
      </c>
      <c r="Q69" s="20" t="n"/>
      <c r="R69" s="20">
        <f>SUM(J69:Q69)*$B$2</f>
        <v/>
      </c>
      <c r="S69" s="20" t="n"/>
      <c r="T69" s="20" t="n"/>
    </row>
    <row r="70" ht="12.75" customHeight="1" s="99">
      <c r="A70" s="23" t="inlineStr">
        <is>
          <t>TOTAL</t>
        </is>
      </c>
      <c r="B70" s="23" t="inlineStr">
        <is>
          <t>TOTAL</t>
        </is>
      </c>
      <c r="C70" s="24">
        <f>SUM(C3:C69)</f>
        <v/>
      </c>
      <c r="D70" s="24">
        <f>SUM(D3:D69)</f>
        <v/>
      </c>
      <c r="E70" s="24">
        <f>SUM(E5:E69)</f>
        <v/>
      </c>
      <c r="F70" s="24">
        <f>SUM(F6:F69)</f>
        <v/>
      </c>
      <c r="G70" s="24">
        <f>SUM(G6:G69)</f>
        <v/>
      </c>
      <c r="H70" s="24">
        <f>SUM(H3:H69)</f>
        <v/>
      </c>
      <c r="I70" s="24">
        <f>SUM(I3:I69)</f>
        <v/>
      </c>
      <c r="J70" s="24">
        <f>SUM(J6:J69)</f>
        <v/>
      </c>
      <c r="K70" s="24">
        <f>SUM(K6:K69)</f>
        <v/>
      </c>
      <c r="L70" s="24">
        <f>SUM(L3:L69)</f>
        <v/>
      </c>
      <c r="M70" s="24">
        <f>SUM(M3:M69)</f>
        <v/>
      </c>
      <c r="N70" s="24">
        <f>SUM(N3:N69)</f>
        <v/>
      </c>
      <c r="O70" s="24">
        <f>SUM(O3:O69)</f>
        <v/>
      </c>
      <c r="P70" s="24">
        <f>SUM(P3:P69)</f>
        <v/>
      </c>
      <c r="Q70" s="24" t="n"/>
      <c r="R70" s="24">
        <f>SUM(R3:R69)</f>
        <v/>
      </c>
      <c r="S70" s="24" t="n"/>
      <c r="T70" s="24" t="n"/>
    </row>
    <row r="71" ht="12.75" customHeight="1" s="99">
      <c r="A71" s="16" t="n"/>
      <c r="B71" s="16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0" t="n"/>
      <c r="T71" s="20" t="n"/>
    </row>
    <row r="72" ht="12.75" customHeight="1" s="99">
      <c r="A72" s="15" t="n"/>
      <c r="B72" s="15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2" t="n"/>
      <c r="T72" s="22" t="n"/>
    </row>
    <row r="73" ht="12.75" customHeight="1" s="99">
      <c r="A73" s="16" t="n"/>
      <c r="B73" s="16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0" t="n"/>
      <c r="T73" s="20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0" activePane="bottomLeft" state="frozen"/>
      <selection pane="bottomLeft" activeCell="K18" sqref="K18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36" t="inlineStr">
        <is>
          <t>Date</t>
        </is>
      </c>
      <c r="E1" s="18" t="inlineStr">
        <is>
          <t>Amount</t>
        </is>
      </c>
      <c r="F1" s="36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/>
      <c r="D2" s="37" t="n"/>
      <c r="E2" s="26" t="n"/>
      <c r="F2" s="37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38" t="n"/>
      <c r="E3" s="25" t="n"/>
      <c r="F3" s="38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6" t="n">
        <v>6000</v>
      </c>
      <c r="D4" s="37" t="inlineStr">
        <is>
          <t>1-May-26</t>
        </is>
      </c>
      <c r="E4" s="22" t="n"/>
      <c r="F4" s="37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0" t="n"/>
      <c r="D5" s="38" t="n"/>
      <c r="E5" s="25" t="n"/>
      <c r="F5" s="38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>
        <v>4827</v>
      </c>
      <c r="D6" s="37" t="inlineStr">
        <is>
          <t>10-May-26</t>
        </is>
      </c>
      <c r="E6" s="26" t="n">
        <v>205</v>
      </c>
      <c r="F6" s="37" t="inlineStr">
        <is>
          <t>15-May-26</t>
        </is>
      </c>
      <c r="G6" s="26" t="n">
        <v>205</v>
      </c>
      <c r="H6" s="37" t="inlineStr">
        <is>
          <t>15-May-26</t>
        </is>
      </c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>
        <v>9442.709999999999</v>
      </c>
      <c r="D7" s="38" t="inlineStr">
        <is>
          <t>2-May-26</t>
        </is>
      </c>
      <c r="E7" s="25" t="n"/>
      <c r="F7" s="38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>
        <v>7174</v>
      </c>
      <c r="D8" s="37" t="inlineStr">
        <is>
          <t>24-May-26</t>
        </is>
      </c>
      <c r="E8" s="26" t="n"/>
      <c r="F8" s="37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0" t="n">
        <v>453</v>
      </c>
      <c r="D9" s="39" t="inlineStr">
        <is>
          <t>10-May-26</t>
        </is>
      </c>
      <c r="E9" s="25" t="n">
        <v>468</v>
      </c>
      <c r="F9" s="38" t="inlineStr">
        <is>
          <t>15-May-26</t>
        </is>
      </c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2" t="n">
        <v>4867</v>
      </c>
      <c r="D10" s="37" t="inlineStr">
        <is>
          <t>1-May-26</t>
        </is>
      </c>
      <c r="E10" s="26" t="n">
        <v>5366</v>
      </c>
      <c r="F10" s="37" t="inlineStr">
        <is>
          <t>16-May-26</t>
        </is>
      </c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0" t="n"/>
      <c r="D11" s="38" t="n"/>
      <c r="E11" s="25" t="n"/>
      <c r="F11" s="38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2" t="n"/>
      <c r="D12" s="40" t="n"/>
      <c r="E12" s="26" t="n"/>
      <c r="F12" s="37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0" t="n">
        <v>6536.41</v>
      </c>
      <c r="D13" s="38" t="inlineStr">
        <is>
          <t>10-May-26</t>
        </is>
      </c>
      <c r="E13" s="25" t="n"/>
      <c r="F13" s="38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/>
      <c r="D14" s="37" t="n"/>
      <c r="E14" s="26" t="n"/>
      <c r="F14" s="37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0" t="n"/>
      <c r="D15" s="38" t="n"/>
      <c r="E15" s="25" t="n"/>
      <c r="F15" s="38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>
        <v>5907</v>
      </c>
      <c r="D16" s="37" t="inlineStr">
        <is>
          <t>25-May-26</t>
        </is>
      </c>
      <c r="E16" s="26" t="n"/>
      <c r="F16" s="37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>
        <v>5887.24</v>
      </c>
      <c r="D17" s="38" t="inlineStr">
        <is>
          <t>11-May-26</t>
        </is>
      </c>
      <c r="E17" s="25" t="n"/>
      <c r="F17" s="38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2" t="n"/>
      <c r="D18" s="37" t="n"/>
      <c r="E18" s="22" t="n"/>
      <c r="F18" s="26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0" t="n"/>
      <c r="D19" s="39" t="n"/>
      <c r="E19" s="25" t="n"/>
      <c r="F19" s="38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2" t="n">
        <v>2100</v>
      </c>
      <c r="D20" s="40" t="inlineStr">
        <is>
          <t>26-May-26</t>
        </is>
      </c>
      <c r="E20" s="26" t="n"/>
      <c r="F20" s="37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0" t="n">
        <v>11592</v>
      </c>
      <c r="D21" s="39" t="inlineStr">
        <is>
          <t>10-May-26</t>
        </is>
      </c>
      <c r="E21" s="25" t="n"/>
      <c r="F21" s="38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2" t="n"/>
      <c r="D22" s="37" t="n"/>
      <c r="E22" s="26" t="n"/>
      <c r="F22" s="37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/>
      <c r="D23" s="38" t="n"/>
      <c r="E23" s="25" t="n"/>
      <c r="F23" s="38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2" t="n"/>
      <c r="D24" s="40" t="n"/>
      <c r="E24" s="26" t="n"/>
      <c r="F24" s="37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>
        <v>5067</v>
      </c>
      <c r="D25" s="38" t="inlineStr">
        <is>
          <t>5-May-26</t>
        </is>
      </c>
      <c r="E25" s="25" t="n">
        <v>3879.31</v>
      </c>
      <c r="F25" s="38" t="inlineStr">
        <is>
          <t>13-May-26</t>
        </is>
      </c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2" t="n"/>
      <c r="D26" s="40" t="n"/>
      <c r="E26" s="26" t="n"/>
      <c r="F26" s="37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0" t="n">
        <v>4440</v>
      </c>
      <c r="D27" s="38" t="inlineStr">
        <is>
          <t>23-May-26</t>
        </is>
      </c>
      <c r="E27" s="25" t="n"/>
      <c r="F27" s="38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2" t="n"/>
      <c r="D28" s="37" t="n"/>
      <c r="E28" s="26" t="n"/>
      <c r="F28" s="37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0" t="n">
        <v>6335</v>
      </c>
      <c r="D29" s="39" t="inlineStr">
        <is>
          <t>12-May-26</t>
        </is>
      </c>
      <c r="E29" s="25" t="n"/>
      <c r="F29" s="38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/>
      <c r="D30" s="37" t="n"/>
      <c r="E30" s="26" t="n"/>
      <c r="F30" s="37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>
        <v>6116.55</v>
      </c>
      <c r="D31" s="38" t="inlineStr">
        <is>
          <t>21-May-26</t>
        </is>
      </c>
      <c r="E31" s="25" t="n"/>
      <c r="F31" s="38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2" t="n"/>
      <c r="D32" s="26" t="n"/>
      <c r="E32" s="26" t="n"/>
      <c r="F32" s="37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/>
      <c r="D33" s="38" t="n"/>
      <c r="E33" s="25" t="n"/>
      <c r="F33" s="38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2" t="n">
        <v>4556.92</v>
      </c>
      <c r="D34" s="40" t="inlineStr">
        <is>
          <t>17-May-26</t>
        </is>
      </c>
      <c r="E34" s="26" t="n"/>
      <c r="F34" s="37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5" t="n">
        <v>6948</v>
      </c>
      <c r="D35" s="38" t="inlineStr">
        <is>
          <t>1-May-26</t>
        </is>
      </c>
      <c r="E35" s="25" t="n"/>
      <c r="F35" s="38" t="n"/>
      <c r="G35" s="25" t="n"/>
      <c r="H35" s="38" t="n"/>
      <c r="I35" s="25" t="n"/>
      <c r="J35" s="25" t="n"/>
      <c r="K35" s="25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/>
      <c r="D36" s="37" t="n"/>
      <c r="E36" s="26" t="n"/>
      <c r="F36" s="37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0" t="n">
        <v>6000</v>
      </c>
      <c r="D37" s="38" t="inlineStr">
        <is>
          <t>10-May-26</t>
        </is>
      </c>
      <c r="E37" s="25" t="n">
        <v>5000</v>
      </c>
      <c r="F37" s="38" t="inlineStr">
        <is>
          <t>30-May-26</t>
        </is>
      </c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>
        <v>4363.79</v>
      </c>
      <c r="D38" s="37" t="inlineStr">
        <is>
          <t>12-May-26</t>
        </is>
      </c>
      <c r="E38" s="26" t="n"/>
      <c r="F38" s="37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/>
      <c r="D39" s="38" t="n"/>
      <c r="E39" s="25" t="n"/>
      <c r="F39" s="38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2" t="n">
        <v>5067.7</v>
      </c>
      <c r="D40" s="40" t="inlineStr">
        <is>
          <t>23-May-26</t>
        </is>
      </c>
      <c r="E40" s="26" t="n"/>
      <c r="F40" s="37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0" t="n"/>
      <c r="D41" s="39" t="n"/>
      <c r="E41" s="25" t="n"/>
      <c r="F41" s="38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2" t="n"/>
      <c r="D42" s="40" t="n"/>
      <c r="E42" s="26" t="n"/>
      <c r="F42" s="37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0" t="n">
        <v>8000</v>
      </c>
      <c r="D43" s="25" t="inlineStr">
        <is>
          <t>6-May-26</t>
        </is>
      </c>
      <c r="E43" s="25" t="n"/>
      <c r="F43" s="38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>
        <v>4992</v>
      </c>
      <c r="D44" s="37" t="inlineStr">
        <is>
          <t>20-May-26</t>
        </is>
      </c>
      <c r="E44" s="26" t="n"/>
      <c r="F44" s="37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0" t="n">
        <v>16123.22</v>
      </c>
      <c r="D45" s="38" t="inlineStr">
        <is>
          <t>10-May-26</t>
        </is>
      </c>
      <c r="E45" s="25" t="n"/>
      <c r="F45" s="38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/>
      <c r="D46" s="37" t="n"/>
      <c r="E46" s="26" t="n"/>
      <c r="F46" s="37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8" t="n"/>
      <c r="E47" s="25" t="n"/>
      <c r="F47" s="38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2" t="n"/>
      <c r="D48" s="40" t="n"/>
      <c r="E48" s="26" t="n"/>
      <c r="F48" s="37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>
        <v>4839</v>
      </c>
      <c r="D49" s="38" t="n">
        <v>46150</v>
      </c>
      <c r="E49" s="25" t="n"/>
      <c r="F49" s="38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/>
      <c r="D50" s="37" t="n"/>
      <c r="E50" s="26" t="n"/>
      <c r="F50" s="37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0" t="n"/>
      <c r="D51" s="38" t="n"/>
      <c r="E51" s="25" t="n"/>
      <c r="F51" s="38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2" t="n">
        <v>1511</v>
      </c>
      <c r="D52" s="40" t="inlineStr">
        <is>
          <t>16-May-26</t>
        </is>
      </c>
      <c r="E52" s="26" t="n"/>
      <c r="F52" s="37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0" t="n">
        <v>10300</v>
      </c>
      <c r="D53" s="38" t="inlineStr">
        <is>
          <t>19-May-26</t>
        </is>
      </c>
      <c r="E53" s="25" t="n"/>
      <c r="F53" s="38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>
        <v>5343</v>
      </c>
      <c r="D54" s="37" t="inlineStr">
        <is>
          <t>30-May-26</t>
        </is>
      </c>
      <c r="E54" s="26" t="n"/>
      <c r="F54" s="37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0" t="n">
        <v>6494.14</v>
      </c>
      <c r="D55" s="38" t="inlineStr">
        <is>
          <t>21-May-26</t>
        </is>
      </c>
      <c r="E55" s="25" t="n"/>
      <c r="F55" s="38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>
        <v>20028.72</v>
      </c>
      <c r="D56" s="37" t="inlineStr">
        <is>
          <t>24-May-26</t>
        </is>
      </c>
      <c r="E56" s="26" t="n"/>
      <c r="F56" s="37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0" t="n">
        <v>5287.24</v>
      </c>
      <c r="D57" s="39" t="inlineStr">
        <is>
          <t>11-May-26</t>
        </is>
      </c>
      <c r="E57" s="25" t="n"/>
      <c r="F57" s="38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>
        <v>4766.55</v>
      </c>
      <c r="D58" s="37" t="inlineStr">
        <is>
          <t>24-May-26</t>
        </is>
      </c>
      <c r="E58" s="26" t="n"/>
      <c r="F58" s="37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0" t="n">
        <v>15000</v>
      </c>
      <c r="D59" s="39" t="inlineStr">
        <is>
          <t>10-May-26</t>
        </is>
      </c>
      <c r="E59" s="25" t="n"/>
      <c r="F59" s="38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2" t="n">
        <v>5187</v>
      </c>
      <c r="D60" s="40" t="inlineStr">
        <is>
          <t>24-May-26</t>
        </is>
      </c>
      <c r="E60" s="26" t="n"/>
      <c r="F60" s="37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0" t="n">
        <v>84.48999999999999</v>
      </c>
      <c r="D61" s="38" t="inlineStr">
        <is>
          <t>27-May-26</t>
        </is>
      </c>
      <c r="E61" s="25" t="n"/>
      <c r="F61" s="38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2" t="n"/>
      <c r="D62" s="40" t="n"/>
      <c r="E62" s="26" t="n"/>
      <c r="F62" s="37" t="n"/>
      <c r="G62" s="26" t="n"/>
      <c r="H62" s="37" t="n"/>
      <c r="I62" s="26" t="n"/>
      <c r="J62" s="26" t="n"/>
      <c r="K62" s="22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0" t="n">
        <v>5350</v>
      </c>
      <c r="D63" s="38" t="inlineStr">
        <is>
          <t>24-May-26</t>
        </is>
      </c>
      <c r="E63" s="25" t="n"/>
      <c r="F63" s="38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2" t="n">
        <v>5420</v>
      </c>
      <c r="D64" s="40" t="inlineStr">
        <is>
          <t>15-May-26</t>
        </is>
      </c>
      <c r="E64" s="26" t="n"/>
      <c r="F64" s="37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5" t="n">
        <v>10000</v>
      </c>
      <c r="D65" s="38" t="inlineStr">
        <is>
          <t>15-May-26</t>
        </is>
      </c>
      <c r="E65" s="25" t="n"/>
      <c r="F65" s="38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1" t="n"/>
      <c r="E66" s="35" t="n"/>
      <c r="F66" s="41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4" t="n"/>
      <c r="F67" s="4" t="n"/>
      <c r="H67" s="4" t="n"/>
    </row>
    <row r="68" ht="14.45" customHeight="1" s="99">
      <c r="D68" s="4" t="n"/>
      <c r="F68" s="4" t="n"/>
      <c r="H68" s="4" t="n"/>
    </row>
    <row r="69" ht="14.45" customHeight="1" s="99">
      <c r="D69" s="4" t="n"/>
      <c r="F69" s="4" t="n"/>
      <c r="H69" s="4" t="n"/>
    </row>
    <row r="70">
      <c r="A70" s="1" t="n"/>
      <c r="D70" s="4" t="n"/>
      <c r="F70" s="4" t="n"/>
      <c r="H70" s="4" t="n"/>
    </row>
    <row r="71">
      <c r="A71" s="1" t="n"/>
      <c r="D71" s="4" t="n"/>
      <c r="F71" s="4" t="n"/>
      <c r="H71" s="4" t="n"/>
    </row>
    <row r="72">
      <c r="A72" s="2" t="n"/>
      <c r="D72" s="4" t="n"/>
      <c r="F72" s="4" t="n"/>
      <c r="H72" s="4" t="n"/>
    </row>
    <row r="73">
      <c r="A73" s="2" t="n"/>
      <c r="D73" s="4" t="n"/>
      <c r="F73" s="4" t="n"/>
      <c r="H73" s="4" t="n"/>
    </row>
    <row r="74">
      <c r="A74" s="2" t="n"/>
      <c r="D74" s="4" t="n"/>
      <c r="F74" s="4" t="n"/>
      <c r="H74" s="4" t="n"/>
    </row>
    <row r="75">
      <c r="A75" s="2" t="n"/>
      <c r="D75" s="4" t="n"/>
      <c r="F75" s="4" t="n"/>
      <c r="H75" s="4" t="n"/>
    </row>
    <row r="76">
      <c r="A76" s="2" t="n"/>
      <c r="D76" s="4" t="n"/>
      <c r="F76" s="4" t="n"/>
      <c r="H76" s="4" t="n"/>
    </row>
    <row r="77">
      <c r="A77" s="2" t="n"/>
      <c r="D77" s="4" t="n"/>
      <c r="F77" s="4" t="n"/>
      <c r="H77" s="4" t="n"/>
    </row>
    <row r="78">
      <c r="A78" s="2" t="n"/>
      <c r="D78" s="4" t="n"/>
      <c r="F78" s="4" t="n"/>
      <c r="H78" s="4" t="n"/>
    </row>
    <row r="79">
      <c r="A79" s="2" t="n"/>
      <c r="D79" s="4" t="n"/>
      <c r="F79" s="4" t="n"/>
      <c r="H79" s="4" t="n"/>
    </row>
    <row r="80">
      <c r="A80" s="2" t="n"/>
      <c r="D80" s="4" t="n"/>
      <c r="F80" s="4" t="n"/>
      <c r="H80" s="4" t="n"/>
    </row>
    <row r="81">
      <c r="A81" s="2" t="n"/>
      <c r="D81" s="4" t="n"/>
      <c r="F81" s="4" t="n"/>
      <c r="H81" s="4" t="n"/>
    </row>
    <row r="82">
      <c r="A82" s="2" t="n"/>
      <c r="D82" s="4" t="n"/>
      <c r="F82" s="4" t="n"/>
      <c r="H82" s="4" t="n"/>
    </row>
    <row r="83">
      <c r="A83" s="2" t="n"/>
      <c r="D83" s="4" t="n"/>
      <c r="F83" s="4" t="n"/>
      <c r="H83" s="4" t="n"/>
    </row>
    <row r="84">
      <c r="A84" s="2" t="n"/>
      <c r="D84" s="4" t="n"/>
      <c r="F84" s="4" t="n"/>
      <c r="H84" s="4" t="n"/>
    </row>
    <row r="85">
      <c r="A85" s="2" t="n"/>
      <c r="D85" s="4" t="n"/>
      <c r="F85" s="4" t="n"/>
      <c r="H85" s="4" t="n"/>
    </row>
    <row r="86">
      <c r="A86" s="2" t="n"/>
      <c r="D86" s="4" t="n"/>
      <c r="F86" s="4" t="n"/>
      <c r="H86" s="4" t="n"/>
    </row>
    <row r="87">
      <c r="A87" s="2" t="n"/>
      <c r="D87" s="4" t="n"/>
      <c r="F87" s="4" t="n"/>
      <c r="H87" s="4" t="n"/>
    </row>
    <row r="88">
      <c r="A88" s="2" t="n"/>
      <c r="D88" s="4" t="n"/>
      <c r="F88" s="4" t="n"/>
      <c r="H88" s="4" t="n"/>
    </row>
    <row r="89">
      <c r="A89" s="2" t="n"/>
      <c r="D89" s="4" t="n"/>
      <c r="F89" s="4" t="n"/>
      <c r="H89" s="4" t="n"/>
    </row>
    <row r="90">
      <c r="A90" s="2" t="n"/>
      <c r="D90" s="4" t="n"/>
      <c r="F90" s="4" t="n"/>
      <c r="H90" s="4" t="n"/>
    </row>
    <row r="91">
      <c r="A91" s="2" t="n"/>
      <c r="D91" s="4" t="n"/>
      <c r="F91" s="4" t="n"/>
      <c r="H91" s="4" t="n"/>
    </row>
    <row r="92">
      <c r="A92" s="2" t="n"/>
      <c r="D92" s="4" t="n"/>
      <c r="F92" s="4" t="n"/>
      <c r="H92" s="4" t="n"/>
    </row>
    <row r="93">
      <c r="A93" s="2" t="n"/>
      <c r="D93" s="4" t="n"/>
      <c r="F93" s="4" t="n"/>
      <c r="H93" s="4" t="n"/>
    </row>
    <row r="94">
      <c r="A94" s="2" t="n"/>
      <c r="D94" s="4" t="n"/>
      <c r="F94" s="4" t="n"/>
      <c r="H94" s="4" t="n"/>
    </row>
    <row r="95">
      <c r="A95" s="2" t="n"/>
      <c r="D95" s="4" t="n"/>
      <c r="F95" s="4" t="n"/>
      <c r="H95" s="4" t="n"/>
    </row>
    <row r="96">
      <c r="A96" s="2" t="n"/>
      <c r="D96" s="4" t="n"/>
      <c r="F96" s="4" t="n"/>
      <c r="H96" s="4" t="n"/>
    </row>
    <row r="97">
      <c r="A97" s="2" t="n"/>
      <c r="D97" s="4" t="n"/>
      <c r="F97" s="4" t="n"/>
      <c r="H97" s="4" t="n"/>
    </row>
    <row r="98">
      <c r="A98" s="2" t="n"/>
      <c r="D98" s="4" t="n"/>
      <c r="F98" s="4" t="n"/>
      <c r="H98" s="4" t="n"/>
    </row>
    <row r="99">
      <c r="A99" s="2" t="n"/>
      <c r="D99" s="4" t="n"/>
      <c r="F99" s="4" t="n"/>
      <c r="H99" s="4" t="n"/>
    </row>
    <row r="100">
      <c r="A100" s="2" t="n"/>
      <c r="D100" s="4" t="n"/>
      <c r="F100" s="4" t="n"/>
      <c r="H100" s="4" t="n"/>
    </row>
    <row r="101">
      <c r="A101" s="2" t="n"/>
      <c r="D101" s="4" t="n"/>
      <c r="F101" s="4" t="n"/>
      <c r="H101" s="4" t="n"/>
    </row>
    <row r="102">
      <c r="A102" s="2" t="n"/>
      <c r="D102" s="4" t="n"/>
      <c r="F102" s="4" t="n"/>
      <c r="H102" s="4" t="n"/>
    </row>
    <row r="103">
      <c r="A103" s="2" t="n"/>
      <c r="D103" s="4" t="n"/>
      <c r="F103" s="4" t="n"/>
      <c r="H103" s="4" t="n"/>
    </row>
    <row r="104">
      <c r="A104" s="2" t="n"/>
      <c r="D104" s="4" t="n"/>
      <c r="F104" s="4" t="n"/>
      <c r="H104" s="4" t="n"/>
    </row>
    <row r="105">
      <c r="A105" s="2" t="n"/>
      <c r="D105" s="4" t="n"/>
      <c r="F105" s="4" t="n"/>
      <c r="H105" s="4" t="n"/>
    </row>
    <row r="106">
      <c r="A106" s="2" t="n"/>
      <c r="D106" s="4" t="n"/>
      <c r="F106" s="4" t="n"/>
      <c r="H106" s="4" t="n"/>
    </row>
    <row r="107">
      <c r="A107" s="2" t="n"/>
      <c r="D107" s="4" t="n"/>
      <c r="F107" s="4" t="n"/>
      <c r="H107" s="4" t="n"/>
    </row>
    <row r="108">
      <c r="A108" s="2" t="n"/>
      <c r="D108" s="4" t="n"/>
      <c r="F108" s="4" t="n"/>
      <c r="H108" s="4" t="n"/>
    </row>
    <row r="109">
      <c r="A109" s="2" t="n"/>
      <c r="D109" s="4" t="n"/>
      <c r="F109" s="4" t="n"/>
      <c r="H109" s="4" t="n"/>
    </row>
    <row r="110">
      <c r="A110" s="2" t="n"/>
      <c r="D110" s="4" t="n"/>
      <c r="F110" s="4" t="n"/>
      <c r="H110" s="4" t="n"/>
    </row>
    <row r="111">
      <c r="A111" s="2" t="n"/>
      <c r="D111" s="4" t="n"/>
      <c r="F111" s="4" t="n"/>
      <c r="H111" s="4" t="n"/>
    </row>
    <row r="112">
      <c r="A112" s="2" t="n"/>
      <c r="D112" s="4" t="n"/>
      <c r="F112" s="4" t="n"/>
      <c r="H112" s="4" t="n"/>
    </row>
    <row r="113">
      <c r="A113" s="2" t="n"/>
      <c r="D113" s="4" t="n"/>
      <c r="F113" s="4" t="n"/>
      <c r="H113" s="4" t="n"/>
    </row>
    <row r="114">
      <c r="A114" s="2" t="n"/>
      <c r="D114" s="4" t="n"/>
      <c r="F114" s="4" t="n"/>
      <c r="H114" s="4" t="n"/>
    </row>
    <row r="115">
      <c r="A115" s="2" t="n"/>
      <c r="D115" s="4" t="n"/>
      <c r="F115" s="4" t="n"/>
      <c r="H115" s="4" t="n"/>
    </row>
    <row r="116">
      <c r="A116" s="2" t="n"/>
      <c r="D116" s="4" t="n"/>
      <c r="F116" s="4" t="n"/>
      <c r="H116" s="4" t="n"/>
    </row>
    <row r="117">
      <c r="A117" s="2" t="n"/>
      <c r="D117" s="4" t="n"/>
      <c r="F117" s="4" t="n"/>
      <c r="H117" s="4" t="n"/>
    </row>
    <row r="118">
      <c r="A118" s="2" t="n"/>
      <c r="D118" s="4" t="n"/>
      <c r="F118" s="4" t="n"/>
      <c r="H118" s="4" t="n"/>
    </row>
    <row r="119">
      <c r="A119" s="2" t="n"/>
      <c r="D119" s="4" t="n"/>
      <c r="F119" s="4" t="n"/>
      <c r="H119" s="4" t="n"/>
    </row>
    <row r="120">
      <c r="A120" s="2" t="n"/>
      <c r="D120" s="4" t="n"/>
      <c r="F120" s="4" t="n"/>
      <c r="H120" s="4" t="n"/>
    </row>
    <row r="121">
      <c r="A121" s="2" t="n"/>
      <c r="D121" s="4" t="n"/>
      <c r="F121" s="4" t="n"/>
      <c r="H121" s="4" t="n"/>
    </row>
    <row r="122">
      <c r="A122" s="2" t="n"/>
      <c r="D122" s="4" t="n"/>
      <c r="F122" s="4" t="n"/>
      <c r="H122" s="4" t="n"/>
    </row>
    <row r="123">
      <c r="A123" s="2" t="n"/>
      <c r="D123" s="4" t="n"/>
      <c r="F123" s="4" t="n"/>
      <c r="H123" s="4" t="n"/>
    </row>
    <row r="124">
      <c r="A124" s="2" t="n"/>
      <c r="D124" s="4" t="n"/>
      <c r="F124" s="4" t="n"/>
      <c r="H124" s="4" t="n"/>
    </row>
    <row r="125">
      <c r="A125" s="2" t="n"/>
      <c r="D125" s="4" t="n"/>
      <c r="F125" s="4" t="n"/>
      <c r="H125" s="4" t="n"/>
    </row>
    <row r="126">
      <c r="A126" s="2" t="n"/>
      <c r="D126" s="4" t="n"/>
      <c r="F126" s="4" t="n"/>
      <c r="H126" s="4" t="n"/>
    </row>
    <row r="127">
      <c r="A127" s="2" t="n"/>
      <c r="D127" s="4" t="n"/>
      <c r="F127" s="4" t="n"/>
      <c r="H127" s="4" t="n"/>
    </row>
    <row r="128">
      <c r="A128" s="2" t="n"/>
      <c r="D128" s="4" t="n"/>
      <c r="F128" s="4" t="n"/>
      <c r="H128" s="4" t="n"/>
    </row>
    <row r="129">
      <c r="A129" s="2" t="n"/>
      <c r="D129" s="4" t="n"/>
      <c r="F129" s="4" t="n"/>
      <c r="H129" s="4" t="n"/>
    </row>
    <row r="130">
      <c r="A130" s="2" t="n"/>
      <c r="D130" s="4" t="n"/>
      <c r="F130" s="4" t="n"/>
      <c r="H130" s="4" t="n"/>
    </row>
    <row r="131">
      <c r="A131" s="2" t="n"/>
      <c r="D131" s="4" t="n"/>
      <c r="F131" s="4" t="n"/>
      <c r="H131" s="4" t="n"/>
    </row>
    <row r="132">
      <c r="A132" s="2" t="n"/>
      <c r="D132" s="4" t="n"/>
      <c r="F132" s="4" t="n"/>
      <c r="H132" s="4" t="n"/>
    </row>
    <row r="133">
      <c r="A133" s="2" t="n"/>
      <c r="D133" s="4" t="n"/>
      <c r="F133" s="4" t="n"/>
      <c r="H133" s="4" t="n"/>
    </row>
    <row r="134">
      <c r="A134" s="2" t="n"/>
      <c r="D134" s="4" t="n"/>
      <c r="F134" s="4" t="n"/>
      <c r="H134" s="4" t="n"/>
    </row>
    <row r="135">
      <c r="A135" s="2" t="n"/>
      <c r="D135" s="4" t="n"/>
      <c r="F135" s="4" t="n"/>
      <c r="H135" s="4" t="n"/>
    </row>
    <row r="136">
      <c r="A136" s="2" t="n"/>
      <c r="D136" s="4" t="n"/>
      <c r="F136" s="4" t="n"/>
      <c r="H136" s="4" t="n"/>
    </row>
    <row r="137">
      <c r="A137" s="2" t="n"/>
      <c r="D137" s="4" t="n"/>
      <c r="F137" s="4" t="n"/>
      <c r="H137" s="4" t="n"/>
    </row>
    <row r="138">
      <c r="A138" s="2" t="n"/>
      <c r="D138" s="4" t="n"/>
      <c r="F138" s="4" t="n"/>
      <c r="H138" s="4" t="n"/>
    </row>
    <row r="139">
      <c r="A139" s="3" t="n"/>
      <c r="D139" s="4" t="n"/>
      <c r="F139" s="4" t="n"/>
      <c r="H139" s="4" t="n"/>
    </row>
    <row r="140" ht="14.45" customHeight="1" s="99">
      <c r="D140" s="4" t="n"/>
      <c r="F140" s="4" t="n"/>
      <c r="H140" s="4" t="n"/>
    </row>
    <row r="141" ht="14.45" customHeight="1" s="99">
      <c r="D141" s="4" t="n"/>
      <c r="F141" s="4" t="n"/>
      <c r="H141" s="4" t="n"/>
    </row>
    <row r="142" ht="14.45" customHeight="1" s="99">
      <c r="D142" s="4" t="n"/>
      <c r="F142" s="4" t="n"/>
      <c r="H142" s="4" t="n"/>
    </row>
    <row r="143">
      <c r="A143" s="1" t="n"/>
      <c r="D143" s="4" t="n"/>
      <c r="F143" s="4" t="n"/>
      <c r="H143" s="4" t="n"/>
    </row>
    <row r="144">
      <c r="A144" s="1" t="n"/>
      <c r="D144" s="4" t="n"/>
      <c r="F144" s="4" t="n"/>
      <c r="H144" s="4" t="n"/>
    </row>
    <row r="145">
      <c r="A145" s="2" t="n"/>
      <c r="D145" s="4" t="n"/>
      <c r="F145" s="4" t="n"/>
      <c r="H145" s="4" t="n"/>
    </row>
    <row r="146">
      <c r="A146" s="2" t="n"/>
      <c r="D146" s="4" t="n"/>
      <c r="F146" s="4" t="n"/>
      <c r="H146" s="4" t="n"/>
    </row>
    <row r="147">
      <c r="A147" s="2" t="n"/>
      <c r="D147" s="4" t="n"/>
      <c r="F147" s="4" t="n"/>
      <c r="H147" s="4" t="n"/>
    </row>
    <row r="148">
      <c r="A148" s="2" t="n"/>
      <c r="D148" s="4" t="n"/>
      <c r="F148" s="4" t="n"/>
      <c r="H148" s="4" t="n"/>
    </row>
    <row r="149">
      <c r="A149" s="2" t="n"/>
      <c r="D149" s="4" t="n"/>
      <c r="F149" s="4" t="n"/>
      <c r="H149" s="4" t="n"/>
    </row>
    <row r="150">
      <c r="A150" s="2" t="n"/>
      <c r="D150" s="4" t="n"/>
      <c r="F150" s="4" t="n"/>
      <c r="H150" s="4" t="n"/>
    </row>
    <row r="151">
      <c r="A151" s="2" t="n"/>
      <c r="D151" s="4" t="n"/>
      <c r="F151" s="4" t="n"/>
      <c r="H151" s="4" t="n"/>
    </row>
    <row r="152">
      <c r="A152" s="2" t="n"/>
      <c r="D152" s="4" t="n"/>
      <c r="F152" s="4" t="n"/>
      <c r="H152" s="4" t="n"/>
    </row>
    <row r="153">
      <c r="A153" s="2" t="n"/>
      <c r="D153" s="4" t="n"/>
      <c r="F153" s="4" t="n"/>
      <c r="H153" s="4" t="n"/>
    </row>
    <row r="154">
      <c r="A154" s="2" t="n"/>
      <c r="D154" s="4" t="n"/>
      <c r="F154" s="4" t="n"/>
      <c r="H154" s="4" t="n"/>
    </row>
    <row r="155">
      <c r="A155" s="2" t="n"/>
      <c r="D155" s="4" t="n"/>
      <c r="F155" s="4" t="n"/>
      <c r="H155" s="4" t="n"/>
    </row>
    <row r="156">
      <c r="A156" s="2" t="n"/>
      <c r="D156" s="4" t="n"/>
      <c r="F156" s="4" t="n"/>
      <c r="H156" s="4" t="n"/>
    </row>
    <row r="157">
      <c r="A157" s="2" t="n"/>
      <c r="D157" s="4" t="n"/>
      <c r="F157" s="4" t="n"/>
      <c r="H157" s="4" t="n"/>
    </row>
    <row r="158">
      <c r="A158" s="2" t="n"/>
      <c r="D158" s="4" t="n"/>
      <c r="F158" s="4" t="n"/>
      <c r="H158" s="4" t="n"/>
    </row>
    <row r="159">
      <c r="A159" s="2" t="n"/>
      <c r="D159" s="4" t="n"/>
      <c r="F159" s="4" t="n"/>
      <c r="H159" s="4" t="n"/>
    </row>
    <row r="160">
      <c r="A160" s="2" t="n"/>
      <c r="D160" s="4" t="n"/>
      <c r="F160" s="4" t="n"/>
      <c r="H160" s="4" t="n"/>
    </row>
    <row r="161">
      <c r="A161" s="2" t="n"/>
      <c r="D161" s="4" t="n"/>
      <c r="F161" s="4" t="n"/>
      <c r="H161" s="4" t="n"/>
    </row>
    <row r="162">
      <c r="A162" s="2" t="n"/>
      <c r="D162" s="4" t="n"/>
      <c r="F162" s="4" t="n"/>
      <c r="H162" s="4" t="n"/>
    </row>
    <row r="163">
      <c r="A163" s="2" t="n"/>
      <c r="D163" s="4" t="n"/>
      <c r="F163" s="4" t="n"/>
      <c r="H163" s="4" t="n"/>
    </row>
    <row r="164">
      <c r="A164" s="2" t="n"/>
      <c r="D164" s="4" t="n"/>
      <c r="F164" s="4" t="n"/>
      <c r="H164" s="4" t="n"/>
    </row>
    <row r="165">
      <c r="A165" s="2" t="n"/>
      <c r="D165" s="4" t="n"/>
      <c r="F165" s="4" t="n"/>
      <c r="H165" s="4" t="n"/>
    </row>
    <row r="166">
      <c r="A166" s="2" t="n"/>
      <c r="D166" s="4" t="n"/>
      <c r="F166" s="4" t="n"/>
      <c r="H166" s="4" t="n"/>
    </row>
    <row r="167">
      <c r="A167" s="2" t="n"/>
      <c r="D167" s="4" t="n"/>
      <c r="F167" s="4" t="n"/>
      <c r="H167" s="4" t="n"/>
    </row>
    <row r="168">
      <c r="A168" s="2" t="n"/>
      <c r="D168" s="4" t="n"/>
      <c r="F168" s="4" t="n"/>
      <c r="H168" s="4" t="n"/>
    </row>
    <row r="169">
      <c r="A169" s="2" t="n"/>
      <c r="D169" s="4" t="n"/>
      <c r="F169" s="4" t="n"/>
      <c r="H169" s="4" t="n"/>
    </row>
    <row r="170">
      <c r="A170" s="2" t="n"/>
      <c r="D170" s="4" t="n"/>
      <c r="F170" s="4" t="n"/>
      <c r="H170" s="4" t="n"/>
    </row>
    <row r="171">
      <c r="A171" s="2" t="n"/>
      <c r="D171" s="4" t="n"/>
      <c r="F171" s="4" t="n"/>
      <c r="H171" s="4" t="n"/>
    </row>
    <row r="172">
      <c r="A172" s="2" t="n"/>
      <c r="D172" s="4" t="n"/>
      <c r="F172" s="4" t="n"/>
      <c r="H172" s="4" t="n"/>
    </row>
    <row r="173">
      <c r="A173" s="2" t="n"/>
      <c r="D173" s="4" t="n"/>
      <c r="F173" s="4" t="n"/>
      <c r="H173" s="4" t="n"/>
    </row>
    <row r="174">
      <c r="A174" s="2" t="n"/>
      <c r="D174" s="4" t="n"/>
      <c r="F174" s="4" t="n"/>
      <c r="H174" s="4" t="n"/>
    </row>
    <row r="175">
      <c r="A175" s="2" t="n"/>
      <c r="D175" s="4" t="n"/>
      <c r="F175" s="4" t="n"/>
      <c r="H175" s="4" t="n"/>
    </row>
    <row r="176">
      <c r="A176" s="2" t="n"/>
      <c r="D176" s="4" t="n"/>
      <c r="F176" s="4" t="n"/>
      <c r="H176" s="4" t="n"/>
    </row>
    <row r="177">
      <c r="A177" s="2" t="n"/>
      <c r="D177" s="4" t="n"/>
      <c r="F177" s="4" t="n"/>
      <c r="H177" s="4" t="n"/>
    </row>
    <row r="178">
      <c r="A178" s="2" t="n"/>
      <c r="D178" s="4" t="n"/>
      <c r="F178" s="4" t="n"/>
      <c r="H178" s="4" t="n"/>
    </row>
    <row r="179">
      <c r="A179" s="2" t="n"/>
      <c r="D179" s="4" t="n"/>
      <c r="F179" s="4" t="n"/>
      <c r="H179" s="4" t="n"/>
    </row>
    <row r="180">
      <c r="A180" s="2" t="n"/>
      <c r="D180" s="4" t="n"/>
      <c r="F180" s="4" t="n"/>
      <c r="H180" s="4" t="n"/>
    </row>
    <row r="181">
      <c r="A181" s="2" t="n"/>
      <c r="D181" s="4" t="n"/>
      <c r="F181" s="4" t="n"/>
      <c r="H181" s="4" t="n"/>
    </row>
    <row r="182">
      <c r="A182" s="2" t="n"/>
      <c r="D182" s="4" t="n"/>
      <c r="F182" s="4" t="n"/>
      <c r="H182" s="4" t="n"/>
    </row>
    <row r="183">
      <c r="A183" s="2" t="n"/>
      <c r="D183" s="4" t="n"/>
      <c r="F183" s="4" t="n"/>
      <c r="H183" s="4" t="n"/>
    </row>
    <row r="184">
      <c r="A184" s="2" t="n"/>
      <c r="D184" s="4" t="n"/>
      <c r="F184" s="4" t="n"/>
      <c r="H184" s="4" t="n"/>
    </row>
    <row r="185">
      <c r="A185" s="2" t="n"/>
      <c r="D185" s="4" t="n"/>
      <c r="F185" s="4" t="n"/>
      <c r="H185" s="4" t="n"/>
    </row>
    <row r="186">
      <c r="A186" s="2" t="n"/>
      <c r="D186" s="4" t="n"/>
      <c r="F186" s="4" t="n"/>
      <c r="H186" s="4" t="n"/>
    </row>
    <row r="187">
      <c r="A187" s="2" t="n"/>
      <c r="D187" s="4" t="n"/>
      <c r="F187" s="4" t="n"/>
      <c r="H187" s="4" t="n"/>
    </row>
    <row r="188">
      <c r="A188" s="2" t="n"/>
      <c r="D188" s="4" t="n"/>
      <c r="F188" s="4" t="n"/>
      <c r="H188" s="4" t="n"/>
    </row>
    <row r="189">
      <c r="A189" s="2" t="n"/>
      <c r="D189" s="4" t="n"/>
      <c r="F189" s="4" t="n"/>
      <c r="H189" s="4" t="n"/>
    </row>
    <row r="190">
      <c r="A190" s="2" t="n"/>
      <c r="D190" s="4" t="n"/>
      <c r="F190" s="4" t="n"/>
      <c r="H190" s="4" t="n"/>
    </row>
    <row r="191">
      <c r="A191" s="2" t="n"/>
      <c r="D191" s="4" t="n"/>
      <c r="F191" s="4" t="n"/>
      <c r="H191" s="4" t="n"/>
    </row>
    <row r="192">
      <c r="A192" s="2" t="n"/>
      <c r="D192" s="4" t="n"/>
      <c r="F192" s="4" t="n"/>
      <c r="H192" s="4" t="n"/>
    </row>
    <row r="193">
      <c r="A193" s="2" t="n"/>
      <c r="D193" s="4" t="n"/>
      <c r="F193" s="4" t="n"/>
      <c r="H193" s="4" t="n"/>
    </row>
    <row r="194">
      <c r="A194" s="2" t="n"/>
      <c r="D194" s="4" t="n"/>
      <c r="F194" s="4" t="n"/>
      <c r="H194" s="4" t="n"/>
    </row>
    <row r="195">
      <c r="A195" s="2" t="n"/>
      <c r="D195" s="4" t="n"/>
      <c r="F195" s="4" t="n"/>
      <c r="H195" s="4" t="n"/>
    </row>
    <row r="196">
      <c r="A196" s="2" t="n"/>
      <c r="D196" s="4" t="n"/>
      <c r="F196" s="4" t="n"/>
      <c r="H196" s="4" t="n"/>
    </row>
    <row r="197">
      <c r="A197" s="2" t="n"/>
      <c r="D197" s="4" t="n"/>
      <c r="F197" s="4" t="n"/>
      <c r="H197" s="4" t="n"/>
    </row>
    <row r="198">
      <c r="A198" s="2" t="n"/>
      <c r="D198" s="4" t="n"/>
      <c r="F198" s="4" t="n"/>
      <c r="H198" s="4" t="n"/>
    </row>
    <row r="199">
      <c r="A199" s="2" t="n"/>
      <c r="D199" s="4" t="n"/>
      <c r="F199" s="4" t="n"/>
      <c r="H199" s="4" t="n"/>
    </row>
    <row r="200">
      <c r="A200" s="2" t="n"/>
      <c r="D200" s="4" t="n"/>
      <c r="F200" s="4" t="n"/>
      <c r="H200" s="4" t="n"/>
    </row>
    <row r="201">
      <c r="A201" s="2" t="n"/>
      <c r="D201" s="4" t="n"/>
      <c r="F201" s="4" t="n"/>
      <c r="H201" s="4" t="n"/>
    </row>
    <row r="202">
      <c r="A202" s="2" t="n"/>
      <c r="D202" s="4" t="n"/>
      <c r="F202" s="4" t="n"/>
      <c r="H202" s="4" t="n"/>
    </row>
    <row r="203">
      <c r="A203" s="2" t="n"/>
      <c r="D203" s="4" t="n"/>
      <c r="F203" s="4" t="n"/>
      <c r="H203" s="4" t="n"/>
    </row>
    <row r="204">
      <c r="A204" s="2" t="n"/>
      <c r="D204" s="4" t="n"/>
      <c r="F204" s="4" t="n"/>
      <c r="H204" s="4" t="n"/>
    </row>
    <row r="205">
      <c r="A205" s="2" t="n"/>
      <c r="D205" s="4" t="n"/>
      <c r="F205" s="4" t="n"/>
      <c r="H205" s="4" t="n"/>
    </row>
    <row r="206">
      <c r="A206" s="2" t="n"/>
      <c r="D206" s="4" t="n"/>
      <c r="F206" s="4" t="n"/>
      <c r="H206" s="4" t="n"/>
    </row>
    <row r="207">
      <c r="A207" s="2" t="n"/>
      <c r="D207" s="4" t="n"/>
      <c r="F207" s="4" t="n"/>
      <c r="H207" s="4" t="n"/>
    </row>
    <row r="208">
      <c r="A208" s="2" t="n"/>
      <c r="D208" s="4" t="n"/>
      <c r="F208" s="4" t="n"/>
      <c r="H208" s="4" t="n"/>
    </row>
    <row r="209">
      <c r="A209" s="2" t="n"/>
      <c r="D209" s="4" t="n"/>
      <c r="F209" s="4" t="n"/>
      <c r="H209" s="4" t="n"/>
    </row>
    <row r="210">
      <c r="A210" s="2" t="n"/>
      <c r="D210" s="4" t="n"/>
      <c r="F210" s="4" t="n"/>
      <c r="H210" s="4" t="n"/>
    </row>
    <row r="211">
      <c r="A211" s="2" t="n"/>
      <c r="D211" s="4" t="n"/>
      <c r="F211" s="4" t="n"/>
      <c r="H211" s="4" t="n"/>
    </row>
    <row r="212">
      <c r="A212" s="3" t="n"/>
      <c r="D212" s="4" t="n"/>
      <c r="F212" s="4" t="n"/>
      <c r="H212" s="4" t="n"/>
    </row>
    <row r="213" ht="14.45" customHeight="1" s="99">
      <c r="D213" s="4" t="n"/>
      <c r="F213" s="4" t="n"/>
      <c r="H213" s="4" t="n"/>
    </row>
    <row r="214" ht="14.45" customHeight="1" s="99">
      <c r="D214" s="4" t="n"/>
      <c r="F214" s="4" t="n"/>
      <c r="H214" s="4" t="n"/>
    </row>
    <row r="215" ht="14.45" customHeight="1" s="99">
      <c r="D215" s="4" t="n"/>
      <c r="F215" s="4" t="n"/>
      <c r="H215" s="4" t="n"/>
    </row>
    <row r="216">
      <c r="A216" s="1" t="n"/>
      <c r="D216" s="4" t="n"/>
      <c r="F216" s="4" t="n"/>
      <c r="H216" s="4" t="n"/>
    </row>
    <row r="217">
      <c r="A217" s="1" t="n"/>
      <c r="D217" s="4" t="n"/>
      <c r="F217" s="4" t="n"/>
      <c r="H217" s="4" t="n"/>
    </row>
    <row r="218">
      <c r="A218" s="2" t="n"/>
      <c r="D218" s="4" t="n"/>
      <c r="F218" s="4" t="n"/>
      <c r="H218" s="4" t="n"/>
    </row>
    <row r="219">
      <c r="A219" s="2" t="n"/>
      <c r="D219" s="4" t="n"/>
      <c r="F219" s="4" t="n"/>
      <c r="H219" s="4" t="n"/>
    </row>
    <row r="220">
      <c r="A220" s="2" t="n"/>
      <c r="D220" s="4" t="n"/>
      <c r="F220" s="4" t="n"/>
      <c r="H220" s="4" t="n"/>
    </row>
    <row r="221">
      <c r="A221" s="2" t="n"/>
      <c r="D221" s="4" t="n"/>
      <c r="F221" s="4" t="n"/>
      <c r="H221" s="4" t="n"/>
    </row>
    <row r="222">
      <c r="A222" s="2" t="n"/>
      <c r="D222" s="4" t="n"/>
      <c r="F222" s="4" t="n"/>
      <c r="H222" s="4" t="n"/>
    </row>
    <row r="223">
      <c r="A223" s="2" t="n"/>
      <c r="D223" s="4" t="n"/>
      <c r="F223" s="4" t="n"/>
      <c r="H223" s="4" t="n"/>
    </row>
    <row r="224">
      <c r="A224" s="2" t="n"/>
      <c r="D224" s="4" t="n"/>
      <c r="F224" s="4" t="n"/>
      <c r="H224" s="4" t="n"/>
    </row>
    <row r="225">
      <c r="A225" s="2" t="n"/>
      <c r="D225" s="4" t="n"/>
      <c r="F225" s="4" t="n"/>
      <c r="H225" s="4" t="n"/>
    </row>
    <row r="226">
      <c r="A226" s="2" t="n"/>
      <c r="D226" s="4" t="n"/>
      <c r="F226" s="4" t="n"/>
      <c r="H226" s="4" t="n"/>
    </row>
    <row r="227">
      <c r="A227" s="2" t="n"/>
      <c r="D227" s="4" t="n"/>
      <c r="F227" s="4" t="n"/>
      <c r="H227" s="4" t="n"/>
    </row>
    <row r="228">
      <c r="A228" s="2" t="n"/>
      <c r="D228" s="4" t="n"/>
      <c r="F228" s="4" t="n"/>
      <c r="H228" s="4" t="n"/>
    </row>
    <row r="229">
      <c r="A229" s="2" t="n"/>
      <c r="D229" s="4" t="n"/>
      <c r="F229" s="4" t="n"/>
      <c r="H229" s="4" t="n"/>
    </row>
    <row r="230">
      <c r="A230" s="2" t="n"/>
      <c r="D230" s="4" t="n"/>
      <c r="F230" s="4" t="n"/>
      <c r="H230" s="4" t="n"/>
    </row>
    <row r="231">
      <c r="A231" s="2" t="n"/>
      <c r="D231" s="4" t="n"/>
      <c r="F231" s="4" t="n"/>
      <c r="H231" s="4" t="n"/>
    </row>
    <row r="232">
      <c r="A232" s="2" t="n"/>
      <c r="D232" s="4" t="n"/>
      <c r="F232" s="4" t="n"/>
      <c r="H232" s="4" t="n"/>
    </row>
    <row r="233">
      <c r="A233" s="2" t="n"/>
      <c r="D233" s="4" t="n"/>
      <c r="F233" s="4" t="n"/>
      <c r="H233" s="4" t="n"/>
    </row>
    <row r="234">
      <c r="A234" s="2" t="n"/>
      <c r="D234" s="4" t="n"/>
      <c r="F234" s="4" t="n"/>
      <c r="H234" s="4" t="n"/>
    </row>
    <row r="235">
      <c r="A235" s="2" t="n"/>
      <c r="D235" s="4" t="n"/>
      <c r="F235" s="4" t="n"/>
      <c r="H235" s="4" t="n"/>
    </row>
    <row r="236">
      <c r="A236" s="2" t="n"/>
      <c r="D236" s="4" t="n"/>
      <c r="F236" s="4" t="n"/>
      <c r="H236" s="4" t="n"/>
    </row>
    <row r="237">
      <c r="A237" s="2" t="n"/>
      <c r="D237" s="4" t="n"/>
      <c r="F237" s="4" t="n"/>
      <c r="H237" s="4" t="n"/>
    </row>
    <row r="238">
      <c r="A238" s="2" t="n"/>
      <c r="D238" s="4" t="n"/>
      <c r="F238" s="4" t="n"/>
      <c r="H238" s="4" t="n"/>
    </row>
    <row r="239">
      <c r="A239" s="2" t="n"/>
      <c r="D239" s="4" t="n"/>
      <c r="F239" s="4" t="n"/>
      <c r="H239" s="4" t="n"/>
    </row>
    <row r="240">
      <c r="A240" s="2" t="n"/>
      <c r="D240" s="4" t="n"/>
      <c r="F240" s="4" t="n"/>
      <c r="H240" s="4" t="n"/>
    </row>
    <row r="241">
      <c r="A241" s="2" t="n"/>
      <c r="D241" s="4" t="n"/>
      <c r="F241" s="4" t="n"/>
      <c r="H241" s="4" t="n"/>
    </row>
    <row r="242">
      <c r="A242" s="2" t="n"/>
      <c r="D242" s="4" t="n"/>
      <c r="F242" s="4" t="n"/>
      <c r="H242" s="4" t="n"/>
    </row>
    <row r="243">
      <c r="A243" s="2" t="n"/>
      <c r="D243" s="4" t="n"/>
      <c r="F243" s="4" t="n"/>
      <c r="H243" s="4" t="n"/>
    </row>
    <row r="244">
      <c r="A244" s="2" t="n"/>
      <c r="D244" s="4" t="n"/>
      <c r="F244" s="4" t="n"/>
      <c r="H244" s="4" t="n"/>
    </row>
    <row r="245">
      <c r="A245" s="2" t="n"/>
      <c r="D245" s="4" t="n"/>
      <c r="F245" s="4" t="n"/>
      <c r="H245" s="4" t="n"/>
    </row>
    <row r="246">
      <c r="A246" s="2" t="n"/>
      <c r="D246" s="4" t="n"/>
      <c r="F246" s="4" t="n"/>
      <c r="H246" s="4" t="n"/>
    </row>
    <row r="247">
      <c r="A247" s="2" t="n"/>
      <c r="D247" s="4" t="n"/>
      <c r="F247" s="4" t="n"/>
      <c r="H247" s="4" t="n"/>
    </row>
    <row r="248">
      <c r="A248" s="2" t="n"/>
      <c r="D248" s="4" t="n"/>
      <c r="F248" s="4" t="n"/>
      <c r="H248" s="4" t="n"/>
    </row>
    <row r="249">
      <c r="A249" s="2" t="n"/>
      <c r="D249" s="4" t="n"/>
      <c r="F249" s="4" t="n"/>
      <c r="H249" s="4" t="n"/>
    </row>
    <row r="250">
      <c r="A250" s="2" t="n"/>
      <c r="D250" s="4" t="n"/>
      <c r="F250" s="4" t="n"/>
      <c r="H250" s="4" t="n"/>
    </row>
    <row r="251">
      <c r="A251" s="2" t="n"/>
      <c r="D251" s="4" t="n"/>
      <c r="F251" s="4" t="n"/>
      <c r="H251" s="4" t="n"/>
    </row>
    <row r="252">
      <c r="A252" s="2" t="n"/>
      <c r="D252" s="4" t="n"/>
      <c r="F252" s="4" t="n"/>
      <c r="H252" s="4" t="n"/>
    </row>
    <row r="253">
      <c r="A253" s="2" t="n"/>
      <c r="D253" s="4" t="n"/>
      <c r="F253" s="4" t="n"/>
      <c r="H253" s="4" t="n"/>
    </row>
    <row r="254">
      <c r="A254" s="2" t="n"/>
      <c r="D254" s="4" t="n"/>
      <c r="F254" s="4" t="n"/>
      <c r="H254" s="4" t="n"/>
    </row>
    <row r="255">
      <c r="A255" s="2" t="n"/>
      <c r="D255" s="4" t="n"/>
      <c r="F255" s="4" t="n"/>
      <c r="H255" s="4" t="n"/>
    </row>
    <row r="256">
      <c r="A256" s="2" t="n"/>
      <c r="D256" s="4" t="n"/>
      <c r="F256" s="4" t="n"/>
      <c r="H256" s="4" t="n"/>
    </row>
    <row r="257">
      <c r="A257" s="2" t="n"/>
      <c r="D257" s="4" t="n"/>
      <c r="F257" s="4" t="n"/>
      <c r="H257" s="4" t="n"/>
    </row>
    <row r="258">
      <c r="A258" s="2" t="n"/>
      <c r="D258" s="4" t="n"/>
      <c r="F258" s="4" t="n"/>
      <c r="H258" s="4" t="n"/>
    </row>
    <row r="259">
      <c r="A259" s="2" t="n"/>
      <c r="D259" s="4" t="n"/>
      <c r="F259" s="4" t="n"/>
      <c r="H259" s="4" t="n"/>
    </row>
    <row r="260">
      <c r="A260" s="2" t="n"/>
      <c r="D260" s="4" t="n"/>
      <c r="F260" s="4" t="n"/>
      <c r="H260" s="4" t="n"/>
    </row>
    <row r="261">
      <c r="A261" s="2" t="n"/>
      <c r="D261" s="4" t="n"/>
      <c r="F261" s="4" t="n"/>
      <c r="H261" s="4" t="n"/>
    </row>
    <row r="262">
      <c r="A262" s="2" t="n"/>
      <c r="D262" s="4" t="n"/>
      <c r="F262" s="4" t="n"/>
      <c r="H262" s="4" t="n"/>
    </row>
    <row r="263">
      <c r="A263" s="2" t="n"/>
      <c r="D263" s="4" t="n"/>
      <c r="F263" s="4" t="n"/>
      <c r="H263" s="4" t="n"/>
    </row>
    <row r="264">
      <c r="A264" s="2" t="n"/>
      <c r="D264" s="4" t="n"/>
      <c r="F264" s="4" t="n"/>
      <c r="H264" s="4" t="n"/>
    </row>
    <row r="265">
      <c r="A265" s="2" t="n"/>
      <c r="D265" s="4" t="n"/>
      <c r="F265" s="4" t="n"/>
      <c r="H265" s="4" t="n"/>
    </row>
    <row r="266">
      <c r="A266" s="2" t="n"/>
      <c r="D266" s="4" t="n"/>
      <c r="F266" s="4" t="n"/>
      <c r="H266" s="4" t="n"/>
    </row>
    <row r="267">
      <c r="A267" s="2" t="n"/>
      <c r="D267" s="4" t="n"/>
      <c r="F267" s="4" t="n"/>
      <c r="H267" s="4" t="n"/>
    </row>
    <row r="268">
      <c r="A268" s="2" t="n"/>
      <c r="D268" s="4" t="n"/>
      <c r="F268" s="4" t="n"/>
      <c r="H268" s="4" t="n"/>
    </row>
    <row r="269">
      <c r="A269" s="2" t="n"/>
      <c r="D269" s="4" t="n"/>
      <c r="F269" s="4" t="n"/>
      <c r="H269" s="4" t="n"/>
    </row>
    <row r="270">
      <c r="A270" s="2" t="n"/>
      <c r="D270" s="4" t="n"/>
      <c r="F270" s="4" t="n"/>
      <c r="H270" s="4" t="n"/>
    </row>
    <row r="271">
      <c r="A271" s="2" t="n"/>
      <c r="D271" s="4" t="n"/>
      <c r="F271" s="4" t="n"/>
      <c r="H271" s="4" t="n"/>
    </row>
    <row r="272">
      <c r="A272" s="2" t="n"/>
      <c r="D272" s="4" t="n"/>
      <c r="F272" s="4" t="n"/>
      <c r="H272" s="4" t="n"/>
    </row>
    <row r="273">
      <c r="A273" s="2" t="n"/>
      <c r="D273" s="4" t="n"/>
      <c r="F273" s="4" t="n"/>
      <c r="H273" s="4" t="n"/>
    </row>
    <row r="274">
      <c r="A274" s="2" t="n"/>
      <c r="D274" s="4" t="n"/>
      <c r="F274" s="4" t="n"/>
      <c r="H274" s="4" t="n"/>
    </row>
    <row r="275">
      <c r="A275" s="2" t="n"/>
      <c r="D275" s="4" t="n"/>
      <c r="F275" s="4" t="n"/>
      <c r="H275" s="4" t="n"/>
    </row>
    <row r="276">
      <c r="A276" s="2" t="n"/>
      <c r="D276" s="4" t="n"/>
      <c r="F276" s="4" t="n"/>
      <c r="H276" s="4" t="n"/>
    </row>
    <row r="277">
      <c r="A277" s="2" t="n"/>
      <c r="D277" s="4" t="n"/>
      <c r="F277" s="4" t="n"/>
      <c r="H277" s="4" t="n"/>
    </row>
    <row r="278">
      <c r="A278" s="2" t="n"/>
      <c r="D278" s="4" t="n"/>
      <c r="F278" s="4" t="n"/>
      <c r="H278" s="4" t="n"/>
    </row>
    <row r="279">
      <c r="A279" s="2" t="n"/>
      <c r="D279" s="4" t="n"/>
      <c r="F279" s="4" t="n"/>
      <c r="H279" s="4" t="n"/>
    </row>
    <row r="280">
      <c r="A280" s="2" t="n"/>
      <c r="D280" s="4" t="n"/>
      <c r="F280" s="4" t="n"/>
      <c r="H280" s="4" t="n"/>
    </row>
    <row r="281">
      <c r="A281" s="2" t="n"/>
      <c r="D281" s="4" t="n"/>
      <c r="F281" s="4" t="n"/>
      <c r="H281" s="4" t="n"/>
    </row>
    <row r="282">
      <c r="A282" s="2" t="n"/>
      <c r="D282" s="4" t="n"/>
      <c r="F282" s="4" t="n"/>
      <c r="H282" s="4" t="n"/>
    </row>
    <row r="283">
      <c r="A283" s="2" t="n"/>
      <c r="D283" s="4" t="n"/>
      <c r="F283" s="4" t="n"/>
      <c r="H283" s="4" t="n"/>
    </row>
    <row r="284">
      <c r="A284" s="2" t="n"/>
      <c r="D284" s="4" t="n"/>
      <c r="F284" s="4" t="n"/>
      <c r="H284" s="4" t="n"/>
    </row>
    <row r="285">
      <c r="A285" s="3" t="n"/>
      <c r="D285" s="4" t="n"/>
      <c r="F285" s="4" t="n"/>
      <c r="H285" s="4" t="n"/>
    </row>
    <row r="286" ht="14.45" customHeight="1" s="99">
      <c r="D286" s="4" t="n"/>
      <c r="F286" s="4" t="n"/>
      <c r="H286" s="4" t="n"/>
    </row>
    <row r="287" ht="14.45" customHeight="1" s="99">
      <c r="D287" s="4" t="n"/>
      <c r="F287" s="4" t="n"/>
      <c r="H287" s="4" t="n"/>
    </row>
    <row r="288" ht="14.45" customHeight="1" s="99">
      <c r="D288" s="4" t="n"/>
      <c r="F288" s="4" t="n"/>
      <c r="H288" s="4" t="n"/>
    </row>
    <row r="289">
      <c r="A289" s="1" t="n"/>
      <c r="D289" s="4" t="n"/>
      <c r="F289" s="4" t="n"/>
      <c r="H289" s="4" t="n"/>
    </row>
    <row r="290">
      <c r="A290" s="1" t="n"/>
      <c r="D290" s="4" t="n"/>
      <c r="F290" s="4" t="n"/>
      <c r="H290" s="4" t="n"/>
    </row>
    <row r="291">
      <c r="A291" s="2" t="n"/>
      <c r="D291" s="4" t="n"/>
      <c r="F291" s="4" t="n"/>
      <c r="H291" s="4" t="n"/>
    </row>
    <row r="292">
      <c r="A292" s="2" t="n"/>
      <c r="D292" s="4" t="n"/>
      <c r="F292" s="4" t="n"/>
      <c r="H292" s="4" t="n"/>
    </row>
    <row r="293">
      <c r="A293" s="2" t="n"/>
      <c r="D293" s="4" t="n"/>
      <c r="F293" s="4" t="n"/>
      <c r="H293" s="4" t="n"/>
    </row>
    <row r="294">
      <c r="A294" s="2" t="n"/>
      <c r="D294" s="4" t="n"/>
      <c r="F294" s="4" t="n"/>
      <c r="H294" s="4" t="n"/>
    </row>
    <row r="295">
      <c r="A295" s="2" t="n"/>
      <c r="D295" s="4" t="n"/>
      <c r="F295" s="4" t="n"/>
      <c r="H295" s="4" t="n"/>
    </row>
    <row r="296">
      <c r="A296" s="2" t="n"/>
      <c r="D296" s="4" t="n"/>
      <c r="F296" s="4" t="n"/>
      <c r="H296" s="4" t="n"/>
    </row>
    <row r="297">
      <c r="A297" s="2" t="n"/>
      <c r="D297" s="4" t="n"/>
      <c r="F297" s="4" t="n"/>
      <c r="H297" s="4" t="n"/>
    </row>
    <row r="298">
      <c r="A298" s="2" t="n"/>
      <c r="D298" s="4" t="n"/>
      <c r="F298" s="4" t="n"/>
      <c r="H298" s="4" t="n"/>
    </row>
    <row r="299">
      <c r="A299" s="2" t="n"/>
      <c r="D299" s="4" t="n"/>
      <c r="F299" s="4" t="n"/>
      <c r="H299" s="4" t="n"/>
    </row>
    <row r="300">
      <c r="A300" s="2" t="n"/>
      <c r="D300" s="4" t="n"/>
      <c r="F300" s="4" t="n"/>
      <c r="H300" s="4" t="n"/>
    </row>
    <row r="301">
      <c r="A301" s="2" t="n"/>
      <c r="D301" s="4" t="n"/>
      <c r="F301" s="4" t="n"/>
      <c r="H301" s="4" t="n"/>
    </row>
    <row r="302">
      <c r="A302" s="2" t="n"/>
      <c r="D302" s="4" t="n"/>
      <c r="F302" s="4" t="n"/>
      <c r="H302" s="4" t="n"/>
    </row>
    <row r="303">
      <c r="A303" s="2" t="n"/>
      <c r="D303" s="4" t="n"/>
      <c r="F303" s="4" t="n"/>
      <c r="H303" s="4" t="n"/>
    </row>
    <row r="304">
      <c r="A304" s="2" t="n"/>
      <c r="D304" s="4" t="n"/>
      <c r="F304" s="4" t="n"/>
      <c r="H304" s="4" t="n"/>
    </row>
    <row r="305">
      <c r="A305" s="2" t="n"/>
      <c r="D305" s="4" t="n"/>
      <c r="F305" s="4" t="n"/>
      <c r="H305" s="4" t="n"/>
    </row>
    <row r="306">
      <c r="A306" s="2" t="n"/>
      <c r="D306" s="4" t="n"/>
      <c r="F306" s="4" t="n"/>
      <c r="H306" s="4" t="n"/>
    </row>
    <row r="307">
      <c r="A307" s="2" t="n"/>
      <c r="D307" s="4" t="n"/>
      <c r="F307" s="4" t="n"/>
      <c r="H307" s="4" t="n"/>
    </row>
    <row r="308">
      <c r="A308" s="2" t="n"/>
      <c r="D308" s="4" t="n"/>
      <c r="F308" s="4" t="n"/>
      <c r="H308" s="4" t="n"/>
    </row>
    <row r="309">
      <c r="A309" s="2" t="n"/>
      <c r="D309" s="4" t="n"/>
      <c r="F309" s="4" t="n"/>
      <c r="H309" s="4" t="n"/>
    </row>
    <row r="310">
      <c r="A310" s="2" t="n"/>
      <c r="D310" s="4" t="n"/>
      <c r="F310" s="4" t="n"/>
      <c r="H310" s="4" t="n"/>
    </row>
    <row r="311">
      <c r="A311" s="2" t="n"/>
      <c r="D311" s="4" t="n"/>
      <c r="F311" s="4" t="n"/>
      <c r="H311" s="4" t="n"/>
    </row>
    <row r="312">
      <c r="A312" s="2" t="n"/>
      <c r="D312" s="4" t="n"/>
      <c r="F312" s="4" t="n"/>
      <c r="H312" s="4" t="n"/>
    </row>
    <row r="313">
      <c r="A313" s="2" t="n"/>
      <c r="D313" s="4" t="n"/>
      <c r="F313" s="4" t="n"/>
      <c r="H313" s="4" t="n"/>
    </row>
    <row r="314">
      <c r="A314" s="2" t="n"/>
      <c r="D314" s="4" t="n"/>
      <c r="F314" s="4" t="n"/>
      <c r="H314" s="4" t="n"/>
    </row>
    <row r="315">
      <c r="A315" s="2" t="n"/>
      <c r="D315" s="4" t="n"/>
      <c r="F315" s="4" t="n"/>
      <c r="H315" s="4" t="n"/>
    </row>
    <row r="316">
      <c r="A316" s="2" t="n"/>
      <c r="D316" s="4" t="n"/>
      <c r="F316" s="4" t="n"/>
      <c r="H316" s="4" t="n"/>
    </row>
    <row r="317">
      <c r="A317" s="2" t="n"/>
      <c r="D317" s="4" t="n"/>
      <c r="F317" s="4" t="n"/>
      <c r="H317" s="4" t="n"/>
    </row>
    <row r="318">
      <c r="A318" s="2" t="n"/>
      <c r="D318" s="4" t="n"/>
      <c r="F318" s="4" t="n"/>
      <c r="H318" s="4" t="n"/>
    </row>
    <row r="319">
      <c r="A319" s="2" t="n"/>
      <c r="D319" s="4" t="n"/>
      <c r="F319" s="4" t="n"/>
      <c r="H319" s="4" t="n"/>
    </row>
    <row r="320">
      <c r="A320" s="2" t="n"/>
      <c r="D320" s="4" t="n"/>
      <c r="F320" s="4" t="n"/>
      <c r="H320" s="4" t="n"/>
    </row>
    <row r="321">
      <c r="A321" s="2" t="n"/>
      <c r="D321" s="4" t="n"/>
      <c r="F321" s="4" t="n"/>
      <c r="H321" s="4" t="n"/>
    </row>
    <row r="322">
      <c r="A322" s="2" t="n"/>
      <c r="D322" s="4" t="n"/>
      <c r="F322" s="4" t="n"/>
      <c r="H322" s="4" t="n"/>
    </row>
    <row r="323">
      <c r="A323" s="2" t="n"/>
      <c r="D323" s="4" t="n"/>
      <c r="F323" s="4" t="n"/>
      <c r="H323" s="4" t="n"/>
    </row>
    <row r="324">
      <c r="A324" s="2" t="n"/>
      <c r="D324" s="4" t="n"/>
      <c r="F324" s="4" t="n"/>
      <c r="H324" s="4" t="n"/>
    </row>
    <row r="325">
      <c r="A325" s="2" t="n"/>
      <c r="D325" s="4" t="n"/>
      <c r="F325" s="4" t="n"/>
      <c r="H325" s="4" t="n"/>
    </row>
    <row r="326">
      <c r="A326" s="2" t="n"/>
      <c r="D326" s="4" t="n"/>
      <c r="F326" s="4" t="n"/>
      <c r="H326" s="4" t="n"/>
    </row>
    <row r="327">
      <c r="A327" s="2" t="n"/>
      <c r="D327" s="4" t="n"/>
      <c r="F327" s="4" t="n"/>
      <c r="H327" s="4" t="n"/>
    </row>
    <row r="328">
      <c r="A328" s="2" t="n"/>
      <c r="D328" s="4" t="n"/>
      <c r="F328" s="4" t="n"/>
      <c r="H328" s="4" t="n"/>
    </row>
    <row r="329">
      <c r="A329" s="2" t="n"/>
      <c r="D329" s="4" t="n"/>
      <c r="F329" s="4" t="n"/>
      <c r="H329" s="4" t="n"/>
    </row>
    <row r="330">
      <c r="A330" s="2" t="n"/>
      <c r="D330" s="4" t="n"/>
      <c r="F330" s="4" t="n"/>
      <c r="H330" s="4" t="n"/>
    </row>
    <row r="331">
      <c r="A331" s="2" t="n"/>
      <c r="D331" s="4" t="n"/>
      <c r="F331" s="4" t="n"/>
      <c r="H331" s="4" t="n"/>
    </row>
    <row r="332">
      <c r="A332" s="2" t="n"/>
      <c r="D332" s="4" t="n"/>
      <c r="F332" s="4" t="n"/>
      <c r="H332" s="4" t="n"/>
    </row>
    <row r="333">
      <c r="A333" s="2" t="n"/>
      <c r="D333" s="4" t="n"/>
      <c r="F333" s="4" t="n"/>
      <c r="H333" s="4" t="n"/>
    </row>
    <row r="334">
      <c r="A334" s="2" t="n"/>
      <c r="D334" s="4" t="n"/>
      <c r="F334" s="4" t="n"/>
      <c r="H334" s="4" t="n"/>
    </row>
    <row r="335">
      <c r="A335" s="2" t="n"/>
      <c r="D335" s="4" t="n"/>
      <c r="F335" s="4" t="n"/>
      <c r="H335" s="4" t="n"/>
    </row>
    <row r="336">
      <c r="A336" s="2" t="n"/>
      <c r="D336" s="4" t="n"/>
      <c r="F336" s="4" t="n"/>
      <c r="H336" s="4" t="n"/>
    </row>
    <row r="337">
      <c r="A337" s="2" t="n"/>
      <c r="D337" s="4" t="n"/>
      <c r="F337" s="4" t="n"/>
      <c r="H337" s="4" t="n"/>
    </row>
    <row r="338">
      <c r="A338" s="2" t="n"/>
      <c r="D338" s="4" t="n"/>
      <c r="F338" s="4" t="n"/>
      <c r="H338" s="4" t="n"/>
    </row>
    <row r="339">
      <c r="A339" s="2" t="n"/>
      <c r="D339" s="4" t="n"/>
      <c r="F339" s="4" t="n"/>
      <c r="H339" s="4" t="n"/>
    </row>
    <row r="340">
      <c r="A340" s="2" t="n"/>
      <c r="D340" s="4" t="n"/>
      <c r="F340" s="4" t="n"/>
      <c r="H340" s="4" t="n"/>
    </row>
    <row r="341">
      <c r="A341" s="2" t="n"/>
      <c r="D341" s="4" t="n"/>
      <c r="F341" s="4" t="n"/>
      <c r="H341" s="4" t="n"/>
    </row>
    <row r="342">
      <c r="A342" s="2" t="n"/>
      <c r="D342" s="4" t="n"/>
      <c r="F342" s="4" t="n"/>
      <c r="H342" s="4" t="n"/>
    </row>
    <row r="343">
      <c r="A343" s="2" t="n"/>
      <c r="D343" s="4" t="n"/>
      <c r="F343" s="4" t="n"/>
      <c r="H343" s="4" t="n"/>
    </row>
    <row r="344">
      <c r="A344" s="2" t="n"/>
      <c r="D344" s="4" t="n"/>
      <c r="F344" s="4" t="n"/>
      <c r="H344" s="4" t="n"/>
    </row>
    <row r="345">
      <c r="A345" s="2" t="n"/>
      <c r="D345" s="4" t="n"/>
      <c r="F345" s="4" t="n"/>
      <c r="H345" s="4" t="n"/>
    </row>
    <row r="346">
      <c r="A346" s="2" t="n"/>
      <c r="D346" s="4" t="n"/>
      <c r="F346" s="4" t="n"/>
      <c r="H346" s="4" t="n"/>
    </row>
    <row r="347">
      <c r="A347" s="2" t="n"/>
      <c r="D347" s="4" t="n"/>
      <c r="F347" s="4" t="n"/>
      <c r="H347" s="4" t="n"/>
    </row>
    <row r="348">
      <c r="A348" s="2" t="n"/>
      <c r="D348" s="4" t="n"/>
      <c r="F348" s="4" t="n"/>
      <c r="H348" s="4" t="n"/>
    </row>
    <row r="349">
      <c r="A349" s="2" t="n"/>
      <c r="D349" s="4" t="n"/>
      <c r="F349" s="4" t="n"/>
      <c r="H349" s="4" t="n"/>
    </row>
    <row r="350">
      <c r="A350" s="2" t="n"/>
      <c r="D350" s="4" t="n"/>
      <c r="F350" s="4" t="n"/>
      <c r="H350" s="4" t="n"/>
    </row>
    <row r="351">
      <c r="A351" s="2" t="n"/>
      <c r="D351" s="4" t="n"/>
      <c r="F351" s="4" t="n"/>
      <c r="H351" s="4" t="n"/>
    </row>
    <row r="352">
      <c r="A352" s="2" t="n"/>
      <c r="D352" s="4" t="n"/>
      <c r="F352" s="4" t="n"/>
      <c r="H352" s="4" t="n"/>
    </row>
    <row r="353">
      <c r="A353" s="2" t="n"/>
      <c r="D353" s="4" t="n"/>
      <c r="F353" s="4" t="n"/>
      <c r="H353" s="4" t="n"/>
    </row>
    <row r="354">
      <c r="A354" s="2" t="n"/>
      <c r="D354" s="4" t="n"/>
      <c r="F354" s="4" t="n"/>
      <c r="H354" s="4" t="n"/>
    </row>
    <row r="355">
      <c r="A355" s="2" t="n"/>
      <c r="D355" s="4" t="n"/>
      <c r="F355" s="4" t="n"/>
      <c r="H355" s="4" t="n"/>
    </row>
    <row r="356">
      <c r="A356" s="2" t="n"/>
      <c r="D356" s="4" t="n"/>
      <c r="F356" s="4" t="n"/>
      <c r="H356" s="4" t="n"/>
    </row>
    <row r="357">
      <c r="A357" s="2" t="n"/>
      <c r="D357" s="4" t="n"/>
      <c r="F357" s="4" t="n"/>
      <c r="H357" s="4" t="n"/>
    </row>
    <row r="358">
      <c r="A358" s="3" t="n"/>
      <c r="D358" s="4" t="n"/>
      <c r="F358" s="4" t="n"/>
      <c r="H358" s="4" t="n"/>
    </row>
    <row r="359" ht="14.45" customHeight="1" s="99">
      <c r="D359" s="4" t="n"/>
      <c r="F359" s="4" t="n"/>
      <c r="H359" s="4" t="n"/>
    </row>
    <row r="360" ht="14.45" customHeight="1" s="99">
      <c r="D360" s="4" t="n"/>
      <c r="F360" s="4" t="n"/>
      <c r="H360" s="4" t="n"/>
    </row>
    <row r="361" ht="14.45" customHeight="1" s="99">
      <c r="D361" s="4" t="n"/>
      <c r="F361" s="4" t="n"/>
      <c r="H361" s="4" t="n"/>
    </row>
    <row r="362">
      <c r="A362" s="1" t="n"/>
      <c r="D362" s="4" t="n"/>
      <c r="F362" s="4" t="n"/>
      <c r="H362" s="4" t="n"/>
    </row>
    <row r="363">
      <c r="A363" s="1" t="n"/>
      <c r="D363" s="4" t="n"/>
      <c r="F363" s="4" t="n"/>
      <c r="H363" s="4" t="n"/>
    </row>
    <row r="364">
      <c r="A364" s="2" t="n"/>
      <c r="D364" s="4" t="n"/>
      <c r="F364" s="4" t="n"/>
      <c r="H364" s="4" t="n"/>
    </row>
    <row r="365">
      <c r="A365" s="2" t="n"/>
      <c r="D365" s="4" t="n"/>
      <c r="F365" s="4" t="n"/>
      <c r="H365" s="4" t="n"/>
    </row>
    <row r="366">
      <c r="A366" s="2" t="n"/>
      <c r="D366" s="4" t="n"/>
      <c r="F366" s="4" t="n"/>
      <c r="H366" s="4" t="n"/>
    </row>
    <row r="367">
      <c r="A367" s="2" t="n"/>
      <c r="D367" s="4" t="n"/>
      <c r="F367" s="4" t="n"/>
      <c r="H367" s="4" t="n"/>
    </row>
    <row r="368">
      <c r="A368" s="2" t="n"/>
      <c r="D368" s="4" t="n"/>
      <c r="F368" s="4" t="n"/>
      <c r="H368" s="4" t="n"/>
    </row>
    <row r="369">
      <c r="A369" s="2" t="n"/>
      <c r="D369" s="4" t="n"/>
      <c r="F369" s="4" t="n"/>
      <c r="H369" s="4" t="n"/>
    </row>
    <row r="370">
      <c r="A370" s="2" t="n"/>
      <c r="D370" s="4" t="n"/>
      <c r="F370" s="4" t="n"/>
      <c r="H370" s="4" t="n"/>
    </row>
    <row r="371">
      <c r="A371" s="2" t="n"/>
      <c r="D371" s="4" t="n"/>
      <c r="F371" s="4" t="n"/>
      <c r="H371" s="4" t="n"/>
    </row>
    <row r="372">
      <c r="A372" s="2" t="n"/>
      <c r="D372" s="4" t="n"/>
      <c r="F372" s="4" t="n"/>
      <c r="H372" s="4" t="n"/>
    </row>
    <row r="373">
      <c r="A373" s="2" t="n"/>
      <c r="D373" s="4" t="n"/>
      <c r="F373" s="4" t="n"/>
      <c r="H373" s="4" t="n"/>
    </row>
    <row r="374">
      <c r="A374" s="2" t="n"/>
      <c r="D374" s="4" t="n"/>
      <c r="F374" s="4" t="n"/>
      <c r="H374" s="4" t="n"/>
    </row>
    <row r="375">
      <c r="A375" s="2" t="n"/>
      <c r="D375" s="4" t="n"/>
      <c r="F375" s="4" t="n"/>
      <c r="H375" s="4" t="n"/>
    </row>
    <row r="376">
      <c r="A376" s="2" t="n"/>
      <c r="D376" s="4" t="n"/>
      <c r="F376" s="4" t="n"/>
      <c r="H376" s="4" t="n"/>
    </row>
    <row r="377">
      <c r="A377" s="2" t="n"/>
      <c r="D377" s="4" t="n"/>
      <c r="F377" s="4" t="n"/>
      <c r="H377" s="4" t="n"/>
    </row>
    <row r="378">
      <c r="A378" s="2" t="n"/>
      <c r="D378" s="4" t="n"/>
      <c r="F378" s="4" t="n"/>
      <c r="H378" s="4" t="n"/>
    </row>
    <row r="379">
      <c r="A379" s="2" t="n"/>
      <c r="D379" s="4" t="n"/>
      <c r="F379" s="4" t="n"/>
      <c r="H379" s="4" t="n"/>
    </row>
    <row r="380">
      <c r="A380" s="2" t="n"/>
      <c r="D380" s="4" t="n"/>
      <c r="F380" s="4" t="n"/>
      <c r="H380" s="4" t="n"/>
    </row>
    <row r="381">
      <c r="A381" s="2" t="n"/>
      <c r="D381" s="4" t="n"/>
      <c r="F381" s="4" t="n"/>
      <c r="H381" s="4" t="n"/>
    </row>
    <row r="382">
      <c r="A382" s="2" t="n"/>
      <c r="D382" s="4" t="n"/>
      <c r="F382" s="4" t="n"/>
      <c r="H382" s="4" t="n"/>
    </row>
    <row r="383">
      <c r="A383" s="2" t="n"/>
      <c r="D383" s="4" t="n"/>
      <c r="F383" s="4" t="n"/>
      <c r="H383" s="4" t="n"/>
    </row>
    <row r="384">
      <c r="A384" s="2" t="n"/>
      <c r="D384" s="4" t="n"/>
      <c r="F384" s="4" t="n"/>
      <c r="H384" s="4" t="n"/>
    </row>
    <row r="385">
      <c r="A385" s="2" t="n"/>
      <c r="D385" s="4" t="n"/>
      <c r="F385" s="4" t="n"/>
      <c r="H385" s="4" t="n"/>
    </row>
    <row r="386">
      <c r="A386" s="2" t="n"/>
      <c r="D386" s="4" t="n"/>
      <c r="F386" s="4" t="n"/>
      <c r="H386" s="4" t="n"/>
    </row>
    <row r="387">
      <c r="A387" s="2" t="n"/>
      <c r="D387" s="4" t="n"/>
      <c r="F387" s="4" t="n"/>
      <c r="H387" s="4" t="n"/>
    </row>
    <row r="388">
      <c r="A388" s="2" t="n"/>
      <c r="D388" s="4" t="n"/>
      <c r="F388" s="4" t="n"/>
      <c r="H388" s="4" t="n"/>
    </row>
    <row r="389">
      <c r="A389" s="2" t="n"/>
      <c r="D389" s="4" t="n"/>
      <c r="F389" s="4" t="n"/>
      <c r="H389" s="4" t="n"/>
    </row>
    <row r="390">
      <c r="A390" s="2" t="n"/>
      <c r="D390" s="4" t="n"/>
      <c r="F390" s="4" t="n"/>
      <c r="H390" s="4" t="n"/>
    </row>
    <row r="391">
      <c r="A391" s="2" t="n"/>
      <c r="D391" s="4" t="n"/>
      <c r="F391" s="4" t="n"/>
      <c r="H391" s="4" t="n"/>
    </row>
    <row r="392">
      <c r="A392" s="2" t="n"/>
      <c r="D392" s="4" t="n"/>
      <c r="F392" s="4" t="n"/>
      <c r="H392" s="4" t="n"/>
    </row>
    <row r="393">
      <c r="A393" s="2" t="n"/>
      <c r="D393" s="4" t="n"/>
      <c r="F393" s="4" t="n"/>
      <c r="H393" s="4" t="n"/>
    </row>
    <row r="394">
      <c r="A394" s="2" t="n"/>
      <c r="D394" s="4" t="n"/>
      <c r="F394" s="4" t="n"/>
      <c r="H394" s="4" t="n"/>
    </row>
    <row r="395">
      <c r="A395" s="2" t="n"/>
      <c r="D395" s="4" t="n"/>
      <c r="F395" s="4" t="n"/>
      <c r="H395" s="4" t="n"/>
    </row>
    <row r="396">
      <c r="A396" s="2" t="n"/>
      <c r="D396" s="4" t="n"/>
      <c r="F396" s="4" t="n"/>
      <c r="H396" s="4" t="n"/>
    </row>
    <row r="397">
      <c r="A397" s="2" t="n"/>
      <c r="D397" s="4" t="n"/>
      <c r="F397" s="4" t="n"/>
      <c r="H397" s="4" t="n"/>
    </row>
    <row r="398">
      <c r="A398" s="2" t="n"/>
      <c r="D398" s="4" t="n"/>
      <c r="F398" s="4" t="n"/>
      <c r="H398" s="4" t="n"/>
    </row>
    <row r="399">
      <c r="A399" s="2" t="n"/>
      <c r="D399" s="4" t="n"/>
      <c r="F399" s="4" t="n"/>
      <c r="H399" s="4" t="n"/>
    </row>
    <row r="400">
      <c r="A400" s="2" t="n"/>
      <c r="D400" s="4" t="n"/>
      <c r="F400" s="4" t="n"/>
      <c r="H400" s="4" t="n"/>
    </row>
    <row r="401">
      <c r="A401" s="2" t="n"/>
      <c r="D401" s="4" t="n"/>
      <c r="F401" s="4" t="n"/>
      <c r="H401" s="4" t="n"/>
    </row>
    <row r="402">
      <c r="A402" s="2" t="n"/>
      <c r="D402" s="4" t="n"/>
      <c r="F402" s="4" t="n"/>
      <c r="H402" s="4" t="n"/>
    </row>
    <row r="403">
      <c r="A403" s="2" t="n"/>
      <c r="D403" s="4" t="n"/>
      <c r="F403" s="4" t="n"/>
      <c r="H403" s="4" t="n"/>
    </row>
    <row r="404">
      <c r="A404" s="2" t="n"/>
      <c r="D404" s="4" t="n"/>
      <c r="F404" s="4" t="n"/>
      <c r="H404" s="4" t="n"/>
    </row>
    <row r="405">
      <c r="A405" s="2" t="n"/>
      <c r="D405" s="4" t="n"/>
      <c r="F405" s="4" t="n"/>
      <c r="H405" s="4" t="n"/>
    </row>
    <row r="406">
      <c r="A406" s="2" t="n"/>
      <c r="D406" s="4" t="n"/>
      <c r="F406" s="4" t="n"/>
      <c r="H406" s="4" t="n"/>
    </row>
    <row r="407">
      <c r="A407" s="2" t="n"/>
      <c r="D407" s="4" t="n"/>
      <c r="F407" s="4" t="n"/>
      <c r="H407" s="4" t="n"/>
    </row>
    <row r="408">
      <c r="A408" s="2" t="n"/>
      <c r="D408" s="4" t="n"/>
      <c r="F408" s="4" t="n"/>
      <c r="H408" s="4" t="n"/>
    </row>
    <row r="409">
      <c r="A409" s="2" t="n"/>
      <c r="D409" s="4" t="n"/>
      <c r="F409" s="4" t="n"/>
      <c r="H409" s="4" t="n"/>
    </row>
    <row r="410">
      <c r="A410" s="2" t="n"/>
      <c r="D410" s="4" t="n"/>
      <c r="F410" s="4" t="n"/>
      <c r="H410" s="4" t="n"/>
    </row>
    <row r="411">
      <c r="A411" s="2" t="n"/>
      <c r="D411" s="4" t="n"/>
      <c r="F411" s="4" t="n"/>
      <c r="H411" s="4" t="n"/>
    </row>
    <row r="412">
      <c r="A412" s="2" t="n"/>
      <c r="D412" s="4" t="n"/>
      <c r="F412" s="4" t="n"/>
      <c r="H412" s="4" t="n"/>
    </row>
    <row r="413">
      <c r="A413" s="2" t="n"/>
      <c r="D413" s="4" t="n"/>
      <c r="F413" s="4" t="n"/>
      <c r="H413" s="4" t="n"/>
    </row>
    <row r="414">
      <c r="A414" s="2" t="n"/>
      <c r="D414" s="4" t="n"/>
      <c r="F414" s="4" t="n"/>
      <c r="H414" s="4" t="n"/>
    </row>
    <row r="415">
      <c r="A415" s="2" t="n"/>
      <c r="D415" s="4" t="n"/>
      <c r="F415" s="4" t="n"/>
      <c r="H415" s="4" t="n"/>
    </row>
    <row r="416">
      <c r="A416" s="2" t="n"/>
      <c r="D416" s="4" t="n"/>
      <c r="F416" s="4" t="n"/>
      <c r="H416" s="4" t="n"/>
    </row>
    <row r="417">
      <c r="A417" s="2" t="n"/>
      <c r="D417" s="4" t="n"/>
      <c r="F417" s="4" t="n"/>
      <c r="H417" s="4" t="n"/>
    </row>
    <row r="418">
      <c r="A418" s="2" t="n"/>
      <c r="D418" s="4" t="n"/>
      <c r="F418" s="4" t="n"/>
      <c r="H418" s="4" t="n"/>
    </row>
    <row r="419">
      <c r="A419" s="2" t="n"/>
      <c r="D419" s="4" t="n"/>
      <c r="F419" s="4" t="n"/>
      <c r="H419" s="4" t="n"/>
    </row>
    <row r="420">
      <c r="A420" s="2" t="n"/>
      <c r="D420" s="4" t="n"/>
      <c r="F420" s="4" t="n"/>
      <c r="H420" s="4" t="n"/>
    </row>
    <row r="421">
      <c r="A421" s="2" t="n"/>
      <c r="D421" s="4" t="n"/>
      <c r="F421" s="4" t="n"/>
      <c r="H421" s="4" t="n"/>
    </row>
    <row r="422">
      <c r="A422" s="2" t="n"/>
      <c r="D422" s="4" t="n"/>
      <c r="F422" s="4" t="n"/>
      <c r="H422" s="4" t="n"/>
    </row>
    <row r="423">
      <c r="A423" s="2" t="n"/>
      <c r="D423" s="4" t="n"/>
      <c r="F423" s="4" t="n"/>
      <c r="H423" s="4" t="n"/>
    </row>
    <row r="424">
      <c r="A424" s="2" t="n"/>
      <c r="D424" s="4" t="n"/>
      <c r="F424" s="4" t="n"/>
      <c r="H424" s="4" t="n"/>
    </row>
    <row r="425">
      <c r="A425" s="2" t="n"/>
      <c r="D425" s="4" t="n"/>
      <c r="F425" s="4" t="n"/>
      <c r="H425" s="4" t="n"/>
    </row>
    <row r="426">
      <c r="A426" s="2" t="n"/>
      <c r="D426" s="4" t="n"/>
      <c r="F426" s="4" t="n"/>
      <c r="H426" s="4" t="n"/>
    </row>
    <row r="427">
      <c r="A427" s="2" t="n"/>
      <c r="D427" s="4" t="n"/>
      <c r="F427" s="4" t="n"/>
      <c r="H427" s="4" t="n"/>
    </row>
    <row r="428">
      <c r="A428" s="2" t="n"/>
      <c r="D428" s="4" t="n"/>
      <c r="F428" s="4" t="n"/>
      <c r="H428" s="4" t="n"/>
    </row>
    <row r="429">
      <c r="A429" s="2" t="n"/>
      <c r="D429" s="4" t="n"/>
      <c r="F429" s="4" t="n"/>
      <c r="H429" s="4" t="n"/>
    </row>
    <row r="430">
      <c r="A430" s="2" t="n"/>
      <c r="D430" s="4" t="n"/>
      <c r="F430" s="4" t="n"/>
      <c r="H430" s="4" t="n"/>
    </row>
    <row r="431">
      <c r="A431" s="3" t="n"/>
      <c r="D431" s="4" t="n"/>
      <c r="F431" s="4" t="n"/>
      <c r="H431" s="4" t="n"/>
    </row>
    <row r="432" ht="14.45" customHeight="1" s="99">
      <c r="D432" s="4" t="n"/>
      <c r="F432" s="4" t="n"/>
      <c r="H432" s="4" t="n"/>
    </row>
    <row r="433" ht="14.45" customHeight="1" s="99">
      <c r="D433" s="4" t="n"/>
      <c r="F433" s="4" t="n"/>
      <c r="H433" s="4" t="n"/>
    </row>
    <row r="434" ht="14.45" customHeight="1" s="99">
      <c r="D434" s="4" t="n"/>
      <c r="F434" s="4" t="n"/>
      <c r="H434" s="4" t="n"/>
    </row>
    <row r="435">
      <c r="A435" s="1" t="n"/>
      <c r="D435" s="4" t="n"/>
      <c r="F435" s="4" t="n"/>
      <c r="H435" s="4" t="n"/>
    </row>
    <row r="436">
      <c r="A436" s="1" t="n"/>
      <c r="D436" s="4" t="n"/>
      <c r="F436" s="4" t="n"/>
      <c r="H436" s="4" t="n"/>
    </row>
    <row r="437">
      <c r="A437" s="2" t="n"/>
      <c r="D437" s="4" t="n"/>
      <c r="F437" s="4" t="n"/>
      <c r="H437" s="4" t="n"/>
    </row>
    <row r="438">
      <c r="A438" s="2" t="n"/>
      <c r="D438" s="4" t="n"/>
      <c r="F438" s="4" t="n"/>
      <c r="H438" s="4" t="n"/>
    </row>
    <row r="439">
      <c r="A439" s="2" t="n"/>
      <c r="D439" s="4" t="n"/>
      <c r="F439" s="4" t="n"/>
      <c r="H439" s="4" t="n"/>
    </row>
    <row r="440">
      <c r="A440" s="2" t="n"/>
      <c r="D440" s="4" t="n"/>
      <c r="F440" s="4" t="n"/>
      <c r="H440" s="4" t="n"/>
    </row>
    <row r="441">
      <c r="A441" s="2" t="n"/>
      <c r="D441" s="4" t="n"/>
      <c r="F441" s="4" t="n"/>
      <c r="H441" s="4" t="n"/>
    </row>
    <row r="442">
      <c r="A442" s="2" t="n"/>
      <c r="D442" s="4" t="n"/>
      <c r="F442" s="4" t="n"/>
      <c r="H442" s="4" t="n"/>
    </row>
    <row r="443">
      <c r="A443" s="2" t="n"/>
      <c r="D443" s="4" t="n"/>
      <c r="F443" s="4" t="n"/>
      <c r="H443" s="4" t="n"/>
    </row>
    <row r="444">
      <c r="A444" s="2" t="n"/>
      <c r="D444" s="4" t="n"/>
      <c r="F444" s="4" t="n"/>
      <c r="H444" s="4" t="n"/>
    </row>
    <row r="445">
      <c r="A445" s="2" t="n"/>
      <c r="D445" s="4" t="n"/>
      <c r="F445" s="4" t="n"/>
      <c r="H445" s="4" t="n"/>
    </row>
    <row r="446">
      <c r="A446" s="2" t="n"/>
      <c r="D446" s="4" t="n"/>
      <c r="F446" s="4" t="n"/>
      <c r="H446" s="4" t="n"/>
    </row>
    <row r="447">
      <c r="A447" s="2" t="n"/>
      <c r="D447" s="4" t="n"/>
      <c r="F447" s="4" t="n"/>
      <c r="H447" s="4" t="n"/>
    </row>
    <row r="448">
      <c r="A448" s="2" t="n"/>
      <c r="D448" s="4" t="n"/>
      <c r="F448" s="4" t="n"/>
      <c r="H448" s="4" t="n"/>
    </row>
    <row r="449">
      <c r="A449" s="2" t="n"/>
      <c r="D449" s="4" t="n"/>
      <c r="F449" s="4" t="n"/>
      <c r="H449" s="4" t="n"/>
    </row>
    <row r="450">
      <c r="A450" s="2" t="n"/>
      <c r="D450" s="4" t="n"/>
      <c r="F450" s="4" t="n"/>
      <c r="H450" s="4" t="n"/>
    </row>
    <row r="451">
      <c r="A451" s="2" t="n"/>
      <c r="D451" s="4" t="n"/>
      <c r="F451" s="4" t="n"/>
      <c r="H451" s="4" t="n"/>
    </row>
    <row r="452">
      <c r="A452" s="2" t="n"/>
      <c r="D452" s="4" t="n"/>
      <c r="F452" s="4" t="n"/>
      <c r="H452" s="4" t="n"/>
    </row>
    <row r="453">
      <c r="A453" s="2" t="n"/>
      <c r="D453" s="4" t="n"/>
      <c r="F453" s="4" t="n"/>
      <c r="H453" s="4" t="n"/>
    </row>
    <row r="454">
      <c r="A454" s="2" t="n"/>
      <c r="D454" s="4" t="n"/>
      <c r="F454" s="4" t="n"/>
      <c r="H454" s="4" t="n"/>
    </row>
    <row r="455">
      <c r="A455" s="2" t="n"/>
      <c r="D455" s="4" t="n"/>
      <c r="F455" s="4" t="n"/>
      <c r="H455" s="4" t="n"/>
    </row>
    <row r="456">
      <c r="A456" s="2" t="n"/>
      <c r="D456" s="4" t="n"/>
      <c r="F456" s="4" t="n"/>
      <c r="H456" s="4" t="n"/>
    </row>
    <row r="457">
      <c r="A457" s="2" t="n"/>
      <c r="D457" s="4" t="n"/>
      <c r="F457" s="4" t="n"/>
      <c r="H457" s="4" t="n"/>
    </row>
    <row r="458">
      <c r="A458" s="2" t="n"/>
      <c r="D458" s="4" t="n"/>
      <c r="F458" s="4" t="n"/>
      <c r="H458" s="4" t="n"/>
    </row>
    <row r="459">
      <c r="A459" s="2" t="n"/>
      <c r="D459" s="4" t="n"/>
      <c r="F459" s="4" t="n"/>
      <c r="H459" s="4" t="n"/>
    </row>
    <row r="460">
      <c r="A460" s="2" t="n"/>
      <c r="D460" s="4" t="n"/>
      <c r="F460" s="4" t="n"/>
      <c r="H460" s="4" t="n"/>
    </row>
    <row r="461">
      <c r="A461" s="2" t="n"/>
      <c r="D461" s="4" t="n"/>
      <c r="F461" s="4" t="n"/>
      <c r="H461" s="4" t="n"/>
    </row>
    <row r="462">
      <c r="A462" s="2" t="n"/>
      <c r="D462" s="4" t="n"/>
      <c r="F462" s="4" t="n"/>
      <c r="H462" s="4" t="n"/>
    </row>
    <row r="463">
      <c r="A463" s="2" t="n"/>
      <c r="D463" s="4" t="n"/>
      <c r="F463" s="4" t="n"/>
      <c r="H463" s="4" t="n"/>
    </row>
    <row r="464">
      <c r="A464" s="2" t="n"/>
      <c r="D464" s="4" t="n"/>
      <c r="F464" s="4" t="n"/>
      <c r="H464" s="4" t="n"/>
    </row>
    <row r="465">
      <c r="A465" s="2" t="n"/>
      <c r="D465" s="4" t="n"/>
      <c r="F465" s="4" t="n"/>
      <c r="H465" s="4" t="n"/>
    </row>
    <row r="466">
      <c r="A466" s="2" t="n"/>
      <c r="D466" s="4" t="n"/>
      <c r="F466" s="4" t="n"/>
      <c r="H466" s="4" t="n"/>
    </row>
    <row r="467">
      <c r="A467" s="2" t="n"/>
      <c r="D467" s="4" t="n"/>
      <c r="F467" s="4" t="n"/>
      <c r="H467" s="4" t="n"/>
    </row>
    <row r="468">
      <c r="A468" s="2" t="n"/>
      <c r="D468" s="4" t="n"/>
      <c r="F468" s="4" t="n"/>
      <c r="H468" s="4" t="n"/>
    </row>
    <row r="469">
      <c r="A469" s="2" t="n"/>
      <c r="D469" s="4" t="n"/>
      <c r="F469" s="4" t="n"/>
      <c r="H469" s="4" t="n"/>
    </row>
    <row r="470">
      <c r="A470" s="2" t="n"/>
      <c r="D470" s="4" t="n"/>
      <c r="F470" s="4" t="n"/>
      <c r="H470" s="4" t="n"/>
    </row>
    <row r="471">
      <c r="A471" s="2" t="n"/>
      <c r="D471" s="4" t="n"/>
      <c r="F471" s="4" t="n"/>
      <c r="H471" s="4" t="n"/>
    </row>
    <row r="472">
      <c r="A472" s="2" t="n"/>
      <c r="D472" s="4" t="n"/>
      <c r="F472" s="4" t="n"/>
      <c r="H472" s="4" t="n"/>
    </row>
    <row r="473">
      <c r="A473" s="2" t="n"/>
      <c r="D473" s="4" t="n"/>
      <c r="F473" s="4" t="n"/>
      <c r="H473" s="4" t="n"/>
    </row>
    <row r="474">
      <c r="A474" s="2" t="n"/>
      <c r="D474" s="4" t="n"/>
      <c r="F474" s="4" t="n"/>
      <c r="H474" s="4" t="n"/>
    </row>
    <row r="475">
      <c r="A475" s="2" t="n"/>
      <c r="D475" s="4" t="n"/>
      <c r="F475" s="4" t="n"/>
      <c r="H475" s="4" t="n"/>
    </row>
    <row r="476">
      <c r="A476" s="2" t="n"/>
      <c r="D476" s="4" t="n"/>
      <c r="F476" s="4" t="n"/>
      <c r="H476" s="4" t="n"/>
    </row>
    <row r="477">
      <c r="A477" s="2" t="n"/>
      <c r="D477" s="4" t="n"/>
      <c r="F477" s="4" t="n"/>
      <c r="H477" s="4" t="n"/>
    </row>
    <row r="478">
      <c r="A478" s="2" t="n"/>
      <c r="D478" s="4" t="n"/>
      <c r="F478" s="4" t="n"/>
      <c r="H478" s="4" t="n"/>
    </row>
    <row r="479">
      <c r="A479" s="2" t="n"/>
      <c r="D479" s="4" t="n"/>
      <c r="F479" s="4" t="n"/>
      <c r="H479" s="4" t="n"/>
    </row>
    <row r="480">
      <c r="A480" s="2" t="n"/>
      <c r="D480" s="4" t="n"/>
      <c r="F480" s="4" t="n"/>
      <c r="H480" s="4" t="n"/>
    </row>
    <row r="481">
      <c r="A481" s="2" t="n"/>
      <c r="D481" s="4" t="n"/>
      <c r="F481" s="4" t="n"/>
      <c r="H481" s="4" t="n"/>
    </row>
    <row r="482">
      <c r="A482" s="2" t="n"/>
      <c r="D482" s="4" t="n"/>
      <c r="F482" s="4" t="n"/>
      <c r="H482" s="4" t="n"/>
    </row>
    <row r="483">
      <c r="A483" s="2" t="n"/>
      <c r="D483" s="4" t="n"/>
      <c r="F483" s="4" t="n"/>
      <c r="H483" s="4" t="n"/>
    </row>
    <row r="484">
      <c r="A484" s="2" t="n"/>
      <c r="D484" s="4" t="n"/>
      <c r="F484" s="4" t="n"/>
      <c r="H484" s="4" t="n"/>
    </row>
    <row r="485">
      <c r="A485" s="2" t="n"/>
      <c r="D485" s="4" t="n"/>
      <c r="F485" s="4" t="n"/>
      <c r="H485" s="4" t="n"/>
    </row>
    <row r="486">
      <c r="A486" s="2" t="n"/>
      <c r="D486" s="4" t="n"/>
      <c r="F486" s="4" t="n"/>
      <c r="H486" s="4" t="n"/>
    </row>
    <row r="487">
      <c r="A487" s="2" t="n"/>
      <c r="D487" s="4" t="n"/>
      <c r="F487" s="4" t="n"/>
      <c r="H487" s="4" t="n"/>
    </row>
    <row r="488">
      <c r="A488" s="2" t="n"/>
      <c r="D488" s="4" t="n"/>
      <c r="F488" s="4" t="n"/>
      <c r="H488" s="4" t="n"/>
    </row>
    <row r="489">
      <c r="A489" s="2" t="n"/>
      <c r="D489" s="4" t="n"/>
      <c r="F489" s="4" t="n"/>
      <c r="H489" s="4" t="n"/>
    </row>
    <row r="490">
      <c r="A490" s="2" t="n"/>
      <c r="D490" s="4" t="n"/>
      <c r="F490" s="4" t="n"/>
      <c r="H490" s="4" t="n"/>
    </row>
    <row r="491">
      <c r="A491" s="2" t="n"/>
      <c r="D491" s="4" t="n"/>
      <c r="F491" s="4" t="n"/>
      <c r="H491" s="4" t="n"/>
    </row>
    <row r="492">
      <c r="A492" s="2" t="n"/>
      <c r="D492" s="4" t="n"/>
      <c r="F492" s="4" t="n"/>
      <c r="H492" s="4" t="n"/>
    </row>
    <row r="493">
      <c r="A493" s="2" t="n"/>
      <c r="D493" s="4" t="n"/>
      <c r="F493" s="4" t="n"/>
      <c r="H493" s="4" t="n"/>
    </row>
    <row r="494">
      <c r="A494" s="2" t="n"/>
      <c r="D494" s="4" t="n"/>
      <c r="F494" s="4" t="n"/>
      <c r="H494" s="4" t="n"/>
    </row>
    <row r="495">
      <c r="A495" s="2" t="n"/>
      <c r="D495" s="4" t="n"/>
      <c r="F495" s="4" t="n"/>
      <c r="H495" s="4" t="n"/>
    </row>
    <row r="496">
      <c r="A496" s="2" t="n"/>
      <c r="D496" s="4" t="n"/>
      <c r="F496" s="4" t="n"/>
      <c r="H496" s="4" t="n"/>
    </row>
    <row r="497">
      <c r="A497" s="2" t="n"/>
      <c r="D497" s="4" t="n"/>
      <c r="F497" s="4" t="n"/>
      <c r="H497" s="4" t="n"/>
    </row>
    <row r="498">
      <c r="A498" s="2" t="n"/>
      <c r="D498" s="4" t="n"/>
      <c r="F498" s="4" t="n"/>
      <c r="H498" s="4" t="n"/>
    </row>
    <row r="499">
      <c r="A499" s="2" t="n"/>
      <c r="D499" s="4" t="n"/>
      <c r="F499" s="4" t="n"/>
      <c r="H499" s="4" t="n"/>
    </row>
    <row r="500">
      <c r="A500" s="2" t="n"/>
      <c r="D500" s="4" t="n"/>
      <c r="F500" s="4" t="n"/>
      <c r="H500" s="4" t="n"/>
    </row>
    <row r="501">
      <c r="A501" s="2" t="n"/>
      <c r="D501" s="4" t="n"/>
      <c r="F501" s="4" t="n"/>
      <c r="H501" s="4" t="n"/>
    </row>
    <row r="502">
      <c r="A502" s="2" t="n"/>
      <c r="D502" s="4" t="n"/>
      <c r="F502" s="4" t="n"/>
      <c r="H502" s="4" t="n"/>
    </row>
    <row r="503">
      <c r="A503" s="2" t="n"/>
      <c r="D503" s="4" t="n"/>
      <c r="F503" s="4" t="n"/>
      <c r="H503" s="4" t="n"/>
    </row>
    <row r="504">
      <c r="A504" s="3" t="n"/>
      <c r="D504" s="4" t="n"/>
      <c r="F504" s="4" t="n"/>
      <c r="H504" s="4" t="n"/>
    </row>
    <row r="505" ht="14.45" customHeight="1" s="99">
      <c r="D505" s="4" t="n"/>
      <c r="F505" s="4" t="n"/>
      <c r="H505" s="4" t="n"/>
    </row>
    <row r="506" ht="14.45" customHeight="1" s="99">
      <c r="D506" s="4" t="n"/>
      <c r="F506" s="4" t="n"/>
      <c r="H506" s="4" t="n"/>
    </row>
    <row r="507" ht="14.45" customHeight="1" s="99">
      <c r="D507" s="4" t="n"/>
      <c r="F507" s="4" t="n"/>
      <c r="H507" s="4" t="n"/>
    </row>
    <row r="508">
      <c r="A508" s="1" t="n"/>
      <c r="D508" s="4" t="n"/>
      <c r="F508" s="4" t="n"/>
      <c r="H508" s="4" t="n"/>
    </row>
    <row r="509">
      <c r="A509" s="1" t="n"/>
      <c r="D509" s="4" t="n"/>
      <c r="F509" s="4" t="n"/>
      <c r="H509" s="4" t="n"/>
    </row>
    <row r="510">
      <c r="A510" s="2" t="n"/>
      <c r="D510" s="4" t="n"/>
      <c r="F510" s="4" t="n"/>
      <c r="H510" s="4" t="n"/>
    </row>
    <row r="511">
      <c r="A511" s="2" t="n"/>
      <c r="D511" s="4" t="n"/>
      <c r="F511" s="4" t="n"/>
      <c r="H511" s="4" t="n"/>
    </row>
    <row r="512">
      <c r="A512" s="2" t="n"/>
      <c r="D512" s="4" t="n"/>
      <c r="F512" s="4" t="n"/>
      <c r="H512" s="4" t="n"/>
    </row>
    <row r="513">
      <c r="A513" s="2" t="n"/>
      <c r="D513" s="4" t="n"/>
      <c r="F513" s="4" t="n"/>
      <c r="H513" s="4" t="n"/>
    </row>
    <row r="514">
      <c r="A514" s="2" t="n"/>
      <c r="D514" s="4" t="n"/>
      <c r="F514" s="4" t="n"/>
      <c r="H514" s="4" t="n"/>
    </row>
    <row r="515">
      <c r="A515" s="2" t="n"/>
      <c r="D515" s="4" t="n"/>
      <c r="F515" s="4" t="n"/>
      <c r="H515" s="4" t="n"/>
    </row>
    <row r="516">
      <c r="A516" s="2" t="n"/>
      <c r="D516" s="4" t="n"/>
      <c r="F516" s="4" t="n"/>
      <c r="H516" s="4" t="n"/>
    </row>
    <row r="517">
      <c r="A517" s="2" t="n"/>
      <c r="D517" s="4" t="n"/>
      <c r="F517" s="4" t="n"/>
      <c r="H517" s="4" t="n"/>
    </row>
    <row r="518">
      <c r="A518" s="2" t="n"/>
      <c r="D518" s="4" t="n"/>
      <c r="F518" s="4" t="n"/>
      <c r="H518" s="4" t="n"/>
    </row>
    <row r="519">
      <c r="A519" s="2" t="n"/>
      <c r="D519" s="4" t="n"/>
      <c r="F519" s="4" t="n"/>
      <c r="H519" s="4" t="n"/>
    </row>
    <row r="520">
      <c r="A520" s="2" t="n"/>
      <c r="D520" s="4" t="n"/>
      <c r="F520" s="4" t="n"/>
      <c r="H520" s="4" t="n"/>
    </row>
    <row r="521">
      <c r="A521" s="2" t="n"/>
      <c r="D521" s="4" t="n"/>
      <c r="F521" s="4" t="n"/>
      <c r="H521" s="4" t="n"/>
    </row>
    <row r="522">
      <c r="A522" s="2" t="n"/>
      <c r="D522" s="4" t="n"/>
      <c r="F522" s="4" t="n"/>
      <c r="H522" s="4" t="n"/>
    </row>
    <row r="523">
      <c r="A523" s="2" t="n"/>
      <c r="D523" s="4" t="n"/>
      <c r="F523" s="4" t="n"/>
      <c r="H523" s="4" t="n"/>
    </row>
    <row r="524">
      <c r="A524" s="2" t="n"/>
      <c r="D524" s="4" t="n"/>
      <c r="F524" s="4" t="n"/>
      <c r="H524" s="4" t="n"/>
    </row>
    <row r="525">
      <c r="A525" s="2" t="n"/>
      <c r="D525" s="4" t="n"/>
      <c r="F525" s="4" t="n"/>
      <c r="H525" s="4" t="n"/>
    </row>
    <row r="526">
      <c r="A526" s="2" t="n"/>
      <c r="D526" s="4" t="n"/>
      <c r="F526" s="4" t="n"/>
      <c r="H526" s="4" t="n"/>
    </row>
    <row r="527">
      <c r="A527" s="2" t="n"/>
      <c r="D527" s="4" t="n"/>
      <c r="F527" s="4" t="n"/>
      <c r="H527" s="4" t="n"/>
    </row>
    <row r="528">
      <c r="A528" s="2" t="n"/>
      <c r="D528" s="4" t="n"/>
      <c r="F528" s="4" t="n"/>
      <c r="H528" s="4" t="n"/>
    </row>
    <row r="529">
      <c r="A529" s="2" t="n"/>
      <c r="D529" s="4" t="n"/>
      <c r="F529" s="4" t="n"/>
      <c r="H529" s="4" t="n"/>
    </row>
    <row r="530">
      <c r="A530" s="2" t="n"/>
      <c r="D530" s="4" t="n"/>
      <c r="F530" s="4" t="n"/>
      <c r="H530" s="4" t="n"/>
    </row>
    <row r="531">
      <c r="A531" s="2" t="n"/>
      <c r="D531" s="4" t="n"/>
      <c r="F531" s="4" t="n"/>
      <c r="H531" s="4" t="n"/>
    </row>
    <row r="532">
      <c r="A532" s="2" t="n"/>
      <c r="D532" s="4" t="n"/>
      <c r="F532" s="4" t="n"/>
      <c r="H532" s="4" t="n"/>
    </row>
    <row r="533">
      <c r="A533" s="2" t="n"/>
      <c r="D533" s="4" t="n"/>
      <c r="F533" s="4" t="n"/>
      <c r="H533" s="4" t="n"/>
    </row>
    <row r="534">
      <c r="A534" s="2" t="n"/>
      <c r="D534" s="4" t="n"/>
      <c r="F534" s="4" t="n"/>
      <c r="H534" s="4" t="n"/>
    </row>
    <row r="535">
      <c r="A535" s="2" t="n"/>
      <c r="D535" s="4" t="n"/>
      <c r="F535" s="4" t="n"/>
      <c r="H535" s="4" t="n"/>
    </row>
    <row r="536">
      <c r="A536" s="2" t="n"/>
      <c r="D536" s="4" t="n"/>
      <c r="F536" s="4" t="n"/>
      <c r="H536" s="4" t="n"/>
    </row>
    <row r="537">
      <c r="A537" s="2" t="n"/>
      <c r="D537" s="4" t="n"/>
      <c r="F537" s="4" t="n"/>
      <c r="H537" s="4" t="n"/>
    </row>
    <row r="538">
      <c r="A538" s="2" t="n"/>
      <c r="D538" s="4" t="n"/>
      <c r="F538" s="4" t="n"/>
      <c r="H538" s="4" t="n"/>
    </row>
    <row r="539">
      <c r="A539" s="2" t="n"/>
      <c r="D539" s="4" t="n"/>
      <c r="F539" s="4" t="n"/>
      <c r="H539" s="4" t="n"/>
    </row>
    <row r="540">
      <c r="A540" s="2" t="n"/>
      <c r="D540" s="4" t="n"/>
      <c r="F540" s="4" t="n"/>
      <c r="H540" s="4" t="n"/>
    </row>
    <row r="541">
      <c r="A541" s="2" t="n"/>
      <c r="D541" s="4" t="n"/>
      <c r="F541" s="4" t="n"/>
      <c r="H541" s="4" t="n"/>
    </row>
    <row r="542">
      <c r="A542" s="2" t="n"/>
      <c r="D542" s="4" t="n"/>
      <c r="F542" s="4" t="n"/>
      <c r="H542" s="4" t="n"/>
    </row>
    <row r="543">
      <c r="A543" s="2" t="n"/>
      <c r="D543" s="4" t="n"/>
      <c r="F543" s="4" t="n"/>
      <c r="H543" s="4" t="n"/>
    </row>
    <row r="544">
      <c r="A544" s="2" t="n"/>
      <c r="D544" s="4" t="n"/>
      <c r="F544" s="4" t="n"/>
      <c r="H544" s="4" t="n"/>
    </row>
    <row r="545">
      <c r="A545" s="2" t="n"/>
      <c r="D545" s="4" t="n"/>
      <c r="F545" s="4" t="n"/>
      <c r="H545" s="4" t="n"/>
    </row>
    <row r="546">
      <c r="A546" s="2" t="n"/>
      <c r="D546" s="4" t="n"/>
      <c r="F546" s="4" t="n"/>
      <c r="H546" s="4" t="n"/>
    </row>
    <row r="547">
      <c r="A547" s="2" t="n"/>
      <c r="D547" s="4" t="n"/>
      <c r="F547" s="4" t="n"/>
      <c r="H547" s="4" t="n"/>
    </row>
    <row r="548">
      <c r="A548" s="2" t="n"/>
      <c r="D548" s="4" t="n"/>
      <c r="F548" s="4" t="n"/>
      <c r="H548" s="4" t="n"/>
    </row>
    <row r="549">
      <c r="A549" s="2" t="n"/>
      <c r="D549" s="4" t="n"/>
      <c r="F549" s="4" t="n"/>
      <c r="H549" s="4" t="n"/>
    </row>
    <row r="550">
      <c r="A550" s="2" t="n"/>
      <c r="D550" s="4" t="n"/>
      <c r="F550" s="4" t="n"/>
      <c r="H550" s="4" t="n"/>
    </row>
    <row r="551">
      <c r="A551" s="2" t="n"/>
      <c r="D551" s="4" t="n"/>
      <c r="F551" s="4" t="n"/>
      <c r="H551" s="4" t="n"/>
    </row>
    <row r="552">
      <c r="A552" s="2" t="n"/>
      <c r="D552" s="4" t="n"/>
      <c r="F552" s="4" t="n"/>
      <c r="H552" s="4" t="n"/>
    </row>
    <row r="553">
      <c r="A553" s="2" t="n"/>
      <c r="D553" s="4" t="n"/>
      <c r="F553" s="4" t="n"/>
      <c r="H553" s="4" t="n"/>
    </row>
    <row r="554">
      <c r="A554" s="2" t="n"/>
      <c r="D554" s="4" t="n"/>
      <c r="F554" s="4" t="n"/>
      <c r="H554" s="4" t="n"/>
    </row>
    <row r="555">
      <c r="A555" s="2" t="n"/>
      <c r="D555" s="4" t="n"/>
      <c r="F555" s="4" t="n"/>
      <c r="H555" s="4" t="n"/>
    </row>
    <row r="556">
      <c r="A556" s="2" t="n"/>
      <c r="D556" s="4" t="n"/>
      <c r="F556" s="4" t="n"/>
      <c r="H556" s="4" t="n"/>
    </row>
    <row r="557">
      <c r="A557" s="2" t="n"/>
      <c r="D557" s="4" t="n"/>
      <c r="F557" s="4" t="n"/>
      <c r="H557" s="4" t="n"/>
    </row>
    <row r="558">
      <c r="A558" s="2" t="n"/>
      <c r="D558" s="4" t="n"/>
      <c r="F558" s="4" t="n"/>
      <c r="H558" s="4" t="n"/>
    </row>
    <row r="559">
      <c r="A559" s="2" t="n"/>
      <c r="D559" s="4" t="n"/>
      <c r="F559" s="4" t="n"/>
      <c r="H559" s="4" t="n"/>
    </row>
    <row r="560">
      <c r="A560" s="2" t="n"/>
      <c r="D560" s="4" t="n"/>
      <c r="F560" s="4" t="n"/>
      <c r="H560" s="4" t="n"/>
    </row>
    <row r="561">
      <c r="A561" s="2" t="n"/>
      <c r="D561" s="4" t="n"/>
      <c r="F561" s="4" t="n"/>
      <c r="H561" s="4" t="n"/>
    </row>
    <row r="562">
      <c r="A562" s="2" t="n"/>
      <c r="D562" s="4" t="n"/>
      <c r="F562" s="4" t="n"/>
      <c r="H562" s="4" t="n"/>
    </row>
    <row r="563">
      <c r="A563" s="2" t="n"/>
      <c r="D563" s="4" t="n"/>
      <c r="F563" s="4" t="n"/>
      <c r="H563" s="4" t="n"/>
    </row>
    <row r="564">
      <c r="A564" s="2" t="n"/>
      <c r="D564" s="4" t="n"/>
      <c r="F564" s="4" t="n"/>
      <c r="H564" s="4" t="n"/>
    </row>
    <row r="565">
      <c r="A565" s="2" t="n"/>
      <c r="D565" s="4" t="n"/>
      <c r="F565" s="4" t="n"/>
      <c r="H565" s="4" t="n"/>
    </row>
    <row r="566">
      <c r="A566" s="2" t="n"/>
      <c r="D566" s="4" t="n"/>
      <c r="F566" s="4" t="n"/>
      <c r="H566" s="4" t="n"/>
    </row>
    <row r="567">
      <c r="A567" s="2" t="n"/>
      <c r="D567" s="4" t="n"/>
      <c r="F567" s="4" t="n"/>
      <c r="H567" s="4" t="n"/>
    </row>
    <row r="568">
      <c r="A568" s="2" t="n"/>
      <c r="D568" s="4" t="n"/>
      <c r="F568" s="4" t="n"/>
      <c r="H568" s="4" t="n"/>
    </row>
    <row r="569">
      <c r="A569" s="2" t="n"/>
      <c r="D569" s="4" t="n"/>
      <c r="F569" s="4" t="n"/>
      <c r="H569" s="4" t="n"/>
    </row>
    <row r="570">
      <c r="A570" s="2" t="n"/>
      <c r="D570" s="4" t="n"/>
      <c r="F570" s="4" t="n"/>
      <c r="H570" s="4" t="n"/>
    </row>
    <row r="571">
      <c r="A571" s="2" t="n"/>
      <c r="D571" s="4" t="n"/>
      <c r="F571" s="4" t="n"/>
      <c r="H571" s="4" t="n"/>
    </row>
    <row r="572">
      <c r="A572" s="2" t="n"/>
      <c r="D572" s="4" t="n"/>
      <c r="F572" s="4" t="n"/>
      <c r="H572" s="4" t="n"/>
    </row>
    <row r="573">
      <c r="A573" s="2" t="n"/>
      <c r="D573" s="4" t="n"/>
      <c r="F573" s="4" t="n"/>
      <c r="H573" s="4" t="n"/>
    </row>
    <row r="574">
      <c r="A574" s="2" t="n"/>
      <c r="D574" s="4" t="n"/>
      <c r="F574" s="4" t="n"/>
      <c r="H574" s="4" t="n"/>
    </row>
    <row r="575">
      <c r="A575" s="2" t="n"/>
      <c r="D575" s="4" t="n"/>
      <c r="F575" s="4" t="n"/>
      <c r="H575" s="4" t="n"/>
    </row>
    <row r="576">
      <c r="A576" s="2" t="n"/>
      <c r="D576" s="4" t="n"/>
      <c r="F576" s="4" t="n"/>
      <c r="H576" s="4" t="n"/>
    </row>
    <row r="577">
      <c r="A577" s="3" t="n"/>
      <c r="D577" s="4" t="n"/>
      <c r="F577" s="4" t="n"/>
      <c r="H577" s="4" t="n"/>
    </row>
    <row r="578" ht="14.45" customHeight="1" s="99">
      <c r="D578" s="4" t="n"/>
      <c r="F578" s="4" t="n"/>
      <c r="H578" s="4" t="n"/>
    </row>
    <row r="579" ht="14.45" customHeight="1" s="99">
      <c r="D579" s="4" t="n"/>
      <c r="F579" s="4" t="n"/>
      <c r="H579" s="4" t="n"/>
    </row>
    <row r="580" ht="14.45" customHeight="1" s="99">
      <c r="D580" s="4" t="n"/>
      <c r="F580" s="4" t="n"/>
      <c r="H580" s="4" t="n"/>
    </row>
    <row r="581">
      <c r="A581" s="1" t="n"/>
      <c r="D581" s="4" t="n"/>
      <c r="F581" s="4" t="n"/>
      <c r="H581" s="4" t="n"/>
    </row>
    <row r="582">
      <c r="A582" s="1" t="n"/>
      <c r="D582" s="4" t="n"/>
      <c r="F582" s="4" t="n"/>
      <c r="H582" s="4" t="n"/>
    </row>
    <row r="583">
      <c r="A583" s="2" t="n"/>
      <c r="D583" s="4" t="n"/>
      <c r="F583" s="4" t="n"/>
      <c r="H583" s="4" t="n"/>
    </row>
    <row r="584">
      <c r="A584" s="2" t="n"/>
      <c r="D584" s="4" t="n"/>
      <c r="F584" s="4" t="n"/>
      <c r="H584" s="4" t="n"/>
    </row>
    <row r="585">
      <c r="A585" s="2" t="n"/>
      <c r="D585" s="4" t="n"/>
      <c r="F585" s="4" t="n"/>
      <c r="H585" s="4" t="n"/>
    </row>
    <row r="586">
      <c r="A586" s="2" t="n"/>
      <c r="D586" s="4" t="n"/>
      <c r="F586" s="4" t="n"/>
      <c r="H586" s="4" t="n"/>
    </row>
    <row r="587">
      <c r="A587" s="2" t="n"/>
      <c r="D587" s="4" t="n"/>
      <c r="F587" s="4" t="n"/>
      <c r="H587" s="4" t="n"/>
    </row>
    <row r="588">
      <c r="A588" s="2" t="n"/>
      <c r="D588" s="4" t="n"/>
      <c r="F588" s="4" t="n"/>
      <c r="H588" s="4" t="n"/>
    </row>
    <row r="589">
      <c r="A589" s="2" t="n"/>
      <c r="D589" s="4" t="n"/>
      <c r="F589" s="4" t="n"/>
      <c r="H589" s="4" t="n"/>
    </row>
    <row r="590">
      <c r="A590" s="2" t="n"/>
      <c r="D590" s="4" t="n"/>
      <c r="F590" s="4" t="n"/>
      <c r="H590" s="4" t="n"/>
    </row>
    <row r="591">
      <c r="A591" s="2" t="n"/>
      <c r="D591" s="4" t="n"/>
      <c r="F591" s="4" t="n"/>
      <c r="H591" s="4" t="n"/>
    </row>
    <row r="592">
      <c r="A592" s="2" t="n"/>
      <c r="D592" s="4" t="n"/>
      <c r="F592" s="4" t="n"/>
      <c r="H592" s="4" t="n"/>
    </row>
    <row r="593">
      <c r="A593" s="2" t="n"/>
      <c r="D593" s="4" t="n"/>
      <c r="F593" s="4" t="n"/>
      <c r="H593" s="4" t="n"/>
    </row>
    <row r="594">
      <c r="A594" s="2" t="n"/>
      <c r="D594" s="4" t="n"/>
      <c r="F594" s="4" t="n"/>
      <c r="H594" s="4" t="n"/>
    </row>
    <row r="595">
      <c r="A595" s="2" t="n"/>
      <c r="D595" s="4" t="n"/>
      <c r="F595" s="4" t="n"/>
      <c r="H595" s="4" t="n"/>
    </row>
    <row r="596">
      <c r="A596" s="2" t="n"/>
      <c r="D596" s="4" t="n"/>
      <c r="F596" s="4" t="n"/>
      <c r="H596" s="4" t="n"/>
    </row>
    <row r="597">
      <c r="A597" s="2" t="n"/>
      <c r="D597" s="4" t="n"/>
      <c r="F597" s="4" t="n"/>
      <c r="H597" s="4" t="n"/>
    </row>
    <row r="598">
      <c r="A598" s="2" t="n"/>
      <c r="D598" s="4" t="n"/>
      <c r="F598" s="4" t="n"/>
      <c r="H598" s="4" t="n"/>
    </row>
    <row r="599">
      <c r="A599" s="2" t="n"/>
      <c r="D599" s="4" t="n"/>
      <c r="F599" s="4" t="n"/>
      <c r="H599" s="4" t="n"/>
    </row>
    <row r="600">
      <c r="A600" s="2" t="n"/>
      <c r="D600" s="4" t="n"/>
      <c r="F600" s="4" t="n"/>
      <c r="H600" s="4" t="n"/>
    </row>
    <row r="601">
      <c r="A601" s="2" t="n"/>
      <c r="D601" s="4" t="n"/>
      <c r="F601" s="4" t="n"/>
      <c r="H601" s="4" t="n"/>
    </row>
    <row r="602">
      <c r="A602" s="2" t="n"/>
      <c r="D602" s="4" t="n"/>
      <c r="F602" s="4" t="n"/>
      <c r="H602" s="4" t="n"/>
    </row>
    <row r="603">
      <c r="A603" s="2" t="n"/>
      <c r="D603" s="4" t="n"/>
      <c r="F603" s="4" t="n"/>
      <c r="H603" s="4" t="n"/>
    </row>
    <row r="604">
      <c r="A604" s="2" t="n"/>
      <c r="D604" s="4" t="n"/>
      <c r="F604" s="4" t="n"/>
      <c r="H604" s="4" t="n"/>
    </row>
    <row r="605">
      <c r="A605" s="2" t="n"/>
      <c r="D605" s="4" t="n"/>
      <c r="F605" s="4" t="n"/>
      <c r="H605" s="4" t="n"/>
    </row>
    <row r="606">
      <c r="A606" s="2" t="n"/>
      <c r="D606" s="4" t="n"/>
      <c r="F606" s="4" t="n"/>
      <c r="H606" s="4" t="n"/>
    </row>
    <row r="607">
      <c r="A607" s="2" t="n"/>
      <c r="D607" s="4" t="n"/>
      <c r="F607" s="4" t="n"/>
      <c r="H607" s="4" t="n"/>
    </row>
    <row r="608">
      <c r="A608" s="2" t="n"/>
      <c r="D608" s="4" t="n"/>
      <c r="F608" s="4" t="n"/>
      <c r="H608" s="4" t="n"/>
    </row>
    <row r="609">
      <c r="A609" s="2" t="n"/>
      <c r="D609" s="4" t="n"/>
      <c r="F609" s="4" t="n"/>
      <c r="H609" s="4" t="n"/>
    </row>
    <row r="610">
      <c r="A610" s="2" t="n"/>
      <c r="D610" s="4" t="n"/>
      <c r="F610" s="4" t="n"/>
      <c r="H610" s="4" t="n"/>
    </row>
    <row r="611">
      <c r="A611" s="2" t="n"/>
      <c r="D611" s="4" t="n"/>
      <c r="F611" s="4" t="n"/>
      <c r="H611" s="4" t="n"/>
    </row>
    <row r="612">
      <c r="A612" s="2" t="n"/>
      <c r="D612" s="4" t="n"/>
      <c r="F612" s="4" t="n"/>
      <c r="H612" s="4" t="n"/>
    </row>
    <row r="613">
      <c r="A613" s="2" t="n"/>
      <c r="D613" s="4" t="n"/>
      <c r="F613" s="4" t="n"/>
      <c r="H613" s="4" t="n"/>
    </row>
    <row r="614">
      <c r="A614" s="2" t="n"/>
      <c r="D614" s="4" t="n"/>
      <c r="F614" s="4" t="n"/>
      <c r="H614" s="4" t="n"/>
    </row>
    <row r="615">
      <c r="A615" s="2" t="n"/>
      <c r="D615" s="4" t="n"/>
      <c r="F615" s="4" t="n"/>
      <c r="H615" s="4" t="n"/>
    </row>
    <row r="616">
      <c r="A616" s="2" t="n"/>
      <c r="D616" s="4" t="n"/>
      <c r="F616" s="4" t="n"/>
      <c r="H616" s="4" t="n"/>
    </row>
    <row r="617">
      <c r="A617" s="2" t="n"/>
      <c r="D617" s="4" t="n"/>
      <c r="F617" s="4" t="n"/>
      <c r="H617" s="4" t="n"/>
    </row>
    <row r="618">
      <c r="A618" s="2" t="n"/>
      <c r="D618" s="4" t="n"/>
      <c r="F618" s="4" t="n"/>
      <c r="H618" s="4" t="n"/>
    </row>
    <row r="619">
      <c r="A619" s="2" t="n"/>
      <c r="D619" s="4" t="n"/>
      <c r="F619" s="4" t="n"/>
      <c r="H619" s="4" t="n"/>
    </row>
    <row r="620">
      <c r="A620" s="2" t="n"/>
      <c r="D620" s="4" t="n"/>
      <c r="F620" s="4" t="n"/>
      <c r="H620" s="4" t="n"/>
    </row>
    <row r="621">
      <c r="A621" s="2" t="n"/>
      <c r="D621" s="4" t="n"/>
      <c r="F621" s="4" t="n"/>
      <c r="H621" s="4" t="n"/>
    </row>
    <row r="622">
      <c r="A622" s="2" t="n"/>
      <c r="D622" s="4" t="n"/>
      <c r="F622" s="4" t="n"/>
      <c r="H622" s="4" t="n"/>
    </row>
    <row r="623">
      <c r="A623" s="2" t="n"/>
      <c r="D623" s="4" t="n"/>
      <c r="F623" s="4" t="n"/>
      <c r="H623" s="4" t="n"/>
    </row>
    <row r="624">
      <c r="A624" s="2" t="n"/>
      <c r="D624" s="4" t="n"/>
      <c r="F624" s="4" t="n"/>
      <c r="H624" s="4" t="n"/>
    </row>
    <row r="625">
      <c r="A625" s="2" t="n"/>
      <c r="D625" s="4" t="n"/>
      <c r="F625" s="4" t="n"/>
      <c r="H625" s="4" t="n"/>
    </row>
    <row r="626">
      <c r="A626" s="2" t="n"/>
      <c r="D626" s="4" t="n"/>
      <c r="F626" s="4" t="n"/>
      <c r="H626" s="4" t="n"/>
    </row>
    <row r="627">
      <c r="A627" s="2" t="n"/>
      <c r="D627" s="4" t="n"/>
      <c r="F627" s="4" t="n"/>
      <c r="H627" s="4" t="n"/>
    </row>
    <row r="628">
      <c r="A628" s="2" t="n"/>
      <c r="D628" s="4" t="n"/>
      <c r="F628" s="4" t="n"/>
      <c r="H628" s="4" t="n"/>
    </row>
    <row r="629">
      <c r="A629" s="2" t="n"/>
      <c r="D629" s="4" t="n"/>
      <c r="F629" s="4" t="n"/>
      <c r="H629" s="4" t="n"/>
    </row>
    <row r="630">
      <c r="A630" s="2" t="n"/>
      <c r="D630" s="4" t="n"/>
      <c r="F630" s="4" t="n"/>
      <c r="H630" s="4" t="n"/>
    </row>
    <row r="631">
      <c r="A631" s="2" t="n"/>
      <c r="D631" s="4" t="n"/>
      <c r="F631" s="4" t="n"/>
      <c r="H631" s="4" t="n"/>
    </row>
    <row r="632">
      <c r="A632" s="2" t="n"/>
      <c r="D632" s="4" t="n"/>
      <c r="F632" s="4" t="n"/>
      <c r="H632" s="4" t="n"/>
    </row>
    <row r="633">
      <c r="A633" s="2" t="n"/>
      <c r="D633" s="4" t="n"/>
      <c r="F633" s="4" t="n"/>
      <c r="H633" s="4" t="n"/>
    </row>
    <row r="634">
      <c r="A634" s="2" t="n"/>
      <c r="D634" s="4" t="n"/>
      <c r="F634" s="4" t="n"/>
      <c r="H634" s="4" t="n"/>
    </row>
    <row r="635">
      <c r="A635" s="2" t="n"/>
      <c r="D635" s="4" t="n"/>
      <c r="F635" s="4" t="n"/>
      <c r="H635" s="4" t="n"/>
    </row>
    <row r="636">
      <c r="A636" s="2" t="n"/>
      <c r="D636" s="4" t="n"/>
      <c r="F636" s="4" t="n"/>
      <c r="H636" s="4" t="n"/>
    </row>
    <row r="637">
      <c r="A637" s="2" t="n"/>
      <c r="D637" s="4" t="n"/>
      <c r="F637" s="4" t="n"/>
      <c r="H637" s="4" t="n"/>
    </row>
    <row r="638">
      <c r="A638" s="2" t="n"/>
      <c r="D638" s="4" t="n"/>
      <c r="F638" s="4" t="n"/>
      <c r="H638" s="4" t="n"/>
    </row>
    <row r="639">
      <c r="A639" s="2" t="n"/>
      <c r="D639" s="4" t="n"/>
      <c r="F639" s="4" t="n"/>
      <c r="H639" s="4" t="n"/>
    </row>
    <row r="640">
      <c r="A640" s="2" t="n"/>
      <c r="D640" s="4" t="n"/>
      <c r="F640" s="4" t="n"/>
      <c r="H640" s="4" t="n"/>
    </row>
    <row r="641">
      <c r="A641" s="2" t="n"/>
      <c r="D641" s="4" t="n"/>
      <c r="F641" s="4" t="n"/>
      <c r="H641" s="4" t="n"/>
    </row>
    <row r="642">
      <c r="A642" s="2" t="n"/>
      <c r="D642" s="4" t="n"/>
      <c r="F642" s="4" t="n"/>
      <c r="H642" s="4" t="n"/>
    </row>
    <row r="643">
      <c r="A643" s="2" t="n"/>
      <c r="D643" s="4" t="n"/>
      <c r="F643" s="4" t="n"/>
      <c r="H643" s="4" t="n"/>
    </row>
    <row r="644">
      <c r="A644" s="2" t="n"/>
      <c r="D644" s="4" t="n"/>
      <c r="F644" s="4" t="n"/>
      <c r="H644" s="4" t="n"/>
    </row>
    <row r="645">
      <c r="A645" s="2" t="n"/>
      <c r="D645" s="4" t="n"/>
      <c r="F645" s="4" t="n"/>
      <c r="H645" s="4" t="n"/>
    </row>
    <row r="646">
      <c r="A646" s="2" t="n"/>
      <c r="D646" s="4" t="n"/>
      <c r="F646" s="4" t="n"/>
      <c r="H646" s="4" t="n"/>
    </row>
    <row r="647">
      <c r="A647" s="2" t="n"/>
      <c r="D647" s="4" t="n"/>
      <c r="F647" s="4" t="n"/>
      <c r="H647" s="4" t="n"/>
    </row>
    <row r="648">
      <c r="A648" s="2" t="n"/>
      <c r="D648" s="4" t="n"/>
      <c r="F648" s="4" t="n"/>
      <c r="H648" s="4" t="n"/>
    </row>
    <row r="649">
      <c r="A649" s="2" t="n"/>
      <c r="D649" s="4" t="n"/>
      <c r="F649" s="4" t="n"/>
      <c r="H649" s="4" t="n"/>
    </row>
    <row r="650">
      <c r="A650" s="3" t="n"/>
      <c r="D650" s="4" t="n"/>
      <c r="F650" s="4" t="n"/>
      <c r="H650" s="4" t="n"/>
    </row>
    <row r="651" ht="14.45" customHeight="1" s="99">
      <c r="D651" s="4" t="n"/>
      <c r="F651" s="4" t="n"/>
      <c r="H651" s="4" t="n"/>
    </row>
    <row r="652" ht="14.45" customHeight="1" s="99">
      <c r="D652" s="4" t="n"/>
      <c r="F652" s="4" t="n"/>
      <c r="H652" s="4" t="n"/>
    </row>
    <row r="653" ht="14.45" customHeight="1" s="99">
      <c r="D653" s="4" t="n"/>
      <c r="F653" s="4" t="n"/>
      <c r="H653" s="4" t="n"/>
    </row>
    <row r="654">
      <c r="A654" s="1" t="n"/>
      <c r="D654" s="4" t="n"/>
      <c r="F654" s="4" t="n"/>
      <c r="H654" s="4" t="n"/>
    </row>
    <row r="655">
      <c r="A655" s="1" t="n"/>
      <c r="D655" s="4" t="n"/>
      <c r="F655" s="4" t="n"/>
      <c r="H655" s="4" t="n"/>
    </row>
    <row r="656">
      <c r="A656" s="2" t="n"/>
      <c r="D656" s="4" t="n"/>
      <c r="F656" s="4" t="n"/>
      <c r="H656" s="4" t="n"/>
    </row>
    <row r="657">
      <c r="A657" s="2" t="n"/>
      <c r="D657" s="4" t="n"/>
      <c r="F657" s="4" t="n"/>
      <c r="H657" s="4" t="n"/>
    </row>
    <row r="658">
      <c r="A658" s="2" t="n"/>
      <c r="D658" s="4" t="n"/>
      <c r="F658" s="4" t="n"/>
      <c r="H658" s="4" t="n"/>
    </row>
    <row r="659">
      <c r="A659" s="2" t="n"/>
      <c r="D659" s="4" t="n"/>
      <c r="F659" s="4" t="n"/>
      <c r="H659" s="4" t="n"/>
    </row>
    <row r="660">
      <c r="A660" s="2" t="n"/>
      <c r="D660" s="4" t="n"/>
      <c r="F660" s="4" t="n"/>
      <c r="H660" s="4" t="n"/>
    </row>
    <row r="661">
      <c r="A661" s="2" t="n"/>
      <c r="D661" s="4" t="n"/>
      <c r="F661" s="4" t="n"/>
      <c r="H661" s="4" t="n"/>
    </row>
    <row r="662">
      <c r="A662" s="2" t="n"/>
      <c r="D662" s="4" t="n"/>
      <c r="F662" s="4" t="n"/>
      <c r="H662" s="4" t="n"/>
    </row>
    <row r="663">
      <c r="A663" s="2" t="n"/>
      <c r="D663" s="4" t="n"/>
      <c r="F663" s="4" t="n"/>
      <c r="H663" s="4" t="n"/>
    </row>
    <row r="664">
      <c r="A664" s="2" t="n"/>
      <c r="D664" s="4" t="n"/>
      <c r="F664" s="4" t="n"/>
      <c r="H664" s="4" t="n"/>
    </row>
    <row r="665">
      <c r="A665" s="2" t="n"/>
      <c r="D665" s="4" t="n"/>
      <c r="F665" s="4" t="n"/>
      <c r="H665" s="4" t="n"/>
    </row>
    <row r="666">
      <c r="A666" s="2" t="n"/>
      <c r="D666" s="4" t="n"/>
      <c r="F666" s="4" t="n"/>
      <c r="H666" s="4" t="n"/>
    </row>
    <row r="667">
      <c r="A667" s="2" t="n"/>
      <c r="D667" s="4" t="n"/>
      <c r="F667" s="4" t="n"/>
      <c r="H667" s="4" t="n"/>
    </row>
    <row r="668">
      <c r="A668" s="2" t="n"/>
      <c r="D668" s="4" t="n"/>
      <c r="F668" s="4" t="n"/>
      <c r="H668" s="4" t="n"/>
    </row>
    <row r="669">
      <c r="A669" s="2" t="n"/>
      <c r="D669" s="4" t="n"/>
      <c r="F669" s="4" t="n"/>
      <c r="H669" s="4" t="n"/>
    </row>
    <row r="670">
      <c r="A670" s="2" t="n"/>
      <c r="D670" s="4" t="n"/>
      <c r="F670" s="4" t="n"/>
      <c r="H670" s="4" t="n"/>
    </row>
    <row r="671">
      <c r="A671" s="2" t="n"/>
      <c r="D671" s="4" t="n"/>
      <c r="F671" s="4" t="n"/>
      <c r="H671" s="4" t="n"/>
    </row>
    <row r="672">
      <c r="A672" s="2" t="n"/>
      <c r="D672" s="4" t="n"/>
      <c r="F672" s="4" t="n"/>
      <c r="H672" s="4" t="n"/>
    </row>
    <row r="673">
      <c r="A673" s="2" t="n"/>
      <c r="D673" s="4" t="n"/>
      <c r="F673" s="4" t="n"/>
      <c r="H673" s="4" t="n"/>
    </row>
    <row r="674">
      <c r="A674" s="2" t="n"/>
      <c r="D674" s="4" t="n"/>
      <c r="F674" s="4" t="n"/>
      <c r="H674" s="4" t="n"/>
    </row>
    <row r="675">
      <c r="A675" s="2" t="n"/>
      <c r="D675" s="4" t="n"/>
      <c r="F675" s="4" t="n"/>
      <c r="H675" s="4" t="n"/>
    </row>
    <row r="676">
      <c r="A676" s="2" t="n"/>
      <c r="D676" s="4" t="n"/>
      <c r="F676" s="4" t="n"/>
      <c r="H676" s="4" t="n"/>
    </row>
    <row r="677">
      <c r="A677" s="2" t="n"/>
      <c r="D677" s="4" t="n"/>
      <c r="F677" s="4" t="n"/>
      <c r="H677" s="4" t="n"/>
    </row>
    <row r="678">
      <c r="A678" s="2" t="n"/>
      <c r="D678" s="4" t="n"/>
      <c r="F678" s="4" t="n"/>
      <c r="H678" s="4" t="n"/>
    </row>
    <row r="679">
      <c r="A679" s="2" t="n"/>
      <c r="D679" s="4" t="n"/>
      <c r="F679" s="4" t="n"/>
      <c r="H679" s="4" t="n"/>
    </row>
    <row r="680">
      <c r="A680" s="2" t="n"/>
      <c r="D680" s="4" t="n"/>
      <c r="F680" s="4" t="n"/>
      <c r="H680" s="4" t="n"/>
    </row>
    <row r="681">
      <c r="A681" s="2" t="n"/>
      <c r="D681" s="4" t="n"/>
      <c r="F681" s="4" t="n"/>
      <c r="H681" s="4" t="n"/>
    </row>
    <row r="682">
      <c r="A682" s="2" t="n"/>
      <c r="D682" s="4" t="n"/>
      <c r="F682" s="4" t="n"/>
      <c r="H682" s="4" t="n"/>
    </row>
    <row r="683">
      <c r="A683" s="2" t="n"/>
      <c r="D683" s="4" t="n"/>
      <c r="F683" s="4" t="n"/>
      <c r="H683" s="4" t="n"/>
    </row>
    <row r="684">
      <c r="A684" s="2" t="n"/>
      <c r="D684" s="4" t="n"/>
      <c r="F684" s="4" t="n"/>
      <c r="H684" s="4" t="n"/>
    </row>
    <row r="685">
      <c r="A685" s="2" t="n"/>
      <c r="D685" s="4" t="n"/>
      <c r="F685" s="4" t="n"/>
      <c r="H685" s="4" t="n"/>
    </row>
    <row r="686">
      <c r="A686" s="2" t="n"/>
      <c r="D686" s="4" t="n"/>
      <c r="F686" s="4" t="n"/>
      <c r="H686" s="4" t="n"/>
    </row>
    <row r="687">
      <c r="A687" s="2" t="n"/>
      <c r="D687" s="4" t="n"/>
      <c r="F687" s="4" t="n"/>
      <c r="H687" s="4" t="n"/>
    </row>
    <row r="688">
      <c r="A688" s="2" t="n"/>
      <c r="D688" s="4" t="n"/>
      <c r="F688" s="4" t="n"/>
      <c r="H688" s="4" t="n"/>
    </row>
    <row r="689">
      <c r="A689" s="2" t="n"/>
      <c r="D689" s="4" t="n"/>
      <c r="F689" s="4" t="n"/>
      <c r="H689" s="4" t="n"/>
    </row>
    <row r="690">
      <c r="A690" s="2" t="n"/>
      <c r="D690" s="4" t="n"/>
      <c r="F690" s="4" t="n"/>
      <c r="H690" s="4" t="n"/>
    </row>
    <row r="691">
      <c r="A691" s="2" t="n"/>
      <c r="D691" s="4" t="n"/>
      <c r="F691" s="4" t="n"/>
      <c r="H691" s="4" t="n"/>
    </row>
    <row r="692">
      <c r="A692" s="2" t="n"/>
      <c r="D692" s="4" t="n"/>
      <c r="F692" s="4" t="n"/>
      <c r="H692" s="4" t="n"/>
    </row>
    <row r="693">
      <c r="A693" s="2" t="n"/>
      <c r="D693" s="4" t="n"/>
      <c r="F693" s="4" t="n"/>
      <c r="H693" s="4" t="n"/>
    </row>
    <row r="694">
      <c r="A694" s="2" t="n"/>
      <c r="D694" s="4" t="n"/>
      <c r="F694" s="4" t="n"/>
      <c r="H694" s="4" t="n"/>
    </row>
    <row r="695">
      <c r="A695" s="2" t="n"/>
      <c r="D695" s="4" t="n"/>
      <c r="F695" s="4" t="n"/>
      <c r="H695" s="4" t="n"/>
    </row>
    <row r="696">
      <c r="A696" s="2" t="n"/>
      <c r="D696" s="4" t="n"/>
      <c r="F696" s="4" t="n"/>
      <c r="H696" s="4" t="n"/>
    </row>
    <row r="697">
      <c r="A697" s="2" t="n"/>
      <c r="D697" s="4" t="n"/>
      <c r="F697" s="4" t="n"/>
      <c r="H697" s="4" t="n"/>
    </row>
    <row r="698">
      <c r="A698" s="2" t="n"/>
      <c r="D698" s="4" t="n"/>
      <c r="F698" s="4" t="n"/>
      <c r="H698" s="4" t="n"/>
    </row>
    <row r="699">
      <c r="A699" s="2" t="n"/>
      <c r="D699" s="4" t="n"/>
      <c r="F699" s="4" t="n"/>
      <c r="H699" s="4" t="n"/>
    </row>
    <row r="700">
      <c r="A700" s="2" t="n"/>
      <c r="D700" s="4" t="n"/>
      <c r="F700" s="4" t="n"/>
      <c r="H700" s="4" t="n"/>
    </row>
    <row r="701">
      <c r="A701" s="2" t="n"/>
      <c r="D701" s="4" t="n"/>
      <c r="F701" s="4" t="n"/>
      <c r="H701" s="4" t="n"/>
    </row>
    <row r="702">
      <c r="A702" s="2" t="n"/>
      <c r="D702" s="4" t="n"/>
      <c r="F702" s="4" t="n"/>
      <c r="H702" s="4" t="n"/>
    </row>
    <row r="703">
      <c r="A703" s="2" t="n"/>
      <c r="D703" s="4" t="n"/>
      <c r="F703" s="4" t="n"/>
      <c r="H703" s="4" t="n"/>
    </row>
    <row r="704">
      <c r="A704" s="2" t="n"/>
      <c r="D704" s="4" t="n"/>
      <c r="F704" s="4" t="n"/>
      <c r="H704" s="4" t="n"/>
    </row>
    <row r="705">
      <c r="A705" s="2" t="n"/>
      <c r="D705" s="4" t="n"/>
      <c r="F705" s="4" t="n"/>
      <c r="H705" s="4" t="n"/>
    </row>
    <row r="706">
      <c r="A706" s="2" t="n"/>
      <c r="D706" s="4" t="n"/>
      <c r="F706" s="4" t="n"/>
      <c r="H706" s="4" t="n"/>
    </row>
    <row r="707">
      <c r="A707" s="2" t="n"/>
      <c r="D707" s="4" t="n"/>
      <c r="F707" s="4" t="n"/>
      <c r="H707" s="4" t="n"/>
    </row>
    <row r="708">
      <c r="A708" s="2" t="n"/>
      <c r="D708" s="4" t="n"/>
      <c r="F708" s="4" t="n"/>
      <c r="H708" s="4" t="n"/>
    </row>
    <row r="709">
      <c r="A709" s="2" t="n"/>
      <c r="D709" s="4" t="n"/>
      <c r="F709" s="4" t="n"/>
      <c r="H709" s="4" t="n"/>
    </row>
    <row r="710">
      <c r="A710" s="2" t="n"/>
      <c r="D710" s="4" t="n"/>
      <c r="F710" s="4" t="n"/>
      <c r="H710" s="4" t="n"/>
    </row>
    <row r="711">
      <c r="A711" s="2" t="n"/>
      <c r="D711" s="4" t="n"/>
      <c r="F711" s="4" t="n"/>
      <c r="H711" s="4" t="n"/>
    </row>
    <row r="712">
      <c r="A712" s="2" t="n"/>
      <c r="D712" s="4" t="n"/>
      <c r="F712" s="4" t="n"/>
      <c r="H712" s="4" t="n"/>
    </row>
    <row r="713">
      <c r="A713" s="2" t="n"/>
      <c r="D713" s="4" t="n"/>
      <c r="F713" s="4" t="n"/>
      <c r="H713" s="4" t="n"/>
    </row>
    <row r="714">
      <c r="A714" s="2" t="n"/>
      <c r="D714" s="4" t="n"/>
      <c r="F714" s="4" t="n"/>
      <c r="H714" s="4" t="n"/>
    </row>
    <row r="715">
      <c r="A715" s="2" t="n"/>
      <c r="D715" s="4" t="n"/>
      <c r="F715" s="4" t="n"/>
      <c r="H715" s="4" t="n"/>
    </row>
    <row r="716">
      <c r="A716" s="2" t="n"/>
      <c r="D716" s="4" t="n"/>
      <c r="F716" s="4" t="n"/>
      <c r="H716" s="4" t="n"/>
    </row>
    <row r="717">
      <c r="A717" s="2" t="n"/>
      <c r="D717" s="4" t="n"/>
      <c r="F717" s="4" t="n"/>
      <c r="H717" s="4" t="n"/>
    </row>
    <row r="718">
      <c r="A718" s="2" t="n"/>
      <c r="D718" s="4" t="n"/>
      <c r="F718" s="4" t="n"/>
      <c r="H718" s="4" t="n"/>
    </row>
    <row r="719">
      <c r="A719" s="2" t="n"/>
      <c r="D719" s="4" t="n"/>
      <c r="F719" s="4" t="n"/>
      <c r="H719" s="4" t="n"/>
    </row>
    <row r="720">
      <c r="A720" s="2" t="n"/>
      <c r="D720" s="4" t="n"/>
      <c r="F720" s="4" t="n"/>
      <c r="H720" s="4" t="n"/>
    </row>
    <row r="721">
      <c r="A721" s="2" t="n"/>
      <c r="D721" s="4" t="n"/>
      <c r="F721" s="4" t="n"/>
      <c r="H721" s="4" t="n"/>
    </row>
    <row r="722">
      <c r="A722" s="2" t="n"/>
      <c r="D722" s="4" t="n"/>
      <c r="F722" s="4" t="n"/>
      <c r="H722" s="4" t="n"/>
    </row>
    <row r="723">
      <c r="A723" s="3" t="n"/>
      <c r="D723" s="4" t="n"/>
      <c r="F723" s="4" t="n"/>
      <c r="H723" s="4" t="n"/>
    </row>
    <row r="724" ht="14.45" customHeight="1" s="99">
      <c r="D724" s="4" t="n"/>
      <c r="F724" s="4" t="n"/>
      <c r="H724" s="4" t="n"/>
    </row>
    <row r="725" ht="14.45" customHeight="1" s="99">
      <c r="D725" s="4" t="n"/>
      <c r="F725" s="4" t="n"/>
      <c r="H725" s="4" t="n"/>
    </row>
    <row r="726" ht="14.45" customHeight="1" s="99">
      <c r="D726" s="4" t="n"/>
      <c r="F726" s="4" t="n"/>
      <c r="H726" s="4" t="n"/>
    </row>
    <row r="727">
      <c r="A727" s="1" t="n"/>
      <c r="D727" s="4" t="n"/>
      <c r="F727" s="4" t="n"/>
      <c r="H727" s="4" t="n"/>
    </row>
    <row r="728">
      <c r="A728" s="1" t="n"/>
      <c r="D728" s="4" t="n"/>
      <c r="F728" s="4" t="n"/>
      <c r="H728" s="4" t="n"/>
    </row>
    <row r="729">
      <c r="A729" s="2" t="n"/>
      <c r="D729" s="4" t="n"/>
      <c r="F729" s="4" t="n"/>
      <c r="H729" s="4" t="n"/>
    </row>
    <row r="730">
      <c r="A730" s="2" t="n"/>
      <c r="D730" s="4" t="n"/>
      <c r="F730" s="4" t="n"/>
      <c r="H730" s="4" t="n"/>
    </row>
    <row r="731">
      <c r="A731" s="2" t="n"/>
      <c r="D731" s="4" t="n"/>
      <c r="F731" s="4" t="n"/>
      <c r="H731" s="4" t="n"/>
    </row>
    <row r="732">
      <c r="A732" s="2" t="n"/>
      <c r="D732" s="4" t="n"/>
      <c r="F732" s="4" t="n"/>
      <c r="H732" s="4" t="n"/>
    </row>
    <row r="733">
      <c r="A733" s="2" t="n"/>
      <c r="D733" s="4" t="n"/>
      <c r="F733" s="4" t="n"/>
      <c r="H733" s="4" t="n"/>
    </row>
    <row r="734">
      <c r="A734" s="2" t="n"/>
      <c r="D734" s="4" t="n"/>
      <c r="F734" s="4" t="n"/>
      <c r="H734" s="4" t="n"/>
    </row>
    <row r="735">
      <c r="A735" s="2" t="n"/>
      <c r="D735" s="4" t="n"/>
      <c r="F735" s="4" t="n"/>
      <c r="H735" s="4" t="n"/>
    </row>
    <row r="736">
      <c r="A736" s="2" t="n"/>
      <c r="D736" s="4" t="n"/>
      <c r="F736" s="4" t="n"/>
      <c r="H736" s="4" t="n"/>
    </row>
    <row r="737">
      <c r="A737" s="2" t="n"/>
      <c r="D737" s="4" t="n"/>
      <c r="F737" s="4" t="n"/>
      <c r="H737" s="4" t="n"/>
    </row>
    <row r="738">
      <c r="A738" s="2" t="n"/>
      <c r="D738" s="4" t="n"/>
      <c r="F738" s="4" t="n"/>
      <c r="H738" s="4" t="n"/>
    </row>
    <row r="739">
      <c r="A739" s="2" t="n"/>
      <c r="D739" s="4" t="n"/>
      <c r="F739" s="4" t="n"/>
      <c r="H739" s="4" t="n"/>
    </row>
    <row r="740">
      <c r="A740" s="2" t="n"/>
      <c r="D740" s="4" t="n"/>
      <c r="F740" s="4" t="n"/>
      <c r="H740" s="4" t="n"/>
    </row>
    <row r="741">
      <c r="A741" s="2" t="n"/>
      <c r="D741" s="4" t="n"/>
      <c r="F741" s="4" t="n"/>
      <c r="H741" s="4" t="n"/>
    </row>
    <row r="742">
      <c r="A742" s="2" t="n"/>
      <c r="D742" s="4" t="n"/>
      <c r="F742" s="4" t="n"/>
      <c r="H742" s="4" t="n"/>
    </row>
    <row r="743">
      <c r="A743" s="2" t="n"/>
      <c r="D743" s="4" t="n"/>
      <c r="F743" s="4" t="n"/>
      <c r="H743" s="4" t="n"/>
    </row>
    <row r="744">
      <c r="A744" s="2" t="n"/>
      <c r="D744" s="4" t="n"/>
      <c r="F744" s="4" t="n"/>
      <c r="H744" s="4" t="n"/>
    </row>
    <row r="745">
      <c r="A745" s="2" t="n"/>
      <c r="D745" s="4" t="n"/>
      <c r="F745" s="4" t="n"/>
      <c r="H745" s="4" t="n"/>
    </row>
    <row r="746">
      <c r="A746" s="2" t="n"/>
      <c r="D746" s="4" t="n"/>
      <c r="F746" s="4" t="n"/>
      <c r="H746" s="4" t="n"/>
    </row>
    <row r="747">
      <c r="A747" s="2" t="n"/>
      <c r="D747" s="4" t="n"/>
      <c r="F747" s="4" t="n"/>
      <c r="H747" s="4" t="n"/>
    </row>
    <row r="748">
      <c r="A748" s="2" t="n"/>
      <c r="D748" s="4" t="n"/>
      <c r="F748" s="4" t="n"/>
      <c r="H748" s="4" t="n"/>
    </row>
    <row r="749">
      <c r="A749" s="2" t="n"/>
      <c r="D749" s="4" t="n"/>
      <c r="F749" s="4" t="n"/>
      <c r="H749" s="4" t="n"/>
    </row>
    <row r="750">
      <c r="A750" s="2" t="n"/>
      <c r="D750" s="4" t="n"/>
      <c r="F750" s="4" t="n"/>
      <c r="H750" s="4" t="n"/>
    </row>
    <row r="751">
      <c r="A751" s="2" t="n"/>
      <c r="D751" s="4" t="n"/>
      <c r="F751" s="4" t="n"/>
      <c r="H751" s="4" t="n"/>
    </row>
    <row r="752">
      <c r="A752" s="2" t="n"/>
      <c r="D752" s="4" t="n"/>
      <c r="F752" s="4" t="n"/>
      <c r="H752" s="4" t="n"/>
    </row>
    <row r="753">
      <c r="A753" s="2" t="n"/>
      <c r="D753" s="4" t="n"/>
      <c r="F753" s="4" t="n"/>
      <c r="H753" s="4" t="n"/>
    </row>
    <row r="754">
      <c r="A754" s="2" t="n"/>
      <c r="D754" s="4" t="n"/>
      <c r="F754" s="4" t="n"/>
      <c r="H754" s="4" t="n"/>
    </row>
    <row r="755">
      <c r="A755" s="2" t="n"/>
      <c r="D755" s="4" t="n"/>
      <c r="F755" s="4" t="n"/>
      <c r="H755" s="4" t="n"/>
    </row>
    <row r="756">
      <c r="A756" s="2" t="n"/>
      <c r="D756" s="4" t="n"/>
      <c r="F756" s="4" t="n"/>
      <c r="H756" s="4" t="n"/>
    </row>
    <row r="757">
      <c r="A757" s="2" t="n"/>
      <c r="D757" s="4" t="n"/>
      <c r="F757" s="4" t="n"/>
      <c r="H757" s="4" t="n"/>
    </row>
    <row r="758">
      <c r="A758" s="2" t="n"/>
      <c r="D758" s="4" t="n"/>
      <c r="F758" s="4" t="n"/>
      <c r="H758" s="4" t="n"/>
    </row>
    <row r="759">
      <c r="A759" s="2" t="n"/>
      <c r="D759" s="4" t="n"/>
      <c r="F759" s="4" t="n"/>
      <c r="H759" s="4" t="n"/>
    </row>
    <row r="760">
      <c r="A760" s="2" t="n"/>
      <c r="D760" s="4" t="n"/>
      <c r="F760" s="4" t="n"/>
      <c r="H760" s="4" t="n"/>
    </row>
    <row r="761">
      <c r="A761" s="2" t="n"/>
      <c r="D761" s="4" t="n"/>
      <c r="F761" s="4" t="n"/>
      <c r="H761" s="4" t="n"/>
    </row>
    <row r="762">
      <c r="A762" s="2" t="n"/>
      <c r="D762" s="4" t="n"/>
      <c r="F762" s="4" t="n"/>
      <c r="H762" s="4" t="n"/>
    </row>
    <row r="763">
      <c r="A763" s="2" t="n"/>
      <c r="D763" s="4" t="n"/>
      <c r="F763" s="4" t="n"/>
      <c r="H763" s="4" t="n"/>
    </row>
    <row r="764">
      <c r="A764" s="2" t="n"/>
      <c r="D764" s="4" t="n"/>
      <c r="F764" s="4" t="n"/>
      <c r="H764" s="4" t="n"/>
    </row>
    <row r="765">
      <c r="A765" s="2" t="n"/>
      <c r="D765" s="4" t="n"/>
      <c r="F765" s="4" t="n"/>
      <c r="H765" s="4" t="n"/>
    </row>
    <row r="766">
      <c r="A766" s="2" t="n"/>
      <c r="D766" s="4" t="n"/>
      <c r="F766" s="4" t="n"/>
      <c r="H766" s="4" t="n"/>
    </row>
    <row r="767">
      <c r="A767" s="2" t="n"/>
      <c r="D767" s="4" t="n"/>
      <c r="F767" s="4" t="n"/>
      <c r="H767" s="4" t="n"/>
    </row>
    <row r="768">
      <c r="A768" s="2" t="n"/>
      <c r="D768" s="4" t="n"/>
      <c r="F768" s="4" t="n"/>
      <c r="H768" s="4" t="n"/>
    </row>
    <row r="769">
      <c r="A769" s="2" t="n"/>
      <c r="D769" s="4" t="n"/>
      <c r="F769" s="4" t="n"/>
      <c r="H769" s="4" t="n"/>
    </row>
    <row r="770">
      <c r="A770" s="2" t="n"/>
      <c r="D770" s="4" t="n"/>
      <c r="F770" s="4" t="n"/>
      <c r="H770" s="4" t="n"/>
    </row>
    <row r="771">
      <c r="A771" s="2" t="n"/>
      <c r="D771" s="4" t="n"/>
      <c r="F771" s="4" t="n"/>
      <c r="H771" s="4" t="n"/>
    </row>
    <row r="772">
      <c r="A772" s="2" t="n"/>
      <c r="D772" s="4" t="n"/>
      <c r="F772" s="4" t="n"/>
      <c r="H772" s="4" t="n"/>
    </row>
    <row r="773">
      <c r="A773" s="2" t="n"/>
      <c r="D773" s="4" t="n"/>
      <c r="F773" s="4" t="n"/>
      <c r="H773" s="4" t="n"/>
    </row>
    <row r="774">
      <c r="A774" s="2" t="n"/>
      <c r="D774" s="4" t="n"/>
      <c r="F774" s="4" t="n"/>
      <c r="H774" s="4" t="n"/>
    </row>
    <row r="775">
      <c r="A775" s="2" t="n"/>
      <c r="D775" s="4" t="n"/>
      <c r="F775" s="4" t="n"/>
      <c r="H775" s="4" t="n"/>
    </row>
    <row r="776">
      <c r="A776" s="2" t="n"/>
      <c r="D776" s="4" t="n"/>
      <c r="F776" s="4" t="n"/>
      <c r="H776" s="4" t="n"/>
    </row>
    <row r="777">
      <c r="A777" s="2" t="n"/>
      <c r="D777" s="4" t="n"/>
      <c r="F777" s="4" t="n"/>
      <c r="H777" s="4" t="n"/>
    </row>
    <row r="778">
      <c r="A778" s="2" t="n"/>
      <c r="D778" s="4" t="n"/>
      <c r="F778" s="4" t="n"/>
      <c r="H778" s="4" t="n"/>
    </row>
    <row r="779">
      <c r="A779" s="2" t="n"/>
      <c r="D779" s="4" t="n"/>
      <c r="F779" s="4" t="n"/>
      <c r="H779" s="4" t="n"/>
    </row>
    <row r="780">
      <c r="A780" s="2" t="n"/>
      <c r="D780" s="4" t="n"/>
      <c r="F780" s="4" t="n"/>
      <c r="H780" s="4" t="n"/>
    </row>
    <row r="781">
      <c r="A781" s="2" t="n"/>
      <c r="D781" s="4" t="n"/>
      <c r="F781" s="4" t="n"/>
      <c r="H781" s="4" t="n"/>
    </row>
    <row r="782">
      <c r="A782" s="2" t="n"/>
      <c r="D782" s="4" t="n"/>
      <c r="F782" s="4" t="n"/>
      <c r="H782" s="4" t="n"/>
    </row>
    <row r="783">
      <c r="A783" s="2" t="n"/>
      <c r="D783" s="4" t="n"/>
      <c r="F783" s="4" t="n"/>
      <c r="H783" s="4" t="n"/>
    </row>
    <row r="784">
      <c r="A784" s="2" t="n"/>
      <c r="D784" s="4" t="n"/>
      <c r="F784" s="4" t="n"/>
      <c r="H784" s="4" t="n"/>
    </row>
    <row r="785">
      <c r="A785" s="2" t="n"/>
      <c r="D785" s="4" t="n"/>
      <c r="F785" s="4" t="n"/>
      <c r="H785" s="4" t="n"/>
    </row>
    <row r="786">
      <c r="A786" s="2" t="n"/>
      <c r="D786" s="4" t="n"/>
      <c r="F786" s="4" t="n"/>
      <c r="H786" s="4" t="n"/>
    </row>
    <row r="787">
      <c r="A787" s="2" t="n"/>
      <c r="D787" s="4" t="n"/>
      <c r="F787" s="4" t="n"/>
      <c r="H787" s="4" t="n"/>
    </row>
    <row r="788">
      <c r="A788" s="2" t="n"/>
      <c r="D788" s="4" t="n"/>
      <c r="F788" s="4" t="n"/>
      <c r="H788" s="4" t="n"/>
    </row>
    <row r="789">
      <c r="A789" s="2" t="n"/>
      <c r="D789" s="4" t="n"/>
      <c r="F789" s="4" t="n"/>
      <c r="H789" s="4" t="n"/>
    </row>
    <row r="790">
      <c r="A790" s="2" t="n"/>
      <c r="D790" s="4" t="n"/>
      <c r="F790" s="4" t="n"/>
      <c r="H790" s="4" t="n"/>
    </row>
    <row r="791">
      <c r="A791" s="2" t="n"/>
      <c r="D791" s="4" t="n"/>
      <c r="F791" s="4" t="n"/>
      <c r="H791" s="4" t="n"/>
    </row>
    <row r="792">
      <c r="A792" s="2" t="n"/>
      <c r="D792" s="4" t="n"/>
      <c r="F792" s="4" t="n"/>
      <c r="H792" s="4" t="n"/>
    </row>
    <row r="793">
      <c r="A793" s="2" t="n"/>
      <c r="D793" s="4" t="n"/>
      <c r="F793" s="4" t="n"/>
      <c r="H793" s="4" t="n"/>
    </row>
    <row r="794">
      <c r="A794" s="2" t="n"/>
      <c r="D794" s="4" t="n"/>
      <c r="F794" s="4" t="n"/>
      <c r="H794" s="4" t="n"/>
    </row>
    <row r="795">
      <c r="A795" s="2" t="n"/>
      <c r="D795" s="4" t="n"/>
      <c r="F795" s="4" t="n"/>
      <c r="H795" s="4" t="n"/>
    </row>
    <row r="796">
      <c r="A796" s="3" t="n"/>
      <c r="D796" s="4" t="n"/>
      <c r="F796" s="4" t="n"/>
      <c r="H796" s="4" t="n"/>
    </row>
    <row r="797" ht="14.45" customHeight="1" s="99">
      <c r="D797" s="4" t="n"/>
      <c r="F797" s="4" t="n"/>
      <c r="H797" s="4" t="n"/>
    </row>
    <row r="798" ht="14.45" customHeight="1" s="99">
      <c r="D798" s="4" t="n"/>
      <c r="F798" s="4" t="n"/>
      <c r="H798" s="4" t="n"/>
    </row>
    <row r="799" ht="14.45" customHeight="1" s="99">
      <c r="D799" s="4" t="n"/>
      <c r="F799" s="4" t="n"/>
      <c r="H799" s="4" t="n"/>
    </row>
    <row r="800">
      <c r="A800" s="1" t="n"/>
      <c r="D800" s="4" t="n"/>
      <c r="F800" s="4" t="n"/>
      <c r="H800" s="4" t="n"/>
    </row>
    <row r="801">
      <c r="A801" s="1" t="n"/>
      <c r="D801" s="4" t="n"/>
      <c r="F801" s="4" t="n"/>
      <c r="H801" s="4" t="n"/>
    </row>
    <row r="802">
      <c r="A802" s="2" t="n"/>
      <c r="D802" s="4" t="n"/>
      <c r="F802" s="4" t="n"/>
      <c r="H802" s="4" t="n"/>
    </row>
    <row r="803">
      <c r="A803" s="2" t="n"/>
      <c r="D803" s="4" t="n"/>
      <c r="F803" s="4" t="n"/>
      <c r="H803" s="4" t="n"/>
    </row>
    <row r="804">
      <c r="A804" s="2" t="n"/>
      <c r="D804" s="4" t="n"/>
      <c r="F804" s="4" t="n"/>
      <c r="H804" s="4" t="n"/>
    </row>
    <row r="805">
      <c r="A805" s="2" t="n"/>
      <c r="D805" s="4" t="n"/>
      <c r="F805" s="4" t="n"/>
      <c r="H805" s="4" t="n"/>
    </row>
    <row r="806">
      <c r="A806" s="2" t="n"/>
      <c r="D806" s="4" t="n"/>
      <c r="F806" s="4" t="n"/>
      <c r="H806" s="4" t="n"/>
    </row>
    <row r="807">
      <c r="A807" s="2" t="n"/>
      <c r="D807" s="4" t="n"/>
      <c r="F807" s="4" t="n"/>
      <c r="H807" s="4" t="n"/>
    </row>
    <row r="808">
      <c r="A808" s="2" t="n"/>
      <c r="D808" s="4" t="n"/>
      <c r="F808" s="4" t="n"/>
      <c r="H808" s="4" t="n"/>
    </row>
    <row r="809">
      <c r="A809" s="2" t="n"/>
      <c r="D809" s="4" t="n"/>
      <c r="F809" s="4" t="n"/>
      <c r="H809" s="4" t="n"/>
    </row>
    <row r="810">
      <c r="A810" s="2" t="n"/>
      <c r="D810" s="4" t="n"/>
      <c r="F810" s="4" t="n"/>
      <c r="H810" s="4" t="n"/>
    </row>
    <row r="811">
      <c r="A811" s="2" t="n"/>
      <c r="D811" s="4" t="n"/>
      <c r="F811" s="4" t="n"/>
      <c r="H811" s="4" t="n"/>
    </row>
    <row r="812">
      <c r="A812" s="2" t="n"/>
      <c r="D812" s="4" t="n"/>
      <c r="F812" s="4" t="n"/>
      <c r="H812" s="4" t="n"/>
    </row>
    <row r="813">
      <c r="A813" s="2" t="n"/>
      <c r="D813" s="4" t="n"/>
      <c r="F813" s="4" t="n"/>
      <c r="H813" s="4" t="n"/>
    </row>
    <row r="814">
      <c r="A814" s="2" t="n"/>
      <c r="D814" s="4" t="n"/>
      <c r="F814" s="4" t="n"/>
      <c r="H814" s="4" t="n"/>
    </row>
    <row r="815">
      <c r="A815" s="2" t="n"/>
      <c r="D815" s="4" t="n"/>
      <c r="F815" s="4" t="n"/>
      <c r="H815" s="4" t="n"/>
    </row>
    <row r="816">
      <c r="A816" s="2" t="n"/>
      <c r="D816" s="4" t="n"/>
      <c r="F816" s="4" t="n"/>
      <c r="H816" s="4" t="n"/>
    </row>
    <row r="817">
      <c r="A817" s="2" t="n"/>
      <c r="D817" s="4" t="n"/>
      <c r="F817" s="4" t="n"/>
      <c r="H817" s="4" t="n"/>
    </row>
    <row r="818">
      <c r="A818" s="2" t="n"/>
      <c r="D818" s="4" t="n"/>
      <c r="F818" s="4" t="n"/>
      <c r="H818" s="4" t="n"/>
    </row>
    <row r="819">
      <c r="A819" s="2" t="n"/>
      <c r="D819" s="4" t="n"/>
      <c r="F819" s="4" t="n"/>
      <c r="H819" s="4" t="n"/>
    </row>
    <row r="820">
      <c r="A820" s="2" t="n"/>
      <c r="D820" s="4" t="n"/>
      <c r="F820" s="4" t="n"/>
      <c r="H820" s="4" t="n"/>
    </row>
    <row r="821">
      <c r="A821" s="2" t="n"/>
      <c r="D821" s="4" t="n"/>
      <c r="F821" s="4" t="n"/>
      <c r="H821" s="4" t="n"/>
    </row>
    <row r="822">
      <c r="A822" s="2" t="n"/>
      <c r="D822" s="4" t="n"/>
      <c r="F822" s="4" t="n"/>
      <c r="H822" s="4" t="n"/>
    </row>
    <row r="823">
      <c r="A823" s="2" t="n"/>
      <c r="D823" s="4" t="n"/>
      <c r="F823" s="4" t="n"/>
      <c r="H823" s="4" t="n"/>
    </row>
    <row r="824">
      <c r="A824" s="2" t="n"/>
      <c r="D824" s="4" t="n"/>
      <c r="F824" s="4" t="n"/>
      <c r="H824" s="4" t="n"/>
    </row>
    <row r="825">
      <c r="A825" s="2" t="n"/>
      <c r="D825" s="4" t="n"/>
      <c r="F825" s="4" t="n"/>
      <c r="H825" s="4" t="n"/>
    </row>
    <row r="826">
      <c r="A826" s="2" t="n"/>
      <c r="D826" s="4" t="n"/>
      <c r="F826" s="4" t="n"/>
      <c r="H826" s="4" t="n"/>
    </row>
    <row r="827">
      <c r="A827" s="2" t="n"/>
      <c r="D827" s="4" t="n"/>
      <c r="F827" s="4" t="n"/>
      <c r="H827" s="4" t="n"/>
    </row>
    <row r="828">
      <c r="A828" s="2" t="n"/>
      <c r="D828" s="4" t="n"/>
      <c r="F828" s="4" t="n"/>
      <c r="H828" s="4" t="n"/>
    </row>
    <row r="829">
      <c r="A829" s="2" t="n"/>
      <c r="D829" s="4" t="n"/>
      <c r="F829" s="4" t="n"/>
      <c r="H829" s="4" t="n"/>
    </row>
    <row r="830">
      <c r="A830" s="2" t="n"/>
      <c r="D830" s="4" t="n"/>
      <c r="F830" s="4" t="n"/>
      <c r="H830" s="4" t="n"/>
    </row>
    <row r="831">
      <c r="A831" s="2" t="n"/>
      <c r="D831" s="4" t="n"/>
      <c r="F831" s="4" t="n"/>
      <c r="H831" s="4" t="n"/>
    </row>
    <row r="832">
      <c r="A832" s="2" t="n"/>
      <c r="D832" s="4" t="n"/>
      <c r="F832" s="4" t="n"/>
      <c r="H832" s="4" t="n"/>
    </row>
    <row r="833">
      <c r="A833" s="2" t="n"/>
      <c r="D833" s="4" t="n"/>
      <c r="F833" s="4" t="n"/>
      <c r="H833" s="4" t="n"/>
    </row>
    <row r="834">
      <c r="A834" s="2" t="n"/>
      <c r="D834" s="4" t="n"/>
      <c r="F834" s="4" t="n"/>
      <c r="H834" s="4" t="n"/>
    </row>
    <row r="835">
      <c r="A835" s="2" t="n"/>
      <c r="D835" s="4" t="n"/>
      <c r="F835" s="4" t="n"/>
      <c r="H835" s="4" t="n"/>
    </row>
    <row r="836">
      <c r="A836" s="2" t="n"/>
      <c r="D836" s="4" t="n"/>
      <c r="F836" s="4" t="n"/>
      <c r="H836" s="4" t="n"/>
    </row>
    <row r="837">
      <c r="A837" s="2" t="n"/>
      <c r="D837" s="4" t="n"/>
      <c r="F837" s="4" t="n"/>
      <c r="H837" s="4" t="n"/>
    </row>
    <row r="838">
      <c r="A838" s="2" t="n"/>
      <c r="D838" s="4" t="n"/>
      <c r="F838" s="4" t="n"/>
      <c r="H838" s="4" t="n"/>
    </row>
    <row r="839">
      <c r="A839" s="2" t="n"/>
      <c r="D839" s="4" t="n"/>
      <c r="F839" s="4" t="n"/>
      <c r="H839" s="4" t="n"/>
    </row>
    <row r="840">
      <c r="A840" s="2" t="n"/>
      <c r="D840" s="4" t="n"/>
      <c r="F840" s="4" t="n"/>
      <c r="H840" s="4" t="n"/>
    </row>
    <row r="841">
      <c r="A841" s="2" t="n"/>
      <c r="D841" s="4" t="n"/>
      <c r="F841" s="4" t="n"/>
      <c r="H841" s="4" t="n"/>
    </row>
    <row r="842">
      <c r="A842" s="2" t="n"/>
      <c r="D842" s="4" t="n"/>
      <c r="F842" s="4" t="n"/>
      <c r="H842" s="4" t="n"/>
    </row>
    <row r="843">
      <c r="A843" s="2" t="n"/>
      <c r="D843" s="4" t="n"/>
      <c r="F843" s="4" t="n"/>
      <c r="H843" s="4" t="n"/>
    </row>
    <row r="844">
      <c r="A844" s="2" t="n"/>
      <c r="D844" s="4" t="n"/>
      <c r="F844" s="4" t="n"/>
      <c r="H844" s="4" t="n"/>
    </row>
    <row r="845">
      <c r="A845" s="2" t="n"/>
      <c r="D845" s="4" t="n"/>
      <c r="F845" s="4" t="n"/>
      <c r="H845" s="4" t="n"/>
    </row>
    <row r="846">
      <c r="A846" s="2" t="n"/>
      <c r="D846" s="4" t="n"/>
      <c r="F846" s="4" t="n"/>
      <c r="H846" s="4" t="n"/>
    </row>
    <row r="847">
      <c r="A847" s="2" t="n"/>
      <c r="D847" s="4" t="n"/>
      <c r="F847" s="4" t="n"/>
      <c r="H847" s="4" t="n"/>
    </row>
    <row r="848">
      <c r="A848" s="2" t="n"/>
      <c r="D848" s="4" t="n"/>
      <c r="F848" s="4" t="n"/>
      <c r="H848" s="4" t="n"/>
    </row>
    <row r="849">
      <c r="A849" s="2" t="n"/>
      <c r="D849" s="4" t="n"/>
      <c r="F849" s="4" t="n"/>
      <c r="H849" s="4" t="n"/>
    </row>
    <row r="850">
      <c r="A850" s="2" t="n"/>
      <c r="D850" s="4" t="n"/>
      <c r="F850" s="4" t="n"/>
      <c r="H850" s="4" t="n"/>
    </row>
    <row r="851">
      <c r="A851" s="2" t="n"/>
      <c r="D851" s="4" t="n"/>
      <c r="F851" s="4" t="n"/>
      <c r="H851" s="4" t="n"/>
    </row>
    <row r="852">
      <c r="A852" s="2" t="n"/>
      <c r="D852" s="4" t="n"/>
      <c r="F852" s="4" t="n"/>
      <c r="H852" s="4" t="n"/>
    </row>
    <row r="853">
      <c r="A853" s="2" t="n"/>
      <c r="D853" s="4" t="n"/>
      <c r="F853" s="4" t="n"/>
      <c r="H853" s="4" t="n"/>
    </row>
    <row r="854">
      <c r="A854" s="2" t="n"/>
      <c r="D854" s="4" t="n"/>
      <c r="F854" s="4" t="n"/>
      <c r="H854" s="4" t="n"/>
    </row>
    <row r="855">
      <c r="A855" s="2" t="n"/>
      <c r="D855" s="4" t="n"/>
      <c r="F855" s="4" t="n"/>
      <c r="H855" s="4" t="n"/>
    </row>
    <row r="856">
      <c r="A856" s="2" t="n"/>
      <c r="D856" s="4" t="n"/>
      <c r="F856" s="4" t="n"/>
      <c r="H856" s="4" t="n"/>
    </row>
    <row r="857">
      <c r="A857" s="2" t="n"/>
      <c r="D857" s="4" t="n"/>
      <c r="F857" s="4" t="n"/>
      <c r="H857" s="4" t="n"/>
    </row>
    <row r="858">
      <c r="A858" s="2" t="n"/>
      <c r="D858" s="4" t="n"/>
      <c r="F858" s="4" t="n"/>
      <c r="H858" s="4" t="n"/>
    </row>
    <row r="859">
      <c r="A859" s="2" t="n"/>
      <c r="D859" s="4" t="n"/>
      <c r="F859" s="4" t="n"/>
      <c r="H859" s="4" t="n"/>
    </row>
    <row r="860">
      <c r="A860" s="2" t="n"/>
      <c r="D860" s="4" t="n"/>
      <c r="F860" s="4" t="n"/>
      <c r="H860" s="4" t="n"/>
    </row>
    <row r="861">
      <c r="A861" s="2" t="n"/>
      <c r="D861" s="4" t="n"/>
      <c r="F861" s="4" t="n"/>
      <c r="H861" s="4" t="n"/>
    </row>
    <row r="862">
      <c r="A862" s="2" t="n"/>
      <c r="D862" s="4" t="n"/>
      <c r="F862" s="4" t="n"/>
      <c r="H862" s="4" t="n"/>
    </row>
    <row r="863">
      <c r="A863" s="2" t="n"/>
      <c r="D863" s="4" t="n"/>
      <c r="F863" s="4" t="n"/>
      <c r="H863" s="4" t="n"/>
    </row>
    <row r="864">
      <c r="A864" s="2" t="n"/>
      <c r="D864" s="4" t="n"/>
      <c r="F864" s="4" t="n"/>
      <c r="H864" s="4" t="n"/>
    </row>
    <row r="865">
      <c r="A865" s="2" t="n"/>
      <c r="D865" s="4" t="n"/>
      <c r="F865" s="4" t="n"/>
      <c r="H865" s="4" t="n"/>
    </row>
    <row r="866">
      <c r="A866" s="2" t="n"/>
      <c r="D866" s="4" t="n"/>
      <c r="F866" s="4" t="n"/>
      <c r="H866" s="4" t="n"/>
    </row>
    <row r="867">
      <c r="A867" s="2" t="n"/>
      <c r="D867" s="4" t="n"/>
      <c r="F867" s="4" t="n"/>
      <c r="H867" s="4" t="n"/>
    </row>
    <row r="868">
      <c r="A868" s="2" t="n"/>
      <c r="D868" s="4" t="n"/>
      <c r="F868" s="4" t="n"/>
      <c r="H868" s="4" t="n"/>
    </row>
    <row r="869">
      <c r="A869" s="3" t="n"/>
      <c r="D869" s="4" t="n"/>
      <c r="F869" s="4" t="n"/>
      <c r="H869" s="4" t="n"/>
    </row>
    <row r="870" ht="14.45" customHeight="1" s="99">
      <c r="D870" s="4" t="n"/>
      <c r="F870" s="4" t="n"/>
      <c r="H870" s="4" t="n"/>
    </row>
    <row r="871" ht="14.45" customHeight="1" s="99">
      <c r="D871" s="4" t="n"/>
      <c r="F871" s="4" t="n"/>
      <c r="H871" s="4" t="n"/>
    </row>
    <row r="872" ht="14.45" customHeight="1" s="99">
      <c r="D872" s="4" t="n"/>
      <c r="F872" s="4" t="n"/>
      <c r="H872" s="4" t="n"/>
    </row>
    <row r="873">
      <c r="A873" s="1" t="n"/>
      <c r="D873" s="4" t="n"/>
      <c r="F873" s="4" t="n"/>
      <c r="H873" s="4" t="n"/>
    </row>
    <row r="874">
      <c r="A874" s="1" t="n"/>
      <c r="D874" s="4" t="n"/>
      <c r="F874" s="4" t="n"/>
      <c r="H874" s="4" t="n"/>
    </row>
    <row r="875">
      <c r="A875" s="2" t="n"/>
      <c r="D875" s="4" t="n"/>
      <c r="F875" s="4" t="n"/>
      <c r="H875" s="4" t="n"/>
    </row>
    <row r="876">
      <c r="A876" s="2" t="n"/>
      <c r="D876" s="4" t="n"/>
      <c r="F876" s="4" t="n"/>
      <c r="H876" s="4" t="n"/>
    </row>
    <row r="877">
      <c r="A877" s="2" t="n"/>
      <c r="D877" s="4" t="n"/>
      <c r="F877" s="4" t="n"/>
      <c r="H877" s="4" t="n"/>
    </row>
    <row r="878">
      <c r="A878" s="2" t="n"/>
      <c r="D878" s="4" t="n"/>
      <c r="F878" s="4" t="n"/>
      <c r="H878" s="4" t="n"/>
    </row>
    <row r="879">
      <c r="A879" s="2" t="n"/>
      <c r="D879" s="4" t="n"/>
      <c r="F879" s="4" t="n"/>
      <c r="H879" s="4" t="n"/>
    </row>
    <row r="880">
      <c r="A880" s="2" t="n"/>
      <c r="D880" s="4" t="n"/>
      <c r="F880" s="4" t="n"/>
      <c r="H880" s="4" t="n"/>
    </row>
    <row r="881">
      <c r="A881" s="2" t="n"/>
      <c r="D881" s="4" t="n"/>
      <c r="F881" s="4" t="n"/>
      <c r="H881" s="4" t="n"/>
    </row>
    <row r="882">
      <c r="A882" s="2" t="n"/>
      <c r="D882" s="4" t="n"/>
      <c r="F882" s="4" t="n"/>
      <c r="H882" s="4" t="n"/>
    </row>
    <row r="883">
      <c r="A883" s="2" t="n"/>
      <c r="D883" s="4" t="n"/>
      <c r="F883" s="4" t="n"/>
      <c r="H883" s="4" t="n"/>
    </row>
    <row r="884">
      <c r="A884" s="2" t="n"/>
      <c r="D884" s="4" t="n"/>
      <c r="F884" s="4" t="n"/>
      <c r="H884" s="4" t="n"/>
    </row>
    <row r="885">
      <c r="A885" s="2" t="n"/>
      <c r="D885" s="4" t="n"/>
      <c r="F885" s="4" t="n"/>
      <c r="H885" s="4" t="n"/>
    </row>
    <row r="886">
      <c r="A886" s="2" t="n"/>
      <c r="D886" s="4" t="n"/>
      <c r="F886" s="4" t="n"/>
      <c r="H886" s="4" t="n"/>
    </row>
    <row r="887">
      <c r="A887" s="2" t="n"/>
      <c r="D887" s="4" t="n"/>
      <c r="F887" s="4" t="n"/>
      <c r="H887" s="4" t="n"/>
    </row>
    <row r="888">
      <c r="A888" s="2" t="n"/>
      <c r="D888" s="4" t="n"/>
      <c r="F888" s="4" t="n"/>
      <c r="H888" s="4" t="n"/>
    </row>
    <row r="889">
      <c r="A889" s="2" t="n"/>
      <c r="D889" s="4" t="n"/>
      <c r="F889" s="4" t="n"/>
      <c r="H889" s="4" t="n"/>
    </row>
    <row r="890">
      <c r="A890" s="2" t="n"/>
      <c r="D890" s="4" t="n"/>
      <c r="F890" s="4" t="n"/>
      <c r="H890" s="4" t="n"/>
    </row>
    <row r="891">
      <c r="A891" s="2" t="n"/>
      <c r="D891" s="4" t="n"/>
      <c r="F891" s="4" t="n"/>
      <c r="H891" s="4" t="n"/>
    </row>
    <row r="892">
      <c r="A892" s="2" t="n"/>
      <c r="D892" s="4" t="n"/>
      <c r="F892" s="4" t="n"/>
      <c r="H892" s="4" t="n"/>
    </row>
    <row r="893">
      <c r="A893" s="2" t="n"/>
      <c r="D893" s="4" t="n"/>
      <c r="F893" s="4" t="n"/>
      <c r="H893" s="4" t="n"/>
    </row>
    <row r="894">
      <c r="A894" s="2" t="n"/>
      <c r="D894" s="4" t="n"/>
      <c r="F894" s="4" t="n"/>
      <c r="H894" s="4" t="n"/>
    </row>
    <row r="895">
      <c r="A895" s="2" t="n"/>
      <c r="D895" s="4" t="n"/>
      <c r="F895" s="4" t="n"/>
      <c r="H895" s="4" t="n"/>
    </row>
    <row r="896">
      <c r="A896" s="2" t="n"/>
      <c r="D896" s="4" t="n"/>
      <c r="F896" s="4" t="n"/>
      <c r="H896" s="4" t="n"/>
    </row>
    <row r="897">
      <c r="A897" s="2" t="n"/>
      <c r="D897" s="4" t="n"/>
      <c r="F897" s="4" t="n"/>
      <c r="H897" s="4" t="n"/>
    </row>
    <row r="898">
      <c r="A898" s="2" t="n"/>
      <c r="D898" s="4" t="n"/>
      <c r="F898" s="4" t="n"/>
      <c r="H898" s="4" t="n"/>
    </row>
    <row r="899">
      <c r="A899" s="2" t="n"/>
      <c r="D899" s="4" t="n"/>
      <c r="F899" s="4" t="n"/>
      <c r="H899" s="4" t="n"/>
    </row>
    <row r="900">
      <c r="A900" s="2" t="n"/>
      <c r="D900" s="4" t="n"/>
      <c r="F900" s="4" t="n"/>
      <c r="H900" s="4" t="n"/>
    </row>
    <row r="901">
      <c r="A901" s="2" t="n"/>
      <c r="D901" s="4" t="n"/>
      <c r="F901" s="4" t="n"/>
      <c r="H901" s="4" t="n"/>
    </row>
    <row r="902">
      <c r="A902" s="2" t="n"/>
      <c r="D902" s="4" t="n"/>
      <c r="F902" s="4" t="n"/>
      <c r="H902" s="4" t="n"/>
    </row>
    <row r="903">
      <c r="A903" s="2" t="n"/>
      <c r="D903" s="4" t="n"/>
      <c r="F903" s="4" t="n"/>
      <c r="H903" s="4" t="n"/>
    </row>
    <row r="904">
      <c r="A904" s="2" t="n"/>
      <c r="D904" s="4" t="n"/>
      <c r="F904" s="4" t="n"/>
      <c r="H904" s="4" t="n"/>
    </row>
    <row r="905">
      <c r="A905" s="2" t="n"/>
      <c r="D905" s="4" t="n"/>
      <c r="F905" s="4" t="n"/>
      <c r="H905" s="4" t="n"/>
    </row>
    <row r="906">
      <c r="A906" s="2" t="n"/>
      <c r="D906" s="4" t="n"/>
      <c r="F906" s="4" t="n"/>
      <c r="H906" s="4" t="n"/>
    </row>
    <row r="907">
      <c r="A907" s="2" t="n"/>
      <c r="D907" s="4" t="n"/>
      <c r="F907" s="4" t="n"/>
      <c r="H907" s="4" t="n"/>
    </row>
    <row r="908">
      <c r="A908" s="2" t="n"/>
      <c r="D908" s="4" t="n"/>
      <c r="F908" s="4" t="n"/>
      <c r="H908" s="4" t="n"/>
    </row>
    <row r="909">
      <c r="A909" s="2" t="n"/>
      <c r="D909" s="4" t="n"/>
      <c r="F909" s="4" t="n"/>
      <c r="H909" s="4" t="n"/>
    </row>
    <row r="910">
      <c r="A910" s="2" t="n"/>
      <c r="D910" s="4" t="n"/>
      <c r="F910" s="4" t="n"/>
      <c r="H910" s="4" t="n"/>
    </row>
    <row r="911">
      <c r="A911" s="2" t="n"/>
      <c r="D911" s="4" t="n"/>
      <c r="F911" s="4" t="n"/>
      <c r="H911" s="4" t="n"/>
    </row>
    <row r="912">
      <c r="A912" s="2" t="n"/>
      <c r="D912" s="4" t="n"/>
      <c r="F912" s="4" t="n"/>
      <c r="H912" s="4" t="n"/>
    </row>
    <row r="913">
      <c r="A913" s="2" t="n"/>
      <c r="D913" s="4" t="n"/>
      <c r="F913" s="4" t="n"/>
      <c r="H913" s="4" t="n"/>
    </row>
    <row r="914">
      <c r="A914" s="2" t="n"/>
      <c r="D914" s="4" t="n"/>
      <c r="F914" s="4" t="n"/>
      <c r="H914" s="4" t="n"/>
    </row>
    <row r="915">
      <c r="A915" s="2" t="n"/>
      <c r="D915" s="4" t="n"/>
      <c r="F915" s="4" t="n"/>
      <c r="H915" s="4" t="n"/>
    </row>
    <row r="916">
      <c r="A916" s="2" t="n"/>
      <c r="D916" s="4" t="n"/>
      <c r="F916" s="4" t="n"/>
      <c r="H916" s="4" t="n"/>
    </row>
    <row r="917">
      <c r="A917" s="2" t="n"/>
      <c r="D917" s="4" t="n"/>
      <c r="F917" s="4" t="n"/>
      <c r="H917" s="4" t="n"/>
    </row>
    <row r="918">
      <c r="A918" s="2" t="n"/>
      <c r="D918" s="4" t="n"/>
      <c r="F918" s="4" t="n"/>
      <c r="H918" s="4" t="n"/>
    </row>
    <row r="919">
      <c r="A919" s="2" t="n"/>
      <c r="D919" s="4" t="n"/>
      <c r="F919" s="4" t="n"/>
      <c r="H919" s="4" t="n"/>
    </row>
    <row r="920">
      <c r="A920" s="2" t="n"/>
      <c r="D920" s="4" t="n"/>
      <c r="F920" s="4" t="n"/>
      <c r="H920" s="4" t="n"/>
    </row>
    <row r="921">
      <c r="A921" s="2" t="n"/>
      <c r="D921" s="4" t="n"/>
      <c r="F921" s="4" t="n"/>
      <c r="H921" s="4" t="n"/>
    </row>
    <row r="922">
      <c r="A922" s="2" t="n"/>
      <c r="D922" s="4" t="n"/>
      <c r="F922" s="4" t="n"/>
      <c r="H922" s="4" t="n"/>
    </row>
    <row r="923">
      <c r="A923" s="2" t="n"/>
      <c r="D923" s="4" t="n"/>
      <c r="F923" s="4" t="n"/>
      <c r="H923" s="4" t="n"/>
    </row>
    <row r="924">
      <c r="A924" s="2" t="n"/>
      <c r="D924" s="4" t="n"/>
      <c r="F924" s="4" t="n"/>
      <c r="H924" s="4" t="n"/>
    </row>
    <row r="925">
      <c r="A925" s="2" t="n"/>
      <c r="D925" s="4" t="n"/>
      <c r="F925" s="4" t="n"/>
      <c r="H925" s="4" t="n"/>
    </row>
    <row r="926">
      <c r="A926" s="2" t="n"/>
      <c r="D926" s="4" t="n"/>
      <c r="F926" s="4" t="n"/>
      <c r="H926" s="4" t="n"/>
    </row>
    <row r="927">
      <c r="A927" s="2" t="n"/>
      <c r="D927" s="4" t="n"/>
      <c r="F927" s="4" t="n"/>
      <c r="H927" s="4" t="n"/>
    </row>
    <row r="928">
      <c r="A928" s="2" t="n"/>
      <c r="D928" s="4" t="n"/>
      <c r="F928" s="4" t="n"/>
      <c r="H928" s="4" t="n"/>
    </row>
    <row r="929">
      <c r="A929" s="2" t="n"/>
      <c r="D929" s="4" t="n"/>
      <c r="F929" s="4" t="n"/>
      <c r="H929" s="4" t="n"/>
    </row>
    <row r="930">
      <c r="A930" s="2" t="n"/>
      <c r="D930" s="4" t="n"/>
      <c r="F930" s="4" t="n"/>
      <c r="H930" s="4" t="n"/>
    </row>
    <row r="931">
      <c r="A931" s="2" t="n"/>
      <c r="D931" s="4" t="n"/>
      <c r="F931" s="4" t="n"/>
      <c r="H931" s="4" t="n"/>
    </row>
    <row r="932">
      <c r="A932" s="2" t="n"/>
      <c r="D932" s="4" t="n"/>
      <c r="F932" s="4" t="n"/>
      <c r="H932" s="4" t="n"/>
    </row>
    <row r="933">
      <c r="A933" s="2" t="n"/>
      <c r="D933" s="4" t="n"/>
      <c r="F933" s="4" t="n"/>
      <c r="H933" s="4" t="n"/>
    </row>
    <row r="934">
      <c r="A934" s="2" t="n"/>
      <c r="D934" s="4" t="n"/>
      <c r="F934" s="4" t="n"/>
      <c r="H934" s="4" t="n"/>
    </row>
    <row r="935">
      <c r="A935" s="2" t="n"/>
      <c r="D935" s="4" t="n"/>
      <c r="F935" s="4" t="n"/>
      <c r="H935" s="4" t="n"/>
    </row>
    <row r="936">
      <c r="A936" s="2" t="n"/>
      <c r="D936" s="4" t="n"/>
      <c r="F936" s="4" t="n"/>
      <c r="H936" s="4" t="n"/>
    </row>
    <row r="937">
      <c r="A937" s="2" t="n"/>
      <c r="D937" s="4" t="n"/>
      <c r="F937" s="4" t="n"/>
      <c r="H937" s="4" t="n"/>
    </row>
    <row r="938">
      <c r="A938" s="2" t="n"/>
      <c r="D938" s="4" t="n"/>
      <c r="F938" s="4" t="n"/>
      <c r="H938" s="4" t="n"/>
    </row>
    <row r="939">
      <c r="A939" s="2" t="n"/>
      <c r="D939" s="4" t="n"/>
      <c r="F939" s="4" t="n"/>
      <c r="H939" s="4" t="n"/>
    </row>
    <row r="940">
      <c r="A940" s="2" t="n"/>
      <c r="D940" s="4" t="n"/>
      <c r="F940" s="4" t="n"/>
      <c r="H940" s="4" t="n"/>
    </row>
    <row r="941">
      <c r="A941" s="2" t="n"/>
      <c r="D941" s="4" t="n"/>
      <c r="F941" s="4" t="n"/>
      <c r="H941" s="4" t="n"/>
    </row>
    <row r="942">
      <c r="A942" s="3" t="n"/>
      <c r="D942" s="4" t="n"/>
      <c r="F942" s="4" t="n"/>
      <c r="H942" s="4" t="n"/>
    </row>
    <row r="943" ht="14.45" customHeight="1" s="99">
      <c r="D943" s="4" t="n"/>
      <c r="F943" s="4" t="n"/>
      <c r="H943" s="4" t="n"/>
    </row>
    <row r="944" ht="14.45" customHeight="1" s="99">
      <c r="D944" s="4" t="n"/>
      <c r="F944" s="4" t="n"/>
      <c r="H944" s="4" t="n"/>
    </row>
    <row r="945" ht="14.45" customHeight="1" s="99">
      <c r="D945" s="4" t="n"/>
      <c r="F945" s="4" t="n"/>
      <c r="H945" s="4" t="n"/>
    </row>
    <row r="946" ht="14.45" customHeight="1" s="99">
      <c r="D946" s="4" t="n"/>
      <c r="F946" s="4" t="n"/>
      <c r="H946" s="4" t="n"/>
    </row>
    <row r="947" ht="14.45" customHeight="1" s="99">
      <c r="D947" s="4" t="n"/>
      <c r="F947" s="4" t="n"/>
      <c r="H947" s="4" t="n"/>
    </row>
    <row r="948" ht="14.45" customHeight="1" s="99">
      <c r="D948" s="4" t="n"/>
      <c r="F948" s="4" t="n"/>
      <c r="H948" s="4" t="n"/>
    </row>
    <row r="949" ht="14.45" customHeight="1" s="99">
      <c r="D949" s="4" t="n"/>
      <c r="F949" s="4" t="n"/>
      <c r="H949" s="4" t="n"/>
    </row>
    <row r="950" ht="14.45" customHeight="1" s="99">
      <c r="D950" s="4" t="n"/>
      <c r="F950" s="4" t="n"/>
      <c r="H950" s="4" t="n"/>
    </row>
    <row r="951" ht="14.45" customHeight="1" s="99">
      <c r="D951" s="4" t="n"/>
      <c r="F951" s="4" t="n"/>
      <c r="H951" s="4" t="n"/>
    </row>
    <row r="952" ht="14.45" customHeight="1" s="99">
      <c r="D952" s="4" t="n"/>
      <c r="F952" s="4" t="n"/>
      <c r="H952" s="4" t="n"/>
    </row>
    <row r="953" ht="14.45" customHeight="1" s="99">
      <c r="D953" s="4" t="n"/>
      <c r="F953" s="4" t="n"/>
      <c r="H953" s="4" t="n"/>
    </row>
    <row r="954" ht="14.45" customHeight="1" s="99">
      <c r="D954" s="4" t="n"/>
      <c r="F954" s="4" t="n"/>
      <c r="H954" s="4" t="n"/>
    </row>
    <row r="955" ht="14.45" customHeight="1" s="99">
      <c r="D955" s="4" t="n"/>
      <c r="F955" s="4" t="n"/>
      <c r="H955" s="4" t="n"/>
    </row>
    <row r="956" ht="14.45" customHeight="1" s="99">
      <c r="D956" s="4" t="n"/>
      <c r="F956" s="4" t="n"/>
      <c r="H956" s="4" t="n"/>
    </row>
    <row r="957" ht="14.45" customHeight="1" s="99">
      <c r="D957" s="4" t="n"/>
      <c r="F957" s="4" t="n"/>
      <c r="H957" s="4" t="n"/>
    </row>
    <row r="958" ht="14.45" customHeight="1" s="99">
      <c r="D958" s="4" t="n"/>
      <c r="F958" s="4" t="n"/>
      <c r="H958" s="4" t="n"/>
    </row>
    <row r="959" ht="14.45" customHeight="1" s="99">
      <c r="D959" s="4" t="n"/>
      <c r="F959" s="4" t="n"/>
      <c r="H959" s="4" t="n"/>
    </row>
    <row r="960" ht="14.45" customHeight="1" s="99">
      <c r="D960" s="4" t="n"/>
      <c r="F960" s="4" t="n"/>
      <c r="H960" s="4" t="n"/>
    </row>
    <row r="961" ht="14.45" customHeight="1" s="99">
      <c r="D961" s="4" t="n"/>
      <c r="F961" s="4" t="n"/>
      <c r="H961" s="4" t="n"/>
    </row>
    <row r="962" ht="14.45" customHeight="1" s="99">
      <c r="D962" s="4" t="n"/>
      <c r="F962" s="4" t="n"/>
      <c r="H962" s="4" t="n"/>
    </row>
    <row r="963" ht="14.45" customHeight="1" s="99">
      <c r="D963" s="4" t="n"/>
      <c r="F963" s="4" t="n"/>
      <c r="H963" s="4" t="n"/>
    </row>
    <row r="964" ht="14.45" customHeight="1" s="99">
      <c r="D964" s="4" t="n"/>
      <c r="F964" s="4" t="n"/>
      <c r="H964" s="4" t="n"/>
    </row>
    <row r="965" ht="14.45" customHeight="1" s="99">
      <c r="D965" s="4" t="n"/>
      <c r="F965" s="4" t="n"/>
      <c r="H965" s="4" t="n"/>
    </row>
    <row r="966" ht="14.45" customHeight="1" s="99">
      <c r="D966" s="4" t="n"/>
      <c r="F966" s="4" t="n"/>
      <c r="H966" s="4" t="n"/>
    </row>
    <row r="967" ht="14.45" customHeight="1" s="99">
      <c r="D967" s="4" t="n"/>
      <c r="F967" s="4" t="n"/>
      <c r="H967" s="4" t="n"/>
    </row>
    <row r="968" ht="14.45" customHeight="1" s="99">
      <c r="D968" s="4" t="n"/>
      <c r="F968" s="4" t="n"/>
      <c r="H968" s="4" t="n"/>
    </row>
    <row r="969" ht="14.45" customHeight="1" s="99">
      <c r="D969" s="4" t="n"/>
      <c r="F969" s="4" t="n"/>
      <c r="H969" s="4" t="n"/>
    </row>
    <row r="970" ht="14.45" customHeight="1" s="99">
      <c r="D970" s="4" t="n"/>
      <c r="F970" s="4" t="n"/>
      <c r="H970" s="4" t="n"/>
    </row>
    <row r="971" ht="14.45" customHeight="1" s="99">
      <c r="D971" s="4" t="n"/>
      <c r="F971" s="4" t="n"/>
      <c r="H971" s="4" t="n"/>
    </row>
    <row r="972" ht="14.45" customHeight="1" s="99">
      <c r="D972" s="4" t="n"/>
      <c r="F972" s="4" t="n"/>
      <c r="H972" s="4" t="n"/>
    </row>
    <row r="973" ht="14.45" customHeight="1" s="99">
      <c r="D973" s="4" t="n"/>
      <c r="F973" s="4" t="n"/>
      <c r="H973" s="4" t="n"/>
    </row>
    <row r="974" ht="14.45" customHeight="1" s="99">
      <c r="D974" s="4" t="n"/>
      <c r="F974" s="4" t="n"/>
      <c r="H974" s="4" t="n"/>
    </row>
    <row r="975" ht="14.45" customHeight="1" s="99">
      <c r="D975" s="4" t="n"/>
      <c r="F975" s="4" t="n"/>
      <c r="H975" s="4" t="n"/>
    </row>
    <row r="976" ht="14.45" customHeight="1" s="99">
      <c r="D976" s="4" t="n"/>
      <c r="F976" s="4" t="n"/>
      <c r="H976" s="4" t="n"/>
    </row>
    <row r="977" ht="14.45" customHeight="1" s="99">
      <c r="D977" s="4" t="n"/>
      <c r="F977" s="4" t="n"/>
      <c r="H977" s="4" t="n"/>
    </row>
    <row r="978" ht="14.45" customHeight="1" s="99">
      <c r="D978" s="4" t="n"/>
      <c r="F978" s="4" t="n"/>
      <c r="H978" s="4" t="n"/>
    </row>
    <row r="979" ht="14.45" customHeight="1" s="99">
      <c r="D979" s="4" t="n"/>
      <c r="F979" s="4" t="n"/>
      <c r="H979" s="4" t="n"/>
    </row>
    <row r="980" ht="14.45" customHeight="1" s="99">
      <c r="D980" s="4" t="n"/>
      <c r="F980" s="4" t="n"/>
      <c r="H980" s="4" t="n"/>
    </row>
    <row r="981" ht="14.45" customHeight="1" s="99">
      <c r="D981" s="4" t="n"/>
      <c r="F981" s="4" t="n"/>
      <c r="H981" s="4" t="n"/>
    </row>
    <row r="982" ht="14.45" customHeight="1" s="99">
      <c r="D982" s="4" t="n"/>
      <c r="F982" s="4" t="n"/>
      <c r="H982" s="4" t="n"/>
    </row>
    <row r="983" ht="14.45" customHeight="1" s="99">
      <c r="D983" s="4" t="n"/>
      <c r="F983" s="4" t="n"/>
      <c r="H983" s="4" t="n"/>
    </row>
    <row r="984" ht="14.45" customHeight="1" s="99">
      <c r="D984" s="4" t="n"/>
      <c r="F984" s="4" t="n"/>
      <c r="H984" s="4" t="n"/>
    </row>
    <row r="985" ht="14.45" customHeight="1" s="99">
      <c r="D985" s="4" t="n"/>
      <c r="F985" s="4" t="n"/>
      <c r="H985" s="4" t="n"/>
    </row>
    <row r="986" ht="14.45" customHeight="1" s="99">
      <c r="D986" s="4" t="n"/>
      <c r="F986" s="4" t="n"/>
      <c r="H986" s="4" t="n"/>
    </row>
    <row r="987" ht="14.45" customHeight="1" s="99">
      <c r="D987" s="4" t="n"/>
      <c r="F987" s="4" t="n"/>
      <c r="H987" s="4" t="n"/>
    </row>
    <row r="988" ht="14.45" customHeight="1" s="99">
      <c r="D988" s="4" t="n"/>
      <c r="F988" s="4" t="n"/>
      <c r="H988" s="4" t="n"/>
    </row>
    <row r="989" ht="14.45" customHeight="1" s="99">
      <c r="D989" s="4" t="n"/>
      <c r="F989" s="4" t="n"/>
      <c r="H989" s="4" t="n"/>
    </row>
    <row r="990" ht="14.45" customHeight="1" s="99">
      <c r="D990" s="4" t="n"/>
      <c r="F990" s="4" t="n"/>
      <c r="H990" s="4" t="n"/>
    </row>
    <row r="991" ht="14.45" customHeight="1" s="99">
      <c r="D991" s="4" t="n"/>
      <c r="F991" s="4" t="n"/>
      <c r="H991" s="4" t="n"/>
    </row>
    <row r="992" ht="14.45" customHeight="1" s="99">
      <c r="D992" s="4" t="n"/>
      <c r="F992" s="4" t="n"/>
      <c r="H992" s="4" t="n"/>
    </row>
    <row r="993" ht="14.45" customHeight="1" s="99">
      <c r="D993" s="4" t="n"/>
      <c r="F993" s="4" t="n"/>
      <c r="H993" s="4" t="n"/>
    </row>
    <row r="994" ht="14.45" customHeight="1" s="99">
      <c r="D994" s="4" t="n"/>
      <c r="F994" s="4" t="n"/>
      <c r="H994" s="4" t="n"/>
    </row>
    <row r="995" ht="14.45" customHeight="1" s="99">
      <c r="D995" s="4" t="n"/>
      <c r="F995" s="4" t="n"/>
      <c r="H995" s="4" t="n"/>
    </row>
    <row r="996" ht="14.45" customHeight="1" s="99">
      <c r="D996" s="4" t="n"/>
      <c r="F996" s="4" t="n"/>
      <c r="H996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workbookViewId="0">
      <pane xSplit="2" ySplit="2" topLeftCell="I30" activePane="bottomRight" state="frozen"/>
      <selection pane="topRight" activeCell="C1" sqref="C1"/>
      <selection pane="bottomLeft" activeCell="A3" sqref="A3"/>
      <selection pane="bottomRight" activeCell="Q22" sqref="Q22"/>
    </sheetView>
  </sheetViews>
  <sheetFormatPr baseColWidth="8" defaultColWidth="14.42578125" defaultRowHeight="15" customHeight="1"/>
  <cols>
    <col width="7.7109375" customWidth="1" style="99" min="1" max="1"/>
    <col width="24.140625" customWidth="1" style="99" min="2" max="2"/>
    <col width="20.28515625" customWidth="1" style="99" min="3" max="3"/>
    <col width="23.28515625" customWidth="1" style="99" min="4" max="4"/>
    <col width="21.140625" customWidth="1" style="99" min="5" max="5"/>
    <col width="18.42578125" customWidth="1" style="99" min="6" max="6"/>
    <col width="21.28515625" customWidth="1" style="99" min="7" max="7"/>
    <col width="19.140625" customWidth="1" style="99" min="8" max="8"/>
    <col width="19.42578125" customWidth="1" style="99" min="9" max="9"/>
    <col width="33.28515625" customWidth="1" style="99" min="10" max="10"/>
    <col width="18.140625" customWidth="1" style="99" min="11" max="11"/>
    <col width="23.28515625" customWidth="1" style="99" min="12" max="18"/>
    <col width="42.42578125" customWidth="1" style="99" min="19" max="19"/>
    <col width="12.42578125" customWidth="1" style="99" min="20" max="20"/>
  </cols>
  <sheetData>
    <row r="1" ht="16.5" customHeight="1" s="99">
      <c r="A1" s="91" t="n"/>
      <c r="B1" s="91" t="inlineStr">
        <is>
          <t>JUN 2026 EXPENSES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90" t="n"/>
    </row>
    <row r="2" ht="58.5" customHeight="1" s="99">
      <c r="A2" s="18" t="inlineStr">
        <is>
          <t>FLAT #</t>
        </is>
      </c>
      <c r="B2" s="18" t="n">
        <v>1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42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VARIABLE EXPENSE = 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POLYCARBONATE PROJECT CANCELLATION CREDIT AMOUNT</t>
        </is>
      </c>
      <c r="O2" s="18" t="inlineStr">
        <is>
          <t>SHIFTING FEE</t>
        </is>
      </c>
      <c r="P2" s="18" t="inlineStr">
        <is>
          <t>GYM USAGE FEE</t>
        </is>
      </c>
      <c r="Q2" s="18" t="inlineStr">
        <is>
          <t>LATE PAYMENT FINE</t>
        </is>
      </c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43" t="n"/>
      <c r="G3" s="20" t="n"/>
      <c r="H3" s="20" t="n">
        <v>1</v>
      </c>
      <c r="I3" s="20">
        <f>H3*$T$7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44" t="n"/>
      <c r="G4" s="22" t="n"/>
      <c r="H4" s="22" t="n">
        <v>1</v>
      </c>
      <c r="I4" s="22">
        <f>H4*$T$7</f>
        <v/>
      </c>
      <c r="J4" s="22" t="n"/>
      <c r="K4" s="22" t="n"/>
      <c r="L4" s="26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'ANNUAL-EXPENSE-DETAILS'!V5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43" t="n"/>
      <c r="G5" s="20" t="n"/>
      <c r="H5" s="20" t="n">
        <v>1</v>
      </c>
      <c r="I5" s="20">
        <f>H5*$T$7</f>
        <v/>
      </c>
      <c r="J5" s="20" t="n"/>
      <c r="K5" s="20" t="n"/>
      <c r="L5" s="25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'ANNUAL-EXPENSE-DETAILS'!U5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4356.5</v>
      </c>
      <c r="D6" s="22">
        <f>SUM($C$3:$C$5)/64</f>
        <v/>
      </c>
      <c r="E6" s="22">
        <f>C6+D6</f>
        <v/>
      </c>
      <c r="F6" s="44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/>
      <c r="O6" s="22" t="n">
        <v>0</v>
      </c>
      <c r="P6" s="22" t="n">
        <v>0</v>
      </c>
      <c r="Q6" s="22" t="n">
        <v>1000</v>
      </c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10484</v>
      </c>
      <c r="D7" s="20">
        <f>SUM($C$3:$C$5)/64</f>
        <v/>
      </c>
      <c r="E7" s="20">
        <f>C7+D7</f>
        <v/>
      </c>
      <c r="F7" s="43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/>
      <c r="O7" s="20" t="n">
        <v>0</v>
      </c>
      <c r="P7" s="20" t="n">
        <v>0</v>
      </c>
      <c r="Q7" s="20" t="n">
        <v>1000</v>
      </c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10870</v>
      </c>
      <c r="D8" s="22">
        <f>SUM($C$3:$C$5)/64</f>
        <v/>
      </c>
      <c r="E8" s="22">
        <f>C8+D8</f>
        <v/>
      </c>
      <c r="F8" s="44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/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4632</v>
      </c>
      <c r="D9" s="20">
        <f>SUM($C$3:$C$5)/64</f>
        <v/>
      </c>
      <c r="E9" s="20">
        <f>C9+D9</f>
        <v/>
      </c>
      <c r="F9" s="43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/>
      <c r="O9" s="20" t="n">
        <v>0</v>
      </c>
      <c r="P9" s="20" t="n">
        <v>0</v>
      </c>
      <c r="Q9" s="20" t="n">
        <v>1000</v>
      </c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3771</v>
      </c>
      <c r="D10" s="22">
        <f>SUM($C$3:$C$5)/64</f>
        <v/>
      </c>
      <c r="E10" s="22">
        <f>C10+D10</f>
        <v/>
      </c>
      <c r="F10" s="44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/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6789.5</v>
      </c>
      <c r="D11" s="20">
        <f>SUM($C$3:$C$5)/64</f>
        <v/>
      </c>
      <c r="E11" s="20">
        <f>C11+D11</f>
        <v/>
      </c>
      <c r="F11" s="43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/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'ANNUAL-EXPENSE-DETAILS'!V5</f>
        <v/>
      </c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59</v>
      </c>
      <c r="D12" s="22">
        <f>SUM($C$3:$C$5)/64</f>
        <v/>
      </c>
      <c r="E12" s="22">
        <f>C12+D12</f>
        <v/>
      </c>
      <c r="F12" s="44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/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3714</v>
      </c>
      <c r="D13" s="20">
        <f>SUM($C$3:$C$5)/64</f>
        <v/>
      </c>
      <c r="E13" s="20">
        <f>C13+D13</f>
        <v/>
      </c>
      <c r="F13" s="43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/>
      <c r="O13" s="20" t="n">
        <v>0</v>
      </c>
      <c r="P13" s="20" t="n">
        <v>0</v>
      </c>
      <c r="Q13" s="20" t="n"/>
      <c r="R13" s="20">
        <f>SUM(J13:Q13)*$B$2</f>
        <v/>
      </c>
      <c r="S13" s="20" t="n"/>
      <c r="T13" s="20" t="n"/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2051</v>
      </c>
      <c r="D14" s="22">
        <f>SUM($C$3:$C$5)/64</f>
        <v/>
      </c>
      <c r="E14" s="22">
        <f>C14+D14</f>
        <v/>
      </c>
      <c r="F14" s="44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/>
      <c r="O14" s="22" t="n">
        <v>0</v>
      </c>
      <c r="P14" s="22" t="n">
        <v>0</v>
      </c>
      <c r="Q14" s="22" t="n"/>
      <c r="R14" s="22">
        <f>SUM(J14:Q14)*$B$2</f>
        <v/>
      </c>
      <c r="S14" s="22" t="inlineStr">
        <is>
          <t>BALANCE IN ACCOUNT ON 30-JUN-2023</t>
        </is>
      </c>
      <c r="T14" s="22" t="n"/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9535</v>
      </c>
      <c r="D15" s="20">
        <f>SUM($C$3:$C$5)/64</f>
        <v/>
      </c>
      <c r="E15" s="20">
        <f>C15+D15</f>
        <v/>
      </c>
      <c r="F15" s="43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/>
      <c r="O15" s="20" t="n">
        <v>0</v>
      </c>
      <c r="P15" s="20" t="n">
        <v>0</v>
      </c>
      <c r="Q15" s="20" t="n">
        <v>1000</v>
      </c>
      <c r="R15" s="20">
        <f>SUM(J15:Q15)*$B$2</f>
        <v/>
      </c>
      <c r="S15" s="20" t="inlineStr">
        <is>
          <t>TOTAL NON MAINTENANCE CORPUS COLLECTION</t>
        </is>
      </c>
      <c r="T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874</v>
      </c>
      <c r="D16" s="22">
        <f>SUM($C$3:$C$5)/64</f>
        <v/>
      </c>
      <c r="E16" s="22">
        <f>C16+D16</f>
        <v/>
      </c>
      <c r="F16" s="44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/>
      <c r="O16" s="22" t="n">
        <v>0</v>
      </c>
      <c r="P16" s="22" t="n">
        <v>0</v>
      </c>
      <c r="Q16" s="22" t="n">
        <v>1000</v>
      </c>
      <c r="R16" s="22">
        <f>SUM(J16:Q16)*$B$2</f>
        <v/>
      </c>
      <c r="S16" s="22" t="inlineStr">
        <is>
          <t>TOTAL FD DONE</t>
        </is>
      </c>
      <c r="T16" s="22" t="n"/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30.5</v>
      </c>
      <c r="D17" s="20">
        <f>SUM($C$3:$C$5)/64</f>
        <v/>
      </c>
      <c r="E17" s="20">
        <f>C17+D17</f>
        <v/>
      </c>
      <c r="F17" s="43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/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AMOUNT AVAILABLE FOR NON MAINTENANCE CORPUS</t>
        </is>
      </c>
      <c r="T17" s="20">
        <f>T15-T16</f>
        <v/>
      </c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2465</v>
      </c>
      <c r="D18" s="22">
        <f>SUM($C$3:$C$5)/64</f>
        <v/>
      </c>
      <c r="E18" s="22">
        <f>C18+D18</f>
        <v/>
      </c>
      <c r="F18" s="44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/>
      <c r="O18" s="22" t="n">
        <v>0</v>
      </c>
      <c r="P18" s="22" t="n">
        <v>0</v>
      </c>
      <c r="Q18" s="22" t="n">
        <v>1000</v>
      </c>
      <c r="R18" s="22">
        <f>SUM(J18:Q18)*$B$2</f>
        <v/>
      </c>
      <c r="S18" s="22" t="inlineStr">
        <is>
          <t>AMOUNT AVAILABLE FOR MAINTENANCE</t>
        </is>
      </c>
      <c r="T18" s="22">
        <f>T14-T17</f>
        <v/>
      </c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492.5</v>
      </c>
      <c r="D19" s="20">
        <f>SUM($C$3:$C$5)/64</f>
        <v/>
      </c>
      <c r="E19" s="20">
        <f>C19+D19</f>
        <v/>
      </c>
      <c r="F19" s="43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/>
      <c r="O19" s="20" t="n">
        <v>0</v>
      </c>
      <c r="P19" s="20" t="n">
        <v>0</v>
      </c>
      <c r="Q19" s="20" t="n">
        <v>1000</v>
      </c>
      <c r="R19" s="20">
        <f>SUM(J19:Q19)*$B$2</f>
        <v/>
      </c>
      <c r="S19" s="20" t="n"/>
      <c r="T19" s="20" t="n"/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3827</v>
      </c>
      <c r="D20" s="22">
        <f>SUM($C$3:$C$5)/64</f>
        <v/>
      </c>
      <c r="E20" s="22">
        <f>C20+D20</f>
        <v/>
      </c>
      <c r="F20" s="44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/>
      <c r="O20" s="22" t="n">
        <v>0</v>
      </c>
      <c r="P20" s="22" t="n">
        <v>0</v>
      </c>
      <c r="Q20" s="22" t="n"/>
      <c r="R20" s="22">
        <f>SUM(J20:Q20)*$B$2</f>
        <v/>
      </c>
      <c r="S20" s="22" t="n"/>
      <c r="T20" s="22" t="n"/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14264</v>
      </c>
      <c r="D21" s="20">
        <f>SUM($C$3:$C$5)/64</f>
        <v/>
      </c>
      <c r="E21" s="20">
        <f>C21+D21</f>
        <v/>
      </c>
      <c r="F21" s="43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/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11858</v>
      </c>
      <c r="D22" s="22">
        <f>SUM($C$3:$C$5)/64</f>
        <v/>
      </c>
      <c r="E22" s="22">
        <f>C22+D22</f>
        <v/>
      </c>
      <c r="F22" s="44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/>
      <c r="O22" s="22" t="n">
        <v>0</v>
      </c>
      <c r="P22" s="22" t="n">
        <v>0</v>
      </c>
      <c r="Q22" s="22" t="n">
        <v>1000</v>
      </c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16175.5</v>
      </c>
      <c r="D23" s="20">
        <f>SUM($C$3:$C$5)/64</f>
        <v/>
      </c>
      <c r="E23" s="20">
        <f>C23+D23</f>
        <v/>
      </c>
      <c r="F23" s="43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/>
      <c r="O23" s="20" t="n">
        <v>0</v>
      </c>
      <c r="P23" s="20" t="n">
        <v>0</v>
      </c>
      <c r="Q23" s="20" t="n">
        <v>1000</v>
      </c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11046.5</v>
      </c>
      <c r="D24" s="22">
        <f>SUM($C$3:$C$5)/64</f>
        <v/>
      </c>
      <c r="E24" s="22">
        <f>C24+D24</f>
        <v/>
      </c>
      <c r="F24" s="44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/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19074</v>
      </c>
      <c r="D25" s="20">
        <f>SUM($C$3:$C$5)/64</f>
        <v/>
      </c>
      <c r="E25" s="20">
        <f>C25+D25</f>
        <v/>
      </c>
      <c r="F25" s="43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/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9713</v>
      </c>
      <c r="D26" s="22">
        <f>SUM($C$3:$C$5)/64</f>
        <v/>
      </c>
      <c r="E26" s="22">
        <f>C26+D26</f>
        <v/>
      </c>
      <c r="F26" s="44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/>
      <c r="O26" s="22" t="n">
        <v>0</v>
      </c>
      <c r="P26" s="22" t="n">
        <v>0</v>
      </c>
      <c r="Q26" s="22" t="n">
        <v>1000</v>
      </c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6507.5</v>
      </c>
      <c r="D27" s="20">
        <f>SUM($C$3:$C$5)/64</f>
        <v/>
      </c>
      <c r="E27" s="20">
        <f>C27+D27</f>
        <v/>
      </c>
      <c r="F27" s="43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/>
      <c r="O27" s="20" t="n">
        <v>0</v>
      </c>
      <c r="P27" s="20" t="n">
        <v>0</v>
      </c>
      <c r="Q27" s="20" t="n">
        <v>1000</v>
      </c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1733.5</v>
      </c>
      <c r="D28" s="22">
        <f>SUM($C$3:$C$5)/64</f>
        <v/>
      </c>
      <c r="E28" s="22">
        <f>C28+D28</f>
        <v/>
      </c>
      <c r="F28" s="44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/>
      <c r="O28" s="22" t="n">
        <v>0</v>
      </c>
      <c r="P28" s="22" t="n">
        <v>0</v>
      </c>
      <c r="Q28" s="22" t="n">
        <v>1000</v>
      </c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3464.5</v>
      </c>
      <c r="D29" s="20">
        <f>SUM($C$3:$C$5)/64</f>
        <v/>
      </c>
      <c r="E29" s="20">
        <f>C29+D29</f>
        <v/>
      </c>
      <c r="F29" s="43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/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8075.5</v>
      </c>
      <c r="D30" s="22">
        <f>SUM($C$3:$C$5)/64</f>
        <v/>
      </c>
      <c r="E30" s="22">
        <f>C30+D30</f>
        <v/>
      </c>
      <c r="F30" s="44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/>
      <c r="O30" s="22" t="n">
        <v>0</v>
      </c>
      <c r="P30" s="22" t="n">
        <v>0</v>
      </c>
      <c r="Q30" s="22" t="n">
        <v>1000</v>
      </c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2618.5</v>
      </c>
      <c r="D31" s="20">
        <f>SUM($C$3:$C$5)/64</f>
        <v/>
      </c>
      <c r="E31" s="20">
        <f>C31+D31</f>
        <v/>
      </c>
      <c r="F31" s="43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/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1174.5</v>
      </c>
      <c r="D32" s="22">
        <f>SUM($C$3:$C$5)/64</f>
        <v/>
      </c>
      <c r="E32" s="22">
        <f>C32+D32</f>
        <v/>
      </c>
      <c r="F32" s="44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/>
      <c r="O32" s="22" t="n">
        <v>0</v>
      </c>
      <c r="P32" s="22" t="n">
        <v>0</v>
      </c>
      <c r="Q32" s="22" t="n">
        <v>1000</v>
      </c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11170</v>
      </c>
      <c r="D33" s="20">
        <f>SUM($C$3:$C$5)/64</f>
        <v/>
      </c>
      <c r="E33" s="20">
        <f>C33+D33</f>
        <v/>
      </c>
      <c r="F33" s="43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/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4030.5</v>
      </c>
      <c r="D34" s="22">
        <f>SUM($C$3:$C$5)/64</f>
        <v/>
      </c>
      <c r="E34" s="22">
        <f>C34+D34</f>
        <v/>
      </c>
      <c r="F34" s="44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/>
      <c r="O34" s="22" t="n">
        <v>0</v>
      </c>
      <c r="P34" s="22" t="n">
        <v>0</v>
      </c>
      <c r="Q34" s="22" t="n">
        <v>1000</v>
      </c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11722</v>
      </c>
      <c r="D35" s="20">
        <f>SUM($C$3:$C$5)/64</f>
        <v/>
      </c>
      <c r="E35" s="20">
        <f>C35+D35</f>
        <v/>
      </c>
      <c r="F35" s="43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/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24.5</v>
      </c>
      <c r="D36" s="22">
        <f>SUM($C$3:$C$5)/64</f>
        <v/>
      </c>
      <c r="E36" s="22">
        <f>C36+D36</f>
        <v/>
      </c>
      <c r="F36" s="44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/>
      <c r="O36" s="22" t="n">
        <v>0</v>
      </c>
      <c r="P36" s="22" t="n">
        <v>0</v>
      </c>
      <c r="Q36" s="22" t="n">
        <v>1000</v>
      </c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3535</v>
      </c>
      <c r="D37" s="20">
        <f>SUM($C$3:$C$5)/64</f>
        <v/>
      </c>
      <c r="E37" s="20">
        <f>C37+D37</f>
        <v/>
      </c>
      <c r="F37" s="43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/>
      <c r="O37" s="20" t="n">
        <v>0</v>
      </c>
      <c r="P37" s="20" t="n">
        <v>0</v>
      </c>
      <c r="Q37" s="20" t="n">
        <v>1000</v>
      </c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44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/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23292.5</v>
      </c>
      <c r="D39" s="20">
        <f>SUM($C$3:$C$5)/64</f>
        <v/>
      </c>
      <c r="E39" s="20">
        <f>C39+D39</f>
        <v/>
      </c>
      <c r="F39" s="43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/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4572</v>
      </c>
      <c r="D40" s="22">
        <f>SUM($C$3:$C$5)/64</f>
        <v/>
      </c>
      <c r="E40" s="22">
        <f>C40+D40</f>
        <v/>
      </c>
      <c r="F40" s="44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/>
      <c r="O40" s="22" t="n">
        <v>0</v>
      </c>
      <c r="P40" s="22" t="n">
        <v>0</v>
      </c>
      <c r="Q40" s="22" t="n">
        <v>1000</v>
      </c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11998</v>
      </c>
      <c r="D41" s="20">
        <f>SUM($C$3:$C$5)/64</f>
        <v/>
      </c>
      <c r="E41" s="20">
        <f>C41+D41</f>
        <v/>
      </c>
      <c r="F41" s="43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/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2255</v>
      </c>
      <c r="D42" s="22">
        <f>SUM($C$3:$C$5)/64</f>
        <v/>
      </c>
      <c r="E42" s="22">
        <f>C42+D42</f>
        <v/>
      </c>
      <c r="F42" s="44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/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1.5</v>
      </c>
      <c r="D43" s="20">
        <f>SUM($C$3:$C$5)/64</f>
        <v/>
      </c>
      <c r="E43" s="20">
        <f>C43+D43</f>
        <v/>
      </c>
      <c r="F43" s="43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/>
      <c r="O43" s="20" t="n">
        <v>0</v>
      </c>
      <c r="P43" s="20" t="n">
        <v>0</v>
      </c>
      <c r="Q43" s="20" t="n">
        <v>1000</v>
      </c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4062</v>
      </c>
      <c r="D44" s="22">
        <f>SUM($C$3:$C$5)/64</f>
        <v/>
      </c>
      <c r="E44" s="22">
        <f>C44+D44</f>
        <v/>
      </c>
      <c r="F44" s="44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/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8814</v>
      </c>
      <c r="D45" s="20">
        <f>SUM($C$3:$C$5)/64</f>
        <v/>
      </c>
      <c r="E45" s="20">
        <f>C45+D45</f>
        <v/>
      </c>
      <c r="F45" s="43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/>
      <c r="O45" s="20" t="n">
        <v>0</v>
      </c>
      <c r="P45" s="20" t="n">
        <v>0</v>
      </c>
      <c r="Q45" s="20" t="n">
        <v>1000</v>
      </c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13391.5</v>
      </c>
      <c r="D46" s="22">
        <f>SUM($C$3:$C$5)/64</f>
        <v/>
      </c>
      <c r="E46" s="22">
        <f>C46+D46</f>
        <v/>
      </c>
      <c r="F46" s="44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/>
      <c r="O46" s="22" t="n">
        <v>0</v>
      </c>
      <c r="P46" s="22" t="n">
        <v>0</v>
      </c>
      <c r="Q46" s="22" t="n">
        <v>1000</v>
      </c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411</v>
      </c>
      <c r="D47" s="20">
        <f>SUM($C$3:$C$5)/64</f>
        <v/>
      </c>
      <c r="E47" s="20">
        <f>C47+D47</f>
        <v/>
      </c>
      <c r="F47" s="43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/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2050.5</v>
      </c>
      <c r="D48" s="22">
        <f>SUM($C$3:$C$5)/64</f>
        <v/>
      </c>
      <c r="E48" s="22">
        <f>C48+D48</f>
        <v/>
      </c>
      <c r="F48" s="44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/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2166</v>
      </c>
      <c r="D49" s="20">
        <f>SUM($C$3:$C$5)/64</f>
        <v/>
      </c>
      <c r="E49" s="20">
        <f>C49+D49</f>
        <v/>
      </c>
      <c r="F49" s="43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/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18</v>
      </c>
      <c r="D50" s="22">
        <f>SUM($C$3:$C$5)/64</f>
        <v/>
      </c>
      <c r="E50" s="22">
        <f>C50+D50</f>
        <v/>
      </c>
      <c r="F50" s="44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/>
      <c r="O50" s="22" t="n">
        <v>0</v>
      </c>
      <c r="P50" s="22" t="n">
        <v>0</v>
      </c>
      <c r="Q50" s="22" t="n">
        <v>1000</v>
      </c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5020.5</v>
      </c>
      <c r="D51" s="20">
        <f>SUM($C$3:$C$5)/64</f>
        <v/>
      </c>
      <c r="E51" s="20">
        <f>C51+D51</f>
        <v/>
      </c>
      <c r="F51" s="43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/>
      <c r="O51" s="20" t="n">
        <v>0</v>
      </c>
      <c r="P51" s="20" t="n">
        <v>0</v>
      </c>
      <c r="Q51" s="20" t="n">
        <v>1000</v>
      </c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14590.5</v>
      </c>
      <c r="D52" s="22">
        <f>SUM($C$3:$C$5)/64</f>
        <v/>
      </c>
      <c r="E52" s="22">
        <f>C52+D52</f>
        <v/>
      </c>
      <c r="F52" s="44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/>
      <c r="O52" s="22" t="n">
        <v>0</v>
      </c>
      <c r="P52" s="22" t="n">
        <v>0</v>
      </c>
      <c r="Q52" s="22" t="n">
        <v>1000</v>
      </c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2965</v>
      </c>
      <c r="D53" s="20">
        <f>SUM($C$3:$C$5)/64</f>
        <v/>
      </c>
      <c r="E53" s="20">
        <f>C53+D53</f>
        <v/>
      </c>
      <c r="F53" s="43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/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16605.5</v>
      </c>
      <c r="D54" s="22">
        <f>SUM($C$3:$C$5)/64</f>
        <v/>
      </c>
      <c r="E54" s="22">
        <f>C54+D54</f>
        <v/>
      </c>
      <c r="F54" s="44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/>
      <c r="O54" s="22" t="n">
        <v>0</v>
      </c>
      <c r="P54" s="22" t="n">
        <v>0</v>
      </c>
      <c r="Q54" s="22" t="n">
        <v>1000</v>
      </c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12601.5</v>
      </c>
      <c r="D55" s="20">
        <f>SUM($C$3:$C$5)/64</f>
        <v/>
      </c>
      <c r="E55" s="20">
        <f>C55+D55</f>
        <v/>
      </c>
      <c r="F55" s="43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/>
      <c r="O55" s="20" t="n">
        <v>0</v>
      </c>
      <c r="P55" s="20" t="n">
        <v>0</v>
      </c>
      <c r="Q55" s="20" t="n">
        <v>1000</v>
      </c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7247.5</v>
      </c>
      <c r="D56" s="22">
        <f>SUM($C$3:$C$5)/64</f>
        <v/>
      </c>
      <c r="E56" s="22">
        <f>C56+D56</f>
        <v/>
      </c>
      <c r="F56" s="44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/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344</v>
      </c>
      <c r="D57" s="20">
        <f>SUM($C$3:$C$5)/64</f>
        <v/>
      </c>
      <c r="E57" s="20">
        <f>C57+D57</f>
        <v/>
      </c>
      <c r="F57" s="43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/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3564</v>
      </c>
      <c r="D58" s="22">
        <f>SUM($C$3:$C$5)/64</f>
        <v/>
      </c>
      <c r="E58" s="22">
        <f>C58+D58</f>
        <v/>
      </c>
      <c r="F58" s="44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/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15798.5</v>
      </c>
      <c r="D59" s="20">
        <f>SUM($C$3:$C$5)/64</f>
        <v/>
      </c>
      <c r="E59" s="20">
        <f>C59+D59</f>
        <v/>
      </c>
      <c r="F59" s="43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/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13819.5</v>
      </c>
      <c r="D60" s="22">
        <f>SUM($C$3:$C$5)/64</f>
        <v/>
      </c>
      <c r="E60" s="22">
        <f>C60+D60</f>
        <v/>
      </c>
      <c r="F60" s="44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/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5048</v>
      </c>
      <c r="D61" s="20">
        <f>SUM($C$3:$C$5)/64</f>
        <v/>
      </c>
      <c r="E61" s="20">
        <f>C61+D61</f>
        <v/>
      </c>
      <c r="F61" s="43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/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615</v>
      </c>
      <c r="D62" s="22">
        <f>SUM($C$3:$C$5)/64</f>
        <v/>
      </c>
      <c r="E62" s="22">
        <f>C62+D62</f>
        <v/>
      </c>
      <c r="F62" s="44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/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85</v>
      </c>
      <c r="D63" s="20">
        <f>SUM($C$3:$C$5)/64</f>
        <v/>
      </c>
      <c r="E63" s="20">
        <f>C63+D63</f>
        <v/>
      </c>
      <c r="F63" s="43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/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5034.5</v>
      </c>
      <c r="D64" s="22">
        <f>SUM($C$3:$C$5)/64</f>
        <v/>
      </c>
      <c r="E64" s="22">
        <f>C64+D64</f>
        <v/>
      </c>
      <c r="F64" s="44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/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1858</v>
      </c>
      <c r="D65" s="20">
        <f>SUM($C$3:$C$5)/64</f>
        <v/>
      </c>
      <c r="E65" s="20">
        <f>C65+D65</f>
        <v/>
      </c>
      <c r="F65" s="43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/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4.5</v>
      </c>
      <c r="D66" s="22">
        <f>SUM($C$3:$C$5)/64</f>
        <v/>
      </c>
      <c r="E66" s="22">
        <f>C66+D66</f>
        <v/>
      </c>
      <c r="F66" s="44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/>
      <c r="O66" s="22" t="n">
        <v>0</v>
      </c>
      <c r="P66" s="22" t="n">
        <v>0</v>
      </c>
      <c r="Q66" s="22" t="n">
        <v>1000</v>
      </c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5421</v>
      </c>
      <c r="D67" s="20">
        <f>SUM($C$3:$C$5)/64</f>
        <v/>
      </c>
      <c r="E67" s="20">
        <f>C67+D67</f>
        <v/>
      </c>
      <c r="F67" s="43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/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7215</v>
      </c>
      <c r="D68" s="22">
        <f>SUM($C$3:$C$5)/64</f>
        <v/>
      </c>
      <c r="E68" s="22">
        <f>C68+D68</f>
        <v/>
      </c>
      <c r="F68" s="44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/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10490.5</v>
      </c>
      <c r="D69" s="20">
        <f>SUM($C$3:$C$5)/64</f>
        <v/>
      </c>
      <c r="E69" s="20">
        <f>C69+D69</f>
        <v/>
      </c>
      <c r="F69" s="43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/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99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44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>
        <f>SUM(P3:P69)</f>
        <v/>
      </c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G17" sqref="G17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>
        <v>10856</v>
      </c>
      <c r="D2" s="29" t="inlineStr">
        <is>
          <t>16-Jun-26</t>
        </is>
      </c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>
        <v>16500</v>
      </c>
      <c r="D3" s="32" t="inlineStr">
        <is>
          <t>17-Jun-26</t>
        </is>
      </c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6" t="n">
        <v>6000</v>
      </c>
      <c r="D4" s="40" t="inlineStr">
        <is>
          <t>1-Jun-26</t>
        </is>
      </c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>
        <v>5554.98</v>
      </c>
      <c r="D6" s="29" t="inlineStr">
        <is>
          <t>13-Jun-26</t>
        </is>
      </c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>
        <v>7469</v>
      </c>
      <c r="D7" s="32" t="inlineStr">
        <is>
          <t>30-Jun-26</t>
        </is>
      </c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>
        <v>5964.86</v>
      </c>
      <c r="D8" s="29" t="inlineStr">
        <is>
          <t>17-Jun-26</t>
        </is>
      </c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0" t="n">
        <v>5333</v>
      </c>
      <c r="D9" s="32" t="inlineStr">
        <is>
          <t>15-Jun-26</t>
        </is>
      </c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2" t="n">
        <v>5538</v>
      </c>
      <c r="D10" s="29" t="inlineStr">
        <is>
          <t>29-Jun-26</t>
        </is>
      </c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2" t="n">
        <v>4901</v>
      </c>
      <c r="D12" s="29" t="inlineStr">
        <is>
          <t>11-Jun-26</t>
        </is>
      </c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/>
      <c r="D16" s="29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2" t="n">
        <v>6016</v>
      </c>
      <c r="D18" s="29" t="inlineStr">
        <is>
          <t>2-Jun-26</t>
        </is>
      </c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0" t="n">
        <v>7164.78</v>
      </c>
      <c r="D19" s="32" t="inlineStr">
        <is>
          <t>12-Jun-26</t>
        </is>
      </c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2" t="n">
        <v>6263</v>
      </c>
      <c r="D20" s="29" t="inlineStr">
        <is>
          <t>13-Jun-26</t>
        </is>
      </c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0" t="n">
        <v>7011</v>
      </c>
      <c r="D21" s="32" t="inlineStr">
        <is>
          <t>24-Jun-26</t>
        </is>
      </c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2" t="n">
        <v>10563</v>
      </c>
      <c r="D24" s="29" t="inlineStr">
        <is>
          <t>15-Jun-26</t>
        </is>
      </c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2" t="n">
        <v>201</v>
      </c>
      <c r="D26" s="29" t="inlineStr">
        <is>
          <t>6-Jun-26</t>
        </is>
      </c>
      <c r="E26" s="26" t="n">
        <v>6264</v>
      </c>
      <c r="F26" s="29" t="inlineStr">
        <is>
          <t>15-Jun-26</t>
        </is>
      </c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0" t="n">
        <v>5452.43</v>
      </c>
      <c r="D27" s="32" t="inlineStr">
        <is>
          <t>15-Jun-26</t>
        </is>
      </c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2" t="n">
        <v>10106</v>
      </c>
      <c r="D28" s="29" t="inlineStr">
        <is>
          <t>23-Jun-26</t>
        </is>
      </c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0" t="n">
        <v>5689</v>
      </c>
      <c r="D29" s="32" t="inlineStr">
        <is>
          <t>15-Jun-26</t>
        </is>
      </c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>
        <v>10117.79</v>
      </c>
      <c r="D30" s="29" t="inlineStr">
        <is>
          <t>1-Jun-26</t>
        </is>
      </c>
      <c r="E30" s="26" t="n">
        <v>5932</v>
      </c>
      <c r="F30" s="29" t="inlineStr">
        <is>
          <t>15-Jun-26</t>
        </is>
      </c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>
        <v>5003.65</v>
      </c>
      <c r="D33" s="32" t="inlineStr">
        <is>
          <t>18-Jun-26</t>
        </is>
      </c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2" t="n">
        <v>5454</v>
      </c>
      <c r="D34" s="29" t="inlineStr">
        <is>
          <t>14-Jun-26</t>
        </is>
      </c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0" t="n">
        <v>7522.88</v>
      </c>
      <c r="D35" s="32" t="inlineStr">
        <is>
          <t>1-Jun-26</t>
        </is>
      </c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>
        <v>5522.63</v>
      </c>
      <c r="D38" s="29" t="inlineStr">
        <is>
          <t>17-Jun-26</t>
        </is>
      </c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2" t="n">
        <v>5596.3</v>
      </c>
      <c r="D40" s="29" t="inlineStr">
        <is>
          <t>15-Jun-26</t>
        </is>
      </c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0" t="n">
        <v>6646</v>
      </c>
      <c r="D41" s="32" t="inlineStr">
        <is>
          <t>1-Jun-26</t>
        </is>
      </c>
      <c r="E41" s="25" t="n">
        <v>6075.85</v>
      </c>
      <c r="F41" s="32" t="inlineStr">
        <is>
          <t>29-Jun-26</t>
        </is>
      </c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2" t="n">
        <v>5486.89</v>
      </c>
      <c r="D42" s="29" t="inlineStr">
        <is>
          <t>12-Jun-26</t>
        </is>
      </c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>
        <v>5779</v>
      </c>
      <c r="D44" s="29" t="inlineStr">
        <is>
          <t>14-Jun-26</t>
        </is>
      </c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0" t="n">
        <v>5403.25</v>
      </c>
      <c r="D45" s="32" t="inlineStr">
        <is>
          <t>12-Jun-26</t>
        </is>
      </c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2" t="n">
        <v>12562</v>
      </c>
      <c r="D48" s="29" t="inlineStr">
        <is>
          <t>1-Jun-26</t>
        </is>
      </c>
      <c r="E48" s="26" t="n">
        <v>6572</v>
      </c>
      <c r="F48" s="29" t="inlineStr">
        <is>
          <t>17-Jun-26</t>
        </is>
      </c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>
        <v>4442</v>
      </c>
      <c r="D49" s="32" t="inlineStr">
        <is>
          <t>17-Jun-26</t>
        </is>
      </c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>
        <v>9000</v>
      </c>
      <c r="D50" s="29" t="inlineStr">
        <is>
          <t>13-Jun-26</t>
        </is>
      </c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2" t="n">
        <v>5972</v>
      </c>
      <c r="D52" s="29" t="inlineStr">
        <is>
          <t>20-Jun-26</t>
        </is>
      </c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0" t="n">
        <v>5391.88</v>
      </c>
      <c r="D53" s="32" t="inlineStr">
        <is>
          <t>17-Jun-26</t>
        </is>
      </c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>
        <v>5622</v>
      </c>
      <c r="D54" s="29" t="inlineStr">
        <is>
          <t>28-Jun-26</t>
        </is>
      </c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0" t="n">
        <v>6389.74</v>
      </c>
      <c r="D55" s="32" t="inlineStr">
        <is>
          <t>13-Jun-26</t>
        </is>
      </c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0" t="n">
        <v>5793</v>
      </c>
      <c r="D57" s="32" t="inlineStr">
        <is>
          <t>21-Jun-26</t>
        </is>
      </c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2" t="n">
        <v>5758</v>
      </c>
      <c r="D60" s="29" t="inlineStr">
        <is>
          <t>17-Jun-26</t>
        </is>
      </c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0" t="n">
        <v>5606.17</v>
      </c>
      <c r="D61" s="32" t="inlineStr">
        <is>
          <t>12-Jun-26</t>
        </is>
      </c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6" t="n"/>
      <c r="D62" s="30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0" t="n">
        <v>6142</v>
      </c>
      <c r="D63" s="32" t="inlineStr">
        <is>
          <t>15-Jun-26</t>
        </is>
      </c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2" t="n">
        <v>32894</v>
      </c>
      <c r="D64" s="29" t="inlineStr">
        <is>
          <t>17-Jun-26</t>
        </is>
      </c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6" t="n"/>
      <c r="E66" s="35" t="n"/>
      <c r="F66" s="46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6" t="n"/>
      <c r="F67" s="5" t="n"/>
      <c r="H67" s="4" t="n"/>
    </row>
    <row r="68" ht="14.45" customHeight="1" s="99">
      <c r="D68" s="6" t="n"/>
      <c r="F68" s="5" t="n"/>
      <c r="H68" s="4" t="n"/>
    </row>
    <row r="69" ht="14.45" customHeight="1" s="99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99">
      <c r="D140" s="6" t="n"/>
      <c r="F140" s="5" t="n"/>
      <c r="H140" s="4" t="n"/>
    </row>
    <row r="141" ht="14.45" customHeight="1" s="99">
      <c r="D141" s="6" t="n"/>
      <c r="F141" s="5" t="n"/>
      <c r="H141" s="4" t="n"/>
    </row>
    <row r="142" ht="14.45" customHeight="1" s="99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99">
      <c r="D213" s="6" t="n"/>
      <c r="F213" s="5" t="n"/>
      <c r="H213" s="4" t="n"/>
    </row>
    <row r="214" ht="14.45" customHeight="1" s="99">
      <c r="D214" s="6" t="n"/>
      <c r="F214" s="5" t="n"/>
      <c r="H214" s="4" t="n"/>
    </row>
    <row r="215" ht="14.45" customHeight="1" s="99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99">
      <c r="D286" s="6" t="n"/>
      <c r="F286" s="5" t="n"/>
      <c r="H286" s="4" t="n"/>
    </row>
    <row r="287" ht="14.45" customHeight="1" s="99">
      <c r="D287" s="6" t="n"/>
      <c r="F287" s="5" t="n"/>
      <c r="H287" s="4" t="n"/>
    </row>
    <row r="288" ht="14.45" customHeight="1" s="99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99">
      <c r="D359" s="6" t="n"/>
      <c r="F359" s="5" t="n"/>
      <c r="H359" s="4" t="n"/>
    </row>
    <row r="360" ht="14.45" customHeight="1" s="99">
      <c r="D360" s="6" t="n"/>
      <c r="F360" s="5" t="n"/>
      <c r="H360" s="4" t="n"/>
    </row>
    <row r="361" ht="14.45" customHeight="1" s="99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99">
      <c r="D432" s="6" t="n"/>
      <c r="F432" s="5" t="n"/>
      <c r="H432" s="4" t="n"/>
    </row>
    <row r="433" ht="14.45" customHeight="1" s="99">
      <c r="D433" s="6" t="n"/>
      <c r="F433" s="5" t="n"/>
      <c r="H433" s="4" t="n"/>
    </row>
    <row r="434" ht="14.45" customHeight="1" s="99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99">
      <c r="D505" s="6" t="n"/>
      <c r="F505" s="5" t="n"/>
      <c r="H505" s="4" t="n"/>
    </row>
    <row r="506" ht="14.45" customHeight="1" s="99">
      <c r="D506" s="6" t="n"/>
      <c r="F506" s="5" t="n"/>
      <c r="H506" s="4" t="n"/>
    </row>
    <row r="507" ht="14.45" customHeight="1" s="99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99">
      <c r="D578" s="6" t="n"/>
      <c r="F578" s="5" t="n"/>
      <c r="H578" s="4" t="n"/>
    </row>
    <row r="579" ht="14.45" customHeight="1" s="99">
      <c r="D579" s="6" t="n"/>
      <c r="F579" s="5" t="n"/>
      <c r="H579" s="4" t="n"/>
    </row>
    <row r="580" ht="14.45" customHeight="1" s="99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99">
      <c r="D651" s="6" t="n"/>
      <c r="F651" s="5" t="n"/>
      <c r="H651" s="4" t="n"/>
    </row>
    <row r="652" ht="14.45" customHeight="1" s="99">
      <c r="D652" s="6" t="n"/>
      <c r="F652" s="5" t="n"/>
      <c r="H652" s="4" t="n"/>
    </row>
    <row r="653" ht="14.45" customHeight="1" s="99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99">
      <c r="D724" s="6" t="n"/>
      <c r="F724" s="5" t="n"/>
      <c r="H724" s="4" t="n"/>
    </row>
    <row r="725" ht="14.45" customHeight="1" s="99">
      <c r="D725" s="6" t="n"/>
      <c r="F725" s="5" t="n"/>
      <c r="H725" s="4" t="n"/>
    </row>
    <row r="726" ht="14.45" customHeight="1" s="99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99">
      <c r="D797" s="6" t="n"/>
      <c r="F797" s="5" t="n"/>
      <c r="H797" s="4" t="n"/>
    </row>
    <row r="798" ht="14.45" customHeight="1" s="99">
      <c r="D798" s="6" t="n"/>
      <c r="F798" s="5" t="n"/>
      <c r="H798" s="4" t="n"/>
    </row>
    <row r="799" ht="14.45" customHeight="1" s="99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99">
      <c r="D870" s="6" t="n"/>
      <c r="F870" s="5" t="n"/>
      <c r="H870" s="4" t="n"/>
    </row>
    <row r="871" ht="14.45" customHeight="1" s="99">
      <c r="D871" s="6" t="n"/>
      <c r="F871" s="5" t="n"/>
      <c r="H871" s="4" t="n"/>
    </row>
    <row r="872" ht="14.45" customHeight="1" s="99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99">
      <c r="D943" s="6" t="n"/>
      <c r="F943" s="5" t="n"/>
      <c r="H943" s="4" t="n"/>
    </row>
    <row r="944" ht="14.45" customHeight="1" s="99">
      <c r="D944" s="6" t="n"/>
      <c r="F944" s="5" t="n"/>
      <c r="H944" s="4" t="n"/>
    </row>
    <row r="945" ht="14.45" customHeight="1" s="99">
      <c r="D945" s="6" t="n"/>
      <c r="F945" s="5" t="n"/>
      <c r="H945" s="4" t="n"/>
    </row>
    <row r="946" ht="14.45" customHeight="1" s="99">
      <c r="D946" s="6" t="n"/>
      <c r="F946" s="5" t="n"/>
      <c r="H946" s="4" t="n"/>
    </row>
    <row r="947" ht="14.45" customHeight="1" s="99">
      <c r="D947" s="6" t="n"/>
      <c r="F947" s="5" t="n"/>
      <c r="H947" s="4" t="n"/>
    </row>
    <row r="948" ht="14.45" customHeight="1" s="99">
      <c r="D948" s="6" t="n"/>
      <c r="F948" s="5" t="n"/>
      <c r="H948" s="4" t="n"/>
    </row>
    <row r="949" ht="14.45" customHeight="1" s="99">
      <c r="D949" s="6" t="n"/>
      <c r="F949" s="5" t="n"/>
      <c r="H949" s="4" t="n"/>
    </row>
    <row r="950" ht="14.45" customHeight="1" s="99">
      <c r="D950" s="6" t="n"/>
      <c r="F950" s="5" t="n"/>
      <c r="H950" s="4" t="n"/>
    </row>
    <row r="951" ht="14.45" customHeight="1" s="99">
      <c r="D951" s="6" t="n"/>
      <c r="F951" s="5" t="n"/>
      <c r="H951" s="4" t="n"/>
    </row>
    <row r="952" ht="14.45" customHeight="1" s="99">
      <c r="D952" s="6" t="n"/>
      <c r="F952" s="5" t="n"/>
      <c r="H952" s="4" t="n"/>
    </row>
    <row r="953" ht="14.45" customHeight="1" s="99">
      <c r="D953" s="6" t="n"/>
      <c r="F953" s="5" t="n"/>
      <c r="H953" s="4" t="n"/>
    </row>
    <row r="954" ht="14.45" customHeight="1" s="99">
      <c r="D954" s="6" t="n"/>
      <c r="F954" s="5" t="n"/>
      <c r="H954" s="4" t="n"/>
    </row>
    <row r="955" ht="14.45" customHeight="1" s="99">
      <c r="D955" s="6" t="n"/>
      <c r="F955" s="5" t="n"/>
      <c r="H955" s="4" t="n"/>
    </row>
    <row r="956" ht="14.45" customHeight="1" s="99">
      <c r="D956" s="6" t="n"/>
      <c r="F956" s="5" t="n"/>
      <c r="H956" s="4" t="n"/>
    </row>
    <row r="957" ht="14.45" customHeight="1" s="99">
      <c r="D957" s="6" t="n"/>
      <c r="F957" s="5" t="n"/>
      <c r="H957" s="4" t="n"/>
    </row>
    <row r="958" ht="14.45" customHeight="1" s="99">
      <c r="D958" s="6" t="n"/>
      <c r="F958" s="5" t="n"/>
      <c r="H958" s="4" t="n"/>
    </row>
    <row r="959" ht="14.45" customHeight="1" s="99">
      <c r="D959" s="6" t="n"/>
      <c r="F959" s="5" t="n"/>
      <c r="H959" s="4" t="n"/>
    </row>
    <row r="960" ht="14.45" customHeight="1" s="99">
      <c r="D960" s="6" t="n"/>
      <c r="F960" s="5" t="n"/>
      <c r="H960" s="4" t="n"/>
    </row>
    <row r="961" ht="14.45" customHeight="1" s="99">
      <c r="D961" s="6" t="n"/>
      <c r="F961" s="5" t="n"/>
      <c r="H961" s="4" t="n"/>
    </row>
    <row r="962" ht="14.45" customHeight="1" s="99">
      <c r="D962" s="6" t="n"/>
      <c r="F962" s="5" t="n"/>
      <c r="H962" s="4" t="n"/>
    </row>
    <row r="963" ht="14.45" customHeight="1" s="99">
      <c r="D963" s="6" t="n"/>
      <c r="F963" s="5" t="n"/>
      <c r="H963" s="4" t="n"/>
    </row>
    <row r="964" ht="14.45" customHeight="1" s="99">
      <c r="D964" s="6" t="n"/>
      <c r="F964" s="5" t="n"/>
      <c r="H964" s="4" t="n"/>
    </row>
    <row r="965" ht="14.45" customHeight="1" s="99">
      <c r="D965" s="6" t="n"/>
      <c r="F965" s="5" t="n"/>
      <c r="H965" s="4" t="n"/>
    </row>
    <row r="966" ht="14.45" customHeight="1" s="99">
      <c r="D966" s="6" t="n"/>
      <c r="F966" s="5" t="n"/>
      <c r="H966" s="4" t="n"/>
    </row>
    <row r="967" ht="14.45" customHeight="1" s="99">
      <c r="D967" s="6" t="n"/>
      <c r="F967" s="5" t="n"/>
      <c r="H967" s="4" t="n"/>
    </row>
    <row r="968" ht="14.45" customHeight="1" s="99">
      <c r="D968" s="6" t="n"/>
      <c r="F968" s="5" t="n"/>
      <c r="H968" s="4" t="n"/>
    </row>
    <row r="969" ht="14.45" customHeight="1" s="99">
      <c r="D969" s="6" t="n"/>
      <c r="F969" s="5" t="n"/>
      <c r="H969" s="4" t="n"/>
    </row>
    <row r="970" ht="14.45" customHeight="1" s="99">
      <c r="D970" s="6" t="n"/>
      <c r="F970" s="5" t="n"/>
      <c r="H970" s="4" t="n"/>
    </row>
    <row r="971" ht="14.45" customHeight="1" s="99">
      <c r="D971" s="6" t="n"/>
      <c r="F971" s="5" t="n"/>
      <c r="H971" s="4" t="n"/>
    </row>
    <row r="972" ht="14.45" customHeight="1" s="99">
      <c r="D972" s="6" t="n"/>
      <c r="F972" s="5" t="n"/>
      <c r="H972" s="4" t="n"/>
    </row>
    <row r="973" ht="14.45" customHeight="1" s="99">
      <c r="D973" s="6" t="n"/>
      <c r="F973" s="5" t="n"/>
      <c r="H973" s="4" t="n"/>
    </row>
    <row r="974" ht="14.45" customHeight="1" s="99">
      <c r="D974" s="6" t="n"/>
      <c r="F974" s="5" t="n"/>
      <c r="H974" s="4" t="n"/>
    </row>
    <row r="975" ht="14.45" customHeight="1" s="99">
      <c r="D975" s="6" t="n"/>
      <c r="F975" s="5" t="n"/>
      <c r="H975" s="4" t="n"/>
    </row>
    <row r="976" ht="14.45" customHeight="1" s="99">
      <c r="D976" s="6" t="n"/>
      <c r="F976" s="5" t="n"/>
      <c r="H976" s="4" t="n"/>
    </row>
    <row r="977" ht="14.45" customHeight="1" s="99">
      <c r="D977" s="6" t="n"/>
      <c r="F977" s="5" t="n"/>
      <c r="H977" s="4" t="n"/>
    </row>
    <row r="978" ht="14.45" customHeight="1" s="99">
      <c r="D978" s="6" t="n"/>
      <c r="F978" s="5" t="n"/>
      <c r="H978" s="4" t="n"/>
    </row>
    <row r="979" ht="14.45" customHeight="1" s="99">
      <c r="D979" s="6" t="n"/>
      <c r="F979" s="5" t="n"/>
      <c r="H979" s="4" t="n"/>
    </row>
    <row r="980" ht="14.45" customHeight="1" s="99">
      <c r="D980" s="6" t="n"/>
      <c r="F980" s="5" t="n"/>
      <c r="H980" s="4" t="n"/>
    </row>
    <row r="981" ht="14.45" customHeight="1" s="99">
      <c r="D981" s="6" t="n"/>
      <c r="F981" s="5" t="n"/>
      <c r="H981" s="4" t="n"/>
    </row>
    <row r="982" ht="14.45" customHeight="1" s="99">
      <c r="D982" s="6" t="n"/>
      <c r="F982" s="5" t="n"/>
      <c r="H982" s="4" t="n"/>
    </row>
    <row r="983" ht="14.45" customHeight="1" s="99">
      <c r="D983" s="6" t="n"/>
      <c r="F983" s="5" t="n"/>
      <c r="H983" s="4" t="n"/>
    </row>
    <row r="984" ht="14.45" customHeight="1" s="99">
      <c r="D984" s="6" t="n"/>
      <c r="F984" s="5" t="n"/>
      <c r="H984" s="4" t="n"/>
    </row>
    <row r="985" ht="14.45" customHeight="1" s="99">
      <c r="D985" s="6" t="n"/>
      <c r="F985" s="5" t="n"/>
      <c r="H985" s="4" t="n"/>
    </row>
    <row r="986" ht="14.45" customHeight="1" s="99">
      <c r="D986" s="6" t="n"/>
      <c r="F986" s="5" t="n"/>
      <c r="H986" s="4" t="n"/>
    </row>
    <row r="987" ht="14.45" customHeight="1" s="99">
      <c r="D987" s="6" t="n"/>
      <c r="F987" s="5" t="n"/>
      <c r="H987" s="4" t="n"/>
    </row>
    <row r="988" ht="14.45" customHeight="1" s="99">
      <c r="D988" s="6" t="n"/>
      <c r="F988" s="5" t="n"/>
      <c r="H988" s="4" t="n"/>
    </row>
    <row r="989" ht="14.45" customHeight="1" s="99">
      <c r="D989" s="6" t="n"/>
      <c r="F989" s="5" t="n"/>
      <c r="H989" s="4" t="n"/>
    </row>
    <row r="990" ht="14.45" customHeight="1" s="99">
      <c r="D990" s="6" t="n"/>
      <c r="F990" s="5" t="n"/>
      <c r="H990" s="4" t="n"/>
    </row>
    <row r="991" ht="14.45" customHeight="1" s="99">
      <c r="D991" s="6" t="n"/>
      <c r="F991" s="5" t="n"/>
      <c r="H991" s="4" t="n"/>
    </row>
    <row r="992" ht="14.45" customHeight="1" s="99">
      <c r="D992" s="6" t="n"/>
      <c r="F992" s="5" t="n"/>
      <c r="H992" s="4" t="n"/>
    </row>
    <row r="993" ht="14.45" customHeight="1" s="99">
      <c r="D993" s="6" t="n"/>
      <c r="F993" s="5" t="n"/>
      <c r="H993" s="4" t="n"/>
    </row>
    <row r="994" ht="14.45" customHeight="1" s="99">
      <c r="D994" s="6" t="n"/>
      <c r="F994" s="5" t="n"/>
      <c r="H994" s="4" t="n"/>
    </row>
    <row r="995" ht="14.45" customHeight="1" s="99">
      <c r="D995" s="6" t="n"/>
      <c r="F995" s="5" t="n"/>
      <c r="H995" s="4" t="n"/>
    </row>
    <row r="996" ht="14.45" customHeight="1" s="99">
      <c r="D996" s="6" t="n"/>
      <c r="F996" s="5" t="n"/>
      <c r="H996" s="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7" sqref="A27"/>
    </sheetView>
  </sheetViews>
  <sheetFormatPr baseColWidth="8" defaultColWidth="14.42578125" defaultRowHeight="15" customHeight="1"/>
  <cols>
    <col width="7.7109375" customWidth="1" style="99" min="1" max="1"/>
    <col width="19.42578125" customWidth="1" style="99" min="2" max="2"/>
    <col width="22.28515625" customWidth="1" style="99" min="3" max="4"/>
    <col width="19" customWidth="1" style="99" min="5" max="5"/>
    <col width="22.28515625" customWidth="1" style="99" min="6" max="7"/>
    <col width="14.7109375" customWidth="1" style="99" min="8" max="8"/>
    <col width="22.28515625" customWidth="1" style="99" min="9" max="9"/>
    <col width="27.28515625" customWidth="1" style="99" min="10" max="10"/>
    <col width="19.7109375" customWidth="1" style="99" min="11" max="11"/>
    <col width="18.28515625" customWidth="1" style="99" min="12" max="12"/>
    <col width="17.7109375" customWidth="1" style="99" min="13" max="13"/>
    <col width="17" customWidth="1" style="99" min="14" max="14"/>
    <col width="16.7109375" customWidth="1" style="99" min="15" max="15"/>
    <col width="18.42578125" customWidth="1" style="99" min="16" max="18"/>
    <col width="53.42578125" customWidth="1" style="99" min="19" max="19"/>
    <col width="12.42578125" customWidth="1" style="99" min="20" max="20"/>
  </cols>
  <sheetData>
    <row r="1" ht="16.5" customHeight="1" s="99">
      <c r="A1" s="91" t="n"/>
      <c r="B1" s="91" t="inlineStr">
        <is>
          <t>JUL 2026 EXPENSES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90" t="n"/>
    </row>
    <row r="2" ht="58.5" customHeight="1" s="99">
      <c r="A2" s="18" t="inlineStr">
        <is>
          <t>FLAT #</t>
        </is>
      </c>
      <c r="B2" s="18" t="n">
        <v>1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42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VARIABLE EXPENSE = 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43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23.5</v>
      </c>
      <c r="D4" s="22" t="n">
        <v>0</v>
      </c>
      <c r="E4" s="22" t="n"/>
      <c r="F4" s="44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'ANNUAL-EXPENSE-DETAILS'!V6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43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'ANNUAL-EXPENSE-DETAILS'!U6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1389.5</v>
      </c>
      <c r="D6" s="22">
        <f>SUM($C$3:$C$5)/64</f>
        <v/>
      </c>
      <c r="E6" s="22">
        <f>C6+D6</f>
        <v/>
      </c>
      <c r="F6" s="44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/>
      <c r="Q6" s="22" t="n"/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1693.5</v>
      </c>
      <c r="D7" s="20">
        <f>SUM($C$3:$C$5)/64</f>
        <v/>
      </c>
      <c r="E7" s="20">
        <f>C7+D7</f>
        <v/>
      </c>
      <c r="F7" s="43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/>
      <c r="Q7" s="20" t="n"/>
      <c r="R7" s="20">
        <f>SUM(J7:Q7)*$B$2</f>
        <v/>
      </c>
      <c r="S7" s="20" t="inlineStr">
        <is>
          <t>RENT PER METER</t>
        </is>
      </c>
      <c r="T7" s="20" t="n">
        <v>117.811659</v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3553</v>
      </c>
      <c r="D8" s="22">
        <f>SUM($C$3:$C$5)/64</f>
        <v/>
      </c>
      <c r="E8" s="22">
        <f>C8+D8</f>
        <v/>
      </c>
      <c r="F8" s="44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/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1160.5</v>
      </c>
      <c r="D9" s="20">
        <f>SUM($C$3:$C$5)/64</f>
        <v/>
      </c>
      <c r="E9" s="20">
        <f>C9+D9</f>
        <v/>
      </c>
      <c r="F9" s="43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1000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529</v>
      </c>
      <c r="D10" s="22">
        <f>SUM($C$3:$C$5)/64</f>
        <v/>
      </c>
      <c r="E10" s="22">
        <f>C10+D10</f>
        <v/>
      </c>
      <c r="F10" s="44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/>
      <c r="Q10" s="22" t="n"/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2112</v>
      </c>
      <c r="D11" s="20">
        <f>SUM($C$3:$C$5)/64</f>
        <v/>
      </c>
      <c r="E11" s="20">
        <f>C11+D11</f>
        <v/>
      </c>
      <c r="F11" s="43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/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'ANNUAL-EXPENSE-DETAILS'!V6</f>
        <v/>
      </c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23</v>
      </c>
      <c r="D12" s="22">
        <f>SUM($C$3:$C$5)/64</f>
        <v/>
      </c>
      <c r="E12" s="22">
        <f>C12+D12</f>
        <v/>
      </c>
      <c r="F12" s="44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/>
      <c r="Q12" s="22" t="n"/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17</v>
      </c>
      <c r="D13" s="20">
        <f>SUM($C$3:$C$5)/64</f>
        <v/>
      </c>
      <c r="E13" s="20">
        <f>C13+D13</f>
        <v/>
      </c>
      <c r="F13" s="43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/>
      <c r="Q13" s="20" t="n"/>
      <c r="R13" s="20">
        <f>SUM(J13:Q13)*$B$2</f>
        <v/>
      </c>
      <c r="S13" s="20" t="n"/>
      <c r="T13" s="20" t="n"/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577.5</v>
      </c>
      <c r="D14" s="22">
        <f>SUM($C$3:$C$5)/64</f>
        <v/>
      </c>
      <c r="E14" s="22">
        <f>C14+D14</f>
        <v/>
      </c>
      <c r="F14" s="44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/>
      <c r="Q14" s="22" t="n"/>
      <c r="R14" s="22">
        <f>SUM(J14:Q14)*$B$2</f>
        <v/>
      </c>
      <c r="S14" s="22" t="inlineStr">
        <is>
          <t>BALANCE IN ACCOUNT ON 31-JULY-2023</t>
        </is>
      </c>
      <c r="T14" s="22" t="n"/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2251</v>
      </c>
      <c r="D15" s="20">
        <f>SUM($C$3:$C$5)/64</f>
        <v/>
      </c>
      <c r="E15" s="20">
        <f>C15+D15</f>
        <v/>
      </c>
      <c r="F15" s="43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1000</v>
      </c>
      <c r="Q15" s="20" t="n"/>
      <c r="R15" s="20">
        <f>SUM(J15:Q15)*$B$2</f>
        <v/>
      </c>
      <c r="S15" s="20" t="inlineStr">
        <is>
          <t>TOTAL NON MAINTENANCE CORPUS COLLECTION</t>
        </is>
      </c>
      <c r="T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327.5</v>
      </c>
      <c r="D16" s="22">
        <f>SUM($C$3:$C$5)/64</f>
        <v/>
      </c>
      <c r="E16" s="22">
        <f>C16+D16</f>
        <v/>
      </c>
      <c r="F16" s="44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/>
      <c r="Q16" s="22" t="n"/>
      <c r="R16" s="22">
        <f>SUM(J16:Q16)*$B$2</f>
        <v/>
      </c>
      <c r="S16" s="22" t="inlineStr">
        <is>
          <t>TOTAL FD DONE</t>
        </is>
      </c>
      <c r="T16" s="22" t="n"/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1037</v>
      </c>
      <c r="D17" s="20">
        <f>SUM($C$3:$C$5)/64</f>
        <v/>
      </c>
      <c r="E17" s="20">
        <f>C17+D17</f>
        <v/>
      </c>
      <c r="F17" s="43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1000</v>
      </c>
      <c r="Q17" s="20" t="n"/>
      <c r="R17" s="20">
        <f>SUM(J17:Q17)*$B$2</f>
        <v/>
      </c>
      <c r="S17" s="20" t="inlineStr">
        <is>
          <t>AMOUNT AVAILABLE FOR NON MAINTENANCE CORPUS</t>
        </is>
      </c>
      <c r="T17" s="20">
        <f>T15-T16</f>
        <v/>
      </c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454</v>
      </c>
      <c r="D18" s="22">
        <f>SUM($C$3:$C$5)/64</f>
        <v/>
      </c>
      <c r="E18" s="22">
        <f>C18+D18</f>
        <v/>
      </c>
      <c r="F18" s="44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1000</v>
      </c>
      <c r="Q18" s="22" t="n"/>
      <c r="R18" s="22">
        <f>SUM(J18:Q18)*$B$2</f>
        <v/>
      </c>
      <c r="S18" s="22" t="inlineStr">
        <is>
          <t>AMOUNT AVAILABLE FOR MAINTENANCE</t>
        </is>
      </c>
      <c r="T18" s="22">
        <f>T14-T17</f>
        <v/>
      </c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2804</v>
      </c>
      <c r="D19" s="20">
        <f>SUM($C$3:$C$5)/64</f>
        <v/>
      </c>
      <c r="E19" s="20">
        <f>C19+D19</f>
        <v/>
      </c>
      <c r="F19" s="43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1000</v>
      </c>
      <c r="Q19" s="20" t="n"/>
      <c r="R19" s="20">
        <f>SUM(J19:Q19)*$B$2</f>
        <v/>
      </c>
      <c r="S19" s="20" t="n"/>
      <c r="T19" s="20" t="n"/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695.5</v>
      </c>
      <c r="D20" s="22">
        <f>SUM($C$3:$C$5)/64</f>
        <v/>
      </c>
      <c r="E20" s="22">
        <f>C20+D20</f>
        <v/>
      </c>
      <c r="F20" s="44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1000</v>
      </c>
      <c r="Q20" s="22" t="n"/>
      <c r="R20" s="22">
        <f>SUM(J20:Q20)*$B$2</f>
        <v/>
      </c>
      <c r="S20" s="22" t="n"/>
      <c r="T20" s="22" t="n"/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3112</v>
      </c>
      <c r="D21" s="20">
        <f>SUM($C$3:$C$5)/64</f>
        <v/>
      </c>
      <c r="E21" s="20">
        <f>C21+D21</f>
        <v/>
      </c>
      <c r="F21" s="43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1000</v>
      </c>
      <c r="Q21" s="20" t="n"/>
      <c r="R21" s="20">
        <f>SUM(J21:Q21)*$B$2</f>
        <v/>
      </c>
      <c r="S21" s="20" t="n"/>
      <c r="T21" s="20" t="n"/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3271.5</v>
      </c>
      <c r="D22" s="22">
        <f>SUM($C$3:$C$5)/64</f>
        <v/>
      </c>
      <c r="E22" s="22">
        <f>C22+D22</f>
        <v/>
      </c>
      <c r="F22" s="44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/>
      <c r="Q22" s="22" t="n"/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4493.5</v>
      </c>
      <c r="D23" s="20">
        <f>SUM($C$3:$C$5)/64</f>
        <v/>
      </c>
      <c r="E23" s="20">
        <f>C23+D23</f>
        <v/>
      </c>
      <c r="F23" s="43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/>
      <c r="Q23" s="20" t="n"/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1626</v>
      </c>
      <c r="D24" s="22">
        <f>SUM($C$3:$C$5)/64</f>
        <v/>
      </c>
      <c r="E24" s="22">
        <f>C24+D24</f>
        <v/>
      </c>
      <c r="F24" s="44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/>
      <c r="Q24" s="22" t="n"/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2908</v>
      </c>
      <c r="D25" s="20">
        <f>SUM($C$3:$C$5)/64</f>
        <v/>
      </c>
      <c r="E25" s="20">
        <f>C25+D25</f>
        <v/>
      </c>
      <c r="F25" s="43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/>
      <c r="Q25" s="20" t="n"/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1753</v>
      </c>
      <c r="D26" s="22">
        <f>SUM($C$3:$C$5)/64</f>
        <v/>
      </c>
      <c r="E26" s="22">
        <f>C26+D26</f>
        <v/>
      </c>
      <c r="F26" s="44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1000</v>
      </c>
      <c r="Q26" s="22" t="n"/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1</v>
      </c>
      <c r="D27" s="20">
        <f>SUM($C$3:$C$5)/64</f>
        <v/>
      </c>
      <c r="E27" s="20">
        <f>C27+D27</f>
        <v/>
      </c>
      <c r="F27" s="43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1000</v>
      </c>
      <c r="Q27" s="20" t="n"/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667.5</v>
      </c>
      <c r="D28" s="22">
        <f>SUM($C$3:$C$5)/64</f>
        <v/>
      </c>
      <c r="E28" s="22">
        <f>C28+D28</f>
        <v/>
      </c>
      <c r="F28" s="44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/>
      <c r="Q28" s="22" t="n"/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2198</v>
      </c>
      <c r="D29" s="20">
        <f>SUM($C$3:$C$5)/64</f>
        <v/>
      </c>
      <c r="E29" s="20">
        <f>C29+D29</f>
        <v/>
      </c>
      <c r="F29" s="43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1000</v>
      </c>
      <c r="Q29" s="20" t="n"/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3338.5</v>
      </c>
      <c r="D30" s="22">
        <f>SUM($C$3:$C$5)/64</f>
        <v/>
      </c>
      <c r="E30" s="22">
        <f>C30+D30</f>
        <v/>
      </c>
      <c r="F30" s="44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500</v>
      </c>
      <c r="N30" s="22" t="n">
        <v>0</v>
      </c>
      <c r="O30" s="22" t="n">
        <v>0</v>
      </c>
      <c r="P30" s="22" t="n"/>
      <c r="Q30" s="22" t="n"/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1695.5</v>
      </c>
      <c r="D31" s="20">
        <f>SUM($C$3:$C$5)/64</f>
        <v/>
      </c>
      <c r="E31" s="20">
        <f>C31+D31</f>
        <v/>
      </c>
      <c r="F31" s="43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/>
      <c r="Q31" s="20" t="n"/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177.5</v>
      </c>
      <c r="D32" s="22">
        <f>SUM($C$3:$C$5)/64</f>
        <v/>
      </c>
      <c r="E32" s="22">
        <f>C32+D32</f>
        <v/>
      </c>
      <c r="F32" s="44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/>
      <c r="Q32" s="22" t="n"/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4488.5</v>
      </c>
      <c r="D33" s="20">
        <f>SUM($C$3:$C$5)/64</f>
        <v/>
      </c>
      <c r="E33" s="20">
        <f>C33+D33</f>
        <v/>
      </c>
      <c r="F33" s="43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/>
      <c r="Q33" s="20" t="n"/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1923.5</v>
      </c>
      <c r="D34" s="22">
        <f>SUM($C$3:$C$5)/64</f>
        <v/>
      </c>
      <c r="E34" s="22">
        <f>C34+D34</f>
        <v/>
      </c>
      <c r="F34" s="44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/>
      <c r="Q34" s="22" t="n"/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4551</v>
      </c>
      <c r="D35" s="20">
        <f>SUM($C$3:$C$5)/64</f>
        <v/>
      </c>
      <c r="E35" s="20">
        <f>C35+D35</f>
        <v/>
      </c>
      <c r="F35" s="43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1000</v>
      </c>
      <c r="Q35" s="20" t="n"/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412</v>
      </c>
      <c r="D36" s="22">
        <f>SUM($C$3:$C$5)/64</f>
        <v/>
      </c>
      <c r="E36" s="22">
        <f>C36+D36</f>
        <v/>
      </c>
      <c r="F36" s="44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1000</v>
      </c>
      <c r="Q36" s="22" t="n"/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1872.5</v>
      </c>
      <c r="D37" s="20">
        <f>SUM($C$3:$C$5)/64</f>
        <v/>
      </c>
      <c r="E37" s="20">
        <f>C37+D37</f>
        <v/>
      </c>
      <c r="F37" s="43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/>
      <c r="Q37" s="20" t="n"/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0.5</v>
      </c>
      <c r="D38" s="22">
        <f>SUM($C$3:$C$5)/64</f>
        <v/>
      </c>
      <c r="E38" s="22">
        <f>C38+D38</f>
        <v/>
      </c>
      <c r="F38" s="44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/>
      <c r="Q38" s="22" t="n"/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1.5</v>
      </c>
      <c r="D39" s="20">
        <f>SUM($C$3:$C$5)/64</f>
        <v/>
      </c>
      <c r="E39" s="20">
        <f>C39+D39</f>
        <v/>
      </c>
      <c r="F39" s="43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/>
      <c r="Q39" s="20" t="n"/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2933.5</v>
      </c>
      <c r="D40" s="22">
        <f>SUM($C$3:$C$5)/64</f>
        <v/>
      </c>
      <c r="E40" s="22">
        <f>C40+D40</f>
        <v/>
      </c>
      <c r="F40" s="44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1000</v>
      </c>
      <c r="Q40" s="22" t="n"/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4123.5</v>
      </c>
      <c r="D41" s="20">
        <f>SUM($C$3:$C$5)/64</f>
        <v/>
      </c>
      <c r="E41" s="20">
        <f>C41+D41</f>
        <v/>
      </c>
      <c r="F41" s="43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1000</v>
      </c>
      <c r="Q41" s="20" t="n"/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1050.5</v>
      </c>
      <c r="D42" s="22">
        <f>SUM($C$3:$C$5)/64</f>
        <v/>
      </c>
      <c r="E42" s="22">
        <f>C42+D42</f>
        <v/>
      </c>
      <c r="F42" s="44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/>
      <c r="Q42" s="22" t="n"/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79.5</v>
      </c>
      <c r="D43" s="20">
        <f>SUM($C$3:$C$5)/64</f>
        <v/>
      </c>
      <c r="E43" s="20">
        <f>C43+D43</f>
        <v/>
      </c>
      <c r="F43" s="43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1000</v>
      </c>
      <c r="Q43" s="20" t="n"/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1062.5</v>
      </c>
      <c r="D44" s="22">
        <f>SUM($C$3:$C$5)/64</f>
        <v/>
      </c>
      <c r="E44" s="22">
        <f>C44+D44</f>
        <v/>
      </c>
      <c r="F44" s="44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/>
      <c r="Q44" s="22" t="n"/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2761</v>
      </c>
      <c r="D45" s="20">
        <f>SUM($C$3:$C$5)/64</f>
        <v/>
      </c>
      <c r="E45" s="20">
        <f>C45+D45</f>
        <v/>
      </c>
      <c r="F45" s="43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/>
      <c r="Q45" s="20" t="n"/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25</v>
      </c>
      <c r="D46" s="22">
        <f>SUM($C$3:$C$5)/64</f>
        <v/>
      </c>
      <c r="E46" s="22">
        <f>C46+D46</f>
        <v/>
      </c>
      <c r="F46" s="44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/>
      <c r="Q46" s="22" t="n"/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12</v>
      </c>
      <c r="D47" s="20">
        <f>SUM($C$3:$C$5)/64</f>
        <v/>
      </c>
      <c r="E47" s="20">
        <f>C47+D47</f>
        <v/>
      </c>
      <c r="F47" s="43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1000</v>
      </c>
      <c r="Q47" s="20" t="n"/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1444.5</v>
      </c>
      <c r="D48" s="22">
        <f>SUM($C$3:$C$5)/64</f>
        <v/>
      </c>
      <c r="E48" s="22">
        <f>C48+D48</f>
        <v/>
      </c>
      <c r="F48" s="44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/>
      <c r="Q48" s="22" t="n"/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2885</v>
      </c>
      <c r="D49" s="20">
        <f>SUM($C$3:$C$5)/64</f>
        <v/>
      </c>
      <c r="E49" s="20">
        <f>C49+D49</f>
        <v/>
      </c>
      <c r="F49" s="43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/>
      <c r="Q49" s="20" t="n"/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467</v>
      </c>
      <c r="D50" s="22">
        <f>SUM($C$3:$C$5)/64</f>
        <v/>
      </c>
      <c r="E50" s="22">
        <f>C50+D50</f>
        <v/>
      </c>
      <c r="F50" s="44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1000</v>
      </c>
      <c r="Q50" s="22" t="n"/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1762</v>
      </c>
      <c r="D51" s="20">
        <f>SUM($C$3:$C$5)/64</f>
        <v/>
      </c>
      <c r="E51" s="20">
        <f>C51+D51</f>
        <v/>
      </c>
      <c r="F51" s="43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1000</v>
      </c>
      <c r="Q51" s="20" t="n"/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1154</v>
      </c>
      <c r="D52" s="22">
        <f>SUM($C$3:$C$5)/64</f>
        <v/>
      </c>
      <c r="E52" s="22">
        <f>C52+D52</f>
        <v/>
      </c>
      <c r="F52" s="44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/>
      <c r="Q52" s="22" t="n"/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437.5</v>
      </c>
      <c r="D53" s="20">
        <f>SUM($C$3:$C$5)/64</f>
        <v/>
      </c>
      <c r="E53" s="20">
        <f>C53+D53</f>
        <v/>
      </c>
      <c r="F53" s="43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/>
      <c r="Q53" s="20" t="n"/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4436.5</v>
      </c>
      <c r="D54" s="22">
        <f>SUM($C$3:$C$5)/64</f>
        <v/>
      </c>
      <c r="E54" s="22">
        <f>C54+D54</f>
        <v/>
      </c>
      <c r="F54" s="44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/>
      <c r="Q54" s="22" t="n"/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4313.5</v>
      </c>
      <c r="D55" s="20">
        <f>SUM($C$3:$C$5)/64</f>
        <v/>
      </c>
      <c r="E55" s="20">
        <f>C55+D55</f>
        <v/>
      </c>
      <c r="F55" s="43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1000</v>
      </c>
      <c r="Q55" s="20" t="n"/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2627.5</v>
      </c>
      <c r="D56" s="22">
        <f>SUM($C$3:$C$5)/64</f>
        <v/>
      </c>
      <c r="E56" s="22">
        <f>C56+D56</f>
        <v/>
      </c>
      <c r="F56" s="44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/>
      <c r="Q56" s="22" t="n"/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0.5</v>
      </c>
      <c r="D57" s="20">
        <f>SUM($C$3:$C$5)/64</f>
        <v/>
      </c>
      <c r="E57" s="20">
        <f>C57+D57</f>
        <v/>
      </c>
      <c r="F57" s="43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/>
      <c r="Q57" s="20" t="n"/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233.5</v>
      </c>
      <c r="D58" s="22">
        <f>SUM($C$3:$C$5)/64</f>
        <v/>
      </c>
      <c r="E58" s="22">
        <f>C58+D58</f>
        <v/>
      </c>
      <c r="F58" s="44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/>
      <c r="Q58" s="22" t="n"/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4056</v>
      </c>
      <c r="D59" s="20">
        <f>SUM($C$3:$C$5)/64</f>
        <v/>
      </c>
      <c r="E59" s="20">
        <f>C59+D59</f>
        <v/>
      </c>
      <c r="F59" s="43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/>
      <c r="Q59" s="20" t="n"/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1513</v>
      </c>
      <c r="D60" s="22">
        <f>SUM($C$3:$C$5)/64</f>
        <v/>
      </c>
      <c r="E60" s="22">
        <f>C60+D60</f>
        <v/>
      </c>
      <c r="F60" s="44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1000</v>
      </c>
      <c r="Q60" s="22" t="n"/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3.5</v>
      </c>
      <c r="D61" s="20">
        <f>SUM($C$3:$C$5)/64</f>
        <v/>
      </c>
      <c r="E61" s="20">
        <f>C61+D61</f>
        <v/>
      </c>
      <c r="F61" s="43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/>
      <c r="Q61" s="20" t="n"/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17.5</v>
      </c>
      <c r="D62" s="22">
        <f>SUM($C$3:$C$5)/64</f>
        <v/>
      </c>
      <c r="E62" s="22">
        <f>C62+D62</f>
        <v/>
      </c>
      <c r="F62" s="44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1000</v>
      </c>
      <c r="Q62" s="22" t="n"/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4797</v>
      </c>
      <c r="D63" s="20">
        <f>SUM($C$3:$C$5)/64</f>
        <v/>
      </c>
      <c r="E63" s="20">
        <f>C63+D63</f>
        <v/>
      </c>
      <c r="F63" s="43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1000</v>
      </c>
      <c r="Q63" s="20" t="n"/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823.5</v>
      </c>
      <c r="D64" s="22">
        <f>SUM($C$3:$C$5)/64</f>
        <v/>
      </c>
      <c r="E64" s="22">
        <f>C64+D64</f>
        <v/>
      </c>
      <c r="F64" s="44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/>
      <c r="Q64" s="22" t="n"/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935</v>
      </c>
      <c r="D65" s="20">
        <f>SUM($C$3:$C$5)/64</f>
        <v/>
      </c>
      <c r="E65" s="20">
        <f>C65+D65</f>
        <v/>
      </c>
      <c r="F65" s="43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/>
      <c r="Q65" s="20" t="n"/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5978.5</v>
      </c>
      <c r="D66" s="22">
        <f>SUM($C$3:$C$5)/64</f>
        <v/>
      </c>
      <c r="E66" s="22">
        <f>C66+D66</f>
        <v/>
      </c>
      <c r="F66" s="44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1000</v>
      </c>
      <c r="Q66" s="22" t="n"/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2552</v>
      </c>
      <c r="D67" s="20">
        <f>SUM($C$3:$C$5)/64</f>
        <v/>
      </c>
      <c r="E67" s="20">
        <f>C67+D67</f>
        <v/>
      </c>
      <c r="F67" s="43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/>
      <c r="Q67" s="20" t="n"/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3017.5</v>
      </c>
      <c r="D68" s="22">
        <f>SUM($C$3:$C$5)/64</f>
        <v/>
      </c>
      <c r="E68" s="22">
        <f>C68+D68</f>
        <v/>
      </c>
      <c r="F68" s="44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/>
      <c r="Q68" s="22" t="n"/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3726</v>
      </c>
      <c r="D69" s="20">
        <f>SUM($C$3:$C$5)/64</f>
        <v/>
      </c>
      <c r="E69" s="20">
        <f>C69+D69</f>
        <v/>
      </c>
      <c r="F69" s="43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1000</v>
      </c>
      <c r="Q69" s="20" t="n"/>
      <c r="R69" s="20">
        <f>SUM(J69:Q69)*$B$2</f>
        <v/>
      </c>
      <c r="S69" s="20" t="n"/>
      <c r="T69" s="20" t="n"/>
    </row>
    <row r="70" ht="12.75" customHeight="1" s="99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44">
        <f>SUM(F3:F69)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A3" sqref="A3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>
        <v>6005</v>
      </c>
      <c r="D2" s="29" t="inlineStr">
        <is>
          <t>15-Jul-26</t>
        </is>
      </c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6" t="n">
        <v>6000</v>
      </c>
      <c r="D4" s="29" t="inlineStr">
        <is>
          <t>1-Jul-26</t>
        </is>
      </c>
      <c r="E4" s="22" t="n">
        <v>6000</v>
      </c>
      <c r="F4" s="29" t="inlineStr">
        <is>
          <t>1-Aug-26</t>
        </is>
      </c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0" t="n">
        <v>16823</v>
      </c>
      <c r="D5" s="32" t="inlineStr">
        <is>
          <t>9-Jul-26</t>
        </is>
      </c>
      <c r="E5" s="25" t="n">
        <v>5666</v>
      </c>
      <c r="F5" s="32" t="inlineStr">
        <is>
          <t>10-Jul-26</t>
        </is>
      </c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>
        <v>5904.05</v>
      </c>
      <c r="D6" s="29" t="inlineStr">
        <is>
          <t>6-Jul-26</t>
        </is>
      </c>
      <c r="E6" s="26" t="n">
        <v>5355</v>
      </c>
      <c r="F6" s="29" t="inlineStr">
        <is>
          <t>10-Jul-26</t>
        </is>
      </c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>
        <v>6339.79</v>
      </c>
      <c r="D7" s="32" t="inlineStr">
        <is>
          <t>31-Jul-26</t>
        </is>
      </c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>
        <v>6179.33</v>
      </c>
      <c r="D8" s="29" t="inlineStr">
        <is>
          <t>8-Jul-26</t>
        </is>
      </c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0" t="n">
        <v>5903</v>
      </c>
      <c r="D9" s="32" t="inlineStr">
        <is>
          <t>10-Jul-26</t>
        </is>
      </c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0" t="n">
        <v>18604</v>
      </c>
      <c r="D11" s="32" t="inlineStr">
        <is>
          <t>8-Jul-26</t>
        </is>
      </c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0" t="n">
        <v>4714.75</v>
      </c>
      <c r="D13" s="32" t="inlineStr">
        <is>
          <t>8-Jul-26</t>
        </is>
      </c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>
        <v>5523.35</v>
      </c>
      <c r="D14" s="29" t="inlineStr">
        <is>
          <t>5-Jul-26</t>
        </is>
      </c>
      <c r="E14" s="26" t="n">
        <v>5860.72</v>
      </c>
      <c r="F14" s="29" t="inlineStr">
        <is>
          <t>8-Jul-26</t>
        </is>
      </c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>
        <v>6511</v>
      </c>
      <c r="D16" s="29" t="inlineStr">
        <is>
          <t>3-Jul-26</t>
        </is>
      </c>
      <c r="E16" s="26" t="n">
        <v>6785</v>
      </c>
      <c r="F16" s="29" t="inlineStr">
        <is>
          <t>4-Aug-26</t>
        </is>
      </c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2" t="n">
        <v>7044</v>
      </c>
      <c r="D20" s="29" t="inlineStr">
        <is>
          <t>24-Jul-26</t>
        </is>
      </c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0" t="n">
        <v>7400</v>
      </c>
      <c r="D21" s="32" t="inlineStr">
        <is>
          <t>8-Jul-26</t>
        </is>
      </c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2" t="n">
        <v>29212.36</v>
      </c>
      <c r="D22" s="29" t="inlineStr">
        <is>
          <t>8-Jul-26</t>
        </is>
      </c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>
        <v>3743</v>
      </c>
      <c r="D23" s="32" t="inlineStr">
        <is>
          <t>12-Jul-26</t>
        </is>
      </c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2" t="n">
        <v>5693</v>
      </c>
      <c r="D24" s="29" t="inlineStr">
        <is>
          <t>20-Jul-26</t>
        </is>
      </c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2" t="n">
        <v>6702</v>
      </c>
      <c r="D26" s="29" t="inlineStr">
        <is>
          <t>19-Jul-26</t>
        </is>
      </c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0" t="n">
        <v>5775</v>
      </c>
      <c r="D27" s="32" t="inlineStr">
        <is>
          <t>8-Jul-26</t>
        </is>
      </c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2" t="n">
        <v>5584</v>
      </c>
      <c r="D28" s="29" t="inlineStr">
        <is>
          <t>7-Jul-26</t>
        </is>
      </c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0" t="n">
        <v>6929</v>
      </c>
      <c r="D29" s="32" t="inlineStr">
        <is>
          <t>9-Jul-26</t>
        </is>
      </c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>
        <v>1062</v>
      </c>
      <c r="D30" s="29" t="inlineStr">
        <is>
          <t>10-Jul-26</t>
        </is>
      </c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>
        <v>7044.65</v>
      </c>
      <c r="D31" s="32" t="inlineStr">
        <is>
          <t>6-Jul-26</t>
        </is>
      </c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>
        <v>11443.06</v>
      </c>
      <c r="D33" s="32" t="inlineStr">
        <is>
          <t>12-Jul-26</t>
        </is>
      </c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2" t="n">
        <v>5470.93</v>
      </c>
      <c r="D34" s="29" t="inlineStr">
        <is>
          <t>11-Jul-26</t>
        </is>
      </c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>
        <v>13500</v>
      </c>
      <c r="D36" s="29" t="inlineStr">
        <is>
          <t>8-Jul-26</t>
        </is>
      </c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0" t="n">
        <v>5000</v>
      </c>
      <c r="D37" s="32" t="inlineStr">
        <is>
          <t>1-Jul-26</t>
        </is>
      </c>
      <c r="E37" s="25" t="n">
        <v>10000</v>
      </c>
      <c r="F37" s="32" t="inlineStr">
        <is>
          <t>21-Jul-26</t>
        </is>
      </c>
      <c r="G37" s="25" t="n">
        <v>21000</v>
      </c>
      <c r="H37" s="38" t="inlineStr">
        <is>
          <t>21-Jul-26</t>
        </is>
      </c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>
        <v>15506</v>
      </c>
      <c r="D39" s="32" t="inlineStr">
        <is>
          <t>21-Jul-26</t>
        </is>
      </c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2" t="n">
        <v>5941.27</v>
      </c>
      <c r="D40" s="29" t="inlineStr">
        <is>
          <t>8-Jul-26</t>
        </is>
      </c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0" t="n">
        <v>6625.89</v>
      </c>
      <c r="D41" s="32" t="inlineStr">
        <is>
          <t>2-Aug-26</t>
        </is>
      </c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2" t="n">
        <v>7663.64</v>
      </c>
      <c r="D42" s="29" t="inlineStr">
        <is>
          <t>11-Jul-26</t>
        </is>
      </c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>
        <v>5391.53</v>
      </c>
      <c r="D46" s="29" t="inlineStr">
        <is>
          <t>5-Jul-26</t>
        </is>
      </c>
      <c r="E46" s="26" t="n">
        <v>5547.76</v>
      </c>
      <c r="F46" s="29" t="inlineStr">
        <is>
          <t>8-Jul-26</t>
        </is>
      </c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2" t="n">
        <v>7526</v>
      </c>
      <c r="D48" s="29" t="inlineStr">
        <is>
          <t>8-Jul-26</t>
        </is>
      </c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>
        <v>3062</v>
      </c>
      <c r="D49" s="32" t="inlineStr">
        <is>
          <t>7-Jul-26</t>
        </is>
      </c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>
        <v>7640</v>
      </c>
      <c r="D50" s="29" t="inlineStr">
        <is>
          <t>8-Jul-26</t>
        </is>
      </c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0" t="n">
        <v>19898.43</v>
      </c>
      <c r="D51" s="32" t="inlineStr">
        <is>
          <t>6-Jul-26</t>
        </is>
      </c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2" t="n">
        <v>6472</v>
      </c>
      <c r="D52" s="29" t="inlineStr">
        <is>
          <t>24-Jul-26</t>
        </is>
      </c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0" t="n">
        <v>5589.52</v>
      </c>
      <c r="D53" s="32" t="inlineStr">
        <is>
          <t>16-Jul-26</t>
        </is>
      </c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0" t="n">
        <v>7550.02</v>
      </c>
      <c r="D55" s="32" t="inlineStr">
        <is>
          <t>2-Aug-26</t>
        </is>
      </c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>
        <v>5455.63</v>
      </c>
      <c r="D58" s="29" t="inlineStr">
        <is>
          <t>4-Jul-26</t>
        </is>
      </c>
      <c r="E58" s="26" t="n">
        <v>5624.11</v>
      </c>
      <c r="F58" s="29" t="inlineStr">
        <is>
          <t>8-Aug-26</t>
        </is>
      </c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0" t="n">
        <v>2664</v>
      </c>
      <c r="D59" s="32" t="inlineStr">
        <is>
          <t>8-Jul-26</t>
        </is>
      </c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0" t="n">
        <v>5659.39</v>
      </c>
      <c r="D61" s="32" t="inlineStr">
        <is>
          <t>7-Jul-26</t>
        </is>
      </c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6" t="n">
        <v>12000</v>
      </c>
      <c r="D62" s="28" t="inlineStr">
        <is>
          <t>2-Jul-26</t>
        </is>
      </c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0" t="n">
        <v>2530</v>
      </c>
      <c r="D63" s="32" t="inlineStr">
        <is>
          <t>6-Jul-26</t>
        </is>
      </c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6" t="n"/>
      <c r="E66" s="35" t="n"/>
      <c r="F66" s="46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6" t="n"/>
      <c r="F67" s="5" t="n"/>
      <c r="H67" s="4" t="n"/>
    </row>
    <row r="68" ht="14.45" customHeight="1" s="99">
      <c r="D68" s="6" t="n"/>
      <c r="F68" s="5" t="n"/>
      <c r="H68" s="4" t="n"/>
    </row>
    <row r="69" ht="14.45" customHeight="1" s="99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99">
      <c r="D140" s="6" t="n"/>
      <c r="F140" s="5" t="n"/>
      <c r="H140" s="4" t="n"/>
    </row>
    <row r="141" ht="14.45" customHeight="1" s="99">
      <c r="D141" s="6" t="n"/>
      <c r="F141" s="5" t="n"/>
      <c r="H141" s="4" t="n"/>
    </row>
    <row r="142" ht="14.45" customHeight="1" s="99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99">
      <c r="D213" s="6" t="n"/>
      <c r="F213" s="5" t="n"/>
      <c r="H213" s="4" t="n"/>
    </row>
    <row r="214" ht="14.45" customHeight="1" s="99">
      <c r="D214" s="6" t="n"/>
      <c r="F214" s="5" t="n"/>
      <c r="H214" s="4" t="n"/>
    </row>
    <row r="215" ht="14.45" customHeight="1" s="99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99">
      <c r="D286" s="6" t="n"/>
      <c r="F286" s="5" t="n"/>
      <c r="H286" s="4" t="n"/>
    </row>
    <row r="287" ht="14.45" customHeight="1" s="99">
      <c r="D287" s="6" t="n"/>
      <c r="F287" s="5" t="n"/>
      <c r="H287" s="4" t="n"/>
    </row>
    <row r="288" ht="14.45" customHeight="1" s="99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99">
      <c r="D359" s="6" t="n"/>
      <c r="F359" s="5" t="n"/>
      <c r="H359" s="4" t="n"/>
    </row>
    <row r="360" ht="14.45" customHeight="1" s="99">
      <c r="D360" s="6" t="n"/>
      <c r="F360" s="5" t="n"/>
      <c r="H360" s="4" t="n"/>
    </row>
    <row r="361" ht="14.45" customHeight="1" s="99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99">
      <c r="D432" s="6" t="n"/>
      <c r="F432" s="5" t="n"/>
      <c r="H432" s="4" t="n"/>
    </row>
    <row r="433" ht="14.45" customHeight="1" s="99">
      <c r="D433" s="6" t="n"/>
      <c r="F433" s="5" t="n"/>
      <c r="H433" s="4" t="n"/>
    </row>
    <row r="434" ht="14.45" customHeight="1" s="99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99">
      <c r="D505" s="6" t="n"/>
      <c r="F505" s="5" t="n"/>
      <c r="H505" s="4" t="n"/>
    </row>
    <row r="506" ht="14.45" customHeight="1" s="99">
      <c r="D506" s="6" t="n"/>
      <c r="F506" s="5" t="n"/>
      <c r="H506" s="4" t="n"/>
    </row>
    <row r="507" ht="14.45" customHeight="1" s="99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99">
      <c r="D578" s="6" t="n"/>
      <c r="F578" s="5" t="n"/>
      <c r="H578" s="4" t="n"/>
    </row>
    <row r="579" ht="14.45" customHeight="1" s="99">
      <c r="D579" s="6" t="n"/>
      <c r="F579" s="5" t="n"/>
      <c r="H579" s="4" t="n"/>
    </row>
    <row r="580" ht="14.45" customHeight="1" s="99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99">
      <c r="D651" s="6" t="n"/>
      <c r="F651" s="5" t="n"/>
      <c r="H651" s="4" t="n"/>
    </row>
    <row r="652" ht="14.45" customHeight="1" s="99">
      <c r="D652" s="6" t="n"/>
      <c r="F652" s="5" t="n"/>
      <c r="H652" s="4" t="n"/>
    </row>
    <row r="653" ht="14.45" customHeight="1" s="99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99">
      <c r="D724" s="6" t="n"/>
      <c r="F724" s="5" t="n"/>
      <c r="H724" s="4" t="n"/>
    </row>
    <row r="725" ht="14.45" customHeight="1" s="99">
      <c r="D725" s="6" t="n"/>
      <c r="F725" s="5" t="n"/>
      <c r="H725" s="4" t="n"/>
    </row>
    <row r="726" ht="14.45" customHeight="1" s="99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99">
      <c r="D797" s="6" t="n"/>
      <c r="F797" s="5" t="n"/>
      <c r="H797" s="4" t="n"/>
    </row>
    <row r="798" ht="14.45" customHeight="1" s="99">
      <c r="D798" s="6" t="n"/>
      <c r="F798" s="5" t="n"/>
      <c r="H798" s="4" t="n"/>
    </row>
    <row r="799" ht="14.45" customHeight="1" s="99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99">
      <c r="D870" s="6" t="n"/>
      <c r="F870" s="5" t="n"/>
      <c r="H870" s="4" t="n"/>
    </row>
    <row r="871" ht="14.45" customHeight="1" s="99">
      <c r="D871" s="6" t="n"/>
      <c r="F871" s="5" t="n"/>
      <c r="H871" s="4" t="n"/>
    </row>
    <row r="872" ht="14.45" customHeight="1" s="99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99">
      <c r="D943" s="6" t="n"/>
      <c r="F943" s="5" t="n"/>
      <c r="H943" s="4" t="n"/>
    </row>
    <row r="944" ht="14.45" customHeight="1" s="99">
      <c r="D944" s="6" t="n"/>
      <c r="F944" s="5" t="n"/>
      <c r="H944" s="4" t="n"/>
    </row>
    <row r="945" ht="14.45" customHeight="1" s="99">
      <c r="D945" s="6" t="n"/>
      <c r="F945" s="5" t="n"/>
      <c r="H945" s="4" t="n"/>
    </row>
    <row r="946" ht="14.45" customHeight="1" s="99">
      <c r="D946" s="6" t="n"/>
      <c r="F946" s="5" t="n"/>
      <c r="H946" s="4" t="n"/>
    </row>
    <row r="947" ht="14.45" customHeight="1" s="99">
      <c r="D947" s="6" t="n"/>
      <c r="F947" s="5" t="n"/>
      <c r="H947" s="4" t="n"/>
    </row>
    <row r="948" ht="14.45" customHeight="1" s="99">
      <c r="D948" s="6" t="n"/>
      <c r="F948" s="5" t="n"/>
      <c r="H948" s="4" t="n"/>
    </row>
    <row r="949" ht="14.45" customHeight="1" s="99">
      <c r="D949" s="6" t="n"/>
      <c r="F949" s="5" t="n"/>
      <c r="H949" s="4" t="n"/>
    </row>
    <row r="950" ht="14.45" customHeight="1" s="99">
      <c r="D950" s="6" t="n"/>
      <c r="F950" s="5" t="n"/>
      <c r="H950" s="4" t="n"/>
    </row>
    <row r="951" ht="14.45" customHeight="1" s="99">
      <c r="D951" s="6" t="n"/>
      <c r="F951" s="5" t="n"/>
      <c r="H951" s="4" t="n"/>
    </row>
    <row r="952" ht="14.45" customHeight="1" s="99">
      <c r="D952" s="6" t="n"/>
      <c r="F952" s="5" t="n"/>
      <c r="H952" s="4" t="n"/>
    </row>
    <row r="953" ht="14.45" customHeight="1" s="99">
      <c r="D953" s="6" t="n"/>
      <c r="F953" s="5" t="n"/>
      <c r="H953" s="4" t="n"/>
    </row>
    <row r="954" ht="14.45" customHeight="1" s="99">
      <c r="D954" s="6" t="n"/>
      <c r="F954" s="5" t="n"/>
      <c r="H954" s="4" t="n"/>
    </row>
    <row r="955" ht="14.45" customHeight="1" s="99">
      <c r="D955" s="6" t="n"/>
      <c r="F955" s="5" t="n"/>
      <c r="H955" s="4" t="n"/>
    </row>
    <row r="956" ht="14.45" customHeight="1" s="99">
      <c r="D956" s="6" t="n"/>
      <c r="F956" s="5" t="n"/>
      <c r="H956" s="4" t="n"/>
    </row>
    <row r="957" ht="14.45" customHeight="1" s="99">
      <c r="D957" s="6" t="n"/>
      <c r="F957" s="5" t="n"/>
      <c r="H957" s="4" t="n"/>
    </row>
    <row r="958" ht="14.45" customHeight="1" s="99">
      <c r="D958" s="6" t="n"/>
      <c r="F958" s="5" t="n"/>
      <c r="H958" s="4" t="n"/>
    </row>
    <row r="959" ht="14.45" customHeight="1" s="99">
      <c r="D959" s="6" t="n"/>
      <c r="F959" s="5" t="n"/>
      <c r="H959" s="4" t="n"/>
    </row>
    <row r="960" ht="14.45" customHeight="1" s="99">
      <c r="D960" s="6" t="n"/>
      <c r="F960" s="5" t="n"/>
      <c r="H960" s="4" t="n"/>
    </row>
    <row r="961" ht="14.45" customHeight="1" s="99">
      <c r="D961" s="6" t="n"/>
      <c r="F961" s="5" t="n"/>
      <c r="H961" s="4" t="n"/>
    </row>
    <row r="962" ht="14.45" customHeight="1" s="99">
      <c r="D962" s="6" t="n"/>
      <c r="F962" s="5" t="n"/>
      <c r="H962" s="4" t="n"/>
    </row>
    <row r="963" ht="14.45" customHeight="1" s="99">
      <c r="D963" s="6" t="n"/>
      <c r="F963" s="5" t="n"/>
      <c r="H963" s="4" t="n"/>
    </row>
    <row r="964" ht="14.45" customHeight="1" s="99">
      <c r="D964" s="6" t="n"/>
      <c r="F964" s="5" t="n"/>
      <c r="H964" s="4" t="n"/>
    </row>
    <row r="965" ht="14.45" customHeight="1" s="99">
      <c r="D965" s="6" t="n"/>
      <c r="F965" s="5" t="n"/>
      <c r="H965" s="4" t="n"/>
    </row>
    <row r="966" ht="14.45" customHeight="1" s="99">
      <c r="D966" s="6" t="n"/>
      <c r="F966" s="5" t="n"/>
      <c r="H966" s="4" t="n"/>
    </row>
    <row r="967" ht="14.45" customHeight="1" s="99">
      <c r="D967" s="6" t="n"/>
      <c r="F967" s="5" t="n"/>
      <c r="H967" s="4" t="n"/>
    </row>
    <row r="968" ht="14.45" customHeight="1" s="99">
      <c r="D968" s="6" t="n"/>
      <c r="F968" s="5" t="n"/>
      <c r="H968" s="4" t="n"/>
    </row>
    <row r="969" ht="14.45" customHeight="1" s="99">
      <c r="D969" s="6" t="n"/>
      <c r="F969" s="5" t="n"/>
      <c r="H969" s="4" t="n"/>
    </row>
    <row r="970" ht="14.45" customHeight="1" s="99">
      <c r="D970" s="6" t="n"/>
      <c r="F970" s="5" t="n"/>
      <c r="H970" s="4" t="n"/>
    </row>
    <row r="971" ht="14.45" customHeight="1" s="99">
      <c r="D971" s="6" t="n"/>
      <c r="F971" s="5" t="n"/>
      <c r="H971" s="4" t="n"/>
    </row>
    <row r="972" ht="14.45" customHeight="1" s="99">
      <c r="D972" s="6" t="n"/>
      <c r="F972" s="5" t="n"/>
      <c r="H972" s="4" t="n"/>
    </row>
    <row r="973" ht="14.45" customHeight="1" s="99">
      <c r="D973" s="6" t="n"/>
      <c r="F973" s="5" t="n"/>
      <c r="H973" s="4" t="n"/>
    </row>
    <row r="974" ht="14.45" customHeight="1" s="99">
      <c r="D974" s="6" t="n"/>
      <c r="F974" s="5" t="n"/>
      <c r="H974" s="4" t="n"/>
    </row>
    <row r="975" ht="14.45" customHeight="1" s="99">
      <c r="D975" s="6" t="n"/>
      <c r="F975" s="5" t="n"/>
      <c r="H975" s="4" t="n"/>
    </row>
    <row r="976" ht="14.45" customHeight="1" s="99">
      <c r="D976" s="6" t="n"/>
      <c r="F976" s="5" t="n"/>
      <c r="H976" s="4" t="n"/>
    </row>
    <row r="977" ht="14.45" customHeight="1" s="99">
      <c r="D977" s="6" t="n"/>
      <c r="F977" s="5" t="n"/>
      <c r="H977" s="4" t="n"/>
    </row>
    <row r="978" ht="14.45" customHeight="1" s="99">
      <c r="D978" s="6" t="n"/>
      <c r="F978" s="5" t="n"/>
      <c r="H978" s="4" t="n"/>
    </row>
    <row r="979" ht="14.45" customHeight="1" s="99">
      <c r="D979" s="6" t="n"/>
      <c r="F979" s="5" t="n"/>
      <c r="H979" s="4" t="n"/>
    </row>
    <row r="980" ht="14.45" customHeight="1" s="99">
      <c r="D980" s="6" t="n"/>
      <c r="F980" s="5" t="n"/>
      <c r="H980" s="4" t="n"/>
    </row>
    <row r="981" ht="14.45" customHeight="1" s="99">
      <c r="D981" s="6" t="n"/>
      <c r="F981" s="5" t="n"/>
      <c r="H981" s="4" t="n"/>
    </row>
    <row r="982" ht="14.45" customHeight="1" s="99">
      <c r="D982" s="6" t="n"/>
      <c r="F982" s="5" t="n"/>
      <c r="H982" s="4" t="n"/>
    </row>
    <row r="983" ht="14.45" customHeight="1" s="99">
      <c r="D983" s="6" t="n"/>
      <c r="F983" s="5" t="n"/>
      <c r="H983" s="4" t="n"/>
    </row>
    <row r="984" ht="14.45" customHeight="1" s="99">
      <c r="D984" s="6" t="n"/>
      <c r="F984" s="5" t="n"/>
      <c r="H984" s="4" t="n"/>
    </row>
    <row r="985" ht="14.45" customHeight="1" s="99">
      <c r="D985" s="6" t="n"/>
      <c r="F985" s="5" t="n"/>
      <c r="H985" s="4" t="n"/>
    </row>
    <row r="986" ht="14.45" customHeight="1" s="99">
      <c r="D986" s="6" t="n"/>
      <c r="F986" s="5" t="n"/>
      <c r="H986" s="4" t="n"/>
    </row>
    <row r="987" ht="14.45" customHeight="1" s="99">
      <c r="D987" s="6" t="n"/>
      <c r="F987" s="5" t="n"/>
      <c r="H987" s="4" t="n"/>
    </row>
    <row r="988" ht="14.45" customHeight="1" s="99">
      <c r="D988" s="6" t="n"/>
      <c r="F988" s="5" t="n"/>
      <c r="H988" s="4" t="n"/>
    </row>
    <row r="989" ht="14.45" customHeight="1" s="99">
      <c r="D989" s="6" t="n"/>
      <c r="F989" s="5" t="n"/>
      <c r="H989" s="4" t="n"/>
    </row>
    <row r="990" ht="14.45" customHeight="1" s="99">
      <c r="D990" s="6" t="n"/>
      <c r="F990" s="5" t="n"/>
      <c r="H990" s="4" t="n"/>
    </row>
    <row r="991" ht="14.45" customHeight="1" s="99">
      <c r="D991" s="6" t="n"/>
      <c r="F991" s="5" t="n"/>
      <c r="H991" s="4" t="n"/>
    </row>
    <row r="992" ht="14.45" customHeight="1" s="99">
      <c r="D992" s="6" t="n"/>
      <c r="F992" s="5" t="n"/>
      <c r="H992" s="4" t="n"/>
    </row>
    <row r="993" ht="14.45" customHeight="1" s="99">
      <c r="D993" s="6" t="n"/>
      <c r="F993" s="5" t="n"/>
      <c r="H993" s="4" t="n"/>
    </row>
    <row r="994" ht="14.45" customHeight="1" s="99">
      <c r="D994" s="6" t="n"/>
      <c r="F994" s="5" t="n"/>
      <c r="H994" s="4" t="n"/>
    </row>
    <row r="995" ht="14.45" customHeight="1" s="99">
      <c r="D995" s="6" t="n"/>
      <c r="F995" s="5" t="n"/>
      <c r="H995" s="4" t="n"/>
    </row>
    <row r="996" ht="14.45" customHeight="1" s="99">
      <c r="D996" s="6" t="n"/>
      <c r="F996" s="5" t="n"/>
      <c r="H996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topLeftCell="F1" workbookViewId="0">
      <pane ySplit="2" topLeftCell="A3" activePane="bottomLeft" state="frozen"/>
      <selection pane="bottomLeft" activeCell="P2" sqref="P2"/>
    </sheetView>
  </sheetViews>
  <sheetFormatPr baseColWidth="8" defaultColWidth="14.42578125" defaultRowHeight="15" customHeight="1"/>
  <cols>
    <col width="7.7109375" customWidth="1" style="99" min="1" max="1"/>
    <col width="50.7109375" customWidth="1" style="99" min="2" max="2"/>
    <col width="19.42578125" customWidth="1" style="99" min="3" max="18"/>
    <col width="53.7109375" customWidth="1" style="99" min="19" max="19"/>
    <col width="15.140625" customWidth="1" style="99" min="20" max="20"/>
  </cols>
  <sheetData>
    <row r="1" ht="16.5" customHeight="1" s="99">
      <c r="A1" s="92" t="n"/>
      <c r="B1" s="92" t="inlineStr">
        <is>
          <t>AUG 2026 EXPENSES</t>
        </is>
      </c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3" t="n"/>
      <c r="R1" s="93" t="n"/>
      <c r="S1" s="93" t="n"/>
      <c r="T1" s="94" t="n"/>
    </row>
    <row r="2" ht="58.5" customHeight="1" s="99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HOUSE BOOKING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/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/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'ANNUAL-EXPENSE-DETAILS'!V7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/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'ANNUAL-EXPENSE-DETAILS'!U7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/>
      <c r="Q6" s="22" t="n"/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20" t="n">
        <v>117.811659</v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/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/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/>
      <c r="Q10" s="22" t="n"/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/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'ANNUAL-EXPENSE-DETAILS'!V7</f>
        <v/>
      </c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/>
      <c r="Q12" s="22" t="n"/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/>
      <c r="Q13" s="20" t="n"/>
      <c r="R13" s="20">
        <f>SUM(J13:Q13)*$B$2</f>
        <v/>
      </c>
      <c r="S13" s="20" t="inlineStr">
        <is>
          <t>BALANCE IN ACCOUNT ON 31-AUG-2022</t>
        </is>
      </c>
      <c r="T13" s="20" t="n"/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inlineStr">
        <is>
          <t>TOTAL NON MAINTENANCE CORPUS COLLECTION</t>
        </is>
      </c>
      <c r="T14" s="22" t="n"/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/>
      <c r="Q15" s="20" t="n"/>
      <c r="R15" s="20">
        <f>SUM(J15:Q15)*$B$2</f>
        <v/>
      </c>
      <c r="S15" s="20" t="inlineStr">
        <is>
          <t>TOTAL FD DONE</t>
        </is>
      </c>
      <c r="T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AMOUNT AVAILABLE FOR NON MAINTENANCE CORPUS IN CURRENT AC</t>
        </is>
      </c>
      <c r="T16" s="22">
        <f>T14-T15</f>
        <v/>
      </c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/>
      <c r="Q17" s="20" t="n"/>
      <c r="R17" s="20">
        <f>SUM(J17:Q17)*$B$2</f>
        <v/>
      </c>
      <c r="S17" s="20" t="inlineStr">
        <is>
          <t>AMOUNT AVAILABLE FOR MAINTENANCE</t>
        </is>
      </c>
      <c r="T17" s="20">
        <f>T13-T16</f>
        <v/>
      </c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/>
      <c r="Q18" s="22" t="n"/>
      <c r="R18" s="22">
        <f>SUM(J18:Q18)*$B$2</f>
        <v/>
      </c>
      <c r="S18" s="22" t="n"/>
      <c r="T18" s="22" t="n"/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n"/>
      <c r="T19" s="20" t="n"/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/>
      <c r="Q20" s="22" t="n"/>
      <c r="R20" s="22">
        <f>SUM(J20:Q20)*$B$2</f>
        <v/>
      </c>
      <c r="S20" s="22" t="inlineStr">
        <is>
          <t>TOTAL WATER METER RENT (INR)</t>
        </is>
      </c>
      <c r="T20" s="22">
        <f>I70</f>
        <v/>
      </c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/>
      <c r="Q24" s="22" t="n"/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/>
      <c r="Q25" s="20" t="n"/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/>
      <c r="Q26" s="22" t="n"/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/>
      <c r="Q27" s="20" t="n"/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/>
      <c r="Q28" s="22" t="n"/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/>
      <c r="Q30" s="22" t="n"/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/>
      <c r="Q31" s="20" t="n"/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/>
      <c r="Q32" s="22" t="n"/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/>
      <c r="Q33" s="20" t="n"/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/>
      <c r="Q34" s="22" t="n"/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/>
      <c r="Q35" s="20" t="n"/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/>
      <c r="Q37" s="20" t="n"/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/>
      <c r="Q38" s="22" t="n"/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/>
      <c r="Q40" s="22" t="n"/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/>
      <c r="Q41" s="20" t="n"/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/>
      <c r="Q43" s="20" t="n"/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/>
      <c r="Q44" s="22" t="n"/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/>
      <c r="Q45" s="20" t="n"/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/>
      <c r="Q46" s="22" t="n"/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/>
      <c r="Q50" s="22" t="n"/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/>
      <c r="Q52" s="22" t="n"/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/>
      <c r="Q53" s="20" t="n"/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/>
      <c r="Q54" s="22" t="n"/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/>
      <c r="Q55" s="20" t="n"/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/>
      <c r="Q56" s="22" t="n"/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/>
      <c r="Q57" s="20" t="n"/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/>
      <c r="Q59" s="20" t="n"/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/>
      <c r="Q62" s="22" t="n"/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/>
      <c r="Q63" s="20" t="n"/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/>
      <c r="Q65" s="20" t="n"/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/>
      <c r="Q66" s="22" t="n"/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/>
      <c r="Q67" s="20" t="n"/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99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6" t="n"/>
      <c r="D4" s="29" t="n"/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/>
      <c r="D7" s="32" t="n"/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0" t="n"/>
      <c r="D9" s="32" t="n"/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/>
      <c r="D16" s="29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2" t="n"/>
      <c r="D24" s="29" t="n"/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2" t="n"/>
      <c r="D28" s="29" t="n"/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0" t="n"/>
      <c r="D29" s="32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2" t="n"/>
      <c r="D40" s="29" t="n"/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2" t="n"/>
      <c r="D48" s="29" t="n"/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/>
      <c r="D50" s="29" t="n"/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2" t="n"/>
      <c r="D52" s="29" t="n"/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6" t="n"/>
      <c r="D62" s="28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6" t="n"/>
      <c r="E66" s="35" t="n"/>
      <c r="F66" s="46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6" t="n"/>
      <c r="F67" s="5" t="n"/>
      <c r="H67" s="4" t="n"/>
    </row>
    <row r="68" ht="14.45" customHeight="1" s="99">
      <c r="D68" s="6" t="n"/>
      <c r="F68" s="5" t="n"/>
      <c r="H68" s="4" t="n"/>
    </row>
    <row r="69" ht="14.45" customHeight="1" s="99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99">
      <c r="D140" s="6" t="n"/>
      <c r="F140" s="5" t="n"/>
      <c r="H140" s="4" t="n"/>
    </row>
    <row r="141" ht="14.45" customHeight="1" s="99">
      <c r="D141" s="6" t="n"/>
      <c r="F141" s="5" t="n"/>
      <c r="H141" s="4" t="n"/>
    </row>
    <row r="142" ht="14.45" customHeight="1" s="99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99">
      <c r="D213" s="6" t="n"/>
      <c r="F213" s="5" t="n"/>
      <c r="H213" s="4" t="n"/>
    </row>
    <row r="214" ht="14.45" customHeight="1" s="99">
      <c r="D214" s="6" t="n"/>
      <c r="F214" s="5" t="n"/>
      <c r="H214" s="4" t="n"/>
    </row>
    <row r="215" ht="14.45" customHeight="1" s="99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99">
      <c r="D286" s="6" t="n"/>
      <c r="F286" s="5" t="n"/>
      <c r="H286" s="4" t="n"/>
    </row>
    <row r="287" ht="14.45" customHeight="1" s="99">
      <c r="D287" s="6" t="n"/>
      <c r="F287" s="5" t="n"/>
      <c r="H287" s="4" t="n"/>
    </row>
    <row r="288" ht="14.45" customHeight="1" s="99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99">
      <c r="D359" s="6" t="n"/>
      <c r="F359" s="5" t="n"/>
      <c r="H359" s="4" t="n"/>
    </row>
    <row r="360" ht="14.45" customHeight="1" s="99">
      <c r="D360" s="6" t="n"/>
      <c r="F360" s="5" t="n"/>
      <c r="H360" s="4" t="n"/>
    </row>
    <row r="361" ht="14.45" customHeight="1" s="99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99">
      <c r="D432" s="6" t="n"/>
      <c r="F432" s="5" t="n"/>
      <c r="H432" s="4" t="n"/>
    </row>
    <row r="433" ht="14.45" customHeight="1" s="99">
      <c r="D433" s="6" t="n"/>
      <c r="F433" s="5" t="n"/>
      <c r="H433" s="4" t="n"/>
    </row>
    <row r="434" ht="14.45" customHeight="1" s="99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99">
      <c r="D505" s="6" t="n"/>
      <c r="F505" s="5" t="n"/>
      <c r="H505" s="4" t="n"/>
    </row>
    <row r="506" ht="14.45" customHeight="1" s="99">
      <c r="D506" s="6" t="n"/>
      <c r="F506" s="5" t="n"/>
      <c r="H506" s="4" t="n"/>
    </row>
    <row r="507" ht="14.45" customHeight="1" s="99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99">
      <c r="D578" s="6" t="n"/>
      <c r="F578" s="5" t="n"/>
      <c r="H578" s="4" t="n"/>
    </row>
    <row r="579" ht="14.45" customHeight="1" s="99">
      <c r="D579" s="6" t="n"/>
      <c r="F579" s="5" t="n"/>
      <c r="H579" s="4" t="n"/>
    </row>
    <row r="580" ht="14.45" customHeight="1" s="99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99">
      <c r="D651" s="6" t="n"/>
      <c r="F651" s="5" t="n"/>
      <c r="H651" s="4" t="n"/>
    </row>
    <row r="652" ht="14.45" customHeight="1" s="99">
      <c r="D652" s="6" t="n"/>
      <c r="F652" s="5" t="n"/>
      <c r="H652" s="4" t="n"/>
    </row>
    <row r="653" ht="14.45" customHeight="1" s="99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99">
      <c r="D724" s="6" t="n"/>
      <c r="F724" s="5" t="n"/>
      <c r="H724" s="4" t="n"/>
    </row>
    <row r="725" ht="14.45" customHeight="1" s="99">
      <c r="D725" s="6" t="n"/>
      <c r="F725" s="5" t="n"/>
      <c r="H725" s="4" t="n"/>
    </row>
    <row r="726" ht="14.45" customHeight="1" s="99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99">
      <c r="D797" s="6" t="n"/>
      <c r="F797" s="5" t="n"/>
      <c r="H797" s="4" t="n"/>
    </row>
    <row r="798" ht="14.45" customHeight="1" s="99">
      <c r="D798" s="6" t="n"/>
      <c r="F798" s="5" t="n"/>
      <c r="H798" s="4" t="n"/>
    </row>
    <row r="799" ht="14.45" customHeight="1" s="99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99">
      <c r="D870" s="6" t="n"/>
      <c r="F870" s="5" t="n"/>
      <c r="H870" s="4" t="n"/>
    </row>
    <row r="871" ht="14.45" customHeight="1" s="99">
      <c r="D871" s="6" t="n"/>
      <c r="F871" s="5" t="n"/>
      <c r="H871" s="4" t="n"/>
    </row>
    <row r="872" ht="14.45" customHeight="1" s="99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99">
      <c r="D943" s="6" t="n"/>
      <c r="F943" s="5" t="n"/>
      <c r="H943" s="4" t="n"/>
    </row>
    <row r="944" ht="14.45" customHeight="1" s="99">
      <c r="D944" s="6" t="n"/>
      <c r="F944" s="5" t="n"/>
      <c r="H944" s="4" t="n"/>
    </row>
    <row r="945" ht="14.45" customHeight="1" s="99">
      <c r="D945" s="6" t="n"/>
      <c r="F945" s="5" t="n"/>
      <c r="H945" s="4" t="n"/>
    </row>
    <row r="946" ht="14.45" customHeight="1" s="99">
      <c r="D946" s="6" t="n"/>
      <c r="F946" s="5" t="n"/>
      <c r="H946" s="4" t="n"/>
    </row>
    <row r="947" ht="14.45" customHeight="1" s="99">
      <c r="D947" s="6" t="n"/>
      <c r="F947" s="5" t="n"/>
      <c r="H947" s="4" t="n"/>
    </row>
    <row r="948" ht="14.45" customHeight="1" s="99">
      <c r="D948" s="6" t="n"/>
      <c r="F948" s="5" t="n"/>
      <c r="H948" s="4" t="n"/>
    </row>
    <row r="949" ht="14.45" customHeight="1" s="99">
      <c r="D949" s="6" t="n"/>
      <c r="F949" s="5" t="n"/>
      <c r="H949" s="4" t="n"/>
    </row>
    <row r="950" ht="14.45" customHeight="1" s="99">
      <c r="D950" s="6" t="n"/>
      <c r="F950" s="5" t="n"/>
      <c r="H950" s="4" t="n"/>
    </row>
    <row r="951" ht="14.45" customHeight="1" s="99">
      <c r="D951" s="6" t="n"/>
      <c r="F951" s="5" t="n"/>
      <c r="H951" s="4" t="n"/>
    </row>
    <row r="952" ht="14.45" customHeight="1" s="99">
      <c r="D952" s="6" t="n"/>
      <c r="F952" s="5" t="n"/>
      <c r="H952" s="4" t="n"/>
    </row>
    <row r="953" ht="14.45" customHeight="1" s="99">
      <c r="D953" s="6" t="n"/>
      <c r="F953" s="5" t="n"/>
      <c r="H953" s="4" t="n"/>
    </row>
    <row r="954" ht="14.45" customHeight="1" s="99">
      <c r="D954" s="6" t="n"/>
      <c r="F954" s="5" t="n"/>
      <c r="H954" s="4" t="n"/>
    </row>
    <row r="955" ht="14.45" customHeight="1" s="99">
      <c r="D955" s="6" t="n"/>
      <c r="F955" s="5" t="n"/>
      <c r="H955" s="4" t="n"/>
    </row>
    <row r="956" ht="14.45" customHeight="1" s="99">
      <c r="D956" s="6" t="n"/>
      <c r="F956" s="5" t="n"/>
      <c r="H956" s="4" t="n"/>
    </row>
    <row r="957" ht="14.45" customHeight="1" s="99">
      <c r="D957" s="6" t="n"/>
      <c r="F957" s="5" t="n"/>
      <c r="H957" s="4" t="n"/>
    </row>
    <row r="958" ht="14.45" customHeight="1" s="99">
      <c r="D958" s="6" t="n"/>
      <c r="F958" s="5" t="n"/>
      <c r="H958" s="4" t="n"/>
    </row>
    <row r="959" ht="14.45" customHeight="1" s="99">
      <c r="D959" s="6" t="n"/>
      <c r="F959" s="5" t="n"/>
      <c r="H959" s="4" t="n"/>
    </row>
    <row r="960" ht="14.45" customHeight="1" s="99">
      <c r="D960" s="6" t="n"/>
      <c r="F960" s="5" t="n"/>
      <c r="H960" s="4" t="n"/>
    </row>
    <row r="961" ht="14.45" customHeight="1" s="99">
      <c r="D961" s="6" t="n"/>
      <c r="F961" s="5" t="n"/>
      <c r="H961" s="4" t="n"/>
    </row>
    <row r="962" ht="14.45" customHeight="1" s="99">
      <c r="D962" s="6" t="n"/>
      <c r="F962" s="5" t="n"/>
      <c r="H962" s="4" t="n"/>
    </row>
    <row r="963" ht="14.45" customHeight="1" s="99">
      <c r="D963" s="6" t="n"/>
      <c r="F963" s="5" t="n"/>
      <c r="H963" s="4" t="n"/>
    </row>
    <row r="964" ht="14.45" customHeight="1" s="99">
      <c r="D964" s="6" t="n"/>
      <c r="F964" s="5" t="n"/>
      <c r="H964" s="4" t="n"/>
    </row>
    <row r="965" ht="14.45" customHeight="1" s="99">
      <c r="D965" s="6" t="n"/>
      <c r="F965" s="5" t="n"/>
      <c r="H965" s="4" t="n"/>
    </row>
    <row r="966" ht="14.45" customHeight="1" s="99">
      <c r="D966" s="6" t="n"/>
      <c r="F966" s="5" t="n"/>
      <c r="H966" s="4" t="n"/>
    </row>
    <row r="967" ht="14.45" customHeight="1" s="99">
      <c r="D967" s="6" t="n"/>
      <c r="F967" s="5" t="n"/>
      <c r="H967" s="4" t="n"/>
    </row>
    <row r="968" ht="14.45" customHeight="1" s="99">
      <c r="D968" s="6" t="n"/>
      <c r="F968" s="5" t="n"/>
      <c r="H968" s="4" t="n"/>
    </row>
    <row r="969" ht="14.45" customHeight="1" s="99">
      <c r="D969" s="6" t="n"/>
      <c r="F969" s="5" t="n"/>
      <c r="H969" s="4" t="n"/>
    </row>
    <row r="970" ht="14.45" customHeight="1" s="99">
      <c r="D970" s="6" t="n"/>
      <c r="F970" s="5" t="n"/>
      <c r="H970" s="4" t="n"/>
    </row>
    <row r="971" ht="14.45" customHeight="1" s="99">
      <c r="D971" s="6" t="n"/>
      <c r="F971" s="5" t="n"/>
      <c r="H971" s="4" t="n"/>
    </row>
    <row r="972" ht="14.45" customHeight="1" s="99">
      <c r="D972" s="6" t="n"/>
      <c r="F972" s="5" t="n"/>
      <c r="H972" s="4" t="n"/>
    </row>
    <row r="973" ht="14.45" customHeight="1" s="99">
      <c r="D973" s="6" t="n"/>
      <c r="F973" s="5" t="n"/>
      <c r="H973" s="4" t="n"/>
    </row>
    <row r="974" ht="14.45" customHeight="1" s="99">
      <c r="D974" s="6" t="n"/>
      <c r="F974" s="5" t="n"/>
      <c r="H974" s="4" t="n"/>
    </row>
    <row r="975" ht="14.45" customHeight="1" s="99">
      <c r="D975" s="6" t="n"/>
      <c r="F975" s="5" t="n"/>
      <c r="H975" s="4" t="n"/>
    </row>
    <row r="976" ht="14.45" customHeight="1" s="99">
      <c r="D976" s="6" t="n"/>
      <c r="F976" s="5" t="n"/>
      <c r="H976" s="4" t="n"/>
    </row>
    <row r="977" ht="14.45" customHeight="1" s="99">
      <c r="D977" s="6" t="n"/>
      <c r="F977" s="5" t="n"/>
      <c r="H977" s="4" t="n"/>
    </row>
    <row r="978" ht="14.45" customHeight="1" s="99">
      <c r="D978" s="6" t="n"/>
      <c r="F978" s="5" t="n"/>
      <c r="H978" s="4" t="n"/>
    </row>
    <row r="979" ht="14.45" customHeight="1" s="99">
      <c r="D979" s="6" t="n"/>
      <c r="F979" s="5" t="n"/>
      <c r="H979" s="4" t="n"/>
    </row>
    <row r="980" ht="14.45" customHeight="1" s="99">
      <c r="D980" s="6" t="n"/>
      <c r="F980" s="5" t="n"/>
      <c r="H980" s="4" t="n"/>
    </row>
    <row r="981" ht="14.45" customHeight="1" s="99">
      <c r="D981" s="6" t="n"/>
      <c r="F981" s="5" t="n"/>
      <c r="H981" s="4" t="n"/>
    </row>
    <row r="982" ht="14.45" customHeight="1" s="99">
      <c r="D982" s="6" t="n"/>
      <c r="F982" s="5" t="n"/>
      <c r="H982" s="4" t="n"/>
    </row>
    <row r="983" ht="14.45" customHeight="1" s="99">
      <c r="D983" s="6" t="n"/>
      <c r="F983" s="5" t="n"/>
      <c r="H983" s="4" t="n"/>
    </row>
    <row r="984" ht="14.45" customHeight="1" s="99">
      <c r="D984" s="6" t="n"/>
      <c r="F984" s="5" t="n"/>
      <c r="H984" s="4" t="n"/>
    </row>
    <row r="985" ht="14.45" customHeight="1" s="99">
      <c r="D985" s="6" t="n"/>
      <c r="F985" s="5" t="n"/>
      <c r="H985" s="4" t="n"/>
    </row>
    <row r="986" ht="14.45" customHeight="1" s="99">
      <c r="D986" s="6" t="n"/>
      <c r="F986" s="5" t="n"/>
      <c r="H986" s="4" t="n"/>
    </row>
    <row r="987" ht="14.45" customHeight="1" s="99">
      <c r="D987" s="6" t="n"/>
      <c r="F987" s="5" t="n"/>
      <c r="H987" s="4" t="n"/>
    </row>
    <row r="988" ht="14.45" customHeight="1" s="99">
      <c r="D988" s="6" t="n"/>
      <c r="F988" s="5" t="n"/>
      <c r="H988" s="4" t="n"/>
    </row>
    <row r="989" ht="14.45" customHeight="1" s="99">
      <c r="D989" s="6" t="n"/>
      <c r="F989" s="5" t="n"/>
      <c r="H989" s="4" t="n"/>
    </row>
    <row r="990" ht="14.45" customHeight="1" s="99">
      <c r="D990" s="6" t="n"/>
      <c r="F990" s="5" t="n"/>
      <c r="H990" s="4" t="n"/>
    </row>
    <row r="991" ht="14.45" customHeight="1" s="99">
      <c r="D991" s="6" t="n"/>
      <c r="F991" s="5" t="n"/>
      <c r="H991" s="4" t="n"/>
    </row>
    <row r="992" ht="14.45" customHeight="1" s="99">
      <c r="D992" s="6" t="n"/>
      <c r="F992" s="5" t="n"/>
      <c r="H992" s="4" t="n"/>
    </row>
    <row r="993" ht="14.45" customHeight="1" s="99">
      <c r="D993" s="6" t="n"/>
      <c r="F993" s="5" t="n"/>
      <c r="H993" s="4" t="n"/>
    </row>
    <row r="994" ht="14.45" customHeight="1" s="99">
      <c r="D994" s="6" t="n"/>
      <c r="F994" s="5" t="n"/>
      <c r="H994" s="4" t="n"/>
    </row>
    <row r="995" ht="14.45" customHeight="1" s="99">
      <c r="D995" s="6" t="n"/>
      <c r="F995" s="5" t="n"/>
      <c r="H995" s="4" t="n"/>
    </row>
    <row r="996" ht="14.45" customHeight="1" s="99">
      <c r="D996" s="6" t="n"/>
      <c r="F996" s="5" t="n"/>
      <c r="H996" s="4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topLeftCell="G1" workbookViewId="0">
      <pane ySplit="2" topLeftCell="A3" activePane="bottomLeft" state="frozen"/>
      <selection pane="bottomLeft" activeCell="P2" sqref="P2"/>
    </sheetView>
  </sheetViews>
  <sheetFormatPr baseColWidth="8" defaultColWidth="14.42578125" defaultRowHeight="15" customHeight="1"/>
  <cols>
    <col width="7.7109375" customWidth="1" style="99" min="1" max="1"/>
    <col width="43.140625" customWidth="1" style="99" min="2" max="2"/>
    <col width="17.42578125" customWidth="1" style="99" min="3" max="10"/>
    <col width="12.7109375" customWidth="1" style="99" min="11" max="11"/>
    <col width="15" customWidth="1" style="99" min="12" max="12"/>
    <col width="14.7109375" customWidth="1" style="99" min="13" max="13"/>
    <col width="14.42578125" customWidth="1" style="99" min="14" max="14"/>
    <col width="13.7109375" customWidth="1" style="99" min="15" max="15"/>
    <col width="14.28515625" customWidth="1" style="99" min="16" max="18"/>
    <col width="53.42578125" customWidth="1" style="99" min="19" max="19"/>
    <col width="15.140625" customWidth="1" style="99" min="20" max="20"/>
  </cols>
  <sheetData>
    <row r="1" ht="16.5" customHeight="1" s="99">
      <c r="A1" s="95" t="n"/>
      <c r="B1" s="95" t="inlineStr">
        <is>
          <t>SEPTEMBER 2026 EXPENSES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7" t="n"/>
    </row>
    <row r="2" ht="58.5" customHeight="1" s="99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 (INR)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HOUSE BOOKING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'ANNUAL-EXPENSE-DETAILS'!V8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'ANNUAL-EXPENSE-DETAILS'!U8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20" t="n">
        <v>117.811659</v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 (INR)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'ANNUAL-EXPENSE-DETAILS'!V8</f>
        <v/>
      </c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n"/>
      <c r="T13" s="20" t="n"/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n"/>
      <c r="T14" s="22" t="n"/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BALANCE IN ACCOUNT ON 30-SEP-2022</t>
        </is>
      </c>
      <c r="T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TOTAL NON MAINTENANCE CORPUS COLLECTION</t>
        </is>
      </c>
      <c r="T16" s="22" t="n"/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TOTAL FD DONE</t>
        </is>
      </c>
      <c r="T17" s="20" t="n"/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/>
      <c r="R18" s="22">
        <f>SUM(J18:Q18)*$B$2</f>
        <v/>
      </c>
      <c r="S18" s="22" t="inlineStr">
        <is>
          <t>AMOUNT AVAILABLE FOR NON MAINTENANCE CORPUS IN CURRENT AC</t>
        </is>
      </c>
      <c r="T18" s="22">
        <f>T16-T17</f>
        <v/>
      </c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inlineStr">
        <is>
          <t>AMOUNT AVAILABLE FOR MAINTENANCE</t>
        </is>
      </c>
      <c r="T19" s="20">
        <f>T15-T18</f>
        <v/>
      </c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inlineStr">
        <is>
          <t>TOTAL EXPENSE FOR THE MONTH</t>
        </is>
      </c>
      <c r="T20" s="22">
        <f>'ANNUAL-EXPENSE-DETAILS'!X8</f>
        <v/>
      </c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/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/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/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/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/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99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6" t="n"/>
      <c r="D4" s="29" t="n"/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/>
      <c r="D7" s="32" t="n"/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0" t="n"/>
      <c r="D9" s="32" t="n"/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/>
      <c r="D16" s="29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2" t="n"/>
      <c r="D24" s="29" t="n"/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2" t="n"/>
      <c r="D28" s="29" t="inlineStr">
        <is>
          <t>9-Sep-0205</t>
        </is>
      </c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0" t="n"/>
      <c r="D29" s="32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49" t="n"/>
      <c r="D30" s="29" t="n"/>
      <c r="E30" s="26" t="n"/>
      <c r="F30" s="29" t="n"/>
      <c r="G30" s="26" t="n"/>
      <c r="H30" s="37" t="n"/>
      <c r="I30" s="26" t="n"/>
      <c r="J30" s="26" t="n"/>
      <c r="K30" s="49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2" t="n"/>
      <c r="D40" s="29" t="n"/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2" t="n"/>
      <c r="D48" s="29" t="n"/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/>
      <c r="D50" s="30" t="n"/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2" t="n"/>
      <c r="D52" s="29" t="n"/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6" t="n"/>
      <c r="D62" s="28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6" t="n"/>
      <c r="E66" s="35" t="n"/>
      <c r="F66" s="46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6" t="n"/>
      <c r="F67" s="5" t="n"/>
      <c r="H67" s="4" t="n"/>
    </row>
    <row r="68" ht="14.45" customHeight="1" s="99">
      <c r="D68" s="6" t="n"/>
      <c r="F68" s="5" t="n"/>
      <c r="H68" s="4" t="n"/>
    </row>
    <row r="69" ht="14.45" customHeight="1" s="99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99">
      <c r="D140" s="6" t="n"/>
      <c r="F140" s="5" t="n"/>
      <c r="H140" s="4" t="n"/>
    </row>
    <row r="141" ht="14.45" customHeight="1" s="99">
      <c r="D141" s="6" t="n"/>
      <c r="F141" s="5" t="n"/>
      <c r="H141" s="4" t="n"/>
    </row>
    <row r="142" ht="14.45" customHeight="1" s="99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99">
      <c r="D213" s="6" t="n"/>
      <c r="F213" s="5" t="n"/>
      <c r="H213" s="4" t="n"/>
    </row>
    <row r="214" ht="14.45" customHeight="1" s="99">
      <c r="D214" s="6" t="n"/>
      <c r="F214" s="5" t="n"/>
      <c r="H214" s="4" t="n"/>
    </row>
    <row r="215" ht="14.45" customHeight="1" s="99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99">
      <c r="D286" s="6" t="n"/>
      <c r="F286" s="5" t="n"/>
      <c r="H286" s="4" t="n"/>
    </row>
    <row r="287" ht="14.45" customHeight="1" s="99">
      <c r="D287" s="6" t="n"/>
      <c r="F287" s="5" t="n"/>
      <c r="H287" s="4" t="n"/>
    </row>
    <row r="288" ht="14.45" customHeight="1" s="99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99">
      <c r="D359" s="6" t="n"/>
      <c r="F359" s="5" t="n"/>
      <c r="H359" s="4" t="n"/>
    </row>
    <row r="360" ht="14.45" customHeight="1" s="99">
      <c r="D360" s="6" t="n"/>
      <c r="F360" s="5" t="n"/>
      <c r="H360" s="4" t="n"/>
    </row>
    <row r="361" ht="14.45" customHeight="1" s="99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99">
      <c r="D432" s="6" t="n"/>
      <c r="F432" s="5" t="n"/>
      <c r="H432" s="4" t="n"/>
    </row>
    <row r="433" ht="14.45" customHeight="1" s="99">
      <c r="D433" s="6" t="n"/>
      <c r="F433" s="5" t="n"/>
      <c r="H433" s="4" t="n"/>
    </row>
    <row r="434" ht="14.45" customHeight="1" s="99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99">
      <c r="D505" s="6" t="n"/>
      <c r="F505" s="5" t="n"/>
      <c r="H505" s="4" t="n"/>
    </row>
    <row r="506" ht="14.45" customHeight="1" s="99">
      <c r="D506" s="6" t="n"/>
      <c r="F506" s="5" t="n"/>
      <c r="H506" s="4" t="n"/>
    </row>
    <row r="507" ht="14.45" customHeight="1" s="99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99">
      <c r="D578" s="6" t="n"/>
      <c r="F578" s="5" t="n"/>
      <c r="H578" s="4" t="n"/>
    </row>
    <row r="579" ht="14.45" customHeight="1" s="99">
      <c r="D579" s="6" t="n"/>
      <c r="F579" s="5" t="n"/>
      <c r="H579" s="4" t="n"/>
    </row>
    <row r="580" ht="14.45" customHeight="1" s="99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99">
      <c r="D651" s="6" t="n"/>
      <c r="F651" s="5" t="n"/>
      <c r="H651" s="4" t="n"/>
    </row>
    <row r="652" ht="14.45" customHeight="1" s="99">
      <c r="D652" s="6" t="n"/>
      <c r="F652" s="5" t="n"/>
      <c r="H652" s="4" t="n"/>
    </row>
    <row r="653" ht="14.45" customHeight="1" s="99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99">
      <c r="D724" s="6" t="n"/>
      <c r="F724" s="5" t="n"/>
      <c r="H724" s="4" t="n"/>
    </row>
    <row r="725" ht="14.45" customHeight="1" s="99">
      <c r="D725" s="6" t="n"/>
      <c r="F725" s="5" t="n"/>
      <c r="H725" s="4" t="n"/>
    </row>
    <row r="726" ht="14.45" customHeight="1" s="99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99">
      <c r="D797" s="6" t="n"/>
      <c r="F797" s="5" t="n"/>
      <c r="H797" s="4" t="n"/>
    </row>
    <row r="798" ht="14.45" customHeight="1" s="99">
      <c r="D798" s="6" t="n"/>
      <c r="F798" s="5" t="n"/>
      <c r="H798" s="4" t="n"/>
    </row>
    <row r="799" ht="14.45" customHeight="1" s="99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99">
      <c r="D870" s="6" t="n"/>
      <c r="F870" s="5" t="n"/>
      <c r="H870" s="4" t="n"/>
    </row>
    <row r="871" ht="14.45" customHeight="1" s="99">
      <c r="D871" s="6" t="n"/>
      <c r="F871" s="5" t="n"/>
      <c r="H871" s="4" t="n"/>
    </row>
    <row r="872" ht="14.45" customHeight="1" s="99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99">
      <c r="D943" s="6" t="n"/>
      <c r="F943" s="5" t="n"/>
      <c r="H943" s="4" t="n"/>
    </row>
    <row r="944" ht="14.45" customHeight="1" s="99">
      <c r="D944" s="6" t="n"/>
      <c r="F944" s="5" t="n"/>
      <c r="H944" s="4" t="n"/>
    </row>
    <row r="945" ht="14.45" customHeight="1" s="99">
      <c r="D945" s="6" t="n"/>
      <c r="F945" s="5" t="n"/>
      <c r="H945" s="4" t="n"/>
    </row>
    <row r="946" ht="14.45" customHeight="1" s="99">
      <c r="D946" s="6" t="n"/>
      <c r="F946" s="5" t="n"/>
      <c r="H946" s="4" t="n"/>
    </row>
    <row r="947" ht="14.45" customHeight="1" s="99">
      <c r="D947" s="6" t="n"/>
      <c r="F947" s="5" t="n"/>
      <c r="H947" s="4" t="n"/>
    </row>
    <row r="948" ht="14.45" customHeight="1" s="99">
      <c r="D948" s="6" t="n"/>
      <c r="F948" s="5" t="n"/>
      <c r="H948" s="4" t="n"/>
    </row>
    <row r="949" ht="14.45" customHeight="1" s="99">
      <c r="D949" s="6" t="n"/>
      <c r="F949" s="5" t="n"/>
      <c r="H949" s="4" t="n"/>
    </row>
    <row r="950" ht="14.45" customHeight="1" s="99">
      <c r="D950" s="6" t="n"/>
      <c r="F950" s="5" t="n"/>
      <c r="H950" s="4" t="n"/>
    </row>
    <row r="951" ht="14.45" customHeight="1" s="99">
      <c r="D951" s="6" t="n"/>
      <c r="F951" s="5" t="n"/>
      <c r="H951" s="4" t="n"/>
    </row>
    <row r="952" ht="14.45" customHeight="1" s="99">
      <c r="D952" s="6" t="n"/>
      <c r="F952" s="5" t="n"/>
      <c r="H952" s="4" t="n"/>
    </row>
    <row r="953" ht="14.45" customHeight="1" s="99">
      <c r="D953" s="6" t="n"/>
      <c r="F953" s="5" t="n"/>
      <c r="H953" s="4" t="n"/>
    </row>
    <row r="954" ht="14.45" customHeight="1" s="99">
      <c r="D954" s="6" t="n"/>
      <c r="F954" s="5" t="n"/>
      <c r="H954" s="4" t="n"/>
    </row>
    <row r="955" ht="14.45" customHeight="1" s="99">
      <c r="D955" s="6" t="n"/>
      <c r="F955" s="5" t="n"/>
      <c r="H955" s="4" t="n"/>
    </row>
    <row r="956" ht="14.45" customHeight="1" s="99">
      <c r="D956" s="6" t="n"/>
      <c r="F956" s="5" t="n"/>
      <c r="H956" s="4" t="n"/>
    </row>
    <row r="957" ht="14.45" customHeight="1" s="99">
      <c r="D957" s="6" t="n"/>
      <c r="F957" s="5" t="n"/>
      <c r="H957" s="4" t="n"/>
    </row>
    <row r="958" ht="14.45" customHeight="1" s="99">
      <c r="D958" s="6" t="n"/>
      <c r="F958" s="5" t="n"/>
      <c r="H958" s="4" t="n"/>
    </row>
    <row r="959" ht="14.45" customHeight="1" s="99">
      <c r="D959" s="6" t="n"/>
      <c r="F959" s="5" t="n"/>
      <c r="H959" s="4" t="n"/>
    </row>
    <row r="960" ht="14.45" customHeight="1" s="99">
      <c r="D960" s="6" t="n"/>
      <c r="F960" s="5" t="n"/>
      <c r="H960" s="4" t="n"/>
    </row>
    <row r="961" ht="14.45" customHeight="1" s="99">
      <c r="D961" s="6" t="n"/>
      <c r="F961" s="5" t="n"/>
      <c r="H961" s="4" t="n"/>
    </row>
    <row r="962" ht="14.45" customHeight="1" s="99">
      <c r="D962" s="6" t="n"/>
      <c r="F962" s="5" t="n"/>
      <c r="H962" s="4" t="n"/>
    </row>
    <row r="963" ht="14.45" customHeight="1" s="99">
      <c r="D963" s="6" t="n"/>
      <c r="F963" s="5" t="n"/>
      <c r="H963" s="4" t="n"/>
    </row>
    <row r="964" ht="14.45" customHeight="1" s="99">
      <c r="D964" s="6" t="n"/>
      <c r="F964" s="5" t="n"/>
      <c r="H964" s="4" t="n"/>
    </row>
    <row r="965" ht="14.45" customHeight="1" s="99">
      <c r="D965" s="6" t="n"/>
      <c r="F965" s="5" t="n"/>
      <c r="H965" s="4" t="n"/>
    </row>
    <row r="966" ht="14.45" customHeight="1" s="99">
      <c r="D966" s="6" t="n"/>
      <c r="F966" s="5" t="n"/>
      <c r="H966" s="4" t="n"/>
    </row>
    <row r="967" ht="14.45" customHeight="1" s="99">
      <c r="D967" s="6" t="n"/>
      <c r="F967" s="5" t="n"/>
      <c r="H967" s="4" t="n"/>
    </row>
    <row r="968" ht="14.45" customHeight="1" s="99">
      <c r="D968" s="6" t="n"/>
      <c r="F968" s="5" t="n"/>
      <c r="H968" s="4" t="n"/>
    </row>
    <row r="969" ht="14.45" customHeight="1" s="99">
      <c r="D969" s="6" t="n"/>
      <c r="F969" s="5" t="n"/>
      <c r="H969" s="4" t="n"/>
    </row>
    <row r="970" ht="14.45" customHeight="1" s="99">
      <c r="D970" s="6" t="n"/>
      <c r="F970" s="5" t="n"/>
      <c r="H970" s="4" t="n"/>
    </row>
    <row r="971" ht="14.45" customHeight="1" s="99">
      <c r="D971" s="6" t="n"/>
      <c r="F971" s="5" t="n"/>
      <c r="H971" s="4" t="n"/>
    </row>
    <row r="972" ht="14.45" customHeight="1" s="99">
      <c r="D972" s="6" t="n"/>
      <c r="F972" s="5" t="n"/>
      <c r="H972" s="4" t="n"/>
    </row>
    <row r="973" ht="14.45" customHeight="1" s="99">
      <c r="D973" s="6" t="n"/>
      <c r="F973" s="5" t="n"/>
      <c r="H973" s="4" t="n"/>
    </row>
    <row r="974" ht="14.45" customHeight="1" s="99">
      <c r="D974" s="6" t="n"/>
      <c r="F974" s="5" t="n"/>
      <c r="H974" s="4" t="n"/>
    </row>
    <row r="975" ht="14.45" customHeight="1" s="99">
      <c r="D975" s="6" t="n"/>
      <c r="F975" s="5" t="n"/>
      <c r="H975" s="4" t="n"/>
    </row>
    <row r="976" ht="14.45" customHeight="1" s="99">
      <c r="D976" s="6" t="n"/>
      <c r="F976" s="5" t="n"/>
      <c r="H976" s="4" t="n"/>
    </row>
    <row r="977" ht="14.45" customHeight="1" s="99">
      <c r="D977" s="6" t="n"/>
      <c r="F977" s="5" t="n"/>
      <c r="H977" s="4" t="n"/>
    </row>
    <row r="978" ht="14.45" customHeight="1" s="99">
      <c r="D978" s="6" t="n"/>
      <c r="F978" s="5" t="n"/>
      <c r="H978" s="4" t="n"/>
    </row>
    <row r="979" ht="14.45" customHeight="1" s="99">
      <c r="D979" s="6" t="n"/>
      <c r="F979" s="5" t="n"/>
      <c r="H979" s="4" t="n"/>
    </row>
    <row r="980" ht="14.45" customHeight="1" s="99">
      <c r="D980" s="6" t="n"/>
      <c r="F980" s="5" t="n"/>
      <c r="H980" s="4" t="n"/>
    </row>
    <row r="981" ht="14.45" customHeight="1" s="99">
      <c r="D981" s="6" t="n"/>
      <c r="F981" s="5" t="n"/>
      <c r="H981" s="4" t="n"/>
    </row>
    <row r="982" ht="14.45" customHeight="1" s="99">
      <c r="D982" s="6" t="n"/>
      <c r="F982" s="5" t="n"/>
      <c r="H982" s="4" t="n"/>
    </row>
    <row r="983" ht="14.45" customHeight="1" s="99">
      <c r="D983" s="6" t="n"/>
      <c r="F983" s="5" t="n"/>
      <c r="H983" s="4" t="n"/>
    </row>
    <row r="984" ht="14.45" customHeight="1" s="99">
      <c r="D984" s="6" t="n"/>
      <c r="F984" s="5" t="n"/>
      <c r="H984" s="4" t="n"/>
    </row>
    <row r="985" ht="14.45" customHeight="1" s="99">
      <c r="D985" s="6" t="n"/>
      <c r="F985" s="5" t="n"/>
      <c r="H985" s="4" t="n"/>
    </row>
    <row r="986" ht="14.45" customHeight="1" s="99">
      <c r="D986" s="6" t="n"/>
      <c r="F986" s="5" t="n"/>
      <c r="H986" s="4" t="n"/>
    </row>
    <row r="987" ht="14.45" customHeight="1" s="99">
      <c r="D987" s="6" t="n"/>
      <c r="F987" s="5" t="n"/>
      <c r="H987" s="4" t="n"/>
    </row>
    <row r="988" ht="14.45" customHeight="1" s="99">
      <c r="D988" s="6" t="n"/>
      <c r="F988" s="5" t="n"/>
      <c r="H988" s="4" t="n"/>
    </row>
    <row r="989" ht="14.45" customHeight="1" s="99">
      <c r="D989" s="6" t="n"/>
      <c r="F989" s="5" t="n"/>
      <c r="H989" s="4" t="n"/>
    </row>
    <row r="990" ht="14.45" customHeight="1" s="99">
      <c r="D990" s="6" t="n"/>
      <c r="F990" s="5" t="n"/>
      <c r="H990" s="4" t="n"/>
    </row>
    <row r="991" ht="14.45" customHeight="1" s="99">
      <c r="D991" s="6" t="n"/>
      <c r="F991" s="5" t="n"/>
      <c r="H991" s="4" t="n"/>
    </row>
    <row r="992" ht="14.45" customHeight="1" s="99">
      <c r="D992" s="6" t="n"/>
      <c r="F992" s="5" t="n"/>
      <c r="H992" s="4" t="n"/>
    </row>
    <row r="993" ht="14.45" customHeight="1" s="99">
      <c r="D993" s="6" t="n"/>
      <c r="F993" s="5" t="n"/>
      <c r="H993" s="4" t="n"/>
    </row>
    <row r="994" ht="14.45" customHeight="1" s="99">
      <c r="D994" s="6" t="n"/>
      <c r="F994" s="5" t="n"/>
      <c r="H994" s="4" t="n"/>
    </row>
    <row r="995" ht="14.45" customHeight="1" s="99">
      <c r="D995" s="6" t="n"/>
      <c r="F995" s="5" t="n"/>
      <c r="H995" s="4" t="n"/>
    </row>
    <row r="996" ht="14.45" customHeight="1" s="99">
      <c r="D996" s="6" t="n"/>
      <c r="F996" s="5" t="n"/>
      <c r="H996" s="4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topLeftCell="I1" workbookViewId="0">
      <pane ySplit="2" topLeftCell="A3" activePane="bottomLeft" state="frozen"/>
      <selection pane="bottomLeft" activeCell="P3" sqref="P3"/>
    </sheetView>
  </sheetViews>
  <sheetFormatPr baseColWidth="8" defaultColWidth="14.42578125" defaultRowHeight="15" customHeight="1"/>
  <cols>
    <col width="7.7109375" customWidth="1" style="99" min="1" max="1"/>
    <col width="30.42578125" customWidth="1" style="99" min="2" max="2"/>
    <col width="20" customWidth="1" style="99" min="3" max="18"/>
    <col width="50.7109375" customWidth="1" style="99" min="19" max="19"/>
    <col width="10.28515625" customWidth="1" style="99" min="20" max="20"/>
  </cols>
  <sheetData>
    <row r="1" ht="16.5" customHeight="1" s="99">
      <c r="A1" s="95" t="n"/>
      <c r="B1" s="95" t="inlineStr">
        <is>
          <t>OCTOBER 2026 EXPENSES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7" t="n"/>
    </row>
    <row r="2" ht="58.5" customHeight="1" s="99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HOUSE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>
        <f>I3</f>
        <v/>
      </c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>
        <f>I4</f>
        <v/>
      </c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'ANNUAL-EXPENSE-DETAILS'!V9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>
        <f>I5</f>
        <v/>
      </c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'ANNUAL-EXPENSE-DETAILS'!U9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SUM($C$3:$C$4)/64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SUM($C$3:$C$4)/64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20" t="n">
        <v>117.811659</v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SUM($C$3:$C$4)/64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SUM($C$3:$C$4)/64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SUM($C$3:$C$4)/64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SUM($C$3:$C$4)/64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'ANNUAL-EXPENSE-DETAILS'!V9</f>
        <v/>
      </c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SUM($C$3:$C$4)/64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SUM($C$3:$C$4)/64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inlineStr">
        <is>
          <t>BALANCE IN ACCOUNT ON 31-OCT-2023</t>
        </is>
      </c>
      <c r="T13" s="20" t="n"/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SUM($C$3:$C$4)/64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inlineStr">
        <is>
          <t>TOTAL NON MAINTENANCE CORPUS COLLECTION</t>
        </is>
      </c>
      <c r="T14" s="22" t="n"/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SUM($C$3:$C$4)/64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TOTAL FD DONE</t>
        </is>
      </c>
      <c r="T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SUM($C$3:$C$4)/64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AMOUNT AVAILABLE FOR NON MAINTENANCE CORPUS IN CURRENT AC</t>
        </is>
      </c>
      <c r="T16" s="22">
        <f>T14-T15</f>
        <v/>
      </c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SUM($C$3:$C$4)/64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AMOUNT AVAILABLE FOR MAINTENANCE</t>
        </is>
      </c>
      <c r="T17" s="20">
        <f>T13-T16</f>
        <v/>
      </c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SUM($C$3:$C$4)/64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/>
      <c r="R18" s="22">
        <f>SUM(J18:Q18)*$B$2</f>
        <v/>
      </c>
      <c r="S18" s="22" t="inlineStr">
        <is>
          <t>TOTAL EXPENSE FOR THE MONTH</t>
        </is>
      </c>
      <c r="T18" s="22">
        <f>'ANNUAL-EXPENSE-DETAILS'!X9</f>
        <v/>
      </c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SUM($C$3:$C$4)/64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n"/>
      <c r="T19" s="20" t="n"/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SUM($C$3:$C$4)/64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n"/>
      <c r="T20" s="22" t="n"/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SUM($C$3:$C$4)/64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SUM($C$3:$C$4)/64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SUM($C$3:$C$4)/64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SUM($C$3:$C$4)/64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SUM($C$3:$C$4)/64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SUM($C$3:$C$4)/64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/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SUM($C$3:$C$4)/64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/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SUM($C$3:$C$4)/64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SUM($C$3:$C$4)/64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SUM($C$3:$C$4)/64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SUM($C$3:$C$4)/64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SUM($C$3:$C$4)/64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SUM($C$3:$C$4)/64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SUM($C$3:$C$4)/64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SUM($C$3:$C$4)/64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SUM($C$3:$C$4)/64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SUM($C$3:$C$4)/64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SUM($C$3:$C$4)/64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SUM($C$3:$C$4)/64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SUM($C$3:$C$4)/64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/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SUM($C$3:$C$4)/64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SUM($C$3:$C$4)/64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SUM($C$3:$C$4)/64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SUM($C$3:$C$4)/64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SUM($C$3:$C$4)/64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SUM($C$3:$C$4)/64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SUM($C$3:$C$4)/64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SUM($C$3:$C$4)/64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SUM($C$3:$C$4)/64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SUM($C$3:$C$4)/64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/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SUM($C$3:$C$4)/64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SUM($C$3:$C$4)/64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SUM($C$3:$C$4)/64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SUM($C$3:$C$4)/64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SUM($C$3:$C$4)/64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SUM($C$3:$C$4)/64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SUM($C$3:$C$4)/64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SUM($C$3:$C$4)/64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SUM($C$3:$C$4)/64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SUM($C$3:$C$4)/64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SUM($C$3:$C$4)/64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SUM($C$3:$C$4)/64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SUM($C$3:$C$4)/64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SUM($C$3:$C$4)/64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SUM($C$3:$C$4)/64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SUM($C$3:$C$4)/64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/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SUM($C$3:$C$4)/64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SUM($C$3:$C$4)/64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SUM($C$3:$C$4)/64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99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6" t="n"/>
      <c r="D4" s="29" t="n"/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2" t="n"/>
      <c r="D6" s="29" t="n"/>
      <c r="E6" s="26" t="n"/>
      <c r="F6" s="29" t="n"/>
      <c r="G6" s="26" t="n"/>
      <c r="H6" s="37" t="n"/>
      <c r="I6" s="26" t="n"/>
      <c r="J6" s="26" t="n"/>
      <c r="K6" s="22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0" t="n"/>
      <c r="D7" s="32" t="n"/>
      <c r="E7" s="25" t="n"/>
      <c r="F7" s="32" t="n"/>
      <c r="G7" s="25" t="n"/>
      <c r="H7" s="38" t="n"/>
      <c r="I7" s="25" t="n"/>
      <c r="J7" s="25" t="n"/>
      <c r="K7" s="20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0" t="n"/>
      <c r="D9" s="32" t="n"/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2" t="n"/>
      <c r="D14" s="29" t="n"/>
      <c r="E14" s="26" t="n"/>
      <c r="F14" s="29" t="n"/>
      <c r="G14" s="26" t="n"/>
      <c r="H14" s="37" t="n"/>
      <c r="I14" s="26" t="n"/>
      <c r="J14" s="26" t="n"/>
      <c r="K14" s="22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2" t="n"/>
      <c r="D16" s="29" t="n"/>
      <c r="E16" s="26" t="n"/>
      <c r="F16" s="29" t="n"/>
      <c r="G16" s="26" t="n"/>
      <c r="H16" s="37" t="n"/>
      <c r="I16" s="26" t="n"/>
      <c r="J16" s="26" t="n"/>
      <c r="K16" s="22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2" t="n"/>
      <c r="D24" s="29" t="n"/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2" t="n"/>
      <c r="D28" s="29" t="n"/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0" t="n"/>
      <c r="D29" s="32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0" t="n"/>
      <c r="D31" s="32" t="n"/>
      <c r="E31" s="25" t="n"/>
      <c r="F31" s="32" t="n"/>
      <c r="G31" s="25" t="n"/>
      <c r="H31" s="38" t="n"/>
      <c r="I31" s="25" t="n"/>
      <c r="J31" s="25" t="n"/>
      <c r="K31" s="20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0" t="n"/>
      <c r="D33" s="32" t="n"/>
      <c r="E33" s="25" t="n"/>
      <c r="F33" s="32" t="n"/>
      <c r="G33" s="25" t="n"/>
      <c r="H33" s="38" t="n"/>
      <c r="I33" s="25" t="n"/>
      <c r="J33" s="25" t="n"/>
      <c r="K33" s="20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2" t="n"/>
      <c r="D36" s="29" t="n"/>
      <c r="E36" s="26" t="n"/>
      <c r="F36" s="29" t="n"/>
      <c r="G36" s="26" t="n"/>
      <c r="H36" s="37" t="n"/>
      <c r="I36" s="26" t="n"/>
      <c r="J36" s="26" t="n"/>
      <c r="K36" s="22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2" t="n"/>
      <c r="D38" s="29" t="n"/>
      <c r="E38" s="26" t="n"/>
      <c r="F38" s="29" t="n"/>
      <c r="G38" s="26" t="n"/>
      <c r="H38" s="37" t="n"/>
      <c r="I38" s="26" t="n"/>
      <c r="J38" s="26" t="n"/>
      <c r="K38" s="22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2" t="n"/>
      <c r="D40" s="29" t="n"/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2" t="n"/>
      <c r="D44" s="29" t="n"/>
      <c r="E44" s="26" t="n"/>
      <c r="F44" s="29" t="n"/>
      <c r="G44" s="26" t="n"/>
      <c r="H44" s="37" t="n"/>
      <c r="I44" s="26" t="n"/>
      <c r="J44" s="26" t="n"/>
      <c r="K44" s="22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2" t="n"/>
      <c r="D46" s="29" t="n"/>
      <c r="E46" s="26" t="n"/>
      <c r="F46" s="29" t="n"/>
      <c r="G46" s="26" t="n"/>
      <c r="H46" s="37" t="n"/>
      <c r="I46" s="26" t="n"/>
      <c r="J46" s="26" t="n"/>
      <c r="K46" s="22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2" t="n"/>
      <c r="D48" s="29" t="n"/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0" t="n"/>
      <c r="D49" s="32" t="n"/>
      <c r="E49" s="25" t="n"/>
      <c r="F49" s="32" t="n"/>
      <c r="G49" s="25" t="n"/>
      <c r="H49" s="38" t="n"/>
      <c r="I49" s="25" t="n"/>
      <c r="J49" s="25" t="n"/>
      <c r="K49" s="20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2" t="n"/>
      <c r="D50" s="30" t="n"/>
      <c r="E50" s="26" t="n"/>
      <c r="F50" s="29" t="n"/>
      <c r="G50" s="26" t="n"/>
      <c r="H50" s="37" t="n"/>
      <c r="I50" s="26" t="n"/>
      <c r="J50" s="26" t="n"/>
      <c r="K50" s="22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2" t="n"/>
      <c r="D52" s="29" t="n"/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2" t="n"/>
      <c r="D54" s="29" t="n"/>
      <c r="E54" s="26" t="n"/>
      <c r="F54" s="29" t="n"/>
      <c r="G54" s="26" t="n"/>
      <c r="H54" s="37" t="n"/>
      <c r="I54" s="26" t="n"/>
      <c r="J54" s="26" t="n"/>
      <c r="K54" s="22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2" t="n"/>
      <c r="D58" s="29" t="n"/>
      <c r="E58" s="26" t="n"/>
      <c r="F58" s="29" t="n"/>
      <c r="G58" s="26" t="n"/>
      <c r="H58" s="37" t="n"/>
      <c r="I58" s="26" t="n"/>
      <c r="J58" s="26" t="n"/>
      <c r="K58" s="22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6" t="n"/>
      <c r="D62" s="28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0" t="n"/>
      <c r="D65" s="32" t="n"/>
      <c r="E65" s="25" t="n"/>
      <c r="F65" s="32" t="n"/>
      <c r="G65" s="25" t="n"/>
      <c r="H65" s="38" t="n"/>
      <c r="I65" s="25" t="n"/>
      <c r="J65" s="25" t="n"/>
      <c r="K65" s="20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6" t="n"/>
      <c r="E66" s="35" t="n"/>
      <c r="F66" s="46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6" t="n"/>
      <c r="F67" s="5" t="n"/>
      <c r="H67" s="4" t="n"/>
    </row>
    <row r="68" ht="14.45" customHeight="1" s="99">
      <c r="D68" s="6" t="n"/>
      <c r="F68" s="5" t="n"/>
      <c r="H68" s="4" t="n"/>
    </row>
    <row r="69" ht="14.45" customHeight="1" s="99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99">
      <c r="D140" s="6" t="n"/>
      <c r="F140" s="5" t="n"/>
      <c r="H140" s="4" t="n"/>
    </row>
    <row r="141" ht="14.45" customHeight="1" s="99">
      <c r="D141" s="6" t="n"/>
      <c r="F141" s="5" t="n"/>
      <c r="H141" s="4" t="n"/>
    </row>
    <row r="142" ht="14.45" customHeight="1" s="99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99">
      <c r="D213" s="6" t="n"/>
      <c r="F213" s="5" t="n"/>
      <c r="H213" s="4" t="n"/>
    </row>
    <row r="214" ht="14.45" customHeight="1" s="99">
      <c r="D214" s="6" t="n"/>
      <c r="F214" s="5" t="n"/>
      <c r="H214" s="4" t="n"/>
    </row>
    <row r="215" ht="14.45" customHeight="1" s="99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99">
      <c r="D286" s="6" t="n"/>
      <c r="F286" s="5" t="n"/>
      <c r="H286" s="4" t="n"/>
    </row>
    <row r="287" ht="14.45" customHeight="1" s="99">
      <c r="D287" s="6" t="n"/>
      <c r="F287" s="5" t="n"/>
      <c r="H287" s="4" t="n"/>
    </row>
    <row r="288" ht="14.45" customHeight="1" s="99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99">
      <c r="D359" s="6" t="n"/>
      <c r="F359" s="5" t="n"/>
      <c r="H359" s="4" t="n"/>
    </row>
    <row r="360" ht="14.45" customHeight="1" s="99">
      <c r="D360" s="6" t="n"/>
      <c r="F360" s="5" t="n"/>
      <c r="H360" s="4" t="n"/>
    </row>
    <row r="361" ht="14.45" customHeight="1" s="99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99">
      <c r="D432" s="6" t="n"/>
      <c r="F432" s="5" t="n"/>
      <c r="H432" s="4" t="n"/>
    </row>
    <row r="433" ht="14.45" customHeight="1" s="99">
      <c r="D433" s="6" t="n"/>
      <c r="F433" s="5" t="n"/>
      <c r="H433" s="4" t="n"/>
    </row>
    <row r="434" ht="14.45" customHeight="1" s="99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99">
      <c r="D505" s="6" t="n"/>
      <c r="F505" s="5" t="n"/>
      <c r="H505" s="4" t="n"/>
    </row>
    <row r="506" ht="14.45" customHeight="1" s="99">
      <c r="D506" s="6" t="n"/>
      <c r="F506" s="5" t="n"/>
      <c r="H506" s="4" t="n"/>
    </row>
    <row r="507" ht="14.45" customHeight="1" s="99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99">
      <c r="D578" s="6" t="n"/>
      <c r="F578" s="5" t="n"/>
      <c r="H578" s="4" t="n"/>
    </row>
    <row r="579" ht="14.45" customHeight="1" s="99">
      <c r="D579" s="6" t="n"/>
      <c r="F579" s="5" t="n"/>
      <c r="H579" s="4" t="n"/>
    </row>
    <row r="580" ht="14.45" customHeight="1" s="99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99">
      <c r="D651" s="6" t="n"/>
      <c r="F651" s="5" t="n"/>
      <c r="H651" s="4" t="n"/>
    </row>
    <row r="652" ht="14.45" customHeight="1" s="99">
      <c r="D652" s="6" t="n"/>
      <c r="F652" s="5" t="n"/>
      <c r="H652" s="4" t="n"/>
    </row>
    <row r="653" ht="14.45" customHeight="1" s="99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99">
      <c r="D724" s="6" t="n"/>
      <c r="F724" s="5" t="n"/>
      <c r="H724" s="4" t="n"/>
    </row>
    <row r="725" ht="14.45" customHeight="1" s="99">
      <c r="D725" s="6" t="n"/>
      <c r="F725" s="5" t="n"/>
      <c r="H725" s="4" t="n"/>
    </row>
    <row r="726" ht="14.45" customHeight="1" s="99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99">
      <c r="D797" s="6" t="n"/>
      <c r="F797" s="5" t="n"/>
      <c r="H797" s="4" t="n"/>
    </row>
    <row r="798" ht="14.45" customHeight="1" s="99">
      <c r="D798" s="6" t="n"/>
      <c r="F798" s="5" t="n"/>
      <c r="H798" s="4" t="n"/>
    </row>
    <row r="799" ht="14.45" customHeight="1" s="99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99">
      <c r="D870" s="6" t="n"/>
      <c r="F870" s="5" t="n"/>
      <c r="H870" s="4" t="n"/>
    </row>
    <row r="871" ht="14.45" customHeight="1" s="99">
      <c r="D871" s="6" t="n"/>
      <c r="F871" s="5" t="n"/>
      <c r="H871" s="4" t="n"/>
    </row>
    <row r="872" ht="14.45" customHeight="1" s="99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99">
      <c r="D943" s="6" t="n"/>
      <c r="F943" s="5" t="n"/>
      <c r="H943" s="4" t="n"/>
    </row>
    <row r="944" ht="14.45" customHeight="1" s="99">
      <c r="D944" s="6" t="n"/>
      <c r="F944" s="5" t="n"/>
      <c r="H944" s="4" t="n"/>
    </row>
    <row r="945" ht="14.45" customHeight="1" s="99">
      <c r="D945" s="6" t="n"/>
      <c r="F945" s="5" t="n"/>
      <c r="H945" s="4" t="n"/>
    </row>
    <row r="946" ht="14.45" customHeight="1" s="99">
      <c r="D946" s="6" t="n"/>
      <c r="F946" s="5" t="n"/>
      <c r="H946" s="4" t="n"/>
    </row>
    <row r="947" ht="14.45" customHeight="1" s="99">
      <c r="D947" s="6" t="n"/>
      <c r="F947" s="5" t="n"/>
      <c r="H947" s="4" t="n"/>
    </row>
    <row r="948" ht="14.45" customHeight="1" s="99">
      <c r="D948" s="6" t="n"/>
      <c r="F948" s="5" t="n"/>
      <c r="H948" s="4" t="n"/>
    </row>
    <row r="949" ht="14.45" customHeight="1" s="99">
      <c r="D949" s="6" t="n"/>
      <c r="F949" s="5" t="n"/>
      <c r="H949" s="4" t="n"/>
    </row>
    <row r="950" ht="14.45" customHeight="1" s="99">
      <c r="D950" s="6" t="n"/>
      <c r="F950" s="5" t="n"/>
      <c r="H950" s="4" t="n"/>
    </row>
    <row r="951" ht="14.45" customHeight="1" s="99">
      <c r="D951" s="6" t="n"/>
      <c r="F951" s="5" t="n"/>
      <c r="H951" s="4" t="n"/>
    </row>
    <row r="952" ht="14.45" customHeight="1" s="99">
      <c r="D952" s="6" t="n"/>
      <c r="F952" s="5" t="n"/>
      <c r="H952" s="4" t="n"/>
    </row>
    <row r="953" ht="14.45" customHeight="1" s="99">
      <c r="D953" s="6" t="n"/>
      <c r="F953" s="5" t="n"/>
      <c r="H953" s="4" t="n"/>
    </row>
    <row r="954" ht="14.45" customHeight="1" s="99">
      <c r="D954" s="6" t="n"/>
      <c r="F954" s="5" t="n"/>
      <c r="H954" s="4" t="n"/>
    </row>
    <row r="955" ht="14.45" customHeight="1" s="99">
      <c r="D955" s="6" t="n"/>
      <c r="F955" s="5" t="n"/>
      <c r="H955" s="4" t="n"/>
    </row>
    <row r="956" ht="14.45" customHeight="1" s="99">
      <c r="D956" s="6" t="n"/>
      <c r="F956" s="5" t="n"/>
      <c r="H956" s="4" t="n"/>
    </row>
    <row r="957" ht="14.45" customHeight="1" s="99">
      <c r="D957" s="6" t="n"/>
      <c r="F957" s="5" t="n"/>
      <c r="H957" s="4" t="n"/>
    </row>
    <row r="958" ht="14.45" customHeight="1" s="99">
      <c r="D958" s="6" t="n"/>
      <c r="F958" s="5" t="n"/>
      <c r="H958" s="4" t="n"/>
    </row>
    <row r="959" ht="14.45" customHeight="1" s="99">
      <c r="D959" s="6" t="n"/>
      <c r="F959" s="5" t="n"/>
      <c r="H959" s="4" t="n"/>
    </row>
    <row r="960" ht="14.45" customHeight="1" s="99">
      <c r="D960" s="6" t="n"/>
      <c r="F960" s="5" t="n"/>
      <c r="H960" s="4" t="n"/>
    </row>
    <row r="961" ht="14.45" customHeight="1" s="99">
      <c r="D961" s="6" t="n"/>
      <c r="F961" s="5" t="n"/>
      <c r="H961" s="4" t="n"/>
    </row>
    <row r="962" ht="14.45" customHeight="1" s="99">
      <c r="D962" s="6" t="n"/>
      <c r="F962" s="5" t="n"/>
      <c r="H962" s="4" t="n"/>
    </row>
    <row r="963" ht="14.45" customHeight="1" s="99">
      <c r="D963" s="6" t="n"/>
      <c r="F963" s="5" t="n"/>
      <c r="H963" s="4" t="n"/>
    </row>
    <row r="964" ht="14.45" customHeight="1" s="99">
      <c r="D964" s="6" t="n"/>
      <c r="F964" s="5" t="n"/>
      <c r="H964" s="4" t="n"/>
    </row>
    <row r="965" ht="14.45" customHeight="1" s="99">
      <c r="D965" s="6" t="n"/>
      <c r="F965" s="5" t="n"/>
      <c r="H965" s="4" t="n"/>
    </row>
    <row r="966" ht="14.45" customHeight="1" s="99">
      <c r="D966" s="6" t="n"/>
      <c r="F966" s="5" t="n"/>
      <c r="H966" s="4" t="n"/>
    </row>
    <row r="967" ht="14.45" customHeight="1" s="99">
      <c r="D967" s="6" t="n"/>
      <c r="F967" s="5" t="n"/>
      <c r="H967" s="4" t="n"/>
    </row>
    <row r="968" ht="14.45" customHeight="1" s="99">
      <c r="D968" s="6" t="n"/>
      <c r="F968" s="5" t="n"/>
      <c r="H968" s="4" t="n"/>
    </row>
    <row r="969" ht="14.45" customHeight="1" s="99">
      <c r="D969" s="6" t="n"/>
      <c r="F969" s="5" t="n"/>
      <c r="H969" s="4" t="n"/>
    </row>
    <row r="970" ht="14.45" customHeight="1" s="99">
      <c r="D970" s="6" t="n"/>
      <c r="F970" s="5" t="n"/>
      <c r="H970" s="4" t="n"/>
    </row>
    <row r="971" ht="14.45" customHeight="1" s="99">
      <c r="D971" s="6" t="n"/>
      <c r="F971" s="5" t="n"/>
      <c r="H971" s="4" t="n"/>
    </row>
    <row r="972" ht="14.45" customHeight="1" s="99">
      <c r="D972" s="6" t="n"/>
      <c r="F972" s="5" t="n"/>
      <c r="H972" s="4" t="n"/>
    </row>
    <row r="973" ht="14.45" customHeight="1" s="99">
      <c r="D973" s="6" t="n"/>
      <c r="F973" s="5" t="n"/>
      <c r="H973" s="4" t="n"/>
    </row>
    <row r="974" ht="14.45" customHeight="1" s="99">
      <c r="D974" s="6" t="n"/>
      <c r="F974" s="5" t="n"/>
      <c r="H974" s="4" t="n"/>
    </row>
    <row r="975" ht="14.45" customHeight="1" s="99">
      <c r="D975" s="6" t="n"/>
      <c r="F975" s="5" t="n"/>
      <c r="H975" s="4" t="n"/>
    </row>
    <row r="976" ht="14.45" customHeight="1" s="99">
      <c r="D976" s="6" t="n"/>
      <c r="F976" s="5" t="n"/>
      <c r="H976" s="4" t="n"/>
    </row>
    <row r="977" ht="14.45" customHeight="1" s="99">
      <c r="D977" s="6" t="n"/>
      <c r="F977" s="5" t="n"/>
      <c r="H977" s="4" t="n"/>
    </row>
    <row r="978" ht="14.45" customHeight="1" s="99">
      <c r="D978" s="6" t="n"/>
      <c r="F978" s="5" t="n"/>
      <c r="H978" s="4" t="n"/>
    </row>
    <row r="979" ht="14.45" customHeight="1" s="99">
      <c r="D979" s="6" t="n"/>
      <c r="F979" s="5" t="n"/>
      <c r="H979" s="4" t="n"/>
    </row>
    <row r="980" ht="14.45" customHeight="1" s="99">
      <c r="D980" s="6" t="n"/>
      <c r="F980" s="5" t="n"/>
      <c r="H980" s="4" t="n"/>
    </row>
    <row r="981" ht="14.45" customHeight="1" s="99">
      <c r="D981" s="6" t="n"/>
      <c r="F981" s="5" t="n"/>
      <c r="H981" s="4" t="n"/>
    </row>
    <row r="982" ht="14.45" customHeight="1" s="99">
      <c r="D982" s="6" t="n"/>
      <c r="F982" s="5" t="n"/>
      <c r="H982" s="4" t="n"/>
    </row>
    <row r="983" ht="14.45" customHeight="1" s="99">
      <c r="D983" s="6" t="n"/>
      <c r="F983" s="5" t="n"/>
      <c r="H983" s="4" t="n"/>
    </row>
    <row r="984" ht="14.45" customHeight="1" s="99">
      <c r="D984" s="6" t="n"/>
      <c r="F984" s="5" t="n"/>
      <c r="H984" s="4" t="n"/>
    </row>
    <row r="985" ht="14.45" customHeight="1" s="99">
      <c r="D985" s="6" t="n"/>
      <c r="F985" s="5" t="n"/>
      <c r="H985" s="4" t="n"/>
    </row>
    <row r="986" ht="14.45" customHeight="1" s="99">
      <c r="D986" s="6" t="n"/>
      <c r="F986" s="5" t="n"/>
      <c r="H986" s="4" t="n"/>
    </row>
    <row r="987" ht="14.45" customHeight="1" s="99">
      <c r="D987" s="6" t="n"/>
      <c r="F987" s="5" t="n"/>
      <c r="H987" s="4" t="n"/>
    </row>
    <row r="988" ht="14.45" customHeight="1" s="99">
      <c r="D988" s="6" t="n"/>
      <c r="F988" s="5" t="n"/>
      <c r="H988" s="4" t="n"/>
    </row>
    <row r="989" ht="14.45" customHeight="1" s="99">
      <c r="D989" s="6" t="n"/>
      <c r="F989" s="5" t="n"/>
      <c r="H989" s="4" t="n"/>
    </row>
    <row r="990" ht="14.45" customHeight="1" s="99">
      <c r="D990" s="6" t="n"/>
      <c r="F990" s="5" t="n"/>
      <c r="H990" s="4" t="n"/>
    </row>
    <row r="991" ht="14.45" customHeight="1" s="99">
      <c r="D991" s="6" t="n"/>
      <c r="F991" s="5" t="n"/>
      <c r="H991" s="4" t="n"/>
    </row>
    <row r="992" ht="14.45" customHeight="1" s="99">
      <c r="D992" s="6" t="n"/>
      <c r="F992" s="5" t="n"/>
      <c r="H992" s="4" t="n"/>
    </row>
    <row r="993" ht="14.45" customHeight="1" s="99">
      <c r="D993" s="6" t="n"/>
      <c r="F993" s="5" t="n"/>
      <c r="H993" s="4" t="n"/>
    </row>
    <row r="994" ht="14.45" customHeight="1" s="99">
      <c r="D994" s="6" t="n"/>
      <c r="F994" s="5" t="n"/>
      <c r="H994" s="4" t="n"/>
    </row>
    <row r="995" ht="14.45" customHeight="1" s="99">
      <c r="D995" s="6" t="n"/>
      <c r="F995" s="5" t="n"/>
      <c r="H995" s="4" t="n"/>
    </row>
    <row r="996" ht="14.45" customHeight="1" s="99">
      <c r="D996" s="6" t="n"/>
      <c r="F996" s="5" t="n"/>
      <c r="H996" s="4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topLeftCell="I1" workbookViewId="0">
      <pane ySplit="2" topLeftCell="A3" activePane="bottomLeft" state="frozen"/>
      <selection pane="bottomLeft" activeCell="Q3" sqref="Q3"/>
    </sheetView>
  </sheetViews>
  <sheetFormatPr baseColWidth="8" defaultColWidth="14.42578125" defaultRowHeight="15" customHeight="1"/>
  <cols>
    <col width="7.7109375" customWidth="1" style="99" min="1" max="1"/>
    <col width="30.42578125" customWidth="1" style="99" min="2" max="2"/>
    <col width="16.7109375" customWidth="1" style="99" min="3" max="9"/>
    <col width="28.140625" customWidth="1" style="99" min="10" max="10"/>
    <col width="16.7109375" customWidth="1" style="99" min="11" max="18"/>
    <col width="44.42578125" customWidth="1" style="99" min="19" max="19"/>
    <col width="10.28515625" customWidth="1" style="99" min="20" max="20"/>
  </cols>
  <sheetData>
    <row r="1" ht="16.5" customHeight="1" s="99">
      <c r="A1" s="95" t="n"/>
      <c r="B1" s="95" t="inlineStr">
        <is>
          <t>NOVEMBER 2026 EXPENSES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7" t="n"/>
    </row>
    <row r="2" ht="58.5" customHeight="1" s="99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OWNERSHIP TRANSFER FEE</t>
        </is>
      </c>
      <c r="Q2" s="18" t="inlineStr">
        <is>
          <t>LATE PAYMENT FINE</t>
        </is>
      </c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'ANNUAL-EXPENSE-DETAILS'!V10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/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'ANNUAL-EXPENSE-DETAILS'!U10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/>
      <c r="Q6" s="22" t="n">
        <v>0</v>
      </c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/>
      <c r="Q7" s="20" t="n">
        <v>0</v>
      </c>
      <c r="R7" s="20">
        <f>SUM(J7:Q7)*$B$2</f>
        <v/>
      </c>
      <c r="S7" s="20" t="inlineStr">
        <is>
          <t>RENT PER METER</t>
        </is>
      </c>
      <c r="T7" s="20" t="n">
        <v>117.811659</v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/>
      <c r="Q8" s="22" t="n">
        <v>0</v>
      </c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/>
      <c r="Q9" s="20" t="n">
        <v>0</v>
      </c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/>
      <c r="Q10" s="22" t="n">
        <v>0</v>
      </c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/>
      <c r="Q11" s="20" t="n">
        <v>0</v>
      </c>
      <c r="R11" s="20">
        <f>SUM(J11:Q11)*$B$2</f>
        <v/>
      </c>
      <c r="S11" s="20" t="inlineStr">
        <is>
          <t>TOTAL FIXED EXPENSE</t>
        </is>
      </c>
      <c r="T11" s="20">
        <f>'ANNUAL-EXPENSE-DETAILS'!V10</f>
        <v/>
      </c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/>
      <c r="Q12" s="22" t="n">
        <v>0</v>
      </c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/>
      <c r="Q13" s="20" t="n">
        <v>0</v>
      </c>
      <c r="R13" s="20">
        <f>SUM(J13:Q13)*$B$2</f>
        <v/>
      </c>
      <c r="S13" s="20" t="n"/>
      <c r="T13" s="20" t="n"/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/>
      <c r="Q14" s="22" t="n">
        <v>0</v>
      </c>
      <c r="R14" s="22">
        <f>SUM(J14:Q14)*$B$2</f>
        <v/>
      </c>
      <c r="S14" s="22" t="inlineStr">
        <is>
          <t xml:space="preserve">TOTAL WATER METER RENT </t>
        </is>
      </c>
      <c r="T14" s="22">
        <f>CEILING( I70,1)</f>
        <v/>
      </c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/>
      <c r="Q15" s="20" t="n">
        <v>0</v>
      </c>
      <c r="R15" s="20">
        <f>SUM(J15:Q15)*$B$2</f>
        <v/>
      </c>
      <c r="S15" s="20" t="n"/>
      <c r="T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/>
      <c r="Q16" s="22" t="n">
        <v>0</v>
      </c>
      <c r="R16" s="22">
        <f>SUM(J16:Q16)*$B$2</f>
        <v/>
      </c>
      <c r="S16" s="22" t="inlineStr">
        <is>
          <t>BALANCE IN ACCOUNT ON 30-NOV-2023</t>
        </is>
      </c>
      <c r="T16" s="22" t="n"/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/>
      <c r="Q17" s="20" t="n">
        <v>0</v>
      </c>
      <c r="R17" s="20">
        <f>SUM(J17:Q17)*$B$2</f>
        <v/>
      </c>
      <c r="S17" s="20" t="inlineStr">
        <is>
          <t>TOTAL NON MAINTENANCE CORPUS COLLECTION</t>
        </is>
      </c>
      <c r="T17" s="20" t="n"/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/>
      <c r="Q18" s="22" t="n">
        <v>0</v>
      </c>
      <c r="R18" s="22">
        <f>SUM(J18:Q18)*$B$2</f>
        <v/>
      </c>
      <c r="S18" s="22" t="inlineStr">
        <is>
          <t>TOTAL FD DONE</t>
        </is>
      </c>
      <c r="T18" s="22" t="n"/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/>
      <c r="Q19" s="20" t="n">
        <v>0</v>
      </c>
      <c r="R19" s="20">
        <f>SUM(J19:Q19)*$B$2</f>
        <v/>
      </c>
      <c r="S19" s="20" t="inlineStr">
        <is>
          <t>AMOUNT AVAILABLE FOR NON MAINTENANCE CORPUS IN CURRENT AC</t>
        </is>
      </c>
      <c r="T19" s="20">
        <f>T17-T18</f>
        <v/>
      </c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/>
      <c r="Q20" s="22" t="n">
        <v>0</v>
      </c>
      <c r="R20" s="22">
        <f>SUM(J20:Q20)*$B$2</f>
        <v/>
      </c>
      <c r="S20" s="22" t="inlineStr">
        <is>
          <t>AMOUNT AVAILABLE FOR MAINTENANCE</t>
        </is>
      </c>
      <c r="T20" s="22">
        <f>T16-T19</f>
        <v/>
      </c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/>
      <c r="Q21" s="20" t="n">
        <v>0</v>
      </c>
      <c r="R21" s="20">
        <f>SUM(J21:Q21)*$B$2</f>
        <v/>
      </c>
      <c r="S21" s="20" t="inlineStr">
        <is>
          <t>TOTAL EXPENSE FOR THE MONTH</t>
        </is>
      </c>
      <c r="T21" s="20">
        <f>'ANNUAL-EXPENSE-DETAILS'!X10</f>
        <v/>
      </c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/>
      <c r="Q22" s="22" t="n">
        <v>0</v>
      </c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/>
      <c r="Q23" s="20" t="n">
        <v>0</v>
      </c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/>
      <c r="Q24" s="22" t="n">
        <v>0</v>
      </c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/>
      <c r="Q25" s="20" t="n">
        <v>0</v>
      </c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/>
      <c r="Q26" s="22" t="n">
        <v>0</v>
      </c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/>
      <c r="Q27" s="20" t="n">
        <v>0</v>
      </c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/>
      <c r="Q28" s="22" t="n">
        <v>0</v>
      </c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/>
      <c r="Q29" s="20" t="n">
        <v>0</v>
      </c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/>
      <c r="Q30" s="22" t="n">
        <v>0</v>
      </c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/>
      <c r="Q32" s="22" t="n">
        <v>0</v>
      </c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/>
      <c r="Q33" s="20" t="n">
        <v>0</v>
      </c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/>
      <c r="Q34" s="22" t="n">
        <v>0</v>
      </c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/>
      <c r="Q35" s="20" t="n">
        <v>0</v>
      </c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/>
      <c r="Q36" s="22" t="n">
        <v>0</v>
      </c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/>
      <c r="Q37" s="20" t="n">
        <v>0</v>
      </c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/>
      <c r="Q38" s="22" t="n">
        <v>0</v>
      </c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/>
      <c r="Q39" s="20" t="n">
        <v>0</v>
      </c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/>
      <c r="Q40" s="22" t="n">
        <v>0</v>
      </c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/>
      <c r="Q41" s="20" t="n">
        <v>0</v>
      </c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/>
      <c r="Q42" s="22" t="n">
        <v>0</v>
      </c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/>
      <c r="Q43" s="20" t="n">
        <v>0</v>
      </c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/>
      <c r="Q44" s="22" t="n">
        <v>0</v>
      </c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/>
      <c r="Q45" s="20" t="n">
        <v>0</v>
      </c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/>
      <c r="Q46" s="22" t="n">
        <v>0</v>
      </c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/>
      <c r="Q47" s="20" t="n">
        <v>0</v>
      </c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/>
      <c r="Q48" s="22" t="n">
        <v>0</v>
      </c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/>
      <c r="Q49" s="20" t="n">
        <v>0</v>
      </c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/>
      <c r="Q50" s="22" t="n">
        <v>0</v>
      </c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/>
      <c r="Q51" s="20" t="n">
        <v>0</v>
      </c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/>
      <c r="Q52" s="22" t="n">
        <v>0</v>
      </c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/>
      <c r="Q53" s="20" t="n">
        <v>0</v>
      </c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/>
      <c r="Q54" s="22" t="n">
        <v>0</v>
      </c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/>
      <c r="Q55" s="20" t="n">
        <v>0</v>
      </c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/>
      <c r="Q56" s="22" t="n">
        <v>0</v>
      </c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/>
      <c r="Q57" s="20" t="n">
        <v>0</v>
      </c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/>
      <c r="Q58" s="22" t="n">
        <v>0</v>
      </c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/>
      <c r="Q59" s="20" t="n">
        <v>0</v>
      </c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/>
      <c r="Q60" s="22" t="n">
        <v>0</v>
      </c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/>
      <c r="Q61" s="20" t="n">
        <v>0</v>
      </c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/>
      <c r="Q62" s="22" t="n">
        <v>0</v>
      </c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/>
      <c r="Q63" s="20" t="n">
        <v>0</v>
      </c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/>
      <c r="Q64" s="22" t="n">
        <v>0</v>
      </c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/>
      <c r="Q65" s="20" t="n">
        <v>0</v>
      </c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/>
      <c r="Q66" s="22" t="n">
        <v>0</v>
      </c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/>
      <c r="Q67" s="20" t="n">
        <v>0</v>
      </c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/>
      <c r="Q68" s="22" t="n">
        <v>0</v>
      </c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/>
      <c r="Q69" s="20" t="n">
        <v>0</v>
      </c>
      <c r="R69" s="20">
        <f>SUM(J69:Q69)*$B$2</f>
        <v/>
      </c>
      <c r="S69" s="20" t="n"/>
      <c r="T69" s="20" t="n"/>
    </row>
    <row r="70" ht="12.75" customHeight="1" s="99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2" t="n"/>
      <c r="D4" s="29" t="n"/>
      <c r="E4" s="22" t="n"/>
      <c r="F4" s="29" t="n"/>
      <c r="G4" s="26" t="n"/>
      <c r="H4" s="37" t="n"/>
      <c r="I4" s="26" t="n"/>
      <c r="J4" s="26" t="n"/>
      <c r="K4" s="22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/>
      <c r="D7" s="25" t="n"/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2" t="n"/>
      <c r="D8" s="29" t="n"/>
      <c r="E8" s="26" t="n"/>
      <c r="F8" s="29" t="n"/>
      <c r="G8" s="26" t="n"/>
      <c r="H8" s="37" t="n"/>
      <c r="I8" s="26" t="n"/>
      <c r="J8" s="26" t="n"/>
      <c r="K8" s="22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5" t="n"/>
      <c r="D9" s="31" t="n"/>
      <c r="E9" s="25" t="n"/>
      <c r="F9" s="32" t="n"/>
      <c r="G9" s="25" t="n"/>
      <c r="H9" s="38" t="n"/>
      <c r="I9" s="25" t="n"/>
      <c r="J9" s="25" t="n"/>
      <c r="K9" s="25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6" t="n"/>
      <c r="D10" s="30" t="n"/>
      <c r="E10" s="26" t="n"/>
      <c r="F10" s="29" t="n"/>
      <c r="G10" s="26" t="n"/>
      <c r="H10" s="37" t="n"/>
      <c r="I10" s="26" t="n"/>
      <c r="J10" s="26" t="n"/>
      <c r="K10" s="26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5" t="n"/>
      <c r="D11" s="25" t="n"/>
      <c r="E11" s="25" t="n"/>
      <c r="F11" s="32" t="n"/>
      <c r="G11" s="25" t="n"/>
      <c r="H11" s="38" t="n"/>
      <c r="I11" s="25" t="n"/>
      <c r="J11" s="25" t="n"/>
      <c r="K11" s="25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5" t="n"/>
      <c r="D15" s="31" t="n"/>
      <c r="E15" s="25" t="n"/>
      <c r="F15" s="32" t="n"/>
      <c r="G15" s="25" t="n"/>
      <c r="H15" s="38" t="n"/>
      <c r="I15" s="25" t="n"/>
      <c r="J15" s="25" t="n"/>
      <c r="K15" s="25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/>
      <c r="D16" s="30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6" t="n"/>
      <c r="D18" s="26" t="n"/>
      <c r="E18" s="22" t="n"/>
      <c r="F18" s="29" t="n"/>
      <c r="G18" s="26" t="n"/>
      <c r="H18" s="37" t="n"/>
      <c r="I18" s="26" t="n"/>
      <c r="J18" s="26" t="n"/>
      <c r="K18" s="26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6" t="n"/>
      <c r="D24" s="30" t="n"/>
      <c r="E24" s="26" t="n"/>
      <c r="F24" s="29" t="n"/>
      <c r="G24" s="26" t="n"/>
      <c r="H24" s="37" t="n"/>
      <c r="I24" s="26" t="n"/>
      <c r="J24" s="26" t="n"/>
      <c r="K24" s="26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6" t="n"/>
      <c r="D28" s="30" t="n"/>
      <c r="E28" s="26" t="n"/>
      <c r="F28" s="29" t="n"/>
      <c r="G28" s="26" t="n"/>
      <c r="H28" s="37" t="n"/>
      <c r="I28" s="26" t="n"/>
      <c r="J28" s="26" t="n"/>
      <c r="K28" s="26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0" t="n"/>
      <c r="D29" s="31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/>
      <c r="D31" s="31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/>
      <c r="D36" s="30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/>
      <c r="D38" s="26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6" t="n"/>
      <c r="D40" s="30" t="n"/>
      <c r="E40" s="26" t="n"/>
      <c r="F40" s="29" t="n"/>
      <c r="G40" s="26" t="n"/>
      <c r="H40" s="37" t="n"/>
      <c r="I40" s="26" t="n"/>
      <c r="J40" s="26" t="n"/>
      <c r="K40" s="26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/>
      <c r="D44" s="30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6" t="n"/>
      <c r="D48" s="26" t="n"/>
      <c r="E48" s="26" t="n"/>
      <c r="F48" s="29" t="n"/>
      <c r="G48" s="26" t="n"/>
      <c r="H48" s="37" t="n"/>
      <c r="I48" s="26" t="n"/>
      <c r="J48" s="26" t="n"/>
      <c r="K48" s="26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/>
      <c r="D50" s="30" t="n"/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5" t="n"/>
      <c r="D51" s="25" t="n"/>
      <c r="E51" s="25" t="n"/>
      <c r="F51" s="32" t="n"/>
      <c r="G51" s="25" t="n"/>
      <c r="H51" s="38" t="n"/>
      <c r="I51" s="25" t="n"/>
      <c r="J51" s="25" t="n"/>
      <c r="K51" s="25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6" t="n"/>
      <c r="D52" s="30" t="n"/>
      <c r="E52" s="26" t="n"/>
      <c r="F52" s="29" t="n"/>
      <c r="G52" s="26" t="n"/>
      <c r="H52" s="37" t="n"/>
      <c r="I52" s="26" t="n"/>
      <c r="J52" s="26" t="n"/>
      <c r="K52" s="26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25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5" t="n"/>
      <c r="D57" s="31" t="n"/>
      <c r="E57" s="25" t="n"/>
      <c r="F57" s="32" t="n"/>
      <c r="G57" s="25" t="n"/>
      <c r="H57" s="38" t="n"/>
      <c r="I57" s="25" t="n"/>
      <c r="J57" s="25" t="n"/>
      <c r="K57" s="25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/>
      <c r="D58" s="30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6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2" t="n"/>
      <c r="D62" s="28" t="n"/>
      <c r="E62" s="26" t="n"/>
      <c r="F62" s="29" t="n"/>
      <c r="G62" s="26" t="n"/>
      <c r="H62" s="37" t="n"/>
      <c r="I62" s="26" t="n"/>
      <c r="J62" s="26" t="n"/>
      <c r="K62" s="22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0" t="n"/>
      <c r="D65" s="32" t="n"/>
      <c r="E65" s="25" t="n"/>
      <c r="F65" s="32" t="n"/>
      <c r="G65" s="25" t="n"/>
      <c r="H65" s="38" t="n"/>
      <c r="I65" s="25" t="n"/>
      <c r="J65" s="25" t="n"/>
      <c r="K65" s="20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6" t="n"/>
      <c r="E66" s="35" t="n"/>
      <c r="F66" s="35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6" t="n"/>
      <c r="F67" s="5" t="n"/>
      <c r="H67" s="4" t="n"/>
    </row>
    <row r="68" ht="14.45" customHeight="1" s="99">
      <c r="D68" s="6" t="n"/>
      <c r="F68" s="5" t="n"/>
      <c r="H68" s="4" t="n"/>
    </row>
    <row r="69" ht="14.45" customHeight="1" s="99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99">
      <c r="D140" s="6" t="n"/>
      <c r="F140" s="5" t="n"/>
      <c r="H140" s="4" t="n"/>
    </row>
    <row r="141" ht="14.45" customHeight="1" s="99">
      <c r="D141" s="6" t="n"/>
      <c r="F141" s="5" t="n"/>
      <c r="H141" s="4" t="n"/>
    </row>
    <row r="142" ht="14.45" customHeight="1" s="99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99">
      <c r="D213" s="6" t="n"/>
      <c r="F213" s="5" t="n"/>
      <c r="H213" s="4" t="n"/>
    </row>
    <row r="214" ht="14.45" customHeight="1" s="99">
      <c r="D214" s="6" t="n"/>
      <c r="F214" s="5" t="n"/>
      <c r="H214" s="4" t="n"/>
    </row>
    <row r="215" ht="14.45" customHeight="1" s="99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99">
      <c r="D286" s="6" t="n"/>
      <c r="F286" s="5" t="n"/>
      <c r="H286" s="4" t="n"/>
    </row>
    <row r="287" ht="14.45" customHeight="1" s="99">
      <c r="D287" s="6" t="n"/>
      <c r="F287" s="5" t="n"/>
      <c r="H287" s="4" t="n"/>
    </row>
    <row r="288" ht="14.45" customHeight="1" s="99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99">
      <c r="D359" s="6" t="n"/>
      <c r="F359" s="5" t="n"/>
      <c r="H359" s="4" t="n"/>
    </row>
    <row r="360" ht="14.45" customHeight="1" s="99">
      <c r="D360" s="6" t="n"/>
      <c r="F360" s="5" t="n"/>
      <c r="H360" s="4" t="n"/>
    </row>
    <row r="361" ht="14.45" customHeight="1" s="99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99">
      <c r="D432" s="6" t="n"/>
      <c r="F432" s="5" t="n"/>
      <c r="H432" s="4" t="n"/>
    </row>
    <row r="433" ht="14.45" customHeight="1" s="99">
      <c r="D433" s="6" t="n"/>
      <c r="F433" s="5" t="n"/>
      <c r="H433" s="4" t="n"/>
    </row>
    <row r="434" ht="14.45" customHeight="1" s="99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99">
      <c r="D505" s="6" t="n"/>
      <c r="F505" s="5" t="n"/>
      <c r="H505" s="4" t="n"/>
    </row>
    <row r="506" ht="14.45" customHeight="1" s="99">
      <c r="D506" s="6" t="n"/>
      <c r="F506" s="5" t="n"/>
      <c r="H506" s="4" t="n"/>
    </row>
    <row r="507" ht="14.45" customHeight="1" s="99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99">
      <c r="D578" s="6" t="n"/>
      <c r="F578" s="5" t="n"/>
      <c r="H578" s="4" t="n"/>
    </row>
    <row r="579" ht="14.45" customHeight="1" s="99">
      <c r="D579" s="6" t="n"/>
      <c r="F579" s="5" t="n"/>
      <c r="H579" s="4" t="n"/>
    </row>
    <row r="580" ht="14.45" customHeight="1" s="99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99">
      <c r="D651" s="6" t="n"/>
      <c r="F651" s="5" t="n"/>
      <c r="H651" s="4" t="n"/>
    </row>
    <row r="652" ht="14.45" customHeight="1" s="99">
      <c r="D652" s="6" t="n"/>
      <c r="F652" s="5" t="n"/>
      <c r="H652" s="4" t="n"/>
    </row>
    <row r="653" ht="14.45" customHeight="1" s="99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99">
      <c r="D724" s="6" t="n"/>
      <c r="F724" s="5" t="n"/>
      <c r="H724" s="4" t="n"/>
    </row>
    <row r="725" ht="14.45" customHeight="1" s="99">
      <c r="D725" s="6" t="n"/>
      <c r="F725" s="5" t="n"/>
      <c r="H725" s="4" t="n"/>
    </row>
    <row r="726" ht="14.45" customHeight="1" s="99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99">
      <c r="D797" s="6" t="n"/>
      <c r="F797" s="5" t="n"/>
      <c r="H797" s="4" t="n"/>
    </row>
    <row r="798" ht="14.45" customHeight="1" s="99">
      <c r="D798" s="6" t="n"/>
      <c r="F798" s="5" t="n"/>
      <c r="H798" s="4" t="n"/>
    </row>
    <row r="799" ht="14.45" customHeight="1" s="99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99">
      <c r="D870" s="6" t="n"/>
      <c r="F870" s="5" t="n"/>
      <c r="H870" s="4" t="n"/>
    </row>
    <row r="871" ht="14.45" customHeight="1" s="99">
      <c r="D871" s="6" t="n"/>
      <c r="F871" s="5" t="n"/>
      <c r="H871" s="4" t="n"/>
    </row>
    <row r="872" ht="14.45" customHeight="1" s="99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99">
      <c r="D943" s="6" t="n"/>
      <c r="F943" s="5" t="n"/>
      <c r="H943" s="4" t="n"/>
    </row>
    <row r="944" ht="14.45" customHeight="1" s="99">
      <c r="D944" s="6" t="n"/>
      <c r="F944" s="5" t="n"/>
      <c r="H944" s="4" t="n"/>
    </row>
    <row r="945" ht="14.45" customHeight="1" s="99">
      <c r="D945" s="6" t="n"/>
      <c r="F945" s="5" t="n"/>
      <c r="H945" s="4" t="n"/>
    </row>
    <row r="946" ht="14.45" customHeight="1" s="99">
      <c r="D946" s="6" t="n"/>
      <c r="F946" s="5" t="n"/>
      <c r="H946" s="4" t="n"/>
    </row>
    <row r="947" ht="14.45" customHeight="1" s="99">
      <c r="D947" s="6" t="n"/>
      <c r="F947" s="5" t="n"/>
      <c r="H947" s="4" t="n"/>
    </row>
    <row r="948" ht="14.45" customHeight="1" s="99">
      <c r="D948" s="6" t="n"/>
      <c r="F948" s="5" t="n"/>
      <c r="H948" s="4" t="n"/>
    </row>
    <row r="949" ht="14.45" customHeight="1" s="99">
      <c r="D949" s="6" t="n"/>
      <c r="F949" s="5" t="n"/>
      <c r="H949" s="4" t="n"/>
    </row>
    <row r="950" ht="14.45" customHeight="1" s="99">
      <c r="D950" s="6" t="n"/>
      <c r="F950" s="5" t="n"/>
      <c r="H950" s="4" t="n"/>
    </row>
    <row r="951" ht="14.45" customHeight="1" s="99">
      <c r="D951" s="6" t="n"/>
      <c r="F951" s="5" t="n"/>
      <c r="H951" s="4" t="n"/>
    </row>
    <row r="952" ht="14.45" customHeight="1" s="99">
      <c r="D952" s="6" t="n"/>
      <c r="F952" s="5" t="n"/>
      <c r="H952" s="4" t="n"/>
    </row>
    <row r="953" ht="14.45" customHeight="1" s="99">
      <c r="D953" s="6" t="n"/>
      <c r="F953" s="5" t="n"/>
      <c r="H953" s="4" t="n"/>
    </row>
    <row r="954" ht="14.45" customHeight="1" s="99">
      <c r="D954" s="6" t="n"/>
      <c r="F954" s="5" t="n"/>
      <c r="H954" s="4" t="n"/>
    </row>
    <row r="955" ht="14.45" customHeight="1" s="99">
      <c r="D955" s="6" t="n"/>
      <c r="F955" s="5" t="n"/>
      <c r="H955" s="4" t="n"/>
    </row>
    <row r="956" ht="14.45" customHeight="1" s="99">
      <c r="D956" s="6" t="n"/>
      <c r="F956" s="5" t="n"/>
      <c r="H956" s="4" t="n"/>
    </row>
    <row r="957" ht="14.45" customHeight="1" s="99">
      <c r="D957" s="6" t="n"/>
      <c r="F957" s="5" t="n"/>
      <c r="H957" s="4" t="n"/>
    </row>
    <row r="958" ht="14.45" customHeight="1" s="99">
      <c r="D958" s="6" t="n"/>
      <c r="F958" s="5" t="n"/>
      <c r="H958" s="4" t="n"/>
    </row>
    <row r="959" ht="14.45" customHeight="1" s="99">
      <c r="D959" s="6" t="n"/>
      <c r="F959" s="5" t="n"/>
      <c r="H959" s="4" t="n"/>
    </row>
    <row r="960" ht="14.45" customHeight="1" s="99">
      <c r="D960" s="6" t="n"/>
      <c r="F960" s="5" t="n"/>
      <c r="H960" s="4" t="n"/>
    </row>
    <row r="961" ht="14.45" customHeight="1" s="99">
      <c r="D961" s="6" t="n"/>
      <c r="F961" s="5" t="n"/>
      <c r="H961" s="4" t="n"/>
    </row>
    <row r="962" ht="14.45" customHeight="1" s="99">
      <c r="D962" s="6" t="n"/>
      <c r="F962" s="5" t="n"/>
      <c r="H962" s="4" t="n"/>
    </row>
    <row r="963" ht="14.45" customHeight="1" s="99">
      <c r="D963" s="6" t="n"/>
      <c r="F963" s="5" t="n"/>
      <c r="H963" s="4" t="n"/>
    </row>
    <row r="964" ht="14.45" customHeight="1" s="99">
      <c r="D964" s="6" t="n"/>
      <c r="F964" s="5" t="n"/>
      <c r="H964" s="4" t="n"/>
    </row>
    <row r="965" ht="14.45" customHeight="1" s="99">
      <c r="D965" s="6" t="n"/>
      <c r="F965" s="5" t="n"/>
      <c r="H965" s="4" t="n"/>
    </row>
    <row r="966" ht="14.45" customHeight="1" s="99">
      <c r="D966" s="6" t="n"/>
      <c r="F966" s="5" t="n"/>
      <c r="H966" s="4" t="n"/>
    </row>
    <row r="967" ht="14.45" customHeight="1" s="99">
      <c r="D967" s="6" t="n"/>
      <c r="F967" s="5" t="n"/>
      <c r="H967" s="4" t="n"/>
    </row>
    <row r="968" ht="14.45" customHeight="1" s="99">
      <c r="D968" s="6" t="n"/>
      <c r="F968" s="5" t="n"/>
      <c r="H968" s="4" t="n"/>
    </row>
    <row r="969" ht="14.45" customHeight="1" s="99">
      <c r="D969" s="6" t="n"/>
      <c r="F969" s="5" t="n"/>
      <c r="H969" s="4" t="n"/>
    </row>
    <row r="970" ht="14.45" customHeight="1" s="99">
      <c r="D970" s="6" t="n"/>
      <c r="F970" s="5" t="n"/>
      <c r="H970" s="4" t="n"/>
    </row>
    <row r="971" ht="14.45" customHeight="1" s="99">
      <c r="D971" s="6" t="n"/>
      <c r="F971" s="5" t="n"/>
      <c r="H971" s="4" t="n"/>
    </row>
    <row r="972" ht="14.45" customHeight="1" s="99">
      <c r="D972" s="6" t="n"/>
      <c r="F972" s="5" t="n"/>
      <c r="H972" s="4" t="n"/>
    </row>
    <row r="973" ht="14.45" customHeight="1" s="99">
      <c r="D973" s="6" t="n"/>
      <c r="F973" s="5" t="n"/>
      <c r="H973" s="4" t="n"/>
    </row>
    <row r="974" ht="14.45" customHeight="1" s="99">
      <c r="D974" s="6" t="n"/>
      <c r="F974" s="5" t="n"/>
      <c r="H974" s="4" t="n"/>
    </row>
    <row r="975" ht="14.45" customHeight="1" s="99">
      <c r="D975" s="6" t="n"/>
      <c r="F975" s="5" t="n"/>
      <c r="H975" s="4" t="n"/>
    </row>
    <row r="976" ht="14.45" customHeight="1" s="99">
      <c r="D976" s="6" t="n"/>
      <c r="F976" s="5" t="n"/>
      <c r="H976" s="4" t="n"/>
    </row>
    <row r="977" ht="14.45" customHeight="1" s="99">
      <c r="D977" s="6" t="n"/>
      <c r="F977" s="5" t="n"/>
      <c r="H977" s="4" t="n"/>
    </row>
    <row r="978" ht="14.45" customHeight="1" s="99">
      <c r="D978" s="6" t="n"/>
      <c r="F978" s="5" t="n"/>
      <c r="H978" s="4" t="n"/>
    </row>
    <row r="979" ht="14.45" customHeight="1" s="99">
      <c r="D979" s="6" t="n"/>
      <c r="F979" s="5" t="n"/>
      <c r="H979" s="4" t="n"/>
    </row>
    <row r="980" ht="14.45" customHeight="1" s="99">
      <c r="D980" s="6" t="n"/>
      <c r="F980" s="5" t="n"/>
      <c r="H980" s="4" t="n"/>
    </row>
    <row r="981" ht="14.45" customHeight="1" s="99">
      <c r="D981" s="6" t="n"/>
      <c r="F981" s="5" t="n"/>
      <c r="H981" s="4" t="n"/>
    </row>
    <row r="982" ht="14.45" customHeight="1" s="99">
      <c r="D982" s="6" t="n"/>
      <c r="F982" s="5" t="n"/>
      <c r="H982" s="4" t="n"/>
    </row>
    <row r="983" ht="14.45" customHeight="1" s="99">
      <c r="D983" s="6" t="n"/>
      <c r="F983" s="5" t="n"/>
      <c r="H983" s="4" t="n"/>
    </row>
    <row r="984" ht="14.45" customHeight="1" s="99">
      <c r="D984" s="6" t="n"/>
      <c r="F984" s="5" t="n"/>
      <c r="H984" s="4" t="n"/>
    </row>
    <row r="985" ht="14.45" customHeight="1" s="99">
      <c r="D985" s="6" t="n"/>
      <c r="F985" s="5" t="n"/>
      <c r="H985" s="4" t="n"/>
    </row>
    <row r="986" ht="14.45" customHeight="1" s="99">
      <c r="D986" s="6" t="n"/>
      <c r="F986" s="5" t="n"/>
      <c r="H986" s="4" t="n"/>
    </row>
    <row r="987" ht="14.45" customHeight="1" s="99">
      <c r="D987" s="6" t="n"/>
      <c r="F987" s="5" t="n"/>
      <c r="H987" s="4" t="n"/>
    </row>
    <row r="988" ht="14.45" customHeight="1" s="99">
      <c r="D988" s="6" t="n"/>
      <c r="F988" s="5" t="n"/>
      <c r="H988" s="4" t="n"/>
    </row>
    <row r="989" ht="14.45" customHeight="1" s="99">
      <c r="D989" s="6" t="n"/>
      <c r="F989" s="5" t="n"/>
      <c r="H989" s="4" t="n"/>
    </row>
    <row r="990" ht="14.45" customHeight="1" s="99">
      <c r="D990" s="6" t="n"/>
      <c r="F990" s="5" t="n"/>
      <c r="H990" s="4" t="n"/>
    </row>
    <row r="991" ht="14.45" customHeight="1" s="99">
      <c r="D991" s="6" t="n"/>
      <c r="F991" s="5" t="n"/>
      <c r="H991" s="4" t="n"/>
    </row>
    <row r="992" ht="14.45" customHeight="1" s="99">
      <c r="D992" s="6" t="n"/>
      <c r="F992" s="5" t="n"/>
      <c r="H992" s="4" t="n"/>
    </row>
    <row r="993" ht="14.45" customHeight="1" s="99">
      <c r="D993" s="6" t="n"/>
      <c r="F993" s="5" t="n"/>
      <c r="H993" s="4" t="n"/>
    </row>
    <row r="994" ht="14.45" customHeight="1" s="99">
      <c r="D994" s="6" t="n"/>
      <c r="F994" s="5" t="n"/>
      <c r="H994" s="4" t="n"/>
    </row>
    <row r="995" ht="14.45" customHeight="1" s="99">
      <c r="D995" s="6" t="n"/>
      <c r="F995" s="5" t="n"/>
      <c r="H995" s="4" t="n"/>
    </row>
    <row r="996" ht="14.45" customHeight="1" s="99">
      <c r="D996" s="6" t="n"/>
      <c r="F996" s="5" t="n"/>
      <c r="H996" s="4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topLeftCell="I1" workbookViewId="0">
      <pane ySplit="2" topLeftCell="A3" activePane="bottomLeft" state="frozen"/>
      <selection pane="bottomLeft" activeCell="P3" sqref="P3"/>
    </sheetView>
  </sheetViews>
  <sheetFormatPr baseColWidth="8" defaultColWidth="14.42578125" defaultRowHeight="15" customHeight="1"/>
  <cols>
    <col width="7.7109375" customWidth="1" style="99" min="1" max="1"/>
    <col width="30.42578125" customWidth="1" style="99" min="2" max="2"/>
    <col width="17.28515625" customWidth="1" style="99" min="3" max="9"/>
    <col width="28.42578125" customWidth="1" style="99" min="10" max="10"/>
    <col width="17.28515625" customWidth="1" style="99" min="11" max="18"/>
    <col width="42.7109375" customWidth="1" style="99" min="19" max="19"/>
    <col width="10.28515625" customWidth="1" style="99" min="20" max="20"/>
  </cols>
  <sheetData>
    <row r="1" ht="16.5" customHeight="1" s="99">
      <c r="A1" s="95" t="n"/>
      <c r="B1" s="95" t="inlineStr">
        <is>
          <t>DECEMBER 2026 EXPENSES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7" t="n"/>
    </row>
    <row r="2" ht="58.5" customHeight="1" s="99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'ANNUAL-EXPENSE-DETAILS'!V11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'ANNUAL-EXPENSE-DETAILS'!U11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20" t="n">
        <v>117.811659</v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'ANNUAL-EXPENSE-DETAILS'!V11</f>
        <v/>
      </c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inlineStr">
        <is>
          <t>TOTAL WATER METER RENT</t>
        </is>
      </c>
      <c r="T13" s="20">
        <f>I70</f>
        <v/>
      </c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n"/>
      <c r="T14" s="22" t="n"/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BALANCE IN ACCOUNT ON 31-DEC-2023</t>
        </is>
      </c>
      <c r="T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TOTAL NON MAINTENANCE CORPUS COLLECTION</t>
        </is>
      </c>
      <c r="T16" s="22" t="n"/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TOTAL FD DONE</t>
        </is>
      </c>
      <c r="T17" s="20" t="n"/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/>
      <c r="R18" s="22">
        <f>SUM(J18:Q18)*$B$2</f>
        <v/>
      </c>
      <c r="S18" s="22" t="inlineStr">
        <is>
          <t>AMOUNT AVAILABLE FOR NON MAINTENANCE CORPUS IN CURRENT AC</t>
        </is>
      </c>
      <c r="T18" s="22">
        <f>T16-T17</f>
        <v/>
      </c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inlineStr">
        <is>
          <t>AMOUNT AVAILABLE FOR MAINTENANCE</t>
        </is>
      </c>
      <c r="T19" s="20">
        <f>T15-T18</f>
        <v/>
      </c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inlineStr">
        <is>
          <t>TOTAL EXPENSE FOR THE MONTH</t>
        </is>
      </c>
      <c r="T20" s="22">
        <f>'ANNUAL-EXPENSE-DETAILS'!X11</f>
        <v/>
      </c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/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/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/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/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/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99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6" t="n"/>
      <c r="D4" s="29" t="n"/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/>
      <c r="D7" s="32" t="n"/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0" t="n"/>
      <c r="D9" s="32" t="n"/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/>
      <c r="D16" s="29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2" t="n"/>
      <c r="D24" s="29" t="n"/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2" t="n"/>
      <c r="D28" s="29" t="n"/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0" t="n"/>
      <c r="D29" s="32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2" t="n"/>
      <c r="D40" s="29" t="n"/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2" t="n"/>
      <c r="D48" s="29" t="n"/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/>
      <c r="D50" s="30" t="n"/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2" t="n"/>
      <c r="D52" s="29" t="n"/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6" t="n"/>
      <c r="D62" s="30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6" t="n"/>
      <c r="E66" s="35" t="n"/>
      <c r="F66" s="35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6" t="n"/>
      <c r="F67" s="5" t="n"/>
      <c r="H67" s="4" t="n"/>
    </row>
    <row r="68" ht="14.45" customHeight="1" s="99">
      <c r="D68" s="6" t="n"/>
      <c r="F68" s="5" t="n"/>
      <c r="H68" s="4" t="n"/>
    </row>
    <row r="69" ht="14.45" customHeight="1" s="99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99">
      <c r="D140" s="6" t="n"/>
      <c r="F140" s="5" t="n"/>
      <c r="H140" s="4" t="n"/>
    </row>
    <row r="141" ht="14.45" customHeight="1" s="99">
      <c r="D141" s="6" t="n"/>
      <c r="F141" s="5" t="n"/>
      <c r="H141" s="4" t="n"/>
    </row>
    <row r="142" ht="14.45" customHeight="1" s="99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99">
      <c r="D213" s="6" t="n"/>
      <c r="F213" s="5" t="n"/>
      <c r="H213" s="4" t="n"/>
    </row>
    <row r="214" ht="14.45" customHeight="1" s="99">
      <c r="D214" s="6" t="n"/>
      <c r="F214" s="5" t="n"/>
      <c r="H214" s="4" t="n"/>
    </row>
    <row r="215" ht="14.45" customHeight="1" s="99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99">
      <c r="D286" s="6" t="n"/>
      <c r="F286" s="5" t="n"/>
      <c r="H286" s="4" t="n"/>
    </row>
    <row r="287" ht="14.45" customHeight="1" s="99">
      <c r="D287" s="6" t="n"/>
      <c r="F287" s="5" t="n"/>
      <c r="H287" s="4" t="n"/>
    </row>
    <row r="288" ht="14.45" customHeight="1" s="99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99">
      <c r="D359" s="6" t="n"/>
      <c r="F359" s="5" t="n"/>
      <c r="H359" s="4" t="n"/>
    </row>
    <row r="360" ht="14.45" customHeight="1" s="99">
      <c r="D360" s="6" t="n"/>
      <c r="F360" s="5" t="n"/>
      <c r="H360" s="4" t="n"/>
    </row>
    <row r="361" ht="14.45" customHeight="1" s="99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99">
      <c r="D432" s="6" t="n"/>
      <c r="F432" s="5" t="n"/>
      <c r="H432" s="4" t="n"/>
    </row>
    <row r="433" ht="14.45" customHeight="1" s="99">
      <c r="D433" s="6" t="n"/>
      <c r="F433" s="5" t="n"/>
      <c r="H433" s="4" t="n"/>
    </row>
    <row r="434" ht="14.45" customHeight="1" s="99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99">
      <c r="D505" s="6" t="n"/>
      <c r="F505" s="5" t="n"/>
      <c r="H505" s="4" t="n"/>
    </row>
    <row r="506" ht="14.45" customHeight="1" s="99">
      <c r="D506" s="6" t="n"/>
      <c r="F506" s="5" t="n"/>
      <c r="H506" s="4" t="n"/>
    </row>
    <row r="507" ht="14.45" customHeight="1" s="99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99">
      <c r="D578" s="6" t="n"/>
      <c r="F578" s="5" t="n"/>
      <c r="H578" s="4" t="n"/>
    </row>
    <row r="579" ht="14.45" customHeight="1" s="99">
      <c r="D579" s="6" t="n"/>
      <c r="F579" s="5" t="n"/>
      <c r="H579" s="4" t="n"/>
    </row>
    <row r="580" ht="14.45" customHeight="1" s="99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99">
      <c r="D651" s="6" t="n"/>
      <c r="F651" s="5" t="n"/>
      <c r="H651" s="4" t="n"/>
    </row>
    <row r="652" ht="14.45" customHeight="1" s="99">
      <c r="D652" s="6" t="n"/>
      <c r="F652" s="5" t="n"/>
      <c r="H652" s="4" t="n"/>
    </row>
    <row r="653" ht="14.45" customHeight="1" s="99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99">
      <c r="D724" s="6" t="n"/>
      <c r="F724" s="5" t="n"/>
      <c r="H724" s="4" t="n"/>
    </row>
    <row r="725" ht="14.45" customHeight="1" s="99">
      <c r="D725" s="6" t="n"/>
      <c r="F725" s="5" t="n"/>
      <c r="H725" s="4" t="n"/>
    </row>
    <row r="726" ht="14.45" customHeight="1" s="99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99">
      <c r="D797" s="6" t="n"/>
      <c r="F797" s="5" t="n"/>
      <c r="H797" s="4" t="n"/>
    </row>
    <row r="798" ht="14.45" customHeight="1" s="99">
      <c r="D798" s="6" t="n"/>
      <c r="F798" s="5" t="n"/>
      <c r="H798" s="4" t="n"/>
    </row>
    <row r="799" ht="14.45" customHeight="1" s="99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99">
      <c r="D870" s="6" t="n"/>
      <c r="F870" s="5" t="n"/>
      <c r="H870" s="4" t="n"/>
    </row>
    <row r="871" ht="14.45" customHeight="1" s="99">
      <c r="D871" s="6" t="n"/>
      <c r="F871" s="5" t="n"/>
      <c r="H871" s="4" t="n"/>
    </row>
    <row r="872" ht="14.45" customHeight="1" s="99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99">
      <c r="D943" s="6" t="n"/>
      <c r="F943" s="5" t="n"/>
      <c r="H943" s="4" t="n"/>
    </row>
    <row r="944" ht="14.45" customHeight="1" s="99">
      <c r="D944" s="6" t="n"/>
      <c r="F944" s="5" t="n"/>
      <c r="H944" s="4" t="n"/>
    </row>
    <row r="945" ht="14.45" customHeight="1" s="99">
      <c r="D945" s="6" t="n"/>
      <c r="F945" s="5" t="n"/>
      <c r="H945" s="4" t="n"/>
    </row>
    <row r="946" ht="14.45" customHeight="1" s="99">
      <c r="D946" s="6" t="n"/>
      <c r="F946" s="5" t="n"/>
      <c r="H946" s="4" t="n"/>
    </row>
    <row r="947" ht="14.45" customHeight="1" s="99">
      <c r="D947" s="6" t="n"/>
      <c r="F947" s="5" t="n"/>
      <c r="H947" s="4" t="n"/>
    </row>
    <row r="948" ht="14.45" customHeight="1" s="99">
      <c r="D948" s="6" t="n"/>
      <c r="F948" s="5" t="n"/>
      <c r="H948" s="4" t="n"/>
    </row>
    <row r="949" ht="14.45" customHeight="1" s="99">
      <c r="D949" s="6" t="n"/>
      <c r="F949" s="5" t="n"/>
      <c r="H949" s="4" t="n"/>
    </row>
    <row r="950" ht="14.45" customHeight="1" s="99">
      <c r="D950" s="6" t="n"/>
      <c r="F950" s="5" t="n"/>
      <c r="H950" s="4" t="n"/>
    </row>
    <row r="951" ht="14.45" customHeight="1" s="99">
      <c r="D951" s="6" t="n"/>
      <c r="F951" s="5" t="n"/>
      <c r="H951" s="4" t="n"/>
    </row>
    <row r="952" ht="14.45" customHeight="1" s="99">
      <c r="D952" s="6" t="n"/>
      <c r="F952" s="5" t="n"/>
      <c r="H952" s="4" t="n"/>
    </row>
    <row r="953" ht="14.45" customHeight="1" s="99">
      <c r="D953" s="6" t="n"/>
      <c r="F953" s="5" t="n"/>
      <c r="H953" s="4" t="n"/>
    </row>
    <row r="954" ht="14.45" customHeight="1" s="99">
      <c r="D954" s="6" t="n"/>
      <c r="F954" s="5" t="n"/>
      <c r="H954" s="4" t="n"/>
    </row>
    <row r="955" ht="14.45" customHeight="1" s="99">
      <c r="D955" s="6" t="n"/>
      <c r="F955" s="5" t="n"/>
      <c r="H955" s="4" t="n"/>
    </row>
    <row r="956" ht="14.45" customHeight="1" s="99">
      <c r="D956" s="6" t="n"/>
      <c r="F956" s="5" t="n"/>
      <c r="H956" s="4" t="n"/>
    </row>
    <row r="957" ht="14.45" customHeight="1" s="99">
      <c r="D957" s="6" t="n"/>
      <c r="F957" s="5" t="n"/>
      <c r="H957" s="4" t="n"/>
    </row>
    <row r="958" ht="14.45" customHeight="1" s="99">
      <c r="D958" s="6" t="n"/>
      <c r="F958" s="5" t="n"/>
      <c r="H958" s="4" t="n"/>
    </row>
    <row r="959" ht="14.45" customHeight="1" s="99">
      <c r="D959" s="6" t="n"/>
      <c r="F959" s="5" t="n"/>
      <c r="H959" s="4" t="n"/>
    </row>
    <row r="960" ht="14.45" customHeight="1" s="99">
      <c r="D960" s="6" t="n"/>
      <c r="F960" s="5" t="n"/>
      <c r="H960" s="4" t="n"/>
    </row>
    <row r="961" ht="14.45" customHeight="1" s="99">
      <c r="D961" s="6" t="n"/>
      <c r="F961" s="5" t="n"/>
      <c r="H961" s="4" t="n"/>
    </row>
    <row r="962" ht="14.45" customHeight="1" s="99">
      <c r="D962" s="6" t="n"/>
      <c r="F962" s="5" t="n"/>
      <c r="H962" s="4" t="n"/>
    </row>
    <row r="963" ht="14.45" customHeight="1" s="99">
      <c r="D963" s="6" t="n"/>
      <c r="F963" s="5" t="n"/>
      <c r="H963" s="4" t="n"/>
    </row>
    <row r="964" ht="14.45" customHeight="1" s="99">
      <c r="D964" s="6" t="n"/>
      <c r="F964" s="5" t="n"/>
      <c r="H964" s="4" t="n"/>
    </row>
    <row r="965" ht="14.45" customHeight="1" s="99">
      <c r="D965" s="6" t="n"/>
      <c r="F965" s="5" t="n"/>
      <c r="H965" s="4" t="n"/>
    </row>
    <row r="966" ht="14.45" customHeight="1" s="99">
      <c r="D966" s="6" t="n"/>
      <c r="F966" s="5" t="n"/>
      <c r="H966" s="4" t="n"/>
    </row>
    <row r="967" ht="14.45" customHeight="1" s="99">
      <c r="D967" s="6" t="n"/>
      <c r="F967" s="5" t="n"/>
      <c r="H967" s="4" t="n"/>
    </row>
    <row r="968" ht="14.45" customHeight="1" s="99">
      <c r="D968" s="6" t="n"/>
      <c r="F968" s="5" t="n"/>
      <c r="H968" s="4" t="n"/>
    </row>
    <row r="969" ht="14.45" customHeight="1" s="99">
      <c r="D969" s="6" t="n"/>
      <c r="F969" s="5" t="n"/>
      <c r="H969" s="4" t="n"/>
    </row>
    <row r="970" ht="14.45" customHeight="1" s="99">
      <c r="D970" s="6" t="n"/>
      <c r="F970" s="5" t="n"/>
      <c r="H970" s="4" t="n"/>
    </row>
    <row r="971" ht="14.45" customHeight="1" s="99">
      <c r="D971" s="6" t="n"/>
      <c r="F971" s="5" t="n"/>
      <c r="H971" s="4" t="n"/>
    </row>
    <row r="972" ht="14.45" customHeight="1" s="99">
      <c r="D972" s="6" t="n"/>
      <c r="F972" s="5" t="n"/>
      <c r="H972" s="4" t="n"/>
    </row>
    <row r="973" ht="14.45" customHeight="1" s="99">
      <c r="D973" s="6" t="n"/>
      <c r="F973" s="5" t="n"/>
      <c r="H973" s="4" t="n"/>
    </row>
    <row r="974" ht="14.45" customHeight="1" s="99">
      <c r="D974" s="6" t="n"/>
      <c r="F974" s="5" t="n"/>
      <c r="H974" s="4" t="n"/>
    </row>
    <row r="975" ht="14.45" customHeight="1" s="99">
      <c r="D975" s="6" t="n"/>
      <c r="F975" s="5" t="n"/>
      <c r="H975" s="4" t="n"/>
    </row>
    <row r="976" ht="14.45" customHeight="1" s="99">
      <c r="D976" s="6" t="n"/>
      <c r="F976" s="5" t="n"/>
      <c r="H976" s="4" t="n"/>
    </row>
    <row r="977" ht="14.45" customHeight="1" s="99">
      <c r="D977" s="6" t="n"/>
      <c r="F977" s="5" t="n"/>
      <c r="H977" s="4" t="n"/>
    </row>
    <row r="978" ht="14.45" customHeight="1" s="99">
      <c r="D978" s="6" t="n"/>
      <c r="F978" s="5" t="n"/>
      <c r="H978" s="4" t="n"/>
    </row>
    <row r="979" ht="14.45" customHeight="1" s="99">
      <c r="D979" s="6" t="n"/>
      <c r="F979" s="5" t="n"/>
      <c r="H979" s="4" t="n"/>
    </row>
    <row r="980" ht="14.45" customHeight="1" s="99">
      <c r="D980" s="6" t="n"/>
      <c r="F980" s="5" t="n"/>
      <c r="H980" s="4" t="n"/>
    </row>
    <row r="981" ht="14.45" customHeight="1" s="99">
      <c r="D981" s="6" t="n"/>
      <c r="F981" s="5" t="n"/>
      <c r="H981" s="4" t="n"/>
    </row>
    <row r="982" ht="14.45" customHeight="1" s="99">
      <c r="D982" s="6" t="n"/>
      <c r="F982" s="5" t="n"/>
      <c r="H982" s="4" t="n"/>
    </row>
    <row r="983" ht="14.45" customHeight="1" s="99">
      <c r="D983" s="6" t="n"/>
      <c r="F983" s="5" t="n"/>
      <c r="H983" s="4" t="n"/>
    </row>
    <row r="984" ht="14.45" customHeight="1" s="99">
      <c r="D984" s="6" t="n"/>
      <c r="F984" s="5" t="n"/>
      <c r="H984" s="4" t="n"/>
    </row>
    <row r="985" ht="14.45" customHeight="1" s="99">
      <c r="D985" s="6" t="n"/>
      <c r="F985" s="5" t="n"/>
      <c r="H985" s="4" t="n"/>
    </row>
    <row r="986" ht="14.45" customHeight="1" s="99">
      <c r="D986" s="6" t="n"/>
      <c r="F986" s="5" t="n"/>
      <c r="H986" s="4" t="n"/>
    </row>
    <row r="987" ht="14.45" customHeight="1" s="99">
      <c r="D987" s="6" t="n"/>
      <c r="F987" s="5" t="n"/>
      <c r="H987" s="4" t="n"/>
    </row>
    <row r="988" ht="14.45" customHeight="1" s="99">
      <c r="D988" s="6" t="n"/>
      <c r="F988" s="5" t="n"/>
      <c r="H988" s="4" t="n"/>
    </row>
    <row r="989" ht="14.45" customHeight="1" s="99">
      <c r="D989" s="6" t="n"/>
      <c r="F989" s="5" t="n"/>
      <c r="H989" s="4" t="n"/>
    </row>
    <row r="990" ht="14.45" customHeight="1" s="99">
      <c r="D990" s="6" t="n"/>
      <c r="F990" s="5" t="n"/>
      <c r="H990" s="4" t="n"/>
    </row>
    <row r="991" ht="14.45" customHeight="1" s="99">
      <c r="D991" s="6" t="n"/>
      <c r="F991" s="5" t="n"/>
      <c r="H991" s="4" t="n"/>
    </row>
    <row r="992" ht="14.45" customHeight="1" s="99">
      <c r="D992" s="6" t="n"/>
      <c r="F992" s="5" t="n"/>
      <c r="H992" s="4" t="n"/>
    </row>
    <row r="993" ht="14.45" customHeight="1" s="99">
      <c r="D993" s="6" t="n"/>
      <c r="F993" s="5" t="n"/>
      <c r="H993" s="4" t="n"/>
    </row>
    <row r="994" ht="14.45" customHeight="1" s="99">
      <c r="D994" s="6" t="n"/>
      <c r="F994" s="5" t="n"/>
      <c r="H994" s="4" t="n"/>
    </row>
    <row r="995" ht="14.45" customHeight="1" s="99">
      <c r="D995" s="6" t="n"/>
      <c r="F995" s="5" t="n"/>
      <c r="H995" s="4" t="n"/>
    </row>
    <row r="996" ht="14.45" customHeight="1" s="99">
      <c r="D996" s="6" t="n"/>
      <c r="F996" s="5" t="n"/>
      <c r="H996" s="4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topLeftCell="K1" workbookViewId="0">
      <pane ySplit="2" topLeftCell="A3" activePane="bottomLeft" state="frozen"/>
      <selection pane="bottomLeft" activeCell="P3" sqref="P3"/>
    </sheetView>
  </sheetViews>
  <sheetFormatPr baseColWidth="8" defaultColWidth="14.42578125" defaultRowHeight="15" customHeight="1"/>
  <cols>
    <col width="7.7109375" customWidth="1" style="99" min="1" max="1"/>
    <col width="30.42578125" customWidth="1" style="99" min="2" max="2"/>
    <col width="22" customWidth="1" style="99" min="3" max="18"/>
    <col width="35.7109375" customWidth="1" style="99" min="19" max="19"/>
    <col width="10.28515625" customWidth="1" style="99" min="20" max="20"/>
  </cols>
  <sheetData>
    <row r="1" ht="16.5" customHeight="1" s="99">
      <c r="A1" s="95" t="n"/>
      <c r="B1" s="95" t="inlineStr">
        <is>
          <t>JANUARY 2027 EXPENSES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7" t="n"/>
    </row>
    <row r="2" ht="58.5" customHeight="1" s="99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'ANNUAL-EXPENSE-DETAILS'!V12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'ANNUAL-EXPENSE-DETAILS'!U12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20" t="n">
        <v>117.811659</v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'ANNUAL-EXPENSE-DETAILS'!V12</f>
        <v/>
      </c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inlineStr">
        <is>
          <t>TOTAL WATER METER RENT</t>
        </is>
      </c>
      <c r="T13" s="20">
        <f>I70</f>
        <v/>
      </c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n"/>
      <c r="T14" s="22" t="n"/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BALANCE IN ACCOUNT ON 31-Jan-2023</t>
        </is>
      </c>
      <c r="T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TOTAL NON MAINTENANCE CORPUS COLLECTION</t>
        </is>
      </c>
      <c r="T16" s="22" t="n"/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TOTAL FD DONE</t>
        </is>
      </c>
      <c r="T17" s="20" t="n"/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/>
      <c r="R18" s="22">
        <f>SUM(J18:Q18)*$B$2</f>
        <v/>
      </c>
      <c r="S18" s="22" t="inlineStr">
        <is>
          <t>AMOUNT AVAILABLE FOR NON MAINTENANCE CORPUS IN CURRENT AC</t>
        </is>
      </c>
      <c r="T18" s="22">
        <f>T16-T17</f>
        <v/>
      </c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inlineStr">
        <is>
          <t>AMOUNT AVAILABLE FOR MAINTENANCE</t>
        </is>
      </c>
      <c r="T19" s="20">
        <f>T15-T18</f>
        <v/>
      </c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inlineStr">
        <is>
          <t>TOTAL EXPENSE FOR THE MONTH</t>
        </is>
      </c>
      <c r="T20" s="22">
        <f>'ANNUAL-EXPENSE-DETAILS'!X12</f>
        <v/>
      </c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/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/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/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/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/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99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6" t="n"/>
      <c r="D4" s="29" t="n"/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/>
      <c r="D7" s="32" t="n"/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0" t="n"/>
      <c r="D9" s="32" t="n"/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/>
      <c r="D16" s="29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2" t="n"/>
      <c r="D24" s="29" t="n"/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2" t="n"/>
      <c r="D28" s="29" t="n"/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0" t="n"/>
      <c r="D29" s="32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2" t="n"/>
      <c r="D40" s="29" t="n"/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2" t="n"/>
      <c r="D48" s="29" t="n"/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/>
      <c r="D50" s="30" t="n"/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2" t="n"/>
      <c r="D52" s="29" t="n"/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6" t="n"/>
      <c r="D62" s="30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6" t="n"/>
      <c r="E66" s="35" t="n"/>
      <c r="F66" s="35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6" t="n"/>
      <c r="F67" s="5" t="n"/>
      <c r="H67" s="4" t="n"/>
    </row>
    <row r="68" ht="14.45" customHeight="1" s="99">
      <c r="D68" s="6" t="n"/>
      <c r="F68" s="5" t="n"/>
      <c r="H68" s="4" t="n"/>
    </row>
    <row r="69" ht="14.45" customHeight="1" s="99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99">
      <c r="D140" s="6" t="n"/>
      <c r="F140" s="5" t="n"/>
      <c r="H140" s="4" t="n"/>
    </row>
    <row r="141" ht="14.45" customHeight="1" s="99">
      <c r="D141" s="6" t="n"/>
      <c r="F141" s="5" t="n"/>
      <c r="H141" s="4" t="n"/>
    </row>
    <row r="142" ht="14.45" customHeight="1" s="99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99">
      <c r="D213" s="6" t="n"/>
      <c r="F213" s="5" t="n"/>
      <c r="H213" s="4" t="n"/>
    </row>
    <row r="214" ht="14.45" customHeight="1" s="99">
      <c r="D214" s="6" t="n"/>
      <c r="F214" s="5" t="n"/>
      <c r="H214" s="4" t="n"/>
    </row>
    <row r="215" ht="14.45" customHeight="1" s="99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99">
      <c r="D286" s="6" t="n"/>
      <c r="F286" s="5" t="n"/>
      <c r="H286" s="4" t="n"/>
    </row>
    <row r="287" ht="14.45" customHeight="1" s="99">
      <c r="D287" s="6" t="n"/>
      <c r="F287" s="5" t="n"/>
      <c r="H287" s="4" t="n"/>
    </row>
    <row r="288" ht="14.45" customHeight="1" s="99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99">
      <c r="D359" s="6" t="n"/>
      <c r="F359" s="5" t="n"/>
      <c r="H359" s="4" t="n"/>
    </row>
    <row r="360" ht="14.45" customHeight="1" s="99">
      <c r="D360" s="6" t="n"/>
      <c r="F360" s="5" t="n"/>
      <c r="H360" s="4" t="n"/>
    </row>
    <row r="361" ht="14.45" customHeight="1" s="99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99">
      <c r="D432" s="6" t="n"/>
      <c r="F432" s="5" t="n"/>
      <c r="H432" s="4" t="n"/>
    </row>
    <row r="433" ht="14.45" customHeight="1" s="99">
      <c r="D433" s="6" t="n"/>
      <c r="F433" s="5" t="n"/>
      <c r="H433" s="4" t="n"/>
    </row>
    <row r="434" ht="14.45" customHeight="1" s="99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99">
      <c r="D505" s="6" t="n"/>
      <c r="F505" s="5" t="n"/>
      <c r="H505" s="4" t="n"/>
    </row>
    <row r="506" ht="14.45" customHeight="1" s="99">
      <c r="D506" s="6" t="n"/>
      <c r="F506" s="5" t="n"/>
      <c r="H506" s="4" t="n"/>
    </row>
    <row r="507" ht="14.45" customHeight="1" s="99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99">
      <c r="D578" s="6" t="n"/>
      <c r="F578" s="5" t="n"/>
      <c r="H578" s="4" t="n"/>
    </row>
    <row r="579" ht="14.45" customHeight="1" s="99">
      <c r="D579" s="6" t="n"/>
      <c r="F579" s="5" t="n"/>
      <c r="H579" s="4" t="n"/>
    </row>
    <row r="580" ht="14.45" customHeight="1" s="99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99">
      <c r="D651" s="6" t="n"/>
      <c r="F651" s="5" t="n"/>
      <c r="H651" s="4" t="n"/>
    </row>
    <row r="652" ht="14.45" customHeight="1" s="99">
      <c r="D652" s="6" t="n"/>
      <c r="F652" s="5" t="n"/>
      <c r="H652" s="4" t="n"/>
    </row>
    <row r="653" ht="14.45" customHeight="1" s="99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99">
      <c r="D724" s="6" t="n"/>
      <c r="F724" s="5" t="n"/>
      <c r="H724" s="4" t="n"/>
    </row>
    <row r="725" ht="14.45" customHeight="1" s="99">
      <c r="D725" s="6" t="n"/>
      <c r="F725" s="5" t="n"/>
      <c r="H725" s="4" t="n"/>
    </row>
    <row r="726" ht="14.45" customHeight="1" s="99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99">
      <c r="D797" s="6" t="n"/>
      <c r="F797" s="5" t="n"/>
      <c r="H797" s="4" t="n"/>
    </row>
    <row r="798" ht="14.45" customHeight="1" s="99">
      <c r="D798" s="6" t="n"/>
      <c r="F798" s="5" t="n"/>
      <c r="H798" s="4" t="n"/>
    </row>
    <row r="799" ht="14.45" customHeight="1" s="99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99">
      <c r="D870" s="6" t="n"/>
      <c r="F870" s="5" t="n"/>
      <c r="H870" s="4" t="n"/>
    </row>
    <row r="871" ht="14.45" customHeight="1" s="99">
      <c r="D871" s="6" t="n"/>
      <c r="F871" s="5" t="n"/>
      <c r="H871" s="4" t="n"/>
    </row>
    <row r="872" ht="14.45" customHeight="1" s="99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99">
      <c r="D943" s="6" t="n"/>
      <c r="F943" s="5" t="n"/>
      <c r="H943" s="4" t="n"/>
    </row>
    <row r="944" ht="14.45" customHeight="1" s="99">
      <c r="D944" s="6" t="n"/>
      <c r="F944" s="5" t="n"/>
      <c r="H944" s="4" t="n"/>
    </row>
    <row r="945" ht="14.45" customHeight="1" s="99">
      <c r="D945" s="6" t="n"/>
      <c r="F945" s="5" t="n"/>
      <c r="H945" s="4" t="n"/>
    </row>
    <row r="946" ht="14.45" customHeight="1" s="99">
      <c r="D946" s="6" t="n"/>
      <c r="F946" s="5" t="n"/>
      <c r="H946" s="4" t="n"/>
    </row>
    <row r="947" ht="14.45" customHeight="1" s="99">
      <c r="D947" s="6" t="n"/>
      <c r="F947" s="5" t="n"/>
      <c r="H947" s="4" t="n"/>
    </row>
    <row r="948" ht="14.45" customHeight="1" s="99">
      <c r="D948" s="6" t="n"/>
      <c r="F948" s="5" t="n"/>
      <c r="H948" s="4" t="n"/>
    </row>
    <row r="949" ht="14.45" customHeight="1" s="99">
      <c r="D949" s="6" t="n"/>
      <c r="F949" s="5" t="n"/>
      <c r="H949" s="4" t="n"/>
    </row>
    <row r="950" ht="14.45" customHeight="1" s="99">
      <c r="D950" s="6" t="n"/>
      <c r="F950" s="5" t="n"/>
      <c r="H950" s="4" t="n"/>
    </row>
    <row r="951" ht="14.45" customHeight="1" s="99">
      <c r="D951" s="6" t="n"/>
      <c r="F951" s="5" t="n"/>
      <c r="H951" s="4" t="n"/>
    </row>
    <row r="952" ht="14.45" customHeight="1" s="99">
      <c r="D952" s="6" t="n"/>
      <c r="F952" s="5" t="n"/>
      <c r="H952" s="4" t="n"/>
    </row>
    <row r="953" ht="14.45" customHeight="1" s="99">
      <c r="D953" s="6" t="n"/>
      <c r="F953" s="5" t="n"/>
      <c r="H953" s="4" t="n"/>
    </row>
    <row r="954" ht="14.45" customHeight="1" s="99">
      <c r="D954" s="6" t="n"/>
      <c r="F954" s="5" t="n"/>
      <c r="H954" s="4" t="n"/>
    </row>
    <row r="955" ht="14.45" customHeight="1" s="99">
      <c r="D955" s="6" t="n"/>
      <c r="F955" s="5" t="n"/>
      <c r="H955" s="4" t="n"/>
    </row>
    <row r="956" ht="14.45" customHeight="1" s="99">
      <c r="D956" s="6" t="n"/>
      <c r="F956" s="5" t="n"/>
      <c r="H956" s="4" t="n"/>
    </row>
    <row r="957" ht="14.45" customHeight="1" s="99">
      <c r="D957" s="6" t="n"/>
      <c r="F957" s="5" t="n"/>
      <c r="H957" s="4" t="n"/>
    </row>
    <row r="958" ht="14.45" customHeight="1" s="99">
      <c r="D958" s="6" t="n"/>
      <c r="F958" s="5" t="n"/>
      <c r="H958" s="4" t="n"/>
    </row>
    <row r="959" ht="14.45" customHeight="1" s="99">
      <c r="D959" s="6" t="n"/>
      <c r="F959" s="5" t="n"/>
      <c r="H959" s="4" t="n"/>
    </row>
    <row r="960" ht="14.45" customHeight="1" s="99">
      <c r="D960" s="6" t="n"/>
      <c r="F960" s="5" t="n"/>
      <c r="H960" s="4" t="n"/>
    </row>
    <row r="961" ht="14.45" customHeight="1" s="99">
      <c r="D961" s="6" t="n"/>
      <c r="F961" s="5" t="n"/>
      <c r="H961" s="4" t="n"/>
    </row>
    <row r="962" ht="14.45" customHeight="1" s="99">
      <c r="D962" s="6" t="n"/>
      <c r="F962" s="5" t="n"/>
      <c r="H962" s="4" t="n"/>
    </row>
    <row r="963" ht="14.45" customHeight="1" s="99">
      <c r="D963" s="6" t="n"/>
      <c r="F963" s="5" t="n"/>
      <c r="H963" s="4" t="n"/>
    </row>
    <row r="964" ht="14.45" customHeight="1" s="99">
      <c r="D964" s="6" t="n"/>
      <c r="F964" s="5" t="n"/>
      <c r="H964" s="4" t="n"/>
    </row>
    <row r="965" ht="14.45" customHeight="1" s="99">
      <c r="D965" s="6" t="n"/>
      <c r="F965" s="5" t="n"/>
      <c r="H965" s="4" t="n"/>
    </row>
    <row r="966" ht="14.45" customHeight="1" s="99">
      <c r="D966" s="6" t="n"/>
      <c r="F966" s="5" t="n"/>
      <c r="H966" s="4" t="n"/>
    </row>
    <row r="967" ht="14.45" customHeight="1" s="99">
      <c r="D967" s="6" t="n"/>
      <c r="F967" s="5" t="n"/>
      <c r="H967" s="4" t="n"/>
    </row>
    <row r="968" ht="14.45" customHeight="1" s="99">
      <c r="D968" s="6" t="n"/>
      <c r="F968" s="5" t="n"/>
      <c r="H968" s="4" t="n"/>
    </row>
    <row r="969" ht="14.45" customHeight="1" s="99">
      <c r="D969" s="6" t="n"/>
      <c r="F969" s="5" t="n"/>
      <c r="H969" s="4" t="n"/>
    </row>
    <row r="970" ht="14.45" customHeight="1" s="99">
      <c r="D970" s="6" t="n"/>
      <c r="F970" s="5" t="n"/>
      <c r="H970" s="4" t="n"/>
    </row>
    <row r="971" ht="14.45" customHeight="1" s="99">
      <c r="D971" s="6" t="n"/>
      <c r="F971" s="5" t="n"/>
      <c r="H971" s="4" t="n"/>
    </row>
    <row r="972" ht="14.45" customHeight="1" s="99">
      <c r="D972" s="6" t="n"/>
      <c r="F972" s="5" t="n"/>
      <c r="H972" s="4" t="n"/>
    </row>
    <row r="973" ht="14.45" customHeight="1" s="99">
      <c r="D973" s="6" t="n"/>
      <c r="F973" s="5" t="n"/>
      <c r="H973" s="4" t="n"/>
    </row>
    <row r="974" ht="14.45" customHeight="1" s="99">
      <c r="D974" s="6" t="n"/>
      <c r="F974" s="5" t="n"/>
      <c r="H974" s="4" t="n"/>
    </row>
    <row r="975" ht="14.45" customHeight="1" s="99">
      <c r="D975" s="6" t="n"/>
      <c r="F975" s="5" t="n"/>
      <c r="H975" s="4" t="n"/>
    </row>
    <row r="976" ht="14.45" customHeight="1" s="99">
      <c r="D976" s="6" t="n"/>
      <c r="F976" s="5" t="n"/>
      <c r="H976" s="4" t="n"/>
    </row>
    <row r="977" ht="14.45" customHeight="1" s="99">
      <c r="D977" s="6" t="n"/>
      <c r="F977" s="5" t="n"/>
      <c r="H977" s="4" t="n"/>
    </row>
    <row r="978" ht="14.45" customHeight="1" s="99">
      <c r="D978" s="6" t="n"/>
      <c r="F978" s="5" t="n"/>
      <c r="H978" s="4" t="n"/>
    </row>
    <row r="979" ht="14.45" customHeight="1" s="99">
      <c r="D979" s="6" t="n"/>
      <c r="F979" s="5" t="n"/>
      <c r="H979" s="4" t="n"/>
    </row>
    <row r="980" ht="14.45" customHeight="1" s="99">
      <c r="D980" s="6" t="n"/>
      <c r="F980" s="5" t="n"/>
      <c r="H980" s="4" t="n"/>
    </row>
    <row r="981" ht="14.45" customHeight="1" s="99">
      <c r="D981" s="6" t="n"/>
      <c r="F981" s="5" t="n"/>
      <c r="H981" s="4" t="n"/>
    </row>
    <row r="982" ht="14.45" customHeight="1" s="99">
      <c r="D982" s="6" t="n"/>
      <c r="F982" s="5" t="n"/>
      <c r="H982" s="4" t="n"/>
    </row>
    <row r="983" ht="14.45" customHeight="1" s="99">
      <c r="D983" s="6" t="n"/>
      <c r="F983" s="5" t="n"/>
      <c r="H983" s="4" t="n"/>
    </row>
    <row r="984" ht="14.45" customHeight="1" s="99">
      <c r="D984" s="6" t="n"/>
      <c r="F984" s="5" t="n"/>
      <c r="H984" s="4" t="n"/>
    </row>
    <row r="985" ht="14.45" customHeight="1" s="99">
      <c r="D985" s="6" t="n"/>
      <c r="F985" s="5" t="n"/>
      <c r="H985" s="4" t="n"/>
    </row>
    <row r="986" ht="14.45" customHeight="1" s="99">
      <c r="D986" s="6" t="n"/>
      <c r="F986" s="5" t="n"/>
      <c r="H986" s="4" t="n"/>
    </row>
    <row r="987" ht="14.45" customHeight="1" s="99">
      <c r="D987" s="6" t="n"/>
      <c r="F987" s="5" t="n"/>
      <c r="H987" s="4" t="n"/>
    </row>
    <row r="988" ht="14.45" customHeight="1" s="99">
      <c r="D988" s="6" t="n"/>
      <c r="F988" s="5" t="n"/>
      <c r="H988" s="4" t="n"/>
    </row>
    <row r="989" ht="14.45" customHeight="1" s="99">
      <c r="D989" s="6" t="n"/>
      <c r="F989" s="5" t="n"/>
      <c r="H989" s="4" t="n"/>
    </row>
    <row r="990" ht="14.45" customHeight="1" s="99">
      <c r="D990" s="6" t="n"/>
      <c r="F990" s="5" t="n"/>
      <c r="H990" s="4" t="n"/>
    </row>
    <row r="991" ht="14.45" customHeight="1" s="99">
      <c r="D991" s="6" t="n"/>
      <c r="F991" s="5" t="n"/>
      <c r="H991" s="4" t="n"/>
    </row>
    <row r="992" ht="14.45" customHeight="1" s="99">
      <c r="D992" s="6" t="n"/>
      <c r="F992" s="5" t="n"/>
      <c r="H992" s="4" t="n"/>
    </row>
    <row r="993" ht="14.45" customHeight="1" s="99">
      <c r="D993" s="6" t="n"/>
      <c r="F993" s="5" t="n"/>
      <c r="H993" s="4" t="n"/>
    </row>
    <row r="994" ht="14.45" customHeight="1" s="99">
      <c r="D994" s="6" t="n"/>
      <c r="F994" s="5" t="n"/>
      <c r="H994" s="4" t="n"/>
    </row>
    <row r="995" ht="14.45" customHeight="1" s="99">
      <c r="D995" s="6" t="n"/>
      <c r="F995" s="5" t="n"/>
      <c r="H995" s="4" t="n"/>
    </row>
    <row r="996" ht="14.45" customHeight="1" s="99">
      <c r="D996" s="6" t="n"/>
      <c r="F996" s="5" t="n"/>
      <c r="H996" s="4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topLeftCell="H1" workbookViewId="0">
      <pane ySplit="2" topLeftCell="A3" activePane="bottomLeft" state="frozen"/>
      <selection pane="bottomLeft" activeCell="P3" sqref="P3"/>
    </sheetView>
  </sheetViews>
  <sheetFormatPr baseColWidth="8" defaultColWidth="14.42578125" defaultRowHeight="15" customHeight="1"/>
  <cols>
    <col width="7.7109375" customWidth="1" style="99" min="1" max="1"/>
    <col width="30.42578125" customWidth="1" style="99" min="2" max="2"/>
    <col width="19.140625" customWidth="1" style="99" min="3" max="9"/>
    <col width="27.140625" customWidth="1" style="99" min="10" max="10"/>
    <col width="19.140625" customWidth="1" style="99" min="11" max="18"/>
    <col width="32.28515625" customWidth="1" style="99" min="19" max="19"/>
    <col width="12" customWidth="1" style="99" min="20" max="20"/>
  </cols>
  <sheetData>
    <row r="1" ht="16.5" customHeight="1" s="99">
      <c r="A1" s="50" t="n"/>
      <c r="B1" s="98" t="inlineStr">
        <is>
          <t>FEBRUARY 2027 EXPENSES</t>
        </is>
      </c>
    </row>
    <row r="2" ht="58.5" customHeight="1" s="99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'ANNUAL-EXPENSE-DETAILS'!V13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'ANNUAL-EXPENSE-DETAILS'!U13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20" t="n">
        <v>117.81</v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'ANNUAL-EXPENSE-DETAILS'!V13</f>
        <v/>
      </c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inlineStr">
        <is>
          <t>TOTAL WATER METER RENT</t>
        </is>
      </c>
      <c r="T13" s="20">
        <f>T8+I70</f>
        <v/>
      </c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n"/>
      <c r="T14" s="22" t="n"/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BALANCE IN ACCOUNT ON 28-Feb-2023</t>
        </is>
      </c>
      <c r="T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TOTAL NON MAINTENANCE CORPUS COLLECTION</t>
        </is>
      </c>
      <c r="T16" s="22" t="n"/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TOTAL FD DONE</t>
        </is>
      </c>
      <c r="T17" s="20" t="n"/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/>
      <c r="R18" s="22">
        <f>SUM(J18:Q18)*$B$2</f>
        <v/>
      </c>
      <c r="S18" s="22" t="inlineStr">
        <is>
          <t>AMOUNT AVAILABLE FOR NON MAINTENANCE CORPUS IN CURRENT AC</t>
        </is>
      </c>
      <c r="T18" s="22">
        <f>T16-T17</f>
        <v/>
      </c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inlineStr">
        <is>
          <t>AMOUNT AVAILABLE FOR MAINTENANCE</t>
        </is>
      </c>
      <c r="T19" s="20">
        <f>T15-T18</f>
        <v/>
      </c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inlineStr">
        <is>
          <t>TOTAL EXPENSE FOR THE MONTH</t>
        </is>
      </c>
      <c r="T20" s="22">
        <f>'ANNUAL-EXPENSE-DETAILS'!X13</f>
        <v/>
      </c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inlineStr">
        <is>
          <t>Maintenance deficit</t>
        </is>
      </c>
      <c r="T21" s="20">
        <f>T19-T20</f>
        <v/>
      </c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/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/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/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/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/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99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conditionalFormatting sqref="T21">
    <cfRule type="cellIs" priority="1" operator="lessThan" dxfId="2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6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25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6" t="n"/>
      <c r="D4" s="29" t="n"/>
      <c r="E4" s="26" t="n"/>
      <c r="F4" s="26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25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6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/>
      <c r="D7" s="32" t="n"/>
      <c r="E7" s="25" t="n"/>
      <c r="F7" s="25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6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0" t="n"/>
      <c r="D9" s="32" t="n"/>
      <c r="E9" s="25" t="n"/>
      <c r="F9" s="25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5" t="n"/>
      <c r="D11" s="25" t="n"/>
      <c r="E11" s="25" t="n"/>
      <c r="F11" s="25" t="n"/>
      <c r="G11" s="25" t="n"/>
      <c r="H11" s="38" t="n"/>
      <c r="I11" s="25" t="n"/>
      <c r="J11" s="25" t="n"/>
      <c r="K11" s="25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6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1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30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25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/>
      <c r="D16" s="30" t="n"/>
      <c r="E16" s="26" t="n"/>
      <c r="F16" s="26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25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6" t="n"/>
      <c r="D18" s="30" t="n"/>
      <c r="E18" s="26" t="n"/>
      <c r="F18" s="26" t="n"/>
      <c r="G18" s="26" t="n"/>
      <c r="H18" s="37" t="n"/>
      <c r="I18" s="26" t="n"/>
      <c r="J18" s="26" t="n"/>
      <c r="K18" s="26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25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6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1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6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25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2" t="n"/>
      <c r="D24" s="29" t="n"/>
      <c r="E24" s="26" t="n"/>
      <c r="F24" s="26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25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6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25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2" t="n"/>
      <c r="D28" s="29" t="n"/>
      <c r="E28" s="26" t="n"/>
      <c r="F28" s="26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5" t="n"/>
      <c r="D29" s="25" t="n"/>
      <c r="E29" s="25" t="n"/>
      <c r="F29" s="25" t="n"/>
      <c r="G29" s="25" t="n"/>
      <c r="H29" s="38" t="n"/>
      <c r="I29" s="25" t="n"/>
      <c r="J29" s="25" t="n"/>
      <c r="K29" s="25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6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25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6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25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6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5" t="n"/>
      <c r="D35" s="31" t="n"/>
      <c r="E35" s="25" t="n"/>
      <c r="F35" s="25" t="n"/>
      <c r="G35" s="25" t="n"/>
      <c r="H35" s="38" t="n"/>
      <c r="I35" s="25" t="n"/>
      <c r="J35" s="25" t="n"/>
      <c r="K35" s="25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6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25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6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25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2" t="n"/>
      <c r="D40" s="29" t="n"/>
      <c r="E40" s="26" t="n"/>
      <c r="F40" s="26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1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25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6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25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30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25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6" t="n"/>
      <c r="D48" s="26" t="n"/>
      <c r="E48" s="26" t="n"/>
      <c r="F48" s="26" t="n"/>
      <c r="G48" s="26" t="n"/>
      <c r="H48" s="37" t="n"/>
      <c r="I48" s="26" t="n"/>
      <c r="J48" s="26" t="n"/>
      <c r="K48" s="26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25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/>
      <c r="D50" s="30" t="n"/>
      <c r="E50" s="26" t="n"/>
      <c r="F50" s="26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25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2" t="n"/>
      <c r="D52" s="29" t="n"/>
      <c r="E52" s="26" t="n"/>
      <c r="F52" s="26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25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6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25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6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25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6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6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25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6" t="n"/>
      <c r="D62" s="30" t="n"/>
      <c r="E62" s="26" t="n"/>
      <c r="F62" s="26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25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6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25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6" t="n"/>
      <c r="E66" s="35" t="n"/>
      <c r="F66" s="35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6" t="n"/>
      <c r="F67" s="5" t="n"/>
      <c r="H67" s="4" t="n"/>
    </row>
    <row r="68" ht="14.45" customHeight="1" s="99">
      <c r="D68" s="6" t="n"/>
      <c r="F68" s="5" t="n"/>
      <c r="H68" s="4" t="n"/>
    </row>
    <row r="69" ht="14.45" customHeight="1" s="99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99">
      <c r="D140" s="6" t="n"/>
      <c r="F140" s="5" t="n"/>
      <c r="H140" s="4" t="n"/>
    </row>
    <row r="141" ht="14.45" customHeight="1" s="99">
      <c r="D141" s="6" t="n"/>
      <c r="F141" s="5" t="n"/>
      <c r="H141" s="4" t="n"/>
    </row>
    <row r="142" ht="14.45" customHeight="1" s="99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99">
      <c r="D213" s="6" t="n"/>
      <c r="F213" s="5" t="n"/>
      <c r="H213" s="4" t="n"/>
    </row>
    <row r="214" ht="14.45" customHeight="1" s="99">
      <c r="D214" s="6" t="n"/>
      <c r="F214" s="5" t="n"/>
      <c r="H214" s="4" t="n"/>
    </row>
    <row r="215" ht="14.45" customHeight="1" s="99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99">
      <c r="D286" s="6" t="n"/>
      <c r="F286" s="5" t="n"/>
      <c r="H286" s="4" t="n"/>
    </row>
    <row r="287" ht="14.45" customHeight="1" s="99">
      <c r="D287" s="6" t="n"/>
      <c r="F287" s="5" t="n"/>
      <c r="H287" s="4" t="n"/>
    </row>
    <row r="288" ht="14.45" customHeight="1" s="99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99">
      <c r="D359" s="6" t="n"/>
      <c r="F359" s="5" t="n"/>
      <c r="H359" s="4" t="n"/>
    </row>
    <row r="360" ht="14.45" customHeight="1" s="99">
      <c r="D360" s="6" t="n"/>
      <c r="F360" s="5" t="n"/>
      <c r="H360" s="4" t="n"/>
    </row>
    <row r="361" ht="14.45" customHeight="1" s="99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99">
      <c r="D432" s="6" t="n"/>
      <c r="F432" s="5" t="n"/>
      <c r="H432" s="4" t="n"/>
    </row>
    <row r="433" ht="14.45" customHeight="1" s="99">
      <c r="D433" s="6" t="n"/>
      <c r="F433" s="5" t="n"/>
      <c r="H433" s="4" t="n"/>
    </row>
    <row r="434" ht="14.45" customHeight="1" s="99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99">
      <c r="D505" s="6" t="n"/>
      <c r="F505" s="5" t="n"/>
      <c r="H505" s="4" t="n"/>
    </row>
    <row r="506" ht="14.45" customHeight="1" s="99">
      <c r="D506" s="6" t="n"/>
      <c r="F506" s="5" t="n"/>
      <c r="H506" s="4" t="n"/>
    </row>
    <row r="507" ht="14.45" customHeight="1" s="99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99">
      <c r="D578" s="6" t="n"/>
      <c r="F578" s="5" t="n"/>
      <c r="H578" s="4" t="n"/>
    </row>
    <row r="579" ht="14.45" customHeight="1" s="99">
      <c r="D579" s="6" t="n"/>
      <c r="F579" s="5" t="n"/>
      <c r="H579" s="4" t="n"/>
    </row>
    <row r="580" ht="14.45" customHeight="1" s="99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99">
      <c r="D651" s="6" t="n"/>
      <c r="F651" s="5" t="n"/>
      <c r="H651" s="4" t="n"/>
    </row>
    <row r="652" ht="14.45" customHeight="1" s="99">
      <c r="D652" s="6" t="n"/>
      <c r="F652" s="5" t="n"/>
      <c r="H652" s="4" t="n"/>
    </row>
    <row r="653" ht="14.45" customHeight="1" s="99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99">
      <c r="D724" s="6" t="n"/>
      <c r="F724" s="5" t="n"/>
      <c r="H724" s="4" t="n"/>
    </row>
    <row r="725" ht="14.45" customHeight="1" s="99">
      <c r="D725" s="6" t="n"/>
      <c r="F725" s="5" t="n"/>
      <c r="H725" s="4" t="n"/>
    </row>
    <row r="726" ht="14.45" customHeight="1" s="99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99">
      <c r="D797" s="6" t="n"/>
      <c r="F797" s="5" t="n"/>
      <c r="H797" s="4" t="n"/>
    </row>
    <row r="798" ht="14.45" customHeight="1" s="99">
      <c r="D798" s="6" t="n"/>
      <c r="F798" s="5" t="n"/>
      <c r="H798" s="4" t="n"/>
    </row>
    <row r="799" ht="14.45" customHeight="1" s="99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99">
      <c r="D870" s="6" t="n"/>
      <c r="F870" s="5" t="n"/>
      <c r="H870" s="4" t="n"/>
    </row>
    <row r="871" ht="14.45" customHeight="1" s="99">
      <c r="D871" s="6" t="n"/>
      <c r="F871" s="5" t="n"/>
      <c r="H871" s="4" t="n"/>
    </row>
    <row r="872" ht="14.45" customHeight="1" s="99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99">
      <c r="D943" s="6" t="n"/>
      <c r="F943" s="5" t="n"/>
      <c r="H943" s="4" t="n"/>
    </row>
    <row r="944" ht="14.45" customHeight="1" s="99">
      <c r="D944" s="6" t="n"/>
      <c r="F944" s="5" t="n"/>
      <c r="H944" s="4" t="n"/>
    </row>
    <row r="945" ht="14.45" customHeight="1" s="99">
      <c r="D945" s="6" t="n"/>
      <c r="F945" s="5" t="n"/>
      <c r="H945" s="4" t="n"/>
    </row>
    <row r="946" ht="14.45" customHeight="1" s="99">
      <c r="D946" s="6" t="n"/>
      <c r="F946" s="5" t="n"/>
      <c r="H946" s="4" t="n"/>
    </row>
    <row r="947" ht="14.45" customHeight="1" s="99">
      <c r="D947" s="6" t="n"/>
      <c r="F947" s="5" t="n"/>
      <c r="H947" s="4" t="n"/>
    </row>
    <row r="948" ht="14.45" customHeight="1" s="99">
      <c r="D948" s="6" t="n"/>
      <c r="F948" s="5" t="n"/>
      <c r="H948" s="4" t="n"/>
    </row>
    <row r="949" ht="14.45" customHeight="1" s="99">
      <c r="D949" s="6" t="n"/>
      <c r="F949" s="5" t="n"/>
      <c r="H949" s="4" t="n"/>
    </row>
    <row r="950" ht="14.45" customHeight="1" s="99">
      <c r="D950" s="6" t="n"/>
      <c r="F950" s="5" t="n"/>
      <c r="H950" s="4" t="n"/>
    </row>
    <row r="951" ht="14.45" customHeight="1" s="99">
      <c r="D951" s="6" t="n"/>
      <c r="F951" s="5" t="n"/>
      <c r="H951" s="4" t="n"/>
    </row>
    <row r="952" ht="14.45" customHeight="1" s="99">
      <c r="D952" s="6" t="n"/>
      <c r="F952" s="5" t="n"/>
      <c r="H952" s="4" t="n"/>
    </row>
    <row r="953" ht="14.45" customHeight="1" s="99">
      <c r="D953" s="6" t="n"/>
      <c r="F953" s="5" t="n"/>
      <c r="H953" s="4" t="n"/>
    </row>
    <row r="954" ht="14.45" customHeight="1" s="99">
      <c r="D954" s="6" t="n"/>
      <c r="F954" s="5" t="n"/>
      <c r="H954" s="4" t="n"/>
    </row>
    <row r="955" ht="14.45" customHeight="1" s="99">
      <c r="D955" s="6" t="n"/>
      <c r="F955" s="5" t="n"/>
      <c r="H955" s="4" t="n"/>
    </row>
    <row r="956" ht="14.45" customHeight="1" s="99">
      <c r="D956" s="6" t="n"/>
      <c r="F956" s="5" t="n"/>
      <c r="H956" s="4" t="n"/>
    </row>
    <row r="957" ht="14.45" customHeight="1" s="99">
      <c r="D957" s="6" t="n"/>
      <c r="F957" s="5" t="n"/>
      <c r="H957" s="4" t="n"/>
    </row>
    <row r="958" ht="14.45" customHeight="1" s="99">
      <c r="D958" s="6" t="n"/>
      <c r="F958" s="5" t="n"/>
      <c r="H958" s="4" t="n"/>
    </row>
    <row r="959" ht="14.45" customHeight="1" s="99">
      <c r="D959" s="6" t="n"/>
      <c r="F959" s="5" t="n"/>
      <c r="H959" s="4" t="n"/>
    </row>
    <row r="960" ht="14.45" customHeight="1" s="99">
      <c r="D960" s="6" t="n"/>
      <c r="F960" s="5" t="n"/>
      <c r="H960" s="4" t="n"/>
    </row>
    <row r="961" ht="14.45" customHeight="1" s="99">
      <c r="D961" s="6" t="n"/>
      <c r="F961" s="5" t="n"/>
      <c r="H961" s="4" t="n"/>
    </row>
    <row r="962" ht="14.45" customHeight="1" s="99">
      <c r="D962" s="6" t="n"/>
      <c r="F962" s="5" t="n"/>
      <c r="H962" s="4" t="n"/>
    </row>
    <row r="963" ht="14.45" customHeight="1" s="99">
      <c r="D963" s="6" t="n"/>
      <c r="F963" s="5" t="n"/>
      <c r="H963" s="4" t="n"/>
    </row>
    <row r="964" ht="14.45" customHeight="1" s="99">
      <c r="D964" s="6" t="n"/>
      <c r="F964" s="5" t="n"/>
      <c r="H964" s="4" t="n"/>
    </row>
    <row r="965" ht="14.45" customHeight="1" s="99">
      <c r="D965" s="6" t="n"/>
      <c r="F965" s="5" t="n"/>
      <c r="H965" s="4" t="n"/>
    </row>
    <row r="966" ht="14.45" customHeight="1" s="99">
      <c r="D966" s="6" t="n"/>
      <c r="F966" s="5" t="n"/>
      <c r="H966" s="4" t="n"/>
    </row>
    <row r="967" ht="14.45" customHeight="1" s="99">
      <c r="D967" s="6" t="n"/>
      <c r="F967" s="5" t="n"/>
      <c r="H967" s="4" t="n"/>
    </row>
    <row r="968" ht="14.45" customHeight="1" s="99">
      <c r="D968" s="6" t="n"/>
      <c r="F968" s="5" t="n"/>
      <c r="H968" s="4" t="n"/>
    </row>
    <row r="969" ht="14.45" customHeight="1" s="99">
      <c r="D969" s="6" t="n"/>
      <c r="F969" s="5" t="n"/>
      <c r="H969" s="4" t="n"/>
    </row>
    <row r="970" ht="14.45" customHeight="1" s="99">
      <c r="D970" s="6" t="n"/>
      <c r="F970" s="5" t="n"/>
      <c r="H970" s="4" t="n"/>
    </row>
    <row r="971" ht="14.45" customHeight="1" s="99">
      <c r="D971" s="6" t="n"/>
      <c r="F971" s="5" t="n"/>
      <c r="H971" s="4" t="n"/>
    </row>
    <row r="972" ht="14.45" customHeight="1" s="99">
      <c r="D972" s="6" t="n"/>
      <c r="F972" s="5" t="n"/>
      <c r="H972" s="4" t="n"/>
    </row>
    <row r="973" ht="14.45" customHeight="1" s="99">
      <c r="D973" s="6" t="n"/>
      <c r="F973" s="5" t="n"/>
      <c r="H973" s="4" t="n"/>
    </row>
    <row r="974" ht="14.45" customHeight="1" s="99">
      <c r="D974" s="6" t="n"/>
      <c r="F974" s="5" t="n"/>
      <c r="H974" s="4" t="n"/>
    </row>
    <row r="975" ht="14.45" customHeight="1" s="99">
      <c r="D975" s="6" t="n"/>
      <c r="F975" s="5" t="n"/>
      <c r="H975" s="4" t="n"/>
    </row>
    <row r="976" ht="14.45" customHeight="1" s="99">
      <c r="D976" s="6" t="n"/>
      <c r="F976" s="5" t="n"/>
      <c r="H976" s="4" t="n"/>
    </row>
    <row r="977" ht="14.45" customHeight="1" s="99">
      <c r="D977" s="6" t="n"/>
      <c r="F977" s="5" t="n"/>
      <c r="H977" s="4" t="n"/>
    </row>
    <row r="978" ht="14.45" customHeight="1" s="99">
      <c r="D978" s="6" t="n"/>
      <c r="F978" s="5" t="n"/>
      <c r="H978" s="4" t="n"/>
    </row>
    <row r="979" ht="14.45" customHeight="1" s="99">
      <c r="D979" s="6" t="n"/>
      <c r="F979" s="5" t="n"/>
      <c r="H979" s="4" t="n"/>
    </row>
    <row r="980" ht="14.45" customHeight="1" s="99">
      <c r="D980" s="6" t="n"/>
      <c r="F980" s="5" t="n"/>
      <c r="H980" s="4" t="n"/>
    </row>
    <row r="981" ht="14.45" customHeight="1" s="99">
      <c r="D981" s="6" t="n"/>
      <c r="F981" s="5" t="n"/>
      <c r="H981" s="4" t="n"/>
    </row>
    <row r="982" ht="14.45" customHeight="1" s="99">
      <c r="D982" s="6" t="n"/>
      <c r="F982" s="5" t="n"/>
      <c r="H982" s="4" t="n"/>
    </row>
    <row r="983" ht="14.45" customHeight="1" s="99">
      <c r="D983" s="6" t="n"/>
      <c r="F983" s="5" t="n"/>
      <c r="H983" s="4" t="n"/>
    </row>
    <row r="984" ht="14.45" customHeight="1" s="99">
      <c r="D984" s="6" t="n"/>
      <c r="F984" s="5" t="n"/>
      <c r="H984" s="4" t="n"/>
    </row>
    <row r="985" ht="14.45" customHeight="1" s="99">
      <c r="D985" s="6" t="n"/>
      <c r="F985" s="5" t="n"/>
      <c r="H985" s="4" t="n"/>
    </row>
    <row r="986" ht="14.45" customHeight="1" s="99">
      <c r="D986" s="6" t="n"/>
      <c r="F986" s="5" t="n"/>
      <c r="H986" s="4" t="n"/>
    </row>
    <row r="987" ht="14.45" customHeight="1" s="99">
      <c r="D987" s="6" t="n"/>
      <c r="F987" s="5" t="n"/>
      <c r="H987" s="4" t="n"/>
    </row>
    <row r="988" ht="14.45" customHeight="1" s="99">
      <c r="D988" s="6" t="n"/>
      <c r="F988" s="5" t="n"/>
      <c r="H988" s="4" t="n"/>
    </row>
    <row r="989" ht="14.45" customHeight="1" s="99">
      <c r="D989" s="6" t="n"/>
      <c r="F989" s="5" t="n"/>
      <c r="H989" s="4" t="n"/>
    </row>
    <row r="990" ht="14.45" customHeight="1" s="99">
      <c r="D990" s="6" t="n"/>
      <c r="F990" s="5" t="n"/>
      <c r="H990" s="4" t="n"/>
    </row>
    <row r="991" ht="14.45" customHeight="1" s="99">
      <c r="D991" s="6" t="n"/>
      <c r="F991" s="5" t="n"/>
      <c r="H991" s="4" t="n"/>
    </row>
    <row r="992" ht="14.45" customHeight="1" s="99">
      <c r="D992" s="6" t="n"/>
      <c r="F992" s="5" t="n"/>
      <c r="H992" s="4" t="n"/>
    </row>
    <row r="993" ht="14.45" customHeight="1" s="99">
      <c r="D993" s="6" t="n"/>
      <c r="F993" s="5" t="n"/>
      <c r="H993" s="4" t="n"/>
    </row>
    <row r="994" ht="14.45" customHeight="1" s="99">
      <c r="D994" s="6" t="n"/>
      <c r="F994" s="5" t="n"/>
      <c r="H994" s="4" t="n"/>
    </row>
    <row r="995" ht="14.45" customHeight="1" s="99">
      <c r="D995" s="6" t="n"/>
      <c r="F995" s="5" t="n"/>
      <c r="H995" s="4" t="n"/>
    </row>
    <row r="996" ht="14.45" customHeight="1" s="99">
      <c r="D996" s="6" t="n"/>
      <c r="F996" s="5" t="n"/>
      <c r="H996" s="4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T70"/>
  <sheetViews>
    <sheetView topLeftCell="I1" workbookViewId="0">
      <pane ySplit="2" topLeftCell="A3" activePane="bottomLeft" state="frozen"/>
      <selection pane="bottomLeft" activeCell="R6" sqref="R6"/>
    </sheetView>
  </sheetViews>
  <sheetFormatPr baseColWidth="8" defaultColWidth="14.42578125" defaultRowHeight="15" customHeight="1"/>
  <cols>
    <col width="7.7109375" customWidth="1" style="99" min="1" max="1"/>
    <col width="30.42578125" customWidth="1" style="99" min="2" max="2"/>
    <col width="20.28515625" customWidth="1" style="99" min="3" max="18"/>
    <col width="38.7109375" customWidth="1" style="99" min="19" max="19"/>
    <col width="10.28515625" customWidth="1" style="99" min="20" max="20"/>
  </cols>
  <sheetData>
    <row r="1" ht="16.5" customHeight="1" s="99">
      <c r="A1" s="86" t="n"/>
      <c r="B1" s="86" t="inlineStr">
        <is>
          <t>MARCH 2027 EXPENSES</t>
        </is>
      </c>
      <c r="C1" s="87" t="n"/>
      <c r="D1" s="87" t="n"/>
      <c r="E1" s="87" t="n"/>
      <c r="F1" s="87" t="n"/>
      <c r="G1" s="87" t="n"/>
      <c r="H1" s="87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</row>
    <row r="2" ht="58.5" customHeight="1" s="99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OWNERSHIP TRANSFER FEE</t>
        </is>
      </c>
      <c r="Q2" s="18" t="inlineStr">
        <is>
          <t>LATE PAYMENT FINE</t>
        </is>
      </c>
      <c r="R2" s="18" t="inlineStr">
        <is>
          <t>TOTAL EXPENSE TO BE PAID</t>
        </is>
      </c>
      <c r="S2" s="18" t="n"/>
      <c r="T2" s="18" t="n"/>
    </row>
    <row r="3" ht="12.75" customHeight="1" s="99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99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'ANNUAL-EXPENSE-DETAILS'!V14</f>
        <v/>
      </c>
    </row>
    <row r="5" ht="12.75" customHeight="1" s="99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'ANNUAL-EXPENSE-DETAILS'!U14</f>
        <v/>
      </c>
    </row>
    <row r="6" ht="12.75" customHeight="1" s="99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/>
      <c r="Q6" s="22" t="n">
        <v>0</v>
      </c>
      <c r="R6" s="22">
        <f>SUM(J6:Q6)*$B$2</f>
        <v/>
      </c>
      <c r="S6" s="22" t="n"/>
      <c r="T6" s="22" t="n"/>
    </row>
    <row r="7" ht="12.75" customHeight="1" s="99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/>
      <c r="Q7" s="20" t="n">
        <v>0</v>
      </c>
      <c r="R7" s="20">
        <f>SUM(J7:Q7)*$B$2</f>
        <v/>
      </c>
      <c r="S7" s="20" t="inlineStr">
        <is>
          <t>RENT PER METER</t>
        </is>
      </c>
      <c r="T7" s="20" t="n">
        <v>117.81</v>
      </c>
    </row>
    <row r="8" ht="12.75" customHeight="1" s="99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/>
      <c r="Q8" s="22" t="n">
        <v>0</v>
      </c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99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/>
      <c r="Q9" s="20" t="n">
        <v>0</v>
      </c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99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>
        <f>SUM(J10:Q10)*$B$2</f>
        <v/>
      </c>
      <c r="S10" s="22" t="n"/>
      <c r="T10" s="22" t="n"/>
    </row>
    <row r="11" ht="12.75" customHeight="1" s="99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/>
      <c r="Q11" s="20" t="n">
        <v>0</v>
      </c>
      <c r="R11" s="20">
        <f>SUM(J11:Q11)*$B$2</f>
        <v/>
      </c>
      <c r="S11" s="20" t="inlineStr">
        <is>
          <t>TOTAL FIXED EXPENSE</t>
        </is>
      </c>
      <c r="T11" s="20">
        <f>'ANNUAL-EXPENSE-DETAILS'!V14</f>
        <v/>
      </c>
    </row>
    <row r="12" ht="12.75" customHeight="1" s="99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/>
      <c r="Q12" s="22" t="n">
        <v>0</v>
      </c>
      <c r="R12" s="22">
        <f>SUM(J12:Q12)*$B$2</f>
        <v/>
      </c>
      <c r="S12" s="22" t="n"/>
      <c r="T12" s="22" t="n"/>
    </row>
    <row r="13" ht="12.75" customHeight="1" s="99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/>
      <c r="Q13" s="20" t="n">
        <v>0</v>
      </c>
      <c r="R13" s="20">
        <f>SUM(J13:Q13)*$B$2</f>
        <v/>
      </c>
      <c r="S13" s="20" t="inlineStr">
        <is>
          <t>TOTAL WATER METER RENT</t>
        </is>
      </c>
      <c r="T13" s="20">
        <f>T8+I70</f>
        <v/>
      </c>
    </row>
    <row r="14" ht="12.75" customHeight="1" s="99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/>
      <c r="Q14" s="22" t="n">
        <v>0</v>
      </c>
      <c r="R14" s="22">
        <f>SUM(J14:Q14)*$B$2</f>
        <v/>
      </c>
      <c r="S14" s="22" t="n"/>
      <c r="T14" s="22" t="n"/>
    </row>
    <row r="15" ht="12.75" customHeight="1" s="99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/>
      <c r="Q15" s="20" t="n">
        <v>0</v>
      </c>
      <c r="R15" s="20">
        <f>SUM(J15:Q15)*$B$2</f>
        <v/>
      </c>
      <c r="S15" s="20" t="n"/>
      <c r="T15" s="20" t="n"/>
    </row>
    <row r="16" ht="12.75" customHeight="1" s="99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/>
      <c r="Q16" s="22" t="n">
        <v>0</v>
      </c>
      <c r="R16" s="22">
        <f>SUM(J16:Q16)*$B$2</f>
        <v/>
      </c>
      <c r="S16" s="22" t="n"/>
      <c r="T16" s="22" t="n"/>
    </row>
    <row r="17" ht="12.75" customHeight="1" s="99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>
        <f>SUM(J17:Q17)*$B$2</f>
        <v/>
      </c>
      <c r="S17" s="20" t="n"/>
      <c r="T17" s="20" t="n"/>
    </row>
    <row r="18" ht="12.75" customHeight="1" s="99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/>
      <c r="Q18" s="22" t="n">
        <v>0</v>
      </c>
      <c r="R18" s="22">
        <f>SUM(J18:Q18)*$B$2</f>
        <v/>
      </c>
      <c r="S18" s="22" t="n"/>
      <c r="T18" s="22" t="n"/>
    </row>
    <row r="19" ht="12.75" customHeight="1" s="99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/>
      <c r="Q19" s="20" t="n">
        <v>0</v>
      </c>
      <c r="R19" s="20">
        <f>SUM(J19:Q19)*$B$2</f>
        <v/>
      </c>
      <c r="S19" s="20" t="n"/>
      <c r="T19" s="20" t="n"/>
    </row>
    <row r="20" ht="12.75" customHeight="1" s="99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/>
      <c r="Q20" s="22" t="n">
        <v>0</v>
      </c>
      <c r="R20" s="22">
        <f>SUM(J20:Q20)*$B$2</f>
        <v/>
      </c>
      <c r="S20" s="22" t="n"/>
      <c r="T20" s="22" t="n"/>
    </row>
    <row r="21" ht="12.75" customHeight="1" s="99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/>
      <c r="Q21" s="20" t="n">
        <v>0</v>
      </c>
      <c r="R21" s="20">
        <f>SUM(J21:Q21)*$B$2</f>
        <v/>
      </c>
      <c r="S21" s="20" t="n"/>
      <c r="T21" s="20" t="n"/>
    </row>
    <row r="22" ht="12.75" customHeight="1" s="99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>
        <f>SUM(J22:Q22)*$B$2</f>
        <v/>
      </c>
      <c r="S22" s="22" t="n"/>
      <c r="T22" s="22" t="n"/>
    </row>
    <row r="23" ht="12.75" customHeight="1" s="99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/>
      <c r="Q23" s="20" t="n">
        <v>0</v>
      </c>
      <c r="R23" s="20">
        <f>SUM(J23:Q23)*$B$2</f>
        <v/>
      </c>
      <c r="S23" s="20" t="n"/>
      <c r="T23" s="20" t="n"/>
    </row>
    <row r="24" ht="12.75" customHeight="1" s="99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/>
      <c r="Q24" s="22" t="n">
        <v>0</v>
      </c>
      <c r="R24" s="22">
        <f>SUM(J24:Q24)*$B$2</f>
        <v/>
      </c>
      <c r="S24" s="22" t="n"/>
      <c r="T24" s="22" t="n"/>
    </row>
    <row r="25" ht="12.75" customHeight="1" s="99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/>
      <c r="Q25" s="20" t="n">
        <v>0</v>
      </c>
      <c r="R25" s="20">
        <f>SUM(J25:Q25)*$B$2</f>
        <v/>
      </c>
      <c r="S25" s="20" t="n"/>
      <c r="T25" s="20" t="n"/>
    </row>
    <row r="26" ht="12.75" customHeight="1" s="99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/>
      <c r="Q26" s="22" t="n">
        <v>0</v>
      </c>
      <c r="R26" s="22">
        <f>SUM(J26:Q26)*$B$2</f>
        <v/>
      </c>
      <c r="S26" s="22" t="n"/>
      <c r="T26" s="22" t="n"/>
    </row>
    <row r="27" ht="12.75" customHeight="1" s="99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/>
      <c r="Q27" s="20" t="n">
        <v>0</v>
      </c>
      <c r="R27" s="20">
        <f>SUM(J27:Q27)*$B$2</f>
        <v/>
      </c>
      <c r="S27" s="20" t="n"/>
      <c r="T27" s="20" t="n"/>
    </row>
    <row r="28" ht="12.75" customHeight="1" s="99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/>
      <c r="Q28" s="22" t="n">
        <v>0</v>
      </c>
      <c r="R28" s="22">
        <f>SUM(J28:Q28)*$B$2</f>
        <v/>
      </c>
      <c r="S28" s="22" t="n"/>
      <c r="T28" s="22" t="n"/>
    </row>
    <row r="29" ht="12.75" customHeight="1" s="99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/>
      <c r="Q29" s="20" t="n">
        <v>0</v>
      </c>
      <c r="R29" s="20">
        <f>SUM(J29:Q29)*$B$2</f>
        <v/>
      </c>
      <c r="S29" s="20" t="n"/>
      <c r="T29" s="20" t="n"/>
    </row>
    <row r="30" ht="12.75" customHeight="1" s="99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/>
      <c r="Q30" s="22" t="n">
        <v>0</v>
      </c>
      <c r="R30" s="22">
        <f>SUM(J30:Q30)*$B$2</f>
        <v/>
      </c>
      <c r="S30" s="22" t="n"/>
      <c r="T30" s="22" t="n"/>
    </row>
    <row r="31" ht="12.75" customHeight="1" s="99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/>
      <c r="Q31" s="20" t="n">
        <v>0</v>
      </c>
      <c r="R31" s="20">
        <f>SUM(J31:Q31)*$B$2</f>
        <v/>
      </c>
      <c r="S31" s="20" t="n"/>
      <c r="T31" s="20" t="n"/>
    </row>
    <row r="32" ht="12.75" customHeight="1" s="99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/>
      <c r="Q32" s="22" t="n">
        <v>0</v>
      </c>
      <c r="R32" s="22">
        <f>SUM(J32:Q32)*$B$2</f>
        <v/>
      </c>
      <c r="S32" s="22" t="n"/>
      <c r="T32" s="22" t="n"/>
    </row>
    <row r="33" ht="12.75" customHeight="1" s="99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/>
      <c r="Q33" s="20" t="n">
        <v>0</v>
      </c>
      <c r="R33" s="20">
        <f>SUM(J33:Q33)*$B$2</f>
        <v/>
      </c>
      <c r="S33" s="20" t="n"/>
      <c r="T33" s="20" t="n"/>
    </row>
    <row r="34" ht="12.75" customHeight="1" s="99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/>
      <c r="Q34" s="22" t="n">
        <v>0</v>
      </c>
      <c r="R34" s="22">
        <f>SUM(J34:Q34)*$B$2</f>
        <v/>
      </c>
      <c r="S34" s="22" t="n"/>
      <c r="T34" s="22" t="n"/>
    </row>
    <row r="35" ht="12.75" customHeight="1" s="99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/>
      <c r="Q35" s="20" t="n">
        <v>0</v>
      </c>
      <c r="R35" s="20">
        <f>SUM(J35:Q35)*$B$2</f>
        <v/>
      </c>
      <c r="S35" s="20" t="n"/>
      <c r="T35" s="20" t="n"/>
    </row>
    <row r="36" ht="12.75" customHeight="1" s="99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/>
      <c r="Q36" s="22" t="n">
        <v>0</v>
      </c>
      <c r="R36" s="22">
        <f>SUM(J36:Q36)*$B$2</f>
        <v/>
      </c>
      <c r="S36" s="22" t="n"/>
      <c r="T36" s="22" t="n"/>
    </row>
    <row r="37" ht="12.75" customHeight="1" s="99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/>
      <c r="Q37" s="20" t="n">
        <v>0</v>
      </c>
      <c r="R37" s="20">
        <f>SUM(J37:Q37)*$B$2</f>
        <v/>
      </c>
      <c r="S37" s="20" t="n"/>
      <c r="T37" s="20" t="n"/>
    </row>
    <row r="38" ht="12.75" customHeight="1" s="99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/>
      <c r="Q38" s="22" t="n">
        <v>0</v>
      </c>
      <c r="R38" s="22">
        <f>SUM(J38:Q38)*$B$2</f>
        <v/>
      </c>
      <c r="S38" s="22" t="n"/>
      <c r="T38" s="22" t="n"/>
    </row>
    <row r="39" ht="12.75" customHeight="1" s="99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/>
      <c r="Q39" s="20" t="n">
        <v>0</v>
      </c>
      <c r="R39" s="20">
        <f>SUM(J39:Q39)*$B$2</f>
        <v/>
      </c>
      <c r="S39" s="20" t="n"/>
      <c r="T39" s="20" t="n"/>
    </row>
    <row r="40" ht="12.75" customHeight="1" s="99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/>
      <c r="Q40" s="22" t="n">
        <v>0</v>
      </c>
      <c r="R40" s="22">
        <f>SUM(J40:Q40)*$B$2</f>
        <v/>
      </c>
      <c r="S40" s="22" t="n"/>
      <c r="T40" s="22" t="n"/>
    </row>
    <row r="41" ht="12.75" customHeight="1" s="99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/>
      <c r="Q41" s="20" t="n">
        <v>0</v>
      </c>
      <c r="R41" s="20">
        <f>SUM(J41:Q41)*$B$2</f>
        <v/>
      </c>
      <c r="S41" s="20" t="n"/>
      <c r="T41" s="20" t="n"/>
    </row>
    <row r="42" ht="12.75" customHeight="1" s="99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/>
      <c r="Q42" s="22" t="n">
        <v>0</v>
      </c>
      <c r="R42" s="22">
        <f>SUM(J42:Q42)*$B$2</f>
        <v/>
      </c>
      <c r="S42" s="22" t="n"/>
      <c r="T42" s="22" t="n"/>
    </row>
    <row r="43" ht="12.75" customHeight="1" s="99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/>
      <c r="Q43" s="20" t="n">
        <v>0</v>
      </c>
      <c r="R43" s="20">
        <f>SUM(J43:Q43)*$B$2</f>
        <v/>
      </c>
      <c r="S43" s="20" t="n"/>
      <c r="T43" s="20" t="n"/>
    </row>
    <row r="44" ht="12.75" customHeight="1" s="99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/>
      <c r="Q44" s="22" t="n">
        <v>0</v>
      </c>
      <c r="R44" s="22">
        <f>SUM(J44:Q44)*$B$2</f>
        <v/>
      </c>
      <c r="S44" s="22" t="n"/>
      <c r="T44" s="22" t="n"/>
    </row>
    <row r="45" ht="12.75" customHeight="1" s="99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/>
      <c r="Q45" s="20" t="n">
        <v>0</v>
      </c>
      <c r="R45" s="20">
        <f>SUM(J45:Q45)*$B$2</f>
        <v/>
      </c>
      <c r="S45" s="20" t="n"/>
      <c r="T45" s="20" t="n"/>
    </row>
    <row r="46" ht="12.75" customHeight="1" s="99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/>
      <c r="Q46" s="22" t="n">
        <v>0</v>
      </c>
      <c r="R46" s="22">
        <f>SUM(J46:Q46)*$B$2</f>
        <v/>
      </c>
      <c r="S46" s="22" t="n"/>
      <c r="T46" s="22" t="n"/>
    </row>
    <row r="47" ht="12.75" customHeight="1" s="99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/>
      <c r="Q47" s="20" t="n">
        <v>0</v>
      </c>
      <c r="R47" s="20">
        <f>SUM(J47:Q47)*$B$2</f>
        <v/>
      </c>
      <c r="S47" s="20" t="n"/>
      <c r="T47" s="20" t="n"/>
    </row>
    <row r="48" ht="12.75" customHeight="1" s="99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/>
      <c r="Q48" s="22" t="n">
        <v>0</v>
      </c>
      <c r="R48" s="22">
        <f>SUM(J48:Q48)*$B$2</f>
        <v/>
      </c>
      <c r="S48" s="22" t="n"/>
      <c r="T48" s="22" t="n"/>
    </row>
    <row r="49" ht="12.75" customHeight="1" s="99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/>
      <c r="Q49" s="20" t="n">
        <v>0</v>
      </c>
      <c r="R49" s="20">
        <f>SUM(J49:Q49)*$B$2</f>
        <v/>
      </c>
      <c r="S49" s="20" t="n"/>
      <c r="T49" s="20" t="n"/>
    </row>
    <row r="50" ht="12.75" customHeight="1" s="99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/>
      <c r="Q50" s="22" t="n">
        <v>0</v>
      </c>
      <c r="R50" s="22">
        <f>SUM(J50:Q50)*$B$2</f>
        <v/>
      </c>
      <c r="S50" s="22" t="n"/>
      <c r="T50" s="22" t="n"/>
    </row>
    <row r="51" ht="12.75" customHeight="1" s="99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/>
      <c r="Q51" s="20" t="n">
        <v>0</v>
      </c>
      <c r="R51" s="20">
        <f>SUM(J51:Q51)*$B$2</f>
        <v/>
      </c>
      <c r="S51" s="20" t="n"/>
      <c r="T51" s="20" t="n"/>
    </row>
    <row r="52" ht="12.75" customHeight="1" s="99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/>
      <c r="Q52" s="22" t="n">
        <v>0</v>
      </c>
      <c r="R52" s="22">
        <f>SUM(J52:Q52)*$B$2</f>
        <v/>
      </c>
      <c r="S52" s="22" t="n"/>
      <c r="T52" s="22" t="n"/>
    </row>
    <row r="53" ht="12.75" customHeight="1" s="99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/>
      <c r="Q53" s="20" t="n">
        <v>0</v>
      </c>
      <c r="R53" s="20">
        <f>SUM(J53:Q53)*$B$2</f>
        <v/>
      </c>
      <c r="S53" s="20" t="n"/>
      <c r="T53" s="20" t="n"/>
    </row>
    <row r="54" ht="12.75" customHeight="1" s="99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/>
      <c r="Q54" s="22" t="n">
        <v>0</v>
      </c>
      <c r="R54" s="22">
        <f>SUM(J54:Q54)*$B$2</f>
        <v/>
      </c>
      <c r="S54" s="22" t="n"/>
      <c r="T54" s="22" t="n"/>
    </row>
    <row r="55" ht="12.75" customHeight="1" s="99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/>
      <c r="Q55" s="20" t="n">
        <v>0</v>
      </c>
      <c r="R55" s="20">
        <f>SUM(J55:Q55)*$B$2</f>
        <v/>
      </c>
      <c r="S55" s="20" t="n"/>
      <c r="T55" s="20" t="n"/>
    </row>
    <row r="56" ht="12.75" customHeight="1" s="99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/>
      <c r="Q56" s="22" t="n">
        <v>0</v>
      </c>
      <c r="R56" s="22">
        <f>SUM(J56:Q56)*$B$2</f>
        <v/>
      </c>
      <c r="S56" s="22" t="n"/>
      <c r="T56" s="22" t="n"/>
    </row>
    <row r="57" ht="12.75" customHeight="1" s="99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/>
      <c r="Q57" s="20" t="n">
        <v>0</v>
      </c>
      <c r="R57" s="20">
        <f>SUM(J57:Q57)*$B$2</f>
        <v/>
      </c>
      <c r="S57" s="20" t="n"/>
      <c r="T57" s="20" t="n"/>
    </row>
    <row r="58" ht="12.75" customHeight="1" s="99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/>
      <c r="Q58" s="22" t="n">
        <v>0</v>
      </c>
      <c r="R58" s="22">
        <f>SUM(J58:Q58)*$B$2</f>
        <v/>
      </c>
      <c r="S58" s="22" t="n"/>
      <c r="T58" s="22" t="n"/>
    </row>
    <row r="59" ht="12.75" customHeight="1" s="99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/>
      <c r="Q59" s="20" t="n">
        <v>0</v>
      </c>
      <c r="R59" s="20">
        <f>SUM(J59:Q59)*$B$2</f>
        <v/>
      </c>
      <c r="S59" s="20" t="n"/>
      <c r="T59" s="20" t="n"/>
    </row>
    <row r="60" ht="12.75" customHeight="1" s="99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/>
      <c r="Q60" s="22" t="n">
        <v>0</v>
      </c>
      <c r="R60" s="22">
        <f>SUM(J60:Q60)*$B$2</f>
        <v/>
      </c>
      <c r="S60" s="22" t="n"/>
      <c r="T60" s="22" t="n"/>
    </row>
    <row r="61" ht="12.75" customHeight="1" s="99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/>
      <c r="Q61" s="20" t="n">
        <v>0</v>
      </c>
      <c r="R61" s="20">
        <f>SUM(J61:Q61)*$B$2</f>
        <v/>
      </c>
      <c r="S61" s="20" t="n"/>
      <c r="T61" s="20" t="n"/>
    </row>
    <row r="62" ht="12.75" customHeight="1" s="99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/>
      <c r="Q62" s="22" t="n">
        <v>0</v>
      </c>
      <c r="R62" s="22">
        <f>SUM(J62:Q62)*$B$2</f>
        <v/>
      </c>
      <c r="S62" s="22" t="n"/>
      <c r="T62" s="22" t="n"/>
    </row>
    <row r="63" ht="12.75" customHeight="1" s="99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/>
      <c r="Q63" s="20" t="n">
        <v>0</v>
      </c>
      <c r="R63" s="20">
        <f>SUM(J63:Q63)*$B$2</f>
        <v/>
      </c>
      <c r="S63" s="20" t="n"/>
      <c r="T63" s="20" t="n"/>
    </row>
    <row r="64" ht="12.75" customHeight="1" s="99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/>
      <c r="Q64" s="22" t="n">
        <v>0</v>
      </c>
      <c r="R64" s="22">
        <f>SUM(J64:Q64)*$B$2</f>
        <v/>
      </c>
      <c r="S64" s="22" t="n"/>
      <c r="T64" s="22" t="n"/>
    </row>
    <row r="65" ht="12.75" customHeight="1" s="99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/>
      <c r="Q65" s="20" t="n">
        <v>0</v>
      </c>
      <c r="R65" s="20">
        <f>SUM(J65:Q65)*$B$2</f>
        <v/>
      </c>
      <c r="S65" s="20" t="n"/>
      <c r="T65" s="20" t="n"/>
    </row>
    <row r="66" ht="12.75" customHeight="1" s="99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/>
      <c r="Q66" s="22" t="n">
        <v>0</v>
      </c>
      <c r="R66" s="22">
        <f>SUM(J66:Q66)*$B$2</f>
        <v/>
      </c>
      <c r="S66" s="22" t="n"/>
      <c r="T66" s="22" t="n"/>
    </row>
    <row r="67" ht="12.75" customHeight="1" s="99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/>
      <c r="Q67" s="20" t="n">
        <v>0</v>
      </c>
      <c r="R67" s="20">
        <f>SUM(J67:Q67)*$B$2</f>
        <v/>
      </c>
      <c r="S67" s="20" t="n"/>
      <c r="T67" s="20" t="n"/>
    </row>
    <row r="68" ht="12.75" customHeight="1" s="99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/>
      <c r="Q68" s="22" t="n">
        <v>0</v>
      </c>
      <c r="R68" s="22">
        <f>SUM(J68:Q68)*$B$2</f>
        <v/>
      </c>
      <c r="S68" s="22" t="n"/>
      <c r="T68" s="22" t="n"/>
    </row>
    <row r="69" ht="12.75" customHeight="1" s="99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/>
      <c r="Q69" s="20" t="n">
        <v>0</v>
      </c>
      <c r="R69" s="20">
        <f>SUM(J69:Q69)*$B$2</f>
        <v/>
      </c>
      <c r="S69" s="20" t="n"/>
      <c r="T69" s="20" t="n"/>
    </row>
    <row r="70" ht="12.75" customHeight="1" s="99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baseColWidth="8" defaultColWidth="14.42578125" defaultRowHeight="15" customHeight="1"/>
  <cols>
    <col width="7.7109375" customWidth="1" style="99" min="1" max="1"/>
    <col width="64.28515625" customWidth="1" style="99" min="2" max="2"/>
  </cols>
  <sheetData>
    <row r="1" ht="14.45" customHeight="1" s="99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99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99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99">
      <c r="A4" s="21" t="inlineStr">
        <is>
          <t>F3</t>
        </is>
      </c>
      <c r="B4" s="21">
        <f>VLOOKUP(A4,Members!$A$2:$B$65,2,FALSE)</f>
        <v/>
      </c>
      <c r="C4" s="22" t="n"/>
      <c r="D4" s="29" t="n"/>
      <c r="E4" s="22" t="n"/>
      <c r="F4" s="29" t="n"/>
      <c r="G4" s="26" t="n"/>
      <c r="H4" s="37" t="n"/>
      <c r="I4" s="26" t="n"/>
      <c r="J4" s="26" t="n"/>
      <c r="K4" s="22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99">
      <c r="A5" s="19" t="inlineStr">
        <is>
          <t>F4</t>
        </is>
      </c>
      <c r="B5" s="19">
        <f>VLOOKUP(A5,Members!$A$2:$B$65,2,FALSE)</f>
        <v/>
      </c>
      <c r="C5" s="25" t="n"/>
      <c r="D5" s="32" t="n"/>
      <c r="E5" s="25" t="n"/>
      <c r="F5" s="32" t="n"/>
      <c r="G5" s="25" t="n"/>
      <c r="H5" s="38" t="n"/>
      <c r="I5" s="25" t="n"/>
      <c r="J5" s="25" t="n"/>
      <c r="K5" s="25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99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99">
      <c r="A7" s="19" t="inlineStr">
        <is>
          <t>F6</t>
        </is>
      </c>
      <c r="B7" s="19">
        <f>VLOOKUP(A7,Members!$A$2:$B$65,2,FALSE)</f>
        <v/>
      </c>
      <c r="C7" s="25" t="n"/>
      <c r="D7" s="32" t="n"/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99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99">
      <c r="A9" s="19" t="inlineStr">
        <is>
          <t>F8</t>
        </is>
      </c>
      <c r="B9" s="19">
        <f>VLOOKUP(A9,Members!$A$2:$B$65,2,FALSE)</f>
        <v/>
      </c>
      <c r="C9" s="25" t="n"/>
      <c r="D9" s="32" t="n"/>
      <c r="E9" s="25" t="n"/>
      <c r="F9" s="32" t="n"/>
      <c r="G9" s="25" t="n"/>
      <c r="H9" s="38" t="n"/>
      <c r="I9" s="25" t="n"/>
      <c r="J9" s="25" t="n"/>
      <c r="K9" s="25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99">
      <c r="A10" s="21" t="inlineStr">
        <is>
          <t>F9</t>
        </is>
      </c>
      <c r="B10" s="21">
        <f>VLOOKUP(A10,Members!$A$2:$B$65,2,FALSE)</f>
        <v/>
      </c>
      <c r="C10" s="26" t="n"/>
      <c r="D10" s="29" t="n"/>
      <c r="E10" s="26" t="n"/>
      <c r="F10" s="29" t="n"/>
      <c r="G10" s="26" t="n"/>
      <c r="H10" s="37" t="n"/>
      <c r="I10" s="26" t="n"/>
      <c r="J10" s="26" t="n"/>
      <c r="K10" s="26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99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99">
      <c r="A12" s="21" t="inlineStr">
        <is>
          <t>F11</t>
        </is>
      </c>
      <c r="B12" s="21">
        <f>VLOOKUP(A12,Members!$A$2:$B$65,2,FALSE)</f>
        <v/>
      </c>
      <c r="C12" s="26" t="n"/>
      <c r="D12" s="29" t="n"/>
      <c r="E12" s="26" t="n"/>
      <c r="F12" s="29" t="n"/>
      <c r="G12" s="26" t="n"/>
      <c r="H12" s="37" t="n"/>
      <c r="I12" s="26" t="n"/>
      <c r="J12" s="26" t="n"/>
      <c r="K12" s="26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99">
      <c r="A13" s="19" t="inlineStr">
        <is>
          <t>F12</t>
        </is>
      </c>
      <c r="B13" s="19">
        <f>VLOOKUP(A13,Members!$A$2:$B$65,2,FALSE)</f>
        <v/>
      </c>
      <c r="C13" s="25" t="n"/>
      <c r="D13" s="32" t="n"/>
      <c r="E13" s="25" t="n"/>
      <c r="F13" s="32" t="n"/>
      <c r="G13" s="25" t="n"/>
      <c r="H13" s="38" t="n"/>
      <c r="I13" s="25" t="n"/>
      <c r="J13" s="25" t="n"/>
      <c r="K13" s="25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99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99">
      <c r="A15" s="19" t="inlineStr">
        <is>
          <t>F14</t>
        </is>
      </c>
      <c r="B15" s="19">
        <f>VLOOKUP(A15,Members!$A$2:$B$65,2,FALSE)</f>
        <v/>
      </c>
      <c r="C15" s="25" t="n"/>
      <c r="D15" s="32" t="n"/>
      <c r="E15" s="25" t="n"/>
      <c r="F15" s="32" t="n"/>
      <c r="G15" s="25" t="n"/>
      <c r="H15" s="38" t="n"/>
      <c r="I15" s="25" t="n"/>
      <c r="J15" s="25" t="n"/>
      <c r="K15" s="25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99">
      <c r="A16" s="21" t="inlineStr">
        <is>
          <t>F15</t>
        </is>
      </c>
      <c r="B16" s="21">
        <f>VLOOKUP(A16,Members!$A$2:$B$65,2,FALSE)</f>
        <v/>
      </c>
      <c r="C16" s="26" t="n"/>
      <c r="D16" s="29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99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99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99">
      <c r="A19" s="19" t="inlineStr">
        <is>
          <t>G2</t>
        </is>
      </c>
      <c r="B19" s="19">
        <f>VLOOKUP(A19,Members!$A$2:$B$65,2,FALSE)</f>
        <v/>
      </c>
      <c r="C19" s="25" t="n"/>
      <c r="D19" s="32" t="n"/>
      <c r="E19" s="25" t="n"/>
      <c r="F19" s="32" t="n"/>
      <c r="G19" s="25" t="n"/>
      <c r="H19" s="38" t="n"/>
      <c r="I19" s="25" t="n"/>
      <c r="J19" s="25" t="n"/>
      <c r="K19" s="25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99">
      <c r="A20" s="21" t="inlineStr">
        <is>
          <t>G3</t>
        </is>
      </c>
      <c r="B20" s="21">
        <f>VLOOKUP(A20,Members!$A$2:$B$65,2,FALSE)</f>
        <v/>
      </c>
      <c r="C20" s="26" t="n"/>
      <c r="D20" s="29" t="n"/>
      <c r="E20" s="26" t="n"/>
      <c r="F20" s="29" t="n"/>
      <c r="G20" s="26" t="n"/>
      <c r="H20" s="37" t="n"/>
      <c r="I20" s="26" t="n"/>
      <c r="J20" s="26" t="n"/>
      <c r="K20" s="26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99">
      <c r="A21" s="19" t="inlineStr">
        <is>
          <t>G4</t>
        </is>
      </c>
      <c r="B21" s="19">
        <f>VLOOKUP(A21,Members!$A$2:$B$65,2,FALSE)</f>
        <v/>
      </c>
      <c r="C21" s="25" t="n"/>
      <c r="D21" s="32" t="n"/>
      <c r="E21" s="25" t="n"/>
      <c r="F21" s="32" t="n"/>
      <c r="G21" s="25" t="n"/>
      <c r="H21" s="38" t="n"/>
      <c r="I21" s="25" t="n"/>
      <c r="J21" s="25" t="n"/>
      <c r="K21" s="25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99">
      <c r="A22" s="21" t="inlineStr">
        <is>
          <t>G5</t>
        </is>
      </c>
      <c r="B22" s="21">
        <f>VLOOKUP(A22,Members!$A$2:$B$65,2,FALSE)</f>
        <v/>
      </c>
      <c r="C22" s="26" t="n"/>
      <c r="D22" s="29" t="n"/>
      <c r="E22" s="26" t="n"/>
      <c r="F22" s="29" t="n"/>
      <c r="G22" s="26" t="n"/>
      <c r="H22" s="37" t="n"/>
      <c r="I22" s="26" t="n"/>
      <c r="J22" s="26" t="n"/>
      <c r="K22" s="26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99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99">
      <c r="A24" s="21" t="inlineStr">
        <is>
          <t>G7</t>
        </is>
      </c>
      <c r="B24" s="21">
        <f>VLOOKUP(A24,Members!$A$2:$B$65,2,FALSE)</f>
        <v/>
      </c>
      <c r="C24" s="26" t="n"/>
      <c r="D24" s="29" t="n"/>
      <c r="E24" s="26" t="n"/>
      <c r="F24" s="29" t="n"/>
      <c r="G24" s="26" t="n"/>
      <c r="H24" s="37" t="n"/>
      <c r="I24" s="26" t="n"/>
      <c r="J24" s="26" t="n"/>
      <c r="K24" s="26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99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99">
      <c r="A26" s="21" t="inlineStr">
        <is>
          <t>G9</t>
        </is>
      </c>
      <c r="B26" s="21">
        <f>VLOOKUP(A26,Members!$A$2:$B$65,2,FALSE)</f>
        <v/>
      </c>
      <c r="C26" s="26" t="n"/>
      <c r="D26" s="29" t="n"/>
      <c r="E26" s="26" t="n"/>
      <c r="F26" s="29" t="n"/>
      <c r="G26" s="26" t="n"/>
      <c r="H26" s="37" t="n"/>
      <c r="I26" s="26" t="n"/>
      <c r="J26" s="26" t="n"/>
      <c r="K26" s="26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99">
      <c r="A27" s="19" t="inlineStr">
        <is>
          <t>G10</t>
        </is>
      </c>
      <c r="B27" s="19">
        <f>VLOOKUP(A27,Members!$A$2:$B$65,2,FALSE)</f>
        <v/>
      </c>
      <c r="C27" s="25" t="n"/>
      <c r="D27" s="32" t="n"/>
      <c r="E27" s="25" t="n"/>
      <c r="F27" s="32" t="n"/>
      <c r="G27" s="25" t="n"/>
      <c r="H27" s="38" t="n"/>
      <c r="I27" s="25" t="n"/>
      <c r="J27" s="25" t="n"/>
      <c r="K27" s="25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99">
      <c r="A28" s="21" t="inlineStr">
        <is>
          <t>G11</t>
        </is>
      </c>
      <c r="B28" s="21">
        <f>VLOOKUP(A28,Members!$A$2:$B$65,2,FALSE)</f>
        <v/>
      </c>
      <c r="C28" s="26" t="n"/>
      <c r="D28" s="29" t="n"/>
      <c r="E28" s="26" t="n"/>
      <c r="F28" s="29" t="n"/>
      <c r="G28" s="26" t="n"/>
      <c r="H28" s="37" t="n"/>
      <c r="I28" s="26" t="n"/>
      <c r="J28" s="26" t="n"/>
      <c r="K28" s="26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99">
      <c r="A29" s="19" t="inlineStr">
        <is>
          <t>G12</t>
        </is>
      </c>
      <c r="B29" s="19">
        <f>VLOOKUP(A29,Members!$A$2:$B$65,2,FALSE)</f>
        <v/>
      </c>
      <c r="C29" s="20" t="n"/>
      <c r="D29" s="32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99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99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99">
      <c r="A32" s="21" t="inlineStr">
        <is>
          <t>G15</t>
        </is>
      </c>
      <c r="B32" s="21">
        <f>VLOOKUP(A32,Members!$A$2:$B$65,2,FALSE)</f>
        <v/>
      </c>
      <c r="C32" s="26" t="n"/>
      <c r="D32" s="29" t="n"/>
      <c r="E32" s="26" t="n"/>
      <c r="F32" s="29" t="n"/>
      <c r="G32" s="26" t="n"/>
      <c r="H32" s="37" t="n"/>
      <c r="I32" s="26" t="n"/>
      <c r="J32" s="26" t="n"/>
      <c r="K32" s="26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99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99">
      <c r="A34" s="21" t="inlineStr">
        <is>
          <t>S1</t>
        </is>
      </c>
      <c r="B34" s="21">
        <f>VLOOKUP(A34,Members!$A$2:$B$65,2,FALSE)</f>
        <v/>
      </c>
      <c r="C34" s="26" t="n"/>
      <c r="D34" s="29" t="n"/>
      <c r="E34" s="26" t="n"/>
      <c r="F34" s="29" t="n"/>
      <c r="G34" s="26" t="n"/>
      <c r="H34" s="37" t="n"/>
      <c r="I34" s="26" t="n"/>
      <c r="J34" s="26" t="n"/>
      <c r="K34" s="26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99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99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99">
      <c r="A37" s="19" t="inlineStr">
        <is>
          <t>S4</t>
        </is>
      </c>
      <c r="B37" s="19">
        <f>VLOOKUP(A37,Members!$A$2:$B$65,2,FALSE)</f>
        <v/>
      </c>
      <c r="C37" s="25" t="n"/>
      <c r="D37" s="32" t="n"/>
      <c r="E37" s="25" t="n"/>
      <c r="F37" s="32" t="n"/>
      <c r="G37" s="25" t="n"/>
      <c r="H37" s="38" t="n"/>
      <c r="I37" s="25" t="n"/>
      <c r="J37" s="25" t="n"/>
      <c r="K37" s="25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99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99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99">
      <c r="A40" s="21" t="inlineStr">
        <is>
          <t>S7</t>
        </is>
      </c>
      <c r="B40" s="21">
        <f>VLOOKUP(A40,Members!$A$2:$B$65,2,FALSE)</f>
        <v/>
      </c>
      <c r="C40" s="26" t="n"/>
      <c r="D40" s="29" t="n"/>
      <c r="E40" s="26" t="n"/>
      <c r="F40" s="29" t="n"/>
      <c r="G40" s="26" t="n"/>
      <c r="H40" s="37" t="n"/>
      <c r="I40" s="26" t="n"/>
      <c r="J40" s="26" t="n"/>
      <c r="K40" s="26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99">
      <c r="A41" s="19" t="inlineStr">
        <is>
          <t>S8</t>
        </is>
      </c>
      <c r="B41" s="19">
        <f>VLOOKUP(A41,Members!$A$2:$B$65,2,FALSE)</f>
        <v/>
      </c>
      <c r="C41" s="25" t="n"/>
      <c r="D41" s="32" t="n"/>
      <c r="E41" s="25" t="n"/>
      <c r="F41" s="32" t="n"/>
      <c r="G41" s="25" t="n"/>
      <c r="H41" s="38" t="n"/>
      <c r="I41" s="25" t="n"/>
      <c r="J41" s="25" t="n"/>
      <c r="K41" s="25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99">
      <c r="A42" s="21" t="inlineStr">
        <is>
          <t>S9</t>
        </is>
      </c>
      <c r="B42" s="21">
        <f>VLOOKUP(A42,Members!$A$2:$B$65,2,FALSE)</f>
        <v/>
      </c>
      <c r="C42" s="26" t="n"/>
      <c r="D42" s="30" t="n"/>
      <c r="E42" s="26" t="n"/>
      <c r="F42" s="29" t="n"/>
      <c r="G42" s="26" t="n"/>
      <c r="H42" s="37" t="n"/>
      <c r="I42" s="26" t="n"/>
      <c r="J42" s="26" t="n"/>
      <c r="K42" s="26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99">
      <c r="A43" s="19" t="inlineStr">
        <is>
          <t>S10</t>
        </is>
      </c>
      <c r="B43" s="19">
        <f>VLOOKUP(A43,Members!$A$2:$B$65,2,FALSE)</f>
        <v/>
      </c>
      <c r="C43" s="25" t="n"/>
      <c r="D43" s="32" t="n"/>
      <c r="E43" s="25" t="n"/>
      <c r="F43" s="32" t="n"/>
      <c r="G43" s="25" t="n"/>
      <c r="H43" s="38" t="n"/>
      <c r="I43" s="25" t="n"/>
      <c r="J43" s="25" t="n"/>
      <c r="K43" s="25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99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99">
      <c r="A45" s="19" t="inlineStr">
        <is>
          <t>S12</t>
        </is>
      </c>
      <c r="B45" s="19">
        <f>VLOOKUP(A45,Members!$A$2:$B$65,2,FALSE)</f>
        <v/>
      </c>
      <c r="C45" s="25" t="n"/>
      <c r="D45" s="32" t="n"/>
      <c r="E45" s="25" t="n"/>
      <c r="F45" s="32" t="n"/>
      <c r="G45" s="25" t="n"/>
      <c r="H45" s="38" t="n"/>
      <c r="I45" s="25" t="n"/>
      <c r="J45" s="25" t="n"/>
      <c r="K45" s="25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99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99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99">
      <c r="A48" s="21" t="inlineStr">
        <is>
          <t>S15</t>
        </is>
      </c>
      <c r="B48" s="21">
        <f>VLOOKUP(A48,Members!$A$2:$B$65,2,FALSE)</f>
        <v/>
      </c>
      <c r="C48" s="22" t="n"/>
      <c r="D48" s="29" t="n"/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99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99">
      <c r="A50" s="21" t="inlineStr">
        <is>
          <t>T1</t>
        </is>
      </c>
      <c r="B50" s="21">
        <f>VLOOKUP(A50,Members!$A$2:$B$65,2,FALSE)</f>
        <v/>
      </c>
      <c r="C50" s="26" t="n"/>
      <c r="D50" s="29" t="n"/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99">
      <c r="A51" s="19" t="inlineStr">
        <is>
          <t>T2</t>
        </is>
      </c>
      <c r="B51" s="19">
        <f>VLOOKUP(A51,Members!$A$2:$B$65,2,FALSE)</f>
        <v/>
      </c>
      <c r="C51" s="25" t="n"/>
      <c r="D51" s="32" t="n"/>
      <c r="E51" s="25" t="n"/>
      <c r="F51" s="32" t="n"/>
      <c r="G51" s="25" t="n"/>
      <c r="H51" s="38" t="n"/>
      <c r="I51" s="25" t="n"/>
      <c r="J51" s="25" t="n"/>
      <c r="K51" s="25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99">
      <c r="A52" s="21" t="inlineStr">
        <is>
          <t>T3</t>
        </is>
      </c>
      <c r="B52" s="21">
        <f>VLOOKUP(A52,Members!$A$2:$B$65,2,FALSE)</f>
        <v/>
      </c>
      <c r="C52" s="26" t="n"/>
      <c r="D52" s="29" t="n"/>
      <c r="E52" s="26" t="n"/>
      <c r="F52" s="29" t="n"/>
      <c r="G52" s="26" t="n"/>
      <c r="H52" s="37" t="n"/>
      <c r="I52" s="26" t="n"/>
      <c r="J52" s="26" t="n"/>
      <c r="K52" s="26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99">
      <c r="A53" s="19" t="inlineStr">
        <is>
          <t>T4</t>
        </is>
      </c>
      <c r="B53" s="19">
        <f>VLOOKUP(A53,Members!$A$2:$B$65,2,FALSE)</f>
        <v/>
      </c>
      <c r="C53" s="25" t="n"/>
      <c r="D53" s="32" t="n"/>
      <c r="E53" s="25" t="n"/>
      <c r="F53" s="32" t="n"/>
      <c r="G53" s="25" t="n"/>
      <c r="H53" s="38" t="n"/>
      <c r="I53" s="25" t="n"/>
      <c r="J53" s="25" t="n"/>
      <c r="K53" s="25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99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99">
      <c r="A55" s="19" t="inlineStr">
        <is>
          <t>T6</t>
        </is>
      </c>
      <c r="B55" s="19">
        <f>VLOOKUP(A55,Members!$A$2:$B$65,2,FALSE)</f>
        <v/>
      </c>
      <c r="C55" s="25" t="n"/>
      <c r="D55" s="32" t="n"/>
      <c r="E55" s="25" t="n"/>
      <c r="F55" s="32" t="n"/>
      <c r="G55" s="25" t="n"/>
      <c r="H55" s="38" t="n"/>
      <c r="I55" s="25" t="n"/>
      <c r="J55" s="25" t="n"/>
      <c r="K55" s="25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99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99">
      <c r="A57" s="19" t="inlineStr">
        <is>
          <t>T8</t>
        </is>
      </c>
      <c r="B57" s="19">
        <f>VLOOKUP(A57,Members!$A$2:$B$65,2,FALSE)</f>
        <v/>
      </c>
      <c r="C57" s="25" t="n"/>
      <c r="D57" s="32" t="n"/>
      <c r="E57" s="25" t="n"/>
      <c r="F57" s="32" t="n"/>
      <c r="G57" s="25" t="n"/>
      <c r="H57" s="38" t="n"/>
      <c r="I57" s="25" t="n"/>
      <c r="J57" s="25" t="n"/>
      <c r="K57" s="25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99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99">
      <c r="A59" s="19" t="inlineStr">
        <is>
          <t>T10</t>
        </is>
      </c>
      <c r="B59" s="19">
        <f>VLOOKUP(A59,Members!$A$2:$B$65,2,FALSE)</f>
        <v/>
      </c>
      <c r="C59" s="25" t="n"/>
      <c r="D59" s="31" t="n"/>
      <c r="E59" s="25" t="n"/>
      <c r="F59" s="32" t="n"/>
      <c r="G59" s="25" t="n"/>
      <c r="H59" s="38" t="n"/>
      <c r="I59" s="25" t="n"/>
      <c r="J59" s="25" t="n"/>
      <c r="K59" s="25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99">
      <c r="A60" s="21" t="inlineStr">
        <is>
          <t>T11</t>
        </is>
      </c>
      <c r="B60" s="21">
        <f>VLOOKUP(A60,Members!$A$2:$B$65,2,FALSE)</f>
        <v/>
      </c>
      <c r="C60" s="26" t="n"/>
      <c r="D60" s="29" t="n"/>
      <c r="E60" s="26" t="n"/>
      <c r="F60" s="29" t="n"/>
      <c r="G60" s="26" t="n"/>
      <c r="H60" s="37" t="n"/>
      <c r="I60" s="26" t="n"/>
      <c r="J60" s="26" t="n"/>
      <c r="K60" s="26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99">
      <c r="A61" s="19" t="inlineStr">
        <is>
          <t>T12</t>
        </is>
      </c>
      <c r="B61" s="19">
        <f>VLOOKUP(A61,Members!$A$2:$B$65,2,FALSE)</f>
        <v/>
      </c>
      <c r="C61" s="25" t="n"/>
      <c r="D61" s="32" t="n"/>
      <c r="E61" s="25" t="n"/>
      <c r="F61" s="32" t="n"/>
      <c r="G61" s="25" t="n"/>
      <c r="H61" s="38" t="n"/>
      <c r="I61" s="25" t="n"/>
      <c r="J61" s="25" t="n"/>
      <c r="K61" s="25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99">
      <c r="A62" s="21" t="inlineStr">
        <is>
          <t>T13</t>
        </is>
      </c>
      <c r="B62" s="21">
        <f>VLOOKUP(A62,Members!$A$2:$B$65,2,FALSE)</f>
        <v/>
      </c>
      <c r="C62" s="26" t="n"/>
      <c r="D62" s="30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99">
      <c r="A63" s="19" t="inlineStr">
        <is>
          <t>T14</t>
        </is>
      </c>
      <c r="B63" s="19">
        <f>VLOOKUP(A63,Members!$A$2:$B$65,2,FALSE)</f>
        <v/>
      </c>
      <c r="C63" s="25" t="n"/>
      <c r="D63" s="31" t="n"/>
      <c r="E63" s="25" t="n"/>
      <c r="F63" s="32" t="n"/>
      <c r="G63" s="25" t="n"/>
      <c r="H63" s="38" t="n"/>
      <c r="I63" s="25" t="n"/>
      <c r="J63" s="25" t="n"/>
      <c r="K63" s="25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99">
      <c r="A64" s="21" t="inlineStr">
        <is>
          <t>T15</t>
        </is>
      </c>
      <c r="B64" s="21">
        <f>VLOOKUP(A64,Members!$A$2:$B$65,2,FALSE)</f>
        <v/>
      </c>
      <c r="C64" s="26" t="n"/>
      <c r="D64" s="29" t="n"/>
      <c r="E64" s="26" t="n"/>
      <c r="F64" s="29" t="n"/>
      <c r="G64" s="26" t="n"/>
      <c r="H64" s="37" t="n"/>
      <c r="I64" s="26" t="n"/>
      <c r="J64" s="26" t="n"/>
      <c r="K64" s="26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99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99">
      <c r="A66" s="23" t="inlineStr">
        <is>
          <t>TOTAL</t>
        </is>
      </c>
      <c r="B66" s="34" t="n"/>
      <c r="C66" s="35" t="n"/>
      <c r="D66" s="46" t="n"/>
      <c r="E66" s="35" t="n"/>
      <c r="F66" s="35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99">
      <c r="D67" s="6" t="n"/>
      <c r="F67" s="5" t="n"/>
      <c r="H67" s="4" t="n"/>
    </row>
    <row r="68" ht="14.45" customHeight="1" s="99">
      <c r="D68" s="6" t="n"/>
      <c r="F68" s="5" t="n"/>
      <c r="H68" s="4" t="n"/>
    </row>
    <row r="69" ht="14.45" customHeight="1" s="99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99">
      <c r="D140" s="6" t="n"/>
      <c r="F140" s="5" t="n"/>
      <c r="H140" s="4" t="n"/>
    </row>
    <row r="141" ht="14.45" customHeight="1" s="99">
      <c r="D141" s="6" t="n"/>
      <c r="F141" s="5" t="n"/>
      <c r="H141" s="4" t="n"/>
    </row>
    <row r="142" ht="14.45" customHeight="1" s="99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99">
      <c r="D213" s="6" t="n"/>
      <c r="F213" s="5" t="n"/>
      <c r="H213" s="4" t="n"/>
    </row>
    <row r="214" ht="14.45" customHeight="1" s="99">
      <c r="D214" s="6" t="n"/>
      <c r="F214" s="5" t="n"/>
      <c r="H214" s="4" t="n"/>
    </row>
    <row r="215" ht="14.45" customHeight="1" s="99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99">
      <c r="D286" s="6" t="n"/>
      <c r="F286" s="5" t="n"/>
      <c r="H286" s="4" t="n"/>
    </row>
    <row r="287" ht="14.45" customHeight="1" s="99">
      <c r="D287" s="6" t="n"/>
      <c r="F287" s="5" t="n"/>
      <c r="H287" s="4" t="n"/>
    </row>
    <row r="288" ht="14.45" customHeight="1" s="99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99">
      <c r="D359" s="6" t="n"/>
      <c r="F359" s="5" t="n"/>
      <c r="H359" s="4" t="n"/>
    </row>
    <row r="360" ht="14.45" customHeight="1" s="99">
      <c r="D360" s="6" t="n"/>
      <c r="F360" s="5" t="n"/>
      <c r="H360" s="4" t="n"/>
    </row>
    <row r="361" ht="14.45" customHeight="1" s="99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99">
      <c r="D432" s="6" t="n"/>
      <c r="F432" s="5" t="n"/>
      <c r="H432" s="4" t="n"/>
    </row>
    <row r="433" ht="14.45" customHeight="1" s="99">
      <c r="D433" s="6" t="n"/>
      <c r="F433" s="5" t="n"/>
      <c r="H433" s="4" t="n"/>
    </row>
    <row r="434" ht="14.45" customHeight="1" s="99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99">
      <c r="D505" s="6" t="n"/>
      <c r="F505" s="5" t="n"/>
      <c r="H505" s="4" t="n"/>
    </row>
    <row r="506" ht="14.45" customHeight="1" s="99">
      <c r="D506" s="6" t="n"/>
      <c r="F506" s="5" t="n"/>
      <c r="H506" s="4" t="n"/>
    </row>
    <row r="507" ht="14.45" customHeight="1" s="99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99">
      <c r="D578" s="6" t="n"/>
      <c r="F578" s="5" t="n"/>
      <c r="H578" s="4" t="n"/>
    </row>
    <row r="579" ht="14.45" customHeight="1" s="99">
      <c r="D579" s="6" t="n"/>
      <c r="F579" s="5" t="n"/>
      <c r="H579" s="4" t="n"/>
    </row>
    <row r="580" ht="14.45" customHeight="1" s="99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99">
      <c r="D651" s="6" t="n"/>
      <c r="F651" s="5" t="n"/>
      <c r="H651" s="4" t="n"/>
    </row>
    <row r="652" ht="14.45" customHeight="1" s="99">
      <c r="D652" s="6" t="n"/>
      <c r="F652" s="5" t="n"/>
      <c r="H652" s="4" t="n"/>
    </row>
    <row r="653" ht="14.45" customHeight="1" s="99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99">
      <c r="D724" s="6" t="n"/>
      <c r="F724" s="5" t="n"/>
      <c r="H724" s="4" t="n"/>
    </row>
    <row r="725" ht="14.45" customHeight="1" s="99">
      <c r="D725" s="6" t="n"/>
      <c r="F725" s="5" t="n"/>
      <c r="H725" s="4" t="n"/>
    </row>
    <row r="726" ht="14.45" customHeight="1" s="99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99">
      <c r="D797" s="6" t="n"/>
      <c r="F797" s="5" t="n"/>
      <c r="H797" s="4" t="n"/>
    </row>
    <row r="798" ht="14.45" customHeight="1" s="99">
      <c r="D798" s="6" t="n"/>
      <c r="F798" s="5" t="n"/>
      <c r="H798" s="4" t="n"/>
    </row>
    <row r="799" ht="14.45" customHeight="1" s="99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99">
      <c r="D870" s="6" t="n"/>
      <c r="F870" s="5" t="n"/>
      <c r="H870" s="4" t="n"/>
    </row>
    <row r="871" ht="14.45" customHeight="1" s="99">
      <c r="D871" s="6" t="n"/>
      <c r="F871" s="5" t="n"/>
      <c r="H871" s="4" t="n"/>
    </row>
    <row r="872" ht="14.45" customHeight="1" s="99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99">
      <c r="D943" s="6" t="n"/>
      <c r="F943" s="5" t="n"/>
      <c r="H943" s="4" t="n"/>
    </row>
    <row r="944" ht="14.45" customHeight="1" s="99">
      <c r="D944" s="6" t="n"/>
      <c r="F944" s="5" t="n"/>
      <c r="H944" s="4" t="n"/>
    </row>
    <row r="945" ht="14.45" customHeight="1" s="99">
      <c r="D945" s="6" t="n"/>
      <c r="F945" s="5" t="n"/>
      <c r="H945" s="4" t="n"/>
    </row>
    <row r="946" ht="14.45" customHeight="1" s="99">
      <c r="D946" s="6" t="n"/>
      <c r="F946" s="5" t="n"/>
      <c r="H946" s="4" t="n"/>
    </row>
    <row r="947" ht="14.45" customHeight="1" s="99">
      <c r="D947" s="6" t="n"/>
      <c r="F947" s="5" t="n"/>
      <c r="H947" s="4" t="n"/>
    </row>
    <row r="948" ht="14.45" customHeight="1" s="99">
      <c r="D948" s="6" t="n"/>
      <c r="F948" s="5" t="n"/>
      <c r="H948" s="4" t="n"/>
    </row>
    <row r="949" ht="14.45" customHeight="1" s="99">
      <c r="D949" s="6" t="n"/>
      <c r="F949" s="5" t="n"/>
      <c r="H949" s="4" t="n"/>
    </row>
    <row r="950" ht="14.45" customHeight="1" s="99">
      <c r="D950" s="6" t="n"/>
      <c r="F950" s="5" t="n"/>
      <c r="H950" s="4" t="n"/>
    </row>
    <row r="951" ht="14.45" customHeight="1" s="99">
      <c r="D951" s="6" t="n"/>
      <c r="F951" s="5" t="n"/>
      <c r="H951" s="4" t="n"/>
    </row>
    <row r="952" ht="14.45" customHeight="1" s="99">
      <c r="D952" s="6" t="n"/>
      <c r="F952" s="5" t="n"/>
      <c r="H952" s="4" t="n"/>
    </row>
    <row r="953" ht="14.45" customHeight="1" s="99">
      <c r="D953" s="6" t="n"/>
      <c r="F953" s="5" t="n"/>
      <c r="H953" s="4" t="n"/>
    </row>
    <row r="954" ht="14.45" customHeight="1" s="99">
      <c r="D954" s="6" t="n"/>
      <c r="F954" s="5" t="n"/>
      <c r="H954" s="4" t="n"/>
    </row>
    <row r="955" ht="14.45" customHeight="1" s="99">
      <c r="D955" s="6" t="n"/>
      <c r="F955" s="5" t="n"/>
      <c r="H955" s="4" t="n"/>
    </row>
    <row r="956" ht="14.45" customHeight="1" s="99">
      <c r="D956" s="6" t="n"/>
      <c r="F956" s="5" t="n"/>
      <c r="H956" s="4" t="n"/>
    </row>
    <row r="957" ht="14.45" customHeight="1" s="99">
      <c r="D957" s="6" t="n"/>
      <c r="F957" s="5" t="n"/>
      <c r="H957" s="4" t="n"/>
    </row>
    <row r="958" ht="14.45" customHeight="1" s="99">
      <c r="D958" s="6" t="n"/>
      <c r="F958" s="5" t="n"/>
      <c r="H958" s="4" t="n"/>
    </row>
    <row r="959" ht="14.45" customHeight="1" s="99">
      <c r="D959" s="6" t="n"/>
      <c r="F959" s="5" t="n"/>
      <c r="H959" s="4" t="n"/>
    </row>
    <row r="960" ht="14.45" customHeight="1" s="99">
      <c r="D960" s="6" t="n"/>
      <c r="F960" s="5" t="n"/>
      <c r="H960" s="4" t="n"/>
    </row>
    <row r="961" ht="14.45" customHeight="1" s="99">
      <c r="D961" s="6" t="n"/>
      <c r="F961" s="5" t="n"/>
      <c r="H961" s="4" t="n"/>
    </row>
    <row r="962" ht="14.45" customHeight="1" s="99">
      <c r="D962" s="6" t="n"/>
      <c r="F962" s="5" t="n"/>
      <c r="H962" s="4" t="n"/>
    </row>
    <row r="963" ht="14.45" customHeight="1" s="99">
      <c r="D963" s="6" t="n"/>
      <c r="F963" s="5" t="n"/>
      <c r="H963" s="4" t="n"/>
    </row>
    <row r="964" ht="14.45" customHeight="1" s="99">
      <c r="D964" s="6" t="n"/>
      <c r="F964" s="5" t="n"/>
      <c r="H964" s="4" t="n"/>
    </row>
    <row r="965" ht="14.45" customHeight="1" s="99">
      <c r="D965" s="6" t="n"/>
      <c r="F965" s="5" t="n"/>
      <c r="H965" s="4" t="n"/>
    </row>
    <row r="966" ht="14.45" customHeight="1" s="99">
      <c r="D966" s="6" t="n"/>
      <c r="F966" s="5" t="n"/>
      <c r="H966" s="4" t="n"/>
    </row>
    <row r="967" ht="14.45" customHeight="1" s="99">
      <c r="D967" s="6" t="n"/>
      <c r="F967" s="5" t="n"/>
      <c r="H967" s="4" t="n"/>
    </row>
    <row r="968" ht="14.45" customHeight="1" s="99">
      <c r="D968" s="6" t="n"/>
      <c r="F968" s="5" t="n"/>
      <c r="H968" s="4" t="n"/>
    </row>
    <row r="969" ht="14.45" customHeight="1" s="99">
      <c r="D969" s="6" t="n"/>
      <c r="F969" s="5" t="n"/>
      <c r="H969" s="4" t="n"/>
    </row>
    <row r="970" ht="14.45" customHeight="1" s="99">
      <c r="D970" s="6" t="n"/>
      <c r="F970" s="5" t="n"/>
      <c r="H970" s="4" t="n"/>
    </row>
    <row r="971" ht="14.45" customHeight="1" s="99">
      <c r="D971" s="6" t="n"/>
      <c r="F971" s="5" t="n"/>
      <c r="H971" s="4" t="n"/>
    </row>
    <row r="972" ht="14.45" customHeight="1" s="99">
      <c r="D972" s="6" t="n"/>
      <c r="F972" s="5" t="n"/>
      <c r="H972" s="4" t="n"/>
    </row>
    <row r="973" ht="14.45" customHeight="1" s="99">
      <c r="D973" s="6" t="n"/>
      <c r="F973" s="5" t="n"/>
      <c r="H973" s="4" t="n"/>
    </row>
    <row r="974" ht="14.45" customHeight="1" s="99">
      <c r="D974" s="6" t="n"/>
      <c r="F974" s="5" t="n"/>
      <c r="H974" s="4" t="n"/>
    </row>
    <row r="975" ht="14.45" customHeight="1" s="99">
      <c r="D975" s="6" t="n"/>
      <c r="F975" s="5" t="n"/>
      <c r="H975" s="4" t="n"/>
    </row>
    <row r="976" ht="14.45" customHeight="1" s="99">
      <c r="D976" s="6" t="n"/>
      <c r="F976" s="5" t="n"/>
      <c r="H976" s="4" t="n"/>
    </row>
    <row r="977" ht="14.45" customHeight="1" s="99">
      <c r="D977" s="6" t="n"/>
      <c r="F977" s="5" t="n"/>
      <c r="H977" s="4" t="n"/>
    </row>
    <row r="978" ht="14.45" customHeight="1" s="99">
      <c r="D978" s="6" t="n"/>
      <c r="F978" s="5" t="n"/>
      <c r="H978" s="4" t="n"/>
    </row>
    <row r="979" ht="14.45" customHeight="1" s="99">
      <c r="D979" s="6" t="n"/>
      <c r="F979" s="5" t="n"/>
      <c r="H979" s="4" t="n"/>
    </row>
    <row r="980" ht="14.45" customHeight="1" s="99">
      <c r="D980" s="6" t="n"/>
      <c r="F980" s="5" t="n"/>
      <c r="H980" s="4" t="n"/>
    </row>
    <row r="981" ht="14.45" customHeight="1" s="99">
      <c r="D981" s="6" t="n"/>
      <c r="F981" s="5" t="n"/>
      <c r="H981" s="4" t="n"/>
    </row>
    <row r="982" ht="14.45" customHeight="1" s="99">
      <c r="D982" s="6" t="n"/>
      <c r="F982" s="5" t="n"/>
      <c r="H982" s="4" t="n"/>
    </row>
    <row r="983" ht="14.45" customHeight="1" s="99">
      <c r="D983" s="6" t="n"/>
      <c r="F983" s="5" t="n"/>
      <c r="H983" s="4" t="n"/>
    </row>
    <row r="984" ht="14.45" customHeight="1" s="99">
      <c r="D984" s="6" t="n"/>
      <c r="F984" s="5" t="n"/>
      <c r="H984" s="4" t="n"/>
    </row>
    <row r="985" ht="14.45" customHeight="1" s="99">
      <c r="D985" s="6" t="n"/>
      <c r="F985" s="5" t="n"/>
      <c r="H985" s="4" t="n"/>
    </row>
    <row r="986" ht="14.45" customHeight="1" s="99">
      <c r="D986" s="6" t="n"/>
      <c r="F986" s="5" t="n"/>
      <c r="H986" s="4" t="n"/>
    </row>
    <row r="987" ht="14.45" customHeight="1" s="99">
      <c r="D987" s="6" t="n"/>
      <c r="F987" s="5" t="n"/>
      <c r="H987" s="4" t="n"/>
    </row>
    <row r="988" ht="14.45" customHeight="1" s="99">
      <c r="D988" s="6" t="n"/>
      <c r="F988" s="5" t="n"/>
      <c r="H988" s="4" t="n"/>
    </row>
    <row r="989" ht="14.45" customHeight="1" s="99">
      <c r="D989" s="6" t="n"/>
      <c r="F989" s="5" t="n"/>
      <c r="H989" s="4" t="n"/>
    </row>
    <row r="990" ht="14.45" customHeight="1" s="99">
      <c r="D990" s="6" t="n"/>
      <c r="F990" s="5" t="n"/>
      <c r="H990" s="4" t="n"/>
    </row>
    <row r="991" ht="14.45" customHeight="1" s="99">
      <c r="D991" s="6" t="n"/>
      <c r="F991" s="5" t="n"/>
      <c r="H991" s="4" t="n"/>
    </row>
    <row r="992" ht="14.45" customHeight="1" s="99">
      <c r="D992" s="6" t="n"/>
      <c r="F992" s="5" t="n"/>
      <c r="H992" s="4" t="n"/>
    </row>
    <row r="993" ht="14.45" customHeight="1" s="99">
      <c r="D993" s="6" t="n"/>
      <c r="F993" s="5" t="n"/>
      <c r="H993" s="4" t="n"/>
    </row>
    <row r="994" ht="14.45" customHeight="1" s="99">
      <c r="D994" s="6" t="n"/>
      <c r="F994" s="5" t="n"/>
      <c r="H994" s="4" t="n"/>
    </row>
    <row r="995" ht="14.45" customHeight="1" s="99">
      <c r="D995" s="6" t="n"/>
      <c r="F995" s="5" t="n"/>
      <c r="H995" s="4" t="n"/>
    </row>
    <row r="996" ht="14.45" customHeight="1" s="99">
      <c r="D996" s="6" t="n"/>
      <c r="F996" s="5" t="n"/>
      <c r="H996" s="4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X1001"/>
  <sheetViews>
    <sheetView zoomScaleNormal="100" workbookViewId="0">
      <pane xSplit="1" ySplit="2" topLeftCell="B3" activePane="bottomRight" state="frozen"/>
      <selection pane="topRight" activeCell="A1" sqref="A1"/>
      <selection pane="bottomLeft" activeCell="A3" sqref="A3"/>
      <selection pane="bottomRight" activeCell="B6" sqref="B6:C6"/>
    </sheetView>
  </sheetViews>
  <sheetFormatPr baseColWidth="8" defaultColWidth="14.42578125" defaultRowHeight="15" customHeight="1"/>
  <cols>
    <col width="11.42578125" customWidth="1" style="67" min="1" max="3"/>
    <col width="16.28515625" customWidth="1" style="67" min="4" max="4"/>
    <col width="15.7109375" customWidth="1" style="67" min="5" max="5"/>
    <col width="11.42578125" customWidth="1" style="67" min="6" max="6"/>
    <col width="13.42578125" customWidth="1" style="67" min="7" max="7"/>
    <col width="11.42578125" customWidth="1" style="67" min="8" max="8"/>
    <col width="15.7109375" customWidth="1" style="67" min="9" max="9"/>
    <col width="11.42578125" customWidth="1" style="67" min="10" max="10"/>
    <col width="14.42578125" customWidth="1" style="67" min="11" max="11"/>
    <col width="15.42578125" customWidth="1" style="67" min="12" max="12"/>
    <col width="13.42578125" customWidth="1" style="67" min="13" max="13"/>
    <col width="11.42578125" customWidth="1" style="67" min="14" max="16"/>
    <col width="13.7109375" customWidth="1" style="67" min="17" max="19"/>
    <col width="11.42578125" customWidth="1" style="67" min="20" max="22"/>
    <col width="11.42578125" customWidth="1" style="83" min="23" max="24"/>
    <col width="14.42578125" customWidth="1" style="67" min="25" max="38"/>
    <col width="14.42578125" customWidth="1" style="67" min="39" max="16384"/>
  </cols>
  <sheetData>
    <row r="1" ht="32.25" customHeight="1" s="99">
      <c r="A1" s="106" t="inlineStr">
        <is>
          <t>MONTHS</t>
        </is>
      </c>
      <c r="B1" s="103" t="inlineStr">
        <is>
          <t>VARIABLE EXPENSE</t>
        </is>
      </c>
      <c r="C1" s="104" t="n"/>
      <c r="D1" s="103" t="inlineStr">
        <is>
          <t>FIXED EXPENSE</t>
        </is>
      </c>
      <c r="E1" s="105" t="n"/>
      <c r="F1" s="105" t="n"/>
      <c r="G1" s="105" t="n"/>
      <c r="H1" s="105" t="n"/>
      <c r="I1" s="105" t="n"/>
      <c r="J1" s="105" t="n"/>
      <c r="K1" s="105" t="n"/>
      <c r="L1" s="105" t="n"/>
      <c r="M1" s="105" t="n"/>
      <c r="N1" s="105" t="n"/>
      <c r="O1" s="105" t="n"/>
      <c r="P1" s="105" t="n"/>
      <c r="Q1" s="105" t="n"/>
      <c r="R1" s="105" t="n"/>
      <c r="S1" s="104" t="n"/>
      <c r="T1" s="102" t="inlineStr">
        <is>
          <t>gross expense</t>
        </is>
      </c>
      <c r="U1" s="102" t="inlineStr">
        <is>
          <t>gross var expense</t>
        </is>
      </c>
      <c r="V1" s="102" t="inlineStr">
        <is>
          <t>gross fixed expense</t>
        </is>
      </c>
      <c r="W1" s="100" t="inlineStr">
        <is>
          <t>water meter rent</t>
        </is>
      </c>
      <c r="X1" s="100" t="inlineStr">
        <is>
          <t>total expense</t>
        </is>
      </c>
    </row>
    <row r="2" ht="38.25" customHeight="1" s="99" thickBot="1">
      <c r="A2" s="101" t="n"/>
      <c r="B2" s="57" t="inlineStr">
        <is>
          <t>water</t>
        </is>
      </c>
      <c r="C2" s="57" t="inlineStr">
        <is>
          <t>stp sludge</t>
        </is>
      </c>
      <c r="D2" s="57" t="inlineStr">
        <is>
          <t>stp maintenance</t>
        </is>
      </c>
      <c r="E2" s="57" t="inlineStr">
        <is>
          <t>bescom</t>
        </is>
      </c>
      <c r="F2" s="57" t="inlineStr">
        <is>
          <t>security</t>
        </is>
      </c>
      <c r="G2" s="57" t="inlineStr">
        <is>
          <t>garbage</t>
        </is>
      </c>
      <c r="H2" s="57" t="inlineStr">
        <is>
          <t>petty cash</t>
        </is>
      </c>
      <c r="I2" s="57" t="inlineStr">
        <is>
          <t>elevator</t>
        </is>
      </c>
      <c r="J2" s="57" t="inlineStr">
        <is>
          <t>plumbing</t>
        </is>
      </c>
      <c r="K2" s="57" t="inlineStr">
        <is>
          <t>electrical fix</t>
        </is>
      </c>
      <c r="L2" s="57" t="inlineStr">
        <is>
          <t>generator</t>
        </is>
      </c>
      <c r="M2" s="57" t="inlineStr">
        <is>
          <t>gardening</t>
        </is>
      </c>
      <c r="N2" s="57" t="inlineStr">
        <is>
          <t>plumber wage</t>
        </is>
      </c>
      <c r="O2" s="57" t="inlineStr">
        <is>
          <t>electrician wage</t>
        </is>
      </c>
      <c r="P2" s="57" t="inlineStr">
        <is>
          <t>manager wage</t>
        </is>
      </c>
      <c r="Q2" s="57" t="inlineStr">
        <is>
          <t>dried leaves</t>
        </is>
      </c>
      <c r="R2" s="57" t="inlineStr">
        <is>
          <t>accounting</t>
        </is>
      </c>
      <c r="S2" s="57" t="inlineStr">
        <is>
          <t>house keeping materials</t>
        </is>
      </c>
      <c r="T2" s="101" t="n"/>
      <c r="U2" s="101" t="n"/>
      <c r="V2" s="101" t="n"/>
      <c r="W2" s="101" t="n"/>
      <c r="X2" s="101" t="n"/>
    </row>
    <row r="3" ht="30" customHeight="1" s="99">
      <c r="A3" s="60" t="inlineStr">
        <is>
          <t>APRIL 2026</t>
        </is>
      </c>
      <c r="B3" s="61" t="n">
        <v>27000</v>
      </c>
      <c r="C3" s="61" t="n">
        <v>21800</v>
      </c>
      <c r="D3" s="61" t="n">
        <v>31600</v>
      </c>
      <c r="E3" s="61" t="n">
        <v>28422</v>
      </c>
      <c r="F3" s="61" t="n">
        <v>151040</v>
      </c>
      <c r="G3" s="61" t="n">
        <v>6600</v>
      </c>
      <c r="H3" s="61" t="n">
        <v>10000</v>
      </c>
      <c r="I3" s="61" t="n">
        <v>0</v>
      </c>
      <c r="J3" s="61" t="n">
        <v>11800</v>
      </c>
      <c r="K3" s="61" t="n">
        <v>0</v>
      </c>
      <c r="L3" s="61" t="n">
        <v>0</v>
      </c>
      <c r="M3" s="61" t="n">
        <v>3000</v>
      </c>
      <c r="N3" s="61" t="n">
        <v>7000</v>
      </c>
      <c r="O3" s="61" t="n">
        <v>7000</v>
      </c>
      <c r="P3" s="61" t="n">
        <v>10000</v>
      </c>
      <c r="Q3" s="61" t="n">
        <v>3300</v>
      </c>
      <c r="R3" s="61" t="n">
        <v>0</v>
      </c>
      <c r="S3" s="61" t="n">
        <v>0</v>
      </c>
      <c r="T3" s="61">
        <f>SUM(B3:S3)</f>
        <v/>
      </c>
      <c r="U3" s="61">
        <f>SUM(B3:C3)</f>
        <v/>
      </c>
      <c r="V3" s="61">
        <f>T3-U3</f>
        <v/>
      </c>
      <c r="W3" s="79">
        <f>'Apr2026-EXPENSE'!I70</f>
        <v/>
      </c>
      <c r="X3" s="79">
        <f>T3+W3</f>
        <v/>
      </c>
    </row>
    <row r="4" ht="30" customHeight="1" s="99">
      <c r="A4" s="62" t="inlineStr">
        <is>
          <t>MAY 2026</t>
        </is>
      </c>
      <c r="B4" s="63" t="n">
        <v>21600</v>
      </c>
      <c r="C4" s="63" t="n">
        <v>20500</v>
      </c>
      <c r="D4" s="63" t="n">
        <v>31600</v>
      </c>
      <c r="E4" s="63" t="n">
        <v>27961</v>
      </c>
      <c r="F4" s="61" t="n">
        <v>151040</v>
      </c>
      <c r="G4" s="63" t="n">
        <v>6600</v>
      </c>
      <c r="H4" s="63" t="n">
        <v>10000</v>
      </c>
      <c r="I4" s="63" t="n">
        <v>0</v>
      </c>
      <c r="J4" s="63" t="n">
        <v>0</v>
      </c>
      <c r="K4" s="63">
        <f>4995+9000</f>
        <v/>
      </c>
      <c r="L4" s="63" t="n">
        <v>0</v>
      </c>
      <c r="M4" s="63" t="n">
        <v>3000</v>
      </c>
      <c r="N4" s="63" t="n">
        <v>7000</v>
      </c>
      <c r="O4" s="63" t="n">
        <v>7000</v>
      </c>
      <c r="P4" s="63" t="n">
        <v>10000</v>
      </c>
      <c r="Q4" s="63">
        <f>8300</f>
        <v/>
      </c>
      <c r="R4" s="63" t="n">
        <v>0</v>
      </c>
      <c r="S4" s="63" t="n">
        <v>4512</v>
      </c>
      <c r="T4" s="63">
        <f>SUM(B4:S4)</f>
        <v/>
      </c>
      <c r="U4" s="63">
        <f>SUM(B4:C4)</f>
        <v/>
      </c>
      <c r="V4" s="63">
        <f>T4-U4</f>
        <v/>
      </c>
      <c r="W4" s="79">
        <f>'May2026-EXPENSE'!I70</f>
        <v/>
      </c>
      <c r="X4" s="84">
        <f>T4+W4</f>
        <v/>
      </c>
    </row>
    <row r="5" ht="30" customHeight="1" s="99">
      <c r="A5" s="60" t="inlineStr">
        <is>
          <t>JUN 2026</t>
        </is>
      </c>
      <c r="B5" s="61" t="n">
        <v>28350</v>
      </c>
      <c r="C5" s="61" t="n">
        <v>23000</v>
      </c>
      <c r="D5" s="61" t="n">
        <v>31600</v>
      </c>
      <c r="E5" s="61" t="n">
        <v>28401</v>
      </c>
      <c r="F5" s="61" t="n">
        <v>151040</v>
      </c>
      <c r="G5" s="61" t="n">
        <v>6600</v>
      </c>
      <c r="H5" s="61" t="n">
        <v>10000</v>
      </c>
      <c r="I5" s="61" t="n">
        <v>0</v>
      </c>
      <c r="J5" s="61">
        <f>1130+49500+12800</f>
        <v/>
      </c>
      <c r="K5" s="61" t="n">
        <v>0</v>
      </c>
      <c r="L5" s="61" t="n">
        <v>0</v>
      </c>
      <c r="M5" s="61" t="n">
        <v>3000</v>
      </c>
      <c r="N5" s="61" t="n">
        <v>7000</v>
      </c>
      <c r="O5" s="61" t="n">
        <v>7000</v>
      </c>
      <c r="P5" s="61" t="n">
        <v>10000</v>
      </c>
      <c r="Q5" s="61" t="n">
        <v>4800</v>
      </c>
      <c r="R5" s="61" t="n">
        <v>0</v>
      </c>
      <c r="S5" s="61" t="n">
        <v>0</v>
      </c>
      <c r="T5" s="61">
        <f>SUM(B5:S5)</f>
        <v/>
      </c>
      <c r="U5" s="61">
        <f>SUM(B5:C5)</f>
        <v/>
      </c>
      <c r="V5" s="61">
        <f>T5-U5</f>
        <v/>
      </c>
      <c r="W5" s="79" t="n">
        <v>27585</v>
      </c>
      <c r="X5" s="79">
        <f>T5+W5</f>
        <v/>
      </c>
    </row>
    <row r="6" ht="30" customHeight="1" s="99">
      <c r="A6" s="62" t="inlineStr">
        <is>
          <t>JUL 2026</t>
        </is>
      </c>
      <c r="B6" s="63" t="n">
        <v>20400</v>
      </c>
      <c r="C6" s="63" t="n">
        <v>20500</v>
      </c>
      <c r="D6" s="63" t="n">
        <v>31600</v>
      </c>
      <c r="E6" s="63" t="n">
        <v>30637</v>
      </c>
      <c r="F6" s="63" t="n">
        <v>151040</v>
      </c>
      <c r="G6" s="63" t="n">
        <v>6600</v>
      </c>
      <c r="H6" s="63" t="n">
        <v>10000</v>
      </c>
      <c r="I6" s="63" t="n">
        <v>0</v>
      </c>
      <c r="J6" s="63" t="n">
        <v>0</v>
      </c>
      <c r="K6" s="63" t="n">
        <v>0</v>
      </c>
      <c r="L6" s="63" t="n">
        <v>0</v>
      </c>
      <c r="M6" s="63" t="n">
        <v>3000</v>
      </c>
      <c r="N6" s="63" t="n">
        <v>7000</v>
      </c>
      <c r="O6" s="63" t="n">
        <v>7000</v>
      </c>
      <c r="P6" s="63" t="n">
        <v>10000</v>
      </c>
      <c r="Q6" s="63" t="n">
        <v>3300</v>
      </c>
      <c r="R6" s="63">
        <f>20000+590+590</f>
        <v/>
      </c>
      <c r="S6" s="63" t="n">
        <v>6183</v>
      </c>
      <c r="T6" s="63">
        <f>SUM(B6:S6)</f>
        <v/>
      </c>
      <c r="U6" s="63">
        <f>SUM(B6:C6)</f>
        <v/>
      </c>
      <c r="V6" s="63">
        <f>T6-U6</f>
        <v/>
      </c>
      <c r="W6" s="79" t="n">
        <v>27585</v>
      </c>
      <c r="X6" s="84">
        <f>T6+W6</f>
        <v/>
      </c>
    </row>
    <row r="7" ht="30" customHeight="1" s="99">
      <c r="A7" s="60" t="inlineStr">
        <is>
          <t>AUG 2026</t>
        </is>
      </c>
      <c r="B7" s="61" t="n"/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>
        <f>SUM(B7:S7)</f>
        <v/>
      </c>
      <c r="U7" s="61">
        <f>SUM(B7:C7)</f>
        <v/>
      </c>
      <c r="V7" s="61">
        <f>T7-U7</f>
        <v/>
      </c>
      <c r="W7" s="79" t="n"/>
      <c r="X7" s="79">
        <f>T7+W7</f>
        <v/>
      </c>
    </row>
    <row r="8" ht="30" customHeight="1" s="99">
      <c r="A8" s="62" t="inlineStr">
        <is>
          <t>SEP 2026</t>
        </is>
      </c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3" t="n"/>
      <c r="O8" s="63" t="n"/>
      <c r="P8" s="63" t="n"/>
      <c r="Q8" s="63" t="n"/>
      <c r="R8" s="64" t="n"/>
      <c r="S8" s="63" t="n"/>
      <c r="T8" s="63">
        <f>SUM(B8:S8)</f>
        <v/>
      </c>
      <c r="U8" s="63">
        <f>SUM(B8:C8)</f>
        <v/>
      </c>
      <c r="V8" s="63">
        <f>T8-U8</f>
        <v/>
      </c>
      <c r="W8" s="79" t="n"/>
      <c r="X8" s="84">
        <f>T8+W8</f>
        <v/>
      </c>
    </row>
    <row r="9" ht="30" customHeight="1" s="99">
      <c r="A9" s="60" t="inlineStr">
        <is>
          <t>OCT 2026</t>
        </is>
      </c>
      <c r="B9" s="61" t="n"/>
      <c r="C9" s="61" t="n"/>
      <c r="D9" s="61" t="n"/>
      <c r="E9" s="61" t="n"/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>
        <f>SUM(B9:S9)</f>
        <v/>
      </c>
      <c r="U9" s="61">
        <f>SUM(B9:C9)</f>
        <v/>
      </c>
      <c r="V9" s="61">
        <f>T9-U9</f>
        <v/>
      </c>
      <c r="W9" s="79" t="n"/>
      <c r="X9" s="79">
        <f>T9+W9</f>
        <v/>
      </c>
    </row>
    <row r="10" ht="30" customHeight="1" s="99">
      <c r="A10" s="62" t="inlineStr">
        <is>
          <t>NOV 2026</t>
        </is>
      </c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>
        <f>SUM(B10:S10)</f>
        <v/>
      </c>
      <c r="U10" s="63">
        <f>SUM(B10:C10)</f>
        <v/>
      </c>
      <c r="V10" s="63">
        <f>T10-U10</f>
        <v/>
      </c>
      <c r="W10" s="79" t="n"/>
      <c r="X10" s="84">
        <f>T10+W10</f>
        <v/>
      </c>
    </row>
    <row r="11" ht="30" customHeight="1" s="99">
      <c r="A11" s="60" t="inlineStr">
        <is>
          <t>DEC 2026</t>
        </is>
      </c>
      <c r="B11" s="61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>
        <f>SUM(B11:S11)</f>
        <v/>
      </c>
      <c r="U11" s="61">
        <f>SUM(B11:C11)</f>
        <v/>
      </c>
      <c r="V11" s="61">
        <f>T11-U11</f>
        <v/>
      </c>
      <c r="W11" s="79" t="n"/>
      <c r="X11" s="79">
        <f>T11+W11</f>
        <v/>
      </c>
    </row>
    <row r="12" ht="30" customHeight="1" s="99">
      <c r="A12" s="62" t="inlineStr">
        <is>
          <t>JAN 2027</t>
        </is>
      </c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>
        <f>SUM(B12:S12)</f>
        <v/>
      </c>
      <c r="U12" s="63">
        <f>SUM(B12:C12)</f>
        <v/>
      </c>
      <c r="V12" s="63">
        <f>T12-U12</f>
        <v/>
      </c>
      <c r="W12" s="79" t="n"/>
      <c r="X12" s="84">
        <f>T12+W12</f>
        <v/>
      </c>
    </row>
    <row r="13" ht="30" customHeight="1" s="99">
      <c r="A13" s="60" t="inlineStr">
        <is>
          <t>FEB 2027</t>
        </is>
      </c>
      <c r="B13" s="61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61">
        <f>SUM(B13:S13)</f>
        <v/>
      </c>
      <c r="U13" s="61">
        <f>SUM(B13:C13)</f>
        <v/>
      </c>
      <c r="V13" s="61">
        <f>T13-U13</f>
        <v/>
      </c>
      <c r="W13" s="79" t="n"/>
      <c r="X13" s="79">
        <f>T13+W13</f>
        <v/>
      </c>
    </row>
    <row r="14" ht="30" customHeight="1" s="99">
      <c r="A14" s="62" t="inlineStr">
        <is>
          <t>MAR 2027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>
        <f>SUM(B14:S14)</f>
        <v/>
      </c>
      <c r="U14" s="63">
        <f>SUM(B14:C14)</f>
        <v/>
      </c>
      <c r="V14" s="63">
        <f>T14-U14</f>
        <v/>
      </c>
      <c r="W14" s="79" t="n"/>
      <c r="X14" s="84">
        <f>T14+W14</f>
        <v/>
      </c>
    </row>
    <row r="15" ht="30" customHeight="1" s="99" thickBot="1">
      <c r="A15" s="65" t="inlineStr">
        <is>
          <t>TOTAL</t>
        </is>
      </c>
      <c r="B15" s="66">
        <f>SUM(B3:B14)</f>
        <v/>
      </c>
      <c r="C15" s="66">
        <f>SUM(C3:C14)</f>
        <v/>
      </c>
      <c r="D15" s="66">
        <f>SUM(D3:D14)</f>
        <v/>
      </c>
      <c r="E15" s="66">
        <f>SUM(E3:E14)</f>
        <v/>
      </c>
      <c r="F15" s="66">
        <f>SUM(F3:F14)</f>
        <v/>
      </c>
      <c r="G15" s="66">
        <f>SUM(G3:G14)</f>
        <v/>
      </c>
      <c r="H15" s="66">
        <f>SUM(H3:H14)</f>
        <v/>
      </c>
      <c r="I15" s="66">
        <f>SUM(I3:I14)</f>
        <v/>
      </c>
      <c r="J15" s="66">
        <f>SUM(J3:J14)</f>
        <v/>
      </c>
      <c r="K15" s="66">
        <f>SUM(K3:K14)</f>
        <v/>
      </c>
      <c r="L15" s="66">
        <f>SUM(L3:L14)</f>
        <v/>
      </c>
      <c r="M15" s="66">
        <f>SUM(M3:M14)</f>
        <v/>
      </c>
      <c r="N15" s="66">
        <f>SUM(N3:N14)</f>
        <v/>
      </c>
      <c r="O15" s="66">
        <f>SUM(O3:O14)</f>
        <v/>
      </c>
      <c r="P15" s="66">
        <f>SUM(P3:P14)</f>
        <v/>
      </c>
      <c r="Q15" s="66">
        <f>SUM(Q3:Q14)</f>
        <v/>
      </c>
      <c r="R15" s="66" t="n"/>
      <c r="S15" s="66">
        <f>SUM(S3:S14)</f>
        <v/>
      </c>
      <c r="T15" s="66">
        <f>SUM(B15:S15)</f>
        <v/>
      </c>
      <c r="U15" s="66">
        <f>SUM(U3:U14)</f>
        <v/>
      </c>
      <c r="V15" s="66">
        <f>SUM(V3:V14)</f>
        <v/>
      </c>
      <c r="W15" s="81">
        <f>SUM(W3:W14)</f>
        <v/>
      </c>
      <c r="X15" s="81">
        <f>SUM(X3:X14)</f>
        <v/>
      </c>
    </row>
    <row r="16" ht="30" customHeight="1" s="99" thickTop="1">
      <c r="A16" s="58" t="n"/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82" t="n"/>
      <c r="X16" s="82" t="n"/>
    </row>
    <row r="17" ht="30" customHeight="1" s="99">
      <c r="A17" s="58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82" t="n"/>
      <c r="X17" s="82" t="n"/>
    </row>
    <row r="18" ht="30" customHeight="1" s="99">
      <c r="A18" s="58" t="n"/>
      <c r="B18" s="59" t="n"/>
      <c r="C18" s="59" t="n"/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82" t="n"/>
      <c r="X18" s="82" t="n"/>
    </row>
    <row r="19" ht="30" customHeight="1" s="99">
      <c r="A19" s="58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82" t="n"/>
      <c r="X19" s="82" t="n"/>
    </row>
    <row r="20" ht="30" customHeight="1" s="99">
      <c r="A20" s="58" t="n"/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82" t="n"/>
      <c r="X20" s="82" t="n"/>
    </row>
    <row r="21" ht="30" customHeight="1" s="99">
      <c r="A21" s="58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82" t="n"/>
      <c r="X21" s="82" t="n"/>
    </row>
    <row r="22" ht="30" customHeight="1" s="99">
      <c r="A22" s="58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82" t="n"/>
      <c r="X22" s="82" t="n"/>
    </row>
    <row r="23" ht="30" customHeight="1" s="99">
      <c r="A23" s="58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82" t="n"/>
      <c r="X23" s="82" t="n"/>
    </row>
    <row r="24" ht="30" customHeight="1" s="99">
      <c r="A24" s="58" t="n"/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82" t="n"/>
      <c r="X24" s="82" t="n"/>
    </row>
    <row r="25" ht="30" customHeight="1" s="99">
      <c r="A25" s="58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82" t="n"/>
      <c r="X25" s="82" t="n"/>
    </row>
    <row r="26" ht="30" customHeight="1" s="99">
      <c r="A26" s="58" t="n"/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82" t="n"/>
      <c r="X26" s="82" t="n"/>
    </row>
    <row r="27" ht="30" customHeight="1" s="99">
      <c r="A27" s="58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82" t="n"/>
      <c r="X27" s="82" t="n"/>
    </row>
    <row r="28" ht="30" customHeight="1" s="99">
      <c r="A28" s="58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82" t="n"/>
      <c r="X28" s="82" t="n"/>
    </row>
    <row r="29" ht="30" customHeight="1" s="99">
      <c r="A29" s="58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82" t="n"/>
      <c r="X29" s="82" t="n"/>
    </row>
    <row r="30" ht="30" customHeight="1" s="99">
      <c r="A30" s="58" t="n"/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82" t="n"/>
      <c r="X30" s="82" t="n"/>
    </row>
    <row r="31" ht="30" customHeight="1" s="99">
      <c r="A31" s="58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82" t="n"/>
      <c r="X31" s="82" t="n"/>
    </row>
    <row r="32" ht="30" customHeight="1" s="99">
      <c r="A32" s="58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82" t="n"/>
      <c r="X32" s="82" t="n"/>
    </row>
    <row r="33" ht="30" customHeight="1" s="99">
      <c r="A33" s="58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82" t="n"/>
      <c r="X33" s="82" t="n"/>
    </row>
    <row r="34" ht="30" customHeight="1" s="99">
      <c r="A34" s="58" t="n"/>
      <c r="B34" s="59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82" t="n"/>
      <c r="X34" s="82" t="n"/>
    </row>
    <row r="35" ht="30" customHeight="1" s="99">
      <c r="A35" s="58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82" t="n"/>
      <c r="X35" s="82" t="n"/>
    </row>
    <row r="36" ht="30" customHeight="1" s="99">
      <c r="A36" s="58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82" t="n"/>
      <c r="X36" s="82" t="n"/>
    </row>
    <row r="37" ht="30" customHeight="1" s="99">
      <c r="A37" s="58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82" t="n"/>
      <c r="X37" s="82" t="n"/>
    </row>
    <row r="38" ht="30" customHeight="1" s="99">
      <c r="A38" s="58" t="n"/>
      <c r="B38" s="59" t="n"/>
      <c r="C38" s="59" t="n"/>
      <c r="D38" s="59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82" t="n"/>
      <c r="X38" s="82" t="n"/>
    </row>
    <row r="39" ht="30" customHeight="1" s="99">
      <c r="A39" s="58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82" t="n"/>
      <c r="X39" s="82" t="n"/>
    </row>
    <row r="40" ht="30" customHeight="1" s="99">
      <c r="A40" s="58" t="n"/>
      <c r="B40" s="59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82" t="n"/>
      <c r="X40" s="82" t="n"/>
    </row>
    <row r="41" ht="30" customHeight="1" s="99">
      <c r="A41" s="58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82" t="n"/>
      <c r="X41" s="82" t="n"/>
    </row>
    <row r="42" ht="30" customHeight="1" s="99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82" t="n"/>
      <c r="X42" s="82" t="n"/>
    </row>
    <row r="43" ht="30" customHeight="1" s="99">
      <c r="A43" s="58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82" t="n"/>
      <c r="X43" s="82" t="n"/>
    </row>
    <row r="44" ht="30" customHeight="1" s="99">
      <c r="A44" s="58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82" t="n"/>
      <c r="X44" s="82" t="n"/>
    </row>
    <row r="45" ht="30" customHeight="1" s="99">
      <c r="A45" s="58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82" t="n"/>
      <c r="X45" s="82" t="n"/>
    </row>
    <row r="46" ht="30" customHeight="1" s="99">
      <c r="A46" s="58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82" t="n"/>
      <c r="X46" s="82" t="n"/>
    </row>
    <row r="47" ht="30" customHeight="1" s="99">
      <c r="A47" s="58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82" t="n"/>
      <c r="X47" s="82" t="n"/>
    </row>
    <row r="48" ht="30" customHeight="1" s="99">
      <c r="A48" s="58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82" t="n"/>
      <c r="X48" s="82" t="n"/>
    </row>
    <row r="49" ht="30" customHeight="1" s="99">
      <c r="A49" s="58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82" t="n"/>
      <c r="X49" s="82" t="n"/>
    </row>
    <row r="50" ht="30" customHeight="1" s="99">
      <c r="A50" s="58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82" t="n"/>
      <c r="X50" s="82" t="n"/>
    </row>
    <row r="51" ht="30" customHeight="1" s="99">
      <c r="A51" s="58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82" t="n"/>
      <c r="X51" s="82" t="n"/>
    </row>
    <row r="52" ht="30" customHeight="1" s="99">
      <c r="A52" s="58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82" t="n"/>
      <c r="X52" s="82" t="n"/>
    </row>
    <row r="53" ht="30" customHeight="1" s="99">
      <c r="A53" s="58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82" t="n"/>
      <c r="X53" s="82" t="n"/>
    </row>
    <row r="54" ht="30" customHeight="1" s="99">
      <c r="A54" s="58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82" t="n"/>
      <c r="X54" s="82" t="n"/>
    </row>
    <row r="55" ht="30" customHeight="1" s="99">
      <c r="A55" s="58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82" t="n"/>
      <c r="X55" s="82" t="n"/>
    </row>
    <row r="56" ht="30" customHeight="1" s="99">
      <c r="A56" s="58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82" t="n"/>
      <c r="X56" s="82" t="n"/>
    </row>
    <row r="57" ht="30" customHeight="1" s="99">
      <c r="A57" s="58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82" t="n"/>
      <c r="X57" s="82" t="n"/>
    </row>
    <row r="58" ht="30" customHeight="1" s="99">
      <c r="A58" s="58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82" t="n"/>
      <c r="X58" s="82" t="n"/>
    </row>
    <row r="59" ht="30" customHeight="1" s="99">
      <c r="A59" s="58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82" t="n"/>
      <c r="X59" s="82" t="n"/>
    </row>
    <row r="60" ht="30" customHeight="1" s="99">
      <c r="A60" s="58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82" t="n"/>
      <c r="X60" s="82" t="n"/>
    </row>
    <row r="61" ht="30" customHeight="1" s="99">
      <c r="A61" s="58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82" t="n"/>
      <c r="X61" s="82" t="n"/>
    </row>
    <row r="62" ht="30" customHeight="1" s="99">
      <c r="A62" s="58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82" t="n"/>
      <c r="X62" s="82" t="n"/>
    </row>
    <row r="63" ht="30" customHeight="1" s="99">
      <c r="A63" s="58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82" t="n"/>
      <c r="X63" s="82" t="n"/>
    </row>
    <row r="64" ht="30" customHeight="1" s="99">
      <c r="A64" s="58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82" t="n"/>
      <c r="X64" s="82" t="n"/>
    </row>
    <row r="65" ht="30" customHeight="1" s="99">
      <c r="A65" s="58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82" t="n"/>
      <c r="X65" s="82" t="n"/>
    </row>
    <row r="66" ht="30" customHeight="1" s="99">
      <c r="A66" s="58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82" t="n"/>
      <c r="X66" s="82" t="n"/>
    </row>
    <row r="67" ht="30" customHeight="1" s="99">
      <c r="A67" s="58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82" t="n"/>
      <c r="X67" s="82" t="n"/>
    </row>
    <row r="68" ht="30" customHeight="1" s="99">
      <c r="A68" s="58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82" t="n"/>
      <c r="X68" s="82" t="n"/>
    </row>
    <row r="69" ht="30" customHeight="1" s="99">
      <c r="A69" s="58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82" t="n"/>
      <c r="X69" s="82" t="n"/>
    </row>
    <row r="70" ht="30" customHeight="1" s="99">
      <c r="A70" s="58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82" t="n"/>
      <c r="X70" s="82" t="n"/>
    </row>
    <row r="71" ht="30" customHeight="1" s="99">
      <c r="A71" s="58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82" t="n"/>
      <c r="X71" s="82" t="n"/>
    </row>
    <row r="72" ht="30" customHeight="1" s="99">
      <c r="A72" s="58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82" t="n"/>
      <c r="X72" s="82" t="n"/>
    </row>
    <row r="73" ht="30" customHeight="1" s="99">
      <c r="A73" s="58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82" t="n"/>
      <c r="X73" s="82" t="n"/>
    </row>
    <row r="74" ht="30" customHeight="1" s="99">
      <c r="A74" s="58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82" t="n"/>
      <c r="X74" s="82" t="n"/>
    </row>
    <row r="75" ht="30" customHeight="1" s="99">
      <c r="A75" s="58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82" t="n"/>
      <c r="X75" s="82" t="n"/>
    </row>
    <row r="76" ht="30" customHeight="1" s="99">
      <c r="A76" s="58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82" t="n"/>
      <c r="X76" s="82" t="n"/>
    </row>
    <row r="77" ht="30" customHeight="1" s="99">
      <c r="A77" s="58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82" t="n"/>
      <c r="X77" s="82" t="n"/>
    </row>
    <row r="78" ht="30" customHeight="1" s="99">
      <c r="A78" s="58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82" t="n"/>
      <c r="X78" s="82" t="n"/>
    </row>
    <row r="79" ht="30" customHeight="1" s="99">
      <c r="A79" s="58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82" t="n"/>
      <c r="X79" s="82" t="n"/>
    </row>
    <row r="80" ht="30" customHeight="1" s="99">
      <c r="A80" s="58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82" t="n"/>
      <c r="X80" s="82" t="n"/>
    </row>
    <row r="81" ht="30" customHeight="1" s="99">
      <c r="A81" s="58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82" t="n"/>
      <c r="X81" s="82" t="n"/>
    </row>
    <row r="82" ht="30" customHeight="1" s="99">
      <c r="A82" s="58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82" t="n"/>
      <c r="X82" s="82" t="n"/>
    </row>
    <row r="83" ht="30" customHeight="1" s="99">
      <c r="A83" s="58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82" t="n"/>
      <c r="X83" s="82" t="n"/>
    </row>
    <row r="84" ht="30" customHeight="1" s="99">
      <c r="A84" s="58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82" t="n"/>
      <c r="X84" s="82" t="n"/>
    </row>
    <row r="85" ht="30" customHeight="1" s="99">
      <c r="A85" s="58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82" t="n"/>
      <c r="X85" s="82" t="n"/>
    </row>
    <row r="86" ht="30" customHeight="1" s="99">
      <c r="A86" s="58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82" t="n"/>
      <c r="X86" s="82" t="n"/>
    </row>
    <row r="87" ht="30" customHeight="1" s="99">
      <c r="A87" s="58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82" t="n"/>
      <c r="X87" s="82" t="n"/>
    </row>
    <row r="88" ht="30" customHeight="1" s="99">
      <c r="A88" s="58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82" t="n"/>
      <c r="X88" s="82" t="n"/>
    </row>
    <row r="89" ht="30" customHeight="1" s="99">
      <c r="A89" s="58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82" t="n"/>
      <c r="X89" s="82" t="n"/>
    </row>
    <row r="90" ht="30" customHeight="1" s="99">
      <c r="A90" s="58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82" t="n"/>
      <c r="X90" s="82" t="n"/>
    </row>
    <row r="91" ht="30" customHeight="1" s="99">
      <c r="A91" s="58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82" t="n"/>
      <c r="X91" s="82" t="n"/>
    </row>
    <row r="92" ht="30" customHeight="1" s="99">
      <c r="A92" s="58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82" t="n"/>
      <c r="X92" s="82" t="n"/>
    </row>
    <row r="93" ht="30" customHeight="1" s="99">
      <c r="A93" s="58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82" t="n"/>
      <c r="X93" s="82" t="n"/>
    </row>
    <row r="94" ht="30" customHeight="1" s="99">
      <c r="A94" s="58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82" t="n"/>
      <c r="X94" s="82" t="n"/>
    </row>
    <row r="95" ht="30" customHeight="1" s="99">
      <c r="A95" s="58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82" t="n"/>
      <c r="X95" s="82" t="n"/>
    </row>
    <row r="96" ht="30" customHeight="1" s="99">
      <c r="A96" s="58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82" t="n"/>
      <c r="X96" s="82" t="n"/>
    </row>
    <row r="97" ht="30" customHeight="1" s="99">
      <c r="A97" s="58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82" t="n"/>
      <c r="X97" s="82" t="n"/>
    </row>
    <row r="98" ht="30" customHeight="1" s="99">
      <c r="A98" s="58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82" t="n"/>
      <c r="X98" s="82" t="n"/>
    </row>
    <row r="99" ht="30" customHeight="1" s="99">
      <c r="A99" s="58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82" t="n"/>
      <c r="X99" s="82" t="n"/>
    </row>
    <row r="100" ht="30" customHeight="1" s="99">
      <c r="A100" s="58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82" t="n"/>
      <c r="X100" s="82" t="n"/>
    </row>
    <row r="101" ht="30" customHeight="1" s="99">
      <c r="A101" s="58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82" t="n"/>
      <c r="X101" s="82" t="n"/>
    </row>
    <row r="102" ht="30" customHeight="1" s="99">
      <c r="A102" s="58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82" t="n"/>
      <c r="X102" s="82" t="n"/>
    </row>
    <row r="103" ht="30" customHeight="1" s="99">
      <c r="A103" s="58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82" t="n"/>
      <c r="X103" s="82" t="n"/>
    </row>
    <row r="104" ht="30" customHeight="1" s="99">
      <c r="A104" s="58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82" t="n"/>
      <c r="X104" s="82" t="n"/>
    </row>
    <row r="105" ht="30" customHeight="1" s="99">
      <c r="A105" s="58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82" t="n"/>
      <c r="X105" s="82" t="n"/>
    </row>
    <row r="106" ht="30" customHeight="1" s="99">
      <c r="A106" s="58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82" t="n"/>
      <c r="X106" s="82" t="n"/>
    </row>
    <row r="107" ht="30" customHeight="1" s="99">
      <c r="A107" s="58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82" t="n"/>
      <c r="X107" s="82" t="n"/>
    </row>
    <row r="108" ht="30" customHeight="1" s="99">
      <c r="A108" s="58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82" t="n"/>
      <c r="X108" s="82" t="n"/>
    </row>
    <row r="109" ht="30" customHeight="1" s="99">
      <c r="A109" s="58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82" t="n"/>
      <c r="X109" s="82" t="n"/>
    </row>
    <row r="110" ht="30" customHeight="1" s="99">
      <c r="A110" s="58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82" t="n"/>
      <c r="X110" s="82" t="n"/>
    </row>
    <row r="111" ht="30" customHeight="1" s="99">
      <c r="A111" s="58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82" t="n"/>
      <c r="X111" s="82" t="n"/>
    </row>
    <row r="112" ht="30" customHeight="1" s="99">
      <c r="A112" s="58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82" t="n"/>
      <c r="X112" s="82" t="n"/>
    </row>
    <row r="113" ht="30" customHeight="1" s="99">
      <c r="A113" s="58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82" t="n"/>
      <c r="X113" s="82" t="n"/>
    </row>
    <row r="114" ht="30" customHeight="1" s="99">
      <c r="A114" s="58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82" t="n"/>
      <c r="X114" s="82" t="n"/>
    </row>
    <row r="115" ht="30" customHeight="1" s="99">
      <c r="A115" s="58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82" t="n"/>
      <c r="X115" s="82" t="n"/>
    </row>
    <row r="116" ht="30" customHeight="1" s="99">
      <c r="A116" s="58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82" t="n"/>
      <c r="X116" s="82" t="n"/>
    </row>
    <row r="117" ht="30" customHeight="1" s="99">
      <c r="A117" s="58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82" t="n"/>
      <c r="X117" s="82" t="n"/>
    </row>
    <row r="118" ht="30" customHeight="1" s="99">
      <c r="A118" s="58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82" t="n"/>
      <c r="X118" s="82" t="n"/>
    </row>
    <row r="119" ht="30" customHeight="1" s="99">
      <c r="A119" s="58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82" t="n"/>
      <c r="X119" s="82" t="n"/>
    </row>
    <row r="120" ht="30" customHeight="1" s="99">
      <c r="A120" s="58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82" t="n"/>
      <c r="X120" s="82" t="n"/>
    </row>
    <row r="121" ht="30" customHeight="1" s="99">
      <c r="A121" s="58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82" t="n"/>
      <c r="X121" s="82" t="n"/>
    </row>
    <row r="122" ht="30" customHeight="1" s="99">
      <c r="A122" s="58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82" t="n"/>
      <c r="X122" s="82" t="n"/>
    </row>
    <row r="123" ht="30" customHeight="1" s="99">
      <c r="A123" s="58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82" t="n"/>
      <c r="X123" s="82" t="n"/>
    </row>
    <row r="124" ht="30" customHeight="1" s="99">
      <c r="A124" s="58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82" t="n"/>
      <c r="X124" s="82" t="n"/>
    </row>
    <row r="125" ht="30" customHeight="1" s="99">
      <c r="A125" s="58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82" t="n"/>
      <c r="X125" s="82" t="n"/>
    </row>
    <row r="126" ht="30" customHeight="1" s="99">
      <c r="A126" s="58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82" t="n"/>
      <c r="X126" s="82" t="n"/>
    </row>
    <row r="127" ht="30" customHeight="1" s="99">
      <c r="A127" s="58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82" t="n"/>
      <c r="X127" s="82" t="n"/>
    </row>
    <row r="128" ht="30" customHeight="1" s="99">
      <c r="A128" s="58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82" t="n"/>
      <c r="X128" s="82" t="n"/>
    </row>
    <row r="129" ht="30" customHeight="1" s="99">
      <c r="A129" s="58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82" t="n"/>
      <c r="X129" s="82" t="n"/>
    </row>
    <row r="130" ht="30" customHeight="1" s="99">
      <c r="A130" s="58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82" t="n"/>
      <c r="X130" s="82" t="n"/>
    </row>
    <row r="131" ht="30" customHeight="1" s="99">
      <c r="A131" s="58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82" t="n"/>
      <c r="X131" s="82" t="n"/>
    </row>
    <row r="132" ht="30" customHeight="1" s="99">
      <c r="A132" s="58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82" t="n"/>
      <c r="X132" s="82" t="n"/>
    </row>
    <row r="133" ht="30" customHeight="1" s="99">
      <c r="A133" s="58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82" t="n"/>
      <c r="X133" s="82" t="n"/>
    </row>
    <row r="134" ht="30" customHeight="1" s="99">
      <c r="A134" s="58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82" t="n"/>
      <c r="X134" s="82" t="n"/>
    </row>
    <row r="135" ht="30" customHeight="1" s="99">
      <c r="A135" s="58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82" t="n"/>
      <c r="X135" s="82" t="n"/>
    </row>
    <row r="136" ht="30" customHeight="1" s="99">
      <c r="A136" s="58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82" t="n"/>
      <c r="X136" s="82" t="n"/>
    </row>
    <row r="137" ht="30" customHeight="1" s="99">
      <c r="A137" s="58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82" t="n"/>
      <c r="X137" s="82" t="n"/>
    </row>
    <row r="138" ht="30" customHeight="1" s="99">
      <c r="A138" s="58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82" t="n"/>
      <c r="X138" s="82" t="n"/>
    </row>
    <row r="139" ht="30" customHeight="1" s="99">
      <c r="A139" s="58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82" t="n"/>
      <c r="X139" s="82" t="n"/>
    </row>
    <row r="140" ht="30" customHeight="1" s="99">
      <c r="A140" s="58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82" t="n"/>
      <c r="X140" s="82" t="n"/>
    </row>
    <row r="141" ht="30" customHeight="1" s="99">
      <c r="A141" s="58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82" t="n"/>
      <c r="X141" s="82" t="n"/>
    </row>
    <row r="142" ht="30" customHeight="1" s="99">
      <c r="A142" s="58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82" t="n"/>
      <c r="X142" s="82" t="n"/>
    </row>
    <row r="143" ht="30" customHeight="1" s="99">
      <c r="A143" s="58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82" t="n"/>
      <c r="X143" s="82" t="n"/>
    </row>
    <row r="144" ht="30" customHeight="1" s="99">
      <c r="A144" s="58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82" t="n"/>
      <c r="X144" s="82" t="n"/>
    </row>
    <row r="145" ht="30" customHeight="1" s="99">
      <c r="A145" s="58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82" t="n"/>
      <c r="X145" s="82" t="n"/>
    </row>
    <row r="146" ht="30" customHeight="1" s="99">
      <c r="A146" s="58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82" t="n"/>
      <c r="X146" s="82" t="n"/>
    </row>
    <row r="147" ht="30" customHeight="1" s="99">
      <c r="A147" s="58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82" t="n"/>
      <c r="X147" s="82" t="n"/>
    </row>
    <row r="148" ht="30" customHeight="1" s="99">
      <c r="A148" s="58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82" t="n"/>
      <c r="X148" s="82" t="n"/>
    </row>
    <row r="149" ht="30" customHeight="1" s="99">
      <c r="A149" s="58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82" t="n"/>
      <c r="X149" s="82" t="n"/>
    </row>
    <row r="150" ht="30" customHeight="1" s="99">
      <c r="A150" s="58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82" t="n"/>
      <c r="X150" s="82" t="n"/>
    </row>
    <row r="151" ht="30" customHeight="1" s="99">
      <c r="A151" s="58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82" t="n"/>
      <c r="X151" s="82" t="n"/>
    </row>
    <row r="152" ht="30" customHeight="1" s="99">
      <c r="A152" s="58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82" t="n"/>
      <c r="X152" s="82" t="n"/>
    </row>
    <row r="153" ht="30" customHeight="1" s="99">
      <c r="A153" s="58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82" t="n"/>
      <c r="X153" s="82" t="n"/>
    </row>
    <row r="154" ht="30" customHeight="1" s="99">
      <c r="A154" s="58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82" t="n"/>
      <c r="X154" s="82" t="n"/>
    </row>
    <row r="155" ht="30" customHeight="1" s="99">
      <c r="A155" s="58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82" t="n"/>
      <c r="X155" s="82" t="n"/>
    </row>
    <row r="156" ht="30" customHeight="1" s="99">
      <c r="A156" s="58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82" t="n"/>
      <c r="X156" s="82" t="n"/>
    </row>
    <row r="157" ht="30" customHeight="1" s="99">
      <c r="A157" s="58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82" t="n"/>
      <c r="X157" s="82" t="n"/>
    </row>
    <row r="158" ht="30" customHeight="1" s="99">
      <c r="A158" s="58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82" t="n"/>
      <c r="X158" s="82" t="n"/>
    </row>
    <row r="159" ht="30" customHeight="1" s="99">
      <c r="A159" s="58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82" t="n"/>
      <c r="X159" s="82" t="n"/>
    </row>
    <row r="160" ht="30" customHeight="1" s="99">
      <c r="A160" s="58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82" t="n"/>
      <c r="X160" s="82" t="n"/>
    </row>
    <row r="161" ht="30" customHeight="1" s="99">
      <c r="A161" s="58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82" t="n"/>
      <c r="X161" s="82" t="n"/>
    </row>
    <row r="162" ht="30" customHeight="1" s="99">
      <c r="A162" s="58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82" t="n"/>
      <c r="X162" s="82" t="n"/>
    </row>
    <row r="163" ht="30" customHeight="1" s="99">
      <c r="A163" s="58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82" t="n"/>
      <c r="X163" s="82" t="n"/>
    </row>
    <row r="164" ht="30" customHeight="1" s="99">
      <c r="A164" s="58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82" t="n"/>
      <c r="X164" s="82" t="n"/>
    </row>
    <row r="165" ht="30" customHeight="1" s="99">
      <c r="A165" s="58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82" t="n"/>
      <c r="X165" s="82" t="n"/>
    </row>
    <row r="166" ht="30" customHeight="1" s="99">
      <c r="A166" s="58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82" t="n"/>
      <c r="X166" s="82" t="n"/>
    </row>
    <row r="167" ht="30" customHeight="1" s="99">
      <c r="A167" s="58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82" t="n"/>
      <c r="X167" s="82" t="n"/>
    </row>
    <row r="168" ht="30" customHeight="1" s="99">
      <c r="A168" s="58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82" t="n"/>
      <c r="X168" s="82" t="n"/>
    </row>
    <row r="169" ht="30" customHeight="1" s="99">
      <c r="A169" s="58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82" t="n"/>
      <c r="X169" s="82" t="n"/>
    </row>
    <row r="170" ht="30" customHeight="1" s="99">
      <c r="A170" s="58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82" t="n"/>
      <c r="X170" s="82" t="n"/>
    </row>
    <row r="171" ht="30" customHeight="1" s="99">
      <c r="A171" s="58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82" t="n"/>
      <c r="X171" s="82" t="n"/>
    </row>
    <row r="172" ht="30" customHeight="1" s="99">
      <c r="A172" s="58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82" t="n"/>
      <c r="X172" s="82" t="n"/>
    </row>
    <row r="173" ht="30" customHeight="1" s="99">
      <c r="A173" s="58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82" t="n"/>
      <c r="X173" s="82" t="n"/>
    </row>
    <row r="174" ht="30" customHeight="1" s="99">
      <c r="A174" s="58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82" t="n"/>
      <c r="X174" s="82" t="n"/>
    </row>
    <row r="175" ht="30" customHeight="1" s="99">
      <c r="A175" s="58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82" t="n"/>
      <c r="X175" s="82" t="n"/>
    </row>
    <row r="176" ht="30" customHeight="1" s="99">
      <c r="A176" s="58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82" t="n"/>
      <c r="X176" s="82" t="n"/>
    </row>
    <row r="177" ht="30" customHeight="1" s="99">
      <c r="A177" s="58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82" t="n"/>
      <c r="X177" s="82" t="n"/>
    </row>
    <row r="178" ht="30" customHeight="1" s="99">
      <c r="A178" s="58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82" t="n"/>
      <c r="X178" s="82" t="n"/>
    </row>
    <row r="179" ht="30" customHeight="1" s="99">
      <c r="A179" s="58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82" t="n"/>
      <c r="X179" s="82" t="n"/>
    </row>
    <row r="180" ht="30" customHeight="1" s="99">
      <c r="A180" s="58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82" t="n"/>
      <c r="X180" s="82" t="n"/>
    </row>
    <row r="181" ht="30" customHeight="1" s="99">
      <c r="A181" s="58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82" t="n"/>
      <c r="X181" s="82" t="n"/>
    </row>
    <row r="182" ht="30" customHeight="1" s="99">
      <c r="A182" s="58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82" t="n"/>
      <c r="X182" s="82" t="n"/>
    </row>
    <row r="183" ht="30" customHeight="1" s="99">
      <c r="A183" s="58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82" t="n"/>
      <c r="X183" s="82" t="n"/>
    </row>
    <row r="184" ht="30" customHeight="1" s="99">
      <c r="A184" s="58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82" t="n"/>
      <c r="X184" s="82" t="n"/>
    </row>
    <row r="185" ht="30" customHeight="1" s="99">
      <c r="A185" s="58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82" t="n"/>
      <c r="X185" s="82" t="n"/>
    </row>
    <row r="186" ht="30" customHeight="1" s="99">
      <c r="A186" s="58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82" t="n"/>
      <c r="X186" s="82" t="n"/>
    </row>
    <row r="187" ht="30" customHeight="1" s="99">
      <c r="A187" s="58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82" t="n"/>
      <c r="X187" s="82" t="n"/>
    </row>
    <row r="188" ht="30" customHeight="1" s="99">
      <c r="A188" s="58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82" t="n"/>
      <c r="X188" s="82" t="n"/>
    </row>
    <row r="189" ht="30" customHeight="1" s="99">
      <c r="A189" s="58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82" t="n"/>
      <c r="X189" s="82" t="n"/>
    </row>
    <row r="190" ht="30" customHeight="1" s="99">
      <c r="A190" s="58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82" t="n"/>
      <c r="X190" s="82" t="n"/>
    </row>
    <row r="191" ht="30" customHeight="1" s="99">
      <c r="A191" s="58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82" t="n"/>
      <c r="X191" s="82" t="n"/>
    </row>
    <row r="192" ht="30" customHeight="1" s="99">
      <c r="A192" s="58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82" t="n"/>
      <c r="X192" s="82" t="n"/>
    </row>
    <row r="193" ht="30" customHeight="1" s="99">
      <c r="A193" s="58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82" t="n"/>
      <c r="X193" s="82" t="n"/>
    </row>
    <row r="194" ht="30" customHeight="1" s="99">
      <c r="A194" s="58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82" t="n"/>
      <c r="X194" s="82" t="n"/>
    </row>
    <row r="195" ht="30" customHeight="1" s="99">
      <c r="A195" s="58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82" t="n"/>
      <c r="X195" s="82" t="n"/>
    </row>
    <row r="196" ht="30" customHeight="1" s="99">
      <c r="A196" s="58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82" t="n"/>
      <c r="X196" s="82" t="n"/>
    </row>
    <row r="197" ht="30" customHeight="1" s="99">
      <c r="A197" s="58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82" t="n"/>
      <c r="X197" s="82" t="n"/>
    </row>
    <row r="198" ht="30" customHeight="1" s="99">
      <c r="A198" s="58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82" t="n"/>
      <c r="X198" s="82" t="n"/>
    </row>
    <row r="199" ht="30" customHeight="1" s="99">
      <c r="A199" s="58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82" t="n"/>
      <c r="X199" s="82" t="n"/>
    </row>
    <row r="200" ht="30" customHeight="1" s="99">
      <c r="A200" s="58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82" t="n"/>
      <c r="X200" s="82" t="n"/>
    </row>
    <row r="201" ht="30" customHeight="1" s="99">
      <c r="A201" s="58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82" t="n"/>
      <c r="X201" s="82" t="n"/>
    </row>
    <row r="202" ht="30" customHeight="1" s="99">
      <c r="A202" s="58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82" t="n"/>
      <c r="X202" s="82" t="n"/>
    </row>
    <row r="203" ht="30" customHeight="1" s="99">
      <c r="A203" s="58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82" t="n"/>
      <c r="X203" s="82" t="n"/>
    </row>
    <row r="204" ht="30" customHeight="1" s="99">
      <c r="A204" s="58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82" t="n"/>
      <c r="X204" s="82" t="n"/>
    </row>
    <row r="205" ht="30" customHeight="1" s="99">
      <c r="A205" s="58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82" t="n"/>
      <c r="X205" s="82" t="n"/>
    </row>
    <row r="206" ht="30" customHeight="1" s="99">
      <c r="A206" s="58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82" t="n"/>
      <c r="X206" s="82" t="n"/>
    </row>
    <row r="207" ht="30" customHeight="1" s="99">
      <c r="A207" s="58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82" t="n"/>
      <c r="X207" s="82" t="n"/>
    </row>
    <row r="208" ht="30" customHeight="1" s="99">
      <c r="A208" s="58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82" t="n"/>
      <c r="X208" s="82" t="n"/>
    </row>
    <row r="209" ht="30" customHeight="1" s="99">
      <c r="A209" s="58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82" t="n"/>
      <c r="X209" s="82" t="n"/>
    </row>
    <row r="210" ht="30" customHeight="1" s="99">
      <c r="A210" s="58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82" t="n"/>
      <c r="X210" s="82" t="n"/>
    </row>
    <row r="211" ht="30" customHeight="1" s="99">
      <c r="A211" s="58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82" t="n"/>
      <c r="X211" s="82" t="n"/>
    </row>
    <row r="212" ht="30" customHeight="1" s="99">
      <c r="A212" s="58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82" t="n"/>
      <c r="X212" s="82" t="n"/>
    </row>
    <row r="213" ht="30" customHeight="1" s="99">
      <c r="A213" s="58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82" t="n"/>
      <c r="X213" s="82" t="n"/>
    </row>
    <row r="214" ht="30" customHeight="1" s="99">
      <c r="A214" s="58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82" t="n"/>
      <c r="X214" s="82" t="n"/>
    </row>
    <row r="215" ht="30" customHeight="1" s="99">
      <c r="A215" s="58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82" t="n"/>
      <c r="X215" s="82" t="n"/>
    </row>
    <row r="216" ht="30" customHeight="1" s="99">
      <c r="A216" s="58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82" t="n"/>
      <c r="X216" s="82" t="n"/>
    </row>
    <row r="217" ht="30" customHeight="1" s="99">
      <c r="A217" s="58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82" t="n"/>
      <c r="X217" s="82" t="n"/>
    </row>
    <row r="218" ht="30" customHeight="1" s="99">
      <c r="A218" s="58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82" t="n"/>
      <c r="X218" s="82" t="n"/>
    </row>
    <row r="219" ht="30" customHeight="1" s="99">
      <c r="A219" s="58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82" t="n"/>
      <c r="X219" s="82" t="n"/>
    </row>
    <row r="220" ht="30" customHeight="1" s="99">
      <c r="A220" s="58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82" t="n"/>
      <c r="X220" s="82" t="n"/>
    </row>
    <row r="221" ht="30" customHeight="1" s="99">
      <c r="A221" s="58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82" t="n"/>
      <c r="X221" s="82" t="n"/>
    </row>
    <row r="222" ht="15.75" customHeight="1" s="99">
      <c r="A222" s="58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82" t="n"/>
      <c r="X222" s="82" t="n"/>
    </row>
    <row r="223" ht="15.75" customHeight="1" s="99">
      <c r="A223" s="58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82" t="n"/>
      <c r="X223" s="82" t="n"/>
    </row>
    <row r="224" ht="15.75" customHeight="1" s="99">
      <c r="A224" s="58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82" t="n"/>
      <c r="X224" s="82" t="n"/>
    </row>
    <row r="225" ht="15.75" customHeight="1" s="99">
      <c r="A225" s="58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82" t="n"/>
      <c r="X225" s="82" t="n"/>
    </row>
    <row r="226" ht="15.75" customHeight="1" s="99">
      <c r="A226" s="58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82" t="n"/>
      <c r="X226" s="82" t="n"/>
    </row>
    <row r="227" ht="15.75" customHeight="1" s="99">
      <c r="A227" s="58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82" t="n"/>
      <c r="X227" s="82" t="n"/>
    </row>
    <row r="228" ht="15.75" customHeight="1" s="99">
      <c r="A228" s="58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82" t="n"/>
      <c r="X228" s="82" t="n"/>
    </row>
    <row r="229" ht="15.75" customHeight="1" s="99">
      <c r="A229" s="58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82" t="n"/>
      <c r="X229" s="82" t="n"/>
    </row>
    <row r="230" ht="15.75" customHeight="1" s="99">
      <c r="A230" s="58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82" t="n"/>
      <c r="X230" s="82" t="n"/>
    </row>
    <row r="231" ht="15.75" customHeight="1" s="99">
      <c r="A231" s="58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82" t="n"/>
      <c r="X231" s="82" t="n"/>
    </row>
    <row r="232" ht="15.75" customHeight="1" s="99">
      <c r="A232" s="58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82" t="n"/>
      <c r="X232" s="82" t="n"/>
    </row>
    <row r="233" ht="15.75" customHeight="1" s="99">
      <c r="A233" s="58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82" t="n"/>
      <c r="X233" s="82" t="n"/>
    </row>
    <row r="234" ht="15.75" customHeight="1" s="99">
      <c r="A234" s="58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82" t="n"/>
      <c r="X234" s="82" t="n"/>
    </row>
    <row r="235" ht="15.75" customHeight="1" s="99">
      <c r="A235" s="58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82" t="n"/>
      <c r="X235" s="82" t="n"/>
    </row>
    <row r="236" ht="15.75" customHeight="1" s="99">
      <c r="A236" s="58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82" t="n"/>
      <c r="X236" s="82" t="n"/>
    </row>
    <row r="237" ht="15.75" customHeight="1" s="99">
      <c r="A237" s="58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82" t="n"/>
      <c r="X237" s="82" t="n"/>
    </row>
    <row r="238" ht="15.75" customHeight="1" s="99">
      <c r="A238" s="58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82" t="n"/>
      <c r="X238" s="82" t="n"/>
    </row>
    <row r="239" ht="15.75" customHeight="1" s="99">
      <c r="A239" s="58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82" t="n"/>
      <c r="X239" s="82" t="n"/>
    </row>
    <row r="240" ht="15.75" customHeight="1" s="99">
      <c r="A240" s="58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82" t="n"/>
      <c r="X240" s="82" t="n"/>
    </row>
    <row r="241" ht="15.75" customHeight="1" s="99">
      <c r="A241" s="58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82" t="n"/>
      <c r="X241" s="82" t="n"/>
    </row>
    <row r="242" ht="15.75" customHeight="1" s="99">
      <c r="A242" s="58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82" t="n"/>
      <c r="X242" s="82" t="n"/>
    </row>
    <row r="243" ht="15.75" customHeight="1" s="99">
      <c r="A243" s="58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82" t="n"/>
      <c r="X243" s="82" t="n"/>
    </row>
    <row r="244" ht="15.75" customHeight="1" s="99">
      <c r="A244" s="58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82" t="n"/>
      <c r="X244" s="82" t="n"/>
    </row>
    <row r="245" ht="15.75" customHeight="1" s="99">
      <c r="A245" s="58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82" t="n"/>
      <c r="X245" s="82" t="n"/>
    </row>
    <row r="246" ht="15.75" customHeight="1" s="99">
      <c r="A246" s="58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82" t="n"/>
      <c r="X246" s="82" t="n"/>
    </row>
    <row r="247" ht="15.75" customHeight="1" s="99">
      <c r="A247" s="58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82" t="n"/>
      <c r="X247" s="82" t="n"/>
    </row>
    <row r="248" ht="15.75" customHeight="1" s="99">
      <c r="A248" s="58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82" t="n"/>
      <c r="X248" s="82" t="n"/>
    </row>
    <row r="249" ht="15.75" customHeight="1" s="99">
      <c r="A249" s="58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82" t="n"/>
      <c r="X249" s="82" t="n"/>
    </row>
    <row r="250" ht="15.75" customHeight="1" s="99">
      <c r="A250" s="58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82" t="n"/>
      <c r="X250" s="82" t="n"/>
    </row>
    <row r="251" ht="15.75" customHeight="1" s="99">
      <c r="A251" s="58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82" t="n"/>
      <c r="X251" s="82" t="n"/>
    </row>
    <row r="252" ht="15.75" customHeight="1" s="99">
      <c r="A252" s="58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82" t="n"/>
      <c r="X252" s="82" t="n"/>
    </row>
    <row r="253" ht="15.75" customHeight="1" s="99">
      <c r="A253" s="58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82" t="n"/>
      <c r="X253" s="82" t="n"/>
    </row>
    <row r="254" ht="15.75" customHeight="1" s="99">
      <c r="A254" s="58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82" t="n"/>
      <c r="X254" s="82" t="n"/>
    </row>
    <row r="255" ht="15.75" customHeight="1" s="99">
      <c r="A255" s="58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82" t="n"/>
      <c r="X255" s="82" t="n"/>
    </row>
    <row r="256" ht="15.75" customHeight="1" s="99">
      <c r="A256" s="58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82" t="n"/>
      <c r="X256" s="82" t="n"/>
    </row>
    <row r="257" ht="15.75" customHeight="1" s="99">
      <c r="A257" s="58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82" t="n"/>
      <c r="X257" s="82" t="n"/>
    </row>
    <row r="258" ht="15.75" customHeight="1" s="99">
      <c r="A258" s="58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82" t="n"/>
      <c r="X258" s="82" t="n"/>
    </row>
    <row r="259" ht="15.75" customHeight="1" s="99">
      <c r="A259" s="58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82" t="n"/>
      <c r="X259" s="82" t="n"/>
    </row>
    <row r="260" ht="15.75" customHeight="1" s="99">
      <c r="A260" s="58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82" t="n"/>
      <c r="X260" s="82" t="n"/>
    </row>
    <row r="261" ht="15.75" customHeight="1" s="99">
      <c r="A261" s="58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82" t="n"/>
      <c r="X261" s="82" t="n"/>
    </row>
    <row r="262" ht="15.75" customHeight="1" s="99">
      <c r="A262" s="58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82" t="n"/>
      <c r="X262" s="82" t="n"/>
    </row>
    <row r="263" ht="15.75" customHeight="1" s="99">
      <c r="A263" s="58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82" t="n"/>
      <c r="X263" s="82" t="n"/>
    </row>
    <row r="264" ht="15.75" customHeight="1" s="99">
      <c r="A264" s="58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82" t="n"/>
      <c r="X264" s="82" t="n"/>
    </row>
    <row r="265" ht="15.75" customHeight="1" s="99">
      <c r="A265" s="58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82" t="n"/>
      <c r="X265" s="82" t="n"/>
    </row>
    <row r="266" ht="15.75" customHeight="1" s="99">
      <c r="A266" s="58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82" t="n"/>
      <c r="X266" s="82" t="n"/>
    </row>
    <row r="267" ht="15.75" customHeight="1" s="99">
      <c r="A267" s="58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82" t="n"/>
      <c r="X267" s="82" t="n"/>
    </row>
    <row r="268" ht="15.75" customHeight="1" s="99">
      <c r="A268" s="58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82" t="n"/>
      <c r="X268" s="82" t="n"/>
    </row>
    <row r="269" ht="15.75" customHeight="1" s="99">
      <c r="A269" s="58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82" t="n"/>
      <c r="X269" s="82" t="n"/>
    </row>
    <row r="270" ht="15.75" customHeight="1" s="99">
      <c r="A270" s="58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82" t="n"/>
      <c r="X270" s="82" t="n"/>
    </row>
    <row r="271" ht="15.75" customHeight="1" s="99">
      <c r="A271" s="58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82" t="n"/>
      <c r="X271" s="82" t="n"/>
    </row>
    <row r="272" ht="15.75" customHeight="1" s="99">
      <c r="A272" s="58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82" t="n"/>
      <c r="X272" s="82" t="n"/>
    </row>
    <row r="273" ht="15.75" customHeight="1" s="99">
      <c r="A273" s="58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82" t="n"/>
      <c r="X273" s="82" t="n"/>
    </row>
    <row r="274" ht="15.75" customHeight="1" s="99">
      <c r="A274" s="58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82" t="n"/>
      <c r="X274" s="82" t="n"/>
    </row>
    <row r="275" ht="15.75" customHeight="1" s="99">
      <c r="A275" s="58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82" t="n"/>
      <c r="X275" s="82" t="n"/>
    </row>
    <row r="276" ht="15.75" customHeight="1" s="99">
      <c r="A276" s="58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82" t="n"/>
      <c r="X276" s="82" t="n"/>
    </row>
    <row r="277" ht="15.75" customHeight="1" s="99">
      <c r="A277" s="58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82" t="n"/>
      <c r="X277" s="82" t="n"/>
    </row>
    <row r="278" ht="15.75" customHeight="1" s="99">
      <c r="A278" s="58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82" t="n"/>
      <c r="X278" s="82" t="n"/>
    </row>
    <row r="279" ht="15.75" customHeight="1" s="99">
      <c r="A279" s="58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82" t="n"/>
      <c r="X279" s="82" t="n"/>
    </row>
    <row r="280" ht="15.75" customHeight="1" s="99">
      <c r="A280" s="58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82" t="n"/>
      <c r="X280" s="82" t="n"/>
    </row>
    <row r="281" ht="15.75" customHeight="1" s="99">
      <c r="A281" s="58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82" t="n"/>
      <c r="X281" s="82" t="n"/>
    </row>
    <row r="282" ht="15.75" customHeight="1" s="99">
      <c r="A282" s="58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82" t="n"/>
      <c r="X282" s="82" t="n"/>
    </row>
    <row r="283" ht="15.75" customHeight="1" s="99">
      <c r="A283" s="58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82" t="n"/>
      <c r="X283" s="82" t="n"/>
    </row>
    <row r="284" ht="15.75" customHeight="1" s="99">
      <c r="A284" s="58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82" t="n"/>
      <c r="X284" s="82" t="n"/>
    </row>
    <row r="285" ht="15.75" customHeight="1" s="99">
      <c r="A285" s="58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82" t="n"/>
      <c r="X285" s="82" t="n"/>
    </row>
    <row r="286" ht="15.75" customHeight="1" s="99">
      <c r="A286" s="58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82" t="n"/>
      <c r="X286" s="82" t="n"/>
    </row>
    <row r="287" ht="15.75" customHeight="1" s="99">
      <c r="A287" s="58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82" t="n"/>
      <c r="X287" s="82" t="n"/>
    </row>
    <row r="288" ht="15.75" customHeight="1" s="99">
      <c r="A288" s="58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82" t="n"/>
      <c r="X288" s="82" t="n"/>
    </row>
    <row r="289" ht="15.75" customHeight="1" s="99">
      <c r="A289" s="58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82" t="n"/>
      <c r="X289" s="82" t="n"/>
    </row>
    <row r="290" ht="15.75" customHeight="1" s="99">
      <c r="A290" s="58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82" t="n"/>
      <c r="X290" s="82" t="n"/>
    </row>
    <row r="291" ht="15.75" customHeight="1" s="99">
      <c r="A291" s="58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82" t="n"/>
      <c r="X291" s="82" t="n"/>
    </row>
    <row r="292" ht="15.75" customHeight="1" s="99">
      <c r="A292" s="58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82" t="n"/>
      <c r="X292" s="82" t="n"/>
    </row>
    <row r="293" ht="15.75" customHeight="1" s="99">
      <c r="A293" s="58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82" t="n"/>
      <c r="X293" s="82" t="n"/>
    </row>
    <row r="294" ht="15.75" customHeight="1" s="99">
      <c r="A294" s="58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82" t="n"/>
      <c r="X294" s="82" t="n"/>
    </row>
    <row r="295" ht="15.75" customHeight="1" s="99">
      <c r="A295" s="58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82" t="n"/>
      <c r="X295" s="82" t="n"/>
    </row>
    <row r="296" ht="15.75" customHeight="1" s="99">
      <c r="A296" s="58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82" t="n"/>
      <c r="X296" s="82" t="n"/>
    </row>
    <row r="297" ht="15.75" customHeight="1" s="99">
      <c r="A297" s="58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82" t="n"/>
      <c r="X297" s="82" t="n"/>
    </row>
    <row r="298" ht="15.75" customHeight="1" s="99">
      <c r="A298" s="58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82" t="n"/>
      <c r="X298" s="82" t="n"/>
    </row>
    <row r="299" ht="15.75" customHeight="1" s="99">
      <c r="A299" s="58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82" t="n"/>
      <c r="X299" s="82" t="n"/>
    </row>
    <row r="300" ht="15.75" customHeight="1" s="99">
      <c r="A300" s="58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82" t="n"/>
      <c r="X300" s="82" t="n"/>
    </row>
    <row r="301" ht="15.75" customHeight="1" s="99">
      <c r="A301" s="58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82" t="n"/>
      <c r="X301" s="82" t="n"/>
    </row>
    <row r="302" ht="15.75" customHeight="1" s="99">
      <c r="A302" s="58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82" t="n"/>
      <c r="X302" s="82" t="n"/>
    </row>
    <row r="303" ht="15.75" customHeight="1" s="99">
      <c r="A303" s="58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82" t="n"/>
      <c r="X303" s="82" t="n"/>
    </row>
    <row r="304" ht="15.75" customHeight="1" s="99">
      <c r="A304" s="58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82" t="n"/>
      <c r="X304" s="82" t="n"/>
    </row>
    <row r="305" ht="15.75" customHeight="1" s="99">
      <c r="A305" s="58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82" t="n"/>
      <c r="X305" s="82" t="n"/>
    </row>
    <row r="306" ht="15.75" customHeight="1" s="99">
      <c r="A306" s="58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82" t="n"/>
      <c r="X306" s="82" t="n"/>
    </row>
    <row r="307" ht="15.75" customHeight="1" s="99">
      <c r="A307" s="58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82" t="n"/>
      <c r="X307" s="82" t="n"/>
    </row>
    <row r="308" ht="15.75" customHeight="1" s="99">
      <c r="A308" s="58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82" t="n"/>
      <c r="X308" s="82" t="n"/>
    </row>
    <row r="309" ht="15.75" customHeight="1" s="99">
      <c r="A309" s="58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82" t="n"/>
      <c r="X309" s="82" t="n"/>
    </row>
    <row r="310" ht="15.75" customHeight="1" s="99">
      <c r="A310" s="58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82" t="n"/>
      <c r="X310" s="82" t="n"/>
    </row>
    <row r="311" ht="15.75" customHeight="1" s="99">
      <c r="A311" s="58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82" t="n"/>
      <c r="X311" s="82" t="n"/>
    </row>
    <row r="312" ht="15.75" customHeight="1" s="99">
      <c r="A312" s="58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82" t="n"/>
      <c r="X312" s="82" t="n"/>
    </row>
    <row r="313" ht="15.75" customHeight="1" s="99">
      <c r="A313" s="58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82" t="n"/>
      <c r="X313" s="82" t="n"/>
    </row>
    <row r="314" ht="15.75" customHeight="1" s="99">
      <c r="A314" s="58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82" t="n"/>
      <c r="X314" s="82" t="n"/>
    </row>
    <row r="315" ht="15.75" customHeight="1" s="99">
      <c r="A315" s="58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82" t="n"/>
      <c r="X315" s="82" t="n"/>
    </row>
    <row r="316" ht="15.75" customHeight="1" s="99">
      <c r="A316" s="58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82" t="n"/>
      <c r="X316" s="82" t="n"/>
    </row>
    <row r="317" ht="15.75" customHeight="1" s="99">
      <c r="A317" s="58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82" t="n"/>
      <c r="X317" s="82" t="n"/>
    </row>
    <row r="318" ht="15.75" customHeight="1" s="99">
      <c r="A318" s="58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82" t="n"/>
      <c r="X318" s="82" t="n"/>
    </row>
    <row r="319" ht="15.75" customHeight="1" s="99">
      <c r="A319" s="58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82" t="n"/>
      <c r="X319" s="82" t="n"/>
    </row>
    <row r="320" ht="15.75" customHeight="1" s="99">
      <c r="A320" s="58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82" t="n"/>
      <c r="X320" s="82" t="n"/>
    </row>
    <row r="321" ht="15.75" customHeight="1" s="99">
      <c r="A321" s="58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82" t="n"/>
      <c r="X321" s="82" t="n"/>
    </row>
    <row r="322" ht="15.75" customHeight="1" s="99">
      <c r="A322" s="58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82" t="n"/>
      <c r="X322" s="82" t="n"/>
    </row>
    <row r="323" ht="15.75" customHeight="1" s="99">
      <c r="A323" s="58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82" t="n"/>
      <c r="X323" s="82" t="n"/>
    </row>
    <row r="324" ht="15.75" customHeight="1" s="99">
      <c r="A324" s="58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82" t="n"/>
      <c r="X324" s="82" t="n"/>
    </row>
    <row r="325" ht="15.75" customHeight="1" s="99">
      <c r="A325" s="58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82" t="n"/>
      <c r="X325" s="82" t="n"/>
    </row>
    <row r="326" ht="15.75" customHeight="1" s="99">
      <c r="A326" s="58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82" t="n"/>
      <c r="X326" s="82" t="n"/>
    </row>
    <row r="327" ht="15.75" customHeight="1" s="99">
      <c r="A327" s="58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82" t="n"/>
      <c r="X327" s="82" t="n"/>
    </row>
    <row r="328" ht="15.75" customHeight="1" s="99">
      <c r="A328" s="58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82" t="n"/>
      <c r="X328" s="82" t="n"/>
    </row>
    <row r="329" ht="15.75" customHeight="1" s="99">
      <c r="A329" s="58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82" t="n"/>
      <c r="X329" s="82" t="n"/>
    </row>
    <row r="330" ht="15.75" customHeight="1" s="99">
      <c r="A330" s="58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82" t="n"/>
      <c r="X330" s="82" t="n"/>
    </row>
    <row r="331" ht="15.75" customHeight="1" s="99">
      <c r="A331" s="58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82" t="n"/>
      <c r="X331" s="82" t="n"/>
    </row>
    <row r="332" ht="15.75" customHeight="1" s="99">
      <c r="A332" s="58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82" t="n"/>
      <c r="X332" s="82" t="n"/>
    </row>
    <row r="333" ht="15.75" customHeight="1" s="99">
      <c r="A333" s="58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82" t="n"/>
      <c r="X333" s="82" t="n"/>
    </row>
    <row r="334" ht="15.75" customHeight="1" s="99">
      <c r="A334" s="58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82" t="n"/>
      <c r="X334" s="82" t="n"/>
    </row>
    <row r="335" ht="15.75" customHeight="1" s="99">
      <c r="A335" s="58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82" t="n"/>
      <c r="X335" s="82" t="n"/>
    </row>
    <row r="336" ht="15.75" customHeight="1" s="99">
      <c r="A336" s="58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82" t="n"/>
      <c r="X336" s="82" t="n"/>
    </row>
    <row r="337" ht="15.75" customHeight="1" s="99">
      <c r="A337" s="58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82" t="n"/>
      <c r="X337" s="82" t="n"/>
    </row>
    <row r="338" ht="15.75" customHeight="1" s="99">
      <c r="A338" s="58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82" t="n"/>
      <c r="X338" s="82" t="n"/>
    </row>
    <row r="339" ht="15.75" customHeight="1" s="99">
      <c r="A339" s="58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82" t="n"/>
      <c r="X339" s="82" t="n"/>
    </row>
    <row r="340" ht="15.75" customHeight="1" s="99">
      <c r="A340" s="58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82" t="n"/>
      <c r="X340" s="82" t="n"/>
    </row>
    <row r="341" ht="15.75" customHeight="1" s="99">
      <c r="A341" s="58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82" t="n"/>
      <c r="X341" s="82" t="n"/>
    </row>
    <row r="342" ht="15.75" customHeight="1" s="99">
      <c r="A342" s="58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82" t="n"/>
      <c r="X342" s="82" t="n"/>
    </row>
    <row r="343" ht="15.75" customHeight="1" s="99">
      <c r="A343" s="58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82" t="n"/>
      <c r="X343" s="82" t="n"/>
    </row>
    <row r="344" ht="15.75" customHeight="1" s="99">
      <c r="A344" s="58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82" t="n"/>
      <c r="X344" s="82" t="n"/>
    </row>
    <row r="345" ht="15.75" customHeight="1" s="99">
      <c r="A345" s="58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82" t="n"/>
      <c r="X345" s="82" t="n"/>
    </row>
    <row r="346" ht="15.75" customHeight="1" s="99">
      <c r="A346" s="58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82" t="n"/>
      <c r="X346" s="82" t="n"/>
    </row>
    <row r="347" ht="15.75" customHeight="1" s="99">
      <c r="A347" s="58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82" t="n"/>
      <c r="X347" s="82" t="n"/>
    </row>
    <row r="348" ht="15.75" customHeight="1" s="99">
      <c r="A348" s="58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82" t="n"/>
      <c r="X348" s="82" t="n"/>
    </row>
    <row r="349" ht="15.75" customHeight="1" s="99">
      <c r="A349" s="58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82" t="n"/>
      <c r="X349" s="82" t="n"/>
    </row>
    <row r="350" ht="15.75" customHeight="1" s="99">
      <c r="A350" s="58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82" t="n"/>
      <c r="X350" s="82" t="n"/>
    </row>
    <row r="351" ht="15.75" customHeight="1" s="99">
      <c r="A351" s="58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82" t="n"/>
      <c r="X351" s="82" t="n"/>
    </row>
    <row r="352" ht="15.75" customHeight="1" s="99">
      <c r="A352" s="58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82" t="n"/>
      <c r="X352" s="82" t="n"/>
    </row>
    <row r="353" ht="15.75" customHeight="1" s="99">
      <c r="A353" s="58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82" t="n"/>
      <c r="X353" s="82" t="n"/>
    </row>
    <row r="354" ht="15.75" customHeight="1" s="99">
      <c r="A354" s="58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82" t="n"/>
      <c r="X354" s="82" t="n"/>
    </row>
    <row r="355" ht="15.75" customHeight="1" s="99">
      <c r="A355" s="58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82" t="n"/>
      <c r="X355" s="82" t="n"/>
    </row>
    <row r="356" ht="15.75" customHeight="1" s="99">
      <c r="A356" s="58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82" t="n"/>
      <c r="X356" s="82" t="n"/>
    </row>
    <row r="357" ht="15.75" customHeight="1" s="99">
      <c r="A357" s="58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82" t="n"/>
      <c r="X357" s="82" t="n"/>
    </row>
    <row r="358" ht="15.75" customHeight="1" s="99">
      <c r="A358" s="58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82" t="n"/>
      <c r="X358" s="82" t="n"/>
    </row>
    <row r="359" ht="15.75" customHeight="1" s="99">
      <c r="A359" s="58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82" t="n"/>
      <c r="X359" s="82" t="n"/>
    </row>
    <row r="360" ht="15.75" customHeight="1" s="99">
      <c r="A360" s="58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82" t="n"/>
      <c r="X360" s="82" t="n"/>
    </row>
    <row r="361" ht="15.75" customHeight="1" s="99">
      <c r="A361" s="58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82" t="n"/>
      <c r="X361" s="82" t="n"/>
    </row>
    <row r="362" ht="15.75" customHeight="1" s="99">
      <c r="A362" s="58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82" t="n"/>
      <c r="X362" s="82" t="n"/>
    </row>
    <row r="363" ht="15.75" customHeight="1" s="99">
      <c r="A363" s="58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82" t="n"/>
      <c r="X363" s="82" t="n"/>
    </row>
    <row r="364" ht="15.75" customHeight="1" s="99">
      <c r="A364" s="58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82" t="n"/>
      <c r="X364" s="82" t="n"/>
    </row>
    <row r="365" ht="15.75" customHeight="1" s="99">
      <c r="A365" s="58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82" t="n"/>
      <c r="X365" s="82" t="n"/>
    </row>
    <row r="366" ht="15.75" customHeight="1" s="99">
      <c r="A366" s="58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82" t="n"/>
      <c r="X366" s="82" t="n"/>
    </row>
    <row r="367" ht="15.75" customHeight="1" s="99">
      <c r="A367" s="58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82" t="n"/>
      <c r="X367" s="82" t="n"/>
    </row>
    <row r="368" ht="15.75" customHeight="1" s="99">
      <c r="A368" s="58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82" t="n"/>
      <c r="X368" s="82" t="n"/>
    </row>
    <row r="369" ht="15.75" customHeight="1" s="99">
      <c r="A369" s="58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82" t="n"/>
      <c r="X369" s="82" t="n"/>
    </row>
    <row r="370" ht="15.75" customHeight="1" s="99">
      <c r="A370" s="58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82" t="n"/>
      <c r="X370" s="82" t="n"/>
    </row>
    <row r="371" ht="15.75" customHeight="1" s="99">
      <c r="A371" s="58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82" t="n"/>
      <c r="X371" s="82" t="n"/>
    </row>
    <row r="372" ht="15.75" customHeight="1" s="99">
      <c r="A372" s="58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82" t="n"/>
      <c r="X372" s="82" t="n"/>
    </row>
    <row r="373" ht="15.75" customHeight="1" s="99">
      <c r="A373" s="58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82" t="n"/>
      <c r="X373" s="82" t="n"/>
    </row>
    <row r="374" ht="15.75" customHeight="1" s="99">
      <c r="A374" s="58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82" t="n"/>
      <c r="X374" s="82" t="n"/>
    </row>
    <row r="375" ht="15.75" customHeight="1" s="99">
      <c r="A375" s="58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82" t="n"/>
      <c r="X375" s="82" t="n"/>
    </row>
    <row r="376" ht="15.75" customHeight="1" s="99">
      <c r="A376" s="58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82" t="n"/>
      <c r="X376" s="82" t="n"/>
    </row>
    <row r="377" ht="15.75" customHeight="1" s="99">
      <c r="A377" s="58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82" t="n"/>
      <c r="X377" s="82" t="n"/>
    </row>
    <row r="378" ht="15.75" customHeight="1" s="99">
      <c r="A378" s="58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82" t="n"/>
      <c r="X378" s="82" t="n"/>
    </row>
    <row r="379" ht="15.75" customHeight="1" s="99">
      <c r="A379" s="58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82" t="n"/>
      <c r="X379" s="82" t="n"/>
    </row>
    <row r="380" ht="15.75" customHeight="1" s="99">
      <c r="A380" s="58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82" t="n"/>
      <c r="X380" s="82" t="n"/>
    </row>
    <row r="381" ht="15.75" customHeight="1" s="99">
      <c r="A381" s="58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82" t="n"/>
      <c r="X381" s="82" t="n"/>
    </row>
    <row r="382" ht="15.75" customHeight="1" s="99">
      <c r="A382" s="58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82" t="n"/>
      <c r="X382" s="82" t="n"/>
    </row>
    <row r="383" ht="15.75" customHeight="1" s="99">
      <c r="A383" s="58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82" t="n"/>
      <c r="X383" s="82" t="n"/>
    </row>
    <row r="384" ht="15.75" customHeight="1" s="99">
      <c r="A384" s="58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82" t="n"/>
      <c r="X384" s="82" t="n"/>
    </row>
    <row r="385" ht="15.75" customHeight="1" s="99">
      <c r="A385" s="58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82" t="n"/>
      <c r="X385" s="82" t="n"/>
    </row>
    <row r="386" ht="15.75" customHeight="1" s="99">
      <c r="A386" s="58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82" t="n"/>
      <c r="X386" s="82" t="n"/>
    </row>
    <row r="387" ht="15.75" customHeight="1" s="99">
      <c r="A387" s="58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82" t="n"/>
      <c r="X387" s="82" t="n"/>
    </row>
    <row r="388" ht="15.75" customHeight="1" s="99">
      <c r="A388" s="58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82" t="n"/>
      <c r="X388" s="82" t="n"/>
    </row>
    <row r="389" ht="15.75" customHeight="1" s="99">
      <c r="A389" s="58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82" t="n"/>
      <c r="X389" s="82" t="n"/>
    </row>
    <row r="390" ht="15.75" customHeight="1" s="99">
      <c r="A390" s="58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82" t="n"/>
      <c r="X390" s="82" t="n"/>
    </row>
    <row r="391" ht="15.75" customHeight="1" s="99">
      <c r="A391" s="58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82" t="n"/>
      <c r="X391" s="82" t="n"/>
    </row>
    <row r="392" ht="15.75" customHeight="1" s="99">
      <c r="A392" s="58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82" t="n"/>
      <c r="X392" s="82" t="n"/>
    </row>
    <row r="393" ht="15.75" customHeight="1" s="99">
      <c r="A393" s="58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82" t="n"/>
      <c r="X393" s="82" t="n"/>
    </row>
    <row r="394" ht="15.75" customHeight="1" s="99">
      <c r="A394" s="58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82" t="n"/>
      <c r="X394" s="82" t="n"/>
    </row>
    <row r="395" ht="15.75" customHeight="1" s="99">
      <c r="A395" s="58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82" t="n"/>
      <c r="X395" s="82" t="n"/>
    </row>
    <row r="396" ht="15.75" customHeight="1" s="99">
      <c r="A396" s="58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82" t="n"/>
      <c r="X396" s="82" t="n"/>
    </row>
    <row r="397" ht="15.75" customHeight="1" s="99">
      <c r="A397" s="58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82" t="n"/>
      <c r="X397" s="82" t="n"/>
    </row>
    <row r="398" ht="15.75" customHeight="1" s="99">
      <c r="A398" s="58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82" t="n"/>
      <c r="X398" s="82" t="n"/>
    </row>
    <row r="399" ht="15.75" customHeight="1" s="99">
      <c r="A399" s="58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82" t="n"/>
      <c r="X399" s="82" t="n"/>
    </row>
    <row r="400" ht="15.75" customHeight="1" s="99">
      <c r="A400" s="58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82" t="n"/>
      <c r="X400" s="82" t="n"/>
    </row>
    <row r="401" ht="15.75" customHeight="1" s="99">
      <c r="A401" s="58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82" t="n"/>
      <c r="X401" s="82" t="n"/>
    </row>
    <row r="402" ht="15.75" customHeight="1" s="99">
      <c r="A402" s="58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82" t="n"/>
      <c r="X402" s="82" t="n"/>
    </row>
    <row r="403" ht="15.75" customHeight="1" s="99">
      <c r="A403" s="58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82" t="n"/>
      <c r="X403" s="82" t="n"/>
    </row>
    <row r="404" ht="15.75" customHeight="1" s="99">
      <c r="A404" s="58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82" t="n"/>
      <c r="X404" s="82" t="n"/>
    </row>
    <row r="405" ht="15.75" customHeight="1" s="99">
      <c r="A405" s="58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82" t="n"/>
      <c r="X405" s="82" t="n"/>
    </row>
    <row r="406" ht="15.75" customHeight="1" s="99">
      <c r="A406" s="58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82" t="n"/>
      <c r="X406" s="82" t="n"/>
    </row>
    <row r="407" ht="15.75" customHeight="1" s="99">
      <c r="A407" s="58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82" t="n"/>
      <c r="X407" s="82" t="n"/>
    </row>
    <row r="408" ht="15.75" customHeight="1" s="99">
      <c r="A408" s="58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82" t="n"/>
      <c r="X408" s="82" t="n"/>
    </row>
    <row r="409" ht="15.75" customHeight="1" s="99">
      <c r="A409" s="58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82" t="n"/>
      <c r="X409" s="82" t="n"/>
    </row>
    <row r="410" ht="15.75" customHeight="1" s="99">
      <c r="A410" s="58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82" t="n"/>
      <c r="X410" s="82" t="n"/>
    </row>
    <row r="411" ht="15.75" customHeight="1" s="99">
      <c r="A411" s="58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82" t="n"/>
      <c r="X411" s="82" t="n"/>
    </row>
    <row r="412" ht="15.75" customHeight="1" s="99">
      <c r="A412" s="58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82" t="n"/>
      <c r="X412" s="82" t="n"/>
    </row>
    <row r="413" ht="15.75" customHeight="1" s="99">
      <c r="A413" s="58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82" t="n"/>
      <c r="X413" s="82" t="n"/>
    </row>
    <row r="414" ht="15.75" customHeight="1" s="99">
      <c r="A414" s="58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82" t="n"/>
      <c r="X414" s="82" t="n"/>
    </row>
    <row r="415" ht="15.75" customHeight="1" s="99">
      <c r="A415" s="58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82" t="n"/>
      <c r="X415" s="82" t="n"/>
    </row>
    <row r="416" ht="15.75" customHeight="1" s="99">
      <c r="A416" s="58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82" t="n"/>
      <c r="X416" s="82" t="n"/>
    </row>
    <row r="417" ht="15.75" customHeight="1" s="99">
      <c r="A417" s="58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82" t="n"/>
      <c r="X417" s="82" t="n"/>
    </row>
    <row r="418" ht="15.75" customHeight="1" s="99">
      <c r="A418" s="58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82" t="n"/>
      <c r="X418" s="82" t="n"/>
    </row>
    <row r="419" ht="15.75" customHeight="1" s="99">
      <c r="A419" s="58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82" t="n"/>
      <c r="X419" s="82" t="n"/>
    </row>
    <row r="420" ht="15.75" customHeight="1" s="99">
      <c r="A420" s="58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82" t="n"/>
      <c r="X420" s="82" t="n"/>
    </row>
    <row r="421" ht="15.75" customHeight="1" s="99">
      <c r="A421" s="58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82" t="n"/>
      <c r="X421" s="82" t="n"/>
    </row>
    <row r="422" ht="15.75" customHeight="1" s="99">
      <c r="A422" s="58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82" t="n"/>
      <c r="X422" s="82" t="n"/>
    </row>
    <row r="423" ht="15.75" customHeight="1" s="99">
      <c r="A423" s="58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82" t="n"/>
      <c r="X423" s="82" t="n"/>
    </row>
    <row r="424" ht="15.75" customHeight="1" s="99">
      <c r="A424" s="58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82" t="n"/>
      <c r="X424" s="82" t="n"/>
    </row>
    <row r="425" ht="15.75" customHeight="1" s="99">
      <c r="A425" s="58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82" t="n"/>
      <c r="X425" s="82" t="n"/>
    </row>
    <row r="426" ht="15.75" customHeight="1" s="99">
      <c r="A426" s="58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82" t="n"/>
      <c r="X426" s="82" t="n"/>
    </row>
    <row r="427" ht="15.75" customHeight="1" s="99">
      <c r="A427" s="58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82" t="n"/>
      <c r="X427" s="82" t="n"/>
    </row>
    <row r="428" ht="15.75" customHeight="1" s="99">
      <c r="A428" s="58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82" t="n"/>
      <c r="X428" s="82" t="n"/>
    </row>
    <row r="429" ht="15.75" customHeight="1" s="99">
      <c r="A429" s="58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82" t="n"/>
      <c r="X429" s="82" t="n"/>
    </row>
    <row r="430" ht="15.75" customHeight="1" s="99">
      <c r="A430" s="58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82" t="n"/>
      <c r="X430" s="82" t="n"/>
    </row>
    <row r="431" ht="15.75" customHeight="1" s="99">
      <c r="A431" s="58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82" t="n"/>
      <c r="X431" s="82" t="n"/>
    </row>
    <row r="432" ht="15.75" customHeight="1" s="99">
      <c r="A432" s="58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82" t="n"/>
      <c r="X432" s="82" t="n"/>
    </row>
    <row r="433" ht="15.75" customHeight="1" s="99">
      <c r="A433" s="58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82" t="n"/>
      <c r="X433" s="82" t="n"/>
    </row>
    <row r="434" ht="15.75" customHeight="1" s="99">
      <c r="A434" s="58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82" t="n"/>
      <c r="X434" s="82" t="n"/>
    </row>
    <row r="435" ht="15.75" customHeight="1" s="99">
      <c r="A435" s="58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82" t="n"/>
      <c r="X435" s="82" t="n"/>
    </row>
    <row r="436" ht="15.75" customHeight="1" s="99">
      <c r="A436" s="58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82" t="n"/>
      <c r="X436" s="82" t="n"/>
    </row>
    <row r="437" ht="15.75" customHeight="1" s="99">
      <c r="A437" s="58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82" t="n"/>
      <c r="X437" s="82" t="n"/>
    </row>
    <row r="438" ht="15.75" customHeight="1" s="99">
      <c r="A438" s="58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82" t="n"/>
      <c r="X438" s="82" t="n"/>
    </row>
    <row r="439" ht="15.75" customHeight="1" s="99">
      <c r="A439" s="58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82" t="n"/>
      <c r="X439" s="82" t="n"/>
    </row>
    <row r="440" ht="15.75" customHeight="1" s="99">
      <c r="A440" s="58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82" t="n"/>
      <c r="X440" s="82" t="n"/>
    </row>
    <row r="441" ht="15.75" customHeight="1" s="99">
      <c r="A441" s="58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82" t="n"/>
      <c r="X441" s="82" t="n"/>
    </row>
    <row r="442" ht="15.75" customHeight="1" s="99">
      <c r="A442" s="58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82" t="n"/>
      <c r="X442" s="82" t="n"/>
    </row>
    <row r="443" ht="15.75" customHeight="1" s="99">
      <c r="A443" s="58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82" t="n"/>
      <c r="X443" s="82" t="n"/>
    </row>
    <row r="444" ht="15.75" customHeight="1" s="99">
      <c r="A444" s="58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82" t="n"/>
      <c r="X444" s="82" t="n"/>
    </row>
    <row r="445" ht="15.75" customHeight="1" s="99">
      <c r="A445" s="58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82" t="n"/>
      <c r="X445" s="82" t="n"/>
    </row>
    <row r="446" ht="15.75" customHeight="1" s="99">
      <c r="A446" s="58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82" t="n"/>
      <c r="X446" s="82" t="n"/>
    </row>
    <row r="447" ht="15.75" customHeight="1" s="99">
      <c r="A447" s="58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82" t="n"/>
      <c r="X447" s="82" t="n"/>
    </row>
    <row r="448" ht="15.75" customHeight="1" s="99">
      <c r="A448" s="58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82" t="n"/>
      <c r="X448" s="82" t="n"/>
    </row>
    <row r="449" ht="15.75" customHeight="1" s="99">
      <c r="A449" s="58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82" t="n"/>
      <c r="X449" s="82" t="n"/>
    </row>
    <row r="450" ht="15.75" customHeight="1" s="99">
      <c r="A450" s="58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82" t="n"/>
      <c r="X450" s="82" t="n"/>
    </row>
    <row r="451" ht="15.75" customHeight="1" s="99">
      <c r="A451" s="58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82" t="n"/>
      <c r="X451" s="82" t="n"/>
    </row>
    <row r="452" ht="15.75" customHeight="1" s="99">
      <c r="A452" s="58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82" t="n"/>
      <c r="X452" s="82" t="n"/>
    </row>
    <row r="453" ht="15.75" customHeight="1" s="99">
      <c r="A453" s="58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82" t="n"/>
      <c r="X453" s="82" t="n"/>
    </row>
    <row r="454" ht="15.75" customHeight="1" s="99">
      <c r="A454" s="58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82" t="n"/>
      <c r="X454" s="82" t="n"/>
    </row>
    <row r="455" ht="15.75" customHeight="1" s="99">
      <c r="A455" s="58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82" t="n"/>
      <c r="X455" s="82" t="n"/>
    </row>
    <row r="456" ht="15.75" customHeight="1" s="99">
      <c r="A456" s="58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82" t="n"/>
      <c r="X456" s="82" t="n"/>
    </row>
    <row r="457" ht="15.75" customHeight="1" s="99">
      <c r="A457" s="58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82" t="n"/>
      <c r="X457" s="82" t="n"/>
    </row>
    <row r="458" ht="15.75" customHeight="1" s="99">
      <c r="A458" s="58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82" t="n"/>
      <c r="X458" s="82" t="n"/>
    </row>
    <row r="459" ht="15.75" customHeight="1" s="99">
      <c r="A459" s="58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82" t="n"/>
      <c r="X459" s="82" t="n"/>
    </row>
    <row r="460" ht="15.75" customHeight="1" s="99">
      <c r="A460" s="58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82" t="n"/>
      <c r="X460" s="82" t="n"/>
    </row>
    <row r="461" ht="15.75" customHeight="1" s="99">
      <c r="A461" s="58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82" t="n"/>
      <c r="X461" s="82" t="n"/>
    </row>
    <row r="462" ht="15.75" customHeight="1" s="99">
      <c r="A462" s="58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82" t="n"/>
      <c r="X462" s="82" t="n"/>
    </row>
    <row r="463" ht="15.75" customHeight="1" s="99">
      <c r="A463" s="58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82" t="n"/>
      <c r="X463" s="82" t="n"/>
    </row>
    <row r="464" ht="15.75" customHeight="1" s="99">
      <c r="A464" s="58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82" t="n"/>
      <c r="X464" s="82" t="n"/>
    </row>
    <row r="465" ht="15.75" customHeight="1" s="99">
      <c r="A465" s="58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82" t="n"/>
      <c r="X465" s="82" t="n"/>
    </row>
    <row r="466" ht="15.75" customHeight="1" s="99">
      <c r="A466" s="58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82" t="n"/>
      <c r="X466" s="82" t="n"/>
    </row>
    <row r="467" ht="15.75" customHeight="1" s="99">
      <c r="A467" s="58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82" t="n"/>
      <c r="X467" s="82" t="n"/>
    </row>
    <row r="468" ht="15.75" customHeight="1" s="99">
      <c r="A468" s="58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82" t="n"/>
      <c r="X468" s="82" t="n"/>
    </row>
    <row r="469" ht="15.75" customHeight="1" s="99">
      <c r="A469" s="58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82" t="n"/>
      <c r="X469" s="82" t="n"/>
    </row>
    <row r="470" ht="15.75" customHeight="1" s="99">
      <c r="A470" s="58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82" t="n"/>
      <c r="X470" s="82" t="n"/>
    </row>
    <row r="471" ht="15.75" customHeight="1" s="99">
      <c r="A471" s="58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82" t="n"/>
      <c r="X471" s="82" t="n"/>
    </row>
    <row r="472" ht="15.75" customHeight="1" s="99">
      <c r="A472" s="58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82" t="n"/>
      <c r="X472" s="82" t="n"/>
    </row>
    <row r="473" ht="15.75" customHeight="1" s="99">
      <c r="A473" s="58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82" t="n"/>
      <c r="X473" s="82" t="n"/>
    </row>
    <row r="474" ht="15.75" customHeight="1" s="99">
      <c r="A474" s="58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82" t="n"/>
      <c r="X474" s="82" t="n"/>
    </row>
    <row r="475" ht="15.75" customHeight="1" s="99">
      <c r="A475" s="58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82" t="n"/>
      <c r="X475" s="82" t="n"/>
    </row>
    <row r="476" ht="15.75" customHeight="1" s="99">
      <c r="A476" s="58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82" t="n"/>
      <c r="X476" s="82" t="n"/>
    </row>
    <row r="477" ht="15.75" customHeight="1" s="99">
      <c r="A477" s="58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82" t="n"/>
      <c r="X477" s="82" t="n"/>
    </row>
    <row r="478" ht="15.75" customHeight="1" s="99">
      <c r="A478" s="58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82" t="n"/>
      <c r="X478" s="82" t="n"/>
    </row>
    <row r="479" ht="15.75" customHeight="1" s="99">
      <c r="A479" s="58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82" t="n"/>
      <c r="X479" s="82" t="n"/>
    </row>
    <row r="480" ht="15.75" customHeight="1" s="99">
      <c r="A480" s="58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82" t="n"/>
      <c r="X480" s="82" t="n"/>
    </row>
    <row r="481" ht="15.75" customHeight="1" s="99">
      <c r="A481" s="58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82" t="n"/>
      <c r="X481" s="82" t="n"/>
    </row>
    <row r="482" ht="15.75" customHeight="1" s="99">
      <c r="A482" s="58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82" t="n"/>
      <c r="X482" s="82" t="n"/>
    </row>
    <row r="483" ht="15.75" customHeight="1" s="99">
      <c r="A483" s="58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82" t="n"/>
      <c r="X483" s="82" t="n"/>
    </row>
    <row r="484" ht="15.75" customHeight="1" s="99">
      <c r="A484" s="58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82" t="n"/>
      <c r="X484" s="82" t="n"/>
    </row>
    <row r="485" ht="15.75" customHeight="1" s="99">
      <c r="A485" s="58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82" t="n"/>
      <c r="X485" s="82" t="n"/>
    </row>
    <row r="486" ht="15.75" customHeight="1" s="99">
      <c r="A486" s="58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82" t="n"/>
      <c r="X486" s="82" t="n"/>
    </row>
    <row r="487" ht="15.75" customHeight="1" s="99">
      <c r="A487" s="58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82" t="n"/>
      <c r="X487" s="82" t="n"/>
    </row>
    <row r="488" ht="15.75" customHeight="1" s="99">
      <c r="A488" s="58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82" t="n"/>
      <c r="X488" s="82" t="n"/>
    </row>
    <row r="489" ht="15.75" customHeight="1" s="99">
      <c r="A489" s="58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82" t="n"/>
      <c r="X489" s="82" t="n"/>
    </row>
    <row r="490" ht="15.75" customHeight="1" s="99">
      <c r="A490" s="58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82" t="n"/>
      <c r="X490" s="82" t="n"/>
    </row>
    <row r="491" ht="15.75" customHeight="1" s="99">
      <c r="A491" s="58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82" t="n"/>
      <c r="X491" s="82" t="n"/>
    </row>
    <row r="492" ht="15.75" customHeight="1" s="99">
      <c r="A492" s="58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82" t="n"/>
      <c r="X492" s="82" t="n"/>
    </row>
    <row r="493" ht="15.75" customHeight="1" s="99">
      <c r="A493" s="58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82" t="n"/>
      <c r="X493" s="82" t="n"/>
    </row>
    <row r="494" ht="15.75" customHeight="1" s="99">
      <c r="A494" s="58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82" t="n"/>
      <c r="X494" s="82" t="n"/>
    </row>
    <row r="495" ht="15.75" customHeight="1" s="99">
      <c r="A495" s="58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82" t="n"/>
      <c r="X495" s="82" t="n"/>
    </row>
    <row r="496" ht="15.75" customHeight="1" s="99">
      <c r="A496" s="58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82" t="n"/>
      <c r="X496" s="82" t="n"/>
    </row>
    <row r="497" ht="15.75" customHeight="1" s="99">
      <c r="A497" s="58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82" t="n"/>
      <c r="X497" s="82" t="n"/>
    </row>
    <row r="498" ht="15.75" customHeight="1" s="99">
      <c r="A498" s="58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82" t="n"/>
      <c r="X498" s="82" t="n"/>
    </row>
    <row r="499" ht="15.75" customHeight="1" s="99">
      <c r="A499" s="58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82" t="n"/>
      <c r="X499" s="82" t="n"/>
    </row>
    <row r="500" ht="15.75" customHeight="1" s="99">
      <c r="A500" s="58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82" t="n"/>
      <c r="X500" s="82" t="n"/>
    </row>
    <row r="501" ht="15.75" customHeight="1" s="99">
      <c r="A501" s="58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82" t="n"/>
      <c r="X501" s="82" t="n"/>
    </row>
    <row r="502" ht="15.75" customHeight="1" s="99">
      <c r="A502" s="58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82" t="n"/>
      <c r="X502" s="82" t="n"/>
    </row>
    <row r="503" ht="15.75" customHeight="1" s="99">
      <c r="A503" s="58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82" t="n"/>
      <c r="X503" s="82" t="n"/>
    </row>
    <row r="504" ht="15.75" customHeight="1" s="99">
      <c r="A504" s="58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82" t="n"/>
      <c r="X504" s="82" t="n"/>
    </row>
    <row r="505" ht="15.75" customHeight="1" s="99">
      <c r="A505" s="58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82" t="n"/>
      <c r="X505" s="82" t="n"/>
    </row>
    <row r="506" ht="15.75" customHeight="1" s="99">
      <c r="A506" s="58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82" t="n"/>
      <c r="X506" s="82" t="n"/>
    </row>
    <row r="507" ht="15.75" customHeight="1" s="99">
      <c r="A507" s="58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82" t="n"/>
      <c r="X507" s="82" t="n"/>
    </row>
    <row r="508" ht="15.75" customHeight="1" s="99">
      <c r="A508" s="58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82" t="n"/>
      <c r="X508" s="82" t="n"/>
    </row>
    <row r="509" ht="15.75" customHeight="1" s="99">
      <c r="A509" s="58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82" t="n"/>
      <c r="X509" s="82" t="n"/>
    </row>
    <row r="510" ht="15.75" customHeight="1" s="99">
      <c r="A510" s="58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82" t="n"/>
      <c r="X510" s="82" t="n"/>
    </row>
    <row r="511" ht="15.75" customHeight="1" s="99">
      <c r="A511" s="58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82" t="n"/>
      <c r="X511" s="82" t="n"/>
    </row>
    <row r="512" ht="15.75" customHeight="1" s="99">
      <c r="A512" s="58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82" t="n"/>
      <c r="X512" s="82" t="n"/>
    </row>
    <row r="513" ht="15.75" customHeight="1" s="99">
      <c r="A513" s="58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82" t="n"/>
      <c r="X513" s="82" t="n"/>
    </row>
    <row r="514" ht="15.75" customHeight="1" s="99">
      <c r="A514" s="58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82" t="n"/>
      <c r="X514" s="82" t="n"/>
    </row>
    <row r="515" ht="15.75" customHeight="1" s="99">
      <c r="A515" s="58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82" t="n"/>
      <c r="X515" s="82" t="n"/>
    </row>
    <row r="516" ht="15.75" customHeight="1" s="99">
      <c r="A516" s="58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82" t="n"/>
      <c r="X516" s="82" t="n"/>
    </row>
    <row r="517" ht="15.75" customHeight="1" s="99">
      <c r="A517" s="58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82" t="n"/>
      <c r="X517" s="82" t="n"/>
    </row>
    <row r="518" ht="15.75" customHeight="1" s="99">
      <c r="A518" s="58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82" t="n"/>
      <c r="X518" s="82" t="n"/>
    </row>
    <row r="519" ht="15.75" customHeight="1" s="99">
      <c r="A519" s="58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82" t="n"/>
      <c r="X519" s="82" t="n"/>
    </row>
    <row r="520" ht="15.75" customHeight="1" s="99">
      <c r="A520" s="58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82" t="n"/>
      <c r="X520" s="82" t="n"/>
    </row>
    <row r="521" ht="15.75" customHeight="1" s="99">
      <c r="A521" s="58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82" t="n"/>
      <c r="X521" s="82" t="n"/>
    </row>
    <row r="522" ht="15.75" customHeight="1" s="99">
      <c r="A522" s="58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82" t="n"/>
      <c r="X522" s="82" t="n"/>
    </row>
    <row r="523" ht="15.75" customHeight="1" s="99">
      <c r="A523" s="58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82" t="n"/>
      <c r="X523" s="82" t="n"/>
    </row>
    <row r="524" ht="15.75" customHeight="1" s="99">
      <c r="A524" s="58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82" t="n"/>
      <c r="X524" s="82" t="n"/>
    </row>
    <row r="525" ht="15.75" customHeight="1" s="99">
      <c r="A525" s="58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82" t="n"/>
      <c r="X525" s="82" t="n"/>
    </row>
    <row r="526" ht="15.75" customHeight="1" s="99">
      <c r="A526" s="58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82" t="n"/>
      <c r="X526" s="82" t="n"/>
    </row>
    <row r="527" ht="15.75" customHeight="1" s="99">
      <c r="A527" s="58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82" t="n"/>
      <c r="X527" s="82" t="n"/>
    </row>
    <row r="528" ht="15.75" customHeight="1" s="99">
      <c r="A528" s="58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82" t="n"/>
      <c r="X528" s="82" t="n"/>
    </row>
    <row r="529" ht="15.75" customHeight="1" s="99">
      <c r="A529" s="58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82" t="n"/>
      <c r="X529" s="82" t="n"/>
    </row>
    <row r="530" ht="15.75" customHeight="1" s="99">
      <c r="A530" s="58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82" t="n"/>
      <c r="X530" s="82" t="n"/>
    </row>
    <row r="531" ht="15.75" customHeight="1" s="99">
      <c r="A531" s="58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82" t="n"/>
      <c r="X531" s="82" t="n"/>
    </row>
    <row r="532" ht="15.75" customHeight="1" s="99">
      <c r="A532" s="58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82" t="n"/>
      <c r="X532" s="82" t="n"/>
    </row>
    <row r="533" ht="15.75" customHeight="1" s="99">
      <c r="A533" s="58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82" t="n"/>
      <c r="X533" s="82" t="n"/>
    </row>
    <row r="534" ht="15.75" customHeight="1" s="99">
      <c r="A534" s="58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82" t="n"/>
      <c r="X534" s="82" t="n"/>
    </row>
    <row r="535" ht="15.75" customHeight="1" s="99">
      <c r="A535" s="58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82" t="n"/>
      <c r="X535" s="82" t="n"/>
    </row>
    <row r="536" ht="15.75" customHeight="1" s="99">
      <c r="A536" s="58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82" t="n"/>
      <c r="X536" s="82" t="n"/>
    </row>
    <row r="537" ht="15.75" customHeight="1" s="99">
      <c r="A537" s="58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82" t="n"/>
      <c r="X537" s="82" t="n"/>
    </row>
    <row r="538" ht="15.75" customHeight="1" s="99">
      <c r="A538" s="58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82" t="n"/>
      <c r="X538" s="82" t="n"/>
    </row>
    <row r="539" ht="15.75" customHeight="1" s="99">
      <c r="A539" s="58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82" t="n"/>
      <c r="X539" s="82" t="n"/>
    </row>
    <row r="540" ht="15.75" customHeight="1" s="99">
      <c r="A540" s="58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82" t="n"/>
      <c r="X540" s="82" t="n"/>
    </row>
    <row r="541" ht="15.75" customHeight="1" s="99">
      <c r="A541" s="58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82" t="n"/>
      <c r="X541" s="82" t="n"/>
    </row>
    <row r="542" ht="15.75" customHeight="1" s="99">
      <c r="A542" s="58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82" t="n"/>
      <c r="X542" s="82" t="n"/>
    </row>
    <row r="543" ht="15.75" customHeight="1" s="99">
      <c r="A543" s="58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82" t="n"/>
      <c r="X543" s="82" t="n"/>
    </row>
    <row r="544" ht="15.75" customHeight="1" s="99">
      <c r="A544" s="58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82" t="n"/>
      <c r="X544" s="82" t="n"/>
    </row>
    <row r="545" ht="15.75" customHeight="1" s="99">
      <c r="A545" s="58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82" t="n"/>
      <c r="X545" s="82" t="n"/>
    </row>
    <row r="546" ht="15.75" customHeight="1" s="99">
      <c r="A546" s="58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82" t="n"/>
      <c r="X546" s="82" t="n"/>
    </row>
    <row r="547" ht="15.75" customHeight="1" s="99">
      <c r="A547" s="58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82" t="n"/>
      <c r="X547" s="82" t="n"/>
    </row>
    <row r="548" ht="15.75" customHeight="1" s="99">
      <c r="A548" s="58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82" t="n"/>
      <c r="X548" s="82" t="n"/>
    </row>
    <row r="549" ht="15.75" customHeight="1" s="99">
      <c r="A549" s="58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82" t="n"/>
      <c r="X549" s="82" t="n"/>
    </row>
    <row r="550" ht="15.75" customHeight="1" s="99">
      <c r="A550" s="58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82" t="n"/>
      <c r="X550" s="82" t="n"/>
    </row>
    <row r="551" ht="15.75" customHeight="1" s="99">
      <c r="A551" s="58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82" t="n"/>
      <c r="X551" s="82" t="n"/>
    </row>
    <row r="552" ht="15.75" customHeight="1" s="99">
      <c r="A552" s="58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82" t="n"/>
      <c r="X552" s="82" t="n"/>
    </row>
    <row r="553" ht="15.75" customHeight="1" s="99">
      <c r="A553" s="58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82" t="n"/>
      <c r="X553" s="82" t="n"/>
    </row>
    <row r="554" ht="15.75" customHeight="1" s="99">
      <c r="A554" s="58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82" t="n"/>
      <c r="X554" s="82" t="n"/>
    </row>
    <row r="555" ht="15.75" customHeight="1" s="99">
      <c r="A555" s="58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82" t="n"/>
      <c r="X555" s="82" t="n"/>
    </row>
    <row r="556" ht="15.75" customHeight="1" s="99">
      <c r="A556" s="58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82" t="n"/>
      <c r="X556" s="82" t="n"/>
    </row>
    <row r="557" ht="15.75" customHeight="1" s="99">
      <c r="A557" s="58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82" t="n"/>
      <c r="X557" s="82" t="n"/>
    </row>
    <row r="558" ht="15.75" customHeight="1" s="99">
      <c r="A558" s="58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82" t="n"/>
      <c r="X558" s="82" t="n"/>
    </row>
    <row r="559" ht="15.75" customHeight="1" s="99">
      <c r="A559" s="58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82" t="n"/>
      <c r="X559" s="82" t="n"/>
    </row>
    <row r="560" ht="15.75" customHeight="1" s="99">
      <c r="A560" s="58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82" t="n"/>
      <c r="X560" s="82" t="n"/>
    </row>
    <row r="561" ht="15.75" customHeight="1" s="99">
      <c r="A561" s="58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82" t="n"/>
      <c r="X561" s="82" t="n"/>
    </row>
    <row r="562" ht="15.75" customHeight="1" s="99">
      <c r="A562" s="58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82" t="n"/>
      <c r="X562" s="82" t="n"/>
    </row>
    <row r="563" ht="15.75" customHeight="1" s="99">
      <c r="A563" s="58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82" t="n"/>
      <c r="X563" s="82" t="n"/>
    </row>
    <row r="564" ht="15.75" customHeight="1" s="99">
      <c r="A564" s="58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82" t="n"/>
      <c r="X564" s="82" t="n"/>
    </row>
    <row r="565" ht="15.75" customHeight="1" s="99">
      <c r="A565" s="58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82" t="n"/>
      <c r="X565" s="82" t="n"/>
    </row>
    <row r="566" ht="15.75" customHeight="1" s="99">
      <c r="A566" s="58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82" t="n"/>
      <c r="X566" s="82" t="n"/>
    </row>
    <row r="567" ht="15.75" customHeight="1" s="99">
      <c r="A567" s="58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82" t="n"/>
      <c r="X567" s="82" t="n"/>
    </row>
    <row r="568" ht="15.75" customHeight="1" s="99">
      <c r="A568" s="58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82" t="n"/>
      <c r="X568" s="82" t="n"/>
    </row>
    <row r="569" ht="15.75" customHeight="1" s="99">
      <c r="A569" s="58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82" t="n"/>
      <c r="X569" s="82" t="n"/>
    </row>
    <row r="570" ht="15.75" customHeight="1" s="99">
      <c r="A570" s="58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82" t="n"/>
      <c r="X570" s="82" t="n"/>
    </row>
    <row r="571" ht="15.75" customHeight="1" s="99">
      <c r="A571" s="58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82" t="n"/>
      <c r="X571" s="82" t="n"/>
    </row>
    <row r="572" ht="15.75" customHeight="1" s="99">
      <c r="A572" s="58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82" t="n"/>
      <c r="X572" s="82" t="n"/>
    </row>
    <row r="573" ht="15.75" customHeight="1" s="99">
      <c r="A573" s="58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82" t="n"/>
      <c r="X573" s="82" t="n"/>
    </row>
    <row r="574" ht="15.75" customHeight="1" s="99">
      <c r="A574" s="58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82" t="n"/>
      <c r="X574" s="82" t="n"/>
    </row>
    <row r="575" ht="15.75" customHeight="1" s="99">
      <c r="A575" s="58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82" t="n"/>
      <c r="X575" s="82" t="n"/>
    </row>
    <row r="576" ht="15.75" customHeight="1" s="99">
      <c r="A576" s="58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82" t="n"/>
      <c r="X576" s="82" t="n"/>
    </row>
    <row r="577" ht="15.75" customHeight="1" s="99">
      <c r="A577" s="58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82" t="n"/>
      <c r="X577" s="82" t="n"/>
    </row>
    <row r="578" ht="15.75" customHeight="1" s="99">
      <c r="A578" s="58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82" t="n"/>
      <c r="X578" s="82" t="n"/>
    </row>
    <row r="579" ht="15.75" customHeight="1" s="99">
      <c r="A579" s="58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82" t="n"/>
      <c r="X579" s="82" t="n"/>
    </row>
    <row r="580" ht="15.75" customHeight="1" s="99">
      <c r="A580" s="58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82" t="n"/>
      <c r="X580" s="82" t="n"/>
    </row>
    <row r="581" ht="15.75" customHeight="1" s="99">
      <c r="A581" s="58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82" t="n"/>
      <c r="X581" s="82" t="n"/>
    </row>
    <row r="582" ht="15.75" customHeight="1" s="99">
      <c r="A582" s="58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82" t="n"/>
      <c r="X582" s="82" t="n"/>
    </row>
    <row r="583" ht="15.75" customHeight="1" s="99">
      <c r="A583" s="58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82" t="n"/>
      <c r="X583" s="82" t="n"/>
    </row>
    <row r="584" ht="15.75" customHeight="1" s="99">
      <c r="A584" s="58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82" t="n"/>
      <c r="X584" s="82" t="n"/>
    </row>
    <row r="585" ht="15.75" customHeight="1" s="99">
      <c r="A585" s="58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82" t="n"/>
      <c r="X585" s="82" t="n"/>
    </row>
    <row r="586" ht="15.75" customHeight="1" s="99">
      <c r="A586" s="58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82" t="n"/>
      <c r="X586" s="82" t="n"/>
    </row>
    <row r="587" ht="15.75" customHeight="1" s="99">
      <c r="A587" s="58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82" t="n"/>
      <c r="X587" s="82" t="n"/>
    </row>
    <row r="588" ht="15.75" customHeight="1" s="99">
      <c r="A588" s="58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82" t="n"/>
      <c r="X588" s="82" t="n"/>
    </row>
    <row r="589" ht="15.75" customHeight="1" s="99">
      <c r="A589" s="58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82" t="n"/>
      <c r="X589" s="82" t="n"/>
    </row>
    <row r="590" ht="15.75" customHeight="1" s="99">
      <c r="A590" s="58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82" t="n"/>
      <c r="X590" s="82" t="n"/>
    </row>
    <row r="591" ht="15.75" customHeight="1" s="99">
      <c r="A591" s="58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82" t="n"/>
      <c r="X591" s="82" t="n"/>
    </row>
    <row r="592" ht="15.75" customHeight="1" s="99">
      <c r="A592" s="58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82" t="n"/>
      <c r="X592" s="82" t="n"/>
    </row>
    <row r="593" ht="15.75" customHeight="1" s="99">
      <c r="A593" s="58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82" t="n"/>
      <c r="X593" s="82" t="n"/>
    </row>
    <row r="594" ht="15.75" customHeight="1" s="99">
      <c r="A594" s="58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82" t="n"/>
      <c r="X594" s="82" t="n"/>
    </row>
    <row r="595" ht="15.75" customHeight="1" s="99">
      <c r="A595" s="58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82" t="n"/>
      <c r="X595" s="82" t="n"/>
    </row>
    <row r="596" ht="15.75" customHeight="1" s="99">
      <c r="A596" s="58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82" t="n"/>
      <c r="X596" s="82" t="n"/>
    </row>
    <row r="597" ht="15.75" customHeight="1" s="99">
      <c r="A597" s="58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82" t="n"/>
      <c r="X597" s="82" t="n"/>
    </row>
    <row r="598" ht="15.75" customHeight="1" s="99">
      <c r="A598" s="58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82" t="n"/>
      <c r="X598" s="82" t="n"/>
    </row>
    <row r="599" ht="15.75" customHeight="1" s="99">
      <c r="A599" s="58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82" t="n"/>
      <c r="X599" s="82" t="n"/>
    </row>
    <row r="600" ht="15.75" customHeight="1" s="99">
      <c r="A600" s="58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82" t="n"/>
      <c r="X600" s="82" t="n"/>
    </row>
    <row r="601" ht="15.75" customHeight="1" s="99">
      <c r="A601" s="58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82" t="n"/>
      <c r="X601" s="82" t="n"/>
    </row>
    <row r="602" ht="15.75" customHeight="1" s="99">
      <c r="A602" s="58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82" t="n"/>
      <c r="X602" s="82" t="n"/>
    </row>
    <row r="603" ht="15.75" customHeight="1" s="99">
      <c r="A603" s="58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82" t="n"/>
      <c r="X603" s="82" t="n"/>
    </row>
    <row r="604" ht="15.75" customHeight="1" s="99">
      <c r="A604" s="58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82" t="n"/>
      <c r="X604" s="82" t="n"/>
    </row>
    <row r="605" ht="15.75" customHeight="1" s="99">
      <c r="A605" s="58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82" t="n"/>
      <c r="X605" s="82" t="n"/>
    </row>
    <row r="606" ht="15.75" customHeight="1" s="99">
      <c r="A606" s="58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82" t="n"/>
      <c r="X606" s="82" t="n"/>
    </row>
    <row r="607" ht="15.75" customHeight="1" s="99">
      <c r="A607" s="58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82" t="n"/>
      <c r="X607" s="82" t="n"/>
    </row>
    <row r="608" ht="15.75" customHeight="1" s="99">
      <c r="A608" s="58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82" t="n"/>
      <c r="X608" s="82" t="n"/>
    </row>
    <row r="609" ht="15.75" customHeight="1" s="99">
      <c r="A609" s="58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82" t="n"/>
      <c r="X609" s="82" t="n"/>
    </row>
    <row r="610" ht="15.75" customHeight="1" s="99">
      <c r="A610" s="58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82" t="n"/>
      <c r="X610" s="82" t="n"/>
    </row>
    <row r="611" ht="15.75" customHeight="1" s="99">
      <c r="A611" s="58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82" t="n"/>
      <c r="X611" s="82" t="n"/>
    </row>
    <row r="612" ht="15.75" customHeight="1" s="99">
      <c r="A612" s="58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82" t="n"/>
      <c r="X612" s="82" t="n"/>
    </row>
    <row r="613" ht="15.75" customHeight="1" s="99">
      <c r="A613" s="58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82" t="n"/>
      <c r="X613" s="82" t="n"/>
    </row>
    <row r="614" ht="15.75" customHeight="1" s="99">
      <c r="A614" s="58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82" t="n"/>
      <c r="X614" s="82" t="n"/>
    </row>
    <row r="615" ht="15.75" customHeight="1" s="99">
      <c r="A615" s="58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82" t="n"/>
      <c r="X615" s="82" t="n"/>
    </row>
    <row r="616" ht="15.75" customHeight="1" s="99">
      <c r="A616" s="58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82" t="n"/>
      <c r="X616" s="82" t="n"/>
    </row>
    <row r="617" ht="15.75" customHeight="1" s="99">
      <c r="A617" s="58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82" t="n"/>
      <c r="X617" s="82" t="n"/>
    </row>
    <row r="618" ht="15.75" customHeight="1" s="99">
      <c r="A618" s="58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82" t="n"/>
      <c r="X618" s="82" t="n"/>
    </row>
    <row r="619" ht="15.75" customHeight="1" s="99">
      <c r="A619" s="58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82" t="n"/>
      <c r="X619" s="82" t="n"/>
    </row>
    <row r="620" ht="15.75" customHeight="1" s="99">
      <c r="A620" s="58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82" t="n"/>
      <c r="X620" s="82" t="n"/>
    </row>
    <row r="621" ht="15.75" customHeight="1" s="99">
      <c r="A621" s="58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82" t="n"/>
      <c r="X621" s="82" t="n"/>
    </row>
    <row r="622" ht="15.75" customHeight="1" s="99">
      <c r="A622" s="58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82" t="n"/>
      <c r="X622" s="82" t="n"/>
    </row>
    <row r="623" ht="15.75" customHeight="1" s="99">
      <c r="A623" s="58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82" t="n"/>
      <c r="X623" s="82" t="n"/>
    </row>
    <row r="624" ht="15.75" customHeight="1" s="99">
      <c r="A624" s="58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82" t="n"/>
      <c r="X624" s="82" t="n"/>
    </row>
    <row r="625" ht="15.75" customHeight="1" s="99">
      <c r="A625" s="58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82" t="n"/>
      <c r="X625" s="82" t="n"/>
    </row>
    <row r="626" ht="15.75" customHeight="1" s="99">
      <c r="A626" s="58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82" t="n"/>
      <c r="X626" s="82" t="n"/>
    </row>
    <row r="627" ht="15.75" customHeight="1" s="99">
      <c r="A627" s="58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82" t="n"/>
      <c r="X627" s="82" t="n"/>
    </row>
    <row r="628" ht="15.75" customHeight="1" s="99">
      <c r="A628" s="58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82" t="n"/>
      <c r="X628" s="82" t="n"/>
    </row>
    <row r="629" ht="15.75" customHeight="1" s="99">
      <c r="A629" s="58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82" t="n"/>
      <c r="X629" s="82" t="n"/>
    </row>
    <row r="630" ht="15.75" customHeight="1" s="99">
      <c r="A630" s="58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82" t="n"/>
      <c r="X630" s="82" t="n"/>
    </row>
    <row r="631" ht="15.75" customHeight="1" s="99">
      <c r="A631" s="58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82" t="n"/>
      <c r="X631" s="82" t="n"/>
    </row>
    <row r="632" ht="15.75" customHeight="1" s="99">
      <c r="A632" s="58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82" t="n"/>
      <c r="X632" s="82" t="n"/>
    </row>
    <row r="633" ht="15.75" customHeight="1" s="99">
      <c r="A633" s="58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82" t="n"/>
      <c r="X633" s="82" t="n"/>
    </row>
    <row r="634" ht="15.75" customHeight="1" s="99">
      <c r="A634" s="58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82" t="n"/>
      <c r="X634" s="82" t="n"/>
    </row>
    <row r="635" ht="15.75" customHeight="1" s="99">
      <c r="A635" s="58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82" t="n"/>
      <c r="X635" s="82" t="n"/>
    </row>
    <row r="636" ht="15.75" customHeight="1" s="99">
      <c r="A636" s="58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82" t="n"/>
      <c r="X636" s="82" t="n"/>
    </row>
    <row r="637" ht="15.75" customHeight="1" s="99">
      <c r="A637" s="58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82" t="n"/>
      <c r="X637" s="82" t="n"/>
    </row>
    <row r="638" ht="15.75" customHeight="1" s="99">
      <c r="A638" s="58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82" t="n"/>
      <c r="X638" s="82" t="n"/>
    </row>
    <row r="639" ht="15.75" customHeight="1" s="99">
      <c r="A639" s="58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82" t="n"/>
      <c r="X639" s="82" t="n"/>
    </row>
    <row r="640" ht="15.75" customHeight="1" s="99">
      <c r="A640" s="58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82" t="n"/>
      <c r="X640" s="82" t="n"/>
    </row>
    <row r="641" ht="15.75" customHeight="1" s="99">
      <c r="A641" s="58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82" t="n"/>
      <c r="X641" s="82" t="n"/>
    </row>
    <row r="642" ht="15.75" customHeight="1" s="99">
      <c r="A642" s="58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82" t="n"/>
      <c r="X642" s="82" t="n"/>
    </row>
    <row r="643" ht="15.75" customHeight="1" s="99">
      <c r="A643" s="58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82" t="n"/>
      <c r="X643" s="82" t="n"/>
    </row>
    <row r="644" ht="15.75" customHeight="1" s="99">
      <c r="A644" s="58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82" t="n"/>
      <c r="X644" s="82" t="n"/>
    </row>
    <row r="645" ht="15.75" customHeight="1" s="99">
      <c r="A645" s="58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82" t="n"/>
      <c r="X645" s="82" t="n"/>
    </row>
    <row r="646" ht="15.75" customHeight="1" s="99">
      <c r="A646" s="58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82" t="n"/>
      <c r="X646" s="82" t="n"/>
    </row>
    <row r="647" ht="15.75" customHeight="1" s="99">
      <c r="A647" s="58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82" t="n"/>
      <c r="X647" s="82" t="n"/>
    </row>
    <row r="648" ht="15.75" customHeight="1" s="99">
      <c r="A648" s="58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82" t="n"/>
      <c r="X648" s="82" t="n"/>
    </row>
    <row r="649" ht="15.75" customHeight="1" s="99">
      <c r="A649" s="58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82" t="n"/>
      <c r="X649" s="82" t="n"/>
    </row>
    <row r="650" ht="15.75" customHeight="1" s="99">
      <c r="A650" s="58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82" t="n"/>
      <c r="X650" s="82" t="n"/>
    </row>
    <row r="651" ht="15.75" customHeight="1" s="99">
      <c r="A651" s="58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82" t="n"/>
      <c r="X651" s="82" t="n"/>
    </row>
    <row r="652" ht="15.75" customHeight="1" s="99">
      <c r="A652" s="58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82" t="n"/>
      <c r="X652" s="82" t="n"/>
    </row>
    <row r="653" ht="15.75" customHeight="1" s="99">
      <c r="A653" s="58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82" t="n"/>
      <c r="X653" s="82" t="n"/>
    </row>
    <row r="654" ht="15.75" customHeight="1" s="99">
      <c r="A654" s="58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82" t="n"/>
      <c r="X654" s="82" t="n"/>
    </row>
    <row r="655" ht="15.75" customHeight="1" s="99">
      <c r="A655" s="58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82" t="n"/>
      <c r="X655" s="82" t="n"/>
    </row>
    <row r="656" ht="15.75" customHeight="1" s="99">
      <c r="A656" s="58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82" t="n"/>
      <c r="X656" s="82" t="n"/>
    </row>
    <row r="657" ht="15.75" customHeight="1" s="99">
      <c r="A657" s="58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82" t="n"/>
      <c r="X657" s="82" t="n"/>
    </row>
    <row r="658" ht="15.75" customHeight="1" s="99">
      <c r="A658" s="58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82" t="n"/>
      <c r="X658" s="82" t="n"/>
    </row>
    <row r="659" ht="15.75" customHeight="1" s="99">
      <c r="A659" s="58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82" t="n"/>
      <c r="X659" s="82" t="n"/>
    </row>
    <row r="660" ht="15.75" customHeight="1" s="99">
      <c r="A660" s="58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82" t="n"/>
      <c r="X660" s="82" t="n"/>
    </row>
    <row r="661" ht="15.75" customHeight="1" s="99">
      <c r="A661" s="58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82" t="n"/>
      <c r="X661" s="82" t="n"/>
    </row>
    <row r="662" ht="15.75" customHeight="1" s="99">
      <c r="A662" s="58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82" t="n"/>
      <c r="X662" s="82" t="n"/>
    </row>
    <row r="663" ht="15.75" customHeight="1" s="99">
      <c r="A663" s="58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82" t="n"/>
      <c r="X663" s="82" t="n"/>
    </row>
    <row r="664" ht="15.75" customHeight="1" s="99">
      <c r="A664" s="58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82" t="n"/>
      <c r="X664" s="82" t="n"/>
    </row>
    <row r="665" ht="15.75" customHeight="1" s="99">
      <c r="A665" s="58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82" t="n"/>
      <c r="X665" s="82" t="n"/>
    </row>
    <row r="666" ht="15.75" customHeight="1" s="99">
      <c r="A666" s="58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82" t="n"/>
      <c r="X666" s="82" t="n"/>
    </row>
    <row r="667" ht="15.75" customHeight="1" s="99">
      <c r="A667" s="58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82" t="n"/>
      <c r="X667" s="82" t="n"/>
    </row>
    <row r="668" ht="15.75" customHeight="1" s="99">
      <c r="A668" s="58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82" t="n"/>
      <c r="X668" s="82" t="n"/>
    </row>
    <row r="669" ht="15.75" customHeight="1" s="99">
      <c r="A669" s="58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82" t="n"/>
      <c r="X669" s="82" t="n"/>
    </row>
    <row r="670" ht="15.75" customHeight="1" s="99">
      <c r="A670" s="58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82" t="n"/>
      <c r="X670" s="82" t="n"/>
    </row>
    <row r="671" ht="15.75" customHeight="1" s="99">
      <c r="A671" s="58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82" t="n"/>
      <c r="X671" s="82" t="n"/>
    </row>
    <row r="672" ht="15.75" customHeight="1" s="99">
      <c r="A672" s="58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82" t="n"/>
      <c r="X672" s="82" t="n"/>
    </row>
    <row r="673" ht="15.75" customHeight="1" s="99">
      <c r="A673" s="58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82" t="n"/>
      <c r="X673" s="82" t="n"/>
    </row>
    <row r="674" ht="15.75" customHeight="1" s="99">
      <c r="A674" s="58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82" t="n"/>
      <c r="X674" s="82" t="n"/>
    </row>
    <row r="675" ht="15.75" customHeight="1" s="99">
      <c r="A675" s="58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82" t="n"/>
      <c r="X675" s="82" t="n"/>
    </row>
    <row r="676" ht="15.75" customHeight="1" s="99">
      <c r="A676" s="58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82" t="n"/>
      <c r="X676" s="82" t="n"/>
    </row>
    <row r="677" ht="15.75" customHeight="1" s="99">
      <c r="A677" s="58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82" t="n"/>
      <c r="X677" s="82" t="n"/>
    </row>
    <row r="678" ht="15.75" customHeight="1" s="99">
      <c r="A678" s="58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82" t="n"/>
      <c r="X678" s="82" t="n"/>
    </row>
    <row r="679" ht="15.75" customHeight="1" s="99">
      <c r="A679" s="58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82" t="n"/>
      <c r="X679" s="82" t="n"/>
    </row>
    <row r="680" ht="15.75" customHeight="1" s="99">
      <c r="A680" s="58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82" t="n"/>
      <c r="X680" s="82" t="n"/>
    </row>
    <row r="681" ht="15.75" customHeight="1" s="99">
      <c r="A681" s="58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82" t="n"/>
      <c r="X681" s="82" t="n"/>
    </row>
    <row r="682" ht="15.75" customHeight="1" s="99">
      <c r="A682" s="58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82" t="n"/>
      <c r="X682" s="82" t="n"/>
    </row>
    <row r="683" ht="15.75" customHeight="1" s="99">
      <c r="A683" s="58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82" t="n"/>
      <c r="X683" s="82" t="n"/>
    </row>
    <row r="684" ht="15.75" customHeight="1" s="99">
      <c r="A684" s="58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82" t="n"/>
      <c r="X684" s="82" t="n"/>
    </row>
    <row r="685" ht="15.75" customHeight="1" s="99">
      <c r="A685" s="58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82" t="n"/>
      <c r="X685" s="82" t="n"/>
    </row>
    <row r="686" ht="15.75" customHeight="1" s="99">
      <c r="A686" s="58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82" t="n"/>
      <c r="X686" s="82" t="n"/>
    </row>
    <row r="687" ht="15.75" customHeight="1" s="99">
      <c r="A687" s="58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82" t="n"/>
      <c r="X687" s="82" t="n"/>
    </row>
    <row r="688" ht="15.75" customHeight="1" s="99">
      <c r="A688" s="58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82" t="n"/>
      <c r="X688" s="82" t="n"/>
    </row>
    <row r="689" ht="15.75" customHeight="1" s="99">
      <c r="A689" s="58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82" t="n"/>
      <c r="X689" s="82" t="n"/>
    </row>
    <row r="690" ht="15.75" customHeight="1" s="99">
      <c r="A690" s="58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82" t="n"/>
      <c r="X690" s="82" t="n"/>
    </row>
    <row r="691" ht="15.75" customHeight="1" s="99">
      <c r="A691" s="58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82" t="n"/>
      <c r="X691" s="82" t="n"/>
    </row>
    <row r="692" ht="15.75" customHeight="1" s="99">
      <c r="A692" s="58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82" t="n"/>
      <c r="X692" s="82" t="n"/>
    </row>
    <row r="693" ht="15.75" customHeight="1" s="99">
      <c r="A693" s="58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82" t="n"/>
      <c r="X693" s="82" t="n"/>
    </row>
    <row r="694" ht="15.75" customHeight="1" s="99">
      <c r="A694" s="58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82" t="n"/>
      <c r="X694" s="82" t="n"/>
    </row>
    <row r="695" ht="15.75" customHeight="1" s="99">
      <c r="A695" s="58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82" t="n"/>
      <c r="X695" s="82" t="n"/>
    </row>
    <row r="696" ht="15.75" customHeight="1" s="99">
      <c r="A696" s="58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82" t="n"/>
      <c r="X696" s="82" t="n"/>
    </row>
    <row r="697" ht="15.75" customHeight="1" s="99">
      <c r="A697" s="58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82" t="n"/>
      <c r="X697" s="82" t="n"/>
    </row>
    <row r="698" ht="15.75" customHeight="1" s="99">
      <c r="A698" s="58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82" t="n"/>
      <c r="X698" s="82" t="n"/>
    </row>
    <row r="699" ht="15.75" customHeight="1" s="99">
      <c r="A699" s="58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82" t="n"/>
      <c r="X699" s="82" t="n"/>
    </row>
    <row r="700" ht="15.75" customHeight="1" s="99">
      <c r="A700" s="58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82" t="n"/>
      <c r="X700" s="82" t="n"/>
    </row>
    <row r="701" ht="15.75" customHeight="1" s="99">
      <c r="A701" s="58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82" t="n"/>
      <c r="X701" s="82" t="n"/>
    </row>
    <row r="702" ht="15.75" customHeight="1" s="99">
      <c r="A702" s="58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82" t="n"/>
      <c r="X702" s="82" t="n"/>
    </row>
    <row r="703" ht="15.75" customHeight="1" s="99">
      <c r="A703" s="58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82" t="n"/>
      <c r="X703" s="82" t="n"/>
    </row>
    <row r="704" ht="15.75" customHeight="1" s="99">
      <c r="A704" s="58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82" t="n"/>
      <c r="X704" s="82" t="n"/>
    </row>
    <row r="705" ht="15.75" customHeight="1" s="99">
      <c r="A705" s="58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82" t="n"/>
      <c r="X705" s="82" t="n"/>
    </row>
    <row r="706" ht="15.75" customHeight="1" s="99">
      <c r="A706" s="58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82" t="n"/>
      <c r="X706" s="82" t="n"/>
    </row>
    <row r="707" ht="15.75" customHeight="1" s="99">
      <c r="A707" s="58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82" t="n"/>
      <c r="X707" s="82" t="n"/>
    </row>
    <row r="708" ht="15.75" customHeight="1" s="99">
      <c r="A708" s="58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82" t="n"/>
      <c r="X708" s="82" t="n"/>
    </row>
    <row r="709" ht="15.75" customHeight="1" s="99">
      <c r="A709" s="58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82" t="n"/>
      <c r="X709" s="82" t="n"/>
    </row>
    <row r="710" ht="15.75" customHeight="1" s="99">
      <c r="A710" s="58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82" t="n"/>
      <c r="X710" s="82" t="n"/>
    </row>
    <row r="711" ht="15.75" customHeight="1" s="99">
      <c r="A711" s="58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82" t="n"/>
      <c r="X711" s="82" t="n"/>
    </row>
    <row r="712" ht="15.75" customHeight="1" s="99">
      <c r="A712" s="58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82" t="n"/>
      <c r="X712" s="82" t="n"/>
    </row>
    <row r="713" ht="15.75" customHeight="1" s="99">
      <c r="A713" s="58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82" t="n"/>
      <c r="X713" s="82" t="n"/>
    </row>
    <row r="714" ht="15.75" customHeight="1" s="99">
      <c r="A714" s="58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82" t="n"/>
      <c r="X714" s="82" t="n"/>
    </row>
    <row r="715" ht="15.75" customHeight="1" s="99">
      <c r="A715" s="58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82" t="n"/>
      <c r="X715" s="82" t="n"/>
    </row>
    <row r="716" ht="15.75" customHeight="1" s="99">
      <c r="A716" s="58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82" t="n"/>
      <c r="X716" s="82" t="n"/>
    </row>
    <row r="717" ht="15.75" customHeight="1" s="99">
      <c r="A717" s="58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82" t="n"/>
      <c r="X717" s="82" t="n"/>
    </row>
    <row r="718" ht="15.75" customHeight="1" s="99">
      <c r="A718" s="58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82" t="n"/>
      <c r="X718" s="82" t="n"/>
    </row>
    <row r="719" ht="15.75" customHeight="1" s="99">
      <c r="A719" s="58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82" t="n"/>
      <c r="X719" s="82" t="n"/>
    </row>
    <row r="720" ht="15.75" customHeight="1" s="99">
      <c r="A720" s="58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82" t="n"/>
      <c r="X720" s="82" t="n"/>
    </row>
    <row r="721" ht="15.75" customHeight="1" s="99">
      <c r="A721" s="58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82" t="n"/>
      <c r="X721" s="82" t="n"/>
    </row>
    <row r="722" ht="15.75" customHeight="1" s="99">
      <c r="A722" s="58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82" t="n"/>
      <c r="X722" s="82" t="n"/>
    </row>
    <row r="723" ht="15.75" customHeight="1" s="99">
      <c r="A723" s="58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82" t="n"/>
      <c r="X723" s="82" t="n"/>
    </row>
    <row r="724" ht="15.75" customHeight="1" s="99">
      <c r="A724" s="58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82" t="n"/>
      <c r="X724" s="82" t="n"/>
    </row>
    <row r="725" ht="15.75" customHeight="1" s="99">
      <c r="A725" s="58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82" t="n"/>
      <c r="X725" s="82" t="n"/>
    </row>
    <row r="726" ht="15.75" customHeight="1" s="99">
      <c r="A726" s="58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82" t="n"/>
      <c r="X726" s="82" t="n"/>
    </row>
    <row r="727" ht="15.75" customHeight="1" s="99">
      <c r="A727" s="58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82" t="n"/>
      <c r="X727" s="82" t="n"/>
    </row>
    <row r="728" ht="15.75" customHeight="1" s="99">
      <c r="A728" s="58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82" t="n"/>
      <c r="X728" s="82" t="n"/>
    </row>
    <row r="729" ht="15.75" customHeight="1" s="99">
      <c r="A729" s="58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82" t="n"/>
      <c r="X729" s="82" t="n"/>
    </row>
    <row r="730" ht="15.75" customHeight="1" s="99">
      <c r="A730" s="58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82" t="n"/>
      <c r="X730" s="82" t="n"/>
    </row>
    <row r="731" ht="15.75" customHeight="1" s="99">
      <c r="A731" s="58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82" t="n"/>
      <c r="X731" s="82" t="n"/>
    </row>
    <row r="732" ht="15.75" customHeight="1" s="99">
      <c r="A732" s="58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82" t="n"/>
      <c r="X732" s="82" t="n"/>
    </row>
    <row r="733" ht="15.75" customHeight="1" s="99">
      <c r="A733" s="58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82" t="n"/>
      <c r="X733" s="82" t="n"/>
    </row>
    <row r="734" ht="15.75" customHeight="1" s="99">
      <c r="A734" s="58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82" t="n"/>
      <c r="X734" s="82" t="n"/>
    </row>
    <row r="735" ht="15.75" customHeight="1" s="99">
      <c r="A735" s="58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82" t="n"/>
      <c r="X735" s="82" t="n"/>
    </row>
    <row r="736" ht="15.75" customHeight="1" s="99">
      <c r="A736" s="58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82" t="n"/>
      <c r="X736" s="82" t="n"/>
    </row>
    <row r="737" ht="15.75" customHeight="1" s="99">
      <c r="A737" s="58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82" t="n"/>
      <c r="X737" s="82" t="n"/>
    </row>
    <row r="738" ht="15.75" customHeight="1" s="99">
      <c r="A738" s="58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82" t="n"/>
      <c r="X738" s="82" t="n"/>
    </row>
    <row r="739" ht="15.75" customHeight="1" s="99">
      <c r="A739" s="58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82" t="n"/>
      <c r="X739" s="82" t="n"/>
    </row>
    <row r="740" ht="15.75" customHeight="1" s="99">
      <c r="A740" s="58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82" t="n"/>
      <c r="X740" s="82" t="n"/>
    </row>
    <row r="741" ht="15.75" customHeight="1" s="99">
      <c r="A741" s="58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82" t="n"/>
      <c r="X741" s="82" t="n"/>
    </row>
    <row r="742" ht="15.75" customHeight="1" s="99">
      <c r="A742" s="58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82" t="n"/>
      <c r="X742" s="82" t="n"/>
    </row>
    <row r="743" ht="15.75" customHeight="1" s="99">
      <c r="A743" s="58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82" t="n"/>
      <c r="X743" s="82" t="n"/>
    </row>
    <row r="744" ht="15.75" customHeight="1" s="99">
      <c r="A744" s="58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82" t="n"/>
      <c r="X744" s="82" t="n"/>
    </row>
    <row r="745" ht="15.75" customHeight="1" s="99">
      <c r="A745" s="58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82" t="n"/>
      <c r="X745" s="82" t="n"/>
    </row>
    <row r="746" ht="15.75" customHeight="1" s="99">
      <c r="A746" s="58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82" t="n"/>
      <c r="X746" s="82" t="n"/>
    </row>
    <row r="747" ht="15.75" customHeight="1" s="99">
      <c r="A747" s="58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82" t="n"/>
      <c r="X747" s="82" t="n"/>
    </row>
    <row r="748" ht="15.75" customHeight="1" s="99">
      <c r="A748" s="58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82" t="n"/>
      <c r="X748" s="82" t="n"/>
    </row>
    <row r="749" ht="15.75" customHeight="1" s="99">
      <c r="A749" s="58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82" t="n"/>
      <c r="X749" s="82" t="n"/>
    </row>
    <row r="750" ht="15.75" customHeight="1" s="99">
      <c r="A750" s="58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82" t="n"/>
      <c r="X750" s="82" t="n"/>
    </row>
    <row r="751" ht="15.75" customHeight="1" s="99">
      <c r="A751" s="58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82" t="n"/>
      <c r="X751" s="82" t="n"/>
    </row>
    <row r="752" ht="15.75" customHeight="1" s="99">
      <c r="A752" s="58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82" t="n"/>
      <c r="X752" s="82" t="n"/>
    </row>
    <row r="753" ht="15.75" customHeight="1" s="99">
      <c r="A753" s="58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82" t="n"/>
      <c r="X753" s="82" t="n"/>
    </row>
    <row r="754" ht="15.75" customHeight="1" s="99">
      <c r="A754" s="58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82" t="n"/>
      <c r="X754" s="82" t="n"/>
    </row>
    <row r="755" ht="15.75" customHeight="1" s="99">
      <c r="A755" s="58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82" t="n"/>
      <c r="X755" s="82" t="n"/>
    </row>
    <row r="756" ht="15.75" customHeight="1" s="99">
      <c r="A756" s="58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82" t="n"/>
      <c r="X756" s="82" t="n"/>
    </row>
    <row r="757" ht="15.75" customHeight="1" s="99">
      <c r="A757" s="58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82" t="n"/>
      <c r="X757" s="82" t="n"/>
    </row>
    <row r="758" ht="15.75" customHeight="1" s="99">
      <c r="A758" s="58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82" t="n"/>
      <c r="X758" s="82" t="n"/>
    </row>
    <row r="759" ht="15.75" customHeight="1" s="99">
      <c r="A759" s="58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82" t="n"/>
      <c r="X759" s="82" t="n"/>
    </row>
    <row r="760" ht="15.75" customHeight="1" s="99">
      <c r="A760" s="58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82" t="n"/>
      <c r="X760" s="82" t="n"/>
    </row>
    <row r="761" ht="15.75" customHeight="1" s="99">
      <c r="A761" s="58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82" t="n"/>
      <c r="X761" s="82" t="n"/>
    </row>
    <row r="762" ht="15.75" customHeight="1" s="99">
      <c r="A762" s="58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82" t="n"/>
      <c r="X762" s="82" t="n"/>
    </row>
    <row r="763" ht="15.75" customHeight="1" s="99">
      <c r="A763" s="58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82" t="n"/>
      <c r="X763" s="82" t="n"/>
    </row>
    <row r="764" ht="15.75" customHeight="1" s="99">
      <c r="A764" s="58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82" t="n"/>
      <c r="X764" s="82" t="n"/>
    </row>
    <row r="765" ht="15.75" customHeight="1" s="99">
      <c r="A765" s="58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82" t="n"/>
      <c r="X765" s="82" t="n"/>
    </row>
    <row r="766" ht="15.75" customHeight="1" s="99">
      <c r="A766" s="58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82" t="n"/>
      <c r="X766" s="82" t="n"/>
    </row>
    <row r="767" ht="15.75" customHeight="1" s="99">
      <c r="A767" s="58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82" t="n"/>
      <c r="X767" s="82" t="n"/>
    </row>
    <row r="768" ht="15.75" customHeight="1" s="99">
      <c r="A768" s="58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82" t="n"/>
      <c r="X768" s="82" t="n"/>
    </row>
    <row r="769" ht="15.75" customHeight="1" s="99">
      <c r="A769" s="58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82" t="n"/>
      <c r="X769" s="82" t="n"/>
    </row>
    <row r="770" ht="15.75" customHeight="1" s="99">
      <c r="A770" s="58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82" t="n"/>
      <c r="X770" s="82" t="n"/>
    </row>
    <row r="771" ht="15.75" customHeight="1" s="99">
      <c r="A771" s="58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82" t="n"/>
      <c r="X771" s="82" t="n"/>
    </row>
    <row r="772" ht="15.75" customHeight="1" s="99">
      <c r="A772" s="58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82" t="n"/>
      <c r="X772" s="82" t="n"/>
    </row>
    <row r="773" ht="15.75" customHeight="1" s="99">
      <c r="A773" s="58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82" t="n"/>
      <c r="X773" s="82" t="n"/>
    </row>
    <row r="774" ht="15.75" customHeight="1" s="99">
      <c r="A774" s="58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82" t="n"/>
      <c r="X774" s="82" t="n"/>
    </row>
    <row r="775" ht="15.75" customHeight="1" s="99">
      <c r="A775" s="58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82" t="n"/>
      <c r="X775" s="82" t="n"/>
    </row>
    <row r="776" ht="15.75" customHeight="1" s="99">
      <c r="A776" s="58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82" t="n"/>
      <c r="X776" s="82" t="n"/>
    </row>
    <row r="777" ht="15.75" customHeight="1" s="99">
      <c r="A777" s="58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82" t="n"/>
      <c r="X777" s="82" t="n"/>
    </row>
    <row r="778" ht="15.75" customHeight="1" s="99">
      <c r="A778" s="58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82" t="n"/>
      <c r="X778" s="82" t="n"/>
    </row>
    <row r="779" ht="15.75" customHeight="1" s="99">
      <c r="A779" s="58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82" t="n"/>
      <c r="X779" s="82" t="n"/>
    </row>
    <row r="780" ht="15.75" customHeight="1" s="99">
      <c r="A780" s="58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82" t="n"/>
      <c r="X780" s="82" t="n"/>
    </row>
    <row r="781" ht="15.75" customHeight="1" s="99">
      <c r="A781" s="58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82" t="n"/>
      <c r="X781" s="82" t="n"/>
    </row>
    <row r="782" ht="15.75" customHeight="1" s="99">
      <c r="A782" s="58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82" t="n"/>
      <c r="X782" s="82" t="n"/>
    </row>
    <row r="783" ht="15.75" customHeight="1" s="99">
      <c r="A783" s="58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82" t="n"/>
      <c r="X783" s="82" t="n"/>
    </row>
    <row r="784" ht="15.75" customHeight="1" s="99">
      <c r="A784" s="58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82" t="n"/>
      <c r="X784" s="82" t="n"/>
    </row>
    <row r="785" ht="15.75" customHeight="1" s="99">
      <c r="A785" s="58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82" t="n"/>
      <c r="X785" s="82" t="n"/>
    </row>
    <row r="786" ht="15.75" customHeight="1" s="99">
      <c r="A786" s="58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82" t="n"/>
      <c r="X786" s="82" t="n"/>
    </row>
    <row r="787" ht="15.75" customHeight="1" s="99">
      <c r="A787" s="58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82" t="n"/>
      <c r="X787" s="82" t="n"/>
    </row>
    <row r="788" ht="15.75" customHeight="1" s="99">
      <c r="A788" s="58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82" t="n"/>
      <c r="X788" s="82" t="n"/>
    </row>
    <row r="789" ht="15.75" customHeight="1" s="99">
      <c r="A789" s="58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82" t="n"/>
      <c r="X789" s="82" t="n"/>
    </row>
    <row r="790" ht="15.75" customHeight="1" s="99">
      <c r="A790" s="58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82" t="n"/>
      <c r="X790" s="82" t="n"/>
    </row>
    <row r="791" ht="15.75" customHeight="1" s="99">
      <c r="A791" s="58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82" t="n"/>
      <c r="X791" s="82" t="n"/>
    </row>
    <row r="792" ht="15.75" customHeight="1" s="99">
      <c r="A792" s="58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82" t="n"/>
      <c r="X792" s="82" t="n"/>
    </row>
    <row r="793" ht="15.75" customHeight="1" s="99">
      <c r="A793" s="58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82" t="n"/>
      <c r="X793" s="82" t="n"/>
    </row>
    <row r="794" ht="15.75" customHeight="1" s="99">
      <c r="A794" s="58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82" t="n"/>
      <c r="X794" s="82" t="n"/>
    </row>
    <row r="795" ht="15.75" customHeight="1" s="99">
      <c r="A795" s="58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82" t="n"/>
      <c r="X795" s="82" t="n"/>
    </row>
    <row r="796" ht="15.75" customHeight="1" s="99">
      <c r="A796" s="58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82" t="n"/>
      <c r="X796" s="82" t="n"/>
    </row>
    <row r="797" ht="15.75" customHeight="1" s="99">
      <c r="A797" s="58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82" t="n"/>
      <c r="X797" s="82" t="n"/>
    </row>
    <row r="798" ht="15.75" customHeight="1" s="99">
      <c r="A798" s="58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82" t="n"/>
      <c r="X798" s="82" t="n"/>
    </row>
    <row r="799" ht="15.75" customHeight="1" s="99">
      <c r="A799" s="58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82" t="n"/>
      <c r="X799" s="82" t="n"/>
    </row>
    <row r="800" ht="15.75" customHeight="1" s="99">
      <c r="A800" s="58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82" t="n"/>
      <c r="X800" s="82" t="n"/>
    </row>
    <row r="801" ht="15.75" customHeight="1" s="99">
      <c r="A801" s="58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82" t="n"/>
      <c r="X801" s="82" t="n"/>
    </row>
    <row r="802" ht="15.75" customHeight="1" s="99">
      <c r="A802" s="58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82" t="n"/>
      <c r="X802" s="82" t="n"/>
    </row>
    <row r="803" ht="15.75" customHeight="1" s="99">
      <c r="A803" s="58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82" t="n"/>
      <c r="X803" s="82" t="n"/>
    </row>
    <row r="804" ht="15.75" customHeight="1" s="99">
      <c r="A804" s="58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82" t="n"/>
      <c r="X804" s="82" t="n"/>
    </row>
    <row r="805" ht="15.75" customHeight="1" s="99">
      <c r="A805" s="58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82" t="n"/>
      <c r="X805" s="82" t="n"/>
    </row>
    <row r="806" ht="15.75" customHeight="1" s="99">
      <c r="A806" s="58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82" t="n"/>
      <c r="X806" s="82" t="n"/>
    </row>
    <row r="807" ht="15.75" customHeight="1" s="99">
      <c r="A807" s="58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82" t="n"/>
      <c r="X807" s="82" t="n"/>
    </row>
    <row r="808" ht="15.75" customHeight="1" s="99">
      <c r="A808" s="58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82" t="n"/>
      <c r="X808" s="82" t="n"/>
    </row>
    <row r="809" ht="15.75" customHeight="1" s="99">
      <c r="A809" s="58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82" t="n"/>
      <c r="X809" s="82" t="n"/>
    </row>
    <row r="810" ht="15.75" customHeight="1" s="99">
      <c r="A810" s="58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82" t="n"/>
      <c r="X810" s="82" t="n"/>
    </row>
    <row r="811" ht="15.75" customHeight="1" s="99">
      <c r="A811" s="58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82" t="n"/>
      <c r="X811" s="82" t="n"/>
    </row>
    <row r="812" ht="15.75" customHeight="1" s="99">
      <c r="A812" s="58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82" t="n"/>
      <c r="X812" s="82" t="n"/>
    </row>
    <row r="813" ht="15.75" customHeight="1" s="99">
      <c r="A813" s="58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82" t="n"/>
      <c r="X813" s="82" t="n"/>
    </row>
    <row r="814" ht="15.75" customHeight="1" s="99">
      <c r="A814" s="58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82" t="n"/>
      <c r="X814" s="82" t="n"/>
    </row>
    <row r="815" ht="15.75" customHeight="1" s="99">
      <c r="A815" s="58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82" t="n"/>
      <c r="X815" s="82" t="n"/>
    </row>
    <row r="816" ht="15.75" customHeight="1" s="99">
      <c r="A816" s="58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82" t="n"/>
      <c r="X816" s="82" t="n"/>
    </row>
    <row r="817" ht="15.75" customHeight="1" s="99">
      <c r="A817" s="58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82" t="n"/>
      <c r="X817" s="82" t="n"/>
    </row>
    <row r="818" ht="15.75" customHeight="1" s="99">
      <c r="A818" s="58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82" t="n"/>
      <c r="X818" s="82" t="n"/>
    </row>
    <row r="819" ht="15.75" customHeight="1" s="99">
      <c r="A819" s="58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82" t="n"/>
      <c r="X819" s="82" t="n"/>
    </row>
    <row r="820" ht="15.75" customHeight="1" s="99">
      <c r="A820" s="58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82" t="n"/>
      <c r="X820" s="82" t="n"/>
    </row>
    <row r="821" ht="15.75" customHeight="1" s="99">
      <c r="A821" s="58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82" t="n"/>
      <c r="X821" s="82" t="n"/>
    </row>
    <row r="822" ht="15.75" customHeight="1" s="99">
      <c r="A822" s="58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82" t="n"/>
      <c r="X822" s="82" t="n"/>
    </row>
    <row r="823" ht="15.75" customHeight="1" s="99">
      <c r="A823" s="58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82" t="n"/>
      <c r="X823" s="82" t="n"/>
    </row>
    <row r="824" ht="15.75" customHeight="1" s="99">
      <c r="A824" s="58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82" t="n"/>
      <c r="X824" s="82" t="n"/>
    </row>
    <row r="825" ht="15.75" customHeight="1" s="99">
      <c r="A825" s="58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82" t="n"/>
      <c r="X825" s="82" t="n"/>
    </row>
    <row r="826" ht="15.75" customHeight="1" s="99">
      <c r="A826" s="58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82" t="n"/>
      <c r="X826" s="82" t="n"/>
    </row>
    <row r="827" ht="15.75" customHeight="1" s="99">
      <c r="A827" s="58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82" t="n"/>
      <c r="X827" s="82" t="n"/>
    </row>
    <row r="828" ht="15.75" customHeight="1" s="99">
      <c r="A828" s="58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82" t="n"/>
      <c r="X828" s="82" t="n"/>
    </row>
    <row r="829" ht="15.75" customHeight="1" s="99">
      <c r="A829" s="58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82" t="n"/>
      <c r="X829" s="82" t="n"/>
    </row>
    <row r="830" ht="15.75" customHeight="1" s="99">
      <c r="A830" s="58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82" t="n"/>
      <c r="X830" s="82" t="n"/>
    </row>
    <row r="831" ht="15.75" customHeight="1" s="99">
      <c r="A831" s="58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82" t="n"/>
      <c r="X831" s="82" t="n"/>
    </row>
    <row r="832" ht="15.75" customHeight="1" s="99">
      <c r="A832" s="58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82" t="n"/>
      <c r="X832" s="82" t="n"/>
    </row>
    <row r="833" ht="15.75" customHeight="1" s="99">
      <c r="A833" s="58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82" t="n"/>
      <c r="X833" s="82" t="n"/>
    </row>
    <row r="834" ht="15.75" customHeight="1" s="99">
      <c r="A834" s="58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82" t="n"/>
      <c r="X834" s="82" t="n"/>
    </row>
    <row r="835" ht="15.75" customHeight="1" s="99">
      <c r="A835" s="58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82" t="n"/>
      <c r="X835" s="82" t="n"/>
    </row>
    <row r="836" ht="15.75" customHeight="1" s="99">
      <c r="A836" s="58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82" t="n"/>
      <c r="X836" s="82" t="n"/>
    </row>
    <row r="837" ht="15.75" customHeight="1" s="99">
      <c r="A837" s="58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82" t="n"/>
      <c r="X837" s="82" t="n"/>
    </row>
    <row r="838" ht="15.75" customHeight="1" s="99">
      <c r="A838" s="58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82" t="n"/>
      <c r="X838" s="82" t="n"/>
    </row>
    <row r="839" ht="15.75" customHeight="1" s="99">
      <c r="A839" s="58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82" t="n"/>
      <c r="X839" s="82" t="n"/>
    </row>
    <row r="840" ht="15.75" customHeight="1" s="99">
      <c r="A840" s="58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82" t="n"/>
      <c r="X840" s="82" t="n"/>
    </row>
    <row r="841" ht="15.75" customHeight="1" s="99">
      <c r="A841" s="58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82" t="n"/>
      <c r="X841" s="82" t="n"/>
    </row>
    <row r="842" ht="15.75" customHeight="1" s="99">
      <c r="A842" s="58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82" t="n"/>
      <c r="X842" s="82" t="n"/>
    </row>
    <row r="843" ht="15.75" customHeight="1" s="99">
      <c r="A843" s="58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82" t="n"/>
      <c r="X843" s="82" t="n"/>
    </row>
    <row r="844" ht="15.75" customHeight="1" s="99">
      <c r="A844" s="58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82" t="n"/>
      <c r="X844" s="82" t="n"/>
    </row>
    <row r="845" ht="15.75" customHeight="1" s="99">
      <c r="A845" s="58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82" t="n"/>
      <c r="X845" s="82" t="n"/>
    </row>
    <row r="846" ht="15.75" customHeight="1" s="99">
      <c r="A846" s="58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82" t="n"/>
      <c r="X846" s="82" t="n"/>
    </row>
    <row r="847" ht="15.75" customHeight="1" s="99">
      <c r="A847" s="58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82" t="n"/>
      <c r="X847" s="82" t="n"/>
    </row>
    <row r="848" ht="15.75" customHeight="1" s="99">
      <c r="A848" s="58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82" t="n"/>
      <c r="X848" s="82" t="n"/>
    </row>
    <row r="849" ht="15.75" customHeight="1" s="99">
      <c r="A849" s="58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82" t="n"/>
      <c r="X849" s="82" t="n"/>
    </row>
    <row r="850" ht="15.75" customHeight="1" s="99">
      <c r="A850" s="58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82" t="n"/>
      <c r="X850" s="82" t="n"/>
    </row>
    <row r="851" ht="15.75" customHeight="1" s="99">
      <c r="A851" s="58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82" t="n"/>
      <c r="X851" s="82" t="n"/>
    </row>
    <row r="852" ht="15.75" customHeight="1" s="99">
      <c r="A852" s="58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82" t="n"/>
      <c r="X852" s="82" t="n"/>
    </row>
    <row r="853" ht="15.75" customHeight="1" s="99">
      <c r="A853" s="58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82" t="n"/>
      <c r="X853" s="82" t="n"/>
    </row>
    <row r="854" ht="15.75" customHeight="1" s="99">
      <c r="A854" s="58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82" t="n"/>
      <c r="X854" s="82" t="n"/>
    </row>
    <row r="855" ht="15.75" customHeight="1" s="99">
      <c r="A855" s="58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82" t="n"/>
      <c r="X855" s="82" t="n"/>
    </row>
    <row r="856" ht="15.75" customHeight="1" s="99">
      <c r="A856" s="58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82" t="n"/>
      <c r="X856" s="82" t="n"/>
    </row>
    <row r="857" ht="15.75" customHeight="1" s="99">
      <c r="A857" s="58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82" t="n"/>
      <c r="X857" s="82" t="n"/>
    </row>
    <row r="858" ht="15.75" customHeight="1" s="99">
      <c r="A858" s="58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82" t="n"/>
      <c r="X858" s="82" t="n"/>
    </row>
    <row r="859" ht="15.75" customHeight="1" s="99">
      <c r="A859" s="58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82" t="n"/>
      <c r="X859" s="82" t="n"/>
    </row>
    <row r="860" ht="15.75" customHeight="1" s="99">
      <c r="A860" s="58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82" t="n"/>
      <c r="X860" s="82" t="n"/>
    </row>
    <row r="861" ht="15.75" customHeight="1" s="99">
      <c r="A861" s="58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82" t="n"/>
      <c r="X861" s="82" t="n"/>
    </row>
    <row r="862" ht="15.75" customHeight="1" s="99">
      <c r="A862" s="58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82" t="n"/>
      <c r="X862" s="82" t="n"/>
    </row>
    <row r="863" ht="15.75" customHeight="1" s="99">
      <c r="A863" s="58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82" t="n"/>
      <c r="X863" s="82" t="n"/>
    </row>
    <row r="864" ht="15.75" customHeight="1" s="99">
      <c r="A864" s="58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82" t="n"/>
      <c r="X864" s="82" t="n"/>
    </row>
    <row r="865" ht="15.75" customHeight="1" s="99">
      <c r="A865" s="58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82" t="n"/>
      <c r="X865" s="82" t="n"/>
    </row>
    <row r="866" ht="15.75" customHeight="1" s="99">
      <c r="A866" s="58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82" t="n"/>
      <c r="X866" s="82" t="n"/>
    </row>
    <row r="867" ht="15.75" customHeight="1" s="99">
      <c r="A867" s="58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82" t="n"/>
      <c r="X867" s="82" t="n"/>
    </row>
    <row r="868" ht="15.75" customHeight="1" s="99">
      <c r="A868" s="58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82" t="n"/>
      <c r="X868" s="82" t="n"/>
    </row>
    <row r="869" ht="15.75" customHeight="1" s="99">
      <c r="A869" s="58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82" t="n"/>
      <c r="X869" s="82" t="n"/>
    </row>
    <row r="870" ht="15.75" customHeight="1" s="99">
      <c r="A870" s="58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82" t="n"/>
      <c r="X870" s="82" t="n"/>
    </row>
    <row r="871" ht="15.75" customHeight="1" s="99">
      <c r="A871" s="58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82" t="n"/>
      <c r="X871" s="82" t="n"/>
    </row>
    <row r="872" ht="15.75" customHeight="1" s="99">
      <c r="A872" s="58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82" t="n"/>
      <c r="X872" s="82" t="n"/>
    </row>
    <row r="873" ht="15.75" customHeight="1" s="99">
      <c r="A873" s="58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82" t="n"/>
      <c r="X873" s="82" t="n"/>
    </row>
    <row r="874" ht="15.75" customHeight="1" s="99">
      <c r="A874" s="58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82" t="n"/>
      <c r="X874" s="82" t="n"/>
    </row>
    <row r="875" ht="15.75" customHeight="1" s="99">
      <c r="A875" s="58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82" t="n"/>
      <c r="X875" s="82" t="n"/>
    </row>
    <row r="876" ht="15.75" customHeight="1" s="99">
      <c r="A876" s="58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82" t="n"/>
      <c r="X876" s="82" t="n"/>
    </row>
    <row r="877" ht="15.75" customHeight="1" s="99">
      <c r="A877" s="58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82" t="n"/>
      <c r="X877" s="82" t="n"/>
    </row>
    <row r="878" ht="15.75" customHeight="1" s="99">
      <c r="A878" s="58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82" t="n"/>
      <c r="X878" s="82" t="n"/>
    </row>
    <row r="879" ht="15.75" customHeight="1" s="99">
      <c r="A879" s="58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82" t="n"/>
      <c r="X879" s="82" t="n"/>
    </row>
    <row r="880" ht="15.75" customHeight="1" s="99">
      <c r="A880" s="58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82" t="n"/>
      <c r="X880" s="82" t="n"/>
    </row>
    <row r="881" ht="15.75" customHeight="1" s="99">
      <c r="A881" s="58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82" t="n"/>
      <c r="X881" s="82" t="n"/>
    </row>
    <row r="882" ht="15.75" customHeight="1" s="99">
      <c r="A882" s="58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82" t="n"/>
      <c r="X882" s="82" t="n"/>
    </row>
    <row r="883" ht="15.75" customHeight="1" s="99">
      <c r="A883" s="58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82" t="n"/>
      <c r="X883" s="82" t="n"/>
    </row>
    <row r="884" ht="15.75" customHeight="1" s="99">
      <c r="A884" s="58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82" t="n"/>
      <c r="X884" s="82" t="n"/>
    </row>
    <row r="885" ht="15.75" customHeight="1" s="99">
      <c r="A885" s="58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82" t="n"/>
      <c r="X885" s="82" t="n"/>
    </row>
    <row r="886" ht="15.75" customHeight="1" s="99">
      <c r="A886" s="58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82" t="n"/>
      <c r="X886" s="82" t="n"/>
    </row>
    <row r="887" ht="15.75" customHeight="1" s="99">
      <c r="A887" s="58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82" t="n"/>
      <c r="X887" s="82" t="n"/>
    </row>
    <row r="888" ht="15.75" customHeight="1" s="99">
      <c r="A888" s="58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82" t="n"/>
      <c r="X888" s="82" t="n"/>
    </row>
    <row r="889" ht="15.75" customHeight="1" s="99">
      <c r="A889" s="58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82" t="n"/>
      <c r="X889" s="82" t="n"/>
    </row>
    <row r="890" ht="15.75" customHeight="1" s="99">
      <c r="A890" s="58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82" t="n"/>
      <c r="X890" s="82" t="n"/>
    </row>
    <row r="891" ht="15.75" customHeight="1" s="99">
      <c r="A891" s="58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82" t="n"/>
      <c r="X891" s="82" t="n"/>
    </row>
    <row r="892" ht="15.75" customHeight="1" s="99">
      <c r="A892" s="58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82" t="n"/>
      <c r="X892" s="82" t="n"/>
    </row>
    <row r="893" ht="15.75" customHeight="1" s="99">
      <c r="A893" s="58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82" t="n"/>
      <c r="X893" s="82" t="n"/>
    </row>
    <row r="894" ht="15.75" customHeight="1" s="99">
      <c r="A894" s="58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82" t="n"/>
      <c r="X894" s="82" t="n"/>
    </row>
    <row r="895" ht="15.75" customHeight="1" s="99">
      <c r="A895" s="58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82" t="n"/>
      <c r="X895" s="82" t="n"/>
    </row>
    <row r="896" ht="15.75" customHeight="1" s="99">
      <c r="A896" s="58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82" t="n"/>
      <c r="X896" s="82" t="n"/>
    </row>
    <row r="897" ht="15.75" customHeight="1" s="99">
      <c r="A897" s="58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82" t="n"/>
      <c r="X897" s="82" t="n"/>
    </row>
    <row r="898" ht="15.75" customHeight="1" s="99">
      <c r="A898" s="58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82" t="n"/>
      <c r="X898" s="82" t="n"/>
    </row>
    <row r="899" ht="15.75" customHeight="1" s="99">
      <c r="A899" s="58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82" t="n"/>
      <c r="X899" s="82" t="n"/>
    </row>
    <row r="900" ht="15.75" customHeight="1" s="99">
      <c r="A900" s="58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82" t="n"/>
      <c r="X900" s="82" t="n"/>
    </row>
    <row r="901" ht="15.75" customHeight="1" s="99">
      <c r="A901" s="58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82" t="n"/>
      <c r="X901" s="82" t="n"/>
    </row>
    <row r="902" ht="15.75" customHeight="1" s="99">
      <c r="A902" s="58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82" t="n"/>
      <c r="X902" s="82" t="n"/>
    </row>
    <row r="903" ht="15.75" customHeight="1" s="99">
      <c r="A903" s="58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82" t="n"/>
      <c r="X903" s="82" t="n"/>
    </row>
    <row r="904" ht="15.75" customHeight="1" s="99">
      <c r="A904" s="58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82" t="n"/>
      <c r="X904" s="82" t="n"/>
    </row>
    <row r="905" ht="15.75" customHeight="1" s="99">
      <c r="A905" s="58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82" t="n"/>
      <c r="X905" s="82" t="n"/>
    </row>
    <row r="906" ht="15.75" customHeight="1" s="99">
      <c r="A906" s="58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82" t="n"/>
      <c r="X906" s="82" t="n"/>
    </row>
    <row r="907" ht="15.75" customHeight="1" s="99">
      <c r="A907" s="58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82" t="n"/>
      <c r="X907" s="82" t="n"/>
    </row>
    <row r="908" ht="15.75" customHeight="1" s="99">
      <c r="A908" s="58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82" t="n"/>
      <c r="X908" s="82" t="n"/>
    </row>
    <row r="909" ht="15.75" customHeight="1" s="99">
      <c r="A909" s="58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82" t="n"/>
      <c r="X909" s="82" t="n"/>
    </row>
    <row r="910" ht="15.75" customHeight="1" s="99">
      <c r="A910" s="58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82" t="n"/>
      <c r="X910" s="82" t="n"/>
    </row>
    <row r="911" ht="15.75" customHeight="1" s="99">
      <c r="A911" s="58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82" t="n"/>
      <c r="X911" s="82" t="n"/>
    </row>
    <row r="912" ht="15.75" customHeight="1" s="99">
      <c r="A912" s="58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82" t="n"/>
      <c r="X912" s="82" t="n"/>
    </row>
    <row r="913" ht="15.75" customHeight="1" s="99">
      <c r="A913" s="58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82" t="n"/>
      <c r="X913" s="82" t="n"/>
    </row>
    <row r="914" ht="15.75" customHeight="1" s="99">
      <c r="A914" s="58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82" t="n"/>
      <c r="X914" s="82" t="n"/>
    </row>
    <row r="915" ht="15.75" customHeight="1" s="99">
      <c r="A915" s="58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82" t="n"/>
      <c r="X915" s="82" t="n"/>
    </row>
    <row r="916" ht="15.75" customHeight="1" s="99">
      <c r="A916" s="58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82" t="n"/>
      <c r="X916" s="82" t="n"/>
    </row>
    <row r="917" ht="15.75" customHeight="1" s="99">
      <c r="A917" s="58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82" t="n"/>
      <c r="X917" s="82" t="n"/>
    </row>
    <row r="918" ht="15.75" customHeight="1" s="99">
      <c r="A918" s="58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82" t="n"/>
      <c r="X918" s="82" t="n"/>
    </row>
    <row r="919" ht="15.75" customHeight="1" s="99">
      <c r="A919" s="58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82" t="n"/>
      <c r="X919" s="82" t="n"/>
    </row>
    <row r="920" ht="15.75" customHeight="1" s="99">
      <c r="A920" s="58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82" t="n"/>
      <c r="X920" s="82" t="n"/>
    </row>
    <row r="921" ht="15.75" customHeight="1" s="99">
      <c r="A921" s="58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82" t="n"/>
      <c r="X921" s="82" t="n"/>
    </row>
    <row r="922" ht="15.75" customHeight="1" s="99">
      <c r="A922" s="58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82" t="n"/>
      <c r="X922" s="82" t="n"/>
    </row>
    <row r="923" ht="15.75" customHeight="1" s="99">
      <c r="A923" s="58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82" t="n"/>
      <c r="X923" s="82" t="n"/>
    </row>
    <row r="924" ht="15.75" customHeight="1" s="99">
      <c r="A924" s="58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82" t="n"/>
      <c r="X924" s="82" t="n"/>
    </row>
    <row r="925" ht="15.75" customHeight="1" s="99">
      <c r="A925" s="58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82" t="n"/>
      <c r="X925" s="82" t="n"/>
    </row>
    <row r="926" ht="15.75" customHeight="1" s="99">
      <c r="A926" s="58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82" t="n"/>
      <c r="X926" s="82" t="n"/>
    </row>
    <row r="927" ht="15.75" customHeight="1" s="99">
      <c r="A927" s="58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82" t="n"/>
      <c r="X927" s="82" t="n"/>
    </row>
    <row r="928" ht="15.75" customHeight="1" s="99">
      <c r="A928" s="58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82" t="n"/>
      <c r="X928" s="82" t="n"/>
    </row>
    <row r="929" ht="15.75" customHeight="1" s="99">
      <c r="A929" s="58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82" t="n"/>
      <c r="X929" s="82" t="n"/>
    </row>
    <row r="930" ht="15.75" customHeight="1" s="99">
      <c r="A930" s="58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82" t="n"/>
      <c r="X930" s="82" t="n"/>
    </row>
    <row r="931" ht="15.75" customHeight="1" s="99">
      <c r="A931" s="58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82" t="n"/>
      <c r="X931" s="82" t="n"/>
    </row>
    <row r="932" ht="15.75" customHeight="1" s="99">
      <c r="A932" s="58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82" t="n"/>
      <c r="X932" s="82" t="n"/>
    </row>
    <row r="933" ht="15.75" customHeight="1" s="99">
      <c r="A933" s="58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82" t="n"/>
      <c r="X933" s="82" t="n"/>
    </row>
    <row r="934" ht="15.75" customHeight="1" s="99">
      <c r="A934" s="58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82" t="n"/>
      <c r="X934" s="82" t="n"/>
    </row>
    <row r="935" ht="15.75" customHeight="1" s="99">
      <c r="A935" s="58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82" t="n"/>
      <c r="X935" s="82" t="n"/>
    </row>
    <row r="936" ht="15.75" customHeight="1" s="99">
      <c r="A936" s="58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82" t="n"/>
      <c r="X936" s="82" t="n"/>
    </row>
    <row r="937" ht="15.75" customHeight="1" s="99">
      <c r="A937" s="58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82" t="n"/>
      <c r="X937" s="82" t="n"/>
    </row>
    <row r="938" ht="15.75" customHeight="1" s="99">
      <c r="A938" s="58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82" t="n"/>
      <c r="X938" s="82" t="n"/>
    </row>
    <row r="939" ht="15.75" customHeight="1" s="99">
      <c r="A939" s="58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82" t="n"/>
      <c r="X939" s="82" t="n"/>
    </row>
    <row r="940" ht="15.75" customHeight="1" s="99">
      <c r="A940" s="58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82" t="n"/>
      <c r="X940" s="82" t="n"/>
    </row>
    <row r="941" ht="15.75" customHeight="1" s="99">
      <c r="A941" s="58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82" t="n"/>
      <c r="X941" s="82" t="n"/>
    </row>
    <row r="942" ht="15.75" customHeight="1" s="99">
      <c r="A942" s="58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82" t="n"/>
      <c r="X942" s="82" t="n"/>
    </row>
    <row r="943" ht="15.75" customHeight="1" s="99">
      <c r="A943" s="58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82" t="n"/>
      <c r="X943" s="82" t="n"/>
    </row>
    <row r="944" ht="15.75" customHeight="1" s="99">
      <c r="A944" s="58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82" t="n"/>
      <c r="X944" s="82" t="n"/>
    </row>
    <row r="945" ht="15.75" customHeight="1" s="99">
      <c r="A945" s="58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82" t="n"/>
      <c r="X945" s="82" t="n"/>
    </row>
    <row r="946" ht="15.75" customHeight="1" s="99">
      <c r="A946" s="58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82" t="n"/>
      <c r="X946" s="82" t="n"/>
    </row>
    <row r="947" ht="15.75" customHeight="1" s="99">
      <c r="A947" s="58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82" t="n"/>
      <c r="X947" s="82" t="n"/>
    </row>
    <row r="948" ht="15.75" customHeight="1" s="99">
      <c r="A948" s="58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82" t="n"/>
      <c r="X948" s="82" t="n"/>
    </row>
    <row r="949" ht="15.75" customHeight="1" s="99">
      <c r="A949" s="58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82" t="n"/>
      <c r="X949" s="82" t="n"/>
    </row>
    <row r="950" ht="15.75" customHeight="1" s="99">
      <c r="A950" s="58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82" t="n"/>
      <c r="X950" s="82" t="n"/>
    </row>
    <row r="951" ht="15.75" customHeight="1" s="99">
      <c r="A951" s="58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82" t="n"/>
      <c r="X951" s="82" t="n"/>
    </row>
    <row r="952" ht="15.75" customHeight="1" s="99">
      <c r="A952" s="58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82" t="n"/>
      <c r="X952" s="82" t="n"/>
    </row>
    <row r="953" ht="15.75" customHeight="1" s="99">
      <c r="A953" s="58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82" t="n"/>
      <c r="X953" s="82" t="n"/>
    </row>
    <row r="954" ht="15.75" customHeight="1" s="99">
      <c r="A954" s="58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82" t="n"/>
      <c r="X954" s="82" t="n"/>
    </row>
    <row r="955" ht="15.75" customHeight="1" s="99">
      <c r="A955" s="58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82" t="n"/>
      <c r="X955" s="82" t="n"/>
    </row>
    <row r="956" ht="15.75" customHeight="1" s="99">
      <c r="A956" s="58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82" t="n"/>
      <c r="X956" s="82" t="n"/>
    </row>
    <row r="957" ht="15.75" customHeight="1" s="99">
      <c r="A957" s="58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82" t="n"/>
      <c r="X957" s="82" t="n"/>
    </row>
    <row r="958" ht="15.75" customHeight="1" s="99">
      <c r="A958" s="58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82" t="n"/>
      <c r="X958" s="82" t="n"/>
    </row>
    <row r="959" ht="15.75" customHeight="1" s="99">
      <c r="A959" s="58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82" t="n"/>
      <c r="X959" s="82" t="n"/>
    </row>
    <row r="960" ht="15.75" customHeight="1" s="99">
      <c r="A960" s="58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82" t="n"/>
      <c r="X960" s="82" t="n"/>
    </row>
    <row r="961" ht="15.75" customHeight="1" s="99">
      <c r="A961" s="58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82" t="n"/>
      <c r="X961" s="82" t="n"/>
    </row>
    <row r="962" ht="15.75" customHeight="1" s="99">
      <c r="A962" s="58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82" t="n"/>
      <c r="X962" s="82" t="n"/>
    </row>
    <row r="963" ht="15.75" customHeight="1" s="99">
      <c r="A963" s="58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82" t="n"/>
      <c r="X963" s="82" t="n"/>
    </row>
    <row r="964" ht="15.75" customHeight="1" s="99">
      <c r="A964" s="58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82" t="n"/>
      <c r="X964" s="82" t="n"/>
    </row>
    <row r="965" ht="15.75" customHeight="1" s="99">
      <c r="A965" s="58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82" t="n"/>
      <c r="X965" s="82" t="n"/>
    </row>
    <row r="966" ht="15.75" customHeight="1" s="99">
      <c r="A966" s="58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82" t="n"/>
      <c r="X966" s="82" t="n"/>
    </row>
    <row r="967" ht="15.75" customHeight="1" s="99">
      <c r="A967" s="58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82" t="n"/>
      <c r="X967" s="82" t="n"/>
    </row>
    <row r="968" ht="15.75" customHeight="1" s="99">
      <c r="A968" s="58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82" t="n"/>
      <c r="X968" s="82" t="n"/>
    </row>
    <row r="969" ht="15.75" customHeight="1" s="99">
      <c r="A969" s="58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82" t="n"/>
      <c r="X969" s="82" t="n"/>
    </row>
    <row r="970" ht="15.75" customHeight="1" s="99">
      <c r="A970" s="58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82" t="n"/>
      <c r="X970" s="82" t="n"/>
    </row>
    <row r="971" ht="15.75" customHeight="1" s="99">
      <c r="A971" s="58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82" t="n"/>
      <c r="X971" s="82" t="n"/>
    </row>
    <row r="972" ht="15.75" customHeight="1" s="99">
      <c r="A972" s="58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82" t="n"/>
      <c r="X972" s="82" t="n"/>
    </row>
    <row r="973" ht="15.75" customHeight="1" s="99">
      <c r="A973" s="58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82" t="n"/>
      <c r="X973" s="82" t="n"/>
    </row>
    <row r="974" ht="15.75" customHeight="1" s="99">
      <c r="A974" s="58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82" t="n"/>
      <c r="X974" s="82" t="n"/>
    </row>
    <row r="975" ht="15.75" customHeight="1" s="99">
      <c r="A975" s="58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82" t="n"/>
      <c r="X975" s="82" t="n"/>
    </row>
    <row r="976" ht="15.75" customHeight="1" s="99">
      <c r="A976" s="58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82" t="n"/>
      <c r="X976" s="82" t="n"/>
    </row>
    <row r="977" ht="15.75" customHeight="1" s="99">
      <c r="A977" s="58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82" t="n"/>
      <c r="X977" s="82" t="n"/>
    </row>
    <row r="978" ht="15.75" customHeight="1" s="99">
      <c r="A978" s="58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82" t="n"/>
      <c r="X978" s="82" t="n"/>
    </row>
    <row r="979" ht="15.75" customHeight="1" s="99">
      <c r="A979" s="58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82" t="n"/>
      <c r="X979" s="82" t="n"/>
    </row>
    <row r="980" ht="15.75" customHeight="1" s="99">
      <c r="A980" s="58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82" t="n"/>
      <c r="X980" s="82" t="n"/>
    </row>
    <row r="981" ht="15.75" customHeight="1" s="99">
      <c r="A981" s="58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82" t="n"/>
      <c r="X981" s="82" t="n"/>
    </row>
    <row r="982" ht="15.75" customHeight="1" s="99">
      <c r="A982" s="58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82" t="n"/>
      <c r="X982" s="82" t="n"/>
    </row>
    <row r="983" ht="15.75" customHeight="1" s="99">
      <c r="A983" s="58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82" t="n"/>
      <c r="X983" s="82" t="n"/>
    </row>
    <row r="984" ht="15.75" customHeight="1" s="99">
      <c r="A984" s="58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82" t="n"/>
      <c r="X984" s="82" t="n"/>
    </row>
    <row r="985" ht="15.75" customHeight="1" s="99">
      <c r="A985" s="58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82" t="n"/>
      <c r="X985" s="82" t="n"/>
    </row>
    <row r="986" ht="15.75" customHeight="1" s="99">
      <c r="A986" s="58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82" t="n"/>
      <c r="X986" s="82" t="n"/>
    </row>
    <row r="987" ht="15.75" customHeight="1" s="99">
      <c r="A987" s="58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82" t="n"/>
      <c r="X987" s="82" t="n"/>
    </row>
    <row r="988" ht="15.75" customHeight="1" s="99">
      <c r="A988" s="58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82" t="n"/>
      <c r="X988" s="82" t="n"/>
    </row>
    <row r="989" ht="15.75" customHeight="1" s="99">
      <c r="A989" s="58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82" t="n"/>
      <c r="X989" s="82" t="n"/>
    </row>
    <row r="990" ht="15.75" customHeight="1" s="99">
      <c r="A990" s="58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82" t="n"/>
      <c r="X990" s="82" t="n"/>
    </row>
    <row r="991" ht="15.75" customHeight="1" s="99">
      <c r="A991" s="58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82" t="n"/>
      <c r="X991" s="82" t="n"/>
    </row>
    <row r="992" ht="15.75" customHeight="1" s="99">
      <c r="A992" s="58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82" t="n"/>
      <c r="X992" s="82" t="n"/>
    </row>
    <row r="993" ht="15.75" customHeight="1" s="99">
      <c r="A993" s="58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82" t="n"/>
      <c r="X993" s="82" t="n"/>
    </row>
    <row r="994" ht="15.75" customHeight="1" s="99">
      <c r="A994" s="58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82" t="n"/>
      <c r="X994" s="82" t="n"/>
    </row>
    <row r="995" ht="15.75" customHeight="1" s="99">
      <c r="A995" s="58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82" t="n"/>
      <c r="X995" s="82" t="n"/>
    </row>
    <row r="996" ht="15.75" customHeight="1" s="99">
      <c r="A996" s="58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82" t="n"/>
      <c r="X996" s="82" t="n"/>
    </row>
    <row r="997" ht="15.75" customHeight="1" s="99">
      <c r="A997" s="58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82" t="n"/>
      <c r="X997" s="82" t="n"/>
    </row>
    <row r="998" ht="15.75" customHeight="1" s="99">
      <c r="A998" s="58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82" t="n"/>
      <c r="X998" s="82" t="n"/>
    </row>
    <row r="999" ht="15.75" customHeight="1" s="99">
      <c r="A999" s="58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82" t="n"/>
      <c r="X999" s="82" t="n"/>
    </row>
    <row r="1000" ht="15.75" customHeight="1" s="99">
      <c r="A1000" s="58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82" t="n"/>
      <c r="X1000" s="82" t="n"/>
    </row>
    <row r="1001" ht="15.75" customHeight="1" s="99">
      <c r="A1001" s="58" t="n"/>
      <c r="B1001" s="59" t="n"/>
      <c r="C1001" s="59" t="n"/>
      <c r="D1001" s="59" t="n"/>
      <c r="E1001" s="59" t="n"/>
      <c r="F1001" s="59" t="n"/>
      <c r="G1001" s="59" t="n"/>
      <c r="H1001" s="59" t="n"/>
      <c r="I1001" s="59" t="n"/>
      <c r="J1001" s="59" t="n"/>
      <c r="K1001" s="59" t="n"/>
      <c r="L1001" s="59" t="n"/>
      <c r="M1001" s="59" t="n"/>
      <c r="N1001" s="59" t="n"/>
      <c r="O1001" s="59" t="n"/>
      <c r="P1001" s="59" t="n"/>
      <c r="Q1001" s="59" t="n"/>
      <c r="R1001" s="59" t="n"/>
      <c r="S1001" s="59" t="n"/>
      <c r="T1001" s="59" t="n"/>
      <c r="U1001" s="59" t="n"/>
      <c r="V1001" s="59" t="n"/>
      <c r="W1001" s="82" t="n"/>
      <c r="X1001" s="82" t="n"/>
    </row>
  </sheetData>
  <mergeCells count="8">
    <mergeCell ref="W1:W2"/>
    <mergeCell ref="U1:U2"/>
    <mergeCell ref="X1:X2"/>
    <mergeCell ref="V1:V2"/>
    <mergeCell ref="B1:C1"/>
    <mergeCell ref="D1:S1"/>
    <mergeCell ref="T1:T2"/>
    <mergeCell ref="A1:A2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67"/>
  <sheetViews>
    <sheetView zoomScaleNormal="100" workbookViewId="0">
      <pane xSplit="3" ySplit="2" topLeftCell="M3" activePane="bottomRight" state="frozen"/>
      <selection pane="topRight" activeCell="B3" sqref="B3"/>
      <selection pane="bottomLeft" activeCell="B3" sqref="B3"/>
      <selection pane="bottomRight" activeCell="N5" sqref="N5"/>
    </sheetView>
  </sheetViews>
  <sheetFormatPr baseColWidth="8" defaultColWidth="14.42578125" defaultRowHeight="15" customHeight="1"/>
  <cols>
    <col width="12.42578125" customWidth="1" style="74" min="1" max="1"/>
    <col hidden="1" width="28.42578125" customWidth="1" style="74" min="2" max="2"/>
    <col width="24.28515625" customWidth="1" style="74" min="3" max="3"/>
    <col width="19" customWidth="1" style="78" min="4" max="4"/>
    <col width="23.42578125" customWidth="1" style="74" min="5" max="18"/>
    <col width="29" customWidth="1" style="74" min="19" max="20"/>
    <col width="23.42578125" customWidth="1" style="74" min="21" max="54"/>
    <col width="30.42578125" customWidth="1" style="74" min="55" max="56"/>
    <col width="19" customWidth="1" style="74" min="57" max="57"/>
    <col width="14.42578125" customWidth="1" style="74" min="58" max="71"/>
    <col width="14.42578125" customWidth="1" style="74" min="72" max="16384"/>
  </cols>
  <sheetData>
    <row r="1" ht="30" customFormat="1" customHeight="1" s="73">
      <c r="A1" s="53" t="n"/>
      <c r="B1" s="53" t="n"/>
      <c r="C1" s="53" t="n"/>
      <c r="D1" s="54" t="inlineStr">
        <is>
          <t>Balance from last FY year</t>
        </is>
      </c>
      <c r="E1" s="109" t="n">
        <v>46113</v>
      </c>
      <c r="F1" s="89" t="n"/>
      <c r="G1" s="89" t="n"/>
      <c r="H1" s="90" t="n"/>
      <c r="I1" s="108" t="n">
        <v>46143</v>
      </c>
      <c r="J1" s="89" t="n"/>
      <c r="K1" s="89" t="n"/>
      <c r="L1" s="90" t="n"/>
      <c r="M1" s="107" t="n">
        <v>46174</v>
      </c>
      <c r="N1" s="89" t="n"/>
      <c r="O1" s="89" t="n"/>
      <c r="P1" s="90" t="n"/>
      <c r="Q1" s="107" t="n">
        <v>46204</v>
      </c>
      <c r="R1" s="89" t="n"/>
      <c r="S1" s="89" t="n"/>
      <c r="T1" s="90" t="n"/>
      <c r="U1" s="107" t="n">
        <v>46235</v>
      </c>
      <c r="V1" s="89" t="n"/>
      <c r="W1" s="89" t="n"/>
      <c r="X1" s="90" t="n"/>
      <c r="Y1" s="107" t="n">
        <v>46266</v>
      </c>
      <c r="Z1" s="89" t="n"/>
      <c r="AA1" s="89" t="n"/>
      <c r="AB1" s="90" t="n"/>
      <c r="AC1" s="107" t="n">
        <v>46296</v>
      </c>
      <c r="AD1" s="89" t="n"/>
      <c r="AE1" s="89" t="n"/>
      <c r="AF1" s="90" t="n"/>
      <c r="AG1" s="107" t="n">
        <v>46327</v>
      </c>
      <c r="AH1" s="89" t="n"/>
      <c r="AI1" s="89" t="n"/>
      <c r="AJ1" s="90" t="n"/>
      <c r="AK1" s="107" t="n">
        <v>46357</v>
      </c>
      <c r="AL1" s="89" t="n"/>
      <c r="AM1" s="89" t="n"/>
      <c r="AN1" s="90" t="n"/>
      <c r="AO1" s="107" t="n">
        <v>46388</v>
      </c>
      <c r="AP1" s="89" t="n"/>
      <c r="AQ1" s="89" t="n"/>
      <c r="AR1" s="90" t="n"/>
      <c r="AS1" s="107" t="n">
        <v>46419</v>
      </c>
      <c r="AT1" s="89" t="n"/>
      <c r="AU1" s="89" t="n"/>
      <c r="AV1" s="90" t="n"/>
      <c r="AW1" s="107" t="n">
        <v>46447</v>
      </c>
      <c r="AX1" s="89" t="n"/>
      <c r="AY1" s="89" t="n"/>
      <c r="AZ1" s="90" t="n"/>
      <c r="BA1" s="55" t="inlineStr">
        <is>
          <t>TOTAL COLLECTION</t>
        </is>
      </c>
      <c r="BB1" s="55" t="inlineStr">
        <is>
          <t>TOTAL EXPENSE</t>
        </is>
      </c>
      <c r="BC1" s="55" t="inlineStr">
        <is>
          <t>TOTAL LATE FEE</t>
        </is>
      </c>
      <c r="BD1" s="55" t="inlineStr">
        <is>
          <t>TOTAL COLLECTION - EXPENSE</t>
        </is>
      </c>
      <c r="BE1" s="56" t="inlineStr">
        <is>
          <t>Total Dues</t>
        </is>
      </c>
    </row>
    <row r="2" ht="15.75" customHeight="1" s="99" thickBot="1">
      <c r="A2" s="14" t="inlineStr">
        <is>
          <t>FLAT#</t>
        </is>
      </c>
      <c r="B2" s="14" t="inlineStr">
        <is>
          <t>email id</t>
        </is>
      </c>
      <c r="C2" s="14" t="inlineStr">
        <is>
          <t>OCCUPANT</t>
        </is>
      </c>
      <c r="D2" s="18" t="n"/>
      <c r="E2" s="18" t="inlineStr">
        <is>
          <t>COLLECTION</t>
        </is>
      </c>
      <c r="F2" s="18" t="inlineStr">
        <is>
          <t>EXPENSE</t>
        </is>
      </c>
      <c r="G2" s="18" t="inlineStr">
        <is>
          <t>LATE PAYMENT FEE</t>
        </is>
      </c>
      <c r="H2" s="18" t="inlineStr">
        <is>
          <t>COLLECTION - EXPENSE</t>
        </is>
      </c>
      <c r="I2" s="18" t="inlineStr">
        <is>
          <t>COLLECTION</t>
        </is>
      </c>
      <c r="J2" s="18" t="inlineStr">
        <is>
          <t>EXPENSE</t>
        </is>
      </c>
      <c r="K2" s="18" t="inlineStr">
        <is>
          <t>LATE PAYMENT FEE</t>
        </is>
      </c>
      <c r="L2" s="18" t="inlineStr">
        <is>
          <t>COLLECTION - EXPENSE</t>
        </is>
      </c>
      <c r="M2" s="18" t="inlineStr">
        <is>
          <t>COLLECTION</t>
        </is>
      </c>
      <c r="N2" s="18" t="inlineStr">
        <is>
          <t>EXPENSE</t>
        </is>
      </c>
      <c r="O2" s="18" t="inlineStr">
        <is>
          <t>LATE PAYMENT FEE</t>
        </is>
      </c>
      <c r="P2" s="18" t="inlineStr">
        <is>
          <t>COLLECTION - EXPENSE</t>
        </is>
      </c>
      <c r="Q2" s="18" t="inlineStr">
        <is>
          <t>COLLECTION</t>
        </is>
      </c>
      <c r="R2" s="18" t="inlineStr">
        <is>
          <t>EXPENSE</t>
        </is>
      </c>
      <c r="S2" s="18" t="inlineStr">
        <is>
          <t>LATE PAYMENT FEE</t>
        </is>
      </c>
      <c r="T2" s="18" t="inlineStr">
        <is>
          <t>COLLECTION - EXPENSE</t>
        </is>
      </c>
      <c r="U2" s="18" t="inlineStr">
        <is>
          <t>COLLECTION</t>
        </is>
      </c>
      <c r="V2" s="18" t="inlineStr">
        <is>
          <t>EXPENSE</t>
        </is>
      </c>
      <c r="W2" s="18" t="inlineStr">
        <is>
          <t>LATE PAYMENT FEE</t>
        </is>
      </c>
      <c r="X2" s="18" t="inlineStr">
        <is>
          <t>COLLECTION - EXPENSE</t>
        </is>
      </c>
      <c r="Y2" s="18" t="inlineStr">
        <is>
          <t>COLLECTION</t>
        </is>
      </c>
      <c r="Z2" s="18" t="inlineStr">
        <is>
          <t>EXPENSE</t>
        </is>
      </c>
      <c r="AA2" s="18" t="inlineStr">
        <is>
          <t>LATE PAYMENT FEE</t>
        </is>
      </c>
      <c r="AB2" s="18" t="inlineStr">
        <is>
          <t>COLLECTION - EXPENSE</t>
        </is>
      </c>
      <c r="AC2" s="18" t="inlineStr">
        <is>
          <t>COLLECTION</t>
        </is>
      </c>
      <c r="AD2" s="18" t="inlineStr">
        <is>
          <t>EXPENSE</t>
        </is>
      </c>
      <c r="AE2" s="18" t="inlineStr">
        <is>
          <t>LATE PAYMENT FEE</t>
        </is>
      </c>
      <c r="AF2" s="18" t="inlineStr">
        <is>
          <t>COLLECTION - EXPENSE</t>
        </is>
      </c>
      <c r="AG2" s="18" t="inlineStr">
        <is>
          <t>COLLECTION</t>
        </is>
      </c>
      <c r="AH2" s="18" t="inlineStr">
        <is>
          <t>EXPENSE</t>
        </is>
      </c>
      <c r="AI2" s="18" t="inlineStr">
        <is>
          <t>LATE PAYMENT FEE</t>
        </is>
      </c>
      <c r="AJ2" s="18" t="inlineStr">
        <is>
          <t>COLLECTION - EXPENSE</t>
        </is>
      </c>
      <c r="AK2" s="18" t="inlineStr">
        <is>
          <t>COLLECTION</t>
        </is>
      </c>
      <c r="AL2" s="18" t="inlineStr">
        <is>
          <t>EXPENSE</t>
        </is>
      </c>
      <c r="AM2" s="18" t="inlineStr">
        <is>
          <t>LATE PAYMENT FEE</t>
        </is>
      </c>
      <c r="AN2" s="18" t="inlineStr">
        <is>
          <t>COLLECTION - EXPENSE</t>
        </is>
      </c>
      <c r="AO2" s="18" t="inlineStr">
        <is>
          <t>COLLECTION</t>
        </is>
      </c>
      <c r="AP2" s="18" t="inlineStr">
        <is>
          <t>EXPENSE</t>
        </is>
      </c>
      <c r="AQ2" s="18" t="inlineStr">
        <is>
          <t>LATE PAYMENT FEE</t>
        </is>
      </c>
      <c r="AR2" s="18" t="inlineStr">
        <is>
          <t>COLLECTION - EXPENSE</t>
        </is>
      </c>
      <c r="AS2" s="18" t="inlineStr">
        <is>
          <t>COLLECTION</t>
        </is>
      </c>
      <c r="AT2" s="18" t="inlineStr">
        <is>
          <t>EXPENSE</t>
        </is>
      </c>
      <c r="AU2" s="18" t="inlineStr">
        <is>
          <t>LATE PAYMENT FEE</t>
        </is>
      </c>
      <c r="AV2" s="18" t="inlineStr">
        <is>
          <t>COLLECTION - EXPENSE</t>
        </is>
      </c>
      <c r="AW2" s="18" t="inlineStr">
        <is>
          <t>COLLECTION</t>
        </is>
      </c>
      <c r="AX2" s="18" t="inlineStr">
        <is>
          <t>EXPENSE</t>
        </is>
      </c>
      <c r="AY2" s="18" t="inlineStr">
        <is>
          <t>LATE PAYMENT FEE</t>
        </is>
      </c>
      <c r="AZ2" s="18" t="inlineStr">
        <is>
          <t>COLLECTION - EXPENSE</t>
        </is>
      </c>
      <c r="BA2" s="18" t="n"/>
      <c r="BB2" s="18" t="n"/>
      <c r="BC2" s="18" t="n"/>
      <c r="BD2" s="18" t="n"/>
      <c r="BE2" s="14" t="n"/>
    </row>
    <row r="3" ht="16.15" customHeight="1" s="99">
      <c r="A3" s="68" t="inlineStr">
        <is>
          <t>F1</t>
        </is>
      </c>
      <c r="B3" s="69">
        <f>VLOOKUP(A3,Members!$A$2:$C$65,3,FALSE)</f>
        <v/>
      </c>
      <c r="C3" s="68">
        <f>Members!B2</f>
        <v/>
      </c>
      <c r="D3" s="70" t="n">
        <v>-9442.70623740711</v>
      </c>
      <c r="E3" s="70">
        <f>INDIRECT("'Apr"&amp;Members!$F$2&amp;"-COLLECTION'!K"&amp;ROW()-1)</f>
        <v/>
      </c>
      <c r="F3" s="70">
        <f>INDIRECT("'Apr"&amp;Members!$F$2&amp;"-EXPENSE'!R"&amp;ROW()+3)</f>
        <v/>
      </c>
      <c r="G3" s="10" t="n"/>
      <c r="H3" s="70">
        <f>E3-(F3+G3)</f>
        <v/>
      </c>
      <c r="I3" s="70">
        <f>INDIRECT("'May"&amp;Members!$F$2&amp;"-COLLECTION'!K"&amp;ROW()-1)</f>
        <v/>
      </c>
      <c r="J3" s="70">
        <f>INDIRECT("'May"&amp;Members!$F$2&amp;"-EXPENSE'!R"&amp;ROW()+3)</f>
        <v/>
      </c>
      <c r="K3" s="11" t="n"/>
      <c r="L3" s="70">
        <f>I3-(J3+K3)</f>
        <v/>
      </c>
      <c r="M3" s="70">
        <f>INDIRECT("'June"&amp;Members!$F$2&amp;"-COLLECTION'!K"&amp;ROW()-1)</f>
        <v/>
      </c>
      <c r="N3" s="70">
        <f>INDIRECT("'June"&amp;Members!$F$2&amp;"-EXPENSE'!R"&amp;ROW()+3)</f>
        <v/>
      </c>
      <c r="O3" s="10" t="n"/>
      <c r="P3" s="70">
        <f>M3-(N3+O3)</f>
        <v/>
      </c>
      <c r="Q3" s="70">
        <f>INDIRECT("'July"&amp;Members!$F$2&amp;"-COLLECTION'!K"&amp;ROW()-1)</f>
        <v/>
      </c>
      <c r="R3" s="70">
        <f>INDIRECT("'July"&amp;Members!$F$2&amp;"-EXPENSE'!R"&amp;ROW()+3)</f>
        <v/>
      </c>
      <c r="S3" s="11" t="n"/>
      <c r="T3" s="70">
        <f>Q3-(R3+S3)</f>
        <v/>
      </c>
      <c r="U3" s="70">
        <f>INDIRECT("'Aug"&amp;Members!$F$2&amp;"-COLLECTION'!K"&amp;ROW()-1)</f>
        <v/>
      </c>
      <c r="V3" s="70">
        <f>INDIRECT("'Aug"&amp;Members!$F$2&amp;"-EXPENSE'!R"&amp;ROW()+3)</f>
        <v/>
      </c>
      <c r="W3" s="10" t="n"/>
      <c r="X3" s="70">
        <f>U3-(V3+W3)</f>
        <v/>
      </c>
      <c r="Y3" s="70">
        <f>INDIRECT("'Sep"&amp;Members!$F$2&amp;"-COLLECTION'!K"&amp;ROW()-1)</f>
        <v/>
      </c>
      <c r="Z3" s="70">
        <f>INDIRECT("'Sep"&amp;Members!$F$2&amp;"-EXPENSE'!R"&amp;ROW()+3)</f>
        <v/>
      </c>
      <c r="AA3" s="11" t="n"/>
      <c r="AB3" s="70">
        <f>Y3-(Z3+AA3)</f>
        <v/>
      </c>
      <c r="AC3" s="70">
        <f>INDIRECT("'Oct"&amp;Members!$F$2&amp;"-COLLECTION'!K"&amp;ROW()-1)</f>
        <v/>
      </c>
      <c r="AD3" s="70">
        <f>INDIRECT("'Oct"&amp;Members!$F$2&amp;"-EXPENSE'!R"&amp;ROW()+3)</f>
        <v/>
      </c>
      <c r="AE3" s="11" t="n"/>
      <c r="AF3" s="70">
        <f>AC3-(AD3+AE3)</f>
        <v/>
      </c>
      <c r="AG3" s="70">
        <f>INDIRECT("'Nov"&amp;Members!$F$2&amp;"-COLLECTION'!K"&amp;ROW()-1)</f>
        <v/>
      </c>
      <c r="AH3" s="70">
        <f>INDIRECT("'Nov"&amp;Members!$F$2&amp;"-EXPENSE'!R"&amp;ROW()+3)</f>
        <v/>
      </c>
      <c r="AI3" s="11" t="n"/>
      <c r="AJ3" s="70">
        <f>AG3-(AH3+AI3)</f>
        <v/>
      </c>
      <c r="AK3" s="70">
        <f>INDIRECT("'Dec"&amp;Members!$F$2&amp;"-COLLECTION'!K"&amp;ROW()-1)</f>
        <v/>
      </c>
      <c r="AL3" s="70">
        <f>INDIRECT("'Dec"&amp;Members!$F$2&amp;"-EXPENSE'!R"&amp;ROW()+3)</f>
        <v/>
      </c>
      <c r="AM3" s="11" t="n"/>
      <c r="AN3" s="70">
        <f>AK3-(AL3+AM3)</f>
        <v/>
      </c>
      <c r="AO3" s="70">
        <f>INDIRECT("'Jan"&amp;Members!$G$2&amp;"-COLLECTION'!K"&amp;ROW()-1)</f>
        <v/>
      </c>
      <c r="AP3" s="70">
        <f>INDIRECT("'Jan"&amp;Members!$G$2&amp;"-EXPENSE'!R"&amp;ROW()+3)</f>
        <v/>
      </c>
      <c r="AQ3" s="75" t="n"/>
      <c r="AR3" s="70">
        <f>AO3-(AP3+AQ3)</f>
        <v/>
      </c>
      <c r="AS3" s="70">
        <f>INDIRECT("'Feb"&amp;Members!$G$2&amp;"-COLLECTION'!K"&amp;ROW()-1)</f>
        <v/>
      </c>
      <c r="AT3" s="70">
        <f>INDIRECT("'Feb"&amp;Members!$G$2&amp;"-EXPENSE'!R"&amp;ROW()+3)</f>
        <v/>
      </c>
      <c r="AU3" s="75" t="n"/>
      <c r="AV3" s="70">
        <f>AS3-(AT3+AU3)</f>
        <v/>
      </c>
      <c r="AW3" s="70">
        <f>INDIRECT("'Mar"&amp;Members!$G$2&amp;"-COLLECTION'!K"&amp;ROW()-1)</f>
        <v/>
      </c>
      <c r="AX3" s="70">
        <f>INDIRECT("'Mar"&amp;Members!$G$2&amp;"-EXPENSE'!R"&amp;ROW()+3)</f>
        <v/>
      </c>
      <c r="AY3" s="75" t="n"/>
      <c r="AZ3" s="70">
        <f>AW3-(AX3+AY3)</f>
        <v/>
      </c>
      <c r="BA3" s="70">
        <f>SUM(E3,I3,M3,Q3,U3,Y3,AC3,AG3,AK3,AO3,AS3,AW3)</f>
        <v/>
      </c>
      <c r="BB3" s="70">
        <f>SUM(F3,J3,N3,R3,V3,Z3,AD3,AH3,AL3,AP3,AT3,AX3)</f>
        <v/>
      </c>
      <c r="BC3" s="70">
        <f>SUM(G3,K3,O3,S3,W3,AA3,AE3,AI3,AM3,AQ3,AU3,AY3)</f>
        <v/>
      </c>
      <c r="BD3" s="70">
        <f>BA3-(BB3+BC3)</f>
        <v/>
      </c>
      <c r="BE3" s="70">
        <f>BD3+D3</f>
        <v/>
      </c>
    </row>
    <row r="4" ht="16.15" customHeight="1" s="99">
      <c r="A4" s="52" t="inlineStr">
        <is>
          <t>F2</t>
        </is>
      </c>
      <c r="B4" s="71">
        <f>VLOOKUP(A4,Members!$A$2:$C$65,3,FALSE)</f>
        <v/>
      </c>
      <c r="C4" s="52">
        <f>Members!B3</f>
        <v/>
      </c>
      <c r="D4" s="72" t="n">
        <v>2605.517970270768</v>
      </c>
      <c r="E4" s="72">
        <f>INDIRECT("'Apr"&amp;Members!$F$2&amp;"-COLLECTION'!K"&amp;ROW()-1)</f>
        <v/>
      </c>
      <c r="F4" s="72">
        <f>INDIRECT("'Apr"&amp;Members!$F$2&amp;"-EXPENSE'!R"&amp;ROW()+3)</f>
        <v/>
      </c>
      <c r="G4" s="10" t="n"/>
      <c r="H4" s="72">
        <f>E4-(F4+G4)</f>
        <v/>
      </c>
      <c r="I4" s="72">
        <f>INDIRECT("'May"&amp;Members!$F$2&amp;"-COLLECTION'!K"&amp;ROW()-1)</f>
        <v/>
      </c>
      <c r="J4" s="72">
        <f>INDIRECT("'May"&amp;Members!$F$2&amp;"-EXPENSE'!R"&amp;ROW()+3)</f>
        <v/>
      </c>
      <c r="K4" s="11" t="n"/>
      <c r="L4" s="72">
        <f>I4-(J4+K4)</f>
        <v/>
      </c>
      <c r="M4" s="72">
        <f>INDIRECT("'June"&amp;Members!$F$2&amp;"-COLLECTION'!K"&amp;ROW()-1)</f>
        <v/>
      </c>
      <c r="N4" s="72">
        <f>INDIRECT("'June"&amp;Members!$F$2&amp;"-EXPENSE'!R"&amp;ROW()+3)</f>
        <v/>
      </c>
      <c r="O4" s="10" t="n"/>
      <c r="P4" s="72">
        <f>M4-(N4+O4)</f>
        <v/>
      </c>
      <c r="Q4" s="72">
        <f>INDIRECT("'July"&amp;Members!$F$2&amp;"-COLLECTION'!K"&amp;ROW()-1)</f>
        <v/>
      </c>
      <c r="R4" s="72">
        <f>INDIRECT("'July"&amp;Members!$F$2&amp;"-EXPENSE'!R"&amp;ROW()+3)</f>
        <v/>
      </c>
      <c r="S4" s="11" t="n"/>
      <c r="T4" s="72">
        <f>Q4-(R4+S4)</f>
        <v/>
      </c>
      <c r="U4" s="72">
        <f>INDIRECT("'Aug"&amp;Members!$F$2&amp;"-COLLECTION'!K"&amp;ROW()-1)</f>
        <v/>
      </c>
      <c r="V4" s="72">
        <f>INDIRECT("'Aug"&amp;Members!$F$2&amp;"-EXPENSE'!R"&amp;ROW()+3)</f>
        <v/>
      </c>
      <c r="W4" s="10" t="n"/>
      <c r="X4" s="72">
        <f>U4-(V4+W4)</f>
        <v/>
      </c>
      <c r="Y4" s="72">
        <f>INDIRECT("'Sep"&amp;Members!$F$2&amp;"-COLLECTION'!K"&amp;ROW()-1)</f>
        <v/>
      </c>
      <c r="Z4" s="72">
        <f>INDIRECT("'Sep"&amp;Members!$F$2&amp;"-EXPENSE'!R"&amp;ROW()+3)</f>
        <v/>
      </c>
      <c r="AA4" s="11" t="n"/>
      <c r="AB4" s="72">
        <f>Y4-(Z4+AA4)</f>
        <v/>
      </c>
      <c r="AC4" s="72">
        <f>INDIRECT("'Oct"&amp;Members!$F$2&amp;"-COLLECTION'!K"&amp;ROW()-1)</f>
        <v/>
      </c>
      <c r="AD4" s="72">
        <f>INDIRECT("'Oct"&amp;Members!$F$2&amp;"-EXPENSE'!R"&amp;ROW()+3)</f>
        <v/>
      </c>
      <c r="AE4" s="11" t="n"/>
      <c r="AF4" s="72">
        <f>AC4-(AD4+AE4)</f>
        <v/>
      </c>
      <c r="AG4" s="72">
        <f>INDIRECT("'Nov"&amp;Members!$F$2&amp;"-COLLECTION'!K"&amp;ROW()-1)</f>
        <v/>
      </c>
      <c r="AH4" s="72">
        <f>INDIRECT("'Nov"&amp;Members!$F$2&amp;"-EXPENSE'!R"&amp;ROW()+3)</f>
        <v/>
      </c>
      <c r="AI4" s="11" t="n"/>
      <c r="AJ4" s="72">
        <f>AG4-(AH4+AI4)</f>
        <v/>
      </c>
      <c r="AK4" s="72">
        <f>INDIRECT("'Dec"&amp;Members!$F$2&amp;"-COLLECTION'!K"&amp;ROW()-1)</f>
        <v/>
      </c>
      <c r="AL4" s="72">
        <f>INDIRECT("'Dec"&amp;Members!$F$2&amp;"-EXPENSE'!R"&amp;ROW()+3)</f>
        <v/>
      </c>
      <c r="AM4" s="11" t="n"/>
      <c r="AN4" s="72">
        <f>AK4-(AL4+AM4)</f>
        <v/>
      </c>
      <c r="AO4" s="72">
        <f>INDIRECT("'Jan"&amp;Members!$G$2&amp;"-COLLECTION'!K"&amp;ROW()-1)</f>
        <v/>
      </c>
      <c r="AP4" s="72">
        <f>INDIRECT("'Jan"&amp;Members!$G$2&amp;"-EXPENSE'!R"&amp;ROW()+3)</f>
        <v/>
      </c>
      <c r="AQ4" s="75" t="n"/>
      <c r="AR4" s="72">
        <f>AO4-(AP4+AQ4)</f>
        <v/>
      </c>
      <c r="AS4" s="72">
        <f>INDIRECT("'Feb"&amp;Members!$G$2&amp;"-COLLECTION'!K"&amp;ROW()-1)</f>
        <v/>
      </c>
      <c r="AT4" s="72">
        <f>INDIRECT("'Feb"&amp;Members!$G$2&amp;"-EXPENSE'!R"&amp;ROW()+3)</f>
        <v/>
      </c>
      <c r="AU4" s="75" t="n"/>
      <c r="AV4" s="72">
        <f>AS4-(AT4+AU4)</f>
        <v/>
      </c>
      <c r="AW4" s="72">
        <f>INDIRECT("'Mar"&amp;Members!$G$2&amp;"-COLLECTION'!K"&amp;ROW()-1)</f>
        <v/>
      </c>
      <c r="AX4" s="72">
        <f>INDIRECT("'Mar"&amp;Members!$G$2&amp;"-EXPENSE'!R"&amp;ROW()+3)</f>
        <v/>
      </c>
      <c r="AY4" s="75" t="n"/>
      <c r="AZ4" s="72">
        <f>AW4-(AX4+AY4)</f>
        <v/>
      </c>
      <c r="BA4" s="72">
        <f>SUM(E4,I4,M4,Q4,U4,Y4,AC4,AG4,AK4,AO4,AS4,AW4)</f>
        <v/>
      </c>
      <c r="BB4" s="72">
        <f>SUM(F4,J4,N4,R4,V4,Z4,AD4,AH4,AL4,AP4,AT4,AX4)</f>
        <v/>
      </c>
      <c r="BC4" s="72">
        <f>SUM(G4,K4,O4,S4,W4,AA4,AE4,AI4,AM4,AQ4,AU4,AY4)</f>
        <v/>
      </c>
      <c r="BD4" s="72">
        <f>BA4-(BB4+BC4)</f>
        <v/>
      </c>
      <c r="BE4" s="72">
        <f>BD4+D4</f>
        <v/>
      </c>
    </row>
    <row r="5" ht="16.15" customHeight="1" s="99">
      <c r="A5" s="68" t="inlineStr">
        <is>
          <t>F3</t>
        </is>
      </c>
      <c r="B5" s="69">
        <f>VLOOKUP(A5,Members!$A$2:$C$65,3,FALSE)</f>
        <v/>
      </c>
      <c r="C5" s="68">
        <f>Members!B4</f>
        <v/>
      </c>
      <c r="D5" s="70" t="n">
        <v>-6637.258821015508</v>
      </c>
      <c r="E5" s="70">
        <f>INDIRECT("'Apr"&amp;Members!$F$2&amp;"-COLLECTION'!K"&amp;ROW()-1)</f>
        <v/>
      </c>
      <c r="F5" s="70">
        <f>INDIRECT("'Apr"&amp;Members!$F$2&amp;"-EXPENSE'!R"&amp;ROW()+3)</f>
        <v/>
      </c>
      <c r="G5" s="10" t="n"/>
      <c r="H5" s="70">
        <f>E5-(F5+G5)</f>
        <v/>
      </c>
      <c r="I5" s="70">
        <f>INDIRECT("'May"&amp;Members!$F$2&amp;"-COLLECTION'!K"&amp;ROW()-1)</f>
        <v/>
      </c>
      <c r="J5" s="70">
        <f>INDIRECT("'May"&amp;Members!$F$2&amp;"-EXPENSE'!R"&amp;ROW()+3)</f>
        <v/>
      </c>
      <c r="K5" s="11" t="n"/>
      <c r="L5" s="70">
        <f>I5-(J5+K5)</f>
        <v/>
      </c>
      <c r="M5" s="70">
        <f>INDIRECT("'June"&amp;Members!$F$2&amp;"-COLLECTION'!K"&amp;ROW()-1)</f>
        <v/>
      </c>
      <c r="N5" s="70">
        <f>INDIRECT("'June"&amp;Members!$F$2&amp;"-EXPENSE'!R"&amp;ROW()+3)</f>
        <v/>
      </c>
      <c r="O5" s="10" t="n"/>
      <c r="P5" s="70">
        <f>M5-(N5+O5)</f>
        <v/>
      </c>
      <c r="Q5" s="70">
        <f>INDIRECT("'July"&amp;Members!$F$2&amp;"-COLLECTION'!K"&amp;ROW()-1)</f>
        <v/>
      </c>
      <c r="R5" s="70">
        <f>INDIRECT("'July"&amp;Members!$F$2&amp;"-EXPENSE'!R"&amp;ROW()+3)</f>
        <v/>
      </c>
      <c r="S5" s="11" t="n"/>
      <c r="T5" s="70">
        <f>Q5-(R5+S5)</f>
        <v/>
      </c>
      <c r="U5" s="70">
        <f>INDIRECT("'Aug"&amp;Members!$F$2&amp;"-COLLECTION'!K"&amp;ROW()-1)</f>
        <v/>
      </c>
      <c r="V5" s="70">
        <f>INDIRECT("'Aug"&amp;Members!$F$2&amp;"-EXPENSE'!R"&amp;ROW()+3)</f>
        <v/>
      </c>
      <c r="W5" s="10" t="n"/>
      <c r="X5" s="70">
        <f>U5-(V5+W5)</f>
        <v/>
      </c>
      <c r="Y5" s="70">
        <f>INDIRECT("'Sep"&amp;Members!$F$2&amp;"-COLLECTION'!K"&amp;ROW()-1)</f>
        <v/>
      </c>
      <c r="Z5" s="70">
        <f>INDIRECT("'Sep"&amp;Members!$F$2&amp;"-EXPENSE'!R"&amp;ROW()+3)</f>
        <v/>
      </c>
      <c r="AA5" s="11" t="n"/>
      <c r="AB5" s="70">
        <f>Y5-(Z5+AA5)</f>
        <v/>
      </c>
      <c r="AC5" s="70">
        <f>INDIRECT("'Oct"&amp;Members!$F$2&amp;"-COLLECTION'!K"&amp;ROW()-1)</f>
        <v/>
      </c>
      <c r="AD5" s="70">
        <f>INDIRECT("'Oct"&amp;Members!$F$2&amp;"-EXPENSE'!R"&amp;ROW()+3)</f>
        <v/>
      </c>
      <c r="AE5" s="11" t="n"/>
      <c r="AF5" s="70">
        <f>AC5-(AD5+AE5)</f>
        <v/>
      </c>
      <c r="AG5" s="70">
        <f>INDIRECT("'Nov"&amp;Members!$F$2&amp;"-COLLECTION'!K"&amp;ROW()-1)</f>
        <v/>
      </c>
      <c r="AH5" s="70">
        <f>INDIRECT("'Nov"&amp;Members!$F$2&amp;"-EXPENSE'!R"&amp;ROW()+3)</f>
        <v/>
      </c>
      <c r="AI5" s="11" t="n"/>
      <c r="AJ5" s="70">
        <f>AG5-(AH5+AI5)</f>
        <v/>
      </c>
      <c r="AK5" s="70">
        <f>INDIRECT("'Dec"&amp;Members!$F$2&amp;"-COLLECTION'!K"&amp;ROW()-1)</f>
        <v/>
      </c>
      <c r="AL5" s="70">
        <f>INDIRECT("'Dec"&amp;Members!$F$2&amp;"-EXPENSE'!R"&amp;ROW()+3)</f>
        <v/>
      </c>
      <c r="AM5" s="11" t="n"/>
      <c r="AN5" s="70">
        <f>AK5-(AL5+AM5)</f>
        <v/>
      </c>
      <c r="AO5" s="70">
        <f>INDIRECT("'Jan"&amp;Members!$G$2&amp;"-COLLECTION'!K"&amp;ROW()-1)</f>
        <v/>
      </c>
      <c r="AP5" s="70">
        <f>INDIRECT("'Jan"&amp;Members!$G$2&amp;"-EXPENSE'!R"&amp;ROW()+3)</f>
        <v/>
      </c>
      <c r="AQ5" s="75" t="n"/>
      <c r="AR5" s="70">
        <f>AO5-(AP5+AQ5)</f>
        <v/>
      </c>
      <c r="AS5" s="70">
        <f>INDIRECT("'Feb"&amp;Members!$G$2&amp;"-COLLECTION'!K"&amp;ROW()-1)</f>
        <v/>
      </c>
      <c r="AT5" s="70">
        <f>INDIRECT("'Feb"&amp;Members!$G$2&amp;"-EXPENSE'!R"&amp;ROW()+3)</f>
        <v/>
      </c>
      <c r="AU5" s="75" t="n"/>
      <c r="AV5" s="70">
        <f>AS5-(AT5+AU5)</f>
        <v/>
      </c>
      <c r="AW5" s="70">
        <f>INDIRECT("'Mar"&amp;Members!$G$2&amp;"-COLLECTION'!K"&amp;ROW()-1)</f>
        <v/>
      </c>
      <c r="AX5" s="70">
        <f>INDIRECT("'Mar"&amp;Members!$G$2&amp;"-EXPENSE'!R"&amp;ROW()+3)</f>
        <v/>
      </c>
      <c r="AY5" s="75" t="n"/>
      <c r="AZ5" s="70">
        <f>AW5-(AX5+AY5)</f>
        <v/>
      </c>
      <c r="BA5" s="70">
        <f>SUM(E5,I5,M5,Q5,U5,Y5,AC5,AG5,AK5,AO5,AS5,AW5)</f>
        <v/>
      </c>
      <c r="BB5" s="70">
        <f>SUM(F5,J5,N5,R5,V5,Z5,AD5,AH5,AL5,AP5,AT5,AX5)</f>
        <v/>
      </c>
      <c r="BC5" s="70">
        <f>SUM(G5,K5,O5,S5,W5,AA5,AE5,AI5,AM5,AQ5,AU5,AY5)</f>
        <v/>
      </c>
      <c r="BD5" s="70">
        <f>BA5-(BB5+BC5)</f>
        <v/>
      </c>
      <c r="BE5" s="70">
        <f>BD5+D5</f>
        <v/>
      </c>
    </row>
    <row r="6" ht="16.15" customHeight="1" s="99">
      <c r="A6" s="52" t="inlineStr">
        <is>
          <t>F4</t>
        </is>
      </c>
      <c r="B6" s="71">
        <f>VLOOKUP(A6,Members!$A$2:$C$65,3,FALSE)</f>
        <v/>
      </c>
      <c r="C6" s="52">
        <f>Members!B5</f>
        <v/>
      </c>
      <c r="D6" s="72" t="n">
        <v>-5635.221881906327</v>
      </c>
      <c r="E6" s="72">
        <f>INDIRECT("'Apr"&amp;Members!$F$2&amp;"-COLLECTION'!K"&amp;ROW()-1)</f>
        <v/>
      </c>
      <c r="F6" s="72">
        <f>INDIRECT("'Apr"&amp;Members!$F$2&amp;"-EXPENSE'!R"&amp;ROW()+3)</f>
        <v/>
      </c>
      <c r="G6" s="10" t="n"/>
      <c r="H6" s="72">
        <f>E6-(F6+G6)</f>
        <v/>
      </c>
      <c r="I6" s="72">
        <f>INDIRECT("'May"&amp;Members!$F$2&amp;"-COLLECTION'!K"&amp;ROW()-1)</f>
        <v/>
      </c>
      <c r="J6" s="72">
        <f>INDIRECT("'May"&amp;Members!$F$2&amp;"-EXPENSE'!R"&amp;ROW()+3)</f>
        <v/>
      </c>
      <c r="K6" s="11" t="n"/>
      <c r="L6" s="72">
        <f>I6-(J6+K6)</f>
        <v/>
      </c>
      <c r="M6" s="72">
        <f>INDIRECT("'June"&amp;Members!$F$2&amp;"-COLLECTION'!K"&amp;ROW()-1)</f>
        <v/>
      </c>
      <c r="N6" s="72">
        <f>INDIRECT("'June"&amp;Members!$F$2&amp;"-EXPENSE'!R"&amp;ROW()+3)</f>
        <v/>
      </c>
      <c r="O6" s="10" t="n"/>
      <c r="P6" s="72">
        <f>M6-(N6+O6)</f>
        <v/>
      </c>
      <c r="Q6" s="72">
        <f>INDIRECT("'July"&amp;Members!$F$2&amp;"-COLLECTION'!K"&amp;ROW()-1)</f>
        <v/>
      </c>
      <c r="R6" s="72">
        <f>INDIRECT("'July"&amp;Members!$F$2&amp;"-EXPENSE'!R"&amp;ROW()+3)</f>
        <v/>
      </c>
      <c r="S6" s="11" t="n"/>
      <c r="T6" s="72">
        <f>Q6-(R6+S6)</f>
        <v/>
      </c>
      <c r="U6" s="72">
        <f>INDIRECT("'Aug"&amp;Members!$F$2&amp;"-COLLECTION'!K"&amp;ROW()-1)</f>
        <v/>
      </c>
      <c r="V6" s="72">
        <f>INDIRECT("'Aug"&amp;Members!$F$2&amp;"-EXPENSE'!R"&amp;ROW()+3)</f>
        <v/>
      </c>
      <c r="W6" s="10" t="n"/>
      <c r="X6" s="72">
        <f>U6-(V6+W6)</f>
        <v/>
      </c>
      <c r="Y6" s="72">
        <f>INDIRECT("'Sep"&amp;Members!$F$2&amp;"-COLLECTION'!K"&amp;ROW()-1)</f>
        <v/>
      </c>
      <c r="Z6" s="72">
        <f>INDIRECT("'Sep"&amp;Members!$F$2&amp;"-EXPENSE'!R"&amp;ROW()+3)</f>
        <v/>
      </c>
      <c r="AA6" s="11" t="n"/>
      <c r="AB6" s="72">
        <f>Y6-(Z6+AA6)</f>
        <v/>
      </c>
      <c r="AC6" s="72">
        <f>INDIRECT("'Oct"&amp;Members!$F$2&amp;"-COLLECTION'!K"&amp;ROW()-1)</f>
        <v/>
      </c>
      <c r="AD6" s="72">
        <f>INDIRECT("'Oct"&amp;Members!$F$2&amp;"-EXPENSE'!R"&amp;ROW()+3)</f>
        <v/>
      </c>
      <c r="AE6" s="11" t="n"/>
      <c r="AF6" s="72">
        <f>AC6-(AD6+AE6)</f>
        <v/>
      </c>
      <c r="AG6" s="72">
        <f>INDIRECT("'Nov"&amp;Members!$F$2&amp;"-COLLECTION'!K"&amp;ROW()-1)</f>
        <v/>
      </c>
      <c r="AH6" s="72">
        <f>INDIRECT("'Nov"&amp;Members!$F$2&amp;"-EXPENSE'!R"&amp;ROW()+3)</f>
        <v/>
      </c>
      <c r="AI6" s="11" t="n"/>
      <c r="AJ6" s="72">
        <f>AG6-(AH6+AI6)</f>
        <v/>
      </c>
      <c r="AK6" s="72">
        <f>INDIRECT("'Dec"&amp;Members!$F$2&amp;"-COLLECTION'!K"&amp;ROW()-1)</f>
        <v/>
      </c>
      <c r="AL6" s="72">
        <f>INDIRECT("'Dec"&amp;Members!$F$2&amp;"-EXPENSE'!R"&amp;ROW()+3)</f>
        <v/>
      </c>
      <c r="AM6" s="11" t="n"/>
      <c r="AN6" s="72">
        <f>AK6-(AL6+AM6)</f>
        <v/>
      </c>
      <c r="AO6" s="72">
        <f>INDIRECT("'Jan"&amp;Members!$G$2&amp;"-COLLECTION'!K"&amp;ROW()-1)</f>
        <v/>
      </c>
      <c r="AP6" s="72">
        <f>INDIRECT("'Jan"&amp;Members!$G$2&amp;"-EXPENSE'!R"&amp;ROW()+3)</f>
        <v/>
      </c>
      <c r="AQ6" s="75" t="n"/>
      <c r="AR6" s="72">
        <f>AO6-(AP6+AQ6)</f>
        <v/>
      </c>
      <c r="AS6" s="72">
        <f>INDIRECT("'Feb"&amp;Members!$G$2&amp;"-COLLECTION'!K"&amp;ROW()-1)</f>
        <v/>
      </c>
      <c r="AT6" s="72">
        <f>INDIRECT("'Feb"&amp;Members!$G$2&amp;"-EXPENSE'!R"&amp;ROW()+3)</f>
        <v/>
      </c>
      <c r="AU6" s="75" t="n"/>
      <c r="AV6" s="72">
        <f>AS6-(AT6+AU6)</f>
        <v/>
      </c>
      <c r="AW6" s="72">
        <f>INDIRECT("'Mar"&amp;Members!$G$2&amp;"-COLLECTION'!K"&amp;ROW()-1)</f>
        <v/>
      </c>
      <c r="AX6" s="72">
        <f>INDIRECT("'Mar"&amp;Members!$G$2&amp;"-EXPENSE'!R"&amp;ROW()+3)</f>
        <v/>
      </c>
      <c r="AY6" s="75" t="n"/>
      <c r="AZ6" s="72">
        <f>AW6-(AX6+AY6)</f>
        <v/>
      </c>
      <c r="BA6" s="72">
        <f>SUM(E6,I6,M6,Q6,U6,Y6,AC6,AG6,AK6,AO6,AS6,AW6)</f>
        <v/>
      </c>
      <c r="BB6" s="72">
        <f>SUM(F6,J6,N6,R6,V6,Z6,AD6,AH6,AL6,AP6,AT6,AX6)</f>
        <v/>
      </c>
      <c r="BC6" s="72">
        <f>SUM(G6,K6,O6,S6,W6,AA6,AE6,AI6,AM6,AQ6,AU6,AY6)</f>
        <v/>
      </c>
      <c r="BD6" s="72">
        <f>BA6-(BB6+BC6)</f>
        <v/>
      </c>
      <c r="BE6" s="72">
        <f>BD6+D6</f>
        <v/>
      </c>
    </row>
    <row r="7" ht="16.15" customHeight="1" s="99">
      <c r="A7" s="68" t="inlineStr">
        <is>
          <t>F5</t>
        </is>
      </c>
      <c r="B7" s="69">
        <f>VLOOKUP(A7,Members!$A$2:$C$65,3,FALSE)</f>
        <v/>
      </c>
      <c r="C7" s="68">
        <f>Members!B6</f>
        <v/>
      </c>
      <c r="D7" s="70" t="n">
        <v>-5354.88415770929</v>
      </c>
      <c r="E7" s="70">
        <f>INDIRECT("'Apr"&amp;Members!$F$2&amp;"-COLLECTION'!K"&amp;ROW()-1)</f>
        <v/>
      </c>
      <c r="F7" s="70">
        <f>INDIRECT("'Apr"&amp;Members!$F$2&amp;"-EXPENSE'!R"&amp;ROW()+3)</f>
        <v/>
      </c>
      <c r="G7" s="10" t="n"/>
      <c r="H7" s="70">
        <f>E7-(F7+G7)</f>
        <v/>
      </c>
      <c r="I7" s="70">
        <f>INDIRECT("'May"&amp;Members!$F$2&amp;"-COLLECTION'!K"&amp;ROW()-1)</f>
        <v/>
      </c>
      <c r="J7" s="70">
        <f>INDIRECT("'May"&amp;Members!$F$2&amp;"-EXPENSE'!R"&amp;ROW()+3)</f>
        <v/>
      </c>
      <c r="K7" s="11" t="n"/>
      <c r="L7" s="70">
        <f>I7-(J7+K7)</f>
        <v/>
      </c>
      <c r="M7" s="70">
        <f>INDIRECT("'June"&amp;Members!$F$2&amp;"-COLLECTION'!K"&amp;ROW()-1)</f>
        <v/>
      </c>
      <c r="N7" s="70">
        <f>INDIRECT("'June"&amp;Members!$F$2&amp;"-EXPENSE'!R"&amp;ROW()+3)</f>
        <v/>
      </c>
      <c r="O7" s="10" t="n"/>
      <c r="P7" s="70">
        <f>M7-(N7+O7)</f>
        <v/>
      </c>
      <c r="Q7" s="70">
        <f>INDIRECT("'July"&amp;Members!$F$2&amp;"-COLLECTION'!K"&amp;ROW()-1)</f>
        <v/>
      </c>
      <c r="R7" s="70">
        <f>INDIRECT("'July"&amp;Members!$F$2&amp;"-EXPENSE'!R"&amp;ROW()+3)</f>
        <v/>
      </c>
      <c r="S7" s="11" t="n"/>
      <c r="T7" s="70">
        <f>Q7-(R7+S7)</f>
        <v/>
      </c>
      <c r="U7" s="70">
        <f>INDIRECT("'Aug"&amp;Members!$F$2&amp;"-COLLECTION'!K"&amp;ROW()-1)</f>
        <v/>
      </c>
      <c r="V7" s="70">
        <f>INDIRECT("'Aug"&amp;Members!$F$2&amp;"-EXPENSE'!R"&amp;ROW()+3)</f>
        <v/>
      </c>
      <c r="W7" s="10" t="n"/>
      <c r="X7" s="70">
        <f>U7-(V7+W7)</f>
        <v/>
      </c>
      <c r="Y7" s="70">
        <f>INDIRECT("'Sep"&amp;Members!$F$2&amp;"-COLLECTION'!K"&amp;ROW()-1)</f>
        <v/>
      </c>
      <c r="Z7" s="70">
        <f>INDIRECT("'Sep"&amp;Members!$F$2&amp;"-EXPENSE'!R"&amp;ROW()+3)</f>
        <v/>
      </c>
      <c r="AA7" s="11" t="n"/>
      <c r="AB7" s="70">
        <f>Y7-(Z7+AA7)</f>
        <v/>
      </c>
      <c r="AC7" s="70">
        <f>INDIRECT("'Oct"&amp;Members!$F$2&amp;"-COLLECTION'!K"&amp;ROW()-1)</f>
        <v/>
      </c>
      <c r="AD7" s="70">
        <f>INDIRECT("'Oct"&amp;Members!$F$2&amp;"-EXPENSE'!R"&amp;ROW()+3)</f>
        <v/>
      </c>
      <c r="AE7" s="11" t="n"/>
      <c r="AF7" s="70">
        <f>AC7-(AD7+AE7)</f>
        <v/>
      </c>
      <c r="AG7" s="70">
        <f>INDIRECT("'Nov"&amp;Members!$F$2&amp;"-COLLECTION'!K"&amp;ROW()-1)</f>
        <v/>
      </c>
      <c r="AH7" s="70">
        <f>INDIRECT("'Nov"&amp;Members!$F$2&amp;"-EXPENSE'!R"&amp;ROW()+3)</f>
        <v/>
      </c>
      <c r="AI7" s="11" t="n"/>
      <c r="AJ7" s="70">
        <f>AG7-(AH7+AI7)</f>
        <v/>
      </c>
      <c r="AK7" s="70">
        <f>INDIRECT("'Dec"&amp;Members!$F$2&amp;"-COLLECTION'!K"&amp;ROW()-1)</f>
        <v/>
      </c>
      <c r="AL7" s="70">
        <f>INDIRECT("'Dec"&amp;Members!$F$2&amp;"-EXPENSE'!R"&amp;ROW()+3)</f>
        <v/>
      </c>
      <c r="AM7" s="11" t="n"/>
      <c r="AN7" s="70">
        <f>AK7-(AL7+AM7)</f>
        <v/>
      </c>
      <c r="AO7" s="70">
        <f>INDIRECT("'Jan"&amp;Members!$G$2&amp;"-COLLECTION'!K"&amp;ROW()-1)</f>
        <v/>
      </c>
      <c r="AP7" s="70">
        <f>INDIRECT("'Jan"&amp;Members!$G$2&amp;"-EXPENSE'!R"&amp;ROW()+3)</f>
        <v/>
      </c>
      <c r="AQ7" s="75" t="n"/>
      <c r="AR7" s="70">
        <f>AO7-(AP7+AQ7)</f>
        <v/>
      </c>
      <c r="AS7" s="70">
        <f>INDIRECT("'Feb"&amp;Members!$G$2&amp;"-COLLECTION'!K"&amp;ROW()-1)</f>
        <v/>
      </c>
      <c r="AT7" s="70">
        <f>INDIRECT("'Feb"&amp;Members!$G$2&amp;"-EXPENSE'!R"&amp;ROW()+3)</f>
        <v/>
      </c>
      <c r="AU7" s="75" t="n"/>
      <c r="AV7" s="70">
        <f>AS7-(AT7+AU7)</f>
        <v/>
      </c>
      <c r="AW7" s="70">
        <f>INDIRECT("'Mar"&amp;Members!$G$2&amp;"-COLLECTION'!K"&amp;ROW()-1)</f>
        <v/>
      </c>
      <c r="AX7" s="70">
        <f>INDIRECT("'Mar"&amp;Members!$G$2&amp;"-EXPENSE'!R"&amp;ROW()+3)</f>
        <v/>
      </c>
      <c r="AY7" s="75" t="n"/>
      <c r="AZ7" s="70">
        <f>AW7-(AX7+AY7)</f>
        <v/>
      </c>
      <c r="BA7" s="70">
        <f>SUM(E7,I7,M7,Q7,U7,Y7,AC7,AG7,AK7,AO7,AS7,AW7)</f>
        <v/>
      </c>
      <c r="BB7" s="70">
        <f>SUM(F7,J7,N7,R7,V7,Z7,AD7,AH7,AL7,AP7,AT7,AX7)</f>
        <v/>
      </c>
      <c r="BC7" s="70">
        <f>SUM(G7,K7,O7,S7,W7,AA7,AE7,AI7,AM7,AQ7,AU7,AY7)</f>
        <v/>
      </c>
      <c r="BD7" s="70">
        <f>BA7-(BB7+BC7)</f>
        <v/>
      </c>
      <c r="BE7" s="70">
        <f>BD7+D7</f>
        <v/>
      </c>
    </row>
    <row r="8" ht="16.5" customHeight="1" s="99">
      <c r="A8" s="52" t="inlineStr">
        <is>
          <t>F6</t>
        </is>
      </c>
      <c r="B8" s="71">
        <f>VLOOKUP(A8,Members!$A$2:$C$65,3,FALSE)</f>
        <v/>
      </c>
      <c r="C8" s="52">
        <f>Members!B7</f>
        <v/>
      </c>
      <c r="D8" s="72" t="n">
        <v>-10594.01674371262</v>
      </c>
      <c r="E8" s="72">
        <f>INDIRECT("'Apr"&amp;Members!$F$2&amp;"-COLLECTION'!K"&amp;ROW()-1)</f>
        <v/>
      </c>
      <c r="F8" s="72">
        <f>INDIRECT("'Apr"&amp;Members!$F$2&amp;"-EXPENSE'!R"&amp;ROW()+3)</f>
        <v/>
      </c>
      <c r="G8" s="10" t="n"/>
      <c r="H8" s="72">
        <f>E8-(F8+G8)</f>
        <v/>
      </c>
      <c r="I8" s="72">
        <f>INDIRECT("'May"&amp;Members!$F$2&amp;"-COLLECTION'!K"&amp;ROW()-1)</f>
        <v/>
      </c>
      <c r="J8" s="72">
        <f>INDIRECT("'May"&amp;Members!$F$2&amp;"-EXPENSE'!R"&amp;ROW()+3)</f>
        <v/>
      </c>
      <c r="K8" s="11" t="n"/>
      <c r="L8" s="72">
        <f>I8-(J8+K8)</f>
        <v/>
      </c>
      <c r="M8" s="72">
        <f>INDIRECT("'June"&amp;Members!$F$2&amp;"-COLLECTION'!K"&amp;ROW()-1)</f>
        <v/>
      </c>
      <c r="N8" s="72">
        <f>INDIRECT("'June"&amp;Members!$F$2&amp;"-EXPENSE'!R"&amp;ROW()+3)</f>
        <v/>
      </c>
      <c r="O8" s="10" t="n"/>
      <c r="P8" s="72">
        <f>M8-(N8+O8)</f>
        <v/>
      </c>
      <c r="Q8" s="72">
        <f>INDIRECT("'July"&amp;Members!$F$2&amp;"-COLLECTION'!K"&amp;ROW()-1)</f>
        <v/>
      </c>
      <c r="R8" s="72">
        <f>INDIRECT("'July"&amp;Members!$F$2&amp;"-EXPENSE'!R"&amp;ROW()+3)</f>
        <v/>
      </c>
      <c r="S8" s="11" t="n"/>
      <c r="T8" s="72">
        <f>Q8-(R8+S8)</f>
        <v/>
      </c>
      <c r="U8" s="72">
        <f>INDIRECT("'Aug"&amp;Members!$F$2&amp;"-COLLECTION'!K"&amp;ROW()-1)</f>
        <v/>
      </c>
      <c r="V8" s="72">
        <f>INDIRECT("'Aug"&amp;Members!$F$2&amp;"-EXPENSE'!R"&amp;ROW()+3)</f>
        <v/>
      </c>
      <c r="W8" s="10" t="n"/>
      <c r="X8" s="72">
        <f>U8-(V8+W8)</f>
        <v/>
      </c>
      <c r="Y8" s="72">
        <f>INDIRECT("'Sep"&amp;Members!$F$2&amp;"-COLLECTION'!K"&amp;ROW()-1)</f>
        <v/>
      </c>
      <c r="Z8" s="72">
        <f>INDIRECT("'Sep"&amp;Members!$F$2&amp;"-EXPENSE'!R"&amp;ROW()+3)</f>
        <v/>
      </c>
      <c r="AA8" s="11" t="n"/>
      <c r="AB8" s="72">
        <f>Y8-(Z8+AA8)</f>
        <v/>
      </c>
      <c r="AC8" s="72">
        <f>INDIRECT("'Oct"&amp;Members!$F$2&amp;"-COLLECTION'!K"&amp;ROW()-1)</f>
        <v/>
      </c>
      <c r="AD8" s="72">
        <f>INDIRECT("'Oct"&amp;Members!$F$2&amp;"-EXPENSE'!R"&amp;ROW()+3)</f>
        <v/>
      </c>
      <c r="AE8" s="11" t="n"/>
      <c r="AF8" s="72">
        <f>AC8-(AD8+AE8)</f>
        <v/>
      </c>
      <c r="AG8" s="72">
        <f>INDIRECT("'Nov"&amp;Members!$F$2&amp;"-COLLECTION'!K"&amp;ROW()-1)</f>
        <v/>
      </c>
      <c r="AH8" s="72">
        <f>INDIRECT("'Nov"&amp;Members!$F$2&amp;"-EXPENSE'!R"&amp;ROW()+3)</f>
        <v/>
      </c>
      <c r="AI8" s="11" t="n"/>
      <c r="AJ8" s="72">
        <f>AG8-(AH8+AI8)</f>
        <v/>
      </c>
      <c r="AK8" s="72">
        <f>INDIRECT("'Dec"&amp;Members!$F$2&amp;"-COLLECTION'!K"&amp;ROW()-1)</f>
        <v/>
      </c>
      <c r="AL8" s="72">
        <f>INDIRECT("'Dec"&amp;Members!$F$2&amp;"-EXPENSE'!R"&amp;ROW()+3)</f>
        <v/>
      </c>
      <c r="AM8" s="11" t="n"/>
      <c r="AN8" s="72">
        <f>AK8-(AL8+AM8)</f>
        <v/>
      </c>
      <c r="AO8" s="72">
        <f>INDIRECT("'Jan"&amp;Members!$G$2&amp;"-COLLECTION'!K"&amp;ROW()-1)</f>
        <v/>
      </c>
      <c r="AP8" s="72">
        <f>INDIRECT("'Jan"&amp;Members!$G$2&amp;"-EXPENSE'!R"&amp;ROW()+3)</f>
        <v/>
      </c>
      <c r="AQ8" s="75" t="n"/>
      <c r="AR8" s="72">
        <f>AO8-(AP8+AQ8)</f>
        <v/>
      </c>
      <c r="AS8" s="72">
        <f>INDIRECT("'Feb"&amp;Members!$G$2&amp;"-COLLECTION'!K"&amp;ROW()-1)</f>
        <v/>
      </c>
      <c r="AT8" s="72">
        <f>INDIRECT("'Feb"&amp;Members!$G$2&amp;"-EXPENSE'!R"&amp;ROW()+3)</f>
        <v/>
      </c>
      <c r="AU8" s="75" t="n"/>
      <c r="AV8" s="72">
        <f>AS8-(AT8+AU8)</f>
        <v/>
      </c>
      <c r="AW8" s="72">
        <f>INDIRECT("'Mar"&amp;Members!$G$2&amp;"-COLLECTION'!K"&amp;ROW()-1)</f>
        <v/>
      </c>
      <c r="AX8" s="72">
        <f>INDIRECT("'Mar"&amp;Members!$G$2&amp;"-EXPENSE'!R"&amp;ROW()+3)</f>
        <v/>
      </c>
      <c r="AY8" s="75" t="n"/>
      <c r="AZ8" s="72">
        <f>AW8-(AX8+AY8)</f>
        <v/>
      </c>
      <c r="BA8" s="72">
        <f>SUM(E8,I8,M8,Q8,U8,Y8,AC8,AG8,AK8,AO8,AS8,AW8)</f>
        <v/>
      </c>
      <c r="BB8" s="72">
        <f>SUM(F8,J8,N8,R8,V8,Z8,AD8,AH8,AL8,AP8,AT8,AX8)</f>
        <v/>
      </c>
      <c r="BC8" s="72">
        <f>SUM(G8,K8,O8,S8,W8,AA8,AE8,AI8,AM8,AQ8,AU8,AY8)</f>
        <v/>
      </c>
      <c r="BD8" s="72">
        <f>BA8-(BB8+BC8)</f>
        <v/>
      </c>
      <c r="BE8" s="72">
        <f>BD8+D8</f>
        <v/>
      </c>
    </row>
    <row r="9" ht="16.5" customHeight="1" s="99">
      <c r="A9" s="68" t="inlineStr">
        <is>
          <t>F7</t>
        </is>
      </c>
      <c r="B9" s="69">
        <f>VLOOKUP(A9,Members!$A$2:$C$65,3,FALSE)</f>
        <v/>
      </c>
      <c r="C9" s="68">
        <f>Members!B8</f>
        <v/>
      </c>
      <c r="D9" s="70" t="n">
        <v>-7173.755093586937</v>
      </c>
      <c r="E9" s="70">
        <f>INDIRECT("'Apr"&amp;Members!$F$2&amp;"-COLLECTION'!K"&amp;ROW()-1)</f>
        <v/>
      </c>
      <c r="F9" s="70">
        <f>INDIRECT("'Apr"&amp;Members!$F$2&amp;"-EXPENSE'!R"&amp;ROW()+3)</f>
        <v/>
      </c>
      <c r="G9" s="10" t="n"/>
      <c r="H9" s="70">
        <f>E9-(F9+G9)</f>
        <v/>
      </c>
      <c r="I9" s="70">
        <f>INDIRECT("'May"&amp;Members!$F$2&amp;"-COLLECTION'!K"&amp;ROW()-1)</f>
        <v/>
      </c>
      <c r="J9" s="70">
        <f>INDIRECT("'May"&amp;Members!$F$2&amp;"-EXPENSE'!R"&amp;ROW()+3)</f>
        <v/>
      </c>
      <c r="K9" s="11" t="n"/>
      <c r="L9" s="70">
        <f>I9-(J9+K9)</f>
        <v/>
      </c>
      <c r="M9" s="70">
        <f>INDIRECT("'June"&amp;Members!$F$2&amp;"-COLLECTION'!K"&amp;ROW()-1)</f>
        <v/>
      </c>
      <c r="N9" s="70">
        <f>INDIRECT("'June"&amp;Members!$F$2&amp;"-EXPENSE'!R"&amp;ROW()+3)</f>
        <v/>
      </c>
      <c r="O9" s="10" t="n"/>
      <c r="P9" s="70">
        <f>M9-(N9+O9)</f>
        <v/>
      </c>
      <c r="Q9" s="70">
        <f>INDIRECT("'July"&amp;Members!$F$2&amp;"-COLLECTION'!K"&amp;ROW()-1)</f>
        <v/>
      </c>
      <c r="R9" s="70">
        <f>INDIRECT("'July"&amp;Members!$F$2&amp;"-EXPENSE'!R"&amp;ROW()+3)</f>
        <v/>
      </c>
      <c r="S9" s="11" t="n"/>
      <c r="T9" s="70">
        <f>Q9-(R9+S9)</f>
        <v/>
      </c>
      <c r="U9" s="70">
        <f>INDIRECT("'Aug"&amp;Members!$F$2&amp;"-COLLECTION'!K"&amp;ROW()-1)</f>
        <v/>
      </c>
      <c r="V9" s="70">
        <f>INDIRECT("'Aug"&amp;Members!$F$2&amp;"-EXPENSE'!R"&amp;ROW()+3)</f>
        <v/>
      </c>
      <c r="W9" s="10" t="n"/>
      <c r="X9" s="70">
        <f>U9-(V9+W9)</f>
        <v/>
      </c>
      <c r="Y9" s="70">
        <f>INDIRECT("'Sep"&amp;Members!$F$2&amp;"-COLLECTION'!K"&amp;ROW()-1)</f>
        <v/>
      </c>
      <c r="Z9" s="70">
        <f>INDIRECT("'Sep"&amp;Members!$F$2&amp;"-EXPENSE'!R"&amp;ROW()+3)</f>
        <v/>
      </c>
      <c r="AA9" s="11" t="n"/>
      <c r="AB9" s="70">
        <f>Y9-(Z9+AA9)</f>
        <v/>
      </c>
      <c r="AC9" s="70">
        <f>INDIRECT("'Oct"&amp;Members!$F$2&amp;"-COLLECTION'!K"&amp;ROW()-1)</f>
        <v/>
      </c>
      <c r="AD9" s="70">
        <f>INDIRECT("'Oct"&amp;Members!$F$2&amp;"-EXPENSE'!R"&amp;ROW()+3)</f>
        <v/>
      </c>
      <c r="AE9" s="11" t="n"/>
      <c r="AF9" s="70">
        <f>AC9-(AD9+AE9)</f>
        <v/>
      </c>
      <c r="AG9" s="70">
        <f>INDIRECT("'Nov"&amp;Members!$F$2&amp;"-COLLECTION'!K"&amp;ROW()-1)</f>
        <v/>
      </c>
      <c r="AH9" s="70">
        <f>INDIRECT("'Nov"&amp;Members!$F$2&amp;"-EXPENSE'!R"&amp;ROW()+3)</f>
        <v/>
      </c>
      <c r="AI9" s="11" t="n"/>
      <c r="AJ9" s="70">
        <f>AG9-(AH9+AI9)</f>
        <v/>
      </c>
      <c r="AK9" s="70">
        <f>INDIRECT("'Dec"&amp;Members!$F$2&amp;"-COLLECTION'!K"&amp;ROW()-1)</f>
        <v/>
      </c>
      <c r="AL9" s="70">
        <f>INDIRECT("'Dec"&amp;Members!$F$2&amp;"-EXPENSE'!R"&amp;ROW()+3)</f>
        <v/>
      </c>
      <c r="AM9" s="11" t="n"/>
      <c r="AN9" s="70">
        <f>AK9-(AL9+AM9)</f>
        <v/>
      </c>
      <c r="AO9" s="70">
        <f>INDIRECT("'Jan"&amp;Members!$G$2&amp;"-COLLECTION'!K"&amp;ROW()-1)</f>
        <v/>
      </c>
      <c r="AP9" s="70">
        <f>INDIRECT("'Jan"&amp;Members!$G$2&amp;"-EXPENSE'!R"&amp;ROW()+3)</f>
        <v/>
      </c>
      <c r="AQ9" s="75" t="n"/>
      <c r="AR9" s="70">
        <f>AO9-(AP9+AQ9)</f>
        <v/>
      </c>
      <c r="AS9" s="70">
        <f>INDIRECT("'Feb"&amp;Members!$G$2&amp;"-COLLECTION'!K"&amp;ROW()-1)</f>
        <v/>
      </c>
      <c r="AT9" s="70">
        <f>INDIRECT("'Feb"&amp;Members!$G$2&amp;"-EXPENSE'!R"&amp;ROW()+3)</f>
        <v/>
      </c>
      <c r="AU9" s="75" t="n"/>
      <c r="AV9" s="70">
        <f>AS9-(AT9+AU9)</f>
        <v/>
      </c>
      <c r="AW9" s="70">
        <f>INDIRECT("'Mar"&amp;Members!$G$2&amp;"-COLLECTION'!K"&amp;ROW()-1)</f>
        <v/>
      </c>
      <c r="AX9" s="70">
        <f>INDIRECT("'Mar"&amp;Members!$G$2&amp;"-EXPENSE'!R"&amp;ROW()+3)</f>
        <v/>
      </c>
      <c r="AY9" s="75" t="n"/>
      <c r="AZ9" s="70">
        <f>AW9-(AX9+AY9)</f>
        <v/>
      </c>
      <c r="BA9" s="70">
        <f>SUM(E9,I9,M9,Q9,U9,Y9,AC9,AG9,AK9,AO9,AS9,AW9)</f>
        <v/>
      </c>
      <c r="BB9" s="70">
        <f>SUM(F9,J9,N9,R9,V9,Z9,AD9,AH9,AL9,AP9,AT9,AX9)</f>
        <v/>
      </c>
      <c r="BC9" s="70">
        <f>SUM(G9,K9,O9,S9,W9,AA9,AE9,AI9,AM9,AQ9,AU9,AY9)</f>
        <v/>
      </c>
      <c r="BD9" s="70">
        <f>BA9-(BB9+BC9)</f>
        <v/>
      </c>
      <c r="BE9" s="70">
        <f>BD9+D9</f>
        <v/>
      </c>
    </row>
    <row r="10" ht="16.15" customHeight="1" s="99">
      <c r="A10" s="52" t="inlineStr">
        <is>
          <t>F8</t>
        </is>
      </c>
      <c r="B10" s="71">
        <f>VLOOKUP(A10,Members!$A$2:$C$65,3,FALSE)</f>
        <v/>
      </c>
      <c r="C10" s="52">
        <f>Members!B9</f>
        <v/>
      </c>
      <c r="D10" s="72" t="n">
        <v>-1965.499287100247</v>
      </c>
      <c r="E10" s="72">
        <f>INDIRECT("'Apr"&amp;Members!$F$2&amp;"-COLLECTION'!K"&amp;ROW()-1)</f>
        <v/>
      </c>
      <c r="F10" s="72">
        <f>INDIRECT("'Apr"&amp;Members!$F$2&amp;"-EXPENSE'!R"&amp;ROW()+3)</f>
        <v/>
      </c>
      <c r="G10" s="10" t="n"/>
      <c r="H10" s="72">
        <f>E10-(F10+G10)</f>
        <v/>
      </c>
      <c r="I10" s="72">
        <f>INDIRECT("'May"&amp;Members!$F$2&amp;"-COLLECTION'!K"&amp;ROW()-1)</f>
        <v/>
      </c>
      <c r="J10" s="72">
        <f>INDIRECT("'May"&amp;Members!$F$2&amp;"-EXPENSE'!R"&amp;ROW()+3)</f>
        <v/>
      </c>
      <c r="K10" s="11" t="n"/>
      <c r="L10" s="72">
        <f>I10-(J10+K10)</f>
        <v/>
      </c>
      <c r="M10" s="72">
        <f>INDIRECT("'June"&amp;Members!$F$2&amp;"-COLLECTION'!K"&amp;ROW()-1)</f>
        <v/>
      </c>
      <c r="N10" s="72">
        <f>INDIRECT("'June"&amp;Members!$F$2&amp;"-EXPENSE'!R"&amp;ROW()+3)</f>
        <v/>
      </c>
      <c r="O10" s="10" t="n"/>
      <c r="P10" s="72">
        <f>M10-(N10+O10)</f>
        <v/>
      </c>
      <c r="Q10" s="72">
        <f>INDIRECT("'July"&amp;Members!$F$2&amp;"-COLLECTION'!K"&amp;ROW()-1)</f>
        <v/>
      </c>
      <c r="R10" s="72">
        <f>INDIRECT("'July"&amp;Members!$F$2&amp;"-EXPENSE'!R"&amp;ROW()+3)</f>
        <v/>
      </c>
      <c r="S10" s="11" t="n"/>
      <c r="T10" s="72">
        <f>Q10-(R10+S10)</f>
        <v/>
      </c>
      <c r="U10" s="72">
        <f>INDIRECT("'Aug"&amp;Members!$F$2&amp;"-COLLECTION'!K"&amp;ROW()-1)</f>
        <v/>
      </c>
      <c r="V10" s="72">
        <f>INDIRECT("'Aug"&amp;Members!$F$2&amp;"-EXPENSE'!R"&amp;ROW()+3)</f>
        <v/>
      </c>
      <c r="W10" s="10" t="n"/>
      <c r="X10" s="72">
        <f>U10-(V10+W10)</f>
        <v/>
      </c>
      <c r="Y10" s="72">
        <f>INDIRECT("'Sep"&amp;Members!$F$2&amp;"-COLLECTION'!K"&amp;ROW()-1)</f>
        <v/>
      </c>
      <c r="Z10" s="72">
        <f>INDIRECT("'Sep"&amp;Members!$F$2&amp;"-EXPENSE'!R"&amp;ROW()+3)</f>
        <v/>
      </c>
      <c r="AA10" s="11" t="n"/>
      <c r="AB10" s="72">
        <f>Y10-(Z10+AA10)</f>
        <v/>
      </c>
      <c r="AC10" s="72">
        <f>INDIRECT("'Oct"&amp;Members!$F$2&amp;"-COLLECTION'!K"&amp;ROW()-1)</f>
        <v/>
      </c>
      <c r="AD10" s="72">
        <f>INDIRECT("'Oct"&amp;Members!$F$2&amp;"-EXPENSE'!R"&amp;ROW()+3)</f>
        <v/>
      </c>
      <c r="AE10" s="11" t="n"/>
      <c r="AF10" s="72">
        <f>AC10-(AD10+AE10)</f>
        <v/>
      </c>
      <c r="AG10" s="72">
        <f>INDIRECT("'Nov"&amp;Members!$F$2&amp;"-COLLECTION'!K"&amp;ROW()-1)</f>
        <v/>
      </c>
      <c r="AH10" s="72">
        <f>INDIRECT("'Nov"&amp;Members!$F$2&amp;"-EXPENSE'!R"&amp;ROW()+3)</f>
        <v/>
      </c>
      <c r="AI10" s="11" t="n"/>
      <c r="AJ10" s="72">
        <f>AG10-(AH10+AI10)</f>
        <v/>
      </c>
      <c r="AK10" s="72">
        <f>INDIRECT("'Dec"&amp;Members!$F$2&amp;"-COLLECTION'!K"&amp;ROW()-1)</f>
        <v/>
      </c>
      <c r="AL10" s="72">
        <f>INDIRECT("'Dec"&amp;Members!$F$2&amp;"-EXPENSE'!R"&amp;ROW()+3)</f>
        <v/>
      </c>
      <c r="AM10" s="11" t="n"/>
      <c r="AN10" s="72">
        <f>AK10-(AL10+AM10)</f>
        <v/>
      </c>
      <c r="AO10" s="72">
        <f>INDIRECT("'Jan"&amp;Members!$G$2&amp;"-COLLECTION'!K"&amp;ROW()-1)</f>
        <v/>
      </c>
      <c r="AP10" s="72">
        <f>INDIRECT("'Jan"&amp;Members!$G$2&amp;"-EXPENSE'!R"&amp;ROW()+3)</f>
        <v/>
      </c>
      <c r="AQ10" s="75" t="n"/>
      <c r="AR10" s="72">
        <f>AO10-(AP10+AQ10)</f>
        <v/>
      </c>
      <c r="AS10" s="72">
        <f>INDIRECT("'Feb"&amp;Members!$G$2&amp;"-COLLECTION'!K"&amp;ROW()-1)</f>
        <v/>
      </c>
      <c r="AT10" s="72">
        <f>INDIRECT("'Feb"&amp;Members!$G$2&amp;"-EXPENSE'!R"&amp;ROW()+3)</f>
        <v/>
      </c>
      <c r="AU10" s="75" t="n"/>
      <c r="AV10" s="72">
        <f>AS10-(AT10+AU10)</f>
        <v/>
      </c>
      <c r="AW10" s="72">
        <f>INDIRECT("'Mar"&amp;Members!$G$2&amp;"-COLLECTION'!K"&amp;ROW()-1)</f>
        <v/>
      </c>
      <c r="AX10" s="72">
        <f>INDIRECT("'Mar"&amp;Members!$G$2&amp;"-EXPENSE'!R"&amp;ROW()+3)</f>
        <v/>
      </c>
      <c r="AY10" s="75" t="n"/>
      <c r="AZ10" s="72">
        <f>AW10-(AX10+AY10)</f>
        <v/>
      </c>
      <c r="BA10" s="72">
        <f>SUM(E10,I10,M10,Q10,U10,Y10,AC10,AG10,AK10,AO10,AS10,AW10)</f>
        <v/>
      </c>
      <c r="BB10" s="72">
        <f>SUM(F10,J10,N10,R10,V10,Z10,AD10,AH10,AL10,AP10,AT10,AX10)</f>
        <v/>
      </c>
      <c r="BC10" s="72">
        <f>SUM(G10,K10,O10,S10,W10,AA10,AE10,AI10,AM10,AQ10,AU10,AY10)</f>
        <v/>
      </c>
      <c r="BD10" s="72">
        <f>BA10-(BB10+BC10)</f>
        <v/>
      </c>
      <c r="BE10" s="72">
        <f>BD10+D10</f>
        <v/>
      </c>
    </row>
    <row r="11" ht="16.15" customHeight="1" s="99">
      <c r="A11" s="68" t="inlineStr">
        <is>
          <t>F9</t>
        </is>
      </c>
      <c r="B11" s="69">
        <f>VLOOKUP(A11,Members!$A$2:$C$65,3,FALSE)</f>
        <v/>
      </c>
      <c r="C11" s="68">
        <f>Members!B10</f>
        <v/>
      </c>
      <c r="D11" s="70" t="n">
        <v>-597.2575926244244</v>
      </c>
      <c r="E11" s="70">
        <f>INDIRECT("'Apr"&amp;Members!$F$2&amp;"-COLLECTION'!K"&amp;ROW()-1)</f>
        <v/>
      </c>
      <c r="F11" s="70">
        <f>INDIRECT("'Apr"&amp;Members!$F$2&amp;"-EXPENSE'!R"&amp;ROW()+3)</f>
        <v/>
      </c>
      <c r="G11" s="10" t="n"/>
      <c r="H11" s="70">
        <f>E11-(F11+G11)</f>
        <v/>
      </c>
      <c r="I11" s="70">
        <f>INDIRECT("'May"&amp;Members!$F$2&amp;"-COLLECTION'!K"&amp;ROW()-1)</f>
        <v/>
      </c>
      <c r="J11" s="70">
        <f>INDIRECT("'May"&amp;Members!$F$2&amp;"-EXPENSE'!R"&amp;ROW()+3)</f>
        <v/>
      </c>
      <c r="K11" s="11" t="n"/>
      <c r="L11" s="70">
        <f>I11-(J11+K11)</f>
        <v/>
      </c>
      <c r="M11" s="70">
        <f>INDIRECT("'June"&amp;Members!$F$2&amp;"-COLLECTION'!K"&amp;ROW()-1)</f>
        <v/>
      </c>
      <c r="N11" s="70">
        <f>INDIRECT("'June"&amp;Members!$F$2&amp;"-EXPENSE'!R"&amp;ROW()+3)</f>
        <v/>
      </c>
      <c r="O11" s="10" t="n"/>
      <c r="P11" s="70">
        <f>M11-(N11+O11)</f>
        <v/>
      </c>
      <c r="Q11" s="70">
        <f>INDIRECT("'July"&amp;Members!$F$2&amp;"-COLLECTION'!K"&amp;ROW()-1)</f>
        <v/>
      </c>
      <c r="R11" s="70">
        <f>INDIRECT("'July"&amp;Members!$F$2&amp;"-EXPENSE'!R"&amp;ROW()+3)</f>
        <v/>
      </c>
      <c r="S11" s="11" t="n"/>
      <c r="T11" s="70">
        <f>Q11-(R11+S11)</f>
        <v/>
      </c>
      <c r="U11" s="70">
        <f>INDIRECT("'Aug"&amp;Members!$F$2&amp;"-COLLECTION'!K"&amp;ROW()-1)</f>
        <v/>
      </c>
      <c r="V11" s="70">
        <f>INDIRECT("'Aug"&amp;Members!$F$2&amp;"-EXPENSE'!R"&amp;ROW()+3)</f>
        <v/>
      </c>
      <c r="W11" s="10" t="n"/>
      <c r="X11" s="70">
        <f>U11-(V11+W11)</f>
        <v/>
      </c>
      <c r="Y11" s="70">
        <f>INDIRECT("'Sep"&amp;Members!$F$2&amp;"-COLLECTION'!K"&amp;ROW()-1)</f>
        <v/>
      </c>
      <c r="Z11" s="70">
        <f>INDIRECT("'Sep"&amp;Members!$F$2&amp;"-EXPENSE'!R"&amp;ROW()+3)</f>
        <v/>
      </c>
      <c r="AA11" s="11" t="n"/>
      <c r="AB11" s="70">
        <f>Y11-(Z11+AA11)</f>
        <v/>
      </c>
      <c r="AC11" s="70">
        <f>INDIRECT("'Oct"&amp;Members!$F$2&amp;"-COLLECTION'!K"&amp;ROW()-1)</f>
        <v/>
      </c>
      <c r="AD11" s="70">
        <f>INDIRECT("'Oct"&amp;Members!$F$2&amp;"-EXPENSE'!R"&amp;ROW()+3)</f>
        <v/>
      </c>
      <c r="AE11" s="11" t="n"/>
      <c r="AF11" s="70">
        <f>AC11-(AD11+AE11)</f>
        <v/>
      </c>
      <c r="AG11" s="70">
        <f>INDIRECT("'Nov"&amp;Members!$F$2&amp;"-COLLECTION'!K"&amp;ROW()-1)</f>
        <v/>
      </c>
      <c r="AH11" s="70">
        <f>INDIRECT("'Nov"&amp;Members!$F$2&amp;"-EXPENSE'!R"&amp;ROW()+3)</f>
        <v/>
      </c>
      <c r="AI11" s="11" t="n"/>
      <c r="AJ11" s="70">
        <f>AG11-(AH11+AI11)</f>
        <v/>
      </c>
      <c r="AK11" s="70">
        <f>INDIRECT("'Dec"&amp;Members!$F$2&amp;"-COLLECTION'!K"&amp;ROW()-1)</f>
        <v/>
      </c>
      <c r="AL11" s="70">
        <f>INDIRECT("'Dec"&amp;Members!$F$2&amp;"-EXPENSE'!R"&amp;ROW()+3)</f>
        <v/>
      </c>
      <c r="AM11" s="11" t="n"/>
      <c r="AN11" s="70">
        <f>AK11-(AL11+AM11)</f>
        <v/>
      </c>
      <c r="AO11" s="70">
        <f>INDIRECT("'Jan"&amp;Members!$G$2&amp;"-COLLECTION'!K"&amp;ROW()-1)</f>
        <v/>
      </c>
      <c r="AP11" s="70">
        <f>INDIRECT("'Jan"&amp;Members!$G$2&amp;"-EXPENSE'!R"&amp;ROW()+3)</f>
        <v/>
      </c>
      <c r="AQ11" s="75" t="n"/>
      <c r="AR11" s="70">
        <f>AO11-(AP11+AQ11)</f>
        <v/>
      </c>
      <c r="AS11" s="70">
        <f>INDIRECT("'Feb"&amp;Members!$G$2&amp;"-COLLECTION'!K"&amp;ROW()-1)</f>
        <v/>
      </c>
      <c r="AT11" s="70">
        <f>INDIRECT("'Feb"&amp;Members!$G$2&amp;"-EXPENSE'!R"&amp;ROW()+3)</f>
        <v/>
      </c>
      <c r="AU11" s="75" t="n"/>
      <c r="AV11" s="70">
        <f>AS11-(AT11+AU11)</f>
        <v/>
      </c>
      <c r="AW11" s="70">
        <f>INDIRECT("'Mar"&amp;Members!$G$2&amp;"-COLLECTION'!K"&amp;ROW()-1)</f>
        <v/>
      </c>
      <c r="AX11" s="70">
        <f>INDIRECT("'Mar"&amp;Members!$G$2&amp;"-EXPENSE'!R"&amp;ROW()+3)</f>
        <v/>
      </c>
      <c r="AY11" s="75" t="n"/>
      <c r="AZ11" s="70">
        <f>AW11-(AX11+AY11)</f>
        <v/>
      </c>
      <c r="BA11" s="70">
        <f>SUM(E11,I11,M11,Q11,U11,Y11,AC11,AG11,AK11,AO11,AS11,AW11)</f>
        <v/>
      </c>
      <c r="BB11" s="70">
        <f>SUM(F11,J11,N11,R11,V11,Z11,AD11,AH11,AL11,AP11,AT11,AX11)</f>
        <v/>
      </c>
      <c r="BC11" s="70">
        <f>SUM(G11,K11,O11,S11,W11,AA11,AE11,AI11,AM11,AQ11,AU11,AY11)</f>
        <v/>
      </c>
      <c r="BD11" s="70">
        <f>BA11-(BB11+BC11)</f>
        <v/>
      </c>
      <c r="BE11" s="70">
        <f>BD11+D11</f>
        <v/>
      </c>
    </row>
    <row r="12" ht="16.15" customHeight="1" s="99">
      <c r="A12" s="52" t="inlineStr">
        <is>
          <t>F10</t>
        </is>
      </c>
      <c r="B12" s="71">
        <f>VLOOKUP(A12,Members!$A$2:$C$65,3,FALSE)</f>
        <v/>
      </c>
      <c r="C12" s="52">
        <f>Members!B11</f>
        <v/>
      </c>
      <c r="D12" s="72" t="n">
        <v>-27822.52559480886</v>
      </c>
      <c r="E12" s="72">
        <f>INDIRECT("'Apr"&amp;Members!$F$2&amp;"-COLLECTION'!K"&amp;ROW()-1)</f>
        <v/>
      </c>
      <c r="F12" s="72">
        <f>INDIRECT("'Apr"&amp;Members!$F$2&amp;"-EXPENSE'!R"&amp;ROW()+3)</f>
        <v/>
      </c>
      <c r="G12" s="10" t="n"/>
      <c r="H12" s="72">
        <f>E12-(F12+G12)</f>
        <v/>
      </c>
      <c r="I12" s="72">
        <f>INDIRECT("'May"&amp;Members!$F$2&amp;"-COLLECTION'!K"&amp;ROW()-1)</f>
        <v/>
      </c>
      <c r="J12" s="72">
        <f>INDIRECT("'May"&amp;Members!$F$2&amp;"-EXPENSE'!R"&amp;ROW()+3)</f>
        <v/>
      </c>
      <c r="K12" s="11" t="n"/>
      <c r="L12" s="72">
        <f>I12-(J12+K12)</f>
        <v/>
      </c>
      <c r="M12" s="72">
        <f>INDIRECT("'June"&amp;Members!$F$2&amp;"-COLLECTION'!K"&amp;ROW()-1)</f>
        <v/>
      </c>
      <c r="N12" s="72">
        <f>INDIRECT("'June"&amp;Members!$F$2&amp;"-EXPENSE'!R"&amp;ROW()+3)</f>
        <v/>
      </c>
      <c r="O12" s="10" t="n"/>
      <c r="P12" s="72">
        <f>M12-(N12+O12)</f>
        <v/>
      </c>
      <c r="Q12" s="72">
        <f>INDIRECT("'July"&amp;Members!$F$2&amp;"-COLLECTION'!K"&amp;ROW()-1)</f>
        <v/>
      </c>
      <c r="R12" s="72">
        <f>INDIRECT("'July"&amp;Members!$F$2&amp;"-EXPENSE'!R"&amp;ROW()+3)</f>
        <v/>
      </c>
      <c r="S12" s="11" t="n"/>
      <c r="T12" s="72">
        <f>Q12-(R12+S12)</f>
        <v/>
      </c>
      <c r="U12" s="72">
        <f>INDIRECT("'Aug"&amp;Members!$F$2&amp;"-COLLECTION'!K"&amp;ROW()-1)</f>
        <v/>
      </c>
      <c r="V12" s="72">
        <f>INDIRECT("'Aug"&amp;Members!$F$2&amp;"-EXPENSE'!R"&amp;ROW()+3)</f>
        <v/>
      </c>
      <c r="W12" s="10" t="n"/>
      <c r="X12" s="72">
        <f>U12-(V12+W12)</f>
        <v/>
      </c>
      <c r="Y12" s="72">
        <f>INDIRECT("'Sep"&amp;Members!$F$2&amp;"-COLLECTION'!K"&amp;ROW()-1)</f>
        <v/>
      </c>
      <c r="Z12" s="72">
        <f>INDIRECT("'Sep"&amp;Members!$F$2&amp;"-EXPENSE'!R"&amp;ROW()+3)</f>
        <v/>
      </c>
      <c r="AA12" s="11" t="n"/>
      <c r="AB12" s="72">
        <f>Y12-(Z12+AA12)</f>
        <v/>
      </c>
      <c r="AC12" s="72">
        <f>INDIRECT("'Oct"&amp;Members!$F$2&amp;"-COLLECTION'!K"&amp;ROW()-1)</f>
        <v/>
      </c>
      <c r="AD12" s="72">
        <f>INDIRECT("'Oct"&amp;Members!$F$2&amp;"-EXPENSE'!R"&amp;ROW()+3)</f>
        <v/>
      </c>
      <c r="AE12" s="11" t="n"/>
      <c r="AF12" s="72">
        <f>AC12-(AD12+AE12)</f>
        <v/>
      </c>
      <c r="AG12" s="72">
        <f>INDIRECT("'Nov"&amp;Members!$F$2&amp;"-COLLECTION'!K"&amp;ROW()-1)</f>
        <v/>
      </c>
      <c r="AH12" s="72">
        <f>INDIRECT("'Nov"&amp;Members!$F$2&amp;"-EXPENSE'!R"&amp;ROW()+3)</f>
        <v/>
      </c>
      <c r="AI12" s="11" t="n"/>
      <c r="AJ12" s="72">
        <f>AG12-(AH12+AI12)</f>
        <v/>
      </c>
      <c r="AK12" s="72">
        <f>INDIRECT("'Dec"&amp;Members!$F$2&amp;"-COLLECTION'!K"&amp;ROW()-1)</f>
        <v/>
      </c>
      <c r="AL12" s="72">
        <f>INDIRECT("'Dec"&amp;Members!$F$2&amp;"-EXPENSE'!R"&amp;ROW()+3)</f>
        <v/>
      </c>
      <c r="AM12" s="11" t="n"/>
      <c r="AN12" s="72">
        <f>AK12-(AL12+AM12)</f>
        <v/>
      </c>
      <c r="AO12" s="72">
        <f>INDIRECT("'Jan"&amp;Members!$G$2&amp;"-COLLECTION'!K"&amp;ROW()-1)</f>
        <v/>
      </c>
      <c r="AP12" s="72">
        <f>INDIRECT("'Jan"&amp;Members!$G$2&amp;"-EXPENSE'!R"&amp;ROW()+3)</f>
        <v/>
      </c>
      <c r="AQ12" s="75" t="n"/>
      <c r="AR12" s="72">
        <f>AO12-(AP12+AQ12)</f>
        <v/>
      </c>
      <c r="AS12" s="72">
        <f>INDIRECT("'Feb"&amp;Members!$G$2&amp;"-COLLECTION'!K"&amp;ROW()-1)</f>
        <v/>
      </c>
      <c r="AT12" s="72">
        <f>INDIRECT("'Feb"&amp;Members!$G$2&amp;"-EXPENSE'!R"&amp;ROW()+3)</f>
        <v/>
      </c>
      <c r="AU12" s="75" t="n"/>
      <c r="AV12" s="72">
        <f>AS12-(AT12+AU12)</f>
        <v/>
      </c>
      <c r="AW12" s="72">
        <f>INDIRECT("'Mar"&amp;Members!$G$2&amp;"-COLLECTION'!K"&amp;ROW()-1)</f>
        <v/>
      </c>
      <c r="AX12" s="72">
        <f>INDIRECT("'Mar"&amp;Members!$G$2&amp;"-EXPENSE'!R"&amp;ROW()+3)</f>
        <v/>
      </c>
      <c r="AY12" s="75" t="n"/>
      <c r="AZ12" s="72">
        <f>AW12-(AX12+AY12)</f>
        <v/>
      </c>
      <c r="BA12" s="72">
        <f>SUM(E12,I12,M12,Q12,U12,Y12,AC12,AG12,AK12,AO12,AS12,AW12)</f>
        <v/>
      </c>
      <c r="BB12" s="72">
        <f>SUM(F12,J12,N12,R12,V12,Z12,AD12,AH12,AL12,AP12,AT12,AX12)</f>
        <v/>
      </c>
      <c r="BC12" s="72">
        <f>SUM(G12,K12,O12,S12,W12,AA12,AE12,AI12,AM12,AQ12,AU12,AY12)</f>
        <v/>
      </c>
      <c r="BD12" s="72">
        <f>BA12-(BB12+BC12)</f>
        <v/>
      </c>
      <c r="BE12" s="72">
        <f>BD12+D12</f>
        <v/>
      </c>
    </row>
    <row r="13" ht="16.15" customHeight="1" s="99">
      <c r="A13" s="68" t="inlineStr">
        <is>
          <t>F11</t>
        </is>
      </c>
      <c r="B13" s="69">
        <f>VLOOKUP(A13,Members!$A$2:$C$65,3,FALSE)</f>
        <v/>
      </c>
      <c r="C13" s="68">
        <f>Members!B12</f>
        <v/>
      </c>
      <c r="D13" s="70" t="n">
        <v>-559.967459958476</v>
      </c>
      <c r="E13" s="70">
        <f>INDIRECT("'Apr"&amp;Members!$F$2&amp;"-COLLECTION'!K"&amp;ROW()-1)</f>
        <v/>
      </c>
      <c r="F13" s="70">
        <f>INDIRECT("'Apr"&amp;Members!$F$2&amp;"-EXPENSE'!R"&amp;ROW()+3)</f>
        <v/>
      </c>
      <c r="G13" s="10" t="n"/>
      <c r="H13" s="70">
        <f>E13-(F13+G13)</f>
        <v/>
      </c>
      <c r="I13" s="70">
        <f>INDIRECT("'May"&amp;Members!$F$2&amp;"-COLLECTION'!K"&amp;ROW()-1)</f>
        <v/>
      </c>
      <c r="J13" s="70">
        <f>INDIRECT("'May"&amp;Members!$F$2&amp;"-EXPENSE'!R"&amp;ROW()+3)</f>
        <v/>
      </c>
      <c r="K13" s="11" t="n"/>
      <c r="L13" s="70">
        <f>I13-(J13+K13)</f>
        <v/>
      </c>
      <c r="M13" s="70">
        <f>INDIRECT("'June"&amp;Members!$F$2&amp;"-COLLECTION'!K"&amp;ROW()-1)</f>
        <v/>
      </c>
      <c r="N13" s="70">
        <f>INDIRECT("'June"&amp;Members!$F$2&amp;"-EXPENSE'!R"&amp;ROW()+3)</f>
        <v/>
      </c>
      <c r="O13" s="10" t="n"/>
      <c r="P13" s="70">
        <f>M13-(N13+O13)</f>
        <v/>
      </c>
      <c r="Q13" s="70">
        <f>INDIRECT("'July"&amp;Members!$F$2&amp;"-COLLECTION'!K"&amp;ROW()-1)</f>
        <v/>
      </c>
      <c r="R13" s="70">
        <f>INDIRECT("'July"&amp;Members!$F$2&amp;"-EXPENSE'!R"&amp;ROW()+3)</f>
        <v/>
      </c>
      <c r="S13" s="11" t="n"/>
      <c r="T13" s="70">
        <f>Q13-(R13+S13)</f>
        <v/>
      </c>
      <c r="U13" s="70">
        <f>INDIRECT("'Aug"&amp;Members!$F$2&amp;"-COLLECTION'!K"&amp;ROW()-1)</f>
        <v/>
      </c>
      <c r="V13" s="70">
        <f>INDIRECT("'Aug"&amp;Members!$F$2&amp;"-EXPENSE'!R"&amp;ROW()+3)</f>
        <v/>
      </c>
      <c r="W13" s="10" t="n"/>
      <c r="X13" s="70">
        <f>U13-(V13+W13)</f>
        <v/>
      </c>
      <c r="Y13" s="70">
        <f>INDIRECT("'Sep"&amp;Members!$F$2&amp;"-COLLECTION'!K"&amp;ROW()-1)</f>
        <v/>
      </c>
      <c r="Z13" s="70">
        <f>INDIRECT("'Sep"&amp;Members!$F$2&amp;"-EXPENSE'!R"&amp;ROW()+3)</f>
        <v/>
      </c>
      <c r="AA13" s="11" t="n"/>
      <c r="AB13" s="70">
        <f>Y13-(Z13+AA13)</f>
        <v/>
      </c>
      <c r="AC13" s="70">
        <f>INDIRECT("'Oct"&amp;Members!$F$2&amp;"-COLLECTION'!K"&amp;ROW()-1)</f>
        <v/>
      </c>
      <c r="AD13" s="70">
        <f>INDIRECT("'Oct"&amp;Members!$F$2&amp;"-EXPENSE'!R"&amp;ROW()+3)</f>
        <v/>
      </c>
      <c r="AE13" s="11" t="n"/>
      <c r="AF13" s="70">
        <f>AC13-(AD13+AE13)</f>
        <v/>
      </c>
      <c r="AG13" s="70">
        <f>INDIRECT("'Nov"&amp;Members!$F$2&amp;"-COLLECTION'!K"&amp;ROW()-1)</f>
        <v/>
      </c>
      <c r="AH13" s="70">
        <f>INDIRECT("'Nov"&amp;Members!$F$2&amp;"-EXPENSE'!R"&amp;ROW()+3)</f>
        <v/>
      </c>
      <c r="AI13" s="11" t="n"/>
      <c r="AJ13" s="70">
        <f>AG13-(AH13+AI13)</f>
        <v/>
      </c>
      <c r="AK13" s="70">
        <f>INDIRECT("'Dec"&amp;Members!$F$2&amp;"-COLLECTION'!K"&amp;ROW()-1)</f>
        <v/>
      </c>
      <c r="AL13" s="70">
        <f>INDIRECT("'Dec"&amp;Members!$F$2&amp;"-EXPENSE'!R"&amp;ROW()+3)</f>
        <v/>
      </c>
      <c r="AM13" s="11" t="n"/>
      <c r="AN13" s="70">
        <f>AK13-(AL13+AM13)</f>
        <v/>
      </c>
      <c r="AO13" s="70">
        <f>INDIRECT("'Jan"&amp;Members!$G$2&amp;"-COLLECTION'!K"&amp;ROW()-1)</f>
        <v/>
      </c>
      <c r="AP13" s="70">
        <f>INDIRECT("'Jan"&amp;Members!$G$2&amp;"-EXPENSE'!R"&amp;ROW()+3)</f>
        <v/>
      </c>
      <c r="AQ13" s="75" t="n"/>
      <c r="AR13" s="70">
        <f>AO13-(AP13+AQ13)</f>
        <v/>
      </c>
      <c r="AS13" s="70">
        <f>INDIRECT("'Feb"&amp;Members!$G$2&amp;"-COLLECTION'!K"&amp;ROW()-1)</f>
        <v/>
      </c>
      <c r="AT13" s="70">
        <f>INDIRECT("'Feb"&amp;Members!$G$2&amp;"-EXPENSE'!R"&amp;ROW()+3)</f>
        <v/>
      </c>
      <c r="AU13" s="75" t="n"/>
      <c r="AV13" s="70">
        <f>AS13-(AT13+AU13)</f>
        <v/>
      </c>
      <c r="AW13" s="70">
        <f>INDIRECT("'Mar"&amp;Members!$G$2&amp;"-COLLECTION'!K"&amp;ROW()-1)</f>
        <v/>
      </c>
      <c r="AX13" s="70">
        <f>INDIRECT("'Mar"&amp;Members!$G$2&amp;"-EXPENSE'!R"&amp;ROW()+3)</f>
        <v/>
      </c>
      <c r="AY13" s="75" t="n"/>
      <c r="AZ13" s="70">
        <f>AW13-(AX13+AY13)</f>
        <v/>
      </c>
      <c r="BA13" s="70">
        <f>SUM(E13,I13,M13,Q13,U13,Y13,AC13,AG13,AK13,AO13,AS13,AW13)</f>
        <v/>
      </c>
      <c r="BB13" s="70">
        <f>SUM(F13,J13,N13,R13,V13,Z13,AD13,AH13,AL13,AP13,AT13,AX13)</f>
        <v/>
      </c>
      <c r="BC13" s="70">
        <f>SUM(G13,K13,O13,S13,W13,AA13,AE13,AI13,AM13,AQ13,AU13,AY13)</f>
        <v/>
      </c>
      <c r="BD13" s="70">
        <f>BA13-(BB13+BC13)</f>
        <v/>
      </c>
      <c r="BE13" s="70">
        <f>BD13+D13</f>
        <v/>
      </c>
    </row>
    <row r="14" ht="16.15" customHeight="1" s="99">
      <c r="A14" s="52" t="inlineStr">
        <is>
          <t>F12</t>
        </is>
      </c>
      <c r="B14" s="71">
        <f>VLOOKUP(A14,Members!$A$2:$C$65,3,FALSE)</f>
        <v/>
      </c>
      <c r="C14" s="52">
        <f>Members!B13</f>
        <v/>
      </c>
      <c r="D14" s="72" t="n">
        <v>-1356.39177292661</v>
      </c>
      <c r="E14" s="72">
        <f>INDIRECT("'Apr"&amp;Members!$F$2&amp;"-COLLECTION'!K"&amp;ROW()-1)</f>
        <v/>
      </c>
      <c r="F14" s="72">
        <f>INDIRECT("'Apr"&amp;Members!$F$2&amp;"-EXPENSE'!R"&amp;ROW()+3)</f>
        <v/>
      </c>
      <c r="G14" s="10" t="n"/>
      <c r="H14" s="72">
        <f>E14-(F14+G14)</f>
        <v/>
      </c>
      <c r="I14" s="72">
        <f>INDIRECT("'May"&amp;Members!$F$2&amp;"-COLLECTION'!K"&amp;ROW()-1)</f>
        <v/>
      </c>
      <c r="J14" s="72">
        <f>INDIRECT("'May"&amp;Members!$F$2&amp;"-EXPENSE'!R"&amp;ROW()+3)</f>
        <v/>
      </c>
      <c r="K14" s="11" t="n"/>
      <c r="L14" s="72">
        <f>I14-(J14+K14)</f>
        <v/>
      </c>
      <c r="M14" s="72">
        <f>INDIRECT("'June"&amp;Members!$F$2&amp;"-COLLECTION'!K"&amp;ROW()-1)</f>
        <v/>
      </c>
      <c r="N14" s="72">
        <f>INDIRECT("'June"&amp;Members!$F$2&amp;"-EXPENSE'!R"&amp;ROW()+3)</f>
        <v/>
      </c>
      <c r="O14" s="10" t="n"/>
      <c r="P14" s="72">
        <f>M14-(N14+O14)</f>
        <v/>
      </c>
      <c r="Q14" s="72">
        <f>INDIRECT("'July"&amp;Members!$F$2&amp;"-COLLECTION'!K"&amp;ROW()-1)</f>
        <v/>
      </c>
      <c r="R14" s="72">
        <f>INDIRECT("'July"&amp;Members!$F$2&amp;"-EXPENSE'!R"&amp;ROW()+3)</f>
        <v/>
      </c>
      <c r="S14" s="11" t="n"/>
      <c r="T14" s="72">
        <f>Q14-(R14+S14)</f>
        <v/>
      </c>
      <c r="U14" s="72">
        <f>INDIRECT("'Aug"&amp;Members!$F$2&amp;"-COLLECTION'!K"&amp;ROW()-1)</f>
        <v/>
      </c>
      <c r="V14" s="72">
        <f>INDIRECT("'Aug"&amp;Members!$F$2&amp;"-EXPENSE'!R"&amp;ROW()+3)</f>
        <v/>
      </c>
      <c r="W14" s="10" t="n"/>
      <c r="X14" s="72">
        <f>U14-(V14+W14)</f>
        <v/>
      </c>
      <c r="Y14" s="72">
        <f>INDIRECT("'Sep"&amp;Members!$F$2&amp;"-COLLECTION'!K"&amp;ROW()-1)</f>
        <v/>
      </c>
      <c r="Z14" s="72">
        <f>INDIRECT("'Sep"&amp;Members!$F$2&amp;"-EXPENSE'!R"&amp;ROW()+3)</f>
        <v/>
      </c>
      <c r="AA14" s="11" t="n"/>
      <c r="AB14" s="72">
        <f>Y14-(Z14+AA14)</f>
        <v/>
      </c>
      <c r="AC14" s="72">
        <f>INDIRECT("'Oct"&amp;Members!$F$2&amp;"-COLLECTION'!K"&amp;ROW()-1)</f>
        <v/>
      </c>
      <c r="AD14" s="72">
        <f>INDIRECT("'Oct"&amp;Members!$F$2&amp;"-EXPENSE'!R"&amp;ROW()+3)</f>
        <v/>
      </c>
      <c r="AE14" s="11" t="n"/>
      <c r="AF14" s="72">
        <f>AC14-(AD14+AE14)</f>
        <v/>
      </c>
      <c r="AG14" s="72">
        <f>INDIRECT("'Nov"&amp;Members!$F$2&amp;"-COLLECTION'!K"&amp;ROW()-1)</f>
        <v/>
      </c>
      <c r="AH14" s="72">
        <f>INDIRECT("'Nov"&amp;Members!$F$2&amp;"-EXPENSE'!R"&amp;ROW()+3)</f>
        <v/>
      </c>
      <c r="AI14" s="11" t="n"/>
      <c r="AJ14" s="72">
        <f>AG14-(AH14+AI14)</f>
        <v/>
      </c>
      <c r="AK14" s="72">
        <f>INDIRECT("'Dec"&amp;Members!$F$2&amp;"-COLLECTION'!K"&amp;ROW()-1)</f>
        <v/>
      </c>
      <c r="AL14" s="72">
        <f>INDIRECT("'Dec"&amp;Members!$F$2&amp;"-EXPENSE'!R"&amp;ROW()+3)</f>
        <v/>
      </c>
      <c r="AM14" s="11" t="n"/>
      <c r="AN14" s="72">
        <f>AK14-(AL14+AM14)</f>
        <v/>
      </c>
      <c r="AO14" s="72">
        <f>INDIRECT("'Jan"&amp;Members!$G$2&amp;"-COLLECTION'!K"&amp;ROW()-1)</f>
        <v/>
      </c>
      <c r="AP14" s="72">
        <f>INDIRECT("'Jan"&amp;Members!$G$2&amp;"-EXPENSE'!R"&amp;ROW()+3)</f>
        <v/>
      </c>
      <c r="AQ14" s="75" t="n"/>
      <c r="AR14" s="72">
        <f>AO14-(AP14+AQ14)</f>
        <v/>
      </c>
      <c r="AS14" s="72">
        <f>INDIRECT("'Feb"&amp;Members!$G$2&amp;"-COLLECTION'!K"&amp;ROW()-1)</f>
        <v/>
      </c>
      <c r="AT14" s="72">
        <f>INDIRECT("'Feb"&amp;Members!$G$2&amp;"-EXPENSE'!R"&amp;ROW()+3)</f>
        <v/>
      </c>
      <c r="AU14" s="75" t="n"/>
      <c r="AV14" s="72">
        <f>AS14-(AT14+AU14)</f>
        <v/>
      </c>
      <c r="AW14" s="72">
        <f>INDIRECT("'Mar"&amp;Members!$G$2&amp;"-COLLECTION'!K"&amp;ROW()-1)</f>
        <v/>
      </c>
      <c r="AX14" s="72">
        <f>INDIRECT("'Mar"&amp;Members!$G$2&amp;"-EXPENSE'!R"&amp;ROW()+3)</f>
        <v/>
      </c>
      <c r="AY14" s="75" t="n"/>
      <c r="AZ14" s="72">
        <f>AW14-(AX14+AY14)</f>
        <v/>
      </c>
      <c r="BA14" s="72">
        <f>SUM(E14,I14,M14,Q14,U14,Y14,AC14,AG14,AK14,AO14,AS14,AW14)</f>
        <v/>
      </c>
      <c r="BB14" s="72">
        <f>SUM(F14,J14,N14,R14,V14,Z14,AD14,AH14,AL14,AP14,AT14,AX14)</f>
        <v/>
      </c>
      <c r="BC14" s="72">
        <f>SUM(G14,K14,O14,S14,W14,AA14,AE14,AI14,AM14,AQ14,AU14,AY14)</f>
        <v/>
      </c>
      <c r="BD14" s="72">
        <f>BA14-(BB14+BC14)</f>
        <v/>
      </c>
      <c r="BE14" s="72">
        <f>BD14+D14</f>
        <v/>
      </c>
    </row>
    <row r="15" ht="16.15" customHeight="1" s="99">
      <c r="A15" s="68" t="inlineStr">
        <is>
          <t>F13</t>
        </is>
      </c>
      <c r="B15" s="69">
        <f>VLOOKUP(A15,Members!$A$2:$C$65,3,FALSE)</f>
        <v/>
      </c>
      <c r="C15" s="68">
        <f>Members!B14</f>
        <v/>
      </c>
      <c r="D15" s="70" t="n">
        <v>-846.2808571424539</v>
      </c>
      <c r="E15" s="70">
        <f>INDIRECT("'Apr"&amp;Members!$F$2&amp;"-COLLECTION'!K"&amp;ROW()-1)</f>
        <v/>
      </c>
      <c r="F15" s="70">
        <f>INDIRECT("'Apr"&amp;Members!$F$2&amp;"-EXPENSE'!R"&amp;ROW()+3)</f>
        <v/>
      </c>
      <c r="G15" s="10" t="n"/>
      <c r="H15" s="70">
        <f>E15-(F15+G15)</f>
        <v/>
      </c>
      <c r="I15" s="70">
        <f>INDIRECT("'May"&amp;Members!$F$2&amp;"-COLLECTION'!K"&amp;ROW()-1)</f>
        <v/>
      </c>
      <c r="J15" s="70">
        <f>INDIRECT("'May"&amp;Members!$F$2&amp;"-EXPENSE'!R"&amp;ROW()+3)</f>
        <v/>
      </c>
      <c r="K15" s="11" t="n"/>
      <c r="L15" s="70">
        <f>I15-(J15+K15)</f>
        <v/>
      </c>
      <c r="M15" s="70">
        <f>INDIRECT("'June"&amp;Members!$F$2&amp;"-COLLECTION'!K"&amp;ROW()-1)</f>
        <v/>
      </c>
      <c r="N15" s="70">
        <f>INDIRECT("'June"&amp;Members!$F$2&amp;"-EXPENSE'!R"&amp;ROW()+3)</f>
        <v/>
      </c>
      <c r="O15" s="10" t="n"/>
      <c r="P15" s="70">
        <f>M15-(N15+O15)</f>
        <v/>
      </c>
      <c r="Q15" s="70">
        <f>INDIRECT("'July"&amp;Members!$F$2&amp;"-COLLECTION'!K"&amp;ROW()-1)</f>
        <v/>
      </c>
      <c r="R15" s="70">
        <f>INDIRECT("'July"&amp;Members!$F$2&amp;"-EXPENSE'!R"&amp;ROW()+3)</f>
        <v/>
      </c>
      <c r="S15" s="11" t="n"/>
      <c r="T15" s="70">
        <f>Q15-(R15+S15)</f>
        <v/>
      </c>
      <c r="U15" s="70">
        <f>INDIRECT("'Aug"&amp;Members!$F$2&amp;"-COLLECTION'!K"&amp;ROW()-1)</f>
        <v/>
      </c>
      <c r="V15" s="70">
        <f>INDIRECT("'Aug"&amp;Members!$F$2&amp;"-EXPENSE'!R"&amp;ROW()+3)</f>
        <v/>
      </c>
      <c r="W15" s="10" t="n"/>
      <c r="X15" s="70">
        <f>U15-(V15+W15)</f>
        <v/>
      </c>
      <c r="Y15" s="70">
        <f>INDIRECT("'Sep"&amp;Members!$F$2&amp;"-COLLECTION'!K"&amp;ROW()-1)</f>
        <v/>
      </c>
      <c r="Z15" s="70">
        <f>INDIRECT("'Sep"&amp;Members!$F$2&amp;"-EXPENSE'!R"&amp;ROW()+3)</f>
        <v/>
      </c>
      <c r="AA15" s="11" t="n"/>
      <c r="AB15" s="70">
        <f>Y15-(Z15+AA15)</f>
        <v/>
      </c>
      <c r="AC15" s="70">
        <f>INDIRECT("'Oct"&amp;Members!$F$2&amp;"-COLLECTION'!K"&amp;ROW()-1)</f>
        <v/>
      </c>
      <c r="AD15" s="70">
        <f>INDIRECT("'Oct"&amp;Members!$F$2&amp;"-EXPENSE'!R"&amp;ROW()+3)</f>
        <v/>
      </c>
      <c r="AE15" s="11" t="n"/>
      <c r="AF15" s="70">
        <f>AC15-(AD15+AE15)</f>
        <v/>
      </c>
      <c r="AG15" s="70">
        <f>INDIRECT("'Nov"&amp;Members!$F$2&amp;"-COLLECTION'!K"&amp;ROW()-1)</f>
        <v/>
      </c>
      <c r="AH15" s="70">
        <f>INDIRECT("'Nov"&amp;Members!$F$2&amp;"-EXPENSE'!R"&amp;ROW()+3)</f>
        <v/>
      </c>
      <c r="AI15" s="11" t="n"/>
      <c r="AJ15" s="70">
        <f>AG15-(AH15+AI15)</f>
        <v/>
      </c>
      <c r="AK15" s="70">
        <f>INDIRECT("'Dec"&amp;Members!$F$2&amp;"-COLLECTION'!K"&amp;ROW()-1)</f>
        <v/>
      </c>
      <c r="AL15" s="70">
        <f>INDIRECT("'Dec"&amp;Members!$F$2&amp;"-EXPENSE'!R"&amp;ROW()+3)</f>
        <v/>
      </c>
      <c r="AM15" s="11" t="n"/>
      <c r="AN15" s="70">
        <f>AK15-(AL15+AM15)</f>
        <v/>
      </c>
      <c r="AO15" s="70">
        <f>INDIRECT("'Jan"&amp;Members!$G$2&amp;"-COLLECTION'!K"&amp;ROW()-1)</f>
        <v/>
      </c>
      <c r="AP15" s="70">
        <f>INDIRECT("'Jan"&amp;Members!$G$2&amp;"-EXPENSE'!R"&amp;ROW()+3)</f>
        <v/>
      </c>
      <c r="AQ15" s="75" t="n"/>
      <c r="AR15" s="70">
        <f>AO15-(AP15+AQ15)</f>
        <v/>
      </c>
      <c r="AS15" s="70">
        <f>INDIRECT("'Feb"&amp;Members!$G$2&amp;"-COLLECTION'!K"&amp;ROW()-1)</f>
        <v/>
      </c>
      <c r="AT15" s="70">
        <f>INDIRECT("'Feb"&amp;Members!$G$2&amp;"-EXPENSE'!R"&amp;ROW()+3)</f>
        <v/>
      </c>
      <c r="AU15" s="75" t="n"/>
      <c r="AV15" s="70">
        <f>AS15-(AT15+AU15)</f>
        <v/>
      </c>
      <c r="AW15" s="70">
        <f>INDIRECT("'Mar"&amp;Members!$G$2&amp;"-COLLECTION'!K"&amp;ROW()-1)</f>
        <v/>
      </c>
      <c r="AX15" s="70">
        <f>INDIRECT("'Mar"&amp;Members!$G$2&amp;"-EXPENSE'!R"&amp;ROW()+3)</f>
        <v/>
      </c>
      <c r="AY15" s="75" t="n"/>
      <c r="AZ15" s="70">
        <f>AW15-(AX15+AY15)</f>
        <v/>
      </c>
      <c r="BA15" s="70">
        <f>SUM(E15,I15,M15,Q15,U15,Y15,AC15,AG15,AK15,AO15,AS15,AW15)</f>
        <v/>
      </c>
      <c r="BB15" s="70">
        <f>SUM(F15,J15,N15,R15,V15,Z15,AD15,AH15,AL15,AP15,AT15,AX15)</f>
        <v/>
      </c>
      <c r="BC15" s="70">
        <f>SUM(G15,K15,O15,S15,W15,AA15,AE15,AI15,AM15,AQ15,AU15,AY15)</f>
        <v/>
      </c>
      <c r="BD15" s="70">
        <f>BA15-(BB15+BC15)</f>
        <v/>
      </c>
      <c r="BE15" s="70">
        <f>BD15+D15</f>
        <v/>
      </c>
    </row>
    <row r="16" ht="16.15" customHeight="1" s="99">
      <c r="A16" s="52" t="inlineStr">
        <is>
          <t>F14</t>
        </is>
      </c>
      <c r="B16" s="71">
        <f>VLOOKUP(A16,Members!$A$2:$C$65,3,FALSE)</f>
        <v/>
      </c>
      <c r="C16" s="52">
        <f>Members!B15</f>
        <v/>
      </c>
      <c r="D16" s="72" t="n">
        <v>-12874.25847035635</v>
      </c>
      <c r="E16" s="72">
        <f>INDIRECT("'Apr"&amp;Members!$F$2&amp;"-COLLECTION'!K"&amp;ROW()-1)</f>
        <v/>
      </c>
      <c r="F16" s="72">
        <f>INDIRECT("'Apr"&amp;Members!$F$2&amp;"-EXPENSE'!R"&amp;ROW()+3)</f>
        <v/>
      </c>
      <c r="G16" s="10" t="n"/>
      <c r="H16" s="72">
        <f>E16-(F16+G16)</f>
        <v/>
      </c>
      <c r="I16" s="72">
        <f>INDIRECT("'May"&amp;Members!$F$2&amp;"-COLLECTION'!K"&amp;ROW()-1)</f>
        <v/>
      </c>
      <c r="J16" s="72">
        <f>INDIRECT("'May"&amp;Members!$F$2&amp;"-EXPENSE'!R"&amp;ROW()+3)</f>
        <v/>
      </c>
      <c r="K16" s="11" t="n"/>
      <c r="L16" s="72">
        <f>I16-(J16+K16)</f>
        <v/>
      </c>
      <c r="M16" s="72">
        <f>INDIRECT("'June"&amp;Members!$F$2&amp;"-COLLECTION'!K"&amp;ROW()-1)</f>
        <v/>
      </c>
      <c r="N16" s="72">
        <f>INDIRECT("'June"&amp;Members!$F$2&amp;"-EXPENSE'!R"&amp;ROW()+3)</f>
        <v/>
      </c>
      <c r="O16" s="10" t="n"/>
      <c r="P16" s="72">
        <f>M16-(N16+O16)</f>
        <v/>
      </c>
      <c r="Q16" s="72">
        <f>INDIRECT("'July"&amp;Members!$F$2&amp;"-COLLECTION'!K"&amp;ROW()-1)</f>
        <v/>
      </c>
      <c r="R16" s="72">
        <f>INDIRECT("'July"&amp;Members!$F$2&amp;"-EXPENSE'!R"&amp;ROW()+3)</f>
        <v/>
      </c>
      <c r="S16" s="11" t="n"/>
      <c r="T16" s="72">
        <f>Q16-(R16+S16)</f>
        <v/>
      </c>
      <c r="U16" s="72">
        <f>INDIRECT("'Aug"&amp;Members!$F$2&amp;"-COLLECTION'!K"&amp;ROW()-1)</f>
        <v/>
      </c>
      <c r="V16" s="72">
        <f>INDIRECT("'Aug"&amp;Members!$F$2&amp;"-EXPENSE'!R"&amp;ROW()+3)</f>
        <v/>
      </c>
      <c r="W16" s="10" t="n"/>
      <c r="X16" s="72">
        <f>U16-(V16+W16)</f>
        <v/>
      </c>
      <c r="Y16" s="72">
        <f>INDIRECT("'Sep"&amp;Members!$F$2&amp;"-COLLECTION'!K"&amp;ROW()-1)</f>
        <v/>
      </c>
      <c r="Z16" s="72">
        <f>INDIRECT("'Sep"&amp;Members!$F$2&amp;"-EXPENSE'!R"&amp;ROW()+3)</f>
        <v/>
      </c>
      <c r="AA16" s="11" t="n"/>
      <c r="AB16" s="72">
        <f>Y16-(Z16+AA16)</f>
        <v/>
      </c>
      <c r="AC16" s="72">
        <f>INDIRECT("'Oct"&amp;Members!$F$2&amp;"-COLLECTION'!K"&amp;ROW()-1)</f>
        <v/>
      </c>
      <c r="AD16" s="72">
        <f>INDIRECT("'Oct"&amp;Members!$F$2&amp;"-EXPENSE'!R"&amp;ROW()+3)</f>
        <v/>
      </c>
      <c r="AE16" s="11" t="n"/>
      <c r="AF16" s="72">
        <f>AC16-(AD16+AE16)</f>
        <v/>
      </c>
      <c r="AG16" s="72">
        <f>INDIRECT("'Nov"&amp;Members!$F$2&amp;"-COLLECTION'!K"&amp;ROW()-1)</f>
        <v/>
      </c>
      <c r="AH16" s="72">
        <f>INDIRECT("'Nov"&amp;Members!$F$2&amp;"-EXPENSE'!R"&amp;ROW()+3)</f>
        <v/>
      </c>
      <c r="AI16" s="11" t="n"/>
      <c r="AJ16" s="72">
        <f>AG16-(AH16+AI16)</f>
        <v/>
      </c>
      <c r="AK16" s="72">
        <f>INDIRECT("'Dec"&amp;Members!$F$2&amp;"-COLLECTION'!K"&amp;ROW()-1)</f>
        <v/>
      </c>
      <c r="AL16" s="72">
        <f>INDIRECT("'Dec"&amp;Members!$F$2&amp;"-EXPENSE'!R"&amp;ROW()+3)</f>
        <v/>
      </c>
      <c r="AM16" s="11" t="n"/>
      <c r="AN16" s="72">
        <f>AK16-(AL16+AM16)</f>
        <v/>
      </c>
      <c r="AO16" s="72">
        <f>INDIRECT("'Jan"&amp;Members!$G$2&amp;"-COLLECTION'!K"&amp;ROW()-1)</f>
        <v/>
      </c>
      <c r="AP16" s="72">
        <f>INDIRECT("'Jan"&amp;Members!$G$2&amp;"-EXPENSE'!R"&amp;ROW()+3)</f>
        <v/>
      </c>
      <c r="AQ16" s="75" t="n"/>
      <c r="AR16" s="72">
        <f>AO16-(AP16+AQ16)</f>
        <v/>
      </c>
      <c r="AS16" s="72">
        <f>INDIRECT("'Feb"&amp;Members!$G$2&amp;"-COLLECTION'!K"&amp;ROW()-1)</f>
        <v/>
      </c>
      <c r="AT16" s="72">
        <f>INDIRECT("'Feb"&amp;Members!$G$2&amp;"-EXPENSE'!R"&amp;ROW()+3)</f>
        <v/>
      </c>
      <c r="AU16" s="75" t="n"/>
      <c r="AV16" s="72">
        <f>AS16-(AT16+AU16)</f>
        <v/>
      </c>
      <c r="AW16" s="72">
        <f>INDIRECT("'Mar"&amp;Members!$G$2&amp;"-COLLECTION'!K"&amp;ROW()-1)</f>
        <v/>
      </c>
      <c r="AX16" s="72">
        <f>INDIRECT("'Mar"&amp;Members!$G$2&amp;"-EXPENSE'!R"&amp;ROW()+3)</f>
        <v/>
      </c>
      <c r="AY16" s="75" t="n"/>
      <c r="AZ16" s="72">
        <f>AW16-(AX16+AY16)</f>
        <v/>
      </c>
      <c r="BA16" s="72">
        <f>SUM(E16,I16,M16,Q16,U16,Y16,AC16,AG16,AK16,AO16,AS16,AW16)</f>
        <v/>
      </c>
      <c r="BB16" s="72">
        <f>SUM(F16,J16,N16,R16,V16,Z16,AD16,AH16,AL16,AP16,AT16,AX16)</f>
        <v/>
      </c>
      <c r="BC16" s="72">
        <f>SUM(G16,K16,O16,S16,W16,AA16,AE16,AI16,AM16,AQ16,AU16,AY16)</f>
        <v/>
      </c>
      <c r="BD16" s="72">
        <f>BA16-(BB16+BC16)</f>
        <v/>
      </c>
      <c r="BE16" s="72">
        <f>BD16+D16</f>
        <v/>
      </c>
    </row>
    <row r="17" ht="16.15" customHeight="1" s="99">
      <c r="A17" s="68" t="inlineStr">
        <is>
          <t>F15</t>
        </is>
      </c>
      <c r="B17" s="69">
        <f>VLOOKUP(A17,Members!$A$2:$C$65,3,FALSE)</f>
        <v/>
      </c>
      <c r="C17" s="68">
        <f>Members!B16</f>
        <v/>
      </c>
      <c r="D17" s="70" t="n">
        <v>-422.4009923129925</v>
      </c>
      <c r="E17" s="70">
        <f>INDIRECT("'Apr"&amp;Members!$F$2&amp;"-COLLECTION'!K"&amp;ROW()-1)</f>
        <v/>
      </c>
      <c r="F17" s="70">
        <f>INDIRECT("'Apr"&amp;Members!$F$2&amp;"-EXPENSE'!R"&amp;ROW()+3)</f>
        <v/>
      </c>
      <c r="G17" s="10" t="n"/>
      <c r="H17" s="70">
        <f>E17-(F17+G17)</f>
        <v/>
      </c>
      <c r="I17" s="70">
        <f>INDIRECT("'May"&amp;Members!$F$2&amp;"-COLLECTION'!K"&amp;ROW()-1)</f>
        <v/>
      </c>
      <c r="J17" s="70">
        <f>INDIRECT("'May"&amp;Members!$F$2&amp;"-EXPENSE'!R"&amp;ROW()+3)</f>
        <v/>
      </c>
      <c r="K17" s="11" t="n"/>
      <c r="L17" s="70">
        <f>I17-(J17+K17)</f>
        <v/>
      </c>
      <c r="M17" s="70">
        <f>INDIRECT("'June"&amp;Members!$F$2&amp;"-COLLECTION'!K"&amp;ROW()-1)</f>
        <v/>
      </c>
      <c r="N17" s="70">
        <f>INDIRECT("'June"&amp;Members!$F$2&amp;"-EXPENSE'!R"&amp;ROW()+3)</f>
        <v/>
      </c>
      <c r="O17" s="10" t="n"/>
      <c r="P17" s="70">
        <f>M17-(N17+O17)</f>
        <v/>
      </c>
      <c r="Q17" s="70">
        <f>INDIRECT("'July"&amp;Members!$F$2&amp;"-COLLECTION'!K"&amp;ROW()-1)</f>
        <v/>
      </c>
      <c r="R17" s="70">
        <f>INDIRECT("'July"&amp;Members!$F$2&amp;"-EXPENSE'!R"&amp;ROW()+3)</f>
        <v/>
      </c>
      <c r="S17" s="11" t="n"/>
      <c r="T17" s="70">
        <f>Q17-(R17+S17)</f>
        <v/>
      </c>
      <c r="U17" s="70">
        <f>INDIRECT("'Aug"&amp;Members!$F$2&amp;"-COLLECTION'!K"&amp;ROW()-1)</f>
        <v/>
      </c>
      <c r="V17" s="70">
        <f>INDIRECT("'Aug"&amp;Members!$F$2&amp;"-EXPENSE'!R"&amp;ROW()+3)</f>
        <v/>
      </c>
      <c r="W17" s="10" t="n"/>
      <c r="X17" s="70">
        <f>U17-(V17+W17)</f>
        <v/>
      </c>
      <c r="Y17" s="70">
        <f>INDIRECT("'Sep"&amp;Members!$F$2&amp;"-COLLECTION'!K"&amp;ROW()-1)</f>
        <v/>
      </c>
      <c r="Z17" s="70">
        <f>INDIRECT("'Sep"&amp;Members!$F$2&amp;"-EXPENSE'!R"&amp;ROW()+3)</f>
        <v/>
      </c>
      <c r="AA17" s="11" t="n"/>
      <c r="AB17" s="70">
        <f>Y17-(Z17+AA17)</f>
        <v/>
      </c>
      <c r="AC17" s="70">
        <f>INDIRECT("'Oct"&amp;Members!$F$2&amp;"-COLLECTION'!K"&amp;ROW()-1)</f>
        <v/>
      </c>
      <c r="AD17" s="70">
        <f>INDIRECT("'Oct"&amp;Members!$F$2&amp;"-EXPENSE'!R"&amp;ROW()+3)</f>
        <v/>
      </c>
      <c r="AE17" s="11" t="n"/>
      <c r="AF17" s="70">
        <f>AC17-(AD17+AE17)</f>
        <v/>
      </c>
      <c r="AG17" s="70">
        <f>INDIRECT("'Nov"&amp;Members!$F$2&amp;"-COLLECTION'!K"&amp;ROW()-1)</f>
        <v/>
      </c>
      <c r="AH17" s="70">
        <f>INDIRECT("'Nov"&amp;Members!$F$2&amp;"-EXPENSE'!R"&amp;ROW()+3)</f>
        <v/>
      </c>
      <c r="AI17" s="11" t="n"/>
      <c r="AJ17" s="70">
        <f>AG17-(AH17+AI17)</f>
        <v/>
      </c>
      <c r="AK17" s="70">
        <f>INDIRECT("'Dec"&amp;Members!$F$2&amp;"-COLLECTION'!K"&amp;ROW()-1)</f>
        <v/>
      </c>
      <c r="AL17" s="70">
        <f>INDIRECT("'Dec"&amp;Members!$F$2&amp;"-EXPENSE'!R"&amp;ROW()+3)</f>
        <v/>
      </c>
      <c r="AM17" s="11" t="n"/>
      <c r="AN17" s="70">
        <f>AK17-(AL17+AM17)</f>
        <v/>
      </c>
      <c r="AO17" s="70">
        <f>INDIRECT("'Jan"&amp;Members!$G$2&amp;"-COLLECTION'!K"&amp;ROW()-1)</f>
        <v/>
      </c>
      <c r="AP17" s="70">
        <f>INDIRECT("'Jan"&amp;Members!$G$2&amp;"-EXPENSE'!R"&amp;ROW()+3)</f>
        <v/>
      </c>
      <c r="AQ17" s="75" t="n"/>
      <c r="AR17" s="70">
        <f>AO17-(AP17+AQ17)</f>
        <v/>
      </c>
      <c r="AS17" s="70">
        <f>INDIRECT("'Feb"&amp;Members!$G$2&amp;"-COLLECTION'!K"&amp;ROW()-1)</f>
        <v/>
      </c>
      <c r="AT17" s="70">
        <f>INDIRECT("'Feb"&amp;Members!$G$2&amp;"-EXPENSE'!R"&amp;ROW()+3)</f>
        <v/>
      </c>
      <c r="AU17" s="75" t="n"/>
      <c r="AV17" s="70">
        <f>AS17-(AT17+AU17)</f>
        <v/>
      </c>
      <c r="AW17" s="70">
        <f>INDIRECT("'Mar"&amp;Members!$G$2&amp;"-COLLECTION'!K"&amp;ROW()-1)</f>
        <v/>
      </c>
      <c r="AX17" s="70">
        <f>INDIRECT("'Mar"&amp;Members!$G$2&amp;"-EXPENSE'!R"&amp;ROW()+3)</f>
        <v/>
      </c>
      <c r="AY17" s="75" t="n"/>
      <c r="AZ17" s="70">
        <f>AW17-(AX17+AY17)</f>
        <v/>
      </c>
      <c r="BA17" s="70">
        <f>SUM(E17,I17,M17,Q17,U17,Y17,AC17,AG17,AK17,AO17,AS17,AW17)</f>
        <v/>
      </c>
      <c r="BB17" s="70">
        <f>SUM(F17,J17,N17,R17,V17,Z17,AD17,AH17,AL17,AP17,AT17,AX17)</f>
        <v/>
      </c>
      <c r="BC17" s="70">
        <f>SUM(G17,K17,O17,S17,W17,AA17,AE17,AI17,AM17,AQ17,AU17,AY17)</f>
        <v/>
      </c>
      <c r="BD17" s="70">
        <f>BA17-(BB17+BC17)</f>
        <v/>
      </c>
      <c r="BE17" s="70">
        <f>BD17+D17</f>
        <v/>
      </c>
    </row>
    <row r="18" ht="16.15" customHeight="1" s="99">
      <c r="A18" s="52" t="inlineStr">
        <is>
          <t>F16</t>
        </is>
      </c>
      <c r="B18" s="71">
        <f>VLOOKUP(A18,Members!$A$2:$C$65,3,FALSE)</f>
        <v/>
      </c>
      <c r="C18" s="52">
        <f>Members!B17</f>
        <v/>
      </c>
      <c r="D18" s="72" t="n">
        <v>-56105.77767075555</v>
      </c>
      <c r="E18" s="72">
        <f>INDIRECT("'Apr"&amp;Members!$F$2&amp;"-COLLECTION'!K"&amp;ROW()-1)</f>
        <v/>
      </c>
      <c r="F18" s="72">
        <f>INDIRECT("'Apr"&amp;Members!$F$2&amp;"-EXPENSE'!R"&amp;ROW()+3)</f>
        <v/>
      </c>
      <c r="G18" s="10" t="n"/>
      <c r="H18" s="72">
        <f>E18-(F18+G18)</f>
        <v/>
      </c>
      <c r="I18" s="72">
        <f>INDIRECT("'May"&amp;Members!$F$2&amp;"-COLLECTION'!K"&amp;ROW()-1)</f>
        <v/>
      </c>
      <c r="J18" s="72">
        <f>INDIRECT("'May"&amp;Members!$F$2&amp;"-EXPENSE'!R"&amp;ROW()+3)</f>
        <v/>
      </c>
      <c r="K18" s="11" t="n"/>
      <c r="L18" s="72">
        <f>I18-(J18+K18)</f>
        <v/>
      </c>
      <c r="M18" s="72">
        <f>INDIRECT("'June"&amp;Members!$F$2&amp;"-COLLECTION'!K"&amp;ROW()-1)</f>
        <v/>
      </c>
      <c r="N18" s="72">
        <f>INDIRECT("'June"&amp;Members!$F$2&amp;"-EXPENSE'!R"&amp;ROW()+3)</f>
        <v/>
      </c>
      <c r="O18" s="10" t="n"/>
      <c r="P18" s="72">
        <f>M18-(N18+O18)</f>
        <v/>
      </c>
      <c r="Q18" s="72">
        <f>INDIRECT("'July"&amp;Members!$F$2&amp;"-COLLECTION'!K"&amp;ROW()-1)</f>
        <v/>
      </c>
      <c r="R18" s="72">
        <f>INDIRECT("'July"&amp;Members!$F$2&amp;"-EXPENSE'!R"&amp;ROW()+3)</f>
        <v/>
      </c>
      <c r="S18" s="11" t="n"/>
      <c r="T18" s="72">
        <f>Q18-(R18+S18)</f>
        <v/>
      </c>
      <c r="U18" s="72">
        <f>INDIRECT("'Aug"&amp;Members!$F$2&amp;"-COLLECTION'!K"&amp;ROW()-1)</f>
        <v/>
      </c>
      <c r="V18" s="72">
        <f>INDIRECT("'Aug"&amp;Members!$F$2&amp;"-EXPENSE'!R"&amp;ROW()+3)</f>
        <v/>
      </c>
      <c r="W18" s="10" t="n"/>
      <c r="X18" s="72">
        <f>U18-(V18+W18)</f>
        <v/>
      </c>
      <c r="Y18" s="72">
        <f>INDIRECT("'Sep"&amp;Members!$F$2&amp;"-COLLECTION'!K"&amp;ROW()-1)</f>
        <v/>
      </c>
      <c r="Z18" s="72">
        <f>INDIRECT("'Sep"&amp;Members!$F$2&amp;"-EXPENSE'!R"&amp;ROW()+3)</f>
        <v/>
      </c>
      <c r="AA18" s="11" t="n"/>
      <c r="AB18" s="72">
        <f>Y18-(Z18+AA18)</f>
        <v/>
      </c>
      <c r="AC18" s="72">
        <f>INDIRECT("'Oct"&amp;Members!$F$2&amp;"-COLLECTION'!K"&amp;ROW()-1)</f>
        <v/>
      </c>
      <c r="AD18" s="72">
        <f>INDIRECT("'Oct"&amp;Members!$F$2&amp;"-EXPENSE'!R"&amp;ROW()+3)</f>
        <v/>
      </c>
      <c r="AE18" s="11" t="n"/>
      <c r="AF18" s="72">
        <f>AC18-(AD18+AE18)</f>
        <v/>
      </c>
      <c r="AG18" s="72">
        <f>INDIRECT("'Nov"&amp;Members!$F$2&amp;"-COLLECTION'!K"&amp;ROW()-1)</f>
        <v/>
      </c>
      <c r="AH18" s="72">
        <f>INDIRECT("'Nov"&amp;Members!$F$2&amp;"-EXPENSE'!R"&amp;ROW()+3)</f>
        <v/>
      </c>
      <c r="AI18" s="11" t="n"/>
      <c r="AJ18" s="72">
        <f>AG18-(AH18+AI18)</f>
        <v/>
      </c>
      <c r="AK18" s="72">
        <f>INDIRECT("'Dec"&amp;Members!$F$2&amp;"-COLLECTION'!K"&amp;ROW()-1)</f>
        <v/>
      </c>
      <c r="AL18" s="72">
        <f>INDIRECT("'Dec"&amp;Members!$F$2&amp;"-EXPENSE'!R"&amp;ROW()+3)</f>
        <v/>
      </c>
      <c r="AM18" s="11" t="n"/>
      <c r="AN18" s="72">
        <f>AK18-(AL18+AM18)</f>
        <v/>
      </c>
      <c r="AO18" s="72">
        <f>INDIRECT("'Jan"&amp;Members!$G$2&amp;"-COLLECTION'!K"&amp;ROW()-1)</f>
        <v/>
      </c>
      <c r="AP18" s="72">
        <f>INDIRECT("'Jan"&amp;Members!$G$2&amp;"-EXPENSE'!R"&amp;ROW()+3)</f>
        <v/>
      </c>
      <c r="AQ18" s="75" t="n"/>
      <c r="AR18" s="72">
        <f>AO18-(AP18+AQ18)</f>
        <v/>
      </c>
      <c r="AS18" s="72">
        <f>INDIRECT("'Feb"&amp;Members!$G$2&amp;"-COLLECTION'!K"&amp;ROW()-1)</f>
        <v/>
      </c>
      <c r="AT18" s="72">
        <f>INDIRECT("'Feb"&amp;Members!$G$2&amp;"-EXPENSE'!R"&amp;ROW()+3)</f>
        <v/>
      </c>
      <c r="AU18" s="75" t="n"/>
      <c r="AV18" s="72">
        <f>AS18-(AT18+AU18)</f>
        <v/>
      </c>
      <c r="AW18" s="72">
        <f>INDIRECT("'Mar"&amp;Members!$G$2&amp;"-COLLECTION'!K"&amp;ROW()-1)</f>
        <v/>
      </c>
      <c r="AX18" s="72">
        <f>INDIRECT("'Mar"&amp;Members!$G$2&amp;"-EXPENSE'!R"&amp;ROW()+3)</f>
        <v/>
      </c>
      <c r="AY18" s="75" t="n"/>
      <c r="AZ18" s="72">
        <f>AW18-(AX18+AY18)</f>
        <v/>
      </c>
      <c r="BA18" s="72">
        <f>SUM(E18,I18,M18,Q18,U18,Y18,AC18,AG18,AK18,AO18,AS18,AW18)</f>
        <v/>
      </c>
      <c r="BB18" s="72">
        <f>SUM(F18,J18,N18,R18,V18,Z18,AD18,AH18,AL18,AP18,AT18,AX18)</f>
        <v/>
      </c>
      <c r="BC18" s="72">
        <f>SUM(G18,K18,O18,S18,W18,AA18,AE18,AI18,AM18,AQ18,AU18,AY18)</f>
        <v/>
      </c>
      <c r="BD18" s="72">
        <f>BA18-(BB18+BC18)</f>
        <v/>
      </c>
      <c r="BE18" s="72">
        <f>BD18+D18</f>
        <v/>
      </c>
    </row>
    <row r="19" ht="16.15" customHeight="1" s="99">
      <c r="A19" s="68" t="inlineStr">
        <is>
          <t>G1</t>
        </is>
      </c>
      <c r="B19" s="69">
        <f>VLOOKUP(A19,Members!$A$2:$C$65,3,FALSE)</f>
        <v/>
      </c>
      <c r="C19" s="68">
        <f>Members!B18</f>
        <v/>
      </c>
      <c r="D19" s="70" t="n">
        <v>-1773.226288807185</v>
      </c>
      <c r="E19" s="70">
        <f>INDIRECT("'Apr"&amp;Members!$F$2&amp;"-COLLECTION'!K"&amp;ROW()-1)</f>
        <v/>
      </c>
      <c r="F19" s="70">
        <f>INDIRECT("'Apr"&amp;Members!$F$2&amp;"-EXPENSE'!R"&amp;ROW()+3)</f>
        <v/>
      </c>
      <c r="G19" s="10" t="n"/>
      <c r="H19" s="70">
        <f>E19-(F19+G19)</f>
        <v/>
      </c>
      <c r="I19" s="70">
        <f>INDIRECT("'May"&amp;Members!$F$2&amp;"-COLLECTION'!K"&amp;ROW()-1)</f>
        <v/>
      </c>
      <c r="J19" s="70">
        <f>INDIRECT("'May"&amp;Members!$F$2&amp;"-EXPENSE'!R"&amp;ROW()+3)</f>
        <v/>
      </c>
      <c r="K19" s="11" t="n"/>
      <c r="L19" s="70">
        <f>I19-(J19+K19)</f>
        <v/>
      </c>
      <c r="M19" s="70">
        <f>INDIRECT("'June"&amp;Members!$F$2&amp;"-COLLECTION'!K"&amp;ROW()-1)</f>
        <v/>
      </c>
      <c r="N19" s="70">
        <f>INDIRECT("'June"&amp;Members!$F$2&amp;"-EXPENSE'!R"&amp;ROW()+3)</f>
        <v/>
      </c>
      <c r="O19" s="10" t="n"/>
      <c r="P19" s="70">
        <f>M19-(N19+O19)</f>
        <v/>
      </c>
      <c r="Q19" s="70">
        <f>INDIRECT("'July"&amp;Members!$F$2&amp;"-COLLECTION'!K"&amp;ROW()-1)</f>
        <v/>
      </c>
      <c r="R19" s="70">
        <f>INDIRECT("'July"&amp;Members!$F$2&amp;"-EXPENSE'!R"&amp;ROW()+3)</f>
        <v/>
      </c>
      <c r="S19" s="11" t="n"/>
      <c r="T19" s="70">
        <f>Q19-(R19+S19)</f>
        <v/>
      </c>
      <c r="U19" s="70">
        <f>INDIRECT("'Aug"&amp;Members!$F$2&amp;"-COLLECTION'!K"&amp;ROW()-1)</f>
        <v/>
      </c>
      <c r="V19" s="70">
        <f>INDIRECT("'Aug"&amp;Members!$F$2&amp;"-EXPENSE'!R"&amp;ROW()+3)</f>
        <v/>
      </c>
      <c r="W19" s="10" t="n"/>
      <c r="X19" s="70">
        <f>U19-(V19+W19)</f>
        <v/>
      </c>
      <c r="Y19" s="70">
        <f>INDIRECT("'Sep"&amp;Members!$F$2&amp;"-COLLECTION'!K"&amp;ROW()-1)</f>
        <v/>
      </c>
      <c r="Z19" s="70">
        <f>INDIRECT("'Sep"&amp;Members!$F$2&amp;"-EXPENSE'!R"&amp;ROW()+3)</f>
        <v/>
      </c>
      <c r="AA19" s="11" t="n"/>
      <c r="AB19" s="70">
        <f>Y19-(Z19+AA19)</f>
        <v/>
      </c>
      <c r="AC19" s="70">
        <f>INDIRECT("'Oct"&amp;Members!$F$2&amp;"-COLLECTION'!K"&amp;ROW()-1)</f>
        <v/>
      </c>
      <c r="AD19" s="70">
        <f>INDIRECT("'Oct"&amp;Members!$F$2&amp;"-EXPENSE'!R"&amp;ROW()+3)</f>
        <v/>
      </c>
      <c r="AE19" s="11" t="n"/>
      <c r="AF19" s="70">
        <f>AC19-(AD19+AE19)</f>
        <v/>
      </c>
      <c r="AG19" s="70">
        <f>INDIRECT("'Nov"&amp;Members!$F$2&amp;"-COLLECTION'!K"&amp;ROW()-1)</f>
        <v/>
      </c>
      <c r="AH19" s="70">
        <f>INDIRECT("'Nov"&amp;Members!$F$2&amp;"-EXPENSE'!R"&amp;ROW()+3)</f>
        <v/>
      </c>
      <c r="AI19" s="11" t="n"/>
      <c r="AJ19" s="70">
        <f>AG19-(AH19+AI19)</f>
        <v/>
      </c>
      <c r="AK19" s="70">
        <f>INDIRECT("'Dec"&amp;Members!$F$2&amp;"-COLLECTION'!K"&amp;ROW()-1)</f>
        <v/>
      </c>
      <c r="AL19" s="70">
        <f>INDIRECT("'Dec"&amp;Members!$F$2&amp;"-EXPENSE'!R"&amp;ROW()+3)</f>
        <v/>
      </c>
      <c r="AM19" s="11" t="n"/>
      <c r="AN19" s="70">
        <f>AK19-(AL19+AM19)</f>
        <v/>
      </c>
      <c r="AO19" s="70">
        <f>INDIRECT("'Jan"&amp;Members!$G$2&amp;"-COLLECTION'!K"&amp;ROW()-1)</f>
        <v/>
      </c>
      <c r="AP19" s="70">
        <f>INDIRECT("'Jan"&amp;Members!$G$2&amp;"-EXPENSE'!R"&amp;ROW()+3)</f>
        <v/>
      </c>
      <c r="AQ19" s="75" t="n"/>
      <c r="AR19" s="70">
        <f>AO19-(AP19+AQ19)</f>
        <v/>
      </c>
      <c r="AS19" s="70">
        <f>INDIRECT("'Feb"&amp;Members!$G$2&amp;"-COLLECTION'!K"&amp;ROW()-1)</f>
        <v/>
      </c>
      <c r="AT19" s="70">
        <f>INDIRECT("'Feb"&amp;Members!$G$2&amp;"-EXPENSE'!R"&amp;ROW()+3)</f>
        <v/>
      </c>
      <c r="AU19" s="75" t="n"/>
      <c r="AV19" s="70">
        <f>AS19-(AT19+AU19)</f>
        <v/>
      </c>
      <c r="AW19" s="70">
        <f>INDIRECT("'Mar"&amp;Members!$G$2&amp;"-COLLECTION'!K"&amp;ROW()-1)</f>
        <v/>
      </c>
      <c r="AX19" s="70">
        <f>INDIRECT("'Mar"&amp;Members!$G$2&amp;"-EXPENSE'!R"&amp;ROW()+3)</f>
        <v/>
      </c>
      <c r="AY19" s="75" t="n"/>
      <c r="AZ19" s="70">
        <f>AW19-(AX19+AY19)</f>
        <v/>
      </c>
      <c r="BA19" s="70">
        <f>SUM(E19,I19,M19,Q19,U19,Y19,AC19,AG19,AK19,AO19,AS19,AW19)</f>
        <v/>
      </c>
      <c r="BB19" s="70">
        <f>SUM(F19,J19,N19,R19,V19,Z19,AD19,AH19,AL19,AP19,AT19,AX19)</f>
        <v/>
      </c>
      <c r="BC19" s="70">
        <f>SUM(G19,K19,O19,S19,W19,AA19,AE19,AI19,AM19,AQ19,AU19,AY19)</f>
        <v/>
      </c>
      <c r="BD19" s="70">
        <f>BA19-(BB19+BC19)</f>
        <v/>
      </c>
      <c r="BE19" s="70">
        <f>BD19+D19</f>
        <v/>
      </c>
    </row>
    <row r="20" ht="16.15" customHeight="1" s="99">
      <c r="A20" s="52" t="inlineStr">
        <is>
          <t>G2</t>
        </is>
      </c>
      <c r="B20" s="71">
        <f>VLOOKUP(A20,Members!$A$2:$C$65,3,FALSE)</f>
        <v/>
      </c>
      <c r="C20" s="52">
        <f>Members!B19</f>
        <v/>
      </c>
      <c r="D20" s="72" t="n">
        <v>-11.71740134201536</v>
      </c>
      <c r="E20" s="72">
        <f>INDIRECT("'Apr"&amp;Members!$F$2&amp;"-COLLECTION'!K"&amp;ROW()-1)</f>
        <v/>
      </c>
      <c r="F20" s="72">
        <f>INDIRECT("'Apr"&amp;Members!$F$2&amp;"-EXPENSE'!R"&amp;ROW()+3)</f>
        <v/>
      </c>
      <c r="G20" s="10" t="n"/>
      <c r="H20" s="72">
        <f>E20-(F20+G20)</f>
        <v/>
      </c>
      <c r="I20" s="72">
        <f>INDIRECT("'May"&amp;Members!$F$2&amp;"-COLLECTION'!K"&amp;ROW()-1)</f>
        <v/>
      </c>
      <c r="J20" s="72">
        <f>INDIRECT("'May"&amp;Members!$F$2&amp;"-EXPENSE'!R"&amp;ROW()+3)</f>
        <v/>
      </c>
      <c r="K20" s="11" t="n"/>
      <c r="L20" s="72">
        <f>I20-(J20+K20)</f>
        <v/>
      </c>
      <c r="M20" s="72">
        <f>INDIRECT("'June"&amp;Members!$F$2&amp;"-COLLECTION'!K"&amp;ROW()-1)</f>
        <v/>
      </c>
      <c r="N20" s="72">
        <f>INDIRECT("'June"&amp;Members!$F$2&amp;"-EXPENSE'!R"&amp;ROW()+3)</f>
        <v/>
      </c>
      <c r="O20" s="10" t="n"/>
      <c r="P20" s="72">
        <f>M20-(N20+O20)</f>
        <v/>
      </c>
      <c r="Q20" s="72">
        <f>INDIRECT("'July"&amp;Members!$F$2&amp;"-COLLECTION'!K"&amp;ROW()-1)</f>
        <v/>
      </c>
      <c r="R20" s="72">
        <f>INDIRECT("'July"&amp;Members!$F$2&amp;"-EXPENSE'!R"&amp;ROW()+3)</f>
        <v/>
      </c>
      <c r="S20" s="11" t="n"/>
      <c r="T20" s="72">
        <f>Q20-(R20+S20)</f>
        <v/>
      </c>
      <c r="U20" s="72">
        <f>INDIRECT("'Aug"&amp;Members!$F$2&amp;"-COLLECTION'!K"&amp;ROW()-1)</f>
        <v/>
      </c>
      <c r="V20" s="72">
        <f>INDIRECT("'Aug"&amp;Members!$F$2&amp;"-EXPENSE'!R"&amp;ROW()+3)</f>
        <v/>
      </c>
      <c r="W20" s="10" t="n"/>
      <c r="X20" s="72">
        <f>U20-(V20+W20)</f>
        <v/>
      </c>
      <c r="Y20" s="72">
        <f>INDIRECT("'Sep"&amp;Members!$F$2&amp;"-COLLECTION'!K"&amp;ROW()-1)</f>
        <v/>
      </c>
      <c r="Z20" s="72">
        <f>INDIRECT("'Sep"&amp;Members!$F$2&amp;"-EXPENSE'!R"&amp;ROW()+3)</f>
        <v/>
      </c>
      <c r="AA20" s="11" t="n"/>
      <c r="AB20" s="72">
        <f>Y20-(Z20+AA20)</f>
        <v/>
      </c>
      <c r="AC20" s="72">
        <f>INDIRECT("'Oct"&amp;Members!$F$2&amp;"-COLLECTION'!K"&amp;ROW()-1)</f>
        <v/>
      </c>
      <c r="AD20" s="72">
        <f>INDIRECT("'Oct"&amp;Members!$F$2&amp;"-EXPENSE'!R"&amp;ROW()+3)</f>
        <v/>
      </c>
      <c r="AE20" s="11" t="n"/>
      <c r="AF20" s="72">
        <f>AC20-(AD20+AE20)</f>
        <v/>
      </c>
      <c r="AG20" s="72">
        <f>INDIRECT("'Nov"&amp;Members!$F$2&amp;"-COLLECTION'!K"&amp;ROW()-1)</f>
        <v/>
      </c>
      <c r="AH20" s="72">
        <f>INDIRECT("'Nov"&amp;Members!$F$2&amp;"-EXPENSE'!R"&amp;ROW()+3)</f>
        <v/>
      </c>
      <c r="AI20" s="11" t="n"/>
      <c r="AJ20" s="72">
        <f>AG20-(AH20+AI20)</f>
        <v/>
      </c>
      <c r="AK20" s="72">
        <f>INDIRECT("'Dec"&amp;Members!$F$2&amp;"-COLLECTION'!K"&amp;ROW()-1)</f>
        <v/>
      </c>
      <c r="AL20" s="72">
        <f>INDIRECT("'Dec"&amp;Members!$F$2&amp;"-EXPENSE'!R"&amp;ROW()+3)</f>
        <v/>
      </c>
      <c r="AM20" s="11" t="n"/>
      <c r="AN20" s="72">
        <f>AK20-(AL20+AM20)</f>
        <v/>
      </c>
      <c r="AO20" s="72">
        <f>INDIRECT("'Jan"&amp;Members!$G$2&amp;"-COLLECTION'!K"&amp;ROW()-1)</f>
        <v/>
      </c>
      <c r="AP20" s="72">
        <f>INDIRECT("'Jan"&amp;Members!$G$2&amp;"-EXPENSE'!R"&amp;ROW()+3)</f>
        <v/>
      </c>
      <c r="AQ20" s="75" t="n"/>
      <c r="AR20" s="72">
        <f>AO20-(AP20+AQ20)</f>
        <v/>
      </c>
      <c r="AS20" s="72">
        <f>INDIRECT("'Feb"&amp;Members!$G$2&amp;"-COLLECTION'!K"&amp;ROW()-1)</f>
        <v/>
      </c>
      <c r="AT20" s="72">
        <f>INDIRECT("'Feb"&amp;Members!$G$2&amp;"-EXPENSE'!R"&amp;ROW()+3)</f>
        <v/>
      </c>
      <c r="AU20" s="75" t="n"/>
      <c r="AV20" s="72">
        <f>AS20-(AT20+AU20)</f>
        <v/>
      </c>
      <c r="AW20" s="72">
        <f>INDIRECT("'Mar"&amp;Members!$G$2&amp;"-COLLECTION'!K"&amp;ROW()-1)</f>
        <v/>
      </c>
      <c r="AX20" s="72">
        <f>INDIRECT("'Mar"&amp;Members!$G$2&amp;"-EXPENSE'!R"&amp;ROW()+3)</f>
        <v/>
      </c>
      <c r="AY20" s="75" t="n"/>
      <c r="AZ20" s="72">
        <f>AW20-(AX20+AY20)</f>
        <v/>
      </c>
      <c r="BA20" s="72">
        <f>SUM(E20,I20,M20,Q20,U20,Y20,AC20,AG20,AK20,AO20,AS20,AW20)</f>
        <v/>
      </c>
      <c r="BB20" s="72">
        <f>SUM(F20,J20,N20,R20,V20,Z20,AD20,AH20,AL20,AP20,AT20,AX20)</f>
        <v/>
      </c>
      <c r="BC20" s="72">
        <f>SUM(G20,K20,O20,S20,W20,AA20,AE20,AI20,AM20,AQ20,AU20,AY20)</f>
        <v/>
      </c>
      <c r="BD20" s="72">
        <f>BA20-(BB20+BC20)</f>
        <v/>
      </c>
      <c r="BE20" s="72">
        <f>BD20+D20</f>
        <v/>
      </c>
    </row>
    <row r="21" ht="15.75" customHeight="1" s="99">
      <c r="A21" s="68" t="inlineStr">
        <is>
          <t>G3</t>
        </is>
      </c>
      <c r="B21" s="69">
        <f>VLOOKUP(A21,Members!$A$2:$C$65,3,FALSE)</f>
        <v/>
      </c>
      <c r="C21" s="68">
        <f>Members!B20</f>
        <v/>
      </c>
      <c r="D21" s="70" t="n">
        <v>-1839.442077071188</v>
      </c>
      <c r="E21" s="70">
        <f>INDIRECT("'Apr"&amp;Members!$F$2&amp;"-COLLECTION'!K"&amp;ROW()-1)</f>
        <v/>
      </c>
      <c r="F21" s="70">
        <f>INDIRECT("'Apr"&amp;Members!$F$2&amp;"-EXPENSE'!R"&amp;ROW()+3)</f>
        <v/>
      </c>
      <c r="G21" s="10" t="n"/>
      <c r="H21" s="70">
        <f>E21-(F21+G21)</f>
        <v/>
      </c>
      <c r="I21" s="70">
        <f>INDIRECT("'May"&amp;Members!$F$2&amp;"-COLLECTION'!K"&amp;ROW()-1)</f>
        <v/>
      </c>
      <c r="J21" s="70">
        <f>INDIRECT("'May"&amp;Members!$F$2&amp;"-EXPENSE'!R"&amp;ROW()+3)</f>
        <v/>
      </c>
      <c r="K21" s="11" t="n"/>
      <c r="L21" s="70">
        <f>I21-(J21+K21)</f>
        <v/>
      </c>
      <c r="M21" s="70">
        <f>INDIRECT("'June"&amp;Members!$F$2&amp;"-COLLECTION'!K"&amp;ROW()-1)</f>
        <v/>
      </c>
      <c r="N21" s="70">
        <f>INDIRECT("'June"&amp;Members!$F$2&amp;"-EXPENSE'!R"&amp;ROW()+3)</f>
        <v/>
      </c>
      <c r="O21" s="10" t="n"/>
      <c r="P21" s="70">
        <f>M21-(N21+O21)</f>
        <v/>
      </c>
      <c r="Q21" s="70">
        <f>INDIRECT("'July"&amp;Members!$F$2&amp;"-COLLECTION'!K"&amp;ROW()-1)</f>
        <v/>
      </c>
      <c r="R21" s="70">
        <f>INDIRECT("'July"&amp;Members!$F$2&amp;"-EXPENSE'!R"&amp;ROW()+3)</f>
        <v/>
      </c>
      <c r="S21" s="11" t="n"/>
      <c r="T21" s="70">
        <f>Q21-(R21+S21)</f>
        <v/>
      </c>
      <c r="U21" s="70">
        <f>INDIRECT("'Aug"&amp;Members!$F$2&amp;"-COLLECTION'!K"&amp;ROW()-1)</f>
        <v/>
      </c>
      <c r="V21" s="70">
        <f>INDIRECT("'Aug"&amp;Members!$F$2&amp;"-EXPENSE'!R"&amp;ROW()+3)</f>
        <v/>
      </c>
      <c r="W21" s="10" t="n"/>
      <c r="X21" s="70">
        <f>U21-(V21+W21)</f>
        <v/>
      </c>
      <c r="Y21" s="70">
        <f>INDIRECT("'Sep"&amp;Members!$F$2&amp;"-COLLECTION'!K"&amp;ROW()-1)</f>
        <v/>
      </c>
      <c r="Z21" s="70">
        <f>INDIRECT("'Sep"&amp;Members!$F$2&amp;"-EXPENSE'!R"&amp;ROW()+3)</f>
        <v/>
      </c>
      <c r="AA21" s="11" t="n"/>
      <c r="AB21" s="70">
        <f>Y21-(Z21+AA21)</f>
        <v/>
      </c>
      <c r="AC21" s="70">
        <f>INDIRECT("'Oct"&amp;Members!$F$2&amp;"-COLLECTION'!K"&amp;ROW()-1)</f>
        <v/>
      </c>
      <c r="AD21" s="70">
        <f>INDIRECT("'Oct"&amp;Members!$F$2&amp;"-EXPENSE'!R"&amp;ROW()+3)</f>
        <v/>
      </c>
      <c r="AE21" s="11" t="n"/>
      <c r="AF21" s="70">
        <f>AC21-(AD21+AE21)</f>
        <v/>
      </c>
      <c r="AG21" s="70">
        <f>INDIRECT("'Nov"&amp;Members!$F$2&amp;"-COLLECTION'!K"&amp;ROW()-1)</f>
        <v/>
      </c>
      <c r="AH21" s="70">
        <f>INDIRECT("'Nov"&amp;Members!$F$2&amp;"-EXPENSE'!R"&amp;ROW()+3)</f>
        <v/>
      </c>
      <c r="AI21" s="11" t="n"/>
      <c r="AJ21" s="70">
        <f>AG21-(AH21+AI21)</f>
        <v/>
      </c>
      <c r="AK21" s="70">
        <f>INDIRECT("'Dec"&amp;Members!$F$2&amp;"-COLLECTION'!K"&amp;ROW()-1)</f>
        <v/>
      </c>
      <c r="AL21" s="70">
        <f>INDIRECT("'Dec"&amp;Members!$F$2&amp;"-EXPENSE'!R"&amp;ROW()+3)</f>
        <v/>
      </c>
      <c r="AM21" s="11" t="n"/>
      <c r="AN21" s="70">
        <f>AK21-(AL21+AM21)</f>
        <v/>
      </c>
      <c r="AO21" s="70">
        <f>INDIRECT("'Jan"&amp;Members!$G$2&amp;"-COLLECTION'!K"&amp;ROW()-1)</f>
        <v/>
      </c>
      <c r="AP21" s="70">
        <f>INDIRECT("'Jan"&amp;Members!$G$2&amp;"-EXPENSE'!R"&amp;ROW()+3)</f>
        <v/>
      </c>
      <c r="AQ21" s="75" t="n"/>
      <c r="AR21" s="70">
        <f>AO21-(AP21+AQ21)</f>
        <v/>
      </c>
      <c r="AS21" s="70">
        <f>INDIRECT("'Feb"&amp;Members!$G$2&amp;"-COLLECTION'!K"&amp;ROW()-1)</f>
        <v/>
      </c>
      <c r="AT21" s="70">
        <f>INDIRECT("'Feb"&amp;Members!$G$2&amp;"-EXPENSE'!R"&amp;ROW()+3)</f>
        <v/>
      </c>
      <c r="AU21" s="75" t="n"/>
      <c r="AV21" s="70">
        <f>AS21-(AT21+AU21)</f>
        <v/>
      </c>
      <c r="AW21" s="70">
        <f>INDIRECT("'Mar"&amp;Members!$G$2&amp;"-COLLECTION'!K"&amp;ROW()-1)</f>
        <v/>
      </c>
      <c r="AX21" s="70">
        <f>INDIRECT("'Mar"&amp;Members!$G$2&amp;"-EXPENSE'!R"&amp;ROW()+3)</f>
        <v/>
      </c>
      <c r="AY21" s="75" t="n"/>
      <c r="AZ21" s="70">
        <f>AW21-(AX21+AY21)</f>
        <v/>
      </c>
      <c r="BA21" s="70">
        <f>SUM(E21,I21,M21,Q21,U21,Y21,AC21,AG21,AK21,AO21,AS21,AW21)</f>
        <v/>
      </c>
      <c r="BB21" s="70">
        <f>SUM(F21,J21,N21,R21,V21,Z21,AD21,AH21,AL21,AP21,AT21,AX21)</f>
        <v/>
      </c>
      <c r="BC21" s="70">
        <f>SUM(G21,K21,O21,S21,W21,AA21,AE21,AI21,AM21,AQ21,AU21,AY21)</f>
        <v/>
      </c>
      <c r="BD21" s="70">
        <f>BA21-(BB21+BC21)</f>
        <v/>
      </c>
      <c r="BE21" s="70">
        <f>BD21+D21</f>
        <v/>
      </c>
    </row>
    <row r="22" ht="15.75" customHeight="1" s="99">
      <c r="A22" s="52" t="inlineStr">
        <is>
          <t>G4</t>
        </is>
      </c>
      <c r="B22" s="71">
        <f>VLOOKUP(A22,Members!$A$2:$C$65,3,FALSE)</f>
        <v/>
      </c>
      <c r="C22" s="52">
        <f>Members!B21</f>
        <v/>
      </c>
      <c r="D22" s="72" t="n">
        <v>-9508.192030593142</v>
      </c>
      <c r="E22" s="72">
        <f>INDIRECT("'Apr"&amp;Members!$F$2&amp;"-COLLECTION'!K"&amp;ROW()-1)</f>
        <v/>
      </c>
      <c r="F22" s="72">
        <f>INDIRECT("'Apr"&amp;Members!$F$2&amp;"-EXPENSE'!R"&amp;ROW()+3)</f>
        <v/>
      </c>
      <c r="G22" s="10" t="n"/>
      <c r="H22" s="72">
        <f>E22-(F22+G22)</f>
        <v/>
      </c>
      <c r="I22" s="72">
        <f>INDIRECT("'May"&amp;Members!$F$2&amp;"-COLLECTION'!K"&amp;ROW()-1)</f>
        <v/>
      </c>
      <c r="J22" s="72">
        <f>INDIRECT("'May"&amp;Members!$F$2&amp;"-EXPENSE'!R"&amp;ROW()+3)</f>
        <v/>
      </c>
      <c r="K22" s="11" t="n"/>
      <c r="L22" s="72">
        <f>I22-(J22+K22)</f>
        <v/>
      </c>
      <c r="M22" s="72">
        <f>INDIRECT("'June"&amp;Members!$F$2&amp;"-COLLECTION'!K"&amp;ROW()-1)</f>
        <v/>
      </c>
      <c r="N22" s="72">
        <f>INDIRECT("'June"&amp;Members!$F$2&amp;"-EXPENSE'!R"&amp;ROW()+3)</f>
        <v/>
      </c>
      <c r="O22" s="10" t="n"/>
      <c r="P22" s="72">
        <f>M22-(N22+O22)</f>
        <v/>
      </c>
      <c r="Q22" s="72">
        <f>INDIRECT("'July"&amp;Members!$F$2&amp;"-COLLECTION'!K"&amp;ROW()-1)</f>
        <v/>
      </c>
      <c r="R22" s="72">
        <f>INDIRECT("'July"&amp;Members!$F$2&amp;"-EXPENSE'!R"&amp;ROW()+3)</f>
        <v/>
      </c>
      <c r="S22" s="11" t="n"/>
      <c r="T22" s="72">
        <f>Q22-(R22+S22)</f>
        <v/>
      </c>
      <c r="U22" s="72">
        <f>INDIRECT("'Aug"&amp;Members!$F$2&amp;"-COLLECTION'!K"&amp;ROW()-1)</f>
        <v/>
      </c>
      <c r="V22" s="72">
        <f>INDIRECT("'Aug"&amp;Members!$F$2&amp;"-EXPENSE'!R"&amp;ROW()+3)</f>
        <v/>
      </c>
      <c r="W22" s="10" t="n"/>
      <c r="X22" s="72">
        <f>U22-(V22+W22)</f>
        <v/>
      </c>
      <c r="Y22" s="72">
        <f>INDIRECT("'Sep"&amp;Members!$F$2&amp;"-COLLECTION'!K"&amp;ROW()-1)</f>
        <v/>
      </c>
      <c r="Z22" s="72">
        <f>INDIRECT("'Sep"&amp;Members!$F$2&amp;"-EXPENSE'!R"&amp;ROW()+3)</f>
        <v/>
      </c>
      <c r="AA22" s="11" t="n"/>
      <c r="AB22" s="72">
        <f>Y22-(Z22+AA22)</f>
        <v/>
      </c>
      <c r="AC22" s="72">
        <f>INDIRECT("'Oct"&amp;Members!$F$2&amp;"-COLLECTION'!K"&amp;ROW()-1)</f>
        <v/>
      </c>
      <c r="AD22" s="72">
        <f>INDIRECT("'Oct"&amp;Members!$F$2&amp;"-EXPENSE'!R"&amp;ROW()+3)</f>
        <v/>
      </c>
      <c r="AE22" s="11" t="n"/>
      <c r="AF22" s="72">
        <f>AC22-(AD22+AE22)</f>
        <v/>
      </c>
      <c r="AG22" s="72">
        <f>INDIRECT("'Nov"&amp;Members!$F$2&amp;"-COLLECTION'!K"&amp;ROW()-1)</f>
        <v/>
      </c>
      <c r="AH22" s="72">
        <f>INDIRECT("'Nov"&amp;Members!$F$2&amp;"-EXPENSE'!R"&amp;ROW()+3)</f>
        <v/>
      </c>
      <c r="AI22" s="11" t="n"/>
      <c r="AJ22" s="72">
        <f>AG22-(AH22+AI22)</f>
        <v/>
      </c>
      <c r="AK22" s="72">
        <f>INDIRECT("'Dec"&amp;Members!$F$2&amp;"-COLLECTION'!K"&amp;ROW()-1)</f>
        <v/>
      </c>
      <c r="AL22" s="72">
        <f>INDIRECT("'Dec"&amp;Members!$F$2&amp;"-EXPENSE'!R"&amp;ROW()+3)</f>
        <v/>
      </c>
      <c r="AM22" s="11" t="n"/>
      <c r="AN22" s="72">
        <f>AK22-(AL22+AM22)</f>
        <v/>
      </c>
      <c r="AO22" s="72">
        <f>INDIRECT("'Jan"&amp;Members!$G$2&amp;"-COLLECTION'!K"&amp;ROW()-1)</f>
        <v/>
      </c>
      <c r="AP22" s="72">
        <f>INDIRECT("'Jan"&amp;Members!$G$2&amp;"-EXPENSE'!R"&amp;ROW()+3)</f>
        <v/>
      </c>
      <c r="AQ22" s="75" t="n"/>
      <c r="AR22" s="72">
        <f>AO22-(AP22+AQ22)</f>
        <v/>
      </c>
      <c r="AS22" s="72">
        <f>INDIRECT("'Feb"&amp;Members!$G$2&amp;"-COLLECTION'!K"&amp;ROW()-1)</f>
        <v/>
      </c>
      <c r="AT22" s="72">
        <f>INDIRECT("'Feb"&amp;Members!$G$2&amp;"-EXPENSE'!R"&amp;ROW()+3)</f>
        <v/>
      </c>
      <c r="AU22" s="75" t="n"/>
      <c r="AV22" s="72">
        <f>AS22-(AT22+AU22)</f>
        <v/>
      </c>
      <c r="AW22" s="72">
        <f>INDIRECT("'Mar"&amp;Members!$G$2&amp;"-COLLECTION'!K"&amp;ROW()-1)</f>
        <v/>
      </c>
      <c r="AX22" s="72">
        <f>INDIRECT("'Mar"&amp;Members!$G$2&amp;"-EXPENSE'!R"&amp;ROW()+3)</f>
        <v/>
      </c>
      <c r="AY22" s="75" t="n"/>
      <c r="AZ22" s="72">
        <f>AW22-(AX22+AY22)</f>
        <v/>
      </c>
      <c r="BA22" s="72">
        <f>SUM(E22,I22,M22,Q22,U22,Y22,AC22,AG22,AK22,AO22,AS22,AW22)</f>
        <v/>
      </c>
      <c r="BB22" s="72">
        <f>SUM(F22,J22,N22,R22,V22,Z22,AD22,AH22,AL22,AP22,AT22,AX22)</f>
        <v/>
      </c>
      <c r="BC22" s="72">
        <f>SUM(G22,K22,O22,S22,W22,AA22,AE22,AI22,AM22,AQ22,AU22,AY22)</f>
        <v/>
      </c>
      <c r="BD22" s="72">
        <f>BA22-(BB22+BC22)</f>
        <v/>
      </c>
      <c r="BE22" s="72">
        <f>BD22+D22</f>
        <v/>
      </c>
    </row>
    <row r="23" ht="15.75" customHeight="1" s="99">
      <c r="A23" s="68" t="inlineStr">
        <is>
          <t>G5</t>
        </is>
      </c>
      <c r="B23" s="69">
        <f>VLOOKUP(A23,Members!$A$2:$C$65,3,FALSE)</f>
        <v/>
      </c>
      <c r="C23" s="68">
        <f>Members!B22</f>
        <v/>
      </c>
      <c r="D23" s="70" t="n">
        <v>-10635.87481490023</v>
      </c>
      <c r="E23" s="70">
        <f>INDIRECT("'Apr"&amp;Members!$F$2&amp;"-COLLECTION'!K"&amp;ROW()-1)</f>
        <v/>
      </c>
      <c r="F23" s="70">
        <f>INDIRECT("'Apr"&amp;Members!$F$2&amp;"-EXPENSE'!R"&amp;ROW()+3)</f>
        <v/>
      </c>
      <c r="G23" s="10" t="n"/>
      <c r="H23" s="70">
        <f>E23-(F23+G23)</f>
        <v/>
      </c>
      <c r="I23" s="70">
        <f>INDIRECT("'May"&amp;Members!$F$2&amp;"-COLLECTION'!K"&amp;ROW()-1)</f>
        <v/>
      </c>
      <c r="J23" s="70">
        <f>INDIRECT("'May"&amp;Members!$F$2&amp;"-EXPENSE'!R"&amp;ROW()+3)</f>
        <v/>
      </c>
      <c r="K23" s="11" t="n"/>
      <c r="L23" s="70">
        <f>I23-(J23+K23)</f>
        <v/>
      </c>
      <c r="M23" s="70">
        <f>INDIRECT("'June"&amp;Members!$F$2&amp;"-COLLECTION'!K"&amp;ROW()-1)</f>
        <v/>
      </c>
      <c r="N23" s="70">
        <f>INDIRECT("'June"&amp;Members!$F$2&amp;"-EXPENSE'!R"&amp;ROW()+3)</f>
        <v/>
      </c>
      <c r="O23" s="10" t="n"/>
      <c r="P23" s="70">
        <f>M23-(N23+O23)</f>
        <v/>
      </c>
      <c r="Q23" s="70">
        <f>INDIRECT("'July"&amp;Members!$F$2&amp;"-COLLECTION'!K"&amp;ROW()-1)</f>
        <v/>
      </c>
      <c r="R23" s="70">
        <f>INDIRECT("'July"&amp;Members!$F$2&amp;"-EXPENSE'!R"&amp;ROW()+3)</f>
        <v/>
      </c>
      <c r="S23" s="11" t="n"/>
      <c r="T23" s="70">
        <f>Q23-(R23+S23)</f>
        <v/>
      </c>
      <c r="U23" s="70">
        <f>INDIRECT("'Aug"&amp;Members!$F$2&amp;"-COLLECTION'!K"&amp;ROW()-1)</f>
        <v/>
      </c>
      <c r="V23" s="70">
        <f>INDIRECT("'Aug"&amp;Members!$F$2&amp;"-EXPENSE'!R"&amp;ROW()+3)</f>
        <v/>
      </c>
      <c r="W23" s="10" t="n"/>
      <c r="X23" s="70">
        <f>U23-(V23+W23)</f>
        <v/>
      </c>
      <c r="Y23" s="70">
        <f>INDIRECT("'Sep"&amp;Members!$F$2&amp;"-COLLECTION'!K"&amp;ROW()-1)</f>
        <v/>
      </c>
      <c r="Z23" s="70">
        <f>INDIRECT("'Sep"&amp;Members!$F$2&amp;"-EXPENSE'!R"&amp;ROW()+3)</f>
        <v/>
      </c>
      <c r="AA23" s="11" t="n"/>
      <c r="AB23" s="70">
        <f>Y23-(Z23+AA23)</f>
        <v/>
      </c>
      <c r="AC23" s="70">
        <f>INDIRECT("'Oct"&amp;Members!$F$2&amp;"-COLLECTION'!K"&amp;ROW()-1)</f>
        <v/>
      </c>
      <c r="AD23" s="70">
        <f>INDIRECT("'Oct"&amp;Members!$F$2&amp;"-EXPENSE'!R"&amp;ROW()+3)</f>
        <v/>
      </c>
      <c r="AE23" s="11" t="n"/>
      <c r="AF23" s="70">
        <f>AC23-(AD23+AE23)</f>
        <v/>
      </c>
      <c r="AG23" s="70">
        <f>INDIRECT("'Nov"&amp;Members!$F$2&amp;"-COLLECTION'!K"&amp;ROW()-1)</f>
        <v/>
      </c>
      <c r="AH23" s="70">
        <f>INDIRECT("'Nov"&amp;Members!$F$2&amp;"-EXPENSE'!R"&amp;ROW()+3)</f>
        <v/>
      </c>
      <c r="AI23" s="11" t="n"/>
      <c r="AJ23" s="70">
        <f>AG23-(AH23+AI23)</f>
        <v/>
      </c>
      <c r="AK23" s="70">
        <f>INDIRECT("'Dec"&amp;Members!$F$2&amp;"-COLLECTION'!K"&amp;ROW()-1)</f>
        <v/>
      </c>
      <c r="AL23" s="70">
        <f>INDIRECT("'Dec"&amp;Members!$F$2&amp;"-EXPENSE'!R"&amp;ROW()+3)</f>
        <v/>
      </c>
      <c r="AM23" s="11" t="n"/>
      <c r="AN23" s="70">
        <f>AK23-(AL23+AM23)</f>
        <v/>
      </c>
      <c r="AO23" s="70">
        <f>INDIRECT("'Jan"&amp;Members!$G$2&amp;"-COLLECTION'!K"&amp;ROW()-1)</f>
        <v/>
      </c>
      <c r="AP23" s="70">
        <f>INDIRECT("'Jan"&amp;Members!$G$2&amp;"-EXPENSE'!R"&amp;ROW()+3)</f>
        <v/>
      </c>
      <c r="AQ23" s="75" t="n"/>
      <c r="AR23" s="70">
        <f>AO23-(AP23+AQ23)</f>
        <v/>
      </c>
      <c r="AS23" s="70">
        <f>INDIRECT("'Feb"&amp;Members!$G$2&amp;"-COLLECTION'!K"&amp;ROW()-1)</f>
        <v/>
      </c>
      <c r="AT23" s="70">
        <f>INDIRECT("'Feb"&amp;Members!$G$2&amp;"-EXPENSE'!R"&amp;ROW()+3)</f>
        <v/>
      </c>
      <c r="AU23" s="75" t="n"/>
      <c r="AV23" s="70">
        <f>AS23-(AT23+AU23)</f>
        <v/>
      </c>
      <c r="AW23" s="70">
        <f>INDIRECT("'Mar"&amp;Members!$G$2&amp;"-COLLECTION'!K"&amp;ROW()-1)</f>
        <v/>
      </c>
      <c r="AX23" s="70">
        <f>INDIRECT("'Mar"&amp;Members!$G$2&amp;"-EXPENSE'!R"&amp;ROW()+3)</f>
        <v/>
      </c>
      <c r="AY23" s="75" t="n"/>
      <c r="AZ23" s="70">
        <f>AW23-(AX23+AY23)</f>
        <v/>
      </c>
      <c r="BA23" s="70">
        <f>SUM(E23,I23,M23,Q23,U23,Y23,AC23,AG23,AK23,AO23,AS23,AW23)</f>
        <v/>
      </c>
      <c r="BB23" s="70">
        <f>SUM(F23,J23,N23,R23,V23,Z23,AD23,AH23,AL23,AP23,AT23,AX23)</f>
        <v/>
      </c>
      <c r="BC23" s="70">
        <f>SUM(G23,K23,O23,S23,W23,AA23,AE23,AI23,AM23,AQ23,AU23,AY23)</f>
        <v/>
      </c>
      <c r="BD23" s="70">
        <f>BA23-(BB23+BC23)</f>
        <v/>
      </c>
      <c r="BE23" s="70">
        <f>BD23+D23</f>
        <v/>
      </c>
    </row>
    <row r="24" ht="15.75" customHeight="1" s="99">
      <c r="A24" s="52" t="inlineStr">
        <is>
          <t>G6</t>
        </is>
      </c>
      <c r="B24" s="71">
        <f>VLOOKUP(A24,Members!$A$2:$C$65,3,FALSE)</f>
        <v/>
      </c>
      <c r="C24" s="52">
        <f>Members!B23</f>
        <v/>
      </c>
      <c r="D24" s="72" t="n">
        <v>-11167.95834925538</v>
      </c>
      <c r="E24" s="72">
        <f>INDIRECT("'Apr"&amp;Members!$F$2&amp;"-COLLECTION'!K"&amp;ROW()-1)</f>
        <v/>
      </c>
      <c r="F24" s="72">
        <f>INDIRECT("'Apr"&amp;Members!$F$2&amp;"-EXPENSE'!R"&amp;ROW()+3)</f>
        <v/>
      </c>
      <c r="G24" s="10" t="n"/>
      <c r="H24" s="72">
        <f>E24-(F24+G24)</f>
        <v/>
      </c>
      <c r="I24" s="72">
        <f>INDIRECT("'May"&amp;Members!$F$2&amp;"-COLLECTION'!K"&amp;ROW()-1)</f>
        <v/>
      </c>
      <c r="J24" s="72">
        <f>INDIRECT("'May"&amp;Members!$F$2&amp;"-EXPENSE'!R"&amp;ROW()+3)</f>
        <v/>
      </c>
      <c r="K24" s="11" t="n"/>
      <c r="L24" s="72">
        <f>I24-(J24+K24)</f>
        <v/>
      </c>
      <c r="M24" s="72">
        <f>INDIRECT("'June"&amp;Members!$F$2&amp;"-COLLECTION'!K"&amp;ROW()-1)</f>
        <v/>
      </c>
      <c r="N24" s="72">
        <f>INDIRECT("'June"&amp;Members!$F$2&amp;"-EXPENSE'!R"&amp;ROW()+3)</f>
        <v/>
      </c>
      <c r="O24" s="10" t="n"/>
      <c r="P24" s="72">
        <f>M24-(N24+O24)</f>
        <v/>
      </c>
      <c r="Q24" s="72">
        <f>INDIRECT("'July"&amp;Members!$F$2&amp;"-COLLECTION'!K"&amp;ROW()-1)</f>
        <v/>
      </c>
      <c r="R24" s="72">
        <f>INDIRECT("'July"&amp;Members!$F$2&amp;"-EXPENSE'!R"&amp;ROW()+3)</f>
        <v/>
      </c>
      <c r="S24" s="11" t="n"/>
      <c r="T24" s="72">
        <f>Q24-(R24+S24)</f>
        <v/>
      </c>
      <c r="U24" s="72">
        <f>INDIRECT("'Aug"&amp;Members!$F$2&amp;"-COLLECTION'!K"&amp;ROW()-1)</f>
        <v/>
      </c>
      <c r="V24" s="72">
        <f>INDIRECT("'Aug"&amp;Members!$F$2&amp;"-EXPENSE'!R"&amp;ROW()+3)</f>
        <v/>
      </c>
      <c r="W24" s="10" t="n"/>
      <c r="X24" s="72">
        <f>U24-(V24+W24)</f>
        <v/>
      </c>
      <c r="Y24" s="72">
        <f>INDIRECT("'Sep"&amp;Members!$F$2&amp;"-COLLECTION'!K"&amp;ROW()-1)</f>
        <v/>
      </c>
      <c r="Z24" s="72">
        <f>INDIRECT("'Sep"&amp;Members!$F$2&amp;"-EXPENSE'!R"&amp;ROW()+3)</f>
        <v/>
      </c>
      <c r="AA24" s="11" t="n"/>
      <c r="AB24" s="72">
        <f>Y24-(Z24+AA24)</f>
        <v/>
      </c>
      <c r="AC24" s="72">
        <f>INDIRECT("'Oct"&amp;Members!$F$2&amp;"-COLLECTION'!K"&amp;ROW()-1)</f>
        <v/>
      </c>
      <c r="AD24" s="72">
        <f>INDIRECT("'Oct"&amp;Members!$F$2&amp;"-EXPENSE'!R"&amp;ROW()+3)</f>
        <v/>
      </c>
      <c r="AE24" s="11" t="n"/>
      <c r="AF24" s="72">
        <f>AC24-(AD24+AE24)</f>
        <v/>
      </c>
      <c r="AG24" s="72">
        <f>INDIRECT("'Nov"&amp;Members!$F$2&amp;"-COLLECTION'!K"&amp;ROW()-1)</f>
        <v/>
      </c>
      <c r="AH24" s="72">
        <f>INDIRECT("'Nov"&amp;Members!$F$2&amp;"-EXPENSE'!R"&amp;ROW()+3)</f>
        <v/>
      </c>
      <c r="AI24" s="11" t="n"/>
      <c r="AJ24" s="72">
        <f>AG24-(AH24+AI24)</f>
        <v/>
      </c>
      <c r="AK24" s="72">
        <f>INDIRECT("'Dec"&amp;Members!$F$2&amp;"-COLLECTION'!K"&amp;ROW()-1)</f>
        <v/>
      </c>
      <c r="AL24" s="72">
        <f>INDIRECT("'Dec"&amp;Members!$F$2&amp;"-EXPENSE'!R"&amp;ROW()+3)</f>
        <v/>
      </c>
      <c r="AM24" s="11" t="n"/>
      <c r="AN24" s="72">
        <f>AK24-(AL24+AM24)</f>
        <v/>
      </c>
      <c r="AO24" s="72">
        <f>INDIRECT("'Jan"&amp;Members!$G$2&amp;"-COLLECTION'!K"&amp;ROW()-1)</f>
        <v/>
      </c>
      <c r="AP24" s="72">
        <f>INDIRECT("'Jan"&amp;Members!$G$2&amp;"-EXPENSE'!R"&amp;ROW()+3)</f>
        <v/>
      </c>
      <c r="AQ24" s="75" t="n"/>
      <c r="AR24" s="72">
        <f>AO24-(AP24+AQ24)</f>
        <v/>
      </c>
      <c r="AS24" s="72">
        <f>INDIRECT("'Feb"&amp;Members!$G$2&amp;"-COLLECTION'!K"&amp;ROW()-1)</f>
        <v/>
      </c>
      <c r="AT24" s="72">
        <f>INDIRECT("'Feb"&amp;Members!$G$2&amp;"-EXPENSE'!R"&amp;ROW()+3)</f>
        <v/>
      </c>
      <c r="AU24" s="75" t="n"/>
      <c r="AV24" s="72">
        <f>AS24-(AT24+AU24)</f>
        <v/>
      </c>
      <c r="AW24" s="72">
        <f>INDIRECT("'Mar"&amp;Members!$G$2&amp;"-COLLECTION'!K"&amp;ROW()-1)</f>
        <v/>
      </c>
      <c r="AX24" s="72">
        <f>INDIRECT("'Mar"&amp;Members!$G$2&amp;"-EXPENSE'!R"&amp;ROW()+3)</f>
        <v/>
      </c>
      <c r="AY24" s="75" t="n"/>
      <c r="AZ24" s="72">
        <f>AW24-(AX24+AY24)</f>
        <v/>
      </c>
      <c r="BA24" s="72">
        <f>SUM(E24,I24,M24,Q24,U24,Y24,AC24,AG24,AK24,AO24,AS24,AW24)</f>
        <v/>
      </c>
      <c r="BB24" s="72">
        <f>SUM(F24,J24,N24,R24,V24,Z24,AD24,AH24,AL24,AP24,AT24,AX24)</f>
        <v/>
      </c>
      <c r="BC24" s="72">
        <f>SUM(G24,K24,O24,S24,W24,AA24,AE24,AI24,AM24,AQ24,AU24,AY24)</f>
        <v/>
      </c>
      <c r="BD24" s="72">
        <f>BA24-(BB24+BC24)</f>
        <v/>
      </c>
      <c r="BE24" s="72">
        <f>BD24+D24</f>
        <v/>
      </c>
    </row>
    <row r="25" ht="15.75" customHeight="1" s="99">
      <c r="A25" s="68" t="inlineStr">
        <is>
          <t>G7</t>
        </is>
      </c>
      <c r="B25" s="69">
        <f>VLOOKUP(A25,Members!$A$2:$C$65,3,FALSE)</f>
        <v/>
      </c>
      <c r="C25" s="68">
        <f>Members!B24</f>
        <v/>
      </c>
      <c r="D25" s="70" t="n">
        <v>-10621.70717295462</v>
      </c>
      <c r="E25" s="70">
        <f>INDIRECT("'Apr"&amp;Members!$F$2&amp;"-COLLECTION'!K"&amp;ROW()-1)</f>
        <v/>
      </c>
      <c r="F25" s="70">
        <f>INDIRECT("'Apr"&amp;Members!$F$2&amp;"-EXPENSE'!R"&amp;ROW()+3)</f>
        <v/>
      </c>
      <c r="G25" s="10" t="n"/>
      <c r="H25" s="70">
        <f>E25-(F25+G25)</f>
        <v/>
      </c>
      <c r="I25" s="70">
        <f>INDIRECT("'May"&amp;Members!$F$2&amp;"-COLLECTION'!K"&amp;ROW()-1)</f>
        <v/>
      </c>
      <c r="J25" s="70">
        <f>INDIRECT("'May"&amp;Members!$F$2&amp;"-EXPENSE'!R"&amp;ROW()+3)</f>
        <v/>
      </c>
      <c r="K25" s="11" t="n"/>
      <c r="L25" s="70">
        <f>I25-(J25+K25)</f>
        <v/>
      </c>
      <c r="M25" s="70">
        <f>INDIRECT("'June"&amp;Members!$F$2&amp;"-COLLECTION'!K"&amp;ROW()-1)</f>
        <v/>
      </c>
      <c r="N25" s="70">
        <f>INDIRECT("'June"&amp;Members!$F$2&amp;"-EXPENSE'!R"&amp;ROW()+3)</f>
        <v/>
      </c>
      <c r="O25" s="10" t="n"/>
      <c r="P25" s="70">
        <f>M25-(N25+O25)</f>
        <v/>
      </c>
      <c r="Q25" s="70">
        <f>INDIRECT("'July"&amp;Members!$F$2&amp;"-COLLECTION'!K"&amp;ROW()-1)</f>
        <v/>
      </c>
      <c r="R25" s="70">
        <f>INDIRECT("'July"&amp;Members!$F$2&amp;"-EXPENSE'!R"&amp;ROW()+3)</f>
        <v/>
      </c>
      <c r="S25" s="11" t="n"/>
      <c r="T25" s="70">
        <f>Q25-(R25+S25)</f>
        <v/>
      </c>
      <c r="U25" s="70">
        <f>INDIRECT("'Aug"&amp;Members!$F$2&amp;"-COLLECTION'!K"&amp;ROW()-1)</f>
        <v/>
      </c>
      <c r="V25" s="70">
        <f>INDIRECT("'Aug"&amp;Members!$F$2&amp;"-EXPENSE'!R"&amp;ROW()+3)</f>
        <v/>
      </c>
      <c r="W25" s="10" t="n"/>
      <c r="X25" s="70">
        <f>U25-(V25+W25)</f>
        <v/>
      </c>
      <c r="Y25" s="70">
        <f>INDIRECT("'Sep"&amp;Members!$F$2&amp;"-COLLECTION'!K"&amp;ROW()-1)</f>
        <v/>
      </c>
      <c r="Z25" s="70">
        <f>INDIRECT("'Sep"&amp;Members!$F$2&amp;"-EXPENSE'!R"&amp;ROW()+3)</f>
        <v/>
      </c>
      <c r="AA25" s="11" t="n"/>
      <c r="AB25" s="70">
        <f>Y25-(Z25+AA25)</f>
        <v/>
      </c>
      <c r="AC25" s="70">
        <f>INDIRECT("'Oct"&amp;Members!$F$2&amp;"-COLLECTION'!K"&amp;ROW()-1)</f>
        <v/>
      </c>
      <c r="AD25" s="70">
        <f>INDIRECT("'Oct"&amp;Members!$F$2&amp;"-EXPENSE'!R"&amp;ROW()+3)</f>
        <v/>
      </c>
      <c r="AE25" s="11" t="n"/>
      <c r="AF25" s="70">
        <f>AC25-(AD25+AE25)</f>
        <v/>
      </c>
      <c r="AG25" s="70">
        <f>INDIRECT("'Nov"&amp;Members!$F$2&amp;"-COLLECTION'!K"&amp;ROW()-1)</f>
        <v/>
      </c>
      <c r="AH25" s="70">
        <f>INDIRECT("'Nov"&amp;Members!$F$2&amp;"-EXPENSE'!R"&amp;ROW()+3)</f>
        <v/>
      </c>
      <c r="AI25" s="11" t="n"/>
      <c r="AJ25" s="70">
        <f>AG25-(AH25+AI25)</f>
        <v/>
      </c>
      <c r="AK25" s="70">
        <f>INDIRECT("'Dec"&amp;Members!$F$2&amp;"-COLLECTION'!K"&amp;ROW()-1)</f>
        <v/>
      </c>
      <c r="AL25" s="70">
        <f>INDIRECT("'Dec"&amp;Members!$F$2&amp;"-EXPENSE'!R"&amp;ROW()+3)</f>
        <v/>
      </c>
      <c r="AM25" s="11" t="n"/>
      <c r="AN25" s="70">
        <f>AK25-(AL25+AM25)</f>
        <v/>
      </c>
      <c r="AO25" s="70">
        <f>INDIRECT("'Jan"&amp;Members!$G$2&amp;"-COLLECTION'!K"&amp;ROW()-1)</f>
        <v/>
      </c>
      <c r="AP25" s="70">
        <f>INDIRECT("'Jan"&amp;Members!$G$2&amp;"-EXPENSE'!R"&amp;ROW()+3)</f>
        <v/>
      </c>
      <c r="AQ25" s="75" t="n"/>
      <c r="AR25" s="70">
        <f>AO25-(AP25+AQ25)</f>
        <v/>
      </c>
      <c r="AS25" s="70">
        <f>INDIRECT("'Feb"&amp;Members!$G$2&amp;"-COLLECTION'!K"&amp;ROW()-1)</f>
        <v/>
      </c>
      <c r="AT25" s="70">
        <f>INDIRECT("'Feb"&amp;Members!$G$2&amp;"-EXPENSE'!R"&amp;ROW()+3)</f>
        <v/>
      </c>
      <c r="AU25" s="75" t="n"/>
      <c r="AV25" s="70">
        <f>AS25-(AT25+AU25)</f>
        <v/>
      </c>
      <c r="AW25" s="70">
        <f>INDIRECT("'Mar"&amp;Members!$G$2&amp;"-COLLECTION'!K"&amp;ROW()-1)</f>
        <v/>
      </c>
      <c r="AX25" s="70">
        <f>INDIRECT("'Mar"&amp;Members!$G$2&amp;"-EXPENSE'!R"&amp;ROW()+3)</f>
        <v/>
      </c>
      <c r="AY25" s="75" t="n"/>
      <c r="AZ25" s="70">
        <f>AW25-(AX25+AY25)</f>
        <v/>
      </c>
      <c r="BA25" s="70">
        <f>SUM(E25,I25,M25,Q25,U25,Y25,AC25,AG25,AK25,AO25,AS25,AW25)</f>
        <v/>
      </c>
      <c r="BB25" s="70">
        <f>SUM(F25,J25,N25,R25,V25,Z25,AD25,AH25,AL25,AP25,AT25,AX25)</f>
        <v/>
      </c>
      <c r="BC25" s="70">
        <f>SUM(G25,K25,O25,S25,W25,AA25,AE25,AI25,AM25,AQ25,AU25,AY25)</f>
        <v/>
      </c>
      <c r="BD25" s="70">
        <f>BA25-(BB25+BC25)</f>
        <v/>
      </c>
      <c r="BE25" s="70">
        <f>BD25+D25</f>
        <v/>
      </c>
    </row>
    <row r="26" ht="15.75" customHeight="1" s="99">
      <c r="A26" s="52" t="inlineStr">
        <is>
          <t>G8</t>
        </is>
      </c>
      <c r="B26" s="71">
        <f>VLOOKUP(A26,Members!$A$2:$C$65,3,FALSE)</f>
        <v/>
      </c>
      <c r="C26" s="52">
        <f>Members!B25</f>
        <v/>
      </c>
      <c r="D26" s="72" t="n">
        <v>181.1683346767386</v>
      </c>
      <c r="E26" s="72">
        <f>INDIRECT("'Apr"&amp;Members!$F$2&amp;"-COLLECTION'!K"&amp;ROW()-1)</f>
        <v/>
      </c>
      <c r="F26" s="72">
        <f>INDIRECT("'Apr"&amp;Members!$F$2&amp;"-EXPENSE'!R"&amp;ROW()+3)</f>
        <v/>
      </c>
      <c r="G26" s="10" t="n"/>
      <c r="H26" s="72">
        <f>E26-(F26+G26)</f>
        <v/>
      </c>
      <c r="I26" s="72">
        <f>INDIRECT("'May"&amp;Members!$F$2&amp;"-COLLECTION'!K"&amp;ROW()-1)</f>
        <v/>
      </c>
      <c r="J26" s="72">
        <f>INDIRECT("'May"&amp;Members!$F$2&amp;"-EXPENSE'!R"&amp;ROW()+3)</f>
        <v/>
      </c>
      <c r="K26" s="11" t="n"/>
      <c r="L26" s="72">
        <f>I26-(J26+K26)</f>
        <v/>
      </c>
      <c r="M26" s="72">
        <f>INDIRECT("'June"&amp;Members!$F$2&amp;"-COLLECTION'!K"&amp;ROW()-1)</f>
        <v/>
      </c>
      <c r="N26" s="72">
        <f>INDIRECT("'June"&amp;Members!$F$2&amp;"-EXPENSE'!R"&amp;ROW()+3)</f>
        <v/>
      </c>
      <c r="O26" s="10" t="n"/>
      <c r="P26" s="72">
        <f>M26-(N26+O26)</f>
        <v/>
      </c>
      <c r="Q26" s="72">
        <f>INDIRECT("'July"&amp;Members!$F$2&amp;"-COLLECTION'!K"&amp;ROW()-1)</f>
        <v/>
      </c>
      <c r="R26" s="72">
        <f>INDIRECT("'July"&amp;Members!$F$2&amp;"-EXPENSE'!R"&amp;ROW()+3)</f>
        <v/>
      </c>
      <c r="S26" s="11" t="n"/>
      <c r="T26" s="72">
        <f>Q26-(R26+S26)</f>
        <v/>
      </c>
      <c r="U26" s="72">
        <f>INDIRECT("'Aug"&amp;Members!$F$2&amp;"-COLLECTION'!K"&amp;ROW()-1)</f>
        <v/>
      </c>
      <c r="V26" s="72">
        <f>INDIRECT("'Aug"&amp;Members!$F$2&amp;"-EXPENSE'!R"&amp;ROW()+3)</f>
        <v/>
      </c>
      <c r="W26" s="10" t="n"/>
      <c r="X26" s="72">
        <f>U26-(V26+W26)</f>
        <v/>
      </c>
      <c r="Y26" s="72">
        <f>INDIRECT("'Sep"&amp;Members!$F$2&amp;"-COLLECTION'!K"&amp;ROW()-1)</f>
        <v/>
      </c>
      <c r="Z26" s="72">
        <f>INDIRECT("'Sep"&amp;Members!$F$2&amp;"-EXPENSE'!R"&amp;ROW()+3)</f>
        <v/>
      </c>
      <c r="AA26" s="11" t="n"/>
      <c r="AB26" s="72">
        <f>Y26-(Z26+AA26)</f>
        <v/>
      </c>
      <c r="AC26" s="72">
        <f>INDIRECT("'Oct"&amp;Members!$F$2&amp;"-COLLECTION'!K"&amp;ROW()-1)</f>
        <v/>
      </c>
      <c r="AD26" s="72">
        <f>INDIRECT("'Oct"&amp;Members!$F$2&amp;"-EXPENSE'!R"&amp;ROW()+3)</f>
        <v/>
      </c>
      <c r="AE26" s="11" t="n"/>
      <c r="AF26" s="72">
        <f>AC26-(AD26+AE26)</f>
        <v/>
      </c>
      <c r="AG26" s="72">
        <f>INDIRECT("'Nov"&amp;Members!$F$2&amp;"-COLLECTION'!K"&amp;ROW()-1)</f>
        <v/>
      </c>
      <c r="AH26" s="72">
        <f>INDIRECT("'Nov"&amp;Members!$F$2&amp;"-EXPENSE'!R"&amp;ROW()+3)</f>
        <v/>
      </c>
      <c r="AI26" s="11" t="n"/>
      <c r="AJ26" s="72">
        <f>AG26-(AH26+AI26)</f>
        <v/>
      </c>
      <c r="AK26" s="72">
        <f>INDIRECT("'Dec"&amp;Members!$F$2&amp;"-COLLECTION'!K"&amp;ROW()-1)</f>
        <v/>
      </c>
      <c r="AL26" s="72">
        <f>INDIRECT("'Dec"&amp;Members!$F$2&amp;"-EXPENSE'!R"&amp;ROW()+3)</f>
        <v/>
      </c>
      <c r="AM26" s="11" t="n"/>
      <c r="AN26" s="72">
        <f>AK26-(AL26+AM26)</f>
        <v/>
      </c>
      <c r="AO26" s="72">
        <f>INDIRECT("'Jan"&amp;Members!$G$2&amp;"-COLLECTION'!K"&amp;ROW()-1)</f>
        <v/>
      </c>
      <c r="AP26" s="72">
        <f>INDIRECT("'Jan"&amp;Members!$G$2&amp;"-EXPENSE'!R"&amp;ROW()+3)</f>
        <v/>
      </c>
      <c r="AQ26" s="75" t="n"/>
      <c r="AR26" s="72">
        <f>AO26-(AP26+AQ26)</f>
        <v/>
      </c>
      <c r="AS26" s="72">
        <f>INDIRECT("'Feb"&amp;Members!$G$2&amp;"-COLLECTION'!K"&amp;ROW()-1)</f>
        <v/>
      </c>
      <c r="AT26" s="72">
        <f>INDIRECT("'Feb"&amp;Members!$G$2&amp;"-EXPENSE'!R"&amp;ROW()+3)</f>
        <v/>
      </c>
      <c r="AU26" s="75" t="n"/>
      <c r="AV26" s="72">
        <f>AS26-(AT26+AU26)</f>
        <v/>
      </c>
      <c r="AW26" s="72">
        <f>INDIRECT("'Mar"&amp;Members!$G$2&amp;"-COLLECTION'!K"&amp;ROW()-1)</f>
        <v/>
      </c>
      <c r="AX26" s="72">
        <f>INDIRECT("'Mar"&amp;Members!$G$2&amp;"-EXPENSE'!R"&amp;ROW()+3)</f>
        <v/>
      </c>
      <c r="AY26" s="75" t="n"/>
      <c r="AZ26" s="72">
        <f>AW26-(AX26+AY26)</f>
        <v/>
      </c>
      <c r="BA26" s="72">
        <f>SUM(E26,I26,M26,Q26,U26,Y26,AC26,AG26,AK26,AO26,AS26,AW26)</f>
        <v/>
      </c>
      <c r="BB26" s="72">
        <f>SUM(F26,J26,N26,R26,V26,Z26,AD26,AH26,AL26,AP26,AT26,AX26)</f>
        <v/>
      </c>
      <c r="BC26" s="72">
        <f>SUM(G26,K26,O26,S26,W26,AA26,AE26,AI26,AM26,AQ26,AU26,AY26)</f>
        <v/>
      </c>
      <c r="BD26" s="72">
        <f>BA26-(BB26+BC26)</f>
        <v/>
      </c>
      <c r="BE26" s="72">
        <f>BD26+D26</f>
        <v/>
      </c>
    </row>
    <row r="27" ht="15.75" customHeight="1" s="99">
      <c r="A27" s="68" t="inlineStr">
        <is>
          <t>G9</t>
        </is>
      </c>
      <c r="B27" s="69">
        <f>VLOOKUP(A27,Members!$A$2:$C$65,3,FALSE)</f>
        <v/>
      </c>
      <c r="C27" s="68">
        <f>Members!B26</f>
        <v/>
      </c>
      <c r="D27" s="70" t="n">
        <v>-1212.098747103606</v>
      </c>
      <c r="E27" s="70">
        <f>INDIRECT("'Apr"&amp;Members!$F$2&amp;"-COLLECTION'!K"&amp;ROW()-1)</f>
        <v/>
      </c>
      <c r="F27" s="70">
        <f>INDIRECT("'Apr"&amp;Members!$F$2&amp;"-EXPENSE'!R"&amp;ROW()+3)</f>
        <v/>
      </c>
      <c r="G27" s="10" t="n"/>
      <c r="H27" s="70">
        <f>E27-(F27+G27)</f>
        <v/>
      </c>
      <c r="I27" s="70">
        <f>INDIRECT("'May"&amp;Members!$F$2&amp;"-COLLECTION'!K"&amp;ROW()-1)</f>
        <v/>
      </c>
      <c r="J27" s="70">
        <f>INDIRECT("'May"&amp;Members!$F$2&amp;"-EXPENSE'!R"&amp;ROW()+3)</f>
        <v/>
      </c>
      <c r="K27" s="11" t="n"/>
      <c r="L27" s="70">
        <f>I27-(J27+K27)</f>
        <v/>
      </c>
      <c r="M27" s="70">
        <f>INDIRECT("'June"&amp;Members!$F$2&amp;"-COLLECTION'!K"&amp;ROW()-1)</f>
        <v/>
      </c>
      <c r="N27" s="70">
        <f>INDIRECT("'June"&amp;Members!$F$2&amp;"-EXPENSE'!R"&amp;ROW()+3)</f>
        <v/>
      </c>
      <c r="O27" s="10" t="n"/>
      <c r="P27" s="70">
        <f>M27-(N27+O27)</f>
        <v/>
      </c>
      <c r="Q27" s="70">
        <f>INDIRECT("'July"&amp;Members!$F$2&amp;"-COLLECTION'!K"&amp;ROW()-1)</f>
        <v/>
      </c>
      <c r="R27" s="70">
        <f>INDIRECT("'July"&amp;Members!$F$2&amp;"-EXPENSE'!R"&amp;ROW()+3)</f>
        <v/>
      </c>
      <c r="S27" s="11" t="n"/>
      <c r="T27" s="70">
        <f>Q27-(R27+S27)</f>
        <v/>
      </c>
      <c r="U27" s="70">
        <f>INDIRECT("'Aug"&amp;Members!$F$2&amp;"-COLLECTION'!K"&amp;ROW()-1)</f>
        <v/>
      </c>
      <c r="V27" s="70">
        <f>INDIRECT("'Aug"&amp;Members!$F$2&amp;"-EXPENSE'!R"&amp;ROW()+3)</f>
        <v/>
      </c>
      <c r="W27" s="10" t="n"/>
      <c r="X27" s="70">
        <f>U27-(V27+W27)</f>
        <v/>
      </c>
      <c r="Y27" s="70">
        <f>INDIRECT("'Sep"&amp;Members!$F$2&amp;"-COLLECTION'!K"&amp;ROW()-1)</f>
        <v/>
      </c>
      <c r="Z27" s="70">
        <f>INDIRECT("'Sep"&amp;Members!$F$2&amp;"-EXPENSE'!R"&amp;ROW()+3)</f>
        <v/>
      </c>
      <c r="AA27" s="11" t="n"/>
      <c r="AB27" s="70">
        <f>Y27-(Z27+AA27)</f>
        <v/>
      </c>
      <c r="AC27" s="70">
        <f>INDIRECT("'Oct"&amp;Members!$F$2&amp;"-COLLECTION'!K"&amp;ROW()-1)</f>
        <v/>
      </c>
      <c r="AD27" s="70">
        <f>INDIRECT("'Oct"&amp;Members!$F$2&amp;"-EXPENSE'!R"&amp;ROW()+3)</f>
        <v/>
      </c>
      <c r="AE27" s="11" t="n"/>
      <c r="AF27" s="70">
        <f>AC27-(AD27+AE27)</f>
        <v/>
      </c>
      <c r="AG27" s="70">
        <f>INDIRECT("'Nov"&amp;Members!$F$2&amp;"-COLLECTION'!K"&amp;ROW()-1)</f>
        <v/>
      </c>
      <c r="AH27" s="70">
        <f>INDIRECT("'Nov"&amp;Members!$F$2&amp;"-EXPENSE'!R"&amp;ROW()+3)</f>
        <v/>
      </c>
      <c r="AI27" s="11" t="n"/>
      <c r="AJ27" s="70">
        <f>AG27-(AH27+AI27)</f>
        <v/>
      </c>
      <c r="AK27" s="70">
        <f>INDIRECT("'Dec"&amp;Members!$F$2&amp;"-COLLECTION'!K"&amp;ROW()-1)</f>
        <v/>
      </c>
      <c r="AL27" s="70">
        <f>INDIRECT("'Dec"&amp;Members!$F$2&amp;"-EXPENSE'!R"&amp;ROW()+3)</f>
        <v/>
      </c>
      <c r="AM27" s="11" t="n"/>
      <c r="AN27" s="70">
        <f>AK27-(AL27+AM27)</f>
        <v/>
      </c>
      <c r="AO27" s="70">
        <f>INDIRECT("'Jan"&amp;Members!$G$2&amp;"-COLLECTION'!K"&amp;ROW()-1)</f>
        <v/>
      </c>
      <c r="AP27" s="70">
        <f>INDIRECT("'Jan"&amp;Members!$G$2&amp;"-EXPENSE'!R"&amp;ROW()+3)</f>
        <v/>
      </c>
      <c r="AQ27" s="75" t="n"/>
      <c r="AR27" s="70">
        <f>AO27-(AP27+AQ27)</f>
        <v/>
      </c>
      <c r="AS27" s="70">
        <f>INDIRECT("'Feb"&amp;Members!$G$2&amp;"-COLLECTION'!K"&amp;ROW()-1)</f>
        <v/>
      </c>
      <c r="AT27" s="70">
        <f>INDIRECT("'Feb"&amp;Members!$G$2&amp;"-EXPENSE'!R"&amp;ROW()+3)</f>
        <v/>
      </c>
      <c r="AU27" s="75" t="n"/>
      <c r="AV27" s="70">
        <f>AS27-(AT27+AU27)</f>
        <v/>
      </c>
      <c r="AW27" s="70">
        <f>INDIRECT("'Mar"&amp;Members!$G$2&amp;"-COLLECTION'!K"&amp;ROW()-1)</f>
        <v/>
      </c>
      <c r="AX27" s="70">
        <f>INDIRECT("'Mar"&amp;Members!$G$2&amp;"-EXPENSE'!R"&amp;ROW()+3)</f>
        <v/>
      </c>
      <c r="AY27" s="75" t="n"/>
      <c r="AZ27" s="70">
        <f>AW27-(AX27+AY27)</f>
        <v/>
      </c>
      <c r="BA27" s="70">
        <f>SUM(E27,I27,M27,Q27,U27,Y27,AC27,AG27,AK27,AO27,AS27,AW27)</f>
        <v/>
      </c>
      <c r="BB27" s="70">
        <f>SUM(F27,J27,N27,R27,V27,Z27,AD27,AH27,AL27,AP27,AT27,AX27)</f>
        <v/>
      </c>
      <c r="BC27" s="70">
        <f>SUM(G27,K27,O27,S27,W27,AA27,AE27,AI27,AM27,AQ27,AU27,AY27)</f>
        <v/>
      </c>
      <c r="BD27" s="70">
        <f>BA27-(BB27+BC27)</f>
        <v/>
      </c>
      <c r="BE27" s="70">
        <f>BD27+D27</f>
        <v/>
      </c>
    </row>
    <row r="28" ht="15.75" customHeight="1" s="99">
      <c r="A28" s="52" t="inlineStr">
        <is>
          <t>G10</t>
        </is>
      </c>
      <c r="B28" s="71">
        <f>VLOOKUP(A28,Members!$A$2:$C$65,3,FALSE)</f>
        <v/>
      </c>
      <c r="C28" s="52">
        <f>Members!B27</f>
        <v/>
      </c>
      <c r="D28" s="72" t="n">
        <v>454.0612238911417</v>
      </c>
      <c r="E28" s="72">
        <f>INDIRECT("'Apr"&amp;Members!$F$2&amp;"-COLLECTION'!K"&amp;ROW()-1)</f>
        <v/>
      </c>
      <c r="F28" s="72">
        <f>INDIRECT("'Apr"&amp;Members!$F$2&amp;"-EXPENSE'!R"&amp;ROW()+3)</f>
        <v/>
      </c>
      <c r="G28" s="10" t="n"/>
      <c r="H28" s="72">
        <f>E28-(F28+G28)</f>
        <v/>
      </c>
      <c r="I28" s="72">
        <f>INDIRECT("'May"&amp;Members!$F$2&amp;"-COLLECTION'!K"&amp;ROW()-1)</f>
        <v/>
      </c>
      <c r="J28" s="72">
        <f>INDIRECT("'May"&amp;Members!$F$2&amp;"-EXPENSE'!R"&amp;ROW()+3)</f>
        <v/>
      </c>
      <c r="K28" s="11" t="n"/>
      <c r="L28" s="72">
        <f>I28-(J28+K28)</f>
        <v/>
      </c>
      <c r="M28" s="72">
        <f>INDIRECT("'June"&amp;Members!$F$2&amp;"-COLLECTION'!K"&amp;ROW()-1)</f>
        <v/>
      </c>
      <c r="N28" s="72">
        <f>INDIRECT("'June"&amp;Members!$F$2&amp;"-EXPENSE'!R"&amp;ROW()+3)</f>
        <v/>
      </c>
      <c r="O28" s="10" t="n"/>
      <c r="P28" s="72">
        <f>M28-(N28+O28)</f>
        <v/>
      </c>
      <c r="Q28" s="72">
        <f>INDIRECT("'July"&amp;Members!$F$2&amp;"-COLLECTION'!K"&amp;ROW()-1)</f>
        <v/>
      </c>
      <c r="R28" s="72">
        <f>INDIRECT("'July"&amp;Members!$F$2&amp;"-EXPENSE'!R"&amp;ROW()+3)</f>
        <v/>
      </c>
      <c r="S28" s="11" t="n"/>
      <c r="T28" s="72">
        <f>Q28-(R28+S28)</f>
        <v/>
      </c>
      <c r="U28" s="72">
        <f>INDIRECT("'Aug"&amp;Members!$F$2&amp;"-COLLECTION'!K"&amp;ROW()-1)</f>
        <v/>
      </c>
      <c r="V28" s="72">
        <f>INDIRECT("'Aug"&amp;Members!$F$2&amp;"-EXPENSE'!R"&amp;ROW()+3)</f>
        <v/>
      </c>
      <c r="W28" s="10" t="n"/>
      <c r="X28" s="72">
        <f>U28-(V28+W28)</f>
        <v/>
      </c>
      <c r="Y28" s="72">
        <f>INDIRECT("'Sep"&amp;Members!$F$2&amp;"-COLLECTION'!K"&amp;ROW()-1)</f>
        <v/>
      </c>
      <c r="Z28" s="72">
        <f>INDIRECT("'Sep"&amp;Members!$F$2&amp;"-EXPENSE'!R"&amp;ROW()+3)</f>
        <v/>
      </c>
      <c r="AA28" s="11" t="n"/>
      <c r="AB28" s="72">
        <f>Y28-(Z28+AA28)</f>
        <v/>
      </c>
      <c r="AC28" s="72">
        <f>INDIRECT("'Oct"&amp;Members!$F$2&amp;"-COLLECTION'!K"&amp;ROW()-1)</f>
        <v/>
      </c>
      <c r="AD28" s="72">
        <f>INDIRECT("'Oct"&amp;Members!$F$2&amp;"-EXPENSE'!R"&amp;ROW()+3)</f>
        <v/>
      </c>
      <c r="AE28" s="11" t="n"/>
      <c r="AF28" s="72">
        <f>AC28-(AD28+AE28)</f>
        <v/>
      </c>
      <c r="AG28" s="72">
        <f>INDIRECT("'Nov"&amp;Members!$F$2&amp;"-COLLECTION'!K"&amp;ROW()-1)</f>
        <v/>
      </c>
      <c r="AH28" s="72">
        <f>INDIRECT("'Nov"&amp;Members!$F$2&amp;"-EXPENSE'!R"&amp;ROW()+3)</f>
        <v/>
      </c>
      <c r="AI28" s="11" t="n"/>
      <c r="AJ28" s="72">
        <f>AG28-(AH28+AI28)</f>
        <v/>
      </c>
      <c r="AK28" s="72">
        <f>INDIRECT("'Dec"&amp;Members!$F$2&amp;"-COLLECTION'!K"&amp;ROW()-1)</f>
        <v/>
      </c>
      <c r="AL28" s="72">
        <f>INDIRECT("'Dec"&amp;Members!$F$2&amp;"-EXPENSE'!R"&amp;ROW()+3)</f>
        <v/>
      </c>
      <c r="AM28" s="11" t="n"/>
      <c r="AN28" s="72">
        <f>AK28-(AL28+AM28)</f>
        <v/>
      </c>
      <c r="AO28" s="72">
        <f>INDIRECT("'Jan"&amp;Members!$G$2&amp;"-COLLECTION'!K"&amp;ROW()-1)</f>
        <v/>
      </c>
      <c r="AP28" s="72">
        <f>INDIRECT("'Jan"&amp;Members!$G$2&amp;"-EXPENSE'!R"&amp;ROW()+3)</f>
        <v/>
      </c>
      <c r="AQ28" s="75" t="n"/>
      <c r="AR28" s="72">
        <f>AO28-(AP28+AQ28)</f>
        <v/>
      </c>
      <c r="AS28" s="72">
        <f>INDIRECT("'Feb"&amp;Members!$G$2&amp;"-COLLECTION'!K"&amp;ROW()-1)</f>
        <v/>
      </c>
      <c r="AT28" s="72">
        <f>INDIRECT("'Feb"&amp;Members!$G$2&amp;"-EXPENSE'!R"&amp;ROW()+3)</f>
        <v/>
      </c>
      <c r="AU28" s="75" t="n"/>
      <c r="AV28" s="72">
        <f>AS28-(AT28+AU28)</f>
        <v/>
      </c>
      <c r="AW28" s="72">
        <f>INDIRECT("'Mar"&amp;Members!$G$2&amp;"-COLLECTION'!K"&amp;ROW()-1)</f>
        <v/>
      </c>
      <c r="AX28" s="72">
        <f>INDIRECT("'Mar"&amp;Members!$G$2&amp;"-EXPENSE'!R"&amp;ROW()+3)</f>
        <v/>
      </c>
      <c r="AY28" s="75" t="n"/>
      <c r="AZ28" s="72">
        <f>AW28-(AX28+AY28)</f>
        <v/>
      </c>
      <c r="BA28" s="72">
        <f>SUM(E28,I28,M28,Q28,U28,Y28,AC28,AG28,AK28,AO28,AS28,AW28)</f>
        <v/>
      </c>
      <c r="BB28" s="72">
        <f>SUM(F28,J28,N28,R28,V28,Z28,AD28,AH28,AL28,AP28,AT28,AX28)</f>
        <v/>
      </c>
      <c r="BC28" s="72">
        <f>SUM(G28,K28,O28,S28,W28,AA28,AE28,AI28,AM28,AQ28,AU28,AY28)</f>
        <v/>
      </c>
      <c r="BD28" s="72">
        <f>BA28-(BB28+BC28)</f>
        <v/>
      </c>
      <c r="BE28" s="72">
        <f>BD28+D28</f>
        <v/>
      </c>
    </row>
    <row r="29" ht="15.75" customHeight="1" s="99">
      <c r="A29" s="68" t="inlineStr">
        <is>
          <t>G11</t>
        </is>
      </c>
      <c r="B29" s="69">
        <f>VLOOKUP(A29,Members!$A$2:$C$65,3,FALSE)</f>
        <v/>
      </c>
      <c r="C29" s="68">
        <f>Members!B28</f>
        <v/>
      </c>
      <c r="D29" s="70" t="n">
        <v>-21576.00002702866</v>
      </c>
      <c r="E29" s="70">
        <f>INDIRECT("'Apr"&amp;Members!$F$2&amp;"-COLLECTION'!K"&amp;ROW()-1)</f>
        <v/>
      </c>
      <c r="F29" s="70">
        <f>INDIRECT("'Apr"&amp;Members!$F$2&amp;"-EXPENSE'!R"&amp;ROW()+3)</f>
        <v/>
      </c>
      <c r="G29" s="10" t="n"/>
      <c r="H29" s="70">
        <f>E29-(F29+G29)</f>
        <v/>
      </c>
      <c r="I29" s="70">
        <f>INDIRECT("'May"&amp;Members!$F$2&amp;"-COLLECTION'!K"&amp;ROW()-1)</f>
        <v/>
      </c>
      <c r="J29" s="70">
        <f>INDIRECT("'May"&amp;Members!$F$2&amp;"-EXPENSE'!R"&amp;ROW()+3)</f>
        <v/>
      </c>
      <c r="K29" s="11" t="n"/>
      <c r="L29" s="70">
        <f>I29-(J29+K29)</f>
        <v/>
      </c>
      <c r="M29" s="70">
        <f>INDIRECT("'June"&amp;Members!$F$2&amp;"-COLLECTION'!K"&amp;ROW()-1)</f>
        <v/>
      </c>
      <c r="N29" s="70">
        <f>INDIRECT("'June"&amp;Members!$F$2&amp;"-EXPENSE'!R"&amp;ROW()+3)</f>
        <v/>
      </c>
      <c r="O29" s="10" t="n"/>
      <c r="P29" s="70">
        <f>M29-(N29+O29)</f>
        <v/>
      </c>
      <c r="Q29" s="70">
        <f>INDIRECT("'July"&amp;Members!$F$2&amp;"-COLLECTION'!K"&amp;ROW()-1)</f>
        <v/>
      </c>
      <c r="R29" s="70">
        <f>INDIRECT("'July"&amp;Members!$F$2&amp;"-EXPENSE'!R"&amp;ROW()+3)</f>
        <v/>
      </c>
      <c r="S29" s="11" t="n"/>
      <c r="T29" s="70">
        <f>Q29-(R29+S29)</f>
        <v/>
      </c>
      <c r="U29" s="70">
        <f>INDIRECT("'Aug"&amp;Members!$F$2&amp;"-COLLECTION'!K"&amp;ROW()-1)</f>
        <v/>
      </c>
      <c r="V29" s="70">
        <f>INDIRECT("'Aug"&amp;Members!$F$2&amp;"-EXPENSE'!R"&amp;ROW()+3)</f>
        <v/>
      </c>
      <c r="W29" s="10" t="n"/>
      <c r="X29" s="70">
        <f>U29-(V29+W29)</f>
        <v/>
      </c>
      <c r="Y29" s="70">
        <f>INDIRECT("'Sep"&amp;Members!$F$2&amp;"-COLLECTION'!K"&amp;ROW()-1)</f>
        <v/>
      </c>
      <c r="Z29" s="70">
        <f>INDIRECT("'Sep"&amp;Members!$F$2&amp;"-EXPENSE'!R"&amp;ROW()+3)</f>
        <v/>
      </c>
      <c r="AA29" s="11" t="n"/>
      <c r="AB29" s="70">
        <f>Y29-(Z29+AA29)</f>
        <v/>
      </c>
      <c r="AC29" s="70">
        <f>INDIRECT("'Oct"&amp;Members!$F$2&amp;"-COLLECTION'!K"&amp;ROW()-1)</f>
        <v/>
      </c>
      <c r="AD29" s="70">
        <f>INDIRECT("'Oct"&amp;Members!$F$2&amp;"-EXPENSE'!R"&amp;ROW()+3)</f>
        <v/>
      </c>
      <c r="AE29" s="11" t="n"/>
      <c r="AF29" s="70">
        <f>AC29-(AD29+AE29)</f>
        <v/>
      </c>
      <c r="AG29" s="70">
        <f>INDIRECT("'Nov"&amp;Members!$F$2&amp;"-COLLECTION'!K"&amp;ROW()-1)</f>
        <v/>
      </c>
      <c r="AH29" s="70">
        <f>INDIRECT("'Nov"&amp;Members!$F$2&amp;"-EXPENSE'!R"&amp;ROW()+3)</f>
        <v/>
      </c>
      <c r="AI29" s="11" t="n"/>
      <c r="AJ29" s="70">
        <f>AG29-(AH29+AI29)</f>
        <v/>
      </c>
      <c r="AK29" s="70">
        <f>INDIRECT("'Dec"&amp;Members!$F$2&amp;"-COLLECTION'!K"&amp;ROW()-1)</f>
        <v/>
      </c>
      <c r="AL29" s="70">
        <f>INDIRECT("'Dec"&amp;Members!$F$2&amp;"-EXPENSE'!R"&amp;ROW()+3)</f>
        <v/>
      </c>
      <c r="AM29" s="11" t="n"/>
      <c r="AN29" s="70">
        <f>AK29-(AL29+AM29)</f>
        <v/>
      </c>
      <c r="AO29" s="70">
        <f>INDIRECT("'Jan"&amp;Members!$G$2&amp;"-COLLECTION'!K"&amp;ROW()-1)</f>
        <v/>
      </c>
      <c r="AP29" s="70">
        <f>INDIRECT("'Jan"&amp;Members!$G$2&amp;"-EXPENSE'!R"&amp;ROW()+3)</f>
        <v/>
      </c>
      <c r="AQ29" s="75" t="n"/>
      <c r="AR29" s="70">
        <f>AO29-(AP29+AQ29)</f>
        <v/>
      </c>
      <c r="AS29" s="70">
        <f>INDIRECT("'Feb"&amp;Members!$G$2&amp;"-COLLECTION'!K"&amp;ROW()-1)</f>
        <v/>
      </c>
      <c r="AT29" s="70">
        <f>INDIRECT("'Feb"&amp;Members!$G$2&amp;"-EXPENSE'!R"&amp;ROW()+3)</f>
        <v/>
      </c>
      <c r="AU29" s="75" t="n"/>
      <c r="AV29" s="70">
        <f>AS29-(AT29+AU29)</f>
        <v/>
      </c>
      <c r="AW29" s="70">
        <f>INDIRECT("'Mar"&amp;Members!$G$2&amp;"-COLLECTION'!K"&amp;ROW()-1)</f>
        <v/>
      </c>
      <c r="AX29" s="70">
        <f>INDIRECT("'Mar"&amp;Members!$G$2&amp;"-EXPENSE'!R"&amp;ROW()+3)</f>
        <v/>
      </c>
      <c r="AY29" s="75" t="n"/>
      <c r="AZ29" s="70">
        <f>AW29-(AX29+AY29)</f>
        <v/>
      </c>
      <c r="BA29" s="70">
        <f>SUM(E29,I29,M29,Q29,U29,Y29,AC29,AG29,AK29,AO29,AS29,AW29)</f>
        <v/>
      </c>
      <c r="BB29" s="70">
        <f>SUM(F29,J29,N29,R29,V29,Z29,AD29,AH29,AL29,AP29,AT29,AX29)</f>
        <v/>
      </c>
      <c r="BC29" s="70">
        <f>SUM(G29,K29,O29,S29,W29,AA29,AE29,AI29,AM29,AQ29,AU29,AY29)</f>
        <v/>
      </c>
      <c r="BD29" s="70">
        <f>BA29-(BB29+BC29)</f>
        <v/>
      </c>
      <c r="BE29" s="70">
        <f>BD29+D29</f>
        <v/>
      </c>
    </row>
    <row r="30" ht="15.75" customHeight="1" s="99">
      <c r="A30" s="52" t="inlineStr">
        <is>
          <t>G12</t>
        </is>
      </c>
      <c r="B30" s="71">
        <f>VLOOKUP(A30,Members!$A$2:$C$65,3,FALSE)</f>
        <v/>
      </c>
      <c r="C30" s="52">
        <f>Members!B29</f>
        <v/>
      </c>
      <c r="D30" s="72" t="n">
        <v>-4486.303641314225</v>
      </c>
      <c r="E30" s="72">
        <f>INDIRECT("'Apr"&amp;Members!$F$2&amp;"-COLLECTION'!K"&amp;ROW()-1)</f>
        <v/>
      </c>
      <c r="F30" s="72">
        <f>INDIRECT("'Apr"&amp;Members!$F$2&amp;"-EXPENSE'!R"&amp;ROW()+3)</f>
        <v/>
      </c>
      <c r="G30" s="10" t="n"/>
      <c r="H30" s="72">
        <f>E30-(F30+G30)</f>
        <v/>
      </c>
      <c r="I30" s="72">
        <f>INDIRECT("'May"&amp;Members!$F$2&amp;"-COLLECTION'!K"&amp;ROW()-1)</f>
        <v/>
      </c>
      <c r="J30" s="72">
        <f>INDIRECT("'May"&amp;Members!$F$2&amp;"-EXPENSE'!R"&amp;ROW()+3)</f>
        <v/>
      </c>
      <c r="K30" s="11" t="n"/>
      <c r="L30" s="72">
        <f>I30-(J30+K30)</f>
        <v/>
      </c>
      <c r="M30" s="72">
        <f>INDIRECT("'June"&amp;Members!$F$2&amp;"-COLLECTION'!K"&amp;ROW()-1)</f>
        <v/>
      </c>
      <c r="N30" s="72">
        <f>INDIRECT("'June"&amp;Members!$F$2&amp;"-EXPENSE'!R"&amp;ROW()+3)</f>
        <v/>
      </c>
      <c r="O30" s="10" t="n"/>
      <c r="P30" s="72">
        <f>M30-(N30+O30)</f>
        <v/>
      </c>
      <c r="Q30" s="72">
        <f>INDIRECT("'July"&amp;Members!$F$2&amp;"-COLLECTION'!K"&amp;ROW()-1)</f>
        <v/>
      </c>
      <c r="R30" s="72">
        <f>INDIRECT("'July"&amp;Members!$F$2&amp;"-EXPENSE'!R"&amp;ROW()+3)</f>
        <v/>
      </c>
      <c r="S30" s="11" t="n"/>
      <c r="T30" s="72">
        <f>Q30-(R30+S30)</f>
        <v/>
      </c>
      <c r="U30" s="72">
        <f>INDIRECT("'Aug"&amp;Members!$F$2&amp;"-COLLECTION'!K"&amp;ROW()-1)</f>
        <v/>
      </c>
      <c r="V30" s="72">
        <f>INDIRECT("'Aug"&amp;Members!$F$2&amp;"-EXPENSE'!R"&amp;ROW()+3)</f>
        <v/>
      </c>
      <c r="W30" s="10" t="n"/>
      <c r="X30" s="72">
        <f>U30-(V30+W30)</f>
        <v/>
      </c>
      <c r="Y30" s="72">
        <f>INDIRECT("'Sep"&amp;Members!$F$2&amp;"-COLLECTION'!K"&amp;ROW()-1)</f>
        <v/>
      </c>
      <c r="Z30" s="72">
        <f>INDIRECT("'Sep"&amp;Members!$F$2&amp;"-EXPENSE'!R"&amp;ROW()+3)</f>
        <v/>
      </c>
      <c r="AA30" s="11" t="n"/>
      <c r="AB30" s="72">
        <f>Y30-(Z30+AA30)</f>
        <v/>
      </c>
      <c r="AC30" s="72">
        <f>INDIRECT("'Oct"&amp;Members!$F$2&amp;"-COLLECTION'!K"&amp;ROW()-1)</f>
        <v/>
      </c>
      <c r="AD30" s="72">
        <f>INDIRECT("'Oct"&amp;Members!$F$2&amp;"-EXPENSE'!R"&amp;ROW()+3)</f>
        <v/>
      </c>
      <c r="AE30" s="11" t="n"/>
      <c r="AF30" s="72">
        <f>AC30-(AD30+AE30)</f>
        <v/>
      </c>
      <c r="AG30" s="72">
        <f>INDIRECT("'Nov"&amp;Members!$F$2&amp;"-COLLECTION'!K"&amp;ROW()-1)</f>
        <v/>
      </c>
      <c r="AH30" s="72">
        <f>INDIRECT("'Nov"&amp;Members!$F$2&amp;"-EXPENSE'!R"&amp;ROW()+3)</f>
        <v/>
      </c>
      <c r="AI30" s="11" t="n"/>
      <c r="AJ30" s="72">
        <f>AG30-(AH30+AI30)</f>
        <v/>
      </c>
      <c r="AK30" s="72">
        <f>INDIRECT("'Dec"&amp;Members!$F$2&amp;"-COLLECTION'!K"&amp;ROW()-1)</f>
        <v/>
      </c>
      <c r="AL30" s="72">
        <f>INDIRECT("'Dec"&amp;Members!$F$2&amp;"-EXPENSE'!R"&amp;ROW()+3)</f>
        <v/>
      </c>
      <c r="AM30" s="11" t="n"/>
      <c r="AN30" s="72">
        <f>AK30-(AL30+AM30)</f>
        <v/>
      </c>
      <c r="AO30" s="72">
        <f>INDIRECT("'Jan"&amp;Members!$G$2&amp;"-COLLECTION'!K"&amp;ROW()-1)</f>
        <v/>
      </c>
      <c r="AP30" s="72">
        <f>INDIRECT("'Jan"&amp;Members!$G$2&amp;"-EXPENSE'!R"&amp;ROW()+3)</f>
        <v/>
      </c>
      <c r="AQ30" s="75" t="n"/>
      <c r="AR30" s="72">
        <f>AO30-(AP30+AQ30)</f>
        <v/>
      </c>
      <c r="AS30" s="72">
        <f>INDIRECT("'Feb"&amp;Members!$G$2&amp;"-COLLECTION'!K"&amp;ROW()-1)</f>
        <v/>
      </c>
      <c r="AT30" s="72">
        <f>INDIRECT("'Feb"&amp;Members!$G$2&amp;"-EXPENSE'!R"&amp;ROW()+3)</f>
        <v/>
      </c>
      <c r="AU30" s="75" t="n"/>
      <c r="AV30" s="72">
        <f>AS30-(AT30+AU30)</f>
        <v/>
      </c>
      <c r="AW30" s="72">
        <f>INDIRECT("'Mar"&amp;Members!$G$2&amp;"-COLLECTION'!K"&amp;ROW()-1)</f>
        <v/>
      </c>
      <c r="AX30" s="72">
        <f>INDIRECT("'Mar"&amp;Members!$G$2&amp;"-EXPENSE'!R"&amp;ROW()+3)</f>
        <v/>
      </c>
      <c r="AY30" s="75" t="n"/>
      <c r="AZ30" s="72">
        <f>AW30-(AX30+AY30)</f>
        <v/>
      </c>
      <c r="BA30" s="72">
        <f>SUM(E30,I30,M30,Q30,U30,Y30,AC30,AG30,AK30,AO30,AS30,AW30)</f>
        <v/>
      </c>
      <c r="BB30" s="72">
        <f>SUM(F30,J30,N30,R30,V30,Z30,AD30,AH30,AL30,AP30,AT30,AX30)</f>
        <v/>
      </c>
      <c r="BC30" s="72">
        <f>SUM(G30,K30,O30,S30,W30,AA30,AE30,AI30,AM30,AQ30,AU30,AY30)</f>
        <v/>
      </c>
      <c r="BD30" s="72">
        <f>BA30-(BB30+BC30)</f>
        <v/>
      </c>
      <c r="BE30" s="72">
        <f>BD30+D30</f>
        <v/>
      </c>
    </row>
    <row r="31" ht="15.75" customHeight="1" s="99">
      <c r="A31" s="68" t="inlineStr">
        <is>
          <t>G13</t>
        </is>
      </c>
      <c r="B31" s="69">
        <f>VLOOKUP(A31,Members!$A$2:$C$65,3,FALSE)</f>
        <v/>
      </c>
      <c r="C31" s="68">
        <f>Members!B30</f>
        <v/>
      </c>
      <c r="D31" s="70" t="n">
        <v>-15613.11862266349</v>
      </c>
      <c r="E31" s="70">
        <f>INDIRECT("'Apr"&amp;Members!$F$2&amp;"-COLLECTION'!K"&amp;ROW()-1)</f>
        <v/>
      </c>
      <c r="F31" s="70">
        <f>INDIRECT("'Apr"&amp;Members!$F$2&amp;"-EXPENSE'!R"&amp;ROW()+3)</f>
        <v/>
      </c>
      <c r="G31" s="10" t="n"/>
      <c r="H31" s="70">
        <f>E31-(F31+G31)</f>
        <v/>
      </c>
      <c r="I31" s="70">
        <f>INDIRECT("'May"&amp;Members!$F$2&amp;"-COLLECTION'!K"&amp;ROW()-1)</f>
        <v/>
      </c>
      <c r="J31" s="70">
        <f>INDIRECT("'May"&amp;Members!$F$2&amp;"-EXPENSE'!R"&amp;ROW()+3)</f>
        <v/>
      </c>
      <c r="K31" s="11" t="n"/>
      <c r="L31" s="70">
        <f>I31-(J31+K31)</f>
        <v/>
      </c>
      <c r="M31" s="70">
        <f>INDIRECT("'June"&amp;Members!$F$2&amp;"-COLLECTION'!K"&amp;ROW()-1)</f>
        <v/>
      </c>
      <c r="N31" s="70">
        <f>INDIRECT("'June"&amp;Members!$F$2&amp;"-EXPENSE'!R"&amp;ROW()+3)</f>
        <v/>
      </c>
      <c r="O31" s="10" t="n"/>
      <c r="P31" s="70">
        <f>M31-(N31+O31)</f>
        <v/>
      </c>
      <c r="Q31" s="70">
        <f>INDIRECT("'July"&amp;Members!$F$2&amp;"-COLLECTION'!K"&amp;ROW()-1)</f>
        <v/>
      </c>
      <c r="R31" s="70">
        <f>INDIRECT("'July"&amp;Members!$F$2&amp;"-EXPENSE'!R"&amp;ROW()+3)</f>
        <v/>
      </c>
      <c r="S31" s="11" t="n"/>
      <c r="T31" s="70">
        <f>Q31-(R31+S31)</f>
        <v/>
      </c>
      <c r="U31" s="70">
        <f>INDIRECT("'Aug"&amp;Members!$F$2&amp;"-COLLECTION'!K"&amp;ROW()-1)</f>
        <v/>
      </c>
      <c r="V31" s="70">
        <f>INDIRECT("'Aug"&amp;Members!$F$2&amp;"-EXPENSE'!R"&amp;ROW()+3)</f>
        <v/>
      </c>
      <c r="W31" s="10" t="n"/>
      <c r="X31" s="70">
        <f>U31-(V31+W31)</f>
        <v/>
      </c>
      <c r="Y31" s="70">
        <f>INDIRECT("'Sep"&amp;Members!$F$2&amp;"-COLLECTION'!K"&amp;ROW()-1)</f>
        <v/>
      </c>
      <c r="Z31" s="70">
        <f>INDIRECT("'Sep"&amp;Members!$F$2&amp;"-EXPENSE'!R"&amp;ROW()+3)</f>
        <v/>
      </c>
      <c r="AA31" s="11" t="n"/>
      <c r="AB31" s="70">
        <f>Y31-(Z31+AA31)</f>
        <v/>
      </c>
      <c r="AC31" s="70">
        <f>INDIRECT("'Oct"&amp;Members!$F$2&amp;"-COLLECTION'!K"&amp;ROW()-1)</f>
        <v/>
      </c>
      <c r="AD31" s="70">
        <f>INDIRECT("'Oct"&amp;Members!$F$2&amp;"-EXPENSE'!R"&amp;ROW()+3)</f>
        <v/>
      </c>
      <c r="AE31" s="11" t="n"/>
      <c r="AF31" s="70">
        <f>AC31-(AD31+AE31)</f>
        <v/>
      </c>
      <c r="AG31" s="70">
        <f>INDIRECT("'Nov"&amp;Members!$F$2&amp;"-COLLECTION'!K"&amp;ROW()-1)</f>
        <v/>
      </c>
      <c r="AH31" s="70">
        <f>INDIRECT("'Nov"&amp;Members!$F$2&amp;"-EXPENSE'!R"&amp;ROW()+3)</f>
        <v/>
      </c>
      <c r="AI31" s="11" t="n"/>
      <c r="AJ31" s="70">
        <f>AG31-(AH31+AI31)</f>
        <v/>
      </c>
      <c r="AK31" s="70">
        <f>INDIRECT("'Dec"&amp;Members!$F$2&amp;"-COLLECTION'!K"&amp;ROW()-1)</f>
        <v/>
      </c>
      <c r="AL31" s="70">
        <f>INDIRECT("'Dec"&amp;Members!$F$2&amp;"-EXPENSE'!R"&amp;ROW()+3)</f>
        <v/>
      </c>
      <c r="AM31" s="11" t="n"/>
      <c r="AN31" s="70">
        <f>AK31-(AL31+AM31)</f>
        <v/>
      </c>
      <c r="AO31" s="70">
        <f>INDIRECT("'Jan"&amp;Members!$G$2&amp;"-COLLECTION'!K"&amp;ROW()-1)</f>
        <v/>
      </c>
      <c r="AP31" s="70">
        <f>INDIRECT("'Jan"&amp;Members!$G$2&amp;"-EXPENSE'!R"&amp;ROW()+3)</f>
        <v/>
      </c>
      <c r="AQ31" s="75" t="n"/>
      <c r="AR31" s="70">
        <f>AO31-(AP31+AQ31)</f>
        <v/>
      </c>
      <c r="AS31" s="70">
        <f>INDIRECT("'Feb"&amp;Members!$G$2&amp;"-COLLECTION'!K"&amp;ROW()-1)</f>
        <v/>
      </c>
      <c r="AT31" s="70">
        <f>INDIRECT("'Feb"&amp;Members!$G$2&amp;"-EXPENSE'!R"&amp;ROW()+3)</f>
        <v/>
      </c>
      <c r="AU31" s="75" t="n"/>
      <c r="AV31" s="70">
        <f>AS31-(AT31+AU31)</f>
        <v/>
      </c>
      <c r="AW31" s="70">
        <f>INDIRECT("'Mar"&amp;Members!$G$2&amp;"-COLLECTION'!K"&amp;ROW()-1)</f>
        <v/>
      </c>
      <c r="AX31" s="70">
        <f>INDIRECT("'Mar"&amp;Members!$G$2&amp;"-EXPENSE'!R"&amp;ROW()+3)</f>
        <v/>
      </c>
      <c r="AY31" s="75" t="n"/>
      <c r="AZ31" s="70">
        <f>AW31-(AX31+AY31)</f>
        <v/>
      </c>
      <c r="BA31" s="70">
        <f>SUM(E31,I31,M31,Q31,U31,Y31,AC31,AG31,AK31,AO31,AS31,AW31)</f>
        <v/>
      </c>
      <c r="BB31" s="70">
        <f>SUM(F31,J31,N31,R31,V31,Z31,AD31,AH31,AL31,AP31,AT31,AX31)</f>
        <v/>
      </c>
      <c r="BC31" s="70">
        <f>SUM(G31,K31,O31,S31,W31,AA31,AE31,AI31,AM31,AQ31,AU31,AY31)</f>
        <v/>
      </c>
      <c r="BD31" s="70">
        <f>BA31-(BB31+BC31)</f>
        <v/>
      </c>
      <c r="BE31" s="70">
        <f>BD31+D31</f>
        <v/>
      </c>
    </row>
    <row r="32" ht="15.75" customHeight="1" s="99">
      <c r="A32" s="52" t="inlineStr">
        <is>
          <t>G14</t>
        </is>
      </c>
      <c r="B32" s="71">
        <f>VLOOKUP(A32,Members!$A$2:$C$65,3,FALSE)</f>
        <v/>
      </c>
      <c r="C32" s="52">
        <f>Members!B31</f>
        <v/>
      </c>
      <c r="D32" s="72" t="n">
        <v>-2407.629406269494</v>
      </c>
      <c r="E32" s="72">
        <f>INDIRECT("'Apr"&amp;Members!$F$2&amp;"-COLLECTION'!K"&amp;ROW()-1)</f>
        <v/>
      </c>
      <c r="F32" s="72">
        <f>INDIRECT("'Apr"&amp;Members!$F$2&amp;"-EXPENSE'!R"&amp;ROW()+3)</f>
        <v/>
      </c>
      <c r="G32" s="10" t="n"/>
      <c r="H32" s="72">
        <f>E32-(F32+G32)</f>
        <v/>
      </c>
      <c r="I32" s="72">
        <f>INDIRECT("'May"&amp;Members!$F$2&amp;"-COLLECTION'!K"&amp;ROW()-1)</f>
        <v/>
      </c>
      <c r="J32" s="72">
        <f>INDIRECT("'May"&amp;Members!$F$2&amp;"-EXPENSE'!R"&amp;ROW()+3)</f>
        <v/>
      </c>
      <c r="K32" s="11" t="n"/>
      <c r="L32" s="72">
        <f>I32-(J32+K32)</f>
        <v/>
      </c>
      <c r="M32" s="72">
        <f>INDIRECT("'June"&amp;Members!$F$2&amp;"-COLLECTION'!K"&amp;ROW()-1)</f>
        <v/>
      </c>
      <c r="N32" s="72">
        <f>INDIRECT("'June"&amp;Members!$F$2&amp;"-EXPENSE'!R"&amp;ROW()+3)</f>
        <v/>
      </c>
      <c r="O32" s="10" t="n"/>
      <c r="P32" s="72">
        <f>M32-(N32+O32)</f>
        <v/>
      </c>
      <c r="Q32" s="72">
        <f>INDIRECT("'July"&amp;Members!$F$2&amp;"-COLLECTION'!K"&amp;ROW()-1)</f>
        <v/>
      </c>
      <c r="R32" s="72">
        <f>INDIRECT("'July"&amp;Members!$F$2&amp;"-EXPENSE'!R"&amp;ROW()+3)</f>
        <v/>
      </c>
      <c r="S32" s="11" t="n"/>
      <c r="T32" s="72">
        <f>Q32-(R32+S32)</f>
        <v/>
      </c>
      <c r="U32" s="72">
        <f>INDIRECT("'Aug"&amp;Members!$F$2&amp;"-COLLECTION'!K"&amp;ROW()-1)</f>
        <v/>
      </c>
      <c r="V32" s="72">
        <f>INDIRECT("'Aug"&amp;Members!$F$2&amp;"-EXPENSE'!R"&amp;ROW()+3)</f>
        <v/>
      </c>
      <c r="W32" s="10" t="n"/>
      <c r="X32" s="72">
        <f>U32-(V32+W32)</f>
        <v/>
      </c>
      <c r="Y32" s="72">
        <f>INDIRECT("'Sep"&amp;Members!$F$2&amp;"-COLLECTION'!K"&amp;ROW()-1)</f>
        <v/>
      </c>
      <c r="Z32" s="72">
        <f>INDIRECT("'Sep"&amp;Members!$F$2&amp;"-EXPENSE'!R"&amp;ROW()+3)</f>
        <v/>
      </c>
      <c r="AA32" s="11" t="n"/>
      <c r="AB32" s="72">
        <f>Y32-(Z32+AA32)</f>
        <v/>
      </c>
      <c r="AC32" s="72">
        <f>INDIRECT("'Oct"&amp;Members!$F$2&amp;"-COLLECTION'!K"&amp;ROW()-1)</f>
        <v/>
      </c>
      <c r="AD32" s="72">
        <f>INDIRECT("'Oct"&amp;Members!$F$2&amp;"-EXPENSE'!R"&amp;ROW()+3)</f>
        <v/>
      </c>
      <c r="AE32" s="11" t="n"/>
      <c r="AF32" s="72">
        <f>AC32-(AD32+AE32)</f>
        <v/>
      </c>
      <c r="AG32" s="72">
        <f>INDIRECT("'Nov"&amp;Members!$F$2&amp;"-COLLECTION'!K"&amp;ROW()-1)</f>
        <v/>
      </c>
      <c r="AH32" s="72">
        <f>INDIRECT("'Nov"&amp;Members!$F$2&amp;"-EXPENSE'!R"&amp;ROW()+3)</f>
        <v/>
      </c>
      <c r="AI32" s="11" t="n"/>
      <c r="AJ32" s="72">
        <f>AG32-(AH32+AI32)</f>
        <v/>
      </c>
      <c r="AK32" s="72">
        <f>INDIRECT("'Dec"&amp;Members!$F$2&amp;"-COLLECTION'!K"&amp;ROW()-1)</f>
        <v/>
      </c>
      <c r="AL32" s="72">
        <f>INDIRECT("'Dec"&amp;Members!$F$2&amp;"-EXPENSE'!R"&amp;ROW()+3)</f>
        <v/>
      </c>
      <c r="AM32" s="11" t="n"/>
      <c r="AN32" s="72">
        <f>AK32-(AL32+AM32)</f>
        <v/>
      </c>
      <c r="AO32" s="72">
        <f>INDIRECT("'Jan"&amp;Members!$G$2&amp;"-COLLECTION'!K"&amp;ROW()-1)</f>
        <v/>
      </c>
      <c r="AP32" s="72">
        <f>INDIRECT("'Jan"&amp;Members!$G$2&amp;"-EXPENSE'!R"&amp;ROW()+3)</f>
        <v/>
      </c>
      <c r="AQ32" s="75" t="n"/>
      <c r="AR32" s="72">
        <f>AO32-(AP32+AQ32)</f>
        <v/>
      </c>
      <c r="AS32" s="72">
        <f>INDIRECT("'Feb"&amp;Members!$G$2&amp;"-COLLECTION'!K"&amp;ROW()-1)</f>
        <v/>
      </c>
      <c r="AT32" s="72">
        <f>INDIRECT("'Feb"&amp;Members!$G$2&amp;"-EXPENSE'!R"&amp;ROW()+3)</f>
        <v/>
      </c>
      <c r="AU32" s="75" t="n"/>
      <c r="AV32" s="72">
        <f>AS32-(AT32+AU32)</f>
        <v/>
      </c>
      <c r="AW32" s="72">
        <f>INDIRECT("'Mar"&amp;Members!$G$2&amp;"-COLLECTION'!K"&amp;ROW()-1)</f>
        <v/>
      </c>
      <c r="AX32" s="72">
        <f>INDIRECT("'Mar"&amp;Members!$G$2&amp;"-EXPENSE'!R"&amp;ROW()+3)</f>
        <v/>
      </c>
      <c r="AY32" s="75" t="n"/>
      <c r="AZ32" s="72">
        <f>AW32-(AX32+AY32)</f>
        <v/>
      </c>
      <c r="BA32" s="72">
        <f>SUM(E32,I32,M32,Q32,U32,Y32,AC32,AG32,AK32,AO32,AS32,AW32)</f>
        <v/>
      </c>
      <c r="BB32" s="72">
        <f>SUM(F32,J32,N32,R32,V32,Z32,AD32,AH32,AL32,AP32,AT32,AX32)</f>
        <v/>
      </c>
      <c r="BC32" s="72">
        <f>SUM(G32,K32,O32,S32,W32,AA32,AE32,AI32,AM32,AQ32,AU32,AY32)</f>
        <v/>
      </c>
      <c r="BD32" s="72">
        <f>BA32-(BB32+BC32)</f>
        <v/>
      </c>
      <c r="BE32" s="72">
        <f>BD32+D32</f>
        <v/>
      </c>
    </row>
    <row r="33" ht="15.75" customHeight="1" s="99">
      <c r="A33" s="68" t="inlineStr">
        <is>
          <t>G15</t>
        </is>
      </c>
      <c r="B33" s="69">
        <f>VLOOKUP(A33,Members!$A$2:$C$65,3,FALSE)</f>
        <v/>
      </c>
      <c r="C33" s="68">
        <f>Members!B32</f>
        <v/>
      </c>
      <c r="D33" s="70" t="n">
        <v>-19283.52619322104</v>
      </c>
      <c r="E33" s="70">
        <f>INDIRECT("'Apr"&amp;Members!$F$2&amp;"-COLLECTION'!K"&amp;ROW()-1)</f>
        <v/>
      </c>
      <c r="F33" s="70">
        <f>INDIRECT("'Apr"&amp;Members!$F$2&amp;"-EXPENSE'!R"&amp;ROW()+3)</f>
        <v/>
      </c>
      <c r="G33" s="10" t="n"/>
      <c r="H33" s="70">
        <f>E33-(F33+G33)</f>
        <v/>
      </c>
      <c r="I33" s="70">
        <f>INDIRECT("'May"&amp;Members!$F$2&amp;"-COLLECTION'!K"&amp;ROW()-1)</f>
        <v/>
      </c>
      <c r="J33" s="70">
        <f>INDIRECT("'May"&amp;Members!$F$2&amp;"-EXPENSE'!R"&amp;ROW()+3)</f>
        <v/>
      </c>
      <c r="K33" s="11" t="n"/>
      <c r="L33" s="70">
        <f>I33-(J33+K33)</f>
        <v/>
      </c>
      <c r="M33" s="70">
        <f>INDIRECT("'June"&amp;Members!$F$2&amp;"-COLLECTION'!K"&amp;ROW()-1)</f>
        <v/>
      </c>
      <c r="N33" s="70">
        <f>INDIRECT("'June"&amp;Members!$F$2&amp;"-EXPENSE'!R"&amp;ROW()+3)</f>
        <v/>
      </c>
      <c r="O33" s="10" t="n"/>
      <c r="P33" s="70">
        <f>M33-(N33+O33)</f>
        <v/>
      </c>
      <c r="Q33" s="70">
        <f>INDIRECT("'July"&amp;Members!$F$2&amp;"-COLLECTION'!K"&amp;ROW()-1)</f>
        <v/>
      </c>
      <c r="R33" s="70">
        <f>INDIRECT("'July"&amp;Members!$F$2&amp;"-EXPENSE'!R"&amp;ROW()+3)</f>
        <v/>
      </c>
      <c r="S33" s="11" t="n"/>
      <c r="T33" s="70">
        <f>Q33-(R33+S33)</f>
        <v/>
      </c>
      <c r="U33" s="70">
        <f>INDIRECT("'Aug"&amp;Members!$F$2&amp;"-COLLECTION'!K"&amp;ROW()-1)</f>
        <v/>
      </c>
      <c r="V33" s="70">
        <f>INDIRECT("'Aug"&amp;Members!$F$2&amp;"-EXPENSE'!R"&amp;ROW()+3)</f>
        <v/>
      </c>
      <c r="W33" s="10" t="n"/>
      <c r="X33" s="70">
        <f>U33-(V33+W33)</f>
        <v/>
      </c>
      <c r="Y33" s="70">
        <f>INDIRECT("'Sep"&amp;Members!$F$2&amp;"-COLLECTION'!K"&amp;ROW()-1)</f>
        <v/>
      </c>
      <c r="Z33" s="70">
        <f>INDIRECT("'Sep"&amp;Members!$F$2&amp;"-EXPENSE'!R"&amp;ROW()+3)</f>
        <v/>
      </c>
      <c r="AA33" s="11" t="n"/>
      <c r="AB33" s="70">
        <f>Y33-(Z33+AA33)</f>
        <v/>
      </c>
      <c r="AC33" s="70">
        <f>INDIRECT("'Oct"&amp;Members!$F$2&amp;"-COLLECTION'!K"&amp;ROW()-1)</f>
        <v/>
      </c>
      <c r="AD33" s="70">
        <f>INDIRECT("'Oct"&amp;Members!$F$2&amp;"-EXPENSE'!R"&amp;ROW()+3)</f>
        <v/>
      </c>
      <c r="AE33" s="11" t="n"/>
      <c r="AF33" s="70">
        <f>AC33-(AD33+AE33)</f>
        <v/>
      </c>
      <c r="AG33" s="70">
        <f>INDIRECT("'Nov"&amp;Members!$F$2&amp;"-COLLECTION'!K"&amp;ROW()-1)</f>
        <v/>
      </c>
      <c r="AH33" s="70">
        <f>INDIRECT("'Nov"&amp;Members!$F$2&amp;"-EXPENSE'!R"&amp;ROW()+3)</f>
        <v/>
      </c>
      <c r="AI33" s="11" t="n"/>
      <c r="AJ33" s="70">
        <f>AG33-(AH33+AI33)</f>
        <v/>
      </c>
      <c r="AK33" s="70">
        <f>INDIRECT("'Dec"&amp;Members!$F$2&amp;"-COLLECTION'!K"&amp;ROW()-1)</f>
        <v/>
      </c>
      <c r="AL33" s="70">
        <f>INDIRECT("'Dec"&amp;Members!$F$2&amp;"-EXPENSE'!R"&amp;ROW()+3)</f>
        <v/>
      </c>
      <c r="AM33" s="11" t="n"/>
      <c r="AN33" s="70">
        <f>AK33-(AL33+AM33)</f>
        <v/>
      </c>
      <c r="AO33" s="70">
        <f>INDIRECT("'Jan"&amp;Members!$G$2&amp;"-COLLECTION'!K"&amp;ROW()-1)</f>
        <v/>
      </c>
      <c r="AP33" s="70">
        <f>INDIRECT("'Jan"&amp;Members!$G$2&amp;"-EXPENSE'!R"&amp;ROW()+3)</f>
        <v/>
      </c>
      <c r="AQ33" s="75" t="n"/>
      <c r="AR33" s="70">
        <f>AO33-(AP33+AQ33)</f>
        <v/>
      </c>
      <c r="AS33" s="70">
        <f>INDIRECT("'Feb"&amp;Members!$G$2&amp;"-COLLECTION'!K"&amp;ROW()-1)</f>
        <v/>
      </c>
      <c r="AT33" s="70">
        <f>INDIRECT("'Feb"&amp;Members!$G$2&amp;"-EXPENSE'!R"&amp;ROW()+3)</f>
        <v/>
      </c>
      <c r="AU33" s="75" t="n"/>
      <c r="AV33" s="70">
        <f>AS33-(AT33+AU33)</f>
        <v/>
      </c>
      <c r="AW33" s="70">
        <f>INDIRECT("'Mar"&amp;Members!$G$2&amp;"-COLLECTION'!K"&amp;ROW()-1)</f>
        <v/>
      </c>
      <c r="AX33" s="70">
        <f>INDIRECT("'Mar"&amp;Members!$G$2&amp;"-EXPENSE'!R"&amp;ROW()+3)</f>
        <v/>
      </c>
      <c r="AY33" s="75" t="n"/>
      <c r="AZ33" s="70">
        <f>AW33-(AX33+AY33)</f>
        <v/>
      </c>
      <c r="BA33" s="70">
        <f>SUM(E33,I33,M33,Q33,U33,Y33,AC33,AG33,AK33,AO33,AS33,AW33)</f>
        <v/>
      </c>
      <c r="BB33" s="70">
        <f>SUM(F33,J33,N33,R33,V33,Z33,AD33,AH33,AL33,AP33,AT33,AX33)</f>
        <v/>
      </c>
      <c r="BC33" s="70">
        <f>SUM(G33,K33,O33,S33,W33,AA33,AE33,AI33,AM33,AQ33,AU33,AY33)</f>
        <v/>
      </c>
      <c r="BD33" s="70">
        <f>BA33-(BB33+BC33)</f>
        <v/>
      </c>
      <c r="BE33" s="70">
        <f>BD33+D33</f>
        <v/>
      </c>
    </row>
    <row r="34" ht="15.75" customHeight="1" s="99">
      <c r="A34" s="52" t="inlineStr">
        <is>
          <t>G16</t>
        </is>
      </c>
      <c r="B34" s="71">
        <f>VLOOKUP(A34,Members!$A$2:$C$65,3,FALSE)</f>
        <v/>
      </c>
      <c r="C34" s="52">
        <f>Members!B33</f>
        <v/>
      </c>
      <c r="D34" s="72" t="n">
        <v>-4990.385483421511</v>
      </c>
      <c r="E34" s="72">
        <f>INDIRECT("'Apr"&amp;Members!$F$2&amp;"-COLLECTION'!K"&amp;ROW()-1)</f>
        <v/>
      </c>
      <c r="F34" s="72">
        <f>INDIRECT("'Apr"&amp;Members!$F$2&amp;"-EXPENSE'!R"&amp;ROW()+3)</f>
        <v/>
      </c>
      <c r="G34" s="10" t="n"/>
      <c r="H34" s="72">
        <f>E34-(F34+G34)</f>
        <v/>
      </c>
      <c r="I34" s="72">
        <f>INDIRECT("'May"&amp;Members!$F$2&amp;"-COLLECTION'!K"&amp;ROW()-1)</f>
        <v/>
      </c>
      <c r="J34" s="72">
        <f>INDIRECT("'May"&amp;Members!$F$2&amp;"-EXPENSE'!R"&amp;ROW()+3)</f>
        <v/>
      </c>
      <c r="K34" s="11" t="n"/>
      <c r="L34" s="72">
        <f>I34-(J34+K34)</f>
        <v/>
      </c>
      <c r="M34" s="72">
        <f>INDIRECT("'June"&amp;Members!$F$2&amp;"-COLLECTION'!K"&amp;ROW()-1)</f>
        <v/>
      </c>
      <c r="N34" s="72">
        <f>INDIRECT("'June"&amp;Members!$F$2&amp;"-EXPENSE'!R"&amp;ROW()+3)</f>
        <v/>
      </c>
      <c r="O34" s="10" t="n"/>
      <c r="P34" s="72">
        <f>M34-(N34+O34)</f>
        <v/>
      </c>
      <c r="Q34" s="72">
        <f>INDIRECT("'July"&amp;Members!$F$2&amp;"-COLLECTION'!K"&amp;ROW()-1)</f>
        <v/>
      </c>
      <c r="R34" s="72">
        <f>INDIRECT("'July"&amp;Members!$F$2&amp;"-EXPENSE'!R"&amp;ROW()+3)</f>
        <v/>
      </c>
      <c r="S34" s="11" t="n"/>
      <c r="T34" s="72">
        <f>Q34-(R34+S34)</f>
        <v/>
      </c>
      <c r="U34" s="72">
        <f>INDIRECT("'Aug"&amp;Members!$F$2&amp;"-COLLECTION'!K"&amp;ROW()-1)</f>
        <v/>
      </c>
      <c r="V34" s="72">
        <f>INDIRECT("'Aug"&amp;Members!$F$2&amp;"-EXPENSE'!R"&amp;ROW()+3)</f>
        <v/>
      </c>
      <c r="W34" s="10" t="n"/>
      <c r="X34" s="72">
        <f>U34-(V34+W34)</f>
        <v/>
      </c>
      <c r="Y34" s="72">
        <f>INDIRECT("'Sep"&amp;Members!$F$2&amp;"-COLLECTION'!K"&amp;ROW()-1)</f>
        <v/>
      </c>
      <c r="Z34" s="72">
        <f>INDIRECT("'Sep"&amp;Members!$F$2&amp;"-EXPENSE'!R"&amp;ROW()+3)</f>
        <v/>
      </c>
      <c r="AA34" s="11" t="n"/>
      <c r="AB34" s="72">
        <f>Y34-(Z34+AA34)</f>
        <v/>
      </c>
      <c r="AC34" s="72">
        <f>INDIRECT("'Oct"&amp;Members!$F$2&amp;"-COLLECTION'!K"&amp;ROW()-1)</f>
        <v/>
      </c>
      <c r="AD34" s="72">
        <f>INDIRECT("'Oct"&amp;Members!$F$2&amp;"-EXPENSE'!R"&amp;ROW()+3)</f>
        <v/>
      </c>
      <c r="AE34" s="11" t="n"/>
      <c r="AF34" s="72">
        <f>AC34-(AD34+AE34)</f>
        <v/>
      </c>
      <c r="AG34" s="72">
        <f>INDIRECT("'Nov"&amp;Members!$F$2&amp;"-COLLECTION'!K"&amp;ROW()-1)</f>
        <v/>
      </c>
      <c r="AH34" s="72">
        <f>INDIRECT("'Nov"&amp;Members!$F$2&amp;"-EXPENSE'!R"&amp;ROW()+3)</f>
        <v/>
      </c>
      <c r="AI34" s="11" t="n"/>
      <c r="AJ34" s="72">
        <f>AG34-(AH34+AI34)</f>
        <v/>
      </c>
      <c r="AK34" s="72">
        <f>INDIRECT("'Dec"&amp;Members!$F$2&amp;"-COLLECTION'!K"&amp;ROW()-1)</f>
        <v/>
      </c>
      <c r="AL34" s="72">
        <f>INDIRECT("'Dec"&amp;Members!$F$2&amp;"-EXPENSE'!R"&amp;ROW()+3)</f>
        <v/>
      </c>
      <c r="AM34" s="11" t="n"/>
      <c r="AN34" s="72">
        <f>AK34-(AL34+AM34)</f>
        <v/>
      </c>
      <c r="AO34" s="72">
        <f>INDIRECT("'Jan"&amp;Members!$G$2&amp;"-COLLECTION'!K"&amp;ROW()-1)</f>
        <v/>
      </c>
      <c r="AP34" s="72">
        <f>INDIRECT("'Jan"&amp;Members!$G$2&amp;"-EXPENSE'!R"&amp;ROW()+3)</f>
        <v/>
      </c>
      <c r="AQ34" s="75" t="n"/>
      <c r="AR34" s="72">
        <f>AO34-(AP34+AQ34)</f>
        <v/>
      </c>
      <c r="AS34" s="72">
        <f>INDIRECT("'Feb"&amp;Members!$G$2&amp;"-COLLECTION'!K"&amp;ROW()-1)</f>
        <v/>
      </c>
      <c r="AT34" s="72">
        <f>INDIRECT("'Feb"&amp;Members!$G$2&amp;"-EXPENSE'!R"&amp;ROW()+3)</f>
        <v/>
      </c>
      <c r="AU34" s="75" t="n"/>
      <c r="AV34" s="72">
        <f>AS34-(AT34+AU34)</f>
        <v/>
      </c>
      <c r="AW34" s="72">
        <f>INDIRECT("'Mar"&amp;Members!$G$2&amp;"-COLLECTION'!K"&amp;ROW()-1)</f>
        <v/>
      </c>
      <c r="AX34" s="72">
        <f>INDIRECT("'Mar"&amp;Members!$G$2&amp;"-EXPENSE'!R"&amp;ROW()+3)</f>
        <v/>
      </c>
      <c r="AY34" s="75" t="n"/>
      <c r="AZ34" s="72">
        <f>AW34-(AX34+AY34)</f>
        <v/>
      </c>
      <c r="BA34" s="72">
        <f>SUM(E34,I34,M34,Q34,U34,Y34,AC34,AG34,AK34,AO34,AS34,AW34)</f>
        <v/>
      </c>
      <c r="BB34" s="72">
        <f>SUM(F34,J34,N34,R34,V34,Z34,AD34,AH34,AL34,AP34,AT34,AX34)</f>
        <v/>
      </c>
      <c r="BC34" s="72">
        <f>SUM(G34,K34,O34,S34,W34,AA34,AE34,AI34,AM34,AQ34,AU34,AY34)</f>
        <v/>
      </c>
      <c r="BD34" s="72">
        <f>BA34-(BB34+BC34)</f>
        <v/>
      </c>
      <c r="BE34" s="72">
        <f>BD34+D34</f>
        <v/>
      </c>
    </row>
    <row r="35" ht="15.75" customHeight="1" s="99">
      <c r="A35" s="68" t="inlineStr">
        <is>
          <t>S1</t>
        </is>
      </c>
      <c r="B35" s="69">
        <f>VLOOKUP(A35,Members!$A$2:$C$65,3,FALSE)</f>
        <v/>
      </c>
      <c r="C35" s="68">
        <f>Members!B34</f>
        <v/>
      </c>
      <c r="D35" s="70" t="n">
        <v>-984.975570159615</v>
      </c>
      <c r="E35" s="70">
        <f>INDIRECT("'Apr"&amp;Members!$F$2&amp;"-COLLECTION'!K"&amp;ROW()-1)</f>
        <v/>
      </c>
      <c r="F35" s="70">
        <f>INDIRECT("'Apr"&amp;Members!$F$2&amp;"-EXPENSE'!R"&amp;ROW()+3)</f>
        <v/>
      </c>
      <c r="G35" s="10" t="n"/>
      <c r="H35" s="70">
        <f>E35-(F35+G35)</f>
        <v/>
      </c>
      <c r="I35" s="70">
        <f>INDIRECT("'May"&amp;Members!$F$2&amp;"-COLLECTION'!K"&amp;ROW()-1)</f>
        <v/>
      </c>
      <c r="J35" s="70">
        <f>INDIRECT("'May"&amp;Members!$F$2&amp;"-EXPENSE'!R"&amp;ROW()+3)</f>
        <v/>
      </c>
      <c r="K35" s="11" t="n"/>
      <c r="L35" s="70">
        <f>I35-(J35+K35)</f>
        <v/>
      </c>
      <c r="M35" s="70">
        <f>INDIRECT("'June"&amp;Members!$F$2&amp;"-COLLECTION'!K"&amp;ROW()-1)</f>
        <v/>
      </c>
      <c r="N35" s="70">
        <f>INDIRECT("'June"&amp;Members!$F$2&amp;"-EXPENSE'!R"&amp;ROW()+3)</f>
        <v/>
      </c>
      <c r="O35" s="10" t="n"/>
      <c r="P35" s="70">
        <f>M35-(N35+O35)</f>
        <v/>
      </c>
      <c r="Q35" s="70">
        <f>INDIRECT("'July"&amp;Members!$F$2&amp;"-COLLECTION'!K"&amp;ROW()-1)</f>
        <v/>
      </c>
      <c r="R35" s="70">
        <f>INDIRECT("'July"&amp;Members!$F$2&amp;"-EXPENSE'!R"&amp;ROW()+3)</f>
        <v/>
      </c>
      <c r="S35" s="11" t="n"/>
      <c r="T35" s="70">
        <f>Q35-(R35+S35)</f>
        <v/>
      </c>
      <c r="U35" s="70">
        <f>INDIRECT("'Aug"&amp;Members!$F$2&amp;"-COLLECTION'!K"&amp;ROW()-1)</f>
        <v/>
      </c>
      <c r="V35" s="70">
        <f>INDIRECT("'Aug"&amp;Members!$F$2&amp;"-EXPENSE'!R"&amp;ROW()+3)</f>
        <v/>
      </c>
      <c r="W35" s="10" t="n"/>
      <c r="X35" s="70">
        <f>U35-(V35+W35)</f>
        <v/>
      </c>
      <c r="Y35" s="70">
        <f>INDIRECT("'Sep"&amp;Members!$F$2&amp;"-COLLECTION'!K"&amp;ROW()-1)</f>
        <v/>
      </c>
      <c r="Z35" s="70">
        <f>INDIRECT("'Sep"&amp;Members!$F$2&amp;"-EXPENSE'!R"&amp;ROW()+3)</f>
        <v/>
      </c>
      <c r="AA35" s="11" t="n"/>
      <c r="AB35" s="70">
        <f>Y35-(Z35+AA35)</f>
        <v/>
      </c>
      <c r="AC35" s="70">
        <f>INDIRECT("'Oct"&amp;Members!$F$2&amp;"-COLLECTION'!K"&amp;ROW()-1)</f>
        <v/>
      </c>
      <c r="AD35" s="70">
        <f>INDIRECT("'Oct"&amp;Members!$F$2&amp;"-EXPENSE'!R"&amp;ROW()+3)</f>
        <v/>
      </c>
      <c r="AE35" s="11" t="n"/>
      <c r="AF35" s="70">
        <f>AC35-(AD35+AE35)</f>
        <v/>
      </c>
      <c r="AG35" s="70">
        <f>INDIRECT("'Nov"&amp;Members!$F$2&amp;"-COLLECTION'!K"&amp;ROW()-1)</f>
        <v/>
      </c>
      <c r="AH35" s="70">
        <f>INDIRECT("'Nov"&amp;Members!$F$2&amp;"-EXPENSE'!R"&amp;ROW()+3)</f>
        <v/>
      </c>
      <c r="AI35" s="11" t="n"/>
      <c r="AJ35" s="70">
        <f>AG35-(AH35+AI35)</f>
        <v/>
      </c>
      <c r="AK35" s="70">
        <f>INDIRECT("'Dec"&amp;Members!$F$2&amp;"-COLLECTION'!K"&amp;ROW()-1)</f>
        <v/>
      </c>
      <c r="AL35" s="70">
        <f>INDIRECT("'Dec"&amp;Members!$F$2&amp;"-EXPENSE'!R"&amp;ROW()+3)</f>
        <v/>
      </c>
      <c r="AM35" s="11" t="n"/>
      <c r="AN35" s="70">
        <f>AK35-(AL35+AM35)</f>
        <v/>
      </c>
      <c r="AO35" s="70">
        <f>INDIRECT("'Jan"&amp;Members!$G$2&amp;"-COLLECTION'!K"&amp;ROW()-1)</f>
        <v/>
      </c>
      <c r="AP35" s="70">
        <f>INDIRECT("'Jan"&amp;Members!$G$2&amp;"-EXPENSE'!R"&amp;ROW()+3)</f>
        <v/>
      </c>
      <c r="AQ35" s="75" t="n"/>
      <c r="AR35" s="70">
        <f>AO35-(AP35+AQ35)</f>
        <v/>
      </c>
      <c r="AS35" s="70">
        <f>INDIRECT("'Feb"&amp;Members!$G$2&amp;"-COLLECTION'!K"&amp;ROW()-1)</f>
        <v/>
      </c>
      <c r="AT35" s="70">
        <f>INDIRECT("'Feb"&amp;Members!$G$2&amp;"-EXPENSE'!R"&amp;ROW()+3)</f>
        <v/>
      </c>
      <c r="AU35" s="75" t="n"/>
      <c r="AV35" s="70">
        <f>AS35-(AT35+AU35)</f>
        <v/>
      </c>
      <c r="AW35" s="70">
        <f>INDIRECT("'Mar"&amp;Members!$G$2&amp;"-COLLECTION'!K"&amp;ROW()-1)</f>
        <v/>
      </c>
      <c r="AX35" s="70">
        <f>INDIRECT("'Mar"&amp;Members!$G$2&amp;"-EXPENSE'!R"&amp;ROW()+3)</f>
        <v/>
      </c>
      <c r="AY35" s="75" t="n"/>
      <c r="AZ35" s="70">
        <f>AW35-(AX35+AY35)</f>
        <v/>
      </c>
      <c r="BA35" s="70">
        <f>SUM(E35,I35,M35,Q35,U35,Y35,AC35,AG35,AK35,AO35,AS35,AW35)</f>
        <v/>
      </c>
      <c r="BB35" s="70">
        <f>SUM(F35,J35,N35,R35,V35,Z35,AD35,AH35,AL35,AP35,AT35,AX35)</f>
        <v/>
      </c>
      <c r="BC35" s="70">
        <f>SUM(G35,K35,O35,S35,W35,AA35,AE35,AI35,AM35,AQ35,AU35,AY35)</f>
        <v/>
      </c>
      <c r="BD35" s="70">
        <f>BA35-(BB35+BC35)</f>
        <v/>
      </c>
      <c r="BE35" s="70">
        <f>BD35+D35</f>
        <v/>
      </c>
    </row>
    <row r="36" ht="15.75" customHeight="1" s="99">
      <c r="A36" s="52" t="inlineStr">
        <is>
          <t>S2</t>
        </is>
      </c>
      <c r="B36" s="71">
        <f>VLOOKUP(A36,Members!$A$2:$C$65,3,FALSE)</f>
        <v/>
      </c>
      <c r="C36" s="52">
        <f>Members!B35</f>
        <v/>
      </c>
      <c r="D36" s="72" t="n">
        <v>-6755.632287789384</v>
      </c>
      <c r="E36" s="72">
        <f>INDIRECT("'Apr"&amp;Members!$F$2&amp;"-COLLECTION'!K"&amp;ROW()-1)</f>
        <v/>
      </c>
      <c r="F36" s="72">
        <f>INDIRECT("'Apr"&amp;Members!$F$2&amp;"-EXPENSE'!R"&amp;ROW()+3)</f>
        <v/>
      </c>
      <c r="G36" s="10" t="n"/>
      <c r="H36" s="72">
        <f>E36-(F36+G36)</f>
        <v/>
      </c>
      <c r="I36" s="72">
        <f>INDIRECT("'May"&amp;Members!$F$2&amp;"-COLLECTION'!K"&amp;ROW()-1)</f>
        <v/>
      </c>
      <c r="J36" s="72">
        <f>INDIRECT("'May"&amp;Members!$F$2&amp;"-EXPENSE'!R"&amp;ROW()+3)</f>
        <v/>
      </c>
      <c r="K36" s="11" t="n"/>
      <c r="L36" s="72">
        <f>I36-(J36+K36)</f>
        <v/>
      </c>
      <c r="M36" s="72">
        <f>INDIRECT("'June"&amp;Members!$F$2&amp;"-COLLECTION'!K"&amp;ROW()-1)</f>
        <v/>
      </c>
      <c r="N36" s="72">
        <f>INDIRECT("'June"&amp;Members!$F$2&amp;"-EXPENSE'!R"&amp;ROW()+3)</f>
        <v/>
      </c>
      <c r="O36" s="10" t="n"/>
      <c r="P36" s="72">
        <f>M36-(N36+O36)</f>
        <v/>
      </c>
      <c r="Q36" s="72">
        <f>INDIRECT("'July"&amp;Members!$F$2&amp;"-COLLECTION'!K"&amp;ROW()-1)</f>
        <v/>
      </c>
      <c r="R36" s="72">
        <f>INDIRECT("'July"&amp;Members!$F$2&amp;"-EXPENSE'!R"&amp;ROW()+3)</f>
        <v/>
      </c>
      <c r="S36" s="11" t="n"/>
      <c r="T36" s="72">
        <f>Q36-(R36+S36)</f>
        <v/>
      </c>
      <c r="U36" s="72">
        <f>INDIRECT("'Aug"&amp;Members!$F$2&amp;"-COLLECTION'!K"&amp;ROW()-1)</f>
        <v/>
      </c>
      <c r="V36" s="72">
        <f>INDIRECT("'Aug"&amp;Members!$F$2&amp;"-EXPENSE'!R"&amp;ROW()+3)</f>
        <v/>
      </c>
      <c r="W36" s="10" t="n"/>
      <c r="X36" s="72">
        <f>U36-(V36+W36)</f>
        <v/>
      </c>
      <c r="Y36" s="72">
        <f>INDIRECT("'Sep"&amp;Members!$F$2&amp;"-COLLECTION'!K"&amp;ROW()-1)</f>
        <v/>
      </c>
      <c r="Z36" s="72">
        <f>INDIRECT("'Sep"&amp;Members!$F$2&amp;"-EXPENSE'!R"&amp;ROW()+3)</f>
        <v/>
      </c>
      <c r="AA36" s="11" t="n"/>
      <c r="AB36" s="72">
        <f>Y36-(Z36+AA36)</f>
        <v/>
      </c>
      <c r="AC36" s="72">
        <f>INDIRECT("'Oct"&amp;Members!$F$2&amp;"-COLLECTION'!K"&amp;ROW()-1)</f>
        <v/>
      </c>
      <c r="AD36" s="72">
        <f>INDIRECT("'Oct"&amp;Members!$F$2&amp;"-EXPENSE'!R"&amp;ROW()+3)</f>
        <v/>
      </c>
      <c r="AE36" s="11" t="n"/>
      <c r="AF36" s="72">
        <f>AC36-(AD36+AE36)</f>
        <v/>
      </c>
      <c r="AG36" s="72">
        <f>INDIRECT("'Nov"&amp;Members!$F$2&amp;"-COLLECTION'!K"&amp;ROW()-1)</f>
        <v/>
      </c>
      <c r="AH36" s="72">
        <f>INDIRECT("'Nov"&amp;Members!$F$2&amp;"-EXPENSE'!R"&amp;ROW()+3)</f>
        <v/>
      </c>
      <c r="AI36" s="11" t="n"/>
      <c r="AJ36" s="72">
        <f>AG36-(AH36+AI36)</f>
        <v/>
      </c>
      <c r="AK36" s="72">
        <f>INDIRECT("'Dec"&amp;Members!$F$2&amp;"-COLLECTION'!K"&amp;ROW()-1)</f>
        <v/>
      </c>
      <c r="AL36" s="72">
        <f>INDIRECT("'Dec"&amp;Members!$F$2&amp;"-EXPENSE'!R"&amp;ROW()+3)</f>
        <v/>
      </c>
      <c r="AM36" s="11" t="n"/>
      <c r="AN36" s="72">
        <f>AK36-(AL36+AM36)</f>
        <v/>
      </c>
      <c r="AO36" s="72">
        <f>INDIRECT("'Jan"&amp;Members!$G$2&amp;"-COLLECTION'!K"&amp;ROW()-1)</f>
        <v/>
      </c>
      <c r="AP36" s="72">
        <f>INDIRECT("'Jan"&amp;Members!$G$2&amp;"-EXPENSE'!R"&amp;ROW()+3)</f>
        <v/>
      </c>
      <c r="AQ36" s="75" t="n"/>
      <c r="AR36" s="72">
        <f>AO36-(AP36+AQ36)</f>
        <v/>
      </c>
      <c r="AS36" s="72">
        <f>INDIRECT("'Feb"&amp;Members!$G$2&amp;"-COLLECTION'!K"&amp;ROW()-1)</f>
        <v/>
      </c>
      <c r="AT36" s="72">
        <f>INDIRECT("'Feb"&amp;Members!$G$2&amp;"-EXPENSE'!R"&amp;ROW()+3)</f>
        <v/>
      </c>
      <c r="AU36" s="75" t="n"/>
      <c r="AV36" s="72">
        <f>AS36-(AT36+AU36)</f>
        <v/>
      </c>
      <c r="AW36" s="72">
        <f>INDIRECT("'Mar"&amp;Members!$G$2&amp;"-COLLECTION'!K"&amp;ROW()-1)</f>
        <v/>
      </c>
      <c r="AX36" s="72">
        <f>INDIRECT("'Mar"&amp;Members!$G$2&amp;"-EXPENSE'!R"&amp;ROW()+3)</f>
        <v/>
      </c>
      <c r="AY36" s="75" t="n"/>
      <c r="AZ36" s="72">
        <f>AW36-(AX36+AY36)</f>
        <v/>
      </c>
      <c r="BA36" s="72">
        <f>SUM(E36,I36,M36,Q36,U36,Y36,AC36,AG36,AK36,AO36,AS36,AW36)</f>
        <v/>
      </c>
      <c r="BB36" s="72">
        <f>SUM(F36,J36,N36,R36,V36,Z36,AD36,AH36,AL36,AP36,AT36,AX36)</f>
        <v/>
      </c>
      <c r="BC36" s="72">
        <f>SUM(G36,K36,O36,S36,W36,AA36,AE36,AI36,AM36,AQ36,AU36,AY36)</f>
        <v/>
      </c>
      <c r="BD36" s="72">
        <f>BA36-(BB36+BC36)</f>
        <v/>
      </c>
      <c r="BE36" s="72">
        <f>BD36+D36</f>
        <v/>
      </c>
    </row>
    <row r="37" ht="15.75" customHeight="1" s="99">
      <c r="A37" s="68" t="inlineStr">
        <is>
          <t>S3</t>
        </is>
      </c>
      <c r="B37" s="69">
        <f>VLOOKUP(A37,Members!$A$2:$C$65,3,FALSE)</f>
        <v/>
      </c>
      <c r="C37" s="68">
        <f>Members!B36</f>
        <v/>
      </c>
      <c r="D37" s="70" t="n">
        <v>-408.9002622908883</v>
      </c>
      <c r="E37" s="70">
        <f>INDIRECT("'Apr"&amp;Members!$F$2&amp;"-COLLECTION'!K"&amp;ROW()-1)</f>
        <v/>
      </c>
      <c r="F37" s="70">
        <f>INDIRECT("'Apr"&amp;Members!$F$2&amp;"-EXPENSE'!R"&amp;ROW()+3)</f>
        <v/>
      </c>
      <c r="G37" s="10" t="n"/>
      <c r="H37" s="70">
        <f>E37-(F37+G37)</f>
        <v/>
      </c>
      <c r="I37" s="70">
        <f>INDIRECT("'May"&amp;Members!$F$2&amp;"-COLLECTION'!K"&amp;ROW()-1)</f>
        <v/>
      </c>
      <c r="J37" s="70">
        <f>INDIRECT("'May"&amp;Members!$F$2&amp;"-EXPENSE'!R"&amp;ROW()+3)</f>
        <v/>
      </c>
      <c r="K37" s="11" t="n"/>
      <c r="L37" s="70">
        <f>I37-(J37+K37)</f>
        <v/>
      </c>
      <c r="M37" s="70">
        <f>INDIRECT("'June"&amp;Members!$F$2&amp;"-COLLECTION'!K"&amp;ROW()-1)</f>
        <v/>
      </c>
      <c r="N37" s="70">
        <f>INDIRECT("'June"&amp;Members!$F$2&amp;"-EXPENSE'!R"&amp;ROW()+3)</f>
        <v/>
      </c>
      <c r="O37" s="10" t="n"/>
      <c r="P37" s="70">
        <f>M37-(N37+O37)</f>
        <v/>
      </c>
      <c r="Q37" s="70">
        <f>INDIRECT("'July"&amp;Members!$F$2&amp;"-COLLECTION'!K"&amp;ROW()-1)</f>
        <v/>
      </c>
      <c r="R37" s="70">
        <f>INDIRECT("'July"&amp;Members!$F$2&amp;"-EXPENSE'!R"&amp;ROW()+3)</f>
        <v/>
      </c>
      <c r="S37" s="11" t="n"/>
      <c r="T37" s="70">
        <f>Q37-(R37+S37)</f>
        <v/>
      </c>
      <c r="U37" s="70">
        <f>INDIRECT("'Aug"&amp;Members!$F$2&amp;"-COLLECTION'!K"&amp;ROW()-1)</f>
        <v/>
      </c>
      <c r="V37" s="70">
        <f>INDIRECT("'Aug"&amp;Members!$F$2&amp;"-EXPENSE'!R"&amp;ROW()+3)</f>
        <v/>
      </c>
      <c r="W37" s="10" t="n"/>
      <c r="X37" s="70">
        <f>U37-(V37+W37)</f>
        <v/>
      </c>
      <c r="Y37" s="70">
        <f>INDIRECT("'Sep"&amp;Members!$F$2&amp;"-COLLECTION'!K"&amp;ROW()-1)</f>
        <v/>
      </c>
      <c r="Z37" s="70">
        <f>INDIRECT("'Sep"&amp;Members!$F$2&amp;"-EXPENSE'!R"&amp;ROW()+3)</f>
        <v/>
      </c>
      <c r="AA37" s="11" t="n"/>
      <c r="AB37" s="70">
        <f>Y37-(Z37+AA37)</f>
        <v/>
      </c>
      <c r="AC37" s="70">
        <f>INDIRECT("'Oct"&amp;Members!$F$2&amp;"-COLLECTION'!K"&amp;ROW()-1)</f>
        <v/>
      </c>
      <c r="AD37" s="70">
        <f>INDIRECT("'Oct"&amp;Members!$F$2&amp;"-EXPENSE'!R"&amp;ROW()+3)</f>
        <v/>
      </c>
      <c r="AE37" s="11" t="n"/>
      <c r="AF37" s="70">
        <f>AC37-(AD37+AE37)</f>
        <v/>
      </c>
      <c r="AG37" s="70">
        <f>INDIRECT("'Nov"&amp;Members!$F$2&amp;"-COLLECTION'!K"&amp;ROW()-1)</f>
        <v/>
      </c>
      <c r="AH37" s="70">
        <f>INDIRECT("'Nov"&amp;Members!$F$2&amp;"-EXPENSE'!R"&amp;ROW()+3)</f>
        <v/>
      </c>
      <c r="AI37" s="11" t="n"/>
      <c r="AJ37" s="70">
        <f>AG37-(AH37+AI37)</f>
        <v/>
      </c>
      <c r="AK37" s="70">
        <f>INDIRECT("'Dec"&amp;Members!$F$2&amp;"-COLLECTION'!K"&amp;ROW()-1)</f>
        <v/>
      </c>
      <c r="AL37" s="70">
        <f>INDIRECT("'Dec"&amp;Members!$F$2&amp;"-EXPENSE'!R"&amp;ROW()+3)</f>
        <v/>
      </c>
      <c r="AM37" s="11" t="n"/>
      <c r="AN37" s="70">
        <f>AK37-(AL37+AM37)</f>
        <v/>
      </c>
      <c r="AO37" s="70">
        <f>INDIRECT("'Jan"&amp;Members!$G$2&amp;"-COLLECTION'!K"&amp;ROW()-1)</f>
        <v/>
      </c>
      <c r="AP37" s="70">
        <f>INDIRECT("'Jan"&amp;Members!$G$2&amp;"-EXPENSE'!R"&amp;ROW()+3)</f>
        <v/>
      </c>
      <c r="AQ37" s="75" t="n"/>
      <c r="AR37" s="70">
        <f>AO37-(AP37+AQ37)</f>
        <v/>
      </c>
      <c r="AS37" s="70">
        <f>INDIRECT("'Feb"&amp;Members!$G$2&amp;"-COLLECTION'!K"&amp;ROW()-1)</f>
        <v/>
      </c>
      <c r="AT37" s="70">
        <f>INDIRECT("'Feb"&amp;Members!$G$2&amp;"-EXPENSE'!R"&amp;ROW()+3)</f>
        <v/>
      </c>
      <c r="AU37" s="75" t="n"/>
      <c r="AV37" s="70">
        <f>AS37-(AT37+AU37)</f>
        <v/>
      </c>
      <c r="AW37" s="70">
        <f>INDIRECT("'Mar"&amp;Members!$G$2&amp;"-COLLECTION'!K"&amp;ROW()-1)</f>
        <v/>
      </c>
      <c r="AX37" s="70">
        <f>INDIRECT("'Mar"&amp;Members!$G$2&amp;"-EXPENSE'!R"&amp;ROW()+3)</f>
        <v/>
      </c>
      <c r="AY37" s="75" t="n"/>
      <c r="AZ37" s="70">
        <f>AW37-(AX37+AY37)</f>
        <v/>
      </c>
      <c r="BA37" s="70">
        <f>SUM(E37,I37,M37,Q37,U37,Y37,AC37,AG37,AK37,AO37,AS37,AW37)</f>
        <v/>
      </c>
      <c r="BB37" s="70">
        <f>SUM(F37,J37,N37,R37,V37,Z37,AD37,AH37,AL37,AP37,AT37,AX37)</f>
        <v/>
      </c>
      <c r="BC37" s="70">
        <f>SUM(G37,K37,O37,S37,W37,AA37,AE37,AI37,AM37,AQ37,AU37,AY37)</f>
        <v/>
      </c>
      <c r="BD37" s="70">
        <f>BA37-(BB37+BC37)</f>
        <v/>
      </c>
      <c r="BE37" s="70">
        <f>BD37+D37</f>
        <v/>
      </c>
    </row>
    <row r="38" ht="15.75" customHeight="1" s="99">
      <c r="A38" s="52" t="inlineStr">
        <is>
          <t>S4</t>
        </is>
      </c>
      <c r="B38" s="71">
        <f>VLOOKUP(A38,Members!$A$2:$C$65,3,FALSE)</f>
        <v/>
      </c>
      <c r="C38" s="52">
        <f>Members!B37</f>
        <v/>
      </c>
      <c r="D38" s="72" t="n">
        <v>-23595.74816159676</v>
      </c>
      <c r="E38" s="72">
        <f>INDIRECT("'Apr"&amp;Members!$F$2&amp;"-COLLECTION'!K"&amp;ROW()-1)</f>
        <v/>
      </c>
      <c r="F38" s="72">
        <f>INDIRECT("'Apr"&amp;Members!$F$2&amp;"-EXPENSE'!R"&amp;ROW()+3)</f>
        <v/>
      </c>
      <c r="G38" s="10" t="n"/>
      <c r="H38" s="72">
        <f>E38-(F38+G38)</f>
        <v/>
      </c>
      <c r="I38" s="72">
        <f>INDIRECT("'May"&amp;Members!$F$2&amp;"-COLLECTION'!K"&amp;ROW()-1)</f>
        <v/>
      </c>
      <c r="J38" s="72">
        <f>INDIRECT("'May"&amp;Members!$F$2&amp;"-EXPENSE'!R"&amp;ROW()+3)</f>
        <v/>
      </c>
      <c r="K38" s="11" t="n"/>
      <c r="L38" s="72">
        <f>I38-(J38+K38)</f>
        <v/>
      </c>
      <c r="M38" s="72">
        <f>INDIRECT("'June"&amp;Members!$F$2&amp;"-COLLECTION'!K"&amp;ROW()-1)</f>
        <v/>
      </c>
      <c r="N38" s="72">
        <f>INDIRECT("'June"&amp;Members!$F$2&amp;"-EXPENSE'!R"&amp;ROW()+3)</f>
        <v/>
      </c>
      <c r="O38" s="10" t="n"/>
      <c r="P38" s="72">
        <f>M38-(N38+O38)</f>
        <v/>
      </c>
      <c r="Q38" s="72">
        <f>INDIRECT("'July"&amp;Members!$F$2&amp;"-COLLECTION'!K"&amp;ROW()-1)</f>
        <v/>
      </c>
      <c r="R38" s="72">
        <f>INDIRECT("'July"&amp;Members!$F$2&amp;"-EXPENSE'!R"&amp;ROW()+3)</f>
        <v/>
      </c>
      <c r="S38" s="11" t="n"/>
      <c r="T38" s="72">
        <f>Q38-(R38+S38)</f>
        <v/>
      </c>
      <c r="U38" s="72">
        <f>INDIRECT("'Aug"&amp;Members!$F$2&amp;"-COLLECTION'!K"&amp;ROW()-1)</f>
        <v/>
      </c>
      <c r="V38" s="72">
        <f>INDIRECT("'Aug"&amp;Members!$F$2&amp;"-EXPENSE'!R"&amp;ROW()+3)</f>
        <v/>
      </c>
      <c r="W38" s="10" t="n"/>
      <c r="X38" s="72">
        <f>U38-(V38+W38)</f>
        <v/>
      </c>
      <c r="Y38" s="72">
        <f>INDIRECT("'Sep"&amp;Members!$F$2&amp;"-COLLECTION'!K"&amp;ROW()-1)</f>
        <v/>
      </c>
      <c r="Z38" s="72">
        <f>INDIRECT("'Sep"&amp;Members!$F$2&amp;"-EXPENSE'!R"&amp;ROW()+3)</f>
        <v/>
      </c>
      <c r="AA38" s="11" t="n"/>
      <c r="AB38" s="72">
        <f>Y38-(Z38+AA38)</f>
        <v/>
      </c>
      <c r="AC38" s="72">
        <f>INDIRECT("'Oct"&amp;Members!$F$2&amp;"-COLLECTION'!K"&amp;ROW()-1)</f>
        <v/>
      </c>
      <c r="AD38" s="72">
        <f>INDIRECT("'Oct"&amp;Members!$F$2&amp;"-EXPENSE'!R"&amp;ROW()+3)</f>
        <v/>
      </c>
      <c r="AE38" s="11" t="n"/>
      <c r="AF38" s="72">
        <f>AC38-(AD38+AE38)</f>
        <v/>
      </c>
      <c r="AG38" s="72">
        <f>INDIRECT("'Nov"&amp;Members!$F$2&amp;"-COLLECTION'!K"&amp;ROW()-1)</f>
        <v/>
      </c>
      <c r="AH38" s="72">
        <f>INDIRECT("'Nov"&amp;Members!$F$2&amp;"-EXPENSE'!R"&amp;ROW()+3)</f>
        <v/>
      </c>
      <c r="AI38" s="11" t="n"/>
      <c r="AJ38" s="72">
        <f>AG38-(AH38+AI38)</f>
        <v/>
      </c>
      <c r="AK38" s="72">
        <f>INDIRECT("'Dec"&amp;Members!$F$2&amp;"-COLLECTION'!K"&amp;ROW()-1)</f>
        <v/>
      </c>
      <c r="AL38" s="72">
        <f>INDIRECT("'Dec"&amp;Members!$F$2&amp;"-EXPENSE'!R"&amp;ROW()+3)</f>
        <v/>
      </c>
      <c r="AM38" s="11" t="n"/>
      <c r="AN38" s="72">
        <f>AK38-(AL38+AM38)</f>
        <v/>
      </c>
      <c r="AO38" s="72">
        <f>INDIRECT("'Jan"&amp;Members!$G$2&amp;"-COLLECTION'!K"&amp;ROW()-1)</f>
        <v/>
      </c>
      <c r="AP38" s="72">
        <f>INDIRECT("'Jan"&amp;Members!$G$2&amp;"-EXPENSE'!R"&amp;ROW()+3)</f>
        <v/>
      </c>
      <c r="AQ38" s="75" t="n"/>
      <c r="AR38" s="72">
        <f>AO38-(AP38+AQ38)</f>
        <v/>
      </c>
      <c r="AS38" s="72">
        <f>INDIRECT("'Feb"&amp;Members!$G$2&amp;"-COLLECTION'!K"&amp;ROW()-1)</f>
        <v/>
      </c>
      <c r="AT38" s="72">
        <f>INDIRECT("'Feb"&amp;Members!$G$2&amp;"-EXPENSE'!R"&amp;ROW()+3)</f>
        <v/>
      </c>
      <c r="AU38" s="75" t="n"/>
      <c r="AV38" s="72">
        <f>AS38-(AT38+AU38)</f>
        <v/>
      </c>
      <c r="AW38" s="72">
        <f>INDIRECT("'Mar"&amp;Members!$G$2&amp;"-COLLECTION'!K"&amp;ROW()-1)</f>
        <v/>
      </c>
      <c r="AX38" s="72">
        <f>INDIRECT("'Mar"&amp;Members!$G$2&amp;"-EXPENSE'!R"&amp;ROW()+3)</f>
        <v/>
      </c>
      <c r="AY38" s="75" t="n"/>
      <c r="AZ38" s="72">
        <f>AW38-(AX38+AY38)</f>
        <v/>
      </c>
      <c r="BA38" s="72">
        <f>SUM(E38,I38,M38,Q38,U38,Y38,AC38,AG38,AK38,AO38,AS38,AW38)</f>
        <v/>
      </c>
      <c r="BB38" s="72">
        <f>SUM(F38,J38,N38,R38,V38,Z38,AD38,AH38,AL38,AP38,AT38,AX38)</f>
        <v/>
      </c>
      <c r="BC38" s="72">
        <f>SUM(G38,K38,O38,S38,W38,AA38,AE38,AI38,AM38,AQ38,AU38,AY38)</f>
        <v/>
      </c>
      <c r="BD38" s="72">
        <f>BA38-(BB38+BC38)</f>
        <v/>
      </c>
      <c r="BE38" s="72">
        <f>BD38+D38</f>
        <v/>
      </c>
    </row>
    <row r="39" ht="15.75" customHeight="1" s="99">
      <c r="A39" s="68" t="inlineStr">
        <is>
          <t>S5</t>
        </is>
      </c>
      <c r="B39" s="69">
        <f>VLOOKUP(A39,Members!$A$2:$C$65,3,FALSE)</f>
        <v/>
      </c>
      <c r="C39" s="68">
        <f>Members!B38</f>
        <v/>
      </c>
      <c r="D39" s="70" t="n">
        <v>-34060.52918959073</v>
      </c>
      <c r="E39" s="70">
        <f>INDIRECT("'Apr"&amp;Members!$F$2&amp;"-COLLECTION'!K"&amp;ROW()-1)</f>
        <v/>
      </c>
      <c r="F39" s="70">
        <f>INDIRECT("'Apr"&amp;Members!$F$2&amp;"-EXPENSE'!R"&amp;ROW()+3)</f>
        <v/>
      </c>
      <c r="G39" s="10" t="n"/>
      <c r="H39" s="70">
        <f>E39-(F39+G39)</f>
        <v/>
      </c>
      <c r="I39" s="70">
        <f>INDIRECT("'May"&amp;Members!$F$2&amp;"-COLLECTION'!K"&amp;ROW()-1)</f>
        <v/>
      </c>
      <c r="J39" s="70">
        <f>INDIRECT("'May"&amp;Members!$F$2&amp;"-EXPENSE'!R"&amp;ROW()+3)</f>
        <v/>
      </c>
      <c r="K39" s="11" t="n"/>
      <c r="L39" s="70">
        <f>I39-(J39+K39)</f>
        <v/>
      </c>
      <c r="M39" s="70">
        <f>INDIRECT("'June"&amp;Members!$F$2&amp;"-COLLECTION'!K"&amp;ROW()-1)</f>
        <v/>
      </c>
      <c r="N39" s="70">
        <f>INDIRECT("'June"&amp;Members!$F$2&amp;"-EXPENSE'!R"&amp;ROW()+3)</f>
        <v/>
      </c>
      <c r="O39" s="10" t="n"/>
      <c r="P39" s="70">
        <f>M39-(N39+O39)</f>
        <v/>
      </c>
      <c r="Q39" s="70">
        <f>INDIRECT("'July"&amp;Members!$F$2&amp;"-COLLECTION'!K"&amp;ROW()-1)</f>
        <v/>
      </c>
      <c r="R39" s="70">
        <f>INDIRECT("'July"&amp;Members!$F$2&amp;"-EXPENSE'!R"&amp;ROW()+3)</f>
        <v/>
      </c>
      <c r="S39" s="11" t="n"/>
      <c r="T39" s="70">
        <f>Q39-(R39+S39)</f>
        <v/>
      </c>
      <c r="U39" s="70">
        <f>INDIRECT("'Aug"&amp;Members!$F$2&amp;"-COLLECTION'!K"&amp;ROW()-1)</f>
        <v/>
      </c>
      <c r="V39" s="70">
        <f>INDIRECT("'Aug"&amp;Members!$F$2&amp;"-EXPENSE'!R"&amp;ROW()+3)</f>
        <v/>
      </c>
      <c r="W39" s="10" t="n"/>
      <c r="X39" s="70">
        <f>U39-(V39+W39)</f>
        <v/>
      </c>
      <c r="Y39" s="70">
        <f>INDIRECT("'Sep"&amp;Members!$F$2&amp;"-COLLECTION'!K"&amp;ROW()-1)</f>
        <v/>
      </c>
      <c r="Z39" s="70">
        <f>INDIRECT("'Sep"&amp;Members!$F$2&amp;"-EXPENSE'!R"&amp;ROW()+3)</f>
        <v/>
      </c>
      <c r="AA39" s="11" t="n"/>
      <c r="AB39" s="70">
        <f>Y39-(Z39+AA39)</f>
        <v/>
      </c>
      <c r="AC39" s="70">
        <f>INDIRECT("'Oct"&amp;Members!$F$2&amp;"-COLLECTION'!K"&amp;ROW()-1)</f>
        <v/>
      </c>
      <c r="AD39" s="70">
        <f>INDIRECT("'Oct"&amp;Members!$F$2&amp;"-EXPENSE'!R"&amp;ROW()+3)</f>
        <v/>
      </c>
      <c r="AE39" s="11" t="n"/>
      <c r="AF39" s="70">
        <f>AC39-(AD39+AE39)</f>
        <v/>
      </c>
      <c r="AG39" s="70">
        <f>INDIRECT("'Nov"&amp;Members!$F$2&amp;"-COLLECTION'!K"&amp;ROW()-1)</f>
        <v/>
      </c>
      <c r="AH39" s="70">
        <f>INDIRECT("'Nov"&amp;Members!$F$2&amp;"-EXPENSE'!R"&amp;ROW()+3)</f>
        <v/>
      </c>
      <c r="AI39" s="11" t="n"/>
      <c r="AJ39" s="70">
        <f>AG39-(AH39+AI39)</f>
        <v/>
      </c>
      <c r="AK39" s="70">
        <f>INDIRECT("'Dec"&amp;Members!$F$2&amp;"-COLLECTION'!K"&amp;ROW()-1)</f>
        <v/>
      </c>
      <c r="AL39" s="70">
        <f>INDIRECT("'Dec"&amp;Members!$F$2&amp;"-EXPENSE'!R"&amp;ROW()+3)</f>
        <v/>
      </c>
      <c r="AM39" s="11" t="n"/>
      <c r="AN39" s="70">
        <f>AK39-(AL39+AM39)</f>
        <v/>
      </c>
      <c r="AO39" s="70">
        <f>INDIRECT("'Jan"&amp;Members!$G$2&amp;"-COLLECTION'!K"&amp;ROW()-1)</f>
        <v/>
      </c>
      <c r="AP39" s="70">
        <f>INDIRECT("'Jan"&amp;Members!$G$2&amp;"-EXPENSE'!R"&amp;ROW()+3)</f>
        <v/>
      </c>
      <c r="AQ39" s="75" t="n"/>
      <c r="AR39" s="70">
        <f>AO39-(AP39+AQ39)</f>
        <v/>
      </c>
      <c r="AS39" s="70">
        <f>INDIRECT("'Feb"&amp;Members!$G$2&amp;"-COLLECTION'!K"&amp;ROW()-1)</f>
        <v/>
      </c>
      <c r="AT39" s="70">
        <f>INDIRECT("'Feb"&amp;Members!$G$2&amp;"-EXPENSE'!R"&amp;ROW()+3)</f>
        <v/>
      </c>
      <c r="AU39" s="75" t="n"/>
      <c r="AV39" s="70">
        <f>AS39-(AT39+AU39)</f>
        <v/>
      </c>
      <c r="AW39" s="70">
        <f>INDIRECT("'Mar"&amp;Members!$G$2&amp;"-COLLECTION'!K"&amp;ROW()-1)</f>
        <v/>
      </c>
      <c r="AX39" s="70">
        <f>INDIRECT("'Mar"&amp;Members!$G$2&amp;"-EXPENSE'!R"&amp;ROW()+3)</f>
        <v/>
      </c>
      <c r="AY39" s="75" t="n"/>
      <c r="AZ39" s="70">
        <f>AW39-(AX39+AY39)</f>
        <v/>
      </c>
      <c r="BA39" s="70">
        <f>SUM(E39,I39,M39,Q39,U39,Y39,AC39,AG39,AK39,AO39,AS39,AW39)</f>
        <v/>
      </c>
      <c r="BB39" s="70">
        <f>SUM(F39,J39,N39,R39,V39,Z39,AD39,AH39,AL39,AP39,AT39,AX39)</f>
        <v/>
      </c>
      <c r="BC39" s="70">
        <f>SUM(G39,K39,O39,S39,W39,AA39,AE39,AI39,AM39,AQ39,AU39,AY39)</f>
        <v/>
      </c>
      <c r="BD39" s="70">
        <f>BA39-(BB39+BC39)</f>
        <v/>
      </c>
      <c r="BE39" s="70">
        <f>BD39+D39</f>
        <v/>
      </c>
    </row>
    <row r="40" ht="15.75" customHeight="1" s="99">
      <c r="A40" s="52" t="inlineStr">
        <is>
          <t>S6</t>
        </is>
      </c>
      <c r="B40" s="71">
        <f>VLOOKUP(A40,Members!$A$2:$C$65,3,FALSE)</f>
        <v/>
      </c>
      <c r="C40" s="52">
        <f>Members!B39</f>
        <v/>
      </c>
      <c r="D40" s="72" t="n">
        <v>-40782.05508714759</v>
      </c>
      <c r="E40" s="72">
        <f>INDIRECT("'Apr"&amp;Members!$F$2&amp;"-COLLECTION'!K"&amp;ROW()-1)</f>
        <v/>
      </c>
      <c r="F40" s="72">
        <f>INDIRECT("'Apr"&amp;Members!$F$2&amp;"-EXPENSE'!R"&amp;ROW()+3)</f>
        <v/>
      </c>
      <c r="G40" s="10" t="n"/>
      <c r="H40" s="72">
        <f>E40-(F40+G40)</f>
        <v/>
      </c>
      <c r="I40" s="72">
        <f>INDIRECT("'May"&amp;Members!$F$2&amp;"-COLLECTION'!K"&amp;ROW()-1)</f>
        <v/>
      </c>
      <c r="J40" s="72">
        <f>INDIRECT("'May"&amp;Members!$F$2&amp;"-EXPENSE'!R"&amp;ROW()+3)</f>
        <v/>
      </c>
      <c r="K40" s="11" t="n"/>
      <c r="L40" s="72">
        <f>I40-(J40+K40)</f>
        <v/>
      </c>
      <c r="M40" s="72">
        <f>INDIRECT("'June"&amp;Members!$F$2&amp;"-COLLECTION'!K"&amp;ROW()-1)</f>
        <v/>
      </c>
      <c r="N40" s="72">
        <f>INDIRECT("'June"&amp;Members!$F$2&amp;"-EXPENSE'!R"&amp;ROW()+3)</f>
        <v/>
      </c>
      <c r="O40" s="10" t="n"/>
      <c r="P40" s="72">
        <f>M40-(N40+O40)</f>
        <v/>
      </c>
      <c r="Q40" s="72">
        <f>INDIRECT("'July"&amp;Members!$F$2&amp;"-COLLECTION'!K"&amp;ROW()-1)</f>
        <v/>
      </c>
      <c r="R40" s="72">
        <f>INDIRECT("'July"&amp;Members!$F$2&amp;"-EXPENSE'!R"&amp;ROW()+3)</f>
        <v/>
      </c>
      <c r="S40" s="11" t="n"/>
      <c r="T40" s="72">
        <f>Q40-(R40+S40)</f>
        <v/>
      </c>
      <c r="U40" s="72">
        <f>INDIRECT("'Aug"&amp;Members!$F$2&amp;"-COLLECTION'!K"&amp;ROW()-1)</f>
        <v/>
      </c>
      <c r="V40" s="72">
        <f>INDIRECT("'Aug"&amp;Members!$F$2&amp;"-EXPENSE'!R"&amp;ROW()+3)</f>
        <v/>
      </c>
      <c r="W40" s="10" t="n"/>
      <c r="X40" s="72">
        <f>U40-(V40+W40)</f>
        <v/>
      </c>
      <c r="Y40" s="72">
        <f>INDIRECT("'Sep"&amp;Members!$F$2&amp;"-COLLECTION'!K"&amp;ROW()-1)</f>
        <v/>
      </c>
      <c r="Z40" s="72">
        <f>INDIRECT("'Sep"&amp;Members!$F$2&amp;"-EXPENSE'!R"&amp;ROW()+3)</f>
        <v/>
      </c>
      <c r="AA40" s="11" t="n"/>
      <c r="AB40" s="72">
        <f>Y40-(Z40+AA40)</f>
        <v/>
      </c>
      <c r="AC40" s="72">
        <f>INDIRECT("'Oct"&amp;Members!$F$2&amp;"-COLLECTION'!K"&amp;ROW()-1)</f>
        <v/>
      </c>
      <c r="AD40" s="72">
        <f>INDIRECT("'Oct"&amp;Members!$F$2&amp;"-EXPENSE'!R"&amp;ROW()+3)</f>
        <v/>
      </c>
      <c r="AE40" s="11" t="n"/>
      <c r="AF40" s="72">
        <f>AC40-(AD40+AE40)</f>
        <v/>
      </c>
      <c r="AG40" s="72">
        <f>INDIRECT("'Nov"&amp;Members!$F$2&amp;"-COLLECTION'!K"&amp;ROW()-1)</f>
        <v/>
      </c>
      <c r="AH40" s="72">
        <f>INDIRECT("'Nov"&amp;Members!$F$2&amp;"-EXPENSE'!R"&amp;ROW()+3)</f>
        <v/>
      </c>
      <c r="AI40" s="11" t="n"/>
      <c r="AJ40" s="72">
        <f>AG40-(AH40+AI40)</f>
        <v/>
      </c>
      <c r="AK40" s="72">
        <f>INDIRECT("'Dec"&amp;Members!$F$2&amp;"-COLLECTION'!K"&amp;ROW()-1)</f>
        <v/>
      </c>
      <c r="AL40" s="72">
        <f>INDIRECT("'Dec"&amp;Members!$F$2&amp;"-EXPENSE'!R"&amp;ROW()+3)</f>
        <v/>
      </c>
      <c r="AM40" s="11" t="n"/>
      <c r="AN40" s="72">
        <f>AK40-(AL40+AM40)</f>
        <v/>
      </c>
      <c r="AO40" s="72">
        <f>INDIRECT("'Jan"&amp;Members!$G$2&amp;"-COLLECTION'!K"&amp;ROW()-1)</f>
        <v/>
      </c>
      <c r="AP40" s="72">
        <f>INDIRECT("'Jan"&amp;Members!$G$2&amp;"-EXPENSE'!R"&amp;ROW()+3)</f>
        <v/>
      </c>
      <c r="AQ40" s="75" t="n"/>
      <c r="AR40" s="72">
        <f>AO40-(AP40+AQ40)</f>
        <v/>
      </c>
      <c r="AS40" s="72">
        <f>INDIRECT("'Feb"&amp;Members!$G$2&amp;"-COLLECTION'!K"&amp;ROW()-1)</f>
        <v/>
      </c>
      <c r="AT40" s="72">
        <f>INDIRECT("'Feb"&amp;Members!$G$2&amp;"-EXPENSE'!R"&amp;ROW()+3)</f>
        <v/>
      </c>
      <c r="AU40" s="75" t="n"/>
      <c r="AV40" s="72">
        <f>AS40-(AT40+AU40)</f>
        <v/>
      </c>
      <c r="AW40" s="72">
        <f>INDIRECT("'Mar"&amp;Members!$G$2&amp;"-COLLECTION'!K"&amp;ROW()-1)</f>
        <v/>
      </c>
      <c r="AX40" s="72">
        <f>INDIRECT("'Mar"&amp;Members!$G$2&amp;"-EXPENSE'!R"&amp;ROW()+3)</f>
        <v/>
      </c>
      <c r="AY40" s="75" t="n"/>
      <c r="AZ40" s="72">
        <f>AW40-(AX40+AY40)</f>
        <v/>
      </c>
      <c r="BA40" s="72">
        <f>SUM(E40,I40,M40,Q40,U40,Y40,AC40,AG40,AK40,AO40,AS40,AW40)</f>
        <v/>
      </c>
      <c r="BB40" s="72">
        <f>SUM(F40,J40,N40,R40,V40,Z40,AD40,AH40,AL40,AP40,AT40,AX40)</f>
        <v/>
      </c>
      <c r="BC40" s="72">
        <f>SUM(G40,K40,O40,S40,W40,AA40,AE40,AI40,AM40,AQ40,AU40,AY40)</f>
        <v/>
      </c>
      <c r="BD40" s="72">
        <f>BA40-(BB40+BC40)</f>
        <v/>
      </c>
      <c r="BE40" s="72">
        <f>BD40+D40</f>
        <v/>
      </c>
    </row>
    <row r="41" ht="15.75" customHeight="1" s="99">
      <c r="A41" s="68" t="inlineStr">
        <is>
          <t>S7</t>
        </is>
      </c>
      <c r="B41" s="69">
        <f>VLOOKUP(A41,Members!$A$2:$C$65,3,FALSE)</f>
        <v/>
      </c>
      <c r="C41" s="68">
        <f>Members!B40</f>
        <v/>
      </c>
      <c r="D41" s="70" t="n">
        <v>-653.3734217019737</v>
      </c>
      <c r="E41" s="70">
        <f>INDIRECT("'Apr"&amp;Members!$F$2&amp;"-COLLECTION'!K"&amp;ROW()-1)</f>
        <v/>
      </c>
      <c r="F41" s="70">
        <f>INDIRECT("'Apr"&amp;Members!$F$2&amp;"-EXPENSE'!R"&amp;ROW()+3)</f>
        <v/>
      </c>
      <c r="G41" s="10" t="n"/>
      <c r="H41" s="70">
        <f>E41-(F41+G41)</f>
        <v/>
      </c>
      <c r="I41" s="70">
        <f>INDIRECT("'May"&amp;Members!$F$2&amp;"-COLLECTION'!K"&amp;ROW()-1)</f>
        <v/>
      </c>
      <c r="J41" s="70">
        <f>INDIRECT("'May"&amp;Members!$F$2&amp;"-EXPENSE'!R"&amp;ROW()+3)</f>
        <v/>
      </c>
      <c r="K41" s="11" t="n"/>
      <c r="L41" s="70">
        <f>I41-(J41+K41)</f>
        <v/>
      </c>
      <c r="M41" s="70">
        <f>INDIRECT("'June"&amp;Members!$F$2&amp;"-COLLECTION'!K"&amp;ROW()-1)</f>
        <v/>
      </c>
      <c r="N41" s="70">
        <f>INDIRECT("'June"&amp;Members!$F$2&amp;"-EXPENSE'!R"&amp;ROW()+3)</f>
        <v/>
      </c>
      <c r="O41" s="10" t="n"/>
      <c r="P41" s="70">
        <f>M41-(N41+O41)</f>
        <v/>
      </c>
      <c r="Q41" s="70">
        <f>INDIRECT("'July"&amp;Members!$F$2&amp;"-COLLECTION'!K"&amp;ROW()-1)</f>
        <v/>
      </c>
      <c r="R41" s="70">
        <f>INDIRECT("'July"&amp;Members!$F$2&amp;"-EXPENSE'!R"&amp;ROW()+3)</f>
        <v/>
      </c>
      <c r="S41" s="11" t="n"/>
      <c r="T41" s="70">
        <f>Q41-(R41+S41)</f>
        <v/>
      </c>
      <c r="U41" s="70">
        <f>INDIRECT("'Aug"&amp;Members!$F$2&amp;"-COLLECTION'!K"&amp;ROW()-1)</f>
        <v/>
      </c>
      <c r="V41" s="70">
        <f>INDIRECT("'Aug"&amp;Members!$F$2&amp;"-EXPENSE'!R"&amp;ROW()+3)</f>
        <v/>
      </c>
      <c r="W41" s="10" t="n"/>
      <c r="X41" s="70">
        <f>U41-(V41+W41)</f>
        <v/>
      </c>
      <c r="Y41" s="70">
        <f>INDIRECT("'Sep"&amp;Members!$F$2&amp;"-COLLECTION'!K"&amp;ROW()-1)</f>
        <v/>
      </c>
      <c r="Z41" s="70">
        <f>INDIRECT("'Sep"&amp;Members!$F$2&amp;"-EXPENSE'!R"&amp;ROW()+3)</f>
        <v/>
      </c>
      <c r="AA41" s="11" t="n"/>
      <c r="AB41" s="70">
        <f>Y41-(Z41+AA41)</f>
        <v/>
      </c>
      <c r="AC41" s="70">
        <f>INDIRECT("'Oct"&amp;Members!$F$2&amp;"-COLLECTION'!K"&amp;ROW()-1)</f>
        <v/>
      </c>
      <c r="AD41" s="70">
        <f>INDIRECT("'Oct"&amp;Members!$F$2&amp;"-EXPENSE'!R"&amp;ROW()+3)</f>
        <v/>
      </c>
      <c r="AE41" s="11" t="n"/>
      <c r="AF41" s="70">
        <f>AC41-(AD41+AE41)</f>
        <v/>
      </c>
      <c r="AG41" s="70">
        <f>INDIRECT("'Nov"&amp;Members!$F$2&amp;"-COLLECTION'!K"&amp;ROW()-1)</f>
        <v/>
      </c>
      <c r="AH41" s="70">
        <f>INDIRECT("'Nov"&amp;Members!$F$2&amp;"-EXPENSE'!R"&amp;ROW()+3)</f>
        <v/>
      </c>
      <c r="AI41" s="11" t="n"/>
      <c r="AJ41" s="70">
        <f>AG41-(AH41+AI41)</f>
        <v/>
      </c>
      <c r="AK41" s="70">
        <f>INDIRECT("'Dec"&amp;Members!$F$2&amp;"-COLLECTION'!K"&amp;ROW()-1)</f>
        <v/>
      </c>
      <c r="AL41" s="70">
        <f>INDIRECT("'Dec"&amp;Members!$F$2&amp;"-EXPENSE'!R"&amp;ROW()+3)</f>
        <v/>
      </c>
      <c r="AM41" s="11" t="n"/>
      <c r="AN41" s="70">
        <f>AK41-(AL41+AM41)</f>
        <v/>
      </c>
      <c r="AO41" s="70">
        <f>INDIRECT("'Jan"&amp;Members!$G$2&amp;"-COLLECTION'!K"&amp;ROW()-1)</f>
        <v/>
      </c>
      <c r="AP41" s="70">
        <f>INDIRECT("'Jan"&amp;Members!$G$2&amp;"-EXPENSE'!R"&amp;ROW()+3)</f>
        <v/>
      </c>
      <c r="AQ41" s="75" t="n"/>
      <c r="AR41" s="70">
        <f>AO41-(AP41+AQ41)</f>
        <v/>
      </c>
      <c r="AS41" s="70">
        <f>INDIRECT("'Feb"&amp;Members!$G$2&amp;"-COLLECTION'!K"&amp;ROW()-1)</f>
        <v/>
      </c>
      <c r="AT41" s="70">
        <f>INDIRECT("'Feb"&amp;Members!$G$2&amp;"-EXPENSE'!R"&amp;ROW()+3)</f>
        <v/>
      </c>
      <c r="AU41" s="75" t="n"/>
      <c r="AV41" s="70">
        <f>AS41-(AT41+AU41)</f>
        <v/>
      </c>
      <c r="AW41" s="70">
        <f>INDIRECT("'Mar"&amp;Members!$G$2&amp;"-COLLECTION'!K"&amp;ROW()-1)</f>
        <v/>
      </c>
      <c r="AX41" s="70">
        <f>INDIRECT("'Mar"&amp;Members!$G$2&amp;"-EXPENSE'!R"&amp;ROW()+3)</f>
        <v/>
      </c>
      <c r="AY41" s="75" t="n"/>
      <c r="AZ41" s="70">
        <f>AW41-(AX41+AY41)</f>
        <v/>
      </c>
      <c r="BA41" s="70">
        <f>SUM(E41,I41,M41,Q41,U41,Y41,AC41,AG41,AK41,AO41,AS41,AW41)</f>
        <v/>
      </c>
      <c r="BB41" s="70">
        <f>SUM(F41,J41,N41,R41,V41,Z41,AD41,AH41,AL41,AP41,AT41,AX41)</f>
        <v/>
      </c>
      <c r="BC41" s="70">
        <f>SUM(G41,K41,O41,S41,W41,AA41,AE41,AI41,AM41,AQ41,AU41,AY41)</f>
        <v/>
      </c>
      <c r="BD41" s="70">
        <f>BA41-(BB41+BC41)</f>
        <v/>
      </c>
      <c r="BE41" s="70">
        <f>BD41+D41</f>
        <v/>
      </c>
    </row>
    <row r="42" ht="15.75" customHeight="1" s="99">
      <c r="A42" s="52" t="inlineStr">
        <is>
          <t>S8</t>
        </is>
      </c>
      <c r="B42" s="71">
        <f>VLOOKUP(A42,Members!$A$2:$C$65,3,FALSE)</f>
        <v/>
      </c>
      <c r="C42" s="52">
        <f>Members!B41</f>
        <v/>
      </c>
      <c r="D42" s="72" t="n">
        <v>-3028.674437740803</v>
      </c>
      <c r="E42" s="72">
        <f>INDIRECT("'Apr"&amp;Members!$F$2&amp;"-COLLECTION'!K"&amp;ROW()-1)</f>
        <v/>
      </c>
      <c r="F42" s="72">
        <f>INDIRECT("'Apr"&amp;Members!$F$2&amp;"-EXPENSE'!R"&amp;ROW()+3)</f>
        <v/>
      </c>
      <c r="G42" s="10" t="n"/>
      <c r="H42" s="72">
        <f>E42-(F42+G42)</f>
        <v/>
      </c>
      <c r="I42" s="72">
        <f>INDIRECT("'May"&amp;Members!$F$2&amp;"-COLLECTION'!K"&amp;ROW()-1)</f>
        <v/>
      </c>
      <c r="J42" s="72">
        <f>INDIRECT("'May"&amp;Members!$F$2&amp;"-EXPENSE'!R"&amp;ROW()+3)</f>
        <v/>
      </c>
      <c r="K42" s="11" t="n"/>
      <c r="L42" s="72">
        <f>I42-(J42+K42)</f>
        <v/>
      </c>
      <c r="M42" s="72">
        <f>INDIRECT("'June"&amp;Members!$F$2&amp;"-COLLECTION'!K"&amp;ROW()-1)</f>
        <v/>
      </c>
      <c r="N42" s="72">
        <f>INDIRECT("'June"&amp;Members!$F$2&amp;"-EXPENSE'!R"&amp;ROW()+3)</f>
        <v/>
      </c>
      <c r="O42" s="10" t="n"/>
      <c r="P42" s="72">
        <f>M42-(N42+O42)</f>
        <v/>
      </c>
      <c r="Q42" s="72">
        <f>INDIRECT("'July"&amp;Members!$F$2&amp;"-COLLECTION'!K"&amp;ROW()-1)</f>
        <v/>
      </c>
      <c r="R42" s="72">
        <f>INDIRECT("'July"&amp;Members!$F$2&amp;"-EXPENSE'!R"&amp;ROW()+3)</f>
        <v/>
      </c>
      <c r="S42" s="11" t="n"/>
      <c r="T42" s="72">
        <f>Q42-(R42+S42)</f>
        <v/>
      </c>
      <c r="U42" s="72">
        <f>INDIRECT("'Aug"&amp;Members!$F$2&amp;"-COLLECTION'!K"&amp;ROW()-1)</f>
        <v/>
      </c>
      <c r="V42" s="72">
        <f>INDIRECT("'Aug"&amp;Members!$F$2&amp;"-EXPENSE'!R"&amp;ROW()+3)</f>
        <v/>
      </c>
      <c r="W42" s="10" t="n"/>
      <c r="X42" s="72">
        <f>U42-(V42+W42)</f>
        <v/>
      </c>
      <c r="Y42" s="72">
        <f>INDIRECT("'Sep"&amp;Members!$F$2&amp;"-COLLECTION'!K"&amp;ROW()-1)</f>
        <v/>
      </c>
      <c r="Z42" s="72">
        <f>INDIRECT("'Sep"&amp;Members!$F$2&amp;"-EXPENSE'!R"&amp;ROW()+3)</f>
        <v/>
      </c>
      <c r="AA42" s="11" t="n"/>
      <c r="AB42" s="72">
        <f>Y42-(Z42+AA42)</f>
        <v/>
      </c>
      <c r="AC42" s="72">
        <f>INDIRECT("'Oct"&amp;Members!$F$2&amp;"-COLLECTION'!K"&amp;ROW()-1)</f>
        <v/>
      </c>
      <c r="AD42" s="72">
        <f>INDIRECT("'Oct"&amp;Members!$F$2&amp;"-EXPENSE'!R"&amp;ROW()+3)</f>
        <v/>
      </c>
      <c r="AE42" s="11" t="n"/>
      <c r="AF42" s="72">
        <f>AC42-(AD42+AE42)</f>
        <v/>
      </c>
      <c r="AG42" s="72">
        <f>INDIRECT("'Nov"&amp;Members!$F$2&amp;"-COLLECTION'!K"&amp;ROW()-1)</f>
        <v/>
      </c>
      <c r="AH42" s="72">
        <f>INDIRECT("'Nov"&amp;Members!$F$2&amp;"-EXPENSE'!R"&amp;ROW()+3)</f>
        <v/>
      </c>
      <c r="AI42" s="11" t="n"/>
      <c r="AJ42" s="72">
        <f>AG42-(AH42+AI42)</f>
        <v/>
      </c>
      <c r="AK42" s="72">
        <f>INDIRECT("'Dec"&amp;Members!$F$2&amp;"-COLLECTION'!K"&amp;ROW()-1)</f>
        <v/>
      </c>
      <c r="AL42" s="72">
        <f>INDIRECT("'Dec"&amp;Members!$F$2&amp;"-EXPENSE'!R"&amp;ROW()+3)</f>
        <v/>
      </c>
      <c r="AM42" s="11" t="n"/>
      <c r="AN42" s="72">
        <f>AK42-(AL42+AM42)</f>
        <v/>
      </c>
      <c r="AO42" s="72">
        <f>INDIRECT("'Jan"&amp;Members!$G$2&amp;"-COLLECTION'!K"&amp;ROW()-1)</f>
        <v/>
      </c>
      <c r="AP42" s="72">
        <f>INDIRECT("'Jan"&amp;Members!$G$2&amp;"-EXPENSE'!R"&amp;ROW()+3)</f>
        <v/>
      </c>
      <c r="AQ42" s="75" t="n"/>
      <c r="AR42" s="72">
        <f>AO42-(AP42+AQ42)</f>
        <v/>
      </c>
      <c r="AS42" s="72">
        <f>INDIRECT("'Feb"&amp;Members!$G$2&amp;"-COLLECTION'!K"&amp;ROW()-1)</f>
        <v/>
      </c>
      <c r="AT42" s="72">
        <f>INDIRECT("'Feb"&amp;Members!$G$2&amp;"-EXPENSE'!R"&amp;ROW()+3)</f>
        <v/>
      </c>
      <c r="AU42" s="75" t="n"/>
      <c r="AV42" s="72">
        <f>AS42-(AT42+AU42)</f>
        <v/>
      </c>
      <c r="AW42" s="72">
        <f>INDIRECT("'Mar"&amp;Members!$G$2&amp;"-COLLECTION'!K"&amp;ROW()-1)</f>
        <v/>
      </c>
      <c r="AX42" s="72">
        <f>INDIRECT("'Mar"&amp;Members!$G$2&amp;"-EXPENSE'!R"&amp;ROW()+3)</f>
        <v/>
      </c>
      <c r="AY42" s="75" t="n"/>
      <c r="AZ42" s="72">
        <f>AW42-(AX42+AY42)</f>
        <v/>
      </c>
      <c r="BA42" s="72">
        <f>SUM(E42,I42,M42,Q42,U42,Y42,AC42,AG42,AK42,AO42,AS42,AW42)</f>
        <v/>
      </c>
      <c r="BB42" s="72">
        <f>SUM(F42,J42,N42,R42,V42,Z42,AD42,AH42,AL42,AP42,AT42,AX42)</f>
        <v/>
      </c>
      <c r="BC42" s="72">
        <f>SUM(G42,K42,O42,S42,W42,AA42,AE42,AI42,AM42,AQ42,AU42,AY42)</f>
        <v/>
      </c>
      <c r="BD42" s="72">
        <f>BA42-(BB42+BC42)</f>
        <v/>
      </c>
      <c r="BE42" s="72">
        <f>BD42+D42</f>
        <v/>
      </c>
    </row>
    <row r="43" ht="15.75" customHeight="1" s="99">
      <c r="A43" s="68" t="inlineStr">
        <is>
          <t>S9</t>
        </is>
      </c>
      <c r="B43" s="69">
        <f>VLOOKUP(A43,Members!$A$2:$C$65,3,FALSE)</f>
        <v/>
      </c>
      <c r="C43" s="68">
        <f>Members!B42</f>
        <v/>
      </c>
      <c r="D43" s="70" t="n">
        <v>5912.214823344257</v>
      </c>
      <c r="E43" s="70">
        <f>INDIRECT("'Apr"&amp;Members!$F$2&amp;"-COLLECTION'!K"&amp;ROW()-1)</f>
        <v/>
      </c>
      <c r="F43" s="70">
        <f>INDIRECT("'Apr"&amp;Members!$F$2&amp;"-EXPENSE'!R"&amp;ROW()+3)</f>
        <v/>
      </c>
      <c r="G43" s="10" t="n"/>
      <c r="H43" s="70">
        <f>E43-(F43+G43)</f>
        <v/>
      </c>
      <c r="I43" s="70">
        <f>INDIRECT("'May"&amp;Members!$F$2&amp;"-COLLECTION'!K"&amp;ROW()-1)</f>
        <v/>
      </c>
      <c r="J43" s="70">
        <f>INDIRECT("'May"&amp;Members!$F$2&amp;"-EXPENSE'!R"&amp;ROW()+3)</f>
        <v/>
      </c>
      <c r="K43" s="11" t="n"/>
      <c r="L43" s="70">
        <f>I43-(J43+K43)</f>
        <v/>
      </c>
      <c r="M43" s="70">
        <f>INDIRECT("'June"&amp;Members!$F$2&amp;"-COLLECTION'!K"&amp;ROW()-1)</f>
        <v/>
      </c>
      <c r="N43" s="70">
        <f>INDIRECT("'June"&amp;Members!$F$2&amp;"-EXPENSE'!R"&amp;ROW()+3)</f>
        <v/>
      </c>
      <c r="O43" s="10" t="n"/>
      <c r="P43" s="70">
        <f>M43-(N43+O43)</f>
        <v/>
      </c>
      <c r="Q43" s="70">
        <f>INDIRECT("'July"&amp;Members!$F$2&amp;"-COLLECTION'!K"&amp;ROW()-1)</f>
        <v/>
      </c>
      <c r="R43" s="70">
        <f>INDIRECT("'July"&amp;Members!$F$2&amp;"-EXPENSE'!R"&amp;ROW()+3)</f>
        <v/>
      </c>
      <c r="S43" s="11" t="n"/>
      <c r="T43" s="70">
        <f>Q43-(R43+S43)</f>
        <v/>
      </c>
      <c r="U43" s="70">
        <f>INDIRECT("'Aug"&amp;Members!$F$2&amp;"-COLLECTION'!K"&amp;ROW()-1)</f>
        <v/>
      </c>
      <c r="V43" s="70">
        <f>INDIRECT("'Aug"&amp;Members!$F$2&amp;"-EXPENSE'!R"&amp;ROW()+3)</f>
        <v/>
      </c>
      <c r="W43" s="10" t="n"/>
      <c r="X43" s="70">
        <f>U43-(V43+W43)</f>
        <v/>
      </c>
      <c r="Y43" s="70">
        <f>INDIRECT("'Sep"&amp;Members!$F$2&amp;"-COLLECTION'!K"&amp;ROW()-1)</f>
        <v/>
      </c>
      <c r="Z43" s="70">
        <f>INDIRECT("'Sep"&amp;Members!$F$2&amp;"-EXPENSE'!R"&amp;ROW()+3)</f>
        <v/>
      </c>
      <c r="AA43" s="11" t="n"/>
      <c r="AB43" s="70">
        <f>Y43-(Z43+AA43)</f>
        <v/>
      </c>
      <c r="AC43" s="70">
        <f>INDIRECT("'Oct"&amp;Members!$F$2&amp;"-COLLECTION'!K"&amp;ROW()-1)</f>
        <v/>
      </c>
      <c r="AD43" s="70">
        <f>INDIRECT("'Oct"&amp;Members!$F$2&amp;"-EXPENSE'!R"&amp;ROW()+3)</f>
        <v/>
      </c>
      <c r="AE43" s="11" t="n"/>
      <c r="AF43" s="70">
        <f>AC43-(AD43+AE43)</f>
        <v/>
      </c>
      <c r="AG43" s="70">
        <f>INDIRECT("'Nov"&amp;Members!$F$2&amp;"-COLLECTION'!K"&amp;ROW()-1)</f>
        <v/>
      </c>
      <c r="AH43" s="70">
        <f>INDIRECT("'Nov"&amp;Members!$F$2&amp;"-EXPENSE'!R"&amp;ROW()+3)</f>
        <v/>
      </c>
      <c r="AI43" s="11" t="n"/>
      <c r="AJ43" s="70">
        <f>AG43-(AH43+AI43)</f>
        <v/>
      </c>
      <c r="AK43" s="70">
        <f>INDIRECT("'Dec"&amp;Members!$F$2&amp;"-COLLECTION'!K"&amp;ROW()-1)</f>
        <v/>
      </c>
      <c r="AL43" s="70">
        <f>INDIRECT("'Dec"&amp;Members!$F$2&amp;"-EXPENSE'!R"&amp;ROW()+3)</f>
        <v/>
      </c>
      <c r="AM43" s="11" t="n"/>
      <c r="AN43" s="70">
        <f>AK43-(AL43+AM43)</f>
        <v/>
      </c>
      <c r="AO43" s="70">
        <f>INDIRECT("'Jan"&amp;Members!$G$2&amp;"-COLLECTION'!K"&amp;ROW()-1)</f>
        <v/>
      </c>
      <c r="AP43" s="70">
        <f>INDIRECT("'Jan"&amp;Members!$G$2&amp;"-EXPENSE'!R"&amp;ROW()+3)</f>
        <v/>
      </c>
      <c r="AQ43" s="75" t="n"/>
      <c r="AR43" s="70">
        <f>AO43-(AP43+AQ43)</f>
        <v/>
      </c>
      <c r="AS43" s="70">
        <f>INDIRECT("'Feb"&amp;Members!$G$2&amp;"-COLLECTION'!K"&amp;ROW()-1)</f>
        <v/>
      </c>
      <c r="AT43" s="70">
        <f>INDIRECT("'Feb"&amp;Members!$G$2&amp;"-EXPENSE'!R"&amp;ROW()+3)</f>
        <v/>
      </c>
      <c r="AU43" s="75" t="n"/>
      <c r="AV43" s="70">
        <f>AS43-(AT43+AU43)</f>
        <v/>
      </c>
      <c r="AW43" s="70">
        <f>INDIRECT("'Mar"&amp;Members!$G$2&amp;"-COLLECTION'!K"&amp;ROW()-1)</f>
        <v/>
      </c>
      <c r="AX43" s="70">
        <f>INDIRECT("'Mar"&amp;Members!$G$2&amp;"-EXPENSE'!R"&amp;ROW()+3)</f>
        <v/>
      </c>
      <c r="AY43" s="75" t="n"/>
      <c r="AZ43" s="70">
        <f>AW43-(AX43+AY43)</f>
        <v/>
      </c>
      <c r="BA43" s="70">
        <f>SUM(E43,I43,M43,Q43,U43,Y43,AC43,AG43,AK43,AO43,AS43,AW43)</f>
        <v/>
      </c>
      <c r="BB43" s="70">
        <f>SUM(F43,J43,N43,R43,V43,Z43,AD43,AH43,AL43,AP43,AT43,AX43)</f>
        <v/>
      </c>
      <c r="BC43" s="70">
        <f>SUM(G43,K43,O43,S43,W43,AA43,AE43,AI43,AM43,AQ43,AU43,AY43)</f>
        <v/>
      </c>
      <c r="BD43" s="70">
        <f>BA43-(BB43+BC43)</f>
        <v/>
      </c>
      <c r="BE43" s="70">
        <f>BD43+D43</f>
        <v/>
      </c>
    </row>
    <row r="44" ht="15.75" customHeight="1" s="99">
      <c r="A44" s="52" t="inlineStr">
        <is>
          <t>S10</t>
        </is>
      </c>
      <c r="B44" s="71">
        <f>VLOOKUP(A44,Members!$A$2:$C$65,3,FALSE)</f>
        <v/>
      </c>
      <c r="C44" s="52">
        <f>Members!B43</f>
        <v/>
      </c>
      <c r="D44" s="72" t="n">
        <v>-61862.50428791266</v>
      </c>
      <c r="E44" s="72">
        <f>INDIRECT("'Apr"&amp;Members!$F$2&amp;"-COLLECTION'!K"&amp;ROW()-1)</f>
        <v/>
      </c>
      <c r="F44" s="72">
        <f>INDIRECT("'Apr"&amp;Members!$F$2&amp;"-EXPENSE'!R"&amp;ROW()+3)</f>
        <v/>
      </c>
      <c r="G44" s="10" t="n">
        <v>1000</v>
      </c>
      <c r="H44" s="72">
        <f>E44-(F44+G44)</f>
        <v/>
      </c>
      <c r="I44" s="72">
        <f>INDIRECT("'May"&amp;Members!$F$2&amp;"-COLLECTION'!K"&amp;ROW()-1)</f>
        <v/>
      </c>
      <c r="J44" s="72">
        <f>INDIRECT("'May"&amp;Members!$F$2&amp;"-EXPENSE'!R"&amp;ROW()+3)</f>
        <v/>
      </c>
      <c r="K44" s="11" t="n"/>
      <c r="L44" s="72">
        <f>I44-(J44+K44)</f>
        <v/>
      </c>
      <c r="M44" s="72">
        <f>INDIRECT("'June"&amp;Members!$F$2&amp;"-COLLECTION'!K"&amp;ROW()-1)</f>
        <v/>
      </c>
      <c r="N44" s="72">
        <f>INDIRECT("'June"&amp;Members!$F$2&amp;"-EXPENSE'!R"&amp;ROW()+3)</f>
        <v/>
      </c>
      <c r="O44" s="10" t="n"/>
      <c r="P44" s="72">
        <f>M44-(N44+O44)</f>
        <v/>
      </c>
      <c r="Q44" s="72">
        <f>INDIRECT("'July"&amp;Members!$F$2&amp;"-COLLECTION'!K"&amp;ROW()-1)</f>
        <v/>
      </c>
      <c r="R44" s="72">
        <f>INDIRECT("'July"&amp;Members!$F$2&amp;"-EXPENSE'!R"&amp;ROW()+3)</f>
        <v/>
      </c>
      <c r="S44" s="11" t="n"/>
      <c r="T44" s="72">
        <f>Q44-(R44+S44)</f>
        <v/>
      </c>
      <c r="U44" s="72">
        <f>INDIRECT("'Aug"&amp;Members!$F$2&amp;"-COLLECTION'!K"&amp;ROW()-1)</f>
        <v/>
      </c>
      <c r="V44" s="72">
        <f>INDIRECT("'Aug"&amp;Members!$F$2&amp;"-EXPENSE'!R"&amp;ROW()+3)</f>
        <v/>
      </c>
      <c r="W44" s="10" t="n"/>
      <c r="X44" s="72">
        <f>U44-(V44+W44)</f>
        <v/>
      </c>
      <c r="Y44" s="72">
        <f>INDIRECT("'Sep"&amp;Members!$F$2&amp;"-COLLECTION'!K"&amp;ROW()-1)</f>
        <v/>
      </c>
      <c r="Z44" s="72">
        <f>INDIRECT("'Sep"&amp;Members!$F$2&amp;"-EXPENSE'!R"&amp;ROW()+3)</f>
        <v/>
      </c>
      <c r="AA44" s="11" t="n"/>
      <c r="AB44" s="72">
        <f>Y44-(Z44+AA44)</f>
        <v/>
      </c>
      <c r="AC44" s="72">
        <f>INDIRECT("'Oct"&amp;Members!$F$2&amp;"-COLLECTION'!K"&amp;ROW()-1)</f>
        <v/>
      </c>
      <c r="AD44" s="72">
        <f>INDIRECT("'Oct"&amp;Members!$F$2&amp;"-EXPENSE'!R"&amp;ROW()+3)</f>
        <v/>
      </c>
      <c r="AE44" s="11" t="n"/>
      <c r="AF44" s="72">
        <f>AC44-(AD44+AE44)</f>
        <v/>
      </c>
      <c r="AG44" s="72">
        <f>INDIRECT("'Nov"&amp;Members!$F$2&amp;"-COLLECTION'!K"&amp;ROW()-1)</f>
        <v/>
      </c>
      <c r="AH44" s="72">
        <f>INDIRECT("'Nov"&amp;Members!$F$2&amp;"-EXPENSE'!R"&amp;ROW()+3)</f>
        <v/>
      </c>
      <c r="AI44" s="11" t="n"/>
      <c r="AJ44" s="72">
        <f>AG44-(AH44+AI44)</f>
        <v/>
      </c>
      <c r="AK44" s="72">
        <f>INDIRECT("'Dec"&amp;Members!$F$2&amp;"-COLLECTION'!K"&amp;ROW()-1)</f>
        <v/>
      </c>
      <c r="AL44" s="72">
        <f>INDIRECT("'Dec"&amp;Members!$F$2&amp;"-EXPENSE'!R"&amp;ROW()+3)</f>
        <v/>
      </c>
      <c r="AM44" s="11" t="n"/>
      <c r="AN44" s="72">
        <f>AK44-(AL44+AM44)</f>
        <v/>
      </c>
      <c r="AO44" s="72">
        <f>INDIRECT("'Jan"&amp;Members!$G$2&amp;"-COLLECTION'!K"&amp;ROW()-1)</f>
        <v/>
      </c>
      <c r="AP44" s="72">
        <f>INDIRECT("'Jan"&amp;Members!$G$2&amp;"-EXPENSE'!R"&amp;ROW()+3)</f>
        <v/>
      </c>
      <c r="AQ44" s="75" t="n"/>
      <c r="AR44" s="72">
        <f>AO44-(AP44+AQ44)</f>
        <v/>
      </c>
      <c r="AS44" s="72">
        <f>INDIRECT("'Feb"&amp;Members!$G$2&amp;"-COLLECTION'!K"&amp;ROW()-1)</f>
        <v/>
      </c>
      <c r="AT44" s="72">
        <f>INDIRECT("'Feb"&amp;Members!$G$2&amp;"-EXPENSE'!R"&amp;ROW()+3)</f>
        <v/>
      </c>
      <c r="AU44" s="75" t="n"/>
      <c r="AV44" s="72">
        <f>AS44-(AT44+AU44)</f>
        <v/>
      </c>
      <c r="AW44" s="72">
        <f>INDIRECT("'Mar"&amp;Members!$G$2&amp;"-COLLECTION'!K"&amp;ROW()-1)</f>
        <v/>
      </c>
      <c r="AX44" s="72">
        <f>INDIRECT("'Mar"&amp;Members!$G$2&amp;"-EXPENSE'!R"&amp;ROW()+3)</f>
        <v/>
      </c>
      <c r="AY44" s="75" t="n"/>
      <c r="AZ44" s="72">
        <f>AW44-(AX44+AY44)</f>
        <v/>
      </c>
      <c r="BA44" s="72">
        <f>SUM(E44,I44,M44,Q44,U44,Y44,AC44,AG44,AK44,AO44,AS44,AW44)</f>
        <v/>
      </c>
      <c r="BB44" s="72">
        <f>SUM(F44,J44,N44,R44,V44,Z44,AD44,AH44,AL44,AP44,AT44,AX44)</f>
        <v/>
      </c>
      <c r="BC44" s="72">
        <f>SUM(G44,K44,O44,S44,W44,AA44,AE44,AI44,AM44,AQ44,AU44,AY44)</f>
        <v/>
      </c>
      <c r="BD44" s="72">
        <f>BA44-(BB44+BC44)</f>
        <v/>
      </c>
      <c r="BE44" s="72">
        <f>BD44+D44</f>
        <v/>
      </c>
    </row>
    <row r="45" ht="15.75" customHeight="1" s="99">
      <c r="A45" s="68" t="inlineStr">
        <is>
          <t>S11</t>
        </is>
      </c>
      <c r="B45" s="69">
        <f>VLOOKUP(A45,Members!$A$2:$C$65,3,FALSE)</f>
        <v/>
      </c>
      <c r="C45" s="68">
        <f>Members!B44</f>
        <v/>
      </c>
      <c r="D45" s="70" t="n">
        <v>-5318.169623185517</v>
      </c>
      <c r="E45" s="70">
        <f>INDIRECT("'Apr"&amp;Members!$F$2&amp;"-COLLECTION'!K"&amp;ROW()-1)</f>
        <v/>
      </c>
      <c r="F45" s="70">
        <f>INDIRECT("'Apr"&amp;Members!$F$2&amp;"-EXPENSE'!R"&amp;ROW()+3)</f>
        <v/>
      </c>
      <c r="G45" s="10" t="n"/>
      <c r="H45" s="70">
        <f>E45-(F45+G45)</f>
        <v/>
      </c>
      <c r="I45" s="70">
        <f>INDIRECT("'May"&amp;Members!$F$2&amp;"-COLLECTION'!K"&amp;ROW()-1)</f>
        <v/>
      </c>
      <c r="J45" s="70">
        <f>INDIRECT("'May"&amp;Members!$F$2&amp;"-EXPENSE'!R"&amp;ROW()+3)</f>
        <v/>
      </c>
      <c r="K45" s="11" t="n"/>
      <c r="L45" s="70">
        <f>I45-(J45+K45)</f>
        <v/>
      </c>
      <c r="M45" s="70">
        <f>INDIRECT("'June"&amp;Members!$F$2&amp;"-COLLECTION'!K"&amp;ROW()-1)</f>
        <v/>
      </c>
      <c r="N45" s="70">
        <f>INDIRECT("'June"&amp;Members!$F$2&amp;"-EXPENSE'!R"&amp;ROW()+3)</f>
        <v/>
      </c>
      <c r="O45" s="10" t="n"/>
      <c r="P45" s="70">
        <f>M45-(N45+O45)</f>
        <v/>
      </c>
      <c r="Q45" s="70">
        <f>INDIRECT("'July"&amp;Members!$F$2&amp;"-COLLECTION'!K"&amp;ROW()-1)</f>
        <v/>
      </c>
      <c r="R45" s="70">
        <f>INDIRECT("'July"&amp;Members!$F$2&amp;"-EXPENSE'!R"&amp;ROW()+3)</f>
        <v/>
      </c>
      <c r="S45" s="11" t="n"/>
      <c r="T45" s="70">
        <f>Q45-(R45+S45)</f>
        <v/>
      </c>
      <c r="U45" s="70">
        <f>INDIRECT("'Aug"&amp;Members!$F$2&amp;"-COLLECTION'!K"&amp;ROW()-1)</f>
        <v/>
      </c>
      <c r="V45" s="70">
        <f>INDIRECT("'Aug"&amp;Members!$F$2&amp;"-EXPENSE'!R"&amp;ROW()+3)</f>
        <v/>
      </c>
      <c r="W45" s="10" t="n"/>
      <c r="X45" s="70">
        <f>U45-(V45+W45)</f>
        <v/>
      </c>
      <c r="Y45" s="70">
        <f>INDIRECT("'Sep"&amp;Members!$F$2&amp;"-COLLECTION'!K"&amp;ROW()-1)</f>
        <v/>
      </c>
      <c r="Z45" s="70">
        <f>INDIRECT("'Sep"&amp;Members!$F$2&amp;"-EXPENSE'!R"&amp;ROW()+3)</f>
        <v/>
      </c>
      <c r="AA45" s="11" t="n"/>
      <c r="AB45" s="70">
        <f>Y45-(Z45+AA45)</f>
        <v/>
      </c>
      <c r="AC45" s="70">
        <f>INDIRECT("'Oct"&amp;Members!$F$2&amp;"-COLLECTION'!K"&amp;ROW()-1)</f>
        <v/>
      </c>
      <c r="AD45" s="70">
        <f>INDIRECT("'Oct"&amp;Members!$F$2&amp;"-EXPENSE'!R"&amp;ROW()+3)</f>
        <v/>
      </c>
      <c r="AE45" s="11" t="n"/>
      <c r="AF45" s="70">
        <f>AC45-(AD45+AE45)</f>
        <v/>
      </c>
      <c r="AG45" s="70">
        <f>INDIRECT("'Nov"&amp;Members!$F$2&amp;"-COLLECTION'!K"&amp;ROW()-1)</f>
        <v/>
      </c>
      <c r="AH45" s="70">
        <f>INDIRECT("'Nov"&amp;Members!$F$2&amp;"-EXPENSE'!R"&amp;ROW()+3)</f>
        <v/>
      </c>
      <c r="AI45" s="11" t="n"/>
      <c r="AJ45" s="70">
        <f>AG45-(AH45+AI45)</f>
        <v/>
      </c>
      <c r="AK45" s="70">
        <f>INDIRECT("'Dec"&amp;Members!$F$2&amp;"-COLLECTION'!K"&amp;ROW()-1)</f>
        <v/>
      </c>
      <c r="AL45" s="70">
        <f>INDIRECT("'Dec"&amp;Members!$F$2&amp;"-EXPENSE'!R"&amp;ROW()+3)</f>
        <v/>
      </c>
      <c r="AM45" s="11" t="n"/>
      <c r="AN45" s="70">
        <f>AK45-(AL45+AM45)</f>
        <v/>
      </c>
      <c r="AO45" s="70">
        <f>INDIRECT("'Jan"&amp;Members!$G$2&amp;"-COLLECTION'!K"&amp;ROW()-1)</f>
        <v/>
      </c>
      <c r="AP45" s="70">
        <f>INDIRECT("'Jan"&amp;Members!$G$2&amp;"-EXPENSE'!R"&amp;ROW()+3)</f>
        <v/>
      </c>
      <c r="AQ45" s="75" t="n"/>
      <c r="AR45" s="70">
        <f>AO45-(AP45+AQ45)</f>
        <v/>
      </c>
      <c r="AS45" s="70">
        <f>INDIRECT("'Feb"&amp;Members!$G$2&amp;"-COLLECTION'!K"&amp;ROW()-1)</f>
        <v/>
      </c>
      <c r="AT45" s="70">
        <f>INDIRECT("'Feb"&amp;Members!$G$2&amp;"-EXPENSE'!R"&amp;ROW()+3)</f>
        <v/>
      </c>
      <c r="AU45" s="75" t="n"/>
      <c r="AV45" s="70">
        <f>AS45-(AT45+AU45)</f>
        <v/>
      </c>
      <c r="AW45" s="70">
        <f>INDIRECT("'Mar"&amp;Members!$G$2&amp;"-COLLECTION'!K"&amp;ROW()-1)</f>
        <v/>
      </c>
      <c r="AX45" s="70">
        <f>INDIRECT("'Mar"&amp;Members!$G$2&amp;"-EXPENSE'!R"&amp;ROW()+3)</f>
        <v/>
      </c>
      <c r="AY45" s="75" t="n"/>
      <c r="AZ45" s="70">
        <f>AW45-(AX45+AY45)</f>
        <v/>
      </c>
      <c r="BA45" s="70">
        <f>SUM(E45,I45,M45,Q45,U45,Y45,AC45,AG45,AK45,AO45,AS45,AW45)</f>
        <v/>
      </c>
      <c r="BB45" s="70">
        <f>SUM(F45,J45,N45,R45,V45,Z45,AD45,AH45,AL45,AP45,AT45,AX45)</f>
        <v/>
      </c>
      <c r="BC45" s="70">
        <f>SUM(G45,K45,O45,S45,W45,AA45,AE45,AI45,AM45,AQ45,AU45,AY45)</f>
        <v/>
      </c>
      <c r="BD45" s="70">
        <f>BA45-(BB45+BC45)</f>
        <v/>
      </c>
      <c r="BE45" s="70">
        <f>BD45+D45</f>
        <v/>
      </c>
    </row>
    <row r="46" ht="15.75" customHeight="1" s="99">
      <c r="A46" s="52" t="inlineStr">
        <is>
          <t>S12</t>
        </is>
      </c>
      <c r="B46" s="71">
        <f>VLOOKUP(A46,Members!$A$2:$C$65,3,FALSE)</f>
        <v/>
      </c>
      <c r="C46" s="52">
        <f>Members!B45</f>
        <v/>
      </c>
      <c r="D46" s="72" t="n">
        <v>-11301.55804928775</v>
      </c>
      <c r="E46" s="72">
        <f>INDIRECT("'Apr"&amp;Members!$F$2&amp;"-COLLECTION'!K"&amp;ROW()-1)</f>
        <v/>
      </c>
      <c r="F46" s="72">
        <f>INDIRECT("'Apr"&amp;Members!$F$2&amp;"-EXPENSE'!R"&amp;ROW()+3)</f>
        <v/>
      </c>
      <c r="G46" s="10" t="n"/>
      <c r="H46" s="72">
        <f>E46-(F46+G46)</f>
        <v/>
      </c>
      <c r="I46" s="72">
        <f>INDIRECT("'May"&amp;Members!$F$2&amp;"-COLLECTION'!K"&amp;ROW()-1)</f>
        <v/>
      </c>
      <c r="J46" s="72">
        <f>INDIRECT("'May"&amp;Members!$F$2&amp;"-EXPENSE'!R"&amp;ROW()+3)</f>
        <v/>
      </c>
      <c r="K46" s="11" t="n"/>
      <c r="L46" s="72">
        <f>I46-(J46+K46)</f>
        <v/>
      </c>
      <c r="M46" s="72">
        <f>INDIRECT("'June"&amp;Members!$F$2&amp;"-COLLECTION'!K"&amp;ROW()-1)</f>
        <v/>
      </c>
      <c r="N46" s="72">
        <f>INDIRECT("'June"&amp;Members!$F$2&amp;"-EXPENSE'!R"&amp;ROW()+3)</f>
        <v/>
      </c>
      <c r="O46" s="10" t="n"/>
      <c r="P46" s="72">
        <f>M46-(N46+O46)</f>
        <v/>
      </c>
      <c r="Q46" s="72">
        <f>INDIRECT("'July"&amp;Members!$F$2&amp;"-COLLECTION'!K"&amp;ROW()-1)</f>
        <v/>
      </c>
      <c r="R46" s="72">
        <f>INDIRECT("'July"&amp;Members!$F$2&amp;"-EXPENSE'!R"&amp;ROW()+3)</f>
        <v/>
      </c>
      <c r="S46" s="11" t="n"/>
      <c r="T46" s="72">
        <f>Q46-(R46+S46)</f>
        <v/>
      </c>
      <c r="U46" s="72">
        <f>INDIRECT("'Aug"&amp;Members!$F$2&amp;"-COLLECTION'!K"&amp;ROW()-1)</f>
        <v/>
      </c>
      <c r="V46" s="72">
        <f>INDIRECT("'Aug"&amp;Members!$F$2&amp;"-EXPENSE'!R"&amp;ROW()+3)</f>
        <v/>
      </c>
      <c r="W46" s="10" t="n"/>
      <c r="X46" s="72">
        <f>U46-(V46+W46)</f>
        <v/>
      </c>
      <c r="Y46" s="72">
        <f>INDIRECT("'Sep"&amp;Members!$F$2&amp;"-COLLECTION'!K"&amp;ROW()-1)</f>
        <v/>
      </c>
      <c r="Z46" s="72">
        <f>INDIRECT("'Sep"&amp;Members!$F$2&amp;"-EXPENSE'!R"&amp;ROW()+3)</f>
        <v/>
      </c>
      <c r="AA46" s="11" t="n"/>
      <c r="AB46" s="72">
        <f>Y46-(Z46+AA46)</f>
        <v/>
      </c>
      <c r="AC46" s="72">
        <f>INDIRECT("'Oct"&amp;Members!$F$2&amp;"-COLLECTION'!K"&amp;ROW()-1)</f>
        <v/>
      </c>
      <c r="AD46" s="72">
        <f>INDIRECT("'Oct"&amp;Members!$F$2&amp;"-EXPENSE'!R"&amp;ROW()+3)</f>
        <v/>
      </c>
      <c r="AE46" s="11" t="n"/>
      <c r="AF46" s="72">
        <f>AC46-(AD46+AE46)</f>
        <v/>
      </c>
      <c r="AG46" s="72">
        <f>INDIRECT("'Nov"&amp;Members!$F$2&amp;"-COLLECTION'!K"&amp;ROW()-1)</f>
        <v/>
      </c>
      <c r="AH46" s="72">
        <f>INDIRECT("'Nov"&amp;Members!$F$2&amp;"-EXPENSE'!R"&amp;ROW()+3)</f>
        <v/>
      </c>
      <c r="AI46" s="11" t="n"/>
      <c r="AJ46" s="72">
        <f>AG46-(AH46+AI46)</f>
        <v/>
      </c>
      <c r="AK46" s="72">
        <f>INDIRECT("'Dec"&amp;Members!$F$2&amp;"-COLLECTION'!K"&amp;ROW()-1)</f>
        <v/>
      </c>
      <c r="AL46" s="72">
        <f>INDIRECT("'Dec"&amp;Members!$F$2&amp;"-EXPENSE'!R"&amp;ROW()+3)</f>
        <v/>
      </c>
      <c r="AM46" s="11" t="n"/>
      <c r="AN46" s="72">
        <f>AK46-(AL46+AM46)</f>
        <v/>
      </c>
      <c r="AO46" s="72">
        <f>INDIRECT("'Jan"&amp;Members!$G$2&amp;"-COLLECTION'!K"&amp;ROW()-1)</f>
        <v/>
      </c>
      <c r="AP46" s="72">
        <f>INDIRECT("'Jan"&amp;Members!$G$2&amp;"-EXPENSE'!R"&amp;ROW()+3)</f>
        <v/>
      </c>
      <c r="AQ46" s="75" t="n"/>
      <c r="AR46" s="72">
        <f>AO46-(AP46+AQ46)</f>
        <v/>
      </c>
      <c r="AS46" s="72">
        <f>INDIRECT("'Feb"&amp;Members!$G$2&amp;"-COLLECTION'!K"&amp;ROW()-1)</f>
        <v/>
      </c>
      <c r="AT46" s="72">
        <f>INDIRECT("'Feb"&amp;Members!$G$2&amp;"-EXPENSE'!R"&amp;ROW()+3)</f>
        <v/>
      </c>
      <c r="AU46" s="75" t="n"/>
      <c r="AV46" s="72">
        <f>AS46-(AT46+AU46)</f>
        <v/>
      </c>
      <c r="AW46" s="72">
        <f>INDIRECT("'Mar"&amp;Members!$G$2&amp;"-COLLECTION'!K"&amp;ROW()-1)</f>
        <v/>
      </c>
      <c r="AX46" s="72">
        <f>INDIRECT("'Mar"&amp;Members!$G$2&amp;"-EXPENSE'!R"&amp;ROW()+3)</f>
        <v/>
      </c>
      <c r="AY46" s="75" t="n"/>
      <c r="AZ46" s="72">
        <f>AW46-(AX46+AY46)</f>
        <v/>
      </c>
      <c r="BA46" s="72">
        <f>SUM(E46,I46,M46,Q46,U46,Y46,AC46,AG46,AK46,AO46,AS46,AW46)</f>
        <v/>
      </c>
      <c r="BB46" s="72">
        <f>SUM(F46,J46,N46,R46,V46,Z46,AD46,AH46,AL46,AP46,AT46,AX46)</f>
        <v/>
      </c>
      <c r="BC46" s="72">
        <f>SUM(G46,K46,O46,S46,W46,AA46,AE46,AI46,AM46,AQ46,AU46,AY46)</f>
        <v/>
      </c>
      <c r="BD46" s="72">
        <f>BA46-(BB46+BC46)</f>
        <v/>
      </c>
      <c r="BE46" s="72">
        <f>BD46+D46</f>
        <v/>
      </c>
    </row>
    <row r="47" ht="15.75" customHeight="1" s="99">
      <c r="A47" s="68" t="inlineStr">
        <is>
          <t>S13</t>
        </is>
      </c>
      <c r="B47" s="69">
        <f>VLOOKUP(A47,Members!$A$2:$C$65,3,FALSE)</f>
        <v/>
      </c>
      <c r="C47" s="68">
        <f>Members!B46</f>
        <v/>
      </c>
      <c r="D47" s="70" t="n">
        <v>-715.4835979536947</v>
      </c>
      <c r="E47" s="70">
        <f>INDIRECT("'Apr"&amp;Members!$F$2&amp;"-COLLECTION'!K"&amp;ROW()-1)</f>
        <v/>
      </c>
      <c r="F47" s="70">
        <f>INDIRECT("'Apr"&amp;Members!$F$2&amp;"-EXPENSE'!R"&amp;ROW()+3)</f>
        <v/>
      </c>
      <c r="G47" s="10" t="n"/>
      <c r="H47" s="70">
        <f>E47-(F47+G47)</f>
        <v/>
      </c>
      <c r="I47" s="70">
        <f>INDIRECT("'May"&amp;Members!$F$2&amp;"-COLLECTION'!K"&amp;ROW()-1)</f>
        <v/>
      </c>
      <c r="J47" s="70">
        <f>INDIRECT("'May"&amp;Members!$F$2&amp;"-EXPENSE'!R"&amp;ROW()+3)</f>
        <v/>
      </c>
      <c r="K47" s="11" t="n"/>
      <c r="L47" s="70">
        <f>I47-(J47+K47)</f>
        <v/>
      </c>
      <c r="M47" s="70">
        <f>INDIRECT("'June"&amp;Members!$F$2&amp;"-COLLECTION'!K"&amp;ROW()-1)</f>
        <v/>
      </c>
      <c r="N47" s="70">
        <f>INDIRECT("'June"&amp;Members!$F$2&amp;"-EXPENSE'!R"&amp;ROW()+3)</f>
        <v/>
      </c>
      <c r="O47" s="10" t="n"/>
      <c r="P47" s="70">
        <f>M47-(N47+O47)</f>
        <v/>
      </c>
      <c r="Q47" s="70">
        <f>INDIRECT("'July"&amp;Members!$F$2&amp;"-COLLECTION'!K"&amp;ROW()-1)</f>
        <v/>
      </c>
      <c r="R47" s="70">
        <f>INDIRECT("'July"&amp;Members!$F$2&amp;"-EXPENSE'!R"&amp;ROW()+3)</f>
        <v/>
      </c>
      <c r="S47" s="11" t="n"/>
      <c r="T47" s="70">
        <f>Q47-(R47+S47)</f>
        <v/>
      </c>
      <c r="U47" s="70">
        <f>INDIRECT("'Aug"&amp;Members!$F$2&amp;"-COLLECTION'!K"&amp;ROW()-1)</f>
        <v/>
      </c>
      <c r="V47" s="70">
        <f>INDIRECT("'Aug"&amp;Members!$F$2&amp;"-EXPENSE'!R"&amp;ROW()+3)</f>
        <v/>
      </c>
      <c r="W47" s="10" t="n"/>
      <c r="X47" s="70">
        <f>U47-(V47+W47)</f>
        <v/>
      </c>
      <c r="Y47" s="70">
        <f>INDIRECT("'Sep"&amp;Members!$F$2&amp;"-COLLECTION'!K"&amp;ROW()-1)</f>
        <v/>
      </c>
      <c r="Z47" s="70">
        <f>INDIRECT("'Sep"&amp;Members!$F$2&amp;"-EXPENSE'!R"&amp;ROW()+3)</f>
        <v/>
      </c>
      <c r="AA47" s="11" t="n"/>
      <c r="AB47" s="70">
        <f>Y47-(Z47+AA47)</f>
        <v/>
      </c>
      <c r="AC47" s="70">
        <f>INDIRECT("'Oct"&amp;Members!$F$2&amp;"-COLLECTION'!K"&amp;ROW()-1)</f>
        <v/>
      </c>
      <c r="AD47" s="70">
        <f>INDIRECT("'Oct"&amp;Members!$F$2&amp;"-EXPENSE'!R"&amp;ROW()+3)</f>
        <v/>
      </c>
      <c r="AE47" s="11" t="n"/>
      <c r="AF47" s="70">
        <f>AC47-(AD47+AE47)</f>
        <v/>
      </c>
      <c r="AG47" s="70">
        <f>INDIRECT("'Nov"&amp;Members!$F$2&amp;"-COLLECTION'!K"&amp;ROW()-1)</f>
        <v/>
      </c>
      <c r="AH47" s="70">
        <f>INDIRECT("'Nov"&amp;Members!$F$2&amp;"-EXPENSE'!R"&amp;ROW()+3)</f>
        <v/>
      </c>
      <c r="AI47" s="11" t="n"/>
      <c r="AJ47" s="70">
        <f>AG47-(AH47+AI47)</f>
        <v/>
      </c>
      <c r="AK47" s="70">
        <f>INDIRECT("'Dec"&amp;Members!$F$2&amp;"-COLLECTION'!K"&amp;ROW()-1)</f>
        <v/>
      </c>
      <c r="AL47" s="70">
        <f>INDIRECT("'Dec"&amp;Members!$F$2&amp;"-EXPENSE'!R"&amp;ROW()+3)</f>
        <v/>
      </c>
      <c r="AM47" s="11" t="n"/>
      <c r="AN47" s="70">
        <f>AK47-(AL47+AM47)</f>
        <v/>
      </c>
      <c r="AO47" s="70">
        <f>INDIRECT("'Jan"&amp;Members!$G$2&amp;"-COLLECTION'!K"&amp;ROW()-1)</f>
        <v/>
      </c>
      <c r="AP47" s="70">
        <f>INDIRECT("'Jan"&amp;Members!$G$2&amp;"-EXPENSE'!R"&amp;ROW()+3)</f>
        <v/>
      </c>
      <c r="AQ47" s="75" t="n"/>
      <c r="AR47" s="70">
        <f>AO47-(AP47+AQ47)</f>
        <v/>
      </c>
      <c r="AS47" s="70">
        <f>INDIRECT("'Feb"&amp;Members!$G$2&amp;"-COLLECTION'!K"&amp;ROW()-1)</f>
        <v/>
      </c>
      <c r="AT47" s="70">
        <f>INDIRECT("'Feb"&amp;Members!$G$2&amp;"-EXPENSE'!R"&amp;ROW()+3)</f>
        <v/>
      </c>
      <c r="AU47" s="75" t="n"/>
      <c r="AV47" s="70">
        <f>AS47-(AT47+AU47)</f>
        <v/>
      </c>
      <c r="AW47" s="70">
        <f>INDIRECT("'Mar"&amp;Members!$G$2&amp;"-COLLECTION'!K"&amp;ROW()-1)</f>
        <v/>
      </c>
      <c r="AX47" s="70">
        <f>INDIRECT("'Mar"&amp;Members!$G$2&amp;"-EXPENSE'!R"&amp;ROW()+3)</f>
        <v/>
      </c>
      <c r="AY47" s="75" t="n"/>
      <c r="AZ47" s="70">
        <f>AW47-(AX47+AY47)</f>
        <v/>
      </c>
      <c r="BA47" s="70">
        <f>SUM(E47,I47,M47,Q47,U47,Y47,AC47,AG47,AK47,AO47,AS47,AW47)</f>
        <v/>
      </c>
      <c r="BB47" s="70">
        <f>SUM(F47,J47,N47,R47,V47,Z47,AD47,AH47,AL47,AP47,AT47,AX47)</f>
        <v/>
      </c>
      <c r="BC47" s="70">
        <f>SUM(G47,K47,O47,S47,W47,AA47,AE47,AI47,AM47,AQ47,AU47,AY47)</f>
        <v/>
      </c>
      <c r="BD47" s="70">
        <f>BA47-(BB47+BC47)</f>
        <v/>
      </c>
      <c r="BE47" s="70">
        <f>BD47+D47</f>
        <v/>
      </c>
    </row>
    <row r="48" ht="15.75" customHeight="1" s="99">
      <c r="A48" s="52" t="inlineStr">
        <is>
          <t>S14</t>
        </is>
      </c>
      <c r="B48" s="71">
        <f>VLOOKUP(A48,Members!$A$2:$C$65,3,FALSE)</f>
        <v/>
      </c>
      <c r="C48" s="52">
        <f>Members!B47</f>
        <v/>
      </c>
      <c r="D48" s="72" t="n">
        <v>-2900.486315241797</v>
      </c>
      <c r="E48" s="72">
        <f>INDIRECT("'Apr"&amp;Members!$F$2&amp;"-COLLECTION'!K"&amp;ROW()-1)</f>
        <v/>
      </c>
      <c r="F48" s="72">
        <f>INDIRECT("'Apr"&amp;Members!$F$2&amp;"-EXPENSE'!R"&amp;ROW()+3)</f>
        <v/>
      </c>
      <c r="G48" s="10" t="n"/>
      <c r="H48" s="72">
        <f>E48-(F48+G48)</f>
        <v/>
      </c>
      <c r="I48" s="72">
        <f>INDIRECT("'May"&amp;Members!$F$2&amp;"-COLLECTION'!K"&amp;ROW()-1)</f>
        <v/>
      </c>
      <c r="J48" s="72">
        <f>INDIRECT("'May"&amp;Members!$F$2&amp;"-EXPENSE'!R"&amp;ROW()+3)</f>
        <v/>
      </c>
      <c r="K48" s="11" t="n"/>
      <c r="L48" s="72">
        <f>I48-(J48+K48)</f>
        <v/>
      </c>
      <c r="M48" s="72">
        <f>INDIRECT("'June"&amp;Members!$F$2&amp;"-COLLECTION'!K"&amp;ROW()-1)</f>
        <v/>
      </c>
      <c r="N48" s="72">
        <f>INDIRECT("'June"&amp;Members!$F$2&amp;"-EXPENSE'!R"&amp;ROW()+3)</f>
        <v/>
      </c>
      <c r="O48" s="10" t="n"/>
      <c r="P48" s="72">
        <f>M48-(N48+O48)</f>
        <v/>
      </c>
      <c r="Q48" s="72">
        <f>INDIRECT("'July"&amp;Members!$F$2&amp;"-COLLECTION'!K"&amp;ROW()-1)</f>
        <v/>
      </c>
      <c r="R48" s="72">
        <f>INDIRECT("'July"&amp;Members!$F$2&amp;"-EXPENSE'!R"&amp;ROW()+3)</f>
        <v/>
      </c>
      <c r="S48" s="11" t="n"/>
      <c r="T48" s="72">
        <f>Q48-(R48+S48)</f>
        <v/>
      </c>
      <c r="U48" s="72">
        <f>INDIRECT("'Aug"&amp;Members!$F$2&amp;"-COLLECTION'!K"&amp;ROW()-1)</f>
        <v/>
      </c>
      <c r="V48" s="72">
        <f>INDIRECT("'Aug"&amp;Members!$F$2&amp;"-EXPENSE'!R"&amp;ROW()+3)</f>
        <v/>
      </c>
      <c r="W48" s="10" t="n"/>
      <c r="X48" s="72">
        <f>U48-(V48+W48)</f>
        <v/>
      </c>
      <c r="Y48" s="72">
        <f>INDIRECT("'Sep"&amp;Members!$F$2&amp;"-COLLECTION'!K"&amp;ROW()-1)</f>
        <v/>
      </c>
      <c r="Z48" s="72">
        <f>INDIRECT("'Sep"&amp;Members!$F$2&amp;"-EXPENSE'!R"&amp;ROW()+3)</f>
        <v/>
      </c>
      <c r="AA48" s="11" t="n"/>
      <c r="AB48" s="72">
        <f>Y48-(Z48+AA48)</f>
        <v/>
      </c>
      <c r="AC48" s="72">
        <f>INDIRECT("'Oct"&amp;Members!$F$2&amp;"-COLLECTION'!K"&amp;ROW()-1)</f>
        <v/>
      </c>
      <c r="AD48" s="72">
        <f>INDIRECT("'Oct"&amp;Members!$F$2&amp;"-EXPENSE'!R"&amp;ROW()+3)</f>
        <v/>
      </c>
      <c r="AE48" s="11" t="n"/>
      <c r="AF48" s="72">
        <f>AC48-(AD48+AE48)</f>
        <v/>
      </c>
      <c r="AG48" s="72">
        <f>INDIRECT("'Nov"&amp;Members!$F$2&amp;"-COLLECTION'!K"&amp;ROW()-1)</f>
        <v/>
      </c>
      <c r="AH48" s="72">
        <f>INDIRECT("'Nov"&amp;Members!$F$2&amp;"-EXPENSE'!R"&amp;ROW()+3)</f>
        <v/>
      </c>
      <c r="AI48" s="11" t="n"/>
      <c r="AJ48" s="72">
        <f>AG48-(AH48+AI48)</f>
        <v/>
      </c>
      <c r="AK48" s="72">
        <f>INDIRECT("'Dec"&amp;Members!$F$2&amp;"-COLLECTION'!K"&amp;ROW()-1)</f>
        <v/>
      </c>
      <c r="AL48" s="72">
        <f>INDIRECT("'Dec"&amp;Members!$F$2&amp;"-EXPENSE'!R"&amp;ROW()+3)</f>
        <v/>
      </c>
      <c r="AM48" s="11" t="n"/>
      <c r="AN48" s="72">
        <f>AK48-(AL48+AM48)</f>
        <v/>
      </c>
      <c r="AO48" s="72">
        <f>INDIRECT("'Jan"&amp;Members!$G$2&amp;"-COLLECTION'!K"&amp;ROW()-1)</f>
        <v/>
      </c>
      <c r="AP48" s="72">
        <f>INDIRECT("'Jan"&amp;Members!$G$2&amp;"-EXPENSE'!R"&amp;ROW()+3)</f>
        <v/>
      </c>
      <c r="AQ48" s="75" t="n"/>
      <c r="AR48" s="72">
        <f>AO48-(AP48+AQ48)</f>
        <v/>
      </c>
      <c r="AS48" s="72">
        <f>INDIRECT("'Feb"&amp;Members!$G$2&amp;"-COLLECTION'!K"&amp;ROW()-1)</f>
        <v/>
      </c>
      <c r="AT48" s="72">
        <f>INDIRECT("'Feb"&amp;Members!$G$2&amp;"-EXPENSE'!R"&amp;ROW()+3)</f>
        <v/>
      </c>
      <c r="AU48" s="75" t="n"/>
      <c r="AV48" s="72">
        <f>AS48-(AT48+AU48)</f>
        <v/>
      </c>
      <c r="AW48" s="72">
        <f>INDIRECT("'Mar"&amp;Members!$G$2&amp;"-COLLECTION'!K"&amp;ROW()-1)</f>
        <v/>
      </c>
      <c r="AX48" s="72">
        <f>INDIRECT("'Mar"&amp;Members!$G$2&amp;"-EXPENSE'!R"&amp;ROW()+3)</f>
        <v/>
      </c>
      <c r="AY48" s="75" t="n"/>
      <c r="AZ48" s="72">
        <f>AW48-(AX48+AY48)</f>
        <v/>
      </c>
      <c r="BA48" s="72">
        <f>SUM(E48,I48,M48,Q48,U48,Y48,AC48,AG48,AK48,AO48,AS48,AW48)</f>
        <v/>
      </c>
      <c r="BB48" s="72">
        <f>SUM(F48,J48,N48,R48,V48,Z48,AD48,AH48,AL48,AP48,AT48,AX48)</f>
        <v/>
      </c>
      <c r="BC48" s="72">
        <f>SUM(G48,K48,O48,S48,W48,AA48,AE48,AI48,AM48,AQ48,AU48,AY48)</f>
        <v/>
      </c>
      <c r="BD48" s="72">
        <f>BA48-(BB48+BC48)</f>
        <v/>
      </c>
      <c r="BE48" s="72">
        <f>BD48+D48</f>
        <v/>
      </c>
    </row>
    <row r="49" ht="15.75" customHeight="1" s="99">
      <c r="A49" s="68" t="inlineStr">
        <is>
          <t>S15</t>
        </is>
      </c>
      <c r="B49" s="69">
        <f>VLOOKUP(A49,Members!$A$2:$C$65,3,FALSE)</f>
        <v/>
      </c>
      <c r="C49" s="68">
        <f>Members!B48</f>
        <v/>
      </c>
      <c r="D49" s="70" t="n">
        <v>-22738.05455779057</v>
      </c>
      <c r="E49" s="70">
        <f>INDIRECT("'Apr"&amp;Members!$F$2&amp;"-COLLECTION'!K"&amp;ROW()-1)</f>
        <v/>
      </c>
      <c r="F49" s="70">
        <f>INDIRECT("'Apr"&amp;Members!$F$2&amp;"-EXPENSE'!R"&amp;ROW()+3)</f>
        <v/>
      </c>
      <c r="G49" s="10" t="n"/>
      <c r="H49" s="70">
        <f>E49-(F49+G49)</f>
        <v/>
      </c>
      <c r="I49" s="70">
        <f>INDIRECT("'May"&amp;Members!$F$2&amp;"-COLLECTION'!K"&amp;ROW()-1)</f>
        <v/>
      </c>
      <c r="J49" s="70">
        <f>INDIRECT("'May"&amp;Members!$F$2&amp;"-EXPENSE'!R"&amp;ROW()+3)</f>
        <v/>
      </c>
      <c r="K49" s="11" t="n"/>
      <c r="L49" s="70">
        <f>I49-(J49+K49)</f>
        <v/>
      </c>
      <c r="M49" s="70">
        <f>INDIRECT("'June"&amp;Members!$F$2&amp;"-COLLECTION'!K"&amp;ROW()-1)</f>
        <v/>
      </c>
      <c r="N49" s="70">
        <f>INDIRECT("'June"&amp;Members!$F$2&amp;"-EXPENSE'!R"&amp;ROW()+3)</f>
        <v/>
      </c>
      <c r="O49" s="10" t="n"/>
      <c r="P49" s="70">
        <f>M49-(N49+O49)</f>
        <v/>
      </c>
      <c r="Q49" s="70">
        <f>INDIRECT("'July"&amp;Members!$F$2&amp;"-COLLECTION'!K"&amp;ROW()-1)</f>
        <v/>
      </c>
      <c r="R49" s="70">
        <f>INDIRECT("'July"&amp;Members!$F$2&amp;"-EXPENSE'!R"&amp;ROW()+3)</f>
        <v/>
      </c>
      <c r="S49" s="11" t="n"/>
      <c r="T49" s="70">
        <f>Q49-(R49+S49)</f>
        <v/>
      </c>
      <c r="U49" s="70">
        <f>INDIRECT("'Aug"&amp;Members!$F$2&amp;"-COLLECTION'!K"&amp;ROW()-1)</f>
        <v/>
      </c>
      <c r="V49" s="70">
        <f>INDIRECT("'Aug"&amp;Members!$F$2&amp;"-EXPENSE'!R"&amp;ROW()+3)</f>
        <v/>
      </c>
      <c r="W49" s="10" t="n"/>
      <c r="X49" s="70">
        <f>U49-(V49+W49)</f>
        <v/>
      </c>
      <c r="Y49" s="70">
        <f>INDIRECT("'Sep"&amp;Members!$F$2&amp;"-COLLECTION'!K"&amp;ROW()-1)</f>
        <v/>
      </c>
      <c r="Z49" s="70">
        <f>INDIRECT("'Sep"&amp;Members!$F$2&amp;"-EXPENSE'!R"&amp;ROW()+3)</f>
        <v/>
      </c>
      <c r="AA49" s="11" t="n"/>
      <c r="AB49" s="70">
        <f>Y49-(Z49+AA49)</f>
        <v/>
      </c>
      <c r="AC49" s="70">
        <f>INDIRECT("'Oct"&amp;Members!$F$2&amp;"-COLLECTION'!K"&amp;ROW()-1)</f>
        <v/>
      </c>
      <c r="AD49" s="70">
        <f>INDIRECT("'Oct"&amp;Members!$F$2&amp;"-EXPENSE'!R"&amp;ROW()+3)</f>
        <v/>
      </c>
      <c r="AE49" s="11" t="n"/>
      <c r="AF49" s="70">
        <f>AC49-(AD49+AE49)</f>
        <v/>
      </c>
      <c r="AG49" s="70">
        <f>INDIRECT("'Nov"&amp;Members!$F$2&amp;"-COLLECTION'!K"&amp;ROW()-1)</f>
        <v/>
      </c>
      <c r="AH49" s="70">
        <f>INDIRECT("'Nov"&amp;Members!$F$2&amp;"-EXPENSE'!R"&amp;ROW()+3)</f>
        <v/>
      </c>
      <c r="AI49" s="11" t="n"/>
      <c r="AJ49" s="70">
        <f>AG49-(AH49+AI49)</f>
        <v/>
      </c>
      <c r="AK49" s="70">
        <f>INDIRECT("'Dec"&amp;Members!$F$2&amp;"-COLLECTION'!K"&amp;ROW()-1)</f>
        <v/>
      </c>
      <c r="AL49" s="70">
        <f>INDIRECT("'Dec"&amp;Members!$F$2&amp;"-EXPENSE'!R"&amp;ROW()+3)</f>
        <v/>
      </c>
      <c r="AM49" s="11" t="n"/>
      <c r="AN49" s="70">
        <f>AK49-(AL49+AM49)</f>
        <v/>
      </c>
      <c r="AO49" s="70">
        <f>INDIRECT("'Jan"&amp;Members!$G$2&amp;"-COLLECTION'!K"&amp;ROW()-1)</f>
        <v/>
      </c>
      <c r="AP49" s="70">
        <f>INDIRECT("'Jan"&amp;Members!$G$2&amp;"-EXPENSE'!R"&amp;ROW()+3)</f>
        <v/>
      </c>
      <c r="AQ49" s="75" t="n"/>
      <c r="AR49" s="70">
        <f>AO49-(AP49+AQ49)</f>
        <v/>
      </c>
      <c r="AS49" s="70">
        <f>INDIRECT("'Feb"&amp;Members!$G$2&amp;"-COLLECTION'!K"&amp;ROW()-1)</f>
        <v/>
      </c>
      <c r="AT49" s="70">
        <f>INDIRECT("'Feb"&amp;Members!$G$2&amp;"-EXPENSE'!R"&amp;ROW()+3)</f>
        <v/>
      </c>
      <c r="AU49" s="75" t="n"/>
      <c r="AV49" s="70">
        <f>AS49-(AT49+AU49)</f>
        <v/>
      </c>
      <c r="AW49" s="70">
        <f>INDIRECT("'Mar"&amp;Members!$G$2&amp;"-COLLECTION'!K"&amp;ROW()-1)</f>
        <v/>
      </c>
      <c r="AX49" s="70">
        <f>INDIRECT("'Mar"&amp;Members!$G$2&amp;"-EXPENSE'!R"&amp;ROW()+3)</f>
        <v/>
      </c>
      <c r="AY49" s="75" t="n"/>
      <c r="AZ49" s="70">
        <f>AW49-(AX49+AY49)</f>
        <v/>
      </c>
      <c r="BA49" s="70">
        <f>SUM(E49,I49,M49,Q49,U49,Y49,AC49,AG49,AK49,AO49,AS49,AW49)</f>
        <v/>
      </c>
      <c r="BB49" s="70">
        <f>SUM(F49,J49,N49,R49,V49,Z49,AD49,AH49,AL49,AP49,AT49,AX49)</f>
        <v/>
      </c>
      <c r="BC49" s="70">
        <f>SUM(G49,K49,O49,S49,W49,AA49,AE49,AI49,AM49,AQ49,AU49,AY49)</f>
        <v/>
      </c>
      <c r="BD49" s="70">
        <f>BA49-(BB49+BC49)</f>
        <v/>
      </c>
      <c r="BE49" s="70">
        <f>BD49+D49</f>
        <v/>
      </c>
    </row>
    <row r="50" ht="15.75" customHeight="1" s="99">
      <c r="A50" s="52" t="inlineStr">
        <is>
          <t>S16</t>
        </is>
      </c>
      <c r="B50" s="71">
        <f>VLOOKUP(A50,Members!$A$2:$C$65,3,FALSE)</f>
        <v/>
      </c>
      <c r="C50" s="52">
        <f>Members!B49</f>
        <v/>
      </c>
      <c r="D50" s="72" t="n">
        <v>5182.780671485161</v>
      </c>
      <c r="E50" s="72">
        <f>INDIRECT("'Apr"&amp;Members!$F$2&amp;"-COLLECTION'!K"&amp;ROW()-1)</f>
        <v/>
      </c>
      <c r="F50" s="72">
        <f>INDIRECT("'Apr"&amp;Members!$F$2&amp;"-EXPENSE'!R"&amp;ROW()+3)</f>
        <v/>
      </c>
      <c r="G50" s="10" t="n"/>
      <c r="H50" s="72">
        <f>E50-(F50+G50)</f>
        <v/>
      </c>
      <c r="I50" s="72">
        <f>INDIRECT("'May"&amp;Members!$F$2&amp;"-COLLECTION'!K"&amp;ROW()-1)</f>
        <v/>
      </c>
      <c r="J50" s="72">
        <f>INDIRECT("'May"&amp;Members!$F$2&amp;"-EXPENSE'!R"&amp;ROW()+3)</f>
        <v/>
      </c>
      <c r="K50" s="11" t="n"/>
      <c r="L50" s="72">
        <f>I50-(J50+K50)</f>
        <v/>
      </c>
      <c r="M50" s="72">
        <f>INDIRECT("'June"&amp;Members!$F$2&amp;"-COLLECTION'!K"&amp;ROW()-1)</f>
        <v/>
      </c>
      <c r="N50" s="72">
        <f>INDIRECT("'June"&amp;Members!$F$2&amp;"-EXPENSE'!R"&amp;ROW()+3)</f>
        <v/>
      </c>
      <c r="O50" s="10" t="n"/>
      <c r="P50" s="72">
        <f>M50-(N50+O50)</f>
        <v/>
      </c>
      <c r="Q50" s="72">
        <f>INDIRECT("'July"&amp;Members!$F$2&amp;"-COLLECTION'!K"&amp;ROW()-1)</f>
        <v/>
      </c>
      <c r="R50" s="72">
        <f>INDIRECT("'July"&amp;Members!$F$2&amp;"-EXPENSE'!R"&amp;ROW()+3)</f>
        <v/>
      </c>
      <c r="S50" s="11" t="n"/>
      <c r="T50" s="72">
        <f>Q50-(R50+S50)</f>
        <v/>
      </c>
      <c r="U50" s="72">
        <f>INDIRECT("'Aug"&amp;Members!$F$2&amp;"-COLLECTION'!K"&amp;ROW()-1)</f>
        <v/>
      </c>
      <c r="V50" s="72">
        <f>INDIRECT("'Aug"&amp;Members!$F$2&amp;"-EXPENSE'!R"&amp;ROW()+3)</f>
        <v/>
      </c>
      <c r="W50" s="10" t="n"/>
      <c r="X50" s="72">
        <f>U50-(V50+W50)</f>
        <v/>
      </c>
      <c r="Y50" s="72">
        <f>INDIRECT("'Sep"&amp;Members!$F$2&amp;"-COLLECTION'!K"&amp;ROW()-1)</f>
        <v/>
      </c>
      <c r="Z50" s="72">
        <f>INDIRECT("'Sep"&amp;Members!$F$2&amp;"-EXPENSE'!R"&amp;ROW()+3)</f>
        <v/>
      </c>
      <c r="AA50" s="11" t="n"/>
      <c r="AB50" s="72">
        <f>Y50-(Z50+AA50)</f>
        <v/>
      </c>
      <c r="AC50" s="72">
        <f>INDIRECT("'Oct"&amp;Members!$F$2&amp;"-COLLECTION'!K"&amp;ROW()-1)</f>
        <v/>
      </c>
      <c r="AD50" s="72">
        <f>INDIRECT("'Oct"&amp;Members!$F$2&amp;"-EXPENSE'!R"&amp;ROW()+3)</f>
        <v/>
      </c>
      <c r="AE50" s="11" t="n"/>
      <c r="AF50" s="72">
        <f>AC50-(AD50+AE50)</f>
        <v/>
      </c>
      <c r="AG50" s="72">
        <f>INDIRECT("'Nov"&amp;Members!$F$2&amp;"-COLLECTION'!K"&amp;ROW()-1)</f>
        <v/>
      </c>
      <c r="AH50" s="72">
        <f>INDIRECT("'Nov"&amp;Members!$F$2&amp;"-EXPENSE'!R"&amp;ROW()+3)</f>
        <v/>
      </c>
      <c r="AI50" s="11" t="n"/>
      <c r="AJ50" s="72">
        <f>AG50-(AH50+AI50)</f>
        <v/>
      </c>
      <c r="AK50" s="72">
        <f>INDIRECT("'Dec"&amp;Members!$F$2&amp;"-COLLECTION'!K"&amp;ROW()-1)</f>
        <v/>
      </c>
      <c r="AL50" s="72">
        <f>INDIRECT("'Dec"&amp;Members!$F$2&amp;"-EXPENSE'!R"&amp;ROW()+3)</f>
        <v/>
      </c>
      <c r="AM50" s="11" t="n"/>
      <c r="AN50" s="72">
        <f>AK50-(AL50+AM50)</f>
        <v/>
      </c>
      <c r="AO50" s="72">
        <f>INDIRECT("'Jan"&amp;Members!$G$2&amp;"-COLLECTION'!K"&amp;ROW()-1)</f>
        <v/>
      </c>
      <c r="AP50" s="72">
        <f>INDIRECT("'Jan"&amp;Members!$G$2&amp;"-EXPENSE'!R"&amp;ROW()+3)</f>
        <v/>
      </c>
      <c r="AQ50" s="75" t="n"/>
      <c r="AR50" s="72">
        <f>AO50-(AP50+AQ50)</f>
        <v/>
      </c>
      <c r="AS50" s="72">
        <f>INDIRECT("'Feb"&amp;Members!$G$2&amp;"-COLLECTION'!K"&amp;ROW()-1)</f>
        <v/>
      </c>
      <c r="AT50" s="72">
        <f>INDIRECT("'Feb"&amp;Members!$G$2&amp;"-EXPENSE'!R"&amp;ROW()+3)</f>
        <v/>
      </c>
      <c r="AU50" s="75" t="n"/>
      <c r="AV50" s="72">
        <f>AS50-(AT50+AU50)</f>
        <v/>
      </c>
      <c r="AW50" s="72">
        <f>INDIRECT("'Mar"&amp;Members!$G$2&amp;"-COLLECTION'!K"&amp;ROW()-1)</f>
        <v/>
      </c>
      <c r="AX50" s="72">
        <f>INDIRECT("'Mar"&amp;Members!$G$2&amp;"-EXPENSE'!R"&amp;ROW()+3)</f>
        <v/>
      </c>
      <c r="AY50" s="75" t="n"/>
      <c r="AZ50" s="72">
        <f>AW50-(AX50+AY50)</f>
        <v/>
      </c>
      <c r="BA50" s="72">
        <f>SUM(E50,I50,M50,Q50,U50,Y50,AC50,AG50,AK50,AO50,AS50,AW50)</f>
        <v/>
      </c>
      <c r="BB50" s="72">
        <f>SUM(F50,J50,N50,R50,V50,Z50,AD50,AH50,AL50,AP50,AT50,AX50)</f>
        <v/>
      </c>
      <c r="BC50" s="72">
        <f>SUM(G50,K50,O50,S50,W50,AA50,AE50,AI50,AM50,AQ50,AU50,AY50)</f>
        <v/>
      </c>
      <c r="BD50" s="72">
        <f>BA50-(BB50+BC50)</f>
        <v/>
      </c>
      <c r="BE50" s="72">
        <f>BD50+D50</f>
        <v/>
      </c>
    </row>
    <row r="51" ht="15.75" customHeight="1" s="99">
      <c r="A51" s="68" t="inlineStr">
        <is>
          <t>T1</t>
        </is>
      </c>
      <c r="B51" s="69">
        <f>VLOOKUP(A51,Members!$A$2:$C$65,3,FALSE)</f>
        <v/>
      </c>
      <c r="C51" s="68">
        <f>Members!B50</f>
        <v/>
      </c>
      <c r="D51" s="70" t="n">
        <v>-1934.277729935653</v>
      </c>
      <c r="E51" s="70">
        <f>INDIRECT("'Apr"&amp;Members!$F$2&amp;"-COLLECTION'!K"&amp;ROW()-1)</f>
        <v/>
      </c>
      <c r="F51" s="70">
        <f>INDIRECT("'Apr"&amp;Members!$F$2&amp;"-EXPENSE'!R"&amp;ROW()+3)</f>
        <v/>
      </c>
      <c r="G51" s="10" t="n"/>
      <c r="H51" s="70">
        <f>E51-(F51+G51)</f>
        <v/>
      </c>
      <c r="I51" s="70">
        <f>INDIRECT("'May"&amp;Members!$F$2&amp;"-COLLECTION'!K"&amp;ROW()-1)</f>
        <v/>
      </c>
      <c r="J51" s="70">
        <f>INDIRECT("'May"&amp;Members!$F$2&amp;"-EXPENSE'!R"&amp;ROW()+3)</f>
        <v/>
      </c>
      <c r="K51" s="11" t="n"/>
      <c r="L51" s="70">
        <f>I51-(J51+K51)</f>
        <v/>
      </c>
      <c r="M51" s="70">
        <f>INDIRECT("'June"&amp;Members!$F$2&amp;"-COLLECTION'!K"&amp;ROW()-1)</f>
        <v/>
      </c>
      <c r="N51" s="70">
        <f>INDIRECT("'June"&amp;Members!$F$2&amp;"-EXPENSE'!R"&amp;ROW()+3)</f>
        <v/>
      </c>
      <c r="O51" s="10" t="n"/>
      <c r="P51" s="70">
        <f>M51-(N51+O51)</f>
        <v/>
      </c>
      <c r="Q51" s="70">
        <f>INDIRECT("'July"&amp;Members!$F$2&amp;"-COLLECTION'!K"&amp;ROW()-1)</f>
        <v/>
      </c>
      <c r="R51" s="70">
        <f>INDIRECT("'July"&amp;Members!$F$2&amp;"-EXPENSE'!R"&amp;ROW()+3)</f>
        <v/>
      </c>
      <c r="S51" s="11" t="n"/>
      <c r="T51" s="70">
        <f>Q51-(R51+S51)</f>
        <v/>
      </c>
      <c r="U51" s="70">
        <f>INDIRECT("'Aug"&amp;Members!$F$2&amp;"-COLLECTION'!K"&amp;ROW()-1)</f>
        <v/>
      </c>
      <c r="V51" s="70">
        <f>INDIRECT("'Aug"&amp;Members!$F$2&amp;"-EXPENSE'!R"&amp;ROW()+3)</f>
        <v/>
      </c>
      <c r="W51" s="10" t="n"/>
      <c r="X51" s="70">
        <f>U51-(V51+W51)</f>
        <v/>
      </c>
      <c r="Y51" s="70">
        <f>INDIRECT("'Sep"&amp;Members!$F$2&amp;"-COLLECTION'!K"&amp;ROW()-1)</f>
        <v/>
      </c>
      <c r="Z51" s="70">
        <f>INDIRECT("'Sep"&amp;Members!$F$2&amp;"-EXPENSE'!R"&amp;ROW()+3)</f>
        <v/>
      </c>
      <c r="AA51" s="11" t="n"/>
      <c r="AB51" s="70">
        <f>Y51-(Z51+AA51)</f>
        <v/>
      </c>
      <c r="AC51" s="70">
        <f>INDIRECT("'Oct"&amp;Members!$F$2&amp;"-COLLECTION'!K"&amp;ROW()-1)</f>
        <v/>
      </c>
      <c r="AD51" s="70">
        <f>INDIRECT("'Oct"&amp;Members!$F$2&amp;"-EXPENSE'!R"&amp;ROW()+3)</f>
        <v/>
      </c>
      <c r="AE51" s="11" t="n"/>
      <c r="AF51" s="70">
        <f>AC51-(AD51+AE51)</f>
        <v/>
      </c>
      <c r="AG51" s="70">
        <f>INDIRECT("'Nov"&amp;Members!$F$2&amp;"-COLLECTION'!K"&amp;ROW()-1)</f>
        <v/>
      </c>
      <c r="AH51" s="70">
        <f>INDIRECT("'Nov"&amp;Members!$F$2&amp;"-EXPENSE'!R"&amp;ROW()+3)</f>
        <v/>
      </c>
      <c r="AI51" s="11" t="n"/>
      <c r="AJ51" s="70">
        <f>AG51-(AH51+AI51)</f>
        <v/>
      </c>
      <c r="AK51" s="70">
        <f>INDIRECT("'Dec"&amp;Members!$F$2&amp;"-COLLECTION'!K"&amp;ROW()-1)</f>
        <v/>
      </c>
      <c r="AL51" s="70">
        <f>INDIRECT("'Dec"&amp;Members!$F$2&amp;"-EXPENSE'!R"&amp;ROW()+3)</f>
        <v/>
      </c>
      <c r="AM51" s="11" t="n"/>
      <c r="AN51" s="70">
        <f>AK51-(AL51+AM51)</f>
        <v/>
      </c>
      <c r="AO51" s="70">
        <f>INDIRECT("'Jan"&amp;Members!$G$2&amp;"-COLLECTION'!K"&amp;ROW()-1)</f>
        <v/>
      </c>
      <c r="AP51" s="70">
        <f>INDIRECT("'Jan"&amp;Members!$G$2&amp;"-EXPENSE'!R"&amp;ROW()+3)</f>
        <v/>
      </c>
      <c r="AQ51" s="75" t="n"/>
      <c r="AR51" s="70">
        <f>AO51-(AP51+AQ51)</f>
        <v/>
      </c>
      <c r="AS51" s="70">
        <f>INDIRECT("'Feb"&amp;Members!$G$2&amp;"-COLLECTION'!K"&amp;ROW()-1)</f>
        <v/>
      </c>
      <c r="AT51" s="70">
        <f>INDIRECT("'Feb"&amp;Members!$G$2&amp;"-EXPENSE'!R"&amp;ROW()+3)</f>
        <v/>
      </c>
      <c r="AU51" s="75" t="n"/>
      <c r="AV51" s="70">
        <f>AS51-(AT51+AU51)</f>
        <v/>
      </c>
      <c r="AW51" s="70">
        <f>INDIRECT("'Mar"&amp;Members!$G$2&amp;"-COLLECTION'!K"&amp;ROW()-1)</f>
        <v/>
      </c>
      <c r="AX51" s="70">
        <f>INDIRECT("'Mar"&amp;Members!$G$2&amp;"-EXPENSE'!R"&amp;ROW()+3)</f>
        <v/>
      </c>
      <c r="AY51" s="75" t="n"/>
      <c r="AZ51" s="70">
        <f>AW51-(AX51+AY51)</f>
        <v/>
      </c>
      <c r="BA51" s="70">
        <f>SUM(E51,I51,M51,Q51,U51,Y51,AC51,AG51,AK51,AO51,AS51,AW51)</f>
        <v/>
      </c>
      <c r="BB51" s="70">
        <f>SUM(F51,J51,N51,R51,V51,Z51,AD51,AH51,AL51,AP51,AT51,AX51)</f>
        <v/>
      </c>
      <c r="BC51" s="70">
        <f>SUM(G51,K51,O51,S51,W51,AA51,AE51,AI51,AM51,AQ51,AU51,AY51)</f>
        <v/>
      </c>
      <c r="BD51" s="70">
        <f>BA51-(BB51+BC51)</f>
        <v/>
      </c>
      <c r="BE51" s="70">
        <f>BD51+D51</f>
        <v/>
      </c>
    </row>
    <row r="52" ht="15.75" customHeight="1" s="99">
      <c r="A52" s="52" t="inlineStr">
        <is>
          <t>T2</t>
        </is>
      </c>
      <c r="B52" s="71">
        <f>VLOOKUP(A52,Members!$A$2:$C$65,3,FALSE)</f>
        <v/>
      </c>
      <c r="C52" s="52">
        <f>Members!B51</f>
        <v/>
      </c>
      <c r="D52" s="72" t="n">
        <v>-39847.3378078524</v>
      </c>
      <c r="E52" s="72">
        <f>INDIRECT("'Apr"&amp;Members!$F$2&amp;"-COLLECTION'!K"&amp;ROW()-1)</f>
        <v/>
      </c>
      <c r="F52" s="72">
        <f>INDIRECT("'Apr"&amp;Members!$F$2&amp;"-EXPENSE'!R"&amp;ROW()+3)</f>
        <v/>
      </c>
      <c r="G52" s="10" t="n"/>
      <c r="H52" s="72">
        <f>E52-(F52+G52)</f>
        <v/>
      </c>
      <c r="I52" s="72">
        <f>INDIRECT("'May"&amp;Members!$F$2&amp;"-COLLECTION'!K"&amp;ROW()-1)</f>
        <v/>
      </c>
      <c r="J52" s="72">
        <f>INDIRECT("'May"&amp;Members!$F$2&amp;"-EXPENSE'!R"&amp;ROW()+3)</f>
        <v/>
      </c>
      <c r="K52" s="11" t="n"/>
      <c r="L52" s="72">
        <f>I52-(J52+K52)</f>
        <v/>
      </c>
      <c r="M52" s="72">
        <f>INDIRECT("'June"&amp;Members!$F$2&amp;"-COLLECTION'!K"&amp;ROW()-1)</f>
        <v/>
      </c>
      <c r="N52" s="72">
        <f>INDIRECT("'June"&amp;Members!$F$2&amp;"-EXPENSE'!R"&amp;ROW()+3)</f>
        <v/>
      </c>
      <c r="O52" s="10" t="n"/>
      <c r="P52" s="72">
        <f>M52-(N52+O52)</f>
        <v/>
      </c>
      <c r="Q52" s="72">
        <f>INDIRECT("'July"&amp;Members!$F$2&amp;"-COLLECTION'!K"&amp;ROW()-1)</f>
        <v/>
      </c>
      <c r="R52" s="72">
        <f>INDIRECT("'July"&amp;Members!$F$2&amp;"-EXPENSE'!R"&amp;ROW()+3)</f>
        <v/>
      </c>
      <c r="S52" s="11" t="n"/>
      <c r="T52" s="72">
        <f>Q52-(R52+S52)</f>
        <v/>
      </c>
      <c r="U52" s="72">
        <f>INDIRECT("'Aug"&amp;Members!$F$2&amp;"-COLLECTION'!K"&amp;ROW()-1)</f>
        <v/>
      </c>
      <c r="V52" s="72">
        <f>INDIRECT("'Aug"&amp;Members!$F$2&amp;"-EXPENSE'!R"&amp;ROW()+3)</f>
        <v/>
      </c>
      <c r="W52" s="10" t="n"/>
      <c r="X52" s="72">
        <f>U52-(V52+W52)</f>
        <v/>
      </c>
      <c r="Y52" s="72">
        <f>INDIRECT("'Sep"&amp;Members!$F$2&amp;"-COLLECTION'!K"&amp;ROW()-1)</f>
        <v/>
      </c>
      <c r="Z52" s="72">
        <f>INDIRECT("'Sep"&amp;Members!$F$2&amp;"-EXPENSE'!R"&amp;ROW()+3)</f>
        <v/>
      </c>
      <c r="AA52" s="11" t="n"/>
      <c r="AB52" s="72">
        <f>Y52-(Z52+AA52)</f>
        <v/>
      </c>
      <c r="AC52" s="72">
        <f>INDIRECT("'Oct"&amp;Members!$F$2&amp;"-COLLECTION'!K"&amp;ROW()-1)</f>
        <v/>
      </c>
      <c r="AD52" s="72">
        <f>INDIRECT("'Oct"&amp;Members!$F$2&amp;"-EXPENSE'!R"&amp;ROW()+3)</f>
        <v/>
      </c>
      <c r="AE52" s="11" t="n"/>
      <c r="AF52" s="72">
        <f>AC52-(AD52+AE52)</f>
        <v/>
      </c>
      <c r="AG52" s="72">
        <f>INDIRECT("'Nov"&amp;Members!$F$2&amp;"-COLLECTION'!K"&amp;ROW()-1)</f>
        <v/>
      </c>
      <c r="AH52" s="72">
        <f>INDIRECT("'Nov"&amp;Members!$F$2&amp;"-EXPENSE'!R"&amp;ROW()+3)</f>
        <v/>
      </c>
      <c r="AI52" s="11" t="n"/>
      <c r="AJ52" s="72">
        <f>AG52-(AH52+AI52)</f>
        <v/>
      </c>
      <c r="AK52" s="72">
        <f>INDIRECT("'Dec"&amp;Members!$F$2&amp;"-COLLECTION'!K"&amp;ROW()-1)</f>
        <v/>
      </c>
      <c r="AL52" s="72">
        <f>INDIRECT("'Dec"&amp;Members!$F$2&amp;"-EXPENSE'!R"&amp;ROW()+3)</f>
        <v/>
      </c>
      <c r="AM52" s="11" t="n"/>
      <c r="AN52" s="72">
        <f>AK52-(AL52+AM52)</f>
        <v/>
      </c>
      <c r="AO52" s="72">
        <f>INDIRECT("'Jan"&amp;Members!$G$2&amp;"-COLLECTION'!K"&amp;ROW()-1)</f>
        <v/>
      </c>
      <c r="AP52" s="72">
        <f>INDIRECT("'Jan"&amp;Members!$G$2&amp;"-EXPENSE'!R"&amp;ROW()+3)</f>
        <v/>
      </c>
      <c r="AQ52" s="75" t="n"/>
      <c r="AR52" s="72">
        <f>AO52-(AP52+AQ52)</f>
        <v/>
      </c>
      <c r="AS52" s="72">
        <f>INDIRECT("'Feb"&amp;Members!$G$2&amp;"-COLLECTION'!K"&amp;ROW()-1)</f>
        <v/>
      </c>
      <c r="AT52" s="72">
        <f>INDIRECT("'Feb"&amp;Members!$G$2&amp;"-EXPENSE'!R"&amp;ROW()+3)</f>
        <v/>
      </c>
      <c r="AU52" s="75" t="n"/>
      <c r="AV52" s="72">
        <f>AS52-(AT52+AU52)</f>
        <v/>
      </c>
      <c r="AW52" s="72">
        <f>INDIRECT("'Mar"&amp;Members!$G$2&amp;"-COLLECTION'!K"&amp;ROW()-1)</f>
        <v/>
      </c>
      <c r="AX52" s="72">
        <f>INDIRECT("'Mar"&amp;Members!$G$2&amp;"-EXPENSE'!R"&amp;ROW()+3)</f>
        <v/>
      </c>
      <c r="AY52" s="75" t="n"/>
      <c r="AZ52" s="72">
        <f>AW52-(AX52+AY52)</f>
        <v/>
      </c>
      <c r="BA52" s="72">
        <f>SUM(E52,I52,M52,Q52,U52,Y52,AC52,AG52,AK52,AO52,AS52,AW52)</f>
        <v/>
      </c>
      <c r="BB52" s="72">
        <f>SUM(F52,J52,N52,R52,V52,Z52,AD52,AH52,AL52,AP52,AT52,AX52)</f>
        <v/>
      </c>
      <c r="BC52" s="72">
        <f>SUM(G52,K52,O52,S52,W52,AA52,AE52,AI52,AM52,AQ52,AU52,AY52)</f>
        <v/>
      </c>
      <c r="BD52" s="72">
        <f>BA52-(BB52+BC52)</f>
        <v/>
      </c>
      <c r="BE52" s="72">
        <f>BD52+D52</f>
        <v/>
      </c>
    </row>
    <row r="53" ht="15.75" customHeight="1" s="99">
      <c r="A53" s="68" t="inlineStr">
        <is>
          <t>T3</t>
        </is>
      </c>
      <c r="B53" s="69">
        <f>VLOOKUP(A53,Members!$A$2:$C$65,3,FALSE)</f>
        <v/>
      </c>
      <c r="C53" s="68">
        <f>Members!B52</f>
        <v/>
      </c>
      <c r="D53" s="70" t="n">
        <v>4061.884170860532</v>
      </c>
      <c r="E53" s="70">
        <f>INDIRECT("'Apr"&amp;Members!$F$2&amp;"-COLLECTION'!K"&amp;ROW()-1)</f>
        <v/>
      </c>
      <c r="F53" s="70">
        <f>INDIRECT("'Apr"&amp;Members!$F$2&amp;"-EXPENSE'!R"&amp;ROW()+3)</f>
        <v/>
      </c>
      <c r="G53" s="10" t="n"/>
      <c r="H53" s="70">
        <f>E53-(F53+G53)</f>
        <v/>
      </c>
      <c r="I53" s="70">
        <f>INDIRECT("'May"&amp;Members!$F$2&amp;"-COLLECTION'!K"&amp;ROW()-1)</f>
        <v/>
      </c>
      <c r="J53" s="70">
        <f>INDIRECT("'May"&amp;Members!$F$2&amp;"-EXPENSE'!R"&amp;ROW()+3)</f>
        <v/>
      </c>
      <c r="K53" s="11" t="n"/>
      <c r="L53" s="70">
        <f>I53-(J53+K53)</f>
        <v/>
      </c>
      <c r="M53" s="70">
        <f>INDIRECT("'June"&amp;Members!$F$2&amp;"-COLLECTION'!K"&amp;ROW()-1)</f>
        <v/>
      </c>
      <c r="N53" s="70">
        <f>INDIRECT("'June"&amp;Members!$F$2&amp;"-EXPENSE'!R"&amp;ROW()+3)</f>
        <v/>
      </c>
      <c r="O53" s="10" t="n"/>
      <c r="P53" s="70">
        <f>M53-(N53+O53)</f>
        <v/>
      </c>
      <c r="Q53" s="70">
        <f>INDIRECT("'July"&amp;Members!$F$2&amp;"-COLLECTION'!K"&amp;ROW()-1)</f>
        <v/>
      </c>
      <c r="R53" s="70">
        <f>INDIRECT("'July"&amp;Members!$F$2&amp;"-EXPENSE'!R"&amp;ROW()+3)</f>
        <v/>
      </c>
      <c r="S53" s="11" t="n"/>
      <c r="T53" s="70">
        <f>Q53-(R53+S53)</f>
        <v/>
      </c>
      <c r="U53" s="70">
        <f>INDIRECT("'Aug"&amp;Members!$F$2&amp;"-COLLECTION'!K"&amp;ROW()-1)</f>
        <v/>
      </c>
      <c r="V53" s="70">
        <f>INDIRECT("'Aug"&amp;Members!$F$2&amp;"-EXPENSE'!R"&amp;ROW()+3)</f>
        <v/>
      </c>
      <c r="W53" s="10" t="n"/>
      <c r="X53" s="70">
        <f>U53-(V53+W53)</f>
        <v/>
      </c>
      <c r="Y53" s="70">
        <f>INDIRECT("'Sep"&amp;Members!$F$2&amp;"-COLLECTION'!K"&amp;ROW()-1)</f>
        <v/>
      </c>
      <c r="Z53" s="70">
        <f>INDIRECT("'Sep"&amp;Members!$F$2&amp;"-EXPENSE'!R"&amp;ROW()+3)</f>
        <v/>
      </c>
      <c r="AA53" s="11" t="n"/>
      <c r="AB53" s="70">
        <f>Y53-(Z53+AA53)</f>
        <v/>
      </c>
      <c r="AC53" s="70">
        <f>INDIRECT("'Oct"&amp;Members!$F$2&amp;"-COLLECTION'!K"&amp;ROW()-1)</f>
        <v/>
      </c>
      <c r="AD53" s="70">
        <f>INDIRECT("'Oct"&amp;Members!$F$2&amp;"-EXPENSE'!R"&amp;ROW()+3)</f>
        <v/>
      </c>
      <c r="AE53" s="11" t="n"/>
      <c r="AF53" s="70">
        <f>AC53-(AD53+AE53)</f>
        <v/>
      </c>
      <c r="AG53" s="70">
        <f>INDIRECT("'Nov"&amp;Members!$F$2&amp;"-COLLECTION'!K"&amp;ROW()-1)</f>
        <v/>
      </c>
      <c r="AH53" s="70">
        <f>INDIRECT("'Nov"&amp;Members!$F$2&amp;"-EXPENSE'!R"&amp;ROW()+3)</f>
        <v/>
      </c>
      <c r="AI53" s="11" t="n"/>
      <c r="AJ53" s="70">
        <f>AG53-(AH53+AI53)</f>
        <v/>
      </c>
      <c r="AK53" s="70">
        <f>INDIRECT("'Dec"&amp;Members!$F$2&amp;"-COLLECTION'!K"&amp;ROW()-1)</f>
        <v/>
      </c>
      <c r="AL53" s="70">
        <f>INDIRECT("'Dec"&amp;Members!$F$2&amp;"-EXPENSE'!R"&amp;ROW()+3)</f>
        <v/>
      </c>
      <c r="AM53" s="11" t="n"/>
      <c r="AN53" s="70">
        <f>AK53-(AL53+AM53)</f>
        <v/>
      </c>
      <c r="AO53" s="70">
        <f>INDIRECT("'Jan"&amp;Members!$G$2&amp;"-COLLECTION'!K"&amp;ROW()-1)</f>
        <v/>
      </c>
      <c r="AP53" s="70">
        <f>INDIRECT("'Jan"&amp;Members!$G$2&amp;"-EXPENSE'!R"&amp;ROW()+3)</f>
        <v/>
      </c>
      <c r="AQ53" s="75" t="n"/>
      <c r="AR53" s="70">
        <f>AO53-(AP53+AQ53)</f>
        <v/>
      </c>
      <c r="AS53" s="70">
        <f>INDIRECT("'Feb"&amp;Members!$G$2&amp;"-COLLECTION'!K"&amp;ROW()-1)</f>
        <v/>
      </c>
      <c r="AT53" s="70">
        <f>INDIRECT("'Feb"&amp;Members!$G$2&amp;"-EXPENSE'!R"&amp;ROW()+3)</f>
        <v/>
      </c>
      <c r="AU53" s="75" t="n"/>
      <c r="AV53" s="70">
        <f>AS53-(AT53+AU53)</f>
        <v/>
      </c>
      <c r="AW53" s="70">
        <f>INDIRECT("'Mar"&amp;Members!$G$2&amp;"-COLLECTION'!K"&amp;ROW()-1)</f>
        <v/>
      </c>
      <c r="AX53" s="70">
        <f>INDIRECT("'Mar"&amp;Members!$G$2&amp;"-EXPENSE'!R"&amp;ROW()+3)</f>
        <v/>
      </c>
      <c r="AY53" s="75" t="n"/>
      <c r="AZ53" s="70">
        <f>AW53-(AX53+AY53)</f>
        <v/>
      </c>
      <c r="BA53" s="70">
        <f>SUM(E53,I53,M53,Q53,U53,Y53,AC53,AG53,AK53,AO53,AS53,AW53)</f>
        <v/>
      </c>
      <c r="BB53" s="70">
        <f>SUM(F53,J53,N53,R53,V53,Z53,AD53,AH53,AL53,AP53,AT53,AX53)</f>
        <v/>
      </c>
      <c r="BC53" s="70">
        <f>SUM(G53,K53,O53,S53,W53,AA53,AE53,AI53,AM53,AQ53,AU53,AY53)</f>
        <v/>
      </c>
      <c r="BD53" s="70">
        <f>BA53-(BB53+BC53)</f>
        <v/>
      </c>
      <c r="BE53" s="70">
        <f>BD53+D53</f>
        <v/>
      </c>
    </row>
    <row r="54" ht="15.75" customHeight="1" s="99">
      <c r="A54" s="52" t="inlineStr">
        <is>
          <t>T4</t>
        </is>
      </c>
      <c r="B54" s="71">
        <f>VLOOKUP(A54,Members!$A$2:$C$65,3,FALSE)</f>
        <v/>
      </c>
      <c r="C54" s="52">
        <f>Members!B53</f>
        <v/>
      </c>
      <c r="D54" s="72" t="n">
        <v>-36051.19587780692</v>
      </c>
      <c r="E54" s="72">
        <f>INDIRECT("'Apr"&amp;Members!$F$2&amp;"-COLLECTION'!K"&amp;ROW()-1)</f>
        <v/>
      </c>
      <c r="F54" s="72">
        <f>INDIRECT("'Apr"&amp;Members!$F$2&amp;"-EXPENSE'!R"&amp;ROW()+3)</f>
        <v/>
      </c>
      <c r="G54" s="10" t="n"/>
      <c r="H54" s="72">
        <f>E54-(F54+G54)</f>
        <v/>
      </c>
      <c r="I54" s="72">
        <f>INDIRECT("'May"&amp;Members!$F$2&amp;"-COLLECTION'!K"&amp;ROW()-1)</f>
        <v/>
      </c>
      <c r="J54" s="72">
        <f>INDIRECT("'May"&amp;Members!$F$2&amp;"-EXPENSE'!R"&amp;ROW()+3)</f>
        <v/>
      </c>
      <c r="K54" s="11" t="n"/>
      <c r="L54" s="72">
        <f>I54-(J54+K54)</f>
        <v/>
      </c>
      <c r="M54" s="72">
        <f>INDIRECT("'June"&amp;Members!$F$2&amp;"-COLLECTION'!K"&amp;ROW()-1)</f>
        <v/>
      </c>
      <c r="N54" s="72">
        <f>INDIRECT("'June"&amp;Members!$F$2&amp;"-EXPENSE'!R"&amp;ROW()+3)</f>
        <v/>
      </c>
      <c r="O54" s="10" t="n"/>
      <c r="P54" s="72">
        <f>M54-(N54+O54)</f>
        <v/>
      </c>
      <c r="Q54" s="72">
        <f>INDIRECT("'July"&amp;Members!$F$2&amp;"-COLLECTION'!K"&amp;ROW()-1)</f>
        <v/>
      </c>
      <c r="R54" s="72">
        <f>INDIRECT("'July"&amp;Members!$F$2&amp;"-EXPENSE'!R"&amp;ROW()+3)</f>
        <v/>
      </c>
      <c r="S54" s="11" t="n"/>
      <c r="T54" s="72">
        <f>Q54-(R54+S54)</f>
        <v/>
      </c>
      <c r="U54" s="72">
        <f>INDIRECT("'Aug"&amp;Members!$F$2&amp;"-COLLECTION'!K"&amp;ROW()-1)</f>
        <v/>
      </c>
      <c r="V54" s="72">
        <f>INDIRECT("'Aug"&amp;Members!$F$2&amp;"-EXPENSE'!R"&amp;ROW()+3)</f>
        <v/>
      </c>
      <c r="W54" s="10" t="n"/>
      <c r="X54" s="72">
        <f>U54-(V54+W54)</f>
        <v/>
      </c>
      <c r="Y54" s="72">
        <f>INDIRECT("'Sep"&amp;Members!$F$2&amp;"-COLLECTION'!K"&amp;ROW()-1)</f>
        <v/>
      </c>
      <c r="Z54" s="72">
        <f>INDIRECT("'Sep"&amp;Members!$F$2&amp;"-EXPENSE'!R"&amp;ROW()+3)</f>
        <v/>
      </c>
      <c r="AA54" s="11" t="n"/>
      <c r="AB54" s="72">
        <f>Y54-(Z54+AA54)</f>
        <v/>
      </c>
      <c r="AC54" s="72">
        <f>INDIRECT("'Oct"&amp;Members!$F$2&amp;"-COLLECTION'!K"&amp;ROW()-1)</f>
        <v/>
      </c>
      <c r="AD54" s="72">
        <f>INDIRECT("'Oct"&amp;Members!$F$2&amp;"-EXPENSE'!R"&amp;ROW()+3)</f>
        <v/>
      </c>
      <c r="AE54" s="11" t="n"/>
      <c r="AF54" s="72">
        <f>AC54-(AD54+AE54)</f>
        <v/>
      </c>
      <c r="AG54" s="72">
        <f>INDIRECT("'Nov"&amp;Members!$F$2&amp;"-COLLECTION'!K"&amp;ROW()-1)</f>
        <v/>
      </c>
      <c r="AH54" s="72">
        <f>INDIRECT("'Nov"&amp;Members!$F$2&amp;"-EXPENSE'!R"&amp;ROW()+3)</f>
        <v/>
      </c>
      <c r="AI54" s="11" t="n"/>
      <c r="AJ54" s="72">
        <f>AG54-(AH54+AI54)</f>
        <v/>
      </c>
      <c r="AK54" s="72">
        <f>INDIRECT("'Dec"&amp;Members!$F$2&amp;"-COLLECTION'!K"&amp;ROW()-1)</f>
        <v/>
      </c>
      <c r="AL54" s="72">
        <f>INDIRECT("'Dec"&amp;Members!$F$2&amp;"-EXPENSE'!R"&amp;ROW()+3)</f>
        <v/>
      </c>
      <c r="AM54" s="11" t="n"/>
      <c r="AN54" s="72">
        <f>AK54-(AL54+AM54)</f>
        <v/>
      </c>
      <c r="AO54" s="72">
        <f>INDIRECT("'Jan"&amp;Members!$G$2&amp;"-COLLECTION'!K"&amp;ROW()-1)</f>
        <v/>
      </c>
      <c r="AP54" s="72">
        <f>INDIRECT("'Jan"&amp;Members!$G$2&amp;"-EXPENSE'!R"&amp;ROW()+3)</f>
        <v/>
      </c>
      <c r="AQ54" s="75" t="n"/>
      <c r="AR54" s="72">
        <f>AO54-(AP54+AQ54)</f>
        <v/>
      </c>
      <c r="AS54" s="72">
        <f>INDIRECT("'Feb"&amp;Members!$G$2&amp;"-COLLECTION'!K"&amp;ROW()-1)</f>
        <v/>
      </c>
      <c r="AT54" s="72">
        <f>INDIRECT("'Feb"&amp;Members!$G$2&amp;"-EXPENSE'!R"&amp;ROW()+3)</f>
        <v/>
      </c>
      <c r="AU54" s="75" t="n"/>
      <c r="AV54" s="72">
        <f>AS54-(AT54+AU54)</f>
        <v/>
      </c>
      <c r="AW54" s="72">
        <f>INDIRECT("'Mar"&amp;Members!$G$2&amp;"-COLLECTION'!K"&amp;ROW()-1)</f>
        <v/>
      </c>
      <c r="AX54" s="72">
        <f>INDIRECT("'Mar"&amp;Members!$G$2&amp;"-EXPENSE'!R"&amp;ROW()+3)</f>
        <v/>
      </c>
      <c r="AY54" s="75" t="n"/>
      <c r="AZ54" s="72">
        <f>AW54-(AX54+AY54)</f>
        <v/>
      </c>
      <c r="BA54" s="72">
        <f>SUM(E54,I54,M54,Q54,U54,Y54,AC54,AG54,AK54,AO54,AS54,AW54)</f>
        <v/>
      </c>
      <c r="BB54" s="72">
        <f>SUM(F54,J54,N54,R54,V54,Z54,AD54,AH54,AL54,AP54,AT54,AX54)</f>
        <v/>
      </c>
      <c r="BC54" s="72">
        <f>SUM(G54,K54,O54,S54,W54,AA54,AE54,AI54,AM54,AQ54,AU54,AY54)</f>
        <v/>
      </c>
      <c r="BD54" s="72">
        <f>BA54-(BB54+BC54)</f>
        <v/>
      </c>
      <c r="BE54" s="72">
        <f>BD54+D54</f>
        <v/>
      </c>
    </row>
    <row r="55" ht="15.75" customHeight="1" s="99">
      <c r="A55" s="68" t="inlineStr">
        <is>
          <t>T5</t>
        </is>
      </c>
      <c r="B55" s="69">
        <f>VLOOKUP(A55,Members!$A$2:$C$65,3,FALSE)</f>
        <v/>
      </c>
      <c r="C55" s="68">
        <f>Members!B54</f>
        <v/>
      </c>
      <c r="D55" s="70" t="n">
        <v>-26326.00619916573</v>
      </c>
      <c r="E55" s="70">
        <f>INDIRECT("'Apr"&amp;Members!$F$2&amp;"-COLLECTION'!K"&amp;ROW()-1)</f>
        <v/>
      </c>
      <c r="F55" s="70">
        <f>INDIRECT("'Apr"&amp;Members!$F$2&amp;"-EXPENSE'!R"&amp;ROW()+3)</f>
        <v/>
      </c>
      <c r="G55" s="10" t="n"/>
      <c r="H55" s="70">
        <f>E55-(F55+G55)</f>
        <v/>
      </c>
      <c r="I55" s="70">
        <f>INDIRECT("'May"&amp;Members!$F$2&amp;"-COLLECTION'!K"&amp;ROW()-1)</f>
        <v/>
      </c>
      <c r="J55" s="70">
        <f>INDIRECT("'May"&amp;Members!$F$2&amp;"-EXPENSE'!R"&amp;ROW()+3)</f>
        <v/>
      </c>
      <c r="K55" s="11" t="n"/>
      <c r="L55" s="70">
        <f>I55-(J55+K55)</f>
        <v/>
      </c>
      <c r="M55" s="70">
        <f>INDIRECT("'June"&amp;Members!$F$2&amp;"-COLLECTION'!K"&amp;ROW()-1)</f>
        <v/>
      </c>
      <c r="N55" s="70">
        <f>INDIRECT("'June"&amp;Members!$F$2&amp;"-EXPENSE'!R"&amp;ROW()+3)</f>
        <v/>
      </c>
      <c r="O55" s="10" t="n"/>
      <c r="P55" s="70">
        <f>M55-(N55+O55)</f>
        <v/>
      </c>
      <c r="Q55" s="70">
        <f>INDIRECT("'July"&amp;Members!$F$2&amp;"-COLLECTION'!K"&amp;ROW()-1)</f>
        <v/>
      </c>
      <c r="R55" s="70">
        <f>INDIRECT("'July"&amp;Members!$F$2&amp;"-EXPENSE'!R"&amp;ROW()+3)</f>
        <v/>
      </c>
      <c r="S55" s="11" t="n"/>
      <c r="T55" s="70">
        <f>Q55-(R55+S55)</f>
        <v/>
      </c>
      <c r="U55" s="70">
        <f>INDIRECT("'Aug"&amp;Members!$F$2&amp;"-COLLECTION'!K"&amp;ROW()-1)</f>
        <v/>
      </c>
      <c r="V55" s="70">
        <f>INDIRECT("'Aug"&amp;Members!$F$2&amp;"-EXPENSE'!R"&amp;ROW()+3)</f>
        <v/>
      </c>
      <c r="W55" s="10" t="n"/>
      <c r="X55" s="70">
        <f>U55-(V55+W55)</f>
        <v/>
      </c>
      <c r="Y55" s="70">
        <f>INDIRECT("'Sep"&amp;Members!$F$2&amp;"-COLLECTION'!K"&amp;ROW()-1)</f>
        <v/>
      </c>
      <c r="Z55" s="70">
        <f>INDIRECT("'Sep"&amp;Members!$F$2&amp;"-EXPENSE'!R"&amp;ROW()+3)</f>
        <v/>
      </c>
      <c r="AA55" s="11" t="n"/>
      <c r="AB55" s="70">
        <f>Y55-(Z55+AA55)</f>
        <v/>
      </c>
      <c r="AC55" s="70">
        <f>INDIRECT("'Oct"&amp;Members!$F$2&amp;"-COLLECTION'!K"&amp;ROW()-1)</f>
        <v/>
      </c>
      <c r="AD55" s="70">
        <f>INDIRECT("'Oct"&amp;Members!$F$2&amp;"-EXPENSE'!R"&amp;ROW()+3)</f>
        <v/>
      </c>
      <c r="AE55" s="11" t="n"/>
      <c r="AF55" s="70">
        <f>AC55-(AD55+AE55)</f>
        <v/>
      </c>
      <c r="AG55" s="70">
        <f>INDIRECT("'Nov"&amp;Members!$F$2&amp;"-COLLECTION'!K"&amp;ROW()-1)</f>
        <v/>
      </c>
      <c r="AH55" s="70">
        <f>INDIRECT("'Nov"&amp;Members!$F$2&amp;"-EXPENSE'!R"&amp;ROW()+3)</f>
        <v/>
      </c>
      <c r="AI55" s="11" t="n"/>
      <c r="AJ55" s="70">
        <f>AG55-(AH55+AI55)</f>
        <v/>
      </c>
      <c r="AK55" s="70">
        <f>INDIRECT("'Dec"&amp;Members!$F$2&amp;"-COLLECTION'!K"&amp;ROW()-1)</f>
        <v/>
      </c>
      <c r="AL55" s="70">
        <f>INDIRECT("'Dec"&amp;Members!$F$2&amp;"-EXPENSE'!R"&amp;ROW()+3)</f>
        <v/>
      </c>
      <c r="AM55" s="11" t="n"/>
      <c r="AN55" s="70">
        <f>AK55-(AL55+AM55)</f>
        <v/>
      </c>
      <c r="AO55" s="70">
        <f>INDIRECT("'Jan"&amp;Members!$G$2&amp;"-COLLECTION'!K"&amp;ROW()-1)</f>
        <v/>
      </c>
      <c r="AP55" s="70">
        <f>INDIRECT("'Jan"&amp;Members!$G$2&amp;"-EXPENSE'!R"&amp;ROW()+3)</f>
        <v/>
      </c>
      <c r="AQ55" s="75" t="n"/>
      <c r="AR55" s="70">
        <f>AO55-(AP55+AQ55)</f>
        <v/>
      </c>
      <c r="AS55" s="70">
        <f>INDIRECT("'Feb"&amp;Members!$G$2&amp;"-COLLECTION'!K"&amp;ROW()-1)</f>
        <v/>
      </c>
      <c r="AT55" s="70">
        <f>INDIRECT("'Feb"&amp;Members!$G$2&amp;"-EXPENSE'!R"&amp;ROW()+3)</f>
        <v/>
      </c>
      <c r="AU55" s="75" t="n"/>
      <c r="AV55" s="70">
        <f>AS55-(AT55+AU55)</f>
        <v/>
      </c>
      <c r="AW55" s="70">
        <f>INDIRECT("'Mar"&amp;Members!$G$2&amp;"-COLLECTION'!K"&amp;ROW()-1)</f>
        <v/>
      </c>
      <c r="AX55" s="70">
        <f>INDIRECT("'Mar"&amp;Members!$G$2&amp;"-EXPENSE'!R"&amp;ROW()+3)</f>
        <v/>
      </c>
      <c r="AY55" s="75" t="n"/>
      <c r="AZ55" s="70">
        <f>AW55-(AX55+AY55)</f>
        <v/>
      </c>
      <c r="BA55" s="70">
        <f>SUM(E55,I55,M55,Q55,U55,Y55,AC55,AG55,AK55,AO55,AS55,AW55)</f>
        <v/>
      </c>
      <c r="BB55" s="70">
        <f>SUM(F55,J55,N55,R55,V55,Z55,AD55,AH55,AL55,AP55,AT55,AX55)</f>
        <v/>
      </c>
      <c r="BC55" s="70">
        <f>SUM(G55,K55,O55,S55,W55,AA55,AE55,AI55,AM55,AQ55,AU55,AY55)</f>
        <v/>
      </c>
      <c r="BD55" s="70">
        <f>BA55-(BB55+BC55)</f>
        <v/>
      </c>
      <c r="BE55" s="70">
        <f>BD55+D55</f>
        <v/>
      </c>
    </row>
    <row r="56" ht="15.75" customHeight="1" s="99">
      <c r="A56" s="52" t="inlineStr">
        <is>
          <t>T6</t>
        </is>
      </c>
      <c r="B56" s="71">
        <f>VLOOKUP(A56,Members!$A$2:$C$65,3,FALSE)</f>
        <v/>
      </c>
      <c r="C56" s="52">
        <f>Members!B55</f>
        <v/>
      </c>
      <c r="D56" s="72" t="n">
        <v>-19999.37355083886</v>
      </c>
      <c r="E56" s="72">
        <f>INDIRECT("'Apr"&amp;Members!$F$2&amp;"-COLLECTION'!K"&amp;ROW()-1)</f>
        <v/>
      </c>
      <c r="F56" s="72">
        <f>INDIRECT("'Apr"&amp;Members!$F$2&amp;"-EXPENSE'!R"&amp;ROW()+3)</f>
        <v/>
      </c>
      <c r="G56" s="10" t="n"/>
      <c r="H56" s="72">
        <f>E56-(F56+G56)</f>
        <v/>
      </c>
      <c r="I56" s="72">
        <f>INDIRECT("'May"&amp;Members!$F$2&amp;"-COLLECTION'!K"&amp;ROW()-1)</f>
        <v/>
      </c>
      <c r="J56" s="72">
        <f>INDIRECT("'May"&amp;Members!$F$2&amp;"-EXPENSE'!R"&amp;ROW()+3)</f>
        <v/>
      </c>
      <c r="K56" s="11" t="n"/>
      <c r="L56" s="72">
        <f>I56-(J56+K56)</f>
        <v/>
      </c>
      <c r="M56" s="72">
        <f>INDIRECT("'June"&amp;Members!$F$2&amp;"-COLLECTION'!K"&amp;ROW()-1)</f>
        <v/>
      </c>
      <c r="N56" s="72">
        <f>INDIRECT("'June"&amp;Members!$F$2&amp;"-EXPENSE'!R"&amp;ROW()+3)</f>
        <v/>
      </c>
      <c r="O56" s="10" t="n"/>
      <c r="P56" s="72">
        <f>M56-(N56+O56)</f>
        <v/>
      </c>
      <c r="Q56" s="72">
        <f>INDIRECT("'July"&amp;Members!$F$2&amp;"-COLLECTION'!K"&amp;ROW()-1)</f>
        <v/>
      </c>
      <c r="R56" s="72">
        <f>INDIRECT("'July"&amp;Members!$F$2&amp;"-EXPENSE'!R"&amp;ROW()+3)</f>
        <v/>
      </c>
      <c r="S56" s="11" t="n"/>
      <c r="T56" s="72">
        <f>Q56-(R56+S56)</f>
        <v/>
      </c>
      <c r="U56" s="72">
        <f>INDIRECT("'Aug"&amp;Members!$F$2&amp;"-COLLECTION'!K"&amp;ROW()-1)</f>
        <v/>
      </c>
      <c r="V56" s="72">
        <f>INDIRECT("'Aug"&amp;Members!$F$2&amp;"-EXPENSE'!R"&amp;ROW()+3)</f>
        <v/>
      </c>
      <c r="W56" s="10" t="n"/>
      <c r="X56" s="72">
        <f>U56-(V56+W56)</f>
        <v/>
      </c>
      <c r="Y56" s="72">
        <f>INDIRECT("'Sep"&amp;Members!$F$2&amp;"-COLLECTION'!K"&amp;ROW()-1)</f>
        <v/>
      </c>
      <c r="Z56" s="72">
        <f>INDIRECT("'Sep"&amp;Members!$F$2&amp;"-EXPENSE'!R"&amp;ROW()+3)</f>
        <v/>
      </c>
      <c r="AA56" s="11" t="n"/>
      <c r="AB56" s="72">
        <f>Y56-(Z56+AA56)</f>
        <v/>
      </c>
      <c r="AC56" s="72">
        <f>INDIRECT("'Oct"&amp;Members!$F$2&amp;"-COLLECTION'!K"&amp;ROW()-1)</f>
        <v/>
      </c>
      <c r="AD56" s="72">
        <f>INDIRECT("'Oct"&amp;Members!$F$2&amp;"-EXPENSE'!R"&amp;ROW()+3)</f>
        <v/>
      </c>
      <c r="AE56" s="11" t="n"/>
      <c r="AF56" s="72">
        <f>AC56-(AD56+AE56)</f>
        <v/>
      </c>
      <c r="AG56" s="72">
        <f>INDIRECT("'Nov"&amp;Members!$F$2&amp;"-COLLECTION'!K"&amp;ROW()-1)</f>
        <v/>
      </c>
      <c r="AH56" s="72">
        <f>INDIRECT("'Nov"&amp;Members!$F$2&amp;"-EXPENSE'!R"&amp;ROW()+3)</f>
        <v/>
      </c>
      <c r="AI56" s="11" t="n"/>
      <c r="AJ56" s="72">
        <f>AG56-(AH56+AI56)</f>
        <v/>
      </c>
      <c r="AK56" s="72">
        <f>INDIRECT("'Dec"&amp;Members!$F$2&amp;"-COLLECTION'!K"&amp;ROW()-1)</f>
        <v/>
      </c>
      <c r="AL56" s="72">
        <f>INDIRECT("'Dec"&amp;Members!$F$2&amp;"-EXPENSE'!R"&amp;ROW()+3)</f>
        <v/>
      </c>
      <c r="AM56" s="11" t="n"/>
      <c r="AN56" s="72">
        <f>AK56-(AL56+AM56)</f>
        <v/>
      </c>
      <c r="AO56" s="72">
        <f>INDIRECT("'Jan"&amp;Members!$G$2&amp;"-COLLECTION'!K"&amp;ROW()-1)</f>
        <v/>
      </c>
      <c r="AP56" s="72">
        <f>INDIRECT("'Jan"&amp;Members!$G$2&amp;"-EXPENSE'!R"&amp;ROW()+3)</f>
        <v/>
      </c>
      <c r="AQ56" s="75" t="n"/>
      <c r="AR56" s="72">
        <f>AO56-(AP56+AQ56)</f>
        <v/>
      </c>
      <c r="AS56" s="72">
        <f>INDIRECT("'Feb"&amp;Members!$G$2&amp;"-COLLECTION'!K"&amp;ROW()-1)</f>
        <v/>
      </c>
      <c r="AT56" s="72">
        <f>INDIRECT("'Feb"&amp;Members!$G$2&amp;"-EXPENSE'!R"&amp;ROW()+3)</f>
        <v/>
      </c>
      <c r="AU56" s="75" t="n"/>
      <c r="AV56" s="72">
        <f>AS56-(AT56+AU56)</f>
        <v/>
      </c>
      <c r="AW56" s="72">
        <f>INDIRECT("'Mar"&amp;Members!$G$2&amp;"-COLLECTION'!K"&amp;ROW()-1)</f>
        <v/>
      </c>
      <c r="AX56" s="72">
        <f>INDIRECT("'Mar"&amp;Members!$G$2&amp;"-EXPENSE'!R"&amp;ROW()+3)</f>
        <v/>
      </c>
      <c r="AY56" s="75" t="n"/>
      <c r="AZ56" s="72">
        <f>AW56-(AX56+AY56)</f>
        <v/>
      </c>
      <c r="BA56" s="72">
        <f>SUM(E56,I56,M56,Q56,U56,Y56,AC56,AG56,AK56,AO56,AS56,AW56)</f>
        <v/>
      </c>
      <c r="BB56" s="72">
        <f>SUM(F56,J56,N56,R56,V56,Z56,AD56,AH56,AL56,AP56,AT56,AX56)</f>
        <v/>
      </c>
      <c r="BC56" s="72">
        <f>SUM(G56,K56,O56,S56,W56,AA56,AE56,AI56,AM56,AQ56,AU56,AY56)</f>
        <v/>
      </c>
      <c r="BD56" s="72">
        <f>BA56-(BB56+BC56)</f>
        <v/>
      </c>
      <c r="BE56" s="72">
        <f>BD56+D56</f>
        <v/>
      </c>
    </row>
    <row r="57" ht="15.75" customHeight="1" s="99">
      <c r="A57" s="68" t="inlineStr">
        <is>
          <t>T7</t>
        </is>
      </c>
      <c r="B57" s="69">
        <f>VLOOKUP(A57,Members!$A$2:$C$65,3,FALSE)</f>
        <v/>
      </c>
      <c r="C57" s="68">
        <f>Members!B56</f>
        <v/>
      </c>
      <c r="D57" s="70" t="n">
        <v>-18487.04322233546</v>
      </c>
      <c r="E57" s="70">
        <f>INDIRECT("'Apr"&amp;Members!$F$2&amp;"-COLLECTION'!K"&amp;ROW()-1)</f>
        <v/>
      </c>
      <c r="F57" s="70">
        <f>INDIRECT("'Apr"&amp;Members!$F$2&amp;"-EXPENSE'!R"&amp;ROW()+3)</f>
        <v/>
      </c>
      <c r="G57" s="10" t="n"/>
      <c r="H57" s="70">
        <f>E57-(F57+G57)</f>
        <v/>
      </c>
      <c r="I57" s="70">
        <f>INDIRECT("'May"&amp;Members!$F$2&amp;"-COLLECTION'!K"&amp;ROW()-1)</f>
        <v/>
      </c>
      <c r="J57" s="70">
        <f>INDIRECT("'May"&amp;Members!$F$2&amp;"-EXPENSE'!R"&amp;ROW()+3)</f>
        <v/>
      </c>
      <c r="K57" s="11" t="n"/>
      <c r="L57" s="70">
        <f>I57-(J57+K57)</f>
        <v/>
      </c>
      <c r="M57" s="70">
        <f>INDIRECT("'June"&amp;Members!$F$2&amp;"-COLLECTION'!K"&amp;ROW()-1)</f>
        <v/>
      </c>
      <c r="N57" s="70">
        <f>INDIRECT("'June"&amp;Members!$F$2&amp;"-EXPENSE'!R"&amp;ROW()+3)</f>
        <v/>
      </c>
      <c r="O57" s="10" t="n"/>
      <c r="P57" s="70">
        <f>M57-(N57+O57)</f>
        <v/>
      </c>
      <c r="Q57" s="70">
        <f>INDIRECT("'July"&amp;Members!$F$2&amp;"-COLLECTION'!K"&amp;ROW()-1)</f>
        <v/>
      </c>
      <c r="R57" s="70">
        <f>INDIRECT("'July"&amp;Members!$F$2&amp;"-EXPENSE'!R"&amp;ROW()+3)</f>
        <v/>
      </c>
      <c r="S57" s="11" t="n"/>
      <c r="T57" s="70">
        <f>Q57-(R57+S57)</f>
        <v/>
      </c>
      <c r="U57" s="70">
        <f>INDIRECT("'Aug"&amp;Members!$F$2&amp;"-COLLECTION'!K"&amp;ROW()-1)</f>
        <v/>
      </c>
      <c r="V57" s="70">
        <f>INDIRECT("'Aug"&amp;Members!$F$2&amp;"-EXPENSE'!R"&amp;ROW()+3)</f>
        <v/>
      </c>
      <c r="W57" s="10" t="n"/>
      <c r="X57" s="70">
        <f>U57-(V57+W57)</f>
        <v/>
      </c>
      <c r="Y57" s="70">
        <f>INDIRECT("'Sep"&amp;Members!$F$2&amp;"-COLLECTION'!K"&amp;ROW()-1)</f>
        <v/>
      </c>
      <c r="Z57" s="70">
        <f>INDIRECT("'Sep"&amp;Members!$F$2&amp;"-EXPENSE'!R"&amp;ROW()+3)</f>
        <v/>
      </c>
      <c r="AA57" s="11" t="n"/>
      <c r="AB57" s="70">
        <f>Y57-(Z57+AA57)</f>
        <v/>
      </c>
      <c r="AC57" s="70">
        <f>INDIRECT("'Oct"&amp;Members!$F$2&amp;"-COLLECTION'!K"&amp;ROW()-1)</f>
        <v/>
      </c>
      <c r="AD57" s="70">
        <f>INDIRECT("'Oct"&amp;Members!$F$2&amp;"-EXPENSE'!R"&amp;ROW()+3)</f>
        <v/>
      </c>
      <c r="AE57" s="11" t="n"/>
      <c r="AF57" s="70">
        <f>AC57-(AD57+AE57)</f>
        <v/>
      </c>
      <c r="AG57" s="70">
        <f>INDIRECT("'Nov"&amp;Members!$F$2&amp;"-COLLECTION'!K"&amp;ROW()-1)</f>
        <v/>
      </c>
      <c r="AH57" s="70">
        <f>INDIRECT("'Nov"&amp;Members!$F$2&amp;"-EXPENSE'!R"&amp;ROW()+3)</f>
        <v/>
      </c>
      <c r="AI57" s="11" t="n"/>
      <c r="AJ57" s="70">
        <f>AG57-(AH57+AI57)</f>
        <v/>
      </c>
      <c r="AK57" s="70">
        <f>INDIRECT("'Dec"&amp;Members!$F$2&amp;"-COLLECTION'!K"&amp;ROW()-1)</f>
        <v/>
      </c>
      <c r="AL57" s="70">
        <f>INDIRECT("'Dec"&amp;Members!$F$2&amp;"-EXPENSE'!R"&amp;ROW()+3)</f>
        <v/>
      </c>
      <c r="AM57" s="11" t="n"/>
      <c r="AN57" s="70">
        <f>AK57-(AL57+AM57)</f>
        <v/>
      </c>
      <c r="AO57" s="70">
        <f>INDIRECT("'Jan"&amp;Members!$G$2&amp;"-COLLECTION'!K"&amp;ROW()-1)</f>
        <v/>
      </c>
      <c r="AP57" s="70">
        <f>INDIRECT("'Jan"&amp;Members!$G$2&amp;"-EXPENSE'!R"&amp;ROW()+3)</f>
        <v/>
      </c>
      <c r="AQ57" s="75" t="n"/>
      <c r="AR57" s="70">
        <f>AO57-(AP57+AQ57)</f>
        <v/>
      </c>
      <c r="AS57" s="70">
        <f>INDIRECT("'Feb"&amp;Members!$G$2&amp;"-COLLECTION'!K"&amp;ROW()-1)</f>
        <v/>
      </c>
      <c r="AT57" s="70">
        <f>INDIRECT("'Feb"&amp;Members!$G$2&amp;"-EXPENSE'!R"&amp;ROW()+3)</f>
        <v/>
      </c>
      <c r="AU57" s="75" t="n"/>
      <c r="AV57" s="70">
        <f>AS57-(AT57+AU57)</f>
        <v/>
      </c>
      <c r="AW57" s="70">
        <f>INDIRECT("'Mar"&amp;Members!$G$2&amp;"-COLLECTION'!K"&amp;ROW()-1)</f>
        <v/>
      </c>
      <c r="AX57" s="70">
        <f>INDIRECT("'Mar"&amp;Members!$G$2&amp;"-EXPENSE'!R"&amp;ROW()+3)</f>
        <v/>
      </c>
      <c r="AY57" s="75" t="n"/>
      <c r="AZ57" s="70">
        <f>AW57-(AX57+AY57)</f>
        <v/>
      </c>
      <c r="BA57" s="70">
        <f>SUM(E57,I57,M57,Q57,U57,Y57,AC57,AG57,AK57,AO57,AS57,AW57)</f>
        <v/>
      </c>
      <c r="BB57" s="70">
        <f>SUM(F57,J57,N57,R57,V57,Z57,AD57,AH57,AL57,AP57,AT57,AX57)</f>
        <v/>
      </c>
      <c r="BC57" s="70">
        <f>SUM(G57,K57,O57,S57,W57,AA57,AE57,AI57,AM57,AQ57,AU57,AY57)</f>
        <v/>
      </c>
      <c r="BD57" s="70">
        <f>BA57-(BB57+BC57)</f>
        <v/>
      </c>
      <c r="BE57" s="70">
        <f>BD57+D57</f>
        <v/>
      </c>
    </row>
    <row r="58" ht="15.75" customHeight="1" s="99">
      <c r="A58" s="52" t="inlineStr">
        <is>
          <t>T8</t>
        </is>
      </c>
      <c r="B58" s="71">
        <f>VLOOKUP(A58,Members!$A$2:$C$65,3,FALSE)</f>
        <v/>
      </c>
      <c r="C58" s="52">
        <f>Members!B57</f>
        <v/>
      </c>
      <c r="D58" s="72" t="n">
        <v>-1536.731685420513</v>
      </c>
      <c r="E58" s="72">
        <f>INDIRECT("'Apr"&amp;Members!$F$2&amp;"-COLLECTION'!K"&amp;ROW()-1)</f>
        <v/>
      </c>
      <c r="F58" s="72">
        <f>INDIRECT("'Apr"&amp;Members!$F$2&amp;"-EXPENSE'!R"&amp;ROW()+3)</f>
        <v/>
      </c>
      <c r="G58" s="10" t="n"/>
      <c r="H58" s="72">
        <f>E58-(F58+G58)</f>
        <v/>
      </c>
      <c r="I58" s="72">
        <f>INDIRECT("'May"&amp;Members!$F$2&amp;"-COLLECTION'!K"&amp;ROW()-1)</f>
        <v/>
      </c>
      <c r="J58" s="72">
        <f>INDIRECT("'May"&amp;Members!$F$2&amp;"-EXPENSE'!R"&amp;ROW()+3)</f>
        <v/>
      </c>
      <c r="K58" s="11" t="n"/>
      <c r="L58" s="72">
        <f>I58-(J58+K58)</f>
        <v/>
      </c>
      <c r="M58" s="72">
        <f>INDIRECT("'June"&amp;Members!$F$2&amp;"-COLLECTION'!K"&amp;ROW()-1)</f>
        <v/>
      </c>
      <c r="N58" s="72">
        <f>INDIRECT("'June"&amp;Members!$F$2&amp;"-EXPENSE'!R"&amp;ROW()+3)</f>
        <v/>
      </c>
      <c r="O58" s="10" t="n"/>
      <c r="P58" s="72">
        <f>M58-(N58+O58)</f>
        <v/>
      </c>
      <c r="Q58" s="72">
        <f>INDIRECT("'July"&amp;Members!$F$2&amp;"-COLLECTION'!K"&amp;ROW()-1)</f>
        <v/>
      </c>
      <c r="R58" s="72">
        <f>INDIRECT("'July"&amp;Members!$F$2&amp;"-EXPENSE'!R"&amp;ROW()+3)</f>
        <v/>
      </c>
      <c r="S58" s="11" t="n"/>
      <c r="T58" s="72">
        <f>Q58-(R58+S58)</f>
        <v/>
      </c>
      <c r="U58" s="72">
        <f>INDIRECT("'Aug"&amp;Members!$F$2&amp;"-COLLECTION'!K"&amp;ROW()-1)</f>
        <v/>
      </c>
      <c r="V58" s="72">
        <f>INDIRECT("'Aug"&amp;Members!$F$2&amp;"-EXPENSE'!R"&amp;ROW()+3)</f>
        <v/>
      </c>
      <c r="W58" s="10" t="n"/>
      <c r="X58" s="72">
        <f>U58-(V58+W58)</f>
        <v/>
      </c>
      <c r="Y58" s="72">
        <f>INDIRECT("'Sep"&amp;Members!$F$2&amp;"-COLLECTION'!K"&amp;ROW()-1)</f>
        <v/>
      </c>
      <c r="Z58" s="72">
        <f>INDIRECT("'Sep"&amp;Members!$F$2&amp;"-EXPENSE'!R"&amp;ROW()+3)</f>
        <v/>
      </c>
      <c r="AA58" s="11" t="n"/>
      <c r="AB58" s="72">
        <f>Y58-(Z58+AA58)</f>
        <v/>
      </c>
      <c r="AC58" s="72">
        <f>INDIRECT("'Oct"&amp;Members!$F$2&amp;"-COLLECTION'!K"&amp;ROW()-1)</f>
        <v/>
      </c>
      <c r="AD58" s="72">
        <f>INDIRECT("'Oct"&amp;Members!$F$2&amp;"-EXPENSE'!R"&amp;ROW()+3)</f>
        <v/>
      </c>
      <c r="AE58" s="11" t="n"/>
      <c r="AF58" s="72">
        <f>AC58-(AD58+AE58)</f>
        <v/>
      </c>
      <c r="AG58" s="72">
        <f>INDIRECT("'Nov"&amp;Members!$F$2&amp;"-COLLECTION'!K"&amp;ROW()-1)</f>
        <v/>
      </c>
      <c r="AH58" s="72">
        <f>INDIRECT("'Nov"&amp;Members!$F$2&amp;"-EXPENSE'!R"&amp;ROW()+3)</f>
        <v/>
      </c>
      <c r="AI58" s="11" t="n"/>
      <c r="AJ58" s="72">
        <f>AG58-(AH58+AI58)</f>
        <v/>
      </c>
      <c r="AK58" s="72">
        <f>INDIRECT("'Dec"&amp;Members!$F$2&amp;"-COLLECTION'!K"&amp;ROW()-1)</f>
        <v/>
      </c>
      <c r="AL58" s="72">
        <f>INDIRECT("'Dec"&amp;Members!$F$2&amp;"-EXPENSE'!R"&amp;ROW()+3)</f>
        <v/>
      </c>
      <c r="AM58" s="11" t="n"/>
      <c r="AN58" s="72">
        <f>AK58-(AL58+AM58)</f>
        <v/>
      </c>
      <c r="AO58" s="72">
        <f>INDIRECT("'Jan"&amp;Members!$G$2&amp;"-COLLECTION'!K"&amp;ROW()-1)</f>
        <v/>
      </c>
      <c r="AP58" s="72">
        <f>INDIRECT("'Jan"&amp;Members!$G$2&amp;"-EXPENSE'!R"&amp;ROW()+3)</f>
        <v/>
      </c>
      <c r="AQ58" s="75" t="n"/>
      <c r="AR58" s="72">
        <f>AO58-(AP58+AQ58)</f>
        <v/>
      </c>
      <c r="AS58" s="72">
        <f>INDIRECT("'Feb"&amp;Members!$G$2&amp;"-COLLECTION'!K"&amp;ROW()-1)</f>
        <v/>
      </c>
      <c r="AT58" s="72">
        <f>INDIRECT("'Feb"&amp;Members!$G$2&amp;"-EXPENSE'!R"&amp;ROW()+3)</f>
        <v/>
      </c>
      <c r="AU58" s="75" t="n"/>
      <c r="AV58" s="72">
        <f>AS58-(AT58+AU58)</f>
        <v/>
      </c>
      <c r="AW58" s="72">
        <f>INDIRECT("'Mar"&amp;Members!$G$2&amp;"-COLLECTION'!K"&amp;ROW()-1)</f>
        <v/>
      </c>
      <c r="AX58" s="72">
        <f>INDIRECT("'Mar"&amp;Members!$G$2&amp;"-EXPENSE'!R"&amp;ROW()+3)</f>
        <v/>
      </c>
      <c r="AY58" s="75" t="n"/>
      <c r="AZ58" s="72">
        <f>AW58-(AX58+AY58)</f>
        <v/>
      </c>
      <c r="BA58" s="72">
        <f>SUM(E58,I58,M58,Q58,U58,Y58,AC58,AG58,AK58,AO58,AS58,AW58)</f>
        <v/>
      </c>
      <c r="BB58" s="72">
        <f>SUM(F58,J58,N58,R58,V58,Z58,AD58,AH58,AL58,AP58,AT58,AX58)</f>
        <v/>
      </c>
      <c r="BC58" s="72">
        <f>SUM(G58,K58,O58,S58,W58,AA58,AE58,AI58,AM58,AQ58,AU58,AY58)</f>
        <v/>
      </c>
      <c r="BD58" s="72">
        <f>BA58-(BB58+BC58)</f>
        <v/>
      </c>
      <c r="BE58" s="72">
        <f>BD58+D58</f>
        <v/>
      </c>
    </row>
    <row r="59" ht="15.75" customHeight="1" s="99">
      <c r="A59" s="68" t="inlineStr">
        <is>
          <t>T9</t>
        </is>
      </c>
      <c r="B59" s="69">
        <f>VLOOKUP(A59,Members!$A$2:$C$65,3,FALSE)</f>
        <v/>
      </c>
      <c r="C59" s="68">
        <f>Members!B58</f>
        <v/>
      </c>
      <c r="D59" s="70" t="n">
        <v>-282.3847098624392</v>
      </c>
      <c r="E59" s="70">
        <f>INDIRECT("'Apr"&amp;Members!$F$2&amp;"-COLLECTION'!K"&amp;ROW()-1)</f>
        <v/>
      </c>
      <c r="F59" s="70">
        <f>INDIRECT("'Apr"&amp;Members!$F$2&amp;"-EXPENSE'!R"&amp;ROW()+3)</f>
        <v/>
      </c>
      <c r="G59" s="10" t="n"/>
      <c r="H59" s="70">
        <f>E59-(F59+G59)</f>
        <v/>
      </c>
      <c r="I59" s="70">
        <f>INDIRECT("'May"&amp;Members!$F$2&amp;"-COLLECTION'!K"&amp;ROW()-1)</f>
        <v/>
      </c>
      <c r="J59" s="70">
        <f>INDIRECT("'May"&amp;Members!$F$2&amp;"-EXPENSE'!R"&amp;ROW()+3)</f>
        <v/>
      </c>
      <c r="K59" s="11" t="n"/>
      <c r="L59" s="70">
        <f>I59-(J59+K59)</f>
        <v/>
      </c>
      <c r="M59" s="70">
        <f>INDIRECT("'June"&amp;Members!$F$2&amp;"-COLLECTION'!K"&amp;ROW()-1)</f>
        <v/>
      </c>
      <c r="N59" s="70">
        <f>INDIRECT("'June"&amp;Members!$F$2&amp;"-EXPENSE'!R"&amp;ROW()+3)</f>
        <v/>
      </c>
      <c r="O59" s="10" t="n"/>
      <c r="P59" s="70">
        <f>M59-(N59+O59)</f>
        <v/>
      </c>
      <c r="Q59" s="70">
        <f>INDIRECT("'July"&amp;Members!$F$2&amp;"-COLLECTION'!K"&amp;ROW()-1)</f>
        <v/>
      </c>
      <c r="R59" s="70">
        <f>INDIRECT("'July"&amp;Members!$F$2&amp;"-EXPENSE'!R"&amp;ROW()+3)</f>
        <v/>
      </c>
      <c r="S59" s="11" t="n"/>
      <c r="T59" s="70">
        <f>Q59-(R59+S59)</f>
        <v/>
      </c>
      <c r="U59" s="70">
        <f>INDIRECT("'Aug"&amp;Members!$F$2&amp;"-COLLECTION'!K"&amp;ROW()-1)</f>
        <v/>
      </c>
      <c r="V59" s="70">
        <f>INDIRECT("'Aug"&amp;Members!$F$2&amp;"-EXPENSE'!R"&amp;ROW()+3)</f>
        <v/>
      </c>
      <c r="W59" s="10" t="n"/>
      <c r="X59" s="70">
        <f>U59-(V59+W59)</f>
        <v/>
      </c>
      <c r="Y59" s="70">
        <f>INDIRECT("'Sep"&amp;Members!$F$2&amp;"-COLLECTION'!K"&amp;ROW()-1)</f>
        <v/>
      </c>
      <c r="Z59" s="70">
        <f>INDIRECT("'Sep"&amp;Members!$F$2&amp;"-EXPENSE'!R"&amp;ROW()+3)</f>
        <v/>
      </c>
      <c r="AA59" s="11" t="n"/>
      <c r="AB59" s="70">
        <f>Y59-(Z59+AA59)</f>
        <v/>
      </c>
      <c r="AC59" s="70">
        <f>INDIRECT("'Oct"&amp;Members!$F$2&amp;"-COLLECTION'!K"&amp;ROW()-1)</f>
        <v/>
      </c>
      <c r="AD59" s="70">
        <f>INDIRECT("'Oct"&amp;Members!$F$2&amp;"-EXPENSE'!R"&amp;ROW()+3)</f>
        <v/>
      </c>
      <c r="AE59" s="11" t="n"/>
      <c r="AF59" s="70">
        <f>AC59-(AD59+AE59)</f>
        <v/>
      </c>
      <c r="AG59" s="70">
        <f>INDIRECT("'Nov"&amp;Members!$F$2&amp;"-COLLECTION'!K"&amp;ROW()-1)</f>
        <v/>
      </c>
      <c r="AH59" s="70">
        <f>INDIRECT("'Nov"&amp;Members!$F$2&amp;"-EXPENSE'!R"&amp;ROW()+3)</f>
        <v/>
      </c>
      <c r="AI59" s="11" t="n"/>
      <c r="AJ59" s="70">
        <f>AG59-(AH59+AI59)</f>
        <v/>
      </c>
      <c r="AK59" s="70">
        <f>INDIRECT("'Dec"&amp;Members!$F$2&amp;"-COLLECTION'!K"&amp;ROW()-1)</f>
        <v/>
      </c>
      <c r="AL59" s="70">
        <f>INDIRECT("'Dec"&amp;Members!$F$2&amp;"-EXPENSE'!R"&amp;ROW()+3)</f>
        <v/>
      </c>
      <c r="AM59" s="11" t="n"/>
      <c r="AN59" s="70">
        <f>AK59-(AL59+AM59)</f>
        <v/>
      </c>
      <c r="AO59" s="70">
        <f>INDIRECT("'Jan"&amp;Members!$G$2&amp;"-COLLECTION'!K"&amp;ROW()-1)</f>
        <v/>
      </c>
      <c r="AP59" s="70">
        <f>INDIRECT("'Jan"&amp;Members!$G$2&amp;"-EXPENSE'!R"&amp;ROW()+3)</f>
        <v/>
      </c>
      <c r="AQ59" s="75" t="n"/>
      <c r="AR59" s="70">
        <f>AO59-(AP59+AQ59)</f>
        <v/>
      </c>
      <c r="AS59" s="70">
        <f>INDIRECT("'Feb"&amp;Members!$G$2&amp;"-COLLECTION'!K"&amp;ROW()-1)</f>
        <v/>
      </c>
      <c r="AT59" s="70">
        <f>INDIRECT("'Feb"&amp;Members!$G$2&amp;"-EXPENSE'!R"&amp;ROW()+3)</f>
        <v/>
      </c>
      <c r="AU59" s="75" t="n"/>
      <c r="AV59" s="70">
        <f>AS59-(AT59+AU59)</f>
        <v/>
      </c>
      <c r="AW59" s="70">
        <f>INDIRECT("'Mar"&amp;Members!$G$2&amp;"-COLLECTION'!K"&amp;ROW()-1)</f>
        <v/>
      </c>
      <c r="AX59" s="70">
        <f>INDIRECT("'Mar"&amp;Members!$G$2&amp;"-EXPENSE'!R"&amp;ROW()+3)</f>
        <v/>
      </c>
      <c r="AY59" s="75" t="n"/>
      <c r="AZ59" s="70">
        <f>AW59-(AX59+AY59)</f>
        <v/>
      </c>
      <c r="BA59" s="70">
        <f>SUM(E59,I59,M59,Q59,U59,Y59,AC59,AG59,AK59,AO59,AS59,AW59)</f>
        <v/>
      </c>
      <c r="BB59" s="70">
        <f>SUM(F59,J59,N59,R59,V59,Z59,AD59,AH59,AL59,AP59,AT59,AX59)</f>
        <v/>
      </c>
      <c r="BC59" s="70">
        <f>SUM(G59,K59,O59,S59,W59,AA59,AE59,AI59,AM59,AQ59,AU59,AY59)</f>
        <v/>
      </c>
      <c r="BD59" s="70">
        <f>BA59-(BB59+BC59)</f>
        <v/>
      </c>
      <c r="BE59" s="70">
        <f>BD59+D59</f>
        <v/>
      </c>
    </row>
    <row r="60" ht="15.75" customHeight="1" s="99">
      <c r="A60" s="52" t="inlineStr">
        <is>
          <t>T10</t>
        </is>
      </c>
      <c r="B60" s="71">
        <f>VLOOKUP(A60,Members!$A$2:$C$65,3,FALSE)</f>
        <v/>
      </c>
      <c r="C60" s="52">
        <f>Members!B59</f>
        <v/>
      </c>
      <c r="D60" s="72" t="n">
        <v>-3695.226587681231</v>
      </c>
      <c r="E60" s="72">
        <f>INDIRECT("'Apr"&amp;Members!$F$2&amp;"-COLLECTION'!K"&amp;ROW()-1)</f>
        <v/>
      </c>
      <c r="F60" s="72">
        <f>INDIRECT("'Apr"&amp;Members!$F$2&amp;"-EXPENSE'!R"&amp;ROW()+3)</f>
        <v/>
      </c>
      <c r="G60" s="10" t="n"/>
      <c r="H60" s="72">
        <f>E60-(F60+G60)</f>
        <v/>
      </c>
      <c r="I60" s="72">
        <f>INDIRECT("'May"&amp;Members!$F$2&amp;"-COLLECTION'!K"&amp;ROW()-1)</f>
        <v/>
      </c>
      <c r="J60" s="72">
        <f>INDIRECT("'May"&amp;Members!$F$2&amp;"-EXPENSE'!R"&amp;ROW()+3)</f>
        <v/>
      </c>
      <c r="K60" s="11" t="n"/>
      <c r="L60" s="72">
        <f>I60-(J60+K60)</f>
        <v/>
      </c>
      <c r="M60" s="72">
        <f>INDIRECT("'June"&amp;Members!$F$2&amp;"-COLLECTION'!K"&amp;ROW()-1)</f>
        <v/>
      </c>
      <c r="N60" s="72">
        <f>INDIRECT("'June"&amp;Members!$F$2&amp;"-EXPENSE'!R"&amp;ROW()+3)</f>
        <v/>
      </c>
      <c r="O60" s="10" t="n"/>
      <c r="P60" s="72">
        <f>M60-(N60+O60)</f>
        <v/>
      </c>
      <c r="Q60" s="72">
        <f>INDIRECT("'July"&amp;Members!$F$2&amp;"-COLLECTION'!K"&amp;ROW()-1)</f>
        <v/>
      </c>
      <c r="R60" s="72">
        <f>INDIRECT("'July"&amp;Members!$F$2&amp;"-EXPENSE'!R"&amp;ROW()+3)</f>
        <v/>
      </c>
      <c r="S60" s="11" t="n"/>
      <c r="T60" s="72">
        <f>Q60-(R60+S60)</f>
        <v/>
      </c>
      <c r="U60" s="72">
        <f>INDIRECT("'Aug"&amp;Members!$F$2&amp;"-COLLECTION'!K"&amp;ROW()-1)</f>
        <v/>
      </c>
      <c r="V60" s="72">
        <f>INDIRECT("'Aug"&amp;Members!$F$2&amp;"-EXPENSE'!R"&amp;ROW()+3)</f>
        <v/>
      </c>
      <c r="W60" s="10" t="n"/>
      <c r="X60" s="72">
        <f>U60-(V60+W60)</f>
        <v/>
      </c>
      <c r="Y60" s="72">
        <f>INDIRECT("'Sep"&amp;Members!$F$2&amp;"-COLLECTION'!K"&amp;ROW()-1)</f>
        <v/>
      </c>
      <c r="Z60" s="72">
        <f>INDIRECT("'Sep"&amp;Members!$F$2&amp;"-EXPENSE'!R"&amp;ROW()+3)</f>
        <v/>
      </c>
      <c r="AA60" s="11" t="n"/>
      <c r="AB60" s="72">
        <f>Y60-(Z60+AA60)</f>
        <v/>
      </c>
      <c r="AC60" s="72">
        <f>INDIRECT("'Oct"&amp;Members!$F$2&amp;"-COLLECTION'!K"&amp;ROW()-1)</f>
        <v/>
      </c>
      <c r="AD60" s="72">
        <f>INDIRECT("'Oct"&amp;Members!$F$2&amp;"-EXPENSE'!R"&amp;ROW()+3)</f>
        <v/>
      </c>
      <c r="AE60" s="11" t="n"/>
      <c r="AF60" s="72">
        <f>AC60-(AD60+AE60)</f>
        <v/>
      </c>
      <c r="AG60" s="72">
        <f>INDIRECT("'Nov"&amp;Members!$F$2&amp;"-COLLECTION'!K"&amp;ROW()-1)</f>
        <v/>
      </c>
      <c r="AH60" s="72">
        <f>INDIRECT("'Nov"&amp;Members!$F$2&amp;"-EXPENSE'!R"&amp;ROW()+3)</f>
        <v/>
      </c>
      <c r="AI60" s="11" t="n"/>
      <c r="AJ60" s="72">
        <f>AG60-(AH60+AI60)</f>
        <v/>
      </c>
      <c r="AK60" s="72">
        <f>INDIRECT("'Dec"&amp;Members!$F$2&amp;"-COLLECTION'!K"&amp;ROW()-1)</f>
        <v/>
      </c>
      <c r="AL60" s="72">
        <f>INDIRECT("'Dec"&amp;Members!$F$2&amp;"-EXPENSE'!R"&amp;ROW()+3)</f>
        <v/>
      </c>
      <c r="AM60" s="11" t="n"/>
      <c r="AN60" s="72">
        <f>AK60-(AL60+AM60)</f>
        <v/>
      </c>
      <c r="AO60" s="72">
        <f>INDIRECT("'Jan"&amp;Members!$G$2&amp;"-COLLECTION'!K"&amp;ROW()-1)</f>
        <v/>
      </c>
      <c r="AP60" s="72">
        <f>INDIRECT("'Jan"&amp;Members!$G$2&amp;"-EXPENSE'!R"&amp;ROW()+3)</f>
        <v/>
      </c>
      <c r="AQ60" s="75" t="n"/>
      <c r="AR60" s="72">
        <f>AO60-(AP60+AQ60)</f>
        <v/>
      </c>
      <c r="AS60" s="72">
        <f>INDIRECT("'Feb"&amp;Members!$G$2&amp;"-COLLECTION'!K"&amp;ROW()-1)</f>
        <v/>
      </c>
      <c r="AT60" s="72">
        <f>INDIRECT("'Feb"&amp;Members!$G$2&amp;"-EXPENSE'!R"&amp;ROW()+3)</f>
        <v/>
      </c>
      <c r="AU60" s="75" t="n"/>
      <c r="AV60" s="72">
        <f>AS60-(AT60+AU60)</f>
        <v/>
      </c>
      <c r="AW60" s="72">
        <f>INDIRECT("'Mar"&amp;Members!$G$2&amp;"-COLLECTION'!K"&amp;ROW()-1)</f>
        <v/>
      </c>
      <c r="AX60" s="72">
        <f>INDIRECT("'Mar"&amp;Members!$G$2&amp;"-EXPENSE'!R"&amp;ROW()+3)</f>
        <v/>
      </c>
      <c r="AY60" s="75" t="n"/>
      <c r="AZ60" s="72">
        <f>AW60-(AX60+AY60)</f>
        <v/>
      </c>
      <c r="BA60" s="72">
        <f>SUM(E60,I60,M60,Q60,U60,Y60,AC60,AG60,AK60,AO60,AS60,AW60)</f>
        <v/>
      </c>
      <c r="BB60" s="72">
        <f>SUM(F60,J60,N60,R60,V60,Z60,AD60,AH60,AL60,AP60,AT60,AX60)</f>
        <v/>
      </c>
      <c r="BC60" s="72">
        <f>SUM(G60,K60,O60,S60,W60,AA60,AE60,AI60,AM60,AQ60,AU60,AY60)</f>
        <v/>
      </c>
      <c r="BD60" s="72">
        <f>BA60-(BB60+BC60)</f>
        <v/>
      </c>
      <c r="BE60" s="72">
        <f>BD60+D60</f>
        <v/>
      </c>
    </row>
    <row r="61" ht="15.75" customHeight="1" s="99">
      <c r="A61" s="68" t="inlineStr">
        <is>
          <t>T11</t>
        </is>
      </c>
      <c r="B61" s="69">
        <f>VLOOKUP(A61,Members!$A$2:$C$65,3,FALSE)</f>
        <v/>
      </c>
      <c r="C61" s="68">
        <f>Members!B60</f>
        <v/>
      </c>
      <c r="D61" s="70" t="n">
        <v>-11287.8644666796</v>
      </c>
      <c r="E61" s="70">
        <f>INDIRECT("'Apr"&amp;Members!$F$2&amp;"-COLLECTION'!K"&amp;ROW()-1)</f>
        <v/>
      </c>
      <c r="F61" s="70">
        <f>INDIRECT("'Apr"&amp;Members!$F$2&amp;"-EXPENSE'!R"&amp;ROW()+3)</f>
        <v/>
      </c>
      <c r="G61" s="10" t="n"/>
      <c r="H61" s="70">
        <f>E61-(F61+G61)</f>
        <v/>
      </c>
      <c r="I61" s="70">
        <f>INDIRECT("'May"&amp;Members!$F$2&amp;"-COLLECTION'!K"&amp;ROW()-1)</f>
        <v/>
      </c>
      <c r="J61" s="70">
        <f>INDIRECT("'May"&amp;Members!$F$2&amp;"-EXPENSE'!R"&amp;ROW()+3)</f>
        <v/>
      </c>
      <c r="K61" s="11" t="n"/>
      <c r="L61" s="70">
        <f>I61-(J61+K61)</f>
        <v/>
      </c>
      <c r="M61" s="70">
        <f>INDIRECT("'June"&amp;Members!$F$2&amp;"-COLLECTION'!K"&amp;ROW()-1)</f>
        <v/>
      </c>
      <c r="N61" s="70">
        <f>INDIRECT("'June"&amp;Members!$F$2&amp;"-EXPENSE'!R"&amp;ROW()+3)</f>
        <v/>
      </c>
      <c r="O61" s="10" t="n"/>
      <c r="P61" s="70">
        <f>M61-(N61+O61)</f>
        <v/>
      </c>
      <c r="Q61" s="70">
        <f>INDIRECT("'July"&amp;Members!$F$2&amp;"-COLLECTION'!K"&amp;ROW()-1)</f>
        <v/>
      </c>
      <c r="R61" s="70">
        <f>INDIRECT("'July"&amp;Members!$F$2&amp;"-EXPENSE'!R"&amp;ROW()+3)</f>
        <v/>
      </c>
      <c r="S61" s="11" t="n"/>
      <c r="T61" s="70">
        <f>Q61-(R61+S61)</f>
        <v/>
      </c>
      <c r="U61" s="70">
        <f>INDIRECT("'Aug"&amp;Members!$F$2&amp;"-COLLECTION'!K"&amp;ROW()-1)</f>
        <v/>
      </c>
      <c r="V61" s="70">
        <f>INDIRECT("'Aug"&amp;Members!$F$2&amp;"-EXPENSE'!R"&amp;ROW()+3)</f>
        <v/>
      </c>
      <c r="W61" s="10" t="n"/>
      <c r="X61" s="70">
        <f>U61-(V61+W61)</f>
        <v/>
      </c>
      <c r="Y61" s="70">
        <f>INDIRECT("'Sep"&amp;Members!$F$2&amp;"-COLLECTION'!K"&amp;ROW()-1)</f>
        <v/>
      </c>
      <c r="Z61" s="70">
        <f>INDIRECT("'Sep"&amp;Members!$F$2&amp;"-EXPENSE'!R"&amp;ROW()+3)</f>
        <v/>
      </c>
      <c r="AA61" s="11" t="n"/>
      <c r="AB61" s="70">
        <f>Y61-(Z61+AA61)</f>
        <v/>
      </c>
      <c r="AC61" s="70">
        <f>INDIRECT("'Oct"&amp;Members!$F$2&amp;"-COLLECTION'!K"&amp;ROW()-1)</f>
        <v/>
      </c>
      <c r="AD61" s="70">
        <f>INDIRECT("'Oct"&amp;Members!$F$2&amp;"-EXPENSE'!R"&amp;ROW()+3)</f>
        <v/>
      </c>
      <c r="AE61" s="11" t="n"/>
      <c r="AF61" s="70">
        <f>AC61-(AD61+AE61)</f>
        <v/>
      </c>
      <c r="AG61" s="70">
        <f>INDIRECT("'Nov"&amp;Members!$F$2&amp;"-COLLECTION'!K"&amp;ROW()-1)</f>
        <v/>
      </c>
      <c r="AH61" s="70">
        <f>INDIRECT("'Nov"&amp;Members!$F$2&amp;"-EXPENSE'!R"&amp;ROW()+3)</f>
        <v/>
      </c>
      <c r="AI61" s="11" t="n"/>
      <c r="AJ61" s="70">
        <f>AG61-(AH61+AI61)</f>
        <v/>
      </c>
      <c r="AK61" s="70">
        <f>INDIRECT("'Dec"&amp;Members!$F$2&amp;"-COLLECTION'!K"&amp;ROW()-1)</f>
        <v/>
      </c>
      <c r="AL61" s="70">
        <f>INDIRECT("'Dec"&amp;Members!$F$2&amp;"-EXPENSE'!R"&amp;ROW()+3)</f>
        <v/>
      </c>
      <c r="AM61" s="11" t="n"/>
      <c r="AN61" s="70">
        <f>AK61-(AL61+AM61)</f>
        <v/>
      </c>
      <c r="AO61" s="70">
        <f>INDIRECT("'Jan"&amp;Members!$G$2&amp;"-COLLECTION'!K"&amp;ROW()-1)</f>
        <v/>
      </c>
      <c r="AP61" s="70">
        <f>INDIRECT("'Jan"&amp;Members!$G$2&amp;"-EXPENSE'!R"&amp;ROW()+3)</f>
        <v/>
      </c>
      <c r="AQ61" s="75" t="n"/>
      <c r="AR61" s="70">
        <f>AO61-(AP61+AQ61)</f>
        <v/>
      </c>
      <c r="AS61" s="70">
        <f>INDIRECT("'Feb"&amp;Members!$G$2&amp;"-COLLECTION'!K"&amp;ROW()-1)</f>
        <v/>
      </c>
      <c r="AT61" s="70">
        <f>INDIRECT("'Feb"&amp;Members!$G$2&amp;"-EXPENSE'!R"&amp;ROW()+3)</f>
        <v/>
      </c>
      <c r="AU61" s="75" t="n"/>
      <c r="AV61" s="70">
        <f>AS61-(AT61+AU61)</f>
        <v/>
      </c>
      <c r="AW61" s="70">
        <f>INDIRECT("'Mar"&amp;Members!$G$2&amp;"-COLLECTION'!K"&amp;ROW()-1)</f>
        <v/>
      </c>
      <c r="AX61" s="70">
        <f>INDIRECT("'Mar"&amp;Members!$G$2&amp;"-EXPENSE'!R"&amp;ROW()+3)</f>
        <v/>
      </c>
      <c r="AY61" s="75" t="n"/>
      <c r="AZ61" s="70">
        <f>AW61-(AX61+AY61)</f>
        <v/>
      </c>
      <c r="BA61" s="70">
        <f>SUM(E61,I61,M61,Q61,U61,Y61,AC61,AG61,AK61,AO61,AS61,AW61)</f>
        <v/>
      </c>
      <c r="BB61" s="70">
        <f>SUM(F61,J61,N61,R61,V61,Z61,AD61,AH61,AL61,AP61,AT61,AX61)</f>
        <v/>
      </c>
      <c r="BC61" s="70">
        <f>SUM(G61,K61,O61,S61,W61,AA61,AE61,AI61,AM61,AQ61,AU61,AY61)</f>
        <v/>
      </c>
      <c r="BD61" s="70">
        <f>BA61-(BB61+BC61)</f>
        <v/>
      </c>
      <c r="BE61" s="70">
        <f>BD61+D61</f>
        <v/>
      </c>
    </row>
    <row r="62" ht="15.75" customHeight="1" s="99">
      <c r="A62" s="52" t="inlineStr">
        <is>
          <t>T12</t>
        </is>
      </c>
      <c r="B62" s="71">
        <f>VLOOKUP(A62,Members!$A$2:$C$65,3,FALSE)</f>
        <v/>
      </c>
      <c r="C62" s="52">
        <f>Members!B61</f>
        <v/>
      </c>
      <c r="D62" s="72" t="n">
        <v>-90.67105917609297</v>
      </c>
      <c r="E62" s="72">
        <f>INDIRECT("'Apr"&amp;Members!$F$2&amp;"-COLLECTION'!K"&amp;ROW()-1)</f>
        <v/>
      </c>
      <c r="F62" s="72">
        <f>INDIRECT("'Apr"&amp;Members!$F$2&amp;"-EXPENSE'!R"&amp;ROW()+3)</f>
        <v/>
      </c>
      <c r="G62" s="10" t="n"/>
      <c r="H62" s="72">
        <f>E62-(F62+G62)</f>
        <v/>
      </c>
      <c r="I62" s="72">
        <f>INDIRECT("'May"&amp;Members!$F$2&amp;"-COLLECTION'!K"&amp;ROW()-1)</f>
        <v/>
      </c>
      <c r="J62" s="72">
        <f>INDIRECT("'May"&amp;Members!$F$2&amp;"-EXPENSE'!R"&amp;ROW()+3)</f>
        <v/>
      </c>
      <c r="K62" s="11" t="n"/>
      <c r="L62" s="72">
        <f>I62-(J62+K62)</f>
        <v/>
      </c>
      <c r="M62" s="72">
        <f>INDIRECT("'June"&amp;Members!$F$2&amp;"-COLLECTION'!K"&amp;ROW()-1)</f>
        <v/>
      </c>
      <c r="N62" s="72">
        <f>INDIRECT("'June"&amp;Members!$F$2&amp;"-EXPENSE'!R"&amp;ROW()+3)</f>
        <v/>
      </c>
      <c r="O62" s="10" t="n"/>
      <c r="P62" s="72">
        <f>M62-(N62+O62)</f>
        <v/>
      </c>
      <c r="Q62" s="72">
        <f>INDIRECT("'July"&amp;Members!$F$2&amp;"-COLLECTION'!K"&amp;ROW()-1)</f>
        <v/>
      </c>
      <c r="R62" s="72">
        <f>INDIRECT("'July"&amp;Members!$F$2&amp;"-EXPENSE'!R"&amp;ROW()+3)</f>
        <v/>
      </c>
      <c r="S62" s="11" t="n"/>
      <c r="T62" s="72">
        <f>Q62-(R62+S62)</f>
        <v/>
      </c>
      <c r="U62" s="72">
        <f>INDIRECT("'Aug"&amp;Members!$F$2&amp;"-COLLECTION'!K"&amp;ROW()-1)</f>
        <v/>
      </c>
      <c r="V62" s="72">
        <f>INDIRECT("'Aug"&amp;Members!$F$2&amp;"-EXPENSE'!R"&amp;ROW()+3)</f>
        <v/>
      </c>
      <c r="W62" s="10" t="n"/>
      <c r="X62" s="72">
        <f>U62-(V62+W62)</f>
        <v/>
      </c>
      <c r="Y62" s="72">
        <f>INDIRECT("'Sep"&amp;Members!$F$2&amp;"-COLLECTION'!K"&amp;ROW()-1)</f>
        <v/>
      </c>
      <c r="Z62" s="72">
        <f>INDIRECT("'Sep"&amp;Members!$F$2&amp;"-EXPENSE'!R"&amp;ROW()+3)</f>
        <v/>
      </c>
      <c r="AA62" s="11" t="n"/>
      <c r="AB62" s="72">
        <f>Y62-(Z62+AA62)</f>
        <v/>
      </c>
      <c r="AC62" s="72">
        <f>INDIRECT("'Oct"&amp;Members!$F$2&amp;"-COLLECTION'!K"&amp;ROW()-1)</f>
        <v/>
      </c>
      <c r="AD62" s="72">
        <f>INDIRECT("'Oct"&amp;Members!$F$2&amp;"-EXPENSE'!R"&amp;ROW()+3)</f>
        <v/>
      </c>
      <c r="AE62" s="11" t="n"/>
      <c r="AF62" s="72">
        <f>AC62-(AD62+AE62)</f>
        <v/>
      </c>
      <c r="AG62" s="72">
        <f>INDIRECT("'Nov"&amp;Members!$F$2&amp;"-COLLECTION'!K"&amp;ROW()-1)</f>
        <v/>
      </c>
      <c r="AH62" s="72">
        <f>INDIRECT("'Nov"&amp;Members!$F$2&amp;"-EXPENSE'!R"&amp;ROW()+3)</f>
        <v/>
      </c>
      <c r="AI62" s="11" t="n"/>
      <c r="AJ62" s="72">
        <f>AG62-(AH62+AI62)</f>
        <v/>
      </c>
      <c r="AK62" s="72">
        <f>INDIRECT("'Dec"&amp;Members!$F$2&amp;"-COLLECTION'!K"&amp;ROW()-1)</f>
        <v/>
      </c>
      <c r="AL62" s="72">
        <f>INDIRECT("'Dec"&amp;Members!$F$2&amp;"-EXPENSE'!R"&amp;ROW()+3)</f>
        <v/>
      </c>
      <c r="AM62" s="11" t="n"/>
      <c r="AN62" s="72">
        <f>AK62-(AL62+AM62)</f>
        <v/>
      </c>
      <c r="AO62" s="72">
        <f>INDIRECT("'Jan"&amp;Members!$G$2&amp;"-COLLECTION'!K"&amp;ROW()-1)</f>
        <v/>
      </c>
      <c r="AP62" s="72">
        <f>INDIRECT("'Jan"&amp;Members!$G$2&amp;"-EXPENSE'!R"&amp;ROW()+3)</f>
        <v/>
      </c>
      <c r="AQ62" s="75" t="n"/>
      <c r="AR62" s="72">
        <f>AO62-(AP62+AQ62)</f>
        <v/>
      </c>
      <c r="AS62" s="72">
        <f>INDIRECT("'Feb"&amp;Members!$G$2&amp;"-COLLECTION'!K"&amp;ROW()-1)</f>
        <v/>
      </c>
      <c r="AT62" s="72">
        <f>INDIRECT("'Feb"&amp;Members!$G$2&amp;"-EXPENSE'!R"&amp;ROW()+3)</f>
        <v/>
      </c>
      <c r="AU62" s="75" t="n"/>
      <c r="AV62" s="72">
        <f>AS62-(AT62+AU62)</f>
        <v/>
      </c>
      <c r="AW62" s="72">
        <f>INDIRECT("'Mar"&amp;Members!$G$2&amp;"-COLLECTION'!K"&amp;ROW()-1)</f>
        <v/>
      </c>
      <c r="AX62" s="72">
        <f>INDIRECT("'Mar"&amp;Members!$G$2&amp;"-EXPENSE'!R"&amp;ROW()+3)</f>
        <v/>
      </c>
      <c r="AY62" s="75" t="n"/>
      <c r="AZ62" s="72">
        <f>AW62-(AX62+AY62)</f>
        <v/>
      </c>
      <c r="BA62" s="72">
        <f>SUM(E62,I62,M62,Q62,U62,Y62,AC62,AG62,AK62,AO62,AS62,AW62)</f>
        <v/>
      </c>
      <c r="BB62" s="72">
        <f>SUM(F62,J62,N62,R62,V62,Z62,AD62,AH62,AL62,AP62,AT62,AX62)</f>
        <v/>
      </c>
      <c r="BC62" s="72">
        <f>SUM(G62,K62,O62,S62,W62,AA62,AE62,AI62,AM62,AQ62,AU62,AY62)</f>
        <v/>
      </c>
      <c r="BD62" s="72">
        <f>BA62-(BB62+BC62)</f>
        <v/>
      </c>
      <c r="BE62" s="72">
        <f>BD62+D62</f>
        <v/>
      </c>
    </row>
    <row r="63" ht="15.75" customHeight="1" s="99">
      <c r="A63" s="68" t="inlineStr">
        <is>
          <t>T13</t>
        </is>
      </c>
      <c r="B63" s="69">
        <f>VLOOKUP(A63,Members!$A$2:$C$65,3,FALSE)</f>
        <v/>
      </c>
      <c r="C63" s="68">
        <f>Members!B62</f>
        <v/>
      </c>
      <c r="D63" s="70" t="n">
        <v>16858.05911501611</v>
      </c>
      <c r="E63" s="70">
        <f>INDIRECT("'Apr"&amp;Members!$F$2&amp;"-COLLECTION'!K"&amp;ROW()-1)</f>
        <v/>
      </c>
      <c r="F63" s="70">
        <f>INDIRECT("'Apr"&amp;Members!$F$2&amp;"-EXPENSE'!R"&amp;ROW()+3)</f>
        <v/>
      </c>
      <c r="G63" s="10" t="n"/>
      <c r="H63" s="70">
        <f>E63-(F63+G63)</f>
        <v/>
      </c>
      <c r="I63" s="70">
        <f>INDIRECT("'May"&amp;Members!$F$2&amp;"-COLLECTION'!K"&amp;ROW()-1)</f>
        <v/>
      </c>
      <c r="J63" s="70">
        <f>INDIRECT("'May"&amp;Members!$F$2&amp;"-EXPENSE'!R"&amp;ROW()+3)</f>
        <v/>
      </c>
      <c r="K63" s="11" t="n"/>
      <c r="L63" s="70">
        <f>I63-(J63+K63)</f>
        <v/>
      </c>
      <c r="M63" s="70">
        <f>INDIRECT("'June"&amp;Members!$F$2&amp;"-COLLECTION'!K"&amp;ROW()-1)</f>
        <v/>
      </c>
      <c r="N63" s="70">
        <f>INDIRECT("'June"&amp;Members!$F$2&amp;"-EXPENSE'!R"&amp;ROW()+3)</f>
        <v/>
      </c>
      <c r="O63" s="10" t="n"/>
      <c r="P63" s="70">
        <f>M63-(N63+O63)</f>
        <v/>
      </c>
      <c r="Q63" s="70">
        <f>INDIRECT("'July"&amp;Members!$F$2&amp;"-COLLECTION'!K"&amp;ROW()-1)</f>
        <v/>
      </c>
      <c r="R63" s="70">
        <f>INDIRECT("'July"&amp;Members!$F$2&amp;"-EXPENSE'!R"&amp;ROW()+3)</f>
        <v/>
      </c>
      <c r="S63" s="11" t="n"/>
      <c r="T63" s="70">
        <f>Q63-(R63+S63)</f>
        <v/>
      </c>
      <c r="U63" s="70">
        <f>INDIRECT("'Aug"&amp;Members!$F$2&amp;"-COLLECTION'!K"&amp;ROW()-1)</f>
        <v/>
      </c>
      <c r="V63" s="70">
        <f>INDIRECT("'Aug"&amp;Members!$F$2&amp;"-EXPENSE'!R"&amp;ROW()+3)</f>
        <v/>
      </c>
      <c r="W63" s="10" t="n"/>
      <c r="X63" s="70">
        <f>U63-(V63+W63)</f>
        <v/>
      </c>
      <c r="Y63" s="70">
        <f>INDIRECT("'Sep"&amp;Members!$F$2&amp;"-COLLECTION'!K"&amp;ROW()-1)</f>
        <v/>
      </c>
      <c r="Z63" s="70">
        <f>INDIRECT("'Sep"&amp;Members!$F$2&amp;"-EXPENSE'!R"&amp;ROW()+3)</f>
        <v/>
      </c>
      <c r="AA63" s="11" t="n"/>
      <c r="AB63" s="70">
        <f>Y63-(Z63+AA63)</f>
        <v/>
      </c>
      <c r="AC63" s="70">
        <f>INDIRECT("'Oct"&amp;Members!$F$2&amp;"-COLLECTION'!K"&amp;ROW()-1)</f>
        <v/>
      </c>
      <c r="AD63" s="70">
        <f>INDIRECT("'Oct"&amp;Members!$F$2&amp;"-EXPENSE'!R"&amp;ROW()+3)</f>
        <v/>
      </c>
      <c r="AE63" s="11" t="n"/>
      <c r="AF63" s="70">
        <f>AC63-(AD63+AE63)</f>
        <v/>
      </c>
      <c r="AG63" s="70">
        <f>INDIRECT("'Nov"&amp;Members!$F$2&amp;"-COLLECTION'!K"&amp;ROW()-1)</f>
        <v/>
      </c>
      <c r="AH63" s="70">
        <f>INDIRECT("'Nov"&amp;Members!$F$2&amp;"-EXPENSE'!R"&amp;ROW()+3)</f>
        <v/>
      </c>
      <c r="AI63" s="11" t="n"/>
      <c r="AJ63" s="70">
        <f>AG63-(AH63+AI63)</f>
        <v/>
      </c>
      <c r="AK63" s="70">
        <f>INDIRECT("'Dec"&amp;Members!$F$2&amp;"-COLLECTION'!K"&amp;ROW()-1)</f>
        <v/>
      </c>
      <c r="AL63" s="70">
        <f>INDIRECT("'Dec"&amp;Members!$F$2&amp;"-EXPENSE'!R"&amp;ROW()+3)</f>
        <v/>
      </c>
      <c r="AM63" s="11" t="n"/>
      <c r="AN63" s="70">
        <f>AK63-(AL63+AM63)</f>
        <v/>
      </c>
      <c r="AO63" s="70">
        <f>INDIRECT("'Jan"&amp;Members!$G$2&amp;"-COLLECTION'!K"&amp;ROW()-1)</f>
        <v/>
      </c>
      <c r="AP63" s="70">
        <f>INDIRECT("'Jan"&amp;Members!$G$2&amp;"-EXPENSE'!R"&amp;ROW()+3)</f>
        <v/>
      </c>
      <c r="AQ63" s="75" t="n"/>
      <c r="AR63" s="70">
        <f>AO63-(AP63+AQ63)</f>
        <v/>
      </c>
      <c r="AS63" s="70">
        <f>INDIRECT("'Feb"&amp;Members!$G$2&amp;"-COLLECTION'!K"&amp;ROW()-1)</f>
        <v/>
      </c>
      <c r="AT63" s="70">
        <f>INDIRECT("'Feb"&amp;Members!$G$2&amp;"-EXPENSE'!R"&amp;ROW()+3)</f>
        <v/>
      </c>
      <c r="AU63" s="75" t="n"/>
      <c r="AV63" s="70">
        <f>AS63-(AT63+AU63)</f>
        <v/>
      </c>
      <c r="AW63" s="70">
        <f>INDIRECT("'Mar"&amp;Members!$G$2&amp;"-COLLECTION'!K"&amp;ROW()-1)</f>
        <v/>
      </c>
      <c r="AX63" s="70">
        <f>INDIRECT("'Mar"&amp;Members!$G$2&amp;"-EXPENSE'!R"&amp;ROW()+3)</f>
        <v/>
      </c>
      <c r="AY63" s="75" t="n"/>
      <c r="AZ63" s="70">
        <f>AW63-(AX63+AY63)</f>
        <v/>
      </c>
      <c r="BA63" s="70">
        <f>SUM(E63,I63,M63,Q63,U63,Y63,AC63,AG63,AK63,AO63,AS63,AW63)</f>
        <v/>
      </c>
      <c r="BB63" s="70">
        <f>SUM(F63,J63,N63,R63,V63,Z63,AD63,AH63,AL63,AP63,AT63,AX63)</f>
        <v/>
      </c>
      <c r="BC63" s="70">
        <f>SUM(G63,K63,O63,S63,W63,AA63,AE63,AI63,AM63,AQ63,AU63,AY63)</f>
        <v/>
      </c>
      <c r="BD63" s="70">
        <f>BA63-(BB63+BC63)</f>
        <v/>
      </c>
      <c r="BE63" s="70">
        <f>BD63+D63</f>
        <v/>
      </c>
    </row>
    <row r="64" ht="15.75" customHeight="1" s="99">
      <c r="A64" s="52" t="inlineStr">
        <is>
          <t>T14</t>
        </is>
      </c>
      <c r="B64" s="71">
        <f>VLOOKUP(A64,Members!$A$2:$C$65,3,FALSE)</f>
        <v/>
      </c>
      <c r="C64" s="52">
        <f>Members!B63</f>
        <v/>
      </c>
      <c r="D64" s="72" t="n">
        <v>-4476.901860822443</v>
      </c>
      <c r="E64" s="72">
        <f>INDIRECT("'Apr"&amp;Members!$F$2&amp;"-COLLECTION'!K"&amp;ROW()-1)</f>
        <v/>
      </c>
      <c r="F64" s="72">
        <f>INDIRECT("'Apr"&amp;Members!$F$2&amp;"-EXPENSE'!R"&amp;ROW()+3)</f>
        <v/>
      </c>
      <c r="G64" s="10" t="n"/>
      <c r="H64" s="72">
        <f>E64-(F64+G64)</f>
        <v/>
      </c>
      <c r="I64" s="72">
        <f>INDIRECT("'May"&amp;Members!$F$2&amp;"-COLLECTION'!K"&amp;ROW()-1)</f>
        <v/>
      </c>
      <c r="J64" s="72">
        <f>INDIRECT("'May"&amp;Members!$F$2&amp;"-EXPENSE'!R"&amp;ROW()+3)</f>
        <v/>
      </c>
      <c r="K64" s="11" t="n"/>
      <c r="L64" s="72">
        <f>I64-(J64+K64)</f>
        <v/>
      </c>
      <c r="M64" s="72">
        <f>INDIRECT("'June"&amp;Members!$F$2&amp;"-COLLECTION'!K"&amp;ROW()-1)</f>
        <v/>
      </c>
      <c r="N64" s="72">
        <f>INDIRECT("'June"&amp;Members!$F$2&amp;"-EXPENSE'!R"&amp;ROW()+3)</f>
        <v/>
      </c>
      <c r="O64" s="10" t="n"/>
      <c r="P64" s="72">
        <f>M64-(N64+O64)</f>
        <v/>
      </c>
      <c r="Q64" s="72">
        <f>INDIRECT("'July"&amp;Members!$F$2&amp;"-COLLECTION'!K"&amp;ROW()-1)</f>
        <v/>
      </c>
      <c r="R64" s="72">
        <f>INDIRECT("'July"&amp;Members!$F$2&amp;"-EXPENSE'!R"&amp;ROW()+3)</f>
        <v/>
      </c>
      <c r="S64" s="11" t="n"/>
      <c r="T64" s="72">
        <f>Q64-(R64+S64)</f>
        <v/>
      </c>
      <c r="U64" s="72">
        <f>INDIRECT("'Aug"&amp;Members!$F$2&amp;"-COLLECTION'!K"&amp;ROW()-1)</f>
        <v/>
      </c>
      <c r="V64" s="72">
        <f>INDIRECT("'Aug"&amp;Members!$F$2&amp;"-EXPENSE'!R"&amp;ROW()+3)</f>
        <v/>
      </c>
      <c r="W64" s="10" t="n"/>
      <c r="X64" s="72">
        <f>U64-(V64+W64)</f>
        <v/>
      </c>
      <c r="Y64" s="72">
        <f>INDIRECT("'Sep"&amp;Members!$F$2&amp;"-COLLECTION'!K"&amp;ROW()-1)</f>
        <v/>
      </c>
      <c r="Z64" s="72">
        <f>INDIRECT("'Sep"&amp;Members!$F$2&amp;"-EXPENSE'!R"&amp;ROW()+3)</f>
        <v/>
      </c>
      <c r="AA64" s="11" t="n"/>
      <c r="AB64" s="72">
        <f>Y64-(Z64+AA64)</f>
        <v/>
      </c>
      <c r="AC64" s="72">
        <f>INDIRECT("'Oct"&amp;Members!$F$2&amp;"-COLLECTION'!K"&amp;ROW()-1)</f>
        <v/>
      </c>
      <c r="AD64" s="72">
        <f>INDIRECT("'Oct"&amp;Members!$F$2&amp;"-EXPENSE'!R"&amp;ROW()+3)</f>
        <v/>
      </c>
      <c r="AE64" s="11" t="n"/>
      <c r="AF64" s="72">
        <f>AC64-(AD64+AE64)</f>
        <v/>
      </c>
      <c r="AG64" s="72">
        <f>INDIRECT("'Nov"&amp;Members!$F$2&amp;"-COLLECTION'!K"&amp;ROW()-1)</f>
        <v/>
      </c>
      <c r="AH64" s="72">
        <f>INDIRECT("'Nov"&amp;Members!$F$2&amp;"-EXPENSE'!R"&amp;ROW()+3)</f>
        <v/>
      </c>
      <c r="AI64" s="11" t="n"/>
      <c r="AJ64" s="72">
        <f>AG64-(AH64+AI64)</f>
        <v/>
      </c>
      <c r="AK64" s="72">
        <f>INDIRECT("'Dec"&amp;Members!$F$2&amp;"-COLLECTION'!K"&amp;ROW()-1)</f>
        <v/>
      </c>
      <c r="AL64" s="72">
        <f>INDIRECT("'Dec"&amp;Members!$F$2&amp;"-EXPENSE'!R"&amp;ROW()+3)</f>
        <v/>
      </c>
      <c r="AM64" s="11" t="n"/>
      <c r="AN64" s="72">
        <f>AK64-(AL64+AM64)</f>
        <v/>
      </c>
      <c r="AO64" s="72">
        <f>INDIRECT("'Jan"&amp;Members!$G$2&amp;"-COLLECTION'!K"&amp;ROW()-1)</f>
        <v/>
      </c>
      <c r="AP64" s="72">
        <f>INDIRECT("'Jan"&amp;Members!$G$2&amp;"-EXPENSE'!R"&amp;ROW()+3)</f>
        <v/>
      </c>
      <c r="AQ64" s="75" t="n"/>
      <c r="AR64" s="72">
        <f>AO64-(AP64+AQ64)</f>
        <v/>
      </c>
      <c r="AS64" s="72">
        <f>INDIRECT("'Feb"&amp;Members!$G$2&amp;"-COLLECTION'!K"&amp;ROW()-1)</f>
        <v/>
      </c>
      <c r="AT64" s="72">
        <f>INDIRECT("'Feb"&amp;Members!$G$2&amp;"-EXPENSE'!R"&amp;ROW()+3)</f>
        <v/>
      </c>
      <c r="AU64" s="75" t="n"/>
      <c r="AV64" s="72">
        <f>AS64-(AT64+AU64)</f>
        <v/>
      </c>
      <c r="AW64" s="72">
        <f>INDIRECT("'Mar"&amp;Members!$G$2&amp;"-COLLECTION'!K"&amp;ROW()-1)</f>
        <v/>
      </c>
      <c r="AX64" s="72">
        <f>INDIRECT("'Mar"&amp;Members!$G$2&amp;"-EXPENSE'!R"&amp;ROW()+3)</f>
        <v/>
      </c>
      <c r="AY64" s="75" t="n"/>
      <c r="AZ64" s="72">
        <f>AW64-(AX64+AY64)</f>
        <v/>
      </c>
      <c r="BA64" s="72">
        <f>SUM(E64,I64,M64,Q64,U64,Y64,AC64,AG64,AK64,AO64,AS64,AW64)</f>
        <v/>
      </c>
      <c r="BB64" s="72">
        <f>SUM(F64,J64,N64,R64,V64,Z64,AD64,AH64,AL64,AP64,AT64,AX64)</f>
        <v/>
      </c>
      <c r="BC64" s="72">
        <f>SUM(G64,K64,O64,S64,W64,AA64,AE64,AI64,AM64,AQ64,AU64,AY64)</f>
        <v/>
      </c>
      <c r="BD64" s="72">
        <f>BA64-(BB64+BC64)</f>
        <v/>
      </c>
      <c r="BE64" s="72">
        <f>BD64+D64</f>
        <v/>
      </c>
    </row>
    <row r="65" ht="15.75" customHeight="1" s="99">
      <c r="A65" s="68" t="inlineStr">
        <is>
          <t>T15</t>
        </is>
      </c>
      <c r="B65" s="69">
        <f>VLOOKUP(A65,Members!$A$2:$C$65,3,FALSE)</f>
        <v/>
      </c>
      <c r="C65" s="68">
        <f>Members!B64</f>
        <v/>
      </c>
      <c r="D65" s="70" t="n">
        <v>-32318.82628691479</v>
      </c>
      <c r="E65" s="70">
        <f>INDIRECT("'Apr"&amp;Members!$F$2&amp;"-COLLECTION'!K"&amp;ROW()-1)</f>
        <v/>
      </c>
      <c r="F65" s="70">
        <f>INDIRECT("'Apr"&amp;Members!$F$2&amp;"-EXPENSE'!R"&amp;ROW()+3)</f>
        <v/>
      </c>
      <c r="G65" s="10" t="n"/>
      <c r="H65" s="70">
        <f>E65-(F65+G65)</f>
        <v/>
      </c>
      <c r="I65" s="70">
        <f>INDIRECT("'May"&amp;Members!$F$2&amp;"-COLLECTION'!K"&amp;ROW()-1)</f>
        <v/>
      </c>
      <c r="J65" s="70">
        <f>INDIRECT("'May"&amp;Members!$F$2&amp;"-EXPENSE'!R"&amp;ROW()+3)</f>
        <v/>
      </c>
      <c r="K65" s="11" t="n"/>
      <c r="L65" s="70">
        <f>I65-(J65+K65)</f>
        <v/>
      </c>
      <c r="M65" s="70">
        <f>INDIRECT("'June"&amp;Members!$F$2&amp;"-COLLECTION'!K"&amp;ROW()-1)</f>
        <v/>
      </c>
      <c r="N65" s="70">
        <f>INDIRECT("'June"&amp;Members!$F$2&amp;"-EXPENSE'!R"&amp;ROW()+3)</f>
        <v/>
      </c>
      <c r="O65" s="10" t="n"/>
      <c r="P65" s="70">
        <f>M65-(N65+O65)</f>
        <v/>
      </c>
      <c r="Q65" s="70">
        <f>INDIRECT("'July"&amp;Members!$F$2&amp;"-COLLECTION'!K"&amp;ROW()-1)</f>
        <v/>
      </c>
      <c r="R65" s="70">
        <f>INDIRECT("'July"&amp;Members!$F$2&amp;"-EXPENSE'!R"&amp;ROW()+3)</f>
        <v/>
      </c>
      <c r="S65" s="11" t="n"/>
      <c r="T65" s="70">
        <f>Q65-(R65+S65)</f>
        <v/>
      </c>
      <c r="U65" s="70">
        <f>INDIRECT("'Aug"&amp;Members!$F$2&amp;"-COLLECTION'!K"&amp;ROW()-1)</f>
        <v/>
      </c>
      <c r="V65" s="70">
        <f>INDIRECT("'Aug"&amp;Members!$F$2&amp;"-EXPENSE'!R"&amp;ROW()+3)</f>
        <v/>
      </c>
      <c r="W65" s="10" t="n"/>
      <c r="X65" s="70">
        <f>U65-(V65+W65)</f>
        <v/>
      </c>
      <c r="Y65" s="70">
        <f>INDIRECT("'Sep"&amp;Members!$F$2&amp;"-COLLECTION'!K"&amp;ROW()-1)</f>
        <v/>
      </c>
      <c r="Z65" s="70">
        <f>INDIRECT("'Sep"&amp;Members!$F$2&amp;"-EXPENSE'!R"&amp;ROW()+3)</f>
        <v/>
      </c>
      <c r="AA65" s="11" t="n"/>
      <c r="AB65" s="70">
        <f>Y65-(Z65+AA65)</f>
        <v/>
      </c>
      <c r="AC65" s="70">
        <f>INDIRECT("'Oct"&amp;Members!$F$2&amp;"-COLLECTION'!K"&amp;ROW()-1)</f>
        <v/>
      </c>
      <c r="AD65" s="70">
        <f>INDIRECT("'Oct"&amp;Members!$F$2&amp;"-EXPENSE'!R"&amp;ROW()+3)</f>
        <v/>
      </c>
      <c r="AE65" s="11" t="n"/>
      <c r="AF65" s="70">
        <f>AC65-(AD65+AE65)</f>
        <v/>
      </c>
      <c r="AG65" s="70">
        <f>INDIRECT("'Nov"&amp;Members!$F$2&amp;"-COLLECTION'!K"&amp;ROW()-1)</f>
        <v/>
      </c>
      <c r="AH65" s="70">
        <f>INDIRECT("'Nov"&amp;Members!$F$2&amp;"-EXPENSE'!R"&amp;ROW()+3)</f>
        <v/>
      </c>
      <c r="AI65" s="11" t="n"/>
      <c r="AJ65" s="70">
        <f>AG65-(AH65+AI65)</f>
        <v/>
      </c>
      <c r="AK65" s="70">
        <f>INDIRECT("'Dec"&amp;Members!$F$2&amp;"-COLLECTION'!K"&amp;ROW()-1)</f>
        <v/>
      </c>
      <c r="AL65" s="70">
        <f>INDIRECT("'Dec"&amp;Members!$F$2&amp;"-EXPENSE'!R"&amp;ROW()+3)</f>
        <v/>
      </c>
      <c r="AM65" s="11" t="n"/>
      <c r="AN65" s="70">
        <f>AK65-(AL65+AM65)</f>
        <v/>
      </c>
      <c r="AO65" s="70">
        <f>INDIRECT("'Jan"&amp;Members!$G$2&amp;"-COLLECTION'!K"&amp;ROW()-1)</f>
        <v/>
      </c>
      <c r="AP65" s="70">
        <f>INDIRECT("'Jan"&amp;Members!$G$2&amp;"-EXPENSE'!R"&amp;ROW()+3)</f>
        <v/>
      </c>
      <c r="AQ65" s="75" t="n"/>
      <c r="AR65" s="70">
        <f>AO65-(AP65+AQ65)</f>
        <v/>
      </c>
      <c r="AS65" s="70">
        <f>INDIRECT("'Feb"&amp;Members!$G$2&amp;"-COLLECTION'!K"&amp;ROW()-1)</f>
        <v/>
      </c>
      <c r="AT65" s="70">
        <f>INDIRECT("'Feb"&amp;Members!$G$2&amp;"-EXPENSE'!R"&amp;ROW()+3)</f>
        <v/>
      </c>
      <c r="AU65" s="75" t="n"/>
      <c r="AV65" s="70">
        <f>AS65-(AT65+AU65)</f>
        <v/>
      </c>
      <c r="AW65" s="70">
        <f>INDIRECT("'Mar"&amp;Members!$G$2&amp;"-COLLECTION'!K"&amp;ROW()-1)</f>
        <v/>
      </c>
      <c r="AX65" s="70">
        <f>INDIRECT("'Mar"&amp;Members!$G$2&amp;"-EXPENSE'!R"&amp;ROW()+3)</f>
        <v/>
      </c>
      <c r="AY65" s="75" t="n"/>
      <c r="AZ65" s="70">
        <f>AW65-(AX65+AY65)</f>
        <v/>
      </c>
      <c r="BA65" s="70">
        <f>SUM(E65,I65,M65,Q65,U65,Y65,AC65,AG65,AK65,AO65,AS65,AW65)</f>
        <v/>
      </c>
      <c r="BB65" s="70">
        <f>SUM(F65,J65,N65,R65,V65,Z65,AD65,AH65,AL65,AP65,AT65,AX65)</f>
        <v/>
      </c>
      <c r="BC65" s="70">
        <f>SUM(G65,K65,O65,S65,W65,AA65,AE65,AI65,AM65,AQ65,AU65,AY65)</f>
        <v/>
      </c>
      <c r="BD65" s="70">
        <f>BA65-(BB65+BC65)</f>
        <v/>
      </c>
      <c r="BE65" s="70">
        <f>BD65+D65</f>
        <v/>
      </c>
    </row>
    <row r="66" ht="15.75" customHeight="1" s="99">
      <c r="A66" s="52" t="inlineStr">
        <is>
          <t>T16</t>
        </is>
      </c>
      <c r="B66" s="71">
        <f>VLOOKUP(A66,Members!$A$2:$C$65,3,FALSE)</f>
        <v/>
      </c>
      <c r="C66" s="52">
        <f>Members!B65</f>
        <v/>
      </c>
      <c r="D66" s="72" t="n">
        <v>-9350.2071393933</v>
      </c>
      <c r="E66" s="72">
        <f>INDIRECT("'Apr"&amp;Members!$F$2&amp;"-COLLECTION'!K"&amp;ROW()-1)</f>
        <v/>
      </c>
      <c r="F66" s="72">
        <f>INDIRECT("'Apr"&amp;Members!$F$2&amp;"-EXPENSE'!R"&amp;ROW()+3)</f>
        <v/>
      </c>
      <c r="G66" s="10" t="n"/>
      <c r="H66" s="72">
        <f>E66-(F66+G66)</f>
        <v/>
      </c>
      <c r="I66" s="72">
        <f>INDIRECT("'May"&amp;Members!$F$2&amp;"-COLLECTION'!K"&amp;ROW()-1)</f>
        <v/>
      </c>
      <c r="J66" s="72">
        <f>INDIRECT("'May"&amp;Members!$F$2&amp;"-EXPENSE'!R"&amp;ROW()+3)</f>
        <v/>
      </c>
      <c r="K66" s="11" t="n"/>
      <c r="L66" s="72">
        <f>I66-(J66+K66)</f>
        <v/>
      </c>
      <c r="M66" s="72">
        <f>INDIRECT("'June"&amp;Members!$F$2&amp;"-COLLECTION'!K"&amp;ROW()-1)</f>
        <v/>
      </c>
      <c r="N66" s="72">
        <f>INDIRECT("'June"&amp;Members!$F$2&amp;"-EXPENSE'!R"&amp;ROW()+3)</f>
        <v/>
      </c>
      <c r="O66" s="10" t="n"/>
      <c r="P66" s="72">
        <f>M66-(N66+O66)</f>
        <v/>
      </c>
      <c r="Q66" s="72">
        <f>INDIRECT("'July"&amp;Members!$F$2&amp;"-COLLECTION'!K"&amp;ROW()-1)</f>
        <v/>
      </c>
      <c r="R66" s="72">
        <f>INDIRECT("'July"&amp;Members!$F$2&amp;"-EXPENSE'!R"&amp;ROW()+3)</f>
        <v/>
      </c>
      <c r="S66" s="11" t="n"/>
      <c r="T66" s="72">
        <f>Q66-(R66+S66)</f>
        <v/>
      </c>
      <c r="U66" s="72">
        <f>INDIRECT("'Aug"&amp;Members!$F$2&amp;"-COLLECTION'!K"&amp;ROW()-1)</f>
        <v/>
      </c>
      <c r="V66" s="72">
        <f>INDIRECT("'Aug"&amp;Members!$F$2&amp;"-EXPENSE'!R"&amp;ROW()+3)</f>
        <v/>
      </c>
      <c r="W66" s="10" t="n"/>
      <c r="X66" s="72">
        <f>U66-(V66+W66)</f>
        <v/>
      </c>
      <c r="Y66" s="72">
        <f>INDIRECT("'Sep"&amp;Members!$F$2&amp;"-COLLECTION'!K"&amp;ROW()-1)</f>
        <v/>
      </c>
      <c r="Z66" s="72">
        <f>INDIRECT("'Sep"&amp;Members!$F$2&amp;"-EXPENSE'!R"&amp;ROW()+3)</f>
        <v/>
      </c>
      <c r="AA66" s="11" t="n"/>
      <c r="AB66" s="72">
        <f>Y66-(Z66+AA66)</f>
        <v/>
      </c>
      <c r="AC66" s="72">
        <f>INDIRECT("'Oct"&amp;Members!$F$2&amp;"-COLLECTION'!K"&amp;ROW()-1)</f>
        <v/>
      </c>
      <c r="AD66" s="72">
        <f>INDIRECT("'Oct"&amp;Members!$F$2&amp;"-EXPENSE'!R"&amp;ROW()+3)</f>
        <v/>
      </c>
      <c r="AE66" s="11" t="n"/>
      <c r="AF66" s="72">
        <f>AC66-(AD66+AE66)</f>
        <v/>
      </c>
      <c r="AG66" s="72">
        <f>INDIRECT("'Nov"&amp;Members!$F$2&amp;"-COLLECTION'!K"&amp;ROW()-1)</f>
        <v/>
      </c>
      <c r="AH66" s="72">
        <f>INDIRECT("'Nov"&amp;Members!$F$2&amp;"-EXPENSE'!R"&amp;ROW()+3)</f>
        <v/>
      </c>
      <c r="AI66" s="11" t="n"/>
      <c r="AJ66" s="72">
        <f>AG66-(AH66+AI66)</f>
        <v/>
      </c>
      <c r="AK66" s="72">
        <f>INDIRECT("'Dec"&amp;Members!$F$2&amp;"-COLLECTION'!K"&amp;ROW()-1)</f>
        <v/>
      </c>
      <c r="AL66" s="72">
        <f>INDIRECT("'Dec"&amp;Members!$F$2&amp;"-EXPENSE'!R"&amp;ROW()+3)</f>
        <v/>
      </c>
      <c r="AM66" s="11" t="n"/>
      <c r="AN66" s="72">
        <f>AK66-(AL66+AM66)</f>
        <v/>
      </c>
      <c r="AO66" s="72">
        <f>INDIRECT("'Jan"&amp;Members!$G$2&amp;"-COLLECTION'!K"&amp;ROW()-1)</f>
        <v/>
      </c>
      <c r="AP66" s="72">
        <f>INDIRECT("'Jan"&amp;Members!$G$2&amp;"-EXPENSE'!R"&amp;ROW()+3)</f>
        <v/>
      </c>
      <c r="AQ66" s="75" t="n"/>
      <c r="AR66" s="72">
        <f>AO66-(AP66+AQ66)</f>
        <v/>
      </c>
      <c r="AS66" s="72">
        <f>INDIRECT("'Feb"&amp;Members!$G$2&amp;"-COLLECTION'!K"&amp;ROW()-1)</f>
        <v/>
      </c>
      <c r="AT66" s="72">
        <f>INDIRECT("'Feb"&amp;Members!$G$2&amp;"-EXPENSE'!R"&amp;ROW()+3)</f>
        <v/>
      </c>
      <c r="AU66" s="75" t="n"/>
      <c r="AV66" s="72">
        <f>AS66-(AT66+AU66)</f>
        <v/>
      </c>
      <c r="AW66" s="72">
        <f>INDIRECT("'Mar"&amp;Members!$G$2&amp;"-COLLECTION'!K"&amp;ROW()-1)</f>
        <v/>
      </c>
      <c r="AX66" s="72">
        <f>INDIRECT("'Mar"&amp;Members!$G$2&amp;"-EXPENSE'!R"&amp;ROW()+3)</f>
        <v/>
      </c>
      <c r="AY66" s="75" t="n"/>
      <c r="AZ66" s="72">
        <f>AW66-(AX66+AY66)</f>
        <v/>
      </c>
      <c r="BA66" s="72">
        <f>SUM(E66,I66,M66,Q66,U66,Y66,AC66,AG66,AK66,AO66,AS66,AW66)</f>
        <v/>
      </c>
      <c r="BB66" s="72">
        <f>SUM(F66,J66,N66,R66,V66,Z66,AD66,AH66,AL66,AP66,AT66,AX66)</f>
        <v/>
      </c>
      <c r="BC66" s="72">
        <f>SUM(G66,K66,O66,S66,W66,AA66,AE66,AI66,AM66,AQ66,AU66,AY66)</f>
        <v/>
      </c>
      <c r="BD66" s="72">
        <f>BA66-(BB66+BC66)</f>
        <v/>
      </c>
      <c r="BE66" s="72">
        <f>BD66+D66</f>
        <v/>
      </c>
    </row>
    <row r="67" ht="15.75" customHeight="1" s="99">
      <c r="A67" s="9" t="n"/>
      <c r="B67" s="8" t="n"/>
      <c r="C67" s="9" t="inlineStr">
        <is>
          <t>TOTAL</t>
        </is>
      </c>
      <c r="D67" s="7">
        <f>SUM(D3:D66)</f>
        <v/>
      </c>
      <c r="E67" s="12">
        <f>SUM(E3:E66)</f>
        <v/>
      </c>
      <c r="F67" s="11">
        <f>SUM(F3:F66)</f>
        <v/>
      </c>
      <c r="G67" s="11">
        <f>SUM(G3:G66)</f>
        <v/>
      </c>
      <c r="H67" s="11">
        <f>SUM(H3:H66)</f>
        <v/>
      </c>
      <c r="I67" s="11">
        <f>SUM(I3:I66)</f>
        <v/>
      </c>
      <c r="J67" s="11">
        <f>SUM(J3:J66)</f>
        <v/>
      </c>
      <c r="K67" s="11">
        <f>SUM(K3:K66)</f>
        <v/>
      </c>
      <c r="L67" s="11">
        <f>SUM(L3:L66)</f>
        <v/>
      </c>
      <c r="M67" s="11">
        <f>SUM(M3:M66)</f>
        <v/>
      </c>
      <c r="N67" s="11">
        <f>SUM(N3:N66)</f>
        <v/>
      </c>
      <c r="O67" s="11">
        <f>SUM(O3:O66)</f>
        <v/>
      </c>
      <c r="P67" s="11">
        <f>SUM(P3:P66)</f>
        <v/>
      </c>
      <c r="Q67" s="11">
        <f>SUM(Q3:Q66)</f>
        <v/>
      </c>
      <c r="R67" s="11">
        <f>SUM(R3:R66)</f>
        <v/>
      </c>
      <c r="S67" s="11">
        <f>SUM(S3:S66)</f>
        <v/>
      </c>
      <c r="T67" s="11">
        <f>SUM(T3:T66)</f>
        <v/>
      </c>
      <c r="U67" s="11">
        <f>SUM(U3:U66)</f>
        <v/>
      </c>
      <c r="V67" s="11">
        <f>SUM(V3:V66)</f>
        <v/>
      </c>
      <c r="W67" s="11">
        <f>SUM(W3:W66)</f>
        <v/>
      </c>
      <c r="X67" s="11">
        <f>SUM(X3:X66)</f>
        <v/>
      </c>
      <c r="Y67" s="11">
        <f>SUM(Y3:Y66)</f>
        <v/>
      </c>
      <c r="Z67" s="11">
        <f>SUM(Z3:Z66)</f>
        <v/>
      </c>
      <c r="AA67" s="11">
        <f>SUM(AA3:AA66)</f>
        <v/>
      </c>
      <c r="AB67" s="11">
        <f>SUM(AB3:AB66)</f>
        <v/>
      </c>
      <c r="AC67" s="11">
        <f>SUM(AC3:AC66)</f>
        <v/>
      </c>
      <c r="AD67" s="11">
        <f>SUM(AD3:AD66)</f>
        <v/>
      </c>
      <c r="AE67" s="11">
        <f>SUM(AE3:AE66)</f>
        <v/>
      </c>
      <c r="AF67" s="11">
        <f>SUM(AF3:AF66)</f>
        <v/>
      </c>
      <c r="AG67" s="11">
        <f>SUM(AG3:AG66)</f>
        <v/>
      </c>
      <c r="AH67" s="11">
        <f>SUM(AH3:AH66)</f>
        <v/>
      </c>
      <c r="AI67" s="11">
        <f>SUM(AI3:AI66)</f>
        <v/>
      </c>
      <c r="AJ67" s="11">
        <f>SUM(AJ3:AJ66)</f>
        <v/>
      </c>
      <c r="AK67" s="11">
        <f>SUM(AK3:AK66)</f>
        <v/>
      </c>
      <c r="AL67" s="11">
        <f>SUM(AL3:AL66)</f>
        <v/>
      </c>
      <c r="AM67" s="11">
        <f>SUM(AM3:AM66)</f>
        <v/>
      </c>
      <c r="AN67" s="11">
        <f>SUM(AN3:AN66)</f>
        <v/>
      </c>
      <c r="AO67" s="76">
        <f>SUM(AO3:AO66)</f>
        <v/>
      </c>
      <c r="AP67" s="75">
        <f>SUM(AP3:AP66)</f>
        <v/>
      </c>
      <c r="AQ67" s="75">
        <f>SUM(AQ3:AQ66)</f>
        <v/>
      </c>
      <c r="AR67" s="75">
        <f>SUM(AR3:AR66)</f>
        <v/>
      </c>
      <c r="AS67" s="76">
        <f>SUM(AS3:AS66)</f>
        <v/>
      </c>
      <c r="AT67" s="75">
        <f>SUM(AT3:AT66)</f>
        <v/>
      </c>
      <c r="AU67" s="75">
        <f>SUM(AU3:AU66)</f>
        <v/>
      </c>
      <c r="AV67" s="75">
        <f>SUM(AV3:AV66)</f>
        <v/>
      </c>
      <c r="AW67" s="76">
        <f>SUM(AW3:AW66)</f>
        <v/>
      </c>
      <c r="AX67" s="75">
        <f>SUM(AX3:AX66)</f>
        <v/>
      </c>
      <c r="AY67" s="75">
        <f>SUM(AY3:AY66)</f>
        <v/>
      </c>
      <c r="AZ67" s="75">
        <f>SUM(AZ3:AZ66)</f>
        <v/>
      </c>
      <c r="BA67" s="11">
        <f>SUM(BA3:BA66)</f>
        <v/>
      </c>
      <c r="BB67" s="11">
        <f>SUM(BB3:BB66)</f>
        <v/>
      </c>
      <c r="BC67" s="11">
        <f>SUM(BC3:BC66)</f>
        <v/>
      </c>
      <c r="BD67" s="13">
        <f>SUM(BD3:BD66)</f>
        <v/>
      </c>
      <c r="BE67" s="77">
        <f>BD67+D67</f>
        <v/>
      </c>
    </row>
  </sheetData>
  <autoFilter ref="A2:BF67"/>
  <mergeCells count="12">
    <mergeCell ref="AW1:AZ1"/>
    <mergeCell ref="U1:X1"/>
    <mergeCell ref="AG1:AJ1"/>
    <mergeCell ref="I1:L1"/>
    <mergeCell ref="M1:P1"/>
    <mergeCell ref="Q1:T1"/>
    <mergeCell ref="AO1:AR1"/>
    <mergeCell ref="E1:H1"/>
    <mergeCell ref="AK1:AN1"/>
    <mergeCell ref="AC1:AF1"/>
    <mergeCell ref="Y1:AB1"/>
    <mergeCell ref="AS1:AV1"/>
  </mergeCells>
  <conditionalFormatting sqref="G2:H66 K1:L66 O2:P66 S2:T66 W2:X66 AA2:AB66 AE2:AF66 AI2:AJ66 AM2:AN66 AO2:AQ2 AR2:AR66 AS2:AU2 AV2:AV66 AW2:AY2 AZ2:AZ66">
    <cfRule type="cellIs" priority="1" operator="lessThan" dxfId="1">
      <formula>0</formula>
    </cfRule>
  </conditionalFormatting>
  <conditionalFormatting sqref="AE2:AF66 AI2:AJ66 AM2:AN66 AO2:AQ2 AR2:AR66 AS2:AU2 AV2:AV66 AW2:AY2 AZ2:AZ66 BC1:BD66 BE1">
    <cfRule type="cellIs" priority="2" operator="lessThan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2026-04-19T11:23:40Z</dcterms:created>
  <dcterms:modified xsi:type="dcterms:W3CDTF">2026-08-10T07:32:37Z</dcterms:modified>
  <cp:lastModifiedBy>Samrat Kar</cp:lastModifiedBy>
</cp:coreProperties>
</file>