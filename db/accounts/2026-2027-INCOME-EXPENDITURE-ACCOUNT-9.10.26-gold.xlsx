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43F72E5C-7D77-4608-9C5A-9E6F797BAE2C}" xr6:coauthVersionLast="47" xr6:coauthVersionMax="47" xr10:uidLastSave="{00000000-0000-0000-0000-000000000000}"/>
  <bookViews>
    <workbookView xWindow="-120" yWindow="-120" windowWidth="29040" windowHeight="15720" tabRatio="954" firstSheet="2" activeTab="11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r:id="rId10"/>
    <sheet name="Aug2026-COLLECTION" sheetId="11" r:id="rId11"/>
    <sheet name="Sep2026-EXPENSE" sheetId="12" r:id="rId12"/>
    <sheet name="Sep2026-COLLECTION" sheetId="13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" i="6" l="1"/>
  <c r="D23" i="6"/>
  <c r="AY67" i="27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S15" i="26"/>
  <c r="P15" i="26"/>
  <c r="O15" i="26"/>
  <c r="N15" i="26"/>
  <c r="M15" i="26"/>
  <c r="L15" i="26"/>
  <c r="K15" i="26"/>
  <c r="J15" i="26"/>
  <c r="I15" i="26"/>
  <c r="H15" i="26"/>
  <c r="G15" i="26"/>
  <c r="F15" i="26"/>
  <c r="E15" i="26"/>
  <c r="D15" i="26"/>
  <c r="C15" i="26"/>
  <c r="B15" i="26"/>
  <c r="U14" i="26"/>
  <c r="T14" i="26"/>
  <c r="X14" i="26" s="1"/>
  <c r="X13" i="26"/>
  <c r="V13" i="26"/>
  <c r="U13" i="26"/>
  <c r="T13" i="26"/>
  <c r="U12" i="26"/>
  <c r="T12" i="26"/>
  <c r="X12" i="26" s="1"/>
  <c r="U11" i="26"/>
  <c r="T11" i="26"/>
  <c r="X11" i="26" s="1"/>
  <c r="X10" i="26"/>
  <c r="V10" i="26"/>
  <c r="U10" i="26"/>
  <c r="T10" i="26"/>
  <c r="U9" i="26"/>
  <c r="T9" i="26"/>
  <c r="X9" i="26" s="1"/>
  <c r="U8" i="26"/>
  <c r="T8" i="26"/>
  <c r="X8" i="26" s="1"/>
  <c r="U7" i="26"/>
  <c r="J7" i="26"/>
  <c r="T7" i="26" s="1"/>
  <c r="X7" i="26" s="1"/>
  <c r="U6" i="26"/>
  <c r="T6" i="26"/>
  <c r="X6" i="26" s="1"/>
  <c r="R6" i="26"/>
  <c r="U5" i="26"/>
  <c r="T5" i="26"/>
  <c r="J5" i="26"/>
  <c r="U4" i="26"/>
  <c r="T4" i="26"/>
  <c r="Q4" i="26"/>
  <c r="Q15" i="26" s="1"/>
  <c r="K4" i="26"/>
  <c r="U3" i="26"/>
  <c r="V3" i="26" s="1"/>
  <c r="T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K66" i="25" s="1"/>
  <c r="B2" i="25"/>
  <c r="O70" i="24"/>
  <c r="N70" i="24"/>
  <c r="M70" i="24"/>
  <c r="L70" i="24"/>
  <c r="H70" i="24"/>
  <c r="C70" i="24"/>
  <c r="D69" i="24"/>
  <c r="E69" i="24" s="1"/>
  <c r="B69" i="24"/>
  <c r="E68" i="24"/>
  <c r="D68" i="24"/>
  <c r="B68" i="24"/>
  <c r="I67" i="24"/>
  <c r="F67" i="24"/>
  <c r="G67" i="24" s="1"/>
  <c r="D67" i="24"/>
  <c r="E67" i="24" s="1"/>
  <c r="B67" i="24"/>
  <c r="E66" i="24"/>
  <c r="D66" i="24"/>
  <c r="B66" i="24"/>
  <c r="D65" i="24"/>
  <c r="E65" i="24" s="1"/>
  <c r="B65" i="24"/>
  <c r="E64" i="24"/>
  <c r="D64" i="24"/>
  <c r="B64" i="24"/>
  <c r="I63" i="24"/>
  <c r="F63" i="24"/>
  <c r="G63" i="24" s="1"/>
  <c r="D63" i="24"/>
  <c r="E63" i="24" s="1"/>
  <c r="B63" i="24"/>
  <c r="E62" i="24"/>
  <c r="D62" i="24"/>
  <c r="B62" i="24"/>
  <c r="D61" i="24"/>
  <c r="E61" i="24" s="1"/>
  <c r="B61" i="24"/>
  <c r="E60" i="24"/>
  <c r="D60" i="24"/>
  <c r="B60" i="24"/>
  <c r="I59" i="24"/>
  <c r="F59" i="24"/>
  <c r="G59" i="24" s="1"/>
  <c r="D59" i="24"/>
  <c r="E59" i="24" s="1"/>
  <c r="B59" i="24"/>
  <c r="E58" i="24"/>
  <c r="D58" i="24"/>
  <c r="B58" i="24"/>
  <c r="D57" i="24"/>
  <c r="E57" i="24" s="1"/>
  <c r="B57" i="24"/>
  <c r="E56" i="24"/>
  <c r="D56" i="24"/>
  <c r="B56" i="24"/>
  <c r="I55" i="24"/>
  <c r="F55" i="24"/>
  <c r="G55" i="24" s="1"/>
  <c r="D55" i="24"/>
  <c r="E55" i="24" s="1"/>
  <c r="B55" i="24"/>
  <c r="E54" i="24"/>
  <c r="D54" i="24"/>
  <c r="B54" i="24"/>
  <c r="D53" i="24"/>
  <c r="E53" i="24" s="1"/>
  <c r="B53" i="24"/>
  <c r="E52" i="24"/>
  <c r="D52" i="24"/>
  <c r="B52" i="24"/>
  <c r="I51" i="24"/>
  <c r="F51" i="24"/>
  <c r="D51" i="24"/>
  <c r="E51" i="24" s="1"/>
  <c r="B51" i="24"/>
  <c r="E50" i="24"/>
  <c r="D50" i="24"/>
  <c r="B50" i="24"/>
  <c r="D49" i="24"/>
  <c r="E49" i="24" s="1"/>
  <c r="B49" i="24"/>
  <c r="E48" i="24"/>
  <c r="D48" i="24"/>
  <c r="B48" i="24"/>
  <c r="I47" i="24"/>
  <c r="F47" i="24"/>
  <c r="D47" i="24"/>
  <c r="E47" i="24" s="1"/>
  <c r="B47" i="24"/>
  <c r="E46" i="24"/>
  <c r="D46" i="24"/>
  <c r="B46" i="24"/>
  <c r="F45" i="24"/>
  <c r="G45" i="24" s="1"/>
  <c r="D45" i="24"/>
  <c r="E45" i="24" s="1"/>
  <c r="B45" i="24"/>
  <c r="E44" i="24"/>
  <c r="D44" i="24"/>
  <c r="B44" i="24"/>
  <c r="I43" i="24"/>
  <c r="F43" i="24"/>
  <c r="D43" i="24"/>
  <c r="E43" i="24" s="1"/>
  <c r="B43" i="24"/>
  <c r="E42" i="24"/>
  <c r="D42" i="24"/>
  <c r="B42" i="24"/>
  <c r="F41" i="24"/>
  <c r="G41" i="24" s="1"/>
  <c r="D41" i="24"/>
  <c r="E41" i="24" s="1"/>
  <c r="B41" i="24"/>
  <c r="E40" i="24"/>
  <c r="D40" i="24"/>
  <c r="B40" i="24"/>
  <c r="I39" i="24"/>
  <c r="F39" i="24"/>
  <c r="G39" i="24" s="1"/>
  <c r="D39" i="24"/>
  <c r="E39" i="24" s="1"/>
  <c r="B39" i="24"/>
  <c r="E38" i="24"/>
  <c r="D38" i="24"/>
  <c r="B38" i="24"/>
  <c r="F37" i="24"/>
  <c r="D37" i="24"/>
  <c r="E37" i="24" s="1"/>
  <c r="B37" i="24"/>
  <c r="E36" i="24"/>
  <c r="D36" i="24"/>
  <c r="B36" i="24"/>
  <c r="I35" i="24"/>
  <c r="F35" i="24"/>
  <c r="G35" i="24" s="1"/>
  <c r="D35" i="24"/>
  <c r="E35" i="24" s="1"/>
  <c r="B35" i="24"/>
  <c r="E34" i="24"/>
  <c r="D34" i="24"/>
  <c r="B34" i="24"/>
  <c r="F33" i="24"/>
  <c r="G33" i="24" s="1"/>
  <c r="D33" i="24"/>
  <c r="E33" i="24" s="1"/>
  <c r="B33" i="24"/>
  <c r="E32" i="24"/>
  <c r="D32" i="24"/>
  <c r="B32" i="24"/>
  <c r="I31" i="24"/>
  <c r="F31" i="24"/>
  <c r="D31" i="24"/>
  <c r="E31" i="24" s="1"/>
  <c r="B31" i="24"/>
  <c r="E30" i="24"/>
  <c r="D30" i="24"/>
  <c r="B30" i="24"/>
  <c r="F29" i="24"/>
  <c r="G29" i="24" s="1"/>
  <c r="D29" i="24"/>
  <c r="E29" i="24" s="1"/>
  <c r="B29" i="24"/>
  <c r="E28" i="24"/>
  <c r="D28" i="24"/>
  <c r="B28" i="24"/>
  <c r="I27" i="24"/>
  <c r="F27" i="24"/>
  <c r="D27" i="24"/>
  <c r="E27" i="24" s="1"/>
  <c r="B27" i="24"/>
  <c r="E26" i="24"/>
  <c r="D26" i="24"/>
  <c r="B26" i="24"/>
  <c r="I25" i="24"/>
  <c r="F25" i="24"/>
  <c r="D25" i="24"/>
  <c r="E25" i="24" s="1"/>
  <c r="B25" i="24"/>
  <c r="E24" i="24"/>
  <c r="D24" i="24"/>
  <c r="B24" i="24"/>
  <c r="I23" i="24"/>
  <c r="F23" i="24"/>
  <c r="G23" i="24" s="1"/>
  <c r="D23" i="24"/>
  <c r="E23" i="24" s="1"/>
  <c r="B23" i="24"/>
  <c r="E22" i="24"/>
  <c r="D22" i="24"/>
  <c r="B22" i="24"/>
  <c r="I21" i="24"/>
  <c r="F21" i="24"/>
  <c r="D21" i="24"/>
  <c r="E21" i="24" s="1"/>
  <c r="B21" i="24"/>
  <c r="E20" i="24"/>
  <c r="D20" i="24"/>
  <c r="B20" i="24"/>
  <c r="I19" i="24"/>
  <c r="F19" i="24"/>
  <c r="D19" i="24"/>
  <c r="E19" i="24" s="1"/>
  <c r="B19" i="24"/>
  <c r="E18" i="24"/>
  <c r="D18" i="24"/>
  <c r="B18" i="24"/>
  <c r="I17" i="24"/>
  <c r="F17" i="24"/>
  <c r="G17" i="24" s="1"/>
  <c r="D17" i="24"/>
  <c r="E17" i="24" s="1"/>
  <c r="B17" i="24"/>
  <c r="E16" i="24"/>
  <c r="D16" i="24"/>
  <c r="B16" i="24"/>
  <c r="I15" i="24"/>
  <c r="F15" i="24"/>
  <c r="G15" i="24" s="1"/>
  <c r="D15" i="24"/>
  <c r="E15" i="24" s="1"/>
  <c r="B15" i="24"/>
  <c r="E14" i="24"/>
  <c r="D14" i="24"/>
  <c r="B14" i="24"/>
  <c r="D13" i="24"/>
  <c r="E13" i="24" s="1"/>
  <c r="B13" i="24"/>
  <c r="D12" i="24"/>
  <c r="E12" i="24" s="1"/>
  <c r="B12" i="24"/>
  <c r="I11" i="24"/>
  <c r="E11" i="24"/>
  <c r="D11" i="24"/>
  <c r="B11" i="24"/>
  <c r="I10" i="24"/>
  <c r="E10" i="24"/>
  <c r="D10" i="24"/>
  <c r="B10" i="24"/>
  <c r="E9" i="24"/>
  <c r="D9" i="24"/>
  <c r="B9" i="24"/>
  <c r="D8" i="24"/>
  <c r="E8" i="24" s="1"/>
  <c r="B8" i="24"/>
  <c r="T7" i="24"/>
  <c r="I68" i="24" s="1"/>
  <c r="I7" i="24"/>
  <c r="E7" i="24"/>
  <c r="D7" i="24"/>
  <c r="B7" i="24"/>
  <c r="I6" i="24"/>
  <c r="E6" i="24"/>
  <c r="D6" i="24"/>
  <c r="D70" i="24" s="1"/>
  <c r="B6" i="24"/>
  <c r="T5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K66" i="23" s="1"/>
  <c r="B2" i="23"/>
  <c r="O70" i="22"/>
  <c r="N70" i="22"/>
  <c r="M70" i="22"/>
  <c r="L70" i="22"/>
  <c r="H70" i="22"/>
  <c r="C70" i="22"/>
  <c r="F69" i="22" s="1"/>
  <c r="G69" i="22" s="1"/>
  <c r="E69" i="22"/>
  <c r="D69" i="22"/>
  <c r="B69" i="22"/>
  <c r="F68" i="22"/>
  <c r="G68" i="22" s="1"/>
  <c r="E68" i="22"/>
  <c r="D68" i="22"/>
  <c r="B68" i="22"/>
  <c r="D67" i="22"/>
  <c r="E67" i="22" s="1"/>
  <c r="B67" i="22"/>
  <c r="E66" i="22"/>
  <c r="D66" i="22"/>
  <c r="B66" i="22"/>
  <c r="E65" i="22"/>
  <c r="D65" i="22"/>
  <c r="B65" i="22"/>
  <c r="E64" i="22"/>
  <c r="D64" i="22"/>
  <c r="B64" i="22"/>
  <c r="E63" i="22"/>
  <c r="D63" i="22"/>
  <c r="B63" i="22"/>
  <c r="E62" i="22"/>
  <c r="D62" i="22"/>
  <c r="B62" i="22"/>
  <c r="E61" i="22"/>
  <c r="D61" i="22"/>
  <c r="B61" i="22"/>
  <c r="E60" i="22"/>
  <c r="D60" i="22"/>
  <c r="B60" i="22"/>
  <c r="D59" i="22"/>
  <c r="E59" i="22" s="1"/>
  <c r="B59" i="22"/>
  <c r="F58" i="22"/>
  <c r="G58" i="22" s="1"/>
  <c r="E58" i="22"/>
  <c r="D58" i="22"/>
  <c r="B58" i="22"/>
  <c r="E57" i="22"/>
  <c r="D57" i="22"/>
  <c r="B57" i="22"/>
  <c r="E56" i="22"/>
  <c r="D56" i="22"/>
  <c r="B56" i="22"/>
  <c r="D55" i="22"/>
  <c r="E55" i="22" s="1"/>
  <c r="B55" i="22"/>
  <c r="E54" i="22"/>
  <c r="D54" i="22"/>
  <c r="B54" i="22"/>
  <c r="K53" i="22"/>
  <c r="E53" i="22"/>
  <c r="D53" i="22"/>
  <c r="B53" i="22"/>
  <c r="E52" i="22"/>
  <c r="D52" i="22"/>
  <c r="B52" i="22"/>
  <c r="D51" i="22"/>
  <c r="E51" i="22" s="1"/>
  <c r="B51" i="22"/>
  <c r="F50" i="22"/>
  <c r="D50" i="22"/>
  <c r="E50" i="22" s="1"/>
  <c r="B50" i="22"/>
  <c r="K49" i="22"/>
  <c r="E49" i="22"/>
  <c r="D49" i="22"/>
  <c r="B49" i="22"/>
  <c r="K48" i="22"/>
  <c r="E48" i="22"/>
  <c r="D48" i="22"/>
  <c r="B48" i="22"/>
  <c r="F47" i="22"/>
  <c r="G47" i="22" s="1"/>
  <c r="D47" i="22"/>
  <c r="E47" i="22" s="1"/>
  <c r="B47" i="22"/>
  <c r="D46" i="22"/>
  <c r="E46" i="22" s="1"/>
  <c r="B46" i="22"/>
  <c r="K45" i="22"/>
  <c r="E45" i="22"/>
  <c r="D45" i="22"/>
  <c r="B45" i="22"/>
  <c r="E44" i="22"/>
  <c r="D44" i="22"/>
  <c r="B44" i="22"/>
  <c r="D43" i="22"/>
  <c r="E43" i="22" s="1"/>
  <c r="B43" i="22"/>
  <c r="I42" i="22"/>
  <c r="F42" i="22"/>
  <c r="D42" i="22"/>
  <c r="E42" i="22" s="1"/>
  <c r="B42" i="22"/>
  <c r="K41" i="22"/>
  <c r="E41" i="22"/>
  <c r="D41" i="22"/>
  <c r="B41" i="22"/>
  <c r="K40" i="22"/>
  <c r="E40" i="22"/>
  <c r="D40" i="22"/>
  <c r="B40" i="22"/>
  <c r="F39" i="22"/>
  <c r="G39" i="22" s="1"/>
  <c r="D39" i="22"/>
  <c r="E39" i="22" s="1"/>
  <c r="B39" i="22"/>
  <c r="E38" i="22"/>
  <c r="D38" i="22"/>
  <c r="B38" i="22"/>
  <c r="K37" i="22"/>
  <c r="E37" i="22"/>
  <c r="D37" i="22"/>
  <c r="B37" i="22"/>
  <c r="E36" i="22"/>
  <c r="D36" i="22"/>
  <c r="B36" i="22"/>
  <c r="D35" i="22"/>
  <c r="E35" i="22" s="1"/>
  <c r="B35" i="22"/>
  <c r="I34" i="22"/>
  <c r="F34" i="22"/>
  <c r="D34" i="22"/>
  <c r="E34" i="22" s="1"/>
  <c r="B34" i="22"/>
  <c r="K33" i="22"/>
  <c r="E33" i="22"/>
  <c r="D33" i="22"/>
  <c r="B33" i="22"/>
  <c r="K32" i="22"/>
  <c r="E32" i="22"/>
  <c r="D32" i="22"/>
  <c r="B32" i="22"/>
  <c r="F31" i="22"/>
  <c r="G31" i="22" s="1"/>
  <c r="D31" i="22"/>
  <c r="E31" i="22" s="1"/>
  <c r="B31" i="22"/>
  <c r="I30" i="22"/>
  <c r="E30" i="22"/>
  <c r="D30" i="22"/>
  <c r="B30" i="22"/>
  <c r="K29" i="22"/>
  <c r="F29" i="22"/>
  <c r="E29" i="22"/>
  <c r="D29" i="22"/>
  <c r="B29" i="22"/>
  <c r="I28" i="22"/>
  <c r="F28" i="22"/>
  <c r="G28" i="22" s="1"/>
  <c r="E28" i="22"/>
  <c r="D28" i="22"/>
  <c r="B28" i="22"/>
  <c r="E27" i="22"/>
  <c r="D27" i="22"/>
  <c r="B27" i="22"/>
  <c r="I26" i="22"/>
  <c r="E26" i="22"/>
  <c r="D26" i="22"/>
  <c r="B26" i="22"/>
  <c r="K25" i="22"/>
  <c r="I25" i="22"/>
  <c r="D25" i="22"/>
  <c r="E25" i="22" s="1"/>
  <c r="B25" i="22"/>
  <c r="E24" i="22"/>
  <c r="D24" i="22"/>
  <c r="B24" i="22"/>
  <c r="K23" i="22"/>
  <c r="I23" i="22"/>
  <c r="D23" i="22"/>
  <c r="E23" i="22" s="1"/>
  <c r="B23" i="22"/>
  <c r="K22" i="22"/>
  <c r="I22" i="22"/>
  <c r="E22" i="22"/>
  <c r="D22" i="22"/>
  <c r="B22" i="22"/>
  <c r="K21" i="22"/>
  <c r="I21" i="22"/>
  <c r="F21" i="22"/>
  <c r="G21" i="22" s="1"/>
  <c r="E21" i="22"/>
  <c r="D21" i="22"/>
  <c r="B21" i="22"/>
  <c r="T20" i="22"/>
  <c r="F20" i="22"/>
  <c r="D20" i="22"/>
  <c r="E20" i="22" s="1"/>
  <c r="B20" i="22"/>
  <c r="G19" i="22"/>
  <c r="F19" i="22"/>
  <c r="E19" i="22"/>
  <c r="D19" i="22"/>
  <c r="B19" i="22"/>
  <c r="T18" i="22"/>
  <c r="T19" i="22" s="1"/>
  <c r="T21" i="22" s="1"/>
  <c r="E18" i="22"/>
  <c r="D18" i="22"/>
  <c r="B18" i="22"/>
  <c r="K17" i="22"/>
  <c r="I17" i="22"/>
  <c r="F17" i="22"/>
  <c r="G17" i="22" s="1"/>
  <c r="D17" i="22"/>
  <c r="E17" i="22" s="1"/>
  <c r="B17" i="22"/>
  <c r="K16" i="22"/>
  <c r="I16" i="22"/>
  <c r="F16" i="22"/>
  <c r="G16" i="22" s="1"/>
  <c r="E16" i="22"/>
  <c r="D16" i="22"/>
  <c r="B16" i="22"/>
  <c r="I15" i="22"/>
  <c r="F15" i="22"/>
  <c r="G15" i="22" s="1"/>
  <c r="E15" i="22"/>
  <c r="D15" i="22"/>
  <c r="B15" i="22"/>
  <c r="E14" i="22"/>
  <c r="D14" i="22"/>
  <c r="B14" i="22"/>
  <c r="K13" i="22"/>
  <c r="E13" i="22"/>
  <c r="D13" i="22"/>
  <c r="B13" i="22"/>
  <c r="K12" i="22"/>
  <c r="I12" i="22"/>
  <c r="F12" i="22"/>
  <c r="G12" i="22" s="1"/>
  <c r="D12" i="22"/>
  <c r="E12" i="22" s="1"/>
  <c r="B12" i="22"/>
  <c r="T11" i="22"/>
  <c r="K57" i="22" s="1"/>
  <c r="K11" i="22"/>
  <c r="I11" i="22"/>
  <c r="F11" i="22"/>
  <c r="D11" i="22"/>
  <c r="E11" i="22" s="1"/>
  <c r="B11" i="22"/>
  <c r="G10" i="22"/>
  <c r="F10" i="22"/>
  <c r="E10" i="22"/>
  <c r="D10" i="22"/>
  <c r="B10" i="22"/>
  <c r="E9" i="22"/>
  <c r="D9" i="22"/>
  <c r="B9" i="22"/>
  <c r="T8" i="22"/>
  <c r="K8" i="22"/>
  <c r="E8" i="22"/>
  <c r="D8" i="22"/>
  <c r="B8" i="22"/>
  <c r="T7" i="22"/>
  <c r="I50" i="22" s="1"/>
  <c r="K7" i="22"/>
  <c r="I7" i="22"/>
  <c r="E7" i="22"/>
  <c r="D7" i="22"/>
  <c r="B7" i="22"/>
  <c r="K6" i="22"/>
  <c r="I6" i="22"/>
  <c r="F6" i="22"/>
  <c r="D6" i="22"/>
  <c r="B6" i="22"/>
  <c r="T5" i="22"/>
  <c r="G20" i="22" s="1"/>
  <c r="T4" i="22"/>
  <c r="I3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F70" i="20"/>
  <c r="C70" i="20"/>
  <c r="F69" i="20"/>
  <c r="E69" i="20"/>
  <c r="D69" i="20"/>
  <c r="B69" i="20"/>
  <c r="I68" i="20"/>
  <c r="F68" i="20"/>
  <c r="E68" i="20"/>
  <c r="D68" i="20"/>
  <c r="B68" i="20"/>
  <c r="F67" i="20"/>
  <c r="E67" i="20"/>
  <c r="D67" i="20"/>
  <c r="B67" i="20"/>
  <c r="I66" i="20"/>
  <c r="F66" i="20"/>
  <c r="G66" i="20" s="1"/>
  <c r="J66" i="20" s="1"/>
  <c r="E66" i="20"/>
  <c r="D66" i="20"/>
  <c r="B66" i="20"/>
  <c r="F65" i="20"/>
  <c r="E65" i="20"/>
  <c r="D65" i="20"/>
  <c r="B65" i="20"/>
  <c r="I64" i="20"/>
  <c r="F64" i="20"/>
  <c r="E64" i="20"/>
  <c r="D64" i="20"/>
  <c r="B64" i="20"/>
  <c r="F63" i="20"/>
  <c r="E63" i="20"/>
  <c r="D63" i="20"/>
  <c r="B63" i="20"/>
  <c r="I62" i="20"/>
  <c r="F62" i="20"/>
  <c r="E62" i="20"/>
  <c r="D62" i="20"/>
  <c r="B62" i="20"/>
  <c r="I61" i="20"/>
  <c r="F61" i="20"/>
  <c r="E61" i="20"/>
  <c r="D61" i="20"/>
  <c r="B61" i="20"/>
  <c r="I60" i="20"/>
  <c r="F60" i="20"/>
  <c r="E60" i="20"/>
  <c r="D60" i="20"/>
  <c r="B60" i="20"/>
  <c r="F59" i="20"/>
  <c r="E59" i="20"/>
  <c r="D59" i="20"/>
  <c r="B59" i="20"/>
  <c r="I58" i="20"/>
  <c r="F58" i="20"/>
  <c r="E58" i="20"/>
  <c r="D58" i="20"/>
  <c r="B58" i="20"/>
  <c r="I57" i="20"/>
  <c r="F57" i="20"/>
  <c r="E57" i="20"/>
  <c r="D57" i="20"/>
  <c r="B57" i="20"/>
  <c r="I56" i="20"/>
  <c r="F56" i="20"/>
  <c r="E56" i="20"/>
  <c r="D56" i="20"/>
  <c r="B56" i="20"/>
  <c r="F55" i="20"/>
  <c r="G55" i="20" s="1"/>
  <c r="E55" i="20"/>
  <c r="D55" i="20"/>
  <c r="B55" i="20"/>
  <c r="I54" i="20"/>
  <c r="F54" i="20"/>
  <c r="E54" i="20"/>
  <c r="D54" i="20"/>
  <c r="B54" i="20"/>
  <c r="I53" i="20"/>
  <c r="F53" i="20"/>
  <c r="G53" i="20" s="1"/>
  <c r="J53" i="20" s="1"/>
  <c r="E53" i="20"/>
  <c r="D53" i="20"/>
  <c r="B53" i="20"/>
  <c r="I52" i="20"/>
  <c r="F52" i="20"/>
  <c r="E52" i="20"/>
  <c r="D52" i="20"/>
  <c r="B52" i="20"/>
  <c r="F51" i="20"/>
  <c r="E51" i="20"/>
  <c r="D51" i="20"/>
  <c r="B51" i="20"/>
  <c r="I50" i="20"/>
  <c r="F50" i="20"/>
  <c r="E50" i="20"/>
  <c r="D50" i="20"/>
  <c r="B50" i="20"/>
  <c r="I49" i="20"/>
  <c r="F49" i="20"/>
  <c r="E49" i="20"/>
  <c r="D49" i="20"/>
  <c r="B49" i="20"/>
  <c r="I48" i="20"/>
  <c r="F48" i="20"/>
  <c r="E48" i="20"/>
  <c r="D48" i="20"/>
  <c r="B48" i="20"/>
  <c r="F47" i="20"/>
  <c r="E47" i="20"/>
  <c r="D47" i="20"/>
  <c r="B47" i="20"/>
  <c r="I46" i="20"/>
  <c r="F46" i="20"/>
  <c r="E46" i="20"/>
  <c r="D46" i="20"/>
  <c r="B46" i="20"/>
  <c r="I45" i="20"/>
  <c r="F45" i="20"/>
  <c r="E45" i="20"/>
  <c r="D45" i="20"/>
  <c r="B45" i="20"/>
  <c r="I44" i="20"/>
  <c r="F44" i="20"/>
  <c r="E44" i="20"/>
  <c r="D44" i="20"/>
  <c r="B44" i="20"/>
  <c r="F43" i="20"/>
  <c r="G43" i="20" s="1"/>
  <c r="E43" i="20"/>
  <c r="D43" i="20"/>
  <c r="B43" i="20"/>
  <c r="I42" i="20"/>
  <c r="F42" i="20"/>
  <c r="E42" i="20"/>
  <c r="D42" i="20"/>
  <c r="B42" i="20"/>
  <c r="I41" i="20"/>
  <c r="F41" i="20"/>
  <c r="G41" i="20" s="1"/>
  <c r="J41" i="20" s="1"/>
  <c r="E41" i="20"/>
  <c r="D41" i="20"/>
  <c r="B41" i="20"/>
  <c r="I40" i="20"/>
  <c r="F40" i="20"/>
  <c r="E40" i="20"/>
  <c r="D40" i="20"/>
  <c r="B40" i="20"/>
  <c r="F39" i="20"/>
  <c r="E39" i="20"/>
  <c r="D39" i="20"/>
  <c r="B39" i="20"/>
  <c r="I38" i="20"/>
  <c r="F38" i="20"/>
  <c r="E38" i="20"/>
  <c r="D38" i="20"/>
  <c r="B38" i="20"/>
  <c r="I37" i="20"/>
  <c r="F37" i="20"/>
  <c r="E37" i="20"/>
  <c r="D37" i="20"/>
  <c r="B37" i="20"/>
  <c r="I36" i="20"/>
  <c r="F36" i="20"/>
  <c r="E36" i="20"/>
  <c r="D36" i="20"/>
  <c r="B36" i="20"/>
  <c r="F35" i="20"/>
  <c r="E35" i="20"/>
  <c r="D35" i="20"/>
  <c r="B35" i="20"/>
  <c r="I34" i="20"/>
  <c r="F34" i="20"/>
  <c r="E34" i="20"/>
  <c r="D34" i="20"/>
  <c r="B34" i="20"/>
  <c r="I33" i="20"/>
  <c r="F33" i="20"/>
  <c r="E33" i="20"/>
  <c r="D33" i="20"/>
  <c r="B33" i="20"/>
  <c r="I32" i="20"/>
  <c r="F32" i="20"/>
  <c r="G32" i="20" s="1"/>
  <c r="J32" i="20" s="1"/>
  <c r="E32" i="20"/>
  <c r="D32" i="20"/>
  <c r="B32" i="20"/>
  <c r="F31" i="20"/>
  <c r="E31" i="20"/>
  <c r="D31" i="20"/>
  <c r="B31" i="20"/>
  <c r="I30" i="20"/>
  <c r="F30" i="20"/>
  <c r="G30" i="20" s="1"/>
  <c r="J30" i="20" s="1"/>
  <c r="E30" i="20"/>
  <c r="D30" i="20"/>
  <c r="B30" i="20"/>
  <c r="I29" i="20"/>
  <c r="F29" i="20"/>
  <c r="E29" i="20"/>
  <c r="D29" i="20"/>
  <c r="B29" i="20"/>
  <c r="I28" i="20"/>
  <c r="F28" i="20"/>
  <c r="E28" i="20"/>
  <c r="D28" i="20"/>
  <c r="B28" i="20"/>
  <c r="F27" i="20"/>
  <c r="E27" i="20"/>
  <c r="D27" i="20"/>
  <c r="B27" i="20"/>
  <c r="I26" i="20"/>
  <c r="F26" i="20"/>
  <c r="E26" i="20"/>
  <c r="D26" i="20"/>
  <c r="B26" i="20"/>
  <c r="I25" i="20"/>
  <c r="F25" i="20"/>
  <c r="E25" i="20"/>
  <c r="D25" i="20"/>
  <c r="B25" i="20"/>
  <c r="I24" i="20"/>
  <c r="F24" i="20"/>
  <c r="G24" i="20" s="1"/>
  <c r="J24" i="20" s="1"/>
  <c r="E24" i="20"/>
  <c r="D24" i="20"/>
  <c r="B24" i="20"/>
  <c r="F23" i="20"/>
  <c r="E23" i="20"/>
  <c r="D23" i="20"/>
  <c r="B23" i="20"/>
  <c r="I22" i="20"/>
  <c r="F22" i="20"/>
  <c r="G22" i="20" s="1"/>
  <c r="J22" i="20" s="1"/>
  <c r="E22" i="20"/>
  <c r="D22" i="20"/>
  <c r="B22" i="20"/>
  <c r="I21" i="20"/>
  <c r="F21" i="20"/>
  <c r="E21" i="20"/>
  <c r="D21" i="20"/>
  <c r="B21" i="20"/>
  <c r="T20" i="20"/>
  <c r="G20" i="20"/>
  <c r="F20" i="20"/>
  <c r="D20" i="20"/>
  <c r="E20" i="20" s="1"/>
  <c r="B20" i="20"/>
  <c r="I19" i="20"/>
  <c r="F19" i="20"/>
  <c r="E19" i="20"/>
  <c r="D19" i="20"/>
  <c r="B19" i="20"/>
  <c r="T18" i="20"/>
  <c r="T19" i="20" s="1"/>
  <c r="F18" i="20"/>
  <c r="G18" i="20" s="1"/>
  <c r="E18" i="20"/>
  <c r="D18" i="20"/>
  <c r="B18" i="20"/>
  <c r="I17" i="20"/>
  <c r="F17" i="20"/>
  <c r="E17" i="20"/>
  <c r="D17" i="20"/>
  <c r="B17" i="20"/>
  <c r="I16" i="20"/>
  <c r="F16" i="20"/>
  <c r="G16" i="20" s="1"/>
  <c r="J16" i="20" s="1"/>
  <c r="E16" i="20"/>
  <c r="D16" i="20"/>
  <c r="B16" i="20"/>
  <c r="I15" i="20"/>
  <c r="F15" i="20"/>
  <c r="E15" i="20"/>
  <c r="D15" i="20"/>
  <c r="B15" i="20"/>
  <c r="F14" i="20"/>
  <c r="G14" i="20" s="1"/>
  <c r="E14" i="20"/>
  <c r="D14" i="20"/>
  <c r="B14" i="20"/>
  <c r="F13" i="20"/>
  <c r="D13" i="20"/>
  <c r="E13" i="20" s="1"/>
  <c r="B13" i="20"/>
  <c r="F12" i="20"/>
  <c r="G12" i="20" s="1"/>
  <c r="D12" i="20"/>
  <c r="E12" i="20" s="1"/>
  <c r="B12" i="20"/>
  <c r="I11" i="20"/>
  <c r="F11" i="20"/>
  <c r="D11" i="20"/>
  <c r="E11" i="20" s="1"/>
  <c r="B11" i="20"/>
  <c r="I10" i="20"/>
  <c r="F10" i="20"/>
  <c r="E10" i="20"/>
  <c r="D10" i="20"/>
  <c r="B10" i="20"/>
  <c r="T9" i="20"/>
  <c r="F9" i="20"/>
  <c r="E9" i="20"/>
  <c r="D9" i="20"/>
  <c r="B9" i="20"/>
  <c r="T8" i="20"/>
  <c r="G8" i="20"/>
  <c r="F8" i="20"/>
  <c r="D8" i="20"/>
  <c r="E8" i="20" s="1"/>
  <c r="B8" i="20"/>
  <c r="T7" i="20"/>
  <c r="I13" i="20" s="1"/>
  <c r="I7" i="20"/>
  <c r="G7" i="20"/>
  <c r="J7" i="20" s="1"/>
  <c r="F7" i="20"/>
  <c r="E7" i="20"/>
  <c r="D7" i="20"/>
  <c r="B7" i="20"/>
  <c r="I6" i="20"/>
  <c r="F6" i="20"/>
  <c r="D6" i="20"/>
  <c r="B6" i="20"/>
  <c r="T5" i="20"/>
  <c r="G10" i="20" s="1"/>
  <c r="J10" i="20" s="1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B2" i="19"/>
  <c r="O70" i="18"/>
  <c r="N70" i="18"/>
  <c r="M70" i="18"/>
  <c r="L70" i="18"/>
  <c r="H70" i="18"/>
  <c r="C70" i="18"/>
  <c r="E69" i="18"/>
  <c r="D69" i="18"/>
  <c r="B69" i="18"/>
  <c r="E68" i="18"/>
  <c r="D68" i="18"/>
  <c r="B68" i="18"/>
  <c r="D67" i="18"/>
  <c r="E67" i="18" s="1"/>
  <c r="B67" i="18"/>
  <c r="I66" i="18"/>
  <c r="E66" i="18"/>
  <c r="D66" i="18"/>
  <c r="B66" i="18"/>
  <c r="E65" i="18"/>
  <c r="D65" i="18"/>
  <c r="B65" i="18"/>
  <c r="E64" i="18"/>
  <c r="D64" i="18"/>
  <c r="B64" i="18"/>
  <c r="I63" i="18"/>
  <c r="D63" i="18"/>
  <c r="E63" i="18" s="1"/>
  <c r="B63" i="18"/>
  <c r="E62" i="18"/>
  <c r="D62" i="18"/>
  <c r="B62" i="18"/>
  <c r="E61" i="18"/>
  <c r="D61" i="18"/>
  <c r="B61" i="18"/>
  <c r="I60" i="18"/>
  <c r="E60" i="18"/>
  <c r="D60" i="18"/>
  <c r="B60" i="18"/>
  <c r="D59" i="18"/>
  <c r="E59" i="18" s="1"/>
  <c r="B59" i="18"/>
  <c r="I58" i="18"/>
  <c r="E58" i="18"/>
  <c r="D58" i="18"/>
  <c r="B58" i="18"/>
  <c r="E57" i="18"/>
  <c r="D57" i="18"/>
  <c r="B57" i="18"/>
  <c r="E56" i="18"/>
  <c r="D56" i="18"/>
  <c r="B56" i="18"/>
  <c r="I55" i="18"/>
  <c r="F55" i="18"/>
  <c r="G55" i="18" s="1"/>
  <c r="D55" i="18"/>
  <c r="E55" i="18" s="1"/>
  <c r="B55" i="18"/>
  <c r="E54" i="18"/>
  <c r="D54" i="18"/>
  <c r="B54" i="18"/>
  <c r="E53" i="18"/>
  <c r="D53" i="18"/>
  <c r="B53" i="18"/>
  <c r="I52" i="18"/>
  <c r="E52" i="18"/>
  <c r="D52" i="18"/>
  <c r="B52" i="18"/>
  <c r="D51" i="18"/>
  <c r="E51" i="18" s="1"/>
  <c r="B51" i="18"/>
  <c r="I50" i="18"/>
  <c r="E50" i="18"/>
  <c r="D50" i="18"/>
  <c r="B50" i="18"/>
  <c r="E49" i="18"/>
  <c r="D49" i="18"/>
  <c r="B49" i="18"/>
  <c r="E48" i="18"/>
  <c r="D48" i="18"/>
  <c r="B48" i="18"/>
  <c r="I47" i="18"/>
  <c r="D47" i="18"/>
  <c r="E47" i="18" s="1"/>
  <c r="B47" i="18"/>
  <c r="I46" i="18"/>
  <c r="E46" i="18"/>
  <c r="D46" i="18"/>
  <c r="B46" i="18"/>
  <c r="E45" i="18"/>
  <c r="D45" i="18"/>
  <c r="B45" i="18"/>
  <c r="I44" i="18"/>
  <c r="E44" i="18"/>
  <c r="D44" i="18"/>
  <c r="B44" i="18"/>
  <c r="D43" i="18"/>
  <c r="E43" i="18" s="1"/>
  <c r="B43" i="18"/>
  <c r="I42" i="18"/>
  <c r="E42" i="18"/>
  <c r="D42" i="18"/>
  <c r="B42" i="18"/>
  <c r="E41" i="18"/>
  <c r="D41" i="18"/>
  <c r="B41" i="18"/>
  <c r="E40" i="18"/>
  <c r="D40" i="18"/>
  <c r="B40" i="18"/>
  <c r="I39" i="18"/>
  <c r="D39" i="18"/>
  <c r="E39" i="18" s="1"/>
  <c r="B39" i="18"/>
  <c r="I38" i="18"/>
  <c r="E38" i="18"/>
  <c r="D38" i="18"/>
  <c r="B38" i="18"/>
  <c r="E37" i="18"/>
  <c r="D37" i="18"/>
  <c r="B37" i="18"/>
  <c r="I36" i="18"/>
  <c r="E36" i="18"/>
  <c r="D36" i="18"/>
  <c r="B36" i="18"/>
  <c r="I35" i="18"/>
  <c r="D35" i="18"/>
  <c r="E35" i="18" s="1"/>
  <c r="B35" i="18"/>
  <c r="I34" i="18"/>
  <c r="E34" i="18"/>
  <c r="D34" i="18"/>
  <c r="B34" i="18"/>
  <c r="E33" i="18"/>
  <c r="D33" i="18"/>
  <c r="B33" i="18"/>
  <c r="D32" i="18"/>
  <c r="E32" i="18" s="1"/>
  <c r="B32" i="18"/>
  <c r="D31" i="18"/>
  <c r="E31" i="18" s="1"/>
  <c r="B31" i="18"/>
  <c r="I30" i="18"/>
  <c r="E30" i="18"/>
  <c r="D30" i="18"/>
  <c r="B30" i="18"/>
  <c r="I29" i="18"/>
  <c r="E29" i="18"/>
  <c r="D29" i="18"/>
  <c r="B29" i="18"/>
  <c r="D28" i="18"/>
  <c r="E28" i="18" s="1"/>
  <c r="B28" i="18"/>
  <c r="I27" i="18"/>
  <c r="F27" i="18"/>
  <c r="G27" i="18" s="1"/>
  <c r="D27" i="18"/>
  <c r="E27" i="18" s="1"/>
  <c r="B27" i="18"/>
  <c r="E26" i="18"/>
  <c r="D26" i="18"/>
  <c r="B26" i="18"/>
  <c r="D25" i="18"/>
  <c r="E25" i="18" s="1"/>
  <c r="B25" i="18"/>
  <c r="I24" i="18"/>
  <c r="D24" i="18"/>
  <c r="E24" i="18" s="1"/>
  <c r="B24" i="18"/>
  <c r="I23" i="18"/>
  <c r="D23" i="18"/>
  <c r="E23" i="18" s="1"/>
  <c r="B23" i="18"/>
  <c r="I22" i="18"/>
  <c r="E22" i="18"/>
  <c r="D22" i="18"/>
  <c r="B22" i="18"/>
  <c r="D21" i="18"/>
  <c r="E21" i="18" s="1"/>
  <c r="B21" i="18"/>
  <c r="T20" i="18"/>
  <c r="I20" i="18"/>
  <c r="E20" i="18"/>
  <c r="D20" i="18"/>
  <c r="B20" i="18"/>
  <c r="T19" i="18"/>
  <c r="I19" i="18"/>
  <c r="D19" i="18"/>
  <c r="E19" i="18" s="1"/>
  <c r="B19" i="18"/>
  <c r="T18" i="18"/>
  <c r="I18" i="18"/>
  <c r="D18" i="18"/>
  <c r="E18" i="18" s="1"/>
  <c r="B18" i="18"/>
  <c r="E17" i="18"/>
  <c r="D17" i="18"/>
  <c r="B17" i="18"/>
  <c r="I16" i="18"/>
  <c r="E16" i="18"/>
  <c r="D16" i="18"/>
  <c r="B16" i="18"/>
  <c r="D15" i="18"/>
  <c r="E15" i="18" s="1"/>
  <c r="B15" i="18"/>
  <c r="E14" i="18"/>
  <c r="D14" i="18"/>
  <c r="B14" i="18"/>
  <c r="D13" i="18"/>
  <c r="E13" i="18" s="1"/>
  <c r="B13" i="18"/>
  <c r="I12" i="18"/>
  <c r="E12" i="18"/>
  <c r="D12" i="18"/>
  <c r="B12" i="18"/>
  <c r="I11" i="18"/>
  <c r="E11" i="18"/>
  <c r="D11" i="18"/>
  <c r="B11" i="18"/>
  <c r="D10" i="18"/>
  <c r="E10" i="18" s="1"/>
  <c r="B10" i="18"/>
  <c r="I9" i="18"/>
  <c r="E9" i="18"/>
  <c r="D9" i="18"/>
  <c r="B9" i="18"/>
  <c r="T8" i="18"/>
  <c r="T9" i="18" s="1"/>
  <c r="I8" i="18"/>
  <c r="D8" i="18"/>
  <c r="E8" i="18" s="1"/>
  <c r="B8" i="18"/>
  <c r="T7" i="18"/>
  <c r="I67" i="18" s="1"/>
  <c r="I7" i="18"/>
  <c r="E7" i="18"/>
  <c r="D7" i="18"/>
  <c r="B7" i="18"/>
  <c r="E6" i="18"/>
  <c r="D6" i="18"/>
  <c r="B6" i="18"/>
  <c r="T5" i="18"/>
  <c r="I5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C70" i="16"/>
  <c r="F65" i="16" s="1"/>
  <c r="G65" i="16" s="1"/>
  <c r="K69" i="16"/>
  <c r="D69" i="16"/>
  <c r="E69" i="16" s="1"/>
  <c r="B69" i="16"/>
  <c r="I68" i="16"/>
  <c r="E68" i="16"/>
  <c r="D68" i="16"/>
  <c r="B68" i="16"/>
  <c r="I67" i="16"/>
  <c r="D67" i="16"/>
  <c r="E67" i="16" s="1"/>
  <c r="B67" i="16"/>
  <c r="K66" i="16"/>
  <c r="E66" i="16"/>
  <c r="D66" i="16"/>
  <c r="B66" i="16"/>
  <c r="K65" i="16"/>
  <c r="I65" i="16"/>
  <c r="D65" i="16"/>
  <c r="E65" i="16" s="1"/>
  <c r="B65" i="16"/>
  <c r="F64" i="16"/>
  <c r="D64" i="16"/>
  <c r="E64" i="16" s="1"/>
  <c r="B64" i="16"/>
  <c r="E63" i="16"/>
  <c r="D63" i="16"/>
  <c r="B63" i="16"/>
  <c r="I62" i="16"/>
  <c r="E62" i="16"/>
  <c r="D62" i="16"/>
  <c r="B62" i="16"/>
  <c r="I61" i="16"/>
  <c r="E61" i="16"/>
  <c r="D61" i="16"/>
  <c r="B61" i="16"/>
  <c r="I60" i="16"/>
  <c r="D60" i="16"/>
  <c r="E60" i="16" s="1"/>
  <c r="B60" i="16"/>
  <c r="K59" i="16"/>
  <c r="D59" i="16"/>
  <c r="E59" i="16" s="1"/>
  <c r="B59" i="16"/>
  <c r="F58" i="16"/>
  <c r="E58" i="16"/>
  <c r="D58" i="16"/>
  <c r="B58" i="16"/>
  <c r="K57" i="16"/>
  <c r="F57" i="16"/>
  <c r="G57" i="16" s="1"/>
  <c r="D57" i="16"/>
  <c r="E57" i="16" s="1"/>
  <c r="B57" i="16"/>
  <c r="E56" i="16"/>
  <c r="D56" i="16"/>
  <c r="B56" i="16"/>
  <c r="I55" i="16"/>
  <c r="E55" i="16"/>
  <c r="D55" i="16"/>
  <c r="B55" i="16"/>
  <c r="I54" i="16"/>
  <c r="E54" i="16"/>
  <c r="D54" i="16"/>
  <c r="B54" i="16"/>
  <c r="I53" i="16"/>
  <c r="E53" i="16"/>
  <c r="D53" i="16"/>
  <c r="B53" i="16"/>
  <c r="E52" i="16"/>
  <c r="D52" i="16"/>
  <c r="B52" i="16"/>
  <c r="I51" i="16"/>
  <c r="E51" i="16"/>
  <c r="D51" i="16"/>
  <c r="B51" i="16"/>
  <c r="K50" i="16"/>
  <c r="I50" i="16"/>
  <c r="E50" i="16"/>
  <c r="D50" i="16"/>
  <c r="B50" i="16"/>
  <c r="I49" i="16"/>
  <c r="E49" i="16"/>
  <c r="D49" i="16"/>
  <c r="B49" i="16"/>
  <c r="E48" i="16"/>
  <c r="D48" i="16"/>
  <c r="B48" i="16"/>
  <c r="I47" i="16"/>
  <c r="E47" i="16"/>
  <c r="D47" i="16"/>
  <c r="B47" i="16"/>
  <c r="K46" i="16"/>
  <c r="I46" i="16"/>
  <c r="E46" i="16"/>
  <c r="D46" i="16"/>
  <c r="B46" i="16"/>
  <c r="I45" i="16"/>
  <c r="E45" i="16"/>
  <c r="D45" i="16"/>
  <c r="B45" i="16"/>
  <c r="E44" i="16"/>
  <c r="D44" i="16"/>
  <c r="B44" i="16"/>
  <c r="I43" i="16"/>
  <c r="E43" i="16"/>
  <c r="D43" i="16"/>
  <c r="B43" i="16"/>
  <c r="K42" i="16"/>
  <c r="I42" i="16"/>
  <c r="E42" i="16"/>
  <c r="D42" i="16"/>
  <c r="B42" i="16"/>
  <c r="I41" i="16"/>
  <c r="E41" i="16"/>
  <c r="D41" i="16"/>
  <c r="B41" i="16"/>
  <c r="I40" i="16"/>
  <c r="E40" i="16"/>
  <c r="D40" i="16"/>
  <c r="B40" i="16"/>
  <c r="K39" i="16"/>
  <c r="I39" i="16"/>
  <c r="E39" i="16"/>
  <c r="D39" i="16"/>
  <c r="B39" i="16"/>
  <c r="K38" i="16"/>
  <c r="I38" i="16"/>
  <c r="F38" i="16"/>
  <c r="E38" i="16"/>
  <c r="D38" i="16"/>
  <c r="B38" i="16"/>
  <c r="I37" i="16"/>
  <c r="E37" i="16"/>
  <c r="D37" i="16"/>
  <c r="B37" i="16"/>
  <c r="I36" i="16"/>
  <c r="F36" i="16"/>
  <c r="E36" i="16"/>
  <c r="D36" i="16"/>
  <c r="B36" i="16"/>
  <c r="K35" i="16"/>
  <c r="I35" i="16"/>
  <c r="E35" i="16"/>
  <c r="D35" i="16"/>
  <c r="B35" i="16"/>
  <c r="K34" i="16"/>
  <c r="I34" i="16"/>
  <c r="F34" i="16"/>
  <c r="E34" i="16"/>
  <c r="D34" i="16"/>
  <c r="B34" i="16"/>
  <c r="I33" i="16"/>
  <c r="E33" i="16"/>
  <c r="D33" i="16"/>
  <c r="B33" i="16"/>
  <c r="I32" i="16"/>
  <c r="F32" i="16"/>
  <c r="E32" i="16"/>
  <c r="D32" i="16"/>
  <c r="B32" i="16"/>
  <c r="K31" i="16"/>
  <c r="I31" i="16"/>
  <c r="E31" i="16"/>
  <c r="D31" i="16"/>
  <c r="B31" i="16"/>
  <c r="K30" i="16"/>
  <c r="I30" i="16"/>
  <c r="F30" i="16"/>
  <c r="E30" i="16"/>
  <c r="D30" i="16"/>
  <c r="B30" i="16"/>
  <c r="I29" i="16"/>
  <c r="E29" i="16"/>
  <c r="D29" i="16"/>
  <c r="B29" i="16"/>
  <c r="I28" i="16"/>
  <c r="F28" i="16"/>
  <c r="E28" i="16"/>
  <c r="D28" i="16"/>
  <c r="B28" i="16"/>
  <c r="K27" i="16"/>
  <c r="I27" i="16"/>
  <c r="E27" i="16"/>
  <c r="D27" i="16"/>
  <c r="B27" i="16"/>
  <c r="K26" i="16"/>
  <c r="I26" i="16"/>
  <c r="F26" i="16"/>
  <c r="E26" i="16"/>
  <c r="D26" i="16"/>
  <c r="B26" i="16"/>
  <c r="I25" i="16"/>
  <c r="E25" i="16"/>
  <c r="D25" i="16"/>
  <c r="B25" i="16"/>
  <c r="I24" i="16"/>
  <c r="F24" i="16"/>
  <c r="E24" i="16"/>
  <c r="D24" i="16"/>
  <c r="B24" i="16"/>
  <c r="K23" i="16"/>
  <c r="I23" i="16"/>
  <c r="E23" i="16"/>
  <c r="D23" i="16"/>
  <c r="B23" i="16"/>
  <c r="K22" i="16"/>
  <c r="I22" i="16"/>
  <c r="F22" i="16"/>
  <c r="E22" i="16"/>
  <c r="D22" i="16"/>
  <c r="B22" i="16"/>
  <c r="T21" i="16"/>
  <c r="K21" i="16"/>
  <c r="I21" i="16"/>
  <c r="F21" i="16"/>
  <c r="G21" i="16" s="1"/>
  <c r="D21" i="16"/>
  <c r="E21" i="16" s="1"/>
  <c r="B21" i="16"/>
  <c r="K20" i="16"/>
  <c r="I20" i="16"/>
  <c r="D20" i="16"/>
  <c r="E20" i="16" s="1"/>
  <c r="B20" i="16"/>
  <c r="T19" i="16"/>
  <c r="T20" i="16" s="1"/>
  <c r="I19" i="16"/>
  <c r="F19" i="16"/>
  <c r="G19" i="16" s="1"/>
  <c r="E19" i="16"/>
  <c r="D19" i="16"/>
  <c r="B19" i="16"/>
  <c r="K18" i="16"/>
  <c r="I18" i="16"/>
  <c r="E18" i="16"/>
  <c r="D18" i="16"/>
  <c r="B18" i="16"/>
  <c r="K17" i="16"/>
  <c r="I17" i="16"/>
  <c r="F17" i="16"/>
  <c r="G17" i="16" s="1"/>
  <c r="E17" i="16"/>
  <c r="D17" i="16"/>
  <c r="B17" i="16"/>
  <c r="I16" i="16"/>
  <c r="E16" i="16"/>
  <c r="D16" i="16"/>
  <c r="B16" i="16"/>
  <c r="I15" i="16"/>
  <c r="F15" i="16"/>
  <c r="G15" i="16" s="1"/>
  <c r="E15" i="16"/>
  <c r="D15" i="16"/>
  <c r="B15" i="16"/>
  <c r="K14" i="16"/>
  <c r="D14" i="16"/>
  <c r="E14" i="16" s="1"/>
  <c r="B14" i="16"/>
  <c r="K13" i="16"/>
  <c r="I13" i="16"/>
  <c r="G13" i="16"/>
  <c r="F13" i="16"/>
  <c r="D13" i="16"/>
  <c r="E13" i="16" s="1"/>
  <c r="B13" i="16"/>
  <c r="K12" i="16"/>
  <c r="I12" i="16"/>
  <c r="F12" i="16"/>
  <c r="D12" i="16"/>
  <c r="E12" i="16" s="1"/>
  <c r="B12" i="16"/>
  <c r="T11" i="16"/>
  <c r="K63" i="16" s="1"/>
  <c r="K11" i="16"/>
  <c r="I11" i="16"/>
  <c r="D11" i="16"/>
  <c r="E11" i="16" s="1"/>
  <c r="B11" i="16"/>
  <c r="K10" i="16"/>
  <c r="I10" i="16"/>
  <c r="E10" i="16"/>
  <c r="D10" i="16"/>
  <c r="B10" i="16"/>
  <c r="K9" i="16"/>
  <c r="I9" i="16"/>
  <c r="E9" i="16"/>
  <c r="D9" i="16"/>
  <c r="B9" i="16"/>
  <c r="T8" i="16"/>
  <c r="T9" i="16" s="1"/>
  <c r="K8" i="16"/>
  <c r="I8" i="16"/>
  <c r="G8" i="16"/>
  <c r="F8" i="16"/>
  <c r="D8" i="16"/>
  <c r="E8" i="16" s="1"/>
  <c r="B8" i="16"/>
  <c r="T7" i="16"/>
  <c r="I69" i="16" s="1"/>
  <c r="K7" i="16"/>
  <c r="I7" i="16"/>
  <c r="E7" i="16"/>
  <c r="D7" i="16"/>
  <c r="B7" i="16"/>
  <c r="K6" i="16"/>
  <c r="I6" i="16"/>
  <c r="D6" i="16"/>
  <c r="B6" i="16"/>
  <c r="T5" i="16"/>
  <c r="I5" i="16"/>
  <c r="T4" i="16"/>
  <c r="I4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C70" i="14"/>
  <c r="F9" i="14" s="1"/>
  <c r="D69" i="14"/>
  <c r="E69" i="14" s="1"/>
  <c r="B69" i="14"/>
  <c r="F68" i="14"/>
  <c r="E68" i="14"/>
  <c r="D68" i="14"/>
  <c r="B68" i="14"/>
  <c r="F67" i="14"/>
  <c r="G67" i="14" s="1"/>
  <c r="J67" i="14" s="1"/>
  <c r="D67" i="14"/>
  <c r="E67" i="14" s="1"/>
  <c r="B67" i="14"/>
  <c r="F66" i="14"/>
  <c r="G66" i="14" s="1"/>
  <c r="E66" i="14"/>
  <c r="D66" i="14"/>
  <c r="B66" i="14"/>
  <c r="I65" i="14"/>
  <c r="F65" i="14"/>
  <c r="G65" i="14" s="1"/>
  <c r="J65" i="14" s="1"/>
  <c r="E65" i="14"/>
  <c r="D65" i="14"/>
  <c r="B65" i="14"/>
  <c r="F64" i="14"/>
  <c r="E64" i="14"/>
  <c r="D64" i="14"/>
  <c r="B64" i="14"/>
  <c r="D63" i="14"/>
  <c r="E63" i="14" s="1"/>
  <c r="B63" i="14"/>
  <c r="F62" i="14"/>
  <c r="G62" i="14" s="1"/>
  <c r="E62" i="14"/>
  <c r="D62" i="14"/>
  <c r="B62" i="14"/>
  <c r="F61" i="14"/>
  <c r="D61" i="14"/>
  <c r="E61" i="14" s="1"/>
  <c r="B61" i="14"/>
  <c r="F60" i="14"/>
  <c r="E60" i="14"/>
  <c r="D60" i="14"/>
  <c r="B60" i="14"/>
  <c r="D59" i="14"/>
  <c r="E59" i="14" s="1"/>
  <c r="B59" i="14"/>
  <c r="G58" i="14"/>
  <c r="F58" i="14"/>
  <c r="E58" i="14"/>
  <c r="D58" i="14"/>
  <c r="B58" i="14"/>
  <c r="F57" i="14"/>
  <c r="E57" i="14"/>
  <c r="D57" i="14"/>
  <c r="B57" i="14"/>
  <c r="F56" i="14"/>
  <c r="G56" i="14" s="1"/>
  <c r="E56" i="14"/>
  <c r="D56" i="14"/>
  <c r="B56" i="14"/>
  <c r="F55" i="14"/>
  <c r="D55" i="14"/>
  <c r="E55" i="14" s="1"/>
  <c r="B55" i="14"/>
  <c r="F54" i="14"/>
  <c r="G54" i="14" s="1"/>
  <c r="E54" i="14"/>
  <c r="D54" i="14"/>
  <c r="B54" i="14"/>
  <c r="F53" i="14"/>
  <c r="E53" i="14"/>
  <c r="D53" i="14"/>
  <c r="B53" i="14"/>
  <c r="E52" i="14"/>
  <c r="D52" i="14"/>
  <c r="B52" i="14"/>
  <c r="I51" i="14"/>
  <c r="D51" i="14"/>
  <c r="E51" i="14" s="1"/>
  <c r="B51" i="14"/>
  <c r="F50" i="14"/>
  <c r="E50" i="14"/>
  <c r="D50" i="14"/>
  <c r="B50" i="14"/>
  <c r="I49" i="14"/>
  <c r="D49" i="14"/>
  <c r="E49" i="14" s="1"/>
  <c r="B49" i="14"/>
  <c r="F48" i="14"/>
  <c r="G48" i="14" s="1"/>
  <c r="E48" i="14"/>
  <c r="D48" i="14"/>
  <c r="B48" i="14"/>
  <c r="F47" i="14"/>
  <c r="E47" i="14"/>
  <c r="D47" i="14"/>
  <c r="B47" i="14"/>
  <c r="E46" i="14"/>
  <c r="D46" i="14"/>
  <c r="B46" i="14"/>
  <c r="I45" i="14"/>
  <c r="F45" i="14"/>
  <c r="G45" i="14" s="1"/>
  <c r="J45" i="14" s="1"/>
  <c r="E45" i="14"/>
  <c r="D45" i="14"/>
  <c r="B45" i="14"/>
  <c r="F44" i="14"/>
  <c r="E44" i="14"/>
  <c r="D44" i="14"/>
  <c r="B44" i="14"/>
  <c r="I43" i="14"/>
  <c r="D43" i="14"/>
  <c r="E43" i="14" s="1"/>
  <c r="B43" i="14"/>
  <c r="F42" i="14"/>
  <c r="G42" i="14" s="1"/>
  <c r="E42" i="14"/>
  <c r="D42" i="14"/>
  <c r="B42" i="14"/>
  <c r="F41" i="14"/>
  <c r="E41" i="14"/>
  <c r="D41" i="14"/>
  <c r="B41" i="14"/>
  <c r="D40" i="14"/>
  <c r="E40" i="14" s="1"/>
  <c r="B40" i="14"/>
  <c r="I39" i="14"/>
  <c r="F39" i="14"/>
  <c r="G39" i="14" s="1"/>
  <c r="J39" i="14" s="1"/>
  <c r="E39" i="14"/>
  <c r="D39" i="14"/>
  <c r="B39" i="14"/>
  <c r="F38" i="14"/>
  <c r="G38" i="14" s="1"/>
  <c r="E38" i="14"/>
  <c r="D38" i="14"/>
  <c r="B38" i="14"/>
  <c r="F37" i="14"/>
  <c r="G37" i="14" s="1"/>
  <c r="E37" i="14"/>
  <c r="D37" i="14"/>
  <c r="B37" i="14"/>
  <c r="I36" i="14"/>
  <c r="E36" i="14"/>
  <c r="D36" i="14"/>
  <c r="B36" i="14"/>
  <c r="F35" i="14"/>
  <c r="E35" i="14"/>
  <c r="D35" i="14"/>
  <c r="B35" i="14"/>
  <c r="F34" i="14"/>
  <c r="G34" i="14" s="1"/>
  <c r="E34" i="14"/>
  <c r="D34" i="14"/>
  <c r="B34" i="14"/>
  <c r="D33" i="14"/>
  <c r="E33" i="14" s="1"/>
  <c r="B33" i="14"/>
  <c r="F32" i="14"/>
  <c r="G32" i="14" s="1"/>
  <c r="E32" i="14"/>
  <c r="D32" i="14"/>
  <c r="B32" i="14"/>
  <c r="I31" i="14"/>
  <c r="F31" i="14"/>
  <c r="E31" i="14"/>
  <c r="D31" i="14"/>
  <c r="B31" i="14"/>
  <c r="I30" i="14"/>
  <c r="E30" i="14"/>
  <c r="D30" i="14"/>
  <c r="B30" i="14"/>
  <c r="I29" i="14"/>
  <c r="E29" i="14"/>
  <c r="D29" i="14"/>
  <c r="B29" i="14"/>
  <c r="F28" i="14"/>
  <c r="E28" i="14"/>
  <c r="D28" i="14"/>
  <c r="B28" i="14"/>
  <c r="F27" i="14"/>
  <c r="E27" i="14"/>
  <c r="D27" i="14"/>
  <c r="B27" i="14"/>
  <c r="F26" i="14"/>
  <c r="G26" i="14" s="1"/>
  <c r="E26" i="14"/>
  <c r="D26" i="14"/>
  <c r="B26" i="14"/>
  <c r="G25" i="14"/>
  <c r="F25" i="14"/>
  <c r="E25" i="14"/>
  <c r="D25" i="14"/>
  <c r="B25" i="14"/>
  <c r="F24" i="14"/>
  <c r="E24" i="14"/>
  <c r="D24" i="14"/>
  <c r="B24" i="14"/>
  <c r="I23" i="14"/>
  <c r="D23" i="14"/>
  <c r="E23" i="14" s="1"/>
  <c r="B23" i="14"/>
  <c r="I22" i="14"/>
  <c r="G22" i="14"/>
  <c r="J22" i="14" s="1"/>
  <c r="F22" i="14"/>
  <c r="E22" i="14"/>
  <c r="D22" i="14"/>
  <c r="B22" i="14"/>
  <c r="F21" i="14"/>
  <c r="D21" i="14"/>
  <c r="E21" i="14" s="1"/>
  <c r="B21" i="14"/>
  <c r="F20" i="14"/>
  <c r="G20" i="14" s="1"/>
  <c r="E20" i="14"/>
  <c r="D20" i="14"/>
  <c r="B20" i="14"/>
  <c r="E19" i="14"/>
  <c r="D19" i="14"/>
  <c r="B19" i="14"/>
  <c r="T18" i="14"/>
  <c r="G18" i="14"/>
  <c r="F18" i="14"/>
  <c r="D18" i="14"/>
  <c r="E18" i="14" s="1"/>
  <c r="B18" i="14"/>
  <c r="T17" i="14"/>
  <c r="I17" i="14"/>
  <c r="F17" i="14"/>
  <c r="G17" i="14" s="1"/>
  <c r="J17" i="14" s="1"/>
  <c r="D17" i="14"/>
  <c r="E17" i="14" s="1"/>
  <c r="B17" i="14"/>
  <c r="T16" i="14"/>
  <c r="F16" i="14"/>
  <c r="G16" i="14" s="1"/>
  <c r="D16" i="14"/>
  <c r="E16" i="14" s="1"/>
  <c r="B16" i="14"/>
  <c r="F15" i="14"/>
  <c r="G15" i="14" s="1"/>
  <c r="D15" i="14"/>
  <c r="E15" i="14" s="1"/>
  <c r="B15" i="14"/>
  <c r="F14" i="14"/>
  <c r="G14" i="14" s="1"/>
  <c r="E14" i="14"/>
  <c r="D14" i="14"/>
  <c r="B14" i="14"/>
  <c r="I13" i="14"/>
  <c r="F13" i="14"/>
  <c r="E13" i="14"/>
  <c r="D13" i="14"/>
  <c r="B13" i="14"/>
  <c r="I12" i="14"/>
  <c r="F12" i="14"/>
  <c r="G12" i="14" s="1"/>
  <c r="J12" i="14" s="1"/>
  <c r="D12" i="14"/>
  <c r="E12" i="14" s="1"/>
  <c r="B12" i="14"/>
  <c r="I11" i="14"/>
  <c r="E11" i="14"/>
  <c r="D11" i="14"/>
  <c r="B11" i="14"/>
  <c r="F10" i="14"/>
  <c r="E10" i="14"/>
  <c r="D10" i="14"/>
  <c r="B10" i="14"/>
  <c r="I9" i="14"/>
  <c r="D9" i="14"/>
  <c r="E9" i="14" s="1"/>
  <c r="B9" i="14"/>
  <c r="T8" i="14"/>
  <c r="T9" i="14" s="1"/>
  <c r="I8" i="14"/>
  <c r="F8" i="14"/>
  <c r="G8" i="14" s="1"/>
  <c r="J8" i="14" s="1"/>
  <c r="E8" i="14"/>
  <c r="D8" i="14"/>
  <c r="B8" i="14"/>
  <c r="T7" i="14"/>
  <c r="I67" i="14" s="1"/>
  <c r="F7" i="14"/>
  <c r="G7" i="14" s="1"/>
  <c r="D7" i="14"/>
  <c r="E7" i="14" s="1"/>
  <c r="B7" i="14"/>
  <c r="I6" i="14"/>
  <c r="F6" i="14"/>
  <c r="G6" i="14" s="1"/>
  <c r="E6" i="14"/>
  <c r="D6" i="14"/>
  <c r="B6" i="14"/>
  <c r="T5" i="14"/>
  <c r="G50" i="14" s="1"/>
  <c r="I4" i="14"/>
  <c r="J4" i="14" s="1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K66" i="13" s="1"/>
  <c r="B2" i="13"/>
  <c r="O70" i="12"/>
  <c r="N70" i="12"/>
  <c r="M70" i="12"/>
  <c r="L70" i="12"/>
  <c r="H70" i="12"/>
  <c r="C70" i="12"/>
  <c r="F69" i="12" s="1"/>
  <c r="G69" i="12" s="1"/>
  <c r="I69" i="12"/>
  <c r="E69" i="12"/>
  <c r="D69" i="12"/>
  <c r="B69" i="12"/>
  <c r="F68" i="12"/>
  <c r="G68" i="12" s="1"/>
  <c r="E68" i="12"/>
  <c r="D68" i="12"/>
  <c r="B68" i="12"/>
  <c r="I67" i="12"/>
  <c r="G67" i="12"/>
  <c r="F67" i="12"/>
  <c r="D67" i="12"/>
  <c r="E67" i="12" s="1"/>
  <c r="B67" i="12"/>
  <c r="I66" i="12"/>
  <c r="E66" i="12"/>
  <c r="D66" i="12"/>
  <c r="B66" i="12"/>
  <c r="I65" i="12"/>
  <c r="E65" i="12"/>
  <c r="D65" i="12"/>
  <c r="B65" i="12"/>
  <c r="F64" i="12"/>
  <c r="G64" i="12" s="1"/>
  <c r="E64" i="12"/>
  <c r="D64" i="12"/>
  <c r="B64" i="12"/>
  <c r="I63" i="12"/>
  <c r="F63" i="12"/>
  <c r="G63" i="12" s="1"/>
  <c r="D63" i="12"/>
  <c r="E63" i="12" s="1"/>
  <c r="B63" i="12"/>
  <c r="I62" i="12"/>
  <c r="E62" i="12"/>
  <c r="D62" i="12"/>
  <c r="B62" i="12"/>
  <c r="I61" i="12"/>
  <c r="E61" i="12"/>
  <c r="D61" i="12"/>
  <c r="B61" i="12"/>
  <c r="F60" i="12"/>
  <c r="G60" i="12" s="1"/>
  <c r="E60" i="12"/>
  <c r="D60" i="12"/>
  <c r="B60" i="12"/>
  <c r="I59" i="12"/>
  <c r="F59" i="12"/>
  <c r="G59" i="12" s="1"/>
  <c r="D59" i="12"/>
  <c r="E59" i="12" s="1"/>
  <c r="B59" i="12"/>
  <c r="I58" i="12"/>
  <c r="E58" i="12"/>
  <c r="D58" i="12"/>
  <c r="B58" i="12"/>
  <c r="I57" i="12"/>
  <c r="E57" i="12"/>
  <c r="D57" i="12"/>
  <c r="B57" i="12"/>
  <c r="F56" i="12"/>
  <c r="G56" i="12" s="1"/>
  <c r="E56" i="12"/>
  <c r="D56" i="12"/>
  <c r="B56" i="12"/>
  <c r="I55" i="12"/>
  <c r="F55" i="12"/>
  <c r="G55" i="12" s="1"/>
  <c r="D55" i="12"/>
  <c r="E55" i="12" s="1"/>
  <c r="B55" i="12"/>
  <c r="I54" i="12"/>
  <c r="E54" i="12"/>
  <c r="D54" i="12"/>
  <c r="B54" i="12"/>
  <c r="I53" i="12"/>
  <c r="E53" i="12"/>
  <c r="D53" i="12"/>
  <c r="B53" i="12"/>
  <c r="F52" i="12"/>
  <c r="G52" i="12" s="1"/>
  <c r="E52" i="12"/>
  <c r="D52" i="12"/>
  <c r="B52" i="12"/>
  <c r="I51" i="12"/>
  <c r="F51" i="12"/>
  <c r="G51" i="12" s="1"/>
  <c r="D51" i="12"/>
  <c r="E51" i="12" s="1"/>
  <c r="B51" i="12"/>
  <c r="I50" i="12"/>
  <c r="E50" i="12"/>
  <c r="D50" i="12"/>
  <c r="B50" i="12"/>
  <c r="I49" i="12"/>
  <c r="E49" i="12"/>
  <c r="D49" i="12"/>
  <c r="B49" i="12"/>
  <c r="F48" i="12"/>
  <c r="G48" i="12" s="1"/>
  <c r="E48" i="12"/>
  <c r="D48" i="12"/>
  <c r="B48" i="12"/>
  <c r="I47" i="12"/>
  <c r="F47" i="12"/>
  <c r="G47" i="12" s="1"/>
  <c r="D47" i="12"/>
  <c r="E47" i="12" s="1"/>
  <c r="B47" i="12"/>
  <c r="I46" i="12"/>
  <c r="E46" i="12"/>
  <c r="D46" i="12"/>
  <c r="B46" i="12"/>
  <c r="I45" i="12"/>
  <c r="E45" i="12"/>
  <c r="D45" i="12"/>
  <c r="B45" i="12"/>
  <c r="F44" i="12"/>
  <c r="G44" i="12" s="1"/>
  <c r="E44" i="12"/>
  <c r="D44" i="12"/>
  <c r="B44" i="12"/>
  <c r="I43" i="12"/>
  <c r="F43" i="12"/>
  <c r="G43" i="12" s="1"/>
  <c r="D43" i="12"/>
  <c r="E43" i="12" s="1"/>
  <c r="B43" i="12"/>
  <c r="I42" i="12"/>
  <c r="F42" i="12"/>
  <c r="G42" i="12" s="1"/>
  <c r="J42" i="12" s="1"/>
  <c r="E42" i="12"/>
  <c r="D42" i="12"/>
  <c r="B42" i="12"/>
  <c r="I41" i="12"/>
  <c r="E41" i="12"/>
  <c r="D41" i="12"/>
  <c r="B41" i="12"/>
  <c r="F40" i="12"/>
  <c r="G40" i="12" s="1"/>
  <c r="E40" i="12"/>
  <c r="D40" i="12"/>
  <c r="B40" i="12"/>
  <c r="I39" i="12"/>
  <c r="F39" i="12"/>
  <c r="G39" i="12" s="1"/>
  <c r="J39" i="12" s="1"/>
  <c r="D39" i="12"/>
  <c r="E39" i="12" s="1"/>
  <c r="B39" i="12"/>
  <c r="I38" i="12"/>
  <c r="F38" i="12"/>
  <c r="G38" i="12" s="1"/>
  <c r="E38" i="12"/>
  <c r="D38" i="12"/>
  <c r="B38" i="12"/>
  <c r="I37" i="12"/>
  <c r="E37" i="12"/>
  <c r="D37" i="12"/>
  <c r="B37" i="12"/>
  <c r="F36" i="12"/>
  <c r="G36" i="12" s="1"/>
  <c r="E36" i="12"/>
  <c r="D36" i="12"/>
  <c r="B36" i="12"/>
  <c r="I35" i="12"/>
  <c r="F35" i="12"/>
  <c r="G35" i="12" s="1"/>
  <c r="D35" i="12"/>
  <c r="E35" i="12" s="1"/>
  <c r="B35" i="12"/>
  <c r="I34" i="12"/>
  <c r="F34" i="12"/>
  <c r="G34" i="12" s="1"/>
  <c r="J34" i="12" s="1"/>
  <c r="E34" i="12"/>
  <c r="D34" i="12"/>
  <c r="B34" i="12"/>
  <c r="I33" i="12"/>
  <c r="E33" i="12"/>
  <c r="D33" i="12"/>
  <c r="B33" i="12"/>
  <c r="F32" i="12"/>
  <c r="G32" i="12" s="1"/>
  <c r="E32" i="12"/>
  <c r="D32" i="12"/>
  <c r="B32" i="12"/>
  <c r="I31" i="12"/>
  <c r="F31" i="12"/>
  <c r="G31" i="12" s="1"/>
  <c r="D31" i="12"/>
  <c r="E31" i="12" s="1"/>
  <c r="B31" i="12"/>
  <c r="I30" i="12"/>
  <c r="F30" i="12"/>
  <c r="G30" i="12" s="1"/>
  <c r="E30" i="12"/>
  <c r="D30" i="12"/>
  <c r="B30" i="12"/>
  <c r="I29" i="12"/>
  <c r="E29" i="12"/>
  <c r="D29" i="12"/>
  <c r="B29" i="12"/>
  <c r="F28" i="12"/>
  <c r="G28" i="12" s="1"/>
  <c r="E28" i="12"/>
  <c r="D28" i="12"/>
  <c r="B28" i="12"/>
  <c r="I27" i="12"/>
  <c r="F27" i="12"/>
  <c r="G27" i="12" s="1"/>
  <c r="D27" i="12"/>
  <c r="E27" i="12" s="1"/>
  <c r="B27" i="12"/>
  <c r="I26" i="12"/>
  <c r="F26" i="12"/>
  <c r="G26" i="12" s="1"/>
  <c r="E26" i="12"/>
  <c r="D26" i="12"/>
  <c r="B26" i="12"/>
  <c r="I25" i="12"/>
  <c r="E25" i="12"/>
  <c r="D25" i="12"/>
  <c r="B25" i="12"/>
  <c r="F24" i="12"/>
  <c r="G24" i="12" s="1"/>
  <c r="E24" i="12"/>
  <c r="D24" i="12"/>
  <c r="B24" i="12"/>
  <c r="I23" i="12"/>
  <c r="F23" i="12"/>
  <c r="G23" i="12" s="1"/>
  <c r="D23" i="12"/>
  <c r="E23" i="12" s="1"/>
  <c r="B23" i="12"/>
  <c r="I22" i="12"/>
  <c r="F22" i="12"/>
  <c r="G22" i="12" s="1"/>
  <c r="E22" i="12"/>
  <c r="D22" i="12"/>
  <c r="B22" i="12"/>
  <c r="I21" i="12"/>
  <c r="F21" i="12"/>
  <c r="G21" i="12" s="1"/>
  <c r="J21" i="12" s="1"/>
  <c r="E21" i="12"/>
  <c r="D21" i="12"/>
  <c r="B21" i="12"/>
  <c r="T20" i="12"/>
  <c r="I20" i="12"/>
  <c r="F20" i="12"/>
  <c r="G20" i="12" s="1"/>
  <c r="J20" i="12" s="1"/>
  <c r="D20" i="12"/>
  <c r="E20" i="12" s="1"/>
  <c r="B20" i="12"/>
  <c r="I19" i="12"/>
  <c r="F19" i="12"/>
  <c r="G19" i="12" s="1"/>
  <c r="D19" i="12"/>
  <c r="E19" i="12" s="1"/>
  <c r="B19" i="12"/>
  <c r="T18" i="12"/>
  <c r="T19" i="12" s="1"/>
  <c r="I18" i="12"/>
  <c r="F18" i="12"/>
  <c r="G18" i="12" s="1"/>
  <c r="D18" i="12"/>
  <c r="E18" i="12" s="1"/>
  <c r="B18" i="12"/>
  <c r="I17" i="12"/>
  <c r="F17" i="12"/>
  <c r="G17" i="12" s="1"/>
  <c r="E17" i="12"/>
  <c r="D17" i="12"/>
  <c r="B17" i="12"/>
  <c r="I16" i="12"/>
  <c r="F16" i="12"/>
  <c r="G16" i="12" s="1"/>
  <c r="J16" i="12" s="1"/>
  <c r="E16" i="12"/>
  <c r="D16" i="12"/>
  <c r="B16" i="12"/>
  <c r="F15" i="12"/>
  <c r="G15" i="12" s="1"/>
  <c r="E15" i="12"/>
  <c r="D15" i="12"/>
  <c r="B15" i="12"/>
  <c r="I14" i="12"/>
  <c r="F14" i="12"/>
  <c r="G14" i="12" s="1"/>
  <c r="D14" i="12"/>
  <c r="E14" i="12" s="1"/>
  <c r="B14" i="12"/>
  <c r="I13" i="12"/>
  <c r="F13" i="12"/>
  <c r="G13" i="12" s="1"/>
  <c r="E13" i="12"/>
  <c r="D13" i="12"/>
  <c r="B13" i="12"/>
  <c r="I12" i="12"/>
  <c r="F12" i="12"/>
  <c r="G12" i="12" s="1"/>
  <c r="J12" i="12" s="1"/>
  <c r="E12" i="12"/>
  <c r="D12" i="12"/>
  <c r="B12" i="12"/>
  <c r="I11" i="12"/>
  <c r="F11" i="12"/>
  <c r="G11" i="12" s="1"/>
  <c r="J11" i="12" s="1"/>
  <c r="D11" i="12"/>
  <c r="E11" i="12" s="1"/>
  <c r="B11" i="12"/>
  <c r="I10" i="12"/>
  <c r="G10" i="12"/>
  <c r="F10" i="12"/>
  <c r="D10" i="12"/>
  <c r="E10" i="12" s="1"/>
  <c r="B10" i="12"/>
  <c r="I9" i="12"/>
  <c r="G9" i="12"/>
  <c r="F9" i="12"/>
  <c r="E9" i="12"/>
  <c r="D9" i="12"/>
  <c r="B9" i="12"/>
  <c r="T8" i="12"/>
  <c r="T9" i="12" s="1"/>
  <c r="I8" i="12"/>
  <c r="F8" i="12"/>
  <c r="G8" i="12" s="1"/>
  <c r="E8" i="12"/>
  <c r="D8" i="12"/>
  <c r="B8" i="12"/>
  <c r="T7" i="12"/>
  <c r="I7" i="12" s="1"/>
  <c r="F7" i="12"/>
  <c r="G7" i="12" s="1"/>
  <c r="J7" i="12" s="1"/>
  <c r="D7" i="12"/>
  <c r="E7" i="12" s="1"/>
  <c r="B7" i="12"/>
  <c r="I6" i="12"/>
  <c r="F6" i="12"/>
  <c r="G6" i="12" s="1"/>
  <c r="D6" i="12"/>
  <c r="E6" i="12" s="1"/>
  <c r="B6" i="12"/>
  <c r="T5" i="12"/>
  <c r="I5" i="12"/>
  <c r="I4" i="12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K66" i="9" s="1"/>
  <c r="B3" i="9"/>
  <c r="K2" i="9"/>
  <c r="B2" i="9"/>
  <c r="O70" i="8"/>
  <c r="N70" i="8"/>
  <c r="M70" i="8"/>
  <c r="L70" i="8"/>
  <c r="H70" i="8"/>
  <c r="C70" i="8"/>
  <c r="F66" i="8" s="1"/>
  <c r="G66" i="8" s="1"/>
  <c r="I69" i="8"/>
  <c r="D69" i="8"/>
  <c r="E69" i="8" s="1"/>
  <c r="F69" i="8" s="1"/>
  <c r="G69" i="8" s="1"/>
  <c r="B69" i="8"/>
  <c r="I68" i="8"/>
  <c r="F68" i="8"/>
  <c r="G68" i="8" s="1"/>
  <c r="J68" i="8" s="1"/>
  <c r="E68" i="8"/>
  <c r="D68" i="8"/>
  <c r="B68" i="8"/>
  <c r="E67" i="8"/>
  <c r="F67" i="8" s="1"/>
  <c r="G67" i="8" s="1"/>
  <c r="D67" i="8"/>
  <c r="B67" i="8"/>
  <c r="I66" i="8"/>
  <c r="D66" i="8"/>
  <c r="E66" i="8" s="1"/>
  <c r="B66" i="8"/>
  <c r="I65" i="8"/>
  <c r="D65" i="8"/>
  <c r="E65" i="8" s="1"/>
  <c r="F65" i="8" s="1"/>
  <c r="G65" i="8" s="1"/>
  <c r="J65" i="8" s="1"/>
  <c r="B65" i="8"/>
  <c r="E64" i="8"/>
  <c r="F64" i="8" s="1"/>
  <c r="G64" i="8" s="1"/>
  <c r="D64" i="8"/>
  <c r="B64" i="8"/>
  <c r="E63" i="8"/>
  <c r="F63" i="8" s="1"/>
  <c r="G63" i="8" s="1"/>
  <c r="D63" i="8"/>
  <c r="B63" i="8"/>
  <c r="I62" i="8"/>
  <c r="G62" i="8"/>
  <c r="J62" i="8" s="1"/>
  <c r="D62" i="8"/>
  <c r="E62" i="8" s="1"/>
  <c r="F62" i="8" s="1"/>
  <c r="B62" i="8"/>
  <c r="I61" i="8"/>
  <c r="E61" i="8"/>
  <c r="F61" i="8" s="1"/>
  <c r="G61" i="8" s="1"/>
  <c r="J61" i="8" s="1"/>
  <c r="D61" i="8"/>
  <c r="B61" i="8"/>
  <c r="I60" i="8"/>
  <c r="E60" i="8"/>
  <c r="F60" i="8" s="1"/>
  <c r="G60" i="8" s="1"/>
  <c r="D60" i="8"/>
  <c r="B60" i="8"/>
  <c r="G59" i="8"/>
  <c r="D59" i="8"/>
  <c r="E59" i="8" s="1"/>
  <c r="F59" i="8" s="1"/>
  <c r="B59" i="8"/>
  <c r="D58" i="8"/>
  <c r="E58" i="8" s="1"/>
  <c r="F58" i="8" s="1"/>
  <c r="B58" i="8"/>
  <c r="D57" i="8"/>
  <c r="E57" i="8" s="1"/>
  <c r="F57" i="8" s="1"/>
  <c r="G57" i="8" s="1"/>
  <c r="B57" i="8"/>
  <c r="I56" i="8"/>
  <c r="E56" i="8"/>
  <c r="F56" i="8" s="1"/>
  <c r="G56" i="8" s="1"/>
  <c r="D56" i="8"/>
  <c r="B56" i="8"/>
  <c r="E55" i="8"/>
  <c r="F55" i="8" s="1"/>
  <c r="G55" i="8" s="1"/>
  <c r="D55" i="8"/>
  <c r="B55" i="8"/>
  <c r="I54" i="8"/>
  <c r="G54" i="8"/>
  <c r="D54" i="8"/>
  <c r="E54" i="8" s="1"/>
  <c r="F54" i="8" s="1"/>
  <c r="B54" i="8"/>
  <c r="I53" i="8"/>
  <c r="E53" i="8"/>
  <c r="F53" i="8" s="1"/>
  <c r="G53" i="8" s="1"/>
  <c r="D53" i="8"/>
  <c r="B53" i="8"/>
  <c r="I52" i="8"/>
  <c r="E52" i="8"/>
  <c r="F52" i="8" s="1"/>
  <c r="G52" i="8" s="1"/>
  <c r="J52" i="8" s="1"/>
  <c r="D52" i="8"/>
  <c r="B52" i="8"/>
  <c r="E51" i="8"/>
  <c r="F51" i="8" s="1"/>
  <c r="G51" i="8" s="1"/>
  <c r="D51" i="8"/>
  <c r="B51" i="8"/>
  <c r="I50" i="8"/>
  <c r="G50" i="8"/>
  <c r="E50" i="8"/>
  <c r="F50" i="8" s="1"/>
  <c r="D50" i="8"/>
  <c r="B50" i="8"/>
  <c r="I49" i="8"/>
  <c r="D49" i="8"/>
  <c r="E49" i="8" s="1"/>
  <c r="F49" i="8" s="1"/>
  <c r="G49" i="8" s="1"/>
  <c r="J49" i="8" s="1"/>
  <c r="B49" i="8"/>
  <c r="I48" i="8"/>
  <c r="E48" i="8"/>
  <c r="F48" i="8" s="1"/>
  <c r="G48" i="8" s="1"/>
  <c r="D48" i="8"/>
  <c r="B48" i="8"/>
  <c r="I47" i="8"/>
  <c r="D47" i="8"/>
  <c r="E47" i="8" s="1"/>
  <c r="F47" i="8" s="1"/>
  <c r="G47" i="8" s="1"/>
  <c r="B47" i="8"/>
  <c r="I46" i="8"/>
  <c r="D46" i="8"/>
  <c r="E46" i="8" s="1"/>
  <c r="F46" i="8" s="1"/>
  <c r="G46" i="8" s="1"/>
  <c r="J46" i="8" s="1"/>
  <c r="B46" i="8"/>
  <c r="I45" i="8"/>
  <c r="D45" i="8"/>
  <c r="E45" i="8" s="1"/>
  <c r="F45" i="8" s="1"/>
  <c r="G45" i="8" s="1"/>
  <c r="B45" i="8"/>
  <c r="I44" i="8"/>
  <c r="D44" i="8"/>
  <c r="E44" i="8" s="1"/>
  <c r="F44" i="8" s="1"/>
  <c r="G44" i="8" s="1"/>
  <c r="J44" i="8" s="1"/>
  <c r="B44" i="8"/>
  <c r="I43" i="8"/>
  <c r="D43" i="8"/>
  <c r="E43" i="8" s="1"/>
  <c r="F43" i="8" s="1"/>
  <c r="G43" i="8" s="1"/>
  <c r="J43" i="8" s="1"/>
  <c r="B43" i="8"/>
  <c r="I42" i="8"/>
  <c r="G42" i="8"/>
  <c r="E42" i="8"/>
  <c r="F42" i="8" s="1"/>
  <c r="D42" i="8"/>
  <c r="B42" i="8"/>
  <c r="D41" i="8"/>
  <c r="E41" i="8" s="1"/>
  <c r="F41" i="8" s="1"/>
  <c r="G41" i="8" s="1"/>
  <c r="B41" i="8"/>
  <c r="I40" i="8"/>
  <c r="G40" i="8"/>
  <c r="J40" i="8" s="1"/>
  <c r="D40" i="8"/>
  <c r="E40" i="8" s="1"/>
  <c r="F40" i="8" s="1"/>
  <c r="B40" i="8"/>
  <c r="I39" i="8"/>
  <c r="D39" i="8"/>
  <c r="E39" i="8" s="1"/>
  <c r="F39" i="8" s="1"/>
  <c r="G39" i="8" s="1"/>
  <c r="B39" i="8"/>
  <c r="I38" i="8"/>
  <c r="G38" i="8"/>
  <c r="J38" i="8" s="1"/>
  <c r="E38" i="8"/>
  <c r="F38" i="8" s="1"/>
  <c r="D38" i="8"/>
  <c r="B38" i="8"/>
  <c r="D37" i="8"/>
  <c r="E37" i="8" s="1"/>
  <c r="F37" i="8" s="1"/>
  <c r="G37" i="8" s="1"/>
  <c r="B37" i="8"/>
  <c r="I36" i="8"/>
  <c r="G36" i="8"/>
  <c r="D36" i="8"/>
  <c r="E36" i="8" s="1"/>
  <c r="F36" i="8" s="1"/>
  <c r="B36" i="8"/>
  <c r="I35" i="8"/>
  <c r="D35" i="8"/>
  <c r="E35" i="8" s="1"/>
  <c r="F35" i="8" s="1"/>
  <c r="G35" i="8" s="1"/>
  <c r="J35" i="8" s="1"/>
  <c r="B35" i="8"/>
  <c r="I34" i="8"/>
  <c r="G34" i="8"/>
  <c r="E34" i="8"/>
  <c r="F34" i="8" s="1"/>
  <c r="D34" i="8"/>
  <c r="B34" i="8"/>
  <c r="D33" i="8"/>
  <c r="E33" i="8" s="1"/>
  <c r="F33" i="8" s="1"/>
  <c r="G33" i="8" s="1"/>
  <c r="B33" i="8"/>
  <c r="I32" i="8"/>
  <c r="G32" i="8"/>
  <c r="J32" i="8" s="1"/>
  <c r="D32" i="8"/>
  <c r="E32" i="8" s="1"/>
  <c r="F32" i="8" s="1"/>
  <c r="B32" i="8"/>
  <c r="I31" i="8"/>
  <c r="D31" i="8"/>
  <c r="E31" i="8" s="1"/>
  <c r="F31" i="8" s="1"/>
  <c r="G31" i="8" s="1"/>
  <c r="B31" i="8"/>
  <c r="I30" i="8"/>
  <c r="E30" i="8"/>
  <c r="F30" i="8" s="1"/>
  <c r="G30" i="8" s="1"/>
  <c r="J30" i="8" s="1"/>
  <c r="D30" i="8"/>
  <c r="B30" i="8"/>
  <c r="D29" i="8"/>
  <c r="E29" i="8" s="1"/>
  <c r="F29" i="8" s="1"/>
  <c r="G29" i="8" s="1"/>
  <c r="B29" i="8"/>
  <c r="I28" i="8"/>
  <c r="G28" i="8"/>
  <c r="D28" i="8"/>
  <c r="E28" i="8" s="1"/>
  <c r="F28" i="8" s="1"/>
  <c r="B28" i="8"/>
  <c r="I27" i="8"/>
  <c r="D27" i="8"/>
  <c r="E27" i="8" s="1"/>
  <c r="F27" i="8" s="1"/>
  <c r="G27" i="8" s="1"/>
  <c r="B27" i="8"/>
  <c r="I26" i="8"/>
  <c r="G26" i="8"/>
  <c r="J26" i="8" s="1"/>
  <c r="F26" i="8"/>
  <c r="E26" i="8"/>
  <c r="D26" i="8"/>
  <c r="B26" i="8"/>
  <c r="D25" i="8"/>
  <c r="E25" i="8" s="1"/>
  <c r="F25" i="8" s="1"/>
  <c r="G25" i="8" s="1"/>
  <c r="B25" i="8"/>
  <c r="I24" i="8"/>
  <c r="G24" i="8"/>
  <c r="J24" i="8" s="1"/>
  <c r="D24" i="8"/>
  <c r="E24" i="8" s="1"/>
  <c r="F24" i="8" s="1"/>
  <c r="B24" i="8"/>
  <c r="I23" i="8"/>
  <c r="D23" i="8"/>
  <c r="E23" i="8" s="1"/>
  <c r="F23" i="8" s="1"/>
  <c r="G23" i="8" s="1"/>
  <c r="J23" i="8" s="1"/>
  <c r="B23" i="8"/>
  <c r="I22" i="8"/>
  <c r="F22" i="8"/>
  <c r="G22" i="8" s="1"/>
  <c r="J22" i="8" s="1"/>
  <c r="E22" i="8"/>
  <c r="D22" i="8"/>
  <c r="B22" i="8"/>
  <c r="D21" i="8"/>
  <c r="E21" i="8" s="1"/>
  <c r="F21" i="8" s="1"/>
  <c r="G21" i="8" s="1"/>
  <c r="B21" i="8"/>
  <c r="I20" i="8"/>
  <c r="G20" i="8"/>
  <c r="D20" i="8"/>
  <c r="E20" i="8" s="1"/>
  <c r="F20" i="8" s="1"/>
  <c r="B20" i="8"/>
  <c r="I19" i="8"/>
  <c r="D19" i="8"/>
  <c r="E19" i="8" s="1"/>
  <c r="F19" i="8" s="1"/>
  <c r="G19" i="8" s="1"/>
  <c r="B19" i="8"/>
  <c r="I18" i="8"/>
  <c r="F18" i="8"/>
  <c r="G18" i="8" s="1"/>
  <c r="J18" i="8" s="1"/>
  <c r="D18" i="8"/>
  <c r="E18" i="8" s="1"/>
  <c r="B18" i="8"/>
  <c r="T17" i="8"/>
  <c r="T18" i="8" s="1"/>
  <c r="I17" i="8"/>
  <c r="E17" i="8"/>
  <c r="F17" i="8" s="1"/>
  <c r="G17" i="8" s="1"/>
  <c r="J17" i="8" s="1"/>
  <c r="D17" i="8"/>
  <c r="B17" i="8"/>
  <c r="I16" i="8"/>
  <c r="D16" i="8"/>
  <c r="E16" i="8" s="1"/>
  <c r="F16" i="8" s="1"/>
  <c r="G16" i="8" s="1"/>
  <c r="J16" i="8" s="1"/>
  <c r="B16" i="8"/>
  <c r="E15" i="8"/>
  <c r="F15" i="8" s="1"/>
  <c r="G15" i="8" s="1"/>
  <c r="D15" i="8"/>
  <c r="B15" i="8"/>
  <c r="I14" i="8"/>
  <c r="G14" i="8"/>
  <c r="D14" i="8"/>
  <c r="E14" i="8" s="1"/>
  <c r="F14" i="8" s="1"/>
  <c r="B14" i="8"/>
  <c r="I13" i="8"/>
  <c r="D13" i="8"/>
  <c r="E13" i="8" s="1"/>
  <c r="F13" i="8" s="1"/>
  <c r="G13" i="8" s="1"/>
  <c r="J13" i="8" s="1"/>
  <c r="B13" i="8"/>
  <c r="J12" i="8"/>
  <c r="I12" i="8"/>
  <c r="D12" i="8"/>
  <c r="E12" i="8" s="1"/>
  <c r="F12" i="8" s="1"/>
  <c r="G12" i="8" s="1"/>
  <c r="B12" i="8"/>
  <c r="I11" i="8"/>
  <c r="D11" i="8"/>
  <c r="E11" i="8" s="1"/>
  <c r="F11" i="8" s="1"/>
  <c r="G11" i="8" s="1"/>
  <c r="J11" i="8" s="1"/>
  <c r="B11" i="8"/>
  <c r="I10" i="8"/>
  <c r="D10" i="8"/>
  <c r="E10" i="8" s="1"/>
  <c r="F10" i="8" s="1"/>
  <c r="G10" i="8" s="1"/>
  <c r="J10" i="8" s="1"/>
  <c r="B10" i="8"/>
  <c r="I9" i="8"/>
  <c r="D9" i="8"/>
  <c r="E9" i="8" s="1"/>
  <c r="F9" i="8" s="1"/>
  <c r="G9" i="8" s="1"/>
  <c r="J9" i="8" s="1"/>
  <c r="B9" i="8"/>
  <c r="T8" i="8"/>
  <c r="T9" i="8" s="1"/>
  <c r="J27" i="8" s="1"/>
  <c r="I8" i="8"/>
  <c r="F8" i="8"/>
  <c r="G8" i="8" s="1"/>
  <c r="J8" i="8" s="1"/>
  <c r="D8" i="8"/>
  <c r="E8" i="8" s="1"/>
  <c r="B8" i="8"/>
  <c r="T7" i="8"/>
  <c r="I58" i="8" s="1"/>
  <c r="D7" i="8"/>
  <c r="E7" i="8" s="1"/>
  <c r="F7" i="8" s="1"/>
  <c r="G7" i="8" s="1"/>
  <c r="B7" i="8"/>
  <c r="I6" i="8"/>
  <c r="F6" i="8"/>
  <c r="D6" i="8"/>
  <c r="E6" i="8" s="1"/>
  <c r="B6" i="8"/>
  <c r="T5" i="8"/>
  <c r="G58" i="8" s="1"/>
  <c r="I5" i="8"/>
  <c r="I4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C70" i="6"/>
  <c r="F64" i="6" s="1"/>
  <c r="G64" i="6" s="1"/>
  <c r="D69" i="6"/>
  <c r="E69" i="6" s="1"/>
  <c r="B69" i="6"/>
  <c r="E68" i="6"/>
  <c r="D68" i="6"/>
  <c r="B68" i="6"/>
  <c r="I67" i="6"/>
  <c r="D67" i="6"/>
  <c r="E67" i="6" s="1"/>
  <c r="B67" i="6"/>
  <c r="D66" i="6"/>
  <c r="E66" i="6" s="1"/>
  <c r="B66" i="6"/>
  <c r="I65" i="6"/>
  <c r="E65" i="6"/>
  <c r="F65" i="6" s="1"/>
  <c r="G65" i="6" s="1"/>
  <c r="D65" i="6"/>
  <c r="B65" i="6"/>
  <c r="E64" i="6"/>
  <c r="D64" i="6"/>
  <c r="B64" i="6"/>
  <c r="D63" i="6"/>
  <c r="E63" i="6" s="1"/>
  <c r="B63" i="6"/>
  <c r="I62" i="6"/>
  <c r="E62" i="6"/>
  <c r="D62" i="6"/>
  <c r="B62" i="6"/>
  <c r="D61" i="6"/>
  <c r="E61" i="6" s="1"/>
  <c r="B61" i="6"/>
  <c r="E60" i="6"/>
  <c r="D60" i="6"/>
  <c r="B60" i="6"/>
  <c r="I59" i="6"/>
  <c r="D59" i="6"/>
  <c r="E59" i="6" s="1"/>
  <c r="B59" i="6"/>
  <c r="I58" i="6"/>
  <c r="E58" i="6"/>
  <c r="D58" i="6"/>
  <c r="B58" i="6"/>
  <c r="I57" i="6"/>
  <c r="E57" i="6"/>
  <c r="D57" i="6"/>
  <c r="B57" i="6"/>
  <c r="E56" i="6"/>
  <c r="D56" i="6"/>
  <c r="B56" i="6"/>
  <c r="D55" i="6"/>
  <c r="E55" i="6" s="1"/>
  <c r="B55" i="6"/>
  <c r="E54" i="6"/>
  <c r="D54" i="6"/>
  <c r="B54" i="6"/>
  <c r="E53" i="6"/>
  <c r="D53" i="6"/>
  <c r="B53" i="6"/>
  <c r="E52" i="6"/>
  <c r="D52" i="6"/>
  <c r="B52" i="6"/>
  <c r="D51" i="6"/>
  <c r="E51" i="6" s="1"/>
  <c r="B51" i="6"/>
  <c r="I50" i="6"/>
  <c r="D50" i="6"/>
  <c r="E50" i="6" s="1"/>
  <c r="B50" i="6"/>
  <c r="I49" i="6"/>
  <c r="E49" i="6"/>
  <c r="D49" i="6"/>
  <c r="B49" i="6"/>
  <c r="E48" i="6"/>
  <c r="D48" i="6"/>
  <c r="B48" i="6"/>
  <c r="I47" i="6"/>
  <c r="D47" i="6"/>
  <c r="E47" i="6" s="1"/>
  <c r="B47" i="6"/>
  <c r="E46" i="6"/>
  <c r="D46" i="6"/>
  <c r="B46" i="6"/>
  <c r="D45" i="6"/>
  <c r="E45" i="6" s="1"/>
  <c r="B45" i="6"/>
  <c r="E44" i="6"/>
  <c r="D44" i="6"/>
  <c r="B44" i="6"/>
  <c r="I43" i="6"/>
  <c r="D43" i="6"/>
  <c r="E43" i="6" s="1"/>
  <c r="B43" i="6"/>
  <c r="I42" i="6"/>
  <c r="D42" i="6"/>
  <c r="E42" i="6" s="1"/>
  <c r="B42" i="6"/>
  <c r="E41" i="6"/>
  <c r="D41" i="6"/>
  <c r="B41" i="6"/>
  <c r="E40" i="6"/>
  <c r="D40" i="6"/>
  <c r="B40" i="6"/>
  <c r="I39" i="6"/>
  <c r="D39" i="6"/>
  <c r="E39" i="6" s="1"/>
  <c r="B39" i="6"/>
  <c r="D38" i="6"/>
  <c r="E38" i="6" s="1"/>
  <c r="B38" i="6"/>
  <c r="I37" i="6"/>
  <c r="D37" i="6"/>
  <c r="E37" i="6" s="1"/>
  <c r="B37" i="6"/>
  <c r="E36" i="6"/>
  <c r="D36" i="6"/>
  <c r="B36" i="6"/>
  <c r="I35" i="6"/>
  <c r="D35" i="6"/>
  <c r="E35" i="6" s="1"/>
  <c r="B35" i="6"/>
  <c r="I34" i="6"/>
  <c r="D34" i="6"/>
  <c r="E34" i="6" s="1"/>
  <c r="B34" i="6"/>
  <c r="I33" i="6"/>
  <c r="D33" i="6"/>
  <c r="E33" i="6" s="1"/>
  <c r="B33" i="6"/>
  <c r="E32" i="6"/>
  <c r="D32" i="6"/>
  <c r="B32" i="6"/>
  <c r="I31" i="6"/>
  <c r="D31" i="6"/>
  <c r="E31" i="6" s="1"/>
  <c r="B31" i="6"/>
  <c r="D30" i="6"/>
  <c r="E30" i="6" s="1"/>
  <c r="B30" i="6"/>
  <c r="I29" i="6"/>
  <c r="D29" i="6"/>
  <c r="E29" i="6" s="1"/>
  <c r="B29" i="6"/>
  <c r="E28" i="6"/>
  <c r="D28" i="6"/>
  <c r="B28" i="6"/>
  <c r="I27" i="6"/>
  <c r="D27" i="6"/>
  <c r="E27" i="6" s="1"/>
  <c r="B27" i="6"/>
  <c r="D26" i="6"/>
  <c r="E26" i="6" s="1"/>
  <c r="B26" i="6"/>
  <c r="I25" i="6"/>
  <c r="D25" i="6"/>
  <c r="E25" i="6" s="1"/>
  <c r="B25" i="6"/>
  <c r="E24" i="6"/>
  <c r="D24" i="6"/>
  <c r="B24" i="6"/>
  <c r="E23" i="6"/>
  <c r="B23" i="6"/>
  <c r="D22" i="6"/>
  <c r="E22" i="6" s="1"/>
  <c r="B22" i="6"/>
  <c r="I21" i="6"/>
  <c r="D21" i="6"/>
  <c r="E21" i="6" s="1"/>
  <c r="B21" i="6"/>
  <c r="E20" i="6"/>
  <c r="D20" i="6"/>
  <c r="B20" i="6"/>
  <c r="D19" i="6"/>
  <c r="E19" i="6" s="1"/>
  <c r="F19" i="6" s="1"/>
  <c r="G19" i="6" s="1"/>
  <c r="B19" i="6"/>
  <c r="I18" i="6"/>
  <c r="E18" i="6"/>
  <c r="D18" i="6"/>
  <c r="B18" i="6"/>
  <c r="T17" i="6"/>
  <c r="T18" i="6" s="1"/>
  <c r="D17" i="6"/>
  <c r="E17" i="6" s="1"/>
  <c r="B17" i="6"/>
  <c r="I16" i="6"/>
  <c r="D16" i="6"/>
  <c r="E16" i="6" s="1"/>
  <c r="B16" i="6"/>
  <c r="I15" i="6"/>
  <c r="E15" i="6"/>
  <c r="D15" i="6"/>
  <c r="B15" i="6"/>
  <c r="E14" i="6"/>
  <c r="D14" i="6"/>
  <c r="B14" i="6"/>
  <c r="I13" i="6"/>
  <c r="E13" i="6"/>
  <c r="D13" i="6"/>
  <c r="B13" i="6"/>
  <c r="I12" i="6"/>
  <c r="E12" i="6"/>
  <c r="D12" i="6"/>
  <c r="B12" i="6"/>
  <c r="E11" i="6"/>
  <c r="D11" i="6"/>
  <c r="B11" i="6"/>
  <c r="D10" i="6"/>
  <c r="E10" i="6" s="1"/>
  <c r="B10" i="6"/>
  <c r="T9" i="6"/>
  <c r="I9" i="6"/>
  <c r="E9" i="6"/>
  <c r="D9" i="6"/>
  <c r="B9" i="6"/>
  <c r="T8" i="6"/>
  <c r="I8" i="6"/>
  <c r="E8" i="6"/>
  <c r="D8" i="6"/>
  <c r="B8" i="6"/>
  <c r="T7" i="6"/>
  <c r="I66" i="6" s="1"/>
  <c r="I7" i="6"/>
  <c r="E7" i="6"/>
  <c r="D7" i="6"/>
  <c r="B7" i="6"/>
  <c r="I6" i="6"/>
  <c r="D6" i="6"/>
  <c r="B6" i="6"/>
  <c r="T5" i="6"/>
  <c r="I5" i="6"/>
  <c r="I3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E69" i="4"/>
  <c r="D69" i="4"/>
  <c r="B69" i="4"/>
  <c r="D68" i="4"/>
  <c r="E68" i="4" s="1"/>
  <c r="B68" i="4"/>
  <c r="E67" i="4"/>
  <c r="D67" i="4"/>
  <c r="B67" i="4"/>
  <c r="E66" i="4"/>
  <c r="D66" i="4"/>
  <c r="B66" i="4"/>
  <c r="E65" i="4"/>
  <c r="D65" i="4"/>
  <c r="B65" i="4"/>
  <c r="D64" i="4"/>
  <c r="E64" i="4" s="1"/>
  <c r="B64" i="4"/>
  <c r="F63" i="4"/>
  <c r="G63" i="4" s="1"/>
  <c r="E63" i="4"/>
  <c r="D63" i="4"/>
  <c r="B63" i="4"/>
  <c r="E62" i="4"/>
  <c r="D62" i="4"/>
  <c r="B62" i="4"/>
  <c r="E61" i="4"/>
  <c r="D61" i="4"/>
  <c r="B61" i="4"/>
  <c r="D60" i="4"/>
  <c r="E60" i="4" s="1"/>
  <c r="B60" i="4"/>
  <c r="E59" i="4"/>
  <c r="D59" i="4"/>
  <c r="B59" i="4"/>
  <c r="E58" i="4"/>
  <c r="D58" i="4"/>
  <c r="B58" i="4"/>
  <c r="E57" i="4"/>
  <c r="D57" i="4"/>
  <c r="B57" i="4"/>
  <c r="D56" i="4"/>
  <c r="E56" i="4" s="1"/>
  <c r="B56" i="4"/>
  <c r="F55" i="4"/>
  <c r="G55" i="4" s="1"/>
  <c r="E55" i="4"/>
  <c r="D55" i="4"/>
  <c r="B55" i="4"/>
  <c r="E54" i="4"/>
  <c r="D54" i="4"/>
  <c r="B54" i="4"/>
  <c r="E53" i="4"/>
  <c r="D53" i="4"/>
  <c r="B53" i="4"/>
  <c r="D52" i="4"/>
  <c r="E52" i="4" s="1"/>
  <c r="B52" i="4"/>
  <c r="F51" i="4"/>
  <c r="G51" i="4" s="1"/>
  <c r="E51" i="4"/>
  <c r="D51" i="4"/>
  <c r="B51" i="4"/>
  <c r="E50" i="4"/>
  <c r="D50" i="4"/>
  <c r="B50" i="4"/>
  <c r="E49" i="4"/>
  <c r="D49" i="4"/>
  <c r="B49" i="4"/>
  <c r="D48" i="4"/>
  <c r="E48" i="4" s="1"/>
  <c r="B48" i="4"/>
  <c r="F47" i="4"/>
  <c r="G47" i="4" s="1"/>
  <c r="E47" i="4"/>
  <c r="D47" i="4"/>
  <c r="B47" i="4"/>
  <c r="E46" i="4"/>
  <c r="D46" i="4"/>
  <c r="B46" i="4"/>
  <c r="E45" i="4"/>
  <c r="D45" i="4"/>
  <c r="B45" i="4"/>
  <c r="D44" i="4"/>
  <c r="E44" i="4" s="1"/>
  <c r="F44" i="4" s="1"/>
  <c r="G44" i="4" s="1"/>
  <c r="B44" i="4"/>
  <c r="F43" i="4"/>
  <c r="G43" i="4" s="1"/>
  <c r="E43" i="4"/>
  <c r="D43" i="4"/>
  <c r="B43" i="4"/>
  <c r="E42" i="4"/>
  <c r="F42" i="4" s="1"/>
  <c r="G42" i="4" s="1"/>
  <c r="D42" i="4"/>
  <c r="B42" i="4"/>
  <c r="E41" i="4"/>
  <c r="D41" i="4"/>
  <c r="B41" i="4"/>
  <c r="D40" i="4"/>
  <c r="E40" i="4" s="1"/>
  <c r="F40" i="4" s="1"/>
  <c r="G40" i="4" s="1"/>
  <c r="B40" i="4"/>
  <c r="F39" i="4"/>
  <c r="G39" i="4" s="1"/>
  <c r="E39" i="4"/>
  <c r="D39" i="4"/>
  <c r="B39" i="4"/>
  <c r="E38" i="4"/>
  <c r="D38" i="4"/>
  <c r="B38" i="4"/>
  <c r="E37" i="4"/>
  <c r="D37" i="4"/>
  <c r="B37" i="4"/>
  <c r="F36" i="4"/>
  <c r="G36" i="4" s="1"/>
  <c r="D36" i="4"/>
  <c r="E36" i="4" s="1"/>
  <c r="B36" i="4"/>
  <c r="F35" i="4"/>
  <c r="G35" i="4" s="1"/>
  <c r="E35" i="4"/>
  <c r="D35" i="4"/>
  <c r="B35" i="4"/>
  <c r="E34" i="4"/>
  <c r="D34" i="4"/>
  <c r="B34" i="4"/>
  <c r="E33" i="4"/>
  <c r="D33" i="4"/>
  <c r="B33" i="4"/>
  <c r="F32" i="4"/>
  <c r="G32" i="4" s="1"/>
  <c r="D32" i="4"/>
  <c r="E32" i="4" s="1"/>
  <c r="B32" i="4"/>
  <c r="F31" i="4"/>
  <c r="G31" i="4" s="1"/>
  <c r="E31" i="4"/>
  <c r="D31" i="4"/>
  <c r="B31" i="4"/>
  <c r="I30" i="4"/>
  <c r="E30" i="4"/>
  <c r="F30" i="4" s="1"/>
  <c r="G30" i="4" s="1"/>
  <c r="D30" i="4"/>
  <c r="B30" i="4"/>
  <c r="E29" i="4"/>
  <c r="D29" i="4"/>
  <c r="B29" i="4"/>
  <c r="D28" i="4"/>
  <c r="E28" i="4" s="1"/>
  <c r="F28" i="4" s="1"/>
  <c r="G28" i="4" s="1"/>
  <c r="B28" i="4"/>
  <c r="F27" i="4"/>
  <c r="G27" i="4" s="1"/>
  <c r="E27" i="4"/>
  <c r="D27" i="4"/>
  <c r="B27" i="4"/>
  <c r="E26" i="4"/>
  <c r="F26" i="4" s="1"/>
  <c r="G26" i="4" s="1"/>
  <c r="D26" i="4"/>
  <c r="B26" i="4"/>
  <c r="E25" i="4"/>
  <c r="D25" i="4"/>
  <c r="B25" i="4"/>
  <c r="D24" i="4"/>
  <c r="E24" i="4" s="1"/>
  <c r="F24" i="4" s="1"/>
  <c r="G24" i="4" s="1"/>
  <c r="B24" i="4"/>
  <c r="E23" i="4"/>
  <c r="D23" i="4"/>
  <c r="B23" i="4"/>
  <c r="E22" i="4"/>
  <c r="F22" i="4" s="1"/>
  <c r="G22" i="4" s="1"/>
  <c r="D22" i="4"/>
  <c r="B22" i="4"/>
  <c r="E21" i="4"/>
  <c r="D21" i="4"/>
  <c r="B21" i="4"/>
  <c r="F20" i="4"/>
  <c r="G20" i="4" s="1"/>
  <c r="D20" i="4"/>
  <c r="E20" i="4" s="1"/>
  <c r="B20" i="4"/>
  <c r="I19" i="4"/>
  <c r="E19" i="4"/>
  <c r="D19" i="4"/>
  <c r="B19" i="4"/>
  <c r="F18" i="4"/>
  <c r="G18" i="4" s="1"/>
  <c r="E18" i="4"/>
  <c r="D18" i="4"/>
  <c r="B18" i="4"/>
  <c r="F17" i="4"/>
  <c r="G17" i="4" s="1"/>
  <c r="E17" i="4"/>
  <c r="D17" i="4"/>
  <c r="B17" i="4"/>
  <c r="D16" i="4"/>
  <c r="E16" i="4" s="1"/>
  <c r="F16" i="4" s="1"/>
  <c r="G16" i="4" s="1"/>
  <c r="B16" i="4"/>
  <c r="F15" i="4"/>
  <c r="G15" i="4" s="1"/>
  <c r="E15" i="4"/>
  <c r="D15" i="4"/>
  <c r="B15" i="4"/>
  <c r="E14" i="4"/>
  <c r="F14" i="4" s="1"/>
  <c r="G14" i="4" s="1"/>
  <c r="D14" i="4"/>
  <c r="B14" i="4"/>
  <c r="E13" i="4"/>
  <c r="F13" i="4" s="1"/>
  <c r="G13" i="4" s="1"/>
  <c r="D13" i="4"/>
  <c r="B13" i="4"/>
  <c r="D12" i="4"/>
  <c r="E12" i="4" s="1"/>
  <c r="F12" i="4" s="1"/>
  <c r="G12" i="4" s="1"/>
  <c r="B12" i="4"/>
  <c r="I11" i="4"/>
  <c r="F11" i="4"/>
  <c r="G11" i="4" s="1"/>
  <c r="E11" i="4"/>
  <c r="D11" i="4"/>
  <c r="B11" i="4"/>
  <c r="E10" i="4"/>
  <c r="F10" i="4" s="1"/>
  <c r="G10" i="4" s="1"/>
  <c r="D10" i="4"/>
  <c r="B10" i="4"/>
  <c r="D9" i="4"/>
  <c r="E9" i="4" s="1"/>
  <c r="F9" i="4" s="1"/>
  <c r="G9" i="4" s="1"/>
  <c r="B9" i="4"/>
  <c r="D8" i="4"/>
  <c r="E8" i="4" s="1"/>
  <c r="B8" i="4"/>
  <c r="T7" i="4"/>
  <c r="I58" i="4" s="1"/>
  <c r="F7" i="4"/>
  <c r="G7" i="4" s="1"/>
  <c r="D7" i="4"/>
  <c r="E7" i="4" s="1"/>
  <c r="B7" i="4"/>
  <c r="F6" i="4"/>
  <c r="E6" i="4"/>
  <c r="D6" i="4"/>
  <c r="B6" i="4"/>
  <c r="T5" i="4"/>
  <c r="I3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D69" i="2"/>
  <c r="E69" i="2" s="1"/>
  <c r="B69" i="2"/>
  <c r="E68" i="2"/>
  <c r="D68" i="2"/>
  <c r="B68" i="2"/>
  <c r="E67" i="2"/>
  <c r="D67" i="2"/>
  <c r="B67" i="2"/>
  <c r="G66" i="2"/>
  <c r="E66" i="2"/>
  <c r="F66" i="2" s="1"/>
  <c r="D66" i="2"/>
  <c r="B66" i="2"/>
  <c r="D65" i="2"/>
  <c r="E65" i="2" s="1"/>
  <c r="B65" i="2"/>
  <c r="K64" i="2"/>
  <c r="F64" i="2"/>
  <c r="G64" i="2" s="1"/>
  <c r="E64" i="2"/>
  <c r="D64" i="2"/>
  <c r="B64" i="2"/>
  <c r="E63" i="2"/>
  <c r="D63" i="2"/>
  <c r="B63" i="2"/>
  <c r="E62" i="2"/>
  <c r="D62" i="2"/>
  <c r="B62" i="2"/>
  <c r="D61" i="2"/>
  <c r="E61" i="2" s="1"/>
  <c r="B61" i="2"/>
  <c r="K60" i="2"/>
  <c r="E60" i="2"/>
  <c r="D60" i="2"/>
  <c r="B60" i="2"/>
  <c r="K59" i="2"/>
  <c r="E59" i="2"/>
  <c r="F59" i="2" s="1"/>
  <c r="G59" i="2" s="1"/>
  <c r="D59" i="2"/>
  <c r="B59" i="2"/>
  <c r="D58" i="2"/>
  <c r="E58" i="2" s="1"/>
  <c r="B58" i="2"/>
  <c r="D57" i="2"/>
  <c r="E57" i="2" s="1"/>
  <c r="F57" i="2" s="1"/>
  <c r="G57" i="2" s="1"/>
  <c r="B57" i="2"/>
  <c r="E56" i="2"/>
  <c r="D56" i="2"/>
  <c r="B56" i="2"/>
  <c r="K55" i="2"/>
  <c r="E55" i="2"/>
  <c r="D55" i="2"/>
  <c r="B55" i="2"/>
  <c r="D54" i="2"/>
  <c r="E54" i="2" s="1"/>
  <c r="B54" i="2"/>
  <c r="D53" i="2"/>
  <c r="E53" i="2" s="1"/>
  <c r="B53" i="2"/>
  <c r="E52" i="2"/>
  <c r="D52" i="2"/>
  <c r="B52" i="2"/>
  <c r="E51" i="2"/>
  <c r="D51" i="2"/>
  <c r="B51" i="2"/>
  <c r="D50" i="2"/>
  <c r="E50" i="2" s="1"/>
  <c r="F50" i="2" s="1"/>
  <c r="G50" i="2" s="1"/>
  <c r="B50" i="2"/>
  <c r="F49" i="2"/>
  <c r="G49" i="2" s="1"/>
  <c r="D49" i="2"/>
  <c r="E49" i="2" s="1"/>
  <c r="B49" i="2"/>
  <c r="K48" i="2"/>
  <c r="E48" i="2"/>
  <c r="D48" i="2"/>
  <c r="B48" i="2"/>
  <c r="K47" i="2"/>
  <c r="G47" i="2"/>
  <c r="E47" i="2"/>
  <c r="F47" i="2" s="1"/>
  <c r="D47" i="2"/>
  <c r="B47" i="2"/>
  <c r="E46" i="2"/>
  <c r="D46" i="2"/>
  <c r="B46" i="2"/>
  <c r="K45" i="2"/>
  <c r="D45" i="2"/>
  <c r="E45" i="2" s="1"/>
  <c r="B45" i="2"/>
  <c r="F44" i="2"/>
  <c r="G44" i="2" s="1"/>
  <c r="E44" i="2"/>
  <c r="D44" i="2"/>
  <c r="B44" i="2"/>
  <c r="E43" i="2"/>
  <c r="D43" i="2"/>
  <c r="B43" i="2"/>
  <c r="D42" i="2"/>
  <c r="E42" i="2" s="1"/>
  <c r="B42" i="2"/>
  <c r="D41" i="2"/>
  <c r="E41" i="2" s="1"/>
  <c r="B41" i="2"/>
  <c r="E40" i="2"/>
  <c r="D40" i="2"/>
  <c r="B40" i="2"/>
  <c r="K39" i="2"/>
  <c r="D39" i="2"/>
  <c r="E39" i="2" s="1"/>
  <c r="B39" i="2"/>
  <c r="D38" i="2"/>
  <c r="E38" i="2" s="1"/>
  <c r="B38" i="2"/>
  <c r="D37" i="2"/>
  <c r="E37" i="2" s="1"/>
  <c r="B37" i="2"/>
  <c r="K36" i="2"/>
  <c r="F36" i="2"/>
  <c r="G36" i="2" s="1"/>
  <c r="E36" i="2"/>
  <c r="D36" i="2"/>
  <c r="B36" i="2"/>
  <c r="D35" i="2"/>
  <c r="E35" i="2" s="1"/>
  <c r="B35" i="2"/>
  <c r="E34" i="2"/>
  <c r="D34" i="2"/>
  <c r="B34" i="2"/>
  <c r="K33" i="2"/>
  <c r="D33" i="2"/>
  <c r="E33" i="2" s="1"/>
  <c r="F33" i="2" s="1"/>
  <c r="G33" i="2" s="1"/>
  <c r="B33" i="2"/>
  <c r="K32" i="2"/>
  <c r="F32" i="2"/>
  <c r="G32" i="2" s="1"/>
  <c r="E32" i="2"/>
  <c r="D32" i="2"/>
  <c r="B32" i="2"/>
  <c r="K31" i="2"/>
  <c r="E31" i="2"/>
  <c r="D31" i="2"/>
  <c r="B31" i="2"/>
  <c r="D30" i="2"/>
  <c r="E30" i="2" s="1"/>
  <c r="F30" i="2" s="1"/>
  <c r="G30" i="2" s="1"/>
  <c r="B30" i="2"/>
  <c r="K29" i="2"/>
  <c r="D29" i="2"/>
  <c r="E29" i="2" s="1"/>
  <c r="B29" i="2"/>
  <c r="K28" i="2"/>
  <c r="I28" i="2"/>
  <c r="E28" i="2"/>
  <c r="D28" i="2"/>
  <c r="B28" i="2"/>
  <c r="K27" i="2"/>
  <c r="F27" i="2"/>
  <c r="G27" i="2" s="1"/>
  <c r="E27" i="2"/>
  <c r="D27" i="2"/>
  <c r="B27" i="2"/>
  <c r="D26" i="2"/>
  <c r="E26" i="2" s="1"/>
  <c r="B26" i="2"/>
  <c r="K25" i="2"/>
  <c r="D25" i="2"/>
  <c r="E25" i="2" s="1"/>
  <c r="B25" i="2"/>
  <c r="I24" i="2"/>
  <c r="E24" i="2"/>
  <c r="D24" i="2"/>
  <c r="B24" i="2"/>
  <c r="D23" i="2"/>
  <c r="E23" i="2" s="1"/>
  <c r="B23" i="2"/>
  <c r="D22" i="2"/>
  <c r="E22" i="2" s="1"/>
  <c r="F22" i="2" s="1"/>
  <c r="G22" i="2" s="1"/>
  <c r="B22" i="2"/>
  <c r="D21" i="2"/>
  <c r="E21" i="2" s="1"/>
  <c r="B21" i="2"/>
  <c r="K20" i="2"/>
  <c r="E20" i="2"/>
  <c r="D20" i="2"/>
  <c r="B20" i="2"/>
  <c r="K19" i="2"/>
  <c r="F19" i="2"/>
  <c r="G19" i="2" s="1"/>
  <c r="D19" i="2"/>
  <c r="E19" i="2" s="1"/>
  <c r="B19" i="2"/>
  <c r="D18" i="2"/>
  <c r="E18" i="2" s="1"/>
  <c r="B18" i="2"/>
  <c r="U17" i="2"/>
  <c r="D17" i="2"/>
  <c r="E17" i="2" s="1"/>
  <c r="B17" i="2"/>
  <c r="U16" i="2"/>
  <c r="U18" i="2" s="1"/>
  <c r="K16" i="2"/>
  <c r="I16" i="2"/>
  <c r="D16" i="2"/>
  <c r="E16" i="2" s="1"/>
  <c r="B16" i="2"/>
  <c r="I15" i="2"/>
  <c r="E15" i="2"/>
  <c r="D15" i="2"/>
  <c r="B15" i="2"/>
  <c r="U14" i="2"/>
  <c r="K14" i="2"/>
  <c r="F14" i="2"/>
  <c r="G14" i="2" s="1"/>
  <c r="D14" i="2"/>
  <c r="E14" i="2" s="1"/>
  <c r="B14" i="2"/>
  <c r="K13" i="2"/>
  <c r="E13" i="2"/>
  <c r="D13" i="2"/>
  <c r="B13" i="2"/>
  <c r="K12" i="2"/>
  <c r="D12" i="2"/>
  <c r="E12" i="2" s="1"/>
  <c r="B12" i="2"/>
  <c r="D11" i="2"/>
  <c r="E11" i="2" s="1"/>
  <c r="B11" i="2"/>
  <c r="K10" i="2"/>
  <c r="E10" i="2"/>
  <c r="D10" i="2"/>
  <c r="B10" i="2"/>
  <c r="D9" i="2"/>
  <c r="E9" i="2" s="1"/>
  <c r="F9" i="2" s="1"/>
  <c r="G9" i="2" s="1"/>
  <c r="B9" i="2"/>
  <c r="E8" i="2"/>
  <c r="D8" i="2"/>
  <c r="B8" i="2"/>
  <c r="U7" i="2"/>
  <c r="I55" i="2" s="1"/>
  <c r="K7" i="2"/>
  <c r="E7" i="2"/>
  <c r="D7" i="2"/>
  <c r="B7" i="2"/>
  <c r="K6" i="2"/>
  <c r="F6" i="2"/>
  <c r="D6" i="2"/>
  <c r="E6" i="2" s="1"/>
  <c r="B6" i="2"/>
  <c r="U5" i="2"/>
  <c r="U4" i="2"/>
  <c r="K24" i="2" s="1"/>
  <c r="H2" i="1"/>
  <c r="G2" i="1"/>
  <c r="O70" i="10"/>
  <c r="N70" i="10"/>
  <c r="M70" i="10"/>
  <c r="L70" i="10"/>
  <c r="H70" i="10"/>
  <c r="C70" i="10"/>
  <c r="F55" i="10" s="1"/>
  <c r="G55" i="10" s="1"/>
  <c r="J55" i="10" s="1"/>
  <c r="I69" i="10"/>
  <c r="E69" i="10"/>
  <c r="D69" i="10"/>
  <c r="B69" i="10"/>
  <c r="D68" i="10"/>
  <c r="E68" i="10" s="1"/>
  <c r="B68" i="10"/>
  <c r="D67" i="10"/>
  <c r="E67" i="10" s="1"/>
  <c r="B67" i="10"/>
  <c r="I66" i="10"/>
  <c r="E66" i="10"/>
  <c r="D66" i="10"/>
  <c r="B66" i="10"/>
  <c r="I65" i="10"/>
  <c r="D65" i="10"/>
  <c r="E65" i="10" s="1"/>
  <c r="B65" i="10"/>
  <c r="D64" i="10"/>
  <c r="E64" i="10" s="1"/>
  <c r="B64" i="10"/>
  <c r="I63" i="10"/>
  <c r="D63" i="10"/>
  <c r="E63" i="10" s="1"/>
  <c r="B63" i="10"/>
  <c r="I62" i="10"/>
  <c r="D62" i="10"/>
  <c r="E62" i="10" s="1"/>
  <c r="B62" i="10"/>
  <c r="D61" i="10"/>
  <c r="E61" i="10" s="1"/>
  <c r="B61" i="10"/>
  <c r="D60" i="10"/>
  <c r="E60" i="10" s="1"/>
  <c r="B60" i="10"/>
  <c r="I59" i="10"/>
  <c r="D59" i="10"/>
  <c r="E59" i="10" s="1"/>
  <c r="B59" i="10"/>
  <c r="E58" i="10"/>
  <c r="D58" i="10"/>
  <c r="B58" i="10"/>
  <c r="I57" i="10"/>
  <c r="E57" i="10"/>
  <c r="D57" i="10"/>
  <c r="B57" i="10"/>
  <c r="D56" i="10"/>
  <c r="E56" i="10" s="1"/>
  <c r="B56" i="10"/>
  <c r="D55" i="10"/>
  <c r="E55" i="10" s="1"/>
  <c r="B55" i="10"/>
  <c r="D54" i="10"/>
  <c r="E54" i="10" s="1"/>
  <c r="B54" i="10"/>
  <c r="I53" i="10"/>
  <c r="E53" i="10"/>
  <c r="D53" i="10"/>
  <c r="B53" i="10"/>
  <c r="F52" i="10"/>
  <c r="D52" i="10"/>
  <c r="E52" i="10" s="1"/>
  <c r="B52" i="10"/>
  <c r="D51" i="10"/>
  <c r="E51" i="10" s="1"/>
  <c r="B51" i="10"/>
  <c r="I50" i="10"/>
  <c r="D50" i="10"/>
  <c r="E50" i="10" s="1"/>
  <c r="B50" i="10"/>
  <c r="D49" i="10"/>
  <c r="E49" i="10" s="1"/>
  <c r="B49" i="10"/>
  <c r="D48" i="10"/>
  <c r="E48" i="10" s="1"/>
  <c r="B48" i="10"/>
  <c r="I47" i="10"/>
  <c r="D47" i="10"/>
  <c r="E47" i="10" s="1"/>
  <c r="B47" i="10"/>
  <c r="I46" i="10"/>
  <c r="D46" i="10"/>
  <c r="E46" i="10" s="1"/>
  <c r="B46" i="10"/>
  <c r="I45" i="10"/>
  <c r="D45" i="10"/>
  <c r="E45" i="10" s="1"/>
  <c r="B45" i="10"/>
  <c r="D44" i="10"/>
  <c r="E44" i="10" s="1"/>
  <c r="B44" i="10"/>
  <c r="I43" i="10"/>
  <c r="D43" i="10"/>
  <c r="E43" i="10" s="1"/>
  <c r="F43" i="10" s="1"/>
  <c r="G43" i="10" s="1"/>
  <c r="J43" i="10" s="1"/>
  <c r="B43" i="10"/>
  <c r="E42" i="10"/>
  <c r="D42" i="10"/>
  <c r="B42" i="10"/>
  <c r="I41" i="10"/>
  <c r="E41" i="10"/>
  <c r="D41" i="10"/>
  <c r="B41" i="10"/>
  <c r="E40" i="10"/>
  <c r="D40" i="10"/>
  <c r="B40" i="10"/>
  <c r="D39" i="10"/>
  <c r="E39" i="10" s="1"/>
  <c r="B39" i="10"/>
  <c r="D38" i="10"/>
  <c r="E38" i="10" s="1"/>
  <c r="B38" i="10"/>
  <c r="I37" i="10"/>
  <c r="E37" i="10"/>
  <c r="D37" i="10"/>
  <c r="B37" i="10"/>
  <c r="D36" i="10"/>
  <c r="E36" i="10" s="1"/>
  <c r="B36" i="10"/>
  <c r="D35" i="10"/>
  <c r="E35" i="10" s="1"/>
  <c r="B35" i="10"/>
  <c r="I34" i="10"/>
  <c r="D34" i="10"/>
  <c r="E34" i="10" s="1"/>
  <c r="B34" i="10"/>
  <c r="I33" i="10"/>
  <c r="E33" i="10"/>
  <c r="D33" i="10"/>
  <c r="B33" i="10"/>
  <c r="E32" i="10"/>
  <c r="D32" i="10"/>
  <c r="B32" i="10"/>
  <c r="D31" i="10"/>
  <c r="E31" i="10" s="1"/>
  <c r="B31" i="10"/>
  <c r="I30" i="10"/>
  <c r="D30" i="10"/>
  <c r="E30" i="10" s="1"/>
  <c r="B30" i="10"/>
  <c r="I29" i="10"/>
  <c r="D29" i="10"/>
  <c r="E29" i="10" s="1"/>
  <c r="B29" i="10"/>
  <c r="E28" i="10"/>
  <c r="D28" i="10"/>
  <c r="B28" i="10"/>
  <c r="D27" i="10"/>
  <c r="E27" i="10" s="1"/>
  <c r="B27" i="10"/>
  <c r="I26" i="10"/>
  <c r="D26" i="10"/>
  <c r="E26" i="10" s="1"/>
  <c r="B26" i="10"/>
  <c r="I25" i="10"/>
  <c r="E25" i="10"/>
  <c r="D25" i="10"/>
  <c r="B25" i="10"/>
  <c r="E24" i="10"/>
  <c r="D24" i="10"/>
  <c r="B24" i="10"/>
  <c r="D23" i="10"/>
  <c r="E23" i="10" s="1"/>
  <c r="B23" i="10"/>
  <c r="I22" i="10"/>
  <c r="D22" i="10"/>
  <c r="E22" i="10" s="1"/>
  <c r="F22" i="10" s="1"/>
  <c r="G22" i="10" s="1"/>
  <c r="J22" i="10" s="1"/>
  <c r="B22" i="10"/>
  <c r="I21" i="10"/>
  <c r="D21" i="10"/>
  <c r="E21" i="10" s="1"/>
  <c r="B21" i="10"/>
  <c r="I20" i="10"/>
  <c r="D20" i="10"/>
  <c r="E20" i="10" s="1"/>
  <c r="B20" i="10"/>
  <c r="D19" i="10"/>
  <c r="E19" i="10" s="1"/>
  <c r="B19" i="10"/>
  <c r="I18" i="10"/>
  <c r="D18" i="10"/>
  <c r="E18" i="10" s="1"/>
  <c r="B18" i="10"/>
  <c r="I17" i="10"/>
  <c r="E17" i="10"/>
  <c r="D17" i="10"/>
  <c r="B17" i="10"/>
  <c r="T16" i="10"/>
  <c r="T17" i="10" s="1"/>
  <c r="I16" i="10"/>
  <c r="D16" i="10"/>
  <c r="E16" i="10" s="1"/>
  <c r="B16" i="10"/>
  <c r="E15" i="10"/>
  <c r="D15" i="10"/>
  <c r="B15" i="10"/>
  <c r="D14" i="10"/>
  <c r="E14" i="10" s="1"/>
  <c r="B14" i="10"/>
  <c r="I13" i="10"/>
  <c r="D13" i="10"/>
  <c r="E13" i="10" s="1"/>
  <c r="B13" i="10"/>
  <c r="I12" i="10"/>
  <c r="D12" i="10"/>
  <c r="E12" i="10" s="1"/>
  <c r="B12" i="10"/>
  <c r="I11" i="10"/>
  <c r="D11" i="10"/>
  <c r="E11" i="10" s="1"/>
  <c r="B11" i="10"/>
  <c r="D10" i="10"/>
  <c r="E10" i="10" s="1"/>
  <c r="B10" i="10"/>
  <c r="T9" i="10"/>
  <c r="I9" i="10"/>
  <c r="E9" i="10"/>
  <c r="D9" i="10"/>
  <c r="B9" i="10"/>
  <c r="T8" i="10"/>
  <c r="I8" i="10"/>
  <c r="D8" i="10"/>
  <c r="E8" i="10" s="1"/>
  <c r="F8" i="10" s="1"/>
  <c r="G8" i="10" s="1"/>
  <c r="J8" i="10" s="1"/>
  <c r="B8" i="10"/>
  <c r="T7" i="10"/>
  <c r="I55" i="10" s="1"/>
  <c r="I7" i="10"/>
  <c r="D7" i="10"/>
  <c r="E7" i="10" s="1"/>
  <c r="F7" i="10" s="1"/>
  <c r="G7" i="10" s="1"/>
  <c r="J7" i="10" s="1"/>
  <c r="B7" i="10"/>
  <c r="I6" i="10"/>
  <c r="D6" i="10"/>
  <c r="B6" i="10"/>
  <c r="T5" i="10"/>
  <c r="I5" i="10"/>
  <c r="I3" i="10"/>
  <c r="U5" i="27"/>
  <c r="E39" i="27"/>
  <c r="U32" i="27"/>
  <c r="I29" i="27"/>
  <c r="AC3" i="27"/>
  <c r="M47" i="27"/>
  <c r="AG4" i="27"/>
  <c r="F40" i="27"/>
  <c r="F41" i="27"/>
  <c r="E34" i="27"/>
  <c r="Q12" i="27"/>
  <c r="F27" i="27"/>
  <c r="AC22" i="27"/>
  <c r="AC21" i="27"/>
  <c r="Y53" i="27"/>
  <c r="AC26" i="27"/>
  <c r="AG36" i="27"/>
  <c r="AG27" i="27"/>
  <c r="I42" i="27"/>
  <c r="I7" i="27"/>
  <c r="AK22" i="27"/>
  <c r="AK33" i="27"/>
  <c r="AG20" i="27"/>
  <c r="U66" i="27"/>
  <c r="M15" i="27"/>
  <c r="E9" i="27"/>
  <c r="AG10" i="27"/>
  <c r="U59" i="27"/>
  <c r="M51" i="27"/>
  <c r="AC38" i="27"/>
  <c r="U53" i="27"/>
  <c r="AK3" i="27"/>
  <c r="AC8" i="27"/>
  <c r="AG6" i="27"/>
  <c r="M6" i="27"/>
  <c r="F29" i="27"/>
  <c r="M37" i="27"/>
  <c r="AK7" i="27"/>
  <c r="I22" i="27"/>
  <c r="AK18" i="27"/>
  <c r="Y57" i="27"/>
  <c r="Q26" i="27"/>
  <c r="E35" i="27"/>
  <c r="AC44" i="27"/>
  <c r="AG62" i="27"/>
  <c r="AC5" i="27"/>
  <c r="M64" i="27"/>
  <c r="M17" i="27"/>
  <c r="Q55" i="27"/>
  <c r="E26" i="27"/>
  <c r="M41" i="27"/>
  <c r="U24" i="27"/>
  <c r="Q16" i="27"/>
  <c r="AG56" i="27"/>
  <c r="AG51" i="27"/>
  <c r="Y5" i="27"/>
  <c r="F30" i="27"/>
  <c r="AG8" i="27"/>
  <c r="Y26" i="27"/>
  <c r="AG15" i="27"/>
  <c r="U10" i="27"/>
  <c r="M13" i="27"/>
  <c r="M26" i="27"/>
  <c r="Y19" i="27"/>
  <c r="E37" i="27"/>
  <c r="AK26" i="27"/>
  <c r="Y58" i="27"/>
  <c r="M57" i="27"/>
  <c r="AG40" i="27"/>
  <c r="AC32" i="27"/>
  <c r="Q7" i="27"/>
  <c r="AK47" i="27"/>
  <c r="U47" i="27"/>
  <c r="E66" i="27"/>
  <c r="AG49" i="27"/>
  <c r="Q36" i="27"/>
  <c r="I30" i="27"/>
  <c r="Q20" i="27"/>
  <c r="AC54" i="27"/>
  <c r="AG24" i="27"/>
  <c r="U55" i="27"/>
  <c r="AK5" i="27"/>
  <c r="Y31" i="27"/>
  <c r="Q3" i="27"/>
  <c r="I15" i="27"/>
  <c r="F9" i="27"/>
  <c r="AG31" i="27"/>
  <c r="F55" i="27"/>
  <c r="Y47" i="27"/>
  <c r="U22" i="27"/>
  <c r="AK31" i="27"/>
  <c r="I16" i="27"/>
  <c r="AK46" i="27"/>
  <c r="AG37" i="27"/>
  <c r="AG55" i="27"/>
  <c r="AC18" i="27"/>
  <c r="F25" i="27"/>
  <c r="M28" i="27"/>
  <c r="E17" i="27"/>
  <c r="F8" i="27"/>
  <c r="AK51" i="27"/>
  <c r="Y8" i="27"/>
  <c r="I53" i="27"/>
  <c r="E14" i="27"/>
  <c r="AG22" i="27"/>
  <c r="I3" i="27"/>
  <c r="F56" i="27"/>
  <c r="U49" i="27"/>
  <c r="Q19" i="27"/>
  <c r="AG52" i="27"/>
  <c r="Y12" i="27"/>
  <c r="AG57" i="27"/>
  <c r="Y17" i="27"/>
  <c r="AG25" i="27"/>
  <c r="I12" i="27"/>
  <c r="AK10" i="27"/>
  <c r="F13" i="27"/>
  <c r="Y14" i="27"/>
  <c r="AC53" i="27"/>
  <c r="Y4" i="27"/>
  <c r="F10" i="27"/>
  <c r="M60" i="27"/>
  <c r="E29" i="27"/>
  <c r="Q15" i="27"/>
  <c r="M63" i="27"/>
  <c r="I64" i="27"/>
  <c r="AK29" i="27"/>
  <c r="M16" i="27"/>
  <c r="Y51" i="27"/>
  <c r="AK65" i="27"/>
  <c r="Q35" i="27"/>
  <c r="AC14" i="27"/>
  <c r="Y28" i="27"/>
  <c r="Y13" i="27"/>
  <c r="AG14" i="27"/>
  <c r="AG5" i="27"/>
  <c r="U18" i="27"/>
  <c r="Y24" i="27"/>
  <c r="U34" i="27"/>
  <c r="E54" i="27"/>
  <c r="F5" i="27"/>
  <c r="Q43" i="27"/>
  <c r="E57" i="27"/>
  <c r="AC40" i="27"/>
  <c r="I26" i="27"/>
  <c r="U65" i="27"/>
  <c r="Y44" i="27"/>
  <c r="E15" i="27"/>
  <c r="I46" i="27"/>
  <c r="Y60" i="27"/>
  <c r="M7" i="27"/>
  <c r="Y56" i="27"/>
  <c r="AK27" i="27"/>
  <c r="Q13" i="27"/>
  <c r="F65" i="27"/>
  <c r="AG29" i="27"/>
  <c r="Q25" i="27"/>
  <c r="AK40" i="27"/>
  <c r="I39" i="27"/>
  <c r="AK28" i="27"/>
  <c r="AK61" i="27"/>
  <c r="E59" i="27"/>
  <c r="AC42" i="27"/>
  <c r="I58" i="27"/>
  <c r="U51" i="27"/>
  <c r="I47" i="27"/>
  <c r="U35" i="27"/>
  <c r="AK57" i="27"/>
  <c r="Y54" i="27"/>
  <c r="U43" i="27"/>
  <c r="AC9" i="27"/>
  <c r="Q11" i="27"/>
  <c r="U9" i="27"/>
  <c r="F48" i="27"/>
  <c r="Y40" i="27"/>
  <c r="E32" i="27"/>
  <c r="Q38" i="27"/>
  <c r="Y30" i="27"/>
  <c r="U42" i="27"/>
  <c r="U64" i="27"/>
  <c r="AK50" i="27"/>
  <c r="U6" i="27"/>
  <c r="U13" i="27"/>
  <c r="Y29" i="27"/>
  <c r="Y22" i="27"/>
  <c r="Q64" i="27"/>
  <c r="Q22" i="27"/>
  <c r="F47" i="27"/>
  <c r="Y62" i="27"/>
  <c r="F17" i="27"/>
  <c r="F3" i="27"/>
  <c r="Q51" i="27"/>
  <c r="F19" i="27"/>
  <c r="Q60" i="27"/>
  <c r="AG61" i="27"/>
  <c r="I60" i="27"/>
  <c r="Q29" i="27"/>
  <c r="AC11" i="27"/>
  <c r="E11" i="27"/>
  <c r="AC39" i="27"/>
  <c r="E44" i="27"/>
  <c r="Y59" i="27"/>
  <c r="AC13" i="27"/>
  <c r="Q65" i="27"/>
  <c r="AG53" i="27"/>
  <c r="AG17" i="27"/>
  <c r="U12" i="27"/>
  <c r="F66" i="27"/>
  <c r="Y61" i="27"/>
  <c r="I19" i="27"/>
  <c r="AC55" i="27"/>
  <c r="I62" i="27"/>
  <c r="F35" i="27"/>
  <c r="Q40" i="27"/>
  <c r="AK11" i="27"/>
  <c r="AC4" i="27"/>
  <c r="AG41" i="27"/>
  <c r="U40" i="27"/>
  <c r="U21" i="27"/>
  <c r="AG11" i="27"/>
  <c r="M45" i="27"/>
  <c r="I23" i="27"/>
  <c r="E12" i="27"/>
  <c r="AK16" i="27"/>
  <c r="AG26" i="27"/>
  <c r="Y41" i="27"/>
  <c r="Q56" i="27"/>
  <c r="Q4" i="27"/>
  <c r="E10" i="27"/>
  <c r="Q6" i="27"/>
  <c r="M10" i="27"/>
  <c r="I54" i="27"/>
  <c r="AK23" i="27"/>
  <c r="M3" i="27"/>
  <c r="AG32" i="27"/>
  <c r="AK8" i="27"/>
  <c r="Q27" i="27"/>
  <c r="I38" i="27"/>
  <c r="AG35" i="27"/>
  <c r="AK43" i="27"/>
  <c r="AC33" i="27"/>
  <c r="AG42" i="27"/>
  <c r="U11" i="27"/>
  <c r="Q9" i="27"/>
  <c r="Q5" i="27"/>
  <c r="I20" i="27"/>
  <c r="AG45" i="27"/>
  <c r="F63" i="27"/>
  <c r="AG48" i="27"/>
  <c r="AK55" i="27"/>
  <c r="AK45" i="27"/>
  <c r="AG21" i="27"/>
  <c r="AG39" i="27"/>
  <c r="F49" i="27"/>
  <c r="AK48" i="27"/>
  <c r="M8" i="27"/>
  <c r="AC34" i="27"/>
  <c r="I43" i="27"/>
  <c r="F26" i="27"/>
  <c r="Y55" i="27"/>
  <c r="U52" i="27"/>
  <c r="F24" i="27"/>
  <c r="AC41" i="27"/>
  <c r="F37" i="27"/>
  <c r="M53" i="27"/>
  <c r="F57" i="27"/>
  <c r="M24" i="27"/>
  <c r="Y3" i="27"/>
  <c r="Y7" i="27"/>
  <c r="AK30" i="27"/>
  <c r="Q58" i="27"/>
  <c r="Y18" i="27"/>
  <c r="U58" i="27"/>
  <c r="M19" i="27"/>
  <c r="AG63" i="27"/>
  <c r="M30" i="27"/>
  <c r="M5" i="27"/>
  <c r="U3" i="27"/>
  <c r="AK9" i="27"/>
  <c r="E24" i="27"/>
  <c r="M4" i="27"/>
  <c r="AC36" i="27"/>
  <c r="E48" i="27"/>
  <c r="Y20" i="27"/>
  <c r="E45" i="27"/>
  <c r="Q8" i="27"/>
  <c r="I11" i="27"/>
  <c r="I45" i="27"/>
  <c r="F52" i="27"/>
  <c r="F51" i="27"/>
  <c r="M31" i="27"/>
  <c r="I36" i="27"/>
  <c r="F7" i="27"/>
  <c r="AG18" i="27"/>
  <c r="Y38" i="27"/>
  <c r="Q63" i="27"/>
  <c r="Y33" i="27"/>
  <c r="AG59" i="27"/>
  <c r="Y35" i="27"/>
  <c r="AG46" i="27"/>
  <c r="Q54" i="27"/>
  <c r="E55" i="27"/>
  <c r="AC61" i="27"/>
  <c r="Y36" i="27"/>
  <c r="AK17" i="27"/>
  <c r="E33" i="27"/>
  <c r="AK6" i="27"/>
  <c r="I55" i="27"/>
  <c r="U63" i="27"/>
  <c r="AC63" i="27"/>
  <c r="AK39" i="27"/>
  <c r="I37" i="27"/>
  <c r="Q50" i="27"/>
  <c r="U14" i="27"/>
  <c r="AC17" i="27"/>
  <c r="M56" i="27"/>
  <c r="AK49" i="27"/>
  <c r="M52" i="27"/>
  <c r="U38" i="27"/>
  <c r="AG60" i="27"/>
  <c r="I33" i="27"/>
  <c r="F34" i="27"/>
  <c r="AC56" i="27"/>
  <c r="E51" i="27"/>
  <c r="Y15" i="27"/>
  <c r="M59" i="27"/>
  <c r="F60" i="27"/>
  <c r="Y64" i="27"/>
  <c r="M62" i="27"/>
  <c r="AK66" i="27"/>
  <c r="M34" i="27"/>
  <c r="Q24" i="27"/>
  <c r="E21" i="27"/>
  <c r="I52" i="27"/>
  <c r="AC37" i="27"/>
  <c r="Y49" i="27"/>
  <c r="F28" i="27"/>
  <c r="Y32" i="27"/>
  <c r="AC35" i="27"/>
  <c r="E56" i="27"/>
  <c r="I61" i="27"/>
  <c r="Q39" i="27"/>
  <c r="I56" i="27"/>
  <c r="I24" i="27"/>
  <c r="AC52" i="27"/>
  <c r="AG58" i="27"/>
  <c r="Y11" i="27"/>
  <c r="U25" i="27"/>
  <c r="F33" i="27"/>
  <c r="AC7" i="27"/>
  <c r="E25" i="27"/>
  <c r="Q52" i="27"/>
  <c r="Y6" i="27"/>
  <c r="Q23" i="27"/>
  <c r="Y27" i="27"/>
  <c r="I8" i="27"/>
  <c r="I44" i="27"/>
  <c r="F23" i="27"/>
  <c r="AG65" i="27"/>
  <c r="AG66" i="27"/>
  <c r="F54" i="27"/>
  <c r="AG16" i="27"/>
  <c r="AK13" i="27"/>
  <c r="E46" i="27"/>
  <c r="AG44" i="27"/>
  <c r="AG50" i="27"/>
  <c r="AK60" i="27"/>
  <c r="Q10" i="27"/>
  <c r="AC28" i="27"/>
  <c r="U62" i="27"/>
  <c r="I21" i="27"/>
  <c r="U30" i="27"/>
  <c r="Q48" i="27"/>
  <c r="I4" i="27"/>
  <c r="U36" i="27"/>
  <c r="U17" i="27"/>
  <c r="AG28" i="27"/>
  <c r="U60" i="27"/>
  <c r="M46" i="27"/>
  <c r="E41" i="27"/>
  <c r="AK12" i="27"/>
  <c r="U33" i="27"/>
  <c r="AC24" i="27"/>
  <c r="AG19" i="27"/>
  <c r="AK53" i="27"/>
  <c r="AK32" i="27"/>
  <c r="AK42" i="27"/>
  <c r="AC51" i="27"/>
  <c r="Y46" i="27"/>
  <c r="Y16" i="27"/>
  <c r="U45" i="27"/>
  <c r="I32" i="27"/>
  <c r="M12" i="27"/>
  <c r="U54" i="27"/>
  <c r="Q30" i="27"/>
  <c r="E58" i="27"/>
  <c r="E13" i="27"/>
  <c r="E8" i="27"/>
  <c r="Q42" i="27"/>
  <c r="M32" i="27"/>
  <c r="Q33" i="27"/>
  <c r="U20" i="27"/>
  <c r="AC46" i="27"/>
  <c r="AC31" i="27"/>
  <c r="I31" i="27"/>
  <c r="F20" i="27"/>
  <c r="AK37" i="27"/>
  <c r="Q21" i="27"/>
  <c r="U29" i="27"/>
  <c r="M44" i="27"/>
  <c r="I14" i="27"/>
  <c r="E23" i="27"/>
  <c r="Y37" i="27"/>
  <c r="M49" i="27"/>
  <c r="Q59" i="27"/>
  <c r="I6" i="27"/>
  <c r="E19" i="27"/>
  <c r="E40" i="27"/>
  <c r="E50" i="27"/>
  <c r="I17" i="27"/>
  <c r="AC65" i="27"/>
  <c r="U4" i="27"/>
  <c r="AG9" i="27"/>
  <c r="Q34" i="27"/>
  <c r="E20" i="27"/>
  <c r="AK19" i="27"/>
  <c r="Q44" i="27"/>
  <c r="F50" i="27"/>
  <c r="AG47" i="27"/>
  <c r="F59" i="27"/>
  <c r="M54" i="27"/>
  <c r="AC58" i="27"/>
  <c r="E43" i="27"/>
  <c r="E61" i="27"/>
  <c r="M61" i="27"/>
  <c r="E38" i="27"/>
  <c r="E4" i="27"/>
  <c r="AC49" i="27"/>
  <c r="AK35" i="27"/>
  <c r="I57" i="27"/>
  <c r="U44" i="27"/>
  <c r="F58" i="27"/>
  <c r="M27" i="27"/>
  <c r="Y9" i="27"/>
  <c r="AK38" i="27"/>
  <c r="AK25" i="27"/>
  <c r="M20" i="27"/>
  <c r="M33" i="27"/>
  <c r="E63" i="27"/>
  <c r="F18" i="27"/>
  <c r="Y52" i="27"/>
  <c r="AC62" i="27"/>
  <c r="Q14" i="27"/>
  <c r="Q62" i="27"/>
  <c r="U8" i="27"/>
  <c r="AK20" i="27"/>
  <c r="F16" i="27"/>
  <c r="F15" i="27"/>
  <c r="U61" i="27"/>
  <c r="E18" i="27"/>
  <c r="M43" i="27"/>
  <c r="M65" i="27"/>
  <c r="AC19" i="27"/>
  <c r="AG43" i="27"/>
  <c r="F6" i="27"/>
  <c r="E6" i="27"/>
  <c r="Y63" i="27"/>
  <c r="M23" i="27"/>
  <c r="AC66" i="27"/>
  <c r="F31" i="27"/>
  <c r="Q18" i="27"/>
  <c r="Q41" i="27"/>
  <c r="I41" i="27"/>
  <c r="F36" i="27"/>
  <c r="AG13" i="27"/>
  <c r="U50" i="27"/>
  <c r="AK63" i="27"/>
  <c r="F44" i="27"/>
  <c r="I25" i="27"/>
  <c r="AK44" i="27"/>
  <c r="E64" i="27"/>
  <c r="E30" i="27"/>
  <c r="AG54" i="27"/>
  <c r="U39" i="27"/>
  <c r="Q45" i="27"/>
  <c r="M55" i="27"/>
  <c r="F46" i="27"/>
  <c r="M42" i="27"/>
  <c r="Q32" i="27"/>
  <c r="AK62" i="27"/>
  <c r="AC30" i="27"/>
  <c r="E36" i="27"/>
  <c r="U48" i="27"/>
  <c r="Y21" i="27"/>
  <c r="Q31" i="27"/>
  <c r="AC6" i="27"/>
  <c r="M35" i="27"/>
  <c r="AG38" i="27"/>
  <c r="Y10" i="27"/>
  <c r="F42" i="27"/>
  <c r="E3" i="27"/>
  <c r="Q49" i="27"/>
  <c r="AC25" i="27"/>
  <c r="M66" i="27"/>
  <c r="AK64" i="27"/>
  <c r="U57" i="27"/>
  <c r="AC59" i="27"/>
  <c r="U28" i="27"/>
  <c r="E49" i="27"/>
  <c r="I27" i="27"/>
  <c r="AK59" i="27"/>
  <c r="F11" i="27"/>
  <c r="F43" i="27"/>
  <c r="M22" i="27"/>
  <c r="Q53" i="27"/>
  <c r="AC43" i="27"/>
  <c r="E65" i="27"/>
  <c r="AK56" i="27"/>
  <c r="F39" i="27"/>
  <c r="E52" i="27"/>
  <c r="AC16" i="27"/>
  <c r="AK4" i="27"/>
  <c r="AK15" i="27"/>
  <c r="U23" i="27"/>
  <c r="Y39" i="27"/>
  <c r="F45" i="27"/>
  <c r="U46" i="27"/>
  <c r="AC57" i="27"/>
  <c r="AC29" i="27"/>
  <c r="I65" i="27"/>
  <c r="M29" i="27"/>
  <c r="Y50" i="27"/>
  <c r="I9" i="27"/>
  <c r="I59" i="27"/>
  <c r="I66" i="27"/>
  <c r="U7" i="27"/>
  <c r="AC64" i="27"/>
  <c r="AG12" i="27"/>
  <c r="U15" i="27"/>
  <c r="I10" i="27"/>
  <c r="E47" i="27"/>
  <c r="AC20" i="27"/>
  <c r="U26" i="27"/>
  <c r="Y25" i="27"/>
  <c r="U31" i="27"/>
  <c r="Q57" i="27"/>
  <c r="AK41" i="27"/>
  <c r="E62" i="27"/>
  <c r="I5" i="27"/>
  <c r="AG64" i="27"/>
  <c r="AC15" i="27"/>
  <c r="U56" i="27"/>
  <c r="I28" i="27"/>
  <c r="E42" i="27"/>
  <c r="F4" i="27"/>
  <c r="M40" i="27"/>
  <c r="M25" i="27"/>
  <c r="E27" i="27"/>
  <c r="AC12" i="27"/>
  <c r="Y42" i="27"/>
  <c r="M11" i="27"/>
  <c r="M39" i="27"/>
  <c r="E7" i="27"/>
  <c r="I50" i="27"/>
  <c r="AK21" i="27"/>
  <c r="E53" i="27"/>
  <c r="I49" i="27"/>
  <c r="U37" i="27"/>
  <c r="AC48" i="27"/>
  <c r="M21" i="27"/>
  <c r="U16" i="27"/>
  <c r="I13" i="27"/>
  <c r="AC60" i="27"/>
  <c r="Q61" i="27"/>
  <c r="AG30" i="27"/>
  <c r="M48" i="27"/>
  <c r="AC45" i="27"/>
  <c r="F53" i="27"/>
  <c r="F12" i="27"/>
  <c r="AC10" i="27"/>
  <c r="E60" i="27"/>
  <c r="Q28" i="27"/>
  <c r="E22" i="27"/>
  <c r="Q66" i="27"/>
  <c r="AG7" i="27"/>
  <c r="F32" i="27"/>
  <c r="AK24" i="27"/>
  <c r="M58" i="27"/>
  <c r="AC23" i="27"/>
  <c r="F14" i="27"/>
  <c r="E28" i="27"/>
  <c r="F21" i="27"/>
  <c r="AK14" i="27"/>
  <c r="AC27" i="27"/>
  <c r="U41" i="27"/>
  <c r="AK52" i="27"/>
  <c r="F61" i="27"/>
  <c r="F38" i="27"/>
  <c r="I40" i="27"/>
  <c r="Q17" i="27"/>
  <c r="AC47" i="27"/>
  <c r="AG33" i="27"/>
  <c r="Y45" i="27"/>
  <c r="I35" i="27"/>
  <c r="AG23" i="27"/>
  <c r="M9" i="27"/>
  <c r="I18" i="27"/>
  <c r="AG3" i="27"/>
  <c r="Y23" i="27"/>
  <c r="M18" i="27"/>
  <c r="I34" i="27"/>
  <c r="AK54" i="27"/>
  <c r="Y66" i="27"/>
  <c r="E16" i="27"/>
  <c r="E31" i="27"/>
  <c r="F22" i="27"/>
  <c r="Y43" i="27"/>
  <c r="U19" i="27"/>
  <c r="I48" i="27"/>
  <c r="M38" i="27"/>
  <c r="E5" i="27"/>
  <c r="F64" i="27"/>
  <c r="U27" i="27"/>
  <c r="M36" i="27"/>
  <c r="Y48" i="27"/>
  <c r="Q46" i="27"/>
  <c r="Q37" i="27"/>
  <c r="I51" i="27"/>
  <c r="AK58" i="27"/>
  <c r="Y65" i="27"/>
  <c r="Y34" i="27"/>
  <c r="M14" i="27"/>
  <c r="AK36" i="27"/>
  <c r="AK34" i="27"/>
  <c r="Q47" i="27"/>
  <c r="M50" i="27"/>
  <c r="I63" i="27"/>
  <c r="AG34" i="27"/>
  <c r="F62" i="27"/>
  <c r="AC50" i="27"/>
  <c r="F11" i="10" l="1"/>
  <c r="G11" i="10" s="1"/>
  <c r="J11" i="10" s="1"/>
  <c r="F12" i="10"/>
  <c r="G12" i="10" s="1"/>
  <c r="J12" i="10" s="1"/>
  <c r="F37" i="10"/>
  <c r="G37" i="10" s="1"/>
  <c r="J37" i="10" s="1"/>
  <c r="F13" i="10"/>
  <c r="G13" i="10" s="1"/>
  <c r="J13" i="10" s="1"/>
  <c r="F30" i="10"/>
  <c r="G30" i="10" s="1"/>
  <c r="J30" i="10" s="1"/>
  <c r="F40" i="10"/>
  <c r="G40" i="10" s="1"/>
  <c r="F53" i="10"/>
  <c r="G53" i="10" s="1"/>
  <c r="J53" i="10" s="1"/>
  <c r="F20" i="10"/>
  <c r="G20" i="10" s="1"/>
  <c r="J20" i="10" s="1"/>
  <c r="F29" i="10"/>
  <c r="G29" i="10" s="1"/>
  <c r="J29" i="10" s="1"/>
  <c r="F50" i="10"/>
  <c r="G50" i="10" s="1"/>
  <c r="J50" i="10" s="1"/>
  <c r="F17" i="10"/>
  <c r="G17" i="10" s="1"/>
  <c r="J17" i="10" s="1"/>
  <c r="F25" i="10"/>
  <c r="G25" i="10" s="1"/>
  <c r="J25" i="10" s="1"/>
  <c r="F21" i="10"/>
  <c r="G21" i="10" s="1"/>
  <c r="J21" i="10" s="1"/>
  <c r="F34" i="10"/>
  <c r="G34" i="10" s="1"/>
  <c r="J34" i="10" s="1"/>
  <c r="F26" i="10"/>
  <c r="G26" i="10" s="1"/>
  <c r="J26" i="10" s="1"/>
  <c r="F39" i="10"/>
  <c r="F16" i="10"/>
  <c r="G16" i="10" s="1"/>
  <c r="J16" i="10" s="1"/>
  <c r="F36" i="10"/>
  <c r="G36" i="10" s="1"/>
  <c r="F69" i="6"/>
  <c r="G69" i="6" s="1"/>
  <c r="F54" i="6"/>
  <c r="G54" i="6" s="1"/>
  <c r="F43" i="6"/>
  <c r="F23" i="6"/>
  <c r="G23" i="6" s="1"/>
  <c r="F16" i="6"/>
  <c r="G16" i="6" s="1"/>
  <c r="J16" i="6" s="1"/>
  <c r="F51" i="6"/>
  <c r="G51" i="6" s="1"/>
  <c r="F55" i="6"/>
  <c r="G55" i="6" s="1"/>
  <c r="F58" i="6"/>
  <c r="G58" i="6" s="1"/>
  <c r="F62" i="6"/>
  <c r="G62" i="6" s="1"/>
  <c r="J62" i="6" s="1"/>
  <c r="F13" i="6"/>
  <c r="G13" i="6" s="1"/>
  <c r="J13" i="6" s="1"/>
  <c r="F24" i="6"/>
  <c r="G24" i="6" s="1"/>
  <c r="F28" i="6"/>
  <c r="G28" i="6" s="1"/>
  <c r="F32" i="6"/>
  <c r="G32" i="6" s="1"/>
  <c r="F36" i="6"/>
  <c r="G36" i="6" s="1"/>
  <c r="J36" i="6" s="1"/>
  <c r="F66" i="6"/>
  <c r="G66" i="6" s="1"/>
  <c r="J66" i="6" s="1"/>
  <c r="F7" i="6"/>
  <c r="G7" i="6" s="1"/>
  <c r="J7" i="6" s="1"/>
  <c r="F10" i="6"/>
  <c r="G10" i="6" s="1"/>
  <c r="F20" i="6"/>
  <c r="G20" i="6" s="1"/>
  <c r="F40" i="6"/>
  <c r="G40" i="6" s="1"/>
  <c r="F44" i="6"/>
  <c r="G44" i="6" s="1"/>
  <c r="F17" i="6"/>
  <c r="G17" i="6" s="1"/>
  <c r="F25" i="6"/>
  <c r="G25" i="6" s="1"/>
  <c r="J25" i="6" s="1"/>
  <c r="F29" i="6"/>
  <c r="G29" i="6" s="1"/>
  <c r="J29" i="6" s="1"/>
  <c r="F33" i="6"/>
  <c r="G33" i="6" s="1"/>
  <c r="J33" i="6" s="1"/>
  <c r="F48" i="6"/>
  <c r="G48" i="6" s="1"/>
  <c r="F52" i="6"/>
  <c r="G52" i="6" s="1"/>
  <c r="F59" i="6"/>
  <c r="G59" i="6" s="1"/>
  <c r="J59" i="6" s="1"/>
  <c r="F63" i="6"/>
  <c r="G63" i="6" s="1"/>
  <c r="F67" i="6"/>
  <c r="G67" i="6" s="1"/>
  <c r="J67" i="6" s="1"/>
  <c r="F8" i="6"/>
  <c r="G8" i="6" s="1"/>
  <c r="J8" i="6" s="1"/>
  <c r="F21" i="6"/>
  <c r="G21" i="6" s="1"/>
  <c r="J21" i="6" s="1"/>
  <c r="F37" i="6"/>
  <c r="G37" i="6" s="1"/>
  <c r="J37" i="6" s="1"/>
  <c r="F45" i="6"/>
  <c r="G45" i="6" s="1"/>
  <c r="F56" i="6"/>
  <c r="G56" i="6" s="1"/>
  <c r="J56" i="6" s="1"/>
  <c r="F41" i="6"/>
  <c r="G41" i="6" s="1"/>
  <c r="F11" i="6"/>
  <c r="G11" i="6" s="1"/>
  <c r="J11" i="6" s="1"/>
  <c r="F14" i="6"/>
  <c r="G14" i="6" s="1"/>
  <c r="F26" i="6"/>
  <c r="G26" i="6" s="1"/>
  <c r="F30" i="6"/>
  <c r="G30" i="6" s="1"/>
  <c r="F34" i="6"/>
  <c r="G34" i="6" s="1"/>
  <c r="J34" i="6" s="1"/>
  <c r="F49" i="6"/>
  <c r="G49" i="6" s="1"/>
  <c r="J49" i="6" s="1"/>
  <c r="F18" i="6"/>
  <c r="G18" i="6" s="1"/>
  <c r="J18" i="6" s="1"/>
  <c r="F22" i="6"/>
  <c r="G22" i="6" s="1"/>
  <c r="F38" i="6"/>
  <c r="G38" i="6" s="1"/>
  <c r="F42" i="6"/>
  <c r="G42" i="6" s="1"/>
  <c r="J42" i="6" s="1"/>
  <c r="F46" i="6"/>
  <c r="G46" i="6" s="1"/>
  <c r="F53" i="6"/>
  <c r="G53" i="6" s="1"/>
  <c r="F57" i="6"/>
  <c r="G57" i="6" s="1"/>
  <c r="J57" i="6" s="1"/>
  <c r="F60" i="6"/>
  <c r="G60" i="6" s="1"/>
  <c r="F68" i="6"/>
  <c r="G68" i="6" s="1"/>
  <c r="F27" i="6"/>
  <c r="G27" i="6" s="1"/>
  <c r="J27" i="6" s="1"/>
  <c r="F31" i="6"/>
  <c r="F9" i="6"/>
  <c r="G9" i="6" s="1"/>
  <c r="J9" i="6" s="1"/>
  <c r="F12" i="6"/>
  <c r="G12" i="6" s="1"/>
  <c r="J12" i="6" s="1"/>
  <c r="F15" i="6"/>
  <c r="G15" i="6" s="1"/>
  <c r="J15" i="6" s="1"/>
  <c r="F35" i="6"/>
  <c r="G35" i="6" s="1"/>
  <c r="J35" i="6" s="1"/>
  <c r="F39" i="6"/>
  <c r="G39" i="6" s="1"/>
  <c r="J39" i="6" s="1"/>
  <c r="F47" i="6"/>
  <c r="G47" i="6" s="1"/>
  <c r="J47" i="6" s="1"/>
  <c r="F50" i="6"/>
  <c r="G50" i="6" s="1"/>
  <c r="J50" i="6" s="1"/>
  <c r="F61" i="6"/>
  <c r="G61" i="6" s="1"/>
  <c r="M67" i="27"/>
  <c r="AC67" i="27"/>
  <c r="H12" i="27"/>
  <c r="H4" i="27"/>
  <c r="H10" i="27"/>
  <c r="H6" i="27"/>
  <c r="Q67" i="27"/>
  <c r="AG67" i="27"/>
  <c r="H27" i="27"/>
  <c r="E67" i="27"/>
  <c r="H3" i="27"/>
  <c r="U67" i="27"/>
  <c r="AK67" i="27"/>
  <c r="H7" i="27"/>
  <c r="H18" i="27"/>
  <c r="F67" i="27"/>
  <c r="H5" i="27"/>
  <c r="I67" i="27"/>
  <c r="Y67" i="27"/>
  <c r="H8" i="27"/>
  <c r="H13" i="27"/>
  <c r="H25" i="27"/>
  <c r="H29" i="27"/>
  <c r="H31" i="27"/>
  <c r="H20" i="27"/>
  <c r="H39" i="27"/>
  <c r="H15" i="27"/>
  <c r="H34" i="27"/>
  <c r="H22" i="27"/>
  <c r="H32" i="27"/>
  <c r="H17" i="27"/>
  <c r="H24" i="27"/>
  <c r="H19" i="27"/>
  <c r="H14" i="27"/>
  <c r="H26" i="27"/>
  <c r="H36" i="27"/>
  <c r="H9" i="27"/>
  <c r="H21" i="27"/>
  <c r="H16" i="27"/>
  <c r="H11" i="27"/>
  <c r="H23" i="27"/>
  <c r="H40" i="27"/>
  <c r="H41" i="27"/>
  <c r="H51" i="27"/>
  <c r="H42" i="27"/>
  <c r="H44" i="27"/>
  <c r="H62" i="27"/>
  <c r="H45" i="27"/>
  <c r="H47" i="27"/>
  <c r="H63" i="27"/>
  <c r="H38" i="27"/>
  <c r="H48" i="27"/>
  <c r="H49" i="27"/>
  <c r="H50" i="27"/>
  <c r="H54" i="27"/>
  <c r="H56" i="27"/>
  <c r="H64" i="27"/>
  <c r="H33" i="27"/>
  <c r="H28" i="27"/>
  <c r="H53" i="27"/>
  <c r="H60" i="27"/>
  <c r="H35" i="27"/>
  <c r="H57" i="27"/>
  <c r="H30" i="27"/>
  <c r="H37" i="27"/>
  <c r="H52" i="27"/>
  <c r="H59" i="27"/>
  <c r="H66" i="27"/>
  <c r="H61" i="27"/>
  <c r="H46" i="27"/>
  <c r="H58" i="27"/>
  <c r="H65" i="27"/>
  <c r="H43" i="27"/>
  <c r="H55" i="27"/>
  <c r="J13" i="4"/>
  <c r="J22" i="2"/>
  <c r="S22" i="2" s="1"/>
  <c r="J57" i="2"/>
  <c r="S57" i="2" s="1"/>
  <c r="J27" i="2"/>
  <c r="S27" i="2" s="1"/>
  <c r="I69" i="2"/>
  <c r="I65" i="2"/>
  <c r="I61" i="2"/>
  <c r="I57" i="2"/>
  <c r="I53" i="2"/>
  <c r="I12" i="2"/>
  <c r="I7" i="2"/>
  <c r="I66" i="2"/>
  <c r="I62" i="2"/>
  <c r="I58" i="2"/>
  <c r="I54" i="2"/>
  <c r="I50" i="2"/>
  <c r="I46" i="2"/>
  <c r="I42" i="2"/>
  <c r="I38" i="2"/>
  <c r="I34" i="2"/>
  <c r="I30" i="2"/>
  <c r="I26" i="2"/>
  <c r="I22" i="2"/>
  <c r="I8" i="2"/>
  <c r="I48" i="2"/>
  <c r="I45" i="2"/>
  <c r="I31" i="2"/>
  <c r="I60" i="2"/>
  <c r="I20" i="2"/>
  <c r="U8" i="2"/>
  <c r="U9" i="2" s="1"/>
  <c r="I67" i="2"/>
  <c r="I51" i="2"/>
  <c r="I40" i="2"/>
  <c r="I37" i="2"/>
  <c r="I23" i="2"/>
  <c r="I17" i="2"/>
  <c r="I5" i="2"/>
  <c r="I43" i="2"/>
  <c r="I11" i="2"/>
  <c r="I56" i="2"/>
  <c r="I32" i="2"/>
  <c r="I29" i="2"/>
  <c r="I14" i="2"/>
  <c r="I4" i="2"/>
  <c r="I63" i="2"/>
  <c r="I49" i="2"/>
  <c r="I35" i="2"/>
  <c r="I18" i="2"/>
  <c r="I3" i="2"/>
  <c r="I68" i="2"/>
  <c r="I52" i="2"/>
  <c r="I44" i="2"/>
  <c r="I41" i="2"/>
  <c r="I27" i="2"/>
  <c r="I9" i="2"/>
  <c r="I59" i="2"/>
  <c r="I47" i="2"/>
  <c r="I6" i="2"/>
  <c r="I64" i="2"/>
  <c r="I10" i="2"/>
  <c r="I13" i="2"/>
  <c r="I21" i="2"/>
  <c r="J16" i="4"/>
  <c r="I25" i="2"/>
  <c r="G52" i="10"/>
  <c r="E6" i="10"/>
  <c r="D70" i="10"/>
  <c r="F68" i="10"/>
  <c r="G68" i="10" s="1"/>
  <c r="F64" i="10"/>
  <c r="G64" i="10" s="1"/>
  <c r="F63" i="10"/>
  <c r="G63" i="10" s="1"/>
  <c r="J63" i="10" s="1"/>
  <c r="F60" i="10"/>
  <c r="G60" i="10" s="1"/>
  <c r="F47" i="10"/>
  <c r="G47" i="10" s="1"/>
  <c r="J47" i="10" s="1"/>
  <c r="F44" i="10"/>
  <c r="G44" i="10" s="1"/>
  <c r="F18" i="10"/>
  <c r="G18" i="10" s="1"/>
  <c r="J18" i="10" s="1"/>
  <c r="F9" i="10"/>
  <c r="G9" i="10" s="1"/>
  <c r="J9" i="10" s="1"/>
  <c r="F38" i="10"/>
  <c r="G38" i="10" s="1"/>
  <c r="F31" i="10"/>
  <c r="G31" i="10" s="1"/>
  <c r="F23" i="10"/>
  <c r="G23" i="10" s="1"/>
  <c r="F14" i="10"/>
  <c r="G14" i="10" s="1"/>
  <c r="F69" i="10"/>
  <c r="G69" i="10" s="1"/>
  <c r="J69" i="10" s="1"/>
  <c r="F66" i="10"/>
  <c r="G66" i="10" s="1"/>
  <c r="J66" i="10" s="1"/>
  <c r="F57" i="10"/>
  <c r="G57" i="10" s="1"/>
  <c r="J57" i="10" s="1"/>
  <c r="F41" i="10"/>
  <c r="G41" i="10" s="1"/>
  <c r="J41" i="10" s="1"/>
  <c r="F27" i="10"/>
  <c r="G27" i="10" s="1"/>
  <c r="F54" i="10"/>
  <c r="G54" i="10" s="1"/>
  <c r="F51" i="10"/>
  <c r="G51" i="10" s="1"/>
  <c r="F48" i="10"/>
  <c r="G48" i="10" s="1"/>
  <c r="J48" i="10" s="1"/>
  <c r="F35" i="10"/>
  <c r="G35" i="10" s="1"/>
  <c r="J35" i="10" s="1"/>
  <c r="F19" i="10"/>
  <c r="G19" i="10" s="1"/>
  <c r="F10" i="10"/>
  <c r="G10" i="10" s="1"/>
  <c r="F28" i="10"/>
  <c r="G28" i="10" s="1"/>
  <c r="F15" i="10"/>
  <c r="G15" i="10" s="1"/>
  <c r="F61" i="10"/>
  <c r="G61" i="10" s="1"/>
  <c r="F45" i="10"/>
  <c r="G45" i="10" s="1"/>
  <c r="J45" i="10" s="1"/>
  <c r="F67" i="10"/>
  <c r="G67" i="10" s="1"/>
  <c r="F58" i="10"/>
  <c r="G58" i="10" s="1"/>
  <c r="J58" i="10" s="1"/>
  <c r="F42" i="10"/>
  <c r="G42" i="10" s="1"/>
  <c r="F32" i="10"/>
  <c r="G32" i="10" s="1"/>
  <c r="F24" i="10"/>
  <c r="G24" i="10" s="1"/>
  <c r="J24" i="10" s="1"/>
  <c r="F49" i="10"/>
  <c r="G49" i="10" s="1"/>
  <c r="J49" i="10" s="1"/>
  <c r="F46" i="10"/>
  <c r="G46" i="10" s="1"/>
  <c r="J46" i="10" s="1"/>
  <c r="F33" i="10"/>
  <c r="G33" i="10" s="1"/>
  <c r="J33" i="10" s="1"/>
  <c r="F65" i="10"/>
  <c r="G65" i="10" s="1"/>
  <c r="J65" i="10" s="1"/>
  <c r="F62" i="10"/>
  <c r="G62" i="10" s="1"/>
  <c r="J62" i="10" s="1"/>
  <c r="E70" i="2"/>
  <c r="I19" i="2"/>
  <c r="J14" i="2"/>
  <c r="S14" i="2" s="1"/>
  <c r="I33" i="2"/>
  <c r="J47" i="2"/>
  <c r="S47" i="2" s="1"/>
  <c r="J66" i="2"/>
  <c r="S66" i="2" s="1"/>
  <c r="D70" i="2"/>
  <c r="G6" i="2"/>
  <c r="G39" i="10"/>
  <c r="J39" i="10" s="1"/>
  <c r="E70" i="4"/>
  <c r="I36" i="2"/>
  <c r="I39" i="2"/>
  <c r="K66" i="3"/>
  <c r="F56" i="10"/>
  <c r="G56" i="10" s="1"/>
  <c r="J11" i="4"/>
  <c r="F59" i="10"/>
  <c r="G59" i="10" s="1"/>
  <c r="J59" i="10" s="1"/>
  <c r="F70" i="8"/>
  <c r="G6" i="8"/>
  <c r="F12" i="2"/>
  <c r="G12" i="2" s="1"/>
  <c r="F7" i="2"/>
  <c r="G7" i="2" s="1"/>
  <c r="J7" i="2" s="1"/>
  <c r="S7" i="2" s="1"/>
  <c r="I4" i="4"/>
  <c r="I15" i="4"/>
  <c r="I39" i="4"/>
  <c r="I46" i="4"/>
  <c r="I51" i="4"/>
  <c r="I54" i="4"/>
  <c r="J65" i="6"/>
  <c r="F15" i="2"/>
  <c r="G15" i="2" s="1"/>
  <c r="F24" i="2"/>
  <c r="G24" i="2" s="1"/>
  <c r="J24" i="2" s="1"/>
  <c r="S24" i="2" s="1"/>
  <c r="F41" i="2"/>
  <c r="G41" i="2" s="1"/>
  <c r="F52" i="2"/>
  <c r="G52" i="2" s="1"/>
  <c r="F68" i="2"/>
  <c r="G68" i="2" s="1"/>
  <c r="F18" i="2"/>
  <c r="G18" i="2" s="1"/>
  <c r="J18" i="2" s="1"/>
  <c r="F21" i="2"/>
  <c r="G21" i="2" s="1"/>
  <c r="F35" i="2"/>
  <c r="G35" i="2" s="1"/>
  <c r="J35" i="2" s="1"/>
  <c r="S35" i="2" s="1"/>
  <c r="F38" i="2"/>
  <c r="G38" i="2" s="1"/>
  <c r="J38" i="2" s="1"/>
  <c r="S38" i="2" s="1"/>
  <c r="F54" i="2"/>
  <c r="G54" i="2" s="1"/>
  <c r="J54" i="2" s="1"/>
  <c r="S54" i="2" s="1"/>
  <c r="F61" i="2"/>
  <c r="G61" i="2" s="1"/>
  <c r="F63" i="2"/>
  <c r="G63" i="2" s="1"/>
  <c r="I26" i="4"/>
  <c r="I35" i="4"/>
  <c r="I63" i="4"/>
  <c r="I66" i="4"/>
  <c r="K66" i="5"/>
  <c r="D70" i="6"/>
  <c r="J40" i="6"/>
  <c r="D70" i="4"/>
  <c r="I22" i="4"/>
  <c r="J6" i="12"/>
  <c r="I49" i="10"/>
  <c r="F8" i="2"/>
  <c r="G8" i="2" s="1"/>
  <c r="F11" i="2"/>
  <c r="G11" i="2" s="1"/>
  <c r="F29" i="2"/>
  <c r="G29" i="2" s="1"/>
  <c r="K41" i="2"/>
  <c r="F43" i="2"/>
  <c r="G43" i="2" s="1"/>
  <c r="K44" i="2"/>
  <c r="F46" i="2"/>
  <c r="G46" i="2" s="1"/>
  <c r="K52" i="2"/>
  <c r="F56" i="2"/>
  <c r="G56" i="2" s="1"/>
  <c r="J56" i="2" s="1"/>
  <c r="S56" i="2" s="1"/>
  <c r="K68" i="2"/>
  <c r="I18" i="4"/>
  <c r="I47" i="4"/>
  <c r="I55" i="4"/>
  <c r="F68" i="4"/>
  <c r="G68" i="4" s="1"/>
  <c r="F64" i="4"/>
  <c r="G64" i="4" s="1"/>
  <c r="F60" i="4"/>
  <c r="G60" i="4" s="1"/>
  <c r="F56" i="4"/>
  <c r="G56" i="4" s="1"/>
  <c r="F52" i="4"/>
  <c r="G52" i="4" s="1"/>
  <c r="F8" i="4"/>
  <c r="G8" i="4" s="1"/>
  <c r="F69" i="4"/>
  <c r="G69" i="4" s="1"/>
  <c r="F65" i="4"/>
  <c r="G65" i="4" s="1"/>
  <c r="J65" i="4" s="1"/>
  <c r="F61" i="4"/>
  <c r="G61" i="4" s="1"/>
  <c r="J61" i="4" s="1"/>
  <c r="F57" i="4"/>
  <c r="G57" i="4" s="1"/>
  <c r="F53" i="4"/>
  <c r="G53" i="4" s="1"/>
  <c r="F49" i="4"/>
  <c r="G49" i="4" s="1"/>
  <c r="F45" i="4"/>
  <c r="G45" i="4" s="1"/>
  <c r="F41" i="4"/>
  <c r="G41" i="4" s="1"/>
  <c r="F37" i="4"/>
  <c r="G37" i="4" s="1"/>
  <c r="F33" i="4"/>
  <c r="G33" i="4" s="1"/>
  <c r="J33" i="4" s="1"/>
  <c r="F29" i="4"/>
  <c r="G29" i="4" s="1"/>
  <c r="F66" i="4"/>
  <c r="G66" i="4" s="1"/>
  <c r="F62" i="4"/>
  <c r="G62" i="4" s="1"/>
  <c r="J62" i="4" s="1"/>
  <c r="F58" i="4"/>
  <c r="G58" i="4" s="1"/>
  <c r="J58" i="4" s="1"/>
  <c r="F54" i="4"/>
  <c r="G54" i="4" s="1"/>
  <c r="J54" i="4" s="1"/>
  <c r="F50" i="4"/>
  <c r="G50" i="4" s="1"/>
  <c r="F46" i="4"/>
  <c r="G46" i="4" s="1"/>
  <c r="I68" i="4"/>
  <c r="I64" i="4"/>
  <c r="I60" i="4"/>
  <c r="I56" i="4"/>
  <c r="I52" i="4"/>
  <c r="I48" i="4"/>
  <c r="I44" i="4"/>
  <c r="I40" i="4"/>
  <c r="I36" i="4"/>
  <c r="I32" i="4"/>
  <c r="I28" i="4"/>
  <c r="I24" i="4"/>
  <c r="I20" i="4"/>
  <c r="I16" i="4"/>
  <c r="I12" i="4"/>
  <c r="I7" i="4"/>
  <c r="I69" i="4"/>
  <c r="I65" i="4"/>
  <c r="I61" i="4"/>
  <c r="I57" i="4"/>
  <c r="I53" i="4"/>
  <c r="I49" i="4"/>
  <c r="I45" i="4"/>
  <c r="I41" i="4"/>
  <c r="I37" i="4"/>
  <c r="I33" i="4"/>
  <c r="I29" i="4"/>
  <c r="I25" i="4"/>
  <c r="I21" i="4"/>
  <c r="I17" i="4"/>
  <c r="I13" i="4"/>
  <c r="I9" i="4"/>
  <c r="I5" i="4"/>
  <c r="T8" i="4"/>
  <c r="T9" i="4" s="1"/>
  <c r="J30" i="4" s="1"/>
  <c r="I39" i="10"/>
  <c r="K15" i="2"/>
  <c r="K18" i="2"/>
  <c r="K21" i="2"/>
  <c r="F23" i="2"/>
  <c r="G23" i="2" s="1"/>
  <c r="J23" i="2" s="1"/>
  <c r="S23" i="2" s="1"/>
  <c r="F26" i="2"/>
  <c r="G26" i="2" s="1"/>
  <c r="J26" i="2" s="1"/>
  <c r="S26" i="2" s="1"/>
  <c r="F40" i="2"/>
  <c r="G40" i="2" s="1"/>
  <c r="J40" i="2" s="1"/>
  <c r="S40" i="2" s="1"/>
  <c r="F51" i="2"/>
  <c r="G51" i="2" s="1"/>
  <c r="F58" i="2"/>
  <c r="G58" i="2" s="1"/>
  <c r="F65" i="2"/>
  <c r="G65" i="2" s="1"/>
  <c r="F67" i="2"/>
  <c r="G67" i="2" s="1"/>
  <c r="G6" i="4"/>
  <c r="I14" i="4"/>
  <c r="I31" i="4"/>
  <c r="F38" i="4"/>
  <c r="G38" i="4" s="1"/>
  <c r="J44" i="6"/>
  <c r="I68" i="10"/>
  <c r="I64" i="10"/>
  <c r="I60" i="10"/>
  <c r="I56" i="10"/>
  <c r="I52" i="10"/>
  <c r="I48" i="10"/>
  <c r="I44" i="10"/>
  <c r="I40" i="10"/>
  <c r="J40" i="10" s="1"/>
  <c r="I36" i="10"/>
  <c r="J36" i="10" s="1"/>
  <c r="I15" i="10"/>
  <c r="I24" i="10"/>
  <c r="I28" i="10"/>
  <c r="I32" i="10"/>
  <c r="I42" i="10"/>
  <c r="I58" i="10"/>
  <c r="I67" i="10"/>
  <c r="K66" i="2"/>
  <c r="K62" i="2"/>
  <c r="K58" i="2"/>
  <c r="K54" i="2"/>
  <c r="K50" i="2"/>
  <c r="K46" i="2"/>
  <c r="K42" i="2"/>
  <c r="K38" i="2"/>
  <c r="K34" i="2"/>
  <c r="K30" i="2"/>
  <c r="K26" i="2"/>
  <c r="K22" i="2"/>
  <c r="K8" i="2"/>
  <c r="K9" i="2"/>
  <c r="K69" i="2"/>
  <c r="K65" i="2"/>
  <c r="K61" i="2"/>
  <c r="K57" i="2"/>
  <c r="K53" i="2"/>
  <c r="K49" i="2"/>
  <c r="F17" i="2"/>
  <c r="G17" i="2" s="1"/>
  <c r="F20" i="2"/>
  <c r="G20" i="2" s="1"/>
  <c r="K35" i="2"/>
  <c r="F37" i="2"/>
  <c r="G37" i="2" s="1"/>
  <c r="J37" i="2" s="1"/>
  <c r="S37" i="2" s="1"/>
  <c r="K63" i="2"/>
  <c r="I6" i="4"/>
  <c r="I10" i="4"/>
  <c r="I38" i="4"/>
  <c r="I50" i="4"/>
  <c r="F67" i="4"/>
  <c r="G67" i="4" s="1"/>
  <c r="I61" i="10"/>
  <c r="F31" i="2"/>
  <c r="G31" i="2" s="1"/>
  <c r="J31" i="2" s="1"/>
  <c r="S31" i="2" s="1"/>
  <c r="F34" i="2"/>
  <c r="G34" i="2" s="1"/>
  <c r="J34" i="2" s="1"/>
  <c r="S34" i="2" s="1"/>
  <c r="F48" i="2"/>
  <c r="G48" i="2" s="1"/>
  <c r="J48" i="2" s="1"/>
  <c r="S48" i="2" s="1"/>
  <c r="K56" i="2"/>
  <c r="F60" i="2"/>
  <c r="G60" i="2" s="1"/>
  <c r="J60" i="2" s="1"/>
  <c r="S60" i="2" s="1"/>
  <c r="I8" i="4"/>
  <c r="I67" i="4"/>
  <c r="I4" i="10"/>
  <c r="I10" i="10"/>
  <c r="I19" i="10"/>
  <c r="I35" i="10"/>
  <c r="I51" i="10"/>
  <c r="F10" i="2"/>
  <c r="G10" i="2" s="1"/>
  <c r="J10" i="2" s="1"/>
  <c r="S10" i="2" s="1"/>
  <c r="K11" i="2"/>
  <c r="F13" i="2"/>
  <c r="G13" i="2" s="1"/>
  <c r="J13" i="2" s="1"/>
  <c r="S13" i="2" s="1"/>
  <c r="K17" i="2"/>
  <c r="F28" i="2"/>
  <c r="G28" i="2" s="1"/>
  <c r="J28" i="2" s="1"/>
  <c r="S28" i="2" s="1"/>
  <c r="K43" i="2"/>
  <c r="F45" i="2"/>
  <c r="G45" i="2" s="1"/>
  <c r="J45" i="2" s="1"/>
  <c r="S45" i="2" s="1"/>
  <c r="F53" i="2"/>
  <c r="G53" i="2" s="1"/>
  <c r="F55" i="2"/>
  <c r="G55" i="2" s="1"/>
  <c r="J55" i="2" s="1"/>
  <c r="S55" i="2" s="1"/>
  <c r="F62" i="2"/>
  <c r="G62" i="2" s="1"/>
  <c r="F69" i="2"/>
  <c r="G69" i="2" s="1"/>
  <c r="F23" i="4"/>
  <c r="G23" i="4" s="1"/>
  <c r="J23" i="4" s="1"/>
  <c r="F25" i="4"/>
  <c r="G25" i="4" s="1"/>
  <c r="I27" i="4"/>
  <c r="F34" i="4"/>
  <c r="G34" i="4" s="1"/>
  <c r="J34" i="4" s="1"/>
  <c r="I43" i="4"/>
  <c r="F48" i="4"/>
  <c r="G48" i="4" s="1"/>
  <c r="J48" i="4" s="1"/>
  <c r="F59" i="4"/>
  <c r="G59" i="4" s="1"/>
  <c r="J59" i="4" s="1"/>
  <c r="J64" i="6"/>
  <c r="I42" i="4"/>
  <c r="I14" i="10"/>
  <c r="I23" i="10"/>
  <c r="I27" i="10"/>
  <c r="I31" i="10"/>
  <c r="I38" i="10"/>
  <c r="I54" i="10"/>
  <c r="F16" i="2"/>
  <c r="G16" i="2" s="1"/>
  <c r="J16" i="2" s="1"/>
  <c r="S16" i="2" s="1"/>
  <c r="K23" i="2"/>
  <c r="F25" i="2"/>
  <c r="G25" i="2" s="1"/>
  <c r="K37" i="2"/>
  <c r="F39" i="2"/>
  <c r="G39" i="2" s="1"/>
  <c r="K40" i="2"/>
  <c r="F42" i="2"/>
  <c r="G42" i="2" s="1"/>
  <c r="J42" i="2" s="1"/>
  <c r="S42" i="2" s="1"/>
  <c r="K51" i="2"/>
  <c r="K67" i="2"/>
  <c r="F19" i="4"/>
  <c r="G19" i="4" s="1"/>
  <c r="J19" i="4" s="1"/>
  <c r="F21" i="4"/>
  <c r="G21" i="4" s="1"/>
  <c r="J21" i="4" s="1"/>
  <c r="I23" i="4"/>
  <c r="I34" i="4"/>
  <c r="I59" i="4"/>
  <c r="I62" i="4"/>
  <c r="J58" i="6"/>
  <c r="I4" i="6"/>
  <c r="I19" i="6"/>
  <c r="J19" i="6" s="1"/>
  <c r="I22" i="6"/>
  <c r="J22" i="6" s="1"/>
  <c r="I30" i="6"/>
  <c r="I45" i="6"/>
  <c r="J45" i="6" s="1"/>
  <c r="I55" i="6"/>
  <c r="J55" i="6" s="1"/>
  <c r="K66" i="7"/>
  <c r="E70" i="8"/>
  <c r="J14" i="8"/>
  <c r="J29" i="8"/>
  <c r="J42" i="14"/>
  <c r="J19" i="8"/>
  <c r="J55" i="8"/>
  <c r="J41" i="8"/>
  <c r="J47" i="8"/>
  <c r="J69" i="8"/>
  <c r="G31" i="6"/>
  <c r="J31" i="6" s="1"/>
  <c r="J56" i="8"/>
  <c r="E6" i="6"/>
  <c r="I54" i="6"/>
  <c r="J54" i="6" s="1"/>
  <c r="I69" i="6"/>
  <c r="J69" i="6" s="1"/>
  <c r="J20" i="8"/>
  <c r="J36" i="8"/>
  <c r="J39" i="8"/>
  <c r="J50" i="8"/>
  <c r="J53" i="8"/>
  <c r="J66" i="8"/>
  <c r="I14" i="6"/>
  <c r="I17" i="6"/>
  <c r="J17" i="6" s="1"/>
  <c r="I23" i="6"/>
  <c r="J23" i="6" s="1"/>
  <c r="I26" i="6"/>
  <c r="I41" i="6"/>
  <c r="J41" i="6" s="1"/>
  <c r="I51" i="6"/>
  <c r="J60" i="8"/>
  <c r="G43" i="6"/>
  <c r="J43" i="6" s="1"/>
  <c r="I46" i="6"/>
  <c r="I61" i="6"/>
  <c r="J28" i="8"/>
  <c r="J31" i="8"/>
  <c r="J42" i="8"/>
  <c r="J45" i="8"/>
  <c r="J48" i="8"/>
  <c r="I68" i="6"/>
  <c r="I64" i="6"/>
  <c r="I60" i="6"/>
  <c r="I56" i="6"/>
  <c r="I52" i="6"/>
  <c r="I48" i="6"/>
  <c r="I44" i="6"/>
  <c r="I40" i="6"/>
  <c r="I36" i="6"/>
  <c r="I32" i="6"/>
  <c r="I28" i="6"/>
  <c r="I24" i="6"/>
  <c r="J24" i="6" s="1"/>
  <c r="I20" i="6"/>
  <c r="I11" i="6"/>
  <c r="I10" i="6"/>
  <c r="J10" i="6" s="1"/>
  <c r="I38" i="6"/>
  <c r="J38" i="6" s="1"/>
  <c r="I53" i="6"/>
  <c r="I63" i="6"/>
  <c r="J58" i="8"/>
  <c r="J21" i="8"/>
  <c r="J34" i="8"/>
  <c r="J51" i="8"/>
  <c r="J54" i="8"/>
  <c r="J64" i="8"/>
  <c r="J69" i="12"/>
  <c r="J7" i="14"/>
  <c r="J18" i="14"/>
  <c r="D70" i="8"/>
  <c r="J47" i="12"/>
  <c r="J55" i="12"/>
  <c r="J63" i="12"/>
  <c r="J68" i="12"/>
  <c r="J8" i="16"/>
  <c r="R8" i="16" s="1"/>
  <c r="J13" i="12"/>
  <c r="J22" i="12"/>
  <c r="J27" i="12"/>
  <c r="J32" i="12"/>
  <c r="E70" i="14"/>
  <c r="I51" i="8"/>
  <c r="J18" i="12"/>
  <c r="J6" i="14"/>
  <c r="J13" i="16"/>
  <c r="R13" i="16" s="1"/>
  <c r="J9" i="12"/>
  <c r="J30" i="12"/>
  <c r="J35" i="12"/>
  <c r="J40" i="12"/>
  <c r="I7" i="8"/>
  <c r="J7" i="8" s="1"/>
  <c r="I21" i="8"/>
  <c r="I25" i="8"/>
  <c r="J25" i="8" s="1"/>
  <c r="I29" i="8"/>
  <c r="I33" i="8"/>
  <c r="J33" i="8" s="1"/>
  <c r="I37" i="8"/>
  <c r="J37" i="8" s="1"/>
  <c r="I41" i="8"/>
  <c r="J56" i="12"/>
  <c r="J64" i="12"/>
  <c r="J65" i="16"/>
  <c r="R65" i="16" s="1"/>
  <c r="J38" i="12"/>
  <c r="J43" i="12"/>
  <c r="J51" i="12"/>
  <c r="J59" i="12"/>
  <c r="E70" i="12"/>
  <c r="J14" i="12"/>
  <c r="J23" i="12"/>
  <c r="J28" i="12"/>
  <c r="J67" i="12"/>
  <c r="J8" i="12"/>
  <c r="I67" i="8"/>
  <c r="J67" i="8" s="1"/>
  <c r="I63" i="8"/>
  <c r="J63" i="8" s="1"/>
  <c r="I59" i="8"/>
  <c r="J59" i="8" s="1"/>
  <c r="I55" i="8"/>
  <c r="I15" i="8"/>
  <c r="J15" i="8" s="1"/>
  <c r="K66" i="11"/>
  <c r="J19" i="12"/>
  <c r="J26" i="12"/>
  <c r="J31" i="12"/>
  <c r="J57" i="16"/>
  <c r="R57" i="16" s="1"/>
  <c r="I3" i="8"/>
  <c r="I57" i="8"/>
  <c r="J57" i="8" s="1"/>
  <c r="I64" i="8"/>
  <c r="J10" i="12"/>
  <c r="J17" i="12"/>
  <c r="J25" i="14"/>
  <c r="J27" i="18"/>
  <c r="I14" i="14"/>
  <c r="J14" i="14" s="1"/>
  <c r="I18" i="14"/>
  <c r="I25" i="14"/>
  <c r="I32" i="14"/>
  <c r="J32" i="14" s="1"/>
  <c r="G35" i="14"/>
  <c r="J35" i="14" s="1"/>
  <c r="I42" i="14"/>
  <c r="I48" i="14"/>
  <c r="J48" i="14" s="1"/>
  <c r="G53" i="14"/>
  <c r="J53" i="14" s="1"/>
  <c r="I58" i="14"/>
  <c r="J58" i="14" s="1"/>
  <c r="J21" i="16"/>
  <c r="R21" i="16" s="1"/>
  <c r="J55" i="18"/>
  <c r="F66" i="18"/>
  <c r="G66" i="18" s="1"/>
  <c r="J66" i="18" s="1"/>
  <c r="F58" i="18"/>
  <c r="G58" i="18" s="1"/>
  <c r="J58" i="18" s="1"/>
  <c r="F50" i="18"/>
  <c r="G50" i="18" s="1"/>
  <c r="J50" i="18" s="1"/>
  <c r="F42" i="18"/>
  <c r="G42" i="18" s="1"/>
  <c r="J42" i="18" s="1"/>
  <c r="F34" i="18"/>
  <c r="G34" i="18" s="1"/>
  <c r="J34" i="18" s="1"/>
  <c r="F20" i="18"/>
  <c r="G20" i="18" s="1"/>
  <c r="J20" i="18" s="1"/>
  <c r="F16" i="18"/>
  <c r="G16" i="18" s="1"/>
  <c r="J16" i="18" s="1"/>
  <c r="F9" i="18"/>
  <c r="G9" i="18" s="1"/>
  <c r="J9" i="18" s="1"/>
  <c r="F31" i="18"/>
  <c r="G31" i="18" s="1"/>
  <c r="J31" i="18" s="1"/>
  <c r="F24" i="18"/>
  <c r="G24" i="18" s="1"/>
  <c r="J24" i="18" s="1"/>
  <c r="F61" i="18"/>
  <c r="G61" i="18" s="1"/>
  <c r="F53" i="18"/>
  <c r="G53" i="18" s="1"/>
  <c r="F45" i="18"/>
  <c r="G45" i="18" s="1"/>
  <c r="F37" i="18"/>
  <c r="G37" i="18" s="1"/>
  <c r="F13" i="18"/>
  <c r="G13" i="18" s="1"/>
  <c r="F28" i="18"/>
  <c r="G28" i="18" s="1"/>
  <c r="F21" i="18"/>
  <c r="G21" i="18" s="1"/>
  <c r="F17" i="18"/>
  <c r="G17" i="18" s="1"/>
  <c r="F10" i="18"/>
  <c r="G10" i="18" s="1"/>
  <c r="F69" i="18"/>
  <c r="G69" i="18" s="1"/>
  <c r="J69" i="18" s="1"/>
  <c r="F64" i="18"/>
  <c r="G64" i="18" s="1"/>
  <c r="J64" i="18" s="1"/>
  <c r="F56" i="18"/>
  <c r="G56" i="18" s="1"/>
  <c r="F48" i="18"/>
  <c r="G48" i="18" s="1"/>
  <c r="F40" i="18"/>
  <c r="G40" i="18" s="1"/>
  <c r="F14" i="18"/>
  <c r="G14" i="18" s="1"/>
  <c r="F6" i="18"/>
  <c r="G6" i="18" s="1"/>
  <c r="F67" i="18"/>
  <c r="G67" i="18" s="1"/>
  <c r="J67" i="18" s="1"/>
  <c r="F59" i="18"/>
  <c r="G59" i="18" s="1"/>
  <c r="F51" i="18"/>
  <c r="G51" i="18" s="1"/>
  <c r="J51" i="18" s="1"/>
  <c r="F43" i="18"/>
  <c r="G43" i="18" s="1"/>
  <c r="F35" i="18"/>
  <c r="G35" i="18" s="1"/>
  <c r="J35" i="18" s="1"/>
  <c r="F32" i="18"/>
  <c r="G32" i="18" s="1"/>
  <c r="J32" i="18" s="1"/>
  <c r="F25" i="18"/>
  <c r="G25" i="18" s="1"/>
  <c r="J25" i="18" s="1"/>
  <c r="F62" i="18"/>
  <c r="G62" i="18" s="1"/>
  <c r="F54" i="18"/>
  <c r="G54" i="18" s="1"/>
  <c r="F46" i="18"/>
  <c r="G46" i="18" s="1"/>
  <c r="J46" i="18" s="1"/>
  <c r="F38" i="18"/>
  <c r="G38" i="18" s="1"/>
  <c r="J38" i="18" s="1"/>
  <c r="F22" i="18"/>
  <c r="G22" i="18" s="1"/>
  <c r="J22" i="18" s="1"/>
  <c r="F18" i="18"/>
  <c r="G18" i="18" s="1"/>
  <c r="J18" i="18" s="1"/>
  <c r="F29" i="18"/>
  <c r="G29" i="18" s="1"/>
  <c r="J29" i="18" s="1"/>
  <c r="F11" i="18"/>
  <c r="G11" i="18" s="1"/>
  <c r="J11" i="18" s="1"/>
  <c r="F7" i="18"/>
  <c r="G7" i="18" s="1"/>
  <c r="J7" i="18" s="1"/>
  <c r="F65" i="18"/>
  <c r="G65" i="18" s="1"/>
  <c r="F57" i="18"/>
  <c r="G57" i="18" s="1"/>
  <c r="J57" i="18" s="1"/>
  <c r="F49" i="18"/>
  <c r="G49" i="18" s="1"/>
  <c r="J49" i="18" s="1"/>
  <c r="F41" i="18"/>
  <c r="G41" i="18" s="1"/>
  <c r="F26" i="18"/>
  <c r="G26" i="18" s="1"/>
  <c r="F15" i="18"/>
  <c r="G15" i="18" s="1"/>
  <c r="F33" i="18"/>
  <c r="G33" i="18" s="1"/>
  <c r="F23" i="18"/>
  <c r="G23" i="18" s="1"/>
  <c r="J23" i="18" s="1"/>
  <c r="F19" i="18"/>
  <c r="G19" i="18" s="1"/>
  <c r="J19" i="18" s="1"/>
  <c r="F70" i="18"/>
  <c r="F60" i="18"/>
  <c r="G60" i="18" s="1"/>
  <c r="J60" i="18" s="1"/>
  <c r="F52" i="18"/>
  <c r="G52" i="18" s="1"/>
  <c r="J52" i="18" s="1"/>
  <c r="F44" i="18"/>
  <c r="G44" i="18" s="1"/>
  <c r="J44" i="18" s="1"/>
  <c r="F36" i="18"/>
  <c r="G36" i="18" s="1"/>
  <c r="J36" i="18" s="1"/>
  <c r="F30" i="18"/>
  <c r="G30" i="18" s="1"/>
  <c r="J30" i="18" s="1"/>
  <c r="F12" i="18"/>
  <c r="G12" i="18" s="1"/>
  <c r="J12" i="18" s="1"/>
  <c r="F8" i="18"/>
  <c r="G8" i="18" s="1"/>
  <c r="J8" i="18" s="1"/>
  <c r="I15" i="12"/>
  <c r="J15" i="12" s="1"/>
  <c r="I24" i="12"/>
  <c r="J24" i="12" s="1"/>
  <c r="I28" i="12"/>
  <c r="I32" i="12"/>
  <c r="I36" i="12"/>
  <c r="I40" i="12"/>
  <c r="I44" i="12"/>
  <c r="J44" i="12" s="1"/>
  <c r="I48" i="12"/>
  <c r="J48" i="12" s="1"/>
  <c r="I52" i="12"/>
  <c r="J52" i="12" s="1"/>
  <c r="I56" i="12"/>
  <c r="I60" i="12"/>
  <c r="J60" i="12" s="1"/>
  <c r="I64" i="12"/>
  <c r="I68" i="12"/>
  <c r="I10" i="14"/>
  <c r="I68" i="14"/>
  <c r="I64" i="14"/>
  <c r="I60" i="14"/>
  <c r="I56" i="14"/>
  <c r="J56" i="14" s="1"/>
  <c r="I52" i="14"/>
  <c r="G10" i="14"/>
  <c r="J10" i="14" s="1"/>
  <c r="G21" i="14"/>
  <c r="J21" i="14" s="1"/>
  <c r="G28" i="14"/>
  <c r="I35" i="14"/>
  <c r="I53" i="14"/>
  <c r="G60" i="14"/>
  <c r="F69" i="14"/>
  <c r="G69" i="14" s="1"/>
  <c r="J69" i="14" s="1"/>
  <c r="J17" i="16"/>
  <c r="R17" i="16" s="1"/>
  <c r="G64" i="16"/>
  <c r="J3" i="14"/>
  <c r="I21" i="14"/>
  <c r="I28" i="14"/>
  <c r="G31" i="14"/>
  <c r="J31" i="14" s="1"/>
  <c r="G41" i="14"/>
  <c r="G47" i="14"/>
  <c r="G55" i="14"/>
  <c r="I69" i="14"/>
  <c r="J15" i="16"/>
  <c r="J19" i="16"/>
  <c r="R19" i="16" s="1"/>
  <c r="D70" i="12"/>
  <c r="G9" i="14"/>
  <c r="J9" i="14" s="1"/>
  <c r="G13" i="14"/>
  <c r="J13" i="14" s="1"/>
  <c r="G24" i="14"/>
  <c r="I38" i="14"/>
  <c r="J38" i="14" s="1"/>
  <c r="I41" i="14"/>
  <c r="G44" i="14"/>
  <c r="I47" i="14"/>
  <c r="I55" i="14"/>
  <c r="I62" i="14"/>
  <c r="J62" i="14" s="1"/>
  <c r="G58" i="16"/>
  <c r="F63" i="18"/>
  <c r="G63" i="18" s="1"/>
  <c r="J63" i="18" s="1"/>
  <c r="I24" i="14"/>
  <c r="G27" i="14"/>
  <c r="J27" i="14" s="1"/>
  <c r="I44" i="14"/>
  <c r="I50" i="14"/>
  <c r="J50" i="14" s="1"/>
  <c r="G57" i="14"/>
  <c r="G64" i="14"/>
  <c r="K66" i="15"/>
  <c r="F46" i="12"/>
  <c r="G46" i="12" s="1"/>
  <c r="J46" i="12" s="1"/>
  <c r="F50" i="12"/>
  <c r="G50" i="12" s="1"/>
  <c r="J50" i="12" s="1"/>
  <c r="F54" i="12"/>
  <c r="G54" i="12" s="1"/>
  <c r="J54" i="12" s="1"/>
  <c r="F58" i="12"/>
  <c r="G58" i="12" s="1"/>
  <c r="J58" i="12" s="1"/>
  <c r="F62" i="12"/>
  <c r="G62" i="12" s="1"/>
  <c r="J62" i="12" s="1"/>
  <c r="F66" i="12"/>
  <c r="G66" i="12" s="1"/>
  <c r="J66" i="12" s="1"/>
  <c r="F70" i="12"/>
  <c r="I5" i="14"/>
  <c r="J5" i="14" s="1"/>
  <c r="I16" i="14"/>
  <c r="J16" i="14" s="1"/>
  <c r="I27" i="14"/>
  <c r="F30" i="14"/>
  <c r="G30" i="14" s="1"/>
  <c r="J30" i="14" s="1"/>
  <c r="I34" i="14"/>
  <c r="J34" i="14" s="1"/>
  <c r="F52" i="14"/>
  <c r="G52" i="14" s="1"/>
  <c r="I57" i="14"/>
  <c r="F59" i="14"/>
  <c r="G59" i="14" s="1"/>
  <c r="D70" i="16"/>
  <c r="E6" i="16"/>
  <c r="E70" i="16" s="1"/>
  <c r="K66" i="17"/>
  <c r="F39" i="18"/>
  <c r="G39" i="18" s="1"/>
  <c r="J39" i="18" s="1"/>
  <c r="D70" i="22"/>
  <c r="E6" i="22"/>
  <c r="E70" i="22" s="1"/>
  <c r="I20" i="14"/>
  <c r="J20" i="14" s="1"/>
  <c r="F23" i="14"/>
  <c r="G23" i="14" s="1"/>
  <c r="J23" i="14" s="1"/>
  <c r="F33" i="14"/>
  <c r="G33" i="14" s="1"/>
  <c r="I37" i="14"/>
  <c r="J37" i="14" s="1"/>
  <c r="F40" i="14"/>
  <c r="G40" i="14" s="1"/>
  <c r="F43" i="14"/>
  <c r="G43" i="14" s="1"/>
  <c r="J43" i="14" s="1"/>
  <c r="F46" i="14"/>
  <c r="G46" i="14" s="1"/>
  <c r="J46" i="14" s="1"/>
  <c r="F49" i="14"/>
  <c r="G49" i="14" s="1"/>
  <c r="J49" i="14" s="1"/>
  <c r="I59" i="14"/>
  <c r="I66" i="14"/>
  <c r="J66" i="14" s="1"/>
  <c r="F70" i="14"/>
  <c r="G61" i="14"/>
  <c r="J61" i="14" s="1"/>
  <c r="G68" i="14"/>
  <c r="J68" i="14" s="1"/>
  <c r="G22" i="16"/>
  <c r="J22" i="16" s="1"/>
  <c r="R22" i="16" s="1"/>
  <c r="G26" i="16"/>
  <c r="J26" i="16" s="1"/>
  <c r="R26" i="16" s="1"/>
  <c r="G30" i="16"/>
  <c r="J30" i="16" s="1"/>
  <c r="R30" i="16" s="1"/>
  <c r="G34" i="16"/>
  <c r="J34" i="16" s="1"/>
  <c r="R34" i="16" s="1"/>
  <c r="G38" i="16"/>
  <c r="J38" i="16" s="1"/>
  <c r="R38" i="16" s="1"/>
  <c r="F25" i="12"/>
  <c r="G25" i="12" s="1"/>
  <c r="J25" i="12" s="1"/>
  <c r="F29" i="12"/>
  <c r="G29" i="12" s="1"/>
  <c r="J29" i="12" s="1"/>
  <c r="F33" i="12"/>
  <c r="G33" i="12" s="1"/>
  <c r="J33" i="12" s="1"/>
  <c r="F37" i="12"/>
  <c r="G37" i="12" s="1"/>
  <c r="J37" i="12" s="1"/>
  <c r="F41" i="12"/>
  <c r="G41" i="12" s="1"/>
  <c r="J41" i="12" s="1"/>
  <c r="F45" i="12"/>
  <c r="G45" i="12" s="1"/>
  <c r="J45" i="12" s="1"/>
  <c r="F49" i="12"/>
  <c r="G49" i="12" s="1"/>
  <c r="J49" i="12" s="1"/>
  <c r="F53" i="12"/>
  <c r="G53" i="12" s="1"/>
  <c r="J53" i="12" s="1"/>
  <c r="F57" i="12"/>
  <c r="G57" i="12" s="1"/>
  <c r="J57" i="12" s="1"/>
  <c r="F61" i="12"/>
  <c r="G61" i="12" s="1"/>
  <c r="J61" i="12" s="1"/>
  <c r="F65" i="12"/>
  <c r="G65" i="12" s="1"/>
  <c r="J65" i="12" s="1"/>
  <c r="F11" i="14"/>
  <c r="G11" i="14" s="1"/>
  <c r="J11" i="14" s="1"/>
  <c r="F19" i="14"/>
  <c r="G19" i="14" s="1"/>
  <c r="F29" i="14"/>
  <c r="G29" i="14" s="1"/>
  <c r="J29" i="14" s="1"/>
  <c r="I33" i="14"/>
  <c r="F36" i="14"/>
  <c r="G36" i="14" s="1"/>
  <c r="J36" i="14" s="1"/>
  <c r="I40" i="14"/>
  <c r="I46" i="14"/>
  <c r="I61" i="14"/>
  <c r="F63" i="14"/>
  <c r="G63" i="14" s="1"/>
  <c r="G12" i="16"/>
  <c r="J12" i="16" s="1"/>
  <c r="R12" i="16" s="1"/>
  <c r="G24" i="16"/>
  <c r="J24" i="16" s="1"/>
  <c r="R24" i="16" s="1"/>
  <c r="G28" i="16"/>
  <c r="J28" i="16" s="1"/>
  <c r="G32" i="16"/>
  <c r="J32" i="16" s="1"/>
  <c r="G36" i="16"/>
  <c r="J36" i="16" s="1"/>
  <c r="F68" i="18"/>
  <c r="G68" i="18" s="1"/>
  <c r="D70" i="14"/>
  <c r="I7" i="14"/>
  <c r="I15" i="14"/>
  <c r="J15" i="14" s="1"/>
  <c r="I19" i="14"/>
  <c r="I26" i="14"/>
  <c r="J26" i="14" s="1"/>
  <c r="F51" i="14"/>
  <c r="G51" i="14" s="1"/>
  <c r="J51" i="14" s="1"/>
  <c r="I54" i="14"/>
  <c r="J54" i="14" s="1"/>
  <c r="I63" i="14"/>
  <c r="F47" i="18"/>
  <c r="G47" i="18" s="1"/>
  <c r="J47" i="18" s="1"/>
  <c r="F42" i="16"/>
  <c r="G42" i="16" s="1"/>
  <c r="J42" i="16" s="1"/>
  <c r="R42" i="16" s="1"/>
  <c r="F46" i="16"/>
  <c r="G46" i="16" s="1"/>
  <c r="J46" i="16" s="1"/>
  <c r="R46" i="16" s="1"/>
  <c r="F50" i="16"/>
  <c r="G50" i="16" s="1"/>
  <c r="J50" i="16" s="1"/>
  <c r="R50" i="16" s="1"/>
  <c r="F54" i="16"/>
  <c r="G54" i="16" s="1"/>
  <c r="J54" i="16" s="1"/>
  <c r="F61" i="16"/>
  <c r="G61" i="16" s="1"/>
  <c r="J61" i="16" s="1"/>
  <c r="F68" i="16"/>
  <c r="G68" i="16" s="1"/>
  <c r="J68" i="16" s="1"/>
  <c r="R68" i="16" s="1"/>
  <c r="G26" i="20"/>
  <c r="J26" i="20" s="1"/>
  <c r="G28" i="20"/>
  <c r="J28" i="20" s="1"/>
  <c r="G49" i="20"/>
  <c r="J49" i="20" s="1"/>
  <c r="G51" i="20"/>
  <c r="J51" i="20" s="1"/>
  <c r="K66" i="21"/>
  <c r="F7" i="16"/>
  <c r="G7" i="16" s="1"/>
  <c r="J7" i="16" s="1"/>
  <c r="R7" i="16" s="1"/>
  <c r="K43" i="16"/>
  <c r="K47" i="16"/>
  <c r="K51" i="16"/>
  <c r="K55" i="16"/>
  <c r="I58" i="16"/>
  <c r="K62" i="16"/>
  <c r="I68" i="18"/>
  <c r="G45" i="20"/>
  <c r="J45" i="20" s="1"/>
  <c r="G47" i="20"/>
  <c r="G64" i="20"/>
  <c r="J64" i="20" s="1"/>
  <c r="J28" i="22"/>
  <c r="F16" i="16"/>
  <c r="G16" i="16" s="1"/>
  <c r="J16" i="16" s="1"/>
  <c r="R16" i="16" s="1"/>
  <c r="F25" i="16"/>
  <c r="G25" i="16" s="1"/>
  <c r="J25" i="16" s="1"/>
  <c r="F29" i="16"/>
  <c r="G29" i="16" s="1"/>
  <c r="J29" i="16" s="1"/>
  <c r="R29" i="16" s="1"/>
  <c r="F33" i="16"/>
  <c r="G33" i="16" s="1"/>
  <c r="J33" i="16" s="1"/>
  <c r="R33" i="16" s="1"/>
  <c r="F37" i="16"/>
  <c r="G37" i="16" s="1"/>
  <c r="J37" i="16" s="1"/>
  <c r="R37" i="16" s="1"/>
  <c r="F41" i="16"/>
  <c r="G41" i="16" s="1"/>
  <c r="J41" i="16" s="1"/>
  <c r="F45" i="16"/>
  <c r="G45" i="16" s="1"/>
  <c r="J45" i="16" s="1"/>
  <c r="F49" i="16"/>
  <c r="G49" i="16" s="1"/>
  <c r="J49" i="16" s="1"/>
  <c r="F53" i="16"/>
  <c r="G53" i="16" s="1"/>
  <c r="J53" i="16" s="1"/>
  <c r="K58" i="16"/>
  <c r="I33" i="18"/>
  <c r="I41" i="18"/>
  <c r="I49" i="18"/>
  <c r="I57" i="18"/>
  <c r="I65" i="18"/>
  <c r="G37" i="20"/>
  <c r="J37" i="20" s="1"/>
  <c r="G39" i="20"/>
  <c r="J39" i="20" s="1"/>
  <c r="G62" i="20"/>
  <c r="J62" i="20" s="1"/>
  <c r="G69" i="20"/>
  <c r="F6" i="16"/>
  <c r="G6" i="16" s="1"/>
  <c r="F11" i="16"/>
  <c r="G11" i="16" s="1"/>
  <c r="J11" i="16" s="1"/>
  <c r="R11" i="16" s="1"/>
  <c r="F20" i="16"/>
  <c r="G20" i="16" s="1"/>
  <c r="J20" i="16" s="1"/>
  <c r="R20" i="16" s="1"/>
  <c r="K54" i="16"/>
  <c r="I57" i="16"/>
  <c r="F60" i="16"/>
  <c r="G60" i="16" s="1"/>
  <c r="J60" i="16" s="1"/>
  <c r="R60" i="16" s="1"/>
  <c r="K61" i="16"/>
  <c r="I64" i="16"/>
  <c r="F67" i="16"/>
  <c r="G67" i="16" s="1"/>
  <c r="J67" i="16" s="1"/>
  <c r="F70" i="16"/>
  <c r="D70" i="18"/>
  <c r="I15" i="18"/>
  <c r="I26" i="18"/>
  <c r="G33" i="20"/>
  <c r="J33" i="20" s="1"/>
  <c r="G35" i="20"/>
  <c r="J35" i="20" s="1"/>
  <c r="G58" i="20"/>
  <c r="J58" i="20" s="1"/>
  <c r="G60" i="20"/>
  <c r="J60" i="20" s="1"/>
  <c r="E70" i="18"/>
  <c r="I54" i="18"/>
  <c r="I62" i="18"/>
  <c r="G29" i="20"/>
  <c r="J29" i="20" s="1"/>
  <c r="G31" i="20"/>
  <c r="G54" i="20"/>
  <c r="J54" i="20" s="1"/>
  <c r="G56" i="20"/>
  <c r="J56" i="20" s="1"/>
  <c r="G67" i="20"/>
  <c r="J16" i="22"/>
  <c r="R16" i="22" s="1"/>
  <c r="F40" i="16"/>
  <c r="G40" i="16" s="1"/>
  <c r="J40" i="16" s="1"/>
  <c r="R40" i="16" s="1"/>
  <c r="F44" i="16"/>
  <c r="G44" i="16" s="1"/>
  <c r="F48" i="16"/>
  <c r="G48" i="16" s="1"/>
  <c r="J48" i="16" s="1"/>
  <c r="R48" i="16" s="1"/>
  <c r="F52" i="16"/>
  <c r="G52" i="16" s="1"/>
  <c r="J52" i="16" s="1"/>
  <c r="R52" i="16" s="1"/>
  <c r="F56" i="16"/>
  <c r="G56" i="16" s="1"/>
  <c r="J56" i="16" s="1"/>
  <c r="R56" i="16" s="1"/>
  <c r="F63" i="16"/>
  <c r="G63" i="16" s="1"/>
  <c r="I43" i="18"/>
  <c r="I51" i="18"/>
  <c r="I59" i="18"/>
  <c r="G19" i="20"/>
  <c r="J19" i="20" s="1"/>
  <c r="G11" i="20"/>
  <c r="J11" i="20" s="1"/>
  <c r="G6" i="20"/>
  <c r="G25" i="20"/>
  <c r="J25" i="20" s="1"/>
  <c r="G27" i="20"/>
  <c r="G50" i="20"/>
  <c r="J50" i="20" s="1"/>
  <c r="G52" i="20"/>
  <c r="J52" i="20" s="1"/>
  <c r="J21" i="22"/>
  <c r="R21" i="22" s="1"/>
  <c r="F10" i="16"/>
  <c r="G10" i="16" s="1"/>
  <c r="J10" i="16" s="1"/>
  <c r="R10" i="16" s="1"/>
  <c r="K16" i="16"/>
  <c r="K25" i="16"/>
  <c r="K29" i="16"/>
  <c r="K33" i="16"/>
  <c r="K37" i="16"/>
  <c r="K41" i="16"/>
  <c r="K45" i="16"/>
  <c r="K49" i="16"/>
  <c r="K53" i="16"/>
  <c r="I63" i="16"/>
  <c r="F66" i="16"/>
  <c r="G66" i="16" s="1"/>
  <c r="J66" i="16" s="1"/>
  <c r="R66" i="16" s="1"/>
  <c r="K67" i="16"/>
  <c r="I14" i="18"/>
  <c r="I25" i="18"/>
  <c r="I32" i="18"/>
  <c r="I69" i="18"/>
  <c r="G9" i="20"/>
  <c r="G17" i="20"/>
  <c r="J17" i="20" s="1"/>
  <c r="G21" i="20"/>
  <c r="J21" i="20" s="1"/>
  <c r="G23" i="20"/>
  <c r="G46" i="20"/>
  <c r="J46" i="20" s="1"/>
  <c r="G48" i="20"/>
  <c r="J48" i="20" s="1"/>
  <c r="G65" i="20"/>
  <c r="J65" i="20" s="1"/>
  <c r="F14" i="16"/>
  <c r="G14" i="16" s="1"/>
  <c r="I44" i="16"/>
  <c r="I48" i="16"/>
  <c r="I52" i="16"/>
  <c r="I56" i="16"/>
  <c r="F59" i="16"/>
  <c r="G59" i="16" s="1"/>
  <c r="J59" i="16" s="1"/>
  <c r="R59" i="16" s="1"/>
  <c r="F69" i="16"/>
  <c r="G69" i="16" s="1"/>
  <c r="J69" i="16" s="1"/>
  <c r="R69" i="16" s="1"/>
  <c r="I6" i="18"/>
  <c r="I40" i="18"/>
  <c r="I48" i="18"/>
  <c r="I56" i="18"/>
  <c r="I64" i="18"/>
  <c r="D70" i="20"/>
  <c r="G13" i="20"/>
  <c r="J13" i="20" s="1"/>
  <c r="G15" i="20"/>
  <c r="J15" i="20" s="1"/>
  <c r="G42" i="20"/>
  <c r="J42" i="20" s="1"/>
  <c r="G44" i="20"/>
  <c r="J44" i="20" s="1"/>
  <c r="J39" i="22"/>
  <c r="R39" i="22" s="1"/>
  <c r="F9" i="16"/>
  <c r="G9" i="16" s="1"/>
  <c r="J9" i="16" s="1"/>
  <c r="R9" i="16" s="1"/>
  <c r="F18" i="16"/>
  <c r="G18" i="16" s="1"/>
  <c r="J18" i="16" s="1"/>
  <c r="R18" i="16" s="1"/>
  <c r="F23" i="16"/>
  <c r="G23" i="16" s="1"/>
  <c r="J23" i="16" s="1"/>
  <c r="R23" i="16" s="1"/>
  <c r="F27" i="16"/>
  <c r="G27" i="16" s="1"/>
  <c r="J27" i="16" s="1"/>
  <c r="R27" i="16" s="1"/>
  <c r="F31" i="16"/>
  <c r="G31" i="16" s="1"/>
  <c r="J31" i="16" s="1"/>
  <c r="R31" i="16" s="1"/>
  <c r="F35" i="16"/>
  <c r="G35" i="16" s="1"/>
  <c r="J35" i="16" s="1"/>
  <c r="R35" i="16" s="1"/>
  <c r="F39" i="16"/>
  <c r="G39" i="16" s="1"/>
  <c r="J39" i="16" s="1"/>
  <c r="R39" i="16" s="1"/>
  <c r="F43" i="16"/>
  <c r="G43" i="16" s="1"/>
  <c r="J43" i="16" s="1"/>
  <c r="F47" i="16"/>
  <c r="G47" i="16" s="1"/>
  <c r="J47" i="16" s="1"/>
  <c r="F51" i="16"/>
  <c r="G51" i="16" s="1"/>
  <c r="J51" i="16" s="1"/>
  <c r="F55" i="16"/>
  <c r="G55" i="16" s="1"/>
  <c r="J55" i="16" s="1"/>
  <c r="R55" i="16" s="1"/>
  <c r="I59" i="16"/>
  <c r="F62" i="16"/>
  <c r="G62" i="16" s="1"/>
  <c r="J62" i="16" s="1"/>
  <c r="I66" i="16"/>
  <c r="I10" i="18"/>
  <c r="I17" i="18"/>
  <c r="I21" i="18"/>
  <c r="I28" i="18"/>
  <c r="I37" i="18"/>
  <c r="I45" i="18"/>
  <c r="I53" i="18"/>
  <c r="I61" i="18"/>
  <c r="K66" i="19"/>
  <c r="E6" i="20"/>
  <c r="E70" i="20" s="1"/>
  <c r="G38" i="20"/>
  <c r="J38" i="20" s="1"/>
  <c r="G40" i="20"/>
  <c r="J40" i="20" s="1"/>
  <c r="G61" i="20"/>
  <c r="J61" i="20" s="1"/>
  <c r="G63" i="20"/>
  <c r="J20" i="22"/>
  <c r="R20" i="22" s="1"/>
  <c r="K68" i="16"/>
  <c r="K64" i="16"/>
  <c r="K60" i="16"/>
  <c r="K56" i="16"/>
  <c r="I14" i="16"/>
  <c r="I70" i="16" s="1"/>
  <c r="T14" i="16" s="1"/>
  <c r="K15" i="16"/>
  <c r="K19" i="16"/>
  <c r="K24" i="16"/>
  <c r="K28" i="16"/>
  <c r="K32" i="16"/>
  <c r="K36" i="16"/>
  <c r="K40" i="16"/>
  <c r="K44" i="16"/>
  <c r="K48" i="16"/>
  <c r="K52" i="16"/>
  <c r="I13" i="18"/>
  <c r="I31" i="18"/>
  <c r="G34" i="20"/>
  <c r="J34" i="20" s="1"/>
  <c r="G36" i="20"/>
  <c r="J36" i="20" s="1"/>
  <c r="G57" i="20"/>
  <c r="J57" i="20" s="1"/>
  <c r="G59" i="20"/>
  <c r="J59" i="20" s="1"/>
  <c r="G68" i="20"/>
  <c r="J68" i="20" s="1"/>
  <c r="T9" i="22"/>
  <c r="J69" i="22" s="1"/>
  <c r="R69" i="22" s="1"/>
  <c r="G29" i="22"/>
  <c r="I32" i="22"/>
  <c r="I40" i="22"/>
  <c r="I48" i="22"/>
  <c r="F53" i="22"/>
  <c r="G53" i="22" s="1"/>
  <c r="J53" i="22" s="1"/>
  <c r="R53" i="22" s="1"/>
  <c r="I60" i="22"/>
  <c r="F64" i="22"/>
  <c r="G64" i="22" s="1"/>
  <c r="J64" i="22" s="1"/>
  <c r="R64" i="22" s="1"/>
  <c r="K69" i="22"/>
  <c r="E70" i="24"/>
  <c r="I12" i="20"/>
  <c r="J12" i="20" s="1"/>
  <c r="F25" i="22"/>
  <c r="G25" i="22" s="1"/>
  <c r="J25" i="22" s="1"/>
  <c r="R25" i="22" s="1"/>
  <c r="I29" i="22"/>
  <c r="F37" i="22"/>
  <c r="G37" i="22" s="1"/>
  <c r="J37" i="22" s="1"/>
  <c r="R37" i="22" s="1"/>
  <c r="F45" i="22"/>
  <c r="G45" i="22" s="1"/>
  <c r="F55" i="22"/>
  <c r="G55" i="22" s="1"/>
  <c r="F62" i="22"/>
  <c r="G62" i="22" s="1"/>
  <c r="J62" i="22" s="1"/>
  <c r="R62" i="22" s="1"/>
  <c r="U15" i="26"/>
  <c r="I65" i="20"/>
  <c r="I69" i="20"/>
  <c r="G6" i="22"/>
  <c r="G11" i="22"/>
  <c r="J11" i="22" s="1"/>
  <c r="R11" i="22" s="1"/>
  <c r="G34" i="22"/>
  <c r="J34" i="22" s="1"/>
  <c r="R34" i="22" s="1"/>
  <c r="G42" i="22"/>
  <c r="G50" i="22"/>
  <c r="J50" i="22" s="1"/>
  <c r="I55" i="22"/>
  <c r="I64" i="22"/>
  <c r="V7" i="26"/>
  <c r="F66" i="22"/>
  <c r="G66" i="22" s="1"/>
  <c r="I20" i="20"/>
  <c r="J20" i="20" s="1"/>
  <c r="I69" i="22"/>
  <c r="I65" i="22"/>
  <c r="I61" i="22"/>
  <c r="I57" i="22"/>
  <c r="I53" i="22"/>
  <c r="I49" i="22"/>
  <c r="I45" i="22"/>
  <c r="I41" i="22"/>
  <c r="I37" i="22"/>
  <c r="I33" i="22"/>
  <c r="I66" i="22"/>
  <c r="I62" i="22"/>
  <c r="I58" i="22"/>
  <c r="I20" i="22"/>
  <c r="F24" i="22"/>
  <c r="G24" i="22" s="1"/>
  <c r="J24" i="22" s="1"/>
  <c r="R24" i="22" s="1"/>
  <c r="I31" i="22"/>
  <c r="F36" i="22"/>
  <c r="G36" i="22" s="1"/>
  <c r="I39" i="22"/>
  <c r="F44" i="22"/>
  <c r="G44" i="22" s="1"/>
  <c r="I47" i="22"/>
  <c r="F52" i="22"/>
  <c r="G52" i="22" s="1"/>
  <c r="F57" i="22"/>
  <c r="G57" i="22" s="1"/>
  <c r="F59" i="22"/>
  <c r="G59" i="22" s="1"/>
  <c r="J59" i="22" s="1"/>
  <c r="R59" i="22" s="1"/>
  <c r="I68" i="22"/>
  <c r="F70" i="22"/>
  <c r="K70" i="22"/>
  <c r="I59" i="22"/>
  <c r="I4" i="22"/>
  <c r="I70" i="22" s="1"/>
  <c r="T13" i="22" s="1"/>
  <c r="F9" i="22"/>
  <c r="G9" i="22" s="1"/>
  <c r="I10" i="22"/>
  <c r="F14" i="22"/>
  <c r="G14" i="22" s="1"/>
  <c r="F18" i="22"/>
  <c r="G18" i="22" s="1"/>
  <c r="I19" i="22"/>
  <c r="K20" i="22"/>
  <c r="I24" i="22"/>
  <c r="F27" i="22"/>
  <c r="G27" i="22" s="1"/>
  <c r="J27" i="22" s="1"/>
  <c r="R27" i="22" s="1"/>
  <c r="I36" i="22"/>
  <c r="I44" i="22"/>
  <c r="I52" i="22"/>
  <c r="F61" i="22"/>
  <c r="G61" i="22" s="1"/>
  <c r="F63" i="22"/>
  <c r="G63" i="22" s="1"/>
  <c r="G21" i="24"/>
  <c r="G27" i="24"/>
  <c r="G43" i="24"/>
  <c r="K66" i="22"/>
  <c r="K62" i="22"/>
  <c r="K58" i="22"/>
  <c r="K54" i="22"/>
  <c r="K50" i="22"/>
  <c r="K46" i="22"/>
  <c r="K42" i="22"/>
  <c r="K38" i="22"/>
  <c r="K34" i="22"/>
  <c r="K30" i="22"/>
  <c r="K26" i="22"/>
  <c r="K67" i="22"/>
  <c r="K63" i="22"/>
  <c r="K59" i="22"/>
  <c r="K55" i="22"/>
  <c r="K51" i="22"/>
  <c r="K47" i="22"/>
  <c r="K43" i="22"/>
  <c r="K39" i="22"/>
  <c r="K35" i="22"/>
  <c r="K31" i="22"/>
  <c r="K68" i="22"/>
  <c r="K64" i="22"/>
  <c r="K60" i="22"/>
  <c r="K56" i="22"/>
  <c r="K52" i="22"/>
  <c r="K15" i="22"/>
  <c r="F23" i="22"/>
  <c r="G23" i="22" s="1"/>
  <c r="J23" i="22" s="1"/>
  <c r="R23" i="22" s="1"/>
  <c r="K28" i="22"/>
  <c r="F33" i="22"/>
  <c r="G33" i="22" s="1"/>
  <c r="F41" i="22"/>
  <c r="G41" i="22" s="1"/>
  <c r="J41" i="22" s="1"/>
  <c r="R41" i="22" s="1"/>
  <c r="F49" i="22"/>
  <c r="G49" i="22" s="1"/>
  <c r="F54" i="22"/>
  <c r="G54" i="22" s="1"/>
  <c r="I63" i="22"/>
  <c r="X5" i="26"/>
  <c r="V5" i="26"/>
  <c r="I5" i="20"/>
  <c r="I9" i="20"/>
  <c r="I14" i="20"/>
  <c r="J14" i="20" s="1"/>
  <c r="I18" i="20"/>
  <c r="J18" i="20" s="1"/>
  <c r="I23" i="20"/>
  <c r="I27" i="20"/>
  <c r="I31" i="20"/>
  <c r="I35" i="20"/>
  <c r="I39" i="20"/>
  <c r="I43" i="20"/>
  <c r="J43" i="20" s="1"/>
  <c r="I47" i="20"/>
  <c r="I51" i="20"/>
  <c r="I55" i="20"/>
  <c r="J55" i="20" s="1"/>
  <c r="I59" i="20"/>
  <c r="I63" i="20"/>
  <c r="I67" i="20"/>
  <c r="I5" i="22"/>
  <c r="F8" i="22"/>
  <c r="G8" i="22" s="1"/>
  <c r="I9" i="22"/>
  <c r="K10" i="22"/>
  <c r="F13" i="22"/>
  <c r="G13" i="22" s="1"/>
  <c r="I14" i="22"/>
  <c r="I18" i="22"/>
  <c r="K19" i="22"/>
  <c r="K24" i="22"/>
  <c r="I27" i="22"/>
  <c r="F30" i="22"/>
  <c r="G30" i="22" s="1"/>
  <c r="J30" i="22" s="1"/>
  <c r="R30" i="22" s="1"/>
  <c r="F35" i="22"/>
  <c r="G35" i="22" s="1"/>
  <c r="J35" i="22" s="1"/>
  <c r="R35" i="22" s="1"/>
  <c r="K36" i="22"/>
  <c r="F38" i="22"/>
  <c r="G38" i="22" s="1"/>
  <c r="J38" i="22" s="1"/>
  <c r="R38" i="22" s="1"/>
  <c r="F43" i="22"/>
  <c r="G43" i="22" s="1"/>
  <c r="J43" i="22" s="1"/>
  <c r="R43" i="22" s="1"/>
  <c r="K44" i="22"/>
  <c r="F46" i="22"/>
  <c r="G46" i="22" s="1"/>
  <c r="F51" i="22"/>
  <c r="G51" i="22" s="1"/>
  <c r="I54" i="22"/>
  <c r="F56" i="22"/>
  <c r="G56" i="22" s="1"/>
  <c r="K61" i="22"/>
  <c r="F65" i="22"/>
  <c r="G65" i="22" s="1"/>
  <c r="J65" i="22" s="1"/>
  <c r="R65" i="22" s="1"/>
  <c r="F67" i="22"/>
  <c r="G67" i="22" s="1"/>
  <c r="J67" i="22" s="1"/>
  <c r="R67" i="22" s="1"/>
  <c r="G37" i="24"/>
  <c r="I38" i="22"/>
  <c r="I46" i="22"/>
  <c r="I67" i="22"/>
  <c r="G19" i="24"/>
  <c r="G31" i="24"/>
  <c r="G47" i="24"/>
  <c r="T15" i="26"/>
  <c r="I8" i="20"/>
  <c r="J8" i="20" s="1"/>
  <c r="F7" i="22"/>
  <c r="G7" i="22" s="1"/>
  <c r="J7" i="22" s="1"/>
  <c r="R7" i="22" s="1"/>
  <c r="I8" i="22"/>
  <c r="K9" i="22"/>
  <c r="I13" i="22"/>
  <c r="K14" i="22"/>
  <c r="K18" i="22"/>
  <c r="F22" i="22"/>
  <c r="G22" i="22" s="1"/>
  <c r="J22" i="22" s="1"/>
  <c r="R22" i="22" s="1"/>
  <c r="F26" i="22"/>
  <c r="G26" i="22" s="1"/>
  <c r="J26" i="22" s="1"/>
  <c r="K27" i="22"/>
  <c r="F32" i="22"/>
  <c r="G32" i="22" s="1"/>
  <c r="I35" i="22"/>
  <c r="F40" i="22"/>
  <c r="G40" i="22" s="1"/>
  <c r="J40" i="22" s="1"/>
  <c r="R40" i="22" s="1"/>
  <c r="I43" i="22"/>
  <c r="F48" i="22"/>
  <c r="G48" i="22" s="1"/>
  <c r="J48" i="22" s="1"/>
  <c r="R48" i="22" s="1"/>
  <c r="I51" i="22"/>
  <c r="I56" i="22"/>
  <c r="F60" i="22"/>
  <c r="G60" i="22" s="1"/>
  <c r="K65" i="22"/>
  <c r="G25" i="24"/>
  <c r="G51" i="24"/>
  <c r="F11" i="24"/>
  <c r="G11" i="24" s="1"/>
  <c r="F6" i="24"/>
  <c r="G6" i="24" s="1"/>
  <c r="F68" i="24"/>
  <c r="G68" i="24" s="1"/>
  <c r="F64" i="24"/>
  <c r="G64" i="24" s="1"/>
  <c r="F60" i="24"/>
  <c r="G60" i="24" s="1"/>
  <c r="F56" i="24"/>
  <c r="G56" i="24" s="1"/>
  <c r="F52" i="24"/>
  <c r="G52" i="24" s="1"/>
  <c r="F48" i="24"/>
  <c r="G48" i="24" s="1"/>
  <c r="F44" i="24"/>
  <c r="G44" i="24" s="1"/>
  <c r="F40" i="24"/>
  <c r="G40" i="24" s="1"/>
  <c r="F36" i="24"/>
  <c r="G36" i="24" s="1"/>
  <c r="F32" i="24"/>
  <c r="G32" i="24" s="1"/>
  <c r="F28" i="24"/>
  <c r="G28" i="24" s="1"/>
  <c r="F24" i="24"/>
  <c r="G24" i="24" s="1"/>
  <c r="F20" i="24"/>
  <c r="G20" i="24" s="1"/>
  <c r="F16" i="24"/>
  <c r="G16" i="24" s="1"/>
  <c r="F12" i="24"/>
  <c r="G12" i="24" s="1"/>
  <c r="F7" i="24"/>
  <c r="G7" i="24" s="1"/>
  <c r="F69" i="24"/>
  <c r="G69" i="24" s="1"/>
  <c r="F65" i="24"/>
  <c r="G65" i="24" s="1"/>
  <c r="F61" i="24"/>
  <c r="G61" i="24" s="1"/>
  <c r="F57" i="24"/>
  <c r="G57" i="24" s="1"/>
  <c r="F53" i="24"/>
  <c r="G53" i="24" s="1"/>
  <c r="F49" i="24"/>
  <c r="G49" i="24" s="1"/>
  <c r="F13" i="24"/>
  <c r="G13" i="24" s="1"/>
  <c r="F8" i="24"/>
  <c r="G8" i="24" s="1"/>
  <c r="F70" i="24"/>
  <c r="F66" i="24"/>
  <c r="G66" i="24" s="1"/>
  <c r="F62" i="24"/>
  <c r="G62" i="24" s="1"/>
  <c r="F58" i="24"/>
  <c r="G58" i="24" s="1"/>
  <c r="F54" i="24"/>
  <c r="G54" i="24" s="1"/>
  <c r="F50" i="24"/>
  <c r="G50" i="24" s="1"/>
  <c r="F46" i="24"/>
  <c r="G46" i="24" s="1"/>
  <c r="F42" i="24"/>
  <c r="G42" i="24" s="1"/>
  <c r="F38" i="24"/>
  <c r="G38" i="24" s="1"/>
  <c r="F34" i="24"/>
  <c r="G34" i="24" s="1"/>
  <c r="F30" i="24"/>
  <c r="G30" i="24" s="1"/>
  <c r="F26" i="24"/>
  <c r="G26" i="24" s="1"/>
  <c r="F22" i="24"/>
  <c r="G22" i="24" s="1"/>
  <c r="F18" i="24"/>
  <c r="G18" i="24" s="1"/>
  <c r="F14" i="24"/>
  <c r="G14" i="24" s="1"/>
  <c r="F9" i="24"/>
  <c r="G9" i="24" s="1"/>
  <c r="F10" i="24"/>
  <c r="G10" i="24" s="1"/>
  <c r="V8" i="26"/>
  <c r="V11" i="26"/>
  <c r="V14" i="26"/>
  <c r="I5" i="24"/>
  <c r="I9" i="24"/>
  <c r="I14" i="24"/>
  <c r="I18" i="24"/>
  <c r="I22" i="24"/>
  <c r="I26" i="24"/>
  <c r="I30" i="24"/>
  <c r="I34" i="24"/>
  <c r="I38" i="24"/>
  <c r="I42" i="24"/>
  <c r="I46" i="24"/>
  <c r="I50" i="24"/>
  <c r="I54" i="24"/>
  <c r="I58" i="24"/>
  <c r="I62" i="24"/>
  <c r="I66" i="24"/>
  <c r="I8" i="24"/>
  <c r="I70" i="24" s="1"/>
  <c r="I13" i="24"/>
  <c r="V6" i="26"/>
  <c r="I29" i="24"/>
  <c r="I33" i="24"/>
  <c r="I37" i="24"/>
  <c r="I41" i="24"/>
  <c r="I45" i="24"/>
  <c r="I49" i="24"/>
  <c r="I53" i="24"/>
  <c r="I57" i="24"/>
  <c r="I61" i="24"/>
  <c r="I65" i="24"/>
  <c r="I69" i="24"/>
  <c r="V4" i="26"/>
  <c r="T4" i="4" s="1"/>
  <c r="V9" i="26"/>
  <c r="V12" i="26"/>
  <c r="BC67" i="27"/>
  <c r="I12" i="24"/>
  <c r="T8" i="24"/>
  <c r="I16" i="24"/>
  <c r="I20" i="24"/>
  <c r="I24" i="24"/>
  <c r="I28" i="24"/>
  <c r="I32" i="24"/>
  <c r="I36" i="24"/>
  <c r="I40" i="24"/>
  <c r="I44" i="24"/>
  <c r="I48" i="24"/>
  <c r="I52" i="24"/>
  <c r="I56" i="24"/>
  <c r="I60" i="24"/>
  <c r="I64" i="24"/>
  <c r="AO50" i="27"/>
  <c r="AT18" i="27"/>
  <c r="AT17" i="27"/>
  <c r="AS37" i="27"/>
  <c r="AO44" i="27"/>
  <c r="AS8" i="27"/>
  <c r="AS15" i="27"/>
  <c r="AW30" i="27"/>
  <c r="AO29" i="27"/>
  <c r="AO14" i="27"/>
  <c r="AW59" i="27"/>
  <c r="AO28" i="27"/>
  <c r="AW22" i="27"/>
  <c r="AW37" i="27"/>
  <c r="AW17" i="27"/>
  <c r="AS23" i="27"/>
  <c r="AW51" i="27"/>
  <c r="AS18" i="27"/>
  <c r="AS16" i="27"/>
  <c r="AS11" i="27"/>
  <c r="AW52" i="27"/>
  <c r="AH9" i="27"/>
  <c r="AH7" i="27"/>
  <c r="AT38" i="27"/>
  <c r="AS7" i="27"/>
  <c r="AW61" i="27"/>
  <c r="AO24" i="27"/>
  <c r="AH6" i="27"/>
  <c r="AS6" i="27"/>
  <c r="AT32" i="27"/>
  <c r="AH16" i="27"/>
  <c r="AW8" i="27"/>
  <c r="AW42" i="27"/>
  <c r="AS55" i="27"/>
  <c r="AO20" i="27"/>
  <c r="AO15" i="27"/>
  <c r="AW16" i="27"/>
  <c r="AS29" i="27"/>
  <c r="AH32" i="27"/>
  <c r="AW56" i="27"/>
  <c r="AS45" i="27"/>
  <c r="AW41" i="27"/>
  <c r="AO4" i="27"/>
  <c r="AW6" i="27"/>
  <c r="AS32" i="27"/>
  <c r="AO62" i="27"/>
  <c r="AO11" i="27"/>
  <c r="AH23" i="27"/>
  <c r="AW33" i="27"/>
  <c r="AW46" i="27"/>
  <c r="AO33" i="27"/>
  <c r="AH8" i="27"/>
  <c r="AS38" i="27"/>
  <c r="AO13" i="27"/>
  <c r="AS47" i="27"/>
  <c r="AW53" i="27"/>
  <c r="AT4" i="27"/>
  <c r="AO5" i="27"/>
  <c r="AO38" i="27"/>
  <c r="AO3" i="27"/>
  <c r="AH39" i="27"/>
  <c r="AT56" i="27"/>
  <c r="AH5" i="27"/>
  <c r="AH30" i="27"/>
  <c r="AS35" i="27"/>
  <c r="AW18" i="27"/>
  <c r="AO54" i="27"/>
  <c r="AO56" i="27"/>
  <c r="AO66" i="27"/>
  <c r="AS13" i="27"/>
  <c r="AT35" i="27"/>
  <c r="AO6" i="27"/>
  <c r="AH18" i="27"/>
  <c r="AH26" i="27"/>
  <c r="AO23" i="27"/>
  <c r="AS58" i="27"/>
  <c r="AO41" i="27"/>
  <c r="AS66" i="27"/>
  <c r="AS54" i="27"/>
  <c r="AS56" i="27"/>
  <c r="AS42" i="27"/>
  <c r="AW47" i="27"/>
  <c r="AH35" i="27"/>
  <c r="AH14" i="27"/>
  <c r="AW23" i="27"/>
  <c r="AO34" i="27"/>
  <c r="AS17" i="27"/>
  <c r="AS30" i="27"/>
  <c r="AO17" i="27"/>
  <c r="AW27" i="27"/>
  <c r="AS5" i="27"/>
  <c r="AS46" i="27"/>
  <c r="AO64" i="27"/>
  <c r="AW45" i="27"/>
  <c r="AO61" i="27"/>
  <c r="AH28" i="27"/>
  <c r="AH17" i="27"/>
  <c r="AT22" i="27"/>
  <c r="AS62" i="27"/>
  <c r="AH54" i="27"/>
  <c r="AO49" i="27"/>
  <c r="AH13" i="27"/>
  <c r="AH37" i="27"/>
  <c r="AS20" i="27"/>
  <c r="AS43" i="27"/>
  <c r="AT64" i="27"/>
  <c r="AO47" i="27"/>
  <c r="AS9" i="27"/>
  <c r="AT40" i="27"/>
  <c r="AH47" i="27"/>
  <c r="AO46" i="27"/>
  <c r="AS4" i="27"/>
  <c r="AH57" i="27"/>
  <c r="AO48" i="27"/>
  <c r="AS3" i="27"/>
  <c r="AS51" i="27"/>
  <c r="AH27" i="27"/>
  <c r="AS50" i="27"/>
  <c r="AW12" i="27"/>
  <c r="AS24" i="27"/>
  <c r="AO19" i="27"/>
  <c r="AH4" i="27"/>
  <c r="AT61" i="27"/>
  <c r="AO40" i="27"/>
  <c r="AO63" i="27"/>
  <c r="AT36" i="27"/>
  <c r="AO27" i="27"/>
  <c r="AO37" i="27"/>
  <c r="AW4" i="27"/>
  <c r="AW11" i="27"/>
  <c r="AS36" i="27"/>
  <c r="AT50" i="27"/>
  <c r="AW36" i="27"/>
  <c r="AT27" i="27"/>
  <c r="AS64" i="27"/>
  <c r="AW58" i="27"/>
  <c r="AO8" i="27"/>
  <c r="AS31" i="27"/>
  <c r="AW64" i="27"/>
  <c r="AS19" i="27"/>
  <c r="AH62" i="27"/>
  <c r="AW66" i="27"/>
  <c r="AW3" i="27"/>
  <c r="AW55" i="27"/>
  <c r="AW40" i="27"/>
  <c r="AO30" i="27"/>
  <c r="AW35" i="27"/>
  <c r="AS12" i="27"/>
  <c r="AW31" i="27"/>
  <c r="AS28" i="27"/>
  <c r="AS52" i="27"/>
  <c r="AW60" i="27"/>
  <c r="AH15" i="27"/>
  <c r="AT59" i="27"/>
  <c r="AT19" i="27"/>
  <c r="AS40" i="27"/>
  <c r="AH45" i="27"/>
  <c r="AT66" i="27"/>
  <c r="AO21" i="27"/>
  <c r="AW50" i="27"/>
  <c r="AT37" i="27"/>
  <c r="AS27" i="27"/>
  <c r="AS26" i="27"/>
  <c r="AH65" i="27"/>
  <c r="AO9" i="27"/>
  <c r="AT8" i="27"/>
  <c r="AH43" i="27"/>
  <c r="AW43" i="27"/>
  <c r="AW38" i="27"/>
  <c r="AO58" i="27"/>
  <c r="AO45" i="27"/>
  <c r="AH24" i="27"/>
  <c r="AH36" i="27"/>
  <c r="AO39" i="27"/>
  <c r="AW62" i="27"/>
  <c r="AO10" i="27"/>
  <c r="AS22" i="27"/>
  <c r="AS65" i="27"/>
  <c r="AW15" i="27"/>
  <c r="AO60" i="27"/>
  <c r="AW34" i="27"/>
  <c r="AO42" i="27"/>
  <c r="AO59" i="27"/>
  <c r="AW54" i="27"/>
  <c r="AO53" i="27"/>
  <c r="AH19" i="27"/>
  <c r="AO57" i="27"/>
  <c r="AW9" i="27"/>
  <c r="AS59" i="27"/>
  <c r="AT20" i="27"/>
  <c r="AS10" i="27"/>
  <c r="AS25" i="27"/>
  <c r="AH56" i="27"/>
  <c r="AW28" i="27"/>
  <c r="AH49" i="27"/>
  <c r="AO36" i="27"/>
  <c r="AS48" i="27"/>
  <c r="AO43" i="27"/>
  <c r="AW14" i="27"/>
  <c r="AO16" i="27"/>
  <c r="AH20" i="27"/>
  <c r="AW20" i="27"/>
  <c r="AW32" i="27"/>
  <c r="AH34" i="27"/>
  <c r="AH63" i="27"/>
  <c r="AO22" i="27"/>
  <c r="AW48" i="27"/>
  <c r="AS49" i="27"/>
  <c r="AS33" i="27"/>
  <c r="AO52" i="27"/>
  <c r="AO7" i="27"/>
  <c r="AO51" i="27"/>
  <c r="AO35" i="27"/>
  <c r="AW49" i="27"/>
  <c r="AW10" i="27"/>
  <c r="AW7" i="27"/>
  <c r="AW13" i="27"/>
  <c r="AW25" i="27"/>
  <c r="AO32" i="27"/>
  <c r="AW19" i="27"/>
  <c r="AW63" i="27"/>
  <c r="AO65" i="27"/>
  <c r="AW39" i="27"/>
  <c r="AW65" i="27"/>
  <c r="AS34" i="27"/>
  <c r="AO26" i="27"/>
  <c r="AT21" i="27"/>
  <c r="AW57" i="27"/>
  <c r="AH21" i="27"/>
  <c r="AO31" i="27"/>
  <c r="AT34" i="27"/>
  <c r="AH10" i="27"/>
  <c r="AO55" i="27"/>
  <c r="AO18" i="27"/>
  <c r="AT13" i="27"/>
  <c r="AW44" i="27"/>
  <c r="AW29" i="27"/>
  <c r="AT62" i="27"/>
  <c r="AH66" i="27"/>
  <c r="AW24" i="27"/>
  <c r="AS41" i="27"/>
  <c r="AH52" i="27"/>
  <c r="AH31" i="27"/>
  <c r="AS60" i="27"/>
  <c r="AS61" i="27"/>
  <c r="AH53" i="27"/>
  <c r="AS53" i="27"/>
  <c r="AS14" i="27"/>
  <c r="AT31" i="27"/>
  <c r="AT24" i="27"/>
  <c r="AS39" i="27"/>
  <c r="AW26" i="27"/>
  <c r="AO12" i="27"/>
  <c r="AS63" i="27"/>
  <c r="AW21" i="27"/>
  <c r="AS44" i="27"/>
  <c r="AO25" i="27"/>
  <c r="AS57" i="27"/>
  <c r="AS21" i="27"/>
  <c r="AW5" i="27"/>
  <c r="AT45" i="27"/>
  <c r="J46" i="6" l="1"/>
  <c r="J51" i="6"/>
  <c r="J20" i="6"/>
  <c r="J28" i="6"/>
  <c r="J30" i="6"/>
  <c r="J48" i="6"/>
  <c r="J61" i="6"/>
  <c r="J68" i="6"/>
  <c r="J26" i="6"/>
  <c r="J52" i="6"/>
  <c r="J60" i="6"/>
  <c r="J63" i="6"/>
  <c r="J32" i="6"/>
  <c r="J14" i="6"/>
  <c r="AJ28" i="27"/>
  <c r="AV56" i="27"/>
  <c r="BA61" i="27"/>
  <c r="BA58" i="27"/>
  <c r="AJ21" i="27"/>
  <c r="AJ34" i="27"/>
  <c r="BA12" i="27"/>
  <c r="AJ63" i="27"/>
  <c r="AJ53" i="27"/>
  <c r="AJ35" i="27"/>
  <c r="BA8" i="27"/>
  <c r="BA16" i="27"/>
  <c r="BA23" i="27"/>
  <c r="BA13" i="27"/>
  <c r="AV18" i="27"/>
  <c r="BA41" i="27"/>
  <c r="BA50" i="27"/>
  <c r="AJ15" i="27"/>
  <c r="AJ23" i="27"/>
  <c r="BA11" i="27"/>
  <c r="AV19" i="27"/>
  <c r="AV45" i="27"/>
  <c r="BA33" i="27"/>
  <c r="BA56" i="27"/>
  <c r="AJ31" i="27"/>
  <c r="AJ17" i="27"/>
  <c r="AJ5" i="27"/>
  <c r="AS67" i="27"/>
  <c r="AV4" i="27"/>
  <c r="BA55" i="27"/>
  <c r="BA66" i="27"/>
  <c r="BA63" i="27"/>
  <c r="BA65" i="27"/>
  <c r="AJ57" i="27"/>
  <c r="AJ37" i="27"/>
  <c r="AJ52" i="27"/>
  <c r="AJ8" i="27"/>
  <c r="AJ16" i="27"/>
  <c r="AJ14" i="27"/>
  <c r="AJ54" i="27"/>
  <c r="BA17" i="27"/>
  <c r="BA35" i="27"/>
  <c r="AV40" i="27"/>
  <c r="AV66" i="27"/>
  <c r="AJ49" i="27"/>
  <c r="AJ65" i="27"/>
  <c r="AJ4" i="27"/>
  <c r="AJ47" i="27"/>
  <c r="AW67" i="27"/>
  <c r="BA27" i="27"/>
  <c r="AV20" i="27"/>
  <c r="AV38" i="27"/>
  <c r="BA14" i="27"/>
  <c r="BA45" i="27"/>
  <c r="BA4" i="27"/>
  <c r="BA15" i="27"/>
  <c r="BA42" i="27"/>
  <c r="AV61" i="27"/>
  <c r="AJ26" i="27"/>
  <c r="AV36" i="27"/>
  <c r="AJ43" i="27"/>
  <c r="BA6" i="27"/>
  <c r="BA30" i="27"/>
  <c r="AV17" i="27"/>
  <c r="BA43" i="27"/>
  <c r="AJ30" i="27"/>
  <c r="AV64" i="27"/>
  <c r="AJ45" i="27"/>
  <c r="AJ56" i="27"/>
  <c r="AJ39" i="27"/>
  <c r="AJ62" i="27"/>
  <c r="BA5" i="27"/>
  <c r="BA18" i="27"/>
  <c r="BA7" i="27"/>
  <c r="AV35" i="27"/>
  <c r="BA48" i="27"/>
  <c r="BA31" i="27"/>
  <c r="AJ20" i="27"/>
  <c r="AJ27" i="27"/>
  <c r="AJ66" i="27"/>
  <c r="AJ36" i="27"/>
  <c r="AV24" i="27"/>
  <c r="BA22" i="27"/>
  <c r="AV34" i="27"/>
  <c r="BA28" i="27"/>
  <c r="BA46" i="27"/>
  <c r="AJ24" i="27"/>
  <c r="AJ9" i="27"/>
  <c r="AJ6" i="27"/>
  <c r="AJ13" i="27"/>
  <c r="AJ19" i="27"/>
  <c r="AJ10" i="27"/>
  <c r="AJ32" i="27"/>
  <c r="AJ7" i="27"/>
  <c r="AJ18" i="27"/>
  <c r="BA9" i="27"/>
  <c r="BA21" i="27"/>
  <c r="AO67" i="27"/>
  <c r="BA3" i="27"/>
  <c r="AV31" i="27"/>
  <c r="BA20" i="27"/>
  <c r="AV32" i="27"/>
  <c r="BA47" i="27"/>
  <c r="AV21" i="27"/>
  <c r="BA10" i="27"/>
  <c r="BA29" i="27"/>
  <c r="BA24" i="27"/>
  <c r="BA44" i="27"/>
  <c r="BA53" i="27"/>
  <c r="AV50" i="27"/>
  <c r="BA52" i="27"/>
  <c r="BA62" i="27"/>
  <c r="BA64" i="27"/>
  <c r="AV59" i="27"/>
  <c r="BA25" i="27"/>
  <c r="AV13" i="27"/>
  <c r="BA32" i="27"/>
  <c r="BA26" i="27"/>
  <c r="BA37" i="27"/>
  <c r="BA54" i="27"/>
  <c r="BA36" i="27"/>
  <c r="BA38" i="27"/>
  <c r="BA49" i="27"/>
  <c r="BA60" i="27"/>
  <c r="AV27" i="27"/>
  <c r="AV8" i="27"/>
  <c r="BA19" i="27"/>
  <c r="BA39" i="27"/>
  <c r="BA34" i="27"/>
  <c r="BA59" i="27"/>
  <c r="AV22" i="27"/>
  <c r="BA40" i="27"/>
  <c r="AV37" i="27"/>
  <c r="BA51" i="27"/>
  <c r="BA57" i="27"/>
  <c r="AV62" i="27"/>
  <c r="K70" i="16"/>
  <c r="I70" i="12"/>
  <c r="R30" i="4"/>
  <c r="K70" i="2"/>
  <c r="I70" i="6"/>
  <c r="I70" i="18"/>
  <c r="T13" i="18" s="1"/>
  <c r="T11" i="12"/>
  <c r="T4" i="12"/>
  <c r="J38" i="10"/>
  <c r="I70" i="10"/>
  <c r="T20" i="10" s="1"/>
  <c r="J10" i="18"/>
  <c r="R48" i="4"/>
  <c r="J69" i="4"/>
  <c r="G70" i="12"/>
  <c r="H67" i="27"/>
  <c r="K8" i="4"/>
  <c r="K69" i="4"/>
  <c r="K65" i="4"/>
  <c r="K61" i="4"/>
  <c r="R61" i="4" s="1"/>
  <c r="K57" i="4"/>
  <c r="K53" i="4"/>
  <c r="K49" i="4"/>
  <c r="K45" i="4"/>
  <c r="K41" i="4"/>
  <c r="K37" i="4"/>
  <c r="K33" i="4"/>
  <c r="K29" i="4"/>
  <c r="K25" i="4"/>
  <c r="K21" i="4"/>
  <c r="R21" i="4" s="1"/>
  <c r="K17" i="4"/>
  <c r="K13" i="4"/>
  <c r="R13" i="4" s="1"/>
  <c r="K66" i="4"/>
  <c r="K62" i="4"/>
  <c r="R62" i="4" s="1"/>
  <c r="K58" i="4"/>
  <c r="K54" i="4"/>
  <c r="R54" i="4" s="1"/>
  <c r="K50" i="4"/>
  <c r="K46" i="4"/>
  <c r="K42" i="4"/>
  <c r="K38" i="4"/>
  <c r="K34" i="4"/>
  <c r="K30" i="4"/>
  <c r="K26" i="4"/>
  <c r="K22" i="4"/>
  <c r="K18" i="4"/>
  <c r="K14" i="4"/>
  <c r="K10" i="4"/>
  <c r="K67" i="4"/>
  <c r="K63" i="4"/>
  <c r="K59" i="4"/>
  <c r="R59" i="4" s="1"/>
  <c r="K55" i="4"/>
  <c r="K51" i="4"/>
  <c r="K47" i="4"/>
  <c r="K43" i="4"/>
  <c r="K39" i="4"/>
  <c r="K35" i="4"/>
  <c r="K31" i="4"/>
  <c r="K27" i="4"/>
  <c r="K23" i="4"/>
  <c r="K19" i="4"/>
  <c r="K15" i="4"/>
  <c r="K11" i="4"/>
  <c r="K68" i="4"/>
  <c r="K64" i="4"/>
  <c r="K60" i="4"/>
  <c r="K56" i="4"/>
  <c r="K52" i="4"/>
  <c r="K48" i="4"/>
  <c r="K44" i="4"/>
  <c r="K40" i="4"/>
  <c r="K36" i="4"/>
  <c r="K32" i="4"/>
  <c r="K28" i="4"/>
  <c r="K24" i="4"/>
  <c r="K20" i="4"/>
  <c r="K16" i="4"/>
  <c r="K12" i="4"/>
  <c r="K7" i="4"/>
  <c r="K6" i="4"/>
  <c r="K9" i="4"/>
  <c r="T11" i="8"/>
  <c r="T4" i="8"/>
  <c r="J42" i="22"/>
  <c r="R42" i="22" s="1"/>
  <c r="J45" i="22"/>
  <c r="R45" i="22" s="1"/>
  <c r="J23" i="20"/>
  <c r="J27" i="20"/>
  <c r="J44" i="16"/>
  <c r="R44" i="16" s="1"/>
  <c r="R25" i="16"/>
  <c r="J40" i="14"/>
  <c r="J59" i="14"/>
  <c r="J43" i="18"/>
  <c r="J17" i="18"/>
  <c r="F6" i="6"/>
  <c r="G6" i="6" s="1"/>
  <c r="E70" i="6"/>
  <c r="F70" i="6" s="1"/>
  <c r="J38" i="4"/>
  <c r="R38" i="4" s="1"/>
  <c r="J66" i="4"/>
  <c r="R66" i="4" s="1"/>
  <c r="J8" i="4"/>
  <c r="R8" i="4" s="1"/>
  <c r="J46" i="2"/>
  <c r="S46" i="2" s="1"/>
  <c r="J21" i="2"/>
  <c r="S21" i="2" s="1"/>
  <c r="J42" i="10"/>
  <c r="J54" i="10"/>
  <c r="J44" i="10"/>
  <c r="J44" i="4"/>
  <c r="R44" i="4" s="1"/>
  <c r="J63" i="20"/>
  <c r="R65" i="4"/>
  <c r="J52" i="4"/>
  <c r="R52" i="4" s="1"/>
  <c r="J58" i="22"/>
  <c r="R58" i="22" s="1"/>
  <c r="R61" i="16"/>
  <c r="J33" i="14"/>
  <c r="J52" i="14"/>
  <c r="J64" i="16"/>
  <c r="R64" i="16" s="1"/>
  <c r="J59" i="18"/>
  <c r="J28" i="18"/>
  <c r="I70" i="8"/>
  <c r="R33" i="4"/>
  <c r="J56" i="4"/>
  <c r="R56" i="4" s="1"/>
  <c r="J43" i="2"/>
  <c r="S43" i="2" s="1"/>
  <c r="J15" i="2"/>
  <c r="S15" i="2" s="1"/>
  <c r="I70" i="4"/>
  <c r="W4" i="26" s="1"/>
  <c r="X4" i="26" s="1"/>
  <c r="F70" i="2"/>
  <c r="T4" i="14"/>
  <c r="T11" i="14"/>
  <c r="J58" i="16"/>
  <c r="R58" i="16" s="1"/>
  <c r="S18" i="2"/>
  <c r="G70" i="20"/>
  <c r="J6" i="20"/>
  <c r="J32" i="22"/>
  <c r="R32" i="22" s="1"/>
  <c r="J29" i="22"/>
  <c r="R29" i="22" s="1"/>
  <c r="J9" i="20"/>
  <c r="J67" i="20"/>
  <c r="I70" i="20"/>
  <c r="T13" i="20" s="1"/>
  <c r="R28" i="22"/>
  <c r="R54" i="16"/>
  <c r="J13" i="18"/>
  <c r="J39" i="2"/>
  <c r="S39" i="2" s="1"/>
  <c r="J25" i="4"/>
  <c r="R25" i="4" s="1"/>
  <c r="G70" i="4"/>
  <c r="J6" i="4"/>
  <c r="J37" i="4"/>
  <c r="R37" i="4" s="1"/>
  <c r="J60" i="4"/>
  <c r="R60" i="4" s="1"/>
  <c r="R16" i="4"/>
  <c r="J64" i="2"/>
  <c r="S64" i="2" s="1"/>
  <c r="J44" i="2"/>
  <c r="S44" i="2" s="1"/>
  <c r="J59" i="2"/>
  <c r="S59" i="2" s="1"/>
  <c r="J33" i="2"/>
  <c r="S33" i="2" s="1"/>
  <c r="J30" i="2"/>
  <c r="S30" i="2" s="1"/>
  <c r="J32" i="2"/>
  <c r="S32" i="2" s="1"/>
  <c r="J49" i="2"/>
  <c r="S49" i="2" s="1"/>
  <c r="J36" i="2"/>
  <c r="S36" i="2" s="1"/>
  <c r="J9" i="2"/>
  <c r="S9" i="2" s="1"/>
  <c r="J50" i="2"/>
  <c r="S50" i="2" s="1"/>
  <c r="R50" i="22"/>
  <c r="J65" i="18"/>
  <c r="R62" i="16"/>
  <c r="J21" i="18"/>
  <c r="R11" i="4"/>
  <c r="J18" i="22"/>
  <c r="R18" i="22" s="1"/>
  <c r="G70" i="24"/>
  <c r="J46" i="22"/>
  <c r="R46" i="22" s="1"/>
  <c r="J13" i="22"/>
  <c r="R13" i="22" s="1"/>
  <c r="J52" i="22"/>
  <c r="R52" i="22" s="1"/>
  <c r="T11" i="10"/>
  <c r="T4" i="10"/>
  <c r="R51" i="16"/>
  <c r="J6" i="16"/>
  <c r="G70" i="16"/>
  <c r="R15" i="16"/>
  <c r="G70" i="18"/>
  <c r="J6" i="18"/>
  <c r="J37" i="18"/>
  <c r="G70" i="14"/>
  <c r="J53" i="6"/>
  <c r="R23" i="4"/>
  <c r="J20" i="2"/>
  <c r="S20" i="2" s="1"/>
  <c r="F70" i="4"/>
  <c r="J35" i="4"/>
  <c r="R35" i="4" s="1"/>
  <c r="J39" i="4"/>
  <c r="R39" i="4" s="1"/>
  <c r="J51" i="4"/>
  <c r="R51" i="4" s="1"/>
  <c r="J14" i="4"/>
  <c r="J24" i="4"/>
  <c r="R24" i="4" s="1"/>
  <c r="J12" i="4"/>
  <c r="R12" i="4" s="1"/>
  <c r="J31" i="4"/>
  <c r="R31" i="4" s="1"/>
  <c r="J63" i="4"/>
  <c r="R63" i="4" s="1"/>
  <c r="J22" i="4"/>
  <c r="R22" i="4" s="1"/>
  <c r="J20" i="4"/>
  <c r="R20" i="4" s="1"/>
  <c r="J41" i="4"/>
  <c r="R41" i="4" s="1"/>
  <c r="J64" i="4"/>
  <c r="R64" i="4" s="1"/>
  <c r="J29" i="2"/>
  <c r="S29" i="2" s="1"/>
  <c r="J12" i="2"/>
  <c r="S12" i="2" s="1"/>
  <c r="J19" i="2"/>
  <c r="S19" i="2" s="1"/>
  <c r="J55" i="22"/>
  <c r="R55" i="22" s="1"/>
  <c r="T11" i="6"/>
  <c r="T4" i="6"/>
  <c r="J29" i="4"/>
  <c r="R29" i="4" s="1"/>
  <c r="J27" i="10"/>
  <c r="J14" i="22"/>
  <c r="R14" i="22" s="1"/>
  <c r="J66" i="22"/>
  <c r="R66" i="22" s="1"/>
  <c r="R26" i="22"/>
  <c r="J54" i="22"/>
  <c r="R54" i="22" s="1"/>
  <c r="J63" i="22"/>
  <c r="R63" i="22" s="1"/>
  <c r="J9" i="22"/>
  <c r="R9" i="22" s="1"/>
  <c r="R47" i="16"/>
  <c r="J31" i="22"/>
  <c r="R31" i="22" s="1"/>
  <c r="R53" i="16"/>
  <c r="J47" i="22"/>
  <c r="R47" i="22" s="1"/>
  <c r="J68" i="18"/>
  <c r="J44" i="14"/>
  <c r="J60" i="14"/>
  <c r="J33" i="18"/>
  <c r="J14" i="18"/>
  <c r="J45" i="18"/>
  <c r="I70" i="14"/>
  <c r="J25" i="2"/>
  <c r="S25" i="2" s="1"/>
  <c r="J69" i="2"/>
  <c r="S69" i="2" s="1"/>
  <c r="J17" i="2"/>
  <c r="S17" i="2" s="1"/>
  <c r="J67" i="2"/>
  <c r="S67" i="2" s="1"/>
  <c r="J45" i="4"/>
  <c r="R45" i="4" s="1"/>
  <c r="J68" i="4"/>
  <c r="R68" i="4" s="1"/>
  <c r="J11" i="2"/>
  <c r="S11" i="2" s="1"/>
  <c r="J42" i="4"/>
  <c r="R42" i="4" s="1"/>
  <c r="J17" i="4"/>
  <c r="R17" i="4" s="1"/>
  <c r="J40" i="4"/>
  <c r="R19" i="4"/>
  <c r="R58" i="4"/>
  <c r="J56" i="22"/>
  <c r="R56" i="22" s="1"/>
  <c r="R34" i="4"/>
  <c r="G70" i="22"/>
  <c r="J6" i="22"/>
  <c r="J49" i="22"/>
  <c r="R49" i="22" s="1"/>
  <c r="J61" i="22"/>
  <c r="R61" i="22" s="1"/>
  <c r="J44" i="22"/>
  <c r="R44" i="22" s="1"/>
  <c r="R43" i="16"/>
  <c r="J31" i="20"/>
  <c r="R49" i="16"/>
  <c r="J47" i="20"/>
  <c r="J15" i="22"/>
  <c r="R15" i="22" s="1"/>
  <c r="R36" i="16"/>
  <c r="J19" i="14"/>
  <c r="J64" i="14"/>
  <c r="J55" i="14"/>
  <c r="J15" i="18"/>
  <c r="J40" i="18"/>
  <c r="J53" i="18"/>
  <c r="J36" i="12"/>
  <c r="J62" i="2"/>
  <c r="S62" i="2" s="1"/>
  <c r="J47" i="4"/>
  <c r="R47" i="4" s="1"/>
  <c r="J65" i="2"/>
  <c r="S65" i="2" s="1"/>
  <c r="J49" i="4"/>
  <c r="R49" i="4" s="1"/>
  <c r="J8" i="2"/>
  <c r="S8" i="2" s="1"/>
  <c r="J55" i="4"/>
  <c r="R55" i="4" s="1"/>
  <c r="J28" i="4"/>
  <c r="R28" i="4" s="1"/>
  <c r="J6" i="2"/>
  <c r="G70" i="2"/>
  <c r="J28" i="10"/>
  <c r="J14" i="10"/>
  <c r="J26" i="4"/>
  <c r="R26" i="4" s="1"/>
  <c r="J43" i="4"/>
  <c r="R43" i="4" s="1"/>
  <c r="J57" i="22"/>
  <c r="R57" i="22" s="1"/>
  <c r="T13" i="24"/>
  <c r="T9" i="24"/>
  <c r="J60" i="24" s="1"/>
  <c r="V15" i="26"/>
  <c r="J19" i="22"/>
  <c r="R19" i="22" s="1"/>
  <c r="J68" i="22"/>
  <c r="R68" i="22" s="1"/>
  <c r="J14" i="16"/>
  <c r="R14" i="16" s="1"/>
  <c r="J69" i="20"/>
  <c r="R45" i="16"/>
  <c r="J10" i="22"/>
  <c r="R10" i="22" s="1"/>
  <c r="R32" i="16"/>
  <c r="J57" i="14"/>
  <c r="J47" i="14"/>
  <c r="J26" i="18"/>
  <c r="J54" i="18"/>
  <c r="J48" i="18"/>
  <c r="J61" i="18"/>
  <c r="J58" i="2"/>
  <c r="S58" i="2" s="1"/>
  <c r="J46" i="4"/>
  <c r="R46" i="4" s="1"/>
  <c r="J53" i="4"/>
  <c r="J63" i="2"/>
  <c r="S63" i="2" s="1"/>
  <c r="J32" i="4"/>
  <c r="R32" i="4" s="1"/>
  <c r="J7" i="4"/>
  <c r="R7" i="4" s="1"/>
  <c r="J27" i="4"/>
  <c r="J10" i="10"/>
  <c r="J23" i="10"/>
  <c r="E70" i="10"/>
  <c r="F70" i="10" s="1"/>
  <c r="F6" i="10"/>
  <c r="G6" i="10" s="1"/>
  <c r="J36" i="4"/>
  <c r="R36" i="4" s="1"/>
  <c r="J15" i="4"/>
  <c r="R15" i="4" s="1"/>
  <c r="T11" i="20"/>
  <c r="T4" i="20"/>
  <c r="J70" i="12"/>
  <c r="J63" i="14"/>
  <c r="J43" i="24"/>
  <c r="J51" i="22"/>
  <c r="R51" i="22" s="1"/>
  <c r="T11" i="24"/>
  <c r="T4" i="24"/>
  <c r="J8" i="22"/>
  <c r="R8" i="22" s="1"/>
  <c r="T11" i="18"/>
  <c r="T4" i="18"/>
  <c r="J60" i="22"/>
  <c r="R60" i="22" s="1"/>
  <c r="J33" i="22"/>
  <c r="R33" i="22" s="1"/>
  <c r="J36" i="22"/>
  <c r="R36" i="22" s="1"/>
  <c r="J17" i="22"/>
  <c r="R17" i="22" s="1"/>
  <c r="J12" i="22"/>
  <c r="R12" i="22" s="1"/>
  <c r="J63" i="16"/>
  <c r="R63" i="16" s="1"/>
  <c r="R67" i="16"/>
  <c r="R41" i="16"/>
  <c r="R28" i="16"/>
  <c r="J24" i="14"/>
  <c r="J41" i="14"/>
  <c r="J28" i="14"/>
  <c r="J41" i="18"/>
  <c r="J62" i="18"/>
  <c r="J56" i="18"/>
  <c r="J53" i="2"/>
  <c r="S53" i="2" s="1"/>
  <c r="J67" i="4"/>
  <c r="R67" i="4" s="1"/>
  <c r="J51" i="2"/>
  <c r="S51" i="2" s="1"/>
  <c r="J50" i="4"/>
  <c r="R50" i="4" s="1"/>
  <c r="J57" i="4"/>
  <c r="R57" i="4" s="1"/>
  <c r="J61" i="2"/>
  <c r="S61" i="2" s="1"/>
  <c r="J18" i="4"/>
  <c r="R18" i="4" s="1"/>
  <c r="J10" i="4"/>
  <c r="R10" i="4" s="1"/>
  <c r="J19" i="10"/>
  <c r="J31" i="10"/>
  <c r="J52" i="10"/>
  <c r="I70" i="2"/>
  <c r="W3" i="26" s="1"/>
  <c r="J9" i="4"/>
  <c r="R9" i="4" s="1"/>
  <c r="J32" i="10"/>
  <c r="J51" i="10"/>
  <c r="J56" i="10"/>
  <c r="J67" i="10"/>
  <c r="J60" i="10"/>
  <c r="J68" i="2"/>
  <c r="S68" i="2" s="1"/>
  <c r="J6" i="8"/>
  <c r="G70" i="8"/>
  <c r="J52" i="2"/>
  <c r="S52" i="2" s="1"/>
  <c r="J61" i="10"/>
  <c r="J64" i="10"/>
  <c r="J41" i="2"/>
  <c r="S41" i="2" s="1"/>
  <c r="J15" i="10"/>
  <c r="J68" i="10"/>
  <c r="J4" i="27"/>
  <c r="AT46" i="27"/>
  <c r="AH64" i="27"/>
  <c r="AT44" i="27"/>
  <c r="AT6" i="27"/>
  <c r="AT15" i="27"/>
  <c r="J57" i="27"/>
  <c r="J18" i="27"/>
  <c r="J61" i="27"/>
  <c r="J56" i="27"/>
  <c r="AT10" i="27"/>
  <c r="J9" i="27"/>
  <c r="J39" i="27"/>
  <c r="AT16" i="27"/>
  <c r="AT54" i="27"/>
  <c r="J15" i="27"/>
  <c r="J65" i="27"/>
  <c r="J48" i="27"/>
  <c r="J59" i="27"/>
  <c r="AT55" i="27"/>
  <c r="J26" i="27"/>
  <c r="J60" i="27"/>
  <c r="J17" i="27"/>
  <c r="J47" i="27"/>
  <c r="J63" i="27"/>
  <c r="J58" i="27"/>
  <c r="J34" i="27"/>
  <c r="AT57" i="27"/>
  <c r="J13" i="27"/>
  <c r="J20" i="27"/>
  <c r="J22" i="27"/>
  <c r="AH48" i="27"/>
  <c r="AH61" i="27"/>
  <c r="AH22" i="27"/>
  <c r="AT39" i="27"/>
  <c r="AT63" i="27"/>
  <c r="AH44" i="27"/>
  <c r="AH55" i="27"/>
  <c r="J42" i="27"/>
  <c r="J10" i="27"/>
  <c r="AT5" i="27"/>
  <c r="J14" i="27"/>
  <c r="AH25" i="27"/>
  <c r="J31" i="27"/>
  <c r="J21" i="27"/>
  <c r="J8" i="27"/>
  <c r="J54" i="27"/>
  <c r="J33" i="27"/>
  <c r="AT14" i="27"/>
  <c r="J52" i="27"/>
  <c r="AT53" i="27"/>
  <c r="J49" i="27"/>
  <c r="AH46" i="27"/>
  <c r="AH41" i="27"/>
  <c r="AT23" i="27"/>
  <c r="AH58" i="27"/>
  <c r="AH50" i="27"/>
  <c r="AH59" i="27"/>
  <c r="J12" i="27"/>
  <c r="AT65" i="27"/>
  <c r="J6" i="27"/>
  <c r="J41" i="27"/>
  <c r="J51" i="27"/>
  <c r="J19" i="27"/>
  <c r="AH33" i="27"/>
  <c r="AT25" i="27"/>
  <c r="J30" i="27"/>
  <c r="J55" i="27"/>
  <c r="AH40" i="27"/>
  <c r="AH11" i="27"/>
  <c r="J25" i="27"/>
  <c r="AT52" i="27"/>
  <c r="J29" i="27"/>
  <c r="J5" i="27"/>
  <c r="J62" i="27"/>
  <c r="J27" i="27"/>
  <c r="J32" i="27"/>
  <c r="J16" i="27"/>
  <c r="J46" i="27"/>
  <c r="AH60" i="27"/>
  <c r="J43" i="27"/>
  <c r="AT30" i="27"/>
  <c r="AH29" i="27"/>
  <c r="AT42" i="27"/>
  <c r="AH38" i="27"/>
  <c r="AT11" i="27"/>
  <c r="AT41" i="27"/>
  <c r="AT33" i="27"/>
  <c r="J64" i="27"/>
  <c r="AT9" i="27"/>
  <c r="J40" i="27"/>
  <c r="AT26" i="27"/>
  <c r="AT49" i="27"/>
  <c r="AH42" i="27"/>
  <c r="AT29" i="27"/>
  <c r="AT58" i="27"/>
  <c r="J44" i="27"/>
  <c r="AT48" i="27"/>
  <c r="AT7" i="27"/>
  <c r="J36" i="27"/>
  <c r="J23" i="27"/>
  <c r="AH51" i="27"/>
  <c r="AT12" i="27"/>
  <c r="AT60" i="27"/>
  <c r="J7" i="27"/>
  <c r="J28" i="27"/>
  <c r="J35" i="27"/>
  <c r="AT51" i="27"/>
  <c r="J53" i="27"/>
  <c r="AT28" i="27"/>
  <c r="AT43" i="27"/>
  <c r="AT47" i="27"/>
  <c r="J45" i="27"/>
  <c r="J38" i="27"/>
  <c r="AH12" i="27"/>
  <c r="L10" i="27" l="1"/>
  <c r="L58" i="27"/>
  <c r="L18" i="27"/>
  <c r="L56" i="27"/>
  <c r="L51" i="27"/>
  <c r="L59" i="27"/>
  <c r="L6" i="27"/>
  <c r="L25" i="27"/>
  <c r="AV9" i="27"/>
  <c r="L43" i="27"/>
  <c r="AV65" i="27"/>
  <c r="L52" i="27"/>
  <c r="L42" i="27"/>
  <c r="AJ50" i="27"/>
  <c r="L9" i="27"/>
  <c r="AJ12" i="27"/>
  <c r="L49" i="27"/>
  <c r="AV57" i="27"/>
  <c r="AV53" i="27"/>
  <c r="L64" i="27"/>
  <c r="AJ60" i="27"/>
  <c r="AJ11" i="27"/>
  <c r="L12" i="27"/>
  <c r="AV14" i="27"/>
  <c r="L33" i="27"/>
  <c r="AV16" i="27"/>
  <c r="AV28" i="27"/>
  <c r="L21" i="27"/>
  <c r="AV49" i="27"/>
  <c r="AV26" i="27"/>
  <c r="AJ55" i="27"/>
  <c r="AV33" i="27"/>
  <c r="L46" i="27"/>
  <c r="AJ40" i="27"/>
  <c r="L55" i="27"/>
  <c r="AJ59" i="27"/>
  <c r="L22" i="27"/>
  <c r="AV29" i="27"/>
  <c r="L53" i="27"/>
  <c r="AV43" i="27"/>
  <c r="L29" i="27"/>
  <c r="AV12" i="27"/>
  <c r="AV30" i="27"/>
  <c r="AV48" i="27"/>
  <c r="AV41" i="27"/>
  <c r="L16" i="27"/>
  <c r="L48" i="27"/>
  <c r="AV10" i="27"/>
  <c r="L30" i="27"/>
  <c r="AJ61" i="27"/>
  <c r="AJ22" i="27"/>
  <c r="L36" i="27"/>
  <c r="L45" i="27"/>
  <c r="AJ29" i="27"/>
  <c r="L23" i="27"/>
  <c r="AV46" i="27"/>
  <c r="L31" i="27"/>
  <c r="AV6" i="27"/>
  <c r="AV11" i="27"/>
  <c r="L32" i="27"/>
  <c r="L63" i="27"/>
  <c r="AJ41" i="27"/>
  <c r="L15" i="27"/>
  <c r="AV7" i="27"/>
  <c r="AV60" i="27"/>
  <c r="AV52" i="27"/>
  <c r="L61" i="27"/>
  <c r="L62" i="27"/>
  <c r="L35" i="27"/>
  <c r="L44" i="27"/>
  <c r="AJ44" i="27"/>
  <c r="L27" i="27"/>
  <c r="L7" i="27"/>
  <c r="AJ25" i="27"/>
  <c r="AV54" i="27"/>
  <c r="AV51" i="27"/>
  <c r="L38" i="27"/>
  <c r="AV47" i="27"/>
  <c r="AJ51" i="27"/>
  <c r="AV58" i="27"/>
  <c r="L54" i="27"/>
  <c r="AJ38" i="27"/>
  <c r="L4" i="27"/>
  <c r="AJ42" i="27"/>
  <c r="AJ33" i="27"/>
  <c r="L14" i="27"/>
  <c r="L17" i="27"/>
  <c r="L20" i="27"/>
  <c r="AV25" i="27"/>
  <c r="L41" i="27"/>
  <c r="L40" i="27"/>
  <c r="AV63" i="27"/>
  <c r="L47" i="27"/>
  <c r="L39" i="27"/>
  <c r="AV23" i="27"/>
  <c r="L26" i="27"/>
  <c r="L19" i="27"/>
  <c r="L13" i="27"/>
  <c r="AJ58" i="27"/>
  <c r="AJ64" i="27"/>
  <c r="AV5" i="27"/>
  <c r="L60" i="27"/>
  <c r="AJ48" i="27"/>
  <c r="AV15" i="27"/>
  <c r="L57" i="27"/>
  <c r="AV55" i="27"/>
  <c r="AV42" i="27"/>
  <c r="L5" i="27"/>
  <c r="AJ46" i="27"/>
  <c r="L65" i="27"/>
  <c r="AV44" i="27"/>
  <c r="L28" i="27"/>
  <c r="L8" i="27"/>
  <c r="L34" i="27"/>
  <c r="AV39" i="27"/>
  <c r="J54" i="24"/>
  <c r="R54" i="24" s="1"/>
  <c r="J38" i="24"/>
  <c r="R38" i="24" s="1"/>
  <c r="J49" i="24"/>
  <c r="K61" i="10"/>
  <c r="K48" i="10"/>
  <c r="R48" i="10" s="1"/>
  <c r="K45" i="10"/>
  <c r="R45" i="10" s="1"/>
  <c r="K20" i="10"/>
  <c r="R20" i="10" s="1"/>
  <c r="K11" i="10"/>
  <c r="R11" i="10" s="1"/>
  <c r="K67" i="10"/>
  <c r="R67" i="10" s="1"/>
  <c r="K64" i="10"/>
  <c r="K58" i="10"/>
  <c r="R58" i="10" s="1"/>
  <c r="K42" i="10"/>
  <c r="K32" i="10"/>
  <c r="K28" i="10"/>
  <c r="K24" i="10"/>
  <c r="R24" i="10" s="1"/>
  <c r="K15" i="10"/>
  <c r="K55" i="10"/>
  <c r="R55" i="10" s="1"/>
  <c r="K39" i="10"/>
  <c r="R39" i="10" s="1"/>
  <c r="K6" i="10"/>
  <c r="K52" i="10"/>
  <c r="K49" i="10"/>
  <c r="R49" i="10" s="1"/>
  <c r="K36" i="10"/>
  <c r="R36" i="10" s="1"/>
  <c r="K21" i="10"/>
  <c r="R21" i="10" s="1"/>
  <c r="K16" i="10"/>
  <c r="R16" i="10" s="1"/>
  <c r="K12" i="10"/>
  <c r="R12" i="10" s="1"/>
  <c r="K62" i="10"/>
  <c r="R62" i="10" s="1"/>
  <c r="K46" i="10"/>
  <c r="R46" i="10" s="1"/>
  <c r="K33" i="10"/>
  <c r="R33" i="10" s="1"/>
  <c r="K29" i="10"/>
  <c r="R29" i="10" s="1"/>
  <c r="K25" i="10"/>
  <c r="R25" i="10" s="1"/>
  <c r="K65" i="10"/>
  <c r="R65" i="10" s="1"/>
  <c r="K59" i="10"/>
  <c r="R59" i="10" s="1"/>
  <c r="K43" i="10"/>
  <c r="R43" i="10" s="1"/>
  <c r="K7" i="10"/>
  <c r="R7" i="10" s="1"/>
  <c r="K50" i="10"/>
  <c r="R50" i="10" s="1"/>
  <c r="K34" i="10"/>
  <c r="R34" i="10" s="1"/>
  <c r="K30" i="10"/>
  <c r="R30" i="10" s="1"/>
  <c r="K26" i="10"/>
  <c r="R26" i="10" s="1"/>
  <c r="K22" i="10"/>
  <c r="R22" i="10" s="1"/>
  <c r="K13" i="10"/>
  <c r="R13" i="10" s="1"/>
  <c r="K8" i="10"/>
  <c r="R8" i="10" s="1"/>
  <c r="K63" i="10"/>
  <c r="R63" i="10" s="1"/>
  <c r="K47" i="10"/>
  <c r="R47" i="10" s="1"/>
  <c r="K68" i="10"/>
  <c r="R68" i="10" s="1"/>
  <c r="K56" i="10"/>
  <c r="R56" i="10" s="1"/>
  <c r="K51" i="10"/>
  <c r="K17" i="10"/>
  <c r="R17" i="10" s="1"/>
  <c r="K31" i="10"/>
  <c r="K41" i="10"/>
  <c r="R41" i="10" s="1"/>
  <c r="K40" i="10"/>
  <c r="R40" i="10" s="1"/>
  <c r="K27" i="10"/>
  <c r="K53" i="10"/>
  <c r="R53" i="10" s="1"/>
  <c r="K10" i="10"/>
  <c r="K19" i="10"/>
  <c r="K14" i="10"/>
  <c r="R14" i="10" s="1"/>
  <c r="K44" i="10"/>
  <c r="K60" i="10"/>
  <c r="R60" i="10" s="1"/>
  <c r="K35" i="10"/>
  <c r="R35" i="10" s="1"/>
  <c r="K37" i="10"/>
  <c r="R37" i="10" s="1"/>
  <c r="K66" i="10"/>
  <c r="R66" i="10" s="1"/>
  <c r="K57" i="10"/>
  <c r="R57" i="10" s="1"/>
  <c r="K23" i="10"/>
  <c r="K18" i="10"/>
  <c r="R18" i="10" s="1"/>
  <c r="K9" i="10"/>
  <c r="R9" i="10" s="1"/>
  <c r="K69" i="10"/>
  <c r="R69" i="10" s="1"/>
  <c r="K38" i="10"/>
  <c r="K54" i="10"/>
  <c r="R54" i="10" s="1"/>
  <c r="J70" i="4"/>
  <c r="R6" i="4"/>
  <c r="R42" i="10"/>
  <c r="J63" i="24"/>
  <c r="J23" i="24"/>
  <c r="R23" i="24" s="1"/>
  <c r="J29" i="24"/>
  <c r="J33" i="24"/>
  <c r="R33" i="24" s="1"/>
  <c r="J15" i="24"/>
  <c r="J41" i="24"/>
  <c r="J35" i="24"/>
  <c r="J45" i="24"/>
  <c r="J55" i="24"/>
  <c r="R55" i="24" s="1"/>
  <c r="J59" i="24"/>
  <c r="J67" i="24"/>
  <c r="J39" i="24"/>
  <c r="J17" i="24"/>
  <c r="R51" i="10"/>
  <c r="J66" i="24"/>
  <c r="R66" i="24" s="1"/>
  <c r="J40" i="24"/>
  <c r="R53" i="4"/>
  <c r="J56" i="24"/>
  <c r="J70" i="22"/>
  <c r="R6" i="22"/>
  <c r="R52" i="10"/>
  <c r="J27" i="24"/>
  <c r="J34" i="24"/>
  <c r="R34" i="24" s="1"/>
  <c r="K16" i="6"/>
  <c r="R16" i="6" s="1"/>
  <c r="K12" i="6"/>
  <c r="R12" i="6" s="1"/>
  <c r="K66" i="6"/>
  <c r="R66" i="6" s="1"/>
  <c r="K62" i="6"/>
  <c r="R62" i="6" s="1"/>
  <c r="K58" i="6"/>
  <c r="R58" i="6" s="1"/>
  <c r="K54" i="6"/>
  <c r="R54" i="6" s="1"/>
  <c r="K50" i="6"/>
  <c r="R50" i="6" s="1"/>
  <c r="K46" i="6"/>
  <c r="R46" i="6" s="1"/>
  <c r="K42" i="6"/>
  <c r="R42" i="6" s="1"/>
  <c r="K38" i="6"/>
  <c r="R38" i="6" s="1"/>
  <c r="K34" i="6"/>
  <c r="R34" i="6" s="1"/>
  <c r="K30" i="6"/>
  <c r="R30" i="6" s="1"/>
  <c r="K26" i="6"/>
  <c r="R26" i="6" s="1"/>
  <c r="K22" i="6"/>
  <c r="R22" i="6" s="1"/>
  <c r="K61" i="6"/>
  <c r="R61" i="6" s="1"/>
  <c r="K28" i="6"/>
  <c r="R28" i="6" s="1"/>
  <c r="K20" i="6"/>
  <c r="R20" i="6" s="1"/>
  <c r="K56" i="6"/>
  <c r="R56" i="6" s="1"/>
  <c r="K51" i="6"/>
  <c r="R51" i="6" s="1"/>
  <c r="K41" i="6"/>
  <c r="R41" i="6" s="1"/>
  <c r="K23" i="6"/>
  <c r="R23" i="6" s="1"/>
  <c r="K14" i="6"/>
  <c r="R14" i="6" s="1"/>
  <c r="K69" i="6"/>
  <c r="R69" i="6" s="1"/>
  <c r="K36" i="6"/>
  <c r="R36" i="6" s="1"/>
  <c r="K31" i="6"/>
  <c r="R31" i="6" s="1"/>
  <c r="K17" i="6"/>
  <c r="R17" i="6" s="1"/>
  <c r="K11" i="6"/>
  <c r="R11" i="6" s="1"/>
  <c r="K7" i="6"/>
  <c r="R7" i="6" s="1"/>
  <c r="K64" i="6"/>
  <c r="R64" i="6" s="1"/>
  <c r="K59" i="6"/>
  <c r="R59" i="6" s="1"/>
  <c r="K49" i="6"/>
  <c r="R49" i="6" s="1"/>
  <c r="K44" i="6"/>
  <c r="R44" i="6" s="1"/>
  <c r="K39" i="6"/>
  <c r="R39" i="6" s="1"/>
  <c r="K29" i="6"/>
  <c r="R29" i="6" s="1"/>
  <c r="K21" i="6"/>
  <c r="R21" i="6" s="1"/>
  <c r="K18" i="6"/>
  <c r="R18" i="6" s="1"/>
  <c r="K8" i="6"/>
  <c r="R8" i="6" s="1"/>
  <c r="K67" i="6"/>
  <c r="R67" i="6" s="1"/>
  <c r="K57" i="6"/>
  <c r="R57" i="6" s="1"/>
  <c r="K24" i="6"/>
  <c r="R24" i="6" s="1"/>
  <c r="K15" i="6"/>
  <c r="R15" i="6" s="1"/>
  <c r="K52" i="6"/>
  <c r="R52" i="6" s="1"/>
  <c r="K47" i="6"/>
  <c r="R47" i="6" s="1"/>
  <c r="K37" i="6"/>
  <c r="R37" i="6" s="1"/>
  <c r="K9" i="6"/>
  <c r="R9" i="6" s="1"/>
  <c r="K65" i="6"/>
  <c r="R65" i="6" s="1"/>
  <c r="K32" i="6"/>
  <c r="R32" i="6" s="1"/>
  <c r="K27" i="6"/>
  <c r="R27" i="6" s="1"/>
  <c r="K60" i="6"/>
  <c r="R60" i="6" s="1"/>
  <c r="K55" i="6"/>
  <c r="R55" i="6" s="1"/>
  <c r="K45" i="6"/>
  <c r="R45" i="6" s="1"/>
  <c r="K19" i="6"/>
  <c r="R19" i="6" s="1"/>
  <c r="K68" i="6"/>
  <c r="R68" i="6" s="1"/>
  <c r="K63" i="6"/>
  <c r="R63" i="6" s="1"/>
  <c r="K53" i="6"/>
  <c r="R53" i="6" s="1"/>
  <c r="K13" i="6"/>
  <c r="R13" i="6" s="1"/>
  <c r="K10" i="6"/>
  <c r="R10" i="6" s="1"/>
  <c r="K48" i="6"/>
  <c r="R48" i="6" s="1"/>
  <c r="K35" i="6"/>
  <c r="R35" i="6" s="1"/>
  <c r="K6" i="6"/>
  <c r="K40" i="6"/>
  <c r="R40" i="6" s="1"/>
  <c r="K43" i="6"/>
  <c r="R43" i="6" s="1"/>
  <c r="K33" i="6"/>
  <c r="R33" i="6" s="1"/>
  <c r="K25" i="6"/>
  <c r="R25" i="6" s="1"/>
  <c r="J12" i="24"/>
  <c r="R12" i="24" s="1"/>
  <c r="R69" i="4"/>
  <c r="BA67" i="27"/>
  <c r="R23" i="10"/>
  <c r="K7" i="24"/>
  <c r="K69" i="24"/>
  <c r="K65" i="24"/>
  <c r="K61" i="24"/>
  <c r="K57" i="24"/>
  <c r="K53" i="24"/>
  <c r="K49" i="24"/>
  <c r="K45" i="24"/>
  <c r="K41" i="24"/>
  <c r="K37" i="24"/>
  <c r="K33" i="24"/>
  <c r="K29" i="24"/>
  <c r="K25" i="24"/>
  <c r="K21" i="24"/>
  <c r="K17" i="24"/>
  <c r="K13" i="24"/>
  <c r="K8" i="24"/>
  <c r="K66" i="24"/>
  <c r="K62" i="24"/>
  <c r="K58" i="24"/>
  <c r="K54" i="24"/>
  <c r="K50" i="24"/>
  <c r="K46" i="24"/>
  <c r="K42" i="24"/>
  <c r="K38" i="24"/>
  <c r="K34" i="24"/>
  <c r="K30" i="24"/>
  <c r="K26" i="24"/>
  <c r="K22" i="24"/>
  <c r="K18" i="24"/>
  <c r="K14" i="24"/>
  <c r="K9" i="24"/>
  <c r="K10" i="24"/>
  <c r="K67" i="24"/>
  <c r="K63" i="24"/>
  <c r="K59" i="24"/>
  <c r="K55" i="24"/>
  <c r="K51" i="24"/>
  <c r="K47" i="24"/>
  <c r="K43" i="24"/>
  <c r="R43" i="24" s="1"/>
  <c r="K39" i="24"/>
  <c r="K35" i="24"/>
  <c r="K31" i="24"/>
  <c r="K27" i="24"/>
  <c r="K23" i="24"/>
  <c r="K19" i="24"/>
  <c r="K15" i="24"/>
  <c r="K68" i="24"/>
  <c r="K64" i="24"/>
  <c r="K60" i="24"/>
  <c r="R60" i="24" s="1"/>
  <c r="K56" i="24"/>
  <c r="K52" i="24"/>
  <c r="K48" i="24"/>
  <c r="K44" i="24"/>
  <c r="K40" i="24"/>
  <c r="K36" i="24"/>
  <c r="K32" i="24"/>
  <c r="K28" i="24"/>
  <c r="K24" i="24"/>
  <c r="K20" i="24"/>
  <c r="K16" i="24"/>
  <c r="K12" i="24"/>
  <c r="K11" i="24"/>
  <c r="K6" i="24"/>
  <c r="J6" i="10"/>
  <c r="G70" i="10"/>
  <c r="J47" i="24"/>
  <c r="R47" i="24" s="1"/>
  <c r="J28" i="24"/>
  <c r="R28" i="24" s="1"/>
  <c r="J16" i="24"/>
  <c r="R16" i="24" s="1"/>
  <c r="R14" i="4"/>
  <c r="J21" i="24"/>
  <c r="J62" i="24"/>
  <c r="R41" i="18"/>
  <c r="X3" i="26"/>
  <c r="X15" i="26" s="1"/>
  <c r="W15" i="26"/>
  <c r="J42" i="24"/>
  <c r="R42" i="24" s="1"/>
  <c r="R15" i="10"/>
  <c r="J70" i="8"/>
  <c r="R31" i="10"/>
  <c r="R19" i="10"/>
  <c r="R57" i="14"/>
  <c r="J57" i="24"/>
  <c r="R57" i="24" s="1"/>
  <c r="R15" i="18"/>
  <c r="J24" i="24"/>
  <c r="R24" i="24" s="1"/>
  <c r="J64" i="24"/>
  <c r="R64" i="24" s="1"/>
  <c r="J8" i="24"/>
  <c r="J14" i="24"/>
  <c r="R14" i="24" s="1"/>
  <c r="J58" i="24"/>
  <c r="J44" i="24"/>
  <c r="R44" i="24" s="1"/>
  <c r="J68" i="24"/>
  <c r="R68" i="24" s="1"/>
  <c r="R10" i="10"/>
  <c r="R64" i="14"/>
  <c r="J31" i="24"/>
  <c r="R31" i="24" s="1"/>
  <c r="K68" i="14"/>
  <c r="R68" i="14" s="1"/>
  <c r="K64" i="14"/>
  <c r="K60" i="14"/>
  <c r="K56" i="14"/>
  <c r="R56" i="14" s="1"/>
  <c r="K52" i="14"/>
  <c r="K48" i="14"/>
  <c r="R48" i="14" s="1"/>
  <c r="K44" i="14"/>
  <c r="K40" i="14"/>
  <c r="R40" i="14" s="1"/>
  <c r="K36" i="14"/>
  <c r="R36" i="14" s="1"/>
  <c r="K32" i="14"/>
  <c r="R32" i="14" s="1"/>
  <c r="K28" i="14"/>
  <c r="R28" i="14" s="1"/>
  <c r="K24" i="14"/>
  <c r="R24" i="14" s="1"/>
  <c r="K20" i="14"/>
  <c r="R20" i="14" s="1"/>
  <c r="K15" i="14"/>
  <c r="R15" i="14" s="1"/>
  <c r="K69" i="14"/>
  <c r="R69" i="14" s="1"/>
  <c r="K65" i="14"/>
  <c r="R65" i="14" s="1"/>
  <c r="K61" i="14"/>
  <c r="R61" i="14" s="1"/>
  <c r="K57" i="14"/>
  <c r="K66" i="14"/>
  <c r="R66" i="14" s="1"/>
  <c r="K62" i="14"/>
  <c r="R62" i="14" s="1"/>
  <c r="K58" i="14"/>
  <c r="R58" i="14" s="1"/>
  <c r="K54" i="14"/>
  <c r="R54" i="14" s="1"/>
  <c r="K50" i="14"/>
  <c r="R50" i="14" s="1"/>
  <c r="K46" i="14"/>
  <c r="R46" i="14" s="1"/>
  <c r="K42" i="14"/>
  <c r="R42" i="14" s="1"/>
  <c r="K49" i="14"/>
  <c r="R49" i="14" s="1"/>
  <c r="K43" i="14"/>
  <c r="R43" i="14" s="1"/>
  <c r="K30" i="14"/>
  <c r="R30" i="14" s="1"/>
  <c r="K23" i="14"/>
  <c r="R23" i="14" s="1"/>
  <c r="K12" i="14"/>
  <c r="R12" i="14" s="1"/>
  <c r="K8" i="14"/>
  <c r="R8" i="14" s="1"/>
  <c r="K59" i="14"/>
  <c r="K37" i="14"/>
  <c r="R37" i="14" s="1"/>
  <c r="K34" i="14"/>
  <c r="R34" i="14" s="1"/>
  <c r="K27" i="14"/>
  <c r="R27" i="14" s="1"/>
  <c r="K16" i="14"/>
  <c r="R16" i="14" s="1"/>
  <c r="K13" i="14"/>
  <c r="R13" i="14" s="1"/>
  <c r="K9" i="14"/>
  <c r="R9" i="14" s="1"/>
  <c r="K55" i="14"/>
  <c r="R55" i="14" s="1"/>
  <c r="K47" i="14"/>
  <c r="R47" i="14" s="1"/>
  <c r="K41" i="14"/>
  <c r="R41" i="14" s="1"/>
  <c r="K38" i="14"/>
  <c r="R38" i="14" s="1"/>
  <c r="K31" i="14"/>
  <c r="R31" i="14" s="1"/>
  <c r="K17" i="14"/>
  <c r="R17" i="14" s="1"/>
  <c r="K21" i="14"/>
  <c r="R21" i="14" s="1"/>
  <c r="K53" i="14"/>
  <c r="R53" i="14" s="1"/>
  <c r="K35" i="14"/>
  <c r="R35" i="14" s="1"/>
  <c r="K10" i="14"/>
  <c r="R10" i="14" s="1"/>
  <c r="K6" i="14"/>
  <c r="K67" i="14"/>
  <c r="R67" i="14" s="1"/>
  <c r="K25" i="14"/>
  <c r="R25" i="14" s="1"/>
  <c r="K18" i="14"/>
  <c r="R18" i="14" s="1"/>
  <c r="K14" i="14"/>
  <c r="R14" i="14" s="1"/>
  <c r="K45" i="14"/>
  <c r="R45" i="14" s="1"/>
  <c r="K39" i="14"/>
  <c r="R39" i="14" s="1"/>
  <c r="K22" i="14"/>
  <c r="R22" i="14" s="1"/>
  <c r="K51" i="14"/>
  <c r="R51" i="14" s="1"/>
  <c r="K29" i="14"/>
  <c r="R29" i="14" s="1"/>
  <c r="K11" i="14"/>
  <c r="R11" i="14" s="1"/>
  <c r="K7" i="14"/>
  <c r="R7" i="14" s="1"/>
  <c r="K19" i="14"/>
  <c r="K26" i="14"/>
  <c r="R26" i="14" s="1"/>
  <c r="K63" i="14"/>
  <c r="R63" i="14" s="1"/>
  <c r="K33" i="14"/>
  <c r="R52" i="14"/>
  <c r="J9" i="24"/>
  <c r="K66" i="8"/>
  <c r="R66" i="8" s="1"/>
  <c r="K62" i="8"/>
  <c r="R62" i="8" s="1"/>
  <c r="K58" i="8"/>
  <c r="R58" i="8" s="1"/>
  <c r="K54" i="8"/>
  <c r="R54" i="8" s="1"/>
  <c r="K50" i="8"/>
  <c r="R50" i="8" s="1"/>
  <c r="K46" i="8"/>
  <c r="R46" i="8" s="1"/>
  <c r="K44" i="8"/>
  <c r="R44" i="8" s="1"/>
  <c r="K40" i="8"/>
  <c r="R40" i="8" s="1"/>
  <c r="K36" i="8"/>
  <c r="R36" i="8" s="1"/>
  <c r="K32" i="8"/>
  <c r="R32" i="8" s="1"/>
  <c r="K28" i="8"/>
  <c r="R28" i="8" s="1"/>
  <c r="K24" i="8"/>
  <c r="R24" i="8" s="1"/>
  <c r="K20" i="8"/>
  <c r="R20" i="8" s="1"/>
  <c r="K11" i="8"/>
  <c r="R11" i="8" s="1"/>
  <c r="K6" i="8"/>
  <c r="K69" i="8"/>
  <c r="R69" i="8" s="1"/>
  <c r="K55" i="8"/>
  <c r="R55" i="8" s="1"/>
  <c r="K47" i="8"/>
  <c r="R47" i="8" s="1"/>
  <c r="K60" i="8"/>
  <c r="R60" i="8" s="1"/>
  <c r="K53" i="8"/>
  <c r="R53" i="8" s="1"/>
  <c r="K16" i="8"/>
  <c r="R16" i="8" s="1"/>
  <c r="K12" i="8"/>
  <c r="R12" i="8" s="1"/>
  <c r="K67" i="8"/>
  <c r="R67" i="8" s="1"/>
  <c r="K65" i="8"/>
  <c r="R65" i="8" s="1"/>
  <c r="K48" i="8"/>
  <c r="R48" i="8" s="1"/>
  <c r="K45" i="8"/>
  <c r="R45" i="8" s="1"/>
  <c r="K56" i="8"/>
  <c r="R56" i="8" s="1"/>
  <c r="K17" i="8"/>
  <c r="R17" i="8" s="1"/>
  <c r="K13" i="8"/>
  <c r="R13" i="8" s="1"/>
  <c r="K8" i="8"/>
  <c r="R8" i="8" s="1"/>
  <c r="K51" i="8"/>
  <c r="R51" i="8" s="1"/>
  <c r="K42" i="8"/>
  <c r="R42" i="8" s="1"/>
  <c r="K38" i="8"/>
  <c r="R38" i="8" s="1"/>
  <c r="K34" i="8"/>
  <c r="R34" i="8" s="1"/>
  <c r="K30" i="8"/>
  <c r="R30" i="8" s="1"/>
  <c r="K26" i="8"/>
  <c r="R26" i="8" s="1"/>
  <c r="K22" i="8"/>
  <c r="R22" i="8" s="1"/>
  <c r="K63" i="8"/>
  <c r="R63" i="8" s="1"/>
  <c r="K61" i="8"/>
  <c r="R61" i="8" s="1"/>
  <c r="K18" i="8"/>
  <c r="R18" i="8" s="1"/>
  <c r="K9" i="8"/>
  <c r="R9" i="8" s="1"/>
  <c r="K68" i="8"/>
  <c r="R68" i="8" s="1"/>
  <c r="K49" i="8"/>
  <c r="R49" i="8" s="1"/>
  <c r="K14" i="8"/>
  <c r="R14" i="8" s="1"/>
  <c r="K59" i="8"/>
  <c r="R59" i="8" s="1"/>
  <c r="K57" i="8"/>
  <c r="R57" i="8" s="1"/>
  <c r="K52" i="8"/>
  <c r="R52" i="8" s="1"/>
  <c r="K31" i="8"/>
  <c r="R31" i="8" s="1"/>
  <c r="K23" i="8"/>
  <c r="R23" i="8" s="1"/>
  <c r="K39" i="8"/>
  <c r="R39" i="8" s="1"/>
  <c r="K7" i="8"/>
  <c r="R7" i="8" s="1"/>
  <c r="K33" i="8"/>
  <c r="R33" i="8" s="1"/>
  <c r="K25" i="8"/>
  <c r="R25" i="8" s="1"/>
  <c r="K27" i="8"/>
  <c r="R27" i="8" s="1"/>
  <c r="K15" i="8"/>
  <c r="R15" i="8" s="1"/>
  <c r="K41" i="8"/>
  <c r="R41" i="8" s="1"/>
  <c r="K35" i="8"/>
  <c r="R35" i="8" s="1"/>
  <c r="K19" i="8"/>
  <c r="R19" i="8" s="1"/>
  <c r="K10" i="8"/>
  <c r="R10" i="8" s="1"/>
  <c r="K21" i="8"/>
  <c r="R21" i="8" s="1"/>
  <c r="K64" i="8"/>
  <c r="R64" i="8" s="1"/>
  <c r="K43" i="8"/>
  <c r="R43" i="8" s="1"/>
  <c r="K37" i="8"/>
  <c r="R37" i="8" s="1"/>
  <c r="K29" i="8"/>
  <c r="R29" i="8" s="1"/>
  <c r="J37" i="24"/>
  <c r="R64" i="10"/>
  <c r="J61" i="24"/>
  <c r="R61" i="24" s="1"/>
  <c r="J25" i="24"/>
  <c r="R25" i="24" s="1"/>
  <c r="J52" i="24"/>
  <c r="R52" i="24" s="1"/>
  <c r="R60" i="14"/>
  <c r="J20" i="24"/>
  <c r="R20" i="24" s="1"/>
  <c r="R37" i="18"/>
  <c r="R6" i="16"/>
  <c r="J70" i="16"/>
  <c r="J11" i="24"/>
  <c r="R11" i="24" s="1"/>
  <c r="J22" i="24"/>
  <c r="R22" i="24" s="1"/>
  <c r="R33" i="14"/>
  <c r="J50" i="24"/>
  <c r="J26" i="24"/>
  <c r="R26" i="24" s="1"/>
  <c r="R6" i="20"/>
  <c r="J70" i="20"/>
  <c r="R61" i="10"/>
  <c r="J46" i="24"/>
  <c r="R46" i="24" s="1"/>
  <c r="R27" i="4"/>
  <c r="R28" i="10"/>
  <c r="R19" i="14"/>
  <c r="J36" i="24"/>
  <c r="R40" i="4"/>
  <c r="R44" i="14"/>
  <c r="R27" i="10"/>
  <c r="J7" i="24"/>
  <c r="R7" i="24" s="1"/>
  <c r="J70" i="18"/>
  <c r="R6" i="18"/>
  <c r="J30" i="24"/>
  <c r="R30" i="24" s="1"/>
  <c r="K70" i="4"/>
  <c r="J10" i="24"/>
  <c r="R10" i="24" s="1"/>
  <c r="J48" i="24"/>
  <c r="R48" i="24" s="1"/>
  <c r="J53" i="24"/>
  <c r="R53" i="24" s="1"/>
  <c r="J19" i="24"/>
  <c r="J6" i="24"/>
  <c r="J6" i="6"/>
  <c r="G70" i="6"/>
  <c r="J70" i="14"/>
  <c r="R38" i="10"/>
  <c r="K66" i="12"/>
  <c r="R66" i="12" s="1"/>
  <c r="K62" i="12"/>
  <c r="R62" i="12" s="1"/>
  <c r="K58" i="12"/>
  <c r="R58" i="12" s="1"/>
  <c r="K54" i="12"/>
  <c r="R54" i="12" s="1"/>
  <c r="K50" i="12"/>
  <c r="R50" i="12" s="1"/>
  <c r="K46" i="12"/>
  <c r="R46" i="12" s="1"/>
  <c r="K42" i="12"/>
  <c r="R42" i="12" s="1"/>
  <c r="K38" i="12"/>
  <c r="R38" i="12" s="1"/>
  <c r="K34" i="12"/>
  <c r="R34" i="12" s="1"/>
  <c r="K30" i="12"/>
  <c r="R30" i="12" s="1"/>
  <c r="K26" i="12"/>
  <c r="R26" i="12" s="1"/>
  <c r="K22" i="12"/>
  <c r="R22" i="12" s="1"/>
  <c r="K17" i="12"/>
  <c r="R17" i="12" s="1"/>
  <c r="K13" i="12"/>
  <c r="R13" i="12" s="1"/>
  <c r="K8" i="12"/>
  <c r="R8" i="12" s="1"/>
  <c r="K67" i="12"/>
  <c r="R67" i="12" s="1"/>
  <c r="K63" i="12"/>
  <c r="R63" i="12" s="1"/>
  <c r="K59" i="12"/>
  <c r="R59" i="12" s="1"/>
  <c r="K55" i="12"/>
  <c r="R55" i="12" s="1"/>
  <c r="K51" i="12"/>
  <c r="R51" i="12" s="1"/>
  <c r="K47" i="12"/>
  <c r="R47" i="12" s="1"/>
  <c r="K43" i="12"/>
  <c r="R43" i="12" s="1"/>
  <c r="K39" i="12"/>
  <c r="R39" i="12" s="1"/>
  <c r="K35" i="12"/>
  <c r="R35" i="12" s="1"/>
  <c r="K31" i="12"/>
  <c r="R31" i="12" s="1"/>
  <c r="K27" i="12"/>
  <c r="R27" i="12" s="1"/>
  <c r="K23" i="12"/>
  <c r="R23" i="12" s="1"/>
  <c r="K18" i="12"/>
  <c r="R18" i="12" s="1"/>
  <c r="K14" i="12"/>
  <c r="R14" i="12" s="1"/>
  <c r="K10" i="12"/>
  <c r="R10" i="12" s="1"/>
  <c r="K19" i="12"/>
  <c r="R19" i="12" s="1"/>
  <c r="K68" i="12"/>
  <c r="R68" i="12" s="1"/>
  <c r="K64" i="12"/>
  <c r="R64" i="12" s="1"/>
  <c r="K60" i="12"/>
  <c r="R60" i="12" s="1"/>
  <c r="K56" i="12"/>
  <c r="R56" i="12" s="1"/>
  <c r="K52" i="12"/>
  <c r="R52" i="12" s="1"/>
  <c r="K48" i="12"/>
  <c r="R48" i="12" s="1"/>
  <c r="K44" i="12"/>
  <c r="R44" i="12" s="1"/>
  <c r="K40" i="12"/>
  <c r="R40" i="12" s="1"/>
  <c r="K36" i="12"/>
  <c r="K32" i="12"/>
  <c r="R32" i="12" s="1"/>
  <c r="K28" i="12"/>
  <c r="R28" i="12" s="1"/>
  <c r="K24" i="12"/>
  <c r="R24" i="12" s="1"/>
  <c r="K15" i="12"/>
  <c r="R15" i="12" s="1"/>
  <c r="K20" i="12"/>
  <c r="R20" i="12" s="1"/>
  <c r="K11" i="12"/>
  <c r="R11" i="12" s="1"/>
  <c r="K6" i="12"/>
  <c r="K69" i="12"/>
  <c r="R69" i="12" s="1"/>
  <c r="K65" i="12"/>
  <c r="R65" i="12" s="1"/>
  <c r="K61" i="12"/>
  <c r="R61" i="12" s="1"/>
  <c r="K57" i="12"/>
  <c r="R57" i="12" s="1"/>
  <c r="K53" i="12"/>
  <c r="R53" i="12" s="1"/>
  <c r="K49" i="12"/>
  <c r="R49" i="12" s="1"/>
  <c r="K45" i="12"/>
  <c r="R45" i="12" s="1"/>
  <c r="K41" i="12"/>
  <c r="R41" i="12" s="1"/>
  <c r="K37" i="12"/>
  <c r="R37" i="12" s="1"/>
  <c r="K33" i="12"/>
  <c r="R33" i="12" s="1"/>
  <c r="K29" i="12"/>
  <c r="R29" i="12" s="1"/>
  <c r="K25" i="12"/>
  <c r="R25" i="12" s="1"/>
  <c r="K21" i="12"/>
  <c r="R21" i="12" s="1"/>
  <c r="K16" i="12"/>
  <c r="R16" i="12" s="1"/>
  <c r="K12" i="12"/>
  <c r="R12" i="12" s="1"/>
  <c r="K9" i="12"/>
  <c r="R9" i="12" s="1"/>
  <c r="K7" i="12"/>
  <c r="R7" i="12" s="1"/>
  <c r="K67" i="18"/>
  <c r="R67" i="18" s="1"/>
  <c r="K63" i="18"/>
  <c r="R63" i="18" s="1"/>
  <c r="K59" i="18"/>
  <c r="R59" i="18" s="1"/>
  <c r="K55" i="18"/>
  <c r="R55" i="18" s="1"/>
  <c r="K51" i="18"/>
  <c r="R51" i="18" s="1"/>
  <c r="K47" i="18"/>
  <c r="R47" i="18" s="1"/>
  <c r="K43" i="18"/>
  <c r="R43" i="18" s="1"/>
  <c r="K39" i="18"/>
  <c r="R39" i="18" s="1"/>
  <c r="K35" i="18"/>
  <c r="R35" i="18" s="1"/>
  <c r="K68" i="18"/>
  <c r="K64" i="18"/>
  <c r="R64" i="18" s="1"/>
  <c r="K60" i="18"/>
  <c r="R60" i="18" s="1"/>
  <c r="K56" i="18"/>
  <c r="K52" i="18"/>
  <c r="R52" i="18" s="1"/>
  <c r="K48" i="18"/>
  <c r="R48" i="18" s="1"/>
  <c r="K44" i="18"/>
  <c r="R44" i="18" s="1"/>
  <c r="K40" i="18"/>
  <c r="R40" i="18" s="1"/>
  <c r="K36" i="18"/>
  <c r="R36" i="18" s="1"/>
  <c r="K32" i="18"/>
  <c r="R32" i="18" s="1"/>
  <c r="K28" i="18"/>
  <c r="R28" i="18" s="1"/>
  <c r="K24" i="18"/>
  <c r="R24" i="18" s="1"/>
  <c r="K15" i="18"/>
  <c r="K66" i="18"/>
  <c r="R66" i="18" s="1"/>
  <c r="K62" i="18"/>
  <c r="K58" i="18"/>
  <c r="R58" i="18" s="1"/>
  <c r="K54" i="18"/>
  <c r="R54" i="18" s="1"/>
  <c r="K50" i="18"/>
  <c r="R50" i="18" s="1"/>
  <c r="K46" i="18"/>
  <c r="R46" i="18" s="1"/>
  <c r="K42" i="18"/>
  <c r="R42" i="18" s="1"/>
  <c r="K38" i="18"/>
  <c r="R38" i="18" s="1"/>
  <c r="K34" i="18"/>
  <c r="R34" i="18" s="1"/>
  <c r="K10" i="18"/>
  <c r="R10" i="18" s="1"/>
  <c r="K6" i="18"/>
  <c r="K69" i="18"/>
  <c r="R69" i="18" s="1"/>
  <c r="K25" i="18"/>
  <c r="R25" i="18" s="1"/>
  <c r="K14" i="18"/>
  <c r="R14" i="18" s="1"/>
  <c r="K22" i="18"/>
  <c r="R22" i="18" s="1"/>
  <c r="K29" i="18"/>
  <c r="R29" i="18" s="1"/>
  <c r="K18" i="18"/>
  <c r="R18" i="18" s="1"/>
  <c r="K11" i="18"/>
  <c r="R11" i="18" s="1"/>
  <c r="K7" i="18"/>
  <c r="R7" i="18" s="1"/>
  <c r="K26" i="18"/>
  <c r="R26" i="18" s="1"/>
  <c r="K65" i="18"/>
  <c r="R65" i="18" s="1"/>
  <c r="K57" i="18"/>
  <c r="R57" i="18" s="1"/>
  <c r="K49" i="18"/>
  <c r="R49" i="18" s="1"/>
  <c r="K41" i="18"/>
  <c r="K33" i="18"/>
  <c r="R33" i="18" s="1"/>
  <c r="K30" i="18"/>
  <c r="R30" i="18" s="1"/>
  <c r="K23" i="18"/>
  <c r="R23" i="18" s="1"/>
  <c r="K19" i="18"/>
  <c r="R19" i="18" s="1"/>
  <c r="K12" i="18"/>
  <c r="R12" i="18" s="1"/>
  <c r="K8" i="18"/>
  <c r="R8" i="18" s="1"/>
  <c r="K27" i="18"/>
  <c r="R27" i="18" s="1"/>
  <c r="K20" i="18"/>
  <c r="R20" i="18" s="1"/>
  <c r="K16" i="18"/>
  <c r="R16" i="18" s="1"/>
  <c r="K9" i="18"/>
  <c r="R9" i="18" s="1"/>
  <c r="K31" i="18"/>
  <c r="R31" i="18" s="1"/>
  <c r="K13" i="18"/>
  <c r="K61" i="18"/>
  <c r="R61" i="18" s="1"/>
  <c r="K53" i="18"/>
  <c r="R53" i="18" s="1"/>
  <c r="K21" i="18"/>
  <c r="R21" i="18" s="1"/>
  <c r="K45" i="18"/>
  <c r="R45" i="18" s="1"/>
  <c r="K17" i="18"/>
  <c r="R17" i="18" s="1"/>
  <c r="K37" i="18"/>
  <c r="J69" i="24"/>
  <c r="R69" i="24" s="1"/>
  <c r="R32" i="10"/>
  <c r="R62" i="18"/>
  <c r="J70" i="2"/>
  <c r="S6" i="2"/>
  <c r="S70" i="2" s="1"/>
  <c r="R36" i="12"/>
  <c r="R47" i="20"/>
  <c r="J13" i="24"/>
  <c r="R13" i="24" s="1"/>
  <c r="R68" i="18"/>
  <c r="J51" i="24"/>
  <c r="R51" i="24" s="1"/>
  <c r="R67" i="20"/>
  <c r="R44" i="10"/>
  <c r="R56" i="18"/>
  <c r="J18" i="24"/>
  <c r="R18" i="24" s="1"/>
  <c r="K67" i="20"/>
  <c r="K63" i="20"/>
  <c r="R63" i="20" s="1"/>
  <c r="K59" i="20"/>
  <c r="R59" i="20" s="1"/>
  <c r="K55" i="20"/>
  <c r="R55" i="20" s="1"/>
  <c r="K51" i="20"/>
  <c r="R51" i="20" s="1"/>
  <c r="K47" i="20"/>
  <c r="K43" i="20"/>
  <c r="R43" i="20" s="1"/>
  <c r="K39" i="20"/>
  <c r="R39" i="20" s="1"/>
  <c r="K35" i="20"/>
  <c r="R35" i="20" s="1"/>
  <c r="K31" i="20"/>
  <c r="R31" i="20" s="1"/>
  <c r="K27" i="20"/>
  <c r="R27" i="20" s="1"/>
  <c r="K23" i="20"/>
  <c r="R23" i="20" s="1"/>
  <c r="K18" i="20"/>
  <c r="R18" i="20" s="1"/>
  <c r="K14" i="20"/>
  <c r="R14" i="20" s="1"/>
  <c r="K9" i="20"/>
  <c r="R9" i="20" s="1"/>
  <c r="K19" i="20"/>
  <c r="R19" i="20" s="1"/>
  <c r="K10" i="20"/>
  <c r="R10" i="20" s="1"/>
  <c r="K68" i="20"/>
  <c r="R68" i="20" s="1"/>
  <c r="K64" i="20"/>
  <c r="R64" i="20" s="1"/>
  <c r="K60" i="20"/>
  <c r="R60" i="20" s="1"/>
  <c r="K56" i="20"/>
  <c r="R56" i="20" s="1"/>
  <c r="K52" i="20"/>
  <c r="R52" i="20" s="1"/>
  <c r="K48" i="20"/>
  <c r="R48" i="20" s="1"/>
  <c r="K44" i="20"/>
  <c r="R44" i="20" s="1"/>
  <c r="K40" i="20"/>
  <c r="R40" i="20" s="1"/>
  <c r="K36" i="20"/>
  <c r="R36" i="20" s="1"/>
  <c r="K32" i="20"/>
  <c r="R32" i="20" s="1"/>
  <c r="K28" i="20"/>
  <c r="R28" i="20" s="1"/>
  <c r="K24" i="20"/>
  <c r="R24" i="20" s="1"/>
  <c r="K15" i="20"/>
  <c r="R15" i="20" s="1"/>
  <c r="K20" i="20"/>
  <c r="R20" i="20" s="1"/>
  <c r="K69" i="20"/>
  <c r="R69" i="20" s="1"/>
  <c r="K65" i="20"/>
  <c r="R65" i="20" s="1"/>
  <c r="K61" i="20"/>
  <c r="R61" i="20" s="1"/>
  <c r="K57" i="20"/>
  <c r="R57" i="20" s="1"/>
  <c r="K53" i="20"/>
  <c r="R53" i="20" s="1"/>
  <c r="K49" i="20"/>
  <c r="R49" i="20" s="1"/>
  <c r="K45" i="20"/>
  <c r="R45" i="20" s="1"/>
  <c r="K41" i="20"/>
  <c r="R41" i="20" s="1"/>
  <c r="K37" i="20"/>
  <c r="R37" i="20" s="1"/>
  <c r="K33" i="20"/>
  <c r="R33" i="20" s="1"/>
  <c r="K29" i="20"/>
  <c r="R29" i="20" s="1"/>
  <c r="K25" i="20"/>
  <c r="R25" i="20" s="1"/>
  <c r="K21" i="20"/>
  <c r="R21" i="20" s="1"/>
  <c r="K16" i="20"/>
  <c r="R16" i="20" s="1"/>
  <c r="K7" i="20"/>
  <c r="R7" i="20" s="1"/>
  <c r="K66" i="20"/>
  <c r="R66" i="20" s="1"/>
  <c r="K62" i="20"/>
  <c r="R62" i="20" s="1"/>
  <c r="K58" i="20"/>
  <c r="R58" i="20" s="1"/>
  <c r="K54" i="20"/>
  <c r="R54" i="20" s="1"/>
  <c r="K50" i="20"/>
  <c r="R50" i="20" s="1"/>
  <c r="K46" i="20"/>
  <c r="R46" i="20" s="1"/>
  <c r="K42" i="20"/>
  <c r="R42" i="20" s="1"/>
  <c r="K38" i="20"/>
  <c r="R38" i="20" s="1"/>
  <c r="K34" i="20"/>
  <c r="R34" i="20" s="1"/>
  <c r="K30" i="20"/>
  <c r="R30" i="20" s="1"/>
  <c r="K26" i="20"/>
  <c r="R26" i="20" s="1"/>
  <c r="K22" i="20"/>
  <c r="R22" i="20" s="1"/>
  <c r="K17" i="20"/>
  <c r="R17" i="20" s="1"/>
  <c r="K13" i="20"/>
  <c r="R13" i="20" s="1"/>
  <c r="K12" i="20"/>
  <c r="R12" i="20" s="1"/>
  <c r="K8" i="20"/>
  <c r="R8" i="20" s="1"/>
  <c r="K6" i="20"/>
  <c r="K11" i="20"/>
  <c r="R11" i="20" s="1"/>
  <c r="J32" i="24"/>
  <c r="R32" i="24" s="1"/>
  <c r="R13" i="18"/>
  <c r="R59" i="14"/>
  <c r="J65" i="24"/>
  <c r="R65" i="24" s="1"/>
  <c r="AD60" i="27"/>
  <c r="AP13" i="27"/>
  <c r="Z50" i="27"/>
  <c r="AP57" i="27"/>
  <c r="V55" i="27"/>
  <c r="Z12" i="27"/>
  <c r="Z34" i="27"/>
  <c r="N48" i="27"/>
  <c r="N49" i="27"/>
  <c r="Z25" i="27"/>
  <c r="AL21" i="27"/>
  <c r="V41" i="27"/>
  <c r="AX28" i="27"/>
  <c r="V18" i="27"/>
  <c r="AP39" i="27"/>
  <c r="Z5" i="27"/>
  <c r="AX54" i="27"/>
  <c r="V9" i="27"/>
  <c r="AP36" i="27"/>
  <c r="R44" i="27"/>
  <c r="N64" i="27"/>
  <c r="Z62" i="27"/>
  <c r="AL14" i="27"/>
  <c r="R26" i="27"/>
  <c r="V21" i="27"/>
  <c r="Z31" i="27"/>
  <c r="AP55" i="27"/>
  <c r="AL38" i="27"/>
  <c r="AX40" i="27"/>
  <c r="AD38" i="27"/>
  <c r="R22" i="27"/>
  <c r="AL8" i="27"/>
  <c r="AL36" i="27"/>
  <c r="AL45" i="27"/>
  <c r="AX30" i="27"/>
  <c r="AD47" i="27"/>
  <c r="Z15" i="27"/>
  <c r="N8" i="27"/>
  <c r="Z37" i="27"/>
  <c r="R65" i="27"/>
  <c r="N14" i="27"/>
  <c r="AP40" i="27"/>
  <c r="AX35" i="27"/>
  <c r="AX17" i="27"/>
  <c r="AL46" i="27"/>
  <c r="AD12" i="27"/>
  <c r="N32" i="27"/>
  <c r="V54" i="27"/>
  <c r="V10" i="27"/>
  <c r="AD45" i="27"/>
  <c r="V56" i="27"/>
  <c r="R40" i="27"/>
  <c r="AX13" i="27"/>
  <c r="R41" i="27"/>
  <c r="N29" i="27"/>
  <c r="V6" i="27"/>
  <c r="N5" i="27"/>
  <c r="Z52" i="27"/>
  <c r="Z41" i="27"/>
  <c r="Z23" i="27"/>
  <c r="AP33" i="27"/>
  <c r="N20" i="27"/>
  <c r="V52" i="27"/>
  <c r="AP50" i="27"/>
  <c r="N44" i="27"/>
  <c r="R43" i="27"/>
  <c r="R33" i="27"/>
  <c r="R54" i="27"/>
  <c r="AP61" i="27"/>
  <c r="AX43" i="27"/>
  <c r="V50" i="27"/>
  <c r="AX9" i="27"/>
  <c r="V37" i="27"/>
  <c r="N39" i="27"/>
  <c r="AD13" i="27"/>
  <c r="AX25" i="27"/>
  <c r="R4" i="27"/>
  <c r="AP8" i="27"/>
  <c r="AL37" i="27"/>
  <c r="N15" i="27"/>
  <c r="AX8" i="27"/>
  <c r="R50" i="27"/>
  <c r="AL7" i="27"/>
  <c r="R51" i="27"/>
  <c r="AL48" i="27"/>
  <c r="N23" i="27"/>
  <c r="AD10" i="27"/>
  <c r="Z11" i="27"/>
  <c r="V44" i="27"/>
  <c r="N51" i="27"/>
  <c r="AX58" i="27"/>
  <c r="AL53" i="27"/>
  <c r="AP25" i="27"/>
  <c r="Z20" i="27"/>
  <c r="Z43" i="27"/>
  <c r="AX62" i="27"/>
  <c r="AL15" i="27"/>
  <c r="AL25" i="27"/>
  <c r="AL57" i="27"/>
  <c r="Z35" i="27"/>
  <c r="AD52" i="27"/>
  <c r="V31" i="27"/>
  <c r="AL60" i="27"/>
  <c r="V38" i="27"/>
  <c r="N13" i="27"/>
  <c r="V7" i="27"/>
  <c r="R10" i="27"/>
  <c r="Z8" i="27"/>
  <c r="AD58" i="27"/>
  <c r="AL4" i="27"/>
  <c r="AP20" i="27"/>
  <c r="Z38" i="27"/>
  <c r="AP24" i="27"/>
  <c r="AL17" i="27"/>
  <c r="J24" i="27"/>
  <c r="Z53" i="27"/>
  <c r="Z26" i="27"/>
  <c r="AL64" i="27"/>
  <c r="V45" i="27"/>
  <c r="Z59" i="27"/>
  <c r="AP43" i="27"/>
  <c r="R52" i="27"/>
  <c r="Z22" i="27"/>
  <c r="AL24" i="27"/>
  <c r="Z4" i="27"/>
  <c r="AP18" i="27"/>
  <c r="AP22" i="27"/>
  <c r="AL63" i="27"/>
  <c r="R58" i="27"/>
  <c r="V33" i="27"/>
  <c r="AD40" i="27"/>
  <c r="R29" i="27"/>
  <c r="R7" i="27"/>
  <c r="AD56" i="27"/>
  <c r="J50" i="27"/>
  <c r="AP45" i="27"/>
  <c r="N46" i="27"/>
  <c r="N12" i="27"/>
  <c r="R37" i="27"/>
  <c r="N45" i="27"/>
  <c r="AP46" i="27"/>
  <c r="V26" i="27"/>
  <c r="N10" i="27"/>
  <c r="AP35" i="27"/>
  <c r="AD49" i="27"/>
  <c r="AD44" i="27"/>
  <c r="J66" i="27"/>
  <c r="Z30" i="27"/>
  <c r="AP9" i="27"/>
  <c r="Z63" i="27"/>
  <c r="N43" i="27"/>
  <c r="Z13" i="27"/>
  <c r="Z44" i="27"/>
  <c r="R61" i="27"/>
  <c r="R57" i="27"/>
  <c r="AL43" i="27"/>
  <c r="AD21" i="27"/>
  <c r="V14" i="27"/>
  <c r="Z18" i="27"/>
  <c r="R15" i="27"/>
  <c r="V20" i="27"/>
  <c r="N62" i="27"/>
  <c r="AD35" i="27"/>
  <c r="AL56" i="27"/>
  <c r="N11" i="27"/>
  <c r="AD25" i="27"/>
  <c r="AP7" i="27"/>
  <c r="AL30" i="27"/>
  <c r="R55" i="27"/>
  <c r="AX49" i="27"/>
  <c r="AL10" i="27"/>
  <c r="AP14" i="27"/>
  <c r="R17" i="27"/>
  <c r="AD51" i="27"/>
  <c r="V49" i="27"/>
  <c r="AP48" i="27"/>
  <c r="AD34" i="27"/>
  <c r="AL39" i="27"/>
  <c r="V35" i="27"/>
  <c r="Z58" i="27"/>
  <c r="AP10" i="27"/>
  <c r="V42" i="27"/>
  <c r="N38" i="27"/>
  <c r="N7" i="27"/>
  <c r="AD57" i="27"/>
  <c r="Z36" i="27"/>
  <c r="AL49" i="27"/>
  <c r="AX31" i="27"/>
  <c r="AX61" i="27"/>
  <c r="AP6" i="27"/>
  <c r="AL11" i="27"/>
  <c r="Z14" i="27"/>
  <c r="AP38" i="27"/>
  <c r="AD24" i="27"/>
  <c r="R28" i="27"/>
  <c r="AP58" i="27"/>
  <c r="AP37" i="27"/>
  <c r="AD28" i="27"/>
  <c r="V61" i="27"/>
  <c r="AD14" i="27"/>
  <c r="N52" i="27"/>
  <c r="AD9" i="27"/>
  <c r="R49" i="27"/>
  <c r="Z42" i="27"/>
  <c r="AD41" i="27"/>
  <c r="R39" i="27"/>
  <c r="Z6" i="27"/>
  <c r="AD54" i="27"/>
  <c r="V15" i="27"/>
  <c r="AD36" i="27"/>
  <c r="N60" i="27"/>
  <c r="R60" i="27"/>
  <c r="Z29" i="27"/>
  <c r="N25" i="27"/>
  <c r="R11" i="27"/>
  <c r="AP59" i="27"/>
  <c r="AL31" i="27"/>
  <c r="AL27" i="27"/>
  <c r="R30" i="27"/>
  <c r="Z46" i="27"/>
  <c r="AP32" i="27"/>
  <c r="J37" i="27"/>
  <c r="N24" i="27"/>
  <c r="AD33" i="27"/>
  <c r="R6" i="27"/>
  <c r="R53" i="27"/>
  <c r="AX66" i="27"/>
  <c r="N47" i="27"/>
  <c r="R63" i="27"/>
  <c r="AL41" i="27"/>
  <c r="AP30" i="27"/>
  <c r="N19" i="27"/>
  <c r="AH3" i="27"/>
  <c r="Z33" i="27"/>
  <c r="AD37" i="27"/>
  <c r="AD53" i="27"/>
  <c r="AX63" i="27"/>
  <c r="N56" i="27"/>
  <c r="N63" i="27"/>
  <c r="N4" i="27"/>
  <c r="Z54" i="27"/>
  <c r="AD27" i="27"/>
  <c r="AP62" i="27"/>
  <c r="V34" i="27"/>
  <c r="AP26" i="27"/>
  <c r="R42" i="27"/>
  <c r="Z48" i="27"/>
  <c r="AL61" i="27"/>
  <c r="V29" i="27"/>
  <c r="AL50" i="27"/>
  <c r="AX29" i="27"/>
  <c r="Z32" i="27"/>
  <c r="N65" i="27"/>
  <c r="AX45" i="27"/>
  <c r="AL29" i="27"/>
  <c r="R13" i="27"/>
  <c r="R9" i="27"/>
  <c r="V58" i="27"/>
  <c r="Z56" i="27"/>
  <c r="AP12" i="27"/>
  <c r="V25" i="27"/>
  <c r="AL33" i="27"/>
  <c r="AP42" i="27"/>
  <c r="V57" i="27"/>
  <c r="AP21" i="27"/>
  <c r="R23" i="27"/>
  <c r="AL3" i="27"/>
  <c r="V53" i="27"/>
  <c r="N58" i="27"/>
  <c r="N21" i="27"/>
  <c r="J11" i="27"/>
  <c r="V30" i="27"/>
  <c r="AD59" i="27"/>
  <c r="V28" i="27"/>
  <c r="R12" i="27"/>
  <c r="Z28" i="27"/>
  <c r="V23" i="27"/>
  <c r="AL47" i="27"/>
  <c r="AD29" i="27"/>
  <c r="AX7" i="27"/>
  <c r="AL35" i="27"/>
  <c r="AP63" i="27"/>
  <c r="AP16" i="27"/>
  <c r="AD17" i="27"/>
  <c r="AP44" i="27"/>
  <c r="AX52" i="27"/>
  <c r="R56" i="27"/>
  <c r="AL18" i="27"/>
  <c r="AP49" i="27"/>
  <c r="AD65" i="27"/>
  <c r="AD61" i="27"/>
  <c r="AX22" i="27"/>
  <c r="R62" i="27"/>
  <c r="AL42" i="27"/>
  <c r="N36" i="27"/>
  <c r="AD30" i="27"/>
  <c r="AP28" i="27"/>
  <c r="V19" i="27"/>
  <c r="AD4" i="27"/>
  <c r="V32" i="27"/>
  <c r="V62" i="27"/>
  <c r="V36" i="27"/>
  <c r="V66" i="27"/>
  <c r="V8" i="27"/>
  <c r="AX39" i="27"/>
  <c r="V64" i="27"/>
  <c r="AP54" i="27"/>
  <c r="V24" i="27"/>
  <c r="AD32" i="27"/>
  <c r="AX51" i="27"/>
  <c r="V22" i="27"/>
  <c r="V59" i="27"/>
  <c r="AT3" i="27"/>
  <c r="R18" i="27"/>
  <c r="AP5" i="27"/>
  <c r="AD8" i="27"/>
  <c r="AL51" i="27"/>
  <c r="AL52" i="27"/>
  <c r="AD15" i="27"/>
  <c r="AD26" i="27"/>
  <c r="N16" i="27"/>
  <c r="Z51" i="27"/>
  <c r="AP65" i="27"/>
  <c r="AX21" i="27"/>
  <c r="Z24" i="27"/>
  <c r="AL6" i="27"/>
  <c r="N59" i="27"/>
  <c r="N17" i="27"/>
  <c r="V12" i="27"/>
  <c r="V4" i="27"/>
  <c r="AL66" i="27"/>
  <c r="AP53" i="27"/>
  <c r="Z16" i="27"/>
  <c r="AP31" i="27"/>
  <c r="AP15" i="27"/>
  <c r="AX44" i="27"/>
  <c r="V5" i="27"/>
  <c r="R20" i="27"/>
  <c r="N50" i="27"/>
  <c r="AP41" i="27"/>
  <c r="AD46" i="27"/>
  <c r="N41" i="27"/>
  <c r="AD63" i="27"/>
  <c r="N53" i="27"/>
  <c r="AD66" i="27"/>
  <c r="AD20" i="27"/>
  <c r="AL20" i="27"/>
  <c r="V63" i="27"/>
  <c r="AL32" i="27"/>
  <c r="AL13" i="27"/>
  <c r="R48" i="27"/>
  <c r="AL58" i="27"/>
  <c r="AL22" i="27"/>
  <c r="AD43" i="27"/>
  <c r="AP23" i="27"/>
  <c r="AD11" i="27"/>
  <c r="V39" i="27"/>
  <c r="N55" i="27"/>
  <c r="R38" i="27"/>
  <c r="AX57" i="27"/>
  <c r="AP19" i="27"/>
  <c r="AP66" i="27"/>
  <c r="AX48" i="27"/>
  <c r="AD23" i="27"/>
  <c r="R32" i="27"/>
  <c r="AX19" i="27"/>
  <c r="Z9" i="27"/>
  <c r="AL44" i="27"/>
  <c r="R66" i="27"/>
  <c r="N26" i="27"/>
  <c r="N6" i="27"/>
  <c r="Z61" i="27"/>
  <c r="AX20" i="27"/>
  <c r="AX15" i="27"/>
  <c r="AP51" i="27"/>
  <c r="J3" i="27"/>
  <c r="AD16" i="27"/>
  <c r="Z65" i="27"/>
  <c r="R47" i="27"/>
  <c r="AL62" i="27"/>
  <c r="AX23" i="27"/>
  <c r="AL26" i="27"/>
  <c r="R34" i="27"/>
  <c r="AD7" i="27"/>
  <c r="N9" i="27"/>
  <c r="AP17" i="27"/>
  <c r="AL16" i="27"/>
  <c r="AL12" i="27"/>
  <c r="N30" i="27"/>
  <c r="Z47" i="27"/>
  <c r="Z45" i="27"/>
  <c r="AX27" i="27"/>
  <c r="AX50" i="27"/>
  <c r="AD64" i="27"/>
  <c r="N42" i="27"/>
  <c r="AD42" i="27"/>
  <c r="Z19" i="27"/>
  <c r="Z66" i="27"/>
  <c r="AD62" i="27"/>
  <c r="R45" i="27"/>
  <c r="V16" i="27"/>
  <c r="AD18" i="27"/>
  <c r="R8" i="27"/>
  <c r="AP60" i="27"/>
  <c r="R21" i="27"/>
  <c r="Z17" i="27"/>
  <c r="Z39" i="27"/>
  <c r="V17" i="27"/>
  <c r="R35" i="27"/>
  <c r="AL28" i="27"/>
  <c r="R16" i="27"/>
  <c r="R27" i="27"/>
  <c r="AX10" i="27"/>
  <c r="Z21" i="27"/>
  <c r="AP34" i="27"/>
  <c r="N57" i="27"/>
  <c r="V43" i="27"/>
  <c r="R46" i="27"/>
  <c r="AL40" i="27"/>
  <c r="V46" i="27"/>
  <c r="N33" i="27"/>
  <c r="Z49" i="27"/>
  <c r="Z55" i="27"/>
  <c r="AL5" i="27"/>
  <c r="AD31" i="27"/>
  <c r="AD6" i="27"/>
  <c r="AP47" i="27"/>
  <c r="AD39" i="27"/>
  <c r="R14" i="27"/>
  <c r="Z10" i="27"/>
  <c r="N66" i="27"/>
  <c r="AL34" i="27"/>
  <c r="N28" i="27"/>
  <c r="V65" i="27"/>
  <c r="N37" i="27"/>
  <c r="R36" i="27"/>
  <c r="AP56" i="27"/>
  <c r="AL55" i="27"/>
  <c r="Z7" i="27"/>
  <c r="Z27" i="27"/>
  <c r="N31" i="27"/>
  <c r="AP52" i="27"/>
  <c r="R64" i="27"/>
  <c r="V47" i="27"/>
  <c r="AP64" i="27"/>
  <c r="AD55" i="27"/>
  <c r="Z57" i="27"/>
  <c r="AL65" i="27"/>
  <c r="AP29" i="27"/>
  <c r="V51" i="27"/>
  <c r="N34" i="27"/>
  <c r="AL23" i="27"/>
  <c r="V11" i="27"/>
  <c r="AP11" i="27"/>
  <c r="V40" i="27"/>
  <c r="V60" i="27"/>
  <c r="AX41" i="27"/>
  <c r="AL19" i="27"/>
  <c r="R24" i="27"/>
  <c r="AX4" i="27"/>
  <c r="R5" i="27"/>
  <c r="N27" i="27"/>
  <c r="N35" i="27"/>
  <c r="V48" i="27"/>
  <c r="AD50" i="27"/>
  <c r="N22" i="27"/>
  <c r="AX11" i="27"/>
  <c r="N40" i="27"/>
  <c r="N54" i="27"/>
  <c r="AL9" i="27"/>
  <c r="AP4" i="27"/>
  <c r="R31" i="27"/>
  <c r="AP27" i="27"/>
  <c r="V13" i="27"/>
  <c r="R25" i="27"/>
  <c r="N18" i="27"/>
  <c r="N61" i="27"/>
  <c r="Z60" i="27"/>
  <c r="AX65" i="27"/>
  <c r="AD5" i="27"/>
  <c r="Z40" i="27"/>
  <c r="R19" i="27"/>
  <c r="R59" i="27"/>
  <c r="AD19" i="27"/>
  <c r="AL59" i="27"/>
  <c r="AD22" i="27"/>
  <c r="AL54" i="27"/>
  <c r="Z64" i="27"/>
  <c r="AD48" i="27"/>
  <c r="V27" i="27"/>
  <c r="AP3" i="27"/>
  <c r="AR6" i="27" l="1"/>
  <c r="AF60" i="27"/>
  <c r="AF52" i="27"/>
  <c r="AR60" i="27"/>
  <c r="AN7" i="27"/>
  <c r="AN25" i="27"/>
  <c r="P50" i="27"/>
  <c r="AF25" i="27"/>
  <c r="AF21" i="27"/>
  <c r="AN37" i="27"/>
  <c r="AR28" i="27"/>
  <c r="AN14" i="27"/>
  <c r="AN45" i="27"/>
  <c r="AN56" i="27"/>
  <c r="AF37" i="27"/>
  <c r="AZ40" i="27"/>
  <c r="X57" i="27"/>
  <c r="X53" i="27"/>
  <c r="X64" i="27"/>
  <c r="AN23" i="27"/>
  <c r="AN42" i="27"/>
  <c r="X65" i="27"/>
  <c r="AN62" i="27"/>
  <c r="AN51" i="27"/>
  <c r="AZ57" i="27"/>
  <c r="X51" i="27"/>
  <c r="X11" i="27"/>
  <c r="AN40" i="27"/>
  <c r="AR20" i="27"/>
  <c r="AR24" i="27"/>
  <c r="AR66" i="27"/>
  <c r="AN18" i="27"/>
  <c r="AN50" i="27"/>
  <c r="AN11" i="27"/>
  <c r="AN58" i="27"/>
  <c r="AN30" i="27"/>
  <c r="AF38" i="27"/>
  <c r="AF44" i="27"/>
  <c r="AR30" i="27"/>
  <c r="AB9" i="27"/>
  <c r="T65" i="27"/>
  <c r="AN12" i="27"/>
  <c r="AZ25" i="27"/>
  <c r="P13" i="27"/>
  <c r="BB13" i="27"/>
  <c r="BD13" i="27" s="1"/>
  <c r="BE13" i="27" s="1"/>
  <c r="AZ63" i="27"/>
  <c r="AZ30" i="27"/>
  <c r="J67" i="27"/>
  <c r="L3" i="27"/>
  <c r="X40" i="27"/>
  <c r="X46" i="27"/>
  <c r="AZ35" i="27"/>
  <c r="AR8" i="27"/>
  <c r="AR43" i="27"/>
  <c r="AR34" i="27"/>
  <c r="AR25" i="27"/>
  <c r="AR16" i="27"/>
  <c r="AR52" i="27"/>
  <c r="X29" i="27"/>
  <c r="AN17" i="27"/>
  <c r="AN35" i="27"/>
  <c r="AN33" i="27"/>
  <c r="AN44" i="27"/>
  <c r="AB13" i="27"/>
  <c r="AB62" i="27"/>
  <c r="AB45" i="27"/>
  <c r="AB28" i="27"/>
  <c r="AB14" i="27"/>
  <c r="AB63" i="27"/>
  <c r="AZ23" i="27"/>
  <c r="AH67" i="27"/>
  <c r="AJ3" i="27"/>
  <c r="AJ67" i="27" s="1"/>
  <c r="T22" i="27"/>
  <c r="T6" i="27"/>
  <c r="T10" i="27"/>
  <c r="T52" i="27"/>
  <c r="T47" i="27"/>
  <c r="AF8" i="27"/>
  <c r="AF32" i="27"/>
  <c r="AF24" i="27"/>
  <c r="AF47" i="27"/>
  <c r="AZ54" i="27"/>
  <c r="P24" i="27"/>
  <c r="P15" i="27"/>
  <c r="BB15" i="27"/>
  <c r="BD15" i="27" s="1"/>
  <c r="BE15" i="27" s="1"/>
  <c r="P33" i="27"/>
  <c r="P27" i="27"/>
  <c r="BB27" i="27"/>
  <c r="BD27" i="27" s="1"/>
  <c r="BE27" i="27" s="1"/>
  <c r="AZ31" i="27"/>
  <c r="X56" i="27"/>
  <c r="X8" i="27"/>
  <c r="AR7" i="27"/>
  <c r="AB41" i="27"/>
  <c r="AF13" i="27"/>
  <c r="AR29" i="27"/>
  <c r="AN4" i="27"/>
  <c r="AF16" i="27"/>
  <c r="T26" i="27"/>
  <c r="T66" i="27"/>
  <c r="AF61" i="27"/>
  <c r="AZ44" i="27"/>
  <c r="AZ51" i="27"/>
  <c r="AR51" i="27"/>
  <c r="AR11" i="27"/>
  <c r="AR64" i="27"/>
  <c r="AN5" i="27"/>
  <c r="AN8" i="27"/>
  <c r="AN43" i="27"/>
  <c r="AN41" i="27"/>
  <c r="AN52" i="27"/>
  <c r="AB22" i="27"/>
  <c r="AB53" i="27"/>
  <c r="AB36" i="27"/>
  <c r="AB23" i="27"/>
  <c r="AZ7" i="27"/>
  <c r="X25" i="27"/>
  <c r="AZ17" i="27"/>
  <c r="T34" i="27"/>
  <c r="T4" i="27"/>
  <c r="T58" i="27"/>
  <c r="T53" i="27"/>
  <c r="T55" i="27"/>
  <c r="AF48" i="27"/>
  <c r="AF18" i="27"/>
  <c r="AF34" i="27"/>
  <c r="AF55" i="27"/>
  <c r="AF33" i="27"/>
  <c r="X7" i="27"/>
  <c r="P45" i="27"/>
  <c r="BB45" i="27"/>
  <c r="BD45" i="27" s="1"/>
  <c r="BE45" i="27" s="1"/>
  <c r="P62" i="27"/>
  <c r="BB62" i="27"/>
  <c r="BD62" i="27" s="1"/>
  <c r="BE62" i="27" s="1"/>
  <c r="P26" i="27"/>
  <c r="P11" i="27"/>
  <c r="P35" i="27"/>
  <c r="BB35" i="27"/>
  <c r="BD35" i="27" s="1"/>
  <c r="BE35" i="27" s="1"/>
  <c r="X60" i="27"/>
  <c r="X22" i="27"/>
  <c r="X36" i="27"/>
  <c r="X42" i="27"/>
  <c r="AN29" i="27"/>
  <c r="T5" i="27"/>
  <c r="P37" i="27"/>
  <c r="AB32" i="27"/>
  <c r="T14" i="27"/>
  <c r="AF54" i="27"/>
  <c r="P32" i="27"/>
  <c r="AR5" i="27"/>
  <c r="AR42" i="27"/>
  <c r="AR33" i="27"/>
  <c r="AR9" i="27"/>
  <c r="AR55" i="27"/>
  <c r="AR46" i="27"/>
  <c r="AR37" i="27"/>
  <c r="AR15" i="27"/>
  <c r="AZ48" i="27"/>
  <c r="AN9" i="27"/>
  <c r="AN15" i="27"/>
  <c r="AN47" i="27"/>
  <c r="AB26" i="27"/>
  <c r="AB8" i="27"/>
  <c r="AB57" i="27"/>
  <c r="AB40" i="27"/>
  <c r="AB27" i="27"/>
  <c r="AZ50" i="27"/>
  <c r="L24" i="27"/>
  <c r="AF57" i="27"/>
  <c r="T40" i="27"/>
  <c r="T36" i="27"/>
  <c r="T60" i="27"/>
  <c r="T42" i="27"/>
  <c r="T8" i="27"/>
  <c r="T59" i="27"/>
  <c r="AF19" i="27"/>
  <c r="AF14" i="27"/>
  <c r="AF59" i="27"/>
  <c r="AZ65" i="27"/>
  <c r="X16" i="27"/>
  <c r="P7" i="27"/>
  <c r="BB7" i="27"/>
  <c r="BD7" i="27" s="1"/>
  <c r="BE7" i="27" s="1"/>
  <c r="P6" i="27"/>
  <c r="P36" i="27"/>
  <c r="P20" i="27"/>
  <c r="BB20" i="27"/>
  <c r="BD20" i="27" s="1"/>
  <c r="BE20" i="27" s="1"/>
  <c r="P39" i="27"/>
  <c r="BB39" i="27"/>
  <c r="BD39" i="27" s="1"/>
  <c r="BE39" i="27" s="1"/>
  <c r="X66" i="27"/>
  <c r="X5" i="27"/>
  <c r="X26" i="27"/>
  <c r="X52" i="27"/>
  <c r="X45" i="27"/>
  <c r="P31" i="27"/>
  <c r="BB31" i="27"/>
  <c r="BD31" i="27" s="1"/>
  <c r="BE31" i="27" s="1"/>
  <c r="X62" i="27"/>
  <c r="AR10" i="27"/>
  <c r="AR41" i="27"/>
  <c r="AZ15" i="27"/>
  <c r="AN65" i="27"/>
  <c r="AN16" i="27"/>
  <c r="AN26" i="27"/>
  <c r="AN49" i="27"/>
  <c r="AN60" i="27"/>
  <c r="AB30" i="27"/>
  <c r="AB17" i="27"/>
  <c r="AB61" i="27"/>
  <c r="AB44" i="27"/>
  <c r="AB31" i="27"/>
  <c r="AZ43" i="27"/>
  <c r="AZ49" i="27"/>
  <c r="T61" i="27"/>
  <c r="T20" i="27"/>
  <c r="T19" i="27"/>
  <c r="T45" i="27"/>
  <c r="T17" i="27"/>
  <c r="T63" i="27"/>
  <c r="AF36" i="27"/>
  <c r="AF28" i="27"/>
  <c r="AF5" i="27"/>
  <c r="AF63" i="27"/>
  <c r="AZ41" i="27"/>
  <c r="L66" i="27"/>
  <c r="BB66" i="27"/>
  <c r="BD66" i="27" s="1"/>
  <c r="BE66" i="27" s="1"/>
  <c r="P10" i="27"/>
  <c r="BB10" i="27"/>
  <c r="BD10" i="27" s="1"/>
  <c r="BE10" i="27" s="1"/>
  <c r="P34" i="27"/>
  <c r="P41" i="27"/>
  <c r="BB41" i="27"/>
  <c r="BD41" i="27" s="1"/>
  <c r="BE41" i="27" s="1"/>
  <c r="P38" i="27"/>
  <c r="P43" i="27"/>
  <c r="BB43" i="27"/>
  <c r="BD43" i="27" s="1"/>
  <c r="BE43" i="27" s="1"/>
  <c r="X49" i="27"/>
  <c r="X6" i="27"/>
  <c r="X50" i="27"/>
  <c r="X10" i="27"/>
  <c r="X30" i="27"/>
  <c r="AR21" i="27"/>
  <c r="AB24" i="27"/>
  <c r="AP67" i="27"/>
  <c r="AR3" i="27"/>
  <c r="T30" i="27"/>
  <c r="AF29" i="27"/>
  <c r="AN38" i="27"/>
  <c r="AZ20" i="27"/>
  <c r="AZ10" i="27"/>
  <c r="AN20" i="27"/>
  <c r="AN19" i="27"/>
  <c r="AN55" i="27"/>
  <c r="AN64" i="27"/>
  <c r="AB34" i="27"/>
  <c r="AB12" i="27"/>
  <c r="AB65" i="27"/>
  <c r="AB48" i="27"/>
  <c r="AB35" i="27"/>
  <c r="AZ27" i="27"/>
  <c r="AZ22" i="27"/>
  <c r="T18" i="27"/>
  <c r="T28" i="27"/>
  <c r="T23" i="27"/>
  <c r="T62" i="27"/>
  <c r="T21" i="27"/>
  <c r="AF42" i="27"/>
  <c r="AF35" i="27"/>
  <c r="AF9" i="27"/>
  <c r="AF45" i="27"/>
  <c r="AZ11" i="27"/>
  <c r="X28" i="27"/>
  <c r="AZ9" i="27"/>
  <c r="P44" i="27"/>
  <c r="BB44" i="27"/>
  <c r="BD44" i="27" s="1"/>
  <c r="BE44" i="27" s="1"/>
  <c r="P46" i="27"/>
  <c r="P48" i="27"/>
  <c r="BB48" i="27"/>
  <c r="BD48" i="27" s="1"/>
  <c r="BE48" i="27" s="1"/>
  <c r="P47" i="27"/>
  <c r="X15" i="27"/>
  <c r="X19" i="27"/>
  <c r="X43" i="27"/>
  <c r="X21" i="27"/>
  <c r="AZ29" i="27"/>
  <c r="AR48" i="27"/>
  <c r="AB59" i="27"/>
  <c r="T24" i="27"/>
  <c r="AF43" i="27"/>
  <c r="AN24" i="27"/>
  <c r="AB19" i="27"/>
  <c r="AF51" i="27"/>
  <c r="P29" i="27"/>
  <c r="BB29" i="27"/>
  <c r="BD29" i="27" s="1"/>
  <c r="BE29" i="27" s="1"/>
  <c r="X44" i="27"/>
  <c r="AR44" i="27"/>
  <c r="AN57" i="27"/>
  <c r="AB38" i="27"/>
  <c r="AB21" i="27"/>
  <c r="AB39" i="27"/>
  <c r="AL67" i="27"/>
  <c r="AN3" i="27"/>
  <c r="X58" i="27"/>
  <c r="T7" i="27"/>
  <c r="T49" i="27"/>
  <c r="T27" i="27"/>
  <c r="T64" i="27"/>
  <c r="T25" i="27"/>
  <c r="AF49" i="27"/>
  <c r="AF11" i="27"/>
  <c r="AF20" i="27"/>
  <c r="AF58" i="27"/>
  <c r="P60" i="27"/>
  <c r="P49" i="27"/>
  <c r="BB49" i="27"/>
  <c r="BD49" i="27" s="1"/>
  <c r="BE49" i="27" s="1"/>
  <c r="P56" i="27"/>
  <c r="P53" i="27"/>
  <c r="P51" i="27"/>
  <c r="BB51" i="27"/>
  <c r="BD51" i="27" s="1"/>
  <c r="BE51" i="27" s="1"/>
  <c r="AT67" i="27"/>
  <c r="AV3" i="27"/>
  <c r="AV67" i="27" s="1"/>
  <c r="AZ52" i="27"/>
  <c r="X37" i="27"/>
  <c r="X23" i="27"/>
  <c r="X59" i="27"/>
  <c r="AN31" i="27"/>
  <c r="T43" i="27"/>
  <c r="P5" i="27"/>
  <c r="AB66" i="27"/>
  <c r="AN34" i="27"/>
  <c r="AF50" i="27"/>
  <c r="P18" i="27"/>
  <c r="AR50" i="27"/>
  <c r="AR45" i="27"/>
  <c r="AR4" i="27"/>
  <c r="AN27" i="27"/>
  <c r="AB52" i="27"/>
  <c r="AZ62" i="27"/>
  <c r="AR23" i="27"/>
  <c r="AR13" i="27"/>
  <c r="AR62" i="27"/>
  <c r="AR53" i="27"/>
  <c r="AR32" i="27"/>
  <c r="AB33" i="27"/>
  <c r="AN22" i="27"/>
  <c r="AN63" i="27"/>
  <c r="AN61" i="27"/>
  <c r="AB42" i="27"/>
  <c r="AB25" i="27"/>
  <c r="AB7" i="27"/>
  <c r="AB56" i="27"/>
  <c r="AB43" i="27"/>
  <c r="AZ58" i="27"/>
  <c r="T16" i="27"/>
  <c r="T54" i="27"/>
  <c r="T31" i="27"/>
  <c r="T9" i="27"/>
  <c r="T29" i="27"/>
  <c r="AF15" i="27"/>
  <c r="AF27" i="27"/>
  <c r="AF62" i="27"/>
  <c r="AF53" i="27"/>
  <c r="P65" i="27"/>
  <c r="BB65" i="27"/>
  <c r="BD65" i="27" s="1"/>
  <c r="BE65" i="27" s="1"/>
  <c r="P12" i="27"/>
  <c r="P61" i="27"/>
  <c r="BB61" i="27"/>
  <c r="BD61" i="27" s="1"/>
  <c r="BE61" i="27" s="1"/>
  <c r="P17" i="27"/>
  <c r="BB17" i="27"/>
  <c r="BD17" i="27" s="1"/>
  <c r="BE17" i="27" s="1"/>
  <c r="P55" i="27"/>
  <c r="X54" i="27"/>
  <c r="X38" i="27"/>
  <c r="X27" i="27"/>
  <c r="X9" i="27"/>
  <c r="AR39" i="27"/>
  <c r="AB10" i="27"/>
  <c r="AF4" i="27"/>
  <c r="P28" i="27"/>
  <c r="BB28" i="27"/>
  <c r="BD28" i="27" s="1"/>
  <c r="BE28" i="27" s="1"/>
  <c r="AR38" i="27"/>
  <c r="AZ66" i="27"/>
  <c r="X35" i="27"/>
  <c r="T15" i="27"/>
  <c r="AF26" i="27"/>
  <c r="P66" i="27"/>
  <c r="X48" i="27"/>
  <c r="X17" i="27"/>
  <c r="AR14" i="27"/>
  <c r="AN53" i="27"/>
  <c r="AR19" i="27"/>
  <c r="AB16" i="27"/>
  <c r="AF56" i="27"/>
  <c r="AR27" i="27"/>
  <c r="AR18" i="27"/>
  <c r="AR57" i="27"/>
  <c r="AR36" i="27"/>
  <c r="AN66" i="27"/>
  <c r="AB46" i="27"/>
  <c r="AB29" i="27"/>
  <c r="AB11" i="27"/>
  <c r="AB60" i="27"/>
  <c r="AB47" i="27"/>
  <c r="AZ4" i="27"/>
  <c r="AF30" i="27"/>
  <c r="X61" i="27"/>
  <c r="T32" i="27"/>
  <c r="T56" i="27"/>
  <c r="T35" i="27"/>
  <c r="T13" i="27"/>
  <c r="T33" i="27"/>
  <c r="AF22" i="27"/>
  <c r="AF40" i="27"/>
  <c r="AF66" i="27"/>
  <c r="AZ61" i="27"/>
  <c r="X12" i="27"/>
  <c r="P22" i="27"/>
  <c r="BB22" i="27"/>
  <c r="BD22" i="27" s="1"/>
  <c r="BE22" i="27" s="1"/>
  <c r="P16" i="27"/>
  <c r="P21" i="27"/>
  <c r="BB21" i="27"/>
  <c r="BD21" i="27" s="1"/>
  <c r="BE21" i="27" s="1"/>
  <c r="P4" i="27"/>
  <c r="BB4" i="27"/>
  <c r="BD4" i="27" s="1"/>
  <c r="BE4" i="27" s="1"/>
  <c r="P25" i="27"/>
  <c r="BB25" i="27"/>
  <c r="BD25" i="27" s="1"/>
  <c r="BE25" i="27" s="1"/>
  <c r="P59" i="27"/>
  <c r="X39" i="27"/>
  <c r="X63" i="27"/>
  <c r="X31" i="27"/>
  <c r="X13" i="27"/>
  <c r="AN59" i="27"/>
  <c r="AB58" i="27"/>
  <c r="L37" i="27"/>
  <c r="T44" i="27"/>
  <c r="AZ28" i="27"/>
  <c r="P23" i="27"/>
  <c r="BB23" i="27"/>
  <c r="BD23" i="27" s="1"/>
  <c r="BE23" i="27" s="1"/>
  <c r="AR56" i="27"/>
  <c r="AN39" i="27"/>
  <c r="AB18" i="27"/>
  <c r="AZ45" i="27"/>
  <c r="AF31" i="27"/>
  <c r="AR63" i="27"/>
  <c r="AR58" i="27"/>
  <c r="AR22" i="27"/>
  <c r="AR61" i="27"/>
  <c r="AN28" i="27"/>
  <c r="AN46" i="27"/>
  <c r="AN21" i="27"/>
  <c r="AN32" i="27"/>
  <c r="AB4" i="27"/>
  <c r="AB50" i="27"/>
  <c r="AB15" i="27"/>
  <c r="AB64" i="27"/>
  <c r="AB51" i="27"/>
  <c r="X24" i="27"/>
  <c r="AZ19" i="27"/>
  <c r="T38" i="27"/>
  <c r="T11" i="27"/>
  <c r="T39" i="27"/>
  <c r="T50" i="27"/>
  <c r="T37" i="27"/>
  <c r="AF23" i="27"/>
  <c r="AF64" i="27"/>
  <c r="AF6" i="27"/>
  <c r="AF46" i="27"/>
  <c r="AF12" i="27"/>
  <c r="AZ39" i="27"/>
  <c r="BB11" i="27"/>
  <c r="BD11" i="27" s="1"/>
  <c r="BE11" i="27" s="1"/>
  <c r="L11" i="27"/>
  <c r="X20" i="27"/>
  <c r="P30" i="27"/>
  <c r="BB30" i="27"/>
  <c r="BD30" i="27" s="1"/>
  <c r="BE30" i="27" s="1"/>
  <c r="P42" i="27"/>
  <c r="P54" i="27"/>
  <c r="BB54" i="27"/>
  <c r="BD54" i="27" s="1"/>
  <c r="BE54" i="27" s="1"/>
  <c r="P8" i="27"/>
  <c r="BB8" i="27"/>
  <c r="BD8" i="27" s="1"/>
  <c r="BE8" i="27" s="1"/>
  <c r="P58" i="27"/>
  <c r="BB58" i="27"/>
  <c r="BD58" i="27" s="1"/>
  <c r="BE58" i="27" s="1"/>
  <c r="P63" i="27"/>
  <c r="BB63" i="27"/>
  <c r="BD63" i="27" s="1"/>
  <c r="BE63" i="27" s="1"/>
  <c r="BB50" i="27"/>
  <c r="BD50" i="27" s="1"/>
  <c r="BE50" i="27" s="1"/>
  <c r="L50" i="27"/>
  <c r="X34" i="27"/>
  <c r="X14" i="27"/>
  <c r="X47" i="27"/>
  <c r="X18" i="27"/>
  <c r="X55" i="27"/>
  <c r="AN13" i="27"/>
  <c r="AF7" i="27"/>
  <c r="P57" i="27"/>
  <c r="BB57" i="27"/>
  <c r="BD57" i="27" s="1"/>
  <c r="BE57" i="27" s="1"/>
  <c r="AR47" i="27"/>
  <c r="X41" i="27"/>
  <c r="AN48" i="27"/>
  <c r="AB49" i="27"/>
  <c r="T51" i="27"/>
  <c r="AR59" i="27"/>
  <c r="AR54" i="27"/>
  <c r="AR49" i="27"/>
  <c r="AR31" i="27"/>
  <c r="AR17" i="27"/>
  <c r="AR40" i="27"/>
  <c r="AN10" i="27"/>
  <c r="AR35" i="27"/>
  <c r="AR26" i="27"/>
  <c r="AR12" i="27"/>
  <c r="AR65" i="27"/>
  <c r="AN6" i="27"/>
  <c r="AN54" i="27"/>
  <c r="AN36" i="27"/>
  <c r="AB6" i="27"/>
  <c r="AB54" i="27"/>
  <c r="AB37" i="27"/>
  <c r="AB20" i="27"/>
  <c r="AB5" i="27"/>
  <c r="AB55" i="27"/>
  <c r="AF41" i="27"/>
  <c r="AZ8" i="27"/>
  <c r="T12" i="27"/>
  <c r="T46" i="27"/>
  <c r="T48" i="27"/>
  <c r="T57" i="27"/>
  <c r="T41" i="27"/>
  <c r="AF10" i="27"/>
  <c r="AF39" i="27"/>
  <c r="AF17" i="27"/>
  <c r="AF65" i="27"/>
  <c r="AZ21" i="27"/>
  <c r="AZ13" i="27"/>
  <c r="P40" i="27"/>
  <c r="BB40" i="27"/>
  <c r="BD40" i="27" s="1"/>
  <c r="BE40" i="27" s="1"/>
  <c r="P52" i="27"/>
  <c r="BB52" i="27"/>
  <c r="BD52" i="27" s="1"/>
  <c r="BE52" i="27" s="1"/>
  <c r="P64" i="27"/>
  <c r="P14" i="27"/>
  <c r="P19" i="27"/>
  <c r="BB19" i="27"/>
  <c r="BD19" i="27" s="1"/>
  <c r="BE19" i="27" s="1"/>
  <c r="P9" i="27"/>
  <c r="BB9" i="27"/>
  <c r="BD9" i="27" s="1"/>
  <c r="BE9" i="27" s="1"/>
  <c r="X32" i="27"/>
  <c r="X4" i="27"/>
  <c r="X33" i="27"/>
  <c r="R70" i="4"/>
  <c r="R36" i="24"/>
  <c r="R70" i="16"/>
  <c r="R37" i="24"/>
  <c r="K70" i="6"/>
  <c r="R29" i="24"/>
  <c r="R27" i="24"/>
  <c r="K70" i="12"/>
  <c r="R6" i="12"/>
  <c r="R19" i="24"/>
  <c r="K70" i="8"/>
  <c r="R17" i="24"/>
  <c r="R63" i="24"/>
  <c r="R39" i="24"/>
  <c r="R6" i="10"/>
  <c r="J70" i="10"/>
  <c r="R67" i="24"/>
  <c r="R70" i="20"/>
  <c r="K70" i="10"/>
  <c r="R9" i="24"/>
  <c r="K70" i="24"/>
  <c r="R59" i="24"/>
  <c r="K70" i="20"/>
  <c r="R70" i="18"/>
  <c r="R50" i="24"/>
  <c r="R6" i="8"/>
  <c r="R70" i="22"/>
  <c r="R49" i="24"/>
  <c r="J70" i="24"/>
  <c r="R6" i="24"/>
  <c r="R8" i="24"/>
  <c r="R62" i="24"/>
  <c r="R45" i="24"/>
  <c r="J70" i="6"/>
  <c r="R6" i="6"/>
  <c r="R21" i="24"/>
  <c r="R56" i="24"/>
  <c r="R35" i="24"/>
  <c r="K70" i="18"/>
  <c r="R58" i="24"/>
  <c r="R41" i="24"/>
  <c r="K70" i="14"/>
  <c r="R6" i="14"/>
  <c r="R40" i="24"/>
  <c r="R15" i="24"/>
  <c r="AX3" i="27"/>
  <c r="AD3" i="27"/>
  <c r="AX64" i="27"/>
  <c r="AX36" i="27"/>
  <c r="AX33" i="27"/>
  <c r="AX32" i="27"/>
  <c r="V3" i="27"/>
  <c r="AX16" i="27"/>
  <c r="AX42" i="27"/>
  <c r="Z3" i="27"/>
  <c r="N3" i="27"/>
  <c r="AX46" i="27"/>
  <c r="AX12" i="27"/>
  <c r="AX55" i="27"/>
  <c r="AX5" i="27"/>
  <c r="AX24" i="27"/>
  <c r="R3" i="27"/>
  <c r="AX56" i="27"/>
  <c r="AX18" i="27"/>
  <c r="AX34" i="27"/>
  <c r="AX38" i="27"/>
  <c r="AX59" i="27"/>
  <c r="AX47" i="27"/>
  <c r="AX6" i="27"/>
  <c r="AX14" i="27"/>
  <c r="AX37" i="27"/>
  <c r="AX53" i="27"/>
  <c r="AX26" i="27"/>
  <c r="AX60" i="27"/>
  <c r="AZ32" i="27" l="1"/>
  <c r="BB32" i="27"/>
  <c r="BD32" i="27" s="1"/>
  <c r="BE32" i="27" s="1"/>
  <c r="R67" i="27"/>
  <c r="T3" i="27"/>
  <c r="T67" i="27" s="1"/>
  <c r="AZ36" i="27"/>
  <c r="BB36" i="27"/>
  <c r="BD36" i="27" s="1"/>
  <c r="BE36" i="27" s="1"/>
  <c r="AZ33" i="27"/>
  <c r="BB33" i="27"/>
  <c r="BD33" i="27" s="1"/>
  <c r="BE33" i="27" s="1"/>
  <c r="V67" i="27"/>
  <c r="X3" i="27"/>
  <c r="X67" i="27" s="1"/>
  <c r="AZ53" i="27"/>
  <c r="BB53" i="27"/>
  <c r="BD53" i="27" s="1"/>
  <c r="BE53" i="27" s="1"/>
  <c r="AZ47" i="27"/>
  <c r="BB47" i="27"/>
  <c r="BD47" i="27" s="1"/>
  <c r="BE47" i="27" s="1"/>
  <c r="AZ60" i="27"/>
  <c r="BB60" i="27"/>
  <c r="BD60" i="27" s="1"/>
  <c r="BE60" i="27" s="1"/>
  <c r="AZ34" i="27"/>
  <c r="BB34" i="27"/>
  <c r="BD34" i="27" s="1"/>
  <c r="BE34" i="27" s="1"/>
  <c r="AZ14" i="27"/>
  <c r="BB14" i="27"/>
  <c r="BD14" i="27" s="1"/>
  <c r="BE14" i="27" s="1"/>
  <c r="AZ56" i="27"/>
  <c r="BB56" i="27"/>
  <c r="BD56" i="27" s="1"/>
  <c r="BE56" i="27" s="1"/>
  <c r="AZ16" i="27"/>
  <c r="BB16" i="27"/>
  <c r="BD16" i="27" s="1"/>
  <c r="BE16" i="27" s="1"/>
  <c r="AZ18" i="27"/>
  <c r="BB18" i="27"/>
  <c r="BD18" i="27" s="1"/>
  <c r="BE18" i="27" s="1"/>
  <c r="Z67" i="27"/>
  <c r="AB3" i="27"/>
  <c r="AB67" i="27" s="1"/>
  <c r="AZ37" i="27"/>
  <c r="BB37" i="27"/>
  <c r="BD37" i="27" s="1"/>
  <c r="BE37" i="27" s="1"/>
  <c r="AZ59" i="27"/>
  <c r="BB59" i="27"/>
  <c r="BD59" i="27" s="1"/>
  <c r="BE59" i="27" s="1"/>
  <c r="AZ6" i="27"/>
  <c r="BB6" i="27"/>
  <c r="BD6" i="27" s="1"/>
  <c r="BE6" i="27" s="1"/>
  <c r="AD67" i="27"/>
  <c r="AF3" i="27"/>
  <c r="AF67" i="27" s="1"/>
  <c r="AZ5" i="27"/>
  <c r="BB5" i="27"/>
  <c r="BD5" i="27" s="1"/>
  <c r="BE5" i="27" s="1"/>
  <c r="AZ24" i="27"/>
  <c r="BB24" i="27"/>
  <c r="BD24" i="27" s="1"/>
  <c r="BE24" i="27" s="1"/>
  <c r="AZ46" i="27"/>
  <c r="BB46" i="27"/>
  <c r="BD46" i="27" s="1"/>
  <c r="BE46" i="27" s="1"/>
  <c r="AZ12" i="27"/>
  <c r="BB12" i="27"/>
  <c r="BD12" i="27" s="1"/>
  <c r="BE12" i="27" s="1"/>
  <c r="AZ55" i="27"/>
  <c r="BB55" i="27"/>
  <c r="BD55" i="27" s="1"/>
  <c r="BE55" i="27" s="1"/>
  <c r="N67" i="27"/>
  <c r="P3" i="27"/>
  <c r="P67" i="27" s="1"/>
  <c r="BB3" i="27"/>
  <c r="AZ42" i="27"/>
  <c r="BB42" i="27"/>
  <c r="BD42" i="27" s="1"/>
  <c r="BE42" i="27" s="1"/>
  <c r="AX67" i="27"/>
  <c r="AZ3" i="27"/>
  <c r="AZ26" i="27"/>
  <c r="BB26" i="27"/>
  <c r="BD26" i="27" s="1"/>
  <c r="BE26" i="27" s="1"/>
  <c r="AZ38" i="27"/>
  <c r="BB38" i="27"/>
  <c r="BD38" i="27" s="1"/>
  <c r="BE38" i="27" s="1"/>
  <c r="AZ64" i="27"/>
  <c r="BB64" i="27"/>
  <c r="BD64" i="27" s="1"/>
  <c r="BE64" i="27" s="1"/>
  <c r="R70" i="8"/>
  <c r="R70" i="10"/>
  <c r="AN67" i="27"/>
  <c r="R70" i="12"/>
  <c r="AR67" i="27"/>
  <c r="R70" i="14"/>
  <c r="L67" i="27"/>
  <c r="R70" i="6"/>
  <c r="R70" i="24"/>
  <c r="AZ67" i="27" l="1"/>
  <c r="BB67" i="27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C22" authorId="0" shapeId="0" xr:uid="{AD0715BD-F859-42D6-A6C6-9C3C3B3FD962}">
      <text>
        <r>
          <rPr>
            <b/>
            <sz val="9"/>
            <color indexed="81"/>
            <rFont val="Tahoma"/>
            <charset val="1"/>
          </rPr>
          <t>Samrat Kar:</t>
        </r>
        <r>
          <rPr>
            <sz val="9"/>
            <color indexed="81"/>
            <rFont val="Tahoma"/>
            <charset val="1"/>
          </rPr>
          <t xml:space="preserve">
as per waterOn meter reading it was 36,547.50. it is wrong. So, the value is replaced by average of April and May 2026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00000000-0006-0000-1900-000002000000}">
      <text>
        <r>
          <rPr>
            <sz val="11"/>
            <color rgb="FF000000"/>
            <rFont val="Calibri"/>
            <scheme val="minor"/>
          </rPr>
          <t>Samrat Kar:
tiling and plumbing work to fix the leakage in bathroom of culture room on terrace</t>
        </r>
      </text>
    </comment>
    <comment ref="J7" authorId="0" shapeId="0" xr:uid="{00000000-0006-0000-1900-000003000000}">
      <text>
        <r>
          <rPr>
            <sz val="11"/>
            <color rgb="FF000000"/>
            <rFont val="Calibri"/>
            <scheme val="minor"/>
          </rPr>
          <t>Samrat Kar:
1. tank clearning : 19,800
2. Sump covers : 25,300
3. Polycarbonate sheet repair : 22,800</t>
        </r>
      </text>
    </comment>
  </commentList>
</comments>
</file>

<file path=xl/sharedStrings.xml><?xml version="1.0" encoding="utf-8"?>
<sst xmlns="http://schemas.openxmlformats.org/spreadsheetml/2006/main" count="2772" uniqueCount="447">
  <si>
    <t>AUG 2026 EXPENSES</t>
  </si>
  <si>
    <t>FLAT #</t>
  </si>
  <si>
    <t>WATER USED IN LTRS</t>
  </si>
  <si>
    <t>COMMON AREA EQUALLY DEVIDED</t>
  </si>
  <si>
    <t>TOTAL FRESH WATER CONSUMED</t>
  </si>
  <si>
    <t>%OF TOTAL USED</t>
  </si>
  <si>
    <t>WATER EXPENSE SHARING BY %</t>
  </si>
  <si>
    <t>#METERS</t>
  </si>
  <si>
    <t>METER RENT</t>
  </si>
  <si>
    <t>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</si>
  <si>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</si>
  <si>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</si>
  <si>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</si>
  <si>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</si>
  <si>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</si>
  <si>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LATE PAYMENT FINE</t>
  </si>
  <si>
    <t>TOTAL EXPENSE TO BE PAID</t>
  </si>
  <si>
    <t>LATE PAYMENT FINE REASON</t>
  </si>
  <si>
    <t>CH</t>
  </si>
  <si>
    <t>MPFOWA</t>
  </si>
  <si>
    <t>GYM</t>
  </si>
  <si>
    <t>TOTAL FIXED EXPENSE</t>
  </si>
  <si>
    <t>BSMT</t>
  </si>
  <si>
    <t>TOTAL WATER EXPENSE</t>
  </si>
  <si>
    <t>F1</t>
  </si>
  <si>
    <t>F2</t>
  </si>
  <si>
    <t>RENT PER METER</t>
  </si>
  <si>
    <t>F3</t>
  </si>
  <si>
    <t>COMMON AREA METER RENT</t>
  </si>
  <si>
    <t>F4</t>
  </si>
  <si>
    <t>COMMON AREA METER RENT/FLAT</t>
  </si>
  <si>
    <t>F5</t>
  </si>
  <si>
    <t>F6</t>
  </si>
  <si>
    <t>F7</t>
  </si>
  <si>
    <t>F8</t>
  </si>
  <si>
    <t>BALANCE IN ACCOUNT ON 31-AUG-2022</t>
  </si>
  <si>
    <t>F9</t>
  </si>
  <si>
    <t>TOTAL NON MAINTENANCE CORPUS COLLECTION</t>
  </si>
  <si>
    <t>F10</t>
  </si>
  <si>
    <t>TOTAL FD DONE</t>
  </si>
  <si>
    <t>F11</t>
  </si>
  <si>
    <t>AMOUNT AVAILABLE FOR NON MAINTENANCE CORPUS IN CURRENT AC</t>
  </si>
  <si>
    <t>F12</t>
  </si>
  <si>
    <t>AMOUNT AVAILABLE FOR MAINTENANCE</t>
  </si>
  <si>
    <t>F13</t>
  </si>
  <si>
    <t>F14</t>
  </si>
  <si>
    <t>F15</t>
  </si>
  <si>
    <t>TOTAL WATER METER RENT (INR)</t>
  </si>
  <si>
    <t>F16</t>
  </si>
  <si>
    <t>G1</t>
  </si>
  <si>
    <t>G2</t>
  </si>
  <si>
    <t>G3</t>
  </si>
  <si>
    <t>G4</t>
  </si>
  <si>
    <t>G5</t>
  </si>
  <si>
    <t>G6</t>
  </si>
  <si>
    <t>Missed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</si>
  <si>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</si>
  <si>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</si>
  <si>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</si>
  <si>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</si>
  <si>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</si>
  <si>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</si>
  <si>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</si>
  <si>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</si>
  <si>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</si>
  <si>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</si>
  <si>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</si>
  <si>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</si>
  <si>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</si>
  <si>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</si>
  <si>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</si>
  <si>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</si>
  <si>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</si>
  <si>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</si>
  <si>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</si>
  <si>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</si>
  <si>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</si>
  <si>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</si>
  <si>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</si>
  <si>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</si>
  <si>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</si>
  <si>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</si>
  <si>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</si>
  <si>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</si>
  <si>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</si>
  <si>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</si>
  <si>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</si>
  <si>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</si>
  <si>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</si>
  <si>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</si>
  <si>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</si>
  <si>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</si>
  <si>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</si>
  <si>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</si>
  <si>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</si>
  <si>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</si>
  <si>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</si>
  <si>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</si>
  <si>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</si>
  <si>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</si>
  <si>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</si>
  <si>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</si>
  <si>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</si>
  <si>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</si>
  <si>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</si>
  <si>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</si>
  <si>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</si>
  <si>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</si>
  <si>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</si>
  <si>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</si>
  <si>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</si>
  <si>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</si>
  <si>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</si>
  <si>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</si>
  <si>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</si>
  <si>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</si>
  <si>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</si>
  <si>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</si>
  <si>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</si>
  <si>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</si>
  <si>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</si>
  <si>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</si>
  <si>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</si>
  <si>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</si>
  <si>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</si>
  <si>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</si>
  <si>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</si>
  <si>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</si>
  <si>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</si>
  <si>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</si>
  <si>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</si>
  <si>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</si>
  <si>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</si>
  <si>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</si>
  <si>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</si>
  <si>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</si>
  <si>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</si>
  <si>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</si>
  <si>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</si>
  <si>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</si>
  <si>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</si>
  <si>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</si>
  <si>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</si>
  <si>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</si>
  <si>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</si>
  <si>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</si>
  <si>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</si>
  <si>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</si>
  <si>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</si>
  <si>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</si>
  <si>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</si>
  <si>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</si>
  <si>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</si>
  <si>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</si>
  <si>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</si>
  <si>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</si>
  <si>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Ankur Agarwal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</si>
  <si>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</si>
  <si>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</si>
  <si>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</si>
  <si>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</si>
  <si>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</si>
  <si>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</si>
  <si>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</si>
  <si>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</si>
  <si>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</si>
  <si>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</si>
  <si>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</si>
  <si>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</si>
  <si>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</si>
  <si>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</si>
  <si>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</si>
  <si>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</si>
  <si>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</si>
  <si>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</si>
  <si>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</si>
  <si>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</si>
  <si>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</si>
  <si>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</si>
  <si>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</si>
  <si>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</si>
  <si>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</si>
  <si>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</si>
  <si>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</si>
  <si>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</si>
  <si>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</si>
  <si>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</si>
  <si>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</si>
  <si>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</si>
  <si>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</si>
  <si>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</si>
  <si>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</si>
  <si>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</si>
  <si>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</si>
  <si>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</si>
  <si>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</si>
  <si>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</si>
  <si>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</si>
  <si>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</si>
  <si>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</si>
  <si>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</si>
  <si>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</si>
  <si>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</si>
  <si>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</si>
  <si>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</si>
  <si>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</si>
  <si>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</si>
  <si>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</si>
  <si>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</si>
  <si>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</si>
  <si>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</si>
  <si>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</si>
  <si>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</si>
  <si>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</si>
  <si>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</si>
  <si>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</si>
  <si>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</si>
  <si>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</si>
  <si>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</si>
  <si>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</si>
  <si>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</si>
  <si>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</si>
  <si>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</si>
  <si>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</si>
  <si>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</si>
  <si>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</si>
  <si>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</si>
  <si>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</si>
  <si>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</si>
  <si>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</si>
  <si>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</si>
  <si>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</si>
  <si>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</si>
  <si>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</si>
  <si>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</si>
  <si>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</si>
  <si>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</si>
  <si>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</si>
  <si>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</si>
  <si>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</si>
  <si>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</si>
  <si>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</si>
  <si>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</si>
  <si>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</si>
  <si>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</si>
  <si>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</si>
  <si>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</si>
  <si>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</si>
  <si>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</si>
  <si>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</si>
  <si>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</si>
  <si>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</si>
  <si>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COMMON AREA WATER EQUALLY DIVIDED (L)</t>
  </si>
  <si>
    <t>TOTAL FRESH WATER CONSUMED(L)</t>
  </si>
  <si>
    <t>%OF TOTAL WATER USED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</si>
  <si>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</si>
  <si>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</si>
  <si>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</si>
  <si>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</si>
  <si>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</si>
  <si>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</si>
  <si>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</si>
  <si>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</si>
  <si>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</si>
  <si>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TOTAL EXPENSE TO BE PAID (Rs)</t>
  </si>
  <si>
    <t>RENT PER METER (Rs)</t>
  </si>
  <si>
    <t>COMMON AREA METER RENT(Rs)</t>
  </si>
  <si>
    <t>COMMON AREA METER RENT/FLAT (Rs)</t>
  </si>
  <si>
    <t>BALANCE IN ACCOUNT ON 30-Apr-2023</t>
  </si>
  <si>
    <t>Pending vendor payments</t>
  </si>
  <si>
    <t>TOTAL EXPENSE FOR THE MONTH</t>
  </si>
  <si>
    <t>Maintenance deficit</t>
  </si>
  <si>
    <t>Amount</t>
  </si>
  <si>
    <t>Date</t>
  </si>
  <si>
    <t>Total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</si>
  <si>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</si>
  <si>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</si>
  <si>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</si>
  <si>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</si>
  <si>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</si>
  <si>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</si>
  <si>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</si>
  <si>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</si>
  <si>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</si>
  <si>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</si>
  <si>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</si>
  <si>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</si>
  <si>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</si>
  <si>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</si>
  <si>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</si>
  <si>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</si>
  <si>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</si>
  <si>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</si>
  <si>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</si>
  <si>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</si>
  <si>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VARIABLE EXPENSE = COMMON AREA METER RENT + WATER EXPENSE+ FLAT METER RENT</t>
  </si>
  <si>
    <t>ANNUAL MEMBERSHIP FEE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</si>
  <si>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</si>
  <si>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</si>
  <si>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</si>
  <si>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</si>
  <si>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</si>
  <si>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</si>
  <si>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</si>
  <si>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</si>
  <si>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</si>
  <si>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</si>
  <si>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</si>
  <si>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</si>
  <si>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</si>
  <si>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</si>
  <si>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</si>
  <si>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</si>
  <si>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</si>
  <si>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</si>
  <si>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</si>
  <si>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</si>
  <si>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</si>
  <si>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</si>
  <si>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</si>
  <si>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</si>
  <si>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</si>
  <si>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</si>
  <si>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</si>
  <si>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</si>
  <si>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</si>
  <si>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</si>
  <si>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</si>
  <si>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</si>
  <si>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</si>
  <si>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</si>
  <si>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</si>
  <si>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</si>
  <si>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</si>
  <si>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</si>
  <si>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</si>
  <si>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</si>
  <si>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</si>
  <si>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</si>
  <si>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</si>
  <si>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</si>
  <si>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</si>
  <si>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15-Jul-26</t>
  </si>
  <si>
    <t>1-Jul-26</t>
  </si>
  <si>
    <t>9-Jul-26</t>
  </si>
  <si>
    <t>10-Jul-26</t>
  </si>
  <si>
    <t>6-Jul-26</t>
  </si>
  <si>
    <t>31-Jul-26</t>
  </si>
  <si>
    <t>8-Jul-26</t>
  </si>
  <si>
    <t>5-Jul-26</t>
  </si>
  <si>
    <t>3-Jul-26</t>
  </si>
  <si>
    <t>24-Jul-26</t>
  </si>
  <si>
    <t>20-Jul-26</t>
  </si>
  <si>
    <t>19-Jul-26</t>
  </si>
  <si>
    <t>7-Jul-26</t>
  </si>
  <si>
    <t>12-Jul-26</t>
  </si>
  <si>
    <t>11-Jul-26</t>
  </si>
  <si>
    <t>21-Jul-26</t>
  </si>
  <si>
    <t>16-Jul-26</t>
  </si>
  <si>
    <t>4-Jul-26</t>
  </si>
  <si>
    <t>2-Jul-26</t>
  </si>
  <si>
    <t>10-Aug-26</t>
  </si>
  <si>
    <t>1-Aug-26</t>
  </si>
  <si>
    <t>11-Aug-26</t>
  </si>
  <si>
    <t>30-Aug-26</t>
  </si>
  <si>
    <t>17-Aug-26</t>
  </si>
  <si>
    <t>31-Aug-26</t>
  </si>
  <si>
    <t>12-Aug-26</t>
  </si>
  <si>
    <t>15-Aug-26</t>
  </si>
  <si>
    <t>4-Aug-26</t>
  </si>
  <si>
    <t>29-Aug-26</t>
  </si>
  <si>
    <t>25-Aug-26</t>
  </si>
  <si>
    <t>14-Aug-26</t>
  </si>
  <si>
    <t>2-Aug-26</t>
  </si>
  <si>
    <t>13-Aug-26</t>
  </si>
  <si>
    <t>8-Aug-26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</si>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</sst>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2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170" fontId="13" fillId="6" borderId="3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398631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74-41FE-B5FA-F3C5A85A3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B27" sqref="B27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99</v>
      </c>
      <c r="B1" s="14" t="s">
        <v>100</v>
      </c>
      <c r="C1" s="14" t="s">
        <v>101</v>
      </c>
      <c r="D1" s="14" t="s">
        <v>102</v>
      </c>
      <c r="E1" s="14"/>
      <c r="F1" s="14" t="s">
        <v>103</v>
      </c>
      <c r="G1" s="14" t="s">
        <v>104</v>
      </c>
      <c r="H1" s="14" t="s">
        <v>105</v>
      </c>
    </row>
    <row r="2" spans="1:8" x14ac:dyDescent="0.25">
      <c r="A2" s="15" t="s">
        <v>24</v>
      </c>
      <c r="B2" s="15" t="s">
        <v>106</v>
      </c>
      <c r="C2" s="15" t="s">
        <v>107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25</v>
      </c>
      <c r="B3" s="16" t="s">
        <v>108</v>
      </c>
      <c r="C3" s="16" t="s">
        <v>109</v>
      </c>
      <c r="D3" s="16"/>
      <c r="E3" s="16"/>
      <c r="F3" s="16"/>
      <c r="G3" s="16"/>
      <c r="H3" s="16"/>
    </row>
    <row r="4" spans="1:8" x14ac:dyDescent="0.25">
      <c r="A4" s="15" t="s">
        <v>27</v>
      </c>
      <c r="B4" s="15" t="s">
        <v>110</v>
      </c>
      <c r="C4" s="15" t="s">
        <v>111</v>
      </c>
      <c r="D4" s="15" t="s">
        <v>112</v>
      </c>
      <c r="E4" s="15"/>
      <c r="F4" s="15"/>
      <c r="G4" s="15"/>
      <c r="H4" s="15"/>
    </row>
    <row r="5" spans="1:8" x14ac:dyDescent="0.25">
      <c r="A5" s="16" t="s">
        <v>29</v>
      </c>
      <c r="B5" s="16" t="s">
        <v>113</v>
      </c>
      <c r="C5" s="16" t="s">
        <v>114</v>
      </c>
      <c r="D5" s="16"/>
      <c r="E5" s="16"/>
      <c r="F5" s="16"/>
      <c r="G5" s="16"/>
      <c r="H5" s="16"/>
    </row>
    <row r="6" spans="1:8" ht="25.5" customHeight="1" x14ac:dyDescent="0.25">
      <c r="A6" s="15" t="s">
        <v>31</v>
      </c>
      <c r="B6" s="15" t="s">
        <v>115</v>
      </c>
      <c r="C6" s="15"/>
      <c r="D6" s="15"/>
      <c r="E6" s="15"/>
      <c r="F6" s="15"/>
      <c r="G6" s="15"/>
      <c r="H6" s="15"/>
    </row>
    <row r="7" spans="1:8" x14ac:dyDescent="0.25">
      <c r="A7" s="16" t="s">
        <v>32</v>
      </c>
      <c r="B7" s="16" t="s">
        <v>116</v>
      </c>
      <c r="C7" s="16" t="s">
        <v>117</v>
      </c>
      <c r="D7" s="16"/>
      <c r="E7" s="16"/>
      <c r="F7" s="16"/>
      <c r="G7" s="16"/>
      <c r="H7" s="16"/>
    </row>
    <row r="8" spans="1:8" x14ac:dyDescent="0.25">
      <c r="A8" s="15" t="s">
        <v>33</v>
      </c>
      <c r="B8" s="15" t="s">
        <v>118</v>
      </c>
      <c r="C8" s="15" t="s">
        <v>119</v>
      </c>
      <c r="D8" s="15"/>
      <c r="E8" s="15"/>
      <c r="F8" s="15"/>
      <c r="G8" s="15"/>
      <c r="H8" s="15"/>
    </row>
    <row r="9" spans="1:8" x14ac:dyDescent="0.25">
      <c r="A9" s="16" t="s">
        <v>34</v>
      </c>
      <c r="B9" s="16" t="s">
        <v>120</v>
      </c>
      <c r="C9" s="15" t="s">
        <v>121</v>
      </c>
      <c r="D9" s="16"/>
      <c r="E9" s="16"/>
      <c r="F9" s="16"/>
      <c r="G9" s="16"/>
      <c r="H9" s="16"/>
    </row>
    <row r="10" spans="1:8" x14ac:dyDescent="0.25">
      <c r="A10" s="15" t="s">
        <v>36</v>
      </c>
      <c r="B10" s="15" t="s">
        <v>122</v>
      </c>
      <c r="C10" s="15" t="s">
        <v>123</v>
      </c>
      <c r="D10" s="15" t="s">
        <v>124</v>
      </c>
      <c r="E10" s="15"/>
      <c r="F10" s="15"/>
      <c r="G10" s="15"/>
      <c r="H10" s="15"/>
    </row>
    <row r="11" spans="1:8" x14ac:dyDescent="0.25">
      <c r="A11" s="16" t="s">
        <v>38</v>
      </c>
      <c r="B11" s="16" t="s">
        <v>125</v>
      </c>
      <c r="C11" s="16" t="s">
        <v>126</v>
      </c>
      <c r="D11" s="16" t="s">
        <v>127</v>
      </c>
      <c r="E11" s="16"/>
      <c r="F11" s="16"/>
      <c r="G11" s="16"/>
      <c r="H11" s="16"/>
    </row>
    <row r="12" spans="1:8" x14ac:dyDescent="0.25">
      <c r="A12" s="15" t="s">
        <v>40</v>
      </c>
      <c r="B12" s="15" t="s">
        <v>113</v>
      </c>
      <c r="C12" s="15"/>
      <c r="D12" s="15"/>
      <c r="E12" s="15"/>
      <c r="F12" s="15"/>
      <c r="G12" s="15"/>
      <c r="H12" s="15"/>
    </row>
    <row r="13" spans="1:8" x14ac:dyDescent="0.25">
      <c r="A13" s="16" t="s">
        <v>42</v>
      </c>
      <c r="B13" s="16" t="s">
        <v>128</v>
      </c>
      <c r="C13" s="16" t="s">
        <v>129</v>
      </c>
      <c r="D13" s="16" t="s">
        <v>130</v>
      </c>
      <c r="E13" s="16"/>
      <c r="F13" s="16"/>
      <c r="G13" s="16"/>
      <c r="H13" s="16"/>
    </row>
    <row r="14" spans="1:8" x14ac:dyDescent="0.25">
      <c r="A14" s="15" t="s">
        <v>44</v>
      </c>
      <c r="B14" s="15" t="s">
        <v>131</v>
      </c>
      <c r="C14" s="15"/>
      <c r="D14" s="15"/>
      <c r="E14" s="15"/>
      <c r="F14" s="15"/>
      <c r="G14" s="15"/>
      <c r="H14" s="15"/>
    </row>
    <row r="15" spans="1:8" x14ac:dyDescent="0.25">
      <c r="A15" s="16" t="s">
        <v>45</v>
      </c>
      <c r="B15" s="16" t="s">
        <v>132</v>
      </c>
      <c r="C15" s="16" t="s">
        <v>133</v>
      </c>
      <c r="D15" s="16" t="s">
        <v>134</v>
      </c>
      <c r="E15" s="16"/>
      <c r="F15" s="16"/>
      <c r="G15" s="16"/>
      <c r="H15" s="16"/>
    </row>
    <row r="16" spans="1:8" x14ac:dyDescent="0.25">
      <c r="A16" s="15" t="s">
        <v>46</v>
      </c>
      <c r="B16" s="15" t="s">
        <v>135</v>
      </c>
      <c r="C16" s="15" t="s">
        <v>136</v>
      </c>
      <c r="D16" s="15" t="s">
        <v>137</v>
      </c>
      <c r="E16" s="15"/>
      <c r="F16" s="15"/>
      <c r="G16" s="15"/>
      <c r="H16" s="15"/>
    </row>
    <row r="17" spans="1:8" x14ac:dyDescent="0.25">
      <c r="A17" s="16" t="s">
        <v>48</v>
      </c>
      <c r="B17" s="16" t="s">
        <v>138</v>
      </c>
      <c r="C17" s="16" t="s">
        <v>139</v>
      </c>
      <c r="D17" s="16"/>
      <c r="E17" s="16"/>
      <c r="F17" s="16"/>
      <c r="G17" s="16"/>
      <c r="H17" s="16"/>
    </row>
    <row r="18" spans="1:8" x14ac:dyDescent="0.25">
      <c r="A18" s="15" t="s">
        <v>49</v>
      </c>
      <c r="B18" s="15" t="s">
        <v>140</v>
      </c>
      <c r="C18" s="15" t="s">
        <v>141</v>
      </c>
      <c r="D18" s="15" t="s">
        <v>142</v>
      </c>
      <c r="E18" s="15"/>
      <c r="F18" s="15"/>
      <c r="G18" s="15"/>
      <c r="H18" s="15"/>
    </row>
    <row r="19" spans="1:8" x14ac:dyDescent="0.25">
      <c r="A19" s="16" t="s">
        <v>50</v>
      </c>
      <c r="B19" s="16" t="s">
        <v>143</v>
      </c>
      <c r="C19" s="16"/>
      <c r="D19" s="16"/>
      <c r="E19" s="16"/>
      <c r="F19" s="16"/>
      <c r="G19" s="16"/>
      <c r="H19" s="16"/>
    </row>
    <row r="20" spans="1:8" x14ac:dyDescent="0.25">
      <c r="A20" s="15" t="s">
        <v>51</v>
      </c>
      <c r="B20" s="15" t="s">
        <v>144</v>
      </c>
      <c r="C20" s="15" t="s">
        <v>145</v>
      </c>
      <c r="D20" s="15"/>
      <c r="E20" s="15"/>
      <c r="F20" s="15"/>
      <c r="G20" s="15"/>
      <c r="H20" s="15"/>
    </row>
    <row r="21" spans="1:8" x14ac:dyDescent="0.25">
      <c r="A21" s="16" t="s">
        <v>52</v>
      </c>
      <c r="B21" s="16" t="s">
        <v>146</v>
      </c>
      <c r="C21" s="16" t="s">
        <v>147</v>
      </c>
      <c r="D21" s="16"/>
      <c r="E21" s="16"/>
      <c r="F21" s="16"/>
      <c r="G21" s="16"/>
      <c r="H21" s="16"/>
    </row>
    <row r="22" spans="1:8" x14ac:dyDescent="0.25">
      <c r="A22" s="15" t="s">
        <v>53</v>
      </c>
      <c r="B22" s="15" t="s">
        <v>148</v>
      </c>
      <c r="C22" s="15"/>
      <c r="D22" s="15"/>
      <c r="E22" s="15"/>
      <c r="F22" s="15"/>
      <c r="G22" s="15"/>
      <c r="H22" s="15"/>
    </row>
    <row r="23" spans="1:8" x14ac:dyDescent="0.25">
      <c r="A23" s="16" t="s">
        <v>54</v>
      </c>
      <c r="B23" s="16" t="s">
        <v>149</v>
      </c>
      <c r="C23" s="16"/>
      <c r="D23" s="16" t="s">
        <v>150</v>
      </c>
      <c r="E23" s="16"/>
      <c r="F23" s="16"/>
      <c r="G23" s="16"/>
      <c r="H23" s="16"/>
    </row>
    <row r="24" spans="1:8" x14ac:dyDescent="0.25">
      <c r="A24" s="15" t="s">
        <v>56</v>
      </c>
      <c r="B24" s="15" t="s">
        <v>151</v>
      </c>
      <c r="C24" s="15" t="s">
        <v>152</v>
      </c>
      <c r="D24" s="15" t="s">
        <v>153</v>
      </c>
      <c r="E24" s="15"/>
      <c r="F24" s="15"/>
      <c r="G24" s="15"/>
      <c r="H24" s="15"/>
    </row>
    <row r="25" spans="1:8" x14ac:dyDescent="0.25">
      <c r="A25" s="16" t="s">
        <v>57</v>
      </c>
      <c r="B25" s="16" t="s">
        <v>154</v>
      </c>
      <c r="C25" s="15" t="s">
        <v>155</v>
      </c>
      <c r="D25" s="16"/>
      <c r="E25" s="16"/>
      <c r="F25" s="16"/>
      <c r="G25" s="16"/>
      <c r="H25" s="16"/>
    </row>
    <row r="26" spans="1:8" x14ac:dyDescent="0.25">
      <c r="A26" s="15" t="s">
        <v>58</v>
      </c>
      <c r="B26" s="15" t="s">
        <v>156</v>
      </c>
      <c r="C26" s="15" t="s">
        <v>157</v>
      </c>
      <c r="D26" s="15"/>
      <c r="E26" s="15"/>
      <c r="F26" s="15"/>
      <c r="G26" s="15"/>
      <c r="H26" s="15"/>
    </row>
    <row r="27" spans="1:8" x14ac:dyDescent="0.25">
      <c r="A27" s="16" t="s">
        <v>59</v>
      </c>
      <c r="B27" s="16" t="s">
        <v>158</v>
      </c>
      <c r="C27" s="15" t="s">
        <v>159</v>
      </c>
      <c r="D27" s="16" t="s">
        <v>160</v>
      </c>
      <c r="E27" s="16"/>
      <c r="F27" s="16"/>
      <c r="G27" s="16"/>
      <c r="H27" s="16"/>
    </row>
    <row r="28" spans="1:8" x14ac:dyDescent="0.25">
      <c r="A28" s="15" t="s">
        <v>60</v>
      </c>
      <c r="B28" s="15" t="s">
        <v>161</v>
      </c>
      <c r="C28" s="15" t="s">
        <v>162</v>
      </c>
      <c r="D28" s="15" t="s">
        <v>163</v>
      </c>
      <c r="E28" s="15"/>
      <c r="F28" s="15"/>
      <c r="G28" s="15"/>
      <c r="H28" s="15"/>
    </row>
    <row r="29" spans="1:8" x14ac:dyDescent="0.25">
      <c r="A29" s="16" t="s">
        <v>61</v>
      </c>
      <c r="B29" s="16" t="s">
        <v>164</v>
      </c>
      <c r="C29" s="16" t="s">
        <v>165</v>
      </c>
      <c r="D29" s="16" t="s">
        <v>166</v>
      </c>
      <c r="E29" s="16"/>
      <c r="F29" s="16"/>
      <c r="G29" s="16"/>
      <c r="H29" s="16"/>
    </row>
    <row r="30" spans="1:8" x14ac:dyDescent="0.25">
      <c r="A30" s="15" t="s">
        <v>62</v>
      </c>
      <c r="B30" s="15" t="s">
        <v>167</v>
      </c>
      <c r="C30" s="15" t="s">
        <v>168</v>
      </c>
      <c r="D30" s="15"/>
      <c r="E30" s="15"/>
      <c r="F30" s="15"/>
      <c r="G30" s="15"/>
      <c r="H30" s="15"/>
    </row>
    <row r="31" spans="1:8" x14ac:dyDescent="0.25">
      <c r="A31" s="16" t="s">
        <v>63</v>
      </c>
      <c r="B31" s="16" t="s">
        <v>169</v>
      </c>
      <c r="C31" s="16" t="s">
        <v>170</v>
      </c>
      <c r="D31" s="16" t="s">
        <v>171</v>
      </c>
      <c r="E31" s="16"/>
      <c r="F31" s="16"/>
      <c r="G31" s="16"/>
      <c r="H31" s="16"/>
    </row>
    <row r="32" spans="1:8" x14ac:dyDescent="0.25">
      <c r="A32" s="15" t="s">
        <v>64</v>
      </c>
      <c r="B32" s="15" t="s">
        <v>172</v>
      </c>
      <c r="C32" s="15" t="s">
        <v>173</v>
      </c>
      <c r="D32" s="15"/>
      <c r="E32" s="15"/>
      <c r="F32" s="15"/>
      <c r="G32" s="15"/>
      <c r="H32" s="15"/>
    </row>
    <row r="33" spans="1:8" x14ac:dyDescent="0.25">
      <c r="A33" s="16" t="s">
        <v>65</v>
      </c>
      <c r="B33" s="16" t="s">
        <v>174</v>
      </c>
      <c r="C33" s="16" t="s">
        <v>175</v>
      </c>
      <c r="D33" s="16" t="s">
        <v>176</v>
      </c>
      <c r="E33" s="16"/>
      <c r="F33" s="16"/>
      <c r="G33" s="16"/>
      <c r="H33" s="16"/>
    </row>
    <row r="34" spans="1:8" x14ac:dyDescent="0.25">
      <c r="A34" s="15" t="s">
        <v>66</v>
      </c>
      <c r="B34" s="15" t="s">
        <v>177</v>
      </c>
      <c r="C34" s="15" t="s">
        <v>178</v>
      </c>
      <c r="D34" s="15" t="s">
        <v>179</v>
      </c>
      <c r="E34" s="15"/>
      <c r="F34" s="15"/>
      <c r="G34" s="15"/>
      <c r="H34" s="15"/>
    </row>
    <row r="35" spans="1:8" x14ac:dyDescent="0.25">
      <c r="A35" s="16" t="s">
        <v>67</v>
      </c>
      <c r="B35" s="16" t="s">
        <v>180</v>
      </c>
      <c r="C35" s="16" t="s">
        <v>181</v>
      </c>
      <c r="D35" s="16"/>
      <c r="E35" s="16"/>
      <c r="F35" s="16"/>
      <c r="G35" s="16"/>
      <c r="H35" s="16"/>
    </row>
    <row r="36" spans="1:8" x14ac:dyDescent="0.25">
      <c r="A36" s="15" t="s">
        <v>68</v>
      </c>
      <c r="B36" s="15" t="s">
        <v>182</v>
      </c>
      <c r="C36" s="15"/>
      <c r="D36" s="15"/>
      <c r="E36" s="15"/>
      <c r="F36" s="15"/>
      <c r="G36" s="15"/>
      <c r="H36" s="15"/>
    </row>
    <row r="37" spans="1:8" x14ac:dyDescent="0.25">
      <c r="A37" s="16" t="s">
        <v>69</v>
      </c>
      <c r="B37" s="16" t="s">
        <v>183</v>
      </c>
      <c r="C37" s="16" t="s">
        <v>184</v>
      </c>
      <c r="D37" s="16"/>
      <c r="E37" s="16"/>
      <c r="F37" s="16"/>
      <c r="G37" s="16"/>
      <c r="H37" s="16"/>
    </row>
    <row r="38" spans="1:8" ht="25.5" customHeight="1" x14ac:dyDescent="0.25">
      <c r="A38" s="15" t="s">
        <v>70</v>
      </c>
      <c r="B38" s="15" t="s">
        <v>185</v>
      </c>
      <c r="C38" s="15" t="s">
        <v>186</v>
      </c>
      <c r="D38" s="15" t="s">
        <v>187</v>
      </c>
      <c r="E38" s="15"/>
      <c r="F38" s="15"/>
      <c r="G38" s="15"/>
      <c r="H38" s="15"/>
    </row>
    <row r="39" spans="1:8" x14ac:dyDescent="0.25">
      <c r="A39" s="16" t="s">
        <v>71</v>
      </c>
      <c r="B39" s="16" t="s">
        <v>188</v>
      </c>
      <c r="C39" s="16" t="s">
        <v>189</v>
      </c>
      <c r="D39" s="16"/>
      <c r="E39" s="16"/>
      <c r="F39" s="16"/>
      <c r="G39" s="16"/>
      <c r="H39" s="16"/>
    </row>
    <row r="40" spans="1:8" x14ac:dyDescent="0.25">
      <c r="A40" s="15" t="s">
        <v>72</v>
      </c>
      <c r="B40" s="15" t="s">
        <v>190</v>
      </c>
      <c r="C40" s="15" t="s">
        <v>191</v>
      </c>
      <c r="D40" s="15" t="s">
        <v>192</v>
      </c>
      <c r="E40" s="15"/>
      <c r="F40" s="15"/>
      <c r="G40" s="15"/>
      <c r="H40" s="15"/>
    </row>
    <row r="41" spans="1:8" x14ac:dyDescent="0.25">
      <c r="A41" s="16" t="s">
        <v>73</v>
      </c>
      <c r="B41" s="16" t="s">
        <v>193</v>
      </c>
      <c r="C41" s="16" t="s">
        <v>194</v>
      </c>
      <c r="D41" s="16"/>
      <c r="E41" s="16"/>
      <c r="F41" s="16"/>
      <c r="G41" s="16"/>
      <c r="H41" s="16"/>
    </row>
    <row r="42" spans="1:8" x14ac:dyDescent="0.25">
      <c r="A42" s="15" t="s">
        <v>74</v>
      </c>
      <c r="B42" s="15" t="s">
        <v>195</v>
      </c>
      <c r="C42" s="15" t="s">
        <v>196</v>
      </c>
      <c r="D42" s="15" t="s">
        <v>197</v>
      </c>
      <c r="E42" s="15"/>
      <c r="F42" s="15"/>
      <c r="G42" s="15"/>
      <c r="H42" s="15"/>
    </row>
    <row r="43" spans="1:8" x14ac:dyDescent="0.25">
      <c r="A43" s="16" t="s">
        <v>75</v>
      </c>
      <c r="B43" s="16" t="s">
        <v>198</v>
      </c>
      <c r="C43" s="16"/>
      <c r="D43" s="16"/>
      <c r="E43" s="16"/>
      <c r="F43" s="16"/>
      <c r="G43" s="16"/>
      <c r="H43" s="16"/>
    </row>
    <row r="44" spans="1:8" x14ac:dyDescent="0.25">
      <c r="A44" s="15" t="s">
        <v>76</v>
      </c>
      <c r="B44" s="15" t="s">
        <v>199</v>
      </c>
      <c r="C44" s="15" t="s">
        <v>200</v>
      </c>
      <c r="D44" s="15"/>
      <c r="E44" s="15"/>
      <c r="F44" s="15"/>
      <c r="G44" s="15"/>
      <c r="H44" s="15"/>
    </row>
    <row r="45" spans="1:8" x14ac:dyDescent="0.25">
      <c r="A45" s="16" t="s">
        <v>77</v>
      </c>
      <c r="B45" s="16" t="s">
        <v>201</v>
      </c>
      <c r="C45" s="16" t="s">
        <v>202</v>
      </c>
      <c r="D45" s="16"/>
      <c r="E45" s="16"/>
      <c r="F45" s="16"/>
      <c r="G45" s="16"/>
      <c r="H45" s="16"/>
    </row>
    <row r="46" spans="1:8" x14ac:dyDescent="0.25">
      <c r="A46" s="15" t="s">
        <v>78</v>
      </c>
      <c r="B46" s="15" t="s">
        <v>131</v>
      </c>
      <c r="C46" s="15" t="s">
        <v>203</v>
      </c>
      <c r="D46" s="15"/>
      <c r="E46" s="15"/>
      <c r="F46" s="15"/>
      <c r="G46" s="15"/>
      <c r="H46" s="15"/>
    </row>
    <row r="47" spans="1:8" x14ac:dyDescent="0.25">
      <c r="A47" s="16" t="s">
        <v>79</v>
      </c>
      <c r="B47" s="16" t="s">
        <v>204</v>
      </c>
      <c r="C47" s="16" t="s">
        <v>205</v>
      </c>
      <c r="D47" s="16" t="s">
        <v>206</v>
      </c>
      <c r="E47" s="16"/>
      <c r="F47" s="16"/>
      <c r="G47" s="16"/>
      <c r="H47" s="16"/>
    </row>
    <row r="48" spans="1:8" x14ac:dyDescent="0.25">
      <c r="A48" s="15" t="s">
        <v>80</v>
      </c>
      <c r="B48" s="15" t="s">
        <v>207</v>
      </c>
      <c r="C48" s="15"/>
      <c r="D48" s="15" t="s">
        <v>208</v>
      </c>
      <c r="E48" s="15"/>
      <c r="F48" s="15"/>
      <c r="G48" s="15"/>
      <c r="H48" s="15"/>
    </row>
    <row r="49" spans="1:8" x14ac:dyDescent="0.25">
      <c r="A49" s="16" t="s">
        <v>81</v>
      </c>
      <c r="B49" s="16" t="s">
        <v>209</v>
      </c>
      <c r="C49" s="16" t="s">
        <v>210</v>
      </c>
      <c r="D49" s="16" t="s">
        <v>211</v>
      </c>
      <c r="E49" s="16"/>
      <c r="F49" s="16"/>
      <c r="G49" s="16"/>
      <c r="H49" s="16"/>
    </row>
    <row r="50" spans="1:8" x14ac:dyDescent="0.25">
      <c r="A50" s="15" t="s">
        <v>82</v>
      </c>
      <c r="B50" s="15" t="s">
        <v>212</v>
      </c>
      <c r="C50" s="15" t="s">
        <v>213</v>
      </c>
      <c r="D50" s="15" t="s">
        <v>214</v>
      </c>
      <c r="E50" s="15"/>
      <c r="F50" s="15"/>
      <c r="G50" s="15"/>
      <c r="H50" s="15"/>
    </row>
    <row r="51" spans="1:8" x14ac:dyDescent="0.25">
      <c r="A51" s="16" t="s">
        <v>83</v>
      </c>
      <c r="B51" s="16" t="s">
        <v>215</v>
      </c>
      <c r="C51" s="16" t="s">
        <v>216</v>
      </c>
      <c r="D51" s="16" t="s">
        <v>217</v>
      </c>
      <c r="E51" s="16"/>
      <c r="F51" s="16"/>
      <c r="G51" s="16"/>
      <c r="H51" s="16"/>
    </row>
    <row r="52" spans="1:8" x14ac:dyDescent="0.25">
      <c r="A52" s="15" t="s">
        <v>84</v>
      </c>
      <c r="B52" s="15" t="s">
        <v>218</v>
      </c>
      <c r="C52" s="15" t="s">
        <v>219</v>
      </c>
      <c r="D52" s="15" t="s">
        <v>220</v>
      </c>
      <c r="E52" s="15"/>
      <c r="F52" s="15"/>
      <c r="G52" s="15"/>
      <c r="H52" s="15"/>
    </row>
    <row r="53" spans="1:8" x14ac:dyDescent="0.25">
      <c r="A53" s="16" t="s">
        <v>85</v>
      </c>
      <c r="B53" s="16" t="s">
        <v>221</v>
      </c>
      <c r="C53" s="16" t="s">
        <v>222</v>
      </c>
      <c r="D53" s="16"/>
      <c r="E53" s="16"/>
      <c r="F53" s="16"/>
      <c r="G53" s="16"/>
      <c r="H53" s="16"/>
    </row>
    <row r="54" spans="1:8" x14ac:dyDescent="0.25">
      <c r="A54" s="15" t="s">
        <v>86</v>
      </c>
      <c r="B54" s="15" t="s">
        <v>223</v>
      </c>
      <c r="C54" s="15" t="s">
        <v>224</v>
      </c>
      <c r="D54" s="15" t="s">
        <v>225</v>
      </c>
      <c r="E54" s="15"/>
      <c r="F54" s="15"/>
      <c r="G54" s="15"/>
      <c r="H54" s="15"/>
    </row>
    <row r="55" spans="1:8" x14ac:dyDescent="0.25">
      <c r="A55" s="16" t="s">
        <v>87</v>
      </c>
      <c r="B55" s="16" t="s">
        <v>226</v>
      </c>
      <c r="C55" s="16" t="s">
        <v>227</v>
      </c>
      <c r="D55" s="16" t="s">
        <v>228</v>
      </c>
      <c r="E55" s="16"/>
      <c r="F55" s="16"/>
      <c r="G55" s="16"/>
      <c r="H55" s="16"/>
    </row>
    <row r="56" spans="1:8" x14ac:dyDescent="0.25">
      <c r="A56" s="15" t="s">
        <v>88</v>
      </c>
      <c r="B56" s="15" t="s">
        <v>229</v>
      </c>
      <c r="C56" s="15" t="s">
        <v>230</v>
      </c>
      <c r="D56" s="15"/>
      <c r="E56" s="15"/>
      <c r="F56" s="15"/>
      <c r="G56" s="15"/>
      <c r="H56" s="15"/>
    </row>
    <row r="57" spans="1:8" x14ac:dyDescent="0.25">
      <c r="A57" s="16" t="s">
        <v>89</v>
      </c>
      <c r="B57" s="16" t="s">
        <v>231</v>
      </c>
      <c r="C57" s="16" t="s">
        <v>232</v>
      </c>
      <c r="D57" s="16" t="s">
        <v>233</v>
      </c>
      <c r="E57" s="16"/>
      <c r="F57" s="16"/>
      <c r="G57" s="16"/>
      <c r="H57" s="16"/>
    </row>
    <row r="58" spans="1:8" x14ac:dyDescent="0.25">
      <c r="A58" s="15" t="s">
        <v>90</v>
      </c>
      <c r="B58" s="15" t="s">
        <v>234</v>
      </c>
      <c r="C58" s="15" t="s">
        <v>235</v>
      </c>
      <c r="D58" s="15"/>
      <c r="E58" s="15"/>
      <c r="F58" s="15"/>
      <c r="G58" s="15"/>
      <c r="H58" s="15"/>
    </row>
    <row r="59" spans="1:8" ht="25.5" customHeight="1" x14ac:dyDescent="0.25">
      <c r="A59" s="16" t="s">
        <v>91</v>
      </c>
      <c r="B59" s="16" t="s">
        <v>115</v>
      </c>
      <c r="C59" s="16" t="s">
        <v>236</v>
      </c>
      <c r="D59" s="16" t="s">
        <v>237</v>
      </c>
      <c r="E59" s="16"/>
      <c r="F59" s="16"/>
      <c r="G59" s="16"/>
      <c r="H59" s="16"/>
    </row>
    <row r="60" spans="1:8" x14ac:dyDescent="0.25">
      <c r="A60" s="15" t="s">
        <v>92</v>
      </c>
      <c r="B60" s="15" t="s">
        <v>238</v>
      </c>
      <c r="C60" s="15" t="s">
        <v>239</v>
      </c>
      <c r="D60" s="15" t="s">
        <v>240</v>
      </c>
      <c r="E60" s="15"/>
      <c r="F60" s="15"/>
      <c r="G60" s="15"/>
      <c r="H60" s="15"/>
    </row>
    <row r="61" spans="1:8" x14ac:dyDescent="0.25">
      <c r="A61" s="16" t="s">
        <v>93</v>
      </c>
      <c r="B61" s="16" t="s">
        <v>241</v>
      </c>
      <c r="C61" s="16" t="s">
        <v>242</v>
      </c>
      <c r="D61" s="16"/>
      <c r="E61" s="16"/>
      <c r="F61" s="16"/>
      <c r="G61" s="16"/>
      <c r="H61" s="16"/>
    </row>
    <row r="62" spans="1:8" x14ac:dyDescent="0.25">
      <c r="A62" s="15" t="s">
        <v>94</v>
      </c>
      <c r="B62" s="15" t="s">
        <v>243</v>
      </c>
      <c r="C62" s="15"/>
      <c r="D62" s="15"/>
      <c r="E62" s="15"/>
      <c r="F62" s="15"/>
      <c r="G62" s="15"/>
      <c r="H62" s="15"/>
    </row>
    <row r="63" spans="1:8" x14ac:dyDescent="0.25">
      <c r="A63" s="16" t="s">
        <v>95</v>
      </c>
      <c r="B63" s="16" t="s">
        <v>244</v>
      </c>
      <c r="C63" s="16" t="s">
        <v>245</v>
      </c>
      <c r="D63" s="16" t="s">
        <v>246</v>
      </c>
      <c r="E63" s="16"/>
      <c r="F63" s="16"/>
      <c r="G63" s="16"/>
      <c r="H63" s="16"/>
    </row>
    <row r="64" spans="1:8" x14ac:dyDescent="0.25">
      <c r="A64" s="15" t="s">
        <v>96</v>
      </c>
      <c r="B64" s="15" t="s">
        <v>247</v>
      </c>
      <c r="C64" s="15"/>
      <c r="D64" s="15" t="s">
        <v>248</v>
      </c>
      <c r="E64" s="15"/>
      <c r="F64" s="15"/>
      <c r="G64" s="15"/>
      <c r="H64" s="15"/>
    </row>
    <row r="65" spans="1:8" x14ac:dyDescent="0.25">
      <c r="A65" s="16" t="s">
        <v>97</v>
      </c>
      <c r="B65" s="16" t="s">
        <v>249</v>
      </c>
      <c r="C65" s="16" t="s">
        <v>250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73"/>
  <sheetViews>
    <sheetView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2" ht="18.75" customHeight="1" x14ac:dyDescent="0.25">
      <c r="A1" s="17"/>
      <c r="B1" s="89" t="s">
        <v>251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</row>
    <row r="2" spans="1:22" ht="58.5" customHeight="1" x14ac:dyDescent="0.25">
      <c r="A2" s="18" t="s">
        <v>1</v>
      </c>
      <c r="B2" s="14">
        <v>1</v>
      </c>
      <c r="C2" s="18" t="s">
        <v>2</v>
      </c>
      <c r="D2" s="18" t="s">
        <v>252</v>
      </c>
      <c r="E2" s="18" t="s">
        <v>253</v>
      </c>
      <c r="F2" s="18" t="s">
        <v>254</v>
      </c>
      <c r="G2" s="18" t="s">
        <v>6</v>
      </c>
      <c r="H2" s="18" t="s">
        <v>7</v>
      </c>
      <c r="I2" s="18" t="s">
        <v>255</v>
      </c>
      <c r="J2" s="18" t="s">
        <v>256</v>
      </c>
      <c r="K2" s="18" t="s">
        <v>257</v>
      </c>
      <c r="L2" s="18" t="s">
        <v>258</v>
      </c>
      <c r="M2" s="18" t="s">
        <v>259</v>
      </c>
      <c r="N2" s="18" t="s">
        <v>260</v>
      </c>
      <c r="O2" s="18" t="s">
        <v>261</v>
      </c>
      <c r="P2" s="18" t="s">
        <v>262</v>
      </c>
      <c r="Q2" s="18" t="s">
        <v>263</v>
      </c>
      <c r="R2" s="18" t="s">
        <v>15</v>
      </c>
      <c r="S2" s="18" t="s">
        <v>264</v>
      </c>
      <c r="T2" s="18"/>
      <c r="U2" s="18"/>
      <c r="V2" t="s">
        <v>17</v>
      </c>
    </row>
    <row r="3" spans="1:22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2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21</v>
      </c>
      <c r="U4" s="22">
        <f>'ANNUAL-EXPENSE-DETAILS'!V3</f>
        <v>269762</v>
      </c>
    </row>
    <row r="5" spans="1:22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23</v>
      </c>
      <c r="U5" s="20">
        <f>'ANNUAL-EXPENSE-DETAILS'!U3</f>
        <v>48800</v>
      </c>
    </row>
    <row r="6" spans="1:22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f t="shared" ref="S6:S37" si="7">SUM(J6:R6)*$B$2</f>
        <v>5103.4972351057786</v>
      </c>
      <c r="T6" s="22"/>
      <c r="U6" s="22"/>
    </row>
    <row r="7" spans="1:22" ht="12.75" customHeight="1" x14ac:dyDescent="0.25">
      <c r="A7" s="19" t="s">
        <v>25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265</v>
      </c>
      <c r="U7" s="80">
        <f>(99.84+0.18*99.84)</f>
        <v>117.8112</v>
      </c>
    </row>
    <row r="8" spans="1:22" ht="12.75" customHeight="1" x14ac:dyDescent="0.25">
      <c r="A8" s="21" t="s">
        <v>27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f t="shared" si="7"/>
        <v>6762.9905854527296</v>
      </c>
      <c r="T8" s="22" t="s">
        <v>266</v>
      </c>
      <c r="U8" s="22">
        <f>$U$7*3</f>
        <v>353.43360000000001</v>
      </c>
    </row>
    <row r="9" spans="1:22" ht="12.75" customHeight="1" x14ac:dyDescent="0.25">
      <c r="A9" s="19" t="s">
        <v>29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f t="shared" si="7"/>
        <v>5254.794031547106</v>
      </c>
      <c r="T9" s="20" t="s">
        <v>267</v>
      </c>
      <c r="U9" s="20">
        <f>U8/64</f>
        <v>5.5224000000000002</v>
      </c>
    </row>
    <row r="10" spans="1:22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f t="shared" si="7"/>
        <v>5032.332746117042</v>
      </c>
      <c r="T10" s="22"/>
      <c r="U10" s="22"/>
    </row>
    <row r="11" spans="1:22" ht="12.75" customHeight="1" x14ac:dyDescent="0.25">
      <c r="A11" s="19" t="s">
        <v>32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f t="shared" si="7"/>
        <v>5399.2157691956127</v>
      </c>
      <c r="T11" s="20" t="s">
        <v>268</v>
      </c>
      <c r="U11" s="20"/>
    </row>
    <row r="12" spans="1:22" ht="12.75" customHeight="1" x14ac:dyDescent="0.25">
      <c r="A12" s="21" t="s">
        <v>33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f t="shared" si="7"/>
        <v>5331.1583940654746</v>
      </c>
      <c r="T12" s="22" t="s">
        <v>37</v>
      </c>
      <c r="U12" s="22"/>
    </row>
    <row r="13" spans="1:22" ht="12.75" customHeight="1" x14ac:dyDescent="0.25">
      <c r="A13" s="19" t="s">
        <v>34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f t="shared" si="7"/>
        <v>5025.4046916809048</v>
      </c>
      <c r="T13" s="20" t="s">
        <v>39</v>
      </c>
      <c r="U13" s="20"/>
    </row>
    <row r="14" spans="1:22" ht="12.75" customHeight="1" x14ac:dyDescent="0.25">
      <c r="A14" s="21" t="s">
        <v>36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f t="shared" si="7"/>
        <v>4941.0868648862506</v>
      </c>
      <c r="T14" s="22" t="s">
        <v>41</v>
      </c>
      <c r="U14" s="22">
        <f>U12-U13</f>
        <v>0</v>
      </c>
    </row>
    <row r="15" spans="1:22" ht="12.75" customHeight="1" x14ac:dyDescent="0.25">
      <c r="A15" s="19" t="s">
        <v>38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f t="shared" si="7"/>
        <v>5732.9170578695284</v>
      </c>
      <c r="T15" s="20" t="s">
        <v>269</v>
      </c>
      <c r="U15" s="20"/>
    </row>
    <row r="16" spans="1:22" ht="12.75" customHeight="1" x14ac:dyDescent="0.25">
      <c r="A16" s="21" t="s">
        <v>40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0</v>
      </c>
      <c r="S16" s="22">
        <f t="shared" si="7"/>
        <v>4680.2174180207621</v>
      </c>
      <c r="T16" s="22" t="s">
        <v>43</v>
      </c>
      <c r="U16" s="22">
        <f>U11-U14-U15</f>
        <v>0</v>
      </c>
    </row>
    <row r="17" spans="1:21" ht="12.75" customHeight="1" x14ac:dyDescent="0.25">
      <c r="A17" s="19" t="s">
        <v>42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f t="shared" si="7"/>
        <v>4577.6943668474069</v>
      </c>
      <c r="T17" s="20" t="s">
        <v>270</v>
      </c>
      <c r="U17" s="20">
        <f>'ANNUAL-EXPENSE-DETAILS'!Y9</f>
        <v>0</v>
      </c>
    </row>
    <row r="18" spans="1:21" ht="12.75" customHeight="1" x14ac:dyDescent="0.25">
      <c r="A18" s="21" t="s">
        <v>44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f t="shared" si="7"/>
        <v>4991.4064181592439</v>
      </c>
      <c r="T18" s="22" t="s">
        <v>271</v>
      </c>
      <c r="U18" s="22">
        <f>U16-U17</f>
        <v>0</v>
      </c>
    </row>
    <row r="19" spans="1:21" ht="12.75" customHeight="1" x14ac:dyDescent="0.25">
      <c r="A19" s="19" t="s">
        <v>45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49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51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52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54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58</v>
      </c>
      <c r="B30" s="21" t="str">
        <f>VLOOKUP(A30,Members!$A$2:$B$65,2,FALSE)</f>
        <v>Ankur Agarwal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0</v>
      </c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0</v>
      </c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v>0</v>
      </c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v>0</v>
      </c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v>0</v>
      </c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0</v>
      </c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0</v>
      </c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0</v>
      </c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98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27" t="s">
        <v>273</v>
      </c>
      <c r="E1" s="18" t="s">
        <v>272</v>
      </c>
      <c r="F1" s="14" t="s">
        <v>273</v>
      </c>
      <c r="G1" s="18" t="s">
        <v>272</v>
      </c>
      <c r="H1" s="14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9230</v>
      </c>
      <c r="D2" s="28" t="s">
        <v>275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2">
        <v>6000</v>
      </c>
      <c r="D4" s="29" t="s">
        <v>276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5">
        <v>5549</v>
      </c>
      <c r="D5" s="31" t="s">
        <v>277</v>
      </c>
      <c r="E5" s="25">
        <v>440</v>
      </c>
      <c r="F5" s="25" t="s">
        <v>277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4867.34</v>
      </c>
      <c r="D7" s="32" t="s">
        <v>278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5384</v>
      </c>
      <c r="D8" s="28" t="s">
        <v>279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5">
        <v>6070</v>
      </c>
      <c r="D9" s="33" t="s">
        <v>280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5">
        <v>27822</v>
      </c>
      <c r="D11" s="32" t="s">
        <v>280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6">
        <v>5549</v>
      </c>
      <c r="D12" s="28" t="s">
        <v>277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280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>
        <v>4934</v>
      </c>
      <c r="D14" s="30" t="s">
        <v>281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5">
        <v>7000</v>
      </c>
      <c r="D15" s="31" t="s">
        <v>282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>
        <v>5764</v>
      </c>
      <c r="D16" s="28" t="s">
        <v>283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>
        <v>5903.12</v>
      </c>
      <c r="D17" s="25" t="s">
        <v>282</v>
      </c>
      <c r="E17" s="25">
        <v>20000</v>
      </c>
      <c r="F17" s="25" t="s">
        <v>284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5">
        <v>6121</v>
      </c>
      <c r="D19" s="33" t="s">
        <v>281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6">
        <v>5796</v>
      </c>
      <c r="D20" s="30" t="s">
        <v>285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5">
        <v>5604</v>
      </c>
      <c r="D21" s="33" t="s">
        <v>286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>
        <v>5260</v>
      </c>
      <c r="D23" s="25" t="s">
        <v>287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6">
        <v>10621</v>
      </c>
      <c r="D24" s="30" t="s">
        <v>288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>
        <v>495.94</v>
      </c>
      <c r="D25" s="32" t="s">
        <v>289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6">
        <v>5590</v>
      </c>
      <c r="D26" s="30" t="s">
        <v>290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6">
        <v>16648</v>
      </c>
      <c r="D28" s="28" t="s">
        <v>291</v>
      </c>
      <c r="E28" s="26">
        <v>4928</v>
      </c>
      <c r="F28" s="26" t="s">
        <v>280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5">
        <v>4487</v>
      </c>
      <c r="D29" s="32" t="s">
        <v>280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>
        <v>10677</v>
      </c>
      <c r="D30" s="30" t="s">
        <v>282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5970</v>
      </c>
      <c r="D31" s="31" t="s">
        <v>280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4819</v>
      </c>
      <c r="D33" s="33" t="s">
        <v>290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6">
        <v>4890</v>
      </c>
      <c r="D34" s="28" t="s">
        <v>285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5">
        <v>5635</v>
      </c>
      <c r="D35" s="31" t="s">
        <v>276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>
        <v>5092</v>
      </c>
      <c r="D36" s="30" t="s">
        <v>283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28414.74</v>
      </c>
      <c r="D38" s="26" t="s">
        <v>282</v>
      </c>
      <c r="E38" s="26">
        <v>4935</v>
      </c>
      <c r="F38" s="26" t="s">
        <v>280</v>
      </c>
      <c r="G38" s="26">
        <v>1000</v>
      </c>
      <c r="H38" s="26" t="s">
        <v>279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>
        <v>35878</v>
      </c>
      <c r="D39" s="33" t="s">
        <v>291</v>
      </c>
      <c r="E39" s="25">
        <v>4903</v>
      </c>
      <c r="F39" s="25" t="s">
        <v>281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6">
        <v>4936</v>
      </c>
      <c r="D40" s="30" t="s">
        <v>292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5">
        <v>2028.67</v>
      </c>
      <c r="D41" s="31" t="s">
        <v>292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5150</v>
      </c>
      <c r="D44" s="30" t="s">
        <v>280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>
        <v>4739</v>
      </c>
      <c r="D46" s="30" t="s">
        <v>281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6">
        <v>16641</v>
      </c>
      <c r="D48" s="30" t="s">
        <v>282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4839</v>
      </c>
      <c r="D49" s="31" t="s">
        <v>280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5879</v>
      </c>
      <c r="D50" s="30" t="s">
        <v>281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5">
        <v>39847.339999999997</v>
      </c>
      <c r="D51" s="31" t="s">
        <v>283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6">
        <v>5431</v>
      </c>
      <c r="D52" s="28" t="s">
        <v>280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5">
        <v>30484.97</v>
      </c>
      <c r="D53" s="33" t="s">
        <v>293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25990</v>
      </c>
      <c r="D54" s="28" t="s">
        <v>280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5">
        <v>13753.45</v>
      </c>
      <c r="D55" s="32" t="s">
        <v>282</v>
      </c>
      <c r="E55" s="25">
        <v>6246</v>
      </c>
      <c r="F55" s="31" t="s">
        <v>280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>
        <v>4712</v>
      </c>
      <c r="D56" s="28" t="s">
        <v>288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5">
        <v>1536.73</v>
      </c>
      <c r="D57" s="31" t="s">
        <v>290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4785</v>
      </c>
      <c r="D58" s="28" t="s">
        <v>281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5">
        <v>5920</v>
      </c>
      <c r="D59" s="33" t="s">
        <v>280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6">
        <v>4939</v>
      </c>
      <c r="D60" s="30" t="s">
        <v>280</v>
      </c>
      <c r="E60" s="26">
        <v>6348</v>
      </c>
      <c r="F60" s="26" t="s">
        <v>280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5">
        <v>4806</v>
      </c>
      <c r="D61" s="33" t="s">
        <v>280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>
        <v>12000</v>
      </c>
      <c r="D62" s="26" t="s">
        <v>289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5">
        <v>4477</v>
      </c>
      <c r="D63" s="32" t="s">
        <v>281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6">
        <v>5420</v>
      </c>
      <c r="D64" s="30" t="s">
        <v>280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>
        <v>5231</v>
      </c>
      <c r="D65" s="31" t="s">
        <v>280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73"/>
  <sheetViews>
    <sheetView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1" ht="18.75" customHeight="1" x14ac:dyDescent="0.25">
      <c r="A1" s="17">
        <v>1</v>
      </c>
      <c r="B1" s="92" t="s">
        <v>294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1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295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296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21</v>
      </c>
      <c r="T4" s="22">
        <f>'ANNUAL-EXPENSE-DETAILS'!V4</f>
        <v>281008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23</v>
      </c>
      <c r="T5" s="20">
        <f>'ANNUAL-EXPENSE-DETAILS'!U4</f>
        <v>42100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>
        <v>0</v>
      </c>
      <c r="R6" s="22">
        <f t="shared" ref="R6:R37" si="7">SUM(J6:Q6)*$B$2</f>
        <v>5565.8228186401111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0</v>
      </c>
      <c r="R7" s="20">
        <f t="shared" si="7"/>
        <v>6140.4346917049697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>
        <v>0</v>
      </c>
      <c r="R8" s="22">
        <f t="shared" si="7"/>
        <v>6838.8740421419971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>
        <v>0</v>
      </c>
      <c r="R9" s="20">
        <f t="shared" si="7"/>
        <v>5784.2527516815144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0</v>
      </c>
      <c r="R10" s="22">
        <f t="shared" si="7"/>
        <v>5582.5638157073336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>
        <v>0</v>
      </c>
      <c r="R11" s="20">
        <f t="shared" si="7"/>
        <v>5835.5028512992712</v>
      </c>
      <c r="S11" s="20"/>
      <c r="T11" s="20"/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>
        <v>0</v>
      </c>
      <c r="R12" s="22">
        <f t="shared" si="7"/>
        <v>6017.9708901898612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>
        <v>0</v>
      </c>
      <c r="R13" s="20">
        <f t="shared" si="7"/>
        <v>5339.5153449686704</v>
      </c>
      <c r="S13" s="20"/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0</v>
      </c>
      <c r="R14" s="22">
        <f t="shared" si="7"/>
        <v>5551.9460829351374</v>
      </c>
      <c r="S14" s="22"/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>
        <v>0</v>
      </c>
      <c r="R15" s="20">
        <f t="shared" si="7"/>
        <v>6229.5040413559436</v>
      </c>
      <c r="S15" s="25"/>
      <c r="T15" s="25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>
        <v>0</v>
      </c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>
        <v>0</v>
      </c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>
        <v>0</v>
      </c>
      <c r="R18" s="22">
        <f t="shared" si="7"/>
        <v>5536.0157879050685</v>
      </c>
      <c r="S18" s="22"/>
      <c r="T18" s="22"/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>
        <v>0</v>
      </c>
      <c r="R19" s="20">
        <f t="shared" si="7"/>
        <v>5810.1952168704311</v>
      </c>
      <c r="S19" s="20"/>
      <c r="T19" s="20"/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>
        <v>0</v>
      </c>
      <c r="R20" s="22">
        <f t="shared" si="7"/>
        <v>6546.2511418313888</v>
      </c>
      <c r="S20" s="22"/>
      <c r="T20" s="22"/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>
        <v>0</v>
      </c>
      <c r="R21" s="20">
        <f t="shared" si="7"/>
        <v>6491.5229397640014</v>
      </c>
      <c r="S21" s="20"/>
      <c r="T21" s="20"/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0</v>
      </c>
      <c r="R22" s="22">
        <f t="shared" si="7"/>
        <v>5814.9920897592847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>
        <v>0</v>
      </c>
      <c r="R23" s="20">
        <f t="shared" si="7"/>
        <v>6733.7875126977233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>
        <v>0</v>
      </c>
      <c r="R24" s="22">
        <f t="shared" si="7"/>
        <v>6370.0660437287397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>
        <v>0</v>
      </c>
      <c r="R25" s="20">
        <f t="shared" si="7"/>
        <v>7101.80570246362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0</v>
      </c>
      <c r="R26" s="22">
        <f t="shared" si="7"/>
        <v>6157.9190514752772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>
        <v>0</v>
      </c>
      <c r="R27" s="20">
        <f t="shared" si="7"/>
        <v>5675.5108042669999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>
        <v>0</v>
      </c>
      <c r="R28" s="22">
        <f t="shared" si="7"/>
        <v>5826.7067341961547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>
        <v>0</v>
      </c>
      <c r="R29" s="20">
        <f t="shared" si="7"/>
        <v>5994.6031260906748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>
        <v>0</v>
      </c>
      <c r="R30" s="22">
        <f t="shared" si="7"/>
        <v>6335.4353358726321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0</v>
      </c>
      <c r="R31" s="20">
        <f t="shared" si="7"/>
        <v>5472.1461982470073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>
        <v>0</v>
      </c>
      <c r="R32" s="22">
        <f t="shared" si="7"/>
        <v>5401.3719104034935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>
        <v>0</v>
      </c>
      <c r="R33" s="20">
        <f t="shared" si="7"/>
        <v>6171.9036616161775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>
        <v>0</v>
      </c>
      <c r="R34" s="22">
        <f t="shared" si="7"/>
        <v>5983.8881283306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>
        <v>0</v>
      </c>
      <c r="R35" s="20">
        <f t="shared" si="7"/>
        <v>6229.7740561993014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0</v>
      </c>
      <c r="R36" s="22">
        <f t="shared" si="7"/>
        <v>5981.1317414042778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>
        <v>0</v>
      </c>
      <c r="R37" s="20">
        <f t="shared" si="7"/>
        <v>5569.1872320942985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>
        <v>0</v>
      </c>
      <c r="R38" s="22">
        <f t="shared" ref="R38:R69" si="15">SUM(J38:Q38)*$B$2</f>
        <v>5470.930145191277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>
        <v>0</v>
      </c>
      <c r="R39" s="20">
        <f t="shared" si="15"/>
        <v>7993.9427592493503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>
        <v>0</v>
      </c>
      <c r="R40" s="22">
        <f t="shared" si="15"/>
        <v>6866.7021116890628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0</v>
      </c>
      <c r="R41" s="20">
        <f t="shared" si="15"/>
        <v>5644.096100327296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>
        <v>0</v>
      </c>
      <c r="R42" s="22">
        <f t="shared" si="15"/>
        <v>5333.3134743844457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>
        <v>0</v>
      </c>
      <c r="R43" s="20">
        <f t="shared" si="15"/>
        <v>5509.1142111412137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>
        <v>0</v>
      </c>
      <c r="R44" s="22">
        <f t="shared" si="15"/>
        <v>5627.8415244823645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>
        <v>0</v>
      </c>
      <c r="R45" s="20">
        <f t="shared" si="15"/>
        <v>6153.4196551690738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0</v>
      </c>
      <c r="R46" s="22">
        <f t="shared" si="15"/>
        <v>5485.103699971819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0</v>
      </c>
      <c r="R47" s="20">
        <f t="shared" si="15"/>
        <v>5368.4574076950557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>
        <v>0</v>
      </c>
      <c r="R48" s="22">
        <f t="shared" si="15"/>
        <v>5828.6929541871814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0</v>
      </c>
      <c r="R49" s="20">
        <f t="shared" si="15"/>
        <v>5957.999929113188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>
        <v>0</v>
      </c>
      <c r="R50" s="22">
        <f t="shared" si="15"/>
        <v>5391.5486848842884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0</v>
      </c>
      <c r="R51" s="20">
        <f t="shared" si="15"/>
        <v>6098.4403261804109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>
        <v>0</v>
      </c>
      <c r="R52" s="22">
        <f t="shared" si="15"/>
        <v>6686.4019786260924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>
        <v>0</v>
      </c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>
        <v>0</v>
      </c>
      <c r="R54" s="22">
        <f t="shared" si="15"/>
        <v>6445.3939938499598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>
        <v>0</v>
      </c>
      <c r="R55" s="20">
        <f t="shared" si="15"/>
        <v>6568.3232269146638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>
        <v>0</v>
      </c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>
        <v>0</v>
      </c>
      <c r="R57" s="20">
        <f t="shared" si="15"/>
        <v>5392.1161763102955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>
        <v>0</v>
      </c>
      <c r="R58" s="22">
        <f t="shared" si="15"/>
        <v>5656.7430521068927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>
        <v>0</v>
      </c>
      <c r="R59" s="20">
        <f t="shared" si="15"/>
        <v>6497.4410646352235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>
        <v>0</v>
      </c>
      <c r="R60" s="22">
        <f t="shared" si="15"/>
        <v>6248.5555392290544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>
        <v>0</v>
      </c>
      <c r="R61" s="20">
        <f t="shared" si="15"/>
        <v>5843.6504067726655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>
        <v>0</v>
      </c>
      <c r="R62" s="22">
        <f t="shared" si="15"/>
        <v>5461.7960164036522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>
        <v>0</v>
      </c>
      <c r="R63" s="20">
        <f t="shared" si="15"/>
        <v>8371.7226497599004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>
        <v>0</v>
      </c>
      <c r="R64" s="22">
        <f t="shared" si="15"/>
        <v>5804.5745685818601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>
        <v>0</v>
      </c>
      <c r="R65" s="20">
        <f t="shared" si="15"/>
        <v>5638.6643966783668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>
        <v>0</v>
      </c>
      <c r="R67" s="20">
        <f t="shared" si="15"/>
        <v>6212.99252403022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>
        <v>0</v>
      </c>
      <c r="R68" s="22">
        <f t="shared" si="15"/>
        <v>5890.9816748727917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>
        <v>0</v>
      </c>
      <c r="R69" s="20">
        <f t="shared" si="15"/>
        <v>6263.0671056941046</v>
      </c>
      <c r="S69" s="20"/>
      <c r="T69" s="20"/>
    </row>
    <row r="70" spans="1:20" ht="12.75" customHeight="1" x14ac:dyDescent="0.25">
      <c r="A70" s="23" t="s">
        <v>98</v>
      </c>
      <c r="B70" s="23" t="s">
        <v>98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385692.96620000008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36" t="s">
        <v>273</v>
      </c>
      <c r="E1" s="18" t="s">
        <v>272</v>
      </c>
      <c r="F1" s="36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>
        <v>6000</v>
      </c>
      <c r="D4" s="37" t="s">
        <v>297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>
        <v>4827</v>
      </c>
      <c r="D6" s="37" t="s">
        <v>298</v>
      </c>
      <c r="E6" s="26">
        <v>205</v>
      </c>
      <c r="F6" s="37" t="s">
        <v>299</v>
      </c>
      <c r="G6" s="26">
        <v>205</v>
      </c>
      <c r="H6" s="37" t="s">
        <v>299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9442.7099999999991</v>
      </c>
      <c r="D7" s="38" t="s">
        <v>300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7174</v>
      </c>
      <c r="D8" s="37" t="s">
        <v>301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>
        <v>453</v>
      </c>
      <c r="D9" s="39" t="s">
        <v>298</v>
      </c>
      <c r="E9" s="25">
        <v>468</v>
      </c>
      <c r="F9" s="38" t="s">
        <v>299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>
        <v>4867</v>
      </c>
      <c r="D10" s="37" t="s">
        <v>297</v>
      </c>
      <c r="E10" s="26">
        <v>5366</v>
      </c>
      <c r="F10" s="37" t="s">
        <v>302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>
        <v>6536.41</v>
      </c>
      <c r="D13" s="38" t="s">
        <v>298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>
        <v>5907</v>
      </c>
      <c r="D16" s="37" t="s">
        <v>303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>
        <v>5887.24</v>
      </c>
      <c r="D17" s="38" t="s">
        <v>304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>
        <v>2100</v>
      </c>
      <c r="D20" s="40" t="s">
        <v>305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>
        <v>11592</v>
      </c>
      <c r="D21" s="39" t="s">
        <v>298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>
        <v>5067</v>
      </c>
      <c r="D25" s="38" t="s">
        <v>306</v>
      </c>
      <c r="E25" s="25">
        <v>3879.31</v>
      </c>
      <c r="F25" s="38" t="s">
        <v>307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4440</v>
      </c>
      <c r="D27" s="38" t="s">
        <v>308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6335</v>
      </c>
      <c r="D29" s="39" t="s">
        <v>309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6116.55</v>
      </c>
      <c r="D31" s="38" t="s">
        <v>310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4556.92</v>
      </c>
      <c r="D34" s="40" t="s">
        <v>311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5">
        <v>6948</v>
      </c>
      <c r="D35" s="38" t="s">
        <v>297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>
        <v>6000</v>
      </c>
      <c r="D37" s="38" t="s">
        <v>298</v>
      </c>
      <c r="E37" s="25">
        <v>5000</v>
      </c>
      <c r="F37" s="38" t="s">
        <v>312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4363.79</v>
      </c>
      <c r="D38" s="37" t="s">
        <v>309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5067.7</v>
      </c>
      <c r="D40" s="40" t="s">
        <v>308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>
        <v>8000</v>
      </c>
      <c r="D43" s="25" t="s">
        <v>313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4992</v>
      </c>
      <c r="D44" s="37" t="s">
        <v>314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>
        <v>16123.22</v>
      </c>
      <c r="D45" s="38" t="s">
        <v>298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1511</v>
      </c>
      <c r="D52" s="40" t="s">
        <v>302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>
        <v>10300</v>
      </c>
      <c r="D53" s="38" t="s">
        <v>315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5343</v>
      </c>
      <c r="D54" s="37" t="s">
        <v>312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>
        <v>6494.14</v>
      </c>
      <c r="D55" s="38" t="s">
        <v>310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>
        <v>20028.72</v>
      </c>
      <c r="D56" s="37" t="s">
        <v>301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>
        <v>5287.24</v>
      </c>
      <c r="D57" s="39" t="s">
        <v>304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4766.55</v>
      </c>
      <c r="D58" s="37" t="s">
        <v>301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>
        <v>15000</v>
      </c>
      <c r="D59" s="39" t="s">
        <v>298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>
        <v>5187</v>
      </c>
      <c r="D60" s="40" t="s">
        <v>301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84.49</v>
      </c>
      <c r="D61" s="38" t="s">
        <v>316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>
        <v>5350</v>
      </c>
      <c r="D63" s="38" t="s">
        <v>301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>
        <v>5420</v>
      </c>
      <c r="D64" s="40" t="s">
        <v>299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>
        <v>10000</v>
      </c>
      <c r="D65" s="38" t="s">
        <v>299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U7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1" ht="16.5" customHeight="1" x14ac:dyDescent="0.25">
      <c r="A1" s="17"/>
      <c r="B1" s="92" t="s">
        <v>317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1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295</v>
      </c>
      <c r="K2" s="18" t="s">
        <v>10</v>
      </c>
      <c r="L2" s="18" t="s">
        <v>11</v>
      </c>
      <c r="M2" s="18" t="s">
        <v>318</v>
      </c>
      <c r="N2" s="18" t="s">
        <v>319</v>
      </c>
      <c r="O2" s="18" t="s">
        <v>13</v>
      </c>
      <c r="P2" s="18" t="s">
        <v>14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21</v>
      </c>
      <c r="T4" s="22">
        <f>'ANNUAL-EXPENSE-DETAILS'!V5</f>
        <v>322871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23</v>
      </c>
      <c r="T5" s="20">
        <f>'ANNUAL-EXPENSE-DETAILS'!U5</f>
        <v>51350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9.927346765594822E-3</v>
      </c>
      <c r="G6" s="22">
        <f t="shared" ref="G6:G37" si="3">F6*$T$5</f>
        <v>509.7692564132941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886.66586578829413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0</v>
      </c>
      <c r="R6" s="22">
        <f t="shared" ref="R6:R37" si="7">SUM(J6:Q6)*$B$2</f>
        <v>5931.5252407882945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1.9479993497852361E-2</v>
      </c>
      <c r="G7" s="20">
        <f t="shared" si="3"/>
        <v>1000.2976661147187</v>
      </c>
      <c r="H7" s="20">
        <v>4</v>
      </c>
      <c r="I7" s="20">
        <f t="shared" si="4"/>
        <v>494.79759999999999</v>
      </c>
      <c r="J7" s="20">
        <f t="shared" si="5"/>
        <v>1500.8936754897186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7545.7530504897186</v>
      </c>
      <c r="S7" s="20" t="s">
        <v>26</v>
      </c>
      <c r="T7" s="80">
        <f>(104.83+0.18*104.83)</f>
        <v>123.6994</v>
      </c>
      <c r="U7" t="s">
        <v>55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2.383753447378064E-2</v>
      </c>
      <c r="G8" s="22">
        <f t="shared" si="3"/>
        <v>1224.0573952286359</v>
      </c>
      <c r="H8" s="22">
        <v>4</v>
      </c>
      <c r="I8" s="22">
        <f t="shared" si="4"/>
        <v>494.79759999999999</v>
      </c>
      <c r="J8" s="22">
        <f t="shared" si="5"/>
        <v>1724.6534046036359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>
        <v>0</v>
      </c>
      <c r="R8" s="22">
        <f t="shared" si="7"/>
        <v>7519.5127796036359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1.0102574134126081E-2</v>
      </c>
      <c r="G9" s="20">
        <f t="shared" si="3"/>
        <v>518.76718178737428</v>
      </c>
      <c r="H9" s="20">
        <v>4</v>
      </c>
      <c r="I9" s="20">
        <f t="shared" si="4"/>
        <v>494.79759999999999</v>
      </c>
      <c r="J9" s="20">
        <f t="shared" si="5"/>
        <v>1019.3631911623743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0</v>
      </c>
      <c r="R9" s="20">
        <f t="shared" si="7"/>
        <v>6064.2225661623743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1.4730119545841518E-2</v>
      </c>
      <c r="G10" s="22">
        <f t="shared" si="3"/>
        <v>756.39163867896195</v>
      </c>
      <c r="H10" s="22">
        <v>3</v>
      </c>
      <c r="I10" s="22">
        <f t="shared" si="4"/>
        <v>371.09820000000002</v>
      </c>
      <c r="J10" s="22">
        <f t="shared" si="5"/>
        <v>1133.288248053962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>
        <v>0</v>
      </c>
      <c r="R10" s="22">
        <f t="shared" si="7"/>
        <v>6178.147623053962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1.9121824348338784E-2</v>
      </c>
      <c r="G11" s="20">
        <f t="shared" si="3"/>
        <v>981.90568028719656</v>
      </c>
      <c r="H11" s="20">
        <v>3</v>
      </c>
      <c r="I11" s="20">
        <f t="shared" si="4"/>
        <v>371.09820000000002</v>
      </c>
      <c r="J11" s="20">
        <f t="shared" si="5"/>
        <v>1358.8022896621965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>
        <v>0</v>
      </c>
      <c r="R11" s="20">
        <f t="shared" si="7"/>
        <v>6403.6616646621969</v>
      </c>
      <c r="S11" s="20" t="s">
        <v>21</v>
      </c>
      <c r="T11" s="20">
        <f>'ANNUAL-EXPENSE-DETAILS'!V5</f>
        <v>322871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7.8246183432197203E-5</v>
      </c>
      <c r="G12" s="22">
        <f t="shared" si="3"/>
        <v>4.0179415192433261</v>
      </c>
      <c r="H12" s="22">
        <v>3</v>
      </c>
      <c r="I12" s="22">
        <f t="shared" si="4"/>
        <v>371.09820000000002</v>
      </c>
      <c r="J12" s="22">
        <f t="shared" si="5"/>
        <v>380.91455089424335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>
        <v>0</v>
      </c>
      <c r="R12" s="22">
        <f t="shared" si="7"/>
        <v>6175.7739258942438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2.0211760621781645E-3</v>
      </c>
      <c r="G13" s="20">
        <f t="shared" si="3"/>
        <v>103.78739079284874</v>
      </c>
      <c r="H13" s="20">
        <v>3</v>
      </c>
      <c r="I13" s="20">
        <f t="shared" si="4"/>
        <v>371.09820000000002</v>
      </c>
      <c r="J13" s="20">
        <f t="shared" si="5"/>
        <v>480.68400016784875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>
        <v>0</v>
      </c>
      <c r="R13" s="20">
        <f t="shared" si="7"/>
        <v>5525.5433751678484</v>
      </c>
      <c r="S13" s="20"/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3.8715329915113912E-3</v>
      </c>
      <c r="G14" s="22">
        <f t="shared" si="3"/>
        <v>198.80321911410994</v>
      </c>
      <c r="H14" s="22">
        <v>4</v>
      </c>
      <c r="I14" s="22">
        <f t="shared" si="4"/>
        <v>494.79759999999999</v>
      </c>
      <c r="J14" s="22">
        <f t="shared" si="5"/>
        <v>699.39922848910987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>
        <v>0</v>
      </c>
      <c r="R14" s="22">
        <f t="shared" si="7"/>
        <v>5744.2586034891101</v>
      </c>
      <c r="S14" s="22" t="s">
        <v>320</v>
      </c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1.5164330760944134E-2</v>
      </c>
      <c r="G15" s="20">
        <f t="shared" si="3"/>
        <v>778.68838457448135</v>
      </c>
      <c r="H15" s="20">
        <v>3</v>
      </c>
      <c r="I15" s="20">
        <f t="shared" si="4"/>
        <v>371.09820000000002</v>
      </c>
      <c r="J15" s="20">
        <f t="shared" si="5"/>
        <v>1155.5849939494815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0</v>
      </c>
      <c r="R15" s="20">
        <f t="shared" si="7"/>
        <v>6200.4443689494819</v>
      </c>
      <c r="S15" s="20" t="s">
        <v>37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2.647145529635742E-3</v>
      </c>
      <c r="G16" s="22">
        <f t="shared" si="3"/>
        <v>135.93092294679536</v>
      </c>
      <c r="H16" s="22">
        <v>3</v>
      </c>
      <c r="I16" s="22">
        <f t="shared" si="4"/>
        <v>371.09820000000002</v>
      </c>
      <c r="J16" s="22">
        <f t="shared" si="5"/>
        <v>512.82753232179539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0</v>
      </c>
      <c r="R16" s="22">
        <f t="shared" si="7"/>
        <v>5557.6869073217949</v>
      </c>
      <c r="S16" s="22" t="s">
        <v>39</v>
      </c>
      <c r="T16" s="22"/>
    </row>
    <row r="17" spans="1:21" ht="12.75" customHeight="1" x14ac:dyDescent="0.25">
      <c r="A17" s="19" t="s">
        <v>42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1.6012916130560922E-2</v>
      </c>
      <c r="G17" s="20">
        <f t="shared" si="3"/>
        <v>822.26324330430339</v>
      </c>
      <c r="H17" s="20">
        <v>3</v>
      </c>
      <c r="I17" s="20">
        <f t="shared" si="4"/>
        <v>371.09820000000002</v>
      </c>
      <c r="J17" s="20">
        <f t="shared" si="5"/>
        <v>1199.1598526793034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>
        <v>0</v>
      </c>
      <c r="R17" s="20">
        <f t="shared" si="7"/>
        <v>6244.0192276793032</v>
      </c>
      <c r="S17" s="20" t="s">
        <v>321</v>
      </c>
      <c r="T17" s="20">
        <f>T15-T16</f>
        <v>0</v>
      </c>
    </row>
    <row r="18" spans="1:21" ht="12.75" customHeight="1" x14ac:dyDescent="0.25">
      <c r="A18" s="21" t="s">
        <v>44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3.0780505679736166E-3</v>
      </c>
      <c r="G18" s="22">
        <f t="shared" si="3"/>
        <v>158.05789666544521</v>
      </c>
      <c r="H18" s="22">
        <v>4</v>
      </c>
      <c r="I18" s="22">
        <f t="shared" si="4"/>
        <v>494.79759999999999</v>
      </c>
      <c r="J18" s="22">
        <f t="shared" si="5"/>
        <v>658.65390604044524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0</v>
      </c>
      <c r="R18" s="22">
        <f t="shared" si="7"/>
        <v>5703.5132810404448</v>
      </c>
      <c r="S18" s="22" t="s">
        <v>43</v>
      </c>
      <c r="T18" s="22">
        <f>T14-T17</f>
        <v>0</v>
      </c>
    </row>
    <row r="19" spans="1:21" ht="12.75" customHeight="1" x14ac:dyDescent="0.25">
      <c r="A19" s="19" t="s">
        <v>45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1.9666241455599424E-2</v>
      </c>
      <c r="G19" s="20">
        <f t="shared" si="3"/>
        <v>1009.8614987450304</v>
      </c>
      <c r="H19" s="20">
        <v>4</v>
      </c>
      <c r="I19" s="20">
        <f t="shared" si="4"/>
        <v>494.79759999999999</v>
      </c>
      <c r="J19" s="20">
        <f t="shared" si="5"/>
        <v>1510.4575081200305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0</v>
      </c>
      <c r="R19" s="20">
        <f t="shared" si="7"/>
        <v>6555.316883120031</v>
      </c>
      <c r="S19" s="20"/>
      <c r="T19" s="20"/>
    </row>
    <row r="20" spans="1:21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1.0174207964028797E-2</v>
      </c>
      <c r="G20" s="22">
        <f t="shared" si="3"/>
        <v>522.44557895287869</v>
      </c>
      <c r="H20" s="22">
        <v>4</v>
      </c>
      <c r="I20" s="22">
        <f t="shared" si="4"/>
        <v>494.79759999999999</v>
      </c>
      <c r="J20" s="22">
        <f t="shared" si="5"/>
        <v>1023.0415883278787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>
        <v>0</v>
      </c>
      <c r="R20" s="22">
        <f t="shared" si="7"/>
        <v>6817.9009633278783</v>
      </c>
      <c r="S20" s="22"/>
      <c r="T20" s="22"/>
    </row>
    <row r="21" spans="1:21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3.2865601159365987E-2</v>
      </c>
      <c r="G21" s="20">
        <f t="shared" si="3"/>
        <v>1687.6486195334435</v>
      </c>
      <c r="H21" s="20">
        <v>3</v>
      </c>
      <c r="I21" s="20">
        <f t="shared" si="4"/>
        <v>371.09820000000002</v>
      </c>
      <c r="J21" s="20">
        <f t="shared" si="5"/>
        <v>2064.5452289084433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>
        <v>0</v>
      </c>
      <c r="R21" s="20">
        <f t="shared" si="7"/>
        <v>7109.4046039084433</v>
      </c>
      <c r="S21" s="20"/>
      <c r="T21" s="20"/>
    </row>
    <row r="22" spans="1:21" ht="12.75" customHeight="1" x14ac:dyDescent="0.25">
      <c r="A22" s="21" t="s">
        <v>49</v>
      </c>
      <c r="B22" s="21" t="str">
        <f>VLOOKUP(A22,Members!$A$2:$B$65,2,FALSE)</f>
        <v>Digvijay Verma</v>
      </c>
      <c r="C22" s="22">
        <f>AVERAGE('Apr2026-EXPENSE'!C22,'May2026-EXPENSE'!C22)</f>
        <v>9304.75</v>
      </c>
      <c r="D22" s="22">
        <f t="shared" si="0"/>
        <v>0</v>
      </c>
      <c r="E22" s="22">
        <f t="shared" si="1"/>
        <v>9304.75</v>
      </c>
      <c r="F22" s="44">
        <f t="shared" si="2"/>
        <v>2.0508765501147518E-2</v>
      </c>
      <c r="G22" s="22">
        <f t="shared" si="3"/>
        <v>1053.125108483925</v>
      </c>
      <c r="H22" s="22">
        <v>3</v>
      </c>
      <c r="I22" s="22">
        <f t="shared" si="4"/>
        <v>371.09820000000002</v>
      </c>
      <c r="J22" s="22">
        <f t="shared" si="5"/>
        <v>1430.0217178589251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7474.8810928589246</v>
      </c>
      <c r="S22" s="22"/>
      <c r="T22" s="22"/>
      <c r="U22" t="s">
        <v>55</v>
      </c>
    </row>
    <row r="23" spans="1:21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13248.5</v>
      </c>
      <c r="D23" s="20">
        <f>SUM($C$3:$C$5)/64</f>
        <v>0</v>
      </c>
      <c r="E23" s="20">
        <f t="shared" si="1"/>
        <v>13248.5</v>
      </c>
      <c r="F23" s="43">
        <f t="shared" si="2"/>
        <v>2.920125524511168E-2</v>
      </c>
      <c r="G23" s="20">
        <f t="shared" si="3"/>
        <v>1499.4844568364847</v>
      </c>
      <c r="H23" s="20">
        <v>4</v>
      </c>
      <c r="I23" s="20">
        <f t="shared" si="4"/>
        <v>494.79759999999999</v>
      </c>
      <c r="J23" s="20">
        <f t="shared" si="5"/>
        <v>2000.0804662114847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0</v>
      </c>
      <c r="R23" s="20">
        <f t="shared" si="7"/>
        <v>7044.9398412114842</v>
      </c>
      <c r="S23" s="20"/>
      <c r="T23" s="20"/>
    </row>
    <row r="24" spans="1:21" ht="12.75" customHeight="1" x14ac:dyDescent="0.25">
      <c r="A24" s="21" t="s">
        <v>51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2.3311852368186864E-2</v>
      </c>
      <c r="G24" s="22">
        <f t="shared" si="3"/>
        <v>1197.0636191063954</v>
      </c>
      <c r="H24" s="22">
        <v>4</v>
      </c>
      <c r="I24" s="22">
        <f t="shared" si="4"/>
        <v>494.79759999999999</v>
      </c>
      <c r="J24" s="22">
        <f t="shared" si="5"/>
        <v>1697.6596284813954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>
        <v>0</v>
      </c>
      <c r="R24" s="22">
        <f t="shared" si="7"/>
        <v>6742.519003481395</v>
      </c>
      <c r="S24" s="22"/>
      <c r="T24" s="22"/>
    </row>
    <row r="25" spans="1:21" ht="12.75" customHeight="1" x14ac:dyDescent="0.25">
      <c r="A25" s="19" t="s">
        <v>52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1.7566819209989062E-2</v>
      </c>
      <c r="G25" s="20">
        <f t="shared" si="3"/>
        <v>902.05616643293831</v>
      </c>
      <c r="H25" s="20">
        <v>4</v>
      </c>
      <c r="I25" s="20">
        <f t="shared" si="4"/>
        <v>494.79759999999999</v>
      </c>
      <c r="J25" s="20">
        <f t="shared" si="5"/>
        <v>1402.6521758079384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>
        <v>0</v>
      </c>
      <c r="R25" s="20">
        <f t="shared" si="7"/>
        <v>6447.511550807938</v>
      </c>
      <c r="S25" s="20"/>
      <c r="T25" s="20"/>
    </row>
    <row r="26" spans="1:21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1.5984262598599835E-2</v>
      </c>
      <c r="G26" s="22">
        <f t="shared" si="3"/>
        <v>820.79188443810153</v>
      </c>
      <c r="H26" s="22">
        <v>3</v>
      </c>
      <c r="I26" s="22">
        <f t="shared" si="4"/>
        <v>371.09820000000002</v>
      </c>
      <c r="J26" s="22">
        <f t="shared" si="5"/>
        <v>1197.6884938131016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7242.5478688131016</v>
      </c>
      <c r="S26" s="22"/>
      <c r="T26" s="22"/>
      <c r="U26" t="s">
        <v>55</v>
      </c>
    </row>
    <row r="27" spans="1:21" ht="12.75" customHeight="1" x14ac:dyDescent="0.25">
      <c r="A27" s="19" t="s">
        <v>54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1.8228054562937207E-3</v>
      </c>
      <c r="G27" s="20">
        <f t="shared" si="3"/>
        <v>93.601060180682566</v>
      </c>
      <c r="H27" s="20">
        <v>3</v>
      </c>
      <c r="I27" s="20">
        <f t="shared" si="4"/>
        <v>371.09820000000002</v>
      </c>
      <c r="J27" s="20">
        <f t="shared" si="5"/>
        <v>470.49766955568259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0</v>
      </c>
      <c r="R27" s="20">
        <f t="shared" si="7"/>
        <v>5515.3570445556825</v>
      </c>
      <c r="S27" s="20"/>
      <c r="T27" s="20"/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1.5936874064971882E-2</v>
      </c>
      <c r="G28" s="22">
        <f t="shared" si="3"/>
        <v>818.35848323630614</v>
      </c>
      <c r="H28" s="22">
        <v>3</v>
      </c>
      <c r="I28" s="22">
        <f t="shared" si="4"/>
        <v>371.09820000000002</v>
      </c>
      <c r="J28" s="22">
        <f t="shared" si="5"/>
        <v>1195.2550926113063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0</v>
      </c>
      <c r="R28" s="22">
        <f t="shared" si="7"/>
        <v>6240.1144676113063</v>
      </c>
      <c r="S28" s="22"/>
      <c r="T28" s="22"/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2.3154257942400889E-3</v>
      </c>
      <c r="G29" s="20">
        <f t="shared" si="3"/>
        <v>118.89711453422856</v>
      </c>
      <c r="H29" s="20">
        <v>3</v>
      </c>
      <c r="I29" s="20">
        <f t="shared" si="4"/>
        <v>371.09820000000002</v>
      </c>
      <c r="J29" s="20">
        <f t="shared" si="5"/>
        <v>495.79372390922856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>
        <v>0</v>
      </c>
      <c r="R29" s="20">
        <f t="shared" si="7"/>
        <v>5540.6530989092289</v>
      </c>
      <c r="S29" s="20"/>
      <c r="T29" s="20"/>
    </row>
    <row r="30" spans="1:21" ht="12.75" customHeight="1" x14ac:dyDescent="0.25">
      <c r="A30" s="21" t="s">
        <v>58</v>
      </c>
      <c r="B30" s="21" t="str">
        <f>VLOOKUP(A30,Members!$A$2:$B$65,2,FALSE)</f>
        <v>Ankur Agarwal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2.0858669208749247E-2</v>
      </c>
      <c r="G30" s="22">
        <f t="shared" si="3"/>
        <v>1071.0926638692738</v>
      </c>
      <c r="H30" s="22">
        <v>5</v>
      </c>
      <c r="I30" s="22">
        <f t="shared" si="4"/>
        <v>618.49699999999996</v>
      </c>
      <c r="J30" s="22">
        <f t="shared" si="5"/>
        <v>1695.3880732442735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0</v>
      </c>
      <c r="R30" s="22">
        <f t="shared" si="7"/>
        <v>6740.247448244274</v>
      </c>
      <c r="S30" s="22"/>
      <c r="T30" s="22"/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6.940767088112366E-3</v>
      </c>
      <c r="G31" s="20">
        <f t="shared" si="3"/>
        <v>356.40838997457001</v>
      </c>
      <c r="H31" s="20">
        <v>3</v>
      </c>
      <c r="I31" s="20">
        <f t="shared" si="4"/>
        <v>371.09820000000002</v>
      </c>
      <c r="J31" s="20">
        <f t="shared" si="5"/>
        <v>733.30499934957004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>
        <v>0</v>
      </c>
      <c r="R31" s="20">
        <f t="shared" si="7"/>
        <v>5778.1643743495697</v>
      </c>
      <c r="S31" s="20"/>
      <c r="T31" s="20"/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2.8730676085596918E-3</v>
      </c>
      <c r="G32" s="22">
        <f t="shared" si="3"/>
        <v>147.53202169954017</v>
      </c>
      <c r="H32" s="22">
        <v>3</v>
      </c>
      <c r="I32" s="22">
        <f t="shared" si="4"/>
        <v>371.09820000000002</v>
      </c>
      <c r="J32" s="22">
        <f t="shared" si="5"/>
        <v>524.42863107454014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0</v>
      </c>
      <c r="R32" s="22">
        <f t="shared" si="7"/>
        <v>5569.2880060745401</v>
      </c>
      <c r="S32" s="22"/>
      <c r="T32" s="22"/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2.920125524511168E-2</v>
      </c>
      <c r="G33" s="20">
        <f t="shared" si="3"/>
        <v>1499.4844568364847</v>
      </c>
      <c r="H33" s="20">
        <v>3</v>
      </c>
      <c r="I33" s="20">
        <f t="shared" si="4"/>
        <v>371.09820000000002</v>
      </c>
      <c r="J33" s="20">
        <f t="shared" si="5"/>
        <v>1876.3810662114847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>
        <v>0</v>
      </c>
      <c r="R33" s="20">
        <f t="shared" si="7"/>
        <v>6921.2404412114847</v>
      </c>
      <c r="S33" s="20"/>
      <c r="T33" s="20"/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1.5224944001631047E-2</v>
      </c>
      <c r="G34" s="22">
        <f t="shared" si="3"/>
        <v>781.80087448375423</v>
      </c>
      <c r="H34" s="22">
        <v>4</v>
      </c>
      <c r="I34" s="22">
        <f t="shared" si="4"/>
        <v>494.79759999999999</v>
      </c>
      <c r="J34" s="22">
        <f t="shared" si="5"/>
        <v>1282.3968838587543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0</v>
      </c>
      <c r="R34" s="22">
        <f t="shared" si="7"/>
        <v>6327.2562588587543</v>
      </c>
      <c r="S34" s="22"/>
      <c r="T34" s="22"/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2.5271313130756534E-2</v>
      </c>
      <c r="G35" s="20">
        <f t="shared" si="3"/>
        <v>1297.6819292643481</v>
      </c>
      <c r="H35" s="20">
        <v>4</v>
      </c>
      <c r="I35" s="20">
        <f t="shared" si="4"/>
        <v>494.79759999999999</v>
      </c>
      <c r="J35" s="20">
        <f t="shared" si="5"/>
        <v>1798.2779386393481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>
        <v>0</v>
      </c>
      <c r="R35" s="20">
        <f t="shared" si="7"/>
        <v>6843.1373136393486</v>
      </c>
      <c r="S35" s="20"/>
      <c r="T35" s="20"/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1.8504671352253848E-2</v>
      </c>
      <c r="G36" s="22">
        <f t="shared" si="3"/>
        <v>950.21487393823509</v>
      </c>
      <c r="H36" s="22">
        <v>4</v>
      </c>
      <c r="I36" s="22">
        <f t="shared" si="4"/>
        <v>494.79759999999999</v>
      </c>
      <c r="J36" s="22">
        <f t="shared" si="5"/>
        <v>1450.8108833132351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7495.6702583132355</v>
      </c>
      <c r="S36" s="22"/>
      <c r="T36" s="22"/>
      <c r="U36" t="s">
        <v>55</v>
      </c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9.8942849979474154E-3</v>
      </c>
      <c r="G37" s="20">
        <f t="shared" si="3"/>
        <v>508.07153464459981</v>
      </c>
      <c r="H37" s="20">
        <v>3</v>
      </c>
      <c r="I37" s="20">
        <f t="shared" si="4"/>
        <v>371.09820000000002</v>
      </c>
      <c r="J37" s="20">
        <f t="shared" si="5"/>
        <v>884.96814401959978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0</v>
      </c>
      <c r="R37" s="20">
        <f t="shared" si="7"/>
        <v>5929.8275190196</v>
      </c>
      <c r="S37" s="20"/>
      <c r="T37" s="20"/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4.2341103767112908E-3</v>
      </c>
      <c r="G38" s="22">
        <f t="shared" ref="G38:G69" si="11">F38*$T$5</f>
        <v>217.42156784412478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594.31817721912478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>
        <v>0</v>
      </c>
      <c r="R38" s="22">
        <f t="shared" ref="R38:R69" si="15">SUM(J38:Q38)*$B$2</f>
        <v>5639.1775522191247</v>
      </c>
      <c r="S38" s="22"/>
      <c r="T38" s="22"/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3.2127221681907223E-2</v>
      </c>
      <c r="G39" s="20">
        <f t="shared" si="11"/>
        <v>1649.7328333659359</v>
      </c>
      <c r="H39" s="20">
        <v>4</v>
      </c>
      <c r="I39" s="20">
        <f t="shared" si="12"/>
        <v>494.79759999999999</v>
      </c>
      <c r="J39" s="20">
        <f t="shared" si="13"/>
        <v>2150.3288427409357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>
        <v>0</v>
      </c>
      <c r="R39" s="20">
        <f t="shared" si="15"/>
        <v>7195.1882177409352</v>
      </c>
      <c r="S39" s="20"/>
      <c r="T39" s="20"/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1.9113007876966143E-2</v>
      </c>
      <c r="G40" s="22">
        <f t="shared" si="11"/>
        <v>981.45295448221145</v>
      </c>
      <c r="H40" s="22">
        <v>4</v>
      </c>
      <c r="I40" s="22">
        <f t="shared" si="12"/>
        <v>494.79759999999999</v>
      </c>
      <c r="J40" s="22">
        <f t="shared" si="13"/>
        <v>1482.0489638572114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0</v>
      </c>
      <c r="R40" s="22">
        <f t="shared" si="15"/>
        <v>6526.9083388572117</v>
      </c>
      <c r="S40" s="22"/>
      <c r="T40" s="22"/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1.6557333237821562E-2</v>
      </c>
      <c r="G41" s="20">
        <f t="shared" si="11"/>
        <v>850.21906176213713</v>
      </c>
      <c r="H41" s="20">
        <v>3</v>
      </c>
      <c r="I41" s="20">
        <f t="shared" si="12"/>
        <v>371.09820000000002</v>
      </c>
      <c r="J41" s="20">
        <f t="shared" si="13"/>
        <v>1227.1156711371373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>
        <v>0</v>
      </c>
      <c r="R41" s="20">
        <f t="shared" si="15"/>
        <v>6271.9750461371368</v>
      </c>
      <c r="S41" s="20"/>
      <c r="T41" s="20"/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1.7554696561851678E-2</v>
      </c>
      <c r="G42" s="22">
        <f t="shared" si="11"/>
        <v>901.43366845108369</v>
      </c>
      <c r="H42" s="22">
        <v>3</v>
      </c>
      <c r="I42" s="22">
        <f t="shared" si="12"/>
        <v>371.09820000000002</v>
      </c>
      <c r="J42" s="22">
        <f t="shared" si="13"/>
        <v>1278.3302778260836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>
        <v>0</v>
      </c>
      <c r="R42" s="22">
        <f t="shared" si="15"/>
        <v>6323.1896528260841</v>
      </c>
      <c r="S42" s="22"/>
      <c r="T42" s="22"/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1.8398873695782143E-2</v>
      </c>
      <c r="G43" s="20">
        <f t="shared" si="11"/>
        <v>944.78216427841301</v>
      </c>
      <c r="H43" s="20">
        <v>3</v>
      </c>
      <c r="I43" s="20">
        <f t="shared" si="12"/>
        <v>371.09820000000002</v>
      </c>
      <c r="J43" s="20">
        <f t="shared" si="13"/>
        <v>1321.6787736534129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0</v>
      </c>
      <c r="R43" s="20">
        <f t="shared" si="15"/>
        <v>6366.5381486534134</v>
      </c>
      <c r="S43" s="20"/>
      <c r="T43" s="20"/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3.9508812338651684E-3</v>
      </c>
      <c r="G44" s="22">
        <f t="shared" si="11"/>
        <v>202.87775135897638</v>
      </c>
      <c r="H44" s="22">
        <v>3</v>
      </c>
      <c r="I44" s="22">
        <f t="shared" si="12"/>
        <v>371.09820000000002</v>
      </c>
      <c r="J44" s="22">
        <f t="shared" si="13"/>
        <v>579.77436073397644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>
        <v>0</v>
      </c>
      <c r="R44" s="22">
        <f t="shared" si="15"/>
        <v>5624.6337357339762</v>
      </c>
      <c r="S44" s="22"/>
      <c r="T44" s="22"/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2.1390963667872503E-2</v>
      </c>
      <c r="G45" s="20">
        <f t="shared" si="11"/>
        <v>1098.425984345253</v>
      </c>
      <c r="H45" s="20">
        <v>3</v>
      </c>
      <c r="I45" s="20">
        <f t="shared" si="12"/>
        <v>371.09820000000002</v>
      </c>
      <c r="J45" s="20">
        <f t="shared" si="13"/>
        <v>1475.3225937202528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0</v>
      </c>
      <c r="R45" s="20">
        <f t="shared" si="15"/>
        <v>6520.1819687202533</v>
      </c>
      <c r="S45" s="20"/>
      <c r="T45" s="20"/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1.2343059921698715E-4</v>
      </c>
      <c r="G46" s="22">
        <f t="shared" si="11"/>
        <v>6.3381612697922902</v>
      </c>
      <c r="H46" s="22">
        <v>4</v>
      </c>
      <c r="I46" s="22">
        <f t="shared" si="12"/>
        <v>494.79759999999999</v>
      </c>
      <c r="J46" s="22">
        <f t="shared" si="13"/>
        <v>506.93417064479229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6551.7935456447922</v>
      </c>
      <c r="S46" s="22"/>
      <c r="T46" s="22"/>
      <c r="U46" t="s">
        <v>55</v>
      </c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9.8413861697115631E-4</v>
      </c>
      <c r="G47" s="20">
        <f t="shared" si="11"/>
        <v>50.535517981468878</v>
      </c>
      <c r="H47" s="20">
        <v>3</v>
      </c>
      <c r="I47" s="20">
        <f t="shared" si="12"/>
        <v>371.09820000000002</v>
      </c>
      <c r="J47" s="20">
        <f t="shared" si="13"/>
        <v>427.43212735646887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>
        <v>0</v>
      </c>
      <c r="R47" s="20">
        <f t="shared" si="15"/>
        <v>5472.2915023564692</v>
      </c>
      <c r="S47" s="20"/>
      <c r="T47" s="20"/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1.1028303628253485E-2</v>
      </c>
      <c r="G48" s="22">
        <f t="shared" si="11"/>
        <v>566.30339131081644</v>
      </c>
      <c r="H48" s="22">
        <v>3</v>
      </c>
      <c r="I48" s="22">
        <f t="shared" si="12"/>
        <v>371.09820000000002</v>
      </c>
      <c r="J48" s="22">
        <f t="shared" si="13"/>
        <v>943.20000068581646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>
        <v>0</v>
      </c>
      <c r="R48" s="22">
        <f t="shared" si="15"/>
        <v>5988.0593756858161</v>
      </c>
      <c r="S48" s="22"/>
      <c r="T48" s="22"/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2.2499634942982228E-2</v>
      </c>
      <c r="G49" s="20">
        <f t="shared" si="11"/>
        <v>1155.3562543221374</v>
      </c>
      <c r="H49" s="20">
        <v>3</v>
      </c>
      <c r="I49" s="20">
        <f t="shared" si="12"/>
        <v>371.09820000000002</v>
      </c>
      <c r="J49" s="20">
        <f t="shared" si="13"/>
        <v>1532.2528636971374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>
        <v>0</v>
      </c>
      <c r="R49" s="20">
        <f t="shared" si="15"/>
        <v>6577.1122386971374</v>
      </c>
      <c r="S49" s="20"/>
      <c r="T49" s="20"/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2.2041178431604846E-6</v>
      </c>
      <c r="G50" s="22">
        <f t="shared" si="11"/>
        <v>0.11318145124629088</v>
      </c>
      <c r="H50" s="22">
        <v>4</v>
      </c>
      <c r="I50" s="22">
        <f t="shared" si="12"/>
        <v>494.79759999999999</v>
      </c>
      <c r="J50" s="22">
        <f t="shared" si="13"/>
        <v>500.7091908262463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0</v>
      </c>
      <c r="R50" s="22">
        <f t="shared" si="15"/>
        <v>5545.5685658262464</v>
      </c>
      <c r="S50" s="22"/>
      <c r="T50" s="22"/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1.7839027763619383E-2</v>
      </c>
      <c r="G51" s="20">
        <f t="shared" si="11"/>
        <v>916.03407566185535</v>
      </c>
      <c r="H51" s="20">
        <v>4</v>
      </c>
      <c r="I51" s="20">
        <f t="shared" si="12"/>
        <v>494.79759999999999</v>
      </c>
      <c r="J51" s="20">
        <f t="shared" si="13"/>
        <v>1416.6300850368552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7461.4894600368552</v>
      </c>
      <c r="S51" s="20"/>
      <c r="T51" s="20"/>
      <c r="U51" t="s">
        <v>55</v>
      </c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3.3147728243290528E-2</v>
      </c>
      <c r="G52" s="22">
        <f t="shared" si="11"/>
        <v>1702.1358452929685</v>
      </c>
      <c r="H52" s="22">
        <v>4</v>
      </c>
      <c r="I52" s="22">
        <f t="shared" si="12"/>
        <v>494.79759999999999</v>
      </c>
      <c r="J52" s="22">
        <f t="shared" si="13"/>
        <v>2202.7318546679685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0</v>
      </c>
      <c r="R52" s="22">
        <f t="shared" si="15"/>
        <v>7247.5912296679689</v>
      </c>
      <c r="S52" s="22"/>
      <c r="T52" s="22"/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9.5239932002964545E-3</v>
      </c>
      <c r="G53" s="20">
        <f t="shared" si="11"/>
        <v>489.05705083522292</v>
      </c>
      <c r="H53" s="20">
        <v>3</v>
      </c>
      <c r="I53" s="20">
        <f t="shared" si="12"/>
        <v>371.09820000000002</v>
      </c>
      <c r="J53" s="20">
        <f t="shared" si="13"/>
        <v>865.95366021022301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>
        <v>0</v>
      </c>
      <c r="R53" s="20">
        <f t="shared" si="15"/>
        <v>5910.8130352102235</v>
      </c>
      <c r="S53" s="20"/>
      <c r="T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2.8736186380204816E-2</v>
      </c>
      <c r="G54" s="22">
        <f t="shared" si="11"/>
        <v>1475.6031706235174</v>
      </c>
      <c r="H54" s="22">
        <v>3</v>
      </c>
      <c r="I54" s="22">
        <f t="shared" si="12"/>
        <v>371.09820000000002</v>
      </c>
      <c r="J54" s="22">
        <f t="shared" si="13"/>
        <v>1852.4997799985172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0</v>
      </c>
      <c r="R54" s="22">
        <f t="shared" si="15"/>
        <v>6897.3591549985176</v>
      </c>
      <c r="S54" s="22"/>
      <c r="T54" s="22"/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2.7541554509211835E-2</v>
      </c>
      <c r="G55" s="20">
        <f t="shared" si="11"/>
        <v>1414.2588240480277</v>
      </c>
      <c r="H55" s="20">
        <v>4</v>
      </c>
      <c r="I55" s="20">
        <f t="shared" si="12"/>
        <v>494.79759999999999</v>
      </c>
      <c r="J55" s="20">
        <f t="shared" si="13"/>
        <v>1914.8548334230277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0</v>
      </c>
      <c r="R55" s="20">
        <f t="shared" si="15"/>
        <v>6959.7142084230272</v>
      </c>
      <c r="S55" s="20"/>
      <c r="T55" s="20"/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1.7742046578520319E-2</v>
      </c>
      <c r="G56" s="22">
        <f t="shared" si="11"/>
        <v>911.05409180701838</v>
      </c>
      <c r="H56" s="22">
        <v>4</v>
      </c>
      <c r="I56" s="22">
        <f t="shared" si="12"/>
        <v>494.79759999999999</v>
      </c>
      <c r="J56" s="22">
        <f t="shared" si="13"/>
        <v>1411.6501011820183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>
        <v>0</v>
      </c>
      <c r="R56" s="22">
        <f t="shared" si="15"/>
        <v>6456.5094761820183</v>
      </c>
      <c r="S56" s="22"/>
      <c r="T56" s="22"/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1.6530883823703635E-5</v>
      </c>
      <c r="G57" s="20">
        <f t="shared" si="11"/>
        <v>0.84886088434718165</v>
      </c>
      <c r="H57" s="20">
        <v>4</v>
      </c>
      <c r="I57" s="20">
        <f t="shared" si="12"/>
        <v>494.79759999999999</v>
      </c>
      <c r="J57" s="20">
        <f t="shared" si="13"/>
        <v>501.44487025934717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>
        <v>0</v>
      </c>
      <c r="R57" s="20">
        <f t="shared" si="15"/>
        <v>5546.3042452593472</v>
      </c>
      <c r="S57" s="20"/>
      <c r="T57" s="20"/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4.3994192149483273E-3</v>
      </c>
      <c r="G58" s="22">
        <f t="shared" si="11"/>
        <v>225.91017668759662</v>
      </c>
      <c r="H58" s="22">
        <v>3</v>
      </c>
      <c r="I58" s="22">
        <f t="shared" si="12"/>
        <v>371.09820000000002</v>
      </c>
      <c r="J58" s="22">
        <f t="shared" si="13"/>
        <v>602.80678606259664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>
        <v>0</v>
      </c>
      <c r="R58" s="22">
        <f t="shared" si="15"/>
        <v>5647.666161062597</v>
      </c>
      <c r="S58" s="22"/>
      <c r="T58" s="22"/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3.0032207671983183E-2</v>
      </c>
      <c r="G59" s="20">
        <f t="shared" si="11"/>
        <v>1542.1538639563364</v>
      </c>
      <c r="H59" s="20">
        <v>3</v>
      </c>
      <c r="I59" s="20">
        <f t="shared" si="12"/>
        <v>371.09820000000002</v>
      </c>
      <c r="J59" s="20">
        <f t="shared" si="13"/>
        <v>1919.0504733313364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>
        <v>0</v>
      </c>
      <c r="R59" s="20">
        <f t="shared" si="15"/>
        <v>6963.9098483313364</v>
      </c>
      <c r="S59" s="20"/>
      <c r="T59" s="20"/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2.0390294167077643E-2</v>
      </c>
      <c r="G60" s="22">
        <f t="shared" si="11"/>
        <v>1047.0416054794371</v>
      </c>
      <c r="H60" s="22">
        <v>3</v>
      </c>
      <c r="I60" s="22">
        <f t="shared" si="12"/>
        <v>371.09820000000002</v>
      </c>
      <c r="J60" s="22">
        <f t="shared" si="13"/>
        <v>1423.9382148544369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>
        <v>0</v>
      </c>
      <c r="R60" s="22">
        <f t="shared" si="15"/>
        <v>6468.7975898544373</v>
      </c>
      <c r="S60" s="22"/>
      <c r="T60" s="22"/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1.9319092895301647E-3</v>
      </c>
      <c r="G61" s="20">
        <f t="shared" si="11"/>
        <v>99.203542017373962</v>
      </c>
      <c r="H61" s="20">
        <v>3</v>
      </c>
      <c r="I61" s="20">
        <f t="shared" si="12"/>
        <v>371.09820000000002</v>
      </c>
      <c r="J61" s="20">
        <f t="shared" si="13"/>
        <v>476.10015139237396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>
        <v>0</v>
      </c>
      <c r="R61" s="20">
        <f t="shared" si="15"/>
        <v>5520.9595263923738</v>
      </c>
      <c r="S61" s="20"/>
      <c r="T61" s="20"/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7.3617535961560188E-4</v>
      </c>
      <c r="G62" s="22">
        <f t="shared" si="11"/>
        <v>37.802604716261158</v>
      </c>
      <c r="H62" s="22">
        <v>4</v>
      </c>
      <c r="I62" s="22">
        <f t="shared" si="12"/>
        <v>494.79759999999999</v>
      </c>
      <c r="J62" s="22">
        <f t="shared" si="13"/>
        <v>538.39861409126115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>
        <v>0</v>
      </c>
      <c r="R62" s="22">
        <f t="shared" si="15"/>
        <v>5583.2579890912612</v>
      </c>
      <c r="S62" s="22"/>
      <c r="T62" s="22"/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2.7718985995586254E-2</v>
      </c>
      <c r="G63" s="20">
        <f t="shared" si="11"/>
        <v>1423.3699308733542</v>
      </c>
      <c r="H63" s="20">
        <v>3</v>
      </c>
      <c r="I63" s="20">
        <f t="shared" si="12"/>
        <v>371.09820000000002</v>
      </c>
      <c r="J63" s="20">
        <f t="shared" si="13"/>
        <v>1800.266540248354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7595.1259152483544</v>
      </c>
      <c r="S63" s="20"/>
      <c r="T63" s="20"/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1.3251156473080833E-2</v>
      </c>
      <c r="G64" s="22">
        <f t="shared" si="11"/>
        <v>680.44688489270084</v>
      </c>
      <c r="H64" s="22">
        <v>3</v>
      </c>
      <c r="I64" s="22">
        <f t="shared" si="12"/>
        <v>371.09820000000002</v>
      </c>
      <c r="J64" s="22">
        <f t="shared" si="13"/>
        <v>1057.3434942677009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>
        <v>0</v>
      </c>
      <c r="R64" s="22">
        <f t="shared" si="15"/>
        <v>6102.2028692677013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4.7770948073738766E-2</v>
      </c>
      <c r="G65" s="20">
        <f t="shared" si="11"/>
        <v>2453.0381835864855</v>
      </c>
      <c r="H65" s="20">
        <v>3</v>
      </c>
      <c r="I65" s="20">
        <f t="shared" si="12"/>
        <v>371.09820000000002</v>
      </c>
      <c r="J65" s="20">
        <f t="shared" si="13"/>
        <v>2829.9347929614855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>
        <v>0</v>
      </c>
      <c r="R65" s="20">
        <f t="shared" si="15"/>
        <v>7874.7941679614851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4.2121794041718438E-2</v>
      </c>
      <c r="G66" s="22">
        <f t="shared" si="11"/>
        <v>2162.9541240422418</v>
      </c>
      <c r="H66" s="22">
        <v>4</v>
      </c>
      <c r="I66" s="22">
        <f t="shared" si="12"/>
        <v>494.79759999999999</v>
      </c>
      <c r="J66" s="22">
        <f t="shared" si="13"/>
        <v>2663.5501334172418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7708.4095084172423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9.0721490424485549E-3</v>
      </c>
      <c r="G67" s="20">
        <f t="shared" si="11"/>
        <v>465.85485332973332</v>
      </c>
      <c r="H67" s="20">
        <v>4</v>
      </c>
      <c r="I67" s="20">
        <f t="shared" si="12"/>
        <v>494.79759999999999</v>
      </c>
      <c r="J67" s="20">
        <f t="shared" si="13"/>
        <v>966.45086270473325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>
        <v>0</v>
      </c>
      <c r="R67" s="20">
        <f t="shared" si="15"/>
        <v>6011.3102377047335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1.9772039112071128E-2</v>
      </c>
      <c r="G68" s="22">
        <f t="shared" si="11"/>
        <v>1015.2942084048525</v>
      </c>
      <c r="H68" s="22">
        <v>4</v>
      </c>
      <c r="I68" s="22">
        <f t="shared" si="12"/>
        <v>494.79759999999999</v>
      </c>
      <c r="J68" s="22">
        <f t="shared" si="13"/>
        <v>1515.8902177798525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>
        <v>0</v>
      </c>
      <c r="R68" s="22">
        <f t="shared" si="15"/>
        <v>6560.7495927798527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2.2095179318762277E-2</v>
      </c>
      <c r="G69" s="20">
        <f t="shared" si="11"/>
        <v>1134.5874580184429</v>
      </c>
      <c r="H69" s="20">
        <v>3</v>
      </c>
      <c r="I69" s="20">
        <f t="shared" si="12"/>
        <v>371.09820000000002</v>
      </c>
      <c r="J69" s="20">
        <f t="shared" si="13"/>
        <v>1511.4840673934427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>
        <v>0</v>
      </c>
      <c r="R69" s="20">
        <f t="shared" si="15"/>
        <v>6556.3434423934432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453696.25</v>
      </c>
      <c r="D70" s="22">
        <f>SUM(D3:D69)</f>
        <v>0</v>
      </c>
      <c r="E70" s="22">
        <f>SUM(E3:E69)</f>
        <v>453696.25</v>
      </c>
      <c r="F70" s="44">
        <f t="shared" ref="F70" si="16">IF($C$70=0, 0, E70/$C$70)</f>
        <v>1</v>
      </c>
      <c r="G70" s="22">
        <f t="shared" ref="G70:P70" si="17">SUM(G3:G69)</f>
        <v>51350.000000000015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78934.966199999995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410805.96620000002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10856</v>
      </c>
      <c r="D2" s="29" t="s">
        <v>322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>
        <v>16500</v>
      </c>
      <c r="D3" s="32" t="s">
        <v>323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>
        <v>6000</v>
      </c>
      <c r="D4" s="40" t="s">
        <v>324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>
        <v>5554.98</v>
      </c>
      <c r="D6" s="29" t="s">
        <v>325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7469</v>
      </c>
      <c r="D7" s="32" t="s">
        <v>326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5964.86</v>
      </c>
      <c r="D8" s="29" t="s">
        <v>323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>
        <v>5333</v>
      </c>
      <c r="D9" s="32" t="s">
        <v>327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>
        <v>5538</v>
      </c>
      <c r="D10" s="29" t="s">
        <v>328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>
        <v>4901</v>
      </c>
      <c r="D12" s="29" t="s">
        <v>329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>
        <v>6016</v>
      </c>
      <c r="D18" s="29" t="s">
        <v>330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>
        <v>7164.78</v>
      </c>
      <c r="D19" s="32" t="s">
        <v>331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>
        <v>6263</v>
      </c>
      <c r="D20" s="29" t="s">
        <v>325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>
        <v>7011</v>
      </c>
      <c r="D21" s="32" t="s">
        <v>332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>
        <v>10563</v>
      </c>
      <c r="D24" s="29" t="s">
        <v>327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>
        <v>201</v>
      </c>
      <c r="D26" s="29" t="s">
        <v>333</v>
      </c>
      <c r="E26" s="26">
        <v>6264</v>
      </c>
      <c r="F26" s="29" t="s">
        <v>327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5452.43</v>
      </c>
      <c r="D27" s="32" t="s">
        <v>327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>
        <v>10106</v>
      </c>
      <c r="D28" s="29" t="s">
        <v>334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5689</v>
      </c>
      <c r="D29" s="32" t="s">
        <v>327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>
        <v>10117.790000000001</v>
      </c>
      <c r="D30" s="29" t="s">
        <v>324</v>
      </c>
      <c r="E30" s="26">
        <v>5932</v>
      </c>
      <c r="F30" s="29" t="s">
        <v>327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5003.6499999999996</v>
      </c>
      <c r="D33" s="32" t="s">
        <v>335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5454</v>
      </c>
      <c r="D34" s="29" t="s">
        <v>336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>
        <v>7522.88</v>
      </c>
      <c r="D35" s="32" t="s">
        <v>324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5522.63</v>
      </c>
      <c r="D38" s="29" t="s">
        <v>323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5596.3</v>
      </c>
      <c r="D40" s="29" t="s">
        <v>327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>
        <v>6646</v>
      </c>
      <c r="D41" s="32" t="s">
        <v>324</v>
      </c>
      <c r="E41" s="25">
        <v>6075.85</v>
      </c>
      <c r="F41" s="32" t="s">
        <v>328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>
        <v>5486.89</v>
      </c>
      <c r="D42" s="29" t="s">
        <v>331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5779</v>
      </c>
      <c r="D44" s="29" t="s">
        <v>336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>
        <v>5403.25</v>
      </c>
      <c r="D45" s="32" t="s">
        <v>331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>
        <v>12562</v>
      </c>
      <c r="D48" s="29" t="s">
        <v>324</v>
      </c>
      <c r="E48" s="26">
        <v>6572</v>
      </c>
      <c r="F48" s="29" t="s">
        <v>323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4442</v>
      </c>
      <c r="D49" s="32" t="s">
        <v>323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9000</v>
      </c>
      <c r="D50" s="29" t="s">
        <v>325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5972</v>
      </c>
      <c r="D52" s="29" t="s">
        <v>337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>
        <v>5391.88</v>
      </c>
      <c r="D53" s="32" t="s">
        <v>323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5622</v>
      </c>
      <c r="D54" s="29" t="s">
        <v>338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>
        <v>6389.74</v>
      </c>
      <c r="D55" s="32" t="s">
        <v>325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>
        <v>5793</v>
      </c>
      <c r="D57" s="32" t="s">
        <v>339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>
        <v>5758</v>
      </c>
      <c r="D60" s="29" t="s">
        <v>323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5606.17</v>
      </c>
      <c r="D61" s="32" t="s">
        <v>331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>
        <v>6142</v>
      </c>
      <c r="D63" s="32" t="s">
        <v>327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>
        <v>32894</v>
      </c>
      <c r="D64" s="29" t="s">
        <v>323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U7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1" ht="16.5" customHeight="1" x14ac:dyDescent="0.25">
      <c r="A1" s="17"/>
      <c r="B1" s="92" t="s">
        <v>340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1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295</v>
      </c>
      <c r="K2" s="18" t="s">
        <v>10</v>
      </c>
      <c r="L2" s="18" t="s">
        <v>11</v>
      </c>
      <c r="M2" s="18" t="s">
        <v>318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'ANNUAL-EXPENSE-DETAILS'!V6</f>
        <v>325440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'ANNUAL-EXPENSE-DETAILS'!U6</f>
        <v>40900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5950.3969893672656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6180.9440916896492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7584.5075866517309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30</v>
      </c>
      <c r="T9" s="20">
        <f>T8/64</f>
        <v>5.7984093750000003</v>
      </c>
      <c r="U9" t="s">
        <v>55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5647.9547267080179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6204.3360187354319</v>
      </c>
      <c r="S11" s="20" t="s">
        <v>21</v>
      </c>
      <c r="T11" s="20">
        <f>'ANNUAL-EXPENSE-DETAILS'!V6</f>
        <v>325440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6220.1095379740509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5468.000701744003</v>
      </c>
      <c r="S13" s="20"/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5788.7005529008984</v>
      </c>
      <c r="S14" s="22" t="s">
        <v>341</v>
      </c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6253.1907247315212</v>
      </c>
      <c r="S15" s="20" t="s">
        <v>37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5577.132976648938</v>
      </c>
      <c r="S16" s="22" t="s">
        <v>39</v>
      </c>
      <c r="T16" s="22"/>
    </row>
    <row r="17" spans="1:21" ht="12.75" customHeight="1" x14ac:dyDescent="0.25">
      <c r="A17" s="19" t="s">
        <v>42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5826.5028608520015</v>
      </c>
      <c r="S17" s="20" t="s">
        <v>321</v>
      </c>
      <c r="T17" s="20">
        <f>T15-T16</f>
        <v>0</v>
      </c>
    </row>
    <row r="18" spans="1:21" ht="12.75" customHeight="1" x14ac:dyDescent="0.25">
      <c r="A18" s="21" t="s">
        <v>44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43</v>
      </c>
      <c r="T18" s="22">
        <f>T14-T17</f>
        <v>0</v>
      </c>
      <c r="U18" t="s">
        <v>55</v>
      </c>
    </row>
    <row r="19" spans="1:21" ht="12.75" customHeight="1" x14ac:dyDescent="0.25">
      <c r="A19" s="19" t="s">
        <v>45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6571.2545306008578</v>
      </c>
      <c r="S19" s="20"/>
      <c r="T19" s="20"/>
    </row>
    <row r="20" spans="1:21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6580.174332091824</v>
      </c>
      <c r="S20" s="22"/>
      <c r="T20" s="22"/>
    </row>
    <row r="21" spans="1:21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6555.8087237432728</v>
      </c>
      <c r="S21" s="20"/>
      <c r="T21" s="20"/>
    </row>
    <row r="22" spans="1:21" ht="12.75" customHeight="1" x14ac:dyDescent="0.25">
      <c r="A22" s="21" t="s">
        <v>49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6611.8686201920236</v>
      </c>
      <c r="S22" s="22"/>
      <c r="T22" s="22"/>
    </row>
    <row r="23" spans="1:21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7165.0676657116055</v>
      </c>
      <c r="S23" s="20"/>
      <c r="T23" s="20"/>
    </row>
    <row r="24" spans="1:21" ht="12.75" customHeight="1" x14ac:dyDescent="0.25">
      <c r="A24" s="21" t="s">
        <v>51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6157.2196841016203</v>
      </c>
      <c r="S24" s="22"/>
      <c r="T24" s="22"/>
    </row>
    <row r="25" spans="1:21" ht="12.75" customHeight="1" x14ac:dyDescent="0.25">
      <c r="A25" s="19" t="s">
        <v>52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6607.8076919216728</v>
      </c>
      <c r="S25" s="20"/>
      <c r="T25" s="20"/>
    </row>
    <row r="26" spans="1:21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  <c r="U26" t="s">
        <v>55</v>
      </c>
    </row>
    <row r="27" spans="1:21" ht="12.75" customHeight="1" x14ac:dyDescent="0.25">
      <c r="A27" s="19" t="s">
        <v>54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  <c r="U27" t="s">
        <v>55</v>
      </c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5696.6336963516042</v>
      </c>
      <c r="S28" s="22"/>
      <c r="T28" s="22"/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6234.5626713661059</v>
      </c>
      <c r="S29" s="20"/>
      <c r="T29" s="20"/>
    </row>
    <row r="30" spans="1:21" ht="12.75" customHeight="1" x14ac:dyDescent="0.25">
      <c r="A30" s="21" t="s">
        <v>58</v>
      </c>
      <c r="B30" s="21" t="str">
        <f>VLOOKUP(A30,Members!$A$2:$B$65,2,FALSE)</f>
        <v>Ankur Agarwal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>
        <v>0</v>
      </c>
      <c r="Q30" s="22"/>
      <c r="R30" s="22">
        <f t="shared" si="7"/>
        <v>7382.8160914275486</v>
      </c>
      <c r="S30" s="22"/>
      <c r="T30" s="22"/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6057.9476370996654</v>
      </c>
      <c r="S31" s="20"/>
      <c r="T31" s="20"/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5524.4120708977616</v>
      </c>
      <c r="S32" s="22"/>
      <c r="T32" s="22"/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7039.6109021865668</v>
      </c>
      <c r="S33" s="20"/>
      <c r="T33" s="20"/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6261.7828138414534</v>
      </c>
      <c r="S34" s="22"/>
      <c r="T34" s="22"/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7185.277346249557</v>
      </c>
      <c r="S35" s="20"/>
      <c r="T35" s="20"/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  <c r="U36" t="s">
        <v>55</v>
      </c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6120.1583058860533</v>
      </c>
      <c r="S37" s="20"/>
      <c r="T37" s="20"/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5462.2014021113737</v>
      </c>
      <c r="S38" s="22"/>
      <c r="T38" s="22"/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5586.2522748163819</v>
      </c>
      <c r="S39" s="20"/>
      <c r="T39" s="20"/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  <c r="U40" t="s">
        <v>55</v>
      </c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6911.3233648587047</v>
      </c>
      <c r="S41" s="20"/>
      <c r="T41" s="20"/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5831.2477423696073</v>
      </c>
      <c r="S42" s="22"/>
      <c r="T42" s="22"/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5489.9677458069937</v>
      </c>
      <c r="S43" s="20"/>
      <c r="T43" s="20"/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5835.4654148297013</v>
      </c>
      <c r="S44" s="22"/>
      <c r="T44" s="22"/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6432.4418042855204</v>
      </c>
      <c r="S45" s="20"/>
      <c r="T45" s="20"/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5594.5118833840661</v>
      </c>
      <c r="S46" s="22"/>
      <c r="T46" s="22"/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5466.2433382189638</v>
      </c>
      <c r="S47" s="20"/>
      <c r="T47" s="20"/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5969.7279881426975</v>
      </c>
      <c r="S48" s="22"/>
      <c r="T48" s="22"/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6476.0244197064931</v>
      </c>
      <c r="S49" s="20"/>
      <c r="T49" s="20"/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  <c r="U50" t="s">
        <v>55</v>
      </c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  <c r="U51" t="s">
        <v>55</v>
      </c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5991.3245673379188</v>
      </c>
      <c r="S52" s="22"/>
      <c r="T52" s="22"/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5615.7949741998009</v>
      </c>
      <c r="S53" s="20"/>
      <c r="T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7021.3343215261593</v>
      </c>
      <c r="S54" s="22"/>
      <c r="T54" s="22"/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7101.802578810195</v>
      </c>
      <c r="S55" s="20"/>
      <c r="T55" s="20"/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6509.2195981669738</v>
      </c>
      <c r="S56" s="22"/>
      <c r="T56" s="22"/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5585.9008021113741</v>
      </c>
      <c r="S57" s="20"/>
      <c r="T57" s="20"/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5544.0945423782014</v>
      </c>
      <c r="S58" s="22"/>
      <c r="T58" s="22"/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6887.5989572706749</v>
      </c>
      <c r="S59" s="20"/>
      <c r="T59" s="20"/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5993.8038684357343</v>
      </c>
      <c r="S60" s="22"/>
      <c r="T60" s="22"/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5463.2558202263972</v>
      </c>
      <c r="S61" s="20"/>
      <c r="T61" s="20"/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5591.8758380965073</v>
      </c>
      <c r="S62" s="22"/>
      <c r="T62" s="22"/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7898.0402316814852</v>
      </c>
      <c r="S63" s="20"/>
      <c r="T63" s="20"/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5751.4634383328275</v>
      </c>
      <c r="S64" s="22"/>
      <c r="T64" s="22"/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5790.6526449412022</v>
      </c>
      <c r="S65" s="20"/>
      <c r="T65" s="20"/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8687.0046326482516</v>
      </c>
      <c r="S66" s="22"/>
      <c r="T66" s="22"/>
      <c r="U66" t="s">
        <v>55</v>
      </c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6482.6834089388813</v>
      </c>
      <c r="S67" s="20"/>
      <c r="T67" s="20"/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6646.2939531200318</v>
      </c>
      <c r="S68" s="22"/>
      <c r="T68" s="22"/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6771.6129646180871</v>
      </c>
      <c r="S69" s="20"/>
      <c r="T69" s="20"/>
    </row>
    <row r="70" spans="1:21" ht="12.75" customHeight="1" x14ac:dyDescent="0.25">
      <c r="A70" s="21"/>
      <c r="B70" s="21" t="s">
        <v>98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406424.96619999991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A18" sqref="A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6005</v>
      </c>
      <c r="D2" s="29" t="s">
        <v>342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>
        <v>6000</v>
      </c>
      <c r="D4" s="29" t="s">
        <v>343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>
        <v>16823</v>
      </c>
      <c r="D5" s="32" t="s">
        <v>344</v>
      </c>
      <c r="E5" s="25">
        <v>5666</v>
      </c>
      <c r="F5" s="32" t="s">
        <v>345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>
        <v>5904.05</v>
      </c>
      <c r="D6" s="29" t="s">
        <v>346</v>
      </c>
      <c r="E6" s="26">
        <v>5355</v>
      </c>
      <c r="F6" s="29" t="s">
        <v>345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6339.79</v>
      </c>
      <c r="D7" s="32" t="s">
        <v>347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6179.33</v>
      </c>
      <c r="D8" s="29" t="s">
        <v>348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>
        <v>5903</v>
      </c>
      <c r="D9" s="32" t="s">
        <v>345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>
        <v>18604</v>
      </c>
      <c r="D11" s="32" t="s">
        <v>348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>
        <v>4714.75</v>
      </c>
      <c r="D13" s="32" t="s">
        <v>348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>
        <v>5523.35</v>
      </c>
      <c r="D14" s="29" t="s">
        <v>349</v>
      </c>
      <c r="E14" s="26">
        <v>5860.72</v>
      </c>
      <c r="F14" s="29" t="s">
        <v>348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>
        <v>5600</v>
      </c>
      <c r="D15" s="32" t="s">
        <v>348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>
        <v>6511</v>
      </c>
      <c r="D16" s="29" t="s">
        <v>350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>
        <v>7247</v>
      </c>
      <c r="D17" s="32">
        <v>46213</v>
      </c>
      <c r="E17" s="25"/>
      <c r="F17" s="32"/>
      <c r="G17" s="25"/>
      <c r="H17" s="38"/>
      <c r="I17" s="25"/>
      <c r="J17" s="25"/>
      <c r="K17" s="25">
        <f t="shared" si="0"/>
        <v>7247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>
        <v>7044</v>
      </c>
      <c r="D20" s="29" t="s">
        <v>351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>
        <v>7400</v>
      </c>
      <c r="D21" s="32" t="s">
        <v>348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>
        <v>29212.36</v>
      </c>
      <c r="D22" s="29" t="s">
        <v>348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>
        <v>5693</v>
      </c>
      <c r="D24" s="29" t="s">
        <v>352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>
        <v>6702</v>
      </c>
      <c r="D26" s="29" t="s">
        <v>353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5775</v>
      </c>
      <c r="D27" s="32" t="s">
        <v>348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>
        <v>5584</v>
      </c>
      <c r="D28" s="29" t="s">
        <v>354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6929</v>
      </c>
      <c r="D29" s="32" t="s">
        <v>344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>
        <v>1062</v>
      </c>
      <c r="D30" s="29" t="s">
        <v>345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7044.65</v>
      </c>
      <c r="D31" s="32" t="s">
        <v>346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11443.06</v>
      </c>
      <c r="D33" s="32" t="s">
        <v>355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5470.93</v>
      </c>
      <c r="D34" s="29" t="s">
        <v>356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>
        <v>13500</v>
      </c>
      <c r="D36" s="29" t="s">
        <v>348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>
        <v>5000</v>
      </c>
      <c r="D37" s="32" t="s">
        <v>343</v>
      </c>
      <c r="E37" s="25">
        <v>10000</v>
      </c>
      <c r="F37" s="32" t="s">
        <v>357</v>
      </c>
      <c r="G37" s="25">
        <v>21000</v>
      </c>
      <c r="H37" s="38" t="s">
        <v>357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>
        <v>15506</v>
      </c>
      <c r="D39" s="32" t="s">
        <v>357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5941.27</v>
      </c>
      <c r="D40" s="29" t="s">
        <v>348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>
        <v>7663.64</v>
      </c>
      <c r="D42" s="29" t="s">
        <v>356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5734</v>
      </c>
      <c r="D44" s="29" t="s">
        <v>348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>
        <v>5391.53</v>
      </c>
      <c r="D46" s="29" t="s">
        <v>349</v>
      </c>
      <c r="E46" s="26">
        <v>5547.76</v>
      </c>
      <c r="F46" s="29" t="s">
        <v>348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>
        <v>7526</v>
      </c>
      <c r="D48" s="29" t="s">
        <v>348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3062</v>
      </c>
      <c r="D49" s="32" t="s">
        <v>354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7640</v>
      </c>
      <c r="D50" s="29" t="s">
        <v>348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>
        <v>19898.43</v>
      </c>
      <c r="D51" s="32" t="s">
        <v>346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6472</v>
      </c>
      <c r="D52" s="29" t="s">
        <v>351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>
        <v>5589.52</v>
      </c>
      <c r="D53" s="32" t="s">
        <v>358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5455.63</v>
      </c>
      <c r="D58" s="29" t="s">
        <v>359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>
        <v>2664</v>
      </c>
      <c r="D59" s="32" t="s">
        <v>348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>
        <v>6112</v>
      </c>
      <c r="D60" s="29" t="s">
        <v>348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5659.39</v>
      </c>
      <c r="D61" s="32" t="s">
        <v>354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>
        <v>12000</v>
      </c>
      <c r="D62" s="28" t="s">
        <v>360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>
        <v>2530</v>
      </c>
      <c r="D63" s="32" t="s">
        <v>346</v>
      </c>
      <c r="E63" s="25">
        <v>3743</v>
      </c>
      <c r="F63" s="32" t="s">
        <v>355</v>
      </c>
      <c r="G63" s="25"/>
      <c r="H63" s="38"/>
      <c r="I63" s="25"/>
      <c r="J63" s="25"/>
      <c r="K63" s="20">
        <f t="shared" si="1"/>
        <v>6273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401232.16000000003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70"/>
  <sheetViews>
    <sheetView workbookViewId="0">
      <pane ySplit="2" topLeftCell="A3" activePane="bottomLeft" state="frozen"/>
      <selection pane="bottomLeft" activeCell="D19" sqref="D19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1" ht="16.5" customHeight="1" x14ac:dyDescent="0.25">
      <c r="A1" s="47"/>
      <c r="B1" s="86" t="s">
        <v>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1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'ANNUAL-EXPENSE-DETAILS'!V7</f>
        <v>328946</v>
      </c>
    </row>
    <row r="5" spans="1:21" ht="12.75" customHeight="1" x14ac:dyDescent="0.25">
      <c r="A5" s="19" t="s">
        <v>22</v>
      </c>
      <c r="B5" s="19" t="s">
        <v>19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'ANNUAL-EXPENSE-DETAILS'!U7</f>
        <v>42100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4130.333333333333</v>
      </c>
      <c r="D6" s="22">
        <f t="shared" ref="D6:D37" si="0">SUM($C$3:$C$5)/64</f>
        <v>0</v>
      </c>
      <c r="E6" s="22">
        <f t="shared" ref="E6:E37" si="1">C6+D6</f>
        <v>4130.333333333333</v>
      </c>
      <c r="F6" s="22">
        <f t="shared" ref="F6:F37" si="2">IF($C$70=0, 0, E6/$C$70)</f>
        <v>9.3889296480022776E-3</v>
      </c>
      <c r="G6" s="22">
        <f t="shared" ref="G6:G37" si="3">F6*$T$5</f>
        <v>395.27393818089587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772.17054755589584</v>
      </c>
      <c r="K6" s="22">
        <f t="shared" ref="K6:K37" si="6">$T$11/64</f>
        <v>5139.78125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5911.9517975558956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10069.33333333333</v>
      </c>
      <c r="D7" s="20">
        <f t="shared" si="0"/>
        <v>0</v>
      </c>
      <c r="E7" s="20">
        <f t="shared" si="1"/>
        <v>10069.33333333333</v>
      </c>
      <c r="F7" s="20">
        <f t="shared" si="2"/>
        <v>2.2889257267924523E-2</v>
      </c>
      <c r="G7" s="20">
        <f t="shared" si="3"/>
        <v>963.63773097962235</v>
      </c>
      <c r="H7" s="20">
        <v>4</v>
      </c>
      <c r="I7" s="20">
        <f t="shared" si="4"/>
        <v>494.79759999999999</v>
      </c>
      <c r="J7" s="20">
        <f t="shared" si="5"/>
        <v>1464.2337403546223</v>
      </c>
      <c r="K7" s="20">
        <f t="shared" si="6"/>
        <v>5139.78125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6604.0149903546226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10114.66666666667</v>
      </c>
      <c r="D8" s="22">
        <f t="shared" si="0"/>
        <v>0</v>
      </c>
      <c r="E8" s="22">
        <f t="shared" si="1"/>
        <v>10114.66666666667</v>
      </c>
      <c r="F8" s="22">
        <f t="shared" si="2"/>
        <v>2.2992307419819322E-2</v>
      </c>
      <c r="G8" s="22">
        <f t="shared" si="3"/>
        <v>967.97614237439348</v>
      </c>
      <c r="H8" s="22">
        <v>4</v>
      </c>
      <c r="I8" s="22">
        <f t="shared" si="4"/>
        <v>494.79759999999999</v>
      </c>
      <c r="J8" s="22">
        <f t="shared" si="5"/>
        <v>1468.5721517493935</v>
      </c>
      <c r="K8" s="22">
        <f t="shared" si="6"/>
        <v>5139.78125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7358.353401749393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4703.5</v>
      </c>
      <c r="D9" s="20">
        <f t="shared" si="0"/>
        <v>0</v>
      </c>
      <c r="E9" s="20">
        <f t="shared" si="1"/>
        <v>4703.5</v>
      </c>
      <c r="F9" s="20">
        <f t="shared" si="2"/>
        <v>1.0691832119936741E-2</v>
      </c>
      <c r="G9" s="20">
        <f t="shared" si="3"/>
        <v>450.12613224933682</v>
      </c>
      <c r="H9" s="20">
        <v>4</v>
      </c>
      <c r="I9" s="20">
        <f t="shared" si="4"/>
        <v>494.79759999999999</v>
      </c>
      <c r="J9" s="20">
        <f t="shared" si="5"/>
        <v>950.72214162433681</v>
      </c>
      <c r="K9" s="20">
        <f t="shared" si="6"/>
        <v>5139.78125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6090.5033916243365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3808.833333333333</v>
      </c>
      <c r="D10" s="22">
        <f t="shared" si="0"/>
        <v>0</v>
      </c>
      <c r="E10" s="22">
        <f t="shared" si="1"/>
        <v>3808.833333333333</v>
      </c>
      <c r="F10" s="22">
        <f t="shared" si="2"/>
        <v>8.6581070634249076E-3</v>
      </c>
      <c r="G10" s="22">
        <f t="shared" si="3"/>
        <v>364.50630737018861</v>
      </c>
      <c r="H10" s="22">
        <v>3</v>
      </c>
      <c r="I10" s="22">
        <f t="shared" si="4"/>
        <v>371.09820000000002</v>
      </c>
      <c r="J10" s="22">
        <f t="shared" si="5"/>
        <v>741.40291674518858</v>
      </c>
      <c r="K10" s="22">
        <f t="shared" si="6"/>
        <v>5139.78125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5881.1841667451881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6861.166666666667</v>
      </c>
      <c r="D11" s="20">
        <f t="shared" si="0"/>
        <v>0</v>
      </c>
      <c r="E11" s="20">
        <f t="shared" si="1"/>
        <v>6861.166666666667</v>
      </c>
      <c r="F11" s="20">
        <f t="shared" si="2"/>
        <v>1.5596564717105554E-2</v>
      </c>
      <c r="G11" s="20">
        <f t="shared" si="3"/>
        <v>656.6153745901438</v>
      </c>
      <c r="H11" s="20">
        <v>3</v>
      </c>
      <c r="I11" s="20">
        <f t="shared" si="4"/>
        <v>371.09820000000002</v>
      </c>
      <c r="J11" s="20">
        <f t="shared" si="5"/>
        <v>1033.5119839651438</v>
      </c>
      <c r="K11" s="20">
        <f t="shared" si="6"/>
        <v>5139.78125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6173.2932339651434</v>
      </c>
      <c r="S11" s="20" t="s">
        <v>21</v>
      </c>
      <c r="T11" s="20">
        <f>'ANNUAL-EXPENSE-DETAILS'!V7</f>
        <v>328946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40.666666666666657</v>
      </c>
      <c r="D12" s="22">
        <f t="shared" si="0"/>
        <v>0</v>
      </c>
      <c r="E12" s="22">
        <f t="shared" si="1"/>
        <v>40.666666666666657</v>
      </c>
      <c r="F12" s="22">
        <f t="shared" si="2"/>
        <v>9.2442048023265086E-5</v>
      </c>
      <c r="G12" s="22">
        <f t="shared" si="3"/>
        <v>3.8918102217794601</v>
      </c>
      <c r="H12" s="22">
        <v>3</v>
      </c>
      <c r="I12" s="22">
        <f t="shared" si="4"/>
        <v>371.09820000000002</v>
      </c>
      <c r="J12" s="22">
        <f t="shared" si="5"/>
        <v>380.78841959677948</v>
      </c>
      <c r="K12" s="22">
        <f t="shared" si="6"/>
        <v>5139.78125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6270.5696695967799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2771.5</v>
      </c>
      <c r="D13" s="20">
        <f t="shared" si="0"/>
        <v>0</v>
      </c>
      <c r="E13" s="20">
        <f t="shared" si="1"/>
        <v>2771.5</v>
      </c>
      <c r="F13" s="20">
        <f t="shared" si="2"/>
        <v>6.3000771171265388E-3</v>
      </c>
      <c r="G13" s="20">
        <f t="shared" si="3"/>
        <v>265.23324663102727</v>
      </c>
      <c r="H13" s="20">
        <v>3</v>
      </c>
      <c r="I13" s="20">
        <f t="shared" si="4"/>
        <v>371.09820000000002</v>
      </c>
      <c r="J13" s="20">
        <f t="shared" si="5"/>
        <v>642.12985600602724</v>
      </c>
      <c r="K13" s="20">
        <f t="shared" si="6"/>
        <v>5139.78125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5781.9111060060277</v>
      </c>
      <c r="S13" s="20" t="s">
        <v>35</v>
      </c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2027.666666666667</v>
      </c>
      <c r="D14" s="22">
        <f t="shared" si="0"/>
        <v>0</v>
      </c>
      <c r="E14" s="22">
        <f t="shared" si="1"/>
        <v>2027.666666666667</v>
      </c>
      <c r="F14" s="22">
        <f t="shared" si="2"/>
        <v>4.609221132176408E-3</v>
      </c>
      <c r="G14" s="22">
        <f t="shared" si="3"/>
        <v>194.04820966462677</v>
      </c>
      <c r="H14" s="22">
        <v>4</v>
      </c>
      <c r="I14" s="22">
        <f t="shared" si="4"/>
        <v>494.79759999999999</v>
      </c>
      <c r="J14" s="22">
        <f t="shared" si="5"/>
        <v>694.64421903962671</v>
      </c>
      <c r="K14" s="22">
        <f t="shared" si="6"/>
        <v>5139.78125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5834.4254690396265</v>
      </c>
      <c r="S14" s="22" t="s">
        <v>37</v>
      </c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10311.5</v>
      </c>
      <c r="D15" s="20">
        <f t="shared" si="0"/>
        <v>0</v>
      </c>
      <c r="E15" s="20">
        <f t="shared" si="1"/>
        <v>10311.5</v>
      </c>
      <c r="F15" s="20">
        <f t="shared" si="2"/>
        <v>2.3439742086686022E-2</v>
      </c>
      <c r="G15" s="20">
        <f t="shared" si="3"/>
        <v>986.81314184948155</v>
      </c>
      <c r="H15" s="20">
        <v>3</v>
      </c>
      <c r="I15" s="20">
        <f t="shared" si="4"/>
        <v>371.09820000000002</v>
      </c>
      <c r="J15" s="20">
        <f t="shared" si="5"/>
        <v>1363.7097512244816</v>
      </c>
      <c r="K15" s="20">
        <f t="shared" si="6"/>
        <v>5139.78125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6503.4910012244818</v>
      </c>
      <c r="S15" s="20" t="s">
        <v>39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891.16666666666663</v>
      </c>
      <c r="D16" s="22">
        <f t="shared" si="0"/>
        <v>0</v>
      </c>
      <c r="E16" s="22">
        <f t="shared" si="1"/>
        <v>891.16666666666663</v>
      </c>
      <c r="F16" s="22">
        <f t="shared" si="2"/>
        <v>2.0257689786081908E-3</v>
      </c>
      <c r="G16" s="22">
        <f t="shared" si="3"/>
        <v>85.284873999404837</v>
      </c>
      <c r="H16" s="22">
        <v>3</v>
      </c>
      <c r="I16" s="22">
        <f t="shared" si="4"/>
        <v>371.09820000000002</v>
      </c>
      <c r="J16" s="22">
        <f t="shared" si="5"/>
        <v>462.18148337440488</v>
      </c>
      <c r="K16" s="22">
        <f t="shared" si="6"/>
        <v>5139.78125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5601.9627333744047</v>
      </c>
      <c r="S16" s="22" t="s">
        <v>41</v>
      </c>
      <c r="T16" s="22">
        <f>T14-T15</f>
        <v>0</v>
      </c>
    </row>
    <row r="17" spans="1:21" ht="12.75" customHeight="1" x14ac:dyDescent="0.25">
      <c r="A17" s="19" t="s">
        <v>42</v>
      </c>
      <c r="B17" s="19" t="str">
        <f>VLOOKUP(A17,Members!$A$2:$B$65,2,FALSE)</f>
        <v>Kavitha T</v>
      </c>
      <c r="C17" s="20">
        <v>2416.5</v>
      </c>
      <c r="D17" s="20">
        <f t="shared" si="0"/>
        <v>0</v>
      </c>
      <c r="E17" s="20">
        <f t="shared" si="1"/>
        <v>2416.5</v>
      </c>
      <c r="F17" s="20">
        <f t="shared" si="2"/>
        <v>5.4931035011857414E-3</v>
      </c>
      <c r="G17" s="20">
        <f t="shared" si="3"/>
        <v>231.25965739991972</v>
      </c>
      <c r="H17" s="20">
        <v>3</v>
      </c>
      <c r="I17" s="20">
        <f t="shared" si="4"/>
        <v>371.09820000000002</v>
      </c>
      <c r="J17" s="20">
        <f t="shared" si="5"/>
        <v>608.15626677491969</v>
      </c>
      <c r="K17" s="20">
        <f t="shared" si="6"/>
        <v>5139.78125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5747.9375167749195</v>
      </c>
      <c r="S17" s="20" t="s">
        <v>43</v>
      </c>
      <c r="T17" s="20">
        <f>T13-T16</f>
        <v>0</v>
      </c>
    </row>
    <row r="18" spans="1:21" ht="12.75" customHeight="1" x14ac:dyDescent="0.25">
      <c r="A18" s="21" t="s">
        <v>44</v>
      </c>
      <c r="B18" s="21" t="str">
        <f>VLOOKUP(A18,Members!$A$2:$B$65,2,FALSE)</f>
        <v>Srinivasa Rao</v>
      </c>
      <c r="C18" s="22">
        <v>2238.166666666667</v>
      </c>
      <c r="D18" s="22">
        <f t="shared" si="0"/>
        <v>0</v>
      </c>
      <c r="E18" s="22">
        <f t="shared" si="1"/>
        <v>2238.166666666667</v>
      </c>
      <c r="F18" s="22">
        <f t="shared" si="2"/>
        <v>5.0877223889525709E-3</v>
      </c>
      <c r="G18" s="22">
        <f t="shared" si="3"/>
        <v>214.19311257490324</v>
      </c>
      <c r="H18" s="22">
        <v>4</v>
      </c>
      <c r="I18" s="22">
        <f t="shared" si="4"/>
        <v>494.79759999999999</v>
      </c>
      <c r="J18" s="22">
        <f t="shared" si="5"/>
        <v>714.78912194990323</v>
      </c>
      <c r="K18" s="22">
        <f t="shared" si="6"/>
        <v>5139.78125</v>
      </c>
      <c r="L18" s="22">
        <v>0</v>
      </c>
      <c r="M18" s="22">
        <v>0</v>
      </c>
      <c r="N18" s="22">
        <v>1000</v>
      </c>
      <c r="O18" s="22">
        <v>0</v>
      </c>
      <c r="P18" s="22"/>
      <c r="Q18" s="22"/>
      <c r="R18" s="22">
        <f t="shared" si="7"/>
        <v>6854.5703719499033</v>
      </c>
      <c r="S18" s="22"/>
      <c r="T18" s="22"/>
    </row>
    <row r="19" spans="1:21" ht="12.75" customHeight="1" x14ac:dyDescent="0.25">
      <c r="A19" s="19" t="s">
        <v>45</v>
      </c>
      <c r="B19" s="19" t="str">
        <f>VLOOKUP(A19,Members!$A$2:$B$65,2,FALSE)</f>
        <v>Hemant Patel</v>
      </c>
      <c r="C19" s="20">
        <v>2050.5</v>
      </c>
      <c r="D19" s="20">
        <f t="shared" si="0"/>
        <v>0</v>
      </c>
      <c r="E19" s="20">
        <f t="shared" si="1"/>
        <v>2050.5</v>
      </c>
      <c r="F19" s="20">
        <f t="shared" si="2"/>
        <v>4.6611250689763553E-3</v>
      </c>
      <c r="G19" s="20">
        <f t="shared" si="3"/>
        <v>196.23336540390457</v>
      </c>
      <c r="H19" s="20">
        <v>4</v>
      </c>
      <c r="I19" s="20">
        <f t="shared" si="4"/>
        <v>494.79759999999999</v>
      </c>
      <c r="J19" s="20">
        <f t="shared" si="5"/>
        <v>696.82937477890459</v>
      </c>
      <c r="K19" s="20">
        <f t="shared" si="6"/>
        <v>5139.78125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5836.6106247789048</v>
      </c>
      <c r="S19" s="20"/>
      <c r="T19" s="20"/>
    </row>
    <row r="20" spans="1:21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4216.166666666667</v>
      </c>
      <c r="D20" s="22">
        <f t="shared" si="0"/>
        <v>0</v>
      </c>
      <c r="E20" s="22">
        <f t="shared" si="1"/>
        <v>4216.166666666667</v>
      </c>
      <c r="F20" s="22">
        <f t="shared" si="2"/>
        <v>9.5840429870677774E-3</v>
      </c>
      <c r="G20" s="22">
        <f t="shared" si="3"/>
        <v>403.48820975555344</v>
      </c>
      <c r="H20" s="22">
        <v>4</v>
      </c>
      <c r="I20" s="22">
        <f t="shared" si="4"/>
        <v>494.79759999999999</v>
      </c>
      <c r="J20" s="22">
        <f t="shared" si="5"/>
        <v>904.08421913055349</v>
      </c>
      <c r="K20" s="22">
        <f t="shared" si="6"/>
        <v>5139.78125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6793.8654691305537</v>
      </c>
      <c r="S20" s="22" t="s">
        <v>47</v>
      </c>
      <c r="T20" s="22">
        <f>I70</f>
        <v>27584.966200000028</v>
      </c>
    </row>
    <row r="21" spans="1:21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14541.5</v>
      </c>
      <c r="D21" s="20">
        <f t="shared" si="0"/>
        <v>0</v>
      </c>
      <c r="E21" s="20">
        <f t="shared" si="1"/>
        <v>14541.5</v>
      </c>
      <c r="F21" s="20">
        <f t="shared" si="2"/>
        <v>3.3055230524515811E-2</v>
      </c>
      <c r="G21" s="20">
        <f t="shared" si="3"/>
        <v>1391.6252050821156</v>
      </c>
      <c r="H21" s="20">
        <v>3</v>
      </c>
      <c r="I21" s="20">
        <f t="shared" si="4"/>
        <v>371.09820000000002</v>
      </c>
      <c r="J21" s="20">
        <f t="shared" si="5"/>
        <v>1768.5218144571154</v>
      </c>
      <c r="K21" s="20">
        <f t="shared" si="6"/>
        <v>5139.78125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6908.3030644571154</v>
      </c>
      <c r="S21" s="20"/>
      <c r="T21" s="20"/>
    </row>
    <row r="22" spans="1:21" ht="12.75" customHeight="1" x14ac:dyDescent="0.25">
      <c r="A22" s="21" t="s">
        <v>49</v>
      </c>
      <c r="B22" s="21" t="str">
        <f>VLOOKUP(A22,Members!$A$2:$B$65,2,FALSE)</f>
        <v>Digvijay Verma</v>
      </c>
      <c r="C22" s="22">
        <v>9304.75</v>
      </c>
      <c r="D22" s="22">
        <f t="shared" si="0"/>
        <v>0</v>
      </c>
      <c r="E22" s="22">
        <f t="shared" si="1"/>
        <v>9304.75</v>
      </c>
      <c r="F22" s="22">
        <f t="shared" si="2"/>
        <v>2.1151233106831379E-2</v>
      </c>
      <c r="G22" s="22">
        <f t="shared" si="3"/>
        <v>890.46691379760102</v>
      </c>
      <c r="H22" s="22">
        <v>3</v>
      </c>
      <c r="I22" s="22">
        <f t="shared" si="4"/>
        <v>371.09820000000002</v>
      </c>
      <c r="J22" s="22">
        <f t="shared" si="5"/>
        <v>1267.3635231726012</v>
      </c>
      <c r="K22" s="22">
        <f t="shared" si="6"/>
        <v>5139.78125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6407.1447731726012</v>
      </c>
      <c r="S22" s="22"/>
      <c r="T22" s="22"/>
    </row>
    <row r="23" spans="1:21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16303.33333333333</v>
      </c>
      <c r="D23" s="20">
        <f t="shared" si="0"/>
        <v>0</v>
      </c>
      <c r="E23" s="20">
        <f t="shared" si="1"/>
        <v>16303.33333333333</v>
      </c>
      <c r="F23" s="20">
        <f t="shared" si="2"/>
        <v>3.7060168596867997E-2</v>
      </c>
      <c r="G23" s="20">
        <f t="shared" si="3"/>
        <v>1560.2330979281426</v>
      </c>
      <c r="H23" s="20">
        <v>4</v>
      </c>
      <c r="I23" s="20">
        <f t="shared" si="4"/>
        <v>494.79759999999999</v>
      </c>
      <c r="J23" s="20">
        <f t="shared" si="5"/>
        <v>2060.8291073031423</v>
      </c>
      <c r="K23" s="20">
        <f t="shared" si="6"/>
        <v>5139.78125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7200.6103573031423</v>
      </c>
      <c r="S23" s="20"/>
      <c r="T23" s="20"/>
    </row>
    <row r="24" spans="1:21" ht="12.75" customHeight="1" x14ac:dyDescent="0.25">
      <c r="A24" s="21" t="s">
        <v>51</v>
      </c>
      <c r="B24" s="21" t="str">
        <f>VLOOKUP(A24,Members!$A$2:$B$65,2,FALSE)</f>
        <v>Balakrishnan</v>
      </c>
      <c r="C24" s="22">
        <v>11388.5</v>
      </c>
      <c r="D24" s="22">
        <f t="shared" si="0"/>
        <v>0</v>
      </c>
      <c r="E24" s="22">
        <f t="shared" si="1"/>
        <v>11388.5</v>
      </c>
      <c r="F24" s="22">
        <f t="shared" si="2"/>
        <v>2.5887940915892329E-2</v>
      </c>
      <c r="G24" s="22">
        <f t="shared" si="3"/>
        <v>1089.882312559067</v>
      </c>
      <c r="H24" s="22">
        <v>4</v>
      </c>
      <c r="I24" s="22">
        <f t="shared" si="4"/>
        <v>494.79759999999999</v>
      </c>
      <c r="J24" s="22">
        <f t="shared" si="5"/>
        <v>1590.478321934067</v>
      </c>
      <c r="K24" s="22">
        <f t="shared" si="6"/>
        <v>5139.78125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6730.259571934067</v>
      </c>
      <c r="S24" s="22"/>
      <c r="T24" s="22"/>
    </row>
    <row r="25" spans="1:21" ht="12.75" customHeight="1" x14ac:dyDescent="0.25">
      <c r="A25" s="19" t="s">
        <v>52</v>
      </c>
      <c r="B25" s="19" t="str">
        <f>VLOOKUP(A25,Members!$A$2:$B$65,2,FALSE)</f>
        <v>Ashwin Pandith</v>
      </c>
      <c r="C25" s="20">
        <v>19748.833333333328</v>
      </c>
      <c r="D25" s="20">
        <f t="shared" si="0"/>
        <v>0</v>
      </c>
      <c r="E25" s="20">
        <f t="shared" si="1"/>
        <v>19748.833333333328</v>
      </c>
      <c r="F25" s="20">
        <f t="shared" si="2"/>
        <v>4.4892359001724384E-2</v>
      </c>
      <c r="G25" s="20">
        <f t="shared" si="3"/>
        <v>1889.9683139725967</v>
      </c>
      <c r="H25" s="20">
        <v>4</v>
      </c>
      <c r="I25" s="20">
        <f t="shared" si="4"/>
        <v>494.79759999999999</v>
      </c>
      <c r="J25" s="20">
        <f t="shared" si="5"/>
        <v>2390.5643233475967</v>
      </c>
      <c r="K25" s="20">
        <f t="shared" si="6"/>
        <v>5139.78125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7530.3455733475967</v>
      </c>
      <c r="S25" s="20"/>
      <c r="T25" s="20"/>
    </row>
    <row r="26" spans="1:21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10135.83333333333</v>
      </c>
      <c r="D26" s="22">
        <f t="shared" si="0"/>
        <v>0</v>
      </c>
      <c r="E26" s="22">
        <f t="shared" si="1"/>
        <v>10135.83333333333</v>
      </c>
      <c r="F26" s="22">
        <f t="shared" si="2"/>
        <v>2.3040422748093713E-2</v>
      </c>
      <c r="G26" s="22">
        <f t="shared" si="3"/>
        <v>970.00179769474528</v>
      </c>
      <c r="H26" s="22">
        <v>3</v>
      </c>
      <c r="I26" s="22">
        <f t="shared" si="4"/>
        <v>371.09820000000002</v>
      </c>
      <c r="J26" s="22">
        <f t="shared" si="5"/>
        <v>1346.8984070697452</v>
      </c>
      <c r="K26" s="22">
        <f t="shared" si="6"/>
        <v>5139.78125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6486.6796570697452</v>
      </c>
      <c r="S26" s="22"/>
      <c r="T26" s="22"/>
    </row>
    <row r="27" spans="1:21" ht="12.75" customHeight="1" x14ac:dyDescent="0.25">
      <c r="A27" s="19" t="s">
        <v>54</v>
      </c>
      <c r="B27" s="19" t="str">
        <f>VLOOKUP(A27,Members!$A$2:$B$65,2,FALSE)</f>
        <v>Srinath</v>
      </c>
      <c r="C27" s="20">
        <v>6015.333333333333</v>
      </c>
      <c r="D27" s="20">
        <f t="shared" si="0"/>
        <v>0</v>
      </c>
      <c r="E27" s="20">
        <f t="shared" si="1"/>
        <v>6015.333333333333</v>
      </c>
      <c r="F27" s="20">
        <f t="shared" si="2"/>
        <v>1.3673845890392149E-2</v>
      </c>
      <c r="G27" s="20">
        <f t="shared" si="3"/>
        <v>575.66891198550945</v>
      </c>
      <c r="H27" s="20">
        <v>3</v>
      </c>
      <c r="I27" s="20">
        <f t="shared" si="4"/>
        <v>371.09820000000002</v>
      </c>
      <c r="J27" s="20">
        <f t="shared" si="5"/>
        <v>952.56552136050948</v>
      </c>
      <c r="K27" s="20">
        <f t="shared" si="6"/>
        <v>5139.78125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7092.3467713605096</v>
      </c>
      <c r="S27" s="20"/>
      <c r="T27" s="20"/>
      <c r="U27" t="s">
        <v>55</v>
      </c>
    </row>
    <row r="28" spans="1:21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3454.333333333333</v>
      </c>
      <c r="D28" s="22">
        <f t="shared" si="0"/>
        <v>0</v>
      </c>
      <c r="E28" s="22">
        <f t="shared" si="1"/>
        <v>3454.333333333333</v>
      </c>
      <c r="F28" s="22">
        <f t="shared" si="2"/>
        <v>7.8522700300417726E-3</v>
      </c>
      <c r="G28" s="22">
        <f t="shared" si="3"/>
        <v>330.58056826475865</v>
      </c>
      <c r="H28" s="22">
        <v>3</v>
      </c>
      <c r="I28" s="22">
        <f t="shared" si="4"/>
        <v>371.09820000000002</v>
      </c>
      <c r="J28" s="22">
        <f t="shared" si="5"/>
        <v>707.47717763975868</v>
      </c>
      <c r="K28" s="22">
        <f t="shared" si="6"/>
        <v>5139.78125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5847.2584276397583</v>
      </c>
      <c r="S28" s="22"/>
      <c r="T28" s="22"/>
    </row>
    <row r="29" spans="1:21" ht="12.75" customHeight="1" x14ac:dyDescent="0.25">
      <c r="A29" s="19" t="s">
        <v>57</v>
      </c>
      <c r="B29" s="19" t="str">
        <f>VLOOKUP(A29,Members!$A$2:$B$65,2,FALSE)</f>
        <v>Arun M</v>
      </c>
      <c r="C29" s="20">
        <v>5298.666666666667</v>
      </c>
      <c r="D29" s="20">
        <f t="shared" si="0"/>
        <v>0</v>
      </c>
      <c r="E29" s="20">
        <f t="shared" si="1"/>
        <v>5298.666666666667</v>
      </c>
      <c r="F29" s="20">
        <f t="shared" si="2"/>
        <v>1.204474422440838E-2</v>
      </c>
      <c r="G29" s="20">
        <f t="shared" si="3"/>
        <v>507.08373184759279</v>
      </c>
      <c r="H29" s="20">
        <v>3</v>
      </c>
      <c r="I29" s="20">
        <f t="shared" si="4"/>
        <v>371.09820000000002</v>
      </c>
      <c r="J29" s="20">
        <f t="shared" si="5"/>
        <v>883.98034122259276</v>
      </c>
      <c r="K29" s="20">
        <f t="shared" si="6"/>
        <v>5139.78125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7023.7615912225929</v>
      </c>
      <c r="S29" s="20"/>
      <c r="T29" s="20"/>
      <c r="U29" t="s">
        <v>55</v>
      </c>
    </row>
    <row r="30" spans="1:21" ht="12.75" customHeight="1" x14ac:dyDescent="0.25">
      <c r="A30" s="21" t="s">
        <v>58</v>
      </c>
      <c r="B30" s="21" t="str">
        <f>VLOOKUP(A30,Members!$A$2:$B$65,2,FALSE)</f>
        <v>Ankur Agarwal</v>
      </c>
      <c r="C30" s="22">
        <v>8756.8333333333339</v>
      </c>
      <c r="D30" s="22">
        <f t="shared" si="0"/>
        <v>0</v>
      </c>
      <c r="E30" s="22">
        <f t="shared" si="1"/>
        <v>8756.8333333333339</v>
      </c>
      <c r="F30" s="22">
        <f t="shared" si="2"/>
        <v>1.9905728054058904E-2</v>
      </c>
      <c r="G30" s="22">
        <f t="shared" si="3"/>
        <v>838.03115107587985</v>
      </c>
      <c r="H30" s="22">
        <v>5</v>
      </c>
      <c r="I30" s="22">
        <f t="shared" si="4"/>
        <v>618.49699999999996</v>
      </c>
      <c r="J30" s="22">
        <f t="shared" si="5"/>
        <v>1462.3265604508797</v>
      </c>
      <c r="K30" s="22">
        <f t="shared" si="6"/>
        <v>5139.78125</v>
      </c>
      <c r="L30" s="22">
        <v>0</v>
      </c>
      <c r="M30" s="22">
        <v>500</v>
      </c>
      <c r="N30" s="22">
        <v>0</v>
      </c>
      <c r="O30" s="22">
        <v>0</v>
      </c>
      <c r="P30" s="22"/>
      <c r="Q30" s="22"/>
      <c r="R30" s="22">
        <f t="shared" si="7"/>
        <v>7102.1078104508797</v>
      </c>
      <c r="S30" s="22"/>
      <c r="T30" s="22"/>
    </row>
    <row r="31" spans="1:21" ht="12.75" customHeight="1" x14ac:dyDescent="0.25">
      <c r="A31" s="19" t="s">
        <v>59</v>
      </c>
      <c r="B31" s="19" t="str">
        <f>VLOOKUP(A31,Members!$A$2:$B$65,2,FALSE)</f>
        <v>Richa Singh</v>
      </c>
      <c r="C31" s="20">
        <v>2586.5</v>
      </c>
      <c r="D31" s="20">
        <f t="shared" si="0"/>
        <v>0</v>
      </c>
      <c r="E31" s="20">
        <f t="shared" si="1"/>
        <v>2586.5</v>
      </c>
      <c r="F31" s="20">
        <f t="shared" si="2"/>
        <v>5.8795415707911941E-3</v>
      </c>
      <c r="G31" s="20">
        <f t="shared" si="3"/>
        <v>247.52870013030926</v>
      </c>
      <c r="H31" s="20">
        <v>3</v>
      </c>
      <c r="I31" s="20">
        <f t="shared" si="4"/>
        <v>371.09820000000002</v>
      </c>
      <c r="J31" s="20">
        <f t="shared" si="5"/>
        <v>624.42530950530931</v>
      </c>
      <c r="K31" s="20">
        <f t="shared" si="6"/>
        <v>5139.78125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5764.2065595053091</v>
      </c>
      <c r="S31" s="20"/>
      <c r="T31" s="20"/>
    </row>
    <row r="32" spans="1:21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1332.833333333333</v>
      </c>
      <c r="D32" s="22">
        <f t="shared" si="0"/>
        <v>0</v>
      </c>
      <c r="E32" s="22">
        <f t="shared" si="1"/>
        <v>1332.833333333333</v>
      </c>
      <c r="F32" s="22">
        <f t="shared" si="2"/>
        <v>3.0297502378772577E-3</v>
      </c>
      <c r="G32" s="22">
        <f t="shared" si="3"/>
        <v>127.55248501463255</v>
      </c>
      <c r="H32" s="22">
        <v>3</v>
      </c>
      <c r="I32" s="22">
        <f t="shared" si="4"/>
        <v>371.09820000000002</v>
      </c>
      <c r="J32" s="22">
        <f t="shared" si="5"/>
        <v>504.44909438963259</v>
      </c>
      <c r="K32" s="22">
        <f t="shared" si="6"/>
        <v>5139.78125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5644.2303443896326</v>
      </c>
      <c r="S32" s="22"/>
      <c r="T32" s="22"/>
    </row>
    <row r="33" spans="1:21" ht="12.75" customHeight="1" x14ac:dyDescent="0.25">
      <c r="A33" s="19" t="s">
        <v>61</v>
      </c>
      <c r="B33" s="19" t="str">
        <f>VLOOKUP(A33,Members!$A$2:$B$65,2,FALSE)</f>
        <v>Shyam Nair</v>
      </c>
      <c r="C33" s="20">
        <v>11164.66666666667</v>
      </c>
      <c r="D33" s="20">
        <f t="shared" si="0"/>
        <v>0</v>
      </c>
      <c r="E33" s="20">
        <f t="shared" si="1"/>
        <v>11164.66666666667</v>
      </c>
      <c r="F33" s="20">
        <f t="shared" si="2"/>
        <v>2.5379130790911825E-2</v>
      </c>
      <c r="G33" s="20">
        <f t="shared" si="3"/>
        <v>1068.4614062973878</v>
      </c>
      <c r="H33" s="20">
        <v>3</v>
      </c>
      <c r="I33" s="20">
        <f t="shared" si="4"/>
        <v>371.09820000000002</v>
      </c>
      <c r="J33" s="20">
        <f t="shared" si="5"/>
        <v>1445.3580156723879</v>
      </c>
      <c r="K33" s="20">
        <f t="shared" si="6"/>
        <v>5139.78125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6585.1392656723874</v>
      </c>
      <c r="S33" s="20"/>
      <c r="T33" s="20"/>
    </row>
    <row r="34" spans="1:21" ht="12.75" customHeight="1" x14ac:dyDescent="0.25">
      <c r="A34" s="21" t="s">
        <v>62</v>
      </c>
      <c r="B34" s="21" t="str">
        <f>VLOOKUP(A34,Members!$A$2:$B$65,2,FALSE)</f>
        <v>Ajai.B</v>
      </c>
      <c r="C34" s="22">
        <v>5123.333333333333</v>
      </c>
      <c r="D34" s="22">
        <f t="shared" si="0"/>
        <v>0</v>
      </c>
      <c r="E34" s="22">
        <f t="shared" si="1"/>
        <v>5123.333333333333</v>
      </c>
      <c r="F34" s="22">
        <f t="shared" si="2"/>
        <v>1.1646182607521186E-2</v>
      </c>
      <c r="G34" s="22">
        <f t="shared" si="3"/>
        <v>490.3042877766419</v>
      </c>
      <c r="H34" s="22">
        <v>4</v>
      </c>
      <c r="I34" s="22">
        <f t="shared" si="4"/>
        <v>494.79759999999999</v>
      </c>
      <c r="J34" s="22">
        <f t="shared" si="5"/>
        <v>990.90029715164189</v>
      </c>
      <c r="K34" s="22">
        <f t="shared" si="6"/>
        <v>5139.78125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6130.681547151642</v>
      </c>
      <c r="S34" s="22"/>
      <c r="T34" s="22"/>
    </row>
    <row r="35" spans="1:21" ht="12.75" customHeight="1" x14ac:dyDescent="0.25">
      <c r="A35" s="19" t="s">
        <v>63</v>
      </c>
      <c r="B35" s="19" t="str">
        <f>VLOOKUP(A35,Members!$A$2:$B$65,2,FALSE)</f>
        <v>Surajit Borah</v>
      </c>
      <c r="C35" s="20">
        <v>11262</v>
      </c>
      <c r="D35" s="20">
        <f t="shared" si="0"/>
        <v>0</v>
      </c>
      <c r="E35" s="20">
        <f t="shared" si="1"/>
        <v>11262</v>
      </c>
      <c r="F35" s="20">
        <f t="shared" si="2"/>
        <v>2.5600385528803567E-2</v>
      </c>
      <c r="G35" s="20">
        <f t="shared" si="3"/>
        <v>1077.7762307626301</v>
      </c>
      <c r="H35" s="20">
        <v>4</v>
      </c>
      <c r="I35" s="20">
        <f t="shared" si="4"/>
        <v>494.79759999999999</v>
      </c>
      <c r="J35" s="20">
        <f t="shared" si="5"/>
        <v>1578.3722401376299</v>
      </c>
      <c r="K35" s="20">
        <f t="shared" si="6"/>
        <v>5139.78125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6718.1534901376299</v>
      </c>
      <c r="S35" s="20"/>
      <c r="T35" s="20"/>
    </row>
    <row r="36" spans="1:21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2441.333333333333</v>
      </c>
      <c r="D36" s="22">
        <f t="shared" si="0"/>
        <v>0</v>
      </c>
      <c r="E36" s="22">
        <f t="shared" si="1"/>
        <v>2441.333333333333</v>
      </c>
      <c r="F36" s="22">
        <f t="shared" si="2"/>
        <v>5.5495537682163408E-3</v>
      </c>
      <c r="G36" s="22">
        <f t="shared" si="3"/>
        <v>233.63621364190794</v>
      </c>
      <c r="H36" s="22">
        <v>4</v>
      </c>
      <c r="I36" s="22">
        <f t="shared" si="4"/>
        <v>494.79759999999999</v>
      </c>
      <c r="J36" s="22">
        <f t="shared" si="5"/>
        <v>734.23222301690794</v>
      </c>
      <c r="K36" s="22">
        <f t="shared" si="6"/>
        <v>5139.78125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6874.0134730169084</v>
      </c>
      <c r="S36" s="22"/>
      <c r="T36" s="22"/>
      <c r="U36" t="s">
        <v>55</v>
      </c>
    </row>
    <row r="37" spans="1:21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3596.5</v>
      </c>
      <c r="D37" s="20">
        <f t="shared" si="0"/>
        <v>0</v>
      </c>
      <c r="E37" s="20">
        <f t="shared" si="1"/>
        <v>3596.5</v>
      </c>
      <c r="F37" s="20">
        <f t="shared" si="2"/>
        <v>8.1754383372706473E-3</v>
      </c>
      <c r="G37" s="20">
        <f t="shared" si="3"/>
        <v>344.18595399909424</v>
      </c>
      <c r="H37" s="20">
        <v>3</v>
      </c>
      <c r="I37" s="20">
        <f t="shared" si="4"/>
        <v>371.09820000000002</v>
      </c>
      <c r="J37" s="20">
        <f t="shared" si="5"/>
        <v>721.08256337409421</v>
      </c>
      <c r="K37" s="20">
        <f t="shared" si="6"/>
        <v>5139.78125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5860.8638133740942</v>
      </c>
      <c r="S37" s="20"/>
      <c r="T37" s="20"/>
    </row>
    <row r="38" spans="1:21" ht="12.75" customHeight="1" x14ac:dyDescent="0.25">
      <c r="A38" s="21" t="s">
        <v>66</v>
      </c>
      <c r="B38" s="21" t="str">
        <f>VLOOKUP(A38,Members!$A$2:$B$65,2,FALSE)</f>
        <v>S.N.Behera</v>
      </c>
      <c r="C38" s="22">
        <v>835.83333333333337</v>
      </c>
      <c r="D38" s="22">
        <f t="shared" ref="D38:D69" si="8">SUM($C$3:$C$5)/64</f>
        <v>0</v>
      </c>
      <c r="E38" s="22">
        <f t="shared" ref="E38:E69" si="9">C38+D38</f>
        <v>835.83333333333337</v>
      </c>
      <c r="F38" s="22">
        <f t="shared" ref="F38:F69" si="10">IF($C$70=0, 0, E38/$C$70)</f>
        <v>1.8999871755601416E-3</v>
      </c>
      <c r="G38" s="22">
        <f t="shared" ref="G38:G69" si="11">F38*$T$5</f>
        <v>79.989460091081966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456.88606946608201</v>
      </c>
      <c r="K38" s="22">
        <f t="shared" ref="K38:K69" si="14">$T$11/64</f>
        <v>5139.78125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5596.6673194660816</v>
      </c>
      <c r="S38" s="22"/>
      <c r="T38" s="22"/>
    </row>
    <row r="39" spans="1:21" ht="12.75" customHeight="1" x14ac:dyDescent="0.25">
      <c r="A39" s="19" t="s">
        <v>67</v>
      </c>
      <c r="B39" s="19" t="str">
        <f>VLOOKUP(A39,Members!$A$2:$B$65,2,FALSE)</f>
        <v>Sonal Singh</v>
      </c>
      <c r="C39" s="20">
        <v>26229.333333333328</v>
      </c>
      <c r="D39" s="20">
        <f t="shared" si="8"/>
        <v>0</v>
      </c>
      <c r="E39" s="20">
        <f t="shared" si="9"/>
        <v>26229.333333333328</v>
      </c>
      <c r="F39" s="20">
        <f t="shared" si="10"/>
        <v>5.9623605531595771E-2</v>
      </c>
      <c r="G39" s="20">
        <f t="shared" si="11"/>
        <v>2510.1537928801818</v>
      </c>
      <c r="H39" s="20">
        <v>4</v>
      </c>
      <c r="I39" s="20">
        <f t="shared" si="12"/>
        <v>494.79759999999999</v>
      </c>
      <c r="J39" s="20">
        <f t="shared" si="13"/>
        <v>3010.7498022551817</v>
      </c>
      <c r="K39" s="20">
        <f t="shared" si="14"/>
        <v>5139.78125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8150.5310522551817</v>
      </c>
      <c r="S39" s="20"/>
      <c r="T39" s="20"/>
    </row>
    <row r="40" spans="1:21" ht="12.75" customHeight="1" x14ac:dyDescent="0.25">
      <c r="A40" s="21" t="s">
        <v>68</v>
      </c>
      <c r="B40" s="21" t="str">
        <f>VLOOKUP(A40,Members!$A$2:$B$65,2,FALSE)</f>
        <v>Manikandan N</v>
      </c>
      <c r="C40" s="22">
        <v>9114.1666666666661</v>
      </c>
      <c r="D40" s="22">
        <f t="shared" si="8"/>
        <v>0</v>
      </c>
      <c r="E40" s="22">
        <f t="shared" si="9"/>
        <v>9114.1666666666661</v>
      </c>
      <c r="F40" s="22">
        <f t="shared" si="10"/>
        <v>2.071800572193546E-2</v>
      </c>
      <c r="G40" s="22">
        <f t="shared" si="11"/>
        <v>872.2280408934829</v>
      </c>
      <c r="H40" s="22">
        <v>4</v>
      </c>
      <c r="I40" s="22">
        <f t="shared" si="12"/>
        <v>494.79759999999999</v>
      </c>
      <c r="J40" s="22">
        <f t="shared" si="13"/>
        <v>1372.824050268483</v>
      </c>
      <c r="K40" s="22">
        <f t="shared" si="14"/>
        <v>5139.78125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6512.605300268483</v>
      </c>
      <c r="S40" s="22"/>
      <c r="T40" s="22"/>
    </row>
    <row r="41" spans="1:21" ht="12.75" customHeight="1" x14ac:dyDescent="0.25">
      <c r="A41" s="19" t="s">
        <v>69</v>
      </c>
      <c r="B41" s="19" t="str">
        <f>VLOOKUP(A41,Members!$A$2:$B$65,2,FALSE)</f>
        <v>Swami</v>
      </c>
      <c r="C41" s="20">
        <v>9546.5</v>
      </c>
      <c r="D41" s="20">
        <f t="shared" si="8"/>
        <v>0</v>
      </c>
      <c r="E41" s="20">
        <f t="shared" si="9"/>
        <v>9546.5</v>
      </c>
      <c r="F41" s="20">
        <f t="shared" si="10"/>
        <v>2.1700770773461484E-2</v>
      </c>
      <c r="G41" s="20">
        <f t="shared" si="11"/>
        <v>913.60244956272845</v>
      </c>
      <c r="H41" s="20">
        <v>3</v>
      </c>
      <c r="I41" s="20">
        <f t="shared" si="12"/>
        <v>371.09820000000002</v>
      </c>
      <c r="J41" s="20">
        <f t="shared" si="13"/>
        <v>1290.4990589377285</v>
      </c>
      <c r="K41" s="20">
        <f t="shared" si="14"/>
        <v>5139.78125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6430.2803089377285</v>
      </c>
      <c r="S41" s="20"/>
      <c r="T41" s="20"/>
    </row>
    <row r="42" spans="1:21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1773.333333333333</v>
      </c>
      <c r="D42" s="22">
        <f t="shared" si="8"/>
        <v>0</v>
      </c>
      <c r="E42" s="22">
        <f t="shared" si="9"/>
        <v>1773.333333333333</v>
      </c>
      <c r="F42" s="22">
        <f t="shared" si="10"/>
        <v>4.0310794711784451E-3</v>
      </c>
      <c r="G42" s="22">
        <f t="shared" si="11"/>
        <v>169.70844573661253</v>
      </c>
      <c r="H42" s="22">
        <v>3</v>
      </c>
      <c r="I42" s="22">
        <f t="shared" si="12"/>
        <v>371.09820000000002</v>
      </c>
      <c r="J42" s="22">
        <f t="shared" si="13"/>
        <v>546.6050551116125</v>
      </c>
      <c r="K42" s="22">
        <f t="shared" si="14"/>
        <v>5139.78125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5686.3863051116123</v>
      </c>
      <c r="S42" s="22"/>
      <c r="T42" s="22"/>
    </row>
    <row r="43" spans="1:21" ht="12.75" customHeight="1" x14ac:dyDescent="0.25">
      <c r="A43" s="19" t="s">
        <v>71</v>
      </c>
      <c r="B43" s="19" t="str">
        <f>VLOOKUP(A43,Members!$A$2:$B$65,2,FALSE)</f>
        <v>Vivek Dhingra</v>
      </c>
      <c r="C43" s="20">
        <v>993.83333333333337</v>
      </c>
      <c r="D43" s="20">
        <f t="shared" si="8"/>
        <v>0</v>
      </c>
      <c r="E43" s="20">
        <f t="shared" si="9"/>
        <v>993.83333333333337</v>
      </c>
      <c r="F43" s="20">
        <f t="shared" si="10"/>
        <v>2.2591472637816796E-3</v>
      </c>
      <c r="G43" s="20">
        <f t="shared" si="11"/>
        <v>95.110099805208719</v>
      </c>
      <c r="H43" s="20">
        <v>3</v>
      </c>
      <c r="I43" s="20">
        <f t="shared" si="12"/>
        <v>371.09820000000002</v>
      </c>
      <c r="J43" s="20">
        <f t="shared" si="13"/>
        <v>472.00670918020876</v>
      </c>
      <c r="K43" s="20">
        <f t="shared" si="14"/>
        <v>5139.78125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5611.7879591802084</v>
      </c>
      <c r="S43" s="20"/>
      <c r="T43" s="20"/>
    </row>
    <row r="44" spans="1:21" ht="12.75" customHeight="1" x14ac:dyDescent="0.25">
      <c r="A44" s="21" t="s">
        <v>72</v>
      </c>
      <c r="B44" s="21" t="str">
        <f>VLOOKUP(A44,Members!$A$2:$B$65,2,FALSE)</f>
        <v>Harish B</v>
      </c>
      <c r="C44" s="22">
        <v>4189</v>
      </c>
      <c r="D44" s="22">
        <f t="shared" si="8"/>
        <v>0</v>
      </c>
      <c r="E44" s="22">
        <f t="shared" si="9"/>
        <v>4189</v>
      </c>
      <c r="F44" s="22">
        <f t="shared" si="10"/>
        <v>9.5222886681014147E-3</v>
      </c>
      <c r="G44" s="22">
        <f t="shared" si="11"/>
        <v>400.88835292706955</v>
      </c>
      <c r="H44" s="22">
        <v>3</v>
      </c>
      <c r="I44" s="22">
        <f t="shared" si="12"/>
        <v>371.09820000000002</v>
      </c>
      <c r="J44" s="22">
        <f t="shared" si="13"/>
        <v>777.78496230206952</v>
      </c>
      <c r="K44" s="22">
        <f t="shared" si="14"/>
        <v>5139.78125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5917.5662123020693</v>
      </c>
      <c r="S44" s="22"/>
      <c r="T44" s="22"/>
    </row>
    <row r="45" spans="1:21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9518</v>
      </c>
      <c r="D45" s="20">
        <f t="shared" si="8"/>
        <v>0</v>
      </c>
      <c r="E45" s="20">
        <f t="shared" si="9"/>
        <v>9518</v>
      </c>
      <c r="F45" s="20">
        <f t="shared" si="10"/>
        <v>2.1635985567674688E-2</v>
      </c>
      <c r="G45" s="20">
        <f t="shared" si="11"/>
        <v>910.87499239910437</v>
      </c>
      <c r="H45" s="20">
        <v>3</v>
      </c>
      <c r="I45" s="20">
        <f t="shared" si="12"/>
        <v>371.09820000000002</v>
      </c>
      <c r="J45" s="20">
        <f t="shared" si="13"/>
        <v>1287.7716017741045</v>
      </c>
      <c r="K45" s="20">
        <f t="shared" si="14"/>
        <v>5139.78125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6427.5528517741041</v>
      </c>
      <c r="S45" s="20"/>
      <c r="T45" s="20"/>
    </row>
    <row r="46" spans="1:21" ht="12.75" customHeight="1" x14ac:dyDescent="0.25">
      <c r="A46" s="21" t="s">
        <v>74</v>
      </c>
      <c r="B46" s="21" t="str">
        <f>VLOOKUP(A46,Members!$A$2:$B$65,2,FALSE)</f>
        <v>Pawan GS</v>
      </c>
      <c r="C46" s="22">
        <v>9313.1666666666661</v>
      </c>
      <c r="D46" s="22">
        <f t="shared" si="8"/>
        <v>0</v>
      </c>
      <c r="E46" s="22">
        <f t="shared" si="9"/>
        <v>9313.1666666666661</v>
      </c>
      <c r="F46" s="22">
        <f t="shared" si="10"/>
        <v>2.1170365579885372E-2</v>
      </c>
      <c r="G46" s="22">
        <f t="shared" si="11"/>
        <v>891.27239091317415</v>
      </c>
      <c r="H46" s="22">
        <v>4</v>
      </c>
      <c r="I46" s="22">
        <f t="shared" si="12"/>
        <v>494.79759999999999</v>
      </c>
      <c r="J46" s="22">
        <f t="shared" si="13"/>
        <v>1391.8684002881741</v>
      </c>
      <c r="K46" s="22">
        <f t="shared" si="14"/>
        <v>5139.78125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6531.6496502881746</v>
      </c>
      <c r="S46" s="22"/>
      <c r="T46" s="22"/>
    </row>
    <row r="47" spans="1:21" ht="12.75" customHeight="1" x14ac:dyDescent="0.25">
      <c r="A47" s="19" t="s">
        <v>75</v>
      </c>
      <c r="B47" s="19" t="str">
        <f>VLOOKUP(A47,Members!$A$2:$B$65,2,FALSE)</f>
        <v>Mayfy</v>
      </c>
      <c r="C47" s="20">
        <v>688.5</v>
      </c>
      <c r="D47" s="20">
        <f t="shared" si="8"/>
        <v>0</v>
      </c>
      <c r="E47" s="20">
        <f t="shared" si="9"/>
        <v>688.5</v>
      </c>
      <c r="F47" s="20">
        <f t="shared" si="10"/>
        <v>1.5650741819020827E-3</v>
      </c>
      <c r="G47" s="20">
        <f t="shared" si="11"/>
        <v>65.889623058077675</v>
      </c>
      <c r="H47" s="20">
        <v>3</v>
      </c>
      <c r="I47" s="20">
        <f t="shared" si="12"/>
        <v>371.09820000000002</v>
      </c>
      <c r="J47" s="20">
        <f t="shared" si="13"/>
        <v>442.78623243307771</v>
      </c>
      <c r="K47" s="20">
        <f t="shared" si="14"/>
        <v>5139.78125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6582.5674824330781</v>
      </c>
      <c r="S47" s="20"/>
      <c r="T47" s="20"/>
      <c r="U47" t="s">
        <v>55</v>
      </c>
    </row>
    <row r="48" spans="1:21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3673.833333333333</v>
      </c>
      <c r="D48" s="22">
        <f t="shared" si="8"/>
        <v>0</v>
      </c>
      <c r="E48" s="22">
        <f t="shared" si="9"/>
        <v>3673.833333333333</v>
      </c>
      <c r="F48" s="22">
        <f t="shared" si="10"/>
        <v>8.3512297728558713E-3</v>
      </c>
      <c r="G48" s="22">
        <f t="shared" si="11"/>
        <v>351.58677343723218</v>
      </c>
      <c r="H48" s="22">
        <v>3</v>
      </c>
      <c r="I48" s="22">
        <f t="shared" si="12"/>
        <v>371.09820000000002</v>
      </c>
      <c r="J48" s="22">
        <f t="shared" si="13"/>
        <v>728.48338281223221</v>
      </c>
      <c r="K48" s="22">
        <f t="shared" si="14"/>
        <v>5139.78125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5868.2646328122319</v>
      </c>
      <c r="S48" s="22"/>
      <c r="T48" s="22"/>
    </row>
    <row r="49" spans="1:21" ht="12.75" customHeight="1" x14ac:dyDescent="0.25">
      <c r="A49" s="19" t="s">
        <v>77</v>
      </c>
      <c r="B49" s="19" t="str">
        <f>VLOOKUP(A49,Members!$A$2:$B$65,2,FALSE)</f>
        <v>Saovik Mondal</v>
      </c>
      <c r="C49" s="20">
        <v>4282.5</v>
      </c>
      <c r="D49" s="20">
        <f t="shared" si="8"/>
        <v>0</v>
      </c>
      <c r="E49" s="20">
        <f t="shared" si="9"/>
        <v>4282.5</v>
      </c>
      <c r="F49" s="20">
        <f t="shared" si="10"/>
        <v>9.7348296063844136E-3</v>
      </c>
      <c r="G49" s="20">
        <f t="shared" si="11"/>
        <v>409.83632642878382</v>
      </c>
      <c r="H49" s="20">
        <v>3</v>
      </c>
      <c r="I49" s="20">
        <f t="shared" si="12"/>
        <v>371.09820000000002</v>
      </c>
      <c r="J49" s="20">
        <f t="shared" si="13"/>
        <v>786.7329358037839</v>
      </c>
      <c r="K49" s="20">
        <f t="shared" si="14"/>
        <v>5139.78125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5926.5141858037841</v>
      </c>
      <c r="S49" s="20"/>
      <c r="T49" s="20"/>
    </row>
    <row r="50" spans="1:21" ht="12.75" customHeight="1" x14ac:dyDescent="0.25">
      <c r="A50" s="21" t="s">
        <v>78</v>
      </c>
      <c r="B50" s="21" t="str">
        <f>VLOOKUP(A50,Members!$A$2:$B$65,2,FALSE)</f>
        <v>Srinivasa Rao</v>
      </c>
      <c r="C50" s="22">
        <v>12.83333333333333</v>
      </c>
      <c r="D50" s="22">
        <f t="shared" si="8"/>
        <v>0</v>
      </c>
      <c r="E50" s="22">
        <f t="shared" si="9"/>
        <v>12.83333333333333</v>
      </c>
      <c r="F50" s="22">
        <f t="shared" si="10"/>
        <v>2.9172285646686115E-5</v>
      </c>
      <c r="G50" s="22">
        <f t="shared" si="11"/>
        <v>1.2281532257254855</v>
      </c>
      <c r="H50" s="22">
        <v>4</v>
      </c>
      <c r="I50" s="22">
        <f t="shared" si="12"/>
        <v>494.79759999999999</v>
      </c>
      <c r="J50" s="22">
        <f t="shared" si="13"/>
        <v>501.82416260072546</v>
      </c>
      <c r="K50" s="22">
        <f t="shared" si="14"/>
        <v>5139.78125</v>
      </c>
      <c r="L50" s="22">
        <v>0</v>
      </c>
      <c r="M50" s="22">
        <v>0</v>
      </c>
      <c r="N50" s="22">
        <v>1000</v>
      </c>
      <c r="O50" s="22">
        <v>0</v>
      </c>
      <c r="P50" s="22"/>
      <c r="Q50" s="22"/>
      <c r="R50" s="22">
        <f t="shared" si="15"/>
        <v>6641.6054126007257</v>
      </c>
      <c r="S50" s="22"/>
      <c r="T50" s="22"/>
    </row>
    <row r="51" spans="1:21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6254.333333333333</v>
      </c>
      <c r="D51" s="20">
        <f t="shared" si="8"/>
        <v>0</v>
      </c>
      <c r="E51" s="20">
        <f t="shared" si="9"/>
        <v>6254.333333333333</v>
      </c>
      <c r="F51" s="20">
        <f t="shared" si="10"/>
        <v>1.4217132352955108E-2</v>
      </c>
      <c r="G51" s="20">
        <f t="shared" si="11"/>
        <v>598.54127205941006</v>
      </c>
      <c r="H51" s="20">
        <v>4</v>
      </c>
      <c r="I51" s="20">
        <f t="shared" si="12"/>
        <v>494.79759999999999</v>
      </c>
      <c r="J51" s="20">
        <f t="shared" si="13"/>
        <v>1099.1372814344099</v>
      </c>
      <c r="K51" s="20">
        <f t="shared" si="14"/>
        <v>5139.78125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7238.9185314344104</v>
      </c>
      <c r="S51" s="20"/>
      <c r="T51" s="20"/>
      <c r="U51" t="s">
        <v>55</v>
      </c>
    </row>
    <row r="52" spans="1:21" ht="12.75" customHeight="1" x14ac:dyDescent="0.25">
      <c r="A52" s="21" t="s">
        <v>80</v>
      </c>
      <c r="B52" s="21" t="str">
        <f>VLOOKUP(A52,Members!$A$2:$B$65,2,FALSE)</f>
        <v>Manas Dasgupta</v>
      </c>
      <c r="C52" s="22">
        <v>15051.83333333333</v>
      </c>
      <c r="D52" s="22">
        <f t="shared" si="8"/>
        <v>0</v>
      </c>
      <c r="E52" s="22">
        <f t="shared" si="9"/>
        <v>15051.83333333333</v>
      </c>
      <c r="F52" s="22">
        <f t="shared" si="10"/>
        <v>3.4215302455037268E-2</v>
      </c>
      <c r="G52" s="22">
        <f t="shared" si="11"/>
        <v>1440.4642333570689</v>
      </c>
      <c r="H52" s="22">
        <v>4</v>
      </c>
      <c r="I52" s="22">
        <f t="shared" si="12"/>
        <v>494.79759999999999</v>
      </c>
      <c r="J52" s="22">
        <f t="shared" si="13"/>
        <v>1941.0602427320687</v>
      </c>
      <c r="K52" s="22">
        <f t="shared" si="14"/>
        <v>5139.78125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7080.8414927320682</v>
      </c>
      <c r="S52" s="22"/>
      <c r="T52" s="22"/>
    </row>
    <row r="53" spans="1:21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2954.833333333333</v>
      </c>
      <c r="D53" s="20">
        <f t="shared" si="8"/>
        <v>0</v>
      </c>
      <c r="E53" s="20">
        <f t="shared" si="9"/>
        <v>2954.833333333333</v>
      </c>
      <c r="F53" s="20">
        <f t="shared" si="10"/>
        <v>6.7168240549363399E-3</v>
      </c>
      <c r="G53" s="20">
        <f t="shared" si="11"/>
        <v>282.7782927128199</v>
      </c>
      <c r="H53" s="20">
        <v>3</v>
      </c>
      <c r="I53" s="20">
        <f t="shared" si="12"/>
        <v>371.09820000000002</v>
      </c>
      <c r="J53" s="20">
        <f t="shared" si="13"/>
        <v>659.67490208781987</v>
      </c>
      <c r="K53" s="20">
        <f t="shared" si="14"/>
        <v>5139.78125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5799.4561520878196</v>
      </c>
      <c r="S53" s="20"/>
      <c r="T53" s="20"/>
    </row>
    <row r="54" spans="1:21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15912.83333333333</v>
      </c>
      <c r="D54" s="22">
        <f t="shared" si="8"/>
        <v>0</v>
      </c>
      <c r="E54" s="22">
        <f t="shared" si="9"/>
        <v>15912.83333333333</v>
      </c>
      <c r="F54" s="22">
        <f t="shared" si="10"/>
        <v>3.6172497619333117E-2</v>
      </c>
      <c r="G54" s="22">
        <f t="shared" si="11"/>
        <v>1522.8621497739243</v>
      </c>
      <c r="H54" s="22">
        <v>3</v>
      </c>
      <c r="I54" s="22">
        <f t="shared" si="12"/>
        <v>371.09820000000002</v>
      </c>
      <c r="J54" s="22">
        <f t="shared" si="13"/>
        <v>1899.7587591489241</v>
      </c>
      <c r="K54" s="22">
        <f t="shared" si="14"/>
        <v>5139.78125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7039.5400091489246</v>
      </c>
      <c r="S54" s="22"/>
      <c r="T54" s="22"/>
    </row>
    <row r="55" spans="1:21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13240.33333333333</v>
      </c>
      <c r="D55" s="20">
        <f t="shared" si="8"/>
        <v>0</v>
      </c>
      <c r="E55" s="20">
        <f t="shared" si="9"/>
        <v>13240.33333333333</v>
      </c>
      <c r="F55" s="20">
        <f t="shared" si="10"/>
        <v>3.0097463848623874E-2</v>
      </c>
      <c r="G55" s="20">
        <f t="shared" si="11"/>
        <v>1267.1032280270651</v>
      </c>
      <c r="H55" s="20">
        <v>4</v>
      </c>
      <c r="I55" s="20">
        <f t="shared" si="12"/>
        <v>494.79759999999999</v>
      </c>
      <c r="J55" s="20">
        <f t="shared" si="13"/>
        <v>1767.6992374020651</v>
      </c>
      <c r="K55" s="20">
        <f t="shared" si="14"/>
        <v>5139.78125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6907.4804874020647</v>
      </c>
      <c r="S55" s="20"/>
      <c r="T55" s="20"/>
    </row>
    <row r="56" spans="1:21" ht="12.75" customHeight="1" x14ac:dyDescent="0.25">
      <c r="A56" s="21" t="s">
        <v>84</v>
      </c>
      <c r="B56" s="21" t="str">
        <f>VLOOKUP(A56,Members!$A$2:$B$65,2,FALSE)</f>
        <v>Kapil Garg</v>
      </c>
      <c r="C56" s="22">
        <v>7450.5</v>
      </c>
      <c r="D56" s="22">
        <f t="shared" si="8"/>
        <v>0</v>
      </c>
      <c r="E56" s="22">
        <f t="shared" si="9"/>
        <v>7450.5</v>
      </c>
      <c r="F56" s="22">
        <f t="shared" si="10"/>
        <v>1.6936216691737789E-2</v>
      </c>
      <c r="G56" s="22">
        <f t="shared" si="11"/>
        <v>713.01472272216097</v>
      </c>
      <c r="H56" s="22">
        <v>4</v>
      </c>
      <c r="I56" s="22">
        <f t="shared" si="12"/>
        <v>494.79759999999999</v>
      </c>
      <c r="J56" s="22">
        <f t="shared" si="13"/>
        <v>1213.610732097161</v>
      </c>
      <c r="K56" s="22">
        <f t="shared" si="14"/>
        <v>5139.78125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6353.3919820971605</v>
      </c>
      <c r="S56" s="22"/>
      <c r="T56" s="22"/>
    </row>
    <row r="57" spans="1:21" ht="12.75" customHeight="1" x14ac:dyDescent="0.25">
      <c r="A57" s="19" t="s">
        <v>85</v>
      </c>
      <c r="B57" s="19" t="str">
        <f>VLOOKUP(A57,Members!$A$2:$B$65,2,FALSE)</f>
        <v>Vijet Alva</v>
      </c>
      <c r="C57" s="20">
        <v>232.5</v>
      </c>
      <c r="D57" s="20">
        <f t="shared" si="8"/>
        <v>0</v>
      </c>
      <c r="E57" s="20">
        <f t="shared" si="9"/>
        <v>232.5</v>
      </c>
      <c r="F57" s="20">
        <f t="shared" si="10"/>
        <v>5.2851088931333949E-4</v>
      </c>
      <c r="G57" s="20">
        <f t="shared" si="11"/>
        <v>22.250308440091594</v>
      </c>
      <c r="H57" s="20">
        <v>4</v>
      </c>
      <c r="I57" s="20">
        <f t="shared" si="12"/>
        <v>494.79759999999999</v>
      </c>
      <c r="J57" s="20">
        <f t="shared" si="13"/>
        <v>522.84631781509154</v>
      </c>
      <c r="K57" s="20">
        <f t="shared" si="14"/>
        <v>5139.78125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5662.6275678150914</v>
      </c>
      <c r="S57" s="20"/>
      <c r="T57" s="20"/>
    </row>
    <row r="58" spans="1:21" ht="12.75" customHeight="1" x14ac:dyDescent="0.25">
      <c r="A58" s="21" t="s">
        <v>86</v>
      </c>
      <c r="B58" s="21" t="str">
        <f>VLOOKUP(A58,Members!$A$2:$B$65,2,FALSE)</f>
        <v>Ganesh Iyer</v>
      </c>
      <c r="C58" s="22">
        <v>3975.833333333333</v>
      </c>
      <c r="D58" s="22">
        <f t="shared" si="8"/>
        <v>0</v>
      </c>
      <c r="E58" s="22">
        <f t="shared" si="9"/>
        <v>3975.833333333333</v>
      </c>
      <c r="F58" s="22">
        <f t="shared" si="10"/>
        <v>9.0377256376843809E-3</v>
      </c>
      <c r="G58" s="22">
        <f t="shared" si="11"/>
        <v>380.48824934651242</v>
      </c>
      <c r="H58" s="22">
        <v>3</v>
      </c>
      <c r="I58" s="22">
        <f t="shared" si="12"/>
        <v>371.09820000000002</v>
      </c>
      <c r="J58" s="22">
        <f t="shared" si="13"/>
        <v>757.3848587215125</v>
      </c>
      <c r="K58" s="22">
        <f t="shared" si="14"/>
        <v>5139.78125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5897.1661087215125</v>
      </c>
      <c r="S58" s="22"/>
      <c r="T58" s="22"/>
    </row>
    <row r="59" spans="1:21" ht="12.75" customHeight="1" x14ac:dyDescent="0.25">
      <c r="A59" s="19" t="s">
        <v>87</v>
      </c>
      <c r="B59" s="19" t="str">
        <f>VLOOKUP(A59,Members!$A$2:$B$65,2,FALSE)</f>
        <v>Mythili Ramesh</v>
      </c>
      <c r="C59" s="20">
        <v>15588.83333333333</v>
      </c>
      <c r="D59" s="20">
        <f t="shared" si="8"/>
        <v>0</v>
      </c>
      <c r="E59" s="20">
        <f t="shared" si="9"/>
        <v>15588.83333333333</v>
      </c>
      <c r="F59" s="20">
        <f t="shared" si="10"/>
        <v>3.5435992121967436E-2</v>
      </c>
      <c r="G59" s="20">
        <f t="shared" si="11"/>
        <v>1491.8552683348291</v>
      </c>
      <c r="H59" s="20">
        <v>3</v>
      </c>
      <c r="I59" s="20">
        <f t="shared" si="12"/>
        <v>371.09820000000002</v>
      </c>
      <c r="J59" s="20">
        <f t="shared" si="13"/>
        <v>1868.7518777098289</v>
      </c>
      <c r="K59" s="20">
        <f t="shared" si="14"/>
        <v>5139.78125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7008.5331277098285</v>
      </c>
      <c r="S59" s="20"/>
      <c r="T59" s="20"/>
    </row>
    <row r="60" spans="1:21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13246.16666666667</v>
      </c>
      <c r="D60" s="22">
        <f t="shared" si="8"/>
        <v>0</v>
      </c>
      <c r="E60" s="22">
        <f t="shared" si="9"/>
        <v>13246.16666666667</v>
      </c>
      <c r="F60" s="22">
        <f t="shared" si="10"/>
        <v>3.0110723978463292E-2</v>
      </c>
      <c r="G60" s="22">
        <f t="shared" si="11"/>
        <v>1267.6614794933046</v>
      </c>
      <c r="H60" s="22">
        <v>3</v>
      </c>
      <c r="I60" s="22">
        <f t="shared" si="12"/>
        <v>371.09820000000002</v>
      </c>
      <c r="J60" s="22">
        <f t="shared" si="13"/>
        <v>1644.5580888683044</v>
      </c>
      <c r="K60" s="22">
        <f t="shared" si="14"/>
        <v>5139.78125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7784.3393388683044</v>
      </c>
      <c r="S60" s="22"/>
      <c r="T60" s="22"/>
      <c r="U60" t="s">
        <v>55</v>
      </c>
    </row>
    <row r="61" spans="1:21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5733.666666666667</v>
      </c>
      <c r="D61" s="20">
        <f t="shared" si="8"/>
        <v>0</v>
      </c>
      <c r="E61" s="20">
        <f t="shared" si="9"/>
        <v>5733.666666666667</v>
      </c>
      <c r="F61" s="20">
        <f t="shared" si="10"/>
        <v>1.3033571049575273E-2</v>
      </c>
      <c r="G61" s="20">
        <f t="shared" si="11"/>
        <v>548.713341187119</v>
      </c>
      <c r="H61" s="20">
        <v>3</v>
      </c>
      <c r="I61" s="20">
        <f t="shared" si="12"/>
        <v>371.09820000000002</v>
      </c>
      <c r="J61" s="20">
        <f t="shared" si="13"/>
        <v>925.60995056211902</v>
      </c>
      <c r="K61" s="20">
        <f t="shared" si="14"/>
        <v>5139.78125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6065.3912005621187</v>
      </c>
      <c r="S61" s="20"/>
      <c r="T61" s="20"/>
    </row>
    <row r="62" spans="1:21" ht="12.75" customHeight="1" x14ac:dyDescent="0.25">
      <c r="A62" s="21" t="s">
        <v>90</v>
      </c>
      <c r="B62" s="21" t="str">
        <f>VLOOKUP(A62,Members!$A$2:$B$65,2,FALSE)</f>
        <v>Nishith Sahu</v>
      </c>
      <c r="C62" s="22">
        <v>699.66666666666663</v>
      </c>
      <c r="D62" s="22">
        <f t="shared" si="8"/>
        <v>0</v>
      </c>
      <c r="E62" s="22">
        <f t="shared" si="9"/>
        <v>699.66666666666663</v>
      </c>
      <c r="F62" s="22">
        <f t="shared" si="10"/>
        <v>1.5904578590232251E-3</v>
      </c>
      <c r="G62" s="22">
        <f t="shared" si="11"/>
        <v>66.958275864877777</v>
      </c>
      <c r="H62" s="22">
        <v>4</v>
      </c>
      <c r="I62" s="22">
        <f t="shared" si="12"/>
        <v>494.79759999999999</v>
      </c>
      <c r="J62" s="22">
        <f t="shared" si="13"/>
        <v>567.5542852398778</v>
      </c>
      <c r="K62" s="22">
        <f t="shared" si="14"/>
        <v>5139.78125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5707.3355352398776</v>
      </c>
      <c r="S62" s="22"/>
      <c r="T62" s="22"/>
    </row>
    <row r="63" spans="1:21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9735.8333333333339</v>
      </c>
      <c r="D63" s="20">
        <f t="shared" si="8"/>
        <v>0</v>
      </c>
      <c r="E63" s="20">
        <f t="shared" si="9"/>
        <v>9735.8333333333339</v>
      </c>
      <c r="F63" s="20">
        <f t="shared" si="10"/>
        <v>2.2131156701963244E-2</v>
      </c>
      <c r="G63" s="20">
        <f t="shared" si="11"/>
        <v>931.7216971526525</v>
      </c>
      <c r="H63" s="20">
        <v>3</v>
      </c>
      <c r="I63" s="20">
        <f t="shared" si="12"/>
        <v>371.09820000000002</v>
      </c>
      <c r="J63" s="20">
        <f t="shared" si="13"/>
        <v>1308.6183065276525</v>
      </c>
      <c r="K63" s="20">
        <f t="shared" si="14"/>
        <v>5139.78125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6448.3995565276527</v>
      </c>
      <c r="S63" s="20"/>
      <c r="T63" s="20"/>
    </row>
    <row r="64" spans="1:21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5564</v>
      </c>
      <c r="D64" s="22">
        <f t="shared" si="8"/>
        <v>0</v>
      </c>
      <c r="E64" s="22">
        <f t="shared" si="9"/>
        <v>5564</v>
      </c>
      <c r="F64" s="22">
        <f t="shared" si="10"/>
        <v>1.2647890701674928E-2</v>
      </c>
      <c r="G64" s="22">
        <f t="shared" si="11"/>
        <v>532.47619854051447</v>
      </c>
      <c r="H64" s="22">
        <v>3</v>
      </c>
      <c r="I64" s="22">
        <f t="shared" si="12"/>
        <v>371.09820000000002</v>
      </c>
      <c r="J64" s="22">
        <f t="shared" si="13"/>
        <v>909.3728079155145</v>
      </c>
      <c r="K64" s="22">
        <f t="shared" si="14"/>
        <v>5139.78125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6049.1540579155144</v>
      </c>
      <c r="S64" s="22"/>
      <c r="T64" s="22"/>
    </row>
    <row r="65" spans="1:21" ht="12.75" customHeight="1" x14ac:dyDescent="0.25">
      <c r="A65" s="19" t="s">
        <v>93</v>
      </c>
      <c r="B65" s="19" t="str">
        <f>VLOOKUP(A65,Members!$A$2:$B$65,2,FALSE)</f>
        <v>Prasenjit</v>
      </c>
      <c r="C65" s="20">
        <v>2764.166666666667</v>
      </c>
      <c r="D65" s="20">
        <f t="shared" si="8"/>
        <v>0</v>
      </c>
      <c r="E65" s="20">
        <f t="shared" si="9"/>
        <v>2764.166666666667</v>
      </c>
      <c r="F65" s="20">
        <f t="shared" si="10"/>
        <v>6.2834072396141475E-3</v>
      </c>
      <c r="G65" s="20">
        <f t="shared" si="11"/>
        <v>264.53144478775562</v>
      </c>
      <c r="H65" s="20">
        <v>3</v>
      </c>
      <c r="I65" s="20">
        <f t="shared" si="12"/>
        <v>371.09820000000002</v>
      </c>
      <c r="J65" s="20">
        <f t="shared" si="13"/>
        <v>641.42805416275564</v>
      </c>
      <c r="K65" s="20">
        <f t="shared" si="14"/>
        <v>5139.78125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5781.2093041627559</v>
      </c>
      <c r="S65" s="20"/>
      <c r="T65" s="20"/>
    </row>
    <row r="66" spans="1:21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7289.166666666667</v>
      </c>
      <c r="D66" s="22">
        <f t="shared" si="8"/>
        <v>0</v>
      </c>
      <c r="E66" s="22">
        <f t="shared" si="9"/>
        <v>7289.166666666667</v>
      </c>
      <c r="F66" s="22">
        <f t="shared" si="10"/>
        <v>1.6569479386465163E-2</v>
      </c>
      <c r="G66" s="22">
        <f t="shared" si="11"/>
        <v>697.57508217018335</v>
      </c>
      <c r="H66" s="22">
        <v>4</v>
      </c>
      <c r="I66" s="22">
        <f t="shared" si="12"/>
        <v>494.79759999999999</v>
      </c>
      <c r="J66" s="22">
        <f t="shared" si="13"/>
        <v>1198.1710915451833</v>
      </c>
      <c r="K66" s="22">
        <f t="shared" si="14"/>
        <v>5139.78125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6337.9523415451831</v>
      </c>
      <c r="S66" s="22"/>
      <c r="T66" s="22"/>
    </row>
    <row r="67" spans="1:21" ht="12.75" customHeight="1" x14ac:dyDescent="0.25">
      <c r="A67" s="19" t="s">
        <v>95</v>
      </c>
      <c r="B67" s="19" t="str">
        <f>VLOOKUP(A67,Members!$A$2:$B$65,2,FALSE)</f>
        <v>Jeya</v>
      </c>
      <c r="C67" s="20">
        <v>6992.333333333333</v>
      </c>
      <c r="D67" s="20">
        <f t="shared" si="8"/>
        <v>0</v>
      </c>
      <c r="E67" s="20">
        <f t="shared" si="9"/>
        <v>6992.333333333333</v>
      </c>
      <c r="F67" s="20">
        <f t="shared" si="10"/>
        <v>1.5894728208065836E-2</v>
      </c>
      <c r="G67" s="20">
        <f t="shared" si="11"/>
        <v>669.16805755957171</v>
      </c>
      <c r="H67" s="20">
        <v>4</v>
      </c>
      <c r="I67" s="20">
        <f t="shared" si="12"/>
        <v>494.79759999999999</v>
      </c>
      <c r="J67" s="20">
        <f t="shared" si="13"/>
        <v>1169.7640669345717</v>
      </c>
      <c r="K67" s="20">
        <f t="shared" si="14"/>
        <v>5139.78125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6309.5453169345719</v>
      </c>
      <c r="S67" s="20"/>
      <c r="T67" s="20"/>
    </row>
    <row r="68" spans="1:21" ht="12.75" customHeight="1" x14ac:dyDescent="0.25">
      <c r="A68" s="21" t="s">
        <v>96</v>
      </c>
      <c r="B68" s="21" t="str">
        <f>VLOOKUP(A68,Members!$A$2:$B$65,2,FALSE)</f>
        <v>Trevor</v>
      </c>
      <c r="C68" s="22">
        <v>6864.333333333333</v>
      </c>
      <c r="D68" s="22">
        <f t="shared" si="8"/>
        <v>0</v>
      </c>
      <c r="E68" s="22">
        <f t="shared" si="9"/>
        <v>6864.333333333333</v>
      </c>
      <c r="F68" s="22">
        <f t="shared" si="10"/>
        <v>1.5603763073304085E-2</v>
      </c>
      <c r="G68" s="22">
        <f t="shared" si="11"/>
        <v>656.91842538610194</v>
      </c>
      <c r="H68" s="22">
        <v>4</v>
      </c>
      <c r="I68" s="22">
        <f t="shared" si="12"/>
        <v>494.79759999999999</v>
      </c>
      <c r="J68" s="22">
        <f t="shared" si="13"/>
        <v>1157.5144347611019</v>
      </c>
      <c r="K68" s="22">
        <f t="shared" si="14"/>
        <v>5139.78125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6297.2956847611022</v>
      </c>
      <c r="S68" s="22"/>
      <c r="T68" s="22"/>
    </row>
    <row r="69" spans="1:21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11086.5</v>
      </c>
      <c r="D69" s="20">
        <f t="shared" si="8"/>
        <v>0</v>
      </c>
      <c r="E69" s="20">
        <f t="shared" si="9"/>
        <v>11086.5</v>
      </c>
      <c r="F69" s="20">
        <f t="shared" si="10"/>
        <v>2.5201445051063819E-2</v>
      </c>
      <c r="G69" s="20">
        <f t="shared" si="11"/>
        <v>1060.9808366497869</v>
      </c>
      <c r="H69" s="20">
        <v>3</v>
      </c>
      <c r="I69" s="20">
        <f t="shared" si="12"/>
        <v>371.09820000000002</v>
      </c>
      <c r="J69" s="20">
        <f t="shared" si="13"/>
        <v>1437.8774460247869</v>
      </c>
      <c r="K69" s="20">
        <f t="shared" si="14"/>
        <v>5139.78125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7577.6586960247869</v>
      </c>
      <c r="S69" s="20"/>
      <c r="T69" s="20"/>
      <c r="U69" t="s">
        <v>55</v>
      </c>
    </row>
    <row r="70" spans="1:21" ht="12.75" customHeight="1" x14ac:dyDescent="0.25">
      <c r="A70" s="21"/>
      <c r="B70" s="21" t="s">
        <v>98</v>
      </c>
      <c r="C70" s="22">
        <f>SUM(C3:C69)</f>
        <v>439915.24999999988</v>
      </c>
      <c r="D70" s="22">
        <f>SUM(D3:D69)</f>
        <v>0</v>
      </c>
      <c r="E70" s="22">
        <f>SUM(E3:E69)</f>
        <v>439915.24999999988</v>
      </c>
      <c r="F70" s="22">
        <f t="shared" ref="F70" si="16">IF($C$70=0, 0, E70/$C$70)</f>
        <v>1</v>
      </c>
      <c r="G70" s="22">
        <f t="shared" ref="G70:O70" si="17">SUM(G3:G69)</f>
        <v>42100.000000000007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69684.966199999981</v>
      </c>
      <c r="K70" s="22">
        <f t="shared" si="17"/>
        <v>328946</v>
      </c>
      <c r="L70" s="22">
        <f t="shared" si="17"/>
        <v>2250</v>
      </c>
      <c r="M70" s="22">
        <f t="shared" si="17"/>
        <v>500</v>
      </c>
      <c r="N70" s="22">
        <f t="shared" si="17"/>
        <v>2000</v>
      </c>
      <c r="O70" s="22">
        <f t="shared" si="17"/>
        <v>0</v>
      </c>
      <c r="P70" s="22"/>
      <c r="Q70" s="22"/>
      <c r="R70" s="22">
        <f>SUM(R3:R69)</f>
        <v>410380.96620000014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>
        <v>7264</v>
      </c>
      <c r="D2" s="29" t="s">
        <v>361</v>
      </c>
      <c r="E2" s="26"/>
      <c r="F2" s="29"/>
      <c r="G2" s="26"/>
      <c r="H2" s="37"/>
      <c r="I2" s="26"/>
      <c r="J2" s="26"/>
      <c r="K2" s="26">
        <f t="shared" ref="K2:K33" si="0">SUM(C2,E2,G2,I2)</f>
        <v>7264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>
        <v>6000</v>
      </c>
      <c r="D4" s="29" t="s">
        <v>362</v>
      </c>
      <c r="E4" s="22">
        <v>11273.81</v>
      </c>
      <c r="F4" s="29" t="s">
        <v>363</v>
      </c>
      <c r="G4" s="26">
        <v>6000</v>
      </c>
      <c r="H4" s="37" t="s">
        <v>364</v>
      </c>
      <c r="I4" s="26"/>
      <c r="J4" s="26"/>
      <c r="K4" s="26">
        <f t="shared" si="0"/>
        <v>23273.809999999998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>
        <v>11259</v>
      </c>
      <c r="D5" s="32" t="s">
        <v>363</v>
      </c>
      <c r="E5" s="25"/>
      <c r="F5" s="32"/>
      <c r="G5" s="25"/>
      <c r="H5" s="38"/>
      <c r="I5" s="25"/>
      <c r="J5" s="25"/>
      <c r="K5" s="20">
        <f t="shared" si="0"/>
        <v>11259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>
        <v>5703</v>
      </c>
      <c r="D6" s="29" t="s">
        <v>365</v>
      </c>
      <c r="E6" s="26"/>
      <c r="F6" s="29"/>
      <c r="G6" s="26"/>
      <c r="H6" s="37"/>
      <c r="I6" s="26"/>
      <c r="J6" s="26"/>
      <c r="K6" s="26">
        <f t="shared" si="0"/>
        <v>5703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>
        <v>6262.27</v>
      </c>
      <c r="D7" s="32" t="s">
        <v>366</v>
      </c>
      <c r="E7" s="25"/>
      <c r="F7" s="32"/>
      <c r="G7" s="25"/>
      <c r="H7" s="38"/>
      <c r="I7" s="25"/>
      <c r="J7" s="25"/>
      <c r="K7" s="25">
        <f t="shared" si="0"/>
        <v>6262.27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>
        <v>6216.35</v>
      </c>
      <c r="D8" s="29" t="s">
        <v>363</v>
      </c>
      <c r="E8" s="26"/>
      <c r="F8" s="29"/>
      <c r="G8" s="26"/>
      <c r="H8" s="37"/>
      <c r="I8" s="26"/>
      <c r="J8" s="26"/>
      <c r="K8" s="26">
        <f t="shared" si="0"/>
        <v>6216.35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>
        <v>5091.08</v>
      </c>
      <c r="D9" s="32" t="s">
        <v>363</v>
      </c>
      <c r="E9" s="25"/>
      <c r="F9" s="32"/>
      <c r="G9" s="25"/>
      <c r="H9" s="38"/>
      <c r="I9" s="25"/>
      <c r="J9" s="25"/>
      <c r="K9" s="20">
        <f t="shared" si="0"/>
        <v>5091.08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>
        <v>8225</v>
      </c>
      <c r="D10" s="29" t="s">
        <v>361</v>
      </c>
      <c r="E10" s="26"/>
      <c r="F10" s="29"/>
      <c r="G10" s="26"/>
      <c r="H10" s="37"/>
      <c r="I10" s="26"/>
      <c r="J10" s="26"/>
      <c r="K10" s="22">
        <f t="shared" si="0"/>
        <v>8225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>
        <v>2225</v>
      </c>
      <c r="D12" s="29" t="s">
        <v>367</v>
      </c>
      <c r="E12" s="26"/>
      <c r="F12" s="29"/>
      <c r="G12" s="26"/>
      <c r="H12" s="37"/>
      <c r="I12" s="26"/>
      <c r="J12" s="26"/>
      <c r="K12" s="22">
        <f t="shared" si="0"/>
        <v>2225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>
        <v>7988.16</v>
      </c>
      <c r="D13" s="32" t="s">
        <v>361</v>
      </c>
      <c r="E13" s="25"/>
      <c r="F13" s="32"/>
      <c r="G13" s="25"/>
      <c r="H13" s="38"/>
      <c r="I13" s="25"/>
      <c r="J13" s="25"/>
      <c r="K13" s="20">
        <f t="shared" si="0"/>
        <v>7988.16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>
        <v>8495.49</v>
      </c>
      <c r="D14" s="29" t="s">
        <v>368</v>
      </c>
      <c r="E14" s="26"/>
      <c r="F14" s="29"/>
      <c r="G14" s="26"/>
      <c r="H14" s="37"/>
      <c r="I14" s="26"/>
      <c r="J14" s="26"/>
      <c r="K14" s="26">
        <f t="shared" si="0"/>
        <v>8495.49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>
        <v>6785</v>
      </c>
      <c r="D16" s="29" t="s">
        <v>369</v>
      </c>
      <c r="E16" s="26">
        <v>6580</v>
      </c>
      <c r="F16" s="29" t="s">
        <v>370</v>
      </c>
      <c r="G16" s="26"/>
      <c r="H16" s="37"/>
      <c r="I16" s="26"/>
      <c r="J16" s="26"/>
      <c r="K16" s="26">
        <f t="shared" si="0"/>
        <v>13365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>
        <v>6945.68</v>
      </c>
      <c r="D17" s="32" t="s">
        <v>361</v>
      </c>
      <c r="E17" s="25"/>
      <c r="F17" s="32"/>
      <c r="G17" s="25"/>
      <c r="H17" s="38"/>
      <c r="I17" s="25"/>
      <c r="J17" s="25"/>
      <c r="K17" s="25">
        <f t="shared" si="0"/>
        <v>6945.68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>
        <v>19000</v>
      </c>
      <c r="D18" s="29" t="s">
        <v>367</v>
      </c>
      <c r="E18" s="22"/>
      <c r="F18" s="29"/>
      <c r="G18" s="26"/>
      <c r="H18" s="37"/>
      <c r="I18" s="26"/>
      <c r="J18" s="26"/>
      <c r="K18" s="22">
        <f t="shared" si="0"/>
        <v>19000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>
        <v>14242.64</v>
      </c>
      <c r="D19" s="32" t="s">
        <v>367</v>
      </c>
      <c r="E19" s="25"/>
      <c r="F19" s="32"/>
      <c r="G19" s="25"/>
      <c r="H19" s="38"/>
      <c r="I19" s="25"/>
      <c r="J19" s="25"/>
      <c r="K19" s="20">
        <f t="shared" si="0"/>
        <v>14242.64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>
        <v>5873</v>
      </c>
      <c r="D20" s="29" t="s">
        <v>371</v>
      </c>
      <c r="E20" s="26"/>
      <c r="F20" s="29"/>
      <c r="G20" s="26"/>
      <c r="H20" s="37"/>
      <c r="I20" s="26"/>
      <c r="J20" s="26"/>
      <c r="K20" s="22">
        <f t="shared" si="0"/>
        <v>5873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>
        <v>5018</v>
      </c>
      <c r="D21" s="32" t="s">
        <v>372</v>
      </c>
      <c r="E21" s="25"/>
      <c r="F21" s="32"/>
      <c r="G21" s="25"/>
      <c r="H21" s="38"/>
      <c r="I21" s="25"/>
      <c r="J21" s="25"/>
      <c r="K21" s="20">
        <f t="shared" si="0"/>
        <v>5018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>
        <v>30000</v>
      </c>
      <c r="D22" s="29" t="s">
        <v>361</v>
      </c>
      <c r="E22" s="26"/>
      <c r="F22" s="29"/>
      <c r="G22" s="26"/>
      <c r="H22" s="37"/>
      <c r="I22" s="26"/>
      <c r="J22" s="26"/>
      <c r="K22" s="22">
        <f t="shared" si="0"/>
        <v>30000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>
        <v>6247</v>
      </c>
      <c r="D24" s="29" t="s">
        <v>365</v>
      </c>
      <c r="E24" s="26"/>
      <c r="F24" s="29"/>
      <c r="G24" s="26"/>
      <c r="H24" s="37"/>
      <c r="I24" s="26"/>
      <c r="J24" s="26"/>
      <c r="K24" s="22">
        <f t="shared" si="0"/>
        <v>6247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>
        <v>6235</v>
      </c>
      <c r="D25" s="32" t="s">
        <v>363</v>
      </c>
      <c r="E25" s="25"/>
      <c r="F25" s="32"/>
      <c r="G25" s="25"/>
      <c r="H25" s="38"/>
      <c r="I25" s="25"/>
      <c r="J25" s="25"/>
      <c r="K25" s="25">
        <f t="shared" si="0"/>
        <v>6235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>
        <v>7382</v>
      </c>
      <c r="D26" s="29" t="s">
        <v>365</v>
      </c>
      <c r="E26" s="26"/>
      <c r="F26" s="29"/>
      <c r="G26" s="26"/>
      <c r="H26" s="37"/>
      <c r="I26" s="26"/>
      <c r="J26" s="26"/>
      <c r="K26" s="22">
        <f t="shared" si="0"/>
        <v>7382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>
        <v>6058</v>
      </c>
      <c r="D27" s="32" t="s">
        <v>372</v>
      </c>
      <c r="E27" s="25"/>
      <c r="F27" s="32"/>
      <c r="G27" s="25"/>
      <c r="H27" s="38"/>
      <c r="I27" s="25"/>
      <c r="J27" s="25"/>
      <c r="K27" s="20">
        <f t="shared" si="0"/>
        <v>6058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>
        <v>5513</v>
      </c>
      <c r="D28" s="29" t="s">
        <v>367</v>
      </c>
      <c r="E28" s="26"/>
      <c r="F28" s="29"/>
      <c r="G28" s="26"/>
      <c r="H28" s="37"/>
      <c r="I28" s="26"/>
      <c r="J28" s="26"/>
      <c r="K28" s="22">
        <f t="shared" si="0"/>
        <v>5513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>
        <v>7026</v>
      </c>
      <c r="D29" s="32" t="s">
        <v>363</v>
      </c>
      <c r="E29" s="25"/>
      <c r="F29" s="32"/>
      <c r="G29" s="25"/>
      <c r="H29" s="38"/>
      <c r="I29" s="25"/>
      <c r="J29" s="25"/>
      <c r="K29" s="20">
        <f t="shared" si="0"/>
        <v>7026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>
        <v>7186</v>
      </c>
      <c r="D31" s="32" t="s">
        <v>363</v>
      </c>
      <c r="E31" s="25"/>
      <c r="F31" s="32"/>
      <c r="G31" s="25"/>
      <c r="H31" s="38"/>
      <c r="I31" s="25"/>
      <c r="J31" s="25"/>
      <c r="K31" s="25">
        <f t="shared" si="0"/>
        <v>7186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>
        <v>5510.03</v>
      </c>
      <c r="D33" s="32" t="s">
        <v>363</v>
      </c>
      <c r="E33" s="25"/>
      <c r="F33" s="32"/>
      <c r="G33" s="25"/>
      <c r="H33" s="38"/>
      <c r="I33" s="25"/>
      <c r="J33" s="25"/>
      <c r="K33" s="25">
        <f t="shared" si="0"/>
        <v>5510.03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>
        <v>5626.86</v>
      </c>
      <c r="D34" s="29" t="s">
        <v>368</v>
      </c>
      <c r="E34" s="26"/>
      <c r="F34" s="29"/>
      <c r="G34" s="26"/>
      <c r="H34" s="37"/>
      <c r="I34" s="26"/>
      <c r="J34" s="26"/>
      <c r="K34" s="22">
        <f t="shared" ref="K34:K65" si="1">SUM(C34,E34,G34,I34)</f>
        <v>5626.86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>
        <v>8500</v>
      </c>
      <c r="D36" s="29" t="s">
        <v>372</v>
      </c>
      <c r="E36" s="26"/>
      <c r="F36" s="29"/>
      <c r="G36" s="26"/>
      <c r="H36" s="37"/>
      <c r="I36" s="26"/>
      <c r="J36" s="26"/>
      <c r="K36" s="26">
        <f t="shared" si="1"/>
        <v>8500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>
        <v>1408</v>
      </c>
      <c r="D37" s="32" t="s">
        <v>366</v>
      </c>
      <c r="E37" s="25"/>
      <c r="F37" s="32"/>
      <c r="G37" s="25"/>
      <c r="H37" s="38"/>
      <c r="I37" s="25"/>
      <c r="J37" s="25"/>
      <c r="K37" s="20">
        <f t="shared" si="1"/>
        <v>1408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>
        <v>11516.94</v>
      </c>
      <c r="D38" s="29" t="s">
        <v>363</v>
      </c>
      <c r="E38" s="26"/>
      <c r="F38" s="29"/>
      <c r="G38" s="26"/>
      <c r="H38" s="37"/>
      <c r="I38" s="26"/>
      <c r="J38" s="26"/>
      <c r="K38" s="26">
        <f t="shared" si="1"/>
        <v>11516.94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>
        <v>6380</v>
      </c>
      <c r="D39" s="32" t="s">
        <v>363</v>
      </c>
      <c r="E39" s="25"/>
      <c r="F39" s="32"/>
      <c r="G39" s="25"/>
      <c r="H39" s="38"/>
      <c r="I39" s="25"/>
      <c r="J39" s="25"/>
      <c r="K39" s="25">
        <f t="shared" si="1"/>
        <v>6380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>
        <v>7092</v>
      </c>
      <c r="D40" s="29" t="s">
        <v>372</v>
      </c>
      <c r="E40" s="26"/>
      <c r="F40" s="29"/>
      <c r="G40" s="26"/>
      <c r="H40" s="37"/>
      <c r="I40" s="26"/>
      <c r="J40" s="26"/>
      <c r="K40" s="22">
        <f t="shared" si="1"/>
        <v>7092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>
        <v>6625.89</v>
      </c>
      <c r="D41" s="32" t="s">
        <v>373</v>
      </c>
      <c r="E41" s="25">
        <v>6432.44</v>
      </c>
      <c r="F41" s="32" t="s">
        <v>366</v>
      </c>
      <c r="G41" s="25"/>
      <c r="H41" s="38"/>
      <c r="I41" s="25"/>
      <c r="J41" s="25"/>
      <c r="K41" s="20">
        <f t="shared" si="1"/>
        <v>13058.33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>
        <v>5000</v>
      </c>
      <c r="D42" s="29" t="s">
        <v>363</v>
      </c>
      <c r="E42" s="26">
        <v>2887</v>
      </c>
      <c r="F42" s="29" t="s">
        <v>363</v>
      </c>
      <c r="G42" s="26"/>
      <c r="H42" s="37"/>
      <c r="I42" s="26"/>
      <c r="J42" s="26"/>
      <c r="K42" s="22">
        <f t="shared" si="1"/>
        <v>7887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>
        <v>100</v>
      </c>
      <c r="D43" s="32" t="s">
        <v>370</v>
      </c>
      <c r="E43" s="25">
        <v>20828.07</v>
      </c>
      <c r="F43" s="32" t="s">
        <v>364</v>
      </c>
      <c r="G43" s="25"/>
      <c r="H43" s="38"/>
      <c r="I43" s="25"/>
      <c r="J43" s="25"/>
      <c r="K43" s="20">
        <f t="shared" si="1"/>
        <v>20928.07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>
        <v>5319</v>
      </c>
      <c r="D44" s="29" t="s">
        <v>370</v>
      </c>
      <c r="E44" s="26">
        <v>7300</v>
      </c>
      <c r="F44" s="29" t="s">
        <v>370</v>
      </c>
      <c r="G44" s="26"/>
      <c r="H44" s="37"/>
      <c r="I44" s="26"/>
      <c r="J44" s="26"/>
      <c r="K44" s="26">
        <f t="shared" si="1"/>
        <v>12619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>
        <v>13558.03</v>
      </c>
      <c r="D45" s="32" t="s">
        <v>365</v>
      </c>
      <c r="E45" s="25"/>
      <c r="F45" s="32"/>
      <c r="G45" s="25"/>
      <c r="H45" s="38"/>
      <c r="I45" s="25"/>
      <c r="J45" s="25"/>
      <c r="K45" s="20">
        <f t="shared" si="1"/>
        <v>13558.03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>
        <v>8418.15</v>
      </c>
      <c r="D46" s="29" t="s">
        <v>368</v>
      </c>
      <c r="E46" s="26"/>
      <c r="F46" s="29"/>
      <c r="G46" s="26"/>
      <c r="H46" s="37"/>
      <c r="I46" s="26"/>
      <c r="J46" s="26"/>
      <c r="K46" s="26">
        <f t="shared" si="1"/>
        <v>8418.15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>
        <v>5731.15</v>
      </c>
      <c r="D48" s="29" t="s">
        <v>374</v>
      </c>
      <c r="E48" s="26"/>
      <c r="F48" s="29"/>
      <c r="G48" s="26"/>
      <c r="H48" s="37"/>
      <c r="I48" s="26"/>
      <c r="J48" s="26"/>
      <c r="K48" s="22">
        <f t="shared" si="1"/>
        <v>5731.15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>
        <v>426</v>
      </c>
      <c r="D49" s="32" t="s">
        <v>363</v>
      </c>
      <c r="E49" s="25"/>
      <c r="F49" s="32"/>
      <c r="G49" s="25"/>
      <c r="H49" s="38"/>
      <c r="I49" s="25"/>
      <c r="J49" s="25"/>
      <c r="K49" s="25">
        <f t="shared" si="1"/>
        <v>426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>
        <v>6500</v>
      </c>
      <c r="D50" s="29" t="s">
        <v>372</v>
      </c>
      <c r="E50" s="26"/>
      <c r="F50" s="29"/>
      <c r="G50" s="26"/>
      <c r="H50" s="37"/>
      <c r="I50" s="26"/>
      <c r="J50" s="26"/>
      <c r="K50" s="26">
        <f t="shared" si="1"/>
        <v>6500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>
        <v>10258.73</v>
      </c>
      <c r="D51" s="32" t="s">
        <v>363</v>
      </c>
      <c r="E51" s="25">
        <v>4616.01</v>
      </c>
      <c r="F51" s="32" t="s">
        <v>363</v>
      </c>
      <c r="G51" s="25"/>
      <c r="H51" s="38"/>
      <c r="I51" s="25"/>
      <c r="J51" s="25"/>
      <c r="K51" s="20">
        <f t="shared" si="1"/>
        <v>14874.74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>
        <v>6509</v>
      </c>
      <c r="D52" s="29" t="s">
        <v>372</v>
      </c>
      <c r="E52" s="26"/>
      <c r="F52" s="29"/>
      <c r="G52" s="26"/>
      <c r="H52" s="37"/>
      <c r="I52" s="26"/>
      <c r="J52" s="26"/>
      <c r="K52" s="22">
        <f t="shared" si="1"/>
        <v>6509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>
        <v>5912</v>
      </c>
      <c r="D54" s="29" t="s">
        <v>375</v>
      </c>
      <c r="E54" s="26"/>
      <c r="F54" s="29"/>
      <c r="G54" s="26"/>
      <c r="H54" s="37"/>
      <c r="I54" s="26"/>
      <c r="J54" s="26"/>
      <c r="K54" s="26">
        <f t="shared" si="1"/>
        <v>5912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>
        <v>7550.02</v>
      </c>
      <c r="D55" s="32" t="s">
        <v>373</v>
      </c>
      <c r="E55" s="25"/>
      <c r="F55" s="32"/>
      <c r="G55" s="25"/>
      <c r="H55" s="38"/>
      <c r="I55" s="25"/>
      <c r="J55" s="25"/>
      <c r="K55" s="20">
        <f t="shared" si="1"/>
        <v>7550.02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>
        <v>5464</v>
      </c>
      <c r="D57" s="32" t="s">
        <v>372</v>
      </c>
      <c r="E57" s="25"/>
      <c r="F57" s="32"/>
      <c r="G57" s="25"/>
      <c r="H57" s="38"/>
      <c r="I57" s="25"/>
      <c r="J57" s="25"/>
      <c r="K57" s="20">
        <f t="shared" si="1"/>
        <v>5464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>
        <v>5624.11</v>
      </c>
      <c r="D58" s="29" t="s">
        <v>375</v>
      </c>
      <c r="E58" s="26">
        <v>5975</v>
      </c>
      <c r="F58" s="29" t="s">
        <v>361</v>
      </c>
      <c r="G58" s="26"/>
      <c r="H58" s="37"/>
      <c r="I58" s="26"/>
      <c r="J58" s="26"/>
      <c r="K58" s="26">
        <f t="shared" si="1"/>
        <v>11599.11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>
        <v>9230</v>
      </c>
      <c r="D59" s="32" t="s">
        <v>365</v>
      </c>
      <c r="E59" s="25"/>
      <c r="F59" s="32"/>
      <c r="G59" s="25"/>
      <c r="H59" s="38"/>
      <c r="I59" s="25"/>
      <c r="J59" s="25"/>
      <c r="K59" s="20">
        <f t="shared" si="1"/>
        <v>9230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>
        <v>4799.82</v>
      </c>
      <c r="D61" s="32" t="s">
        <v>361</v>
      </c>
      <c r="E61" s="25">
        <v>990.83</v>
      </c>
      <c r="F61" s="32" t="s">
        <v>363</v>
      </c>
      <c r="G61" s="25"/>
      <c r="H61" s="38"/>
      <c r="I61" s="25"/>
      <c r="J61" s="25"/>
      <c r="K61" s="20">
        <f t="shared" si="1"/>
        <v>5790.65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>
        <v>12000</v>
      </c>
      <c r="D62" s="28" t="s">
        <v>363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>
        <v>13194</v>
      </c>
      <c r="D64" s="29" t="s">
        <v>363</v>
      </c>
      <c r="E64" s="26"/>
      <c r="F64" s="29"/>
      <c r="G64" s="26"/>
      <c r="H64" s="37"/>
      <c r="I64" s="26"/>
      <c r="J64" s="26"/>
      <c r="K64" s="22">
        <f t="shared" si="1"/>
        <v>13194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>
        <v>19495</v>
      </c>
      <c r="D65" s="32" t="s">
        <v>363</v>
      </c>
      <c r="E65" s="25"/>
      <c r="F65" s="32"/>
      <c r="G65" s="25"/>
      <c r="H65" s="38"/>
      <c r="I65" s="25"/>
      <c r="J65" s="25"/>
      <c r="K65" s="25">
        <f t="shared" si="1"/>
        <v>19495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478872.56000000011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U70"/>
  <sheetViews>
    <sheetView tabSelected="1" topLeftCell="C1" workbookViewId="0">
      <pane ySplit="2" topLeftCell="A31" activePane="bottomLeft" state="frozen"/>
      <selection pane="bottomLeft" activeCell="N58" sqref="N58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1" ht="16.5" customHeight="1" x14ac:dyDescent="0.25">
      <c r="A1" s="48"/>
      <c r="B1" s="93" t="s">
        <v>376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377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'ANNUAL-EXPENSE-DETAILS'!V8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'ANNUAL-EXPENSE-DETAILS'!U8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378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'ANNUAL-EXPENSE-DETAILS'!V8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379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41</v>
      </c>
      <c r="T18" s="22">
        <f>T16-T17</f>
        <v>0</v>
      </c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270</v>
      </c>
      <c r="T20" s="22">
        <f>'ANNUAL-EXPENSE-DETAILS'!X8</f>
        <v>0</v>
      </c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1000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1000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 t="s">
        <v>380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1" ht="16.5" customHeight="1" x14ac:dyDescent="0.25">
      <c r="A1" s="48"/>
      <c r="B1" s="93" t="s">
        <v>381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382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'ANNUAL-EXPENSE-DETAILS'!V9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'ANNUAL-EXPENSE-DETAILS'!U9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'ANNUAL-EXPENSE-DETAILS'!V9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383</v>
      </c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37</v>
      </c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39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41</v>
      </c>
      <c r="T16" s="22">
        <f>T14-T15</f>
        <v>0</v>
      </c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43</v>
      </c>
      <c r="T17" s="20">
        <f>T13-T16</f>
        <v>0</v>
      </c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270</v>
      </c>
      <c r="T18" s="22">
        <f>'ANNUAL-EXPENSE-DETAILS'!X9</f>
        <v>0</v>
      </c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1" ht="16.5" customHeight="1" x14ac:dyDescent="0.25">
      <c r="A1" s="48"/>
      <c r="B1" s="93" t="s">
        <v>384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318</v>
      </c>
      <c r="N2" s="18" t="s">
        <v>13</v>
      </c>
      <c r="O2" s="18" t="s">
        <v>14</v>
      </c>
      <c r="P2" s="18" t="s">
        <v>385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'ANNUAL-EXPENSE-DETAILS'!V10</f>
        <v>0</v>
      </c>
    </row>
    <row r="5" spans="1:21" ht="12.75" customHeight="1" x14ac:dyDescent="0.25">
      <c r="A5" s="19" t="s">
        <v>22</v>
      </c>
      <c r="B5" s="19" t="s">
        <v>19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'ANNUAL-EXPENSE-DETAILS'!U10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21</v>
      </c>
      <c r="T11" s="20">
        <f>'ANNUAL-EXPENSE-DETAILS'!V10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386</v>
      </c>
      <c r="T14" s="22">
        <f>CEILING( I70,1)</f>
        <v>27585</v>
      </c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387</v>
      </c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37</v>
      </c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39</v>
      </c>
      <c r="T18" s="22"/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41</v>
      </c>
      <c r="T19" s="20">
        <f>T17-T18</f>
        <v>0</v>
      </c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43</v>
      </c>
      <c r="T20" s="22">
        <f>T16-T19</f>
        <v>0</v>
      </c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270</v>
      </c>
      <c r="T21" s="20">
        <f>'ANNUAL-EXPENSE-DETAILS'!X10</f>
        <v>0</v>
      </c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1" ht="16.5" customHeight="1" x14ac:dyDescent="0.25">
      <c r="A1" s="48"/>
      <c r="B1" s="93" t="s">
        <v>388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318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'ANNUAL-EXPENSE-DETAILS'!V11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'ANNUAL-EXPENSE-DETAILS'!U11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'ANNUAL-EXPENSE-DETAILS'!V11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389</v>
      </c>
      <c r="T13" s="20">
        <f>I70</f>
        <v>27584.966200000028</v>
      </c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390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41</v>
      </c>
      <c r="T18" s="22">
        <f>T16-T17</f>
        <v>0</v>
      </c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270</v>
      </c>
      <c r="T20" s="22">
        <f>'ANNUAL-EXPENSE-DETAILS'!X11</f>
        <v>0</v>
      </c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1" ht="16.5" customHeight="1" x14ac:dyDescent="0.25">
      <c r="A1" s="48"/>
      <c r="B1" s="93" t="s">
        <v>391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318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'ANNUAL-EXPENSE-DETAILS'!V12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'ANNUAL-EXPENSE-DETAILS'!U12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'ANNUAL-EXPENSE-DETAILS'!V12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389</v>
      </c>
      <c r="T13" s="20">
        <f>I70</f>
        <v>27584.966200000028</v>
      </c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392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41</v>
      </c>
      <c r="T18" s="22">
        <f>T16-T17</f>
        <v>0</v>
      </c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270</v>
      </c>
      <c r="T20" s="22">
        <f>'ANNUAL-EXPENSE-DETAILS'!X12</f>
        <v>0</v>
      </c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U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1" ht="16.5" customHeight="1" x14ac:dyDescent="0.25">
      <c r="A1" s="50"/>
      <c r="B1" s="96" t="s">
        <v>393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318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'ANNUAL-EXPENSE-DETAILS'!V13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'ANNUAL-EXPENSE-DETAILS'!U13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21</v>
      </c>
      <c r="T11" s="20">
        <f>'ANNUAL-EXPENSE-DETAILS'!V13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389</v>
      </c>
      <c r="T13" s="20">
        <f>T8+I70</f>
        <v>27956.064400000028</v>
      </c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394</v>
      </c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41</v>
      </c>
      <c r="T18" s="22">
        <f>T16-T17</f>
        <v>0</v>
      </c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270</v>
      </c>
      <c r="T20" s="22">
        <f>'ANNUAL-EXPENSE-DETAILS'!X13</f>
        <v>0</v>
      </c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271</v>
      </c>
      <c r="T21" s="20">
        <f>T19-T20</f>
        <v>0</v>
      </c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1" ht="16.5" customHeight="1" x14ac:dyDescent="0.25">
      <c r="A1" s="51"/>
      <c r="B1" s="98" t="s">
        <v>395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spans="1:21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318</v>
      </c>
      <c r="N2" s="18" t="s">
        <v>13</v>
      </c>
      <c r="O2" s="18" t="s">
        <v>14</v>
      </c>
      <c r="P2" s="18" t="s">
        <v>385</v>
      </c>
      <c r="Q2" s="18" t="s">
        <v>15</v>
      </c>
      <c r="R2" s="18" t="s">
        <v>16</v>
      </c>
      <c r="S2" s="18"/>
      <c r="T2" s="18"/>
      <c r="U2" t="s">
        <v>17</v>
      </c>
    </row>
    <row r="3" spans="1:21" ht="12.75" customHeight="1" x14ac:dyDescent="0.25">
      <c r="A3" s="19" t="s">
        <v>18</v>
      </c>
      <c r="B3" s="19" t="s">
        <v>19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20</v>
      </c>
      <c r="B4" s="21" t="s">
        <v>19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21</v>
      </c>
      <c r="T4" s="22">
        <f>'ANNUAL-EXPENSE-DETAILS'!V14</f>
        <v>0</v>
      </c>
    </row>
    <row r="5" spans="1:21" ht="12.75" customHeight="1" x14ac:dyDescent="0.25">
      <c r="A5" s="19" t="s">
        <v>22</v>
      </c>
      <c r="B5" s="19" t="s">
        <v>19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23</v>
      </c>
      <c r="T5" s="20">
        <f>'ANNUAL-EXPENSE-DETAILS'!U14</f>
        <v>0</v>
      </c>
    </row>
    <row r="6" spans="1:21" ht="12.75" customHeight="1" x14ac:dyDescent="0.25">
      <c r="A6" s="21" t="s">
        <v>24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25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26</v>
      </c>
      <c r="T7" s="80">
        <f>(104.83+0.18*104.83)</f>
        <v>123.6994</v>
      </c>
    </row>
    <row r="8" spans="1:21" ht="12.75" customHeight="1" x14ac:dyDescent="0.25">
      <c r="A8" s="21" t="s">
        <v>27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28</v>
      </c>
      <c r="T8" s="22">
        <f>$T$7*3</f>
        <v>371.09820000000002</v>
      </c>
    </row>
    <row r="9" spans="1:21" ht="12.75" customHeight="1" x14ac:dyDescent="0.25">
      <c r="A9" s="19" t="s">
        <v>29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30</v>
      </c>
      <c r="T9" s="20">
        <f>T8/64</f>
        <v>5.7984093750000003</v>
      </c>
    </row>
    <row r="10" spans="1:21" ht="12.75" customHeight="1" x14ac:dyDescent="0.25">
      <c r="A10" s="21" t="s">
        <v>31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32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21</v>
      </c>
      <c r="T11" s="20">
        <f>'ANNUAL-EXPENSE-DETAILS'!V14</f>
        <v>0</v>
      </c>
    </row>
    <row r="12" spans="1:21" ht="12.75" customHeight="1" x14ac:dyDescent="0.25">
      <c r="A12" s="21" t="s">
        <v>33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34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389</v>
      </c>
      <c r="T13" s="20">
        <f>T8+I70</f>
        <v>27956.064400000028</v>
      </c>
    </row>
    <row r="14" spans="1:21" ht="12.75" customHeight="1" x14ac:dyDescent="0.25">
      <c r="A14" s="21" t="s">
        <v>36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1" ht="12.75" customHeight="1" x14ac:dyDescent="0.25">
      <c r="A15" s="19" t="s">
        <v>38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40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42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44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45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46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48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49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50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51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52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53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54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56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57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58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59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60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61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62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63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64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65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66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67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68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69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70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71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72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73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74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75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76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77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78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79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80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81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82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83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84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85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86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87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88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89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90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91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92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93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94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95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96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97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272</v>
      </c>
      <c r="D1" s="45" t="s">
        <v>273</v>
      </c>
      <c r="E1" s="18" t="s">
        <v>272</v>
      </c>
      <c r="F1" s="45" t="s">
        <v>273</v>
      </c>
      <c r="G1" s="18" t="s">
        <v>272</v>
      </c>
      <c r="H1" s="36" t="s">
        <v>273</v>
      </c>
      <c r="I1" s="18" t="s">
        <v>272</v>
      </c>
      <c r="J1" s="14" t="s">
        <v>273</v>
      </c>
      <c r="K1" s="14" t="s">
        <v>274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25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29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31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33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34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36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38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40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42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44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45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50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51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52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53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56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58</v>
      </c>
      <c r="B26" s="21" t="str">
        <f>VLOOKUP(A26,Members!$A$2:$B$65,2,FALSE)</f>
        <v>Ankur Agarwal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59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60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61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62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63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64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66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67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69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70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71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72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73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74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75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76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77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78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80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81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82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83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84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85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86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87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88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89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90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91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92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93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94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95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96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97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zoomScaleNormal="100" workbookViewId="0">
      <pane xSplit="1" ySplit="2" topLeftCell="N3" activePane="bottomRight" state="frozen"/>
      <selection pane="topRight"/>
      <selection pane="bottomLeft" activeCell="A3" sqref="A3"/>
      <selection pane="bottomRight" activeCell="V7" sqref="V7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59" width="14.42578125" style="67" customWidth="1"/>
    <col min="60" max="16384" width="14.42578125" style="67"/>
  </cols>
  <sheetData>
    <row r="1" spans="1:24" ht="32.25" customHeight="1" x14ac:dyDescent="0.25">
      <c r="A1" s="100" t="s">
        <v>396</v>
      </c>
      <c r="B1" s="104" t="s">
        <v>397</v>
      </c>
      <c r="C1" s="105"/>
      <c r="D1" s="104" t="s">
        <v>398</v>
      </c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5"/>
      <c r="T1" s="103" t="s">
        <v>399</v>
      </c>
      <c r="U1" s="103" t="s">
        <v>400</v>
      </c>
      <c r="V1" s="103" t="s">
        <v>401</v>
      </c>
      <c r="W1" s="102" t="s">
        <v>402</v>
      </c>
      <c r="X1" s="102" t="s">
        <v>403</v>
      </c>
    </row>
    <row r="2" spans="1:24" ht="38.25" customHeight="1" thickBot="1" x14ac:dyDescent="0.3">
      <c r="A2" s="101"/>
      <c r="B2" s="57" t="s">
        <v>404</v>
      </c>
      <c r="C2" s="57" t="s">
        <v>405</v>
      </c>
      <c r="D2" s="57" t="s">
        <v>406</v>
      </c>
      <c r="E2" s="57" t="s">
        <v>407</v>
      </c>
      <c r="F2" s="57" t="s">
        <v>408</v>
      </c>
      <c r="G2" s="57" t="s">
        <v>409</v>
      </c>
      <c r="H2" s="57" t="s">
        <v>410</v>
      </c>
      <c r="I2" s="57" t="s">
        <v>411</v>
      </c>
      <c r="J2" s="57" t="s">
        <v>412</v>
      </c>
      <c r="K2" s="57" t="s">
        <v>413</v>
      </c>
      <c r="L2" s="57" t="s">
        <v>414</v>
      </c>
      <c r="M2" s="57" t="s">
        <v>415</v>
      </c>
      <c r="N2" s="57" t="s">
        <v>416</v>
      </c>
      <c r="O2" s="57" t="s">
        <v>417</v>
      </c>
      <c r="P2" s="57" t="s">
        <v>418</v>
      </c>
      <c r="Q2" s="57" t="s">
        <v>419</v>
      </c>
      <c r="R2" s="57" t="s">
        <v>420</v>
      </c>
      <c r="S2" s="57" t="s">
        <v>421</v>
      </c>
      <c r="T2" s="101"/>
      <c r="U2" s="101"/>
      <c r="V2" s="101"/>
      <c r="W2" s="101"/>
      <c r="X2" s="101"/>
    </row>
    <row r="3" spans="1:24" ht="30" customHeight="1" x14ac:dyDescent="0.25">
      <c r="A3" s="60" t="s">
        <v>422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423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424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425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366340</v>
      </c>
      <c r="U6" s="63">
        <f t="shared" si="1"/>
        <v>40900</v>
      </c>
      <c r="V6" s="63">
        <f t="shared" si="2"/>
        <v>325440</v>
      </c>
      <c r="W6" s="79">
        <v>27585</v>
      </c>
      <c r="X6" s="84">
        <f t="shared" si="3"/>
        <v>393925</v>
      </c>
    </row>
    <row r="7" spans="1:24" ht="30" customHeight="1" x14ac:dyDescent="0.25">
      <c r="A7" s="60" t="s">
        <v>426</v>
      </c>
      <c r="B7" s="61">
        <v>20400</v>
      </c>
      <c r="C7" s="61">
        <v>21700</v>
      </c>
      <c r="D7" s="61">
        <v>31600</v>
      </c>
      <c r="E7" s="61">
        <v>26506</v>
      </c>
      <c r="F7" s="61">
        <v>151040</v>
      </c>
      <c r="G7" s="61">
        <v>6600</v>
      </c>
      <c r="H7" s="61">
        <v>10000</v>
      </c>
      <c r="I7" s="61">
        <v>0</v>
      </c>
      <c r="J7" s="61">
        <f>19800+25300+22800</f>
        <v>67900</v>
      </c>
      <c r="K7" s="61">
        <v>0</v>
      </c>
      <c r="L7" s="61">
        <v>0</v>
      </c>
      <c r="M7" s="61">
        <v>3000</v>
      </c>
      <c r="N7" s="61">
        <v>7000</v>
      </c>
      <c r="O7" s="61">
        <v>7000</v>
      </c>
      <c r="P7" s="61">
        <v>10000</v>
      </c>
      <c r="Q7" s="61">
        <v>3300</v>
      </c>
      <c r="R7" s="61">
        <v>5000</v>
      </c>
      <c r="S7" s="61">
        <v>0</v>
      </c>
      <c r="T7" s="61">
        <f t="shared" si="0"/>
        <v>371046</v>
      </c>
      <c r="U7" s="61">
        <f t="shared" si="1"/>
        <v>42100</v>
      </c>
      <c r="V7" s="61">
        <f t="shared" si="2"/>
        <v>328946</v>
      </c>
      <c r="W7" s="79">
        <v>27585</v>
      </c>
      <c r="X7" s="79">
        <f t="shared" si="3"/>
        <v>398631</v>
      </c>
    </row>
    <row r="8" spans="1:24" ht="30" customHeight="1" x14ac:dyDescent="0.25">
      <c r="A8" s="62" t="s">
        <v>427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428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429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430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431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432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433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98</v>
      </c>
      <c r="B15" s="66">
        <f t="shared" ref="B15:Q15" si="4">SUM(B3:B14)</f>
        <v>117750</v>
      </c>
      <c r="C15" s="66">
        <f t="shared" si="4"/>
        <v>107500</v>
      </c>
      <c r="D15" s="66">
        <f t="shared" si="4"/>
        <v>158000</v>
      </c>
      <c r="E15" s="66">
        <f t="shared" si="4"/>
        <v>141927</v>
      </c>
      <c r="F15" s="66">
        <f t="shared" si="4"/>
        <v>755200</v>
      </c>
      <c r="G15" s="66">
        <f t="shared" si="4"/>
        <v>33000</v>
      </c>
      <c r="H15" s="66">
        <f t="shared" si="4"/>
        <v>50000</v>
      </c>
      <c r="I15" s="66">
        <f t="shared" si="4"/>
        <v>0</v>
      </c>
      <c r="J15" s="66">
        <f t="shared" si="4"/>
        <v>181030</v>
      </c>
      <c r="K15" s="66">
        <f t="shared" si="4"/>
        <v>13995</v>
      </c>
      <c r="L15" s="66">
        <f t="shared" si="4"/>
        <v>0</v>
      </c>
      <c r="M15" s="66">
        <f t="shared" si="4"/>
        <v>15000</v>
      </c>
      <c r="N15" s="66">
        <f t="shared" si="4"/>
        <v>35000</v>
      </c>
      <c r="O15" s="66">
        <f t="shared" si="4"/>
        <v>35000</v>
      </c>
      <c r="P15" s="66">
        <f t="shared" si="4"/>
        <v>50000</v>
      </c>
      <c r="Q15" s="66">
        <f t="shared" si="4"/>
        <v>23000</v>
      </c>
      <c r="R15" s="66"/>
      <c r="S15" s="66">
        <f>SUM(S3:S14)</f>
        <v>10695</v>
      </c>
      <c r="T15" s="66">
        <f t="shared" si="0"/>
        <v>1727097</v>
      </c>
      <c r="U15" s="66">
        <f>SUM(U3:U14)</f>
        <v>225250</v>
      </c>
      <c r="V15" s="66">
        <f>SUM(V3:V14)</f>
        <v>1528027</v>
      </c>
      <c r="W15" s="81">
        <f>SUM(W3:W14)</f>
        <v>136611.86380000005</v>
      </c>
      <c r="X15" s="81">
        <f>SUM(X3:X14)</f>
        <v>1889888.8637999999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42" activePane="bottomRight" state="frozen"/>
      <selection pane="topRight" activeCell="B3" sqref="B3"/>
      <selection pane="bottomLeft" activeCell="B3" sqref="B3"/>
      <selection pane="bottomRight" activeCell="S47" sqref="S47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92" width="14.42578125" style="74" customWidth="1"/>
    <col min="93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434</v>
      </c>
      <c r="E1" s="107">
        <v>46113</v>
      </c>
      <c r="F1" s="90"/>
      <c r="G1" s="90"/>
      <c r="H1" s="91"/>
      <c r="I1" s="109">
        <v>46143</v>
      </c>
      <c r="J1" s="90"/>
      <c r="K1" s="90"/>
      <c r="L1" s="91"/>
      <c r="M1" s="108">
        <v>46174</v>
      </c>
      <c r="N1" s="90"/>
      <c r="O1" s="90"/>
      <c r="P1" s="91"/>
      <c r="Q1" s="108">
        <v>46204</v>
      </c>
      <c r="R1" s="90"/>
      <c r="S1" s="90"/>
      <c r="T1" s="91"/>
      <c r="U1" s="108">
        <v>46235</v>
      </c>
      <c r="V1" s="90"/>
      <c r="W1" s="90"/>
      <c r="X1" s="91"/>
      <c r="Y1" s="108">
        <v>46266</v>
      </c>
      <c r="Z1" s="90"/>
      <c r="AA1" s="90"/>
      <c r="AB1" s="91"/>
      <c r="AC1" s="108">
        <v>46296</v>
      </c>
      <c r="AD1" s="90"/>
      <c r="AE1" s="90"/>
      <c r="AF1" s="91"/>
      <c r="AG1" s="108">
        <v>46327</v>
      </c>
      <c r="AH1" s="90"/>
      <c r="AI1" s="90"/>
      <c r="AJ1" s="91"/>
      <c r="AK1" s="108">
        <v>46357</v>
      </c>
      <c r="AL1" s="90"/>
      <c r="AM1" s="90"/>
      <c r="AN1" s="91"/>
      <c r="AO1" s="108">
        <v>46388</v>
      </c>
      <c r="AP1" s="90"/>
      <c r="AQ1" s="90"/>
      <c r="AR1" s="91"/>
      <c r="AS1" s="108">
        <v>46419</v>
      </c>
      <c r="AT1" s="90"/>
      <c r="AU1" s="90"/>
      <c r="AV1" s="91"/>
      <c r="AW1" s="108">
        <v>46447</v>
      </c>
      <c r="AX1" s="90"/>
      <c r="AY1" s="90"/>
      <c r="AZ1" s="91"/>
      <c r="BA1" s="55" t="s">
        <v>435</v>
      </c>
      <c r="BB1" s="55" t="s">
        <v>436</v>
      </c>
      <c r="BC1" s="55" t="s">
        <v>437</v>
      </c>
      <c r="BD1" s="55" t="s">
        <v>438</v>
      </c>
      <c r="BE1" s="56" t="s">
        <v>439</v>
      </c>
    </row>
    <row r="2" spans="1:57" ht="15.75" customHeight="1" thickBot="1" x14ac:dyDescent="0.3">
      <c r="A2" s="14" t="s">
        <v>440</v>
      </c>
      <c r="B2" s="14" t="s">
        <v>441</v>
      </c>
      <c r="C2" s="14" t="s">
        <v>442</v>
      </c>
      <c r="D2" s="18"/>
      <c r="E2" s="18" t="s">
        <v>443</v>
      </c>
      <c r="F2" s="18" t="s">
        <v>444</v>
      </c>
      <c r="G2" s="18" t="s">
        <v>445</v>
      </c>
      <c r="H2" s="18" t="s">
        <v>446</v>
      </c>
      <c r="I2" s="18" t="s">
        <v>443</v>
      </c>
      <c r="J2" s="18" t="s">
        <v>444</v>
      </c>
      <c r="K2" s="18" t="s">
        <v>445</v>
      </c>
      <c r="L2" s="18" t="s">
        <v>446</v>
      </c>
      <c r="M2" s="18" t="s">
        <v>443</v>
      </c>
      <c r="N2" s="18" t="s">
        <v>444</v>
      </c>
      <c r="O2" s="18" t="s">
        <v>445</v>
      </c>
      <c r="P2" s="18" t="s">
        <v>446</v>
      </c>
      <c r="Q2" s="18" t="s">
        <v>443</v>
      </c>
      <c r="R2" s="18" t="s">
        <v>444</v>
      </c>
      <c r="S2" s="18" t="s">
        <v>445</v>
      </c>
      <c r="T2" s="18" t="s">
        <v>446</v>
      </c>
      <c r="U2" s="18" t="s">
        <v>443</v>
      </c>
      <c r="V2" s="18" t="s">
        <v>444</v>
      </c>
      <c r="W2" s="18" t="s">
        <v>445</v>
      </c>
      <c r="X2" s="18" t="s">
        <v>446</v>
      </c>
      <c r="Y2" s="18" t="s">
        <v>443</v>
      </c>
      <c r="Z2" s="18" t="s">
        <v>444</v>
      </c>
      <c r="AA2" s="18" t="s">
        <v>445</v>
      </c>
      <c r="AB2" s="18" t="s">
        <v>446</v>
      </c>
      <c r="AC2" s="18" t="s">
        <v>443</v>
      </c>
      <c r="AD2" s="18" t="s">
        <v>444</v>
      </c>
      <c r="AE2" s="18" t="s">
        <v>445</v>
      </c>
      <c r="AF2" s="18" t="s">
        <v>446</v>
      </c>
      <c r="AG2" s="18" t="s">
        <v>443</v>
      </c>
      <c r="AH2" s="18" t="s">
        <v>444</v>
      </c>
      <c r="AI2" s="18" t="s">
        <v>445</v>
      </c>
      <c r="AJ2" s="18" t="s">
        <v>446</v>
      </c>
      <c r="AK2" s="18" t="s">
        <v>443</v>
      </c>
      <c r="AL2" s="18" t="s">
        <v>444</v>
      </c>
      <c r="AM2" s="18" t="s">
        <v>445</v>
      </c>
      <c r="AN2" s="18" t="s">
        <v>446</v>
      </c>
      <c r="AO2" s="18" t="s">
        <v>443</v>
      </c>
      <c r="AP2" s="18" t="s">
        <v>444</v>
      </c>
      <c r="AQ2" s="18" t="s">
        <v>445</v>
      </c>
      <c r="AR2" s="18" t="s">
        <v>446</v>
      </c>
      <c r="AS2" s="18" t="s">
        <v>443</v>
      </c>
      <c r="AT2" s="18" t="s">
        <v>444</v>
      </c>
      <c r="AU2" s="18" t="s">
        <v>445</v>
      </c>
      <c r="AV2" s="18" t="s">
        <v>446</v>
      </c>
      <c r="AW2" s="18" t="s">
        <v>443</v>
      </c>
      <c r="AX2" s="18" t="s">
        <v>444</v>
      </c>
      <c r="AY2" s="18" t="s">
        <v>445</v>
      </c>
      <c r="AZ2" s="18" t="s">
        <v>446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24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5931.5252407882945</v>
      </c>
      <c r="O3" s="10"/>
      <c r="P3" s="70">
        <f t="shared" ref="P3:P34" ca="1" si="2">M3-(N3+O3)</f>
        <v>4924.4747592117055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5950.3969893672656</v>
      </c>
      <c r="S3" s="11"/>
      <c r="T3" s="70">
        <f t="shared" ref="T3:T34" ca="1" si="3">Q3-(R3+S3)</f>
        <v>54.603010632734367</v>
      </c>
      <c r="U3" s="70">
        <f ca="1">INDIRECT("'Aug"&amp;Members!$F$2&amp;"-COLLECTION'!K"&amp;ROW()-1)</f>
        <v>7264</v>
      </c>
      <c r="V3" s="70">
        <f ca="1">INDIRECT("'Aug"&amp;Members!$F$2&amp;"-EXPENSE'!R"&amp;ROW()+3)</f>
        <v>5911.9517975558956</v>
      </c>
      <c r="W3" s="10"/>
      <c r="X3" s="70">
        <f t="shared" ref="X3:X34" ca="1" si="4">U3-(V3+W3)</f>
        <v>1352.0482024441044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33355</v>
      </c>
      <c r="BB3" s="70">
        <f t="shared" ref="BB3:BB34" ca="1" si="13">SUM(F3,J3,N3,R3,V3,Z3,AD3,AH3,AL3,AP3,AT3,AX3)</f>
        <v>23359.696846351566</v>
      </c>
      <c r="BC3" s="70">
        <f t="shared" ref="BC3:BC34" si="14">SUM(G3,K3,O3,S3,W3,AA3,AE3,AI3,AM3,AQ3,AU3,AY3)</f>
        <v>0</v>
      </c>
      <c r="BD3" s="70">
        <f t="shared" ref="BD3:BD34" ca="1" si="15">BA3-(BB3+BC3)</f>
        <v>9995.3031536484341</v>
      </c>
      <c r="BE3" s="70">
        <f t="shared" ref="BE3:BE34" ca="1" si="16">BD3+D3</f>
        <v>552.59691624132392</v>
      </c>
    </row>
    <row r="4" spans="1:57" ht="16.149999999999999" customHeight="1" x14ac:dyDescent="0.25">
      <c r="A4" s="52" t="s">
        <v>25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6140.4346917049697</v>
      </c>
      <c r="K4" s="11"/>
      <c r="L4" s="72">
        <f t="shared" ca="1" si="1"/>
        <v>-6140.4346917049697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7545.7530504897186</v>
      </c>
      <c r="O4" s="10">
        <v>1000</v>
      </c>
      <c r="P4" s="72">
        <f t="shared" ca="1" si="2"/>
        <v>7954.2469495102814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6180.9440916896492</v>
      </c>
      <c r="S4" s="11"/>
      <c r="T4" s="72">
        <f t="shared" ca="1" si="3"/>
        <v>-6180.9440916896492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6604.0149903546226</v>
      </c>
      <c r="W4" s="10"/>
      <c r="X4" s="72">
        <f t="shared" ca="1" si="4"/>
        <v>-6604.0149903546226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26471.14682423896</v>
      </c>
      <c r="BC4" s="72">
        <f t="shared" si="14"/>
        <v>1000</v>
      </c>
      <c r="BD4" s="72">
        <f t="shared" ca="1" si="15"/>
        <v>-10971.14682423896</v>
      </c>
      <c r="BE4" s="72">
        <f t="shared" ca="1" si="16"/>
        <v>-8365.6288539681918</v>
      </c>
    </row>
    <row r="5" spans="1:57" ht="16.149999999999999" customHeight="1" x14ac:dyDescent="0.25">
      <c r="A5" s="68" t="s">
        <v>27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7519.5127796036359</v>
      </c>
      <c r="O5" s="10"/>
      <c r="P5" s="70">
        <f t="shared" ca="1" si="2"/>
        <v>-1519.5127796036359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7584.5075866517309</v>
      </c>
      <c r="S5" s="11"/>
      <c r="T5" s="70">
        <f t="shared" ca="1" si="3"/>
        <v>-1584.5075866517309</v>
      </c>
      <c r="U5" s="70">
        <f ca="1">INDIRECT("'Aug"&amp;Members!$F$2&amp;"-COLLECTION'!K"&amp;ROW()-1)</f>
        <v>23273.809999999998</v>
      </c>
      <c r="V5" s="70">
        <f ca="1">INDIRECT("'Aug"&amp;Members!$F$2&amp;"-EXPENSE'!R"&amp;ROW()+3)</f>
        <v>7358.353401749393</v>
      </c>
      <c r="W5" s="10"/>
      <c r="X5" s="70">
        <f t="shared" ca="1" si="4"/>
        <v>15915.456598250605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47273.81</v>
      </c>
      <c r="BB5" s="70">
        <f t="shared" ca="1" si="13"/>
        <v>29301.247810146757</v>
      </c>
      <c r="BC5" s="70">
        <f t="shared" si="14"/>
        <v>0</v>
      </c>
      <c r="BD5" s="70">
        <f t="shared" ca="1" si="15"/>
        <v>17972.562189853241</v>
      </c>
      <c r="BE5" s="70">
        <f t="shared" ca="1" si="16"/>
        <v>11335.303368837733</v>
      </c>
    </row>
    <row r="6" spans="1:57" ht="16.149999999999999" customHeight="1" x14ac:dyDescent="0.25">
      <c r="A6" s="52" t="s">
        <v>29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6064.2225661623743</v>
      </c>
      <c r="O6" s="10"/>
      <c r="P6" s="72">
        <f t="shared" ca="1" si="2"/>
        <v>-6064.2225661623743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>
        <v>1000</v>
      </c>
      <c r="T6" s="72">
        <f t="shared" ca="1" si="3"/>
        <v>14495.390860079529</v>
      </c>
      <c r="U6" s="72">
        <f ca="1">INDIRECT("'Aug"&amp;Members!$F$2&amp;"-COLLECTION'!K"&amp;ROW()-1)</f>
        <v>11259</v>
      </c>
      <c r="V6" s="72">
        <f ca="1">INDIRECT("'Aug"&amp;Members!$F$2&amp;"-EXPENSE'!R"&amp;ROW()+3)</f>
        <v>6090.5033916243365</v>
      </c>
      <c r="W6" s="10"/>
      <c r="X6" s="72">
        <f t="shared" ca="1" si="4"/>
        <v>5168.4966083756635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39737</v>
      </c>
      <c r="BB6" s="72">
        <f t="shared" ca="1" si="13"/>
        <v>24932.587849388696</v>
      </c>
      <c r="BC6" s="72">
        <f t="shared" si="14"/>
        <v>1000</v>
      </c>
      <c r="BD6" s="72">
        <f t="shared" ca="1" si="15"/>
        <v>13804.412150611304</v>
      </c>
      <c r="BE6" s="72">
        <f t="shared" ca="1" si="16"/>
        <v>8169.1902687049769</v>
      </c>
    </row>
    <row r="7" spans="1:57" ht="16.149999999999999" customHeight="1" x14ac:dyDescent="0.25">
      <c r="A7" s="68" t="s">
        <v>31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5582.5638157073336</v>
      </c>
      <c r="K7" s="11"/>
      <c r="L7" s="70">
        <f t="shared" ca="1" si="1"/>
        <v>-345.56381570733356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6178.147623053962</v>
      </c>
      <c r="O7" s="10"/>
      <c r="P7" s="70">
        <f t="shared" ca="1" si="2"/>
        <v>-623.16762305396242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5647.9547267080179</v>
      </c>
      <c r="S7" s="11"/>
      <c r="T7" s="70">
        <f t="shared" ca="1" si="3"/>
        <v>5611.0952732919814</v>
      </c>
      <c r="U7" s="70">
        <f ca="1">INDIRECT("'Aug"&amp;Members!$F$2&amp;"-COLLECTION'!K"&amp;ROW()-1)</f>
        <v>5703</v>
      </c>
      <c r="V7" s="70">
        <f ca="1">INDIRECT("'Aug"&amp;Members!$F$2&amp;"-EXPENSE'!R"&amp;ROW()+3)</f>
        <v>5881.1841667451881</v>
      </c>
      <c r="W7" s="10"/>
      <c r="X7" s="70">
        <f t="shared" ca="1" si="4"/>
        <v>-178.18416674518812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27754.03</v>
      </c>
      <c r="BB7" s="70">
        <f t="shared" ca="1" si="13"/>
        <v>23289.850332214504</v>
      </c>
      <c r="BC7" s="70">
        <f t="shared" si="14"/>
        <v>0</v>
      </c>
      <c r="BD7" s="70">
        <f t="shared" ca="1" si="15"/>
        <v>4464.1796677854945</v>
      </c>
      <c r="BE7" s="70">
        <f t="shared" ca="1" si="16"/>
        <v>-890.70448992379534</v>
      </c>
    </row>
    <row r="8" spans="1:57" ht="16.5" customHeight="1" x14ac:dyDescent="0.25">
      <c r="A8" s="52" t="s">
        <v>32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6403.6616646621969</v>
      </c>
      <c r="O8" s="10"/>
      <c r="P8" s="72">
        <f t="shared" ca="1" si="2"/>
        <v>1065.3383353378031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6204.3360187354319</v>
      </c>
      <c r="S8" s="11"/>
      <c r="T8" s="72">
        <f t="shared" ca="1" si="3"/>
        <v>135.45398126456803</v>
      </c>
      <c r="U8" s="72">
        <f ca="1">INDIRECT("'Aug"&amp;Members!$F$2&amp;"-COLLECTION'!K"&amp;ROW()-1)</f>
        <v>6262.27</v>
      </c>
      <c r="V8" s="72">
        <f ca="1">INDIRECT("'Aug"&amp;Members!$F$2&amp;"-EXPENSE'!R"&amp;ROW()+3)</f>
        <v>6173.2932339651434</v>
      </c>
      <c r="W8" s="10"/>
      <c r="X8" s="72">
        <f t="shared" ca="1" si="4"/>
        <v>88.976766034857064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34381.11</v>
      </c>
      <c r="BB8" s="72">
        <f t="shared" ca="1" si="13"/>
        <v>24616.793768662043</v>
      </c>
      <c r="BC8" s="72">
        <f t="shared" si="14"/>
        <v>0</v>
      </c>
      <c r="BD8" s="72">
        <f t="shared" ca="1" si="15"/>
        <v>9764.316231337958</v>
      </c>
      <c r="BE8" s="72">
        <f t="shared" ca="1" si="16"/>
        <v>-829.70051237466214</v>
      </c>
    </row>
    <row r="9" spans="1:57" ht="16.5" customHeight="1" x14ac:dyDescent="0.25">
      <c r="A9" s="68" t="s">
        <v>33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6175.7739258942438</v>
      </c>
      <c r="O9" s="10"/>
      <c r="P9" s="70">
        <f t="shared" ca="1" si="2"/>
        <v>-210.91392589424413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6220.1095379740509</v>
      </c>
      <c r="S9" s="11"/>
      <c r="T9" s="70">
        <f t="shared" ca="1" si="3"/>
        <v>-40.779537974050982</v>
      </c>
      <c r="U9" s="70">
        <f ca="1">INDIRECT("'Aug"&amp;Members!$F$2&amp;"-COLLECTION'!K"&amp;ROW()-1)</f>
        <v>6216.35</v>
      </c>
      <c r="V9" s="70">
        <f ca="1">INDIRECT("'Aug"&amp;Members!$F$2&amp;"-EXPENSE'!R"&amp;ROW()+3)</f>
        <v>6270.5696695967799</v>
      </c>
      <c r="W9" s="10"/>
      <c r="X9" s="70">
        <f t="shared" ca="1" si="4"/>
        <v>-54.219669596779568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30918.54</v>
      </c>
      <c r="BB9" s="70">
        <f t="shared" ca="1" si="13"/>
        <v>24684.424023654938</v>
      </c>
      <c r="BC9" s="70">
        <f t="shared" si="14"/>
        <v>0</v>
      </c>
      <c r="BD9" s="70">
        <f t="shared" ca="1" si="15"/>
        <v>6234.1159763450632</v>
      </c>
      <c r="BE9" s="70">
        <f t="shared" ca="1" si="16"/>
        <v>-939.63911724187346</v>
      </c>
    </row>
    <row r="10" spans="1:57" ht="16.149999999999999" customHeight="1" x14ac:dyDescent="0.25">
      <c r="A10" s="52" t="s">
        <v>34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5525.5433751678484</v>
      </c>
      <c r="O10" s="10"/>
      <c r="P10" s="72">
        <f t="shared" ca="1" si="2"/>
        <v>-192.54337516784835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5468.000701744003</v>
      </c>
      <c r="S10" s="11"/>
      <c r="T10" s="72">
        <f t="shared" ca="1" si="3"/>
        <v>434.99929825599702</v>
      </c>
      <c r="U10" s="72">
        <f ca="1">INDIRECT("'Aug"&amp;Members!$F$2&amp;"-COLLECTION'!K"&amp;ROW()-1)</f>
        <v>5091.08</v>
      </c>
      <c r="V10" s="72">
        <f ca="1">INDIRECT("'Aug"&amp;Members!$F$2&amp;"-EXPENSE'!R"&amp;ROW()+3)</f>
        <v>5781.9111060060277</v>
      </c>
      <c r="W10" s="10"/>
      <c r="X10" s="72">
        <f t="shared" ca="1" si="4"/>
        <v>-690.83110600602777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23318.080000000002</v>
      </c>
      <c r="BB10" s="72">
        <f t="shared" ca="1" si="13"/>
        <v>22114.970527886551</v>
      </c>
      <c r="BC10" s="72">
        <f t="shared" si="14"/>
        <v>0</v>
      </c>
      <c r="BD10" s="72">
        <f t="shared" ca="1" si="15"/>
        <v>1203.1094721134505</v>
      </c>
      <c r="BE10" s="72">
        <f t="shared" ca="1" si="16"/>
        <v>-762.38981498679664</v>
      </c>
    </row>
    <row r="11" spans="1:57" ht="16.149999999999999" customHeight="1" x14ac:dyDescent="0.25">
      <c r="A11" s="68" t="s">
        <v>36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5551.9460829351374</v>
      </c>
      <c r="K11" s="11"/>
      <c r="L11" s="70">
        <f t="shared" ca="1" si="1"/>
        <v>4681.0539170648626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5744.2586034891101</v>
      </c>
      <c r="O11" s="10"/>
      <c r="P11" s="70">
        <f t="shared" ca="1" si="2"/>
        <v>-206.2586034891101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5788.7005529008984</v>
      </c>
      <c r="S11" s="11"/>
      <c r="T11" s="70">
        <f t="shared" ca="1" si="3"/>
        <v>-5788.7005529008984</v>
      </c>
      <c r="U11" s="70">
        <f ca="1">INDIRECT("'Aug"&amp;Members!$F$2&amp;"-COLLECTION'!K"&amp;ROW()-1)</f>
        <v>8225</v>
      </c>
      <c r="V11" s="70">
        <f ca="1">INDIRECT("'Aug"&amp;Members!$F$2&amp;"-EXPENSE'!R"&amp;ROW()+3)</f>
        <v>5834.4254690396265</v>
      </c>
      <c r="W11" s="10"/>
      <c r="X11" s="70">
        <f t="shared" ca="1" si="4"/>
        <v>2390.5745309603735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23996</v>
      </c>
      <c r="BB11" s="70">
        <f t="shared" ca="1" si="13"/>
        <v>22919.330708364774</v>
      </c>
      <c r="BC11" s="70">
        <f t="shared" si="14"/>
        <v>0</v>
      </c>
      <c r="BD11" s="70">
        <f t="shared" ca="1" si="15"/>
        <v>1076.6692916352258</v>
      </c>
      <c r="BE11" s="70">
        <f t="shared" ca="1" si="16"/>
        <v>479.41169901080139</v>
      </c>
    </row>
    <row r="12" spans="1:57" ht="16.149999999999999" customHeight="1" x14ac:dyDescent="0.25">
      <c r="A12" s="52" t="s">
        <v>38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6200.4443689494819</v>
      </c>
      <c r="O12" s="10"/>
      <c r="P12" s="72">
        <f t="shared" ca="1" si="2"/>
        <v>-6200.4443689494819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6253.1907247315212</v>
      </c>
      <c r="S12" s="11"/>
      <c r="T12" s="72">
        <f t="shared" ca="1" si="3"/>
        <v>12350.809275268479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6503.4910012244818</v>
      </c>
      <c r="W12" s="10"/>
      <c r="X12" s="72">
        <f t="shared" ca="1" si="4"/>
        <v>-6503.4910012244818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25186.630136261425</v>
      </c>
      <c r="BC12" s="72">
        <f t="shared" si="14"/>
        <v>0</v>
      </c>
      <c r="BD12" s="72">
        <f t="shared" ca="1" si="15"/>
        <v>21239.369863738575</v>
      </c>
      <c r="BE12" s="72">
        <f t="shared" ca="1" si="16"/>
        <v>-6583.1557310702847</v>
      </c>
    </row>
    <row r="13" spans="1:57" ht="16.149999999999999" customHeight="1" x14ac:dyDescent="0.25">
      <c r="A13" s="68" t="s">
        <v>40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5557.6869073217949</v>
      </c>
      <c r="O13" s="10"/>
      <c r="P13" s="70">
        <f t="shared" ca="1" si="2"/>
        <v>-656.68690732179493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5577.132976648938</v>
      </c>
      <c r="S13" s="11"/>
      <c r="T13" s="70">
        <f t="shared" ca="1" si="3"/>
        <v>-5577.132976648938</v>
      </c>
      <c r="U13" s="70">
        <f ca="1">INDIRECT("'Aug"&amp;Members!$F$2&amp;"-COLLECTION'!K"&amp;ROW()-1)</f>
        <v>2225</v>
      </c>
      <c r="V13" s="70">
        <f ca="1">INDIRECT("'Aug"&amp;Members!$F$2&amp;"-EXPENSE'!R"&amp;ROW()+3)</f>
        <v>5601.9627333744047</v>
      </c>
      <c r="W13" s="10"/>
      <c r="X13" s="70">
        <f t="shared" ca="1" si="4"/>
        <v>-3376.9627333744047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12675</v>
      </c>
      <c r="BB13" s="70">
        <f t="shared" ca="1" si="13"/>
        <v>22079.459700258711</v>
      </c>
      <c r="BC13" s="70">
        <f t="shared" si="14"/>
        <v>0</v>
      </c>
      <c r="BD13" s="70">
        <f t="shared" ca="1" si="15"/>
        <v>-9404.4597002587107</v>
      </c>
      <c r="BE13" s="70">
        <f t="shared" ca="1" si="16"/>
        <v>-9964.4271602171866</v>
      </c>
    </row>
    <row r="14" spans="1:57" ht="16.149999999999999" customHeight="1" x14ac:dyDescent="0.25">
      <c r="A14" s="52" t="s">
        <v>42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6244.0192276793032</v>
      </c>
      <c r="O14" s="10"/>
      <c r="P14" s="72">
        <f t="shared" ca="1" si="2"/>
        <v>-6244.0192276793032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5826.5028608520015</v>
      </c>
      <c r="S14" s="11"/>
      <c r="T14" s="72">
        <f t="shared" ca="1" si="3"/>
        <v>-1111.7528608520015</v>
      </c>
      <c r="U14" s="72">
        <f ca="1">INDIRECT("'Aug"&amp;Members!$F$2&amp;"-COLLECTION'!K"&amp;ROW()-1)</f>
        <v>7988.16</v>
      </c>
      <c r="V14" s="72">
        <f ca="1">INDIRECT("'Aug"&amp;Members!$F$2&amp;"-EXPENSE'!R"&amp;ROW()+3)</f>
        <v>5747.9375167749195</v>
      </c>
      <c r="W14" s="10"/>
      <c r="X14" s="72">
        <f t="shared" ca="1" si="4"/>
        <v>2240.2224832250804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25198.32</v>
      </c>
      <c r="BB14" s="72">
        <f t="shared" ca="1" si="13"/>
        <v>23668.879374089123</v>
      </c>
      <c r="BC14" s="72">
        <f t="shared" si="14"/>
        <v>0</v>
      </c>
      <c r="BD14" s="72">
        <f t="shared" ca="1" si="15"/>
        <v>1529.4406259108764</v>
      </c>
      <c r="BE14" s="72">
        <f t="shared" ca="1" si="16"/>
        <v>173.04885298426643</v>
      </c>
    </row>
    <row r="15" spans="1:57" ht="16.149999999999999" customHeight="1" x14ac:dyDescent="0.25">
      <c r="A15" s="68" t="s">
        <v>44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5703.5132810404448</v>
      </c>
      <c r="O15" s="10"/>
      <c r="P15" s="70">
        <f t="shared" ca="1" si="2"/>
        <v>-5703.5132810404448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>
        <v>1000</v>
      </c>
      <c r="T15" s="70">
        <f t="shared" ca="1" si="3"/>
        <v>3638.77632616757</v>
      </c>
      <c r="U15" s="70">
        <f ca="1">INDIRECT("'Aug"&amp;Members!$F$2&amp;"-COLLECTION'!K"&amp;ROW()-1)</f>
        <v>8495.49</v>
      </c>
      <c r="V15" s="70">
        <f ca="1">INDIRECT("'Aug"&amp;Members!$F$2&amp;"-EXPENSE'!R"&amp;ROW()+3)</f>
        <v>6854.5703719499033</v>
      </c>
      <c r="W15" s="10"/>
      <c r="X15" s="70">
        <f t="shared" ca="1" si="4"/>
        <v>1640.9196280500964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24813.559999999998</v>
      </c>
      <c r="BB15" s="70">
        <f t="shared" ca="1" si="13"/>
        <v>24839.393114727845</v>
      </c>
      <c r="BC15" s="70">
        <f t="shared" si="14"/>
        <v>1000</v>
      </c>
      <c r="BD15" s="70">
        <f t="shared" ca="1" si="15"/>
        <v>-1025.8331147278477</v>
      </c>
      <c r="BE15" s="70">
        <f t="shared" ca="1" si="16"/>
        <v>-1872.1139718703016</v>
      </c>
    </row>
    <row r="16" spans="1:57" ht="16.149999999999999" customHeight="1" x14ac:dyDescent="0.25">
      <c r="A16" s="52" t="s">
        <v>45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6555.316883120031</v>
      </c>
      <c r="O16" s="10"/>
      <c r="P16" s="72">
        <f t="shared" ca="1" si="2"/>
        <v>-785.31688312003098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6571.2545306008578</v>
      </c>
      <c r="S16" s="11"/>
      <c r="T16" s="72">
        <f t="shared" ca="1" si="3"/>
        <v>-971.25453060085783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5836.6106247789048</v>
      </c>
      <c r="W16" s="10"/>
      <c r="X16" s="72">
        <f t="shared" ca="1" si="4"/>
        <v>-5836.6106247789048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24773.377255370222</v>
      </c>
      <c r="BC16" s="72">
        <f t="shared" si="14"/>
        <v>0</v>
      </c>
      <c r="BD16" s="72">
        <f t="shared" ca="1" si="15"/>
        <v>-6403.377255370222</v>
      </c>
      <c r="BE16" s="72">
        <f t="shared" ca="1" si="16"/>
        <v>-19277.63572572657</v>
      </c>
    </row>
    <row r="17" spans="1:57" ht="16.149999999999999" customHeight="1" x14ac:dyDescent="0.25">
      <c r="A17" s="68" t="s">
        <v>46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6817.9009633278783</v>
      </c>
      <c r="O17" s="10"/>
      <c r="P17" s="70">
        <f t="shared" ca="1" si="2"/>
        <v>-6817.9009633278783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6580.174332091824</v>
      </c>
      <c r="S17" s="11"/>
      <c r="T17" s="70">
        <f t="shared" ca="1" si="3"/>
        <v>-69.174332091823999</v>
      </c>
      <c r="U17" s="70">
        <f ca="1">INDIRECT("'Aug"&amp;Members!$F$2&amp;"-COLLECTION'!K"&amp;ROW()-1)</f>
        <v>13365</v>
      </c>
      <c r="V17" s="70">
        <f ca="1">INDIRECT("'Aug"&amp;Members!$F$2&amp;"-EXPENSE'!R"&amp;ROW()+3)</f>
        <v>6793.8654691305537</v>
      </c>
      <c r="W17" s="10"/>
      <c r="X17" s="70">
        <f t="shared" ca="1" si="4"/>
        <v>6571.1345308694463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31547</v>
      </c>
      <c r="BB17" s="70">
        <f t="shared" ca="1" si="13"/>
        <v>26738.191906381646</v>
      </c>
      <c r="BC17" s="70">
        <f t="shared" si="14"/>
        <v>0</v>
      </c>
      <c r="BD17" s="70">
        <f t="shared" ca="1" si="15"/>
        <v>4808.8080936183542</v>
      </c>
      <c r="BE17" s="70">
        <f t="shared" ca="1" si="16"/>
        <v>4386.4071013053617</v>
      </c>
    </row>
    <row r="18" spans="1:57" ht="16.149999999999999" customHeight="1" x14ac:dyDescent="0.25">
      <c r="A18" s="52" t="s">
        <v>48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7109.4046039084433</v>
      </c>
      <c r="O18" s="10"/>
      <c r="P18" s="72">
        <f t="shared" ca="1" si="2"/>
        <v>-7109.4046039084433</v>
      </c>
      <c r="Q18" s="72">
        <f ca="1">INDIRECT("'July"&amp;Members!$F$2&amp;"-COLLECTION'!K"&amp;ROW()-1)</f>
        <v>7247</v>
      </c>
      <c r="R18" s="72">
        <f ca="1">INDIRECT("'July"&amp;Members!$F$2&amp;"-EXPENSE'!R"&amp;ROW()+3)</f>
        <v>6555.8087237432728</v>
      </c>
      <c r="S18" s="11"/>
      <c r="T18" s="72">
        <f t="shared" ca="1" si="3"/>
        <v>691.19127625672718</v>
      </c>
      <c r="U18" s="72">
        <f ca="1">INDIRECT("'Aug"&amp;Members!$F$2&amp;"-COLLECTION'!K"&amp;ROW()-1)</f>
        <v>6945.68</v>
      </c>
      <c r="V18" s="72">
        <f ca="1">INDIRECT("'Aug"&amp;Members!$F$2&amp;"-EXPENSE'!R"&amp;ROW()+3)</f>
        <v>6908.3030644571154</v>
      </c>
      <c r="W18" s="10"/>
      <c r="X18" s="72">
        <f t="shared" ca="1" si="4"/>
        <v>37.376935542884894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45983.040000000001</v>
      </c>
      <c r="BB18" s="72">
        <f t="shared" ca="1" si="13"/>
        <v>27065.039331872835</v>
      </c>
      <c r="BC18" s="72">
        <f t="shared" si="14"/>
        <v>0</v>
      </c>
      <c r="BD18" s="72">
        <f t="shared" ca="1" si="15"/>
        <v>18918.000668127166</v>
      </c>
      <c r="BE18" s="72">
        <f t="shared" ca="1" si="16"/>
        <v>-37187.777002628383</v>
      </c>
    </row>
    <row r="19" spans="1:57" ht="16.149999999999999" customHeight="1" x14ac:dyDescent="0.25">
      <c r="A19" s="68" t="s">
        <v>49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5814.9920897592847</v>
      </c>
      <c r="K19" s="11"/>
      <c r="L19" s="70">
        <f t="shared" ca="1" si="1"/>
        <v>-5814.9920897592847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7474.8810928589246</v>
      </c>
      <c r="O19" s="10">
        <v>1000</v>
      </c>
      <c r="P19" s="70">
        <f t="shared" ca="1" si="2"/>
        <v>-2458.8810928589246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6611.8686201920236</v>
      </c>
      <c r="S19" s="11"/>
      <c r="T19" s="70">
        <f t="shared" ca="1" si="3"/>
        <v>-6611.8686201920236</v>
      </c>
      <c r="U19" s="70">
        <f ca="1">INDIRECT("'Aug"&amp;Members!$F$2&amp;"-COLLECTION'!K"&amp;ROW()-1)</f>
        <v>19000</v>
      </c>
      <c r="V19" s="70">
        <f ca="1">INDIRECT("'Aug"&amp;Members!$F$2&amp;"-EXPENSE'!R"&amp;ROW()+3)</f>
        <v>6407.1447731726012</v>
      </c>
      <c r="W19" s="10"/>
      <c r="X19" s="70">
        <f t="shared" ca="1" si="4"/>
        <v>12592.8552268274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25016</v>
      </c>
      <c r="BB19" s="70">
        <f t="shared" ca="1" si="13"/>
        <v>26308.886575982833</v>
      </c>
      <c r="BC19" s="70">
        <f t="shared" si="14"/>
        <v>1000</v>
      </c>
      <c r="BD19" s="70">
        <f t="shared" ca="1" si="15"/>
        <v>-2292.8865759828332</v>
      </c>
      <c r="BE19" s="70">
        <f t="shared" ca="1" si="16"/>
        <v>-4066.1128647900182</v>
      </c>
    </row>
    <row r="20" spans="1:57" ht="16.149999999999999" customHeight="1" x14ac:dyDescent="0.25">
      <c r="A20" s="52" t="s">
        <v>50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7044.9398412114842</v>
      </c>
      <c r="O20" s="10"/>
      <c r="P20" s="72">
        <f t="shared" ca="1" si="2"/>
        <v>119.84015878851551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7165.0676657116055</v>
      </c>
      <c r="S20" s="11"/>
      <c r="T20" s="72">
        <f t="shared" ca="1" si="3"/>
        <v>-7165.0676657116055</v>
      </c>
      <c r="U20" s="72">
        <f ca="1">INDIRECT("'Aug"&amp;Members!$F$2&amp;"-COLLECTION'!K"&amp;ROW()-1)</f>
        <v>14242.64</v>
      </c>
      <c r="V20" s="72">
        <f ca="1">INDIRECT("'Aug"&amp;Members!$F$2&amp;"-EXPENSE'!R"&amp;ROW()+3)</f>
        <v>7200.6103573031423</v>
      </c>
      <c r="W20" s="10"/>
      <c r="X20" s="72">
        <f t="shared" ca="1" si="4"/>
        <v>7042.0296426968571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27528.42</v>
      </c>
      <c r="BB20" s="72">
        <f t="shared" ca="1" si="13"/>
        <v>28144.405376923954</v>
      </c>
      <c r="BC20" s="72">
        <f t="shared" si="14"/>
        <v>0</v>
      </c>
      <c r="BD20" s="72">
        <f t="shared" ca="1" si="15"/>
        <v>-615.98537692395621</v>
      </c>
      <c r="BE20" s="72">
        <f t="shared" ca="1" si="16"/>
        <v>-627.70277826597157</v>
      </c>
    </row>
    <row r="21" spans="1:57" ht="15.75" customHeight="1" x14ac:dyDescent="0.25">
      <c r="A21" s="68" t="s">
        <v>51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6742.519003481395</v>
      </c>
      <c r="O21" s="10"/>
      <c r="P21" s="70">
        <f t="shared" ca="1" si="2"/>
        <v>-479.51900348139498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6157.2196841016203</v>
      </c>
      <c r="S21" s="11"/>
      <c r="T21" s="70">
        <f t="shared" ca="1" si="3"/>
        <v>886.78031589837974</v>
      </c>
      <c r="U21" s="70">
        <f ca="1">INDIRECT("'Aug"&amp;Members!$F$2&amp;"-COLLECTION'!K"&amp;ROW()-1)</f>
        <v>5873</v>
      </c>
      <c r="V21" s="70">
        <f ca="1">INDIRECT("'Aug"&amp;Members!$F$2&amp;"-EXPENSE'!R"&amp;ROW()+3)</f>
        <v>6730.259571934067</v>
      </c>
      <c r="W21" s="10"/>
      <c r="X21" s="70">
        <f t="shared" ca="1" si="4"/>
        <v>-857.25957193406703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27076</v>
      </c>
      <c r="BB21" s="70">
        <f t="shared" ca="1" si="13"/>
        <v>26000.064303245821</v>
      </c>
      <c r="BC21" s="70">
        <f t="shared" si="14"/>
        <v>0</v>
      </c>
      <c r="BD21" s="70">
        <f t="shared" ca="1" si="15"/>
        <v>1075.9356967541789</v>
      </c>
      <c r="BE21" s="70">
        <f t="shared" ca="1" si="16"/>
        <v>-763.50638031700896</v>
      </c>
    </row>
    <row r="22" spans="1:57" ht="15.75" customHeight="1" x14ac:dyDescent="0.25">
      <c r="A22" s="52" t="s">
        <v>52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6447.511550807938</v>
      </c>
      <c r="O22" s="10"/>
      <c r="P22" s="72">
        <f t="shared" ca="1" si="2"/>
        <v>563.48844919206203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6607.8076919216728</v>
      </c>
      <c r="S22" s="11"/>
      <c r="T22" s="72">
        <f t="shared" ca="1" si="3"/>
        <v>792.19230807832719</v>
      </c>
      <c r="U22" s="72">
        <f ca="1">INDIRECT("'Aug"&amp;Members!$F$2&amp;"-COLLECTION'!K"&amp;ROW()-1)</f>
        <v>5018</v>
      </c>
      <c r="V22" s="72">
        <f ca="1">INDIRECT("'Aug"&amp;Members!$F$2&amp;"-EXPENSE'!R"&amp;ROW()+3)</f>
        <v>7530.3455733475967</v>
      </c>
      <c r="W22" s="10"/>
      <c r="X22" s="72">
        <f t="shared" ca="1" si="4"/>
        <v>-2512.3455733475967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36625</v>
      </c>
      <c r="BB22" s="72">
        <f t="shared" ca="1" si="13"/>
        <v>27687.470518540827</v>
      </c>
      <c r="BC22" s="72">
        <f t="shared" si="14"/>
        <v>0</v>
      </c>
      <c r="BD22" s="72">
        <f t="shared" ca="1" si="15"/>
        <v>8937.5294814591725</v>
      </c>
      <c r="BE22" s="72">
        <f t="shared" ca="1" si="16"/>
        <v>-570.66254913396915</v>
      </c>
    </row>
    <row r="23" spans="1:57" ht="15.75" customHeight="1" x14ac:dyDescent="0.25">
      <c r="A23" s="68" t="s">
        <v>53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6157.9190514752772</v>
      </c>
      <c r="K23" s="11"/>
      <c r="L23" s="70">
        <f t="shared" ca="1" si="1"/>
        <v>-6157.9190514752772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7242.5478688131016</v>
      </c>
      <c r="O23" s="10">
        <v>1000</v>
      </c>
      <c r="P23" s="70">
        <f t="shared" ca="1" si="2"/>
        <v>-8242.5478688131006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>
        <v>1000</v>
      </c>
      <c r="T23" s="70">
        <f t="shared" ca="1" si="3"/>
        <v>21134.202682362386</v>
      </c>
      <c r="U23" s="70">
        <f ca="1">INDIRECT("'Aug"&amp;Members!$F$2&amp;"-COLLECTION'!K"&amp;ROW()-1)</f>
        <v>30000</v>
      </c>
      <c r="V23" s="70">
        <f ca="1">INDIRECT("'Aug"&amp;Members!$F$2&amp;"-EXPENSE'!R"&amp;ROW()+3)</f>
        <v>6486.6796570697452</v>
      </c>
      <c r="W23" s="10"/>
      <c r="X23" s="70">
        <f t="shared" ca="1" si="4"/>
        <v>23513.320342930256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59212.36</v>
      </c>
      <c r="BB23" s="70">
        <f t="shared" ca="1" si="13"/>
        <v>26965.303894995737</v>
      </c>
      <c r="BC23" s="70">
        <f t="shared" si="14"/>
        <v>2000</v>
      </c>
      <c r="BD23" s="70">
        <f t="shared" ca="1" si="15"/>
        <v>30247.056105004263</v>
      </c>
      <c r="BE23" s="70">
        <f t="shared" ca="1" si="16"/>
        <v>19611.181290104032</v>
      </c>
    </row>
    <row r="24" spans="1:57" ht="15.75" customHeight="1" x14ac:dyDescent="0.25">
      <c r="A24" s="52" t="s">
        <v>54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5515.3570445556825</v>
      </c>
      <c r="O24" s="10"/>
      <c r="P24" s="72">
        <f t="shared" ca="1" si="2"/>
        <v>-5515.3570445556825</v>
      </c>
      <c r="Q24" s="72">
        <f ca="1">INDIRECT("'July"&amp;Members!$F$2&amp;"-COLLECTION'!K"&amp;ROW()-1)</f>
        <v>0</v>
      </c>
      <c r="R24" s="72">
        <f ca="1">INDIRECT("'July"&amp;Members!$F$2&amp;"-EXPENSE'!R"&amp;ROW()+3)</f>
        <v>6462.3771384638776</v>
      </c>
      <c r="S24" s="11">
        <v>1000</v>
      </c>
      <c r="T24" s="72">
        <f t="shared" ca="1" si="3"/>
        <v>-7462.3771384638776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7092.3467713605096</v>
      </c>
      <c r="W24" s="10">
        <v>1000</v>
      </c>
      <c r="X24" s="72">
        <f t="shared" ca="1" si="4"/>
        <v>-8092.3467713605096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5260</v>
      </c>
      <c r="BB24" s="72">
        <f t="shared" ca="1" si="13"/>
        <v>24745.591758647071</v>
      </c>
      <c r="BC24" s="72">
        <f t="shared" si="14"/>
        <v>2000</v>
      </c>
      <c r="BD24" s="72">
        <f t="shared" ca="1" si="15"/>
        <v>-21485.591758647071</v>
      </c>
      <c r="BE24" s="72">
        <f t="shared" ca="1" si="16"/>
        <v>-32653.550107902451</v>
      </c>
    </row>
    <row r="25" spans="1:57" ht="15.75" customHeight="1" x14ac:dyDescent="0.25">
      <c r="A25" s="68" t="s">
        <v>56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6240.1144676113063</v>
      </c>
      <c r="O25" s="10"/>
      <c r="P25" s="70">
        <f t="shared" ca="1" si="2"/>
        <v>4322.8855323886937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5696.6336963516042</v>
      </c>
      <c r="S25" s="11"/>
      <c r="T25" s="70">
        <f t="shared" ca="1" si="3"/>
        <v>-3.6336963516041578</v>
      </c>
      <c r="U25" s="70">
        <f ca="1">INDIRECT("'Aug"&amp;Members!$F$2&amp;"-COLLECTION'!K"&amp;ROW()-1)</f>
        <v>6247</v>
      </c>
      <c r="V25" s="70">
        <f ca="1">INDIRECT("'Aug"&amp;Members!$F$2&amp;"-EXPENSE'!R"&amp;ROW()+3)</f>
        <v>5847.2584276397583</v>
      </c>
      <c r="W25" s="10"/>
      <c r="X25" s="70">
        <f t="shared" ca="1" si="4"/>
        <v>399.74157236024166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33124</v>
      </c>
      <c r="BB25" s="70">
        <f t="shared" ca="1" si="13"/>
        <v>23610.713325798821</v>
      </c>
      <c r="BC25" s="70">
        <f t="shared" si="14"/>
        <v>0</v>
      </c>
      <c r="BD25" s="70">
        <f t="shared" ca="1" si="15"/>
        <v>9513.2866742011793</v>
      </c>
      <c r="BE25" s="70">
        <f t="shared" ca="1" si="16"/>
        <v>-1108.4204987534413</v>
      </c>
    </row>
    <row r="26" spans="1:57" ht="15.75" customHeight="1" x14ac:dyDescent="0.25">
      <c r="A26" s="52" t="s">
        <v>57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5540.6530989092289</v>
      </c>
      <c r="O26" s="10"/>
      <c r="P26" s="72">
        <f t="shared" ca="1" si="2"/>
        <v>-5540.6530989092289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6234.5626713661059</v>
      </c>
      <c r="S26" s="11"/>
      <c r="T26" s="72">
        <f t="shared" ca="1" si="3"/>
        <v>-6234.5626713661059</v>
      </c>
      <c r="U26" s="72">
        <f ca="1">INDIRECT("'Aug"&amp;Members!$F$2&amp;"-COLLECTION'!K"&amp;ROW()-1)</f>
        <v>6235</v>
      </c>
      <c r="V26" s="72">
        <f ca="1">INDIRECT("'Aug"&amp;Members!$F$2&amp;"-EXPENSE'!R"&amp;ROW()+3)</f>
        <v>7023.7615912225929</v>
      </c>
      <c r="W26" s="10">
        <v>1000</v>
      </c>
      <c r="X26" s="72">
        <f t="shared" ca="1" si="4"/>
        <v>-1788.7615912225929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15677.25</v>
      </c>
      <c r="BB26" s="72">
        <f t="shared" ca="1" si="13"/>
        <v>24793.580487588599</v>
      </c>
      <c r="BC26" s="72">
        <f t="shared" si="14"/>
        <v>1000</v>
      </c>
      <c r="BD26" s="72">
        <f t="shared" ca="1" si="15"/>
        <v>-10116.330487588599</v>
      </c>
      <c r="BE26" s="72">
        <f t="shared" ca="1" si="16"/>
        <v>-9935.1621529118602</v>
      </c>
    </row>
    <row r="27" spans="1:57" ht="15.75" customHeight="1" x14ac:dyDescent="0.25">
      <c r="A27" s="68" t="s">
        <v>58</v>
      </c>
      <c r="B27" s="69" t="str">
        <f>VLOOKUP(A27,Members!$A$2:$C$65,3,FALSE)</f>
        <v>chandra.gumma@gmail.com</v>
      </c>
      <c r="C27" s="68" t="str">
        <f>Members!B26</f>
        <v>Ankur Agarwal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6740.247448244274</v>
      </c>
      <c r="O27" s="10"/>
      <c r="P27" s="70">
        <f t="shared" ca="1" si="2"/>
        <v>-275.24744824427398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7382.8160914275486</v>
      </c>
      <c r="S27" s="11"/>
      <c r="T27" s="70">
        <f t="shared" ca="1" si="3"/>
        <v>-680.8160914275486</v>
      </c>
      <c r="U27" s="70">
        <f ca="1">INDIRECT("'Aug"&amp;Members!$F$2&amp;"-COLLECTION'!K"&amp;ROW()-1)</f>
        <v>7382</v>
      </c>
      <c r="V27" s="70">
        <f ca="1">INDIRECT("'Aug"&amp;Members!$F$2&amp;"-EXPENSE'!R"&amp;ROW()+3)</f>
        <v>7102.1078104508797</v>
      </c>
      <c r="W27" s="10"/>
      <c r="X27" s="70">
        <f t="shared" ca="1" si="4"/>
        <v>279.8921895491203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26139</v>
      </c>
      <c r="BB27" s="70">
        <f t="shared" ca="1" si="13"/>
        <v>27560.606685995335</v>
      </c>
      <c r="BC27" s="70">
        <f t="shared" si="14"/>
        <v>0</v>
      </c>
      <c r="BD27" s="70">
        <f t="shared" ca="1" si="15"/>
        <v>-1421.6066859953353</v>
      </c>
      <c r="BE27" s="70">
        <f t="shared" ca="1" si="16"/>
        <v>-2633.7054330989413</v>
      </c>
    </row>
    <row r="28" spans="1:57" ht="15.75" customHeight="1" x14ac:dyDescent="0.25">
      <c r="A28" s="52" t="s">
        <v>59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5472.1461982470073</v>
      </c>
      <c r="K28" s="11"/>
      <c r="L28" s="72">
        <f t="shared" ca="1" si="1"/>
        <v>-1032.1461982470073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5778.1643743495697</v>
      </c>
      <c r="O28" s="10"/>
      <c r="P28" s="72">
        <f t="shared" ca="1" si="2"/>
        <v>-325.73437434956941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6057.9476370996654</v>
      </c>
      <c r="S28" s="11"/>
      <c r="T28" s="72">
        <f t="shared" ca="1" si="3"/>
        <v>-282.94763709966537</v>
      </c>
      <c r="U28" s="72">
        <f ca="1">INDIRECT("'Aug"&amp;Members!$F$2&amp;"-COLLECTION'!K"&amp;ROW()-1)</f>
        <v>6058</v>
      </c>
      <c r="V28" s="72">
        <f ca="1">INDIRECT("'Aug"&amp;Members!$F$2&amp;"-EXPENSE'!R"&amp;ROW()+3)</f>
        <v>5764.2065595053091</v>
      </c>
      <c r="W28" s="10"/>
      <c r="X28" s="72">
        <f t="shared" ca="1" si="4"/>
        <v>293.79344049469091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21725.43</v>
      </c>
      <c r="BB28" s="72">
        <f t="shared" ca="1" si="13"/>
        <v>23072.464769201553</v>
      </c>
      <c r="BC28" s="72">
        <f t="shared" si="14"/>
        <v>0</v>
      </c>
      <c r="BD28" s="72">
        <f t="shared" ca="1" si="15"/>
        <v>-1347.034769201553</v>
      </c>
      <c r="BE28" s="72">
        <f t="shared" ca="1" si="16"/>
        <v>-892.97354531041128</v>
      </c>
    </row>
    <row r="29" spans="1:57" ht="15.75" customHeight="1" x14ac:dyDescent="0.25">
      <c r="A29" s="68" t="s">
        <v>60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5569.2880060745401</v>
      </c>
      <c r="O29" s="10"/>
      <c r="P29" s="70">
        <f t="shared" ca="1" si="2"/>
        <v>4536.7119939254599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5524.4120708977616</v>
      </c>
      <c r="S29" s="11"/>
      <c r="T29" s="70">
        <f t="shared" ca="1" si="3"/>
        <v>59.587929102238377</v>
      </c>
      <c r="U29" s="70">
        <f ca="1">INDIRECT("'Aug"&amp;Members!$F$2&amp;"-COLLECTION'!K"&amp;ROW()-1)</f>
        <v>5513</v>
      </c>
      <c r="V29" s="70">
        <f ca="1">INDIRECT("'Aug"&amp;Members!$F$2&amp;"-EXPENSE'!R"&amp;ROW()+3)</f>
        <v>5644.2303443896326</v>
      </c>
      <c r="W29" s="10"/>
      <c r="X29" s="70">
        <f t="shared" ca="1" si="4"/>
        <v>-131.23034438963259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42779</v>
      </c>
      <c r="BB29" s="70">
        <f t="shared" ca="1" si="13"/>
        <v>22139.30233176543</v>
      </c>
      <c r="BC29" s="70">
        <f t="shared" si="14"/>
        <v>0</v>
      </c>
      <c r="BD29" s="70">
        <f t="shared" ca="1" si="15"/>
        <v>20639.69766823457</v>
      </c>
      <c r="BE29" s="70">
        <f t="shared" ca="1" si="16"/>
        <v>-936.30235879408792</v>
      </c>
    </row>
    <row r="30" spans="1:57" ht="15.75" customHeight="1" x14ac:dyDescent="0.25">
      <c r="A30" s="52" t="s">
        <v>61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6921.2404412114847</v>
      </c>
      <c r="O30" s="10"/>
      <c r="P30" s="72">
        <f t="shared" ca="1" si="2"/>
        <v>-1232.2404412114847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7039.6109021865668</v>
      </c>
      <c r="S30" s="11"/>
      <c r="T30" s="72">
        <f t="shared" ca="1" si="3"/>
        <v>-110.61090218656682</v>
      </c>
      <c r="U30" s="72">
        <f ca="1">INDIRECT("'Aug"&amp;Members!$F$2&amp;"-COLLECTION'!K"&amp;ROW()-1)</f>
        <v>7026</v>
      </c>
      <c r="V30" s="72">
        <f ca="1">INDIRECT("'Aug"&amp;Members!$F$2&amp;"-EXPENSE'!R"&amp;ROW()+3)</f>
        <v>6585.1392656723874</v>
      </c>
      <c r="W30" s="10"/>
      <c r="X30" s="72">
        <f t="shared" ca="1" si="4"/>
        <v>440.86073432761259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30466</v>
      </c>
      <c r="BB30" s="72">
        <f t="shared" ca="1" si="13"/>
        <v>26717.894270686618</v>
      </c>
      <c r="BC30" s="72">
        <f t="shared" si="14"/>
        <v>0</v>
      </c>
      <c r="BD30" s="72">
        <f t="shared" ca="1" si="15"/>
        <v>3748.1057293133817</v>
      </c>
      <c r="BE30" s="72">
        <f t="shared" ca="1" si="16"/>
        <v>-738.19791200084364</v>
      </c>
    </row>
    <row r="31" spans="1:57" ht="15.75" customHeight="1" x14ac:dyDescent="0.25">
      <c r="A31" s="68" t="s">
        <v>62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6327.2562588587543</v>
      </c>
      <c r="O31" s="10"/>
      <c r="P31" s="70">
        <f t="shared" ca="1" si="2"/>
        <v>9722.5337411412474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6261.7828138414534</v>
      </c>
      <c r="S31" s="11"/>
      <c r="T31" s="70">
        <f t="shared" ca="1" si="3"/>
        <v>-5199.7828138414534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6130.681547151642</v>
      </c>
      <c r="W31" s="10"/>
      <c r="X31" s="70">
        <f t="shared" ca="1" si="4"/>
        <v>-6130.681547151642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24703.608748182447</v>
      </c>
      <c r="BC31" s="70">
        <f t="shared" si="14"/>
        <v>0</v>
      </c>
      <c r="BD31" s="70">
        <f t="shared" ca="1" si="15"/>
        <v>3085.1812518175539</v>
      </c>
      <c r="BE31" s="70">
        <f t="shared" ca="1" si="16"/>
        <v>-12527.937370845937</v>
      </c>
    </row>
    <row r="32" spans="1:57" ht="15.75" customHeight="1" x14ac:dyDescent="0.25">
      <c r="A32" s="52" t="s">
        <v>63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6843.1373136393486</v>
      </c>
      <c r="O32" s="10"/>
      <c r="P32" s="72">
        <f t="shared" ca="1" si="2"/>
        <v>-6843.1373136393486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7185.277346249557</v>
      </c>
      <c r="S32" s="11"/>
      <c r="T32" s="72">
        <f t="shared" ca="1" si="3"/>
        <v>-140.62734624955738</v>
      </c>
      <c r="U32" s="72">
        <f ca="1">INDIRECT("'Aug"&amp;Members!$F$2&amp;"-COLLECTION'!K"&amp;ROW()-1)</f>
        <v>7186</v>
      </c>
      <c r="V32" s="72">
        <f ca="1">INDIRECT("'Aug"&amp;Members!$F$2&amp;"-EXPENSE'!R"&amp;ROW()+3)</f>
        <v>6718.1534901376299</v>
      </c>
      <c r="W32" s="10"/>
      <c r="X32" s="72">
        <f t="shared" ca="1" si="4"/>
        <v>467.84650986237011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26317.199999999997</v>
      </c>
      <c r="BB32" s="72">
        <f t="shared" ca="1" si="13"/>
        <v>26976.342206225836</v>
      </c>
      <c r="BC32" s="72">
        <f t="shared" si="14"/>
        <v>0</v>
      </c>
      <c r="BD32" s="72">
        <f t="shared" ca="1" si="15"/>
        <v>-659.14220622583889</v>
      </c>
      <c r="BE32" s="72">
        <f t="shared" ca="1" si="16"/>
        <v>-3066.7716124953331</v>
      </c>
    </row>
    <row r="33" spans="1:57" ht="15.75" customHeight="1" x14ac:dyDescent="0.25">
      <c r="A33" s="68" t="s">
        <v>64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5981.1317414042778</v>
      </c>
      <c r="K33" s="11"/>
      <c r="L33" s="70">
        <f t="shared" ca="1" si="1"/>
        <v>-5981.1317414042778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7495.6702583132355</v>
      </c>
      <c r="O33" s="10">
        <v>1000</v>
      </c>
      <c r="P33" s="70">
        <f t="shared" ca="1" si="2"/>
        <v>-8495.6702583132355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>
        <v>1000</v>
      </c>
      <c r="T33" s="70">
        <f t="shared" ca="1" si="3"/>
        <v>-7730.5318202221006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6874.0134730169084</v>
      </c>
      <c r="W33" s="10">
        <v>1000</v>
      </c>
      <c r="X33" s="70">
        <f t="shared" ca="1" si="4"/>
        <v>-7874.0134730169084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27081.347292956525</v>
      </c>
      <c r="BC33" s="70">
        <f t="shared" si="14"/>
        <v>3000</v>
      </c>
      <c r="BD33" s="70">
        <f t="shared" ca="1" si="15"/>
        <v>-30081.347292956525</v>
      </c>
      <c r="BE33" s="70">
        <f t="shared" ca="1" si="16"/>
        <v>-49364.873486177567</v>
      </c>
    </row>
    <row r="34" spans="1:57" ht="15.75" customHeight="1" x14ac:dyDescent="0.25">
      <c r="A34" s="52" t="s">
        <v>65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5929.8275190196</v>
      </c>
      <c r="O34" s="10"/>
      <c r="P34" s="72">
        <f t="shared" ca="1" si="2"/>
        <v>-926.17751901960037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6120.1583058860533</v>
      </c>
      <c r="S34" s="11"/>
      <c r="T34" s="72">
        <f t="shared" ca="1" si="3"/>
        <v>5322.9016941139462</v>
      </c>
      <c r="U34" s="72">
        <f ca="1">INDIRECT("'Aug"&amp;Members!$F$2&amp;"-COLLECTION'!K"&amp;ROW()-1)</f>
        <v>5510.03</v>
      </c>
      <c r="V34" s="72">
        <f ca="1">INDIRECT("'Aug"&amp;Members!$F$2&amp;"-EXPENSE'!R"&amp;ROW()+3)</f>
        <v>5860.8638133740942</v>
      </c>
      <c r="W34" s="10"/>
      <c r="X34" s="72">
        <f t="shared" ca="1" si="4"/>
        <v>-350.83381337409446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26775.739999999998</v>
      </c>
      <c r="BB34" s="72">
        <f t="shared" ca="1" si="13"/>
        <v>23480.036870374046</v>
      </c>
      <c r="BC34" s="72">
        <f t="shared" si="14"/>
        <v>0</v>
      </c>
      <c r="BD34" s="72">
        <f t="shared" ca="1" si="15"/>
        <v>3295.703129625952</v>
      </c>
      <c r="BE34" s="72">
        <f t="shared" ca="1" si="16"/>
        <v>-1694.6823537955588</v>
      </c>
    </row>
    <row r="35" spans="1:57" ht="15.75" customHeight="1" x14ac:dyDescent="0.25">
      <c r="A35" s="68" t="s">
        <v>66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5639.1775522191247</v>
      </c>
      <c r="O35" s="10"/>
      <c r="P35" s="70">
        <f t="shared" ref="P35:P66" ca="1" si="19">M35-(N35+O35)</f>
        <v>-185.17755221912466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5462.2014021113737</v>
      </c>
      <c r="S35" s="11"/>
      <c r="T35" s="70">
        <f t="shared" ref="T35:T66" ca="1" si="20">Q35-(R35+S35)</f>
        <v>8.7285978886266093</v>
      </c>
      <c r="U35" s="70">
        <f ca="1">INDIRECT("'Aug"&amp;Members!$F$2&amp;"-COLLECTION'!K"&amp;ROW()-1)</f>
        <v>5626.86</v>
      </c>
      <c r="V35" s="70">
        <f ca="1">INDIRECT("'Aug"&amp;Members!$F$2&amp;"-EXPENSE'!R"&amp;ROW()+3)</f>
        <v>5596.6673194660816</v>
      </c>
      <c r="W35" s="10"/>
      <c r="X35" s="70">
        <f t="shared" ref="X35:X66" ca="1" si="21">U35-(V35+W35)</f>
        <v>30.192680533918065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25998.71</v>
      </c>
      <c r="BB35" s="70">
        <f t="shared" ref="BB35:BB66" ca="1" si="30">SUM(F35,J35,N35,R35,V35,Z35,AD35,AH35,AL35,AP35,AT35,AX35)</f>
        <v>22168.976418987855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3829.733581012144</v>
      </c>
      <c r="BE35" s="70">
        <f t="shared" ref="BE35:BE66" ca="1" si="33">BD35+D35</f>
        <v>2844.758010852529</v>
      </c>
    </row>
    <row r="36" spans="1:57" ht="15.75" customHeight="1" x14ac:dyDescent="0.25">
      <c r="A36" s="52" t="s">
        <v>67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7195.1882177409352</v>
      </c>
      <c r="O36" s="10"/>
      <c r="P36" s="72">
        <f t="shared" ca="1" si="19"/>
        <v>327.69178225906489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5586.2522748163819</v>
      </c>
      <c r="S36" s="11"/>
      <c r="T36" s="72">
        <f t="shared" ca="1" si="20"/>
        <v>-5586.2522748163819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8150.5310522551817</v>
      </c>
      <c r="W36" s="10"/>
      <c r="X36" s="72">
        <f t="shared" ca="1" si="21"/>
        <v>-8150.5310522551817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28925.914304061847</v>
      </c>
      <c r="BC36" s="72">
        <f t="shared" si="31"/>
        <v>0</v>
      </c>
      <c r="BD36" s="72">
        <f t="shared" ca="1" si="32"/>
        <v>-8820.0343040618463</v>
      </c>
      <c r="BE36" s="72">
        <f t="shared" ca="1" si="33"/>
        <v>-15575.66659185123</v>
      </c>
    </row>
    <row r="37" spans="1:57" ht="15.75" customHeight="1" x14ac:dyDescent="0.25">
      <c r="A37" s="68" t="s">
        <v>68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6526.9083388572117</v>
      </c>
      <c r="O37" s="10"/>
      <c r="P37" s="70">
        <f t="shared" ca="1" si="19"/>
        <v>-6526.9083388572117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>
        <v>1000</v>
      </c>
      <c r="T37" s="70">
        <f t="shared" ca="1" si="20"/>
        <v>4883.2297541006265</v>
      </c>
      <c r="U37" s="70">
        <f ca="1">INDIRECT("'Aug"&amp;Members!$F$2&amp;"-COLLECTION'!K"&amp;ROW()-1)</f>
        <v>8500</v>
      </c>
      <c r="V37" s="70">
        <f ca="1">INDIRECT("'Aug"&amp;Members!$F$2&amp;"-EXPENSE'!R"&amp;ROW()+3)</f>
        <v>6512.605300268483</v>
      </c>
      <c r="W37" s="10"/>
      <c r="X37" s="70">
        <f t="shared" ca="1" si="21"/>
        <v>1987.394699731517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27092</v>
      </c>
      <c r="BB37" s="70">
        <f t="shared" ca="1" si="30"/>
        <v>27522.985996714131</v>
      </c>
      <c r="BC37" s="70">
        <f t="shared" si="31"/>
        <v>1000</v>
      </c>
      <c r="BD37" s="70">
        <f t="shared" ca="1" si="32"/>
        <v>-1430.985996714131</v>
      </c>
      <c r="BE37" s="70">
        <f t="shared" ca="1" si="33"/>
        <v>-1839.8862590050194</v>
      </c>
    </row>
    <row r="38" spans="1:57" ht="15.75" customHeight="1" x14ac:dyDescent="0.25">
      <c r="A38" s="52" t="s">
        <v>69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5644.096100327296</v>
      </c>
      <c r="K38" s="11"/>
      <c r="L38" s="72">
        <f t="shared" ca="1" si="18"/>
        <v>5355.903899672704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6271.9750461371368</v>
      </c>
      <c r="O38" s="10"/>
      <c r="P38" s="72">
        <f t="shared" ca="1" si="19"/>
        <v>-6271.9750461371368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6911.3233648587047</v>
      </c>
      <c r="S38" s="11"/>
      <c r="T38" s="72">
        <f t="shared" ca="1" si="20"/>
        <v>29088.676635141295</v>
      </c>
      <c r="U38" s="72">
        <f ca="1">INDIRECT("'Aug"&amp;Members!$F$2&amp;"-COLLECTION'!K"&amp;ROW()-1)</f>
        <v>1408</v>
      </c>
      <c r="V38" s="72">
        <f ca="1">INDIRECT("'Aug"&amp;Members!$F$2&amp;"-EXPENSE'!R"&amp;ROW()+3)</f>
        <v>6430.2803089377285</v>
      </c>
      <c r="W38" s="10"/>
      <c r="X38" s="72">
        <f t="shared" ca="1" si="21"/>
        <v>-5022.2803089377285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48408</v>
      </c>
      <c r="BB38" s="72">
        <f t="shared" ca="1" si="30"/>
        <v>25257.674820260865</v>
      </c>
      <c r="BC38" s="72">
        <f t="shared" si="31"/>
        <v>0</v>
      </c>
      <c r="BD38" s="72">
        <f t="shared" ca="1" si="32"/>
        <v>23150.325179739135</v>
      </c>
      <c r="BE38" s="72">
        <f t="shared" ca="1" si="33"/>
        <v>-445.42298185762411</v>
      </c>
    </row>
    <row r="39" spans="1:57" ht="15.75" customHeight="1" x14ac:dyDescent="0.25">
      <c r="A39" s="68" t="s">
        <v>70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6323.1896528260841</v>
      </c>
      <c r="O39" s="10"/>
      <c r="P39" s="70">
        <f t="shared" ca="1" si="19"/>
        <v>-800.55965282608395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5831.2477423696073</v>
      </c>
      <c r="S39" s="11"/>
      <c r="T39" s="70">
        <f t="shared" ca="1" si="20"/>
        <v>-5831.2477423696073</v>
      </c>
      <c r="U39" s="70">
        <f ca="1">INDIRECT("'Aug"&amp;Members!$F$2&amp;"-COLLECTION'!K"&amp;ROW()-1)</f>
        <v>11516.94</v>
      </c>
      <c r="V39" s="70">
        <f ca="1">INDIRECT("'Aug"&amp;Members!$F$2&amp;"-EXPENSE'!R"&amp;ROW()+3)</f>
        <v>5686.3863051116123</v>
      </c>
      <c r="W39" s="10"/>
      <c r="X39" s="70">
        <f t="shared" ca="1" si="21"/>
        <v>5830.5536948883882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55753.100000000006</v>
      </c>
      <c r="BB39" s="70">
        <f t="shared" ca="1" si="30"/>
        <v>23174.13717469175</v>
      </c>
      <c r="BC39" s="70">
        <f t="shared" si="31"/>
        <v>0</v>
      </c>
      <c r="BD39" s="70">
        <f t="shared" ca="1" si="32"/>
        <v>32578.962825308256</v>
      </c>
      <c r="BE39" s="70">
        <f t="shared" ca="1" si="33"/>
        <v>-1481.5663642824729</v>
      </c>
    </row>
    <row r="40" spans="1:57" ht="15.75" customHeight="1" x14ac:dyDescent="0.25">
      <c r="A40" s="52" t="s">
        <v>71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6366.5381486534134</v>
      </c>
      <c r="O40" s="10"/>
      <c r="P40" s="72">
        <f t="shared" ca="1" si="19"/>
        <v>-6366.5381486534134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5489.9677458069937</v>
      </c>
      <c r="S40" s="11"/>
      <c r="T40" s="72">
        <f t="shared" ca="1" si="20"/>
        <v>10016.032254193007</v>
      </c>
      <c r="U40" s="72">
        <f ca="1">INDIRECT("'Aug"&amp;Members!$F$2&amp;"-COLLECTION'!K"&amp;ROW()-1)</f>
        <v>6380</v>
      </c>
      <c r="V40" s="72">
        <f ca="1">INDIRECT("'Aug"&amp;Members!$F$2&amp;"-EXPENSE'!R"&amp;ROW()+3)</f>
        <v>5611.7879591802084</v>
      </c>
      <c r="W40" s="10"/>
      <c r="X40" s="72">
        <f t="shared" ca="1" si="21"/>
        <v>768.21204081979158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62667</v>
      </c>
      <c r="BB40" s="72">
        <f t="shared" ca="1" si="30"/>
        <v>22977.40806478183</v>
      </c>
      <c r="BC40" s="72">
        <f t="shared" si="31"/>
        <v>0</v>
      </c>
      <c r="BD40" s="72">
        <f t="shared" ca="1" si="32"/>
        <v>39689.591935218166</v>
      </c>
      <c r="BE40" s="72">
        <f t="shared" ca="1" si="33"/>
        <v>-1092.4631519294271</v>
      </c>
    </row>
    <row r="41" spans="1:57" ht="15.75" customHeight="1" x14ac:dyDescent="0.25">
      <c r="A41" s="68" t="s">
        <v>72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5624.6337357339762</v>
      </c>
      <c r="O41" s="10"/>
      <c r="P41" s="70">
        <f t="shared" ca="1" si="19"/>
        <v>-28.333735733976027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5835.4654148297013</v>
      </c>
      <c r="S41" s="11"/>
      <c r="T41" s="70">
        <f t="shared" ca="1" si="20"/>
        <v>105.80458517029911</v>
      </c>
      <c r="U41" s="70">
        <f ca="1">INDIRECT("'Aug"&amp;Members!$F$2&amp;"-COLLECTION'!K"&amp;ROW()-1)</f>
        <v>7092</v>
      </c>
      <c r="V41" s="70">
        <f ca="1">INDIRECT("'Aug"&amp;Members!$F$2&amp;"-EXPENSE'!R"&amp;ROW()+3)</f>
        <v>5917.5662123020693</v>
      </c>
      <c r="W41" s="10"/>
      <c r="X41" s="70">
        <f t="shared" ca="1" si="21"/>
        <v>1174.4337876979307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28633.27</v>
      </c>
      <c r="BB41" s="70">
        <f t="shared" ca="1" si="30"/>
        <v>23005.50688734811</v>
      </c>
      <c r="BC41" s="70">
        <f t="shared" si="31"/>
        <v>0</v>
      </c>
      <c r="BD41" s="70">
        <f t="shared" ca="1" si="32"/>
        <v>5627.76311265189</v>
      </c>
      <c r="BE41" s="70">
        <f t="shared" ca="1" si="33"/>
        <v>4974.3896909499163</v>
      </c>
    </row>
    <row r="42" spans="1:57" ht="15.75" customHeight="1" x14ac:dyDescent="0.25">
      <c r="A42" s="52" t="s">
        <v>73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6520.1819687202533</v>
      </c>
      <c r="O42" s="10"/>
      <c r="P42" s="72">
        <f t="shared" ca="1" si="19"/>
        <v>6201.6680312797471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6432.4418042855204</v>
      </c>
      <c r="S42" s="11"/>
      <c r="T42" s="72">
        <f t="shared" ca="1" si="20"/>
        <v>-6432.4418042855204</v>
      </c>
      <c r="U42" s="72">
        <f ca="1">INDIRECT("'Aug"&amp;Members!$F$2&amp;"-COLLECTION'!K"&amp;ROW()-1)</f>
        <v>13058.33</v>
      </c>
      <c r="V42" s="72">
        <f ca="1">INDIRECT("'Aug"&amp;Members!$F$2&amp;"-EXPENSE'!R"&amp;ROW()+3)</f>
        <v>6427.5528517741041</v>
      </c>
      <c r="W42" s="10"/>
      <c r="X42" s="72">
        <f t="shared" ca="1" si="21"/>
        <v>6630.7771482258959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27808.85</v>
      </c>
      <c r="BB42" s="72">
        <f t="shared" ca="1" si="30"/>
        <v>25533.596279948953</v>
      </c>
      <c r="BC42" s="72">
        <f t="shared" si="31"/>
        <v>0</v>
      </c>
      <c r="BD42" s="72">
        <f t="shared" ca="1" si="32"/>
        <v>2275.2537200510451</v>
      </c>
      <c r="BE42" s="72">
        <f t="shared" ca="1" si="33"/>
        <v>-753.42071768975802</v>
      </c>
    </row>
    <row r="43" spans="1:57" ht="15.75" customHeight="1" x14ac:dyDescent="0.25">
      <c r="A43" s="68" t="s">
        <v>74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5485.103699971819</v>
      </c>
      <c r="K43" s="11"/>
      <c r="L43" s="70">
        <f t="shared" ca="1" si="18"/>
        <v>-5485.103699971819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6551.7935456447922</v>
      </c>
      <c r="O43" s="10">
        <v>1000</v>
      </c>
      <c r="P43" s="70">
        <f t="shared" ca="1" si="19"/>
        <v>-2064.9035456447918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5594.5118833840661</v>
      </c>
      <c r="S43" s="11"/>
      <c r="T43" s="70">
        <f t="shared" ca="1" si="20"/>
        <v>2069.1281166159342</v>
      </c>
      <c r="U43" s="70">
        <f ca="1">INDIRECT("'Aug"&amp;Members!$F$2&amp;"-COLLECTION'!K"&amp;ROW()-1)</f>
        <v>7887</v>
      </c>
      <c r="V43" s="70">
        <f ca="1">INDIRECT("'Aug"&amp;Members!$F$2&amp;"-EXPENSE'!R"&amp;ROW()+3)</f>
        <v>6531.6496502881746</v>
      </c>
      <c r="W43" s="10"/>
      <c r="X43" s="70">
        <f t="shared" ca="1" si="21"/>
        <v>1355.3503497118254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21037.53</v>
      </c>
      <c r="BB43" s="70">
        <f t="shared" ca="1" si="30"/>
        <v>24163.058779288851</v>
      </c>
      <c r="BC43" s="70">
        <f t="shared" si="31"/>
        <v>1000</v>
      </c>
      <c r="BD43" s="70">
        <f t="shared" ca="1" si="32"/>
        <v>-4125.5287792888521</v>
      </c>
      <c r="BE43" s="70">
        <f t="shared" ca="1" si="33"/>
        <v>1786.6860440554046</v>
      </c>
    </row>
    <row r="44" spans="1:57" ht="15.75" customHeight="1" x14ac:dyDescent="0.25">
      <c r="A44" s="52" t="s">
        <v>75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/>
      <c r="H44" s="72">
        <f t="shared" ca="1" si="17"/>
        <v>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5368.4574076950557</v>
      </c>
      <c r="K44" s="11"/>
      <c r="L44" s="72">
        <f t="shared" ca="1" si="18"/>
        <v>2631.5425923049443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5472.2915023564692</v>
      </c>
      <c r="O44" s="10"/>
      <c r="P44" s="72">
        <f t="shared" ca="1" si="19"/>
        <v>-5472.2915023564692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5466.2433382189638</v>
      </c>
      <c r="S44" s="11"/>
      <c r="T44" s="72">
        <f t="shared" ca="1" si="20"/>
        <v>-5466.2433382189638</v>
      </c>
      <c r="U44" s="72">
        <f ca="1">INDIRECT("'Aug"&amp;Members!$F$2&amp;"-COLLECTION'!K"&amp;ROW()-1)</f>
        <v>20928.07</v>
      </c>
      <c r="V44" s="72">
        <f ca="1">INDIRECT("'Aug"&amp;Members!$F$2&amp;"-EXPENSE'!R"&amp;ROW()+3)</f>
        <v>6582.5674824330781</v>
      </c>
      <c r="W44" s="10">
        <v>1000</v>
      </c>
      <c r="X44" s="72">
        <f t="shared" ca="1" si="21"/>
        <v>13345.502517566922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28928.07</v>
      </c>
      <c r="BB44" s="72">
        <f t="shared" ca="1" si="30"/>
        <v>22889.559730703568</v>
      </c>
      <c r="BC44" s="72">
        <f t="shared" si="31"/>
        <v>1000</v>
      </c>
      <c r="BD44" s="72">
        <f t="shared" ca="1" si="32"/>
        <v>5038.5102692964319</v>
      </c>
      <c r="BE44" s="72">
        <f t="shared" ca="1" si="33"/>
        <v>-56823.994018616228</v>
      </c>
    </row>
    <row r="45" spans="1:57" ht="15.75" customHeight="1" x14ac:dyDescent="0.25">
      <c r="A45" s="68" t="s">
        <v>76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5988.0593756858161</v>
      </c>
      <c r="O45" s="10"/>
      <c r="P45" s="70">
        <f t="shared" ca="1" si="19"/>
        <v>-209.05937568581612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5969.7279881426975</v>
      </c>
      <c r="S45" s="11"/>
      <c r="T45" s="70">
        <f t="shared" ca="1" si="20"/>
        <v>-235.72798814269754</v>
      </c>
      <c r="U45" s="70">
        <f ca="1">INDIRECT("'Aug"&amp;Members!$F$2&amp;"-COLLECTION'!K"&amp;ROW()-1)</f>
        <v>12619</v>
      </c>
      <c r="V45" s="70">
        <f ca="1">INDIRECT("'Aug"&amp;Members!$F$2&amp;"-EXPENSE'!R"&amp;ROW()+3)</f>
        <v>5868.2646328122319</v>
      </c>
      <c r="W45" s="10"/>
      <c r="X45" s="70">
        <f t="shared" ca="1" si="21"/>
        <v>6750.7353671877681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34274</v>
      </c>
      <c r="BB45" s="70">
        <f t="shared" ca="1" si="30"/>
        <v>23654.744950827928</v>
      </c>
      <c r="BC45" s="70">
        <f t="shared" si="31"/>
        <v>0</v>
      </c>
      <c r="BD45" s="70">
        <f t="shared" ca="1" si="32"/>
        <v>10619.255049172072</v>
      </c>
      <c r="BE45" s="70">
        <f t="shared" ca="1" si="33"/>
        <v>5301.0854259865555</v>
      </c>
    </row>
    <row r="46" spans="1:57" ht="15.75" customHeight="1" x14ac:dyDescent="0.25">
      <c r="A46" s="52" t="s">
        <v>77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5957.999929113188</v>
      </c>
      <c r="K46" s="11"/>
      <c r="L46" s="72">
        <f t="shared" ca="1" si="18"/>
        <v>10165.220070886811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6577.1122386971374</v>
      </c>
      <c r="O46" s="10"/>
      <c r="P46" s="72">
        <f t="shared" ca="1" si="19"/>
        <v>-1173.8622386971374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6476.0244197064931</v>
      </c>
      <c r="S46" s="11"/>
      <c r="T46" s="72">
        <f t="shared" ca="1" si="20"/>
        <v>-6476.0244197064931</v>
      </c>
      <c r="U46" s="72">
        <f ca="1">INDIRECT("'Aug"&amp;Members!$F$2&amp;"-COLLECTION'!K"&amp;ROW()-1)</f>
        <v>13558.03</v>
      </c>
      <c r="V46" s="72">
        <f ca="1">INDIRECT("'Aug"&amp;Members!$F$2&amp;"-EXPENSE'!R"&amp;ROW()+3)</f>
        <v>5926.5141858037841</v>
      </c>
      <c r="W46" s="10"/>
      <c r="X46" s="72">
        <f t="shared" ca="1" si="21"/>
        <v>7631.5158141962165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35084.5</v>
      </c>
      <c r="BB46" s="72">
        <f t="shared" ca="1" si="30"/>
        <v>24937.650773320602</v>
      </c>
      <c r="BC46" s="72">
        <f t="shared" si="31"/>
        <v>0</v>
      </c>
      <c r="BD46" s="72">
        <f t="shared" ca="1" si="32"/>
        <v>10146.849226679398</v>
      </c>
      <c r="BE46" s="72">
        <f t="shared" ca="1" si="33"/>
        <v>-1154.7088226083524</v>
      </c>
    </row>
    <row r="47" spans="1:57" ht="15.75" customHeight="1" x14ac:dyDescent="0.25">
      <c r="A47" s="68" t="s">
        <v>78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5545.5685658262464</v>
      </c>
      <c r="O47" s="10"/>
      <c r="P47" s="70">
        <f t="shared" ca="1" si="19"/>
        <v>-5545.5685658262464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>
        <v>1000</v>
      </c>
      <c r="T47" s="70">
        <f t="shared" ca="1" si="20"/>
        <v>3189.4271810024693</v>
      </c>
      <c r="U47" s="70">
        <f ca="1">INDIRECT("'Aug"&amp;Members!$F$2&amp;"-COLLECTION'!K"&amp;ROW()-1)</f>
        <v>8418.15</v>
      </c>
      <c r="V47" s="70">
        <f ca="1">INDIRECT("'Aug"&amp;Members!$F$2&amp;"-EXPENSE'!R"&amp;ROW()+3)</f>
        <v>6641.6054126007257</v>
      </c>
      <c r="W47" s="10"/>
      <c r="X47" s="70">
        <f t="shared" ca="1" si="21"/>
        <v>1776.544587399274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24096.440000000002</v>
      </c>
      <c r="BB47" s="70">
        <f t="shared" ca="1" si="30"/>
        <v>24328.58548230879</v>
      </c>
      <c r="BC47" s="70">
        <f t="shared" si="31"/>
        <v>1000</v>
      </c>
      <c r="BD47" s="70">
        <f t="shared" ca="1" si="32"/>
        <v>-1232.1454823087879</v>
      </c>
      <c r="BE47" s="70">
        <f t="shared" ca="1" si="33"/>
        <v>-1947.6290802624826</v>
      </c>
    </row>
    <row r="48" spans="1:57" ht="15.75" customHeight="1" x14ac:dyDescent="0.25">
      <c r="A48" s="52" t="s">
        <v>79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6098.4403261804109</v>
      </c>
      <c r="K48" s="11"/>
      <c r="L48" s="72">
        <f t="shared" ca="1" si="18"/>
        <v>-6098.4403261804109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7461.4894600368552</v>
      </c>
      <c r="O48" s="10">
        <v>1000</v>
      </c>
      <c r="P48" s="72">
        <f t="shared" ca="1" si="19"/>
        <v>-8461.4894600368552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>
        <v>1000</v>
      </c>
      <c r="T48" s="72">
        <f t="shared" ca="1" si="20"/>
        <v>-8205.0199719826869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7238.9185314344104</v>
      </c>
      <c r="W48" s="10">
        <v>1000</v>
      </c>
      <c r="X48" s="72">
        <f t="shared" ca="1" si="21"/>
        <v>-8238.9185314344104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28003.868289634363</v>
      </c>
      <c r="BC48" s="72">
        <f t="shared" si="31"/>
        <v>3000</v>
      </c>
      <c r="BD48" s="72">
        <f t="shared" ca="1" si="32"/>
        <v>-31003.868289634363</v>
      </c>
      <c r="BE48" s="72">
        <f t="shared" ca="1" si="33"/>
        <v>-33904.354604876164</v>
      </c>
    </row>
    <row r="49" spans="1:57" ht="15.75" customHeight="1" x14ac:dyDescent="0.25">
      <c r="A49" s="68" t="s">
        <v>80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7247.5912296679689</v>
      </c>
      <c r="O49" s="10"/>
      <c r="P49" s="70">
        <f t="shared" ca="1" si="19"/>
        <v>11886.408770332031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5991.3245673379188</v>
      </c>
      <c r="S49" s="11"/>
      <c r="T49" s="70">
        <f t="shared" ca="1" si="20"/>
        <v>1534.6754326620812</v>
      </c>
      <c r="U49" s="70">
        <f ca="1">INDIRECT("'Aug"&amp;Members!$F$2&amp;"-COLLECTION'!K"&amp;ROW()-1)</f>
        <v>5731.15</v>
      </c>
      <c r="V49" s="70">
        <f ca="1">INDIRECT("'Aug"&amp;Members!$F$2&amp;"-EXPENSE'!R"&amp;ROW()+3)</f>
        <v>7080.8414927320682</v>
      </c>
      <c r="W49" s="10"/>
      <c r="X49" s="70">
        <f t="shared" ca="1" si="21"/>
        <v>-1349.6914927320686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49032.15</v>
      </c>
      <c r="BB49" s="70">
        <f t="shared" ca="1" si="30"/>
        <v>27006.159268364048</v>
      </c>
      <c r="BC49" s="70">
        <f t="shared" si="31"/>
        <v>0</v>
      </c>
      <c r="BD49" s="70">
        <f t="shared" ca="1" si="32"/>
        <v>22025.990731635953</v>
      </c>
      <c r="BE49" s="70">
        <f t="shared" ca="1" si="33"/>
        <v>-712.06382615461553</v>
      </c>
    </row>
    <row r="50" spans="1:57" ht="15.75" customHeight="1" x14ac:dyDescent="0.25">
      <c r="A50" s="52" t="s">
        <v>81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5910.8130352102235</v>
      </c>
      <c r="O50" s="10"/>
      <c r="P50" s="72">
        <f t="shared" ca="1" si="19"/>
        <v>-1468.8130352102235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5615.7949741998009</v>
      </c>
      <c r="S50" s="11"/>
      <c r="T50" s="72">
        <f t="shared" ca="1" si="20"/>
        <v>-2553.7949741998009</v>
      </c>
      <c r="U50" s="72">
        <f ca="1">INDIRECT("'Aug"&amp;Members!$F$2&amp;"-COLLECTION'!K"&amp;ROW()-1)</f>
        <v>426</v>
      </c>
      <c r="V50" s="72">
        <f ca="1">INDIRECT("'Aug"&amp;Members!$F$2&amp;"-EXPENSE'!R"&amp;ROW()+3)</f>
        <v>5799.4561520878196</v>
      </c>
      <c r="W50" s="10"/>
      <c r="X50" s="72">
        <f t="shared" ca="1" si="21"/>
        <v>-5373.4561520878196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17608</v>
      </c>
      <c r="BB50" s="72">
        <f t="shared" ca="1" si="30"/>
        <v>22831.611283675582</v>
      </c>
      <c r="BC50" s="72">
        <f t="shared" si="31"/>
        <v>0</v>
      </c>
      <c r="BD50" s="72">
        <f t="shared" ca="1" si="32"/>
        <v>-5223.6112836755819</v>
      </c>
      <c r="BE50" s="72">
        <f t="shared" ca="1" si="33"/>
        <v>-40.830612190420652</v>
      </c>
    </row>
    <row r="51" spans="1:57" ht="15.75" customHeight="1" x14ac:dyDescent="0.25">
      <c r="A51" s="68" t="s">
        <v>82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6897.3591549985176</v>
      </c>
      <c r="O51" s="10"/>
      <c r="P51" s="70">
        <f t="shared" ca="1" si="19"/>
        <v>2102.6408450014824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7021.3343215261593</v>
      </c>
      <c r="S51" s="11"/>
      <c r="T51" s="70">
        <f t="shared" ca="1" si="20"/>
        <v>618.66567847384067</v>
      </c>
      <c r="U51" s="70">
        <f ca="1">INDIRECT("'Aug"&amp;Members!$F$2&amp;"-COLLECTION'!K"&amp;ROW()-1)</f>
        <v>6500</v>
      </c>
      <c r="V51" s="70">
        <f ca="1">INDIRECT("'Aug"&amp;Members!$F$2&amp;"-EXPENSE'!R"&amp;ROW()+3)</f>
        <v>7039.5400091489246</v>
      </c>
      <c r="W51" s="10"/>
      <c r="X51" s="70">
        <f t="shared" ca="1" si="21"/>
        <v>-539.54000914892458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29019</v>
      </c>
      <c r="BB51" s="70">
        <f t="shared" ca="1" si="30"/>
        <v>27403.627479523562</v>
      </c>
      <c r="BC51" s="70">
        <f t="shared" si="31"/>
        <v>0</v>
      </c>
      <c r="BD51" s="70">
        <f t="shared" ca="1" si="32"/>
        <v>1615.3725204764378</v>
      </c>
      <c r="BE51" s="70">
        <f t="shared" ca="1" si="33"/>
        <v>-318.90520945921526</v>
      </c>
    </row>
    <row r="52" spans="1:57" ht="15.75" customHeight="1" x14ac:dyDescent="0.25">
      <c r="A52" s="52" t="s">
        <v>83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6959.7142084230272</v>
      </c>
      <c r="O52" s="10"/>
      <c r="P52" s="72">
        <f t="shared" ca="1" si="19"/>
        <v>-6959.7142084230272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7101.802578810195</v>
      </c>
      <c r="S52" s="11"/>
      <c r="T52" s="72">
        <f t="shared" ca="1" si="20"/>
        <v>12796.627421189805</v>
      </c>
      <c r="U52" s="72">
        <f ca="1">INDIRECT("'Aug"&amp;Members!$F$2&amp;"-COLLECTION'!K"&amp;ROW()-1)</f>
        <v>14874.74</v>
      </c>
      <c r="V52" s="72">
        <f ca="1">INDIRECT("'Aug"&amp;Members!$F$2&amp;"-EXPENSE'!R"&amp;ROW()+3)</f>
        <v>6907.4804874020647</v>
      </c>
      <c r="W52" s="10"/>
      <c r="X52" s="72">
        <f t="shared" ca="1" si="21"/>
        <v>7967.2595125979351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74620.509999999995</v>
      </c>
      <c r="BB52" s="72">
        <f t="shared" ca="1" si="30"/>
        <v>27537.320501549948</v>
      </c>
      <c r="BC52" s="72">
        <f t="shared" si="31"/>
        <v>0</v>
      </c>
      <c r="BD52" s="72">
        <f t="shared" ca="1" si="32"/>
        <v>47083.189498450047</v>
      </c>
      <c r="BE52" s="72">
        <f t="shared" ca="1" si="33"/>
        <v>7235.8516905976503</v>
      </c>
    </row>
    <row r="53" spans="1:57" ht="15.75" customHeight="1" x14ac:dyDescent="0.25">
      <c r="A53" s="68" t="s">
        <v>84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6456.5094761820183</v>
      </c>
      <c r="O53" s="10"/>
      <c r="P53" s="70">
        <f t="shared" ca="1" si="19"/>
        <v>-484.50947618201826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6509.2195981669738</v>
      </c>
      <c r="S53" s="11"/>
      <c r="T53" s="70">
        <f t="shared" ca="1" si="20"/>
        <v>-37.21959816697381</v>
      </c>
      <c r="U53" s="70">
        <f ca="1">INDIRECT("'Aug"&amp;Members!$F$2&amp;"-COLLECTION'!K"&amp;ROW()-1)</f>
        <v>6509</v>
      </c>
      <c r="V53" s="70">
        <f ca="1">INDIRECT("'Aug"&amp;Members!$F$2&amp;"-EXPENSE'!R"&amp;ROW()+3)</f>
        <v>6353.3919820971605</v>
      </c>
      <c r="W53" s="10"/>
      <c r="X53" s="70">
        <f t="shared" ca="1" si="21"/>
        <v>155.60801790283949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25895</v>
      </c>
      <c r="BB53" s="70">
        <f t="shared" ca="1" si="30"/>
        <v>25347.395121310914</v>
      </c>
      <c r="BC53" s="70">
        <f t="shared" si="31"/>
        <v>0</v>
      </c>
      <c r="BD53" s="70">
        <f t="shared" ca="1" si="32"/>
        <v>547.60487868908604</v>
      </c>
      <c r="BE53" s="70">
        <f t="shared" ca="1" si="33"/>
        <v>4609.4890495496184</v>
      </c>
    </row>
    <row r="54" spans="1:57" ht="15.75" customHeight="1" x14ac:dyDescent="0.25">
      <c r="A54" s="52" t="s">
        <v>85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5546.3042452593472</v>
      </c>
      <c r="O54" s="10"/>
      <c r="P54" s="72">
        <f t="shared" ca="1" si="19"/>
        <v>-154.42424525934712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5585.9008021113741</v>
      </c>
      <c r="S54" s="11"/>
      <c r="T54" s="72">
        <f t="shared" ca="1" si="20"/>
        <v>3.6191978886263314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5662.6275678150914</v>
      </c>
      <c r="W54" s="10"/>
      <c r="X54" s="72">
        <f t="shared" ca="1" si="21"/>
        <v>-5662.6275678150914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22186.94879149611</v>
      </c>
      <c r="BC54" s="72">
        <f t="shared" si="31"/>
        <v>0</v>
      </c>
      <c r="BD54" s="72">
        <f t="shared" ca="1" si="32"/>
        <v>29579.421208503885</v>
      </c>
      <c r="BE54" s="72">
        <f t="shared" ca="1" si="33"/>
        <v>-6471.7746693030313</v>
      </c>
    </row>
    <row r="55" spans="1:57" ht="15.75" customHeight="1" x14ac:dyDescent="0.25">
      <c r="A55" s="68" t="s">
        <v>86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5647.666161062597</v>
      </c>
      <c r="O55" s="10"/>
      <c r="P55" s="70">
        <f t="shared" ca="1" si="19"/>
        <v>-25.666161062596984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5544.0945423782014</v>
      </c>
      <c r="S55" s="11"/>
      <c r="T55" s="70">
        <f t="shared" ca="1" si="20"/>
        <v>-5544.0945423782014</v>
      </c>
      <c r="U55" s="70">
        <f ca="1">INDIRECT("'Aug"&amp;Members!$F$2&amp;"-COLLECTION'!K"&amp;ROW()-1)</f>
        <v>5912</v>
      </c>
      <c r="V55" s="70">
        <f ca="1">INDIRECT("'Aug"&amp;Members!$F$2&amp;"-EXPENSE'!R"&amp;ROW()+3)</f>
        <v>5897.1661087215125</v>
      </c>
      <c r="W55" s="10"/>
      <c r="X55" s="70">
        <f t="shared" ca="1" si="21"/>
        <v>14.833891278487499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42867</v>
      </c>
      <c r="BB55" s="70">
        <f t="shared" ca="1" si="30"/>
        <v>22745.669864269199</v>
      </c>
      <c r="BC55" s="70">
        <f t="shared" si="31"/>
        <v>0</v>
      </c>
      <c r="BD55" s="70">
        <f t="shared" ca="1" si="32"/>
        <v>20121.330135730801</v>
      </c>
      <c r="BE55" s="70">
        <f t="shared" ca="1" si="33"/>
        <v>-6204.6760634349303</v>
      </c>
    </row>
    <row r="56" spans="1:57" ht="15.75" customHeight="1" x14ac:dyDescent="0.25">
      <c r="A56" s="52" t="s">
        <v>87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6963.9098483313364</v>
      </c>
      <c r="O56" s="10"/>
      <c r="P56" s="72">
        <f t="shared" ca="1" si="19"/>
        <v>-574.16984833133665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6887.5989572706749</v>
      </c>
      <c r="S56" s="11"/>
      <c r="T56" s="72">
        <f t="shared" ca="1" si="20"/>
        <v>-6887.5989572706749</v>
      </c>
      <c r="U56" s="72">
        <f ca="1">INDIRECT("'Aug"&amp;Members!$F$2&amp;"-COLLECTION'!K"&amp;ROW()-1)</f>
        <v>7550.02</v>
      </c>
      <c r="V56" s="72">
        <f ca="1">INDIRECT("'Aug"&amp;Members!$F$2&amp;"-EXPENSE'!R"&amp;ROW()+3)</f>
        <v>7008.5331277098285</v>
      </c>
      <c r="W56" s="10"/>
      <c r="X56" s="72">
        <f t="shared" ca="1" si="21"/>
        <v>541.48687229017196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40433.350000000006</v>
      </c>
      <c r="BB56" s="72">
        <f t="shared" ca="1" si="30"/>
        <v>27357.482997947067</v>
      </c>
      <c r="BC56" s="72">
        <f t="shared" si="31"/>
        <v>0</v>
      </c>
      <c r="BD56" s="72">
        <f t="shared" ca="1" si="32"/>
        <v>13075.867002052939</v>
      </c>
      <c r="BE56" s="72">
        <f t="shared" ca="1" si="33"/>
        <v>-6923.506548785921</v>
      </c>
    </row>
    <row r="57" spans="1:57" ht="15.75" customHeight="1" x14ac:dyDescent="0.25">
      <c r="A57" s="68" t="s">
        <v>88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6468.7975898544373</v>
      </c>
      <c r="O57" s="10"/>
      <c r="P57" s="70">
        <f t="shared" ca="1" si="19"/>
        <v>-6468.7975898544373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5993.8038684357343</v>
      </c>
      <c r="S57" s="11"/>
      <c r="T57" s="70">
        <f t="shared" ca="1" si="20"/>
        <v>-5993.8038684357343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7784.3393388683044</v>
      </c>
      <c r="W57" s="10">
        <v>1000</v>
      </c>
      <c r="X57" s="70">
        <f t="shared" ca="1" si="21"/>
        <v>-8784.3393388683035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26495.496336387529</v>
      </c>
      <c r="BC57" s="70">
        <f t="shared" si="31"/>
        <v>1000</v>
      </c>
      <c r="BD57" s="70">
        <f t="shared" ca="1" si="32"/>
        <v>-2754.7763363875274</v>
      </c>
      <c r="BE57" s="70">
        <f t="shared" ca="1" si="33"/>
        <v>-21241.819558722986</v>
      </c>
    </row>
    <row r="58" spans="1:57" ht="15.75" customHeight="1" x14ac:dyDescent="0.25">
      <c r="A58" s="52" t="s">
        <v>89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5520.9595263923738</v>
      </c>
      <c r="O58" s="10"/>
      <c r="P58" s="72">
        <f t="shared" ca="1" si="19"/>
        <v>272.04047360762615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5463.2558202263972</v>
      </c>
      <c r="S58" s="11"/>
      <c r="T58" s="72">
        <f t="shared" ca="1" si="20"/>
        <v>-5463.2558202263972</v>
      </c>
      <c r="U58" s="72">
        <f ca="1">INDIRECT("'Aug"&amp;Members!$F$2&amp;"-COLLECTION'!K"&amp;ROW()-1)</f>
        <v>5464</v>
      </c>
      <c r="V58" s="72">
        <f ca="1">INDIRECT("'Aug"&amp;Members!$F$2&amp;"-EXPENSE'!R"&amp;ROW()+3)</f>
        <v>6065.3912005621187</v>
      </c>
      <c r="W58" s="10"/>
      <c r="X58" s="72">
        <f t="shared" ca="1" si="21"/>
        <v>-601.39120056211868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18080.97</v>
      </c>
      <c r="BB58" s="72">
        <f t="shared" ca="1" si="30"/>
        <v>22893.256953953554</v>
      </c>
      <c r="BC58" s="72">
        <f t="shared" si="31"/>
        <v>0</v>
      </c>
      <c r="BD58" s="72">
        <f t="shared" ca="1" si="32"/>
        <v>-4812.2869539535532</v>
      </c>
      <c r="BE58" s="72">
        <f t="shared" ca="1" si="33"/>
        <v>-6349.018639374066</v>
      </c>
    </row>
    <row r="59" spans="1:57" ht="15.75" customHeight="1" x14ac:dyDescent="0.25">
      <c r="A59" s="68" t="s">
        <v>90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5583.2579890912612</v>
      </c>
      <c r="O59" s="10"/>
      <c r="P59" s="70">
        <f t="shared" ca="1" si="19"/>
        <v>-5583.2579890912612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5591.8758380965073</v>
      </c>
      <c r="S59" s="11"/>
      <c r="T59" s="70">
        <f t="shared" ca="1" si="20"/>
        <v>-136.24583809650721</v>
      </c>
      <c r="U59" s="70">
        <f ca="1">INDIRECT("'Aug"&amp;Members!$F$2&amp;"-COLLECTION'!K"&amp;ROW()-1)</f>
        <v>11599.11</v>
      </c>
      <c r="V59" s="70">
        <f ca="1">INDIRECT("'Aug"&amp;Members!$F$2&amp;"-EXPENSE'!R"&amp;ROW()+3)</f>
        <v>5707.3355352398776</v>
      </c>
      <c r="W59" s="10"/>
      <c r="X59" s="70">
        <f t="shared" ca="1" si="21"/>
        <v>5891.774464760123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26606.29</v>
      </c>
      <c r="BB59" s="70">
        <f t="shared" ca="1" si="30"/>
        <v>22344.265378831296</v>
      </c>
      <c r="BC59" s="70">
        <f t="shared" si="31"/>
        <v>0</v>
      </c>
      <c r="BD59" s="70">
        <f t="shared" ca="1" si="32"/>
        <v>4262.0246211687045</v>
      </c>
      <c r="BE59" s="70">
        <f t="shared" ca="1" si="33"/>
        <v>3979.6399113062653</v>
      </c>
    </row>
    <row r="60" spans="1:57" ht="15.75" customHeight="1" x14ac:dyDescent="0.25">
      <c r="A60" s="52" t="s">
        <v>91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7595.1259152483544</v>
      </c>
      <c r="O60" s="10"/>
      <c r="P60" s="72">
        <f t="shared" ca="1" si="19"/>
        <v>-7595.1259152483544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7898.0402316814852</v>
      </c>
      <c r="S60" s="11"/>
      <c r="T60" s="72">
        <f t="shared" ca="1" si="20"/>
        <v>-5234.0402316814852</v>
      </c>
      <c r="U60" s="72">
        <f ca="1">INDIRECT("'Aug"&amp;Members!$F$2&amp;"-COLLECTION'!K"&amp;ROW()-1)</f>
        <v>9230</v>
      </c>
      <c r="V60" s="72">
        <f ca="1">INDIRECT("'Aug"&amp;Members!$F$2&amp;"-EXPENSE'!R"&amp;ROW()+3)</f>
        <v>6448.3995565276527</v>
      </c>
      <c r="W60" s="10"/>
      <c r="X60" s="72">
        <f t="shared" ca="1" si="21"/>
        <v>2781.6004434723473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32814</v>
      </c>
      <c r="BB60" s="72">
        <f t="shared" ca="1" si="30"/>
        <v>30313.288353217391</v>
      </c>
      <c r="BC60" s="72">
        <f t="shared" si="31"/>
        <v>0</v>
      </c>
      <c r="BD60" s="72">
        <f t="shared" ca="1" si="32"/>
        <v>2500.711646782609</v>
      </c>
      <c r="BE60" s="72">
        <f t="shared" ca="1" si="33"/>
        <v>-1194.5149408986222</v>
      </c>
    </row>
    <row r="61" spans="1:57" ht="15.75" customHeight="1" x14ac:dyDescent="0.25">
      <c r="A61" s="68" t="s">
        <v>92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6102.2028692677013</v>
      </c>
      <c r="O61" s="10"/>
      <c r="P61" s="70">
        <f t="shared" ca="1" si="19"/>
        <v>-344.20286926770132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5751.4634383328275</v>
      </c>
      <c r="S61" s="11"/>
      <c r="T61" s="70">
        <f t="shared" ca="1" si="20"/>
        <v>360.53656166717246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6049.1540579155144</v>
      </c>
      <c r="W61" s="10"/>
      <c r="X61" s="70">
        <f t="shared" ca="1" si="21"/>
        <v>-6049.1540579155144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23707.394934097905</v>
      </c>
      <c r="BC61" s="70">
        <f t="shared" si="31"/>
        <v>0</v>
      </c>
      <c r="BD61" s="70">
        <f t="shared" ca="1" si="32"/>
        <v>4636.6050659020948</v>
      </c>
      <c r="BE61" s="70">
        <f t="shared" ca="1" si="33"/>
        <v>-6651.259400777506</v>
      </c>
    </row>
    <row r="62" spans="1:57" ht="15.75" customHeight="1" x14ac:dyDescent="0.25">
      <c r="A62" s="52" t="s">
        <v>93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7874.7941679614851</v>
      </c>
      <c r="O62" s="10"/>
      <c r="P62" s="72">
        <f t="shared" ca="1" si="19"/>
        <v>-2268.624167961485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5790.6526449412022</v>
      </c>
      <c r="S62" s="11"/>
      <c r="T62" s="72">
        <f t="shared" ca="1" si="20"/>
        <v>-131.26264494120187</v>
      </c>
      <c r="U62" s="72">
        <f ca="1">INDIRECT("'Aug"&amp;Members!$F$2&amp;"-COLLECTION'!K"&amp;ROW()-1)</f>
        <v>5790.65</v>
      </c>
      <c r="V62" s="72">
        <f ca="1">INDIRECT("'Aug"&amp;Members!$F$2&amp;"-EXPENSE'!R"&amp;ROW()+3)</f>
        <v>5781.2093041627559</v>
      </c>
      <c r="W62" s="10"/>
      <c r="X62" s="72">
        <f t="shared" ca="1" si="21"/>
        <v>9.4406958372437657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21946.699999999997</v>
      </c>
      <c r="BB62" s="72">
        <f t="shared" ca="1" si="30"/>
        <v>25085.320513743809</v>
      </c>
      <c r="BC62" s="72">
        <f t="shared" si="31"/>
        <v>0</v>
      </c>
      <c r="BD62" s="72">
        <f t="shared" ca="1" si="32"/>
        <v>-3138.6205137438119</v>
      </c>
      <c r="BE62" s="72">
        <f t="shared" ca="1" si="33"/>
        <v>-3229.2915729199049</v>
      </c>
    </row>
    <row r="63" spans="1:57" ht="15.75" customHeight="1" x14ac:dyDescent="0.25">
      <c r="A63" s="68" t="s">
        <v>94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7708.4095084172423</v>
      </c>
      <c r="O63" s="10"/>
      <c r="P63" s="70">
        <f t="shared" ca="1" si="19"/>
        <v>-7708.4095084172423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8687.0046326482516</v>
      </c>
      <c r="S63" s="11">
        <v>1000</v>
      </c>
      <c r="T63" s="70">
        <f t="shared" ca="1" si="20"/>
        <v>2312.9953673517484</v>
      </c>
      <c r="U63" s="70">
        <f ca="1">INDIRECT("'Aug"&amp;Members!$F$2&amp;"-COLLECTION'!K"&amp;ROW()-1)</f>
        <v>12000</v>
      </c>
      <c r="V63" s="70">
        <f ca="1">INDIRECT("'Aug"&amp;Members!$F$2&amp;"-EXPENSE'!R"&amp;ROW()+3)</f>
        <v>6337.9523415451831</v>
      </c>
      <c r="W63" s="10"/>
      <c r="X63" s="70">
        <f t="shared" ca="1" si="21"/>
        <v>5662.0476584548169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36000</v>
      </c>
      <c r="BB63" s="70">
        <f t="shared" ca="1" si="30"/>
        <v>29896.785539897974</v>
      </c>
      <c r="BC63" s="70">
        <f t="shared" si="31"/>
        <v>1000</v>
      </c>
      <c r="BD63" s="70">
        <f t="shared" ca="1" si="32"/>
        <v>5103.2144601020264</v>
      </c>
      <c r="BE63" s="70">
        <f t="shared" ca="1" si="33"/>
        <v>21961.273575118135</v>
      </c>
    </row>
    <row r="64" spans="1:57" ht="15.75" customHeight="1" x14ac:dyDescent="0.25">
      <c r="A64" s="52" t="s">
        <v>95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6011.3102377047335</v>
      </c>
      <c r="O64" s="10"/>
      <c r="P64" s="72">
        <f t="shared" ca="1" si="19"/>
        <v>130.68976229526652</v>
      </c>
      <c r="Q64" s="72">
        <f ca="1">INDIRECT("'July"&amp;Members!$F$2&amp;"-COLLECTION'!K"&amp;ROW()-1)</f>
        <v>6273</v>
      </c>
      <c r="R64" s="72">
        <f ca="1">INDIRECT("'July"&amp;Members!$F$2&amp;"-EXPENSE'!R"&amp;ROW()+3)</f>
        <v>6482.6834089388813</v>
      </c>
      <c r="S64" s="11"/>
      <c r="T64" s="72">
        <f t="shared" ca="1" si="20"/>
        <v>-209.68340893888126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6309.5453169345719</v>
      </c>
      <c r="W64" s="10"/>
      <c r="X64" s="72">
        <f t="shared" ca="1" si="21"/>
        <v>-6309.5453169345719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22242</v>
      </c>
      <c r="BB64" s="72">
        <f t="shared" ca="1" si="30"/>
        <v>25016.531487608408</v>
      </c>
      <c r="BC64" s="72">
        <f t="shared" si="31"/>
        <v>0</v>
      </c>
      <c r="BD64" s="72">
        <f t="shared" ca="1" si="32"/>
        <v>-2774.5314876084085</v>
      </c>
      <c r="BE64" s="72">
        <f t="shared" ca="1" si="33"/>
        <v>-7251.4333484308518</v>
      </c>
    </row>
    <row r="65" spans="1:57" ht="15.75" customHeight="1" x14ac:dyDescent="0.25">
      <c r="A65" s="68" t="s">
        <v>96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6560.7495927798527</v>
      </c>
      <c r="O65" s="10"/>
      <c r="P65" s="70">
        <f t="shared" ca="1" si="19"/>
        <v>26333.250407220148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6646.2939531200318</v>
      </c>
      <c r="S65" s="11"/>
      <c r="T65" s="70">
        <f t="shared" ca="1" si="20"/>
        <v>-6646.2939531200318</v>
      </c>
      <c r="U65" s="70">
        <f ca="1">INDIRECT("'Aug"&amp;Members!$F$2&amp;"-COLLECTION'!K"&amp;ROW()-1)</f>
        <v>13194</v>
      </c>
      <c r="V65" s="70">
        <f ca="1">INDIRECT("'Aug"&amp;Members!$F$2&amp;"-EXPENSE'!R"&amp;ROW()+3)</f>
        <v>6297.2956847611022</v>
      </c>
      <c r="W65" s="10"/>
      <c r="X65" s="70">
        <f t="shared" ca="1" si="21"/>
        <v>6896.7043152388978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56928</v>
      </c>
      <c r="BB65" s="70">
        <f t="shared" ca="1" si="30"/>
        <v>25395.320905533779</v>
      </c>
      <c r="BC65" s="70">
        <f t="shared" si="31"/>
        <v>0</v>
      </c>
      <c r="BD65" s="70">
        <f t="shared" ca="1" si="32"/>
        <v>31532.679094466221</v>
      </c>
      <c r="BE65" s="70">
        <f t="shared" ca="1" si="33"/>
        <v>-786.14719244857042</v>
      </c>
    </row>
    <row r="66" spans="1:57" ht="15.75" customHeight="1" x14ac:dyDescent="0.25">
      <c r="A66" s="52" t="s">
        <v>97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6556.3434423934432</v>
      </c>
      <c r="O66" s="10"/>
      <c r="P66" s="72">
        <f t="shared" ca="1" si="19"/>
        <v>-6556.3434423934432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6771.6129646180871</v>
      </c>
      <c r="S66" s="11"/>
      <c r="T66" s="72">
        <f t="shared" ca="1" si="20"/>
        <v>-6771.6129646180871</v>
      </c>
      <c r="U66" s="72">
        <f ca="1">INDIRECT("'Aug"&amp;Members!$F$2&amp;"-COLLECTION'!K"&amp;ROW()-1)</f>
        <v>19495</v>
      </c>
      <c r="V66" s="72">
        <f ca="1">INDIRECT("'Aug"&amp;Members!$F$2&amp;"-EXPENSE'!R"&amp;ROW()+3)</f>
        <v>7577.6586960247869</v>
      </c>
      <c r="W66" s="10">
        <v>1000</v>
      </c>
      <c r="X66" s="72">
        <f t="shared" ca="1" si="21"/>
        <v>10917.341303975212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34726</v>
      </c>
      <c r="BB66" s="72">
        <f t="shared" ca="1" si="30"/>
        <v>27168.682208730424</v>
      </c>
      <c r="BC66" s="72">
        <f t="shared" si="31"/>
        <v>1000</v>
      </c>
      <c r="BD66" s="72">
        <f t="shared" ca="1" si="32"/>
        <v>6557.3177912695755</v>
      </c>
      <c r="BE66" s="72">
        <f t="shared" ca="1" si="33"/>
        <v>-2792.8893481237246</v>
      </c>
    </row>
    <row r="67" spans="1:57" ht="15.75" customHeight="1" x14ac:dyDescent="0.25">
      <c r="A67" s="9"/>
      <c r="B67" s="8"/>
      <c r="C67" s="9" t="s">
        <v>98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0</v>
      </c>
      <c r="H67" s="11">
        <f t="shared" ca="1" si="34"/>
        <v>524376.30000000005</v>
      </c>
      <c r="I67" s="11">
        <f t="shared" ca="1" si="34"/>
        <v>257530.98999999996</v>
      </c>
      <c r="J67" s="11">
        <f t="shared" ca="1" si="34"/>
        <v>385692.96620000008</v>
      </c>
      <c r="K67" s="11">
        <f t="shared" si="34"/>
        <v>0</v>
      </c>
      <c r="L67" s="11">
        <f t="shared" ca="1" si="34"/>
        <v>-128161.97619999996</v>
      </c>
      <c r="M67" s="11">
        <f t="shared" ca="1" si="34"/>
        <v>325302.08</v>
      </c>
      <c r="N67" s="11">
        <f t="shared" ca="1" si="34"/>
        <v>410805.96620000002</v>
      </c>
      <c r="O67" s="11">
        <f t="shared" si="34"/>
        <v>6000</v>
      </c>
      <c r="P67" s="11">
        <f t="shared" ca="1" si="34"/>
        <v>-91503.886200000008</v>
      </c>
      <c r="Q67" s="11">
        <f t="shared" ca="1" si="34"/>
        <v>401232.16000000003</v>
      </c>
      <c r="R67" s="11">
        <f t="shared" ca="1" si="34"/>
        <v>406424.96619999991</v>
      </c>
      <c r="S67" s="11">
        <f t="shared" si="34"/>
        <v>9000</v>
      </c>
      <c r="T67" s="11">
        <f t="shared" ca="1" si="34"/>
        <v>-14192.806199999999</v>
      </c>
      <c r="U67" s="11">
        <f t="shared" ca="1" si="34"/>
        <v>478872.56000000011</v>
      </c>
      <c r="V67" s="11">
        <f t="shared" ca="1" si="34"/>
        <v>410380.96620000014</v>
      </c>
      <c r="W67" s="11">
        <f t="shared" si="34"/>
        <v>7000</v>
      </c>
      <c r="X67" s="11">
        <f t="shared" ca="1" si="34"/>
        <v>61491.59380000001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D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1987314.09</v>
      </c>
      <c r="BB67" s="11">
        <f t="shared" ca="1" si="35"/>
        <v>1613304.8648000003</v>
      </c>
      <c r="BC67" s="11">
        <f t="shared" si="35"/>
        <v>22000</v>
      </c>
      <c r="BD67" s="13">
        <f t="shared" ca="1" si="35"/>
        <v>352009.22519999993</v>
      </c>
      <c r="BE67" s="77">
        <f t="shared" ref="BE67" ca="1" si="36">BD67+D67</f>
        <v>-296040.66441299993</v>
      </c>
    </row>
  </sheetData>
  <autoFilter ref="A2:BF67" xr:uid="{00000000-0009-0000-0000-00001A000000}"/>
  <mergeCells count="12">
    <mergeCell ref="AW1:AZ1"/>
    <mergeCell ref="U1:X1"/>
    <mergeCell ref="AG1:AJ1"/>
    <mergeCell ref="I1:L1"/>
    <mergeCell ref="M1:P1"/>
    <mergeCell ref="Q1:T1"/>
    <mergeCell ref="AO1:AR1"/>
    <mergeCell ref="E1:H1"/>
    <mergeCell ref="AK1:AN1"/>
    <mergeCell ref="AC1:AF1"/>
    <mergeCell ref="Y1:AB1"/>
    <mergeCell ref="AS1:AV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2026-09-13T04:27:56Z</dcterms:modified>
</cp:coreProperties>
</file>