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harts/chart1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54" firstSheet="19" activeTab="28" autoFilterDateGrouping="1"/>
  </bookViews>
  <sheets>
    <sheet name="Members" sheetId="1" state="visible" r:id="rId1"/>
    <sheet name="Apr2026-EXPENSE" sheetId="2" state="visible" r:id="rId2"/>
    <sheet name="Apr2026-COLLECTION" sheetId="3" state="visible" r:id="rId3"/>
    <sheet name="May2026-EXPENSE" sheetId="4" state="visible" r:id="rId4"/>
    <sheet name="May2026-COLLECTION" sheetId="5" state="visible" r:id="rId5"/>
    <sheet name="June2026-EXPENSE" sheetId="6" state="visible" r:id="rId6"/>
    <sheet name="June2026-COLLECTION" sheetId="7" state="visible" r:id="rId7"/>
    <sheet name="July2026-EXPENSE-Flatwise" sheetId="8" state="hidden" r:id="rId8"/>
    <sheet name="July2026-EXPENSE-Flatwise-Trans" sheetId="9" state="hidden" r:id="rId9"/>
    <sheet name="July2026-EXPENSE" sheetId="10" state="visible" r:id="rId10"/>
    <sheet name="July2026-COLLECTION" sheetId="11" state="visible" r:id="rId11"/>
    <sheet name="Aug2026-EXPENSE" sheetId="12" state="visible" r:id="rId12"/>
    <sheet name="Aug2026-COLLECTION" sheetId="13" state="visible" r:id="rId13"/>
    <sheet name="Sep2026-EXPENSE" sheetId="14" state="visible" r:id="rId14"/>
    <sheet name="Sep2026-COLLECTION" sheetId="15" state="visible" r:id="rId15"/>
    <sheet name="Oct2026-EXPENSE" sheetId="16" state="visible" r:id="rId16"/>
    <sheet name="Oct2026-COLLECTION" sheetId="17" state="visible" r:id="rId17"/>
    <sheet name="Nov2026-EXPENSE" sheetId="18" state="visible" r:id="rId18"/>
    <sheet name="Nov2026-COLLECTION" sheetId="19" state="visible" r:id="rId19"/>
    <sheet name="Dec2026-EXPENSE" sheetId="20" state="visible" r:id="rId20"/>
    <sheet name="Dec2026-COLLECTION" sheetId="21" state="visible" r:id="rId21"/>
    <sheet name="Jan2027-EXPENSE" sheetId="22" state="visible" r:id="rId22"/>
    <sheet name="Jan2027-COLLECTION" sheetId="23" state="visible" r:id="rId23"/>
    <sheet name="Feb2027-EXPENSE" sheetId="24" state="visible" r:id="rId24"/>
    <sheet name="Feb2027-COLLECTION" sheetId="25" state="visible" r:id="rId25"/>
    <sheet name="Mar2027-EXPENSE" sheetId="26" state="visible" r:id="rId26"/>
    <sheet name="Mar2027-COLLECTION" sheetId="27" state="visible" r:id="rId27"/>
    <sheet name="ANNUAL-EXPENSE-DETAILS" sheetId="28" state="visible" r:id="rId28"/>
    <sheet name="INCOME-EXPENSE-CYCLES" sheetId="29" state="visible" r:id="rId29"/>
    <sheet name="INCOME-EXPENSE-CYCLES-2026-27" sheetId="30" state="hidden" r:id="rId30"/>
    <sheet name="Copy of INCOME-EXPENSE-CYCLES 1" sheetId="31" state="hidden" r:id="rId31"/>
    <sheet name="Copy of INCOME-EXPENSE-CYCLES" sheetId="32" state="hidden" r:id="rId32"/>
    <sheet name="Flatwise Income Expense" sheetId="33" state="hidden" r:id="rId33"/>
    <sheet name="Expense" sheetId="34" state="hidden" r:id="rId34"/>
    <sheet name="Income" sheetId="35" state="hidden" r:id="rId35"/>
    <sheet name="Sheet4" sheetId="36" state="hidden" r:id="rId36"/>
    <sheet name="TOTAL DUES" sheetId="37" state="hidden" r:id="rId37"/>
    <sheet name="Betterment Corpus" sheetId="38" state="hidden" r:id="rId38"/>
    <sheet name="2013-till-date-connected" sheetId="39" state="hidden" r:id="rId39"/>
    <sheet name="Sheet27" sheetId="40" state="hidden" r:id="rId40"/>
  </sheets>
  <externalReferences>
    <externalReference r:id="rId41"/>
    <externalReference r:id="rId42"/>
  </externalReferences>
  <definedNames>
    <definedName name="Z_A291B9CC_9FDF_46C9_BFD4_774D92B85D47_.wvu.FilterData" localSheetId="7" hidden="1">'[1]July2025-EXPENSE-Flatwise'!$A$1:$BN$61</definedName>
    <definedName name="_xlnm._FilterDatabase" localSheetId="7" hidden="1">'July2026-EXPENSE-Flatwise'!$A$1:$BN$61</definedName>
    <definedName name="Z_C4B61514_58E1_45A0_9AB3_765E539BE84D_.wvu.FilterData" localSheetId="28" hidden="1">'INCOME-EXPENSE-CYCLES'!$A$2:$BD$67</definedName>
    <definedName name="_xlnm._FilterDatabase" localSheetId="28" hidden="1">'INCOME-EXPENSE-CYCLES'!$A$2:$BF$67</definedName>
    <definedName name="Z_C4B61514_58E1_45A0_9AB3_765E539BE84D_.wvu.FilterData" localSheetId="29" hidden="1">'[2]INCOME-EXPENSE-CYCLES-2025-26'!$A$2:$BF$67</definedName>
    <definedName name="_xlnm._FilterDatabase" localSheetId="29" hidden="1">'INCOME-EXPENSE-CYCLES-2026-27'!$A$2:$BF$67</definedName>
    <definedName name="Z_C4B61514_58E1_45A0_9AB3_765E539BE84D_.wvu.FilterData" localSheetId="30" hidden="1">'Copy of INCOME-EXPENSE-CYCLES 1'!$A$2:$BH$67</definedName>
    <definedName name="_xlnm._FilterDatabase" localSheetId="30" hidden="1">'Copy of INCOME-EXPENSE-CYCLES 1'!$A$2:$BH$67</definedName>
    <definedName name="Z_C4B61514_58E1_45A0_9AB3_765E539BE84D_.wvu.FilterData" localSheetId="31" hidden="1">'Copy of INCOME-EXPENSE-CYCLES'!$A$2:$BF$67</definedName>
    <definedName name="_xlnm._FilterDatabase" localSheetId="31" hidden="1">'Copy of INCOME-EXPENSE-CYCLES'!$A$2:$BF$67</definedName>
    <definedName name="_xlnm._FilterDatabase" localSheetId="36" hidden="1">'TOTAL DUES'!$A$1:$G$66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mmm\ yyyy"/>
    <numFmt numFmtId="170" formatCode="mmmm\ yyyy"/>
  </numFmts>
  <fonts count="19">
    <font>
      <name val="Calibri"/>
      <color rgb="FF000000"/>
      <sz val="11"/>
      <scheme val="minor"/>
    </font>
    <font>
      <name val="Nunito"/>
      <color theme="1"/>
      <sz val="11"/>
    </font>
    <font>
      <name val="Nunito"/>
      <color theme="1"/>
      <sz val="11"/>
    </font>
    <font>
      <name val="Nunito"/>
      <color rgb="FF000000"/>
      <sz val="10"/>
    </font>
    <font>
      <name val="Nunito"/>
      <b val="1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color theme="1"/>
      <sz val="11"/>
      <scheme val="minor"/>
    </font>
    <font>
      <name val="Nunito"/>
      <color theme="1"/>
      <sz val="10"/>
    </font>
    <font>
      <name val="Arial"/>
      <family val="2"/>
      <color rgb="FF000000"/>
      <sz val="9"/>
    </font>
    <font>
      <name val="Arial"/>
      <family val="2"/>
      <color theme="1"/>
      <sz val="11"/>
    </font>
    <font>
      <name val="Calibri"/>
      <family val="2"/>
      <color rgb="FF0000FF"/>
      <sz val="11"/>
      <u val="single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10"/>
      <scheme val="minor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b val="1"/>
      <color rgb="FFFFFFFF"/>
      <sz val="14"/>
    </font>
    <font>
      <name val="Calibri"/>
      <b val="1"/>
      <color rgb="FF1B3A5C"/>
      <sz val="10"/>
    </font>
    <font>
      <name val="Calibri"/>
      <family val="2"/>
      <b val="1"/>
      <color rgb="FFFFFFFF"/>
      <sz val="11"/>
    </font>
  </fonts>
  <fills count="10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3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hair">
        <color rgb="FFB0C4DE"/>
      </top>
      <bottom/>
      <diagonal/>
    </border>
    <border>
      <left/>
      <right style="hair">
        <color rgb="FFB0C4DE"/>
      </right>
      <top style="hair">
        <color rgb="FFB0C4DE"/>
      </top>
      <bottom/>
      <diagonal/>
    </border>
    <border>
      <left/>
      <right style="hair">
        <color rgb="FFB0C4DE"/>
      </right>
      <top style="hair">
        <color rgb="FFB0C4DE"/>
      </top>
      <bottom style="hair">
        <color rgb="FFB0C4DE"/>
      </bottom>
      <diagonal/>
    </border>
  </borders>
  <cellStyleXfs count="2">
    <xf numFmtId="0" fontId="0" fillId="0" borderId="13"/>
    <xf numFmtId="0" fontId="12" fillId="0" borderId="13"/>
  </cellStyleXfs>
  <cellXfs count="127">
    <xf numFmtId="0" fontId="0" fillId="0" borderId="0" pivotButton="0" quotePrefix="0" xfId="0"/>
    <xf numFmtId="4" fontId="1" fillId="0" borderId="4" applyAlignment="1" pivotButton="0" quotePrefix="0" xfId="0">
      <alignment horizontal="center"/>
    </xf>
    <xf numFmtId="4" fontId="1" fillId="0" borderId="5" applyAlignment="1" pivotButton="0" quotePrefix="0" xfId="0">
      <alignment horizontal="center"/>
    </xf>
    <xf numFmtId="4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4" fontId="3" fillId="0" borderId="1" applyAlignment="1" pivotButton="0" quotePrefix="0" xfId="0">
      <alignment horizontal="center" vertical="center"/>
    </xf>
    <xf numFmtId="4" fontId="5" fillId="0" borderId="0" pivotButton="0" quotePrefix="0" xfId="0"/>
    <xf numFmtId="4" fontId="4" fillId="0" borderId="1" applyAlignment="1" pivotButton="0" quotePrefix="0" xfId="0">
      <alignment horizontal="center" vertical="center"/>
    </xf>
    <xf numFmtId="164" fontId="5" fillId="0" borderId="0" pivotButton="0" quotePrefix="0" xfId="0"/>
    <xf numFmtId="165" fontId="6" fillId="0" borderId="0" applyAlignment="1" pivotButton="0" quotePrefix="0" xfId="0">
      <alignment horizontal="right"/>
    </xf>
    <xf numFmtId="165" fontId="5" fillId="0" borderId="0" pivotButton="0" quotePrefix="0" xfId="0"/>
    <xf numFmtId="4" fontId="3" fillId="0" borderId="10" applyAlignment="1" pivotButton="0" quotePrefix="0" xfId="0">
      <alignment horizontal="center" vertical="center"/>
    </xf>
    <xf numFmtId="3" fontId="5" fillId="0" borderId="0" pivotButton="0" quotePrefix="0" xfId="0"/>
    <xf numFmtId="4" fontId="8" fillId="0" borderId="18" applyAlignment="1" pivotButton="0" quotePrefix="0" xfId="0">
      <alignment horizontal="center" vertical="center"/>
    </xf>
    <xf numFmtId="4" fontId="8" fillId="0" borderId="0" applyAlignment="1" pivotButton="0" quotePrefix="0" xfId="0">
      <alignment horizontal="center" vertical="center"/>
    </xf>
    <xf numFmtId="49" fontId="8" fillId="0" borderId="0" applyAlignment="1" pivotButton="0" quotePrefix="0" xfId="0">
      <alignment horizontal="center" vertical="center"/>
    </xf>
    <xf numFmtId="49" fontId="1" fillId="0" borderId="0" pivotButton="0" quotePrefix="0" xfId="0"/>
    <xf numFmtId="4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8" fillId="0" borderId="1" applyAlignment="1" pivotButton="0" quotePrefix="0" xfId="0">
      <alignment horizontal="center" vertical="center"/>
    </xf>
    <xf numFmtId="4" fontId="1" fillId="3" borderId="18" applyAlignment="1" pivotButton="0" quotePrefix="0" xfId="0">
      <alignment horizontal="center"/>
    </xf>
    <xf numFmtId="4" fontId="8" fillId="0" borderId="3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2" fillId="0" borderId="0" applyAlignment="1" pivotButton="0" quotePrefix="0" xfId="0">
      <alignment horizontal="center" vertical="center"/>
    </xf>
    <xf numFmtId="4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pivotButton="0" quotePrefix="0" xfId="0"/>
    <xf numFmtId="0" fontId="9" fillId="0" borderId="0" applyAlignment="1" pivotButton="0" quotePrefix="0" xfId="0">
      <alignment vertical="top"/>
    </xf>
    <xf numFmtId="4" fontId="8" fillId="0" borderId="6" applyAlignment="1" pivotButton="0" quotePrefix="0" xfId="0">
      <alignment horizontal="center" vertical="center"/>
    </xf>
    <xf numFmtId="4" fontId="0" fillId="0" borderId="20" pivotButton="0" quotePrefix="0" xfId="0"/>
    <xf numFmtId="0" fontId="13" fillId="0" borderId="0" applyAlignment="1" pivotButton="0" quotePrefix="0" xfId="0">
      <alignment horizontal="center"/>
    </xf>
    <xf numFmtId="0" fontId="14" fillId="6" borderId="21" applyAlignment="1" pivotButton="0" quotePrefix="0" xfId="0">
      <alignment horizontal="center" vertical="center" wrapText="1"/>
    </xf>
    <xf numFmtId="0" fontId="15" fillId="7" borderId="22" applyAlignment="1" pivotButton="0" quotePrefix="0" xfId="0">
      <alignment horizontal="left" vertical="center" wrapText="1"/>
    </xf>
    <xf numFmtId="0" fontId="15" fillId="2" borderId="22" applyAlignment="1" pivotButton="0" quotePrefix="0" xfId="0">
      <alignment horizontal="left" vertical="center" wrapText="1"/>
    </xf>
    <xf numFmtId="4" fontId="16" fillId="8" borderId="1" applyAlignment="1" pivotButton="0" quotePrefix="0" xfId="0">
      <alignment horizontal="center" vertical="center" wrapText="1"/>
    </xf>
    <xf numFmtId="4" fontId="14" fillId="6" borderId="21" applyAlignment="1" pivotButton="0" quotePrefix="0" xfId="0">
      <alignment horizontal="center" vertical="center" wrapText="1"/>
    </xf>
    <xf numFmtId="4" fontId="15" fillId="2" borderId="22" applyAlignment="1" pivotButton="0" quotePrefix="0" xfId="0">
      <alignment horizontal="left" vertical="center" wrapText="1"/>
    </xf>
    <xf numFmtId="4" fontId="15" fillId="2" borderId="22" applyAlignment="1" pivotButton="0" quotePrefix="0" xfId="0">
      <alignment horizontal="right" vertical="center"/>
    </xf>
    <xf numFmtId="4" fontId="15" fillId="7" borderId="22" applyAlignment="1" pivotButton="0" quotePrefix="0" xfId="0">
      <alignment horizontal="left" vertical="center" wrapText="1"/>
    </xf>
    <xf numFmtId="4" fontId="15" fillId="7" borderId="22" applyAlignment="1" pivotButton="0" quotePrefix="0" xfId="0">
      <alignment horizontal="right" vertical="center"/>
    </xf>
    <xf numFmtId="4" fontId="17" fillId="9" borderId="23" applyAlignment="1" pivotButton="0" quotePrefix="0" xfId="0">
      <alignment horizontal="left" vertical="center" wrapText="1"/>
    </xf>
    <xf numFmtId="4" fontId="17" fillId="9" borderId="23" applyAlignment="1" pivotButton="0" quotePrefix="0" xfId="0">
      <alignment horizontal="right" vertical="center"/>
    </xf>
    <xf numFmtId="0" fontId="15" fillId="2" borderId="22" applyAlignment="1" pivotButton="0" quotePrefix="0" xfId="0">
      <alignment horizontal="right" vertical="center"/>
    </xf>
    <xf numFmtId="0" fontId="15" fillId="7" borderId="22" applyAlignment="1" pivotButton="0" quotePrefix="0" xfId="0">
      <alignment horizontal="right" vertical="center"/>
    </xf>
    <xf numFmtId="14" fontId="14" fillId="6" borderId="21" applyAlignment="1" pivotButton="0" quotePrefix="0" xfId="0">
      <alignment horizontal="center" vertical="center" wrapText="1"/>
    </xf>
    <xf numFmtId="166" fontId="15" fillId="7" borderId="22" applyAlignment="1" pivotButton="0" quotePrefix="0" xfId="0">
      <alignment horizontal="right" vertical="center"/>
    </xf>
    <xf numFmtId="165" fontId="15" fillId="7" borderId="22" applyAlignment="1" pivotButton="0" quotePrefix="0" xfId="0">
      <alignment horizontal="right" vertical="center"/>
    </xf>
    <xf numFmtId="167" fontId="15" fillId="7" borderId="22" applyAlignment="1" pivotButton="0" quotePrefix="0" xfId="0">
      <alignment horizontal="right" vertical="center"/>
    </xf>
    <xf numFmtId="167" fontId="15" fillId="2" borderId="22" applyAlignment="1" pivotButton="0" quotePrefix="0" xfId="0">
      <alignment horizontal="right" vertical="center"/>
    </xf>
    <xf numFmtId="165" fontId="15" fillId="2" borderId="22" applyAlignment="1" pivotButton="0" quotePrefix="0" xfId="0">
      <alignment horizontal="right" vertical="center"/>
    </xf>
    <xf numFmtId="166" fontId="15" fillId="2" borderId="22" applyAlignment="1" pivotButton="0" quotePrefix="0" xfId="0">
      <alignment horizontal="right" vertical="center"/>
    </xf>
    <xf numFmtId="0" fontId="17" fillId="9" borderId="23" applyAlignment="1" pivotButton="0" quotePrefix="0" xfId="0">
      <alignment horizontal="left" vertical="center" wrapText="1"/>
    </xf>
    <xf numFmtId="0" fontId="17" fillId="9" borderId="23" applyAlignment="1" pivotButton="0" quotePrefix="0" xfId="0">
      <alignment horizontal="right" vertical="center"/>
    </xf>
    <xf numFmtId="164" fontId="14" fillId="6" borderId="21" applyAlignment="1" pivotButton="0" quotePrefix="0" xfId="0">
      <alignment horizontal="center" vertical="center" wrapText="1"/>
    </xf>
    <xf numFmtId="164" fontId="15" fillId="7" borderId="22" applyAlignment="1" pivotButton="0" quotePrefix="0" xfId="0">
      <alignment horizontal="right" vertical="center"/>
    </xf>
    <xf numFmtId="164" fontId="15" fillId="2" borderId="22" applyAlignment="1" pivotButton="0" quotePrefix="0" xfId="0">
      <alignment horizontal="right" vertical="center"/>
    </xf>
    <xf numFmtId="168" fontId="15" fillId="2" borderId="22" applyAlignment="1" pivotButton="0" quotePrefix="0" xfId="0">
      <alignment horizontal="right" vertical="center"/>
    </xf>
    <xf numFmtId="168" fontId="15" fillId="7" borderId="22" applyAlignment="1" pivotButton="0" quotePrefix="0" xfId="0">
      <alignment horizontal="right" vertical="center"/>
    </xf>
    <xf numFmtId="164" fontId="17" fillId="9" borderId="23" applyAlignment="1" pivotButton="0" quotePrefix="0" xfId="0">
      <alignment horizontal="right" vertical="center"/>
    </xf>
    <xf numFmtId="10" fontId="14" fillId="6" borderId="21" applyAlignment="1" pivotButton="0" quotePrefix="0" xfId="0">
      <alignment horizontal="center" vertical="center" wrapText="1"/>
    </xf>
    <xf numFmtId="10" fontId="15" fillId="2" borderId="22" applyAlignment="1" pivotButton="0" quotePrefix="0" xfId="0">
      <alignment horizontal="right" vertical="center"/>
    </xf>
    <xf numFmtId="10" fontId="15" fillId="7" borderId="22" applyAlignment="1" pivotButton="0" quotePrefix="0" xfId="0">
      <alignment horizontal="right" vertical="center"/>
    </xf>
    <xf numFmtId="165" fontId="14" fillId="6" borderId="21" applyAlignment="1" pivotButton="0" quotePrefix="0" xfId="0">
      <alignment horizontal="center" vertical="center" wrapText="1"/>
    </xf>
    <xf numFmtId="165" fontId="17" fillId="9" borderId="23" applyAlignment="1" pivotButton="0" quotePrefix="0" xfId="0">
      <alignment horizontal="right" vertical="center"/>
    </xf>
    <xf numFmtId="4" fontId="16" fillId="8" borderId="7" applyAlignment="1" pivotButton="0" quotePrefix="0" xfId="0">
      <alignment horizontal="center" vertical="center" wrapText="1"/>
    </xf>
    <xf numFmtId="4" fontId="16" fillId="8" borderId="10" applyAlignment="1" pivotButton="0" quotePrefix="0" xfId="0">
      <alignment horizontal="center" vertical="center" wrapText="1"/>
    </xf>
    <xf numFmtId="3" fontId="15" fillId="7" borderId="22" applyAlignment="1" pivotButton="0" quotePrefix="0" xfId="0">
      <alignment horizontal="right" vertical="center"/>
    </xf>
    <xf numFmtId="4" fontId="16" fillId="8" borderId="14" applyAlignment="1" pivotButton="0" quotePrefix="0" xfId="0">
      <alignment horizontal="center" vertical="center" wrapText="1"/>
    </xf>
    <xf numFmtId="4" fontId="16" fillId="8" borderId="15" applyAlignment="1" pivotButton="0" quotePrefix="0" xfId="0">
      <alignment horizontal="center" vertical="center" wrapText="1"/>
    </xf>
    <xf numFmtId="4" fontId="16" fillId="8" borderId="18" applyAlignment="1" pivotButton="0" quotePrefix="0" xfId="0">
      <alignment horizontal="center" vertical="center" wrapText="1"/>
    </xf>
    <xf numFmtId="49" fontId="15" fillId="2" borderId="22" applyAlignment="1" pivotButton="0" quotePrefix="0" xfId="0">
      <alignment horizontal="left" vertical="center" wrapText="1"/>
    </xf>
    <xf numFmtId="49" fontId="15" fillId="7" borderId="22" applyAlignment="1" pivotButton="0" quotePrefix="0" xfId="0">
      <alignment horizontal="left" vertical="center" wrapText="1"/>
    </xf>
    <xf numFmtId="49" fontId="17" fillId="9" borderId="23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4" fontId="16" fillId="8" borderId="6" applyAlignment="1" pivotButton="0" quotePrefix="0" xfId="0">
      <alignment horizontal="center" vertical="center" wrapText="1"/>
    </xf>
    <xf numFmtId="4" fontId="16" fillId="8" borderId="0" applyAlignment="1" pivotButton="0" quotePrefix="0" xfId="0">
      <alignment horizontal="center" vertical="center" wrapText="1"/>
    </xf>
    <xf numFmtId="3" fontId="15" fillId="2" borderId="22" applyAlignment="1" pivotButton="0" quotePrefix="0" xfId="0">
      <alignment horizontal="right" vertical="center"/>
    </xf>
    <xf numFmtId="0" fontId="15" fillId="7" borderId="22" applyAlignment="1" pivotButton="0" quotePrefix="0" xfId="0">
      <alignment horizontal="center" vertical="center" wrapText="1"/>
    </xf>
    <xf numFmtId="169" fontId="16" fillId="8" borderId="1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16" fillId="8" borderId="3" applyAlignment="1" pivotButton="0" quotePrefix="0" xfId="0">
      <alignment horizontal="center" vertical="center" wrapText="1"/>
    </xf>
    <xf numFmtId="170" fontId="16" fillId="8" borderId="1" applyAlignment="1" pivotButton="0" quotePrefix="0" xfId="0">
      <alignment horizontal="center" vertical="center" wrapText="1"/>
    </xf>
    <xf numFmtId="169" fontId="16" fillId="8" borderId="3" applyAlignment="1" pivotButton="0" quotePrefix="0" xfId="0">
      <alignment horizontal="center" vertical="center" wrapText="1"/>
    </xf>
    <xf numFmtId="4" fontId="16" fillId="8" borderId="3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center" vertical="center" wrapText="1"/>
    </xf>
    <xf numFmtId="4" fontId="16" fillId="8" borderId="7" applyAlignment="1" pivotButton="0" quotePrefix="0" xfId="0">
      <alignment horizontal="center" vertical="center" wrapText="1"/>
    </xf>
    <xf numFmtId="0" fontId="16" fillId="8" borderId="8" applyAlignment="1" pivotButton="0" quotePrefix="0" xfId="0">
      <alignment horizontal="center" vertical="center" wrapText="1"/>
    </xf>
    <xf numFmtId="0" fontId="16" fillId="8" borderId="9" applyAlignment="1" pivotButton="0" quotePrefix="0" xfId="0">
      <alignment horizontal="center" vertical="center" wrapText="1"/>
    </xf>
    <xf numFmtId="4" fontId="16" fillId="8" borderId="10" applyAlignment="1" pivotButton="0" quotePrefix="0" xfId="0">
      <alignment horizontal="center" vertical="center" wrapText="1"/>
    </xf>
    <xf numFmtId="0" fontId="16" fillId="8" borderId="11" applyAlignment="1" pivotButton="0" quotePrefix="0" xfId="0">
      <alignment horizontal="center" vertical="center" wrapText="1"/>
    </xf>
    <xf numFmtId="0" fontId="16" fillId="8" borderId="12" applyAlignment="1" pivotButton="0" quotePrefix="0" xfId="0">
      <alignment horizontal="center" vertical="center" wrapText="1"/>
    </xf>
    <xf numFmtId="4" fontId="16" fillId="8" borderId="13" applyAlignment="1" pivotButton="0" quotePrefix="0" xfId="0">
      <alignment horizontal="center" vertical="center" wrapText="1"/>
    </xf>
    <xf numFmtId="0" fontId="16" fillId="8" borderId="0" applyAlignment="1" pivotButton="0" quotePrefix="0" xfId="0">
      <alignment horizontal="center" vertical="center" wrapText="1"/>
    </xf>
    <xf numFmtId="4" fontId="16" fillId="8" borderId="15" applyAlignment="1" pivotButton="0" quotePrefix="0" xfId="0">
      <alignment horizontal="center" vertical="center" wrapText="1"/>
    </xf>
    <xf numFmtId="0" fontId="16" fillId="8" borderId="15" applyAlignment="1" pivotButton="0" quotePrefix="0" xfId="0">
      <alignment horizontal="center" vertical="center" wrapText="1"/>
    </xf>
    <xf numFmtId="49" fontId="16" fillId="8" borderId="18" applyAlignment="1" pivotButton="0" quotePrefix="0" xfId="0">
      <alignment horizontal="center" vertical="center" wrapText="1"/>
    </xf>
    <xf numFmtId="0" fontId="14" fillId="6" borderId="21" applyAlignment="1" pivotButton="0" quotePrefix="0" xfId="0">
      <alignment horizontal="center" vertical="center" wrapText="1"/>
    </xf>
    <xf numFmtId="4" fontId="16" fillId="8" borderId="18" applyAlignment="1" pivotButton="0" quotePrefix="0" xfId="0">
      <alignment horizontal="center" vertical="center" wrapText="1"/>
    </xf>
    <xf numFmtId="0" fontId="16" fillId="8" borderId="16" applyAlignment="1" pivotButton="0" quotePrefix="0" xfId="0">
      <alignment horizontal="center" vertical="center" wrapText="1"/>
    </xf>
    <xf numFmtId="0" fontId="16" fillId="8" borderId="17" applyAlignment="1" pivotButton="0" quotePrefix="0" xfId="0">
      <alignment horizontal="center" vertical="center" wrapText="1"/>
    </xf>
    <xf numFmtId="0" fontId="15" fillId="2" borderId="22" applyAlignment="1" pivotButton="0" quotePrefix="0" xfId="0">
      <alignment horizontal="right" vertical="center"/>
    </xf>
    <xf numFmtId="0" fontId="18" fillId="8" borderId="1" applyAlignment="1" pivotButton="0" quotePrefix="0" xfId="0">
      <alignment horizontal="center" vertical="center" wrapText="1"/>
    </xf>
    <xf numFmtId="4" fontId="18" fillId="8" borderId="6" applyAlignment="1" pivotButton="0" quotePrefix="0" xfId="1">
      <alignment horizontal="center" vertical="center" wrapText="1"/>
    </xf>
    <xf numFmtId="169" fontId="18" fillId="8" borderId="3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center" vertical="center" wrapText="1"/>
    </xf>
    <xf numFmtId="0" fontId="18" fillId="8" borderId="3" applyAlignment="1" pivotButton="0" quotePrefix="0" xfId="0">
      <alignment horizontal="center" vertical="center" wrapText="1"/>
    </xf>
    <xf numFmtId="170" fontId="18" fillId="8" borderId="1" applyAlignment="1" pivotButton="0" quotePrefix="0" xfId="0">
      <alignment horizontal="center" vertical="center" wrapText="1"/>
    </xf>
    <xf numFmtId="169" fontId="18" fillId="8" borderId="1" applyAlignment="1" pivotButton="0" quotePrefix="0" xfId="0">
      <alignment horizontal="center" vertical="center" wrapText="1"/>
    </xf>
    <xf numFmtId="4" fontId="18" fillId="8" borderId="1" applyAlignment="1" pivotButton="0" quotePrefix="0" xfId="0">
      <alignment horizontal="center" vertical="center" wrapText="1"/>
    </xf>
    <xf numFmtId="4" fontId="18" fillId="8" borderId="19" applyAlignment="1" pivotButton="0" quotePrefix="0" xfId="0">
      <alignment horizontal="center" vertical="center" wrapText="1"/>
    </xf>
    <xf numFmtId="0" fontId="12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2" pivotButton="0" quotePrefix="0" xfId="0"/>
    <xf numFmtId="0" fontId="0" fillId="0" borderId="21" pivotButton="0" quotePrefix="0" xfId="0"/>
    <xf numFmtId="0" fontId="0" fillId="0" borderId="37" pivotButton="0" quotePrefix="0" xfId="0"/>
  </cellXfs>
  <cellStyles count="2">
    <cellStyle name="Normal" xfId="0" builtinId="0"/>
    <cellStyle name="Normal 2" xfId="1"/>
  </cellStyles>
  <dxfs count="14">
    <dxf>
      <fill>
        <patternFill patternType="solid">
          <fgColor rgb="FFB7E1CD"/>
          <bgColor rgb="FFB7E1CD"/>
        </patternFill>
      </fill>
    </dxf>
    <dxf>
      <font>
        <b val="1"/>
        <color rgb="FFFFFF00"/>
      </font>
      <fill>
        <patternFill patternType="solid">
          <fgColor rgb="FFEA9999"/>
          <bgColor rgb="FFEA9999"/>
        </patternFill>
      </fill>
    </dxf>
    <dxf>
      <font>
        <color rgb="FF990000"/>
      </font>
    </dxf>
    <dxf>
      <font>
        <b val="1"/>
        <color rgb="FFFF0000"/>
      </font>
    </dxf>
    <dxf>
      <font>
        <b val="1"/>
        <color rgb="FFFF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externalLink" Target="/xl/externalLinks/externalLink1.xml" Id="rId41" /><Relationship Type="http://schemas.openxmlformats.org/officeDocument/2006/relationships/externalLink" Target="/xl/externalLinks/externalLink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rich>
      </tx>
      <overlay val="0"/>
    </title>
    <plotArea>
      <layout/>
      <areaChart>
        <grouping val="standard"/>
        <varyColors val="1"/>
        <ser>
          <idx val="0"/>
          <order val="0"/>
          <tx>
            <strRef>
              <f>'ANNUAL-EXPENSE-DETAILS'!$AD$1:$AD$2</f>
              <strCache>
                <ptCount val="2"/>
                <pt idx="0">
                  <v>TOTAL EXPENSE</v>
                </pt>
              </strCache>
            </strRef>
          </tx>
          <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 lvl="0">
                  <a:defRPr/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'ANNUAL-EXPENSE-DETAILS'!$A$3:$A$14</f>
              <strCache>
                <ptCount val="12"/>
                <pt idx="0">
                  <v>APRIL 2026</v>
                </pt>
                <pt idx="1">
                  <v>MAY 2026</v>
                </pt>
                <pt idx="2">
                  <v>JUN 2026</v>
                </pt>
                <pt idx="3">
                  <v>JUL 2026</v>
                </pt>
                <pt idx="4">
                  <v>AUG 2026</v>
                </pt>
                <pt idx="5">
                  <v>SEP 2026</v>
                </pt>
                <pt idx="6">
                  <v>OCT 2026</v>
                </pt>
                <pt idx="7">
                  <v>NOV 2026</v>
                </pt>
                <pt idx="8">
                  <v>DEC 2026</v>
                </pt>
                <pt idx="9">
                  <v>JAN 2027</v>
                </pt>
                <pt idx="10">
                  <v>FEB 2027</v>
                </pt>
                <pt idx="11">
                  <v>MAR 2027</v>
                </pt>
              </strCache>
            </strRef>
          </cat>
          <val>
            <numRef>
              <f>'ANNUAL-EXPENSE-DETAILS'!$AD$3:$AD$14</f>
              <numCache>
                <formatCode>#,##0.00</formatCode>
                <ptCount val="12"/>
                <pt idx="0">
                  <v>7590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25000</v>
                </pt>
                <pt idx="5">
                  <v>0</v>
                </pt>
                <pt idx="6">
                  <v>8803</v>
                </pt>
                <pt idx="7">
                  <v>0</v>
                </pt>
                <pt idx="8">
                  <v>0</v>
                </pt>
                <pt idx="9">
                  <v>18125</v>
                </pt>
                <pt idx="10">
                  <v>0</v>
                </pt>
                <pt idx="11">
                  <v>7773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  <a:endParaRPr lang="en-US"/>
        </a:p>
      </txPr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None</author>
  </authors>
  <commentList>
    <comment ref="M2" authorId="0" shapeId="0">
      <text>
        <t>F16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66675</colOff>
      <row>15</row>
      <rowOff>266700</rowOff>
    </from>
    <ext cx="17668875" cy="47625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July2025-EXPENSE-Flatwise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INCOME-EXPENSE-CYCLES-2025-26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July2025-EXPENSE-Flatwise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INCOME-EXPENSE-CYCLES-2025-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F9" sqref="F9"/>
    </sheetView>
  </sheetViews>
  <sheetFormatPr baseColWidth="8" defaultColWidth="8.85546875" defaultRowHeight="15"/>
  <cols>
    <col width="20.28515625" bestFit="1" customWidth="1" min="2" max="2"/>
    <col width="34.28515625" customWidth="1" min="3" max="3"/>
    <col width="24.42578125" customWidth="1" min="4" max="4"/>
    <col width="18.85546875" customWidth="1" min="6" max="6"/>
    <col width="21" customWidth="1" min="7" max="7"/>
    <col width="15.7109375" customWidth="1" min="8" max="8"/>
  </cols>
  <sheetData>
    <row r="1">
      <c r="A1" s="100" t="inlineStr">
        <is>
          <t>FLAT</t>
        </is>
      </c>
      <c r="B1" s="100" t="inlineStr">
        <is>
          <t>NAME</t>
        </is>
      </c>
      <c r="C1" s="100" t="inlineStr">
        <is>
          <t>EMAIL</t>
        </is>
      </c>
      <c r="D1" s="100" t="inlineStr">
        <is>
          <t>PHONE</t>
        </is>
      </c>
      <c r="E1" s="100" t="n"/>
      <c r="F1" s="100" t="inlineStr">
        <is>
          <t>FY_START_YEAR</t>
        </is>
      </c>
      <c r="G1" s="100" t="inlineStr">
        <is>
          <t>FY_END_YEAR</t>
        </is>
      </c>
      <c r="H1" s="100" t="inlineStr">
        <is>
          <t>FY_LABEL</t>
        </is>
      </c>
    </row>
    <row r="2">
      <c r="A2" s="36" t="inlineStr">
        <is>
          <t>F1</t>
        </is>
      </c>
      <c r="B2" s="36" t="inlineStr">
        <is>
          <t>Shailesh Srivastava</t>
        </is>
      </c>
      <c r="C2" s="36" t="inlineStr">
        <is>
          <t>shailesh.srivastav@gmail.com</t>
        </is>
      </c>
      <c r="D2" s="36" t="n"/>
      <c r="E2" s="36" t="n"/>
      <c r="F2" s="81" t="n">
        <v>2026</v>
      </c>
      <c r="G2" s="81">
        <f>F2+1</f>
        <v/>
      </c>
      <c r="H2" s="81">
        <f>F2&amp;"-"&amp;RIGHT(F2+1,2)</f>
        <v/>
      </c>
    </row>
    <row r="3">
      <c r="A3" s="37" t="inlineStr">
        <is>
          <t>F2</t>
        </is>
      </c>
      <c r="B3" s="37" t="inlineStr">
        <is>
          <t>Rama P</t>
        </is>
      </c>
      <c r="C3" s="37" t="inlineStr">
        <is>
          <t>ramazen1@gmail.com</t>
        </is>
      </c>
      <c r="D3" s="37" t="n"/>
      <c r="E3" s="37" t="n"/>
      <c r="F3" s="37" t="n"/>
      <c r="G3" s="37" t="n"/>
      <c r="H3" s="37" t="n"/>
    </row>
    <row r="4">
      <c r="A4" s="36" t="inlineStr">
        <is>
          <t>F3</t>
        </is>
      </c>
      <c r="B4" s="36" t="inlineStr">
        <is>
          <t>Samrat Kar</t>
        </is>
      </c>
      <c r="C4" s="36" t="inlineStr">
        <is>
          <t>samratk@gmail.com</t>
        </is>
      </c>
      <c r="D4" s="36" t="inlineStr">
        <is>
          <t>919342554680</t>
        </is>
      </c>
      <c r="E4" s="36" t="n"/>
      <c r="F4" s="36" t="n"/>
      <c r="G4" s="36" t="n"/>
      <c r="H4" s="36" t="n"/>
    </row>
    <row r="5">
      <c r="A5" s="37" t="inlineStr">
        <is>
          <t>F4</t>
        </is>
      </c>
      <c r="B5" s="37" t="inlineStr">
        <is>
          <t>Renu R</t>
        </is>
      </c>
      <c r="C5" s="37" t="inlineStr">
        <is>
          <t>renu.sabapathy@gmail.com</t>
        </is>
      </c>
      <c r="D5" s="37" t="n"/>
      <c r="E5" s="37" t="n"/>
      <c r="F5" s="37" t="n"/>
      <c r="G5" s="37" t="n"/>
      <c r="H5" s="37" t="n"/>
    </row>
    <row r="6" ht="25.5" customHeight="1">
      <c r="A6" s="36" t="inlineStr">
        <is>
          <t>F5</t>
        </is>
      </c>
      <c r="B6" s="36" t="inlineStr">
        <is>
          <t>Vamsidhar Bethanabatla</t>
        </is>
      </c>
      <c r="C6" s="36" t="n"/>
      <c r="D6" s="36" t="n"/>
      <c r="E6" s="36" t="n"/>
      <c r="F6" s="36" t="n"/>
      <c r="G6" s="36" t="n"/>
      <c r="H6" s="36" t="n"/>
    </row>
    <row r="7">
      <c r="A7" s="37" t="inlineStr">
        <is>
          <t>F6</t>
        </is>
      </c>
      <c r="B7" s="37" t="inlineStr">
        <is>
          <t>Viral Shah</t>
        </is>
      </c>
      <c r="C7" s="37" t="inlineStr">
        <is>
          <t>viralshah79@gmail.com</t>
        </is>
      </c>
      <c r="D7" s="37" t="n"/>
      <c r="E7" s="37" t="n"/>
      <c r="F7" s="37" t="n"/>
      <c r="G7" s="37" t="n"/>
      <c r="H7" s="37" t="n"/>
    </row>
    <row r="8">
      <c r="A8" s="36" t="inlineStr">
        <is>
          <t>F7</t>
        </is>
      </c>
      <c r="B8" s="36" t="inlineStr">
        <is>
          <t>Vimal NK</t>
        </is>
      </c>
      <c r="C8" s="36" t="inlineStr">
        <is>
          <t>nkvimal@gmail.com</t>
        </is>
      </c>
      <c r="D8" s="36" t="n"/>
      <c r="E8" s="36" t="n"/>
      <c r="F8" s="36" t="n"/>
      <c r="G8" s="36" t="n"/>
      <c r="H8" s="36" t="n"/>
    </row>
    <row r="9">
      <c r="A9" s="37" t="inlineStr">
        <is>
          <t>F8</t>
        </is>
      </c>
      <c r="B9" s="37" t="inlineStr">
        <is>
          <t>Sreejith Menon</t>
        </is>
      </c>
      <c r="C9" s="37" t="inlineStr">
        <is>
          <t>sreejithmenon@gmail.com</t>
        </is>
      </c>
      <c r="D9" s="37" t="n"/>
      <c r="E9" s="37" t="n"/>
      <c r="F9" s="37" t="n"/>
      <c r="G9" s="37" t="n"/>
      <c r="H9" s="37" t="n"/>
    </row>
    <row r="10">
      <c r="A10" s="36" t="inlineStr">
        <is>
          <t>F9</t>
        </is>
      </c>
      <c r="B10" s="36" t="inlineStr">
        <is>
          <t>Vijay Suswaram</t>
        </is>
      </c>
      <c r="C10" s="36" t="inlineStr">
        <is>
          <t>vijay.suswaram@gmail.com</t>
        </is>
      </c>
      <c r="D10" s="36" t="inlineStr">
        <is>
          <t>9066901046</t>
        </is>
      </c>
      <c r="E10" s="36" t="n"/>
      <c r="F10" s="36" t="n"/>
      <c r="G10" s="36" t="n"/>
      <c r="H10" s="36" t="n"/>
    </row>
    <row r="11">
      <c r="A11" s="37" t="inlineStr">
        <is>
          <t>F10</t>
        </is>
      </c>
      <c r="B11" s="37" t="inlineStr">
        <is>
          <t>Aby Thomas</t>
        </is>
      </c>
      <c r="C11" s="37" t="inlineStr">
        <is>
          <t>abythomas99@gmail.com</t>
        </is>
      </c>
      <c r="D11" s="37" t="inlineStr">
        <is>
          <t>9900502987</t>
        </is>
      </c>
      <c r="E11" s="37" t="n"/>
      <c r="F11" s="37" t="n"/>
      <c r="G11" s="37" t="n"/>
      <c r="H11" s="37" t="n"/>
    </row>
    <row r="12">
      <c r="A12" s="36" t="inlineStr">
        <is>
          <t>F11</t>
        </is>
      </c>
      <c r="B12" s="36" t="inlineStr">
        <is>
          <t>Renu R</t>
        </is>
      </c>
      <c r="C12" s="36" t="n"/>
      <c r="D12" s="36" t="n"/>
      <c r="E12" s="36" t="n"/>
      <c r="F12" s="36" t="n"/>
      <c r="G12" s="36" t="n"/>
      <c r="H12" s="36" t="n"/>
    </row>
    <row r="13">
      <c r="A13" s="37" t="inlineStr">
        <is>
          <t>F12</t>
        </is>
      </c>
      <c r="B13" s="37" t="inlineStr">
        <is>
          <t>Kavitha T</t>
        </is>
      </c>
      <c r="C13" s="37" t="inlineStr">
        <is>
          <t>kaveeonline@gmail.com</t>
        </is>
      </c>
      <c r="D13" s="37" t="inlineStr">
        <is>
          <t>9945796695</t>
        </is>
      </c>
      <c r="E13" s="37" t="n"/>
      <c r="F13" s="37" t="n"/>
      <c r="G13" s="37" t="n"/>
      <c r="H13" s="37" t="n"/>
    </row>
    <row r="14">
      <c r="A14" s="36" t="inlineStr">
        <is>
          <t>F13</t>
        </is>
      </c>
      <c r="B14" s="36" t="inlineStr">
        <is>
          <t>Srinivasa Rao</t>
        </is>
      </c>
      <c r="C14" s="36" t="n"/>
      <c r="D14" s="36" t="n"/>
      <c r="E14" s="36" t="n"/>
      <c r="F14" s="36" t="n"/>
      <c r="G14" s="36" t="n"/>
      <c r="H14" s="36" t="n"/>
    </row>
    <row r="15">
      <c r="A15" s="37" t="inlineStr">
        <is>
          <t>F14</t>
        </is>
      </c>
      <c r="B15" s="37" t="inlineStr">
        <is>
          <t>Hemant Patel</t>
        </is>
      </c>
      <c r="C15" s="37" t="inlineStr">
        <is>
          <t>hemant.patel.ec@gmail.com</t>
        </is>
      </c>
      <c r="D15" s="37" t="inlineStr">
        <is>
          <t>9880934229</t>
        </is>
      </c>
      <c r="E15" s="37" t="n"/>
      <c r="F15" s="37" t="n"/>
      <c r="G15" s="37" t="n"/>
      <c r="H15" s="37" t="n"/>
    </row>
    <row r="16">
      <c r="A16" s="36" t="inlineStr">
        <is>
          <t>F15</t>
        </is>
      </c>
      <c r="B16" s="36" t="inlineStr">
        <is>
          <t>Senthil.Vijayaragavan</t>
        </is>
      </c>
      <c r="C16" s="36" t="inlineStr">
        <is>
          <t>senthil.web@gmail.com</t>
        </is>
      </c>
      <c r="D16" s="36" t="inlineStr">
        <is>
          <t>919035031349</t>
        </is>
      </c>
      <c r="E16" s="36" t="n"/>
      <c r="F16" s="36" t="n"/>
      <c r="G16" s="36" t="n"/>
      <c r="H16" s="36" t="n"/>
    </row>
    <row r="17">
      <c r="A17" s="37" t="inlineStr">
        <is>
          <t>F16</t>
        </is>
      </c>
      <c r="B17" s="37" t="inlineStr">
        <is>
          <t>Sreeja Sudharma</t>
        </is>
      </c>
      <c r="C17" s="37" t="inlineStr">
        <is>
          <t>sudharma.sreeja@gmail.com</t>
        </is>
      </c>
      <c r="D17" s="37" t="n"/>
      <c r="E17" s="37" t="n"/>
      <c r="F17" s="37" t="n"/>
      <c r="G17" s="37" t="n"/>
      <c r="H17" s="37" t="n"/>
    </row>
    <row r="18">
      <c r="A18" s="36" t="inlineStr">
        <is>
          <t>G1</t>
        </is>
      </c>
      <c r="B18" s="36" t="inlineStr">
        <is>
          <t>Digvijay Verma</t>
        </is>
      </c>
      <c r="C18" s="36" t="inlineStr">
        <is>
          <t>jyothij1979@gmail.com</t>
        </is>
      </c>
      <c r="D18" s="36" t="inlineStr">
        <is>
          <t>9686438624</t>
        </is>
      </c>
      <c r="E18" s="36" t="n"/>
      <c r="F18" s="36" t="n"/>
      <c r="G18" s="36" t="n"/>
      <c r="H18" s="36" t="n"/>
    </row>
    <row r="19">
      <c r="A19" s="37" t="inlineStr">
        <is>
          <t>G2</t>
        </is>
      </c>
      <c r="B19" s="37" t="inlineStr">
        <is>
          <t>Kaushik Kasibhatla</t>
        </is>
      </c>
      <c r="C19" s="37" t="n"/>
      <c r="D19" s="37" t="n"/>
      <c r="E19" s="37" t="n"/>
      <c r="F19" s="37" t="n"/>
      <c r="G19" s="37" t="n"/>
      <c r="H19" s="37" t="n"/>
    </row>
    <row r="20">
      <c r="A20" s="36" t="inlineStr">
        <is>
          <t>G3</t>
        </is>
      </c>
      <c r="B20" s="36" t="inlineStr">
        <is>
          <t>Balakrishnan</t>
        </is>
      </c>
      <c r="C20" s="36" t="inlineStr">
        <is>
          <t>balakrishnan.k@gmail.com</t>
        </is>
      </c>
      <c r="D20" s="36" t="n"/>
      <c r="E20" s="36" t="n"/>
      <c r="F20" s="36" t="n"/>
      <c r="G20" s="36" t="n"/>
      <c r="H20" s="36" t="n"/>
    </row>
    <row r="21">
      <c r="A21" s="37" t="inlineStr">
        <is>
          <t>G4</t>
        </is>
      </c>
      <c r="B21" s="37" t="inlineStr">
        <is>
          <t>Ashwin Pandith</t>
        </is>
      </c>
      <c r="C21" s="37" t="inlineStr">
        <is>
          <t>ashwinpandith@gmail.com</t>
        </is>
      </c>
      <c r="D21" s="37" t="n"/>
      <c r="E21" s="37" t="n"/>
      <c r="F21" s="37" t="n"/>
      <c r="G21" s="37" t="n"/>
      <c r="H21" s="37" t="n"/>
    </row>
    <row r="22">
      <c r="A22" s="36" t="inlineStr">
        <is>
          <t>G5</t>
        </is>
      </c>
      <c r="B22" s="36" t="inlineStr">
        <is>
          <t>Mayank Phophaliya</t>
        </is>
      </c>
      <c r="C22" s="36" t="n"/>
      <c r="D22" s="36" t="n"/>
      <c r="E22" s="36" t="n"/>
      <c r="F22" s="36" t="n"/>
      <c r="G22" s="36" t="n"/>
      <c r="H22" s="36" t="n"/>
    </row>
    <row r="23">
      <c r="A23" s="37" t="inlineStr">
        <is>
          <t>G6</t>
        </is>
      </c>
      <c r="B23" s="37" t="inlineStr">
        <is>
          <t>Srinath</t>
        </is>
      </c>
      <c r="C23" s="37" t="n"/>
      <c r="D23" s="37" t="inlineStr">
        <is>
          <t>09910099526</t>
        </is>
      </c>
      <c r="E23" s="37" t="n"/>
      <c r="F23" s="37" t="n"/>
      <c r="G23" s="37" t="n"/>
      <c r="H23" s="37" t="n"/>
    </row>
    <row r="24">
      <c r="A24" s="36" t="inlineStr">
        <is>
          <t>G7</t>
        </is>
      </c>
      <c r="B24" s="36" t="inlineStr">
        <is>
          <t>Prince Richfield</t>
        </is>
      </c>
      <c r="C24" s="36" t="inlineStr">
        <is>
          <t>princerichfield@gmail.com</t>
        </is>
      </c>
      <c r="D24" s="36" t="inlineStr">
        <is>
          <t>7760487323</t>
        </is>
      </c>
      <c r="E24" s="36" t="n"/>
      <c r="F24" s="36" t="n"/>
      <c r="G24" s="36" t="n"/>
      <c r="H24" s="36" t="n"/>
    </row>
    <row r="25">
      <c r="A25" s="37" t="inlineStr">
        <is>
          <t>G8</t>
        </is>
      </c>
      <c r="B25" s="37" t="inlineStr">
        <is>
          <t>Ranjithkumar R</t>
        </is>
      </c>
      <c r="C25" s="37" t="inlineStr">
        <is>
          <t>foreverran@gmail.com</t>
        </is>
      </c>
      <c r="D25" s="37" t="n"/>
      <c r="E25" s="37" t="n"/>
      <c r="F25" s="37" t="n"/>
      <c r="G25" s="37" t="n"/>
      <c r="H25" s="37" t="n"/>
    </row>
    <row r="26">
      <c r="A26" s="36" t="inlineStr">
        <is>
          <t>G9</t>
        </is>
      </c>
      <c r="B26" s="36" t="inlineStr">
        <is>
          <t>Chandramouli</t>
        </is>
      </c>
      <c r="C26" s="36" t="inlineStr">
        <is>
          <t>chandra.gumma@gmail.com</t>
        </is>
      </c>
      <c r="D26" s="36" t="n"/>
      <c r="E26" s="36" t="n"/>
      <c r="F26" s="36" t="n"/>
      <c r="G26" s="36" t="n"/>
      <c r="H26" s="36" t="n"/>
    </row>
    <row r="27">
      <c r="A27" s="37" t="inlineStr">
        <is>
          <t>G10</t>
        </is>
      </c>
      <c r="B27" s="37" t="inlineStr">
        <is>
          <t>Cijo Jacob</t>
        </is>
      </c>
      <c r="C27" s="37" t="inlineStr">
        <is>
          <t>cijo.p.jacob@gmail.com</t>
        </is>
      </c>
      <c r="D27" s="37" t="inlineStr">
        <is>
          <t>9986432045</t>
        </is>
      </c>
      <c r="E27" s="37" t="n"/>
      <c r="F27" s="37" t="n"/>
      <c r="G27" s="37" t="n"/>
      <c r="H27" s="37" t="n"/>
    </row>
    <row r="28">
      <c r="A28" s="36" t="inlineStr">
        <is>
          <t>G11</t>
        </is>
      </c>
      <c r="B28" s="36" t="inlineStr">
        <is>
          <t>Prashant Jaitley</t>
        </is>
      </c>
      <c r="C28" s="36" t="inlineStr">
        <is>
          <t>prashantjaitly656@gmail.com</t>
        </is>
      </c>
      <c r="D28" s="36" t="inlineStr">
        <is>
          <t>9654889504</t>
        </is>
      </c>
      <c r="E28" s="36" t="n"/>
      <c r="F28" s="36" t="n"/>
      <c r="G28" s="36" t="n"/>
      <c r="H28" s="36" t="n"/>
    </row>
    <row r="29">
      <c r="A29" s="37" t="inlineStr">
        <is>
          <t>G12</t>
        </is>
      </c>
      <c r="B29" s="37" t="inlineStr">
        <is>
          <t>Shyam Nair</t>
        </is>
      </c>
      <c r="C29" s="37" t="inlineStr">
        <is>
          <t>g12.shyam@gmail.com</t>
        </is>
      </c>
      <c r="D29" s="37" t="inlineStr">
        <is>
          <t>7709047957</t>
        </is>
      </c>
      <c r="E29" s="37" t="n"/>
      <c r="F29" s="37" t="n"/>
      <c r="G29" s="37" t="n"/>
      <c r="H29" s="37" t="n"/>
    </row>
    <row r="30">
      <c r="A30" s="36" t="inlineStr">
        <is>
          <t>G13</t>
        </is>
      </c>
      <c r="B30" s="36" t="inlineStr">
        <is>
          <t>Ajai.B</t>
        </is>
      </c>
      <c r="C30" s="36" t="inlineStr">
        <is>
          <t>ajai.abc@gmail.com</t>
        </is>
      </c>
      <c r="D30" s="36" t="n"/>
      <c r="E30" s="36" t="n"/>
      <c r="F30" s="36" t="n"/>
      <c r="G30" s="36" t="n"/>
      <c r="H30" s="36" t="n"/>
    </row>
    <row r="31">
      <c r="A31" s="37" t="inlineStr">
        <is>
          <t>G14</t>
        </is>
      </c>
      <c r="B31" s="37" t="inlineStr">
        <is>
          <t>Surajit Borah</t>
        </is>
      </c>
      <c r="C31" s="37" t="inlineStr">
        <is>
          <t>surajit.borah@gmail.com</t>
        </is>
      </c>
      <c r="D31" s="37" t="inlineStr">
        <is>
          <t>7829872270</t>
        </is>
      </c>
      <c r="E31" s="37" t="n"/>
      <c r="F31" s="37" t="n"/>
      <c r="G31" s="37" t="n"/>
      <c r="H31" s="37" t="n"/>
    </row>
    <row r="32">
      <c r="A32" s="36" t="inlineStr">
        <is>
          <t>G15</t>
        </is>
      </c>
      <c r="B32" s="36" t="inlineStr">
        <is>
          <t>Suresh Nallusamy</t>
        </is>
      </c>
      <c r="C32" s="36" t="inlineStr">
        <is>
          <t>suresh.nallusamy@gmail.com</t>
        </is>
      </c>
      <c r="D32" s="36" t="n"/>
      <c r="E32" s="36" t="n"/>
      <c r="F32" s="36" t="n"/>
      <c r="G32" s="36" t="n"/>
      <c r="H32" s="36" t="n"/>
    </row>
    <row r="33">
      <c r="A33" s="37" t="inlineStr">
        <is>
          <t>G16</t>
        </is>
      </c>
      <c r="B33" s="37" t="inlineStr">
        <is>
          <t>Praveen Ganesan</t>
        </is>
      </c>
      <c r="C33" s="37" t="inlineStr">
        <is>
          <t>praveengb@gmail.com</t>
        </is>
      </c>
      <c r="D33" s="37" t="inlineStr">
        <is>
          <t>8050164658</t>
        </is>
      </c>
      <c r="E33" s="37" t="n"/>
      <c r="F33" s="37" t="n"/>
      <c r="G33" s="37" t="n"/>
      <c r="H33" s="37" t="n"/>
    </row>
    <row r="34">
      <c r="A34" s="36" t="inlineStr">
        <is>
          <t>S1</t>
        </is>
      </c>
      <c r="B34" s="36" t="inlineStr">
        <is>
          <t>S.N.Behera</t>
        </is>
      </c>
      <c r="C34" s="36" t="inlineStr">
        <is>
          <t>snbeheras1@gmail.com</t>
        </is>
      </c>
      <c r="D34" s="36" t="inlineStr">
        <is>
          <t>919980008526</t>
        </is>
      </c>
      <c r="E34" s="36" t="n"/>
      <c r="F34" s="36" t="n"/>
      <c r="G34" s="36" t="n"/>
      <c r="H34" s="36" t="n"/>
    </row>
    <row r="35">
      <c r="A35" s="37" t="inlineStr">
        <is>
          <t>S2</t>
        </is>
      </c>
      <c r="B35" s="37" t="inlineStr">
        <is>
          <t>Sonal Singh</t>
        </is>
      </c>
      <c r="C35" s="37" t="inlineStr">
        <is>
          <t>sonal.singhal86@gmail.com</t>
        </is>
      </c>
      <c r="D35" s="37" t="n"/>
      <c r="E35" s="37" t="n"/>
      <c r="F35" s="37" t="n"/>
      <c r="G35" s="37" t="n"/>
      <c r="H35" s="37" t="n"/>
    </row>
    <row r="36">
      <c r="A36" s="36" t="inlineStr">
        <is>
          <t>S3</t>
        </is>
      </c>
      <c r="B36" s="36" t="inlineStr">
        <is>
          <t>Manikandan N</t>
        </is>
      </c>
      <c r="C36" s="36" t="n"/>
      <c r="D36" s="36" t="n"/>
      <c r="E36" s="36" t="n"/>
      <c r="F36" s="36" t="n"/>
      <c r="G36" s="36" t="n"/>
      <c r="H36" s="36" t="n"/>
    </row>
    <row r="37">
      <c r="A37" s="37" t="inlineStr">
        <is>
          <t>S4</t>
        </is>
      </c>
      <c r="B37" s="37" t="inlineStr">
        <is>
          <t>Swami</t>
        </is>
      </c>
      <c r="C37" s="37" t="inlineStr">
        <is>
          <t>swami2007@gmail.com</t>
        </is>
      </c>
      <c r="D37" s="37" t="n"/>
      <c r="E37" s="37" t="n"/>
      <c r="F37" s="37" t="n"/>
      <c r="G37" s="37" t="n"/>
      <c r="H37" s="37" t="n"/>
    </row>
    <row r="38" ht="25.5" customHeight="1">
      <c r="A38" s="36" t="inlineStr">
        <is>
          <t>S5</t>
        </is>
      </c>
      <c r="B38" s="36" t="inlineStr">
        <is>
          <t>Abhishek Gopalakrishnan</t>
        </is>
      </c>
      <c r="C38" s="36" t="inlineStr">
        <is>
          <t>abhishek.harekrishna@gmail.com</t>
        </is>
      </c>
      <c r="D38" s="36" t="inlineStr">
        <is>
          <t>7042447356</t>
        </is>
      </c>
      <c r="E38" s="36" t="n"/>
      <c r="F38" s="36" t="n"/>
      <c r="G38" s="36" t="n"/>
      <c r="H38" s="36" t="n"/>
    </row>
    <row r="39">
      <c r="A39" s="37" t="inlineStr">
        <is>
          <t>S6</t>
        </is>
      </c>
      <c r="B39" s="37" t="inlineStr">
        <is>
          <t>Vivek Dhingra</t>
        </is>
      </c>
      <c r="C39" s="37" t="inlineStr">
        <is>
          <t>vivek.dhingra@gmail.com</t>
        </is>
      </c>
      <c r="D39" s="37" t="n"/>
      <c r="E39" s="37" t="n"/>
      <c r="F39" s="37" t="n"/>
      <c r="G39" s="37" t="n"/>
      <c r="H39" s="37" t="n"/>
    </row>
    <row r="40">
      <c r="A40" s="36" t="inlineStr">
        <is>
          <t>S7</t>
        </is>
      </c>
      <c r="B40" s="36" t="inlineStr">
        <is>
          <t>Harish B</t>
        </is>
      </c>
      <c r="C40" s="36" t="inlineStr">
        <is>
          <t>harishb80@gmail.com</t>
        </is>
      </c>
      <c r="D40" s="36" t="inlineStr">
        <is>
          <t>9980848757</t>
        </is>
      </c>
      <c r="E40" s="36" t="n"/>
      <c r="F40" s="36" t="n"/>
      <c r="G40" s="36" t="n"/>
      <c r="H40" s="36" t="n"/>
    </row>
    <row r="41">
      <c r="A41" s="37" t="inlineStr">
        <is>
          <t>S8</t>
        </is>
      </c>
      <c r="B41" s="37" t="inlineStr">
        <is>
          <t>Irudayaraj Alwin</t>
        </is>
      </c>
      <c r="C41" s="37" t="inlineStr">
        <is>
          <t>a.alwin@gmail.com</t>
        </is>
      </c>
      <c r="D41" s="37" t="n"/>
      <c r="E41" s="37" t="n"/>
      <c r="F41" s="37" t="n"/>
      <c r="G41" s="37" t="n"/>
      <c r="H41" s="37" t="n"/>
    </row>
    <row r="42">
      <c r="A42" s="36" t="inlineStr">
        <is>
          <t>S9</t>
        </is>
      </c>
      <c r="B42" s="36" t="inlineStr">
        <is>
          <t>Pawan GS</t>
        </is>
      </c>
      <c r="C42" s="36" t="inlineStr">
        <is>
          <t>pawangs@gmail.com</t>
        </is>
      </c>
      <c r="D42" s="36" t="inlineStr">
        <is>
          <t>8106966338</t>
        </is>
      </c>
      <c r="E42" s="36" t="n"/>
      <c r="F42" s="36" t="n"/>
      <c r="G42" s="36" t="n"/>
      <c r="H42" s="36" t="n"/>
    </row>
    <row r="43">
      <c r="A43" s="37" t="inlineStr">
        <is>
          <t>S10</t>
        </is>
      </c>
      <c r="B43" s="37" t="inlineStr">
        <is>
          <t>Mayfy</t>
        </is>
      </c>
      <c r="C43" s="37" t="n"/>
      <c r="D43" s="37" t="n"/>
      <c r="E43" s="37" t="n"/>
      <c r="F43" s="37" t="n"/>
      <c r="G43" s="37" t="n"/>
      <c r="H43" s="37" t="n"/>
    </row>
    <row r="44">
      <c r="A44" s="36" t="inlineStr">
        <is>
          <t>S11</t>
        </is>
      </c>
      <c r="B44" s="36" t="inlineStr">
        <is>
          <t>Gowrish Patnaik</t>
        </is>
      </c>
      <c r="C44" s="36" t="inlineStr">
        <is>
          <t>gourish.patnaik@gmail.com</t>
        </is>
      </c>
      <c r="D44" s="36" t="n"/>
      <c r="E44" s="36" t="n"/>
      <c r="F44" s="36" t="n"/>
      <c r="G44" s="36" t="n"/>
      <c r="H44" s="36" t="n"/>
    </row>
    <row r="45">
      <c r="A45" s="37" t="inlineStr">
        <is>
          <t>S12</t>
        </is>
      </c>
      <c r="B45" s="37" t="inlineStr">
        <is>
          <t>Saovik Mondal</t>
        </is>
      </c>
      <c r="C45" s="37" t="inlineStr">
        <is>
          <t>saovikmondal@gmail.com</t>
        </is>
      </c>
      <c r="D45" s="37" t="n"/>
      <c r="E45" s="37" t="n"/>
      <c r="F45" s="37" t="n"/>
      <c r="G45" s="37" t="n"/>
      <c r="H45" s="37" t="n"/>
    </row>
    <row r="46">
      <c r="A46" s="36" t="inlineStr">
        <is>
          <t>S13</t>
        </is>
      </c>
      <c r="B46" s="36" t="inlineStr">
        <is>
          <t>Srinivasa Rao</t>
        </is>
      </c>
      <c r="C46" s="36" t="inlineStr">
        <is>
          <t>srinivasa.sambana@gmail.com</t>
        </is>
      </c>
      <c r="D46" s="36" t="n"/>
      <c r="E46" s="36" t="n"/>
      <c r="F46" s="36" t="n"/>
      <c r="G46" s="36" t="n"/>
      <c r="H46" s="36" t="n"/>
    </row>
    <row r="47">
      <c r="A47" s="37" t="inlineStr">
        <is>
          <t>S14</t>
        </is>
      </c>
      <c r="B47" s="37" t="inlineStr">
        <is>
          <t>Nishant Upadhyay</t>
        </is>
      </c>
      <c r="C47" s="37" t="inlineStr">
        <is>
          <t>nishantupadhyayster@gmail.com</t>
        </is>
      </c>
      <c r="D47" s="37" t="inlineStr">
        <is>
          <t>08066784591</t>
        </is>
      </c>
      <c r="E47" s="37" t="n"/>
      <c r="F47" s="37" t="n"/>
      <c r="G47" s="37" t="n"/>
      <c r="H47" s="37" t="n"/>
    </row>
    <row r="48">
      <c r="A48" s="36" t="inlineStr">
        <is>
          <t>S15</t>
        </is>
      </c>
      <c r="B48" s="36" t="inlineStr">
        <is>
          <t>Manas Dasgupta</t>
        </is>
      </c>
      <c r="C48" s="36" t="n"/>
      <c r="D48" s="36" t="inlineStr">
        <is>
          <t>918105654642</t>
        </is>
      </c>
      <c r="E48" s="36" t="n"/>
      <c r="F48" s="36" t="n"/>
      <c r="G48" s="36" t="n"/>
      <c r="H48" s="36" t="n"/>
    </row>
    <row r="49">
      <c r="A49" s="37" t="inlineStr">
        <is>
          <t>S16</t>
        </is>
      </c>
      <c r="B49" s="37" t="inlineStr">
        <is>
          <t>Devendra Singh Rawat</t>
        </is>
      </c>
      <c r="C49" s="37" t="inlineStr">
        <is>
          <t>devendrasinghrawat@gmail.com</t>
        </is>
      </c>
      <c r="D49" s="37" t="inlineStr">
        <is>
          <t>7899740830</t>
        </is>
      </c>
      <c r="E49" s="37" t="n"/>
      <c r="F49" s="37" t="n"/>
      <c r="G49" s="37" t="n"/>
      <c r="H49" s="37" t="n"/>
    </row>
    <row r="50">
      <c r="A50" s="36" t="inlineStr">
        <is>
          <t>T1</t>
        </is>
      </c>
      <c r="B50" s="36" t="inlineStr">
        <is>
          <t>Prashant Sikdar</t>
        </is>
      </c>
      <c r="C50" s="36" t="inlineStr">
        <is>
          <t>fossil.rvce@gmail.com</t>
        </is>
      </c>
      <c r="D50" s="36" t="inlineStr">
        <is>
          <t>902833360</t>
        </is>
      </c>
      <c r="E50" s="36" t="n"/>
      <c r="F50" s="36" t="n"/>
      <c r="G50" s="36" t="n"/>
      <c r="H50" s="36" t="n"/>
    </row>
    <row r="51">
      <c r="A51" s="37" t="inlineStr">
        <is>
          <t>T2</t>
        </is>
      </c>
      <c r="B51" s="37" t="inlineStr">
        <is>
          <t>Kunal Raj Mehta</t>
        </is>
      </c>
      <c r="C51" s="37" t="inlineStr">
        <is>
          <t>ryanmcbeal@gmail.com</t>
        </is>
      </c>
      <c r="D51" s="37" t="inlineStr">
        <is>
          <t>9731727374</t>
        </is>
      </c>
      <c r="E51" s="37" t="n"/>
      <c r="F51" s="37" t="n"/>
      <c r="G51" s="37" t="n"/>
      <c r="H51" s="37" t="n"/>
    </row>
    <row r="52">
      <c r="A52" s="36" t="inlineStr">
        <is>
          <t>T3</t>
        </is>
      </c>
      <c r="B52" s="36" t="inlineStr">
        <is>
          <t>Kapil Garg</t>
        </is>
      </c>
      <c r="C52" s="36" t="inlineStr">
        <is>
          <t>kapil.garg82@gmail.com</t>
        </is>
      </c>
      <c r="D52" s="36" t="inlineStr">
        <is>
          <t>9886279722</t>
        </is>
      </c>
      <c r="E52" s="36" t="n"/>
      <c r="F52" s="36" t="n"/>
      <c r="G52" s="36" t="n"/>
      <c r="H52" s="36" t="n"/>
    </row>
    <row r="53">
      <c r="A53" s="37" t="inlineStr">
        <is>
          <t>T4</t>
        </is>
      </c>
      <c r="B53" s="37" t="inlineStr">
        <is>
          <t>Vijet Alva</t>
        </is>
      </c>
      <c r="C53" s="37" t="inlineStr">
        <is>
          <t>vijetalva@gmail.com</t>
        </is>
      </c>
      <c r="D53" s="37" t="n"/>
      <c r="E53" s="37" t="n"/>
      <c r="F53" s="37" t="n"/>
      <c r="G53" s="37" t="n"/>
      <c r="H53" s="37" t="n"/>
    </row>
    <row r="54">
      <c r="A54" s="36" t="inlineStr">
        <is>
          <t>T5</t>
        </is>
      </c>
      <c r="B54" s="36" t="inlineStr">
        <is>
          <t>Ganesh Iyer</t>
        </is>
      </c>
      <c r="C54" s="36" t="inlineStr">
        <is>
          <t>giyer.ops@gmail.com</t>
        </is>
      </c>
      <c r="D54" s="36" t="inlineStr">
        <is>
          <t>402691638</t>
        </is>
      </c>
      <c r="E54" s="36" t="n"/>
      <c r="F54" s="36" t="n"/>
      <c r="G54" s="36" t="n"/>
      <c r="H54" s="36" t="n"/>
    </row>
    <row r="55">
      <c r="A55" s="37" t="inlineStr">
        <is>
          <t>T6</t>
        </is>
      </c>
      <c r="B55" s="37" t="inlineStr">
        <is>
          <t>Mythili Ramesh</t>
        </is>
      </c>
      <c r="C55" s="37" t="inlineStr">
        <is>
          <t>myth.rmsh@gmail.com</t>
        </is>
      </c>
      <c r="D55" s="37" t="inlineStr">
        <is>
          <t>9845756755</t>
        </is>
      </c>
      <c r="E55" s="37" t="n"/>
      <c r="F55" s="37" t="n"/>
      <c r="G55" s="37" t="n"/>
      <c r="H55" s="37" t="n"/>
    </row>
    <row r="56">
      <c r="A56" s="36" t="inlineStr">
        <is>
          <t>T7</t>
        </is>
      </c>
      <c r="B56" s="36" t="inlineStr">
        <is>
          <t>Vinyas Ramachandra</t>
        </is>
      </c>
      <c r="C56" s="36" t="inlineStr">
        <is>
          <t>vinyasr@gmail.com</t>
        </is>
      </c>
      <c r="D56" s="36" t="n"/>
      <c r="E56" s="36" t="n"/>
      <c r="F56" s="36" t="n"/>
      <c r="G56" s="36" t="n"/>
      <c r="H56" s="36" t="n"/>
    </row>
    <row r="57">
      <c r="A57" s="37" t="inlineStr">
        <is>
          <t>T8</t>
        </is>
      </c>
      <c r="B57" s="37" t="inlineStr">
        <is>
          <t>Lalit Kumar Sharma</t>
        </is>
      </c>
      <c r="C57" s="37" t="inlineStr">
        <is>
          <t>lalitsharma21@gmail.com</t>
        </is>
      </c>
      <c r="D57" s="37" t="inlineStr">
        <is>
          <t>9900159881</t>
        </is>
      </c>
      <c r="E57" s="37" t="n"/>
      <c r="F57" s="37" t="n"/>
      <c r="G57" s="37" t="n"/>
      <c r="H57" s="37" t="n"/>
    </row>
    <row r="58">
      <c r="A58" s="36" t="inlineStr">
        <is>
          <t>T9</t>
        </is>
      </c>
      <c r="B58" s="36" t="inlineStr">
        <is>
          <t>Nishith Sahu</t>
        </is>
      </c>
      <c r="C58" s="36" t="inlineStr">
        <is>
          <t>nishsahu@gmail.com</t>
        </is>
      </c>
      <c r="D58" s="36" t="n"/>
      <c r="E58" s="36" t="n"/>
      <c r="F58" s="36" t="n"/>
      <c r="G58" s="36" t="n"/>
      <c r="H58" s="36" t="n"/>
    </row>
    <row r="59" ht="25.5" customHeight="1">
      <c r="A59" s="37" t="inlineStr">
        <is>
          <t>T10</t>
        </is>
      </c>
      <c r="B59" s="37" t="inlineStr">
        <is>
          <t>Vamsidhar Bethanabatla</t>
        </is>
      </c>
      <c r="C59" s="37" t="inlineStr">
        <is>
          <t>b.vamsidhar@gmail.com</t>
        </is>
      </c>
      <c r="D59" s="37" t="inlineStr">
        <is>
          <t>9900181705</t>
        </is>
      </c>
      <c r="E59" s="37" t="n"/>
      <c r="F59" s="37" t="n"/>
      <c r="G59" s="37" t="n"/>
      <c r="H59" s="37" t="n"/>
    </row>
    <row r="60">
      <c r="A60" s="36" t="inlineStr">
        <is>
          <t>T11</t>
        </is>
      </c>
      <c r="B60" s="36" t="inlineStr">
        <is>
          <t>Vaishnavi Suthapalli</t>
        </is>
      </c>
      <c r="C60" s="36" t="inlineStr">
        <is>
          <t>suthapallivaishnavi@gmail.com</t>
        </is>
      </c>
      <c r="D60" s="36" t="inlineStr">
        <is>
          <t>9500130636</t>
        </is>
      </c>
      <c r="E60" s="36" t="n"/>
      <c r="F60" s="36" t="n"/>
      <c r="G60" s="36" t="n"/>
      <c r="H60" s="36" t="n"/>
    </row>
    <row r="61">
      <c r="A61" s="37" t="inlineStr">
        <is>
          <t>T12</t>
        </is>
      </c>
      <c r="B61" s="37" t="inlineStr">
        <is>
          <t>Prasenjit</t>
        </is>
      </c>
      <c r="C61" s="37" t="inlineStr">
        <is>
          <t>shumonchaks@gmail.com</t>
        </is>
      </c>
      <c r="D61" s="37" t="n"/>
      <c r="E61" s="37" t="n"/>
      <c r="F61" s="37" t="n"/>
      <c r="G61" s="37" t="n"/>
      <c r="H61" s="37" t="n"/>
    </row>
    <row r="62">
      <c r="A62" s="36" t="inlineStr">
        <is>
          <t>T13</t>
        </is>
      </c>
      <c r="B62" s="36" t="inlineStr">
        <is>
          <t>Rahul Kumar</t>
        </is>
      </c>
      <c r="C62" s="36" t="n"/>
      <c r="D62" s="36" t="n"/>
      <c r="E62" s="36" t="n"/>
      <c r="F62" s="36" t="n"/>
      <c r="G62" s="36" t="n"/>
      <c r="H62" s="36" t="n"/>
    </row>
    <row r="63">
      <c r="A63" s="37" t="inlineStr">
        <is>
          <t>T14</t>
        </is>
      </c>
      <c r="B63" s="37" t="inlineStr">
        <is>
          <t>Jeya</t>
        </is>
      </c>
      <c r="C63" s="37" t="inlineStr">
        <is>
          <t>jayajeganathan@gmail.com</t>
        </is>
      </c>
      <c r="D63" s="37" t="inlineStr">
        <is>
          <t>9620007862</t>
        </is>
      </c>
      <c r="E63" s="37" t="n"/>
      <c r="F63" s="37" t="n"/>
      <c r="G63" s="37" t="n"/>
      <c r="H63" s="37" t="n"/>
    </row>
    <row r="64">
      <c r="A64" s="36" t="inlineStr">
        <is>
          <t>T15</t>
        </is>
      </c>
      <c r="B64" s="36" t="inlineStr">
        <is>
          <t>Trevor</t>
        </is>
      </c>
      <c r="C64" s="36" t="n"/>
      <c r="D64" s="36" t="inlineStr">
        <is>
          <t>9900237201</t>
        </is>
      </c>
      <c r="E64" s="36" t="n"/>
      <c r="F64" s="36" t="n"/>
      <c r="G64" s="36" t="n"/>
      <c r="H64" s="36" t="n"/>
    </row>
    <row r="65">
      <c r="A65" s="37" t="inlineStr">
        <is>
          <t>T16</t>
        </is>
      </c>
      <c r="B65" s="37" t="inlineStr">
        <is>
          <t>Madhusoodanan P.R.</t>
        </is>
      </c>
      <c r="C65" s="37" t="inlineStr">
        <is>
          <t>madhusoodan.pr@gmail.com</t>
        </is>
      </c>
      <c r="D65" s="37" t="n"/>
      <c r="E65" s="37" t="n"/>
      <c r="F65" s="37" t="n"/>
      <c r="G65" s="37" t="n"/>
      <c r="H65" s="3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workbookViewId="0">
      <pane ySplit="2" topLeftCell="A3" activePane="bottomLeft" state="frozen"/>
      <selection pane="bottomLeft" activeCell="A6" sqref="A6:B6"/>
    </sheetView>
  </sheetViews>
  <sheetFormatPr baseColWidth="8" defaultColWidth="14.42578125" defaultRowHeight="15" customHeight="1"/>
  <cols>
    <col width="7.7109375" customWidth="1" min="1" max="1"/>
    <col width="32" customWidth="1" min="2" max="2"/>
    <col width="15.7109375" customWidth="1" min="3" max="3"/>
    <col width="20.140625" customWidth="1" min="4" max="4"/>
    <col width="19.42578125" customWidth="1" min="5" max="5"/>
    <col width="15" customWidth="1" min="6" max="6"/>
    <col width="16.28515625" customWidth="1" min="7" max="7"/>
    <col width="13.7109375" customWidth="1" min="8" max="8"/>
    <col width="14.28515625" customWidth="1" min="9" max="9"/>
    <col width="28.42578125" customWidth="1" min="10" max="10"/>
    <col width="16.85546875" customWidth="1" min="11" max="11"/>
    <col width="17.7109375" customWidth="1" min="12" max="12"/>
    <col width="17.28515625" customWidth="1" min="13" max="13"/>
    <col width="15.7109375" customWidth="1" min="14" max="14"/>
    <col width="16.7109375" customWidth="1" min="15" max="15"/>
    <col width="17.7109375" customWidth="1" min="16" max="16"/>
    <col width="27.42578125" customWidth="1" min="17" max="17"/>
    <col width="12.28515625" customWidth="1" min="18" max="18"/>
    <col width="44.140625" customWidth="1" min="19" max="19"/>
    <col width="11.42578125" customWidth="1" min="20" max="20"/>
  </cols>
  <sheetData>
    <row r="1" ht="18.75" customHeight="1">
      <c r="A1" s="88" t="n"/>
      <c r="B1" s="87" t="inlineStr">
        <is>
          <t>APR 2026 EXPENSES</t>
        </is>
      </c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6" t="n"/>
    </row>
    <row r="2" ht="58.5" customHeight="1">
      <c r="A2" s="39" t="inlineStr">
        <is>
          <t>FLAT #</t>
        </is>
      </c>
      <c r="B2" s="100" t="n">
        <v>1</v>
      </c>
      <c r="C2" s="39" t="inlineStr">
        <is>
          <t>WATER USED IN LTRS</t>
        </is>
      </c>
      <c r="D2" s="39" t="inlineStr">
        <is>
          <t>COMMON AREA WATER EQUALLY DIVIDED (L)</t>
        </is>
      </c>
      <c r="E2" s="39" t="inlineStr">
        <is>
          <t>TOTAL FRESH WATER CONSUMED(L)</t>
        </is>
      </c>
      <c r="F2" s="39" t="inlineStr">
        <is>
          <t>%OF TOTAL WATER USED</t>
        </is>
      </c>
      <c r="G2" s="39" t="inlineStr">
        <is>
          <t>WATER EXPENSE SHARING BY %</t>
        </is>
      </c>
      <c r="H2" s="39" t="inlineStr">
        <is>
          <t>#METERS</t>
        </is>
      </c>
      <c r="I2" s="39" t="inlineStr">
        <is>
          <t>METER RENT (Rs)</t>
        </is>
      </c>
      <c r="J2" s="39" t="inlineStr">
        <is>
          <t>TOTAL VARIABLE = (COMMON AREA METER RENT + 
WATER EXPENSE+ 
FLAT METER RENT (Rs))</t>
        </is>
      </c>
      <c r="K2" s="39" t="inlineStr">
        <is>
          <t>FIXED EXPENSE SHARE(Rs)</t>
        </is>
      </c>
      <c r="L2" s="39" t="inlineStr">
        <is>
          <t>PARKING FEE(Rs)</t>
        </is>
      </c>
      <c r="M2" s="39" t="inlineStr">
        <is>
          <t>CLUB HOUSE FEE (Rs)</t>
        </is>
      </c>
      <c r="N2" s="39" t="inlineStr">
        <is>
          <t>SHIFTING FEE (Rs)</t>
        </is>
      </c>
      <c r="O2" s="39" t="inlineStr">
        <is>
          <t>GYM USAGE FEE(Rs)</t>
        </is>
      </c>
      <c r="P2" s="39" t="inlineStr">
        <is>
          <t>COVID+ GARBAGE FEE (Rs)</t>
        </is>
      </c>
      <c r="Q2" s="39" t="inlineStr">
        <is>
          <t>ANNUAL MEMBERSHIP FEE - 2022-2023 (Rs)</t>
        </is>
      </c>
      <c r="R2" s="39" t="inlineStr">
        <is>
          <t>TOTAL EXPENSE TO BE PAID (Rs)</t>
        </is>
      </c>
      <c r="S2" s="39" t="n"/>
      <c r="T2" s="39" t="n"/>
    </row>
    <row r="3" ht="12.75" customHeight="1">
      <c r="A3" s="40" t="inlineStr">
        <is>
          <t>CH</t>
        </is>
      </c>
      <c r="B3" s="40" t="inlineStr">
        <is>
          <t>MPFOWA</t>
        </is>
      </c>
      <c r="C3" s="41" t="n">
        <v>0</v>
      </c>
      <c r="D3" s="41" t="n">
        <v>0</v>
      </c>
      <c r="E3" s="41" t="n"/>
      <c r="F3" s="41" t="n"/>
      <c r="G3" s="41" t="n"/>
      <c r="H3" s="41" t="n">
        <v>1</v>
      </c>
      <c r="I3" s="41">
        <f>T7</f>
        <v/>
      </c>
      <c r="J3" s="41" t="n"/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</row>
    <row r="4" ht="12.75" customHeight="1">
      <c r="A4" s="42" t="inlineStr">
        <is>
          <t>GYM</t>
        </is>
      </c>
      <c r="B4" s="42" t="inlineStr">
        <is>
          <t>MPFOWA</t>
        </is>
      </c>
      <c r="C4" s="43" t="n">
        <v>0</v>
      </c>
      <c r="D4" s="43" t="n">
        <v>0</v>
      </c>
      <c r="E4" s="43" t="n"/>
      <c r="F4" s="43" t="n"/>
      <c r="G4" s="43" t="n"/>
      <c r="H4" s="43" t="n">
        <v>1</v>
      </c>
      <c r="I4" s="43">
        <f>T7</f>
        <v/>
      </c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inlineStr">
        <is>
          <t>TOTAL FIXED EXPENSE</t>
        </is>
      </c>
      <c r="T4" s="43">
        <f>'ANNUAL-EXPENSE-DETAILS'!AB3</f>
        <v/>
      </c>
    </row>
    <row r="5" ht="12.75" customHeight="1">
      <c r="A5" s="40" t="inlineStr">
        <is>
          <t>BSMT</t>
        </is>
      </c>
      <c r="B5" s="40" t="inlineStr">
        <is>
          <t>MPFOWA</t>
        </is>
      </c>
      <c r="C5" s="41" t="n">
        <v>0</v>
      </c>
      <c r="D5" s="41" t="n">
        <v>0</v>
      </c>
      <c r="E5" s="41" t="n"/>
      <c r="F5" s="41" t="n"/>
      <c r="G5" s="41" t="n"/>
      <c r="H5" s="41" t="n">
        <v>1</v>
      </c>
      <c r="I5" s="41">
        <f>T7</f>
        <v/>
      </c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inlineStr">
        <is>
          <t>TOTAL WATER EXPENSE</t>
        </is>
      </c>
      <c r="T5" s="41">
        <f>'ANNUAL-EXPENSE-DETAILS'!AA3</f>
        <v/>
      </c>
    </row>
    <row r="6" ht="12.75" customHeight="1">
      <c r="A6" s="42" t="inlineStr">
        <is>
          <t>F1</t>
        </is>
      </c>
      <c r="B6" s="42">
        <f>VLOOKUP(A6,Members!$A$2:$B$65,2,FALSE)</f>
        <v/>
      </c>
      <c r="C6" s="43" t="n">
        <v>0</v>
      </c>
      <c r="D6" s="43">
        <f>SUM($C$3:$C$5)/64</f>
        <v/>
      </c>
      <c r="E6" s="43">
        <f>C6+D6</f>
        <v/>
      </c>
      <c r="F6" s="43">
        <f>IF($C$70=0, 0, E6/$C$70)</f>
        <v/>
      </c>
      <c r="G6" s="43">
        <f>F6*$T$5</f>
        <v/>
      </c>
      <c r="H6" s="43" t="n">
        <v>3</v>
      </c>
      <c r="I6" s="43">
        <f>$T$7*H6</f>
        <v/>
      </c>
      <c r="J6" s="43">
        <f>G6+$T$9+I6</f>
        <v/>
      </c>
      <c r="K6" s="43">
        <f>$T$4/64</f>
        <v/>
      </c>
      <c r="L6" s="43" t="n">
        <v>0</v>
      </c>
      <c r="M6" s="43" t="n">
        <v>0</v>
      </c>
      <c r="N6" s="43" t="n">
        <v>0</v>
      </c>
      <c r="O6" s="43" t="n">
        <v>0</v>
      </c>
      <c r="P6" s="43" t="n">
        <v>0</v>
      </c>
      <c r="Q6" s="43" t="n">
        <v>0</v>
      </c>
      <c r="R6" s="43">
        <f>(J6+K6+L6+M6+Q6+N6+O6+P6)*$B$2</f>
        <v/>
      </c>
      <c r="S6" s="43" t="n"/>
      <c r="T6" s="43" t="n"/>
    </row>
    <row r="7" ht="12.75" customHeight="1">
      <c r="A7" s="40" t="inlineStr">
        <is>
          <t>F2</t>
        </is>
      </c>
      <c r="B7" s="40">
        <f>VLOOKUP(A7,Members!$A$2:$B$65,2,FALSE)</f>
        <v/>
      </c>
      <c r="C7" s="41" t="n">
        <v>0</v>
      </c>
      <c r="D7" s="41">
        <f>SUM($C$3:$C$5)/64</f>
        <v/>
      </c>
      <c r="E7" s="41">
        <f>C7+D7</f>
        <v/>
      </c>
      <c r="F7" s="41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$T$4/64</f>
        <v/>
      </c>
      <c r="L7" s="41" t="n">
        <v>0</v>
      </c>
      <c r="M7" s="41" t="n">
        <v>0</v>
      </c>
      <c r="N7" s="41" t="n">
        <v>0</v>
      </c>
      <c r="O7" s="41" t="n">
        <v>0</v>
      </c>
      <c r="P7" s="41" t="n">
        <v>0</v>
      </c>
      <c r="Q7" s="41" t="n">
        <v>0</v>
      </c>
      <c r="R7" s="41">
        <f>(J7+K7+L7+M7+Q7+N7+O7+P7)*$B$2</f>
        <v/>
      </c>
      <c r="S7" s="41" t="inlineStr">
        <is>
          <t>RENT PER METER (Rs)</t>
        </is>
      </c>
      <c r="T7" s="41" t="n">
        <v>112.21</v>
      </c>
    </row>
    <row r="8" ht="12.75" customHeight="1">
      <c r="A8" s="42" t="inlineStr">
        <is>
          <t>F3</t>
        </is>
      </c>
      <c r="B8" s="42">
        <f>VLOOKUP(A8,Members!$A$2:$B$65,2,FALSE)</f>
        <v/>
      </c>
      <c r="C8" s="43" t="n">
        <v>0</v>
      </c>
      <c r="D8" s="43">
        <f>SUM($C$3:$C$5)/64</f>
        <v/>
      </c>
      <c r="E8" s="43">
        <f>C8+D8</f>
        <v/>
      </c>
      <c r="F8" s="43">
        <f>IF($C$70=0, 0, E8/$C$70)</f>
        <v/>
      </c>
      <c r="G8" s="43">
        <f>F8*$T$5</f>
        <v/>
      </c>
      <c r="H8" s="43" t="n">
        <v>4</v>
      </c>
      <c r="I8" s="43">
        <f>$T$7*H8</f>
        <v/>
      </c>
      <c r="J8" s="43">
        <f>G8+$T$9+I8</f>
        <v/>
      </c>
      <c r="K8" s="43">
        <f>$T$4/64</f>
        <v/>
      </c>
      <c r="L8" s="43" t="n">
        <v>0</v>
      </c>
      <c r="M8" s="43" t="n">
        <v>0</v>
      </c>
      <c r="N8" s="43" t="n">
        <v>0</v>
      </c>
      <c r="O8" s="43" t="n">
        <v>0</v>
      </c>
      <c r="P8" s="43" t="n">
        <v>0</v>
      </c>
      <c r="Q8" s="43" t="n">
        <v>0</v>
      </c>
      <c r="R8" s="43">
        <f>(J8+K8+L8+M8+Q8+N8+O8+P8)*$B$2</f>
        <v/>
      </c>
      <c r="S8" s="43" t="inlineStr">
        <is>
          <t>COMMON AREA METER RENT(Rs)</t>
        </is>
      </c>
      <c r="T8" s="43">
        <f>$T$7*3</f>
        <v/>
      </c>
    </row>
    <row r="9" ht="12.75" customHeight="1">
      <c r="A9" s="40" t="inlineStr">
        <is>
          <t>F4</t>
        </is>
      </c>
      <c r="B9" s="40">
        <f>VLOOKUP(A9,Members!$A$2:$B$65,2,FALSE)</f>
        <v/>
      </c>
      <c r="C9" s="41" t="n">
        <v>0</v>
      </c>
      <c r="D9" s="41">
        <f>SUM($C$3:$C$5)/64</f>
        <v/>
      </c>
      <c r="E9" s="41">
        <f>C9+D9</f>
        <v/>
      </c>
      <c r="F9" s="41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$T$4/64</f>
        <v/>
      </c>
      <c r="L9" s="41" t="n">
        <v>0</v>
      </c>
      <c r="M9" s="41" t="n">
        <v>0</v>
      </c>
      <c r="N9" s="41" t="n">
        <v>0</v>
      </c>
      <c r="O9" s="41" t="n">
        <v>0</v>
      </c>
      <c r="P9" s="41" t="n">
        <v>0</v>
      </c>
      <c r="Q9" s="41" t="n">
        <v>0</v>
      </c>
      <c r="R9" s="41">
        <f>(J9+K9+L9+M9+Q9+N9+O9+P9)*$B$2</f>
        <v/>
      </c>
      <c r="S9" s="41" t="inlineStr">
        <is>
          <t>COMMON AREA METER RENT/FLAT (Rs)</t>
        </is>
      </c>
      <c r="T9" s="41">
        <f>T8/64</f>
        <v/>
      </c>
    </row>
    <row r="10" ht="12.75" customHeight="1">
      <c r="A10" s="42" t="inlineStr">
        <is>
          <t>F5</t>
        </is>
      </c>
      <c r="B10" s="42">
        <f>VLOOKUP(A10,Members!$A$2:$B$65,2,FALSE)</f>
        <v/>
      </c>
      <c r="C10" s="43" t="n">
        <v>0</v>
      </c>
      <c r="D10" s="43">
        <f>SUM($C$3:$C$5)/64</f>
        <v/>
      </c>
      <c r="E10" s="43">
        <f>C10+D10</f>
        <v/>
      </c>
      <c r="F10" s="43">
        <f>IF($C$70=0, 0, E10/$C$70)</f>
        <v/>
      </c>
      <c r="G10" s="43">
        <f>F10*$T$5</f>
        <v/>
      </c>
      <c r="H10" s="43" t="n">
        <v>3</v>
      </c>
      <c r="I10" s="43">
        <f>$T$7*H10</f>
        <v/>
      </c>
      <c r="J10" s="43">
        <f>G10+$T$9+I10</f>
        <v/>
      </c>
      <c r="K10" s="43">
        <f>$T$4/64</f>
        <v/>
      </c>
      <c r="L10" s="43" t="n">
        <v>0</v>
      </c>
      <c r="M10" s="43" t="n">
        <v>0</v>
      </c>
      <c r="N10" s="43" t="n">
        <v>0</v>
      </c>
      <c r="O10" s="43" t="n">
        <v>0</v>
      </c>
      <c r="P10" s="43" t="n">
        <v>0</v>
      </c>
      <c r="Q10" s="43" t="n">
        <v>0</v>
      </c>
      <c r="R10" s="43">
        <f>(J10+K10+L10+M10+Q10+N10+O10+P10)*$B$2</f>
        <v/>
      </c>
      <c r="S10" s="43" t="n"/>
      <c r="T10" s="43" t="n"/>
    </row>
    <row r="11" ht="12.75" customHeight="1">
      <c r="A11" s="40" t="inlineStr">
        <is>
          <t>F6</t>
        </is>
      </c>
      <c r="B11" s="40">
        <f>VLOOKUP(A11,Members!$A$2:$B$65,2,FALSE)</f>
        <v/>
      </c>
      <c r="C11" s="41" t="n">
        <v>0</v>
      </c>
      <c r="D11" s="41">
        <f>SUM($C$3:$C$5)/64</f>
        <v/>
      </c>
      <c r="E11" s="41">
        <f>C11+D11</f>
        <v/>
      </c>
      <c r="F11" s="41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$T$4/64</f>
        <v/>
      </c>
      <c r="L11" s="41" t="n">
        <v>0</v>
      </c>
      <c r="M11" s="41" t="n">
        <v>0</v>
      </c>
      <c r="N11" s="41" t="n">
        <v>0</v>
      </c>
      <c r="O11" s="41" t="n">
        <v>0</v>
      </c>
      <c r="P11" s="41" t="n">
        <v>0</v>
      </c>
      <c r="Q11" s="41" t="n">
        <v>0</v>
      </c>
      <c r="R11" s="41">
        <f>(J11+K11+L11+M11+Q11+N11+O11+P11)*$B$2</f>
        <v/>
      </c>
      <c r="S11" s="41" t="inlineStr">
        <is>
          <t>BALANCE IN ACCOUNT ON 30-Apr-2023</t>
        </is>
      </c>
      <c r="T11" s="41" t="n"/>
    </row>
    <row r="12" ht="12.75" customHeight="1">
      <c r="A12" s="42" t="inlineStr">
        <is>
          <t>F7</t>
        </is>
      </c>
      <c r="B12" s="42">
        <f>VLOOKUP(A12,Members!$A$2:$B$65,2,FALSE)</f>
        <v/>
      </c>
      <c r="C12" s="43" t="n">
        <v>0</v>
      </c>
      <c r="D12" s="43">
        <f>SUM($C$3:$C$5)/64</f>
        <v/>
      </c>
      <c r="E12" s="43">
        <f>C12+D12</f>
        <v/>
      </c>
      <c r="F12" s="43">
        <f>IF($C$70=0, 0, E12/$C$70)</f>
        <v/>
      </c>
      <c r="G12" s="43">
        <f>F12*$T$5</f>
        <v/>
      </c>
      <c r="H12" s="43" t="n">
        <v>3</v>
      </c>
      <c r="I12" s="43">
        <f>$T$7*H12</f>
        <v/>
      </c>
      <c r="J12" s="43">
        <f>G12+$T$9+I12</f>
        <v/>
      </c>
      <c r="K12" s="43">
        <f>$T$4/64</f>
        <v/>
      </c>
      <c r="L12" s="43" t="n">
        <v>0</v>
      </c>
      <c r="M12" s="43" t="n">
        <v>0</v>
      </c>
      <c r="N12" s="43" t="n">
        <v>0</v>
      </c>
      <c r="O12" s="43" t="n">
        <v>0</v>
      </c>
      <c r="P12" s="43" t="n">
        <v>0</v>
      </c>
      <c r="Q12" s="43" t="n">
        <v>0</v>
      </c>
      <c r="R12" s="43">
        <f>(J12+K12+L12+M12+Q12+N12+O12+P12)*$B$2</f>
        <v/>
      </c>
      <c r="S12" s="43" t="inlineStr">
        <is>
          <t>TOTAL NON MAINTENANCE CORPUS COLLECTION</t>
        </is>
      </c>
      <c r="T12" s="43" t="n"/>
    </row>
    <row r="13" ht="12.75" customHeight="1">
      <c r="A13" s="40" t="inlineStr">
        <is>
          <t>F8</t>
        </is>
      </c>
      <c r="B13" s="40">
        <f>VLOOKUP(A13,Members!$A$2:$B$65,2,FALSE)</f>
        <v/>
      </c>
      <c r="C13" s="41" t="n">
        <v>0</v>
      </c>
      <c r="D13" s="41">
        <f>SUM($C$3:$C$5)/64</f>
        <v/>
      </c>
      <c r="E13" s="41">
        <f>C13+D13</f>
        <v/>
      </c>
      <c r="F13" s="41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$T$4/64</f>
        <v/>
      </c>
      <c r="L13" s="41" t="n">
        <v>0</v>
      </c>
      <c r="M13" s="41" t="n">
        <v>0</v>
      </c>
      <c r="N13" s="41" t="n">
        <v>0</v>
      </c>
      <c r="O13" s="41" t="n">
        <v>0</v>
      </c>
      <c r="P13" s="41" t="n">
        <v>0</v>
      </c>
      <c r="Q13" s="41" t="n">
        <v>0</v>
      </c>
      <c r="R13" s="41">
        <f>(J13+K13+L13+M13+Q13+N13+O13+P13)*$B$2</f>
        <v/>
      </c>
      <c r="S13" s="41" t="inlineStr">
        <is>
          <t>TOTAL FD DONE</t>
        </is>
      </c>
      <c r="T13" s="41" t="n"/>
    </row>
    <row r="14" ht="12.75" customHeight="1">
      <c r="A14" s="42" t="inlineStr">
        <is>
          <t>F9</t>
        </is>
      </c>
      <c r="B14" s="42">
        <f>VLOOKUP(A14,Members!$A$2:$B$65,2,FALSE)</f>
        <v/>
      </c>
      <c r="C14" s="43" t="n">
        <v>0</v>
      </c>
      <c r="D14" s="43">
        <f>SUM($C$3:$C$5)/64</f>
        <v/>
      </c>
      <c r="E14" s="43">
        <f>C14+D14</f>
        <v/>
      </c>
      <c r="F14" s="43">
        <f>IF($C$70=0, 0, E14/$C$70)</f>
        <v/>
      </c>
      <c r="G14" s="43">
        <f>F14*$T$5</f>
        <v/>
      </c>
      <c r="H14" s="43" t="n">
        <v>4</v>
      </c>
      <c r="I14" s="43">
        <f>$T$7*H14</f>
        <v/>
      </c>
      <c r="J14" s="43">
        <f>G14+$T$9+I14</f>
        <v/>
      </c>
      <c r="K14" s="43">
        <f>$T$4/64</f>
        <v/>
      </c>
      <c r="L14" s="43" t="n">
        <v>0</v>
      </c>
      <c r="M14" s="43" t="n">
        <v>0</v>
      </c>
      <c r="N14" s="43" t="n">
        <v>0</v>
      </c>
      <c r="O14" s="43" t="n">
        <v>0</v>
      </c>
      <c r="P14" s="43" t="n">
        <v>0</v>
      </c>
      <c r="Q14" s="43" t="n">
        <v>0</v>
      </c>
      <c r="R14" s="43">
        <f>(J14+K14+L14+M14+Q14+N14+O14+P14)*$B$2</f>
        <v/>
      </c>
      <c r="S14" s="43" t="inlineStr">
        <is>
          <t>AMOUNT AVAILABLE FOR NON MAINTENANCE CORPUS IN CURRENT AC</t>
        </is>
      </c>
      <c r="T14" s="43">
        <f>T12-T13</f>
        <v/>
      </c>
    </row>
    <row r="15" ht="12.75" customHeight="1">
      <c r="A15" s="40" t="inlineStr">
        <is>
          <t>F10</t>
        </is>
      </c>
      <c r="B15" s="40">
        <f>VLOOKUP(A15,Members!$A$2:$B$65,2,FALSE)</f>
        <v/>
      </c>
      <c r="C15" s="41" t="n">
        <v>0</v>
      </c>
      <c r="D15" s="41">
        <f>SUM($C$3:$C$5)/64</f>
        <v/>
      </c>
      <c r="E15" s="41">
        <f>C15+D15</f>
        <v/>
      </c>
      <c r="F15" s="41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$T$4/64</f>
        <v/>
      </c>
      <c r="L15" s="41" t="n">
        <v>0</v>
      </c>
      <c r="M15" s="41" t="n">
        <v>0</v>
      </c>
      <c r="N15" s="41" t="n">
        <v>0</v>
      </c>
      <c r="O15" s="41" t="n">
        <v>0</v>
      </c>
      <c r="P15" s="41" t="n">
        <v>0</v>
      </c>
      <c r="Q15" s="41" t="n">
        <v>0</v>
      </c>
      <c r="R15" s="41">
        <f>(J15+K15+L15+M15+Q15+N15+O15+P15)*$B$2</f>
        <v/>
      </c>
      <c r="S15" s="41" t="inlineStr">
        <is>
          <t>Pending vendor payments</t>
        </is>
      </c>
      <c r="T15" s="41" t="n"/>
    </row>
    <row r="16" ht="12.75" customHeight="1">
      <c r="A16" s="42" t="inlineStr">
        <is>
          <t>F11</t>
        </is>
      </c>
      <c r="B16" s="42">
        <f>VLOOKUP(A16,Members!$A$2:$B$65,2,FALSE)</f>
        <v/>
      </c>
      <c r="C16" s="43" t="n">
        <v>0</v>
      </c>
      <c r="D16" s="43">
        <f>SUM($C$3:$C$5)/64</f>
        <v/>
      </c>
      <c r="E16" s="43">
        <f>C16+D16</f>
        <v/>
      </c>
      <c r="F16" s="43">
        <f>IF($C$70=0, 0, E16/$C$70)</f>
        <v/>
      </c>
      <c r="G16" s="43">
        <f>F16*$T$5</f>
        <v/>
      </c>
      <c r="H16" s="43" t="n">
        <v>3</v>
      </c>
      <c r="I16" s="43">
        <f>$T$7*H16</f>
        <v/>
      </c>
      <c r="J16" s="43">
        <f>G16+$T$9+I16</f>
        <v/>
      </c>
      <c r="K16" s="43">
        <f>$T$4/64</f>
        <v/>
      </c>
      <c r="L16" s="43" t="n">
        <v>0</v>
      </c>
      <c r="M16" s="43" t="n">
        <v>0</v>
      </c>
      <c r="N16" s="43" t="n">
        <v>0</v>
      </c>
      <c r="O16" s="43" t="n">
        <v>0</v>
      </c>
      <c r="P16" s="43" t="n">
        <v>0</v>
      </c>
      <c r="Q16" s="43" t="n">
        <v>0</v>
      </c>
      <c r="R16" s="43">
        <f>(J16+K16+L16+M16+Q16+N16+O16+P16)*$B$2</f>
        <v/>
      </c>
      <c r="S16" s="43" t="inlineStr">
        <is>
          <t>AMOUNT AVAILABLE FOR MAINTENANCE</t>
        </is>
      </c>
      <c r="T16" s="43">
        <f>T11-T14-T15</f>
        <v/>
      </c>
    </row>
    <row r="17" ht="12.75" customHeight="1">
      <c r="A17" s="40" t="inlineStr">
        <is>
          <t>F12</t>
        </is>
      </c>
      <c r="B17" s="40">
        <f>VLOOKUP(A17,Members!$A$2:$B$65,2,FALSE)</f>
        <v/>
      </c>
      <c r="C17" s="41" t="n">
        <v>0</v>
      </c>
      <c r="D17" s="41">
        <f>SUM($C$3:$C$5)/64</f>
        <v/>
      </c>
      <c r="E17" s="41">
        <f>C17+D17</f>
        <v/>
      </c>
      <c r="F17" s="41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$T$4/64</f>
        <v/>
      </c>
      <c r="L17" s="41" t="n">
        <v>0</v>
      </c>
      <c r="M17" s="41" t="n">
        <v>0</v>
      </c>
      <c r="N17" s="41" t="n">
        <v>0</v>
      </c>
      <c r="O17" s="41" t="n">
        <v>0</v>
      </c>
      <c r="P17" s="41" t="n">
        <v>0</v>
      </c>
      <c r="Q17" s="41" t="n">
        <v>0</v>
      </c>
      <c r="R17" s="41">
        <f>(J17+K17+L17+M17+Q17+N17+O17+P17)*$B$2</f>
        <v/>
      </c>
      <c r="S17" s="41" t="inlineStr">
        <is>
          <t>TOTAL EXPENSE FOR THE MONTH</t>
        </is>
      </c>
      <c r="T17" s="41">
        <f>'ANNUAL-EXPENSE-DETAILS'!AE9</f>
        <v/>
      </c>
    </row>
    <row r="18" ht="12.75" customHeight="1">
      <c r="A18" s="42" t="inlineStr">
        <is>
          <t>F13</t>
        </is>
      </c>
      <c r="B18" s="42">
        <f>VLOOKUP(A18,Members!$A$2:$B$65,2,FALSE)</f>
        <v/>
      </c>
      <c r="C18" s="43" t="n">
        <v>0</v>
      </c>
      <c r="D18" s="43">
        <f>SUM($C$3:$C$5)/64</f>
        <v/>
      </c>
      <c r="E18" s="43">
        <f>C18+D18</f>
        <v/>
      </c>
      <c r="F18" s="43">
        <f>IF($C$70=0, 0, E18/$C$70)</f>
        <v/>
      </c>
      <c r="G18" s="43">
        <f>F18*$T$5</f>
        <v/>
      </c>
      <c r="H18" s="43" t="n">
        <v>4</v>
      </c>
      <c r="I18" s="43">
        <f>$T$7*H18</f>
        <v/>
      </c>
      <c r="J18" s="43">
        <f>G18+$T$9+I18</f>
        <v/>
      </c>
      <c r="K18" s="43">
        <f>$T$4/64</f>
        <v/>
      </c>
      <c r="L18" s="43" t="n">
        <v>0</v>
      </c>
      <c r="M18" s="43" t="n">
        <v>0</v>
      </c>
      <c r="N18" s="43" t="n">
        <v>0</v>
      </c>
      <c r="O18" s="43" t="n">
        <v>0</v>
      </c>
      <c r="P18" s="43" t="n">
        <v>0</v>
      </c>
      <c r="Q18" s="43" t="n">
        <v>0</v>
      </c>
      <c r="R18" s="43">
        <f>(J18+K18+L18+M18+Q18+N18+O18+P18)*$B$2</f>
        <v/>
      </c>
      <c r="S18" s="43" t="inlineStr">
        <is>
          <t>Maintenance deficit</t>
        </is>
      </c>
      <c r="T18" s="43">
        <f>T16-T17</f>
        <v/>
      </c>
    </row>
    <row r="19" ht="12.75" customHeight="1">
      <c r="A19" s="40" t="inlineStr">
        <is>
          <t>F14</t>
        </is>
      </c>
      <c r="B19" s="40">
        <f>VLOOKUP(A19,Members!$A$2:$B$65,2,FALSE)</f>
        <v/>
      </c>
      <c r="C19" s="41" t="n">
        <v>0</v>
      </c>
      <c r="D19" s="41">
        <f>SUM($C$3:$C$5)/64</f>
        <v/>
      </c>
      <c r="E19" s="41">
        <f>C19+D19</f>
        <v/>
      </c>
      <c r="F19" s="41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$T$4/64</f>
        <v/>
      </c>
      <c r="L19" s="41" t="n">
        <v>0</v>
      </c>
      <c r="M19" s="41" t="n">
        <v>0</v>
      </c>
      <c r="N19" s="41" t="n">
        <v>0</v>
      </c>
      <c r="O19" s="41" t="n">
        <v>0</v>
      </c>
      <c r="P19" s="41" t="n">
        <v>0</v>
      </c>
      <c r="Q19" s="41" t="n">
        <v>0</v>
      </c>
      <c r="R19" s="41">
        <f>(J19+K19+L19+M19+Q19+N19+O19+P19)*$B$2</f>
        <v/>
      </c>
      <c r="S19" s="41" t="n"/>
      <c r="T19" s="41" t="n"/>
    </row>
    <row r="20" ht="12.75" customHeight="1">
      <c r="A20" s="42" t="inlineStr">
        <is>
          <t>F15</t>
        </is>
      </c>
      <c r="B20" s="42">
        <f>VLOOKUP(A20,Members!$A$2:$B$65,2,FALSE)</f>
        <v/>
      </c>
      <c r="C20" s="43" t="n">
        <v>0</v>
      </c>
      <c r="D20" s="43">
        <f>SUM($C$3:$C$5)/64</f>
        <v/>
      </c>
      <c r="E20" s="43">
        <f>C20+D20</f>
        <v/>
      </c>
      <c r="F20" s="43">
        <f>IF($C$70=0, 0, E20/$C$70)</f>
        <v/>
      </c>
      <c r="G20" s="43">
        <f>F20*$T$5</f>
        <v/>
      </c>
      <c r="H20" s="43" t="n">
        <v>4</v>
      </c>
      <c r="I20" s="43">
        <f>$T$7*H20</f>
        <v/>
      </c>
      <c r="J20" s="43">
        <f>G20+$T$9+I20</f>
        <v/>
      </c>
      <c r="K20" s="43">
        <f>$T$4/64</f>
        <v/>
      </c>
      <c r="L20" s="43" t="n">
        <v>0</v>
      </c>
      <c r="M20" s="43" t="n">
        <v>0</v>
      </c>
      <c r="N20" s="43" t="n">
        <v>0</v>
      </c>
      <c r="O20" s="43" t="n">
        <v>0</v>
      </c>
      <c r="P20" s="43" t="n">
        <v>0</v>
      </c>
      <c r="Q20" s="43" t="n">
        <v>0</v>
      </c>
      <c r="R20" s="43">
        <f>(J20+K20+L20+M20+Q20+N20+O20+P20)*$B$2</f>
        <v/>
      </c>
      <c r="S20" s="43" t="n"/>
      <c r="T20" s="43" t="n"/>
    </row>
    <row r="21" ht="12.75" customHeight="1">
      <c r="A21" s="40" t="inlineStr">
        <is>
          <t>F16</t>
        </is>
      </c>
      <c r="B21" s="40">
        <f>VLOOKUP(A21,Members!$A$2:$B$65,2,FALSE)</f>
        <v/>
      </c>
      <c r="C21" s="41" t="n">
        <v>0</v>
      </c>
      <c r="D21" s="41">
        <f>SUM($C$3:$C$5)/64</f>
        <v/>
      </c>
      <c r="E21" s="41">
        <f>C21+D21</f>
        <v/>
      </c>
      <c r="F21" s="41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$T$4/64</f>
        <v/>
      </c>
      <c r="L21" s="41" t="n">
        <v>0</v>
      </c>
      <c r="M21" s="41" t="n">
        <v>0</v>
      </c>
      <c r="N21" s="41" t="n">
        <v>0</v>
      </c>
      <c r="O21" s="41" t="n">
        <v>0</v>
      </c>
      <c r="P21" s="41" t="n">
        <v>0</v>
      </c>
      <c r="Q21" s="41" t="n">
        <v>0</v>
      </c>
      <c r="R21" s="41">
        <f>(J21+K21+L21+M21+Q21+N21+O21+P21)*$B$2</f>
        <v/>
      </c>
      <c r="S21" s="41" t="n"/>
      <c r="T21" s="41" t="n"/>
    </row>
    <row r="22" ht="12.75" customHeight="1">
      <c r="A22" s="42" t="inlineStr">
        <is>
          <t>G1</t>
        </is>
      </c>
      <c r="B22" s="42">
        <f>VLOOKUP(A22,Members!$A$2:$B$65,2,FALSE)</f>
        <v/>
      </c>
      <c r="C22" s="43" t="n">
        <v>0</v>
      </c>
      <c r="D22" s="43">
        <f>SUM($C$3:$C$5)/64</f>
        <v/>
      </c>
      <c r="E22" s="43">
        <f>C22+D22</f>
        <v/>
      </c>
      <c r="F22" s="43">
        <f>IF($C$70=0, 0, E22/$C$70)</f>
        <v/>
      </c>
      <c r="G22" s="43">
        <f>F22*$T$5</f>
        <v/>
      </c>
      <c r="H22" s="43" t="n">
        <v>3</v>
      </c>
      <c r="I22" s="43">
        <f>$T$7*H22</f>
        <v/>
      </c>
      <c r="J22" s="43">
        <f>G22+$T$9+I22</f>
        <v/>
      </c>
      <c r="K22" s="43">
        <f>$T$4/64</f>
        <v/>
      </c>
      <c r="L22" s="43" t="n">
        <v>0</v>
      </c>
      <c r="M22" s="43" t="n">
        <v>0</v>
      </c>
      <c r="N22" s="43" t="n">
        <v>0</v>
      </c>
      <c r="O22" s="43" t="n">
        <v>0</v>
      </c>
      <c r="P22" s="43" t="n">
        <v>0</v>
      </c>
      <c r="Q22" s="43" t="n">
        <v>0</v>
      </c>
      <c r="R22" s="43">
        <f>(J22+K22+L22+M22+Q22+N22+O22+P22)*$B$2</f>
        <v/>
      </c>
      <c r="S22" s="43" t="n"/>
      <c r="T22" s="43" t="n"/>
    </row>
    <row r="23" ht="12.75" customHeight="1">
      <c r="A23" s="40" t="inlineStr">
        <is>
          <t>G2</t>
        </is>
      </c>
      <c r="B23" s="40">
        <f>VLOOKUP(A23,Members!$A$2:$B$65,2,FALSE)</f>
        <v/>
      </c>
      <c r="C23" s="41" t="n">
        <v>0</v>
      </c>
      <c r="D23" s="41">
        <f>SUM($C$3:$C$5)/64</f>
        <v/>
      </c>
      <c r="E23" s="41">
        <f>C23+D23</f>
        <v/>
      </c>
      <c r="F23" s="41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$T$4/64</f>
        <v/>
      </c>
      <c r="L23" s="41" t="n">
        <v>0</v>
      </c>
      <c r="M23" s="41" t="n">
        <v>0</v>
      </c>
      <c r="N23" s="41" t="n">
        <v>0</v>
      </c>
      <c r="O23" s="41" t="n">
        <v>0</v>
      </c>
      <c r="P23" s="41" t="n">
        <v>0</v>
      </c>
      <c r="Q23" s="41" t="n">
        <v>0</v>
      </c>
      <c r="R23" s="41">
        <f>(J23+K23+L23+M23+Q23+N23+O23+P23)*$B$2</f>
        <v/>
      </c>
      <c r="S23" s="41" t="n"/>
      <c r="T23" s="41" t="n"/>
    </row>
    <row r="24" ht="12.75" customHeight="1">
      <c r="A24" s="42" t="inlineStr">
        <is>
          <t>G3</t>
        </is>
      </c>
      <c r="B24" s="42">
        <f>VLOOKUP(A24,Members!$A$2:$B$65,2,FALSE)</f>
        <v/>
      </c>
      <c r="C24" s="43" t="n">
        <v>0</v>
      </c>
      <c r="D24" s="43">
        <f>SUM($C$3:$C$5)/64</f>
        <v/>
      </c>
      <c r="E24" s="43">
        <f>C24+D24</f>
        <v/>
      </c>
      <c r="F24" s="43">
        <f>IF($C$70=0, 0, E24/$C$70)</f>
        <v/>
      </c>
      <c r="G24" s="43">
        <f>F24*$T$5</f>
        <v/>
      </c>
      <c r="H24" s="43" t="n">
        <v>4</v>
      </c>
      <c r="I24" s="43">
        <f>$T$7*H24</f>
        <v/>
      </c>
      <c r="J24" s="43">
        <f>G24+$T$9+I24</f>
        <v/>
      </c>
      <c r="K24" s="43">
        <f>$T$4/64</f>
        <v/>
      </c>
      <c r="L24" s="43" t="n">
        <v>0</v>
      </c>
      <c r="M24" s="43" t="n">
        <v>0</v>
      </c>
      <c r="N24" s="43" t="n">
        <v>0</v>
      </c>
      <c r="O24" s="43" t="n">
        <v>0</v>
      </c>
      <c r="P24" s="43" t="n">
        <v>0</v>
      </c>
      <c r="Q24" s="43" t="n">
        <v>0</v>
      </c>
      <c r="R24" s="43">
        <f>(J24+K24+L24+M24+Q24+N24+O24+P24)*$B$2</f>
        <v/>
      </c>
      <c r="S24" s="43" t="n"/>
      <c r="T24" s="43" t="n"/>
    </row>
    <row r="25" ht="12.75" customHeight="1">
      <c r="A25" s="40" t="inlineStr">
        <is>
          <t>G4</t>
        </is>
      </c>
      <c r="B25" s="40">
        <f>VLOOKUP(A25,Members!$A$2:$B$65,2,FALSE)</f>
        <v/>
      </c>
      <c r="C25" s="41" t="n">
        <v>0</v>
      </c>
      <c r="D25" s="41">
        <f>SUM($C$3:$C$5)/64</f>
        <v/>
      </c>
      <c r="E25" s="41">
        <f>C25+D25</f>
        <v/>
      </c>
      <c r="F25" s="41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$T$4/64</f>
        <v/>
      </c>
      <c r="L25" s="41" t="n">
        <v>0</v>
      </c>
      <c r="M25" s="41" t="n">
        <v>0</v>
      </c>
      <c r="N25" s="41" t="n">
        <v>0</v>
      </c>
      <c r="O25" s="41" t="n">
        <v>0</v>
      </c>
      <c r="P25" s="41" t="n">
        <v>0</v>
      </c>
      <c r="Q25" s="41" t="n">
        <v>0</v>
      </c>
      <c r="R25" s="41">
        <f>(J25+K25+L25+M25+Q25+N25+O25+P25)*$B$2</f>
        <v/>
      </c>
      <c r="S25" s="41" t="n"/>
      <c r="T25" s="41" t="n"/>
    </row>
    <row r="26" ht="12.75" customHeight="1">
      <c r="A26" s="42" t="inlineStr">
        <is>
          <t>G5</t>
        </is>
      </c>
      <c r="B26" s="42">
        <f>VLOOKUP(A26,Members!$A$2:$B$65,2,FALSE)</f>
        <v/>
      </c>
      <c r="C26" s="43" t="n">
        <v>0</v>
      </c>
      <c r="D26" s="43">
        <f>SUM($C$3:$C$5)/64</f>
        <v/>
      </c>
      <c r="E26" s="43">
        <f>C26+D26</f>
        <v/>
      </c>
      <c r="F26" s="43">
        <f>IF($C$70=0, 0, E26/$C$70)</f>
        <v/>
      </c>
      <c r="G26" s="43">
        <f>F26*$T$5</f>
        <v/>
      </c>
      <c r="H26" s="43" t="n">
        <v>3</v>
      </c>
      <c r="I26" s="43">
        <f>$T$7*H26</f>
        <v/>
      </c>
      <c r="J26" s="43">
        <f>G26+$T$9+I26</f>
        <v/>
      </c>
      <c r="K26" s="43">
        <f>$T$4/64</f>
        <v/>
      </c>
      <c r="L26" s="43" t="n">
        <v>0</v>
      </c>
      <c r="M26" s="43" t="n">
        <v>0</v>
      </c>
      <c r="N26" s="43" t="n">
        <v>0</v>
      </c>
      <c r="O26" s="43" t="n">
        <v>0</v>
      </c>
      <c r="P26" s="43" t="n">
        <v>0</v>
      </c>
      <c r="Q26" s="43" t="n">
        <v>0</v>
      </c>
      <c r="R26" s="43">
        <f>(J26+K26+L26+M26+Q26+N26+O26+P26)*$B$2</f>
        <v/>
      </c>
      <c r="S26" s="43" t="n"/>
      <c r="T26" s="43" t="n"/>
    </row>
    <row r="27" ht="12.75" customHeight="1">
      <c r="A27" s="40" t="inlineStr">
        <is>
          <t>G6</t>
        </is>
      </c>
      <c r="B27" s="40">
        <f>VLOOKUP(A27,Members!$A$2:$B$65,2,FALSE)</f>
        <v/>
      </c>
      <c r="C27" s="41" t="n">
        <v>0</v>
      </c>
      <c r="D27" s="41">
        <f>SUM($C$3:$C$5)/64</f>
        <v/>
      </c>
      <c r="E27" s="41">
        <f>C27+D27</f>
        <v/>
      </c>
      <c r="F27" s="41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$T$4/64</f>
        <v/>
      </c>
      <c r="L27" s="41" t="n">
        <v>0</v>
      </c>
      <c r="M27" s="41" t="n">
        <v>0</v>
      </c>
      <c r="N27" s="41" t="n">
        <v>0</v>
      </c>
      <c r="O27" s="41" t="n">
        <v>0</v>
      </c>
      <c r="P27" s="41" t="n">
        <v>0</v>
      </c>
      <c r="Q27" s="41" t="n">
        <v>0</v>
      </c>
      <c r="R27" s="41">
        <f>(J27+K27+L27+M27+Q27+N27+O27+P27)*$B$2</f>
        <v/>
      </c>
      <c r="S27" s="41" t="n"/>
      <c r="T27" s="41" t="n"/>
    </row>
    <row r="28" ht="12.75" customHeight="1">
      <c r="A28" s="42" t="inlineStr">
        <is>
          <t>G7</t>
        </is>
      </c>
      <c r="B28" s="42">
        <f>VLOOKUP(A28,Members!$A$2:$B$65,2,FALSE)</f>
        <v/>
      </c>
      <c r="C28" s="43" t="n">
        <v>0</v>
      </c>
      <c r="D28" s="43">
        <f>SUM($C$3:$C$5)/64</f>
        <v/>
      </c>
      <c r="E28" s="43">
        <f>C28+D28</f>
        <v/>
      </c>
      <c r="F28" s="43">
        <f>IF($C$70=0, 0, E28/$C$70)</f>
        <v/>
      </c>
      <c r="G28" s="43">
        <f>F28*$T$5</f>
        <v/>
      </c>
      <c r="H28" s="43" t="n">
        <v>3</v>
      </c>
      <c r="I28" s="43">
        <f>$T$7*H28</f>
        <v/>
      </c>
      <c r="J28" s="43">
        <f>G28+$T$9+I28</f>
        <v/>
      </c>
      <c r="K28" s="43">
        <f>$T$4/64</f>
        <v/>
      </c>
      <c r="L28" s="43" t="n">
        <v>0</v>
      </c>
      <c r="M28" s="43" t="n">
        <v>0</v>
      </c>
      <c r="N28" s="43" t="n">
        <v>0</v>
      </c>
      <c r="O28" s="43" t="n">
        <v>0</v>
      </c>
      <c r="P28" s="43" t="n">
        <v>0</v>
      </c>
      <c r="Q28" s="43" t="n">
        <v>0</v>
      </c>
      <c r="R28" s="43">
        <f>(J28+K28+L28+M28+Q28+N28+O28+P28)*$B$2</f>
        <v/>
      </c>
      <c r="S28" s="43" t="n"/>
      <c r="T28" s="43" t="n"/>
    </row>
    <row r="29" ht="12.75" customHeight="1">
      <c r="A29" s="40" t="inlineStr">
        <is>
          <t>G8</t>
        </is>
      </c>
      <c r="B29" s="40">
        <f>VLOOKUP(A29,Members!$A$2:$B$65,2,FALSE)</f>
        <v/>
      </c>
      <c r="C29" s="41" t="n">
        <v>0</v>
      </c>
      <c r="D29" s="41">
        <f>SUM($C$3:$C$5)/64</f>
        <v/>
      </c>
      <c r="E29" s="41">
        <f>C29+D29</f>
        <v/>
      </c>
      <c r="F29" s="41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$T$4/64</f>
        <v/>
      </c>
      <c r="L29" s="41" t="n">
        <v>0</v>
      </c>
      <c r="M29" s="41" t="n">
        <v>0</v>
      </c>
      <c r="N29" s="41" t="n">
        <v>0</v>
      </c>
      <c r="O29" s="41" t="n">
        <v>0</v>
      </c>
      <c r="P29" s="41" t="n">
        <v>0</v>
      </c>
      <c r="Q29" s="41" t="n">
        <v>0</v>
      </c>
      <c r="R29" s="41">
        <f>(J29+K29+L29+M29+Q29+N29+O29+P29)*$B$2</f>
        <v/>
      </c>
      <c r="S29" s="41" t="n"/>
      <c r="T29" s="41" t="n"/>
    </row>
    <row r="30" ht="12.75" customHeight="1">
      <c r="A30" s="42" t="inlineStr">
        <is>
          <t>G9</t>
        </is>
      </c>
      <c r="B30" s="42">
        <f>VLOOKUP(A30,Members!$A$2:$B$65,2,FALSE)</f>
        <v/>
      </c>
      <c r="C30" s="43" t="n">
        <v>0</v>
      </c>
      <c r="D30" s="43">
        <f>SUM($C$3:$C$5)/64</f>
        <v/>
      </c>
      <c r="E30" s="43">
        <f>C30+D30</f>
        <v/>
      </c>
      <c r="F30" s="43">
        <f>IF($C$70=0, 0, E30/$C$70)</f>
        <v/>
      </c>
      <c r="G30" s="43">
        <f>F30*$T$5</f>
        <v/>
      </c>
      <c r="H30" s="43" t="n">
        <v>5</v>
      </c>
      <c r="I30" s="43">
        <f>$T$7*H30</f>
        <v/>
      </c>
      <c r="J30" s="43">
        <f>G30+$T$9+I30</f>
        <v/>
      </c>
      <c r="K30" s="43">
        <f>$T$4/64</f>
        <v/>
      </c>
      <c r="L30" s="43" t="n">
        <v>0</v>
      </c>
      <c r="M30" s="43" t="n">
        <v>0</v>
      </c>
      <c r="N30" s="43" t="n">
        <v>0</v>
      </c>
      <c r="O30" s="43" t="n">
        <v>0</v>
      </c>
      <c r="P30" s="43" t="n">
        <v>0</v>
      </c>
      <c r="Q30" s="43" t="n">
        <v>0</v>
      </c>
      <c r="R30" s="43">
        <f>(J30+K30+L30+M30+Q30+N30+O30+P30)*$B$2</f>
        <v/>
      </c>
      <c r="S30" s="43" t="n"/>
      <c r="T30" s="43" t="n"/>
    </row>
    <row r="31" ht="12.75" customHeight="1">
      <c r="A31" s="40" t="inlineStr">
        <is>
          <t>G10</t>
        </is>
      </c>
      <c r="B31" s="40">
        <f>VLOOKUP(A31,Members!$A$2:$B$65,2,FALSE)</f>
        <v/>
      </c>
      <c r="C31" s="41" t="n">
        <v>0</v>
      </c>
      <c r="D31" s="41">
        <f>SUM($C$3:$C$5)/64</f>
        <v/>
      </c>
      <c r="E31" s="41">
        <f>C31+D31</f>
        <v/>
      </c>
      <c r="F31" s="41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$T$4/64</f>
        <v/>
      </c>
      <c r="L31" s="41" t="n">
        <v>0</v>
      </c>
      <c r="M31" s="41" t="n">
        <v>0</v>
      </c>
      <c r="N31" s="41" t="n">
        <v>0</v>
      </c>
      <c r="O31" s="41" t="n">
        <v>0</v>
      </c>
      <c r="P31" s="41" t="n">
        <v>0</v>
      </c>
      <c r="Q31" s="41" t="n">
        <v>0</v>
      </c>
      <c r="R31" s="41">
        <f>(J31+K31+L31+M31+Q31+N31+O31+P31)*$B$2</f>
        <v/>
      </c>
      <c r="S31" s="41" t="n"/>
      <c r="T31" s="41" t="n"/>
    </row>
    <row r="32" ht="12.75" customHeight="1">
      <c r="A32" s="42" t="inlineStr">
        <is>
          <t>G11</t>
        </is>
      </c>
      <c r="B32" s="42">
        <f>VLOOKUP(A32,Members!$A$2:$B$65,2,FALSE)</f>
        <v/>
      </c>
      <c r="C32" s="43" t="n">
        <v>0</v>
      </c>
      <c r="D32" s="43">
        <f>SUM($C$3:$C$5)/64</f>
        <v/>
      </c>
      <c r="E32" s="43">
        <f>C32+D32</f>
        <v/>
      </c>
      <c r="F32" s="43">
        <f>IF($C$70=0, 0, E32/$C$70)</f>
        <v/>
      </c>
      <c r="G32" s="43">
        <f>F32*$T$5</f>
        <v/>
      </c>
      <c r="H32" s="43" t="n">
        <v>3</v>
      </c>
      <c r="I32" s="43">
        <f>$T$7*H32</f>
        <v/>
      </c>
      <c r="J32" s="43">
        <f>G32+$T$9+I32</f>
        <v/>
      </c>
      <c r="K32" s="43">
        <f>$T$4/64</f>
        <v/>
      </c>
      <c r="L32" s="43" t="n">
        <v>0</v>
      </c>
      <c r="M32" s="43" t="n">
        <v>0</v>
      </c>
      <c r="N32" s="43" t="n">
        <v>0</v>
      </c>
      <c r="O32" s="43" t="n">
        <v>0</v>
      </c>
      <c r="P32" s="43" t="n">
        <v>0</v>
      </c>
      <c r="Q32" s="43" t="n">
        <v>0</v>
      </c>
      <c r="R32" s="43">
        <f>(J32+K32+L32+M32+Q32+N32+O32+P32)*$B$2</f>
        <v/>
      </c>
      <c r="S32" s="43" t="n"/>
      <c r="T32" s="43" t="n"/>
    </row>
    <row r="33" ht="12.75" customHeight="1">
      <c r="A33" s="40" t="inlineStr">
        <is>
          <t>G12</t>
        </is>
      </c>
      <c r="B33" s="40">
        <f>VLOOKUP(A33,Members!$A$2:$B$65,2,FALSE)</f>
        <v/>
      </c>
      <c r="C33" s="41" t="n">
        <v>0</v>
      </c>
      <c r="D33" s="41">
        <f>SUM($C$3:$C$5)/64</f>
        <v/>
      </c>
      <c r="E33" s="41">
        <f>C33+D33</f>
        <v/>
      </c>
      <c r="F33" s="41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$T$4/64</f>
        <v/>
      </c>
      <c r="L33" s="41" t="n">
        <v>0</v>
      </c>
      <c r="M33" s="41" t="n">
        <v>0</v>
      </c>
      <c r="N33" s="41" t="n">
        <v>0</v>
      </c>
      <c r="O33" s="41" t="n">
        <v>0</v>
      </c>
      <c r="P33" s="41" t="n">
        <v>0</v>
      </c>
      <c r="Q33" s="41" t="n">
        <v>0</v>
      </c>
      <c r="R33" s="41">
        <f>(J33+K33+L33+M33+Q33+N33+O33+P33)*$B$2</f>
        <v/>
      </c>
      <c r="S33" s="41" t="n"/>
      <c r="T33" s="41" t="n"/>
    </row>
    <row r="34" ht="12.75" customHeight="1">
      <c r="A34" s="42" t="inlineStr">
        <is>
          <t>G13</t>
        </is>
      </c>
      <c r="B34" s="42">
        <f>VLOOKUP(A34,Members!$A$2:$B$65,2,FALSE)</f>
        <v/>
      </c>
      <c r="C34" s="43" t="n">
        <v>0</v>
      </c>
      <c r="D34" s="43">
        <f>SUM($C$3:$C$5)/64</f>
        <v/>
      </c>
      <c r="E34" s="43">
        <f>C34+D34</f>
        <v/>
      </c>
      <c r="F34" s="43">
        <f>IF($C$70=0, 0, E34/$C$70)</f>
        <v/>
      </c>
      <c r="G34" s="43">
        <f>F34*$T$5</f>
        <v/>
      </c>
      <c r="H34" s="43" t="n">
        <v>4</v>
      </c>
      <c r="I34" s="43">
        <f>$T$7*H34</f>
        <v/>
      </c>
      <c r="J34" s="43">
        <f>G34+$T$9+I34</f>
        <v/>
      </c>
      <c r="K34" s="43">
        <f>$T$4/64</f>
        <v/>
      </c>
      <c r="L34" s="43" t="n">
        <v>0</v>
      </c>
      <c r="M34" s="43" t="n">
        <v>0</v>
      </c>
      <c r="N34" s="43" t="n">
        <v>0</v>
      </c>
      <c r="O34" s="43" t="n">
        <v>0</v>
      </c>
      <c r="P34" s="43" t="n">
        <v>0</v>
      </c>
      <c r="Q34" s="43" t="n">
        <v>0</v>
      </c>
      <c r="R34" s="43">
        <f>(J34+K34+L34+M34+Q34+N34+O34+P34)*$B$2</f>
        <v/>
      </c>
      <c r="S34" s="43" t="n"/>
      <c r="T34" s="43" t="n"/>
    </row>
    <row r="35" ht="12.75" customHeight="1">
      <c r="A35" s="40" t="inlineStr">
        <is>
          <t>G14</t>
        </is>
      </c>
      <c r="B35" s="40">
        <f>VLOOKUP(A35,Members!$A$2:$B$65,2,FALSE)</f>
        <v/>
      </c>
      <c r="C35" s="41" t="n">
        <v>0</v>
      </c>
      <c r="D35" s="41">
        <f>SUM($C$3:$C$5)/64</f>
        <v/>
      </c>
      <c r="E35" s="41">
        <f>C35+D35</f>
        <v/>
      </c>
      <c r="F35" s="41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$T$4/64</f>
        <v/>
      </c>
      <c r="L35" s="41" t="n">
        <v>0</v>
      </c>
      <c r="M35" s="41" t="n">
        <v>0</v>
      </c>
      <c r="N35" s="41" t="n">
        <v>0</v>
      </c>
      <c r="O35" s="41" t="n">
        <v>0</v>
      </c>
      <c r="P35" s="41" t="n">
        <v>0</v>
      </c>
      <c r="Q35" s="41" t="n">
        <v>0</v>
      </c>
      <c r="R35" s="41">
        <f>(J35+K35+L35+M35+Q35+N35+O35+P35)*$B$2</f>
        <v/>
      </c>
      <c r="S35" s="41" t="n"/>
      <c r="T35" s="41" t="n"/>
    </row>
    <row r="36" ht="12.75" customHeight="1">
      <c r="A36" s="42" t="inlineStr">
        <is>
          <t>G15</t>
        </is>
      </c>
      <c r="B36" s="42">
        <f>VLOOKUP(A36,Members!$A$2:$B$65,2,FALSE)</f>
        <v/>
      </c>
      <c r="C36" s="43" t="n">
        <v>0</v>
      </c>
      <c r="D36" s="43">
        <f>SUM($C$3:$C$5)/64</f>
        <v/>
      </c>
      <c r="E36" s="43">
        <f>C36+D36</f>
        <v/>
      </c>
      <c r="F36" s="43">
        <f>IF($C$70=0, 0, E36/$C$70)</f>
        <v/>
      </c>
      <c r="G36" s="43">
        <f>F36*$T$5</f>
        <v/>
      </c>
      <c r="H36" s="43" t="n">
        <v>4</v>
      </c>
      <c r="I36" s="43">
        <f>$T$7*H36</f>
        <v/>
      </c>
      <c r="J36" s="43">
        <f>G36+$T$9+I36</f>
        <v/>
      </c>
      <c r="K36" s="43">
        <f>$T$4/64</f>
        <v/>
      </c>
      <c r="L36" s="43" t="n">
        <v>0</v>
      </c>
      <c r="M36" s="43" t="n">
        <v>0</v>
      </c>
      <c r="N36" s="43" t="n">
        <v>0</v>
      </c>
      <c r="O36" s="43" t="n">
        <v>0</v>
      </c>
      <c r="P36" s="43" t="n">
        <v>0</v>
      </c>
      <c r="Q36" s="43" t="n">
        <v>0</v>
      </c>
      <c r="R36" s="43">
        <f>(J36+K36+L36+M36+Q36+N36+O36+P36)*$B$2</f>
        <v/>
      </c>
      <c r="S36" s="43" t="n"/>
      <c r="T36" s="43" t="n"/>
    </row>
    <row r="37" ht="12.75" customHeight="1">
      <c r="A37" s="40" t="inlineStr">
        <is>
          <t>G16</t>
        </is>
      </c>
      <c r="B37" s="40">
        <f>VLOOKUP(A37,Members!$A$2:$B$65,2,FALSE)</f>
        <v/>
      </c>
      <c r="C37" s="41" t="n">
        <v>0</v>
      </c>
      <c r="D37" s="41">
        <f>SUM($C$3:$C$5)/64</f>
        <v/>
      </c>
      <c r="E37" s="41">
        <f>C37+D37</f>
        <v/>
      </c>
      <c r="F37" s="41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$T$4/64</f>
        <v/>
      </c>
      <c r="L37" s="41" t="n">
        <v>0</v>
      </c>
      <c r="M37" s="41" t="n">
        <v>0</v>
      </c>
      <c r="N37" s="41" t="n">
        <v>0</v>
      </c>
      <c r="O37" s="41" t="n">
        <v>0</v>
      </c>
      <c r="P37" s="41" t="n">
        <v>0</v>
      </c>
      <c r="Q37" s="41" t="n">
        <v>0</v>
      </c>
      <c r="R37" s="41">
        <f>(J37+K37+L37+M37+Q37+N37+O37+P37)*$B$2</f>
        <v/>
      </c>
      <c r="S37" s="41" t="n"/>
      <c r="T37" s="41" t="n"/>
    </row>
    <row r="38" ht="12.75" customHeight="1">
      <c r="A38" s="42" t="inlineStr">
        <is>
          <t>S1</t>
        </is>
      </c>
      <c r="B38" s="42">
        <f>VLOOKUP(A38,Members!$A$2:$B$65,2,FALSE)</f>
        <v/>
      </c>
      <c r="C38" s="43" t="n">
        <v>0</v>
      </c>
      <c r="D38" s="43">
        <f>SUM($C$3:$C$5)/64</f>
        <v/>
      </c>
      <c r="E38" s="43">
        <f>C38+D38</f>
        <v/>
      </c>
      <c r="F38" s="43">
        <f>IF($C$70=0, 0, E38/$C$70)</f>
        <v/>
      </c>
      <c r="G38" s="43">
        <f>F38*$T$5</f>
        <v/>
      </c>
      <c r="H38" s="43" t="n">
        <v>3</v>
      </c>
      <c r="I38" s="43">
        <f>$T$7*H38</f>
        <v/>
      </c>
      <c r="J38" s="43">
        <f>G38+$T$9+I38</f>
        <v/>
      </c>
      <c r="K38" s="43">
        <f>$T$4/64</f>
        <v/>
      </c>
      <c r="L38" s="43" t="n">
        <v>0</v>
      </c>
      <c r="M38" s="43" t="n">
        <v>0</v>
      </c>
      <c r="N38" s="43" t="n">
        <v>0</v>
      </c>
      <c r="O38" s="43" t="n">
        <v>0</v>
      </c>
      <c r="P38" s="43" t="n">
        <v>0</v>
      </c>
      <c r="Q38" s="43" t="n">
        <v>0</v>
      </c>
      <c r="R38" s="43">
        <f>(J38+K38+L38+M38+Q38+N38+O38+P38)*$B$2</f>
        <v/>
      </c>
      <c r="S38" s="43" t="n"/>
      <c r="T38" s="43" t="n"/>
    </row>
    <row r="39" ht="12.75" customHeight="1">
      <c r="A39" s="40" t="inlineStr">
        <is>
          <t>S2</t>
        </is>
      </c>
      <c r="B39" s="40">
        <f>VLOOKUP(A39,Members!$A$2:$B$65,2,FALSE)</f>
        <v/>
      </c>
      <c r="C39" s="41" t="n">
        <v>0</v>
      </c>
      <c r="D39" s="41">
        <f>SUM($C$3:$C$5)/64</f>
        <v/>
      </c>
      <c r="E39" s="41">
        <f>C39+D39</f>
        <v/>
      </c>
      <c r="F39" s="41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$T$4/64</f>
        <v/>
      </c>
      <c r="L39" s="41" t="n">
        <v>0</v>
      </c>
      <c r="M39" s="41" t="n">
        <v>0</v>
      </c>
      <c r="N39" s="41" t="n">
        <v>0</v>
      </c>
      <c r="O39" s="41" t="n">
        <v>0</v>
      </c>
      <c r="P39" s="41" t="n">
        <v>0</v>
      </c>
      <c r="Q39" s="41" t="n">
        <v>0</v>
      </c>
      <c r="R39" s="41">
        <f>(J39+K39+L39+M39+Q39+N39+O39+P39)*$B$2</f>
        <v/>
      </c>
      <c r="S39" s="41" t="n"/>
      <c r="T39" s="41" t="n"/>
    </row>
    <row r="40" ht="12.75" customHeight="1">
      <c r="A40" s="42" t="inlineStr">
        <is>
          <t>S3</t>
        </is>
      </c>
      <c r="B40" s="42">
        <f>VLOOKUP(A40,Members!$A$2:$B$65,2,FALSE)</f>
        <v/>
      </c>
      <c r="C40" s="43" t="n">
        <v>0</v>
      </c>
      <c r="D40" s="43">
        <f>SUM($C$3:$C$5)/64</f>
        <v/>
      </c>
      <c r="E40" s="43">
        <f>C40+D40</f>
        <v/>
      </c>
      <c r="F40" s="43">
        <f>IF($C$70=0, 0, E40/$C$70)</f>
        <v/>
      </c>
      <c r="G40" s="43">
        <f>F40*$T$5</f>
        <v/>
      </c>
      <c r="H40" s="43" t="n">
        <v>4</v>
      </c>
      <c r="I40" s="43">
        <f>$T$7*H40</f>
        <v/>
      </c>
      <c r="J40" s="43">
        <f>G40+$T$9+I40</f>
        <v/>
      </c>
      <c r="K40" s="43">
        <f>$T$4/64</f>
        <v/>
      </c>
      <c r="L40" s="43" t="n">
        <v>0</v>
      </c>
      <c r="M40" s="43" t="n">
        <v>0</v>
      </c>
      <c r="N40" s="43" t="n">
        <v>0</v>
      </c>
      <c r="O40" s="43" t="n">
        <v>0</v>
      </c>
      <c r="P40" s="43" t="n">
        <v>0</v>
      </c>
      <c r="Q40" s="43" t="n">
        <v>0</v>
      </c>
      <c r="R40" s="43">
        <f>(J40+K40+L40+M40+Q40+N40+O40+P40)*$B$2</f>
        <v/>
      </c>
      <c r="S40" s="43" t="n"/>
      <c r="T40" s="43" t="n"/>
    </row>
    <row r="41" ht="12.75" customHeight="1">
      <c r="A41" s="40" t="inlineStr">
        <is>
          <t>S4</t>
        </is>
      </c>
      <c r="B41" s="40">
        <f>VLOOKUP(A41,Members!$A$2:$B$65,2,FALSE)</f>
        <v/>
      </c>
      <c r="C41" s="41" t="n">
        <v>0</v>
      </c>
      <c r="D41" s="41">
        <f>SUM($C$3:$C$5)/64</f>
        <v/>
      </c>
      <c r="E41" s="41">
        <f>C41+D41</f>
        <v/>
      </c>
      <c r="F41" s="41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$T$4/64</f>
        <v/>
      </c>
      <c r="L41" s="41" t="n">
        <v>0</v>
      </c>
      <c r="M41" s="41" t="n">
        <v>0</v>
      </c>
      <c r="N41" s="41" t="n">
        <v>0</v>
      </c>
      <c r="O41" s="41" t="n">
        <v>0</v>
      </c>
      <c r="P41" s="41" t="n">
        <v>0</v>
      </c>
      <c r="Q41" s="41" t="n">
        <v>0</v>
      </c>
      <c r="R41" s="41">
        <f>(J41+K41+L41+M41+Q41+N41+O41+P41)*$B$2</f>
        <v/>
      </c>
      <c r="S41" s="41" t="n"/>
      <c r="T41" s="41" t="n"/>
    </row>
    <row r="42" ht="12.75" customHeight="1">
      <c r="A42" s="42" t="inlineStr">
        <is>
          <t>S5</t>
        </is>
      </c>
      <c r="B42" s="42">
        <f>VLOOKUP(A42,Members!$A$2:$B$65,2,FALSE)</f>
        <v/>
      </c>
      <c r="C42" s="43" t="n">
        <v>0</v>
      </c>
      <c r="D42" s="43">
        <f>SUM($C$3:$C$5)/64</f>
        <v/>
      </c>
      <c r="E42" s="43">
        <f>C42+D42</f>
        <v/>
      </c>
      <c r="F42" s="43">
        <f>IF($C$70=0, 0, E42/$C$70)</f>
        <v/>
      </c>
      <c r="G42" s="43">
        <f>F42*$T$5</f>
        <v/>
      </c>
      <c r="H42" s="43" t="n">
        <v>3</v>
      </c>
      <c r="I42" s="43">
        <f>$T$7*H42</f>
        <v/>
      </c>
      <c r="J42" s="43">
        <f>G42+$T$9+I42</f>
        <v/>
      </c>
      <c r="K42" s="43">
        <f>$T$4/64</f>
        <v/>
      </c>
      <c r="L42" s="43" t="n">
        <v>0</v>
      </c>
      <c r="M42" s="43" t="n">
        <v>0</v>
      </c>
      <c r="N42" s="43" t="n">
        <v>0</v>
      </c>
      <c r="O42" s="43" t="n">
        <v>0</v>
      </c>
      <c r="P42" s="43" t="n">
        <v>0</v>
      </c>
      <c r="Q42" s="43" t="n">
        <v>0</v>
      </c>
      <c r="R42" s="43">
        <f>(J42+K42+L42+M42+Q42+N42+O42+P42)*$B$2</f>
        <v/>
      </c>
      <c r="S42" s="43" t="n"/>
      <c r="T42" s="43" t="n"/>
    </row>
    <row r="43" ht="12.75" customHeight="1">
      <c r="A43" s="40" t="inlineStr">
        <is>
          <t>S6</t>
        </is>
      </c>
      <c r="B43" s="40">
        <f>VLOOKUP(A43,Members!$A$2:$B$65,2,FALSE)</f>
        <v/>
      </c>
      <c r="C43" s="41" t="n">
        <v>0</v>
      </c>
      <c r="D43" s="41">
        <f>SUM($C$3:$C$5)/64</f>
        <v/>
      </c>
      <c r="E43" s="41">
        <f>C43+D43</f>
        <v/>
      </c>
      <c r="F43" s="41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$T$4/64</f>
        <v/>
      </c>
      <c r="L43" s="41" t="n">
        <v>0</v>
      </c>
      <c r="M43" s="41" t="n">
        <v>0</v>
      </c>
      <c r="N43" s="41" t="n">
        <v>0</v>
      </c>
      <c r="O43" s="41" t="n">
        <v>0</v>
      </c>
      <c r="P43" s="41" t="n">
        <v>0</v>
      </c>
      <c r="Q43" s="41" t="n">
        <v>0</v>
      </c>
      <c r="R43" s="41">
        <f>(J43+K43+L43+M43+Q43+N43+O43+P43)*$B$2</f>
        <v/>
      </c>
      <c r="S43" s="41" t="n"/>
      <c r="T43" s="41" t="n"/>
    </row>
    <row r="44" ht="12.75" customHeight="1">
      <c r="A44" s="42" t="inlineStr">
        <is>
          <t>S7</t>
        </is>
      </c>
      <c r="B44" s="42">
        <f>VLOOKUP(A44,Members!$A$2:$B$65,2,FALSE)</f>
        <v/>
      </c>
      <c r="C44" s="43" t="n">
        <v>0</v>
      </c>
      <c r="D44" s="43">
        <f>SUM($C$3:$C$5)/64</f>
        <v/>
      </c>
      <c r="E44" s="43">
        <f>C44+D44</f>
        <v/>
      </c>
      <c r="F44" s="43">
        <f>IF($C$70=0, 0, E44/$C$70)</f>
        <v/>
      </c>
      <c r="G44" s="43">
        <f>F44*$T$5</f>
        <v/>
      </c>
      <c r="H44" s="43" t="n">
        <v>3</v>
      </c>
      <c r="I44" s="43">
        <f>$T$7*H44</f>
        <v/>
      </c>
      <c r="J44" s="43">
        <f>G44+$T$9+I44</f>
        <v/>
      </c>
      <c r="K44" s="43">
        <f>$T$4/64</f>
        <v/>
      </c>
      <c r="L44" s="43" t="n">
        <v>0</v>
      </c>
      <c r="M44" s="43" t="n">
        <v>0</v>
      </c>
      <c r="N44" s="43" t="n">
        <v>0</v>
      </c>
      <c r="O44" s="43" t="n">
        <v>0</v>
      </c>
      <c r="P44" s="43" t="n">
        <v>0</v>
      </c>
      <c r="Q44" s="43" t="n">
        <v>0</v>
      </c>
      <c r="R44" s="43">
        <f>(J44+K44+L44+M44+Q44+N44+O44+P44)*$B$2</f>
        <v/>
      </c>
      <c r="S44" s="43" t="n"/>
      <c r="T44" s="43" t="n"/>
    </row>
    <row r="45" ht="12.75" customHeight="1">
      <c r="A45" s="40" t="inlineStr">
        <is>
          <t>S8</t>
        </is>
      </c>
      <c r="B45" s="40">
        <f>VLOOKUP(A45,Members!$A$2:$B$65,2,FALSE)</f>
        <v/>
      </c>
      <c r="C45" s="41" t="n">
        <v>0</v>
      </c>
      <c r="D45" s="41">
        <f>SUM($C$3:$C$5)/64</f>
        <v/>
      </c>
      <c r="E45" s="41">
        <f>C45+D45</f>
        <v/>
      </c>
      <c r="F45" s="41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$T$4/64</f>
        <v/>
      </c>
      <c r="L45" s="41" t="n">
        <v>0</v>
      </c>
      <c r="M45" s="41" t="n">
        <v>0</v>
      </c>
      <c r="N45" s="41" t="n">
        <v>0</v>
      </c>
      <c r="O45" s="41" t="n">
        <v>0</v>
      </c>
      <c r="P45" s="41" t="n">
        <v>0</v>
      </c>
      <c r="Q45" s="41" t="n">
        <v>0</v>
      </c>
      <c r="R45" s="41">
        <f>(J45+K45+L45+M45+Q45+N45+O45+P45)*$B$2</f>
        <v/>
      </c>
      <c r="S45" s="41" t="n"/>
      <c r="T45" s="41" t="n"/>
    </row>
    <row r="46" ht="12.75" customHeight="1">
      <c r="A46" s="42" t="inlineStr">
        <is>
          <t>S9</t>
        </is>
      </c>
      <c r="B46" s="42">
        <f>VLOOKUP(A46,Members!$A$2:$B$65,2,FALSE)</f>
        <v/>
      </c>
      <c r="C46" s="43" t="n">
        <v>0</v>
      </c>
      <c r="D46" s="43">
        <f>SUM($C$3:$C$5)/64</f>
        <v/>
      </c>
      <c r="E46" s="43">
        <f>C46+D46</f>
        <v/>
      </c>
      <c r="F46" s="43">
        <f>IF($C$70=0, 0, E46/$C$70)</f>
        <v/>
      </c>
      <c r="G46" s="43">
        <f>F46*$T$5</f>
        <v/>
      </c>
      <c r="H46" s="43" t="n">
        <v>4</v>
      </c>
      <c r="I46" s="43">
        <f>$T$7*H46</f>
        <v/>
      </c>
      <c r="J46" s="43">
        <f>G46+$T$9+I46</f>
        <v/>
      </c>
      <c r="K46" s="43">
        <f>$T$4/64</f>
        <v/>
      </c>
      <c r="L46" s="43" t="n">
        <v>0</v>
      </c>
      <c r="M46" s="43" t="n">
        <v>0</v>
      </c>
      <c r="N46" s="43" t="n">
        <v>0</v>
      </c>
      <c r="O46" s="43" t="n">
        <v>0</v>
      </c>
      <c r="P46" s="43" t="n">
        <v>0</v>
      </c>
      <c r="Q46" s="43" t="n">
        <v>0</v>
      </c>
      <c r="R46" s="43">
        <f>(J46+K46+L46+M46+Q46+N46+O46+P46)*$B$2</f>
        <v/>
      </c>
      <c r="S46" s="43" t="n"/>
      <c r="T46" s="43" t="n"/>
    </row>
    <row r="47" ht="12.75" customHeight="1">
      <c r="A47" s="40" t="inlineStr">
        <is>
          <t>S10</t>
        </is>
      </c>
      <c r="B47" s="40">
        <f>VLOOKUP(A47,Members!$A$2:$B$65,2,FALSE)</f>
        <v/>
      </c>
      <c r="C47" s="41" t="n">
        <v>0</v>
      </c>
      <c r="D47" s="41">
        <f>SUM($C$3:$C$5)/64</f>
        <v/>
      </c>
      <c r="E47" s="41">
        <f>C47+D47</f>
        <v/>
      </c>
      <c r="F47" s="41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$T$4/64</f>
        <v/>
      </c>
      <c r="L47" s="41" t="n">
        <v>0</v>
      </c>
      <c r="M47" s="41" t="n">
        <v>0</v>
      </c>
      <c r="N47" s="41" t="n">
        <v>0</v>
      </c>
      <c r="O47" s="41" t="n">
        <v>0</v>
      </c>
      <c r="P47" s="41" t="n">
        <v>0</v>
      </c>
      <c r="Q47" s="41" t="n">
        <v>0</v>
      </c>
      <c r="R47" s="41">
        <f>(J47+K47+L47+M47+Q47+N47+O47+P47)*$B$2</f>
        <v/>
      </c>
      <c r="S47" s="41" t="n"/>
      <c r="T47" s="41" t="n"/>
    </row>
    <row r="48" ht="12.75" customHeight="1">
      <c r="A48" s="42" t="inlineStr">
        <is>
          <t>S11</t>
        </is>
      </c>
      <c r="B48" s="42">
        <f>VLOOKUP(A48,Members!$A$2:$B$65,2,FALSE)</f>
        <v/>
      </c>
      <c r="C48" s="43" t="n">
        <v>0</v>
      </c>
      <c r="D48" s="43">
        <f>SUM($C$3:$C$5)/64</f>
        <v/>
      </c>
      <c r="E48" s="43">
        <f>C48+D48</f>
        <v/>
      </c>
      <c r="F48" s="43">
        <f>IF($C$70=0, 0, E48/$C$70)</f>
        <v/>
      </c>
      <c r="G48" s="43">
        <f>F48*$T$5</f>
        <v/>
      </c>
      <c r="H48" s="43" t="n">
        <v>3</v>
      </c>
      <c r="I48" s="43">
        <f>$T$7*H48</f>
        <v/>
      </c>
      <c r="J48" s="43">
        <f>G48+$T$9+I48</f>
        <v/>
      </c>
      <c r="K48" s="43">
        <f>$T$4/64</f>
        <v/>
      </c>
      <c r="L48" s="43" t="n">
        <v>0</v>
      </c>
      <c r="M48" s="43" t="n">
        <v>0</v>
      </c>
      <c r="N48" s="43" t="n">
        <v>0</v>
      </c>
      <c r="O48" s="43" t="n">
        <v>0</v>
      </c>
      <c r="P48" s="43" t="n">
        <v>0</v>
      </c>
      <c r="Q48" s="43" t="n">
        <v>0</v>
      </c>
      <c r="R48" s="43">
        <f>(J48+K48+L48+M48+Q48+N48+O48+P48)*$B$2</f>
        <v/>
      </c>
      <c r="S48" s="43" t="n"/>
      <c r="T48" s="43" t="n"/>
    </row>
    <row r="49" ht="12.75" customHeight="1">
      <c r="A49" s="40" t="inlineStr">
        <is>
          <t>S12</t>
        </is>
      </c>
      <c r="B49" s="40">
        <f>VLOOKUP(A49,Members!$A$2:$B$65,2,FALSE)</f>
        <v/>
      </c>
      <c r="C49" s="41" t="n">
        <v>0</v>
      </c>
      <c r="D49" s="41">
        <f>SUM($C$3:$C$5)/64</f>
        <v/>
      </c>
      <c r="E49" s="41">
        <f>C49+D49</f>
        <v/>
      </c>
      <c r="F49" s="41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$T$4/64</f>
        <v/>
      </c>
      <c r="L49" s="41" t="n">
        <v>0</v>
      </c>
      <c r="M49" s="41" t="n">
        <v>0</v>
      </c>
      <c r="N49" s="41" t="n">
        <v>0</v>
      </c>
      <c r="O49" s="41" t="n">
        <v>0</v>
      </c>
      <c r="P49" s="41" t="n">
        <v>0</v>
      </c>
      <c r="Q49" s="41" t="n">
        <v>0</v>
      </c>
      <c r="R49" s="41">
        <f>(J49+K49+L49+M49+Q49+N49+O49+P49)*$B$2</f>
        <v/>
      </c>
      <c r="S49" s="41" t="n"/>
      <c r="T49" s="41" t="n"/>
    </row>
    <row r="50" ht="12.75" customHeight="1">
      <c r="A50" s="42" t="inlineStr">
        <is>
          <t>S13</t>
        </is>
      </c>
      <c r="B50" s="42">
        <f>VLOOKUP(A50,Members!$A$2:$B$65,2,FALSE)</f>
        <v/>
      </c>
      <c r="C50" s="43" t="n">
        <v>0</v>
      </c>
      <c r="D50" s="43">
        <f>SUM($C$3:$C$5)/64</f>
        <v/>
      </c>
      <c r="E50" s="43">
        <f>C50+D50</f>
        <v/>
      </c>
      <c r="F50" s="43">
        <f>IF($C$70=0, 0, E50/$C$70)</f>
        <v/>
      </c>
      <c r="G50" s="43">
        <f>F50*$T$5</f>
        <v/>
      </c>
      <c r="H50" s="43" t="n">
        <v>4</v>
      </c>
      <c r="I50" s="43">
        <f>$T$7*H50</f>
        <v/>
      </c>
      <c r="J50" s="43">
        <f>G50+$T$9+I50</f>
        <v/>
      </c>
      <c r="K50" s="43">
        <f>$T$4/64</f>
        <v/>
      </c>
      <c r="L50" s="43" t="n">
        <v>0</v>
      </c>
      <c r="M50" s="43" t="n">
        <v>0</v>
      </c>
      <c r="N50" s="43" t="n">
        <v>0</v>
      </c>
      <c r="O50" s="43" t="n">
        <v>0</v>
      </c>
      <c r="P50" s="43" t="n">
        <v>0</v>
      </c>
      <c r="Q50" s="43" t="n">
        <v>0</v>
      </c>
      <c r="R50" s="43">
        <f>(J50+K50+L50+M50+Q50+N50+O50+P50)*$B$2</f>
        <v/>
      </c>
      <c r="S50" s="43" t="n"/>
      <c r="T50" s="43" t="n"/>
    </row>
    <row r="51" ht="12.75" customHeight="1">
      <c r="A51" s="40" t="inlineStr">
        <is>
          <t>S14</t>
        </is>
      </c>
      <c r="B51" s="40">
        <f>VLOOKUP(A51,Members!$A$2:$B$65,2,FALSE)</f>
        <v/>
      </c>
      <c r="C51" s="41" t="n">
        <v>0</v>
      </c>
      <c r="D51" s="41">
        <f>SUM($C$3:$C$5)/64</f>
        <v/>
      </c>
      <c r="E51" s="41">
        <f>C51+D51</f>
        <v/>
      </c>
      <c r="F51" s="41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$T$4/64</f>
        <v/>
      </c>
      <c r="L51" s="41" t="n">
        <v>0</v>
      </c>
      <c r="M51" s="41" t="n">
        <v>0</v>
      </c>
      <c r="N51" s="41" t="n">
        <v>0</v>
      </c>
      <c r="O51" s="41" t="n">
        <v>0</v>
      </c>
      <c r="P51" s="41" t="n">
        <v>0</v>
      </c>
      <c r="Q51" s="41" t="n">
        <v>0</v>
      </c>
      <c r="R51" s="41">
        <f>(J51+K51+L51+M51+Q51+N51+O51+P51)*$B$2</f>
        <v/>
      </c>
      <c r="S51" s="41" t="n"/>
      <c r="T51" s="41" t="n"/>
    </row>
    <row r="52" ht="12.75" customHeight="1">
      <c r="A52" s="42" t="inlineStr">
        <is>
          <t>S15</t>
        </is>
      </c>
      <c r="B52" s="42">
        <f>VLOOKUP(A52,Members!$A$2:$B$65,2,FALSE)</f>
        <v/>
      </c>
      <c r="C52" s="43" t="n">
        <v>0</v>
      </c>
      <c r="D52" s="43">
        <f>SUM($C$3:$C$5)/64</f>
        <v/>
      </c>
      <c r="E52" s="43">
        <f>C52+D52</f>
        <v/>
      </c>
      <c r="F52" s="43">
        <f>IF($C$70=0, 0, E52/$C$70)</f>
        <v/>
      </c>
      <c r="G52" s="43">
        <f>F52*$T$5</f>
        <v/>
      </c>
      <c r="H52" s="43" t="n">
        <v>4</v>
      </c>
      <c r="I52" s="43">
        <f>$T$7*H52</f>
        <v/>
      </c>
      <c r="J52" s="43">
        <f>G52+$T$9+I52</f>
        <v/>
      </c>
      <c r="K52" s="43">
        <f>$T$4/64</f>
        <v/>
      </c>
      <c r="L52" s="43" t="n">
        <v>0</v>
      </c>
      <c r="M52" s="43" t="n">
        <v>0</v>
      </c>
      <c r="N52" s="43" t="n">
        <v>0</v>
      </c>
      <c r="O52" s="43" t="n">
        <v>0</v>
      </c>
      <c r="P52" s="43" t="n">
        <v>0</v>
      </c>
      <c r="Q52" s="43" t="n">
        <v>0</v>
      </c>
      <c r="R52" s="43">
        <f>(J52+K52+L52+M52+Q52+N52+O52+P52)*$B$2</f>
        <v/>
      </c>
      <c r="S52" s="43" t="n"/>
      <c r="T52" s="43" t="n"/>
    </row>
    <row r="53" ht="12.75" customHeight="1">
      <c r="A53" s="40" t="inlineStr">
        <is>
          <t>S16</t>
        </is>
      </c>
      <c r="B53" s="40">
        <f>VLOOKUP(A53,Members!$A$2:$B$65,2,FALSE)</f>
        <v/>
      </c>
      <c r="C53" s="41" t="n">
        <v>0</v>
      </c>
      <c r="D53" s="41">
        <f>SUM($C$3:$C$5)/64</f>
        <v/>
      </c>
      <c r="E53" s="41">
        <f>C53+D53</f>
        <v/>
      </c>
      <c r="F53" s="41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$T$4/64</f>
        <v/>
      </c>
      <c r="L53" s="41" t="n">
        <v>0</v>
      </c>
      <c r="M53" s="41" t="n">
        <v>0</v>
      </c>
      <c r="N53" s="41" t="n">
        <v>0</v>
      </c>
      <c r="O53" s="41" t="n">
        <v>0</v>
      </c>
      <c r="P53" s="41" t="n">
        <v>0</v>
      </c>
      <c r="Q53" s="41" t="n">
        <v>0</v>
      </c>
      <c r="R53" s="41">
        <f>(J53+K53+L53+M53+Q53+N53+O53+P53)*$B$2</f>
        <v/>
      </c>
      <c r="S53" s="41" t="n"/>
      <c r="T53" s="41" t="n"/>
    </row>
    <row r="54" ht="12.75" customHeight="1">
      <c r="A54" s="42" t="inlineStr">
        <is>
          <t>T1</t>
        </is>
      </c>
      <c r="B54" s="42">
        <f>VLOOKUP(A54,Members!$A$2:$B$65,2,FALSE)</f>
        <v/>
      </c>
      <c r="C54" s="43" t="n">
        <v>0</v>
      </c>
      <c r="D54" s="43">
        <f>SUM($C$3:$C$5)/64</f>
        <v/>
      </c>
      <c r="E54" s="43">
        <f>C54+D54</f>
        <v/>
      </c>
      <c r="F54" s="43">
        <f>IF($C$70=0, 0, E54/$C$70)</f>
        <v/>
      </c>
      <c r="G54" s="43">
        <f>F54*$T$5</f>
        <v/>
      </c>
      <c r="H54" s="43" t="n">
        <v>3</v>
      </c>
      <c r="I54" s="43">
        <f>$T$7*H54</f>
        <v/>
      </c>
      <c r="J54" s="43">
        <f>G54+$T$9+I54</f>
        <v/>
      </c>
      <c r="K54" s="43">
        <f>$T$4/64</f>
        <v/>
      </c>
      <c r="L54" s="43" t="n">
        <v>0</v>
      </c>
      <c r="M54" s="43" t="n">
        <v>0</v>
      </c>
      <c r="N54" s="43" t="n">
        <v>0</v>
      </c>
      <c r="O54" s="43" t="n">
        <v>0</v>
      </c>
      <c r="P54" s="43" t="n">
        <v>0</v>
      </c>
      <c r="Q54" s="43" t="n">
        <v>0</v>
      </c>
      <c r="R54" s="43">
        <f>(J54+K54+L54+M54+Q54+N54+O54+P54)*$B$2</f>
        <v/>
      </c>
      <c r="S54" s="43" t="n"/>
      <c r="T54" s="43" t="n"/>
    </row>
    <row r="55" ht="12.75" customHeight="1">
      <c r="A55" s="40" t="inlineStr">
        <is>
          <t>T2</t>
        </is>
      </c>
      <c r="B55" s="40">
        <f>VLOOKUP(A55,Members!$A$2:$B$65,2,FALSE)</f>
        <v/>
      </c>
      <c r="C55" s="41" t="n">
        <v>0</v>
      </c>
      <c r="D55" s="41">
        <f>SUM($C$3:$C$5)/64</f>
        <v/>
      </c>
      <c r="E55" s="41">
        <f>C55+D55</f>
        <v/>
      </c>
      <c r="F55" s="41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$T$4/64</f>
        <v/>
      </c>
      <c r="L55" s="41" t="n">
        <v>0</v>
      </c>
      <c r="M55" s="41" t="n">
        <v>0</v>
      </c>
      <c r="N55" s="41" t="n">
        <v>0</v>
      </c>
      <c r="O55" s="41" t="n">
        <v>0</v>
      </c>
      <c r="P55" s="41" t="n">
        <v>0</v>
      </c>
      <c r="Q55" s="41" t="n">
        <v>0</v>
      </c>
      <c r="R55" s="41">
        <f>(J55+K55+L55+M55+Q55+N55+O55+P55)*$B$2</f>
        <v/>
      </c>
      <c r="S55" s="41" t="n"/>
      <c r="T55" s="41" t="n"/>
    </row>
    <row r="56" ht="12.75" customHeight="1">
      <c r="A56" s="42" t="inlineStr">
        <is>
          <t>T3</t>
        </is>
      </c>
      <c r="B56" s="42">
        <f>VLOOKUP(A56,Members!$A$2:$B$65,2,FALSE)</f>
        <v/>
      </c>
      <c r="C56" s="43" t="n">
        <v>0</v>
      </c>
      <c r="D56" s="43">
        <f>SUM($C$3:$C$5)/64</f>
        <v/>
      </c>
      <c r="E56" s="43">
        <f>C56+D56</f>
        <v/>
      </c>
      <c r="F56" s="43">
        <f>IF($C$70=0, 0, E56/$C$70)</f>
        <v/>
      </c>
      <c r="G56" s="43">
        <f>F56*$T$5</f>
        <v/>
      </c>
      <c r="H56" s="43" t="n">
        <v>4</v>
      </c>
      <c r="I56" s="43">
        <f>$T$7*H56</f>
        <v/>
      </c>
      <c r="J56" s="43">
        <f>G56+$T$9+I56</f>
        <v/>
      </c>
      <c r="K56" s="43">
        <f>$T$4/64</f>
        <v/>
      </c>
      <c r="L56" s="43" t="n">
        <v>0</v>
      </c>
      <c r="M56" s="43" t="n">
        <v>0</v>
      </c>
      <c r="N56" s="43" t="n">
        <v>0</v>
      </c>
      <c r="O56" s="43" t="n">
        <v>0</v>
      </c>
      <c r="P56" s="43" t="n">
        <v>0</v>
      </c>
      <c r="Q56" s="43" t="n">
        <v>0</v>
      </c>
      <c r="R56" s="43">
        <f>(J56+K56+L56+M56+Q56+N56+O56+P56)*$B$2</f>
        <v/>
      </c>
      <c r="S56" s="43" t="n"/>
      <c r="T56" s="43" t="n"/>
    </row>
    <row r="57" ht="12.75" customHeight="1">
      <c r="A57" s="40" t="inlineStr">
        <is>
          <t>T4</t>
        </is>
      </c>
      <c r="B57" s="40">
        <f>VLOOKUP(A57,Members!$A$2:$B$65,2,FALSE)</f>
        <v/>
      </c>
      <c r="C57" s="41" t="n">
        <v>0</v>
      </c>
      <c r="D57" s="41">
        <f>SUM($C$3:$C$5)/64</f>
        <v/>
      </c>
      <c r="E57" s="41">
        <f>C57+D57</f>
        <v/>
      </c>
      <c r="F57" s="41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$T$4/64</f>
        <v/>
      </c>
      <c r="L57" s="41" t="n">
        <v>0</v>
      </c>
      <c r="M57" s="41" t="n">
        <v>0</v>
      </c>
      <c r="N57" s="41" t="n">
        <v>0</v>
      </c>
      <c r="O57" s="41" t="n">
        <v>0</v>
      </c>
      <c r="P57" s="41" t="n">
        <v>0</v>
      </c>
      <c r="Q57" s="41" t="n">
        <v>0</v>
      </c>
      <c r="R57" s="41">
        <f>(J57+K57+L57+M57+Q57+N57+O57+P57)*$B$2</f>
        <v/>
      </c>
      <c r="S57" s="41" t="n"/>
      <c r="T57" s="41" t="n"/>
    </row>
    <row r="58" ht="12.75" customHeight="1">
      <c r="A58" s="42" t="inlineStr">
        <is>
          <t>T5</t>
        </is>
      </c>
      <c r="B58" s="42">
        <f>VLOOKUP(A58,Members!$A$2:$B$65,2,FALSE)</f>
        <v/>
      </c>
      <c r="C58" s="43" t="n">
        <v>0</v>
      </c>
      <c r="D58" s="43">
        <f>SUM($C$3:$C$5)/64</f>
        <v/>
      </c>
      <c r="E58" s="43">
        <f>C58+D58</f>
        <v/>
      </c>
      <c r="F58" s="43">
        <f>IF($C$70=0, 0, E58/$C$70)</f>
        <v/>
      </c>
      <c r="G58" s="43">
        <f>F58*$T$5</f>
        <v/>
      </c>
      <c r="H58" s="43" t="n">
        <v>3</v>
      </c>
      <c r="I58" s="43">
        <f>$T$7*H58</f>
        <v/>
      </c>
      <c r="J58" s="43">
        <f>G58+$T$9+I58</f>
        <v/>
      </c>
      <c r="K58" s="43">
        <f>$T$4/64</f>
        <v/>
      </c>
      <c r="L58" s="43" t="n">
        <v>0</v>
      </c>
      <c r="M58" s="43" t="n">
        <v>0</v>
      </c>
      <c r="N58" s="43" t="n">
        <v>0</v>
      </c>
      <c r="O58" s="43" t="n">
        <v>0</v>
      </c>
      <c r="P58" s="43" t="n">
        <v>0</v>
      </c>
      <c r="Q58" s="43" t="n">
        <v>0</v>
      </c>
      <c r="R58" s="43">
        <f>(J58+K58+L58+M58+Q58+N58+O58+P58)*$B$2</f>
        <v/>
      </c>
      <c r="S58" s="43" t="n"/>
      <c r="T58" s="43" t="n"/>
    </row>
    <row r="59" ht="12.75" customHeight="1">
      <c r="A59" s="40" t="inlineStr">
        <is>
          <t>T6</t>
        </is>
      </c>
      <c r="B59" s="40">
        <f>VLOOKUP(A59,Members!$A$2:$B$65,2,FALSE)</f>
        <v/>
      </c>
      <c r="C59" s="41" t="n">
        <v>0</v>
      </c>
      <c r="D59" s="41">
        <f>SUM($C$3:$C$5)/64</f>
        <v/>
      </c>
      <c r="E59" s="41">
        <f>C59+D59</f>
        <v/>
      </c>
      <c r="F59" s="41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$T$4/64</f>
        <v/>
      </c>
      <c r="L59" s="41" t="n">
        <v>0</v>
      </c>
      <c r="M59" s="41" t="n">
        <v>0</v>
      </c>
      <c r="N59" s="41" t="n">
        <v>0</v>
      </c>
      <c r="O59" s="41" t="n">
        <v>0</v>
      </c>
      <c r="P59" s="41" t="n">
        <v>0</v>
      </c>
      <c r="Q59" s="41" t="n">
        <v>0</v>
      </c>
      <c r="R59" s="41">
        <f>(J59+K59+L59+M59+Q59+N59+O59+P59)*$B$2</f>
        <v/>
      </c>
      <c r="S59" s="41" t="n"/>
      <c r="T59" s="41" t="n"/>
    </row>
    <row r="60" ht="12.75" customHeight="1">
      <c r="A60" s="42" t="inlineStr">
        <is>
          <t>T7</t>
        </is>
      </c>
      <c r="B60" s="42">
        <f>VLOOKUP(A60,Members!$A$2:$B$65,2,FALSE)</f>
        <v/>
      </c>
      <c r="C60" s="43" t="n">
        <v>0</v>
      </c>
      <c r="D60" s="43">
        <f>SUM($C$3:$C$5)/64</f>
        <v/>
      </c>
      <c r="E60" s="43">
        <f>C60+D60</f>
        <v/>
      </c>
      <c r="F60" s="43">
        <f>IF($C$70=0, 0, E60/$C$70)</f>
        <v/>
      </c>
      <c r="G60" s="43">
        <f>F60*$T$5</f>
        <v/>
      </c>
      <c r="H60" s="43" t="n">
        <v>3</v>
      </c>
      <c r="I60" s="43">
        <f>$T$7*H60</f>
        <v/>
      </c>
      <c r="J60" s="43">
        <f>G60+$T$9+I60</f>
        <v/>
      </c>
      <c r="K60" s="43">
        <f>$T$4/64</f>
        <v/>
      </c>
      <c r="L60" s="43" t="n">
        <v>0</v>
      </c>
      <c r="M60" s="43" t="n">
        <v>0</v>
      </c>
      <c r="N60" s="43" t="n">
        <v>0</v>
      </c>
      <c r="O60" s="43" t="n">
        <v>0</v>
      </c>
      <c r="P60" s="43" t="n">
        <v>0</v>
      </c>
      <c r="Q60" s="43" t="n">
        <v>0</v>
      </c>
      <c r="R60" s="43">
        <f>(J60+K60+L60+M60+Q60+N60+O60+P60)*$B$2</f>
        <v/>
      </c>
      <c r="S60" s="43" t="n"/>
      <c r="T60" s="43" t="n"/>
    </row>
    <row r="61" ht="12.75" customHeight="1">
      <c r="A61" s="40" t="inlineStr">
        <is>
          <t>T8</t>
        </is>
      </c>
      <c r="B61" s="40">
        <f>VLOOKUP(A61,Members!$A$2:$B$65,2,FALSE)</f>
        <v/>
      </c>
      <c r="C61" s="41" t="n">
        <v>0</v>
      </c>
      <c r="D61" s="41">
        <f>SUM($C$3:$C$5)/64</f>
        <v/>
      </c>
      <c r="E61" s="41">
        <f>C61+D61</f>
        <v/>
      </c>
      <c r="F61" s="41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$T$4/64</f>
        <v/>
      </c>
      <c r="L61" s="41" t="n">
        <v>0</v>
      </c>
      <c r="M61" s="41" t="n">
        <v>0</v>
      </c>
      <c r="N61" s="41" t="n">
        <v>0</v>
      </c>
      <c r="O61" s="41" t="n">
        <v>0</v>
      </c>
      <c r="P61" s="41" t="n">
        <v>0</v>
      </c>
      <c r="Q61" s="41" t="n">
        <v>0</v>
      </c>
      <c r="R61" s="41">
        <f>(J61+K61+L61+M61+Q61+N61+O61+P61)*$B$2</f>
        <v/>
      </c>
      <c r="S61" s="41" t="n"/>
      <c r="T61" s="41" t="n"/>
    </row>
    <row r="62" ht="12.75" customHeight="1">
      <c r="A62" s="42" t="inlineStr">
        <is>
          <t>T9</t>
        </is>
      </c>
      <c r="B62" s="42">
        <f>VLOOKUP(A62,Members!$A$2:$B$65,2,FALSE)</f>
        <v/>
      </c>
      <c r="C62" s="43" t="n">
        <v>0</v>
      </c>
      <c r="D62" s="43">
        <f>SUM($C$3:$C$5)/64</f>
        <v/>
      </c>
      <c r="E62" s="43">
        <f>C62+D62</f>
        <v/>
      </c>
      <c r="F62" s="43">
        <f>IF($C$70=0, 0, E62/$C$70)</f>
        <v/>
      </c>
      <c r="G62" s="43">
        <f>F62*$T$5</f>
        <v/>
      </c>
      <c r="H62" s="43" t="n">
        <v>4</v>
      </c>
      <c r="I62" s="43">
        <f>$T$7*H62</f>
        <v/>
      </c>
      <c r="J62" s="43">
        <f>G62+$T$9+I62</f>
        <v/>
      </c>
      <c r="K62" s="43">
        <f>$T$4/64</f>
        <v/>
      </c>
      <c r="L62" s="43" t="n">
        <v>0</v>
      </c>
      <c r="M62" s="43" t="n">
        <v>0</v>
      </c>
      <c r="N62" s="43" t="n">
        <v>0</v>
      </c>
      <c r="O62" s="43" t="n">
        <v>0</v>
      </c>
      <c r="P62" s="43" t="n">
        <v>0</v>
      </c>
      <c r="Q62" s="43" t="n">
        <v>0</v>
      </c>
      <c r="R62" s="43">
        <f>(J62+K62+L62+M62+Q62+N62+O62+P62)*$B$2</f>
        <v/>
      </c>
      <c r="S62" s="43" t="n"/>
      <c r="T62" s="43" t="n"/>
    </row>
    <row r="63" ht="12.75" customHeight="1">
      <c r="A63" s="40" t="inlineStr">
        <is>
          <t>T10</t>
        </is>
      </c>
      <c r="B63" s="40">
        <f>VLOOKUP(A63,Members!$A$2:$B$65,2,FALSE)</f>
        <v/>
      </c>
      <c r="C63" s="41" t="n">
        <v>0</v>
      </c>
      <c r="D63" s="41">
        <f>SUM($C$3:$C$5)/64</f>
        <v/>
      </c>
      <c r="E63" s="41">
        <f>C63+D63</f>
        <v/>
      </c>
      <c r="F63" s="41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$T$4/64</f>
        <v/>
      </c>
      <c r="L63" s="41" t="n">
        <v>0</v>
      </c>
      <c r="M63" s="41" t="n">
        <v>0</v>
      </c>
      <c r="N63" s="41" t="n">
        <v>0</v>
      </c>
      <c r="O63" s="41" t="n">
        <v>0</v>
      </c>
      <c r="P63" s="41" t="n">
        <v>0</v>
      </c>
      <c r="Q63" s="41" t="n">
        <v>0</v>
      </c>
      <c r="R63" s="41">
        <f>(J63+K63+L63+M63+Q63+N63+O63+P63)*$B$2</f>
        <v/>
      </c>
      <c r="S63" s="41" t="n"/>
      <c r="T63" s="41" t="n"/>
    </row>
    <row r="64" ht="12.75" customHeight="1">
      <c r="A64" s="42" t="inlineStr">
        <is>
          <t>T11</t>
        </is>
      </c>
      <c r="B64" s="42">
        <f>VLOOKUP(A64,Members!$A$2:$B$65,2,FALSE)</f>
        <v/>
      </c>
      <c r="C64" s="43" t="n">
        <v>0</v>
      </c>
      <c r="D64" s="43">
        <f>SUM($C$3:$C$5)/64</f>
        <v/>
      </c>
      <c r="E64" s="43">
        <f>C64+D64</f>
        <v/>
      </c>
      <c r="F64" s="43">
        <f>IF($C$70=0, 0, E64/$C$70)</f>
        <v/>
      </c>
      <c r="G64" s="43">
        <f>F64*$T$5</f>
        <v/>
      </c>
      <c r="H64" s="43" t="n">
        <v>3</v>
      </c>
      <c r="I64" s="43">
        <f>$T$7*H64</f>
        <v/>
      </c>
      <c r="J64" s="43">
        <f>G64+$T$9+I64</f>
        <v/>
      </c>
      <c r="K64" s="43">
        <f>$T$4/64</f>
        <v/>
      </c>
      <c r="L64" s="43" t="n">
        <v>0</v>
      </c>
      <c r="M64" s="43" t="n">
        <v>0</v>
      </c>
      <c r="N64" s="43" t="n">
        <v>0</v>
      </c>
      <c r="O64" s="43" t="n">
        <v>0</v>
      </c>
      <c r="P64" s="43" t="n">
        <v>0</v>
      </c>
      <c r="Q64" s="43" t="n">
        <v>0</v>
      </c>
      <c r="R64" s="43">
        <f>(J64+K64+L64+M64+Q64+N64+O64+P64)*$B$2</f>
        <v/>
      </c>
      <c r="S64" s="43" t="n"/>
      <c r="T64" s="43" t="n"/>
    </row>
    <row r="65" ht="12.75" customHeight="1">
      <c r="A65" s="40" t="inlineStr">
        <is>
          <t>T12</t>
        </is>
      </c>
      <c r="B65" s="40">
        <f>VLOOKUP(A65,Members!$A$2:$B$65,2,FALSE)</f>
        <v/>
      </c>
      <c r="C65" s="41" t="n">
        <v>0</v>
      </c>
      <c r="D65" s="41">
        <f>SUM($C$3:$C$5)/64</f>
        <v/>
      </c>
      <c r="E65" s="41">
        <f>C65+D65</f>
        <v/>
      </c>
      <c r="F65" s="41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$T$4/64</f>
        <v/>
      </c>
      <c r="L65" s="41" t="n">
        <v>0</v>
      </c>
      <c r="M65" s="41" t="n">
        <v>0</v>
      </c>
      <c r="N65" s="41" t="n">
        <v>0</v>
      </c>
      <c r="O65" s="41" t="n">
        <v>0</v>
      </c>
      <c r="P65" s="41" t="n">
        <v>0</v>
      </c>
      <c r="Q65" s="41" t="n">
        <v>0</v>
      </c>
      <c r="R65" s="41">
        <f>(J65+K65+L65+M65+Q65+N65+O65+P65)*$B$2</f>
        <v/>
      </c>
      <c r="S65" s="41" t="n"/>
      <c r="T65" s="41" t="n"/>
    </row>
    <row r="66" ht="12.75" customHeight="1">
      <c r="A66" s="42" t="inlineStr">
        <is>
          <t>T13</t>
        </is>
      </c>
      <c r="B66" s="42">
        <f>VLOOKUP(A66,Members!$A$2:$B$65,2,FALSE)</f>
        <v/>
      </c>
      <c r="C66" s="43" t="n">
        <v>0</v>
      </c>
      <c r="D66" s="43">
        <f>SUM($C$3:$C$5)/64</f>
        <v/>
      </c>
      <c r="E66" s="43">
        <f>C66+D66</f>
        <v/>
      </c>
      <c r="F66" s="43">
        <f>IF($C$70=0, 0, E66/$C$70)</f>
        <v/>
      </c>
      <c r="G66" s="43">
        <f>F66*$T$5</f>
        <v/>
      </c>
      <c r="H66" s="43" t="n">
        <v>4</v>
      </c>
      <c r="I66" s="43">
        <f>$T$7*H66</f>
        <v/>
      </c>
      <c r="J66" s="43">
        <f>G66+$T$9+I66</f>
        <v/>
      </c>
      <c r="K66" s="43">
        <f>$T$4/64</f>
        <v/>
      </c>
      <c r="L66" s="43" t="n">
        <v>0</v>
      </c>
      <c r="M66" s="43" t="n">
        <v>0</v>
      </c>
      <c r="N66" s="43" t="n">
        <v>0</v>
      </c>
      <c r="O66" s="43" t="n">
        <v>0</v>
      </c>
      <c r="P66" s="43" t="n">
        <v>0</v>
      </c>
      <c r="Q66" s="43" t="n">
        <v>0</v>
      </c>
      <c r="R66" s="43">
        <f>(J66+K66+L66+M66+Q66+N66+O66+P66)*$B$2</f>
        <v/>
      </c>
      <c r="S66" s="43" t="n"/>
      <c r="T66" s="43" t="n"/>
    </row>
    <row r="67" ht="12.75" customHeight="1">
      <c r="A67" s="40" t="inlineStr">
        <is>
          <t>T14</t>
        </is>
      </c>
      <c r="B67" s="40">
        <f>VLOOKUP(A67,Members!$A$2:$B$65,2,FALSE)</f>
        <v/>
      </c>
      <c r="C67" s="41" t="n">
        <v>0</v>
      </c>
      <c r="D67" s="41">
        <f>SUM($C$3:$C$5)/64</f>
        <v/>
      </c>
      <c r="E67" s="41">
        <f>C67+D67</f>
        <v/>
      </c>
      <c r="F67" s="41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$T$4/64</f>
        <v/>
      </c>
      <c r="L67" s="41" t="n">
        <v>0</v>
      </c>
      <c r="M67" s="41" t="n">
        <v>0</v>
      </c>
      <c r="N67" s="41" t="n">
        <v>0</v>
      </c>
      <c r="O67" s="41" t="n">
        <v>0</v>
      </c>
      <c r="P67" s="41" t="n">
        <v>0</v>
      </c>
      <c r="Q67" s="41" t="n">
        <v>0</v>
      </c>
      <c r="R67" s="41">
        <f>(J67+K67+L67+M67+Q67+N67+O67+P67)*$B$2</f>
        <v/>
      </c>
      <c r="S67" s="41" t="n"/>
      <c r="T67" s="41" t="n"/>
    </row>
    <row r="68" ht="12.75" customHeight="1">
      <c r="A68" s="42" t="inlineStr">
        <is>
          <t>T15</t>
        </is>
      </c>
      <c r="B68" s="42">
        <f>VLOOKUP(A68,Members!$A$2:$B$65,2,FALSE)</f>
        <v/>
      </c>
      <c r="C68" s="43" t="n">
        <v>0</v>
      </c>
      <c r="D68" s="43">
        <f>SUM($C$3:$C$5)/64</f>
        <v/>
      </c>
      <c r="E68" s="43">
        <f>C68+D68</f>
        <v/>
      </c>
      <c r="F68" s="43">
        <f>IF($C$70=0, 0, E68/$C$70)</f>
        <v/>
      </c>
      <c r="G68" s="43">
        <f>F68*$T$5</f>
        <v/>
      </c>
      <c r="H68" s="43" t="n">
        <v>4</v>
      </c>
      <c r="I68" s="43">
        <f>$T$7*H68</f>
        <v/>
      </c>
      <c r="J68" s="43">
        <f>G68+$T$9+I68</f>
        <v/>
      </c>
      <c r="K68" s="43">
        <f>$T$4/64</f>
        <v/>
      </c>
      <c r="L68" s="43" t="n">
        <v>0</v>
      </c>
      <c r="M68" s="43" t="n">
        <v>0</v>
      </c>
      <c r="N68" s="43" t="n">
        <v>0</v>
      </c>
      <c r="O68" s="43" t="n">
        <v>0</v>
      </c>
      <c r="P68" s="43" t="n">
        <v>0</v>
      </c>
      <c r="Q68" s="43" t="n">
        <v>0</v>
      </c>
      <c r="R68" s="43">
        <f>(J68+K68+L68+M68+Q68+N68+O68+P68)*$B$2</f>
        <v/>
      </c>
      <c r="S68" s="43" t="n"/>
      <c r="T68" s="43" t="n"/>
    </row>
    <row r="69" ht="12.75" customHeight="1">
      <c r="A69" s="40" t="inlineStr">
        <is>
          <t>T16</t>
        </is>
      </c>
      <c r="B69" s="40">
        <f>VLOOKUP(A69,Members!$A$2:$B$65,2,FALSE)</f>
        <v/>
      </c>
      <c r="C69" s="41" t="n">
        <v>0</v>
      </c>
      <c r="D69" s="41">
        <f>SUM($C$3:$C$5)/64</f>
        <v/>
      </c>
      <c r="E69" s="41">
        <f>C69+D69</f>
        <v/>
      </c>
      <c r="F69" s="41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$T$4/64</f>
        <v/>
      </c>
      <c r="L69" s="41" t="n">
        <v>0</v>
      </c>
      <c r="M69" s="41" t="n">
        <v>0</v>
      </c>
      <c r="N69" s="41" t="n">
        <v>0</v>
      </c>
      <c r="O69" s="41" t="n">
        <v>0</v>
      </c>
      <c r="P69" s="41" t="n">
        <v>0</v>
      </c>
      <c r="Q69" s="41" t="n">
        <v>0</v>
      </c>
      <c r="R69" s="41">
        <f>(J69+K69+L69+M69+Q69+N69+O69+P69)*$B$2</f>
        <v/>
      </c>
      <c r="S69" s="41" t="n"/>
      <c r="T69" s="41" t="n"/>
    </row>
    <row r="70" ht="12.75" customHeight="1">
      <c r="A70" s="44" t="inlineStr">
        <is>
          <t>TOTAL</t>
        </is>
      </c>
      <c r="B70" s="44" t="inlineStr">
        <is>
          <t>TOTAL</t>
        </is>
      </c>
      <c r="C70" s="45">
        <f>SUM(C3:C69)</f>
        <v/>
      </c>
      <c r="D70" s="45">
        <f>SUM(D3:D69)</f>
        <v/>
      </c>
      <c r="E70" s="45">
        <f>SUM(E5:E69)</f>
        <v/>
      </c>
      <c r="F70" s="45">
        <f>SUM(F6:F69)</f>
        <v/>
      </c>
      <c r="G70" s="45">
        <f>SUM(G6:G69)</f>
        <v/>
      </c>
      <c r="H70" s="45">
        <f>SUM(H3:H69)</f>
        <v/>
      </c>
      <c r="I70" s="45">
        <f>SUM(I3:I69)</f>
        <v/>
      </c>
      <c r="J70" s="45">
        <f>SUM(J6:J69)</f>
        <v/>
      </c>
      <c r="K70" s="45">
        <f>SUM(K6:K69)</f>
        <v/>
      </c>
      <c r="L70" s="45">
        <f>SUM(L6:L69)</f>
        <v/>
      </c>
      <c r="M70" s="45">
        <f>SUM(M6:M69)</f>
        <v/>
      </c>
      <c r="N70" s="45">
        <f>SUM(N6:N69)</f>
        <v/>
      </c>
      <c r="O70" s="45">
        <f>SUM(O6:O69)</f>
        <v/>
      </c>
      <c r="P70" s="45">
        <f>SUM(P6:P69)</f>
        <v/>
      </c>
      <c r="Q70" s="45">
        <f>SUM(Q6:Q69)</f>
        <v/>
      </c>
      <c r="R70" s="45">
        <f>SUM(R6:R69)</f>
        <v/>
      </c>
      <c r="S70" s="45" t="n"/>
      <c r="T70" s="45" t="n"/>
    </row>
    <row r="71" ht="12.75" customHeight="1">
      <c r="A71" s="37" t="n"/>
      <c r="B71" s="37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41" t="n"/>
      <c r="T71" s="41" t="n"/>
    </row>
    <row r="72" ht="12.75" customHeight="1">
      <c r="A72" s="36" t="n"/>
      <c r="B72" s="36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  <c r="O72" s="47" t="n"/>
      <c r="P72" s="47" t="n"/>
      <c r="Q72" s="47" t="n"/>
      <c r="R72" s="47" t="n"/>
      <c r="S72" s="43" t="n"/>
      <c r="T72" s="43" t="n"/>
    </row>
    <row r="73" ht="12.75" customHeight="1">
      <c r="A73" s="37" t="n"/>
      <c r="B73" s="37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41" t="n"/>
      <c r="T73" s="41" t="n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942"/>
  <sheetViews>
    <sheetView workbookViewId="0">
      <pane ySplit="1" topLeftCell="A2" activePane="bottomLeft" state="frozen"/>
      <selection pane="bottomLeft" activeCell="C2" sqref="C2:J65"/>
    </sheetView>
  </sheetViews>
  <sheetFormatPr baseColWidth="8" defaultColWidth="14.42578125" defaultRowHeight="15" customHeight="1"/>
  <cols>
    <col width="7.7109375" customWidth="1" min="1" max="1"/>
    <col width="64.28515625" customWidth="1" min="2" max="2"/>
  </cols>
  <sheetData>
    <row r="1">
      <c r="A1" s="39" t="inlineStr">
        <is>
          <t>FLAT #</t>
        </is>
      </c>
      <c r="B1" s="39" t="n"/>
      <c r="C1" s="39" t="inlineStr">
        <is>
          <t>Amount</t>
        </is>
      </c>
      <c r="D1" s="48" t="inlineStr">
        <is>
          <t>Date</t>
        </is>
      </c>
      <c r="E1" s="39" t="inlineStr">
        <is>
          <t>Amount</t>
        </is>
      </c>
      <c r="F1" s="100" t="inlineStr">
        <is>
          <t>Date</t>
        </is>
      </c>
      <c r="G1" s="39" t="inlineStr">
        <is>
          <t>Amount</t>
        </is>
      </c>
      <c r="H1" s="100" t="inlineStr">
        <is>
          <t>Date</t>
        </is>
      </c>
      <c r="I1" s="39" t="inlineStr">
        <is>
          <t>Amount</t>
        </is>
      </c>
      <c r="J1" s="100" t="inlineStr">
        <is>
          <t>Date</t>
        </is>
      </c>
      <c r="K1" s="100" t="inlineStr">
        <is>
          <t>Total</t>
        </is>
      </c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  <c r="AA1" s="100" t="n"/>
    </row>
    <row r="2" ht="15" customHeight="1">
      <c r="A2" s="42" t="inlineStr">
        <is>
          <t>F1</t>
        </is>
      </c>
      <c r="B2" s="42">
        <f>VLOOKUP(A2,Members!$A$2:$B$65,2,FALSE)</f>
        <v/>
      </c>
      <c r="C2" s="47" t="n"/>
      <c r="D2" s="49" t="n"/>
      <c r="E2" s="47" t="n"/>
      <c r="F2" s="47" t="n"/>
      <c r="G2" s="47" t="n"/>
      <c r="H2" s="47" t="n"/>
      <c r="I2" s="47" t="n"/>
      <c r="J2" s="47" t="n"/>
      <c r="K2" s="47">
        <f>SUM(C2,E2,G2,I2)</f>
        <v/>
      </c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</row>
    <row r="3" ht="15" customHeight="1">
      <c r="A3" s="40" t="inlineStr">
        <is>
          <t>F2</t>
        </is>
      </c>
      <c r="B3" s="40">
        <f>VLOOKUP(A3,Members!$A$2:$B$65,2,FALSE)</f>
        <v/>
      </c>
      <c r="C3" s="104" t="n"/>
      <c r="D3" s="104" t="n"/>
      <c r="E3" s="104" t="n"/>
      <c r="F3" s="104" t="n"/>
      <c r="G3" s="104" t="n"/>
      <c r="H3" s="104" t="n"/>
      <c r="I3" s="104" t="n"/>
      <c r="J3" s="104" t="n"/>
      <c r="K3" s="104">
        <f>SUM(C3,E3,G3,I3)</f>
        <v/>
      </c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</row>
    <row r="4" ht="15" customHeight="1">
      <c r="A4" s="42" t="inlineStr">
        <is>
          <t>F3</t>
        </is>
      </c>
      <c r="B4" s="42">
        <f>VLOOKUP(A4,Members!$A$2:$B$65,2,FALSE)</f>
        <v/>
      </c>
      <c r="C4" s="43" t="n"/>
      <c r="D4" s="50" t="n"/>
      <c r="E4" s="47" t="n"/>
      <c r="F4" s="51" t="n"/>
      <c r="G4" s="47" t="n"/>
      <c r="H4" s="47" t="n"/>
      <c r="I4" s="47" t="n"/>
      <c r="J4" s="47" t="n"/>
      <c r="K4" s="43">
        <f>SUM(C4,E4,G4,I4)</f>
        <v/>
      </c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</row>
    <row r="5" ht="15" customHeight="1">
      <c r="A5" s="40" t="inlineStr">
        <is>
          <t>F4</t>
        </is>
      </c>
      <c r="B5" s="40">
        <f>VLOOKUP(A5,Members!$A$2:$B$65,2,FALSE)</f>
        <v/>
      </c>
      <c r="C5" s="104" t="n"/>
      <c r="D5" s="52" t="n"/>
      <c r="E5" s="104" t="n"/>
      <c r="F5" s="104" t="n"/>
      <c r="G5" s="104" t="n"/>
      <c r="H5" s="104" t="n"/>
      <c r="I5" s="104" t="n"/>
      <c r="J5" s="104" t="n"/>
      <c r="K5" s="104">
        <f>SUM(C5,E5,G5,I5)</f>
        <v/>
      </c>
      <c r="L5" s="104" t="n"/>
      <c r="M5" s="104" t="n"/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</row>
    <row r="6" ht="15" customHeight="1">
      <c r="A6" s="42" t="inlineStr">
        <is>
          <t>F5</t>
        </is>
      </c>
      <c r="B6" s="42">
        <f>VLOOKUP(A6,Members!$A$2:$B$65,2,FALSE)</f>
        <v/>
      </c>
      <c r="C6" s="47" t="n"/>
      <c r="D6" s="51" t="n"/>
      <c r="E6" s="47" t="n"/>
      <c r="F6" s="47" t="n"/>
      <c r="G6" s="47" t="n"/>
      <c r="H6" s="47" t="n"/>
      <c r="I6" s="47" t="n"/>
      <c r="J6" s="47" t="n"/>
      <c r="K6" s="47">
        <f>SUM(C6,E6,G6,I6)</f>
        <v/>
      </c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  <c r="AA6" s="47" t="n"/>
    </row>
    <row r="7" ht="15" customHeight="1">
      <c r="A7" s="40" t="inlineStr">
        <is>
          <t>F6</t>
        </is>
      </c>
      <c r="B7" s="40">
        <f>VLOOKUP(A7,Members!$A$2:$B$65,2,FALSE)</f>
        <v/>
      </c>
      <c r="C7" s="104" t="n"/>
      <c r="D7" s="53" t="n"/>
      <c r="E7" s="104" t="n"/>
      <c r="F7" s="52" t="n"/>
      <c r="G7" s="104" t="n"/>
      <c r="H7" s="104" t="n"/>
      <c r="I7" s="104" t="n"/>
      <c r="J7" s="104" t="n"/>
      <c r="K7" s="104">
        <f>SUM(C7,E7,G7,I7)</f>
        <v/>
      </c>
      <c r="L7" s="104" t="n"/>
      <c r="M7" s="104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</row>
    <row r="8" ht="15" customHeight="1">
      <c r="A8" s="42" t="inlineStr">
        <is>
          <t>F7</t>
        </is>
      </c>
      <c r="B8" s="42">
        <f>VLOOKUP(A8,Members!$A$2:$B$65,2,FALSE)</f>
        <v/>
      </c>
      <c r="C8" s="47" t="n"/>
      <c r="D8" s="49" t="n"/>
      <c r="E8" s="47" t="n"/>
      <c r="F8" s="47" t="n"/>
      <c r="G8" s="47" t="n"/>
      <c r="H8" s="47" t="n"/>
      <c r="I8" s="47" t="n"/>
      <c r="J8" s="47" t="n"/>
      <c r="K8" s="47">
        <f>SUM(C8,E8,G8,I8)</f>
        <v/>
      </c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  <c r="AA8" s="47" t="n"/>
    </row>
    <row r="9" ht="15" customHeight="1">
      <c r="A9" s="40" t="inlineStr">
        <is>
          <t>F8</t>
        </is>
      </c>
      <c r="B9" s="40">
        <f>VLOOKUP(A9,Members!$A$2:$B$65,2,FALSE)</f>
        <v/>
      </c>
      <c r="C9" s="104" t="n"/>
      <c r="D9" s="54" t="n"/>
      <c r="E9" s="104" t="n"/>
      <c r="F9" s="104" t="n"/>
      <c r="G9" s="104" t="n"/>
      <c r="H9" s="104" t="n"/>
      <c r="I9" s="104" t="n"/>
      <c r="J9" s="104" t="n"/>
      <c r="K9" s="104">
        <f>SUM(C9,E9,G9,I9)</f>
        <v/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</row>
    <row r="10" ht="15" customHeight="1">
      <c r="A10" s="42" t="inlineStr">
        <is>
          <t>F9</t>
        </is>
      </c>
      <c r="B10" s="42">
        <f>VLOOKUP(A10,Members!$A$2:$B$65,2,FALSE)</f>
        <v/>
      </c>
      <c r="C10" s="47" t="n"/>
      <c r="D10" s="49" t="n"/>
      <c r="E10" s="47" t="n"/>
      <c r="F10" s="47" t="n"/>
      <c r="G10" s="47" t="n"/>
      <c r="H10" s="47" t="n"/>
      <c r="I10" s="47" t="n"/>
      <c r="J10" s="47" t="n"/>
      <c r="K10" s="47">
        <f>SUM(C10,E10,G10,I10)</f>
        <v/>
      </c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  <c r="AA10" s="47" t="n"/>
    </row>
    <row r="11" ht="15" customHeight="1">
      <c r="A11" s="40" t="inlineStr">
        <is>
          <t>F10</t>
        </is>
      </c>
      <c r="B11" s="40">
        <f>VLOOKUP(A11,Members!$A$2:$B$65,2,FALSE)</f>
        <v/>
      </c>
      <c r="C11" s="104" t="n"/>
      <c r="D11" s="53" t="n"/>
      <c r="E11" s="104" t="n"/>
      <c r="F11" s="104" t="n"/>
      <c r="G11" s="104" t="n"/>
      <c r="H11" s="104" t="n"/>
      <c r="I11" s="104" t="n"/>
      <c r="J11" s="104" t="n"/>
      <c r="K11" s="104">
        <f>SUM(C11,E11,G11,I11)</f>
        <v/>
      </c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</row>
    <row r="12" ht="15" customHeight="1">
      <c r="A12" s="42" t="inlineStr">
        <is>
          <t>F11</t>
        </is>
      </c>
      <c r="B12" s="42">
        <f>VLOOKUP(A12,Members!$A$2:$B$65,2,FALSE)</f>
        <v/>
      </c>
      <c r="C12" s="47" t="n"/>
      <c r="D12" s="49" t="n"/>
      <c r="E12" s="47" t="n"/>
      <c r="F12" s="47" t="n"/>
      <c r="G12" s="47" t="n"/>
      <c r="H12" s="47" t="n"/>
      <c r="I12" s="47" t="n"/>
      <c r="J12" s="47" t="n"/>
      <c r="K12" s="47">
        <f>SUM(C12,E12,G12,I12)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</row>
    <row r="13" ht="15" customHeight="1">
      <c r="A13" s="40" t="inlineStr">
        <is>
          <t>F12</t>
        </is>
      </c>
      <c r="B13" s="40">
        <f>VLOOKUP(A13,Members!$A$2:$B$65,2,FALSE)</f>
        <v/>
      </c>
      <c r="C13" s="104" t="n"/>
      <c r="D13" s="54" t="n"/>
      <c r="E13" s="104" t="n"/>
      <c r="F13" s="104" t="n"/>
      <c r="G13" s="104" t="n"/>
      <c r="H13" s="104" t="n"/>
      <c r="I13" s="104" t="n"/>
      <c r="J13" s="104" t="n"/>
      <c r="K13" s="104">
        <f>SUM(C13,E13,G13,I13)</f>
        <v/>
      </c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</row>
    <row r="14" ht="15" customHeight="1">
      <c r="A14" s="42" t="inlineStr">
        <is>
          <t>F13</t>
        </is>
      </c>
      <c r="B14" s="42">
        <f>VLOOKUP(A14,Members!$A$2:$B$65,2,FALSE)</f>
        <v/>
      </c>
      <c r="C14" s="47" t="n"/>
      <c r="D14" s="51" t="n"/>
      <c r="E14" s="47" t="n"/>
      <c r="F14" s="51" t="n"/>
      <c r="G14" s="47" t="n"/>
      <c r="H14" s="51" t="n"/>
      <c r="I14" s="47" t="n"/>
      <c r="J14" s="51" t="n"/>
      <c r="K14" s="47">
        <f>SUM(C14,E14,G14,I14)</f>
        <v/>
      </c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  <c r="AA14" s="47" t="n"/>
    </row>
    <row r="15" ht="15" customHeight="1">
      <c r="A15" s="40" t="inlineStr">
        <is>
          <t>F14</t>
        </is>
      </c>
      <c r="B15" s="40">
        <f>VLOOKUP(A15,Members!$A$2:$B$65,2,FALSE)</f>
        <v/>
      </c>
      <c r="C15" s="104" t="n"/>
      <c r="D15" s="52" t="n"/>
      <c r="E15" s="104" t="n"/>
      <c r="F15" s="104" t="n"/>
      <c r="G15" s="104" t="n"/>
      <c r="H15" s="104" t="n"/>
      <c r="I15" s="104" t="n"/>
      <c r="J15" s="104" t="n"/>
      <c r="K15" s="104">
        <f>SUM(C15,E15,G15,I15)</f>
        <v/>
      </c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</row>
    <row r="16" ht="15" customHeight="1">
      <c r="A16" s="42" t="inlineStr">
        <is>
          <t>F15</t>
        </is>
      </c>
      <c r="B16" s="42">
        <f>VLOOKUP(A16,Members!$A$2:$B$65,2,FALSE)</f>
        <v/>
      </c>
      <c r="C16" s="47" t="n"/>
      <c r="D16" s="49" t="n"/>
      <c r="E16" s="47" t="n"/>
      <c r="F16" s="47" t="n"/>
      <c r="G16" s="47" t="n"/>
      <c r="H16" s="47" t="n"/>
      <c r="I16" s="47" t="n"/>
      <c r="J16" s="47" t="n"/>
      <c r="K16" s="47">
        <f>SUM(C16,E16,G16,I16)</f>
        <v/>
      </c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  <c r="AA16" s="47" t="n"/>
    </row>
    <row r="17" ht="15" customHeight="1">
      <c r="A17" s="40" t="inlineStr">
        <is>
          <t>F16</t>
        </is>
      </c>
      <c r="B17" s="40">
        <f>VLOOKUP(A17,Members!$A$2:$B$65,2,FALSE)</f>
        <v/>
      </c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>
        <f>SUM(C17,E17,G17,I17)</f>
        <v/>
      </c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</row>
    <row r="18" ht="15" customHeight="1">
      <c r="A18" s="42" t="inlineStr">
        <is>
          <t>G1</t>
        </is>
      </c>
      <c r="B18" s="42">
        <f>VLOOKUP(A18,Members!$A$2:$B$65,2,FALSE)</f>
        <v/>
      </c>
      <c r="C18" s="47" t="n"/>
      <c r="D18" s="51" t="n"/>
      <c r="E18" s="47" t="n"/>
      <c r="F18" s="47" t="n"/>
      <c r="G18" s="47" t="n"/>
      <c r="H18" s="47" t="n"/>
      <c r="I18" s="47" t="n"/>
      <c r="J18" s="47" t="n"/>
      <c r="K18" s="47">
        <f>SUM(C18,E18,G18,I18)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</row>
    <row r="19" ht="15" customHeight="1">
      <c r="A19" s="40" t="inlineStr">
        <is>
          <t>G2</t>
        </is>
      </c>
      <c r="B19" s="40">
        <f>VLOOKUP(A19,Members!$A$2:$B$65,2,FALSE)</f>
        <v/>
      </c>
      <c r="C19" s="104" t="n"/>
      <c r="D19" s="54" t="n"/>
      <c r="E19" s="104" t="n"/>
      <c r="F19" s="104" t="n"/>
      <c r="G19" s="104" t="n"/>
      <c r="H19" s="104" t="n"/>
      <c r="I19" s="104" t="n"/>
      <c r="J19" s="104" t="n"/>
      <c r="K19" s="104">
        <f>SUM(C19,E19,G19,I19)</f>
        <v/>
      </c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</row>
    <row r="20" ht="15" customHeight="1">
      <c r="A20" s="42" t="inlineStr">
        <is>
          <t>G3</t>
        </is>
      </c>
      <c r="B20" s="42">
        <f>VLOOKUP(A20,Members!$A$2:$B$65,2,FALSE)</f>
        <v/>
      </c>
      <c r="C20" s="47" t="n"/>
      <c r="D20" s="51" t="n"/>
      <c r="E20" s="47" t="n"/>
      <c r="F20" s="47" t="n"/>
      <c r="G20" s="47" t="n"/>
      <c r="H20" s="47" t="n"/>
      <c r="I20" s="47" t="n"/>
      <c r="J20" s="47" t="n"/>
      <c r="K20" s="47">
        <f>SUM(C20,E20,G20,I20)</f>
        <v/>
      </c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</row>
    <row r="21" ht="15" customHeight="1">
      <c r="A21" s="40" t="inlineStr">
        <is>
          <t>G4</t>
        </is>
      </c>
      <c r="B21" s="40">
        <f>VLOOKUP(A21,Members!$A$2:$B$65,2,FALSE)</f>
        <v/>
      </c>
      <c r="C21" s="104" t="n"/>
      <c r="D21" s="54" t="n"/>
      <c r="E21" s="104" t="n"/>
      <c r="F21" s="104" t="n"/>
      <c r="G21" s="104" t="n"/>
      <c r="H21" s="104" t="n"/>
      <c r="I21" s="104" t="n"/>
      <c r="J21" s="104" t="n"/>
      <c r="K21" s="104">
        <f>SUM(C21,E21,G21,I21)</f>
        <v/>
      </c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</row>
    <row r="22" ht="15.95" customHeight="1">
      <c r="A22" s="42" t="inlineStr">
        <is>
          <t>G5</t>
        </is>
      </c>
      <c r="B22" s="42">
        <f>VLOOKUP(A22,Members!$A$2:$B$65,2,FALSE)</f>
        <v/>
      </c>
      <c r="C22" s="47" t="n"/>
      <c r="D22" s="51" t="n"/>
      <c r="E22" s="47" t="n"/>
      <c r="F22" s="47" t="n"/>
      <c r="G22" s="47" t="n"/>
      <c r="H22" s="47" t="n"/>
      <c r="I22" s="47" t="n"/>
      <c r="J22" s="47" t="n"/>
      <c r="K22" s="47">
        <f>SUM(C22,E22,G22,I22)</f>
        <v/>
      </c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</row>
    <row r="23" ht="15.95" customHeight="1">
      <c r="A23" s="40" t="inlineStr">
        <is>
          <t>G6</t>
        </is>
      </c>
      <c r="B23" s="40">
        <f>VLOOKUP(A23,Members!$A$2:$B$65,2,FALSE)</f>
        <v/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>
        <f>SUM(C23,E23,G23,I23)</f>
        <v/>
      </c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</row>
    <row r="24" ht="15.95" customHeight="1">
      <c r="A24" s="42" t="inlineStr">
        <is>
          <t>G7</t>
        </is>
      </c>
      <c r="B24" s="42">
        <f>VLOOKUP(A24,Members!$A$2:$B$65,2,FALSE)</f>
        <v/>
      </c>
      <c r="C24" s="47" t="n"/>
      <c r="D24" s="51" t="n"/>
      <c r="E24" s="47" t="n"/>
      <c r="F24" s="47" t="n"/>
      <c r="G24" s="47" t="n"/>
      <c r="H24" s="47" t="n"/>
      <c r="I24" s="47" t="n"/>
      <c r="J24" s="47" t="n"/>
      <c r="K24" s="47">
        <f>SUM(C24,E24,G24,I24)</f>
        <v/>
      </c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</row>
    <row r="25" ht="15.95" customHeight="1">
      <c r="A25" s="40" t="inlineStr">
        <is>
          <t>G8</t>
        </is>
      </c>
      <c r="B25" s="40">
        <f>VLOOKUP(A25,Members!$A$2:$B$65,2,FALSE)</f>
        <v/>
      </c>
      <c r="C25" s="104" t="n"/>
      <c r="D25" s="53" t="n"/>
      <c r="E25" s="104" t="n"/>
      <c r="F25" s="104" t="n"/>
      <c r="G25" s="104" t="n"/>
      <c r="H25" s="104" t="n"/>
      <c r="I25" s="104" t="n"/>
      <c r="J25" s="104" t="n"/>
      <c r="K25" s="104">
        <f>SUM(C25,E25,G25,I25)</f>
        <v/>
      </c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</row>
    <row r="26" ht="15.95" customHeight="1">
      <c r="A26" s="42" t="inlineStr">
        <is>
          <t>G9</t>
        </is>
      </c>
      <c r="B26" s="42">
        <f>VLOOKUP(A26,Members!$A$2:$B$65,2,FALSE)</f>
        <v/>
      </c>
      <c r="C26" s="47" t="n"/>
      <c r="D26" s="51" t="n"/>
      <c r="E26" s="47" t="n"/>
      <c r="F26" s="47" t="n"/>
      <c r="G26" s="47" t="n"/>
      <c r="H26" s="47" t="n"/>
      <c r="I26" s="47" t="n"/>
      <c r="J26" s="47" t="n"/>
      <c r="K26" s="47">
        <f>SUM(C26,E26,G26,I26)</f>
        <v/>
      </c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</row>
    <row r="27" ht="15.95" customHeight="1">
      <c r="A27" s="40" t="inlineStr">
        <is>
          <t>G10</t>
        </is>
      </c>
      <c r="B27" s="40">
        <f>VLOOKUP(A27,Members!$A$2:$B$65,2,FALSE)</f>
        <v/>
      </c>
      <c r="C27" s="104" t="n"/>
      <c r="D27" s="52" t="n"/>
      <c r="E27" s="104" t="n"/>
      <c r="F27" s="104" t="n"/>
      <c r="G27" s="104" t="n"/>
      <c r="H27" s="104" t="n"/>
      <c r="I27" s="104" t="n"/>
      <c r="J27" s="104" t="n"/>
      <c r="K27" s="104">
        <f>SUM(C27,E27,G27,I27)</f>
        <v/>
      </c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</row>
    <row r="28" ht="15.95" customHeight="1">
      <c r="A28" s="42" t="inlineStr">
        <is>
          <t>G11</t>
        </is>
      </c>
      <c r="B28" s="42">
        <f>VLOOKUP(A28,Members!$A$2:$B$65,2,FALSE)</f>
        <v/>
      </c>
      <c r="C28" s="47" t="n"/>
      <c r="D28" s="49" t="n"/>
      <c r="E28" s="47" t="n"/>
      <c r="F28" s="47" t="n"/>
      <c r="G28" s="47" t="n"/>
      <c r="H28" s="47" t="n"/>
      <c r="I28" s="47" t="n"/>
      <c r="J28" s="47" t="n"/>
      <c r="K28" s="47">
        <f>SUM(C28,E28,G28,I28)</f>
        <v/>
      </c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</row>
    <row r="29" ht="15.95" customHeight="1">
      <c r="A29" s="40" t="inlineStr">
        <is>
          <t>G12</t>
        </is>
      </c>
      <c r="B29" s="40">
        <f>VLOOKUP(A29,Members!$A$2:$B$65,2,FALSE)</f>
        <v/>
      </c>
      <c r="C29" s="104" t="n"/>
      <c r="D29" s="53" t="n"/>
      <c r="E29" s="104" t="n"/>
      <c r="F29" s="52" t="n"/>
      <c r="G29" s="104" t="n"/>
      <c r="H29" s="104" t="n"/>
      <c r="I29" s="104" t="n"/>
      <c r="J29" s="104" t="n"/>
      <c r="K29" s="104">
        <f>SUM(C29,E29,G29,I29)</f>
        <v/>
      </c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</row>
    <row r="30" ht="15.95" customHeight="1">
      <c r="A30" s="42" t="inlineStr">
        <is>
          <t>G13</t>
        </is>
      </c>
      <c r="B30" s="42">
        <f>VLOOKUP(A30,Members!$A$2:$B$65,2,FALSE)</f>
        <v/>
      </c>
      <c r="C30" s="47" t="n"/>
      <c r="D30" s="51" t="n"/>
      <c r="E30" s="47" t="n"/>
      <c r="F30" s="47" t="n"/>
      <c r="G30" s="47" t="n"/>
      <c r="H30" s="47" t="n"/>
      <c r="I30" s="47" t="n"/>
      <c r="J30" s="47" t="n"/>
      <c r="K30" s="47">
        <f>SUM(C30,E30,G30,I30)</f>
        <v/>
      </c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</row>
    <row r="31" ht="15.95" customHeight="1">
      <c r="A31" s="40" t="inlineStr">
        <is>
          <t>G14</t>
        </is>
      </c>
      <c r="B31" s="40">
        <f>VLOOKUP(A31,Members!$A$2:$B$65,2,FALSE)</f>
        <v/>
      </c>
      <c r="C31" s="104" t="n"/>
      <c r="D31" s="52" t="n"/>
      <c r="E31" s="104" t="n"/>
      <c r="F31" s="104" t="n"/>
      <c r="G31" s="104" t="n"/>
      <c r="H31" s="104" t="n"/>
      <c r="I31" s="104" t="n"/>
      <c r="J31" s="104" t="n"/>
      <c r="K31" s="104">
        <f>SUM(C31,E31,G31,I31)</f>
        <v/>
      </c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</row>
    <row r="32" ht="15.95" customHeight="1">
      <c r="A32" s="42" t="inlineStr">
        <is>
          <t>G15</t>
        </is>
      </c>
      <c r="B32" s="42">
        <f>VLOOKUP(A32,Members!$A$2:$B$65,2,FALSE)</f>
        <v/>
      </c>
      <c r="C32" s="47" t="n"/>
      <c r="D32" s="50" t="n"/>
      <c r="E32" s="47" t="n"/>
      <c r="F32" s="51" t="n"/>
      <c r="G32" s="47" t="n"/>
      <c r="H32" s="47" t="n"/>
      <c r="I32" s="47" t="n"/>
      <c r="J32" s="47" t="n"/>
      <c r="K32" s="47">
        <f>SUM(C32,E32,G32,I32)</f>
        <v/>
      </c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</row>
    <row r="33" ht="15.95" customHeight="1">
      <c r="A33" s="40" t="inlineStr">
        <is>
          <t>G16</t>
        </is>
      </c>
      <c r="B33" s="40">
        <f>VLOOKUP(A33,Members!$A$2:$B$65,2,FALSE)</f>
        <v/>
      </c>
      <c r="C33" s="104" t="n"/>
      <c r="D33" s="54" t="n"/>
      <c r="E33" s="104" t="n"/>
      <c r="F33" s="104" t="n"/>
      <c r="G33" s="104" t="n"/>
      <c r="H33" s="104" t="n"/>
      <c r="I33" s="104" t="n"/>
      <c r="J33" s="104" t="n"/>
      <c r="K33" s="104">
        <f>SUM(C33,E33,G33,I33)</f>
        <v/>
      </c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</row>
    <row r="34" ht="15.95" customHeight="1">
      <c r="A34" s="42" t="inlineStr">
        <is>
          <t>S1</t>
        </is>
      </c>
      <c r="B34" s="42">
        <f>VLOOKUP(A34,Members!$A$2:$B$65,2,FALSE)</f>
        <v/>
      </c>
      <c r="C34" s="47" t="n"/>
      <c r="D34" s="49" t="n"/>
      <c r="E34" s="47" t="n"/>
      <c r="F34" s="51" t="n"/>
      <c r="G34" s="47" t="n"/>
      <c r="H34" s="47" t="n"/>
      <c r="I34" s="47" t="n"/>
      <c r="J34" s="47" t="n"/>
      <c r="K34" s="47">
        <f>SUM(C34,E34,G34,I34)</f>
        <v/>
      </c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  <c r="AA34" s="47" t="n"/>
    </row>
    <row r="35" ht="15.95" customHeight="1">
      <c r="A35" s="40" t="inlineStr">
        <is>
          <t>S2</t>
        </is>
      </c>
      <c r="B35" s="40">
        <f>VLOOKUP(A35,Members!$A$2:$B$65,2,FALSE)</f>
        <v/>
      </c>
      <c r="C35" s="104" t="n"/>
      <c r="D35" s="52" t="n"/>
      <c r="E35" s="104" t="n"/>
      <c r="F35" s="104" t="n"/>
      <c r="G35" s="104" t="n"/>
      <c r="H35" s="104" t="n"/>
      <c r="I35" s="104" t="n"/>
      <c r="J35" s="104" t="n"/>
      <c r="K35" s="104">
        <f>SUM(C35,E35,G35,I35)</f>
        <v/>
      </c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</row>
    <row r="36" ht="15.95" customHeight="1">
      <c r="A36" s="42" t="inlineStr">
        <is>
          <t>S3</t>
        </is>
      </c>
      <c r="B36" s="42">
        <f>VLOOKUP(A36,Members!$A$2:$B$65,2,FALSE)</f>
        <v/>
      </c>
      <c r="C36" s="47" t="n"/>
      <c r="D36" s="51" t="n"/>
      <c r="E36" s="47" t="n"/>
      <c r="F36" s="47" t="n"/>
      <c r="G36" s="47" t="n"/>
      <c r="H36" s="47" t="n"/>
      <c r="I36" s="47" t="n"/>
      <c r="J36" s="47" t="n"/>
      <c r="K36" s="47">
        <f>SUM(C36,E36,G36,I36)</f>
        <v/>
      </c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</row>
    <row r="37" ht="15.95" customHeight="1">
      <c r="A37" s="40" t="inlineStr">
        <is>
          <t>S4</t>
        </is>
      </c>
      <c r="B37" s="40">
        <f>VLOOKUP(A37,Members!$A$2:$B$65,2,FALSE)</f>
        <v/>
      </c>
      <c r="C37" s="104" t="n"/>
      <c r="D37" s="54" t="n"/>
      <c r="E37" s="104" t="n"/>
      <c r="F37" s="104" t="n"/>
      <c r="G37" s="104" t="n"/>
      <c r="H37" s="104" t="n"/>
      <c r="I37" s="104" t="n"/>
      <c r="J37" s="104" t="n"/>
      <c r="K37" s="104">
        <f>SUM(C37,E37,G37,I37)</f>
        <v/>
      </c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</row>
    <row r="38" ht="15.95" customHeight="1">
      <c r="A38" s="42" t="inlineStr">
        <is>
          <t>S5</t>
        </is>
      </c>
      <c r="B38" s="42">
        <f>VLOOKUP(A38,Members!$A$2:$B$65,2,FALSE)</f>
        <v/>
      </c>
      <c r="C38" s="47" t="n"/>
      <c r="D38" s="47" t="n"/>
      <c r="E38" s="47" t="n"/>
      <c r="F38" s="47" t="n"/>
      <c r="G38" s="47" t="n"/>
      <c r="H38" s="47" t="n"/>
      <c r="I38" s="47" t="n"/>
      <c r="J38" s="47" t="n"/>
      <c r="K38" s="47">
        <f>SUM(C38,E38,G38,I38)</f>
        <v/>
      </c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</row>
    <row r="39" ht="15.95" customHeight="1">
      <c r="A39" s="40" t="inlineStr">
        <is>
          <t>S6</t>
        </is>
      </c>
      <c r="B39" s="40">
        <f>VLOOKUP(A39,Members!$A$2:$B$65,2,FALSE)</f>
        <v/>
      </c>
      <c r="C39" s="104" t="n"/>
      <c r="D39" s="54" t="n"/>
      <c r="E39" s="104" t="n"/>
      <c r="F39" s="104" t="n"/>
      <c r="G39" s="104" t="n"/>
      <c r="H39" s="104" t="n"/>
      <c r="I39" s="104" t="n"/>
      <c r="J39" s="104" t="n"/>
      <c r="K39" s="104">
        <f>SUM(C39,E39,G39,I39)</f>
        <v/>
      </c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</row>
    <row r="40" ht="15.95" customHeight="1">
      <c r="A40" s="42" t="inlineStr">
        <is>
          <t>S7</t>
        </is>
      </c>
      <c r="B40" s="42">
        <f>VLOOKUP(A40,Members!$A$2:$B$65,2,FALSE)</f>
        <v/>
      </c>
      <c r="C40" s="47" t="n"/>
      <c r="D40" s="51" t="n"/>
      <c r="E40" s="47" t="n"/>
      <c r="F40" s="47" t="n"/>
      <c r="G40" s="47" t="n"/>
      <c r="H40" s="47" t="n"/>
      <c r="I40" s="47" t="n"/>
      <c r="J40" s="47" t="n"/>
      <c r="K40" s="47">
        <f>SUM(C40,E40,G40,I40)</f>
        <v/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  <c r="AA40" s="47" t="n"/>
    </row>
    <row r="41" ht="15.95" customHeight="1">
      <c r="A41" s="40" t="inlineStr">
        <is>
          <t>S8</t>
        </is>
      </c>
      <c r="B41" s="40">
        <f>VLOOKUP(A41,Members!$A$2:$B$65,2,FALSE)</f>
        <v/>
      </c>
      <c r="C41" s="104" t="n"/>
      <c r="D41" s="52" t="n"/>
      <c r="E41" s="104" t="n"/>
      <c r="F41" s="104" t="n"/>
      <c r="G41" s="104" t="n"/>
      <c r="H41" s="104" t="n"/>
      <c r="I41" s="104" t="n"/>
      <c r="J41" s="104" t="n"/>
      <c r="K41" s="104">
        <f>SUM(C41,E41,G41,I41)</f>
        <v/>
      </c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</row>
    <row r="42" ht="15.95" customHeight="1">
      <c r="A42" s="42" t="inlineStr">
        <is>
          <t>S9</t>
        </is>
      </c>
      <c r="B42" s="42">
        <f>VLOOKUP(A42,Members!$A$2:$B$65,2,FALSE)</f>
        <v/>
      </c>
      <c r="C42" s="47" t="n"/>
      <c r="D42" s="51" t="n"/>
      <c r="E42" s="47" t="n"/>
      <c r="F42" s="47" t="n"/>
      <c r="G42" s="47" t="n"/>
      <c r="H42" s="47" t="n"/>
      <c r="I42" s="47" t="n"/>
      <c r="J42" s="47" t="n"/>
      <c r="K42" s="47">
        <f>SUM(C42,E42,G42,I42)</f>
        <v/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</row>
    <row r="43" ht="15.95" customHeight="1">
      <c r="A43" s="40" t="inlineStr">
        <is>
          <t>S10</t>
        </is>
      </c>
      <c r="B43" s="40">
        <f>VLOOKUP(A43,Members!$A$2:$B$65,2,FALSE)</f>
        <v/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>
        <f>SUM(C43,E43,G43,I43)</f>
        <v/>
      </c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</row>
    <row r="44" ht="15.95" customHeight="1">
      <c r="A44" s="42" t="inlineStr">
        <is>
          <t>S11</t>
        </is>
      </c>
      <c r="B44" s="42">
        <f>VLOOKUP(A44,Members!$A$2:$B$65,2,FALSE)</f>
        <v/>
      </c>
      <c r="C44" s="47" t="n"/>
      <c r="D44" s="51" t="n"/>
      <c r="E44" s="47" t="n"/>
      <c r="F44" s="47" t="n"/>
      <c r="G44" s="47" t="n"/>
      <c r="H44" s="47" t="n"/>
      <c r="I44" s="47" t="n"/>
      <c r="J44" s="47" t="n"/>
      <c r="K44" s="47">
        <f>SUM(C44,E44,G44,I44)</f>
        <v/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</row>
    <row r="45" ht="15.95" customHeight="1">
      <c r="A45" s="40" t="inlineStr">
        <is>
          <t>S12</t>
        </is>
      </c>
      <c r="B45" s="40">
        <f>VLOOKUP(A45,Members!$A$2:$B$65,2,FALSE)</f>
        <v/>
      </c>
      <c r="C45" s="104" t="n"/>
      <c r="D45" s="54" t="n"/>
      <c r="E45" s="104" t="n"/>
      <c r="F45" s="104" t="n"/>
      <c r="G45" s="104" t="n"/>
      <c r="H45" s="104" t="n"/>
      <c r="I45" s="104" t="n"/>
      <c r="J45" s="104" t="n"/>
      <c r="K45" s="104">
        <f>SUM(C45,E45,G45,I45)</f>
        <v/>
      </c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</row>
    <row r="46" ht="15.95" customHeight="1">
      <c r="A46" s="42" t="inlineStr">
        <is>
          <t>S13</t>
        </is>
      </c>
      <c r="B46" s="42">
        <f>VLOOKUP(A46,Members!$A$2:$B$65,2,FALSE)</f>
        <v/>
      </c>
      <c r="C46" s="47" t="n"/>
      <c r="D46" s="51" t="n"/>
      <c r="E46" s="47" t="n"/>
      <c r="F46" s="51" t="n"/>
      <c r="G46" s="47" t="n"/>
      <c r="H46" s="51" t="n"/>
      <c r="I46" s="47" t="n"/>
      <c r="J46" s="51" t="n"/>
      <c r="K46" s="47">
        <f>SUM(C46,E46,G46,I46)</f>
        <v/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</row>
    <row r="47" ht="15.95" customHeight="1">
      <c r="A47" s="40" t="inlineStr">
        <is>
          <t>S14</t>
        </is>
      </c>
      <c r="B47" s="40">
        <f>VLOOKUP(A47,Members!$A$2:$B$65,2,FALSE)</f>
        <v/>
      </c>
      <c r="C47" s="104" t="n"/>
      <c r="D47" s="52" t="n"/>
      <c r="E47" s="104" t="n"/>
      <c r="F47" s="104" t="n"/>
      <c r="G47" s="104" t="n"/>
      <c r="H47" s="104" t="n"/>
      <c r="I47" s="104" t="n"/>
      <c r="J47" s="104" t="n"/>
      <c r="K47" s="104">
        <f>SUM(C47,E47,G47,I47)</f>
        <v/>
      </c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</row>
    <row r="48" ht="15.95" customHeight="1">
      <c r="A48" s="42" t="inlineStr">
        <is>
          <t>S15</t>
        </is>
      </c>
      <c r="B48" s="42">
        <f>VLOOKUP(A48,Members!$A$2:$B$65,2,FALSE)</f>
        <v/>
      </c>
      <c r="C48" s="47" t="n"/>
      <c r="D48" s="51" t="n"/>
      <c r="E48" s="47" t="n"/>
      <c r="F48" s="47" t="n"/>
      <c r="G48" s="47" t="n"/>
      <c r="H48" s="47" t="n"/>
      <c r="I48" s="47" t="n"/>
      <c r="J48" s="47" t="n"/>
      <c r="K48" s="47">
        <f>SUM(C48,E48,G48,I48)</f>
        <v/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</row>
    <row r="49" ht="15.95" customHeight="1">
      <c r="A49" s="40" t="inlineStr">
        <is>
          <t>S16</t>
        </is>
      </c>
      <c r="B49" s="40">
        <f>VLOOKUP(A49,Members!$A$2:$B$65,2,FALSE)</f>
        <v/>
      </c>
      <c r="C49" s="104" t="n"/>
      <c r="D49" s="52" t="n"/>
      <c r="E49" s="104" t="n"/>
      <c r="F49" s="104" t="n"/>
      <c r="G49" s="104" t="n"/>
      <c r="H49" s="104" t="n"/>
      <c r="I49" s="104" t="n"/>
      <c r="J49" s="104" t="n"/>
      <c r="K49" s="104">
        <f>SUM(C49,E49,G49,I49)</f>
        <v/>
      </c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</row>
    <row r="50" ht="15.95" customHeight="1">
      <c r="A50" s="42" t="inlineStr">
        <is>
          <t>T1</t>
        </is>
      </c>
      <c r="B50" s="42">
        <f>VLOOKUP(A50,Members!$A$2:$B$65,2,FALSE)</f>
        <v/>
      </c>
      <c r="C50" s="47" t="n"/>
      <c r="D50" s="51" t="n"/>
      <c r="E50" s="47" t="n"/>
      <c r="F50" s="47" t="n"/>
      <c r="G50" s="47" t="n"/>
      <c r="H50" s="47" t="n"/>
      <c r="I50" s="47" t="n"/>
      <c r="J50" s="47" t="n"/>
      <c r="K50" s="47">
        <f>SUM(C50,E50,G50,I50)</f>
        <v/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</row>
    <row r="51" ht="15.95" customHeight="1">
      <c r="A51" s="40" t="inlineStr">
        <is>
          <t>T2</t>
        </is>
      </c>
      <c r="B51" s="40">
        <f>VLOOKUP(A51,Members!$A$2:$B$65,2,FALSE)</f>
        <v/>
      </c>
      <c r="C51" s="104" t="n"/>
      <c r="D51" s="52" t="n"/>
      <c r="E51" s="104" t="n"/>
      <c r="F51" s="104" t="n"/>
      <c r="G51" s="104" t="n"/>
      <c r="H51" s="104" t="n"/>
      <c r="I51" s="104" t="n"/>
      <c r="J51" s="104" t="n"/>
      <c r="K51" s="104">
        <f>SUM(C51,E51,G51,I51)</f>
        <v/>
      </c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</row>
    <row r="52" ht="15.95" customHeight="1">
      <c r="A52" s="42" t="inlineStr">
        <is>
          <t>T3</t>
        </is>
      </c>
      <c r="B52" s="42">
        <f>VLOOKUP(A52,Members!$A$2:$B$65,2,FALSE)</f>
        <v/>
      </c>
      <c r="C52" s="47" t="n"/>
      <c r="D52" s="49" t="n"/>
      <c r="E52" s="47" t="n"/>
      <c r="F52" s="47" t="n"/>
      <c r="G52" s="47" t="n"/>
      <c r="H52" s="47" t="n"/>
      <c r="I52" s="47" t="n"/>
      <c r="J52" s="47" t="n"/>
      <c r="K52" s="47">
        <f>SUM(C52,E52,G52,I52)</f>
        <v/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</row>
    <row r="53" ht="15.95" customHeight="1">
      <c r="A53" s="40" t="inlineStr">
        <is>
          <t>T4</t>
        </is>
      </c>
      <c r="B53" s="40">
        <f>VLOOKUP(A53,Members!$A$2:$B$65,2,FALSE)</f>
        <v/>
      </c>
      <c r="C53" s="104" t="n"/>
      <c r="D53" s="54" t="n"/>
      <c r="E53" s="104" t="n"/>
      <c r="F53" s="104" t="n"/>
      <c r="G53" s="104" t="n"/>
      <c r="H53" s="104" t="n"/>
      <c r="I53" s="104" t="n"/>
      <c r="J53" s="104" t="n"/>
      <c r="K53" s="104">
        <f>SUM(C53,E53,G53,I53)</f>
        <v/>
      </c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</row>
    <row r="54" ht="15.95" customHeight="1">
      <c r="A54" s="42" t="inlineStr">
        <is>
          <t>T5</t>
        </is>
      </c>
      <c r="B54" s="42">
        <f>VLOOKUP(A54,Members!$A$2:$B$65,2,FALSE)</f>
        <v/>
      </c>
      <c r="C54" s="47" t="n"/>
      <c r="D54" s="49" t="n"/>
      <c r="E54" s="47" t="n"/>
      <c r="F54" s="47" t="n"/>
      <c r="G54" s="47" t="n"/>
      <c r="H54" s="47" t="n"/>
      <c r="I54" s="47" t="n"/>
      <c r="J54" s="47" t="n"/>
      <c r="K54" s="47">
        <f>SUM(C54,E54,G54,I54)</f>
        <v/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</row>
    <row r="55" ht="15.95" customHeight="1">
      <c r="A55" s="40" t="inlineStr">
        <is>
          <t>T6</t>
        </is>
      </c>
      <c r="B55" s="40">
        <f>VLOOKUP(A55,Members!$A$2:$B$65,2,FALSE)</f>
        <v/>
      </c>
      <c r="C55" s="104" t="n"/>
      <c r="D55" s="53" t="n"/>
      <c r="E55" s="104" t="n"/>
      <c r="F55" s="52" t="n"/>
      <c r="G55" s="104" t="n"/>
      <c r="H55" s="104" t="n"/>
      <c r="I55" s="104" t="n"/>
      <c r="J55" s="104" t="n"/>
      <c r="K55" s="104">
        <f>SUM(C55,E55,G55,I55)</f>
        <v/>
      </c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</row>
    <row r="56" ht="15.95" customHeight="1">
      <c r="A56" s="42" t="inlineStr">
        <is>
          <t>T7</t>
        </is>
      </c>
      <c r="B56" s="42">
        <f>VLOOKUP(A56,Members!$A$2:$B$65,2,FALSE)</f>
        <v/>
      </c>
      <c r="C56" s="47" t="n"/>
      <c r="D56" s="49" t="n"/>
      <c r="E56" s="47" t="n"/>
      <c r="F56" s="47" t="n"/>
      <c r="G56" s="47" t="n"/>
      <c r="H56" s="47" t="n"/>
      <c r="I56" s="47" t="n"/>
      <c r="J56" s="47" t="n"/>
      <c r="K56" s="47">
        <f>SUM(C56,E56,G56,I56)</f>
        <v/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</row>
    <row r="57" ht="15.95" customHeight="1">
      <c r="A57" s="40" t="inlineStr">
        <is>
          <t>T8</t>
        </is>
      </c>
      <c r="B57" s="40">
        <f>VLOOKUP(A57,Members!$A$2:$B$65,2,FALSE)</f>
        <v/>
      </c>
      <c r="C57" s="104" t="n"/>
      <c r="D57" s="52" t="n"/>
      <c r="E57" s="104" t="n"/>
      <c r="F57" s="52" t="n"/>
      <c r="G57" s="104" t="n"/>
      <c r="H57" s="104" t="n"/>
      <c r="I57" s="104" t="n"/>
      <c r="J57" s="104" t="n"/>
      <c r="K57" s="104">
        <f>SUM(C57,E57,G57,I57)</f>
        <v/>
      </c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</row>
    <row r="58" ht="15.95" customHeight="1">
      <c r="A58" s="42" t="inlineStr">
        <is>
          <t>T9</t>
        </is>
      </c>
      <c r="B58" s="42">
        <f>VLOOKUP(A58,Members!$A$2:$B$65,2,FALSE)</f>
        <v/>
      </c>
      <c r="C58" s="47" t="n"/>
      <c r="D58" s="49" t="n"/>
      <c r="E58" s="47" t="n"/>
      <c r="F58" s="47" t="n"/>
      <c r="G58" s="47" t="n"/>
      <c r="H58" s="47" t="n"/>
      <c r="I58" s="47" t="n"/>
      <c r="J58" s="47" t="n"/>
      <c r="K58" s="47">
        <f>SUM(C58,E58,G58,I58)</f>
        <v/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</row>
    <row r="59" ht="15.95" customHeight="1">
      <c r="A59" s="40" t="inlineStr">
        <is>
          <t>T10</t>
        </is>
      </c>
      <c r="B59" s="40">
        <f>VLOOKUP(A59,Members!$A$2:$B$65,2,FALSE)</f>
        <v/>
      </c>
      <c r="C59" s="104" t="n"/>
      <c r="D59" s="54" t="n"/>
      <c r="E59" s="104" t="n"/>
      <c r="F59" s="104" t="n"/>
      <c r="G59" s="104" t="n"/>
      <c r="H59" s="104" t="n"/>
      <c r="I59" s="104" t="n"/>
      <c r="J59" s="104" t="n"/>
      <c r="K59" s="104">
        <f>SUM(C59,E59,G59,I59)</f>
        <v/>
      </c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</row>
    <row r="60" ht="15.95" customHeight="1">
      <c r="A60" s="42" t="inlineStr">
        <is>
          <t>T11</t>
        </is>
      </c>
      <c r="B60" s="42">
        <f>VLOOKUP(A60,Members!$A$2:$B$65,2,FALSE)</f>
        <v/>
      </c>
      <c r="C60" s="47" t="n"/>
      <c r="D60" s="51" t="n"/>
      <c r="E60" s="47" t="n"/>
      <c r="F60" s="47" t="n"/>
      <c r="G60" s="47" t="n"/>
      <c r="H60" s="47" t="n"/>
      <c r="I60" s="47" t="n"/>
      <c r="J60" s="47" t="n"/>
      <c r="K60" s="47">
        <f>SUM(C60,E60,G60,I60)</f>
        <v/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</row>
    <row r="61" ht="15.95" customHeight="1">
      <c r="A61" s="40" t="inlineStr">
        <is>
          <t>T12</t>
        </is>
      </c>
      <c r="B61" s="40">
        <f>VLOOKUP(A61,Members!$A$2:$B$65,2,FALSE)</f>
        <v/>
      </c>
      <c r="C61" s="104" t="n"/>
      <c r="D61" s="54" t="n"/>
      <c r="E61" s="104" t="n"/>
      <c r="F61" s="104" t="n"/>
      <c r="G61" s="104" t="n"/>
      <c r="H61" s="104" t="n"/>
      <c r="I61" s="104" t="n"/>
      <c r="J61" s="104" t="n"/>
      <c r="K61" s="104">
        <f>SUM(C61,E61,G61,I61)</f>
        <v/>
      </c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</row>
    <row r="62" ht="15.95" customHeight="1">
      <c r="A62" s="42" t="inlineStr">
        <is>
          <t>T13</t>
        </is>
      </c>
      <c r="B62" s="42">
        <f>VLOOKUP(A62,Members!$A$2:$B$65,2,FALSE)</f>
        <v/>
      </c>
      <c r="C62" s="47" t="n"/>
      <c r="D62" s="47" t="n"/>
      <c r="E62" s="47" t="n"/>
      <c r="F62" s="47" t="n"/>
      <c r="G62" s="47" t="n"/>
      <c r="H62" s="47" t="n"/>
      <c r="I62" s="47" t="n"/>
      <c r="J62" s="47" t="n"/>
      <c r="K62" s="47">
        <f>SUM(C62,E62,G62,I62)</f>
        <v/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</row>
    <row r="63" ht="15.95" customHeight="1">
      <c r="A63" s="40" t="inlineStr">
        <is>
          <t>T14</t>
        </is>
      </c>
      <c r="B63" s="40">
        <f>VLOOKUP(A63,Members!$A$2:$B$65,2,FALSE)</f>
        <v/>
      </c>
      <c r="C63" s="104" t="n"/>
      <c r="D63" s="53" t="n"/>
      <c r="E63" s="104" t="n"/>
      <c r="F63" s="104" t="n"/>
      <c r="G63" s="104" t="n"/>
      <c r="H63" s="104" t="n"/>
      <c r="I63" s="104" t="n"/>
      <c r="J63" s="104" t="n"/>
      <c r="K63" s="104">
        <f>SUM(C63,E63,G63,I63)</f>
        <v/>
      </c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</row>
    <row r="64" ht="15.95" customHeight="1">
      <c r="A64" s="42" t="inlineStr">
        <is>
          <t>T15</t>
        </is>
      </c>
      <c r="B64" s="42">
        <f>VLOOKUP(A64,Members!$A$2:$B$65,2,FALSE)</f>
        <v/>
      </c>
      <c r="C64" s="47" t="n"/>
      <c r="D64" s="51" t="n"/>
      <c r="E64" s="47" t="n"/>
      <c r="F64" s="47" t="n"/>
      <c r="G64" s="47" t="n"/>
      <c r="H64" s="47" t="n"/>
      <c r="I64" s="47" t="n"/>
      <c r="J64" s="47" t="n"/>
      <c r="K64" s="47">
        <f>SUM(C64,E64,G64,I64)</f>
        <v/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</row>
    <row r="65" ht="15.95" customHeight="1">
      <c r="A65" s="40" t="inlineStr">
        <is>
          <t>T16</t>
        </is>
      </c>
      <c r="B65" s="40">
        <f>VLOOKUP(A65,Members!$A$2:$B$65,2,FALSE)</f>
        <v/>
      </c>
      <c r="C65" s="104" t="n"/>
      <c r="D65" s="52" t="n"/>
      <c r="E65" s="104" t="n"/>
      <c r="F65" s="104" t="n"/>
      <c r="G65" s="104" t="n"/>
      <c r="H65" s="104" t="n"/>
      <c r="I65" s="104" t="n"/>
      <c r="J65" s="104" t="n"/>
      <c r="K65" s="104">
        <f>SUM(C65,E65,G65,I65)</f>
        <v/>
      </c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</row>
    <row r="66">
      <c r="A66" s="44" t="inlineStr">
        <is>
          <t>TOTAL</t>
        </is>
      </c>
      <c r="B66" s="55" t="n"/>
      <c r="C66" s="56" t="n"/>
      <c r="D66" s="56" t="n"/>
      <c r="E66" s="56" t="n"/>
      <c r="F66" s="56" t="n"/>
      <c r="G66" s="56" t="n"/>
      <c r="H66" s="56" t="n"/>
      <c r="I66" s="56" t="n"/>
      <c r="J66" s="56" t="n"/>
      <c r="K66" s="56">
        <f>SUM(K2:K65)</f>
        <v/>
      </c>
      <c r="L66" s="56" t="n"/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  <c r="Z66" s="56" t="n"/>
      <c r="AA66" s="56" t="n"/>
    </row>
    <row r="70">
      <c r="A70" s="3" t="n"/>
    </row>
    <row r="71">
      <c r="A71" s="3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7" t="n"/>
    </row>
    <row r="143">
      <c r="A143" s="3" t="n"/>
    </row>
    <row r="144">
      <c r="A144" s="3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7" t="n"/>
    </row>
    <row r="216">
      <c r="A216" s="3" t="n"/>
    </row>
    <row r="217">
      <c r="A217" s="3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7" t="n"/>
    </row>
    <row r="289">
      <c r="A289" s="3" t="n"/>
    </row>
    <row r="290">
      <c r="A290" s="3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7" t="n"/>
    </row>
    <row r="362">
      <c r="A362" s="3" t="n"/>
    </row>
    <row r="363">
      <c r="A363" s="3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7" t="n"/>
    </row>
    <row r="435">
      <c r="A435" s="3" t="n"/>
    </row>
    <row r="436">
      <c r="A436" s="3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7" t="n"/>
    </row>
    <row r="508">
      <c r="A508" s="3" t="n"/>
    </row>
    <row r="509">
      <c r="A509" s="3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7" t="n"/>
    </row>
    <row r="581">
      <c r="A581" s="3" t="n"/>
    </row>
    <row r="582">
      <c r="A582" s="3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7" t="n"/>
    </row>
    <row r="654">
      <c r="A654" s="3" t="n"/>
    </row>
    <row r="655">
      <c r="A655" s="3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7" t="n"/>
    </row>
    <row r="727">
      <c r="A727" s="3" t="n"/>
    </row>
    <row r="728">
      <c r="A728" s="3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7" t="n"/>
    </row>
    <row r="800">
      <c r="A800" s="3" t="n"/>
    </row>
    <row r="801">
      <c r="A801" s="3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7" t="n"/>
    </row>
    <row r="873">
      <c r="A873" s="3" t="n"/>
    </row>
    <row r="874">
      <c r="A874" s="3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7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min="1" max="1"/>
    <col width="30.42578125" customWidth="1" min="2" max="2"/>
    <col width="18.7109375" customWidth="1" min="3" max="9"/>
    <col width="25" customWidth="1" min="10" max="10"/>
    <col width="18.7109375" customWidth="1" min="11" max="18"/>
    <col width="44.7109375" customWidth="1" min="19" max="19"/>
    <col width="13.42578125" customWidth="1" min="20" max="20"/>
  </cols>
  <sheetData>
    <row r="1" ht="18.75" customHeight="1">
      <c r="A1" s="88" t="n">
        <v>1</v>
      </c>
      <c r="B1" s="88" t="inlineStr">
        <is>
          <t>MAY 2026 EXPENSES</t>
        </is>
      </c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6" t="n"/>
    </row>
    <row r="2" ht="58.5" customHeight="1">
      <c r="A2" s="39" t="inlineStr">
        <is>
          <t>FLAT #</t>
        </is>
      </c>
      <c r="B2" s="39" t="n">
        <v>0</v>
      </c>
      <c r="C2" s="39" t="inlineStr">
        <is>
          <t>WATER USED IN LTRS</t>
        </is>
      </c>
      <c r="D2" s="39" t="inlineStr">
        <is>
          <t>COMMON AREA EQUALLY DEVIDED</t>
        </is>
      </c>
      <c r="E2" s="39" t="inlineStr">
        <is>
          <t>TOTAL FRESH WATER CONSUMED</t>
        </is>
      </c>
      <c r="F2" s="39" t="inlineStr">
        <is>
          <t>%OF TOTAL USED</t>
        </is>
      </c>
      <c r="G2" s="39" t="inlineStr">
        <is>
          <t>WATER EXPENSE SHARING BY %</t>
        </is>
      </c>
      <c r="H2" s="39" t="inlineStr">
        <is>
          <t>#METERS</t>
        </is>
      </c>
      <c r="I2" s="39" t="inlineStr">
        <is>
          <t>METER RENT</t>
        </is>
      </c>
      <c r="J2" s="39" t="inlineStr">
        <is>
          <t>VARIABLE EXPENSE = COMMON AREA METER RENT + WATER EXPENSE+ FLAT METER RENT</t>
        </is>
      </c>
      <c r="K2" s="39" t="inlineStr">
        <is>
          <t>FIXED EXPENSE SHARE</t>
        </is>
      </c>
      <c r="L2" s="39" t="inlineStr">
        <is>
          <t>PARKING FEE</t>
        </is>
      </c>
      <c r="M2" s="39" t="inlineStr">
        <is>
          <t>CLUB HOUSE BOOKING</t>
        </is>
      </c>
      <c r="N2" s="39" t="inlineStr">
        <is>
          <t>SHIFTING FEE</t>
        </is>
      </c>
      <c r="O2" s="39" t="inlineStr">
        <is>
          <t>GYM USAGE FEE</t>
        </is>
      </c>
      <c r="P2" s="39" t="inlineStr">
        <is>
          <t>POLYCARBONATE SHEET REPAIR</t>
        </is>
      </c>
      <c r="Q2" s="39" t="n"/>
      <c r="R2" s="39" t="inlineStr">
        <is>
          <t>TOTAL EXPENSE TO BE PAID</t>
        </is>
      </c>
      <c r="S2" s="39" t="n"/>
      <c r="T2" s="39" t="n"/>
    </row>
    <row r="3" ht="12.75" customHeight="1">
      <c r="A3" s="40" t="inlineStr">
        <is>
          <t>CH</t>
        </is>
      </c>
      <c r="B3" s="40" t="inlineStr">
        <is>
          <t>MPFOWA</t>
        </is>
      </c>
      <c r="C3" s="41" t="n">
        <v>0</v>
      </c>
      <c r="D3" s="41" t="n">
        <v>0</v>
      </c>
      <c r="E3" s="41" t="n"/>
      <c r="F3" s="41" t="n"/>
      <c r="G3" s="41" t="n"/>
      <c r="H3" s="41" t="n">
        <v>1</v>
      </c>
      <c r="I3" s="41">
        <f>T7</f>
        <v/>
      </c>
      <c r="J3" s="41" t="n"/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</row>
    <row r="4" ht="12.75" customHeight="1">
      <c r="A4" s="42" t="inlineStr">
        <is>
          <t>GYM</t>
        </is>
      </c>
      <c r="B4" s="42" t="inlineStr">
        <is>
          <t>MPFOWA</t>
        </is>
      </c>
      <c r="C4" s="43" t="n">
        <v>0</v>
      </c>
      <c r="D4" s="43" t="n">
        <v>0</v>
      </c>
      <c r="E4" s="43" t="n"/>
      <c r="F4" s="43" t="n"/>
      <c r="G4" s="43" t="n"/>
      <c r="H4" s="43" t="n">
        <v>1</v>
      </c>
      <c r="I4" s="43">
        <f>T7</f>
        <v/>
      </c>
      <c r="J4" s="43" t="n"/>
      <c r="K4" s="43" t="n"/>
      <c r="L4" s="47" t="n"/>
      <c r="M4" s="43" t="n"/>
      <c r="N4" s="43" t="n"/>
      <c r="O4" s="43" t="n"/>
      <c r="P4" s="43" t="n"/>
      <c r="Q4" s="43" t="n"/>
      <c r="R4" s="43" t="n"/>
      <c r="S4" s="43" t="inlineStr">
        <is>
          <t>TOTAL FIXED EXPENSE</t>
        </is>
      </c>
      <c r="T4" s="43">
        <f>'ANNUAL-EXPENSE-DETAILS'!AB4</f>
        <v/>
      </c>
    </row>
    <row r="5" ht="12.75" customHeight="1">
      <c r="A5" s="40" t="inlineStr">
        <is>
          <t>BSMT</t>
        </is>
      </c>
      <c r="B5" s="40" t="inlineStr">
        <is>
          <t>MPFOWA</t>
        </is>
      </c>
      <c r="C5" s="41" t="n">
        <v>0</v>
      </c>
      <c r="D5" s="41" t="n">
        <v>0</v>
      </c>
      <c r="E5" s="41" t="n"/>
      <c r="F5" s="41" t="n"/>
      <c r="G5" s="41" t="n"/>
      <c r="H5" s="41" t="n">
        <v>1</v>
      </c>
      <c r="I5" s="41">
        <f>T7</f>
        <v/>
      </c>
      <c r="J5" s="41" t="n"/>
      <c r="K5" s="41" t="n"/>
      <c r="L5" s="104" t="n"/>
      <c r="M5" s="41" t="n"/>
      <c r="N5" s="41" t="n"/>
      <c r="O5" s="41" t="n"/>
      <c r="P5" s="41" t="n"/>
      <c r="Q5" s="41" t="n"/>
      <c r="R5" s="41" t="n"/>
      <c r="S5" s="41" t="inlineStr">
        <is>
          <t>TOTAL WATER EXPENSE</t>
        </is>
      </c>
      <c r="T5" s="41">
        <f>'ANNUAL-EXPENSE-DETAILS'!AA4</f>
        <v/>
      </c>
    </row>
    <row r="6" ht="12.75" customHeight="1">
      <c r="A6" s="42" t="inlineStr">
        <is>
          <t>F1</t>
        </is>
      </c>
      <c r="B6" s="42">
        <f>VLOOKUP(A6,Members!$A$2:$B$65,2,FALSE)</f>
        <v/>
      </c>
      <c r="C6" s="43" t="n">
        <v>0</v>
      </c>
      <c r="D6" s="43">
        <f>SUM($C$3:$C$5)/64</f>
        <v/>
      </c>
      <c r="E6" s="43">
        <f>C6+D6</f>
        <v/>
      </c>
      <c r="F6" s="43">
        <f>IF($C$70=0, 0, E6/$C$70)</f>
        <v/>
      </c>
      <c r="G6" s="43">
        <f>F6*$T$5</f>
        <v/>
      </c>
      <c r="H6" s="43" t="n">
        <v>3</v>
      </c>
      <c r="I6" s="43">
        <f>$T$7*H6</f>
        <v/>
      </c>
      <c r="J6" s="43">
        <f>G6+$T$9+I6</f>
        <v/>
      </c>
      <c r="K6" s="43">
        <f>$T$4/64</f>
        <v/>
      </c>
      <c r="L6" s="43" t="n">
        <v>0</v>
      </c>
      <c r="M6" s="43" t="n">
        <v>0</v>
      </c>
      <c r="N6" s="43" t="n">
        <v>0</v>
      </c>
      <c r="O6" s="43" t="n">
        <v>0</v>
      </c>
      <c r="P6" s="43" t="n"/>
      <c r="Q6" s="43" t="n"/>
      <c r="R6" s="43">
        <f>(SUM(J6:P6)*$B$2)</f>
        <v/>
      </c>
      <c r="S6" s="43" t="n"/>
      <c r="T6" s="43" t="n"/>
    </row>
    <row r="7" ht="12.75" customHeight="1">
      <c r="A7" s="40" t="inlineStr">
        <is>
          <t>F2</t>
        </is>
      </c>
      <c r="B7" s="40">
        <f>VLOOKUP(A7,Members!$A$2:$B$65,2,FALSE)</f>
        <v/>
      </c>
      <c r="C7" s="41" t="n">
        <v>0</v>
      </c>
      <c r="D7" s="41">
        <f>SUM($C$3:$C$5)/64</f>
        <v/>
      </c>
      <c r="E7" s="41">
        <f>C7+D7</f>
        <v/>
      </c>
      <c r="F7" s="41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$T$4/64</f>
        <v/>
      </c>
      <c r="L7" s="41" t="n">
        <v>0</v>
      </c>
      <c r="M7" s="41" t="n">
        <v>0</v>
      </c>
      <c r="N7" s="41" t="n">
        <v>0</v>
      </c>
      <c r="O7" s="41" t="n">
        <v>0</v>
      </c>
      <c r="P7" s="41" t="n"/>
      <c r="Q7" s="41" t="n"/>
      <c r="R7" s="41">
        <f>(SUM(J7:P7)*$B$2)</f>
        <v/>
      </c>
      <c r="S7" s="41" t="inlineStr">
        <is>
          <t>RENT PER METER</t>
        </is>
      </c>
      <c r="T7" s="41" t="n">
        <v>117.811659</v>
      </c>
    </row>
    <row r="8" ht="12.75" customHeight="1">
      <c r="A8" s="42" t="inlineStr">
        <is>
          <t>F3</t>
        </is>
      </c>
      <c r="B8" s="42">
        <f>VLOOKUP(A8,Members!$A$2:$B$65,2,FALSE)</f>
        <v/>
      </c>
      <c r="C8" s="43" t="n">
        <v>0</v>
      </c>
      <c r="D8" s="43">
        <f>SUM($C$3:$C$5)/64</f>
        <v/>
      </c>
      <c r="E8" s="43">
        <f>C8+D8</f>
        <v/>
      </c>
      <c r="F8" s="43">
        <f>IF($C$70=0, 0, E8/$C$70)</f>
        <v/>
      </c>
      <c r="G8" s="43">
        <f>F8*$T$5</f>
        <v/>
      </c>
      <c r="H8" s="43" t="n">
        <v>4</v>
      </c>
      <c r="I8" s="43">
        <f>$T$7*H8</f>
        <v/>
      </c>
      <c r="J8" s="43">
        <f>G8+$T$9+I8</f>
        <v/>
      </c>
      <c r="K8" s="43">
        <f>$T$4/64</f>
        <v/>
      </c>
      <c r="L8" s="43" t="n">
        <v>0</v>
      </c>
      <c r="M8" s="43" t="n">
        <v>0</v>
      </c>
      <c r="N8" s="43" t="n">
        <v>0</v>
      </c>
      <c r="O8" s="43" t="n">
        <v>0</v>
      </c>
      <c r="P8" s="43" t="n"/>
      <c r="Q8" s="43" t="n"/>
      <c r="R8" s="43">
        <f>(SUM(J8:P8)*$B$2)</f>
        <v/>
      </c>
      <c r="S8" s="43" t="inlineStr">
        <is>
          <t>COMMON AREA METER RENT</t>
        </is>
      </c>
      <c r="T8" s="43">
        <f>$T$7*3</f>
        <v/>
      </c>
    </row>
    <row r="9" ht="12.75" customHeight="1">
      <c r="A9" s="40" t="inlineStr">
        <is>
          <t>F4</t>
        </is>
      </c>
      <c r="B9" s="40">
        <f>VLOOKUP(A9,Members!$A$2:$B$65,2,FALSE)</f>
        <v/>
      </c>
      <c r="C9" s="41" t="n">
        <v>0</v>
      </c>
      <c r="D9" s="41">
        <f>SUM($C$3:$C$5)/64</f>
        <v/>
      </c>
      <c r="E9" s="41">
        <f>C9+D9</f>
        <v/>
      </c>
      <c r="F9" s="41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$T$4/64</f>
        <v/>
      </c>
      <c r="L9" s="41" t="n">
        <v>0</v>
      </c>
      <c r="M9" s="41" t="n">
        <v>0</v>
      </c>
      <c r="N9" s="41" t="n">
        <v>0</v>
      </c>
      <c r="O9" s="41" t="n">
        <v>0</v>
      </c>
      <c r="P9" s="41" t="n"/>
      <c r="Q9" s="41" t="n"/>
      <c r="R9" s="41">
        <f>(SUM(J9:P9)*$B$2)</f>
        <v/>
      </c>
      <c r="S9" s="41" t="inlineStr">
        <is>
          <t>COMMON AREA METER RENT/FLAT</t>
        </is>
      </c>
      <c r="T9" s="41">
        <f>T8/64</f>
        <v/>
      </c>
    </row>
    <row r="10" ht="12.75" customHeight="1">
      <c r="A10" s="42" t="inlineStr">
        <is>
          <t>F5</t>
        </is>
      </c>
      <c r="B10" s="42">
        <f>VLOOKUP(A10,Members!$A$2:$B$65,2,FALSE)</f>
        <v/>
      </c>
      <c r="C10" s="43" t="n">
        <v>0</v>
      </c>
      <c r="D10" s="43">
        <f>SUM($C$3:$C$5)/64</f>
        <v/>
      </c>
      <c r="E10" s="43">
        <f>C10+D10</f>
        <v/>
      </c>
      <c r="F10" s="43">
        <f>IF($C$70=0, 0, E10/$C$70)</f>
        <v/>
      </c>
      <c r="G10" s="43">
        <f>F10*$T$5</f>
        <v/>
      </c>
      <c r="H10" s="43" t="n">
        <v>3</v>
      </c>
      <c r="I10" s="43">
        <f>$T$7*H10</f>
        <v/>
      </c>
      <c r="J10" s="43">
        <f>G10+$T$9+I10</f>
        <v/>
      </c>
      <c r="K10" s="43">
        <f>$T$4/64</f>
        <v/>
      </c>
      <c r="L10" s="43" t="n">
        <v>0</v>
      </c>
      <c r="M10" s="43" t="n">
        <v>0</v>
      </c>
      <c r="N10" s="43" t="n">
        <v>0</v>
      </c>
      <c r="O10" s="43" t="n">
        <v>0</v>
      </c>
      <c r="P10" s="43" t="n"/>
      <c r="Q10" s="43" t="n"/>
      <c r="R10" s="43">
        <f>(SUM(J10:P10)*$B$2)</f>
        <v/>
      </c>
      <c r="S10" s="43" t="n"/>
      <c r="T10" s="43" t="n"/>
    </row>
    <row r="11" ht="12.75" customHeight="1">
      <c r="A11" s="40" t="inlineStr">
        <is>
          <t>F6</t>
        </is>
      </c>
      <c r="B11" s="40">
        <f>VLOOKUP(A11,Members!$A$2:$B$65,2,FALSE)</f>
        <v/>
      </c>
      <c r="C11" s="41" t="n">
        <v>0</v>
      </c>
      <c r="D11" s="41">
        <f>SUM($C$3:$C$5)/64</f>
        <v/>
      </c>
      <c r="E11" s="41">
        <f>C11+D11</f>
        <v/>
      </c>
      <c r="F11" s="41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$T$4/64</f>
        <v/>
      </c>
      <c r="L11" s="41" t="n">
        <v>0</v>
      </c>
      <c r="M11" s="41" t="n">
        <v>0</v>
      </c>
      <c r="N11" s="41" t="n">
        <v>0</v>
      </c>
      <c r="O11" s="41" t="n">
        <v>0</v>
      </c>
      <c r="P11" s="41" t="n"/>
      <c r="Q11" s="41" t="n"/>
      <c r="R11" s="41">
        <f>(SUM(J11:P11)*$B$2)</f>
        <v/>
      </c>
      <c r="S11" s="41" t="n"/>
      <c r="T11" s="41" t="n"/>
    </row>
    <row r="12" ht="12.75" customHeight="1">
      <c r="A12" s="42" t="inlineStr">
        <is>
          <t>F7</t>
        </is>
      </c>
      <c r="B12" s="42">
        <f>VLOOKUP(A12,Members!$A$2:$B$65,2,FALSE)</f>
        <v/>
      </c>
      <c r="C12" s="43" t="n">
        <v>0</v>
      </c>
      <c r="D12" s="43">
        <f>SUM($C$3:$C$5)/64</f>
        <v/>
      </c>
      <c r="E12" s="43">
        <f>C12+D12</f>
        <v/>
      </c>
      <c r="F12" s="43">
        <f>IF($C$70=0, 0, E12/$C$70)</f>
        <v/>
      </c>
      <c r="G12" s="43">
        <f>F12*$T$5</f>
        <v/>
      </c>
      <c r="H12" s="43" t="n">
        <v>3</v>
      </c>
      <c r="I12" s="43">
        <f>$T$7*H12</f>
        <v/>
      </c>
      <c r="J12" s="43">
        <f>G12+$T$9+I12</f>
        <v/>
      </c>
      <c r="K12" s="43">
        <f>$T$4/64</f>
        <v/>
      </c>
      <c r="L12" s="43" t="n">
        <v>0</v>
      </c>
      <c r="M12" s="43" t="n">
        <v>0</v>
      </c>
      <c r="N12" s="43" t="n">
        <v>0</v>
      </c>
      <c r="O12" s="43" t="n">
        <v>0</v>
      </c>
      <c r="P12" s="43" t="n"/>
      <c r="Q12" s="43" t="n"/>
      <c r="R12" s="43">
        <f>(SUM(J12:P12)*$B$2)</f>
        <v/>
      </c>
      <c r="S12" s="43" t="inlineStr">
        <is>
          <t>BALANCE IN ACCOUNT TILL 31MAY2023</t>
        </is>
      </c>
      <c r="T12" s="43" t="n"/>
    </row>
    <row r="13" ht="12.75" customHeight="1">
      <c r="A13" s="40" t="inlineStr">
        <is>
          <t>F8</t>
        </is>
      </c>
      <c r="B13" s="40">
        <f>VLOOKUP(A13,Members!$A$2:$B$65,2,FALSE)</f>
        <v/>
      </c>
      <c r="C13" s="41" t="n">
        <v>0</v>
      </c>
      <c r="D13" s="41">
        <f>SUM($C$3:$C$5)/64</f>
        <v/>
      </c>
      <c r="E13" s="41">
        <f>C13+D13</f>
        <v/>
      </c>
      <c r="F13" s="41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$T$4/64</f>
        <v/>
      </c>
      <c r="L13" s="41" t="n">
        <v>0</v>
      </c>
      <c r="M13" s="41" t="n">
        <v>0</v>
      </c>
      <c r="N13" s="41" t="n">
        <v>0</v>
      </c>
      <c r="O13" s="41" t="n">
        <v>0</v>
      </c>
      <c r="P13" s="41" t="n"/>
      <c r="Q13" s="41" t="n"/>
      <c r="R13" s="41">
        <f>(SUM(J13:P13)*$B$2)</f>
        <v/>
      </c>
      <c r="S13" s="41" t="inlineStr">
        <is>
          <t>TOTAL NON MAINTENANCE CORPUS COLLECTION</t>
        </is>
      </c>
      <c r="T13" s="41" t="n"/>
    </row>
    <row r="14" ht="12.75" customHeight="1">
      <c r="A14" s="42" t="inlineStr">
        <is>
          <t>F9</t>
        </is>
      </c>
      <c r="B14" s="42">
        <f>VLOOKUP(A14,Members!$A$2:$B$65,2,FALSE)</f>
        <v/>
      </c>
      <c r="C14" s="43" t="n">
        <v>0</v>
      </c>
      <c r="D14" s="43">
        <f>SUM($C$3:$C$5)/64</f>
        <v/>
      </c>
      <c r="E14" s="43">
        <f>C14+D14</f>
        <v/>
      </c>
      <c r="F14" s="43">
        <f>IF($C$70=0, 0, E14/$C$70)</f>
        <v/>
      </c>
      <c r="G14" s="43">
        <f>F14*$T$5</f>
        <v/>
      </c>
      <c r="H14" s="43" t="n">
        <v>4</v>
      </c>
      <c r="I14" s="43">
        <f>$T$7*H14</f>
        <v/>
      </c>
      <c r="J14" s="43">
        <f>G14+$T$9+I14</f>
        <v/>
      </c>
      <c r="K14" s="43">
        <f>$T$4/64</f>
        <v/>
      </c>
      <c r="L14" s="43" t="n">
        <v>0</v>
      </c>
      <c r="M14" s="43" t="n">
        <v>0</v>
      </c>
      <c r="N14" s="43" t="n">
        <v>0</v>
      </c>
      <c r="O14" s="43" t="n">
        <v>0</v>
      </c>
      <c r="P14" s="43" t="n"/>
      <c r="Q14" s="43" t="n"/>
      <c r="R14" s="43">
        <f>(SUM(J14:P14)*$B$2)</f>
        <v/>
      </c>
      <c r="S14" s="43" t="inlineStr">
        <is>
          <t>TOTAL FD DONE</t>
        </is>
      </c>
      <c r="T14" s="43" t="n"/>
    </row>
    <row r="15" ht="12.75" customHeight="1">
      <c r="A15" s="40" t="inlineStr">
        <is>
          <t>F10</t>
        </is>
      </c>
      <c r="B15" s="40">
        <f>VLOOKUP(A15,Members!$A$2:$B$65,2,FALSE)</f>
        <v/>
      </c>
      <c r="C15" s="41" t="n">
        <v>0</v>
      </c>
      <c r="D15" s="41">
        <f>SUM($C$3:$C$5)/64</f>
        <v/>
      </c>
      <c r="E15" s="41">
        <f>C15+D15</f>
        <v/>
      </c>
      <c r="F15" s="41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$T$4/64</f>
        <v/>
      </c>
      <c r="L15" s="41" t="n">
        <v>0</v>
      </c>
      <c r="M15" s="41" t="n">
        <v>0</v>
      </c>
      <c r="N15" s="41" t="n">
        <v>0</v>
      </c>
      <c r="O15" s="41" t="n">
        <v>0</v>
      </c>
      <c r="P15" s="41" t="n"/>
      <c r="Q15" s="41" t="n"/>
      <c r="R15" s="41">
        <f>(SUM(J15:P15)*$B$2)</f>
        <v/>
      </c>
      <c r="S15" s="104" t="inlineStr">
        <is>
          <t>Pending vendor payments</t>
        </is>
      </c>
      <c r="T15" s="104" t="n"/>
    </row>
    <row r="16" ht="12.75" customHeight="1">
      <c r="A16" s="42" t="inlineStr">
        <is>
          <t>F11</t>
        </is>
      </c>
      <c r="B16" s="42">
        <f>VLOOKUP(A16,Members!$A$2:$B$65,2,FALSE)</f>
        <v/>
      </c>
      <c r="C16" s="43" t="n">
        <v>0</v>
      </c>
      <c r="D16" s="43">
        <f>SUM($C$3:$C$5)/64</f>
        <v/>
      </c>
      <c r="E16" s="43">
        <f>C16+D16</f>
        <v/>
      </c>
      <c r="F16" s="43">
        <f>IF($C$70=0, 0, E16/$C$70)</f>
        <v/>
      </c>
      <c r="G16" s="43">
        <f>F16*$T$5</f>
        <v/>
      </c>
      <c r="H16" s="43" t="n">
        <v>3</v>
      </c>
      <c r="I16" s="43">
        <f>$T$7*H16</f>
        <v/>
      </c>
      <c r="J16" s="43">
        <f>G16+$T$9+I16</f>
        <v/>
      </c>
      <c r="K16" s="43">
        <f>$T$4/64</f>
        <v/>
      </c>
      <c r="L16" s="43" t="n">
        <v>0</v>
      </c>
      <c r="M16" s="43" t="n">
        <v>0</v>
      </c>
      <c r="N16" s="43" t="n">
        <v>0</v>
      </c>
      <c r="O16" s="43" t="n">
        <v>0</v>
      </c>
      <c r="P16" s="43" t="n"/>
      <c r="Q16" s="43" t="n"/>
      <c r="R16" s="43">
        <f>(SUM(J16:P16)*$B$2)</f>
        <v/>
      </c>
      <c r="S16" s="43" t="inlineStr">
        <is>
          <t>AMOUNT AVAILABLE FOR NON MAINTENANCE CORPUS</t>
        </is>
      </c>
      <c r="T16" s="43">
        <f>T13-T14</f>
        <v/>
      </c>
    </row>
    <row r="17" ht="12.75" customHeight="1">
      <c r="A17" s="40" t="inlineStr">
        <is>
          <t>F12</t>
        </is>
      </c>
      <c r="B17" s="40">
        <f>VLOOKUP(A17,Members!$A$2:$B$65,2,FALSE)</f>
        <v/>
      </c>
      <c r="C17" s="41" t="n">
        <v>0</v>
      </c>
      <c r="D17" s="41">
        <f>SUM($C$3:$C$5)/64</f>
        <v/>
      </c>
      <c r="E17" s="41">
        <f>C17+D17</f>
        <v/>
      </c>
      <c r="F17" s="41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$T$4/64</f>
        <v/>
      </c>
      <c r="L17" s="41" t="n">
        <v>0</v>
      </c>
      <c r="M17" s="41" t="n">
        <v>0</v>
      </c>
      <c r="N17" s="41" t="n">
        <v>0</v>
      </c>
      <c r="O17" s="41" t="n">
        <v>0</v>
      </c>
      <c r="P17" s="41" t="n"/>
      <c r="Q17" s="41" t="n"/>
      <c r="R17" s="41">
        <f>(SUM(J17:P17)*$B$2)</f>
        <v/>
      </c>
      <c r="S17" s="41" t="inlineStr">
        <is>
          <t>AMOUNT AVAILABLE FOR MAINTENANCE</t>
        </is>
      </c>
      <c r="T17" s="41">
        <f>T12-T15-T16</f>
        <v/>
      </c>
    </row>
    <row r="18" ht="12.75" customHeight="1">
      <c r="A18" s="42" t="inlineStr">
        <is>
          <t>F13</t>
        </is>
      </c>
      <c r="B18" s="42">
        <f>VLOOKUP(A18,Members!$A$2:$B$65,2,FALSE)</f>
        <v/>
      </c>
      <c r="C18" s="43" t="n">
        <v>0</v>
      </c>
      <c r="D18" s="43">
        <f>SUM($C$3:$C$5)/64</f>
        <v/>
      </c>
      <c r="E18" s="43">
        <f>C18+D18</f>
        <v/>
      </c>
      <c r="F18" s="43">
        <f>IF($C$70=0, 0, E18/$C$70)</f>
        <v/>
      </c>
      <c r="G18" s="43">
        <f>F18*$T$5</f>
        <v/>
      </c>
      <c r="H18" s="43" t="n">
        <v>4</v>
      </c>
      <c r="I18" s="43">
        <f>$T$7*H18</f>
        <v/>
      </c>
      <c r="J18" s="43">
        <f>G18+$T$9+I18</f>
        <v/>
      </c>
      <c r="K18" s="43">
        <f>$T$4/64</f>
        <v/>
      </c>
      <c r="L18" s="43" t="n">
        <v>0</v>
      </c>
      <c r="M18" s="43" t="n">
        <v>0</v>
      </c>
      <c r="N18" s="43" t="n">
        <v>0</v>
      </c>
      <c r="O18" s="43" t="n">
        <v>0</v>
      </c>
      <c r="P18" s="43" t="n"/>
      <c r="Q18" s="43" t="n"/>
      <c r="R18" s="43">
        <f>(SUM(J18:P18)*$B$2)</f>
        <v/>
      </c>
      <c r="S18" s="43" t="inlineStr">
        <is>
          <t>Maintenance Deficit</t>
        </is>
      </c>
      <c r="T18" s="43">
        <f>T17-(T4+T5+23830)</f>
        <v/>
      </c>
    </row>
    <row r="19" ht="12.75" customHeight="1">
      <c r="A19" s="40" t="inlineStr">
        <is>
          <t>F14</t>
        </is>
      </c>
      <c r="B19" s="40">
        <f>VLOOKUP(A19,Members!$A$2:$B$65,2,FALSE)</f>
        <v/>
      </c>
      <c r="C19" s="41" t="n">
        <v>0</v>
      </c>
      <c r="D19" s="41">
        <f>SUM($C$3:$C$5)/64</f>
        <v/>
      </c>
      <c r="E19" s="41">
        <f>C19+D19</f>
        <v/>
      </c>
      <c r="F19" s="41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$T$4/64</f>
        <v/>
      </c>
      <c r="L19" s="41" t="n">
        <v>0</v>
      </c>
      <c r="M19" s="41" t="n">
        <v>0</v>
      </c>
      <c r="N19" s="41" t="n">
        <v>0</v>
      </c>
      <c r="O19" s="41" t="n">
        <v>0</v>
      </c>
      <c r="P19" s="41" t="n"/>
      <c r="Q19" s="41" t="n"/>
      <c r="R19" s="41">
        <f>(SUM(J19:P19)*$B$2)</f>
        <v/>
      </c>
      <c r="S19" s="41" t="n"/>
      <c r="T19" s="41" t="n"/>
    </row>
    <row r="20" ht="12.75" customHeight="1">
      <c r="A20" s="42" t="inlineStr">
        <is>
          <t>F15</t>
        </is>
      </c>
      <c r="B20" s="42">
        <f>VLOOKUP(A20,Members!$A$2:$B$65,2,FALSE)</f>
        <v/>
      </c>
      <c r="C20" s="43" t="n">
        <v>0</v>
      </c>
      <c r="D20" s="43">
        <f>SUM($C$3:$C$5)/64</f>
        <v/>
      </c>
      <c r="E20" s="43">
        <f>C20+D20</f>
        <v/>
      </c>
      <c r="F20" s="43">
        <f>IF($C$70=0, 0, E20/$C$70)</f>
        <v/>
      </c>
      <c r="G20" s="43">
        <f>F20*$T$5</f>
        <v/>
      </c>
      <c r="H20" s="43" t="n">
        <v>4</v>
      </c>
      <c r="I20" s="43">
        <f>$T$7*H20</f>
        <v/>
      </c>
      <c r="J20" s="43">
        <f>G20+$T$9+I20</f>
        <v/>
      </c>
      <c r="K20" s="43">
        <f>$T$4/64</f>
        <v/>
      </c>
      <c r="L20" s="43" t="n">
        <v>0</v>
      </c>
      <c r="M20" s="43" t="n">
        <v>0</v>
      </c>
      <c r="N20" s="43" t="n">
        <v>0</v>
      </c>
      <c r="O20" s="43" t="n">
        <v>0</v>
      </c>
      <c r="P20" s="43" t="n"/>
      <c r="Q20" s="43" t="n"/>
      <c r="R20" s="43">
        <f>(SUM(J20:P20)*$B$2)</f>
        <v/>
      </c>
      <c r="S20" s="43" t="n"/>
      <c r="T20" s="43" t="n"/>
    </row>
    <row r="21" ht="12.75" customHeight="1">
      <c r="A21" s="40" t="inlineStr">
        <is>
          <t>F16</t>
        </is>
      </c>
      <c r="B21" s="40">
        <f>VLOOKUP(A21,Members!$A$2:$B$65,2,FALSE)</f>
        <v/>
      </c>
      <c r="C21" s="41" t="n">
        <v>0</v>
      </c>
      <c r="D21" s="41">
        <f>SUM($C$3:$C$5)/64</f>
        <v/>
      </c>
      <c r="E21" s="41">
        <f>C21+D21</f>
        <v/>
      </c>
      <c r="F21" s="41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$T$4/64</f>
        <v/>
      </c>
      <c r="L21" s="41" t="n">
        <v>0</v>
      </c>
      <c r="M21" s="41" t="n">
        <v>0</v>
      </c>
      <c r="N21" s="41" t="n">
        <v>0</v>
      </c>
      <c r="O21" s="41" t="n">
        <v>0</v>
      </c>
      <c r="P21" s="41" t="n"/>
      <c r="Q21" s="41" t="n"/>
      <c r="R21" s="41">
        <f>(SUM(J21:P21)*$B$2)</f>
        <v/>
      </c>
      <c r="S21" s="41" t="n"/>
      <c r="T21" s="41" t="n"/>
    </row>
    <row r="22" ht="12.75" customHeight="1">
      <c r="A22" s="42" t="inlineStr">
        <is>
          <t>G1</t>
        </is>
      </c>
      <c r="B22" s="42">
        <f>VLOOKUP(A22,Members!$A$2:$B$65,2,FALSE)</f>
        <v/>
      </c>
      <c r="C22" s="43" t="n">
        <v>0</v>
      </c>
      <c r="D22" s="43">
        <f>SUM($C$3:$C$5)/64</f>
        <v/>
      </c>
      <c r="E22" s="43">
        <f>C22+D22</f>
        <v/>
      </c>
      <c r="F22" s="43">
        <f>IF($C$70=0, 0, E22/$C$70)</f>
        <v/>
      </c>
      <c r="G22" s="43">
        <f>F22*$T$5</f>
        <v/>
      </c>
      <c r="H22" s="43" t="n">
        <v>3</v>
      </c>
      <c r="I22" s="43">
        <f>$T$7*H22</f>
        <v/>
      </c>
      <c r="J22" s="43">
        <f>G22+$T$9+I22</f>
        <v/>
      </c>
      <c r="K22" s="43">
        <f>$T$4/64</f>
        <v/>
      </c>
      <c r="L22" s="43" t="n">
        <v>0</v>
      </c>
      <c r="M22" s="43" t="n">
        <v>0</v>
      </c>
      <c r="N22" s="43" t="n">
        <v>0</v>
      </c>
      <c r="O22" s="43" t="n">
        <v>0</v>
      </c>
      <c r="P22" s="43" t="n"/>
      <c r="Q22" s="43" t="n"/>
      <c r="R22" s="43">
        <f>(SUM(J22:P22)*$B$2)</f>
        <v/>
      </c>
      <c r="S22" s="43" t="n"/>
      <c r="T22" s="43" t="n"/>
    </row>
    <row r="23" ht="12.75" customHeight="1">
      <c r="A23" s="40" t="inlineStr">
        <is>
          <t>G2</t>
        </is>
      </c>
      <c r="B23" s="40">
        <f>VLOOKUP(A23,Members!$A$2:$B$65,2,FALSE)</f>
        <v/>
      </c>
      <c r="C23" s="41" t="n">
        <v>0</v>
      </c>
      <c r="D23" s="41">
        <f>SUM($C$3:$C$5)/64</f>
        <v/>
      </c>
      <c r="E23" s="41">
        <f>C23+D23</f>
        <v/>
      </c>
      <c r="F23" s="41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$T$4/64</f>
        <v/>
      </c>
      <c r="L23" s="41" t="n">
        <v>0</v>
      </c>
      <c r="M23" s="41" t="n">
        <v>0</v>
      </c>
      <c r="N23" s="41" t="n">
        <v>0</v>
      </c>
      <c r="O23" s="41" t="n">
        <v>0</v>
      </c>
      <c r="P23" s="41" t="n"/>
      <c r="Q23" s="41" t="n"/>
      <c r="R23" s="41">
        <f>(SUM(J23:P23)*$B$2)</f>
        <v/>
      </c>
      <c r="S23" s="41" t="n"/>
      <c r="T23" s="41" t="n"/>
    </row>
    <row r="24" ht="12.75" customHeight="1">
      <c r="A24" s="42" t="inlineStr">
        <is>
          <t>G3</t>
        </is>
      </c>
      <c r="B24" s="42">
        <f>VLOOKUP(A24,Members!$A$2:$B$65,2,FALSE)</f>
        <v/>
      </c>
      <c r="C24" s="43" t="n">
        <v>0</v>
      </c>
      <c r="D24" s="43">
        <f>SUM($C$3:$C$5)/64</f>
        <v/>
      </c>
      <c r="E24" s="43">
        <f>C24+D24</f>
        <v/>
      </c>
      <c r="F24" s="43">
        <f>IF($C$70=0, 0, E24/$C$70)</f>
        <v/>
      </c>
      <c r="G24" s="43">
        <f>F24*$T$5</f>
        <v/>
      </c>
      <c r="H24" s="43" t="n">
        <v>4</v>
      </c>
      <c r="I24" s="43">
        <f>$T$7*H24</f>
        <v/>
      </c>
      <c r="J24" s="43">
        <f>G24+$T$9+I24</f>
        <v/>
      </c>
      <c r="K24" s="43">
        <f>$T$4/64</f>
        <v/>
      </c>
      <c r="L24" s="43" t="n">
        <v>0</v>
      </c>
      <c r="M24" s="43" t="n">
        <v>0</v>
      </c>
      <c r="N24" s="43" t="n">
        <v>0</v>
      </c>
      <c r="O24" s="43" t="n">
        <v>0</v>
      </c>
      <c r="P24" s="43" t="n"/>
      <c r="Q24" s="43" t="n"/>
      <c r="R24" s="43">
        <f>(SUM(J24:P24)*$B$2)</f>
        <v/>
      </c>
      <c r="S24" s="43" t="n"/>
      <c r="T24" s="43" t="n"/>
    </row>
    <row r="25" ht="12.75" customHeight="1">
      <c r="A25" s="40" t="inlineStr">
        <is>
          <t>G4</t>
        </is>
      </c>
      <c r="B25" s="40">
        <f>VLOOKUP(A25,Members!$A$2:$B$65,2,FALSE)</f>
        <v/>
      </c>
      <c r="C25" s="41" t="n">
        <v>0</v>
      </c>
      <c r="D25" s="41">
        <f>SUM($C$3:$C$5)/64</f>
        <v/>
      </c>
      <c r="E25" s="41">
        <f>C25+D25</f>
        <v/>
      </c>
      <c r="F25" s="41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$T$4/64</f>
        <v/>
      </c>
      <c r="L25" s="41" t="n">
        <v>0</v>
      </c>
      <c r="M25" s="41" t="n">
        <v>0</v>
      </c>
      <c r="N25" s="41" t="n">
        <v>0</v>
      </c>
      <c r="O25" s="41" t="n">
        <v>0</v>
      </c>
      <c r="P25" s="41" t="n"/>
      <c r="Q25" s="41" t="n"/>
      <c r="R25" s="41">
        <f>(SUM(J25:P25)*$B$2)</f>
        <v/>
      </c>
      <c r="S25" s="41" t="n"/>
      <c r="T25" s="41" t="n"/>
    </row>
    <row r="26" ht="12.75" customHeight="1">
      <c r="A26" s="42" t="inlineStr">
        <is>
          <t>G5</t>
        </is>
      </c>
      <c r="B26" s="42">
        <f>VLOOKUP(A26,Members!$A$2:$B$65,2,FALSE)</f>
        <v/>
      </c>
      <c r="C26" s="43" t="n">
        <v>0</v>
      </c>
      <c r="D26" s="43">
        <f>SUM($C$3:$C$5)/64</f>
        <v/>
      </c>
      <c r="E26" s="43">
        <f>C26+D26</f>
        <v/>
      </c>
      <c r="F26" s="43">
        <f>IF($C$70=0, 0, E26/$C$70)</f>
        <v/>
      </c>
      <c r="G26" s="43">
        <f>F26*$T$5</f>
        <v/>
      </c>
      <c r="H26" s="43" t="n">
        <v>3</v>
      </c>
      <c r="I26" s="43">
        <f>$T$7*H26</f>
        <v/>
      </c>
      <c r="J26" s="43">
        <f>G26+$T$9+I26</f>
        <v/>
      </c>
      <c r="K26" s="43">
        <f>$T$4/64</f>
        <v/>
      </c>
      <c r="L26" s="43" t="n">
        <v>0</v>
      </c>
      <c r="M26" s="43" t="n">
        <v>0</v>
      </c>
      <c r="N26" s="43" t="n">
        <v>0</v>
      </c>
      <c r="O26" s="43" t="n">
        <v>0</v>
      </c>
      <c r="P26" s="43" t="n"/>
      <c r="Q26" s="43" t="n"/>
      <c r="R26" s="43">
        <f>(SUM(J26:P26)*$B$2)</f>
        <v/>
      </c>
      <c r="S26" s="43" t="n"/>
      <c r="T26" s="43" t="n"/>
    </row>
    <row r="27" ht="12.75" customHeight="1">
      <c r="A27" s="40" t="inlineStr">
        <is>
          <t>G6</t>
        </is>
      </c>
      <c r="B27" s="40">
        <f>VLOOKUP(A27,Members!$A$2:$B$65,2,FALSE)</f>
        <v/>
      </c>
      <c r="C27" s="41" t="n">
        <v>0</v>
      </c>
      <c r="D27" s="41">
        <f>SUM($C$3:$C$5)/64</f>
        <v/>
      </c>
      <c r="E27" s="41">
        <f>C27+D27</f>
        <v/>
      </c>
      <c r="F27" s="41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$T$4/64</f>
        <v/>
      </c>
      <c r="L27" s="41" t="n">
        <v>0</v>
      </c>
      <c r="M27" s="41" t="n">
        <v>0</v>
      </c>
      <c r="N27" s="41" t="n">
        <v>0</v>
      </c>
      <c r="O27" s="41" t="n">
        <v>0</v>
      </c>
      <c r="P27" s="41" t="n"/>
      <c r="Q27" s="41" t="n"/>
      <c r="R27" s="41">
        <f>(SUM(J27:P27)*$B$2)</f>
        <v/>
      </c>
      <c r="S27" s="41" t="n"/>
      <c r="T27" s="41" t="n"/>
    </row>
    <row r="28" ht="12.75" customHeight="1">
      <c r="A28" s="42" t="inlineStr">
        <is>
          <t>G7</t>
        </is>
      </c>
      <c r="B28" s="42">
        <f>VLOOKUP(A28,Members!$A$2:$B$65,2,FALSE)</f>
        <v/>
      </c>
      <c r="C28" s="43" t="n">
        <v>0</v>
      </c>
      <c r="D28" s="43">
        <f>SUM($C$3:$C$5)/64</f>
        <v/>
      </c>
      <c r="E28" s="43">
        <f>C28+D28</f>
        <v/>
      </c>
      <c r="F28" s="43">
        <f>IF($C$70=0, 0, E28/$C$70)</f>
        <v/>
      </c>
      <c r="G28" s="43">
        <f>F28*$T$5</f>
        <v/>
      </c>
      <c r="H28" s="43" t="n">
        <v>3</v>
      </c>
      <c r="I28" s="43">
        <f>$T$7*H28</f>
        <v/>
      </c>
      <c r="J28" s="43">
        <f>G28+$T$9+I28</f>
        <v/>
      </c>
      <c r="K28" s="43">
        <f>$T$4/64</f>
        <v/>
      </c>
      <c r="L28" s="43" t="n">
        <v>0</v>
      </c>
      <c r="M28" s="43" t="n">
        <v>0</v>
      </c>
      <c r="N28" s="43" t="n">
        <v>0</v>
      </c>
      <c r="O28" s="43" t="n">
        <v>0</v>
      </c>
      <c r="P28" s="43" t="n"/>
      <c r="Q28" s="43" t="n"/>
      <c r="R28" s="43">
        <f>(SUM(J28:P28)*$B$2)</f>
        <v/>
      </c>
      <c r="S28" s="43" t="n"/>
      <c r="T28" s="43" t="n"/>
    </row>
    <row r="29" ht="12.75" customHeight="1">
      <c r="A29" s="40" t="inlineStr">
        <is>
          <t>G8</t>
        </is>
      </c>
      <c r="B29" s="40">
        <f>VLOOKUP(A29,Members!$A$2:$B$65,2,FALSE)</f>
        <v/>
      </c>
      <c r="C29" s="41" t="n">
        <v>0</v>
      </c>
      <c r="D29" s="41">
        <f>SUM($C$3:$C$5)/64</f>
        <v/>
      </c>
      <c r="E29" s="41">
        <f>C29+D29</f>
        <v/>
      </c>
      <c r="F29" s="41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$T$4/64</f>
        <v/>
      </c>
      <c r="L29" s="41" t="n">
        <v>0</v>
      </c>
      <c r="M29" s="41" t="n">
        <v>0</v>
      </c>
      <c r="N29" s="41" t="n">
        <v>0</v>
      </c>
      <c r="O29" s="41" t="n">
        <v>0</v>
      </c>
      <c r="P29" s="41" t="n"/>
      <c r="Q29" s="41" t="n"/>
      <c r="R29" s="41">
        <f>(SUM(J29:P29)*$B$2)</f>
        <v/>
      </c>
      <c r="S29" s="41" t="n"/>
      <c r="T29" s="41" t="n"/>
    </row>
    <row r="30" ht="12.75" customHeight="1">
      <c r="A30" s="42" t="inlineStr">
        <is>
          <t>G9</t>
        </is>
      </c>
      <c r="B30" s="42">
        <f>VLOOKUP(A30,Members!$A$2:$B$65,2,FALSE)</f>
        <v/>
      </c>
      <c r="C30" s="43" t="n">
        <v>0</v>
      </c>
      <c r="D30" s="43">
        <f>SUM($C$3:$C$5)/64</f>
        <v/>
      </c>
      <c r="E30" s="43">
        <f>C30+D30</f>
        <v/>
      </c>
      <c r="F30" s="43">
        <f>IF($C$70=0, 0, E30/$C$70)</f>
        <v/>
      </c>
      <c r="G30" s="43">
        <f>F30*$T$5</f>
        <v/>
      </c>
      <c r="H30" s="43" t="n">
        <v>5</v>
      </c>
      <c r="I30" s="43">
        <f>$T$7*H30</f>
        <v/>
      </c>
      <c r="J30" s="43">
        <f>G30+$T$9+I30</f>
        <v/>
      </c>
      <c r="K30" s="43">
        <f>$T$4/64</f>
        <v/>
      </c>
      <c r="L30" s="43" t="n">
        <v>0</v>
      </c>
      <c r="M30" s="43" t="n">
        <v>0</v>
      </c>
      <c r="N30" s="43" t="n">
        <v>0</v>
      </c>
      <c r="O30" s="43" t="n">
        <v>0</v>
      </c>
      <c r="P30" s="43" t="n"/>
      <c r="Q30" s="43" t="n"/>
      <c r="R30" s="43">
        <f>(SUM(J30:P30)*$B$2)</f>
        <v/>
      </c>
      <c r="S30" s="43" t="n"/>
      <c r="T30" s="43" t="n"/>
    </row>
    <row r="31" ht="12.75" customHeight="1">
      <c r="A31" s="40" t="inlineStr">
        <is>
          <t>G10</t>
        </is>
      </c>
      <c r="B31" s="40">
        <f>VLOOKUP(A31,Members!$A$2:$B$65,2,FALSE)</f>
        <v/>
      </c>
      <c r="C31" s="41" t="n">
        <v>0</v>
      </c>
      <c r="D31" s="41">
        <f>SUM($C$3:$C$5)/64</f>
        <v/>
      </c>
      <c r="E31" s="41">
        <f>C31+D31</f>
        <v/>
      </c>
      <c r="F31" s="41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$T$4/64</f>
        <v/>
      </c>
      <c r="L31" s="41" t="n">
        <v>0</v>
      </c>
      <c r="M31" s="41" t="n">
        <v>0</v>
      </c>
      <c r="N31" s="41" t="n">
        <v>0</v>
      </c>
      <c r="O31" s="41" t="n">
        <v>0</v>
      </c>
      <c r="P31" s="41" t="n"/>
      <c r="Q31" s="41" t="n"/>
      <c r="R31" s="41">
        <f>(SUM(J31:P31)*$B$2)</f>
        <v/>
      </c>
      <c r="S31" s="41" t="n"/>
      <c r="T31" s="41" t="n"/>
    </row>
    <row r="32" ht="12.75" customHeight="1">
      <c r="A32" s="42" t="inlineStr">
        <is>
          <t>G11</t>
        </is>
      </c>
      <c r="B32" s="42">
        <f>VLOOKUP(A32,Members!$A$2:$B$65,2,FALSE)</f>
        <v/>
      </c>
      <c r="C32" s="43" t="n">
        <v>0</v>
      </c>
      <c r="D32" s="43">
        <f>SUM($C$3:$C$5)/64</f>
        <v/>
      </c>
      <c r="E32" s="43">
        <f>C32+D32</f>
        <v/>
      </c>
      <c r="F32" s="43">
        <f>IF($C$70=0, 0, E32/$C$70)</f>
        <v/>
      </c>
      <c r="G32" s="43">
        <f>F32*$T$5</f>
        <v/>
      </c>
      <c r="H32" s="43" t="n">
        <v>3</v>
      </c>
      <c r="I32" s="43">
        <f>$T$7*H32</f>
        <v/>
      </c>
      <c r="J32" s="43">
        <f>G32+$T$9+I32</f>
        <v/>
      </c>
      <c r="K32" s="43">
        <f>$T$4/64</f>
        <v/>
      </c>
      <c r="L32" s="43" t="n">
        <v>0</v>
      </c>
      <c r="M32" s="43" t="n">
        <v>0</v>
      </c>
      <c r="N32" s="43" t="n">
        <v>0</v>
      </c>
      <c r="O32" s="43" t="n">
        <v>0</v>
      </c>
      <c r="P32" s="43" t="n"/>
      <c r="Q32" s="43" t="n"/>
      <c r="R32" s="43">
        <f>(SUM(J32:P32)*$B$2)</f>
        <v/>
      </c>
      <c r="S32" s="43" t="n"/>
      <c r="T32" s="43" t="n"/>
    </row>
    <row r="33" ht="12.75" customHeight="1">
      <c r="A33" s="40" t="inlineStr">
        <is>
          <t>G12</t>
        </is>
      </c>
      <c r="B33" s="40">
        <f>VLOOKUP(A33,Members!$A$2:$B$65,2,FALSE)</f>
        <v/>
      </c>
      <c r="C33" s="41" t="n">
        <v>0</v>
      </c>
      <c r="D33" s="41">
        <f>SUM($C$3:$C$5)/64</f>
        <v/>
      </c>
      <c r="E33" s="41">
        <f>C33+D33</f>
        <v/>
      </c>
      <c r="F33" s="41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$T$4/64</f>
        <v/>
      </c>
      <c r="L33" s="41" t="n">
        <v>0</v>
      </c>
      <c r="M33" s="41" t="n">
        <v>0</v>
      </c>
      <c r="N33" s="41" t="n">
        <v>0</v>
      </c>
      <c r="O33" s="41" t="n">
        <v>0</v>
      </c>
      <c r="P33" s="41" t="n"/>
      <c r="Q33" s="41" t="n"/>
      <c r="R33" s="41">
        <f>(SUM(J33:P33)*$B$2)</f>
        <v/>
      </c>
      <c r="S33" s="41" t="n"/>
      <c r="T33" s="41" t="n"/>
    </row>
    <row r="34" ht="12.75" customHeight="1">
      <c r="A34" s="42" t="inlineStr">
        <is>
          <t>G13</t>
        </is>
      </c>
      <c r="B34" s="42">
        <f>VLOOKUP(A34,Members!$A$2:$B$65,2,FALSE)</f>
        <v/>
      </c>
      <c r="C34" s="43" t="n">
        <v>0</v>
      </c>
      <c r="D34" s="43">
        <f>SUM($C$3:$C$5)/64</f>
        <v/>
      </c>
      <c r="E34" s="43">
        <f>C34+D34</f>
        <v/>
      </c>
      <c r="F34" s="43">
        <f>IF($C$70=0, 0, E34/$C$70)</f>
        <v/>
      </c>
      <c r="G34" s="43">
        <f>F34*$T$5</f>
        <v/>
      </c>
      <c r="H34" s="43" t="n">
        <v>4</v>
      </c>
      <c r="I34" s="43">
        <f>$T$7*H34</f>
        <v/>
      </c>
      <c r="J34" s="43">
        <f>G34+$T$9+I34</f>
        <v/>
      </c>
      <c r="K34" s="43">
        <f>$T$4/64</f>
        <v/>
      </c>
      <c r="L34" s="43" t="n">
        <v>0</v>
      </c>
      <c r="M34" s="43" t="n">
        <v>0</v>
      </c>
      <c r="N34" s="43" t="n">
        <v>0</v>
      </c>
      <c r="O34" s="43" t="n">
        <v>0</v>
      </c>
      <c r="P34" s="43" t="n"/>
      <c r="Q34" s="43" t="n"/>
      <c r="R34" s="43">
        <f>(SUM(J34:P34)*$B$2)</f>
        <v/>
      </c>
      <c r="S34" s="43" t="n"/>
      <c r="T34" s="43" t="n"/>
    </row>
    <row r="35" ht="12.75" customHeight="1">
      <c r="A35" s="40" t="inlineStr">
        <is>
          <t>G14</t>
        </is>
      </c>
      <c r="B35" s="40">
        <f>VLOOKUP(A35,Members!$A$2:$B$65,2,FALSE)</f>
        <v/>
      </c>
      <c r="C35" s="41" t="n">
        <v>0</v>
      </c>
      <c r="D35" s="41">
        <f>SUM($C$3:$C$5)/64</f>
        <v/>
      </c>
      <c r="E35" s="41">
        <f>C35+D35</f>
        <v/>
      </c>
      <c r="F35" s="41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$T$4/64</f>
        <v/>
      </c>
      <c r="L35" s="41" t="n">
        <v>0</v>
      </c>
      <c r="M35" s="41" t="n">
        <v>0</v>
      </c>
      <c r="N35" s="41" t="n">
        <v>0</v>
      </c>
      <c r="O35" s="41" t="n">
        <v>0</v>
      </c>
      <c r="P35" s="41" t="n"/>
      <c r="Q35" s="41" t="n"/>
      <c r="R35" s="41">
        <f>(SUM(J35:P35)*$B$2)</f>
        <v/>
      </c>
      <c r="S35" s="41" t="n"/>
      <c r="T35" s="41" t="n"/>
    </row>
    <row r="36" ht="12.75" customHeight="1">
      <c r="A36" s="42" t="inlineStr">
        <is>
          <t>G15</t>
        </is>
      </c>
      <c r="B36" s="42">
        <f>VLOOKUP(A36,Members!$A$2:$B$65,2,FALSE)</f>
        <v/>
      </c>
      <c r="C36" s="43" t="n">
        <v>0</v>
      </c>
      <c r="D36" s="43">
        <f>SUM($C$3:$C$5)/64</f>
        <v/>
      </c>
      <c r="E36" s="43">
        <f>C36+D36</f>
        <v/>
      </c>
      <c r="F36" s="43">
        <f>IF($C$70=0, 0, E36/$C$70)</f>
        <v/>
      </c>
      <c r="G36" s="43">
        <f>F36*$T$5</f>
        <v/>
      </c>
      <c r="H36" s="43" t="n">
        <v>4</v>
      </c>
      <c r="I36" s="43">
        <f>$T$7*H36</f>
        <v/>
      </c>
      <c r="J36" s="43">
        <f>G36+$T$9+I36</f>
        <v/>
      </c>
      <c r="K36" s="43">
        <f>$T$4/64</f>
        <v/>
      </c>
      <c r="L36" s="43" t="n">
        <v>0</v>
      </c>
      <c r="M36" s="43" t="n">
        <v>0</v>
      </c>
      <c r="N36" s="43" t="n">
        <v>0</v>
      </c>
      <c r="O36" s="43" t="n">
        <v>0</v>
      </c>
      <c r="P36" s="43" t="n"/>
      <c r="Q36" s="43" t="n"/>
      <c r="R36" s="43">
        <f>(SUM(J36:P36)*$B$2)</f>
        <v/>
      </c>
      <c r="S36" s="43" t="n"/>
      <c r="T36" s="43" t="n"/>
    </row>
    <row r="37" ht="12.75" customHeight="1">
      <c r="A37" s="40" t="inlineStr">
        <is>
          <t>G16</t>
        </is>
      </c>
      <c r="B37" s="40">
        <f>VLOOKUP(A37,Members!$A$2:$B$65,2,FALSE)</f>
        <v/>
      </c>
      <c r="C37" s="41" t="n">
        <v>0</v>
      </c>
      <c r="D37" s="41">
        <f>SUM($C$3:$C$5)/64</f>
        <v/>
      </c>
      <c r="E37" s="41">
        <f>C37+D37</f>
        <v/>
      </c>
      <c r="F37" s="41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$T$4/64</f>
        <v/>
      </c>
      <c r="L37" s="41" t="n">
        <v>0</v>
      </c>
      <c r="M37" s="41" t="n">
        <v>0</v>
      </c>
      <c r="N37" s="41" t="n">
        <v>0</v>
      </c>
      <c r="O37" s="41" t="n">
        <v>0</v>
      </c>
      <c r="P37" s="41" t="n"/>
      <c r="Q37" s="41" t="n"/>
      <c r="R37" s="41">
        <f>(SUM(J37:P37)*$B$2)</f>
        <v/>
      </c>
      <c r="S37" s="41" t="n"/>
      <c r="T37" s="41" t="n"/>
    </row>
    <row r="38" ht="12.75" customHeight="1">
      <c r="A38" s="42" t="inlineStr">
        <is>
          <t>S1</t>
        </is>
      </c>
      <c r="B38" s="42">
        <f>VLOOKUP(A38,Members!$A$2:$B$65,2,FALSE)</f>
        <v/>
      </c>
      <c r="C38" s="43" t="n">
        <v>0</v>
      </c>
      <c r="D38" s="43">
        <f>SUM($C$3:$C$5)/64</f>
        <v/>
      </c>
      <c r="E38" s="43">
        <f>C38+D38</f>
        <v/>
      </c>
      <c r="F38" s="43">
        <f>IF($C$70=0, 0, E38/$C$70)</f>
        <v/>
      </c>
      <c r="G38" s="43">
        <f>F38*$T$5</f>
        <v/>
      </c>
      <c r="H38" s="43" t="n">
        <v>3</v>
      </c>
      <c r="I38" s="43">
        <f>$T$7*H38</f>
        <v/>
      </c>
      <c r="J38" s="43">
        <f>G38+$T$9+I38</f>
        <v/>
      </c>
      <c r="K38" s="43">
        <f>$T$4/64</f>
        <v/>
      </c>
      <c r="L38" s="43" t="n">
        <v>0</v>
      </c>
      <c r="M38" s="43" t="n">
        <v>0</v>
      </c>
      <c r="N38" s="43" t="n">
        <v>0</v>
      </c>
      <c r="O38" s="43" t="n">
        <v>0</v>
      </c>
      <c r="P38" s="43" t="n"/>
      <c r="Q38" s="43" t="n"/>
      <c r="R38" s="43">
        <f>(SUM(J38:P38)*$B$2)</f>
        <v/>
      </c>
      <c r="S38" s="43" t="n"/>
      <c r="T38" s="43" t="n"/>
    </row>
    <row r="39" ht="12.75" customHeight="1">
      <c r="A39" s="40" t="inlineStr">
        <is>
          <t>S2</t>
        </is>
      </c>
      <c r="B39" s="40">
        <f>VLOOKUP(A39,Members!$A$2:$B$65,2,FALSE)</f>
        <v/>
      </c>
      <c r="C39" s="41" t="n">
        <v>0</v>
      </c>
      <c r="D39" s="41">
        <f>SUM($C$3:$C$5)/64</f>
        <v/>
      </c>
      <c r="E39" s="41">
        <f>C39+D39</f>
        <v/>
      </c>
      <c r="F39" s="41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$T$4/64</f>
        <v/>
      </c>
      <c r="L39" s="41" t="n">
        <v>0</v>
      </c>
      <c r="M39" s="41" t="n">
        <v>0</v>
      </c>
      <c r="N39" s="41" t="n">
        <v>0</v>
      </c>
      <c r="O39" s="41" t="n">
        <v>0</v>
      </c>
      <c r="P39" s="41" t="n"/>
      <c r="Q39" s="41" t="n"/>
      <c r="R39" s="41">
        <f>(SUM(J39:P39)*$B$2)</f>
        <v/>
      </c>
      <c r="S39" s="41" t="n"/>
      <c r="T39" s="41" t="n"/>
    </row>
    <row r="40" ht="12.75" customHeight="1">
      <c r="A40" s="42" t="inlineStr">
        <is>
          <t>S3</t>
        </is>
      </c>
      <c r="B40" s="42">
        <f>VLOOKUP(A40,Members!$A$2:$B$65,2,FALSE)</f>
        <v/>
      </c>
      <c r="C40" s="43" t="n">
        <v>0</v>
      </c>
      <c r="D40" s="43">
        <f>SUM($C$3:$C$5)/64</f>
        <v/>
      </c>
      <c r="E40" s="43">
        <f>C40+D40</f>
        <v/>
      </c>
      <c r="F40" s="43">
        <f>IF($C$70=0, 0, E40/$C$70)</f>
        <v/>
      </c>
      <c r="G40" s="43">
        <f>F40*$T$5</f>
        <v/>
      </c>
      <c r="H40" s="43" t="n">
        <v>4</v>
      </c>
      <c r="I40" s="43">
        <f>$T$7*H40</f>
        <v/>
      </c>
      <c r="J40" s="43">
        <f>G40+$T$9+I40</f>
        <v/>
      </c>
      <c r="K40" s="43">
        <f>$T$4/64</f>
        <v/>
      </c>
      <c r="L40" s="43" t="n">
        <v>0</v>
      </c>
      <c r="M40" s="43" t="n">
        <v>0</v>
      </c>
      <c r="N40" s="43" t="n">
        <v>0</v>
      </c>
      <c r="O40" s="43" t="n">
        <v>0</v>
      </c>
      <c r="P40" s="43" t="n"/>
      <c r="Q40" s="43" t="n"/>
      <c r="R40" s="43">
        <f>(SUM(J40:P40)*$B$2)</f>
        <v/>
      </c>
      <c r="S40" s="43" t="n"/>
      <c r="T40" s="43" t="n"/>
    </row>
    <row r="41" ht="12.75" customHeight="1">
      <c r="A41" s="40" t="inlineStr">
        <is>
          <t>S4</t>
        </is>
      </c>
      <c r="B41" s="40">
        <f>VLOOKUP(A41,Members!$A$2:$B$65,2,FALSE)</f>
        <v/>
      </c>
      <c r="C41" s="41" t="n">
        <v>0</v>
      </c>
      <c r="D41" s="41">
        <f>SUM($C$3:$C$5)/64</f>
        <v/>
      </c>
      <c r="E41" s="41">
        <f>C41+D41</f>
        <v/>
      </c>
      <c r="F41" s="41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$T$4/64</f>
        <v/>
      </c>
      <c r="L41" s="41" t="n">
        <v>0</v>
      </c>
      <c r="M41" s="41" t="n">
        <v>0</v>
      </c>
      <c r="N41" s="41" t="n">
        <v>0</v>
      </c>
      <c r="O41" s="41" t="n">
        <v>0</v>
      </c>
      <c r="P41" s="41" t="n"/>
      <c r="Q41" s="41" t="n"/>
      <c r="R41" s="41">
        <f>(SUM(J41:P41)*$B$2)</f>
        <v/>
      </c>
      <c r="S41" s="41" t="n"/>
      <c r="T41" s="41" t="n"/>
    </row>
    <row r="42" ht="12.75" customHeight="1">
      <c r="A42" s="42" t="inlineStr">
        <is>
          <t>S5</t>
        </is>
      </c>
      <c r="B42" s="42">
        <f>VLOOKUP(A42,Members!$A$2:$B$65,2,FALSE)</f>
        <v/>
      </c>
      <c r="C42" s="43" t="n">
        <v>0</v>
      </c>
      <c r="D42" s="43">
        <f>SUM($C$3:$C$5)/64</f>
        <v/>
      </c>
      <c r="E42" s="43">
        <f>C42+D42</f>
        <v/>
      </c>
      <c r="F42" s="43">
        <f>IF($C$70=0, 0, E42/$C$70)</f>
        <v/>
      </c>
      <c r="G42" s="43">
        <f>F42*$T$5</f>
        <v/>
      </c>
      <c r="H42" s="43" t="n">
        <v>3</v>
      </c>
      <c r="I42" s="43">
        <f>$T$7*H42</f>
        <v/>
      </c>
      <c r="J42" s="43">
        <f>G42+$T$9+I42</f>
        <v/>
      </c>
      <c r="K42" s="43">
        <f>$T$4/64</f>
        <v/>
      </c>
      <c r="L42" s="43" t="n">
        <v>0</v>
      </c>
      <c r="M42" s="43" t="n">
        <v>0</v>
      </c>
      <c r="N42" s="43" t="n">
        <v>0</v>
      </c>
      <c r="O42" s="43" t="n">
        <v>0</v>
      </c>
      <c r="P42" s="43" t="n"/>
      <c r="Q42" s="43" t="n"/>
      <c r="R42" s="43">
        <f>(SUM(J42:P42)*$B$2)</f>
        <v/>
      </c>
      <c r="S42" s="43" t="n"/>
      <c r="T42" s="43" t="n"/>
    </row>
    <row r="43" ht="12.75" customHeight="1">
      <c r="A43" s="40" t="inlineStr">
        <is>
          <t>S6</t>
        </is>
      </c>
      <c r="B43" s="40">
        <f>VLOOKUP(A43,Members!$A$2:$B$65,2,FALSE)</f>
        <v/>
      </c>
      <c r="C43" s="41" t="n">
        <v>0</v>
      </c>
      <c r="D43" s="41">
        <f>SUM($C$3:$C$5)/64</f>
        <v/>
      </c>
      <c r="E43" s="41">
        <f>C43+D43</f>
        <v/>
      </c>
      <c r="F43" s="41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$T$4/64</f>
        <v/>
      </c>
      <c r="L43" s="41" t="n">
        <v>0</v>
      </c>
      <c r="M43" s="41" t="n">
        <v>0</v>
      </c>
      <c r="N43" s="41" t="n">
        <v>0</v>
      </c>
      <c r="O43" s="41" t="n">
        <v>0</v>
      </c>
      <c r="P43" s="41" t="n"/>
      <c r="Q43" s="41" t="n"/>
      <c r="R43" s="41">
        <f>(SUM(J43:P43)*$B$2)</f>
        <v/>
      </c>
      <c r="S43" s="41" t="n"/>
      <c r="T43" s="41" t="n"/>
    </row>
    <row r="44" ht="12.75" customHeight="1">
      <c r="A44" s="42" t="inlineStr">
        <is>
          <t>S7</t>
        </is>
      </c>
      <c r="B44" s="42">
        <f>VLOOKUP(A44,Members!$A$2:$B$65,2,FALSE)</f>
        <v/>
      </c>
      <c r="C44" s="43" t="n">
        <v>0</v>
      </c>
      <c r="D44" s="43">
        <f>SUM($C$3:$C$5)/64</f>
        <v/>
      </c>
      <c r="E44" s="43">
        <f>C44+D44</f>
        <v/>
      </c>
      <c r="F44" s="43">
        <f>IF($C$70=0, 0, E44/$C$70)</f>
        <v/>
      </c>
      <c r="G44" s="43">
        <f>F44*$T$5</f>
        <v/>
      </c>
      <c r="H44" s="43" t="n">
        <v>3</v>
      </c>
      <c r="I44" s="43">
        <f>$T$7*H44</f>
        <v/>
      </c>
      <c r="J44" s="43">
        <f>G44+$T$9+I44</f>
        <v/>
      </c>
      <c r="K44" s="43">
        <f>$T$4/64</f>
        <v/>
      </c>
      <c r="L44" s="43" t="n">
        <v>0</v>
      </c>
      <c r="M44" s="43" t="n">
        <v>0</v>
      </c>
      <c r="N44" s="43" t="n">
        <v>0</v>
      </c>
      <c r="O44" s="43" t="n">
        <v>0</v>
      </c>
      <c r="P44" s="43" t="n"/>
      <c r="Q44" s="43" t="n"/>
      <c r="R44" s="43">
        <f>(SUM(J44:P44)*$B$2)</f>
        <v/>
      </c>
      <c r="S44" s="43" t="n"/>
      <c r="T44" s="43" t="n"/>
    </row>
    <row r="45" ht="12.75" customHeight="1">
      <c r="A45" s="40" t="inlineStr">
        <is>
          <t>S8</t>
        </is>
      </c>
      <c r="B45" s="40">
        <f>VLOOKUP(A45,Members!$A$2:$B$65,2,FALSE)</f>
        <v/>
      </c>
      <c r="C45" s="41" t="n">
        <v>0</v>
      </c>
      <c r="D45" s="41">
        <f>SUM($C$3:$C$5)/64</f>
        <v/>
      </c>
      <c r="E45" s="41">
        <f>C45+D45</f>
        <v/>
      </c>
      <c r="F45" s="41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$T$4/64</f>
        <v/>
      </c>
      <c r="L45" s="41" t="n">
        <v>0</v>
      </c>
      <c r="M45" s="41" t="n">
        <v>0</v>
      </c>
      <c r="N45" s="41" t="n">
        <v>0</v>
      </c>
      <c r="O45" s="41" t="n">
        <v>0</v>
      </c>
      <c r="P45" s="41" t="n"/>
      <c r="Q45" s="41" t="n"/>
      <c r="R45" s="41">
        <f>(SUM(J45:P45)*$B$2)</f>
        <v/>
      </c>
      <c r="S45" s="41" t="n"/>
      <c r="T45" s="41" t="n"/>
    </row>
    <row r="46" ht="12.75" customHeight="1">
      <c r="A46" s="42" t="inlineStr">
        <is>
          <t>S9</t>
        </is>
      </c>
      <c r="B46" s="42">
        <f>VLOOKUP(A46,Members!$A$2:$B$65,2,FALSE)</f>
        <v/>
      </c>
      <c r="C46" s="43" t="n">
        <v>0</v>
      </c>
      <c r="D46" s="43">
        <f>SUM($C$3:$C$5)/64</f>
        <v/>
      </c>
      <c r="E46" s="43">
        <f>C46+D46</f>
        <v/>
      </c>
      <c r="F46" s="43">
        <f>IF($C$70=0, 0, E46/$C$70)</f>
        <v/>
      </c>
      <c r="G46" s="43">
        <f>F46*$T$5</f>
        <v/>
      </c>
      <c r="H46" s="43" t="n">
        <v>4</v>
      </c>
      <c r="I46" s="43">
        <f>$T$7*H46</f>
        <v/>
      </c>
      <c r="J46" s="43">
        <f>G46+$T$9+I46</f>
        <v/>
      </c>
      <c r="K46" s="43">
        <f>$T$4/64</f>
        <v/>
      </c>
      <c r="L46" s="43" t="n">
        <v>0</v>
      </c>
      <c r="M46" s="43" t="n">
        <v>0</v>
      </c>
      <c r="N46" s="43" t="n">
        <v>0</v>
      </c>
      <c r="O46" s="43" t="n">
        <v>0</v>
      </c>
      <c r="P46" s="43" t="n"/>
      <c r="Q46" s="43" t="n"/>
      <c r="R46" s="43">
        <f>(SUM(J46:P46)*$B$2)</f>
        <v/>
      </c>
      <c r="S46" s="43" t="n"/>
      <c r="T46" s="43" t="n"/>
    </row>
    <row r="47" ht="12.75" customHeight="1">
      <c r="A47" s="40" t="inlineStr">
        <is>
          <t>S10</t>
        </is>
      </c>
      <c r="B47" s="40">
        <f>VLOOKUP(A47,Members!$A$2:$B$65,2,FALSE)</f>
        <v/>
      </c>
      <c r="C47" s="41" t="n">
        <v>0</v>
      </c>
      <c r="D47" s="41">
        <f>SUM($C$3:$C$5)/64</f>
        <v/>
      </c>
      <c r="E47" s="41">
        <f>C47+D47</f>
        <v/>
      </c>
      <c r="F47" s="41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$T$4/64</f>
        <v/>
      </c>
      <c r="L47" s="41" t="n">
        <v>0</v>
      </c>
      <c r="M47" s="41" t="n">
        <v>0</v>
      </c>
      <c r="N47" s="41" t="n">
        <v>0</v>
      </c>
      <c r="O47" s="41" t="n">
        <v>0</v>
      </c>
      <c r="P47" s="41" t="n"/>
      <c r="Q47" s="41" t="n"/>
      <c r="R47" s="41">
        <f>(SUM(J47:P47)*$B$2)</f>
        <v/>
      </c>
      <c r="S47" s="41" t="n"/>
      <c r="T47" s="41" t="n"/>
    </row>
    <row r="48" ht="12.75" customHeight="1">
      <c r="A48" s="42" t="inlineStr">
        <is>
          <t>S11</t>
        </is>
      </c>
      <c r="B48" s="42">
        <f>VLOOKUP(A48,Members!$A$2:$B$65,2,FALSE)</f>
        <v/>
      </c>
      <c r="C48" s="43" t="n">
        <v>0</v>
      </c>
      <c r="D48" s="43">
        <f>SUM($C$3:$C$5)/64</f>
        <v/>
      </c>
      <c r="E48" s="43">
        <f>C48+D48</f>
        <v/>
      </c>
      <c r="F48" s="43">
        <f>IF($C$70=0, 0, E48/$C$70)</f>
        <v/>
      </c>
      <c r="G48" s="43">
        <f>F48*$T$5</f>
        <v/>
      </c>
      <c r="H48" s="43" t="n">
        <v>3</v>
      </c>
      <c r="I48" s="43">
        <f>$T$7*H48</f>
        <v/>
      </c>
      <c r="J48" s="43">
        <f>G48+$T$9+I48</f>
        <v/>
      </c>
      <c r="K48" s="43">
        <f>$T$4/64</f>
        <v/>
      </c>
      <c r="L48" s="43" t="n">
        <v>0</v>
      </c>
      <c r="M48" s="43" t="n">
        <v>0</v>
      </c>
      <c r="N48" s="43" t="n">
        <v>0</v>
      </c>
      <c r="O48" s="43" t="n">
        <v>0</v>
      </c>
      <c r="P48" s="43" t="n"/>
      <c r="Q48" s="43" t="n"/>
      <c r="R48" s="43">
        <f>(SUM(J48:P48)*$B$2)</f>
        <v/>
      </c>
      <c r="S48" s="43" t="n"/>
      <c r="T48" s="43" t="n"/>
    </row>
    <row r="49" ht="12.75" customHeight="1">
      <c r="A49" s="40" t="inlineStr">
        <is>
          <t>S12</t>
        </is>
      </c>
      <c r="B49" s="40">
        <f>VLOOKUP(A49,Members!$A$2:$B$65,2,FALSE)</f>
        <v/>
      </c>
      <c r="C49" s="41" t="n">
        <v>0</v>
      </c>
      <c r="D49" s="41">
        <f>SUM($C$3:$C$5)/64</f>
        <v/>
      </c>
      <c r="E49" s="41">
        <f>C49+D49</f>
        <v/>
      </c>
      <c r="F49" s="41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$T$4/64</f>
        <v/>
      </c>
      <c r="L49" s="41" t="n">
        <v>0</v>
      </c>
      <c r="M49" s="41" t="n">
        <v>0</v>
      </c>
      <c r="N49" s="41" t="n">
        <v>0</v>
      </c>
      <c r="O49" s="41" t="n">
        <v>0</v>
      </c>
      <c r="P49" s="41" t="n"/>
      <c r="Q49" s="41" t="n"/>
      <c r="R49" s="41">
        <f>(SUM(J49:P49)*$B$2)</f>
        <v/>
      </c>
      <c r="S49" s="41" t="n"/>
      <c r="T49" s="41" t="n"/>
    </row>
    <row r="50" ht="12.75" customHeight="1">
      <c r="A50" s="42" t="inlineStr">
        <is>
          <t>S13</t>
        </is>
      </c>
      <c r="B50" s="42">
        <f>VLOOKUP(A50,Members!$A$2:$B$65,2,FALSE)</f>
        <v/>
      </c>
      <c r="C50" s="43" t="n">
        <v>0</v>
      </c>
      <c r="D50" s="43">
        <f>SUM($C$3:$C$5)/64</f>
        <v/>
      </c>
      <c r="E50" s="43">
        <f>C50+D50</f>
        <v/>
      </c>
      <c r="F50" s="43">
        <f>IF($C$70=0, 0, E50/$C$70)</f>
        <v/>
      </c>
      <c r="G50" s="43">
        <f>F50*$T$5</f>
        <v/>
      </c>
      <c r="H50" s="43" t="n">
        <v>4</v>
      </c>
      <c r="I50" s="43">
        <f>$T$7*H50</f>
        <v/>
      </c>
      <c r="J50" s="43">
        <f>G50+$T$9+I50</f>
        <v/>
      </c>
      <c r="K50" s="43">
        <f>$T$4/64</f>
        <v/>
      </c>
      <c r="L50" s="43" t="n">
        <v>0</v>
      </c>
      <c r="M50" s="43" t="n">
        <v>0</v>
      </c>
      <c r="N50" s="43" t="n">
        <v>0</v>
      </c>
      <c r="O50" s="43" t="n">
        <v>0</v>
      </c>
      <c r="P50" s="43" t="n"/>
      <c r="Q50" s="43" t="n"/>
      <c r="R50" s="43">
        <f>(SUM(J50:P50)*$B$2)</f>
        <v/>
      </c>
      <c r="S50" s="43" t="n"/>
      <c r="T50" s="43" t="n"/>
    </row>
    <row r="51" ht="12.75" customHeight="1">
      <c r="A51" s="40" t="inlineStr">
        <is>
          <t>S14</t>
        </is>
      </c>
      <c r="B51" s="40">
        <f>VLOOKUP(A51,Members!$A$2:$B$65,2,FALSE)</f>
        <v/>
      </c>
      <c r="C51" s="41" t="n">
        <v>0</v>
      </c>
      <c r="D51" s="41">
        <f>SUM($C$3:$C$5)/64</f>
        <v/>
      </c>
      <c r="E51" s="41">
        <f>C51+D51</f>
        <v/>
      </c>
      <c r="F51" s="41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$T$4/64</f>
        <v/>
      </c>
      <c r="L51" s="41" t="n">
        <v>0</v>
      </c>
      <c r="M51" s="41" t="n">
        <v>0</v>
      </c>
      <c r="N51" s="41" t="n">
        <v>0</v>
      </c>
      <c r="O51" s="41" t="n">
        <v>0</v>
      </c>
      <c r="P51" s="41" t="n"/>
      <c r="Q51" s="41" t="n"/>
      <c r="R51" s="41">
        <f>(SUM(J51:P51)*$B$2)</f>
        <v/>
      </c>
      <c r="S51" s="41" t="n"/>
      <c r="T51" s="41" t="n"/>
    </row>
    <row r="52" ht="12.75" customHeight="1">
      <c r="A52" s="42" t="inlineStr">
        <is>
          <t>S15</t>
        </is>
      </c>
      <c r="B52" s="42">
        <f>VLOOKUP(A52,Members!$A$2:$B$65,2,FALSE)</f>
        <v/>
      </c>
      <c r="C52" s="43" t="n">
        <v>0</v>
      </c>
      <c r="D52" s="43">
        <f>SUM($C$3:$C$5)/64</f>
        <v/>
      </c>
      <c r="E52" s="43">
        <f>C52+D52</f>
        <v/>
      </c>
      <c r="F52" s="43">
        <f>IF($C$70=0, 0, E52/$C$70)</f>
        <v/>
      </c>
      <c r="G52" s="43">
        <f>F52*$T$5</f>
        <v/>
      </c>
      <c r="H52" s="43" t="n">
        <v>4</v>
      </c>
      <c r="I52" s="43">
        <f>$T$7*H52</f>
        <v/>
      </c>
      <c r="J52" s="43">
        <f>G52+$T$9+I52</f>
        <v/>
      </c>
      <c r="K52" s="43">
        <f>$T$4/64</f>
        <v/>
      </c>
      <c r="L52" s="43" t="n">
        <v>0</v>
      </c>
      <c r="M52" s="43" t="n">
        <v>0</v>
      </c>
      <c r="N52" s="43" t="n">
        <v>0</v>
      </c>
      <c r="O52" s="43" t="n">
        <v>0</v>
      </c>
      <c r="P52" s="43" t="n"/>
      <c r="Q52" s="43" t="n"/>
      <c r="R52" s="43">
        <f>(SUM(J52:P52)*$B$2)</f>
        <v/>
      </c>
      <c r="S52" s="43" t="n"/>
      <c r="T52" s="43" t="n"/>
    </row>
    <row r="53" ht="12.75" customHeight="1">
      <c r="A53" s="40" t="inlineStr">
        <is>
          <t>S16</t>
        </is>
      </c>
      <c r="B53" s="40">
        <f>VLOOKUP(A53,Members!$A$2:$B$65,2,FALSE)</f>
        <v/>
      </c>
      <c r="C53" s="41" t="n">
        <v>0</v>
      </c>
      <c r="D53" s="41">
        <f>SUM($C$3:$C$5)/64</f>
        <v/>
      </c>
      <c r="E53" s="41">
        <f>C53+D53</f>
        <v/>
      </c>
      <c r="F53" s="41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$T$4/64</f>
        <v/>
      </c>
      <c r="L53" s="41" t="n">
        <v>0</v>
      </c>
      <c r="M53" s="41" t="n">
        <v>0</v>
      </c>
      <c r="N53" s="41" t="n">
        <v>0</v>
      </c>
      <c r="O53" s="41" t="n">
        <v>0</v>
      </c>
      <c r="P53" s="41" t="n"/>
      <c r="Q53" s="41" t="n"/>
      <c r="R53" s="41">
        <f>(SUM(J53:P53)*$B$2)</f>
        <v/>
      </c>
      <c r="S53" s="41" t="n"/>
      <c r="T53" s="41" t="n"/>
    </row>
    <row r="54" ht="12.75" customHeight="1">
      <c r="A54" s="42" t="inlineStr">
        <is>
          <t>T1</t>
        </is>
      </c>
      <c r="B54" s="42">
        <f>VLOOKUP(A54,Members!$A$2:$B$65,2,FALSE)</f>
        <v/>
      </c>
      <c r="C54" s="43" t="n">
        <v>0</v>
      </c>
      <c r="D54" s="43">
        <f>SUM($C$3:$C$5)/64</f>
        <v/>
      </c>
      <c r="E54" s="43">
        <f>C54+D54</f>
        <v/>
      </c>
      <c r="F54" s="43">
        <f>IF($C$70=0, 0, E54/$C$70)</f>
        <v/>
      </c>
      <c r="G54" s="43">
        <f>F54*$T$5</f>
        <v/>
      </c>
      <c r="H54" s="43" t="n">
        <v>3</v>
      </c>
      <c r="I54" s="43">
        <f>$T$7*H54</f>
        <v/>
      </c>
      <c r="J54" s="43">
        <f>G54+$T$9+I54</f>
        <v/>
      </c>
      <c r="K54" s="43">
        <f>$T$4/64</f>
        <v/>
      </c>
      <c r="L54" s="43" t="n">
        <v>0</v>
      </c>
      <c r="M54" s="43" t="n">
        <v>0</v>
      </c>
      <c r="N54" s="43" t="n">
        <v>0</v>
      </c>
      <c r="O54" s="43" t="n">
        <v>0</v>
      </c>
      <c r="P54" s="43" t="n"/>
      <c r="Q54" s="43" t="n"/>
      <c r="R54" s="43">
        <f>(SUM(J54:P54)*$B$2)</f>
        <v/>
      </c>
      <c r="S54" s="43" t="n"/>
      <c r="T54" s="43" t="n"/>
    </row>
    <row r="55" ht="12.75" customHeight="1">
      <c r="A55" s="40" t="inlineStr">
        <is>
          <t>T2</t>
        </is>
      </c>
      <c r="B55" s="40">
        <f>VLOOKUP(A55,Members!$A$2:$B$65,2,FALSE)</f>
        <v/>
      </c>
      <c r="C55" s="41" t="n">
        <v>0</v>
      </c>
      <c r="D55" s="41">
        <f>SUM($C$3:$C$5)/64</f>
        <v/>
      </c>
      <c r="E55" s="41">
        <f>C55+D55</f>
        <v/>
      </c>
      <c r="F55" s="41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$T$4/64</f>
        <v/>
      </c>
      <c r="L55" s="41" t="n">
        <v>0</v>
      </c>
      <c r="M55" s="41" t="n">
        <v>0</v>
      </c>
      <c r="N55" s="41" t="n">
        <v>0</v>
      </c>
      <c r="O55" s="41" t="n">
        <v>0</v>
      </c>
      <c r="P55" s="41" t="n"/>
      <c r="Q55" s="41" t="n"/>
      <c r="R55" s="41">
        <f>(SUM(J55:P55)*$B$2)</f>
        <v/>
      </c>
      <c r="S55" s="41" t="n"/>
      <c r="T55" s="41" t="n"/>
    </row>
    <row r="56" ht="12.75" customHeight="1">
      <c r="A56" s="42" t="inlineStr">
        <is>
          <t>T3</t>
        </is>
      </c>
      <c r="B56" s="42">
        <f>VLOOKUP(A56,Members!$A$2:$B$65,2,FALSE)</f>
        <v/>
      </c>
      <c r="C56" s="43" t="n">
        <v>0</v>
      </c>
      <c r="D56" s="43">
        <f>SUM($C$3:$C$5)/64</f>
        <v/>
      </c>
      <c r="E56" s="43">
        <f>C56+D56</f>
        <v/>
      </c>
      <c r="F56" s="43">
        <f>IF($C$70=0, 0, E56/$C$70)</f>
        <v/>
      </c>
      <c r="G56" s="43">
        <f>F56*$T$5</f>
        <v/>
      </c>
      <c r="H56" s="43" t="n">
        <v>4</v>
      </c>
      <c r="I56" s="43">
        <f>$T$7*H56</f>
        <v/>
      </c>
      <c r="J56" s="43">
        <f>G56+$T$9+I56</f>
        <v/>
      </c>
      <c r="K56" s="43">
        <f>$T$4/64</f>
        <v/>
      </c>
      <c r="L56" s="43" t="n">
        <v>0</v>
      </c>
      <c r="M56" s="43" t="n">
        <v>0</v>
      </c>
      <c r="N56" s="43" t="n">
        <v>0</v>
      </c>
      <c r="O56" s="43" t="n">
        <v>0</v>
      </c>
      <c r="P56" s="43" t="n"/>
      <c r="Q56" s="43" t="n"/>
      <c r="R56" s="43">
        <f>(SUM(J56:P56)*$B$2)</f>
        <v/>
      </c>
      <c r="S56" s="43" t="n"/>
      <c r="T56" s="43" t="n"/>
    </row>
    <row r="57" ht="12.75" customHeight="1">
      <c r="A57" s="40" t="inlineStr">
        <is>
          <t>T4</t>
        </is>
      </c>
      <c r="B57" s="40">
        <f>VLOOKUP(A57,Members!$A$2:$B$65,2,FALSE)</f>
        <v/>
      </c>
      <c r="C57" s="41" t="n">
        <v>0</v>
      </c>
      <c r="D57" s="41">
        <f>SUM($C$3:$C$5)/64</f>
        <v/>
      </c>
      <c r="E57" s="41">
        <f>C57+D57</f>
        <v/>
      </c>
      <c r="F57" s="41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$T$4/64</f>
        <v/>
      </c>
      <c r="L57" s="41" t="n">
        <v>0</v>
      </c>
      <c r="M57" s="41" t="n">
        <v>0</v>
      </c>
      <c r="N57" s="41" t="n">
        <v>0</v>
      </c>
      <c r="O57" s="41" t="n">
        <v>0</v>
      </c>
      <c r="P57" s="41" t="n"/>
      <c r="Q57" s="41" t="n"/>
      <c r="R57" s="41">
        <f>(SUM(J57:P57)*$B$2)</f>
        <v/>
      </c>
      <c r="S57" s="41" t="n"/>
      <c r="T57" s="41" t="n"/>
    </row>
    <row r="58" ht="12.75" customHeight="1">
      <c r="A58" s="42" t="inlineStr">
        <is>
          <t>T5</t>
        </is>
      </c>
      <c r="B58" s="42">
        <f>VLOOKUP(A58,Members!$A$2:$B$65,2,FALSE)</f>
        <v/>
      </c>
      <c r="C58" s="43" t="n">
        <v>0</v>
      </c>
      <c r="D58" s="43">
        <f>SUM($C$3:$C$5)/64</f>
        <v/>
      </c>
      <c r="E58" s="43">
        <f>C58+D58</f>
        <v/>
      </c>
      <c r="F58" s="43">
        <f>IF($C$70=0, 0, E58/$C$70)</f>
        <v/>
      </c>
      <c r="G58" s="43">
        <f>F58*$T$5</f>
        <v/>
      </c>
      <c r="H58" s="43" t="n">
        <v>3</v>
      </c>
      <c r="I58" s="43">
        <f>$T$7*H58</f>
        <v/>
      </c>
      <c r="J58" s="43">
        <f>G58+$T$9+I58</f>
        <v/>
      </c>
      <c r="K58" s="43">
        <f>$T$4/64</f>
        <v/>
      </c>
      <c r="L58" s="43" t="n">
        <v>0</v>
      </c>
      <c r="M58" s="43" t="n">
        <v>0</v>
      </c>
      <c r="N58" s="43" t="n">
        <v>0</v>
      </c>
      <c r="O58" s="43" t="n">
        <v>0</v>
      </c>
      <c r="P58" s="43" t="n"/>
      <c r="Q58" s="43" t="n"/>
      <c r="R58" s="43">
        <f>(SUM(J58:P58)*$B$2)</f>
        <v/>
      </c>
      <c r="S58" s="43" t="n"/>
      <c r="T58" s="43" t="n"/>
    </row>
    <row r="59" ht="12.75" customHeight="1">
      <c r="A59" s="40" t="inlineStr">
        <is>
          <t>T6</t>
        </is>
      </c>
      <c r="B59" s="40">
        <f>VLOOKUP(A59,Members!$A$2:$B$65,2,FALSE)</f>
        <v/>
      </c>
      <c r="C59" s="41" t="n">
        <v>0</v>
      </c>
      <c r="D59" s="41">
        <f>SUM($C$3:$C$5)/64</f>
        <v/>
      </c>
      <c r="E59" s="41">
        <f>C59+D59</f>
        <v/>
      </c>
      <c r="F59" s="41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$T$4/64</f>
        <v/>
      </c>
      <c r="L59" s="41" t="n">
        <v>0</v>
      </c>
      <c r="M59" s="41" t="n">
        <v>0</v>
      </c>
      <c r="N59" s="41" t="n">
        <v>0</v>
      </c>
      <c r="O59" s="41" t="n">
        <v>0</v>
      </c>
      <c r="P59" s="41" t="n"/>
      <c r="Q59" s="41" t="n"/>
      <c r="R59" s="41">
        <f>(SUM(J59:P59)*$B$2)</f>
        <v/>
      </c>
      <c r="S59" s="41" t="n"/>
      <c r="T59" s="41" t="n"/>
    </row>
    <row r="60" ht="12.75" customHeight="1">
      <c r="A60" s="42" t="inlineStr">
        <is>
          <t>T7</t>
        </is>
      </c>
      <c r="B60" s="42">
        <f>VLOOKUP(A60,Members!$A$2:$B$65,2,FALSE)</f>
        <v/>
      </c>
      <c r="C60" s="43" t="n">
        <v>0</v>
      </c>
      <c r="D60" s="43">
        <f>SUM($C$3:$C$5)/64</f>
        <v/>
      </c>
      <c r="E60" s="43">
        <f>C60+D60</f>
        <v/>
      </c>
      <c r="F60" s="43">
        <f>IF($C$70=0, 0, E60/$C$70)</f>
        <v/>
      </c>
      <c r="G60" s="43">
        <f>F60*$T$5</f>
        <v/>
      </c>
      <c r="H60" s="43" t="n">
        <v>3</v>
      </c>
      <c r="I60" s="43">
        <f>$T$7*H60</f>
        <v/>
      </c>
      <c r="J60" s="43">
        <f>G60+$T$9+I60</f>
        <v/>
      </c>
      <c r="K60" s="43">
        <f>$T$4/64</f>
        <v/>
      </c>
      <c r="L60" s="43" t="n">
        <v>0</v>
      </c>
      <c r="M60" s="43" t="n">
        <v>0</v>
      </c>
      <c r="N60" s="43" t="n">
        <v>0</v>
      </c>
      <c r="O60" s="43" t="n">
        <v>0</v>
      </c>
      <c r="P60" s="43" t="n"/>
      <c r="Q60" s="43" t="n"/>
      <c r="R60" s="43">
        <f>(SUM(J60:P60)*$B$2)</f>
        <v/>
      </c>
      <c r="S60" s="43" t="n"/>
      <c r="T60" s="43" t="n"/>
    </row>
    <row r="61" ht="12.75" customHeight="1">
      <c r="A61" s="40" t="inlineStr">
        <is>
          <t>T8</t>
        </is>
      </c>
      <c r="B61" s="40">
        <f>VLOOKUP(A61,Members!$A$2:$B$65,2,FALSE)</f>
        <v/>
      </c>
      <c r="C61" s="41" t="n">
        <v>0</v>
      </c>
      <c r="D61" s="41">
        <f>SUM($C$3:$C$5)/64</f>
        <v/>
      </c>
      <c r="E61" s="41">
        <f>C61+D61</f>
        <v/>
      </c>
      <c r="F61" s="41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$T$4/64</f>
        <v/>
      </c>
      <c r="L61" s="41" t="n">
        <v>0</v>
      </c>
      <c r="M61" s="41" t="n">
        <v>0</v>
      </c>
      <c r="N61" s="41" t="n">
        <v>0</v>
      </c>
      <c r="O61" s="41" t="n">
        <v>0</v>
      </c>
      <c r="P61" s="41" t="n"/>
      <c r="Q61" s="41" t="n"/>
      <c r="R61" s="41">
        <f>(SUM(J61:P61)*$B$2)</f>
        <v/>
      </c>
      <c r="S61" s="41" t="n"/>
      <c r="T61" s="41" t="n"/>
    </row>
    <row r="62" ht="12.75" customHeight="1">
      <c r="A62" s="42" t="inlineStr">
        <is>
          <t>T9</t>
        </is>
      </c>
      <c r="B62" s="42">
        <f>VLOOKUP(A62,Members!$A$2:$B$65,2,FALSE)</f>
        <v/>
      </c>
      <c r="C62" s="43" t="n">
        <v>0</v>
      </c>
      <c r="D62" s="43">
        <f>SUM($C$3:$C$5)/64</f>
        <v/>
      </c>
      <c r="E62" s="43">
        <f>C62+D62</f>
        <v/>
      </c>
      <c r="F62" s="43">
        <f>IF($C$70=0, 0, E62/$C$70)</f>
        <v/>
      </c>
      <c r="G62" s="43">
        <f>F62*$T$5</f>
        <v/>
      </c>
      <c r="H62" s="43" t="n">
        <v>4</v>
      </c>
      <c r="I62" s="43">
        <f>$T$7*H62</f>
        <v/>
      </c>
      <c r="J62" s="43">
        <f>G62+$T$9+I62</f>
        <v/>
      </c>
      <c r="K62" s="43">
        <f>$T$4/64</f>
        <v/>
      </c>
      <c r="L62" s="43" t="n">
        <v>0</v>
      </c>
      <c r="M62" s="43" t="n">
        <v>0</v>
      </c>
      <c r="N62" s="43" t="n">
        <v>0</v>
      </c>
      <c r="O62" s="43" t="n">
        <v>0</v>
      </c>
      <c r="P62" s="43" t="n"/>
      <c r="Q62" s="43" t="n"/>
      <c r="R62" s="43">
        <f>(SUM(J62:P62)*$B$2)</f>
        <v/>
      </c>
      <c r="S62" s="43" t="n"/>
      <c r="T62" s="43" t="n"/>
    </row>
    <row r="63" ht="12.75" customHeight="1">
      <c r="A63" s="40" t="inlineStr">
        <is>
          <t>T10</t>
        </is>
      </c>
      <c r="B63" s="40">
        <f>VLOOKUP(A63,Members!$A$2:$B$65,2,FALSE)</f>
        <v/>
      </c>
      <c r="C63" s="41" t="n">
        <v>0</v>
      </c>
      <c r="D63" s="41">
        <f>SUM($C$3:$C$5)/64</f>
        <v/>
      </c>
      <c r="E63" s="41">
        <f>C63+D63</f>
        <v/>
      </c>
      <c r="F63" s="41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$T$4/64</f>
        <v/>
      </c>
      <c r="L63" s="41" t="n">
        <v>0</v>
      </c>
      <c r="M63" s="41" t="n">
        <v>0</v>
      </c>
      <c r="N63" s="41" t="n">
        <v>0</v>
      </c>
      <c r="O63" s="41" t="n">
        <v>0</v>
      </c>
      <c r="P63" s="41" t="n"/>
      <c r="Q63" s="41" t="n"/>
      <c r="R63" s="41">
        <f>(SUM(J63:P63)*$B$2)</f>
        <v/>
      </c>
      <c r="S63" s="41" t="n"/>
      <c r="T63" s="41" t="n"/>
    </row>
    <row r="64" ht="12.75" customHeight="1">
      <c r="A64" s="42" t="inlineStr">
        <is>
          <t>T11</t>
        </is>
      </c>
      <c r="B64" s="42">
        <f>VLOOKUP(A64,Members!$A$2:$B$65,2,FALSE)</f>
        <v/>
      </c>
      <c r="C64" s="43" t="n">
        <v>0</v>
      </c>
      <c r="D64" s="43">
        <f>SUM($C$3:$C$5)/64</f>
        <v/>
      </c>
      <c r="E64" s="43">
        <f>C64+D64</f>
        <v/>
      </c>
      <c r="F64" s="43">
        <f>IF($C$70=0, 0, E64/$C$70)</f>
        <v/>
      </c>
      <c r="G64" s="43">
        <f>F64*$T$5</f>
        <v/>
      </c>
      <c r="H64" s="43" t="n">
        <v>3</v>
      </c>
      <c r="I64" s="43">
        <f>$T$7*H64</f>
        <v/>
      </c>
      <c r="J64" s="43">
        <f>G64+$T$9+I64</f>
        <v/>
      </c>
      <c r="K64" s="43">
        <f>$T$4/64</f>
        <v/>
      </c>
      <c r="L64" s="43" t="n">
        <v>0</v>
      </c>
      <c r="M64" s="43" t="n">
        <v>0</v>
      </c>
      <c r="N64" s="43" t="n">
        <v>0</v>
      </c>
      <c r="O64" s="43" t="n">
        <v>0</v>
      </c>
      <c r="P64" s="43" t="n"/>
      <c r="Q64" s="43" t="n"/>
      <c r="R64" s="43">
        <f>(SUM(J64:P64)*$B$2)</f>
        <v/>
      </c>
      <c r="S64" s="43" t="n"/>
      <c r="T64" s="43" t="n"/>
    </row>
    <row r="65" ht="12.75" customHeight="1">
      <c r="A65" s="40" t="inlineStr">
        <is>
          <t>T12</t>
        </is>
      </c>
      <c r="B65" s="40">
        <f>VLOOKUP(A65,Members!$A$2:$B$65,2,FALSE)</f>
        <v/>
      </c>
      <c r="C65" s="41" t="n">
        <v>0</v>
      </c>
      <c r="D65" s="41">
        <f>SUM($C$3:$C$5)/64</f>
        <v/>
      </c>
      <c r="E65" s="41">
        <f>C65+D65</f>
        <v/>
      </c>
      <c r="F65" s="41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$T$4/64</f>
        <v/>
      </c>
      <c r="L65" s="41" t="n">
        <v>0</v>
      </c>
      <c r="M65" s="41" t="n">
        <v>0</v>
      </c>
      <c r="N65" s="41" t="n">
        <v>0</v>
      </c>
      <c r="O65" s="41" t="n">
        <v>0</v>
      </c>
      <c r="P65" s="41" t="n"/>
      <c r="Q65" s="41" t="n"/>
      <c r="R65" s="41">
        <f>(SUM(J65:P65)*$B$2)</f>
        <v/>
      </c>
      <c r="S65" s="41" t="n"/>
      <c r="T65" s="41" t="n"/>
    </row>
    <row r="66" ht="12.75" customHeight="1">
      <c r="A66" s="42" t="inlineStr">
        <is>
          <t>T13</t>
        </is>
      </c>
      <c r="B66" s="42">
        <f>VLOOKUP(A66,Members!$A$2:$B$65,2,FALSE)</f>
        <v/>
      </c>
      <c r="C66" s="43" t="n">
        <v>0</v>
      </c>
      <c r="D66" s="43">
        <f>SUM($C$3:$C$5)/64</f>
        <v/>
      </c>
      <c r="E66" s="43">
        <f>C66+D66</f>
        <v/>
      </c>
      <c r="F66" s="43">
        <f>IF($C$70=0, 0, E66/$C$70)</f>
        <v/>
      </c>
      <c r="G66" s="43">
        <f>F66*$T$5</f>
        <v/>
      </c>
      <c r="H66" s="43" t="n">
        <v>4</v>
      </c>
      <c r="I66" s="43">
        <f>$T$7*H66</f>
        <v/>
      </c>
      <c r="J66" s="43">
        <f>G66+$T$9+I66</f>
        <v/>
      </c>
      <c r="K66" s="43">
        <f>$T$4/64</f>
        <v/>
      </c>
      <c r="L66" s="43" t="n">
        <v>0</v>
      </c>
      <c r="M66" s="43" t="n">
        <v>0</v>
      </c>
      <c r="N66" s="43" t="n">
        <v>0</v>
      </c>
      <c r="O66" s="43" t="n">
        <v>0</v>
      </c>
      <c r="P66" s="43" t="n"/>
      <c r="Q66" s="43" t="n"/>
      <c r="R66" s="43">
        <f>(SUM(J66:P66)*$B$2)</f>
        <v/>
      </c>
      <c r="S66" s="43" t="n"/>
      <c r="T66" s="43" t="n"/>
    </row>
    <row r="67" ht="12.75" customHeight="1">
      <c r="A67" s="40" t="inlineStr">
        <is>
          <t>T14</t>
        </is>
      </c>
      <c r="B67" s="40">
        <f>VLOOKUP(A67,Members!$A$2:$B$65,2,FALSE)</f>
        <v/>
      </c>
      <c r="C67" s="41" t="n">
        <v>0</v>
      </c>
      <c r="D67" s="41">
        <f>SUM($C$3:$C$5)/64</f>
        <v/>
      </c>
      <c r="E67" s="41">
        <f>C67+D67</f>
        <v/>
      </c>
      <c r="F67" s="41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$T$4/64</f>
        <v/>
      </c>
      <c r="L67" s="41" t="n">
        <v>0</v>
      </c>
      <c r="M67" s="41" t="n">
        <v>0</v>
      </c>
      <c r="N67" s="41" t="n">
        <v>0</v>
      </c>
      <c r="O67" s="41" t="n">
        <v>0</v>
      </c>
      <c r="P67" s="41" t="n"/>
      <c r="Q67" s="41" t="n"/>
      <c r="R67" s="41">
        <f>(SUM(J67:P67)*$B$2)</f>
        <v/>
      </c>
      <c r="S67" s="41" t="n"/>
      <c r="T67" s="41" t="n"/>
    </row>
    <row r="68" ht="12.75" customHeight="1">
      <c r="A68" s="42" t="inlineStr">
        <is>
          <t>T15</t>
        </is>
      </c>
      <c r="B68" s="42">
        <f>VLOOKUP(A68,Members!$A$2:$B$65,2,FALSE)</f>
        <v/>
      </c>
      <c r="C68" s="43" t="n">
        <v>0</v>
      </c>
      <c r="D68" s="43">
        <f>SUM($C$3:$C$5)/64</f>
        <v/>
      </c>
      <c r="E68" s="43">
        <f>C68+D68</f>
        <v/>
      </c>
      <c r="F68" s="43">
        <f>IF($C$70=0, 0, E68/$C$70)</f>
        <v/>
      </c>
      <c r="G68" s="43">
        <f>F68*$T$5</f>
        <v/>
      </c>
      <c r="H68" s="43" t="n">
        <v>4</v>
      </c>
      <c r="I68" s="43">
        <f>$T$7*H68</f>
        <v/>
      </c>
      <c r="J68" s="43">
        <f>G68+$T$9+I68</f>
        <v/>
      </c>
      <c r="K68" s="43">
        <f>$T$4/64</f>
        <v/>
      </c>
      <c r="L68" s="43" t="n">
        <v>0</v>
      </c>
      <c r="M68" s="43" t="n">
        <v>0</v>
      </c>
      <c r="N68" s="43" t="n">
        <v>0</v>
      </c>
      <c r="O68" s="43" t="n">
        <v>0</v>
      </c>
      <c r="P68" s="43" t="n"/>
      <c r="Q68" s="43" t="n"/>
      <c r="R68" s="43">
        <f>(SUM(J68:P68)*$B$2)</f>
        <v/>
      </c>
      <c r="S68" s="43" t="n"/>
      <c r="T68" s="43" t="n"/>
    </row>
    <row r="69" ht="12.75" customHeight="1">
      <c r="A69" s="40" t="inlineStr">
        <is>
          <t>T16</t>
        </is>
      </c>
      <c r="B69" s="40">
        <f>VLOOKUP(A69,Members!$A$2:$B$65,2,FALSE)</f>
        <v/>
      </c>
      <c r="C69" s="41" t="n">
        <v>0</v>
      </c>
      <c r="D69" s="41">
        <f>SUM($C$3:$C$5)/64</f>
        <v/>
      </c>
      <c r="E69" s="41">
        <f>C69+D69</f>
        <v/>
      </c>
      <c r="F69" s="41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$T$4/64</f>
        <v/>
      </c>
      <c r="L69" s="41" t="n">
        <v>0</v>
      </c>
      <c r="M69" s="41" t="n">
        <v>0</v>
      </c>
      <c r="N69" s="41" t="n">
        <v>0</v>
      </c>
      <c r="O69" s="41" t="n">
        <v>0</v>
      </c>
      <c r="P69" s="41" t="n"/>
      <c r="Q69" s="41" t="n"/>
      <c r="R69" s="41">
        <f>(SUM(J69:P69)*$B$2)</f>
        <v/>
      </c>
      <c r="S69" s="41" t="n"/>
      <c r="T69" s="41" t="n"/>
    </row>
    <row r="70" ht="12.75" customHeight="1">
      <c r="A70" s="44" t="inlineStr">
        <is>
          <t>TOTAL</t>
        </is>
      </c>
      <c r="B70" s="44" t="inlineStr">
        <is>
          <t>TOTAL</t>
        </is>
      </c>
      <c r="C70" s="45">
        <f>SUM(C3:C69)</f>
        <v/>
      </c>
      <c r="D70" s="45">
        <f>SUM(D3:D69)</f>
        <v/>
      </c>
      <c r="E70" s="45">
        <f>SUM(E5:E69)</f>
        <v/>
      </c>
      <c r="F70" s="45">
        <f>SUM(F6:F69)</f>
        <v/>
      </c>
      <c r="G70" s="45">
        <f>SUM(G6:G69)</f>
        <v/>
      </c>
      <c r="H70" s="45">
        <f>SUM(H3:H69)</f>
        <v/>
      </c>
      <c r="I70" s="45">
        <f>SUM(I3:I69)</f>
        <v/>
      </c>
      <c r="J70" s="45">
        <f>SUM(J6:J69)</f>
        <v/>
      </c>
      <c r="K70" s="45">
        <f>SUM(K6:K69)</f>
        <v/>
      </c>
      <c r="L70" s="45">
        <f>SUM(L3:L69)</f>
        <v/>
      </c>
      <c r="M70" s="45">
        <f>SUM(M3:M69)</f>
        <v/>
      </c>
      <c r="N70" s="45">
        <f>SUM(N3:N69)</f>
        <v/>
      </c>
      <c r="O70" s="45">
        <f>SUM(O3:O69)</f>
        <v/>
      </c>
      <c r="P70" s="45">
        <f>SUM(P3:P69)</f>
        <v/>
      </c>
      <c r="Q70" s="45" t="n"/>
      <c r="R70" s="45">
        <f>SUM(R3:R69)</f>
        <v/>
      </c>
      <c r="S70" s="45" t="n"/>
      <c r="T70" s="45" t="n"/>
    </row>
    <row r="71" ht="12.75" customHeight="1">
      <c r="A71" s="37" t="n"/>
      <c r="B71" s="37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41" t="n"/>
      <c r="T71" s="41" t="n"/>
    </row>
    <row r="72" ht="12.75" customHeight="1">
      <c r="A72" s="36" t="n"/>
      <c r="B72" s="36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  <c r="O72" s="47" t="n"/>
      <c r="P72" s="47" t="n"/>
      <c r="Q72" s="47" t="n"/>
      <c r="R72" s="47" t="n"/>
      <c r="S72" s="43" t="n"/>
      <c r="T72" s="43" t="n"/>
    </row>
    <row r="73" ht="12.75" customHeight="1">
      <c r="A73" s="37" t="n"/>
      <c r="B73" s="37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41" t="n"/>
      <c r="T73" s="41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min="1" max="1"/>
    <col width="64.28515625" customWidth="1" min="2" max="2"/>
  </cols>
  <sheetData>
    <row r="1">
      <c r="A1" s="39" t="inlineStr">
        <is>
          <t>FLAT #</t>
        </is>
      </c>
      <c r="B1" s="39" t="n"/>
      <c r="C1" s="39" t="inlineStr">
        <is>
          <t>Amount</t>
        </is>
      </c>
      <c r="D1" s="57" t="inlineStr">
        <is>
          <t>Date</t>
        </is>
      </c>
      <c r="E1" s="39" t="inlineStr">
        <is>
          <t>Amount</t>
        </is>
      </c>
      <c r="F1" s="57" t="inlineStr">
        <is>
          <t>Date</t>
        </is>
      </c>
      <c r="G1" s="39" t="inlineStr">
        <is>
          <t>Amount</t>
        </is>
      </c>
      <c r="H1" s="57" t="inlineStr">
        <is>
          <t>Date</t>
        </is>
      </c>
      <c r="I1" s="39" t="inlineStr">
        <is>
          <t>Amount</t>
        </is>
      </c>
      <c r="J1" s="100" t="inlineStr">
        <is>
          <t>Date</t>
        </is>
      </c>
      <c r="K1" s="100" t="inlineStr">
        <is>
          <t>Total</t>
        </is>
      </c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  <c r="AA1" s="100" t="n"/>
    </row>
    <row r="2" ht="15" customHeight="1">
      <c r="A2" s="42" t="inlineStr">
        <is>
          <t>F1</t>
        </is>
      </c>
      <c r="B2" s="42">
        <f>VLOOKUP(A2,Members!$A$2:$B$65,2,FALSE)</f>
        <v/>
      </c>
      <c r="C2" s="47" t="n"/>
      <c r="D2" s="58" t="n"/>
      <c r="E2" s="47" t="n"/>
      <c r="F2" s="58" t="n"/>
      <c r="G2" s="47" t="n"/>
      <c r="H2" s="58" t="n"/>
      <c r="I2" s="47" t="n"/>
      <c r="J2" s="47" t="n"/>
      <c r="K2" s="47">
        <f>SUM(C2,E2,G2,I2)</f>
        <v/>
      </c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</row>
    <row r="3" ht="15" customHeight="1">
      <c r="A3" s="40" t="inlineStr">
        <is>
          <t>F2</t>
        </is>
      </c>
      <c r="B3" s="40">
        <f>VLOOKUP(A3,Members!$A$2:$B$65,2,FALSE)</f>
        <v/>
      </c>
      <c r="C3" s="104" t="n"/>
      <c r="D3" s="59" t="n"/>
      <c r="E3" s="104" t="n"/>
      <c r="F3" s="59" t="n"/>
      <c r="G3" s="104" t="n"/>
      <c r="H3" s="59" t="n"/>
      <c r="I3" s="104" t="n"/>
      <c r="J3" s="104" t="n"/>
      <c r="K3" s="104">
        <f>SUM(C3,E3,G3,I3)</f>
        <v/>
      </c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</row>
    <row r="4" ht="15" customHeight="1">
      <c r="A4" s="42" t="inlineStr">
        <is>
          <t>F3</t>
        </is>
      </c>
      <c r="B4" s="42">
        <f>VLOOKUP(A4,Members!$A$2:$B$65,2,FALSE)</f>
        <v/>
      </c>
      <c r="C4" s="47" t="n"/>
      <c r="D4" s="58" t="n"/>
      <c r="E4" s="43" t="n"/>
      <c r="F4" s="58" t="n"/>
      <c r="G4" s="47" t="n"/>
      <c r="H4" s="58" t="n"/>
      <c r="I4" s="47" t="n"/>
      <c r="J4" s="47" t="n"/>
      <c r="K4" s="47">
        <f>SUM(C4,E4,G4,I4)</f>
        <v/>
      </c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</row>
    <row r="5" ht="15" customHeight="1">
      <c r="A5" s="40" t="inlineStr">
        <is>
          <t>F4</t>
        </is>
      </c>
      <c r="B5" s="40">
        <f>VLOOKUP(A5,Members!$A$2:$B$65,2,FALSE)</f>
        <v/>
      </c>
      <c r="C5" s="41" t="n"/>
      <c r="D5" s="59" t="n"/>
      <c r="E5" s="104" t="n"/>
      <c r="F5" s="59" t="n"/>
      <c r="G5" s="104" t="n"/>
      <c r="H5" s="59" t="n"/>
      <c r="I5" s="104" t="n"/>
      <c r="J5" s="104" t="n"/>
      <c r="K5" s="41">
        <f>SUM(C5,E5,G5,I5)</f>
        <v/>
      </c>
      <c r="L5" s="104" t="n"/>
      <c r="M5" s="104" t="n"/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</row>
    <row r="6" ht="15" customHeight="1">
      <c r="A6" s="42" t="inlineStr">
        <is>
          <t>F5</t>
        </is>
      </c>
      <c r="B6" s="42">
        <f>VLOOKUP(A6,Members!$A$2:$B$65,2,FALSE)</f>
        <v/>
      </c>
      <c r="C6" s="47" t="n"/>
      <c r="D6" s="58" t="n"/>
      <c r="E6" s="47" t="n"/>
      <c r="F6" s="58" t="n"/>
      <c r="G6" s="47" t="n"/>
      <c r="H6" s="58" t="n"/>
      <c r="I6" s="47" t="n"/>
      <c r="J6" s="47" t="n"/>
      <c r="K6" s="47">
        <f>SUM(C6,E6,G6,I6)</f>
        <v/>
      </c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  <c r="AA6" s="47" t="n"/>
    </row>
    <row r="7" ht="15" customHeight="1">
      <c r="A7" s="40" t="inlineStr">
        <is>
          <t>F6</t>
        </is>
      </c>
      <c r="B7" s="40">
        <f>VLOOKUP(A7,Members!$A$2:$B$65,2,FALSE)</f>
        <v/>
      </c>
      <c r="C7" s="104" t="n"/>
      <c r="D7" s="59" t="n"/>
      <c r="E7" s="104" t="n"/>
      <c r="F7" s="59" t="n"/>
      <c r="G7" s="104" t="n"/>
      <c r="H7" s="59" t="n"/>
      <c r="I7" s="104" t="n"/>
      <c r="J7" s="104" t="n"/>
      <c r="K7" s="104">
        <f>SUM(C7,E7,G7,I7)</f>
        <v/>
      </c>
      <c r="L7" s="104" t="n"/>
      <c r="M7" s="104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</row>
    <row r="8" ht="15" customHeight="1">
      <c r="A8" s="42" t="inlineStr">
        <is>
          <t>F7</t>
        </is>
      </c>
      <c r="B8" s="42">
        <f>VLOOKUP(A8,Members!$A$2:$B$65,2,FALSE)</f>
        <v/>
      </c>
      <c r="C8" s="47" t="n"/>
      <c r="D8" s="58" t="n"/>
      <c r="E8" s="47" t="n"/>
      <c r="F8" s="58" t="n"/>
      <c r="G8" s="47" t="n"/>
      <c r="H8" s="58" t="n"/>
      <c r="I8" s="47" t="n"/>
      <c r="J8" s="47" t="n"/>
      <c r="K8" s="47">
        <f>SUM(C8,E8,G8,I8)</f>
        <v/>
      </c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  <c r="AA8" s="47" t="n"/>
    </row>
    <row r="9" ht="15" customHeight="1">
      <c r="A9" s="40" t="inlineStr">
        <is>
          <t>F8</t>
        </is>
      </c>
      <c r="B9" s="40">
        <f>VLOOKUP(A9,Members!$A$2:$B$65,2,FALSE)</f>
        <v/>
      </c>
      <c r="C9" s="41" t="n"/>
      <c r="D9" s="60" t="n"/>
      <c r="E9" s="104" t="n"/>
      <c r="F9" s="59" t="n"/>
      <c r="G9" s="104" t="n"/>
      <c r="H9" s="59" t="n"/>
      <c r="I9" s="104" t="n"/>
      <c r="J9" s="104" t="n"/>
      <c r="K9" s="41">
        <f>SUM(C9,E9,G9,I9)</f>
        <v/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</row>
    <row r="10" ht="15" customHeight="1">
      <c r="A10" s="42" t="inlineStr">
        <is>
          <t>F9</t>
        </is>
      </c>
      <c r="B10" s="42">
        <f>VLOOKUP(A10,Members!$A$2:$B$65,2,FALSE)</f>
        <v/>
      </c>
      <c r="C10" s="43" t="n"/>
      <c r="D10" s="58" t="n"/>
      <c r="E10" s="47" t="n"/>
      <c r="F10" s="58" t="n"/>
      <c r="G10" s="47" t="n"/>
      <c r="H10" s="58" t="n"/>
      <c r="I10" s="47" t="n"/>
      <c r="J10" s="47" t="n"/>
      <c r="K10" s="43">
        <f>SUM(C10,E10,G10,I10)</f>
        <v/>
      </c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  <c r="AA10" s="47" t="n"/>
    </row>
    <row r="11" ht="15" customHeight="1">
      <c r="A11" s="40" t="inlineStr">
        <is>
          <t>F10</t>
        </is>
      </c>
      <c r="B11" s="40">
        <f>VLOOKUP(A11,Members!$A$2:$B$65,2,FALSE)</f>
        <v/>
      </c>
      <c r="C11" s="41" t="n"/>
      <c r="D11" s="59" t="n"/>
      <c r="E11" s="104" t="n"/>
      <c r="F11" s="59" t="n"/>
      <c r="G11" s="104" t="n"/>
      <c r="H11" s="59" t="n"/>
      <c r="I11" s="104" t="n"/>
      <c r="J11" s="104" t="n"/>
      <c r="K11" s="41">
        <f>SUM(C11,E11,G11,I11)</f>
        <v/>
      </c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</row>
    <row r="12" ht="15" customHeight="1">
      <c r="A12" s="42" t="inlineStr">
        <is>
          <t>F11</t>
        </is>
      </c>
      <c r="B12" s="42">
        <f>VLOOKUP(A12,Members!$A$2:$B$65,2,FALSE)</f>
        <v/>
      </c>
      <c r="C12" s="43" t="n"/>
      <c r="D12" s="61" t="n"/>
      <c r="E12" s="47" t="n"/>
      <c r="F12" s="58" t="n"/>
      <c r="G12" s="47" t="n"/>
      <c r="H12" s="58" t="n"/>
      <c r="I12" s="47" t="n"/>
      <c r="J12" s="47" t="n"/>
      <c r="K12" s="43">
        <f>SUM(C12,E12,G12,I12)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</row>
    <row r="13" ht="15" customHeight="1">
      <c r="A13" s="40" t="inlineStr">
        <is>
          <t>F12</t>
        </is>
      </c>
      <c r="B13" s="40">
        <f>VLOOKUP(A13,Members!$A$2:$B$65,2,FALSE)</f>
        <v/>
      </c>
      <c r="C13" s="41" t="n"/>
      <c r="D13" s="59" t="n"/>
      <c r="E13" s="104" t="n"/>
      <c r="F13" s="59" t="n"/>
      <c r="G13" s="104" t="n"/>
      <c r="H13" s="59" t="n"/>
      <c r="I13" s="104" t="n"/>
      <c r="J13" s="104" t="n"/>
      <c r="K13" s="41">
        <f>SUM(C13,E13,G13,I13)</f>
        <v/>
      </c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</row>
    <row r="14" ht="15" customHeight="1">
      <c r="A14" s="42" t="inlineStr">
        <is>
          <t>F13</t>
        </is>
      </c>
      <c r="B14" s="42">
        <f>VLOOKUP(A14,Members!$A$2:$B$65,2,FALSE)</f>
        <v/>
      </c>
      <c r="C14" s="47" t="n"/>
      <c r="D14" s="58" t="n"/>
      <c r="E14" s="47" t="n"/>
      <c r="F14" s="58" t="n"/>
      <c r="G14" s="47" t="n"/>
      <c r="H14" s="58" t="n"/>
      <c r="I14" s="47" t="n"/>
      <c r="J14" s="47" t="n"/>
      <c r="K14" s="47">
        <f>SUM(C14,E14,G14,I14)</f>
        <v/>
      </c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  <c r="AA14" s="47" t="n"/>
    </row>
    <row r="15" ht="15" customHeight="1">
      <c r="A15" s="40" t="inlineStr">
        <is>
          <t>F14</t>
        </is>
      </c>
      <c r="B15" s="40">
        <f>VLOOKUP(A15,Members!$A$2:$B$65,2,FALSE)</f>
        <v/>
      </c>
      <c r="C15" s="41" t="n"/>
      <c r="D15" s="59" t="n"/>
      <c r="E15" s="104" t="n"/>
      <c r="F15" s="59" t="n"/>
      <c r="G15" s="104" t="n"/>
      <c r="H15" s="59" t="n"/>
      <c r="I15" s="104" t="n"/>
      <c r="J15" s="104" t="n"/>
      <c r="K15" s="41">
        <f>SUM(C15,E15,G15,I15)</f>
        <v/>
      </c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</row>
    <row r="16" ht="15" customHeight="1">
      <c r="A16" s="42" t="inlineStr">
        <is>
          <t>F15</t>
        </is>
      </c>
      <c r="B16" s="42">
        <f>VLOOKUP(A16,Members!$A$2:$B$65,2,FALSE)</f>
        <v/>
      </c>
      <c r="C16" s="47" t="n"/>
      <c r="D16" s="58" t="n"/>
      <c r="E16" s="47" t="n"/>
      <c r="F16" s="58" t="n"/>
      <c r="G16" s="47" t="n"/>
      <c r="H16" s="58" t="n"/>
      <c r="I16" s="47" t="n"/>
      <c r="J16" s="47" t="n"/>
      <c r="K16" s="47">
        <f>SUM(C16,E16,G16,I16)</f>
        <v/>
      </c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  <c r="AA16" s="47" t="n"/>
    </row>
    <row r="17" ht="15" customHeight="1">
      <c r="A17" s="40" t="inlineStr">
        <is>
          <t>F16</t>
        </is>
      </c>
      <c r="B17" s="40">
        <f>VLOOKUP(A17,Members!$A$2:$B$65,2,FALSE)</f>
        <v/>
      </c>
      <c r="C17" s="104" t="n"/>
      <c r="D17" s="59" t="n"/>
      <c r="E17" s="104" t="n"/>
      <c r="F17" s="59" t="n"/>
      <c r="G17" s="104" t="n"/>
      <c r="H17" s="59" t="n"/>
      <c r="I17" s="104" t="n"/>
      <c r="J17" s="104" t="n"/>
      <c r="K17" s="104">
        <f>SUM(C17,E17,G17,I17)</f>
        <v/>
      </c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</row>
    <row r="18" ht="15" customHeight="1">
      <c r="A18" s="42" t="inlineStr">
        <is>
          <t>G1</t>
        </is>
      </c>
      <c r="B18" s="42">
        <f>VLOOKUP(A18,Members!$A$2:$B$65,2,FALSE)</f>
        <v/>
      </c>
      <c r="C18" s="43" t="n"/>
      <c r="D18" s="58" t="n"/>
      <c r="E18" s="43" t="n"/>
      <c r="F18" s="47" t="n"/>
      <c r="G18" s="47" t="n"/>
      <c r="H18" s="58" t="n"/>
      <c r="I18" s="47" t="n"/>
      <c r="J18" s="47" t="n"/>
      <c r="K18" s="43">
        <f>SUM(C18,E18,G18,I18)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</row>
    <row r="19" ht="15" customHeight="1">
      <c r="A19" s="40" t="inlineStr">
        <is>
          <t>G2</t>
        </is>
      </c>
      <c r="B19" s="40">
        <f>VLOOKUP(A19,Members!$A$2:$B$65,2,FALSE)</f>
        <v/>
      </c>
      <c r="C19" s="41" t="n"/>
      <c r="D19" s="60" t="n"/>
      <c r="E19" s="104" t="n"/>
      <c r="F19" s="59" t="n"/>
      <c r="G19" s="104" t="n"/>
      <c r="H19" s="59" t="n"/>
      <c r="I19" s="104" t="n"/>
      <c r="J19" s="104" t="n"/>
      <c r="K19" s="41">
        <f>SUM(C19,E19,G19,I19)</f>
        <v/>
      </c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</row>
    <row r="20" ht="15" customHeight="1">
      <c r="A20" s="42" t="inlineStr">
        <is>
          <t>G3</t>
        </is>
      </c>
      <c r="B20" s="42">
        <f>VLOOKUP(A20,Members!$A$2:$B$65,2,FALSE)</f>
        <v/>
      </c>
      <c r="C20" s="43" t="n"/>
      <c r="D20" s="61" t="n"/>
      <c r="E20" s="47" t="n"/>
      <c r="F20" s="58" t="n"/>
      <c r="G20" s="47" t="n"/>
      <c r="H20" s="58" t="n"/>
      <c r="I20" s="47" t="n"/>
      <c r="J20" s="47" t="n"/>
      <c r="K20" s="43">
        <f>SUM(C20,E20,G20,I20)</f>
        <v/>
      </c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</row>
    <row r="21" ht="15" customHeight="1">
      <c r="A21" s="40" t="inlineStr">
        <is>
          <t>G4</t>
        </is>
      </c>
      <c r="B21" s="40">
        <f>VLOOKUP(A21,Members!$A$2:$B$65,2,FALSE)</f>
        <v/>
      </c>
      <c r="C21" s="41" t="n"/>
      <c r="D21" s="60" t="n"/>
      <c r="E21" s="104" t="n"/>
      <c r="F21" s="59" t="n"/>
      <c r="G21" s="104" t="n"/>
      <c r="H21" s="59" t="n"/>
      <c r="I21" s="104" t="n"/>
      <c r="J21" s="104" t="n"/>
      <c r="K21" s="41">
        <f>SUM(C21,E21,G21,I21)</f>
        <v/>
      </c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</row>
    <row r="22" ht="15.95" customHeight="1">
      <c r="A22" s="42" t="inlineStr">
        <is>
          <t>G5</t>
        </is>
      </c>
      <c r="B22" s="42">
        <f>VLOOKUP(A22,Members!$A$2:$B$65,2,FALSE)</f>
        <v/>
      </c>
      <c r="C22" s="43" t="n"/>
      <c r="D22" s="58" t="n"/>
      <c r="E22" s="47" t="n"/>
      <c r="F22" s="58" t="n"/>
      <c r="G22" s="47" t="n"/>
      <c r="H22" s="58" t="n"/>
      <c r="I22" s="47" t="n"/>
      <c r="J22" s="47" t="n"/>
      <c r="K22" s="43">
        <f>SUM(C22,E22,G22,I22)</f>
        <v/>
      </c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</row>
    <row r="23" ht="15.95" customHeight="1">
      <c r="A23" s="40" t="inlineStr">
        <is>
          <t>G6</t>
        </is>
      </c>
      <c r="B23" s="40">
        <f>VLOOKUP(A23,Members!$A$2:$B$65,2,FALSE)</f>
        <v/>
      </c>
      <c r="C23" s="104" t="n"/>
      <c r="D23" s="59" t="n"/>
      <c r="E23" s="104" t="n"/>
      <c r="F23" s="59" t="n"/>
      <c r="G23" s="104" t="n"/>
      <c r="H23" s="59" t="n"/>
      <c r="I23" s="104" t="n"/>
      <c r="J23" s="104" t="n"/>
      <c r="K23" s="104">
        <f>SUM(C23,E23,G23,I23)</f>
        <v/>
      </c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</row>
    <row r="24" ht="15.95" customHeight="1">
      <c r="A24" s="42" t="inlineStr">
        <is>
          <t>G7</t>
        </is>
      </c>
      <c r="B24" s="42">
        <f>VLOOKUP(A24,Members!$A$2:$B$65,2,FALSE)</f>
        <v/>
      </c>
      <c r="C24" s="43" t="n"/>
      <c r="D24" s="61" t="n"/>
      <c r="E24" s="47" t="n"/>
      <c r="F24" s="58" t="n"/>
      <c r="G24" s="47" t="n"/>
      <c r="H24" s="58" t="n"/>
      <c r="I24" s="47" t="n"/>
      <c r="J24" s="47" t="n"/>
      <c r="K24" s="43">
        <f>SUM(C24,E24,G24,I24)</f>
        <v/>
      </c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</row>
    <row r="25" ht="15.95" customHeight="1">
      <c r="A25" s="40" t="inlineStr">
        <is>
          <t>G8</t>
        </is>
      </c>
      <c r="B25" s="40">
        <f>VLOOKUP(A25,Members!$A$2:$B$65,2,FALSE)</f>
        <v/>
      </c>
      <c r="C25" s="104" t="n"/>
      <c r="D25" s="59" t="n"/>
      <c r="E25" s="104" t="n"/>
      <c r="F25" s="59" t="n"/>
      <c r="G25" s="104" t="n"/>
      <c r="H25" s="59" t="n"/>
      <c r="I25" s="104" t="n"/>
      <c r="J25" s="104" t="n"/>
      <c r="K25" s="104">
        <f>SUM(C25,E25,G25,I25)</f>
        <v/>
      </c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</row>
    <row r="26" ht="15.95" customHeight="1">
      <c r="A26" s="42" t="inlineStr">
        <is>
          <t>G9</t>
        </is>
      </c>
      <c r="B26" s="42">
        <f>VLOOKUP(A26,Members!$A$2:$B$65,2,FALSE)</f>
        <v/>
      </c>
      <c r="C26" s="43" t="n"/>
      <c r="D26" s="61" t="n"/>
      <c r="E26" s="47" t="n"/>
      <c r="F26" s="58" t="n"/>
      <c r="G26" s="47" t="n"/>
      <c r="H26" s="58" t="n"/>
      <c r="I26" s="47" t="n"/>
      <c r="J26" s="47" t="n"/>
      <c r="K26" s="43">
        <f>SUM(C26,E26,G26,I26)</f>
        <v/>
      </c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</row>
    <row r="27" ht="15.95" customHeight="1">
      <c r="A27" s="40" t="inlineStr">
        <is>
          <t>G10</t>
        </is>
      </c>
      <c r="B27" s="40">
        <f>VLOOKUP(A27,Members!$A$2:$B$65,2,FALSE)</f>
        <v/>
      </c>
      <c r="C27" s="41" t="n"/>
      <c r="D27" s="59" t="n"/>
      <c r="E27" s="104" t="n"/>
      <c r="F27" s="59" t="n"/>
      <c r="G27" s="104" t="n"/>
      <c r="H27" s="59" t="n"/>
      <c r="I27" s="104" t="n"/>
      <c r="J27" s="104" t="n"/>
      <c r="K27" s="41">
        <f>SUM(C27,E27,G27,I27)</f>
        <v/>
      </c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</row>
    <row r="28" ht="15.95" customHeight="1">
      <c r="A28" s="42" t="inlineStr">
        <is>
          <t>G11</t>
        </is>
      </c>
      <c r="B28" s="42">
        <f>VLOOKUP(A28,Members!$A$2:$B$65,2,FALSE)</f>
        <v/>
      </c>
      <c r="C28" s="43" t="n"/>
      <c r="D28" s="58" t="n"/>
      <c r="E28" s="47" t="n"/>
      <c r="F28" s="58" t="n"/>
      <c r="G28" s="47" t="n"/>
      <c r="H28" s="58" t="n"/>
      <c r="I28" s="47" t="n"/>
      <c r="J28" s="47" t="n"/>
      <c r="K28" s="43">
        <f>SUM(C28,E28,G28,I28)</f>
        <v/>
      </c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</row>
    <row r="29" ht="15.95" customHeight="1">
      <c r="A29" s="40" t="inlineStr">
        <is>
          <t>G12</t>
        </is>
      </c>
      <c r="B29" s="40">
        <f>VLOOKUP(A29,Members!$A$2:$B$65,2,FALSE)</f>
        <v/>
      </c>
      <c r="C29" s="41" t="n"/>
      <c r="D29" s="60" t="n"/>
      <c r="E29" s="104" t="n"/>
      <c r="F29" s="59" t="n"/>
      <c r="G29" s="104" t="n"/>
      <c r="H29" s="59" t="n"/>
      <c r="I29" s="104" t="n"/>
      <c r="J29" s="104" t="n"/>
      <c r="K29" s="41">
        <f>SUM(C29,E29,G29,I29)</f>
        <v/>
      </c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</row>
    <row r="30" ht="15.95" customHeight="1">
      <c r="A30" s="42" t="inlineStr">
        <is>
          <t>G13</t>
        </is>
      </c>
      <c r="B30" s="42">
        <f>VLOOKUP(A30,Members!$A$2:$B$65,2,FALSE)</f>
        <v/>
      </c>
      <c r="C30" s="47" t="n"/>
      <c r="D30" s="58" t="n"/>
      <c r="E30" s="47" t="n"/>
      <c r="F30" s="58" t="n"/>
      <c r="G30" s="47" t="n"/>
      <c r="H30" s="58" t="n"/>
      <c r="I30" s="47" t="n"/>
      <c r="J30" s="47" t="n"/>
      <c r="K30" s="47">
        <f>SUM(C30,E30,G30,I30)</f>
        <v/>
      </c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</row>
    <row r="31" ht="15.95" customHeight="1">
      <c r="A31" s="40" t="inlineStr">
        <is>
          <t>G14</t>
        </is>
      </c>
      <c r="B31" s="40">
        <f>VLOOKUP(A31,Members!$A$2:$B$65,2,FALSE)</f>
        <v/>
      </c>
      <c r="C31" s="104" t="n"/>
      <c r="D31" s="59" t="n"/>
      <c r="E31" s="104" t="n"/>
      <c r="F31" s="59" t="n"/>
      <c r="G31" s="104" t="n"/>
      <c r="H31" s="59" t="n"/>
      <c r="I31" s="104" t="n"/>
      <c r="J31" s="104" t="n"/>
      <c r="K31" s="104">
        <f>SUM(C31,E31,G31,I31)</f>
        <v/>
      </c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</row>
    <row r="32" ht="15.95" customHeight="1">
      <c r="A32" s="42" t="inlineStr">
        <is>
          <t>G15</t>
        </is>
      </c>
      <c r="B32" s="42">
        <f>VLOOKUP(A32,Members!$A$2:$B$65,2,FALSE)</f>
        <v/>
      </c>
      <c r="C32" s="43" t="n"/>
      <c r="D32" s="47" t="n"/>
      <c r="E32" s="47" t="n"/>
      <c r="F32" s="58" t="n"/>
      <c r="G32" s="47" t="n"/>
      <c r="H32" s="58" t="n"/>
      <c r="I32" s="47" t="n"/>
      <c r="J32" s="47" t="n"/>
      <c r="K32" s="43">
        <f>SUM(C32,E32,G32,I32)</f>
        <v/>
      </c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</row>
    <row r="33" ht="15.95" customHeight="1">
      <c r="A33" s="40" t="inlineStr">
        <is>
          <t>G16</t>
        </is>
      </c>
      <c r="B33" s="40">
        <f>VLOOKUP(A33,Members!$A$2:$B$65,2,FALSE)</f>
        <v/>
      </c>
      <c r="C33" s="104" t="n"/>
      <c r="D33" s="59" t="n"/>
      <c r="E33" s="104" t="n"/>
      <c r="F33" s="59" t="n"/>
      <c r="G33" s="104" t="n"/>
      <c r="H33" s="59" t="n"/>
      <c r="I33" s="104" t="n"/>
      <c r="J33" s="104" t="n"/>
      <c r="K33" s="104">
        <f>SUM(C33,E33,G33,I33)</f>
        <v/>
      </c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</row>
    <row r="34" ht="15.95" customHeight="1">
      <c r="A34" s="42" t="inlineStr">
        <is>
          <t>S1</t>
        </is>
      </c>
      <c r="B34" s="42">
        <f>VLOOKUP(A34,Members!$A$2:$B$65,2,FALSE)</f>
        <v/>
      </c>
      <c r="C34" s="43" t="n"/>
      <c r="D34" s="61" t="n"/>
      <c r="E34" s="47" t="n"/>
      <c r="F34" s="58" t="n"/>
      <c r="G34" s="47" t="n"/>
      <c r="H34" s="58" t="n"/>
      <c r="I34" s="47" t="n"/>
      <c r="J34" s="47" t="n"/>
      <c r="K34" s="43">
        <f>SUM(C34,E34,G34,I34)</f>
        <v/>
      </c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  <c r="AA34" s="47" t="n"/>
    </row>
    <row r="35" ht="15.95" customHeight="1">
      <c r="A35" s="40" t="inlineStr">
        <is>
          <t>S2</t>
        </is>
      </c>
      <c r="B35" s="40">
        <f>VLOOKUP(A35,Members!$A$2:$B$65,2,FALSE)</f>
        <v/>
      </c>
      <c r="C35" s="104" t="n"/>
      <c r="D35" s="59" t="n"/>
      <c r="E35" s="104" t="n"/>
      <c r="F35" s="59" t="n"/>
      <c r="G35" s="104" t="n"/>
      <c r="H35" s="59" t="n"/>
      <c r="I35" s="104" t="n"/>
      <c r="J35" s="104" t="n"/>
      <c r="K35" s="104">
        <f>SUM(C35,E35,G35,I35)</f>
        <v/>
      </c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</row>
    <row r="36" ht="15.95" customHeight="1">
      <c r="A36" s="42" t="inlineStr">
        <is>
          <t>S3</t>
        </is>
      </c>
      <c r="B36" s="42">
        <f>VLOOKUP(A36,Members!$A$2:$B$65,2,FALSE)</f>
        <v/>
      </c>
      <c r="C36" s="47" t="n"/>
      <c r="D36" s="58" t="n"/>
      <c r="E36" s="47" t="n"/>
      <c r="F36" s="58" t="n"/>
      <c r="G36" s="47" t="n"/>
      <c r="H36" s="58" t="n"/>
      <c r="I36" s="47" t="n"/>
      <c r="J36" s="47" t="n"/>
      <c r="K36" s="47">
        <f>SUM(C36,E36,G36,I36)</f>
        <v/>
      </c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</row>
    <row r="37" ht="15.95" customHeight="1">
      <c r="A37" s="40" t="inlineStr">
        <is>
          <t>S4</t>
        </is>
      </c>
      <c r="B37" s="40">
        <f>VLOOKUP(A37,Members!$A$2:$B$65,2,FALSE)</f>
        <v/>
      </c>
      <c r="C37" s="41" t="n"/>
      <c r="D37" s="59" t="n"/>
      <c r="E37" s="104" t="n"/>
      <c r="F37" s="59" t="n"/>
      <c r="G37" s="104" t="n"/>
      <c r="H37" s="59" t="n"/>
      <c r="I37" s="104" t="n"/>
      <c r="J37" s="104" t="n"/>
      <c r="K37" s="41">
        <f>SUM(C37,E37,G37,I37)</f>
        <v/>
      </c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</row>
    <row r="38" ht="15.95" customHeight="1">
      <c r="A38" s="42" t="inlineStr">
        <is>
          <t>S5</t>
        </is>
      </c>
      <c r="B38" s="42">
        <f>VLOOKUP(A38,Members!$A$2:$B$65,2,FALSE)</f>
        <v/>
      </c>
      <c r="C38" s="47" t="n"/>
      <c r="D38" s="58" t="n"/>
      <c r="E38" s="47" t="n"/>
      <c r="F38" s="58" t="n"/>
      <c r="G38" s="47" t="n"/>
      <c r="H38" s="58" t="n"/>
      <c r="I38" s="47" t="n"/>
      <c r="J38" s="47" t="n"/>
      <c r="K38" s="47">
        <f>SUM(C38,E38,G38,I38)</f>
        <v/>
      </c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</row>
    <row r="39" ht="15.95" customHeight="1">
      <c r="A39" s="40" t="inlineStr">
        <is>
          <t>S6</t>
        </is>
      </c>
      <c r="B39" s="40">
        <f>VLOOKUP(A39,Members!$A$2:$B$65,2,FALSE)</f>
        <v/>
      </c>
      <c r="C39" s="104" t="n"/>
      <c r="D39" s="59" t="n"/>
      <c r="E39" s="104" t="n"/>
      <c r="F39" s="59" t="n"/>
      <c r="G39" s="104" t="n"/>
      <c r="H39" s="59" t="n"/>
      <c r="I39" s="104" t="n"/>
      <c r="J39" s="104" t="n"/>
      <c r="K39" s="104">
        <f>SUM(C39,E39,G39,I39)</f>
        <v/>
      </c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</row>
    <row r="40" ht="15.95" customHeight="1">
      <c r="A40" s="42" t="inlineStr">
        <is>
          <t>S7</t>
        </is>
      </c>
      <c r="B40" s="42">
        <f>VLOOKUP(A40,Members!$A$2:$B$65,2,FALSE)</f>
        <v/>
      </c>
      <c r="C40" s="43" t="n"/>
      <c r="D40" s="61" t="n"/>
      <c r="E40" s="47" t="n"/>
      <c r="F40" s="58" t="n"/>
      <c r="G40" s="47" t="n"/>
      <c r="H40" s="58" t="n"/>
      <c r="I40" s="47" t="n"/>
      <c r="J40" s="47" t="n"/>
      <c r="K40" s="43">
        <f>SUM(C40,E40,G40,I40)</f>
        <v/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  <c r="AA40" s="47" t="n"/>
    </row>
    <row r="41" ht="15.95" customHeight="1">
      <c r="A41" s="40" t="inlineStr">
        <is>
          <t>S8</t>
        </is>
      </c>
      <c r="B41" s="40">
        <f>VLOOKUP(A41,Members!$A$2:$B$65,2,FALSE)</f>
        <v/>
      </c>
      <c r="C41" s="41" t="n"/>
      <c r="D41" s="60" t="n"/>
      <c r="E41" s="104" t="n"/>
      <c r="F41" s="59" t="n"/>
      <c r="G41" s="104" t="n"/>
      <c r="H41" s="59" t="n"/>
      <c r="I41" s="104" t="n"/>
      <c r="J41" s="104" t="n"/>
      <c r="K41" s="41">
        <f>SUM(C41,E41,G41,I41)</f>
        <v/>
      </c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</row>
    <row r="42" ht="15.95" customHeight="1">
      <c r="A42" s="42" t="inlineStr">
        <is>
          <t>S9</t>
        </is>
      </c>
      <c r="B42" s="42">
        <f>VLOOKUP(A42,Members!$A$2:$B$65,2,FALSE)</f>
        <v/>
      </c>
      <c r="C42" s="43" t="n"/>
      <c r="D42" s="61" t="n"/>
      <c r="E42" s="47" t="n"/>
      <c r="F42" s="58" t="n"/>
      <c r="G42" s="47" t="n"/>
      <c r="H42" s="58" t="n"/>
      <c r="I42" s="47" t="n"/>
      <c r="J42" s="47" t="n"/>
      <c r="K42" s="43">
        <f>SUM(C42,E42,G42,I42)</f>
        <v/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</row>
    <row r="43" ht="15.95" customHeight="1">
      <c r="A43" s="40" t="inlineStr">
        <is>
          <t>S10</t>
        </is>
      </c>
      <c r="B43" s="40">
        <f>VLOOKUP(A43,Members!$A$2:$B$65,2,FALSE)</f>
        <v/>
      </c>
      <c r="C43" s="41" t="n"/>
      <c r="D43" s="104" t="n"/>
      <c r="E43" s="104" t="n"/>
      <c r="F43" s="59" t="n"/>
      <c r="G43" s="104" t="n"/>
      <c r="H43" s="59" t="n"/>
      <c r="I43" s="104" t="n"/>
      <c r="J43" s="104" t="n"/>
      <c r="K43" s="41">
        <f>SUM(C43,E43,G43,I43)</f>
        <v/>
      </c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</row>
    <row r="44" ht="15.95" customHeight="1">
      <c r="A44" s="42" t="inlineStr">
        <is>
          <t>S11</t>
        </is>
      </c>
      <c r="B44" s="42">
        <f>VLOOKUP(A44,Members!$A$2:$B$65,2,FALSE)</f>
        <v/>
      </c>
      <c r="C44" s="47" t="n"/>
      <c r="D44" s="58" t="n"/>
      <c r="E44" s="47" t="n"/>
      <c r="F44" s="58" t="n"/>
      <c r="G44" s="47" t="n"/>
      <c r="H44" s="58" t="n"/>
      <c r="I44" s="47" t="n"/>
      <c r="J44" s="47" t="n"/>
      <c r="K44" s="47">
        <f>SUM(C44,E44,G44,I44)</f>
        <v/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</row>
    <row r="45" ht="15.95" customHeight="1">
      <c r="A45" s="40" t="inlineStr">
        <is>
          <t>S12</t>
        </is>
      </c>
      <c r="B45" s="40">
        <f>VLOOKUP(A45,Members!$A$2:$B$65,2,FALSE)</f>
        <v/>
      </c>
      <c r="C45" s="41" t="n"/>
      <c r="D45" s="59" t="n"/>
      <c r="E45" s="104" t="n"/>
      <c r="F45" s="59" t="n"/>
      <c r="G45" s="104" t="n"/>
      <c r="H45" s="59" t="n"/>
      <c r="I45" s="104" t="n"/>
      <c r="J45" s="104" t="n"/>
      <c r="K45" s="41">
        <f>SUM(C45,E45,G45,I45)</f>
        <v/>
      </c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</row>
    <row r="46" ht="15.95" customHeight="1">
      <c r="A46" s="42" t="inlineStr">
        <is>
          <t>S13</t>
        </is>
      </c>
      <c r="B46" s="42">
        <f>VLOOKUP(A46,Members!$A$2:$B$65,2,FALSE)</f>
        <v/>
      </c>
      <c r="C46" s="47" t="n"/>
      <c r="D46" s="58" t="n"/>
      <c r="E46" s="47" t="n"/>
      <c r="F46" s="58" t="n"/>
      <c r="G46" s="47" t="n"/>
      <c r="H46" s="58" t="n"/>
      <c r="I46" s="47" t="n"/>
      <c r="J46" s="47" t="n"/>
      <c r="K46" s="47">
        <f>SUM(C46,E46,G46,I46)</f>
        <v/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</row>
    <row r="47" ht="15.95" customHeight="1">
      <c r="A47" s="40" t="inlineStr">
        <is>
          <t>S14</t>
        </is>
      </c>
      <c r="B47" s="40">
        <f>VLOOKUP(A47,Members!$A$2:$B$65,2,FALSE)</f>
        <v/>
      </c>
      <c r="C47" s="104" t="n"/>
      <c r="D47" s="59" t="n"/>
      <c r="E47" s="104" t="n"/>
      <c r="F47" s="59" t="n"/>
      <c r="G47" s="104" t="n"/>
      <c r="H47" s="59" t="n"/>
      <c r="I47" s="104" t="n"/>
      <c r="J47" s="104" t="n"/>
      <c r="K47" s="104">
        <f>SUM(C47,E47,G47,I47)</f>
        <v/>
      </c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</row>
    <row r="48" ht="15.95" customHeight="1">
      <c r="A48" s="42" t="inlineStr">
        <is>
          <t>S15</t>
        </is>
      </c>
      <c r="B48" s="42">
        <f>VLOOKUP(A48,Members!$A$2:$B$65,2,FALSE)</f>
        <v/>
      </c>
      <c r="C48" s="43" t="n"/>
      <c r="D48" s="61" t="n"/>
      <c r="E48" s="47" t="n"/>
      <c r="F48" s="58" t="n"/>
      <c r="G48" s="47" t="n"/>
      <c r="H48" s="58" t="n"/>
      <c r="I48" s="47" t="n"/>
      <c r="J48" s="47" t="n"/>
      <c r="K48" s="43">
        <f>SUM(C48,E48,G48,I48)</f>
        <v/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</row>
    <row r="49" ht="15.95" customHeight="1">
      <c r="A49" s="40" t="inlineStr">
        <is>
          <t>S16</t>
        </is>
      </c>
      <c r="B49" s="40">
        <f>VLOOKUP(A49,Members!$A$2:$B$65,2,FALSE)</f>
        <v/>
      </c>
      <c r="C49" s="104" t="n"/>
      <c r="D49" s="59" t="n"/>
      <c r="E49" s="104" t="n"/>
      <c r="F49" s="59" t="n"/>
      <c r="G49" s="104" t="n"/>
      <c r="H49" s="59" t="n"/>
      <c r="I49" s="104" t="n"/>
      <c r="J49" s="104" t="n"/>
      <c r="K49" s="104">
        <f>SUM(C49,E49,G49,I49)</f>
        <v/>
      </c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</row>
    <row r="50" ht="15.95" customHeight="1">
      <c r="A50" s="42" t="inlineStr">
        <is>
          <t>T1</t>
        </is>
      </c>
      <c r="B50" s="42">
        <f>VLOOKUP(A50,Members!$A$2:$B$65,2,FALSE)</f>
        <v/>
      </c>
      <c r="C50" s="47" t="n"/>
      <c r="D50" s="58" t="n"/>
      <c r="E50" s="47" t="n"/>
      <c r="F50" s="58" t="n"/>
      <c r="G50" s="47" t="n"/>
      <c r="H50" s="58" t="n"/>
      <c r="I50" s="47" t="n"/>
      <c r="J50" s="47" t="n"/>
      <c r="K50" s="47">
        <f>SUM(C50,E50,G50,I50)</f>
        <v/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</row>
    <row r="51" ht="15.95" customHeight="1">
      <c r="A51" s="40" t="inlineStr">
        <is>
          <t>T2</t>
        </is>
      </c>
      <c r="B51" s="40">
        <f>VLOOKUP(A51,Members!$A$2:$B$65,2,FALSE)</f>
        <v/>
      </c>
      <c r="C51" s="41" t="n"/>
      <c r="D51" s="59" t="n"/>
      <c r="E51" s="104" t="n"/>
      <c r="F51" s="59" t="n"/>
      <c r="G51" s="104" t="n"/>
      <c r="H51" s="59" t="n"/>
      <c r="I51" s="104" t="n"/>
      <c r="J51" s="104" t="n"/>
      <c r="K51" s="41">
        <f>SUM(C51,E51,G51,I51)</f>
        <v/>
      </c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</row>
    <row r="52" ht="15.95" customHeight="1">
      <c r="A52" s="42" t="inlineStr">
        <is>
          <t>T3</t>
        </is>
      </c>
      <c r="B52" s="42">
        <f>VLOOKUP(A52,Members!$A$2:$B$65,2,FALSE)</f>
        <v/>
      </c>
      <c r="C52" s="43" t="n"/>
      <c r="D52" s="61" t="n"/>
      <c r="E52" s="47" t="n"/>
      <c r="F52" s="58" t="n"/>
      <c r="G52" s="47" t="n"/>
      <c r="H52" s="58" t="n"/>
      <c r="I52" s="47" t="n"/>
      <c r="J52" s="47" t="n"/>
      <c r="K52" s="43">
        <f>SUM(C52,E52,G52,I52)</f>
        <v/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</row>
    <row r="53" ht="15.95" customHeight="1">
      <c r="A53" s="40" t="inlineStr">
        <is>
          <t>T4</t>
        </is>
      </c>
      <c r="B53" s="40">
        <f>VLOOKUP(A53,Members!$A$2:$B$65,2,FALSE)</f>
        <v/>
      </c>
      <c r="C53" s="41" t="n"/>
      <c r="D53" s="59" t="n"/>
      <c r="E53" s="104" t="n"/>
      <c r="F53" s="59" t="n"/>
      <c r="G53" s="104" t="n"/>
      <c r="H53" s="59" t="n"/>
      <c r="I53" s="104" t="n"/>
      <c r="J53" s="104" t="n"/>
      <c r="K53" s="41">
        <f>SUM(C53,E53,G53,I53)</f>
        <v/>
      </c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</row>
    <row r="54" ht="15.95" customHeight="1">
      <c r="A54" s="42" t="inlineStr">
        <is>
          <t>T5</t>
        </is>
      </c>
      <c r="B54" s="42">
        <f>VLOOKUP(A54,Members!$A$2:$B$65,2,FALSE)</f>
        <v/>
      </c>
      <c r="C54" s="47" t="n"/>
      <c r="D54" s="58" t="n"/>
      <c r="E54" s="47" t="n"/>
      <c r="F54" s="58" t="n"/>
      <c r="G54" s="47" t="n"/>
      <c r="H54" s="58" t="n"/>
      <c r="I54" s="47" t="n"/>
      <c r="J54" s="47" t="n"/>
      <c r="K54" s="47">
        <f>SUM(C54,E54,G54,I54)</f>
        <v/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</row>
    <row r="55" ht="15.95" customHeight="1">
      <c r="A55" s="40" t="inlineStr">
        <is>
          <t>T6</t>
        </is>
      </c>
      <c r="B55" s="40">
        <f>VLOOKUP(A55,Members!$A$2:$B$65,2,FALSE)</f>
        <v/>
      </c>
      <c r="C55" s="41" t="n"/>
      <c r="D55" s="59" t="n"/>
      <c r="E55" s="104" t="n"/>
      <c r="F55" s="59" t="n"/>
      <c r="G55" s="104" t="n"/>
      <c r="H55" s="59" t="n"/>
      <c r="I55" s="104" t="n"/>
      <c r="J55" s="104" t="n"/>
      <c r="K55" s="41">
        <f>SUM(C55,E55,G55,I55)</f>
        <v/>
      </c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</row>
    <row r="56" ht="15.95" customHeight="1">
      <c r="A56" s="42" t="inlineStr">
        <is>
          <t>T7</t>
        </is>
      </c>
      <c r="B56" s="42">
        <f>VLOOKUP(A56,Members!$A$2:$B$65,2,FALSE)</f>
        <v/>
      </c>
      <c r="C56" s="47" t="n"/>
      <c r="D56" s="58" t="n"/>
      <c r="E56" s="47" t="n"/>
      <c r="F56" s="58" t="n"/>
      <c r="G56" s="47" t="n"/>
      <c r="H56" s="58" t="n"/>
      <c r="I56" s="47" t="n"/>
      <c r="J56" s="47" t="n"/>
      <c r="K56" s="47">
        <f>SUM(C56,E56,G56,I56)</f>
        <v/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</row>
    <row r="57" ht="15.95" customHeight="1">
      <c r="A57" s="40" t="inlineStr">
        <is>
          <t>T8</t>
        </is>
      </c>
      <c r="B57" s="40">
        <f>VLOOKUP(A57,Members!$A$2:$B$65,2,FALSE)</f>
        <v/>
      </c>
      <c r="C57" s="41" t="n"/>
      <c r="D57" s="60" t="n"/>
      <c r="E57" s="104" t="n"/>
      <c r="F57" s="59" t="n"/>
      <c r="G57" s="104" t="n"/>
      <c r="H57" s="59" t="n"/>
      <c r="I57" s="104" t="n"/>
      <c r="J57" s="104" t="n"/>
      <c r="K57" s="41">
        <f>SUM(C57,E57,G57,I57)</f>
        <v/>
      </c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</row>
    <row r="58" ht="15.95" customHeight="1">
      <c r="A58" s="42" t="inlineStr">
        <is>
          <t>T9</t>
        </is>
      </c>
      <c r="B58" s="42">
        <f>VLOOKUP(A58,Members!$A$2:$B$65,2,FALSE)</f>
        <v/>
      </c>
      <c r="C58" s="47" t="n"/>
      <c r="D58" s="58" t="n"/>
      <c r="E58" s="47" t="n"/>
      <c r="F58" s="58" t="n"/>
      <c r="G58" s="47" t="n"/>
      <c r="H58" s="58" t="n"/>
      <c r="I58" s="47" t="n"/>
      <c r="J58" s="47" t="n"/>
      <c r="K58" s="47">
        <f>SUM(C58,E58,G58,I58)</f>
        <v/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</row>
    <row r="59" ht="15.95" customHeight="1">
      <c r="A59" s="40" t="inlineStr">
        <is>
          <t>T10</t>
        </is>
      </c>
      <c r="B59" s="40">
        <f>VLOOKUP(A59,Members!$A$2:$B$65,2,FALSE)</f>
        <v/>
      </c>
      <c r="C59" s="41" t="n"/>
      <c r="D59" s="60" t="n"/>
      <c r="E59" s="104" t="n"/>
      <c r="F59" s="59" t="n"/>
      <c r="G59" s="104" t="n"/>
      <c r="H59" s="59" t="n"/>
      <c r="I59" s="104" t="n"/>
      <c r="J59" s="104" t="n"/>
      <c r="K59" s="41">
        <f>SUM(C59,E59,G59,I59)</f>
        <v/>
      </c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</row>
    <row r="60" ht="15.95" customHeight="1">
      <c r="A60" s="42" t="inlineStr">
        <is>
          <t>T11</t>
        </is>
      </c>
      <c r="B60" s="42">
        <f>VLOOKUP(A60,Members!$A$2:$B$65,2,FALSE)</f>
        <v/>
      </c>
      <c r="C60" s="43" t="n"/>
      <c r="D60" s="61" t="n"/>
      <c r="E60" s="47" t="n"/>
      <c r="F60" s="58" t="n"/>
      <c r="G60" s="47" t="n"/>
      <c r="H60" s="58" t="n"/>
      <c r="I60" s="47" t="n"/>
      <c r="J60" s="47" t="n"/>
      <c r="K60" s="43">
        <f>SUM(C60,E60,G60,I60)</f>
        <v/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</row>
    <row r="61" ht="15.95" customHeight="1">
      <c r="A61" s="40" t="inlineStr">
        <is>
          <t>T12</t>
        </is>
      </c>
      <c r="B61" s="40">
        <f>VLOOKUP(A61,Members!$A$2:$B$65,2,FALSE)</f>
        <v/>
      </c>
      <c r="C61" s="41" t="n"/>
      <c r="D61" s="59" t="n"/>
      <c r="E61" s="104" t="n"/>
      <c r="F61" s="59" t="n"/>
      <c r="G61" s="104" t="n"/>
      <c r="H61" s="59" t="n"/>
      <c r="I61" s="104" t="n"/>
      <c r="J61" s="104" t="n"/>
      <c r="K61" s="41">
        <f>SUM(C61,E61,G61,I61)</f>
        <v/>
      </c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</row>
    <row r="62" ht="15.95" customHeight="1">
      <c r="A62" s="42" t="inlineStr">
        <is>
          <t>T13</t>
        </is>
      </c>
      <c r="B62" s="42">
        <f>VLOOKUP(A62,Members!$A$2:$B$65,2,FALSE)</f>
        <v/>
      </c>
      <c r="C62" s="43" t="n"/>
      <c r="D62" s="61" t="n"/>
      <c r="E62" s="47" t="n"/>
      <c r="F62" s="58" t="n"/>
      <c r="G62" s="47" t="n"/>
      <c r="H62" s="58" t="n"/>
      <c r="I62" s="47" t="n"/>
      <c r="J62" s="47" t="n"/>
      <c r="K62" s="43">
        <f>SUM(C62,E62,G62,I62)</f>
        <v/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</row>
    <row r="63" ht="15.95" customHeight="1">
      <c r="A63" s="40" t="inlineStr">
        <is>
          <t>T14</t>
        </is>
      </c>
      <c r="B63" s="40">
        <f>VLOOKUP(A63,Members!$A$2:$B$65,2,FALSE)</f>
        <v/>
      </c>
      <c r="C63" s="41" t="n"/>
      <c r="D63" s="59" t="n"/>
      <c r="E63" s="104" t="n"/>
      <c r="F63" s="59" t="n"/>
      <c r="G63" s="104" t="n"/>
      <c r="H63" s="59" t="n"/>
      <c r="I63" s="104" t="n"/>
      <c r="J63" s="104" t="n"/>
      <c r="K63" s="41">
        <f>SUM(C63,E63,G63,I63)</f>
        <v/>
      </c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</row>
    <row r="64" ht="15.95" customHeight="1">
      <c r="A64" s="42" t="inlineStr">
        <is>
          <t>T15</t>
        </is>
      </c>
      <c r="B64" s="42">
        <f>VLOOKUP(A64,Members!$A$2:$B$65,2,FALSE)</f>
        <v/>
      </c>
      <c r="C64" s="43" t="n"/>
      <c r="D64" s="61" t="n"/>
      <c r="E64" s="47" t="n"/>
      <c r="F64" s="58" t="n"/>
      <c r="G64" s="47" t="n"/>
      <c r="H64" s="58" t="n"/>
      <c r="I64" s="47" t="n"/>
      <c r="J64" s="47" t="n"/>
      <c r="K64" s="43">
        <f>SUM(C64,E64,G64,I64)</f>
        <v/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</row>
    <row r="65" ht="15.95" customHeight="1">
      <c r="A65" s="40" t="inlineStr">
        <is>
          <t>T16</t>
        </is>
      </c>
      <c r="B65" s="40">
        <f>VLOOKUP(A65,Members!$A$2:$B$65,2,FALSE)</f>
        <v/>
      </c>
      <c r="C65" s="104" t="n"/>
      <c r="D65" s="59" t="n"/>
      <c r="E65" s="104" t="n"/>
      <c r="F65" s="59" t="n"/>
      <c r="G65" s="104" t="n"/>
      <c r="H65" s="59" t="n"/>
      <c r="I65" s="104" t="n"/>
      <c r="J65" s="104" t="n"/>
      <c r="K65" s="104">
        <f>SUM(C65,E65,G65,I65)</f>
        <v/>
      </c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</row>
    <row r="66">
      <c r="A66" s="44" t="inlineStr">
        <is>
          <t>TOTAL</t>
        </is>
      </c>
      <c r="B66" s="55" t="n"/>
      <c r="C66" s="56" t="n"/>
      <c r="D66" s="62" t="n"/>
      <c r="E66" s="56" t="n"/>
      <c r="F66" s="62" t="n"/>
      <c r="G66" s="56" t="n"/>
      <c r="H66" s="62" t="n"/>
      <c r="I66" s="56" t="n"/>
      <c r="J66" s="56" t="n"/>
      <c r="K66" s="56">
        <f>SUM(K2:K65)</f>
        <v/>
      </c>
      <c r="L66" s="56" t="n"/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  <c r="Z66" s="56" t="n"/>
      <c r="AA66" s="56" t="n"/>
    </row>
    <row r="67">
      <c r="D67" s="8" t="n"/>
      <c r="F67" s="8" t="n"/>
      <c r="H67" s="8" t="n"/>
    </row>
    <row r="68">
      <c r="D68" s="8" t="n"/>
      <c r="F68" s="8" t="n"/>
      <c r="H68" s="8" t="n"/>
    </row>
    <row r="69">
      <c r="D69" s="8" t="n"/>
      <c r="F69" s="8" t="n"/>
      <c r="H69" s="8" t="n"/>
    </row>
    <row r="70">
      <c r="A70" s="3" t="n"/>
      <c r="D70" s="8" t="n"/>
      <c r="F70" s="8" t="n"/>
      <c r="H70" s="8" t="n"/>
    </row>
    <row r="71">
      <c r="A71" s="3" t="n"/>
      <c r="D71" s="8" t="n"/>
      <c r="F71" s="8" t="n"/>
      <c r="H71" s="8" t="n"/>
    </row>
    <row r="72">
      <c r="A72" s="5" t="n"/>
      <c r="D72" s="8" t="n"/>
      <c r="F72" s="8" t="n"/>
      <c r="H72" s="8" t="n"/>
    </row>
    <row r="73">
      <c r="A73" s="5" t="n"/>
      <c r="D73" s="8" t="n"/>
      <c r="F73" s="8" t="n"/>
      <c r="H73" s="8" t="n"/>
    </row>
    <row r="74">
      <c r="A74" s="5" t="n"/>
      <c r="D74" s="8" t="n"/>
      <c r="F74" s="8" t="n"/>
      <c r="H74" s="8" t="n"/>
    </row>
    <row r="75">
      <c r="A75" s="5" t="n"/>
      <c r="D75" s="8" t="n"/>
      <c r="F75" s="8" t="n"/>
      <c r="H75" s="8" t="n"/>
    </row>
    <row r="76">
      <c r="A76" s="5" t="n"/>
      <c r="D76" s="8" t="n"/>
      <c r="F76" s="8" t="n"/>
      <c r="H76" s="8" t="n"/>
    </row>
    <row r="77">
      <c r="A77" s="5" t="n"/>
      <c r="D77" s="8" t="n"/>
      <c r="F77" s="8" t="n"/>
      <c r="H77" s="8" t="n"/>
    </row>
    <row r="78">
      <c r="A78" s="5" t="n"/>
      <c r="D78" s="8" t="n"/>
      <c r="F78" s="8" t="n"/>
      <c r="H78" s="8" t="n"/>
    </row>
    <row r="79">
      <c r="A79" s="5" t="n"/>
      <c r="D79" s="8" t="n"/>
      <c r="F79" s="8" t="n"/>
      <c r="H79" s="8" t="n"/>
    </row>
    <row r="80">
      <c r="A80" s="5" t="n"/>
      <c r="D80" s="8" t="n"/>
      <c r="F80" s="8" t="n"/>
      <c r="H80" s="8" t="n"/>
    </row>
    <row r="81">
      <c r="A81" s="5" t="n"/>
      <c r="D81" s="8" t="n"/>
      <c r="F81" s="8" t="n"/>
      <c r="H81" s="8" t="n"/>
    </row>
    <row r="82">
      <c r="A82" s="5" t="n"/>
      <c r="D82" s="8" t="n"/>
      <c r="F82" s="8" t="n"/>
      <c r="H82" s="8" t="n"/>
    </row>
    <row r="83">
      <c r="A83" s="5" t="n"/>
      <c r="D83" s="8" t="n"/>
      <c r="F83" s="8" t="n"/>
      <c r="H83" s="8" t="n"/>
    </row>
    <row r="84">
      <c r="A84" s="5" t="n"/>
      <c r="D84" s="8" t="n"/>
      <c r="F84" s="8" t="n"/>
      <c r="H84" s="8" t="n"/>
    </row>
    <row r="85">
      <c r="A85" s="5" t="n"/>
      <c r="D85" s="8" t="n"/>
      <c r="F85" s="8" t="n"/>
      <c r="H85" s="8" t="n"/>
    </row>
    <row r="86">
      <c r="A86" s="5" t="n"/>
      <c r="D86" s="8" t="n"/>
      <c r="F86" s="8" t="n"/>
      <c r="H86" s="8" t="n"/>
    </row>
    <row r="87">
      <c r="A87" s="5" t="n"/>
      <c r="D87" s="8" t="n"/>
      <c r="F87" s="8" t="n"/>
      <c r="H87" s="8" t="n"/>
    </row>
    <row r="88">
      <c r="A88" s="5" t="n"/>
      <c r="D88" s="8" t="n"/>
      <c r="F88" s="8" t="n"/>
      <c r="H88" s="8" t="n"/>
    </row>
    <row r="89">
      <c r="A89" s="5" t="n"/>
      <c r="D89" s="8" t="n"/>
      <c r="F89" s="8" t="n"/>
      <c r="H89" s="8" t="n"/>
    </row>
    <row r="90">
      <c r="A90" s="5" t="n"/>
      <c r="D90" s="8" t="n"/>
      <c r="F90" s="8" t="n"/>
      <c r="H90" s="8" t="n"/>
    </row>
    <row r="91">
      <c r="A91" s="5" t="n"/>
      <c r="D91" s="8" t="n"/>
      <c r="F91" s="8" t="n"/>
      <c r="H91" s="8" t="n"/>
    </row>
    <row r="92">
      <c r="A92" s="5" t="n"/>
      <c r="D92" s="8" t="n"/>
      <c r="F92" s="8" t="n"/>
      <c r="H92" s="8" t="n"/>
    </row>
    <row r="93">
      <c r="A93" s="5" t="n"/>
      <c r="D93" s="8" t="n"/>
      <c r="F93" s="8" t="n"/>
      <c r="H93" s="8" t="n"/>
    </row>
    <row r="94">
      <c r="A94" s="5" t="n"/>
      <c r="D94" s="8" t="n"/>
      <c r="F94" s="8" t="n"/>
      <c r="H94" s="8" t="n"/>
    </row>
    <row r="95">
      <c r="A95" s="5" t="n"/>
      <c r="D95" s="8" t="n"/>
      <c r="F95" s="8" t="n"/>
      <c r="H95" s="8" t="n"/>
    </row>
    <row r="96">
      <c r="A96" s="5" t="n"/>
      <c r="D96" s="8" t="n"/>
      <c r="F96" s="8" t="n"/>
      <c r="H96" s="8" t="n"/>
    </row>
    <row r="97">
      <c r="A97" s="5" t="n"/>
      <c r="D97" s="8" t="n"/>
      <c r="F97" s="8" t="n"/>
      <c r="H97" s="8" t="n"/>
    </row>
    <row r="98">
      <c r="A98" s="5" t="n"/>
      <c r="D98" s="8" t="n"/>
      <c r="F98" s="8" t="n"/>
      <c r="H98" s="8" t="n"/>
    </row>
    <row r="99">
      <c r="A99" s="5" t="n"/>
      <c r="D99" s="8" t="n"/>
      <c r="F99" s="8" t="n"/>
      <c r="H99" s="8" t="n"/>
    </row>
    <row r="100">
      <c r="A100" s="5" t="n"/>
      <c r="D100" s="8" t="n"/>
      <c r="F100" s="8" t="n"/>
      <c r="H100" s="8" t="n"/>
    </row>
    <row r="101">
      <c r="A101" s="5" t="n"/>
      <c r="D101" s="8" t="n"/>
      <c r="F101" s="8" t="n"/>
      <c r="H101" s="8" t="n"/>
    </row>
    <row r="102">
      <c r="A102" s="5" t="n"/>
      <c r="D102" s="8" t="n"/>
      <c r="F102" s="8" t="n"/>
      <c r="H102" s="8" t="n"/>
    </row>
    <row r="103">
      <c r="A103" s="5" t="n"/>
      <c r="D103" s="8" t="n"/>
      <c r="F103" s="8" t="n"/>
      <c r="H103" s="8" t="n"/>
    </row>
    <row r="104">
      <c r="A104" s="5" t="n"/>
      <c r="D104" s="8" t="n"/>
      <c r="F104" s="8" t="n"/>
      <c r="H104" s="8" t="n"/>
    </row>
    <row r="105">
      <c r="A105" s="5" t="n"/>
      <c r="D105" s="8" t="n"/>
      <c r="F105" s="8" t="n"/>
      <c r="H105" s="8" t="n"/>
    </row>
    <row r="106">
      <c r="A106" s="5" t="n"/>
      <c r="D106" s="8" t="n"/>
      <c r="F106" s="8" t="n"/>
      <c r="H106" s="8" t="n"/>
    </row>
    <row r="107">
      <c r="A107" s="5" t="n"/>
      <c r="D107" s="8" t="n"/>
      <c r="F107" s="8" t="n"/>
      <c r="H107" s="8" t="n"/>
    </row>
    <row r="108">
      <c r="A108" s="5" t="n"/>
      <c r="D108" s="8" t="n"/>
      <c r="F108" s="8" t="n"/>
      <c r="H108" s="8" t="n"/>
    </row>
    <row r="109">
      <c r="A109" s="5" t="n"/>
      <c r="D109" s="8" t="n"/>
      <c r="F109" s="8" t="n"/>
      <c r="H109" s="8" t="n"/>
    </row>
    <row r="110">
      <c r="A110" s="5" t="n"/>
      <c r="D110" s="8" t="n"/>
      <c r="F110" s="8" t="n"/>
      <c r="H110" s="8" t="n"/>
    </row>
    <row r="111">
      <c r="A111" s="5" t="n"/>
      <c r="D111" s="8" t="n"/>
      <c r="F111" s="8" t="n"/>
      <c r="H111" s="8" t="n"/>
    </row>
    <row r="112">
      <c r="A112" s="5" t="n"/>
      <c r="D112" s="8" t="n"/>
      <c r="F112" s="8" t="n"/>
      <c r="H112" s="8" t="n"/>
    </row>
    <row r="113">
      <c r="A113" s="5" t="n"/>
      <c r="D113" s="8" t="n"/>
      <c r="F113" s="8" t="n"/>
      <c r="H113" s="8" t="n"/>
    </row>
    <row r="114">
      <c r="A114" s="5" t="n"/>
      <c r="D114" s="8" t="n"/>
      <c r="F114" s="8" t="n"/>
      <c r="H114" s="8" t="n"/>
    </row>
    <row r="115">
      <c r="A115" s="5" t="n"/>
      <c r="D115" s="8" t="n"/>
      <c r="F115" s="8" t="n"/>
      <c r="H115" s="8" t="n"/>
    </row>
    <row r="116">
      <c r="A116" s="5" t="n"/>
      <c r="D116" s="8" t="n"/>
      <c r="F116" s="8" t="n"/>
      <c r="H116" s="8" t="n"/>
    </row>
    <row r="117">
      <c r="A117" s="5" t="n"/>
      <c r="D117" s="8" t="n"/>
      <c r="F117" s="8" t="n"/>
      <c r="H117" s="8" t="n"/>
    </row>
    <row r="118">
      <c r="A118" s="5" t="n"/>
      <c r="D118" s="8" t="n"/>
      <c r="F118" s="8" t="n"/>
      <c r="H118" s="8" t="n"/>
    </row>
    <row r="119">
      <c r="A119" s="5" t="n"/>
      <c r="D119" s="8" t="n"/>
      <c r="F119" s="8" t="n"/>
      <c r="H119" s="8" t="n"/>
    </row>
    <row r="120">
      <c r="A120" s="5" t="n"/>
      <c r="D120" s="8" t="n"/>
      <c r="F120" s="8" t="n"/>
      <c r="H120" s="8" t="n"/>
    </row>
    <row r="121">
      <c r="A121" s="5" t="n"/>
      <c r="D121" s="8" t="n"/>
      <c r="F121" s="8" t="n"/>
      <c r="H121" s="8" t="n"/>
    </row>
    <row r="122">
      <c r="A122" s="5" t="n"/>
      <c r="D122" s="8" t="n"/>
      <c r="F122" s="8" t="n"/>
      <c r="H122" s="8" t="n"/>
    </row>
    <row r="123">
      <c r="A123" s="5" t="n"/>
      <c r="D123" s="8" t="n"/>
      <c r="F123" s="8" t="n"/>
      <c r="H123" s="8" t="n"/>
    </row>
    <row r="124">
      <c r="A124" s="5" t="n"/>
      <c r="D124" s="8" t="n"/>
      <c r="F124" s="8" t="n"/>
      <c r="H124" s="8" t="n"/>
    </row>
    <row r="125">
      <c r="A125" s="5" t="n"/>
      <c r="D125" s="8" t="n"/>
      <c r="F125" s="8" t="n"/>
      <c r="H125" s="8" t="n"/>
    </row>
    <row r="126">
      <c r="A126" s="5" t="n"/>
      <c r="D126" s="8" t="n"/>
      <c r="F126" s="8" t="n"/>
      <c r="H126" s="8" t="n"/>
    </row>
    <row r="127">
      <c r="A127" s="5" t="n"/>
      <c r="D127" s="8" t="n"/>
      <c r="F127" s="8" t="n"/>
      <c r="H127" s="8" t="n"/>
    </row>
    <row r="128">
      <c r="A128" s="5" t="n"/>
      <c r="D128" s="8" t="n"/>
      <c r="F128" s="8" t="n"/>
      <c r="H128" s="8" t="n"/>
    </row>
    <row r="129">
      <c r="A129" s="5" t="n"/>
      <c r="D129" s="8" t="n"/>
      <c r="F129" s="8" t="n"/>
      <c r="H129" s="8" t="n"/>
    </row>
    <row r="130">
      <c r="A130" s="5" t="n"/>
      <c r="D130" s="8" t="n"/>
      <c r="F130" s="8" t="n"/>
      <c r="H130" s="8" t="n"/>
    </row>
    <row r="131">
      <c r="A131" s="5" t="n"/>
      <c r="D131" s="8" t="n"/>
      <c r="F131" s="8" t="n"/>
      <c r="H131" s="8" t="n"/>
    </row>
    <row r="132">
      <c r="A132" s="5" t="n"/>
      <c r="D132" s="8" t="n"/>
      <c r="F132" s="8" t="n"/>
      <c r="H132" s="8" t="n"/>
    </row>
    <row r="133">
      <c r="A133" s="5" t="n"/>
      <c r="D133" s="8" t="n"/>
      <c r="F133" s="8" t="n"/>
      <c r="H133" s="8" t="n"/>
    </row>
    <row r="134">
      <c r="A134" s="5" t="n"/>
      <c r="D134" s="8" t="n"/>
      <c r="F134" s="8" t="n"/>
      <c r="H134" s="8" t="n"/>
    </row>
    <row r="135">
      <c r="A135" s="5" t="n"/>
      <c r="D135" s="8" t="n"/>
      <c r="F135" s="8" t="n"/>
      <c r="H135" s="8" t="n"/>
    </row>
    <row r="136">
      <c r="A136" s="5" t="n"/>
      <c r="D136" s="8" t="n"/>
      <c r="F136" s="8" t="n"/>
      <c r="H136" s="8" t="n"/>
    </row>
    <row r="137">
      <c r="A137" s="5" t="n"/>
      <c r="D137" s="8" t="n"/>
      <c r="F137" s="8" t="n"/>
      <c r="H137" s="8" t="n"/>
    </row>
    <row r="138">
      <c r="A138" s="5" t="n"/>
      <c r="D138" s="8" t="n"/>
      <c r="F138" s="8" t="n"/>
      <c r="H138" s="8" t="n"/>
    </row>
    <row r="139">
      <c r="A139" s="7" t="n"/>
      <c r="D139" s="8" t="n"/>
      <c r="F139" s="8" t="n"/>
      <c r="H139" s="8" t="n"/>
    </row>
    <row r="140">
      <c r="D140" s="8" t="n"/>
      <c r="F140" s="8" t="n"/>
      <c r="H140" s="8" t="n"/>
    </row>
    <row r="141">
      <c r="D141" s="8" t="n"/>
      <c r="F141" s="8" t="n"/>
      <c r="H141" s="8" t="n"/>
    </row>
    <row r="142">
      <c r="D142" s="8" t="n"/>
      <c r="F142" s="8" t="n"/>
      <c r="H142" s="8" t="n"/>
    </row>
    <row r="143">
      <c r="A143" s="3" t="n"/>
      <c r="D143" s="8" t="n"/>
      <c r="F143" s="8" t="n"/>
      <c r="H143" s="8" t="n"/>
    </row>
    <row r="144">
      <c r="A144" s="3" t="n"/>
      <c r="D144" s="8" t="n"/>
      <c r="F144" s="8" t="n"/>
      <c r="H144" s="8" t="n"/>
    </row>
    <row r="145">
      <c r="A145" s="5" t="n"/>
      <c r="D145" s="8" t="n"/>
      <c r="F145" s="8" t="n"/>
      <c r="H145" s="8" t="n"/>
    </row>
    <row r="146">
      <c r="A146" s="5" t="n"/>
      <c r="D146" s="8" t="n"/>
      <c r="F146" s="8" t="n"/>
      <c r="H146" s="8" t="n"/>
    </row>
    <row r="147">
      <c r="A147" s="5" t="n"/>
      <c r="D147" s="8" t="n"/>
      <c r="F147" s="8" t="n"/>
      <c r="H147" s="8" t="n"/>
    </row>
    <row r="148">
      <c r="A148" s="5" t="n"/>
      <c r="D148" s="8" t="n"/>
      <c r="F148" s="8" t="n"/>
      <c r="H148" s="8" t="n"/>
    </row>
    <row r="149">
      <c r="A149" s="5" t="n"/>
      <c r="D149" s="8" t="n"/>
      <c r="F149" s="8" t="n"/>
      <c r="H149" s="8" t="n"/>
    </row>
    <row r="150">
      <c r="A150" s="5" t="n"/>
      <c r="D150" s="8" t="n"/>
      <c r="F150" s="8" t="n"/>
      <c r="H150" s="8" t="n"/>
    </row>
    <row r="151">
      <c r="A151" s="5" t="n"/>
      <c r="D151" s="8" t="n"/>
      <c r="F151" s="8" t="n"/>
      <c r="H151" s="8" t="n"/>
    </row>
    <row r="152">
      <c r="A152" s="5" t="n"/>
      <c r="D152" s="8" t="n"/>
      <c r="F152" s="8" t="n"/>
      <c r="H152" s="8" t="n"/>
    </row>
    <row r="153">
      <c r="A153" s="5" t="n"/>
      <c r="D153" s="8" t="n"/>
      <c r="F153" s="8" t="n"/>
      <c r="H153" s="8" t="n"/>
    </row>
    <row r="154">
      <c r="A154" s="5" t="n"/>
      <c r="D154" s="8" t="n"/>
      <c r="F154" s="8" t="n"/>
      <c r="H154" s="8" t="n"/>
    </row>
    <row r="155">
      <c r="A155" s="5" t="n"/>
      <c r="D155" s="8" t="n"/>
      <c r="F155" s="8" t="n"/>
      <c r="H155" s="8" t="n"/>
    </row>
    <row r="156">
      <c r="A156" s="5" t="n"/>
      <c r="D156" s="8" t="n"/>
      <c r="F156" s="8" t="n"/>
      <c r="H156" s="8" t="n"/>
    </row>
    <row r="157">
      <c r="A157" s="5" t="n"/>
      <c r="D157" s="8" t="n"/>
      <c r="F157" s="8" t="n"/>
      <c r="H157" s="8" t="n"/>
    </row>
    <row r="158">
      <c r="A158" s="5" t="n"/>
      <c r="D158" s="8" t="n"/>
      <c r="F158" s="8" t="n"/>
      <c r="H158" s="8" t="n"/>
    </row>
    <row r="159">
      <c r="A159" s="5" t="n"/>
      <c r="D159" s="8" t="n"/>
      <c r="F159" s="8" t="n"/>
      <c r="H159" s="8" t="n"/>
    </row>
    <row r="160">
      <c r="A160" s="5" t="n"/>
      <c r="D160" s="8" t="n"/>
      <c r="F160" s="8" t="n"/>
      <c r="H160" s="8" t="n"/>
    </row>
    <row r="161">
      <c r="A161" s="5" t="n"/>
      <c r="D161" s="8" t="n"/>
      <c r="F161" s="8" t="n"/>
      <c r="H161" s="8" t="n"/>
    </row>
    <row r="162">
      <c r="A162" s="5" t="n"/>
      <c r="D162" s="8" t="n"/>
      <c r="F162" s="8" t="n"/>
      <c r="H162" s="8" t="n"/>
    </row>
    <row r="163">
      <c r="A163" s="5" t="n"/>
      <c r="D163" s="8" t="n"/>
      <c r="F163" s="8" t="n"/>
      <c r="H163" s="8" t="n"/>
    </row>
    <row r="164">
      <c r="A164" s="5" t="n"/>
      <c r="D164" s="8" t="n"/>
      <c r="F164" s="8" t="n"/>
      <c r="H164" s="8" t="n"/>
    </row>
    <row r="165">
      <c r="A165" s="5" t="n"/>
      <c r="D165" s="8" t="n"/>
      <c r="F165" s="8" t="n"/>
      <c r="H165" s="8" t="n"/>
    </row>
    <row r="166">
      <c r="A166" s="5" t="n"/>
      <c r="D166" s="8" t="n"/>
      <c r="F166" s="8" t="n"/>
      <c r="H166" s="8" t="n"/>
    </row>
    <row r="167">
      <c r="A167" s="5" t="n"/>
      <c r="D167" s="8" t="n"/>
      <c r="F167" s="8" t="n"/>
      <c r="H167" s="8" t="n"/>
    </row>
    <row r="168">
      <c r="A168" s="5" t="n"/>
      <c r="D168" s="8" t="n"/>
      <c r="F168" s="8" t="n"/>
      <c r="H168" s="8" t="n"/>
    </row>
    <row r="169">
      <c r="A169" s="5" t="n"/>
      <c r="D169" s="8" t="n"/>
      <c r="F169" s="8" t="n"/>
      <c r="H169" s="8" t="n"/>
    </row>
    <row r="170">
      <c r="A170" s="5" t="n"/>
      <c r="D170" s="8" t="n"/>
      <c r="F170" s="8" t="n"/>
      <c r="H170" s="8" t="n"/>
    </row>
    <row r="171">
      <c r="A171" s="5" t="n"/>
      <c r="D171" s="8" t="n"/>
      <c r="F171" s="8" t="n"/>
      <c r="H171" s="8" t="n"/>
    </row>
    <row r="172">
      <c r="A172" s="5" t="n"/>
      <c r="D172" s="8" t="n"/>
      <c r="F172" s="8" t="n"/>
      <c r="H172" s="8" t="n"/>
    </row>
    <row r="173">
      <c r="A173" s="5" t="n"/>
      <c r="D173" s="8" t="n"/>
      <c r="F173" s="8" t="n"/>
      <c r="H173" s="8" t="n"/>
    </row>
    <row r="174">
      <c r="A174" s="5" t="n"/>
      <c r="D174" s="8" t="n"/>
      <c r="F174" s="8" t="n"/>
      <c r="H174" s="8" t="n"/>
    </row>
    <row r="175">
      <c r="A175" s="5" t="n"/>
      <c r="D175" s="8" t="n"/>
      <c r="F175" s="8" t="n"/>
      <c r="H175" s="8" t="n"/>
    </row>
    <row r="176">
      <c r="A176" s="5" t="n"/>
      <c r="D176" s="8" t="n"/>
      <c r="F176" s="8" t="n"/>
      <c r="H176" s="8" t="n"/>
    </row>
    <row r="177">
      <c r="A177" s="5" t="n"/>
      <c r="D177" s="8" t="n"/>
      <c r="F177" s="8" t="n"/>
      <c r="H177" s="8" t="n"/>
    </row>
    <row r="178">
      <c r="A178" s="5" t="n"/>
      <c r="D178" s="8" t="n"/>
      <c r="F178" s="8" t="n"/>
      <c r="H178" s="8" t="n"/>
    </row>
    <row r="179">
      <c r="A179" s="5" t="n"/>
      <c r="D179" s="8" t="n"/>
      <c r="F179" s="8" t="n"/>
      <c r="H179" s="8" t="n"/>
    </row>
    <row r="180">
      <c r="A180" s="5" t="n"/>
      <c r="D180" s="8" t="n"/>
      <c r="F180" s="8" t="n"/>
      <c r="H180" s="8" t="n"/>
    </row>
    <row r="181">
      <c r="A181" s="5" t="n"/>
      <c r="D181" s="8" t="n"/>
      <c r="F181" s="8" t="n"/>
      <c r="H181" s="8" t="n"/>
    </row>
    <row r="182">
      <c r="A182" s="5" t="n"/>
      <c r="D182" s="8" t="n"/>
      <c r="F182" s="8" t="n"/>
      <c r="H182" s="8" t="n"/>
    </row>
    <row r="183">
      <c r="A183" s="5" t="n"/>
      <c r="D183" s="8" t="n"/>
      <c r="F183" s="8" t="n"/>
      <c r="H183" s="8" t="n"/>
    </row>
    <row r="184">
      <c r="A184" s="5" t="n"/>
      <c r="D184" s="8" t="n"/>
      <c r="F184" s="8" t="n"/>
      <c r="H184" s="8" t="n"/>
    </row>
    <row r="185">
      <c r="A185" s="5" t="n"/>
      <c r="D185" s="8" t="n"/>
      <c r="F185" s="8" t="n"/>
      <c r="H185" s="8" t="n"/>
    </row>
    <row r="186">
      <c r="A186" s="5" t="n"/>
      <c r="D186" s="8" t="n"/>
      <c r="F186" s="8" t="n"/>
      <c r="H186" s="8" t="n"/>
    </row>
    <row r="187">
      <c r="A187" s="5" t="n"/>
      <c r="D187" s="8" t="n"/>
      <c r="F187" s="8" t="n"/>
      <c r="H187" s="8" t="n"/>
    </row>
    <row r="188">
      <c r="A188" s="5" t="n"/>
      <c r="D188" s="8" t="n"/>
      <c r="F188" s="8" t="n"/>
      <c r="H188" s="8" t="n"/>
    </row>
    <row r="189">
      <c r="A189" s="5" t="n"/>
      <c r="D189" s="8" t="n"/>
      <c r="F189" s="8" t="n"/>
      <c r="H189" s="8" t="n"/>
    </row>
    <row r="190">
      <c r="A190" s="5" t="n"/>
      <c r="D190" s="8" t="n"/>
      <c r="F190" s="8" t="n"/>
      <c r="H190" s="8" t="n"/>
    </row>
    <row r="191">
      <c r="A191" s="5" t="n"/>
      <c r="D191" s="8" t="n"/>
      <c r="F191" s="8" t="n"/>
      <c r="H191" s="8" t="n"/>
    </row>
    <row r="192">
      <c r="A192" s="5" t="n"/>
      <c r="D192" s="8" t="n"/>
      <c r="F192" s="8" t="n"/>
      <c r="H192" s="8" t="n"/>
    </row>
    <row r="193">
      <c r="A193" s="5" t="n"/>
      <c r="D193" s="8" t="n"/>
      <c r="F193" s="8" t="n"/>
      <c r="H193" s="8" t="n"/>
    </row>
    <row r="194">
      <c r="A194" s="5" t="n"/>
      <c r="D194" s="8" t="n"/>
      <c r="F194" s="8" t="n"/>
      <c r="H194" s="8" t="n"/>
    </row>
    <row r="195">
      <c r="A195" s="5" t="n"/>
      <c r="D195" s="8" t="n"/>
      <c r="F195" s="8" t="n"/>
      <c r="H195" s="8" t="n"/>
    </row>
    <row r="196">
      <c r="A196" s="5" t="n"/>
      <c r="D196" s="8" t="n"/>
      <c r="F196" s="8" t="n"/>
      <c r="H196" s="8" t="n"/>
    </row>
    <row r="197">
      <c r="A197" s="5" t="n"/>
      <c r="D197" s="8" t="n"/>
      <c r="F197" s="8" t="n"/>
      <c r="H197" s="8" t="n"/>
    </row>
    <row r="198">
      <c r="A198" s="5" t="n"/>
      <c r="D198" s="8" t="n"/>
      <c r="F198" s="8" t="n"/>
      <c r="H198" s="8" t="n"/>
    </row>
    <row r="199">
      <c r="A199" s="5" t="n"/>
      <c r="D199" s="8" t="n"/>
      <c r="F199" s="8" t="n"/>
      <c r="H199" s="8" t="n"/>
    </row>
    <row r="200">
      <c r="A200" s="5" t="n"/>
      <c r="D200" s="8" t="n"/>
      <c r="F200" s="8" t="n"/>
      <c r="H200" s="8" t="n"/>
    </row>
    <row r="201">
      <c r="A201" s="5" t="n"/>
      <c r="D201" s="8" t="n"/>
      <c r="F201" s="8" t="n"/>
      <c r="H201" s="8" t="n"/>
    </row>
    <row r="202">
      <c r="A202" s="5" t="n"/>
      <c r="D202" s="8" t="n"/>
      <c r="F202" s="8" t="n"/>
      <c r="H202" s="8" t="n"/>
    </row>
    <row r="203">
      <c r="A203" s="5" t="n"/>
      <c r="D203" s="8" t="n"/>
      <c r="F203" s="8" t="n"/>
      <c r="H203" s="8" t="n"/>
    </row>
    <row r="204">
      <c r="A204" s="5" t="n"/>
      <c r="D204" s="8" t="n"/>
      <c r="F204" s="8" t="n"/>
      <c r="H204" s="8" t="n"/>
    </row>
    <row r="205">
      <c r="A205" s="5" t="n"/>
      <c r="D205" s="8" t="n"/>
      <c r="F205" s="8" t="n"/>
      <c r="H205" s="8" t="n"/>
    </row>
    <row r="206">
      <c r="A206" s="5" t="n"/>
      <c r="D206" s="8" t="n"/>
      <c r="F206" s="8" t="n"/>
      <c r="H206" s="8" t="n"/>
    </row>
    <row r="207">
      <c r="A207" s="5" t="n"/>
      <c r="D207" s="8" t="n"/>
      <c r="F207" s="8" t="n"/>
      <c r="H207" s="8" t="n"/>
    </row>
    <row r="208">
      <c r="A208" s="5" t="n"/>
      <c r="D208" s="8" t="n"/>
      <c r="F208" s="8" t="n"/>
      <c r="H208" s="8" t="n"/>
    </row>
    <row r="209">
      <c r="A209" s="5" t="n"/>
      <c r="D209" s="8" t="n"/>
      <c r="F209" s="8" t="n"/>
      <c r="H209" s="8" t="n"/>
    </row>
    <row r="210">
      <c r="A210" s="5" t="n"/>
      <c r="D210" s="8" t="n"/>
      <c r="F210" s="8" t="n"/>
      <c r="H210" s="8" t="n"/>
    </row>
    <row r="211">
      <c r="A211" s="5" t="n"/>
      <c r="D211" s="8" t="n"/>
      <c r="F211" s="8" t="n"/>
      <c r="H211" s="8" t="n"/>
    </row>
    <row r="212">
      <c r="A212" s="7" t="n"/>
      <c r="D212" s="8" t="n"/>
      <c r="F212" s="8" t="n"/>
      <c r="H212" s="8" t="n"/>
    </row>
    <row r="213">
      <c r="D213" s="8" t="n"/>
      <c r="F213" s="8" t="n"/>
      <c r="H213" s="8" t="n"/>
    </row>
    <row r="214">
      <c r="D214" s="8" t="n"/>
      <c r="F214" s="8" t="n"/>
      <c r="H214" s="8" t="n"/>
    </row>
    <row r="215">
      <c r="D215" s="8" t="n"/>
      <c r="F215" s="8" t="n"/>
      <c r="H215" s="8" t="n"/>
    </row>
    <row r="216">
      <c r="A216" s="3" t="n"/>
      <c r="D216" s="8" t="n"/>
      <c r="F216" s="8" t="n"/>
      <c r="H216" s="8" t="n"/>
    </row>
    <row r="217">
      <c r="A217" s="3" t="n"/>
      <c r="D217" s="8" t="n"/>
      <c r="F217" s="8" t="n"/>
      <c r="H217" s="8" t="n"/>
    </row>
    <row r="218">
      <c r="A218" s="5" t="n"/>
      <c r="D218" s="8" t="n"/>
      <c r="F218" s="8" t="n"/>
      <c r="H218" s="8" t="n"/>
    </row>
    <row r="219">
      <c r="A219" s="5" t="n"/>
      <c r="D219" s="8" t="n"/>
      <c r="F219" s="8" t="n"/>
      <c r="H219" s="8" t="n"/>
    </row>
    <row r="220">
      <c r="A220" s="5" t="n"/>
      <c r="D220" s="8" t="n"/>
      <c r="F220" s="8" t="n"/>
      <c r="H220" s="8" t="n"/>
    </row>
    <row r="221">
      <c r="A221" s="5" t="n"/>
      <c r="D221" s="8" t="n"/>
      <c r="F221" s="8" t="n"/>
      <c r="H221" s="8" t="n"/>
    </row>
    <row r="222">
      <c r="A222" s="5" t="n"/>
      <c r="D222" s="8" t="n"/>
      <c r="F222" s="8" t="n"/>
      <c r="H222" s="8" t="n"/>
    </row>
    <row r="223">
      <c r="A223" s="5" t="n"/>
      <c r="D223" s="8" t="n"/>
      <c r="F223" s="8" t="n"/>
      <c r="H223" s="8" t="n"/>
    </row>
    <row r="224">
      <c r="A224" s="5" t="n"/>
      <c r="D224" s="8" t="n"/>
      <c r="F224" s="8" t="n"/>
      <c r="H224" s="8" t="n"/>
    </row>
    <row r="225">
      <c r="A225" s="5" t="n"/>
      <c r="D225" s="8" t="n"/>
      <c r="F225" s="8" t="n"/>
      <c r="H225" s="8" t="n"/>
    </row>
    <row r="226">
      <c r="A226" s="5" t="n"/>
      <c r="D226" s="8" t="n"/>
      <c r="F226" s="8" t="n"/>
      <c r="H226" s="8" t="n"/>
    </row>
    <row r="227">
      <c r="A227" s="5" t="n"/>
      <c r="D227" s="8" t="n"/>
      <c r="F227" s="8" t="n"/>
      <c r="H227" s="8" t="n"/>
    </row>
    <row r="228">
      <c r="A228" s="5" t="n"/>
      <c r="D228" s="8" t="n"/>
      <c r="F228" s="8" t="n"/>
      <c r="H228" s="8" t="n"/>
    </row>
    <row r="229">
      <c r="A229" s="5" t="n"/>
      <c r="D229" s="8" t="n"/>
      <c r="F229" s="8" t="n"/>
      <c r="H229" s="8" t="n"/>
    </row>
    <row r="230">
      <c r="A230" s="5" t="n"/>
      <c r="D230" s="8" t="n"/>
      <c r="F230" s="8" t="n"/>
      <c r="H230" s="8" t="n"/>
    </row>
    <row r="231">
      <c r="A231" s="5" t="n"/>
      <c r="D231" s="8" t="n"/>
      <c r="F231" s="8" t="n"/>
      <c r="H231" s="8" t="n"/>
    </row>
    <row r="232">
      <c r="A232" s="5" t="n"/>
      <c r="D232" s="8" t="n"/>
      <c r="F232" s="8" t="n"/>
      <c r="H232" s="8" t="n"/>
    </row>
    <row r="233">
      <c r="A233" s="5" t="n"/>
      <c r="D233" s="8" t="n"/>
      <c r="F233" s="8" t="n"/>
      <c r="H233" s="8" t="n"/>
    </row>
    <row r="234">
      <c r="A234" s="5" t="n"/>
      <c r="D234" s="8" t="n"/>
      <c r="F234" s="8" t="n"/>
      <c r="H234" s="8" t="n"/>
    </row>
    <row r="235">
      <c r="A235" s="5" t="n"/>
      <c r="D235" s="8" t="n"/>
      <c r="F235" s="8" t="n"/>
      <c r="H235" s="8" t="n"/>
    </row>
    <row r="236">
      <c r="A236" s="5" t="n"/>
      <c r="D236" s="8" t="n"/>
      <c r="F236" s="8" t="n"/>
      <c r="H236" s="8" t="n"/>
    </row>
    <row r="237">
      <c r="A237" s="5" t="n"/>
      <c r="D237" s="8" t="n"/>
      <c r="F237" s="8" t="n"/>
      <c r="H237" s="8" t="n"/>
    </row>
    <row r="238">
      <c r="A238" s="5" t="n"/>
      <c r="D238" s="8" t="n"/>
      <c r="F238" s="8" t="n"/>
      <c r="H238" s="8" t="n"/>
    </row>
    <row r="239">
      <c r="A239" s="5" t="n"/>
      <c r="D239" s="8" t="n"/>
      <c r="F239" s="8" t="n"/>
      <c r="H239" s="8" t="n"/>
    </row>
    <row r="240">
      <c r="A240" s="5" t="n"/>
      <c r="D240" s="8" t="n"/>
      <c r="F240" s="8" t="n"/>
      <c r="H240" s="8" t="n"/>
    </row>
    <row r="241">
      <c r="A241" s="5" t="n"/>
      <c r="D241" s="8" t="n"/>
      <c r="F241" s="8" t="n"/>
      <c r="H241" s="8" t="n"/>
    </row>
    <row r="242">
      <c r="A242" s="5" t="n"/>
      <c r="D242" s="8" t="n"/>
      <c r="F242" s="8" t="n"/>
      <c r="H242" s="8" t="n"/>
    </row>
    <row r="243">
      <c r="A243" s="5" t="n"/>
      <c r="D243" s="8" t="n"/>
      <c r="F243" s="8" t="n"/>
      <c r="H243" s="8" t="n"/>
    </row>
    <row r="244">
      <c r="A244" s="5" t="n"/>
      <c r="D244" s="8" t="n"/>
      <c r="F244" s="8" t="n"/>
      <c r="H244" s="8" t="n"/>
    </row>
    <row r="245">
      <c r="A245" s="5" t="n"/>
      <c r="D245" s="8" t="n"/>
      <c r="F245" s="8" t="n"/>
      <c r="H245" s="8" t="n"/>
    </row>
    <row r="246">
      <c r="A246" s="5" t="n"/>
      <c r="D246" s="8" t="n"/>
      <c r="F246" s="8" t="n"/>
      <c r="H246" s="8" t="n"/>
    </row>
    <row r="247">
      <c r="A247" s="5" t="n"/>
      <c r="D247" s="8" t="n"/>
      <c r="F247" s="8" t="n"/>
      <c r="H247" s="8" t="n"/>
    </row>
    <row r="248">
      <c r="A248" s="5" t="n"/>
      <c r="D248" s="8" t="n"/>
      <c r="F248" s="8" t="n"/>
      <c r="H248" s="8" t="n"/>
    </row>
    <row r="249">
      <c r="A249" s="5" t="n"/>
      <c r="D249" s="8" t="n"/>
      <c r="F249" s="8" t="n"/>
      <c r="H249" s="8" t="n"/>
    </row>
    <row r="250">
      <c r="A250" s="5" t="n"/>
      <c r="D250" s="8" t="n"/>
      <c r="F250" s="8" t="n"/>
      <c r="H250" s="8" t="n"/>
    </row>
    <row r="251">
      <c r="A251" s="5" t="n"/>
      <c r="D251" s="8" t="n"/>
      <c r="F251" s="8" t="n"/>
      <c r="H251" s="8" t="n"/>
    </row>
    <row r="252">
      <c r="A252" s="5" t="n"/>
      <c r="D252" s="8" t="n"/>
      <c r="F252" s="8" t="n"/>
      <c r="H252" s="8" t="n"/>
    </row>
    <row r="253">
      <c r="A253" s="5" t="n"/>
      <c r="D253" s="8" t="n"/>
      <c r="F253" s="8" t="n"/>
      <c r="H253" s="8" t="n"/>
    </row>
    <row r="254">
      <c r="A254" s="5" t="n"/>
      <c r="D254" s="8" t="n"/>
      <c r="F254" s="8" t="n"/>
      <c r="H254" s="8" t="n"/>
    </row>
    <row r="255">
      <c r="A255" s="5" t="n"/>
      <c r="D255" s="8" t="n"/>
      <c r="F255" s="8" t="n"/>
      <c r="H255" s="8" t="n"/>
    </row>
    <row r="256">
      <c r="A256" s="5" t="n"/>
      <c r="D256" s="8" t="n"/>
      <c r="F256" s="8" t="n"/>
      <c r="H256" s="8" t="n"/>
    </row>
    <row r="257">
      <c r="A257" s="5" t="n"/>
      <c r="D257" s="8" t="n"/>
      <c r="F257" s="8" t="n"/>
      <c r="H257" s="8" t="n"/>
    </row>
    <row r="258">
      <c r="A258" s="5" t="n"/>
      <c r="D258" s="8" t="n"/>
      <c r="F258" s="8" t="n"/>
      <c r="H258" s="8" t="n"/>
    </row>
    <row r="259">
      <c r="A259" s="5" t="n"/>
      <c r="D259" s="8" t="n"/>
      <c r="F259" s="8" t="n"/>
      <c r="H259" s="8" t="n"/>
    </row>
    <row r="260">
      <c r="A260" s="5" t="n"/>
      <c r="D260" s="8" t="n"/>
      <c r="F260" s="8" t="n"/>
      <c r="H260" s="8" t="n"/>
    </row>
    <row r="261">
      <c r="A261" s="5" t="n"/>
      <c r="D261" s="8" t="n"/>
      <c r="F261" s="8" t="n"/>
      <c r="H261" s="8" t="n"/>
    </row>
    <row r="262">
      <c r="A262" s="5" t="n"/>
      <c r="D262" s="8" t="n"/>
      <c r="F262" s="8" t="n"/>
      <c r="H262" s="8" t="n"/>
    </row>
    <row r="263">
      <c r="A263" s="5" t="n"/>
      <c r="D263" s="8" t="n"/>
      <c r="F263" s="8" t="n"/>
      <c r="H263" s="8" t="n"/>
    </row>
    <row r="264">
      <c r="A264" s="5" t="n"/>
      <c r="D264" s="8" t="n"/>
      <c r="F264" s="8" t="n"/>
      <c r="H264" s="8" t="n"/>
    </row>
    <row r="265">
      <c r="A265" s="5" t="n"/>
      <c r="D265" s="8" t="n"/>
      <c r="F265" s="8" t="n"/>
      <c r="H265" s="8" t="n"/>
    </row>
    <row r="266">
      <c r="A266" s="5" t="n"/>
      <c r="D266" s="8" t="n"/>
      <c r="F266" s="8" t="n"/>
      <c r="H266" s="8" t="n"/>
    </row>
    <row r="267">
      <c r="A267" s="5" t="n"/>
      <c r="D267" s="8" t="n"/>
      <c r="F267" s="8" t="n"/>
      <c r="H267" s="8" t="n"/>
    </row>
    <row r="268">
      <c r="A268" s="5" t="n"/>
      <c r="D268" s="8" t="n"/>
      <c r="F268" s="8" t="n"/>
      <c r="H268" s="8" t="n"/>
    </row>
    <row r="269">
      <c r="A269" s="5" t="n"/>
      <c r="D269" s="8" t="n"/>
      <c r="F269" s="8" t="n"/>
      <c r="H269" s="8" t="n"/>
    </row>
    <row r="270">
      <c r="A270" s="5" t="n"/>
      <c r="D270" s="8" t="n"/>
      <c r="F270" s="8" t="n"/>
      <c r="H270" s="8" t="n"/>
    </row>
    <row r="271">
      <c r="A271" s="5" t="n"/>
      <c r="D271" s="8" t="n"/>
      <c r="F271" s="8" t="n"/>
      <c r="H271" s="8" t="n"/>
    </row>
    <row r="272">
      <c r="A272" s="5" t="n"/>
      <c r="D272" s="8" t="n"/>
      <c r="F272" s="8" t="n"/>
      <c r="H272" s="8" t="n"/>
    </row>
    <row r="273">
      <c r="A273" s="5" t="n"/>
      <c r="D273" s="8" t="n"/>
      <c r="F273" s="8" t="n"/>
      <c r="H273" s="8" t="n"/>
    </row>
    <row r="274">
      <c r="A274" s="5" t="n"/>
      <c r="D274" s="8" t="n"/>
      <c r="F274" s="8" t="n"/>
      <c r="H274" s="8" t="n"/>
    </row>
    <row r="275">
      <c r="A275" s="5" t="n"/>
      <c r="D275" s="8" t="n"/>
      <c r="F275" s="8" t="n"/>
      <c r="H275" s="8" t="n"/>
    </row>
    <row r="276">
      <c r="A276" s="5" t="n"/>
      <c r="D276" s="8" t="n"/>
      <c r="F276" s="8" t="n"/>
      <c r="H276" s="8" t="n"/>
    </row>
    <row r="277">
      <c r="A277" s="5" t="n"/>
      <c r="D277" s="8" t="n"/>
      <c r="F277" s="8" t="n"/>
      <c r="H277" s="8" t="n"/>
    </row>
    <row r="278">
      <c r="A278" s="5" t="n"/>
      <c r="D278" s="8" t="n"/>
      <c r="F278" s="8" t="n"/>
      <c r="H278" s="8" t="n"/>
    </row>
    <row r="279">
      <c r="A279" s="5" t="n"/>
      <c r="D279" s="8" t="n"/>
      <c r="F279" s="8" t="n"/>
      <c r="H279" s="8" t="n"/>
    </row>
    <row r="280">
      <c r="A280" s="5" t="n"/>
      <c r="D280" s="8" t="n"/>
      <c r="F280" s="8" t="n"/>
      <c r="H280" s="8" t="n"/>
    </row>
    <row r="281">
      <c r="A281" s="5" t="n"/>
      <c r="D281" s="8" t="n"/>
      <c r="F281" s="8" t="n"/>
      <c r="H281" s="8" t="n"/>
    </row>
    <row r="282">
      <c r="A282" s="5" t="n"/>
      <c r="D282" s="8" t="n"/>
      <c r="F282" s="8" t="n"/>
      <c r="H282" s="8" t="n"/>
    </row>
    <row r="283">
      <c r="A283" s="5" t="n"/>
      <c r="D283" s="8" t="n"/>
      <c r="F283" s="8" t="n"/>
      <c r="H283" s="8" t="n"/>
    </row>
    <row r="284">
      <c r="A284" s="5" t="n"/>
      <c r="D284" s="8" t="n"/>
      <c r="F284" s="8" t="n"/>
      <c r="H284" s="8" t="n"/>
    </row>
    <row r="285">
      <c r="A285" s="7" t="n"/>
      <c r="D285" s="8" t="n"/>
      <c r="F285" s="8" t="n"/>
      <c r="H285" s="8" t="n"/>
    </row>
    <row r="286">
      <c r="D286" s="8" t="n"/>
      <c r="F286" s="8" t="n"/>
      <c r="H286" s="8" t="n"/>
    </row>
    <row r="287">
      <c r="D287" s="8" t="n"/>
      <c r="F287" s="8" t="n"/>
      <c r="H287" s="8" t="n"/>
    </row>
    <row r="288">
      <c r="D288" s="8" t="n"/>
      <c r="F288" s="8" t="n"/>
      <c r="H288" s="8" t="n"/>
    </row>
    <row r="289">
      <c r="A289" s="3" t="n"/>
      <c r="D289" s="8" t="n"/>
      <c r="F289" s="8" t="n"/>
      <c r="H289" s="8" t="n"/>
    </row>
    <row r="290">
      <c r="A290" s="3" t="n"/>
      <c r="D290" s="8" t="n"/>
      <c r="F290" s="8" t="n"/>
      <c r="H290" s="8" t="n"/>
    </row>
    <row r="291">
      <c r="A291" s="5" t="n"/>
      <c r="D291" s="8" t="n"/>
      <c r="F291" s="8" t="n"/>
      <c r="H291" s="8" t="n"/>
    </row>
    <row r="292">
      <c r="A292" s="5" t="n"/>
      <c r="D292" s="8" t="n"/>
      <c r="F292" s="8" t="n"/>
      <c r="H292" s="8" t="n"/>
    </row>
    <row r="293">
      <c r="A293" s="5" t="n"/>
      <c r="D293" s="8" t="n"/>
      <c r="F293" s="8" t="n"/>
      <c r="H293" s="8" t="n"/>
    </row>
    <row r="294">
      <c r="A294" s="5" t="n"/>
      <c r="D294" s="8" t="n"/>
      <c r="F294" s="8" t="n"/>
      <c r="H294" s="8" t="n"/>
    </row>
    <row r="295">
      <c r="A295" s="5" t="n"/>
      <c r="D295" s="8" t="n"/>
      <c r="F295" s="8" t="n"/>
      <c r="H295" s="8" t="n"/>
    </row>
    <row r="296">
      <c r="A296" s="5" t="n"/>
      <c r="D296" s="8" t="n"/>
      <c r="F296" s="8" t="n"/>
      <c r="H296" s="8" t="n"/>
    </row>
    <row r="297">
      <c r="A297" s="5" t="n"/>
      <c r="D297" s="8" t="n"/>
      <c r="F297" s="8" t="n"/>
      <c r="H297" s="8" t="n"/>
    </row>
    <row r="298">
      <c r="A298" s="5" t="n"/>
      <c r="D298" s="8" t="n"/>
      <c r="F298" s="8" t="n"/>
      <c r="H298" s="8" t="n"/>
    </row>
    <row r="299">
      <c r="A299" s="5" t="n"/>
      <c r="D299" s="8" t="n"/>
      <c r="F299" s="8" t="n"/>
      <c r="H299" s="8" t="n"/>
    </row>
    <row r="300">
      <c r="A300" s="5" t="n"/>
      <c r="D300" s="8" t="n"/>
      <c r="F300" s="8" t="n"/>
      <c r="H300" s="8" t="n"/>
    </row>
    <row r="301">
      <c r="A301" s="5" t="n"/>
      <c r="D301" s="8" t="n"/>
      <c r="F301" s="8" t="n"/>
      <c r="H301" s="8" t="n"/>
    </row>
    <row r="302">
      <c r="A302" s="5" t="n"/>
      <c r="D302" s="8" t="n"/>
      <c r="F302" s="8" t="n"/>
      <c r="H302" s="8" t="n"/>
    </row>
    <row r="303">
      <c r="A303" s="5" t="n"/>
      <c r="D303" s="8" t="n"/>
      <c r="F303" s="8" t="n"/>
      <c r="H303" s="8" t="n"/>
    </row>
    <row r="304">
      <c r="A304" s="5" t="n"/>
      <c r="D304" s="8" t="n"/>
      <c r="F304" s="8" t="n"/>
      <c r="H304" s="8" t="n"/>
    </row>
    <row r="305">
      <c r="A305" s="5" t="n"/>
      <c r="D305" s="8" t="n"/>
      <c r="F305" s="8" t="n"/>
      <c r="H305" s="8" t="n"/>
    </row>
    <row r="306">
      <c r="A306" s="5" t="n"/>
      <c r="D306" s="8" t="n"/>
      <c r="F306" s="8" t="n"/>
      <c r="H306" s="8" t="n"/>
    </row>
    <row r="307">
      <c r="A307" s="5" t="n"/>
      <c r="D307" s="8" t="n"/>
      <c r="F307" s="8" t="n"/>
      <c r="H307" s="8" t="n"/>
    </row>
    <row r="308">
      <c r="A308" s="5" t="n"/>
      <c r="D308" s="8" t="n"/>
      <c r="F308" s="8" t="n"/>
      <c r="H308" s="8" t="n"/>
    </row>
    <row r="309">
      <c r="A309" s="5" t="n"/>
      <c r="D309" s="8" t="n"/>
      <c r="F309" s="8" t="n"/>
      <c r="H309" s="8" t="n"/>
    </row>
    <row r="310">
      <c r="A310" s="5" t="n"/>
      <c r="D310" s="8" t="n"/>
      <c r="F310" s="8" t="n"/>
      <c r="H310" s="8" t="n"/>
    </row>
    <row r="311">
      <c r="A311" s="5" t="n"/>
      <c r="D311" s="8" t="n"/>
      <c r="F311" s="8" t="n"/>
      <c r="H311" s="8" t="n"/>
    </row>
    <row r="312">
      <c r="A312" s="5" t="n"/>
      <c r="D312" s="8" t="n"/>
      <c r="F312" s="8" t="n"/>
      <c r="H312" s="8" t="n"/>
    </row>
    <row r="313">
      <c r="A313" s="5" t="n"/>
      <c r="D313" s="8" t="n"/>
      <c r="F313" s="8" t="n"/>
      <c r="H313" s="8" t="n"/>
    </row>
    <row r="314">
      <c r="A314" s="5" t="n"/>
      <c r="D314" s="8" t="n"/>
      <c r="F314" s="8" t="n"/>
      <c r="H314" s="8" t="n"/>
    </row>
    <row r="315">
      <c r="A315" s="5" t="n"/>
      <c r="D315" s="8" t="n"/>
      <c r="F315" s="8" t="n"/>
      <c r="H315" s="8" t="n"/>
    </row>
    <row r="316">
      <c r="A316" s="5" t="n"/>
      <c r="D316" s="8" t="n"/>
      <c r="F316" s="8" t="n"/>
      <c r="H316" s="8" t="n"/>
    </row>
    <row r="317">
      <c r="A317" s="5" t="n"/>
      <c r="D317" s="8" t="n"/>
      <c r="F317" s="8" t="n"/>
      <c r="H317" s="8" t="n"/>
    </row>
    <row r="318">
      <c r="A318" s="5" t="n"/>
      <c r="D318" s="8" t="n"/>
      <c r="F318" s="8" t="n"/>
      <c r="H318" s="8" t="n"/>
    </row>
    <row r="319">
      <c r="A319" s="5" t="n"/>
      <c r="D319" s="8" t="n"/>
      <c r="F319" s="8" t="n"/>
      <c r="H319" s="8" t="n"/>
    </row>
    <row r="320">
      <c r="A320" s="5" t="n"/>
      <c r="D320" s="8" t="n"/>
      <c r="F320" s="8" t="n"/>
      <c r="H320" s="8" t="n"/>
    </row>
    <row r="321">
      <c r="A321" s="5" t="n"/>
      <c r="D321" s="8" t="n"/>
      <c r="F321" s="8" t="n"/>
      <c r="H321" s="8" t="n"/>
    </row>
    <row r="322">
      <c r="A322" s="5" t="n"/>
      <c r="D322" s="8" t="n"/>
      <c r="F322" s="8" t="n"/>
      <c r="H322" s="8" t="n"/>
    </row>
    <row r="323">
      <c r="A323" s="5" t="n"/>
      <c r="D323" s="8" t="n"/>
      <c r="F323" s="8" t="n"/>
      <c r="H323" s="8" t="n"/>
    </row>
    <row r="324">
      <c r="A324" s="5" t="n"/>
      <c r="D324" s="8" t="n"/>
      <c r="F324" s="8" t="n"/>
      <c r="H324" s="8" t="n"/>
    </row>
    <row r="325">
      <c r="A325" s="5" t="n"/>
      <c r="D325" s="8" t="n"/>
      <c r="F325" s="8" t="n"/>
      <c r="H325" s="8" t="n"/>
    </row>
    <row r="326">
      <c r="A326" s="5" t="n"/>
      <c r="D326" s="8" t="n"/>
      <c r="F326" s="8" t="n"/>
      <c r="H326" s="8" t="n"/>
    </row>
    <row r="327">
      <c r="A327" s="5" t="n"/>
      <c r="D327" s="8" t="n"/>
      <c r="F327" s="8" t="n"/>
      <c r="H327" s="8" t="n"/>
    </row>
    <row r="328">
      <c r="A328" s="5" t="n"/>
      <c r="D328" s="8" t="n"/>
      <c r="F328" s="8" t="n"/>
      <c r="H328" s="8" t="n"/>
    </row>
    <row r="329">
      <c r="A329" s="5" t="n"/>
      <c r="D329" s="8" t="n"/>
      <c r="F329" s="8" t="n"/>
      <c r="H329" s="8" t="n"/>
    </row>
    <row r="330">
      <c r="A330" s="5" t="n"/>
      <c r="D330" s="8" t="n"/>
      <c r="F330" s="8" t="n"/>
      <c r="H330" s="8" t="n"/>
    </row>
    <row r="331">
      <c r="A331" s="5" t="n"/>
      <c r="D331" s="8" t="n"/>
      <c r="F331" s="8" t="n"/>
      <c r="H331" s="8" t="n"/>
    </row>
    <row r="332">
      <c r="A332" s="5" t="n"/>
      <c r="D332" s="8" t="n"/>
      <c r="F332" s="8" t="n"/>
      <c r="H332" s="8" t="n"/>
    </row>
    <row r="333">
      <c r="A333" s="5" t="n"/>
      <c r="D333" s="8" t="n"/>
      <c r="F333" s="8" t="n"/>
      <c r="H333" s="8" t="n"/>
    </row>
    <row r="334">
      <c r="A334" s="5" t="n"/>
      <c r="D334" s="8" t="n"/>
      <c r="F334" s="8" t="n"/>
      <c r="H334" s="8" t="n"/>
    </row>
    <row r="335">
      <c r="A335" s="5" t="n"/>
      <c r="D335" s="8" t="n"/>
      <c r="F335" s="8" t="n"/>
      <c r="H335" s="8" t="n"/>
    </row>
    <row r="336">
      <c r="A336" s="5" t="n"/>
      <c r="D336" s="8" t="n"/>
      <c r="F336" s="8" t="n"/>
      <c r="H336" s="8" t="n"/>
    </row>
    <row r="337">
      <c r="A337" s="5" t="n"/>
      <c r="D337" s="8" t="n"/>
      <c r="F337" s="8" t="n"/>
      <c r="H337" s="8" t="n"/>
    </row>
    <row r="338">
      <c r="A338" s="5" t="n"/>
      <c r="D338" s="8" t="n"/>
      <c r="F338" s="8" t="n"/>
      <c r="H338" s="8" t="n"/>
    </row>
    <row r="339">
      <c r="A339" s="5" t="n"/>
      <c r="D339" s="8" t="n"/>
      <c r="F339" s="8" t="n"/>
      <c r="H339" s="8" t="n"/>
    </row>
    <row r="340">
      <c r="A340" s="5" t="n"/>
      <c r="D340" s="8" t="n"/>
      <c r="F340" s="8" t="n"/>
      <c r="H340" s="8" t="n"/>
    </row>
    <row r="341">
      <c r="A341" s="5" t="n"/>
      <c r="D341" s="8" t="n"/>
      <c r="F341" s="8" t="n"/>
      <c r="H341" s="8" t="n"/>
    </row>
    <row r="342">
      <c r="A342" s="5" t="n"/>
      <c r="D342" s="8" t="n"/>
      <c r="F342" s="8" t="n"/>
      <c r="H342" s="8" t="n"/>
    </row>
    <row r="343">
      <c r="A343" s="5" t="n"/>
      <c r="D343" s="8" t="n"/>
      <c r="F343" s="8" t="n"/>
      <c r="H343" s="8" t="n"/>
    </row>
    <row r="344">
      <c r="A344" s="5" t="n"/>
      <c r="D344" s="8" t="n"/>
      <c r="F344" s="8" t="n"/>
      <c r="H344" s="8" t="n"/>
    </row>
    <row r="345">
      <c r="A345" s="5" t="n"/>
      <c r="D345" s="8" t="n"/>
      <c r="F345" s="8" t="n"/>
      <c r="H345" s="8" t="n"/>
    </row>
    <row r="346">
      <c r="A346" s="5" t="n"/>
      <c r="D346" s="8" t="n"/>
      <c r="F346" s="8" t="n"/>
      <c r="H346" s="8" t="n"/>
    </row>
    <row r="347">
      <c r="A347" s="5" t="n"/>
      <c r="D347" s="8" t="n"/>
      <c r="F347" s="8" t="n"/>
      <c r="H347" s="8" t="n"/>
    </row>
    <row r="348">
      <c r="A348" s="5" t="n"/>
      <c r="D348" s="8" t="n"/>
      <c r="F348" s="8" t="n"/>
      <c r="H348" s="8" t="n"/>
    </row>
    <row r="349">
      <c r="A349" s="5" t="n"/>
      <c r="D349" s="8" t="n"/>
      <c r="F349" s="8" t="n"/>
      <c r="H349" s="8" t="n"/>
    </row>
    <row r="350">
      <c r="A350" s="5" t="n"/>
      <c r="D350" s="8" t="n"/>
      <c r="F350" s="8" t="n"/>
      <c r="H350" s="8" t="n"/>
    </row>
    <row r="351">
      <c r="A351" s="5" t="n"/>
      <c r="D351" s="8" t="n"/>
      <c r="F351" s="8" t="n"/>
      <c r="H351" s="8" t="n"/>
    </row>
    <row r="352">
      <c r="A352" s="5" t="n"/>
      <c r="D352" s="8" t="n"/>
      <c r="F352" s="8" t="n"/>
      <c r="H352" s="8" t="n"/>
    </row>
    <row r="353">
      <c r="A353" s="5" t="n"/>
      <c r="D353" s="8" t="n"/>
      <c r="F353" s="8" t="n"/>
      <c r="H353" s="8" t="n"/>
    </row>
    <row r="354">
      <c r="A354" s="5" t="n"/>
      <c r="D354" s="8" t="n"/>
      <c r="F354" s="8" t="n"/>
      <c r="H354" s="8" t="n"/>
    </row>
    <row r="355">
      <c r="A355" s="5" t="n"/>
      <c r="D355" s="8" t="n"/>
      <c r="F355" s="8" t="n"/>
      <c r="H355" s="8" t="n"/>
    </row>
    <row r="356">
      <c r="A356" s="5" t="n"/>
      <c r="D356" s="8" t="n"/>
      <c r="F356" s="8" t="n"/>
      <c r="H356" s="8" t="n"/>
    </row>
    <row r="357">
      <c r="A357" s="5" t="n"/>
      <c r="D357" s="8" t="n"/>
      <c r="F357" s="8" t="n"/>
      <c r="H357" s="8" t="n"/>
    </row>
    <row r="358">
      <c r="A358" s="7" t="n"/>
      <c r="D358" s="8" t="n"/>
      <c r="F358" s="8" t="n"/>
      <c r="H358" s="8" t="n"/>
    </row>
    <row r="359">
      <c r="D359" s="8" t="n"/>
      <c r="F359" s="8" t="n"/>
      <c r="H359" s="8" t="n"/>
    </row>
    <row r="360">
      <c r="D360" s="8" t="n"/>
      <c r="F360" s="8" t="n"/>
      <c r="H360" s="8" t="n"/>
    </row>
    <row r="361">
      <c r="D361" s="8" t="n"/>
      <c r="F361" s="8" t="n"/>
      <c r="H361" s="8" t="n"/>
    </row>
    <row r="362">
      <c r="A362" s="3" t="n"/>
      <c r="D362" s="8" t="n"/>
      <c r="F362" s="8" t="n"/>
      <c r="H362" s="8" t="n"/>
    </row>
    <row r="363">
      <c r="A363" s="3" t="n"/>
      <c r="D363" s="8" t="n"/>
      <c r="F363" s="8" t="n"/>
      <c r="H363" s="8" t="n"/>
    </row>
    <row r="364">
      <c r="A364" s="5" t="n"/>
      <c r="D364" s="8" t="n"/>
      <c r="F364" s="8" t="n"/>
      <c r="H364" s="8" t="n"/>
    </row>
    <row r="365">
      <c r="A365" s="5" t="n"/>
      <c r="D365" s="8" t="n"/>
      <c r="F365" s="8" t="n"/>
      <c r="H365" s="8" t="n"/>
    </row>
    <row r="366">
      <c r="A366" s="5" t="n"/>
      <c r="D366" s="8" t="n"/>
      <c r="F366" s="8" t="n"/>
      <c r="H366" s="8" t="n"/>
    </row>
    <row r="367">
      <c r="A367" s="5" t="n"/>
      <c r="D367" s="8" t="n"/>
      <c r="F367" s="8" t="n"/>
      <c r="H367" s="8" t="n"/>
    </row>
    <row r="368">
      <c r="A368" s="5" t="n"/>
      <c r="D368" s="8" t="n"/>
      <c r="F368" s="8" t="n"/>
      <c r="H368" s="8" t="n"/>
    </row>
    <row r="369">
      <c r="A369" s="5" t="n"/>
      <c r="D369" s="8" t="n"/>
      <c r="F369" s="8" t="n"/>
      <c r="H369" s="8" t="n"/>
    </row>
    <row r="370">
      <c r="A370" s="5" t="n"/>
      <c r="D370" s="8" t="n"/>
      <c r="F370" s="8" t="n"/>
      <c r="H370" s="8" t="n"/>
    </row>
    <row r="371">
      <c r="A371" s="5" t="n"/>
      <c r="D371" s="8" t="n"/>
      <c r="F371" s="8" t="n"/>
      <c r="H371" s="8" t="n"/>
    </row>
    <row r="372">
      <c r="A372" s="5" t="n"/>
      <c r="D372" s="8" t="n"/>
      <c r="F372" s="8" t="n"/>
      <c r="H372" s="8" t="n"/>
    </row>
    <row r="373">
      <c r="A373" s="5" t="n"/>
      <c r="D373" s="8" t="n"/>
      <c r="F373" s="8" t="n"/>
      <c r="H373" s="8" t="n"/>
    </row>
    <row r="374">
      <c r="A374" s="5" t="n"/>
      <c r="D374" s="8" t="n"/>
      <c r="F374" s="8" t="n"/>
      <c r="H374" s="8" t="n"/>
    </row>
    <row r="375">
      <c r="A375" s="5" t="n"/>
      <c r="D375" s="8" t="n"/>
      <c r="F375" s="8" t="n"/>
      <c r="H375" s="8" t="n"/>
    </row>
    <row r="376">
      <c r="A376" s="5" t="n"/>
      <c r="D376" s="8" t="n"/>
      <c r="F376" s="8" t="n"/>
      <c r="H376" s="8" t="n"/>
    </row>
    <row r="377">
      <c r="A377" s="5" t="n"/>
      <c r="D377" s="8" t="n"/>
      <c r="F377" s="8" t="n"/>
      <c r="H377" s="8" t="n"/>
    </row>
    <row r="378">
      <c r="A378" s="5" t="n"/>
      <c r="D378" s="8" t="n"/>
      <c r="F378" s="8" t="n"/>
      <c r="H378" s="8" t="n"/>
    </row>
    <row r="379">
      <c r="A379" s="5" t="n"/>
      <c r="D379" s="8" t="n"/>
      <c r="F379" s="8" t="n"/>
      <c r="H379" s="8" t="n"/>
    </row>
    <row r="380">
      <c r="A380" s="5" t="n"/>
      <c r="D380" s="8" t="n"/>
      <c r="F380" s="8" t="n"/>
      <c r="H380" s="8" t="n"/>
    </row>
    <row r="381">
      <c r="A381" s="5" t="n"/>
      <c r="D381" s="8" t="n"/>
      <c r="F381" s="8" t="n"/>
      <c r="H381" s="8" t="n"/>
    </row>
    <row r="382">
      <c r="A382" s="5" t="n"/>
      <c r="D382" s="8" t="n"/>
      <c r="F382" s="8" t="n"/>
      <c r="H382" s="8" t="n"/>
    </row>
    <row r="383">
      <c r="A383" s="5" t="n"/>
      <c r="D383" s="8" t="n"/>
      <c r="F383" s="8" t="n"/>
      <c r="H383" s="8" t="n"/>
    </row>
    <row r="384">
      <c r="A384" s="5" t="n"/>
      <c r="D384" s="8" t="n"/>
      <c r="F384" s="8" t="n"/>
      <c r="H384" s="8" t="n"/>
    </row>
    <row r="385">
      <c r="A385" s="5" t="n"/>
      <c r="D385" s="8" t="n"/>
      <c r="F385" s="8" t="n"/>
      <c r="H385" s="8" t="n"/>
    </row>
    <row r="386">
      <c r="A386" s="5" t="n"/>
      <c r="D386" s="8" t="n"/>
      <c r="F386" s="8" t="n"/>
      <c r="H386" s="8" t="n"/>
    </row>
    <row r="387">
      <c r="A387" s="5" t="n"/>
      <c r="D387" s="8" t="n"/>
      <c r="F387" s="8" t="n"/>
      <c r="H387" s="8" t="n"/>
    </row>
    <row r="388">
      <c r="A388" s="5" t="n"/>
      <c r="D388" s="8" t="n"/>
      <c r="F388" s="8" t="n"/>
      <c r="H388" s="8" t="n"/>
    </row>
    <row r="389">
      <c r="A389" s="5" t="n"/>
      <c r="D389" s="8" t="n"/>
      <c r="F389" s="8" t="n"/>
      <c r="H389" s="8" t="n"/>
    </row>
    <row r="390">
      <c r="A390" s="5" t="n"/>
      <c r="D390" s="8" t="n"/>
      <c r="F390" s="8" t="n"/>
      <c r="H390" s="8" t="n"/>
    </row>
    <row r="391">
      <c r="A391" s="5" t="n"/>
      <c r="D391" s="8" t="n"/>
      <c r="F391" s="8" t="n"/>
      <c r="H391" s="8" t="n"/>
    </row>
    <row r="392">
      <c r="A392" s="5" t="n"/>
      <c r="D392" s="8" t="n"/>
      <c r="F392" s="8" t="n"/>
      <c r="H392" s="8" t="n"/>
    </row>
    <row r="393">
      <c r="A393" s="5" t="n"/>
      <c r="D393" s="8" t="n"/>
      <c r="F393" s="8" t="n"/>
      <c r="H393" s="8" t="n"/>
    </row>
    <row r="394">
      <c r="A394" s="5" t="n"/>
      <c r="D394" s="8" t="n"/>
      <c r="F394" s="8" t="n"/>
      <c r="H394" s="8" t="n"/>
    </row>
    <row r="395">
      <c r="A395" s="5" t="n"/>
      <c r="D395" s="8" t="n"/>
      <c r="F395" s="8" t="n"/>
      <c r="H395" s="8" t="n"/>
    </row>
    <row r="396">
      <c r="A396" s="5" t="n"/>
      <c r="D396" s="8" t="n"/>
      <c r="F396" s="8" t="n"/>
      <c r="H396" s="8" t="n"/>
    </row>
    <row r="397">
      <c r="A397" s="5" t="n"/>
      <c r="D397" s="8" t="n"/>
      <c r="F397" s="8" t="n"/>
      <c r="H397" s="8" t="n"/>
    </row>
    <row r="398">
      <c r="A398" s="5" t="n"/>
      <c r="D398" s="8" t="n"/>
      <c r="F398" s="8" t="n"/>
      <c r="H398" s="8" t="n"/>
    </row>
    <row r="399">
      <c r="A399" s="5" t="n"/>
      <c r="D399" s="8" t="n"/>
      <c r="F399" s="8" t="n"/>
      <c r="H399" s="8" t="n"/>
    </row>
    <row r="400">
      <c r="A400" s="5" t="n"/>
      <c r="D400" s="8" t="n"/>
      <c r="F400" s="8" t="n"/>
      <c r="H400" s="8" t="n"/>
    </row>
    <row r="401">
      <c r="A401" s="5" t="n"/>
      <c r="D401" s="8" t="n"/>
      <c r="F401" s="8" t="n"/>
      <c r="H401" s="8" t="n"/>
    </row>
    <row r="402">
      <c r="A402" s="5" t="n"/>
      <c r="D402" s="8" t="n"/>
      <c r="F402" s="8" t="n"/>
      <c r="H402" s="8" t="n"/>
    </row>
    <row r="403">
      <c r="A403" s="5" t="n"/>
      <c r="D403" s="8" t="n"/>
      <c r="F403" s="8" t="n"/>
      <c r="H403" s="8" t="n"/>
    </row>
    <row r="404">
      <c r="A404" s="5" t="n"/>
      <c r="D404" s="8" t="n"/>
      <c r="F404" s="8" t="n"/>
      <c r="H404" s="8" t="n"/>
    </row>
    <row r="405">
      <c r="A405" s="5" t="n"/>
      <c r="D405" s="8" t="n"/>
      <c r="F405" s="8" t="n"/>
      <c r="H405" s="8" t="n"/>
    </row>
    <row r="406">
      <c r="A406" s="5" t="n"/>
      <c r="D406" s="8" t="n"/>
      <c r="F406" s="8" t="n"/>
      <c r="H406" s="8" t="n"/>
    </row>
    <row r="407">
      <c r="A407" s="5" t="n"/>
      <c r="D407" s="8" t="n"/>
      <c r="F407" s="8" t="n"/>
      <c r="H407" s="8" t="n"/>
    </row>
    <row r="408">
      <c r="A408" s="5" t="n"/>
      <c r="D408" s="8" t="n"/>
      <c r="F408" s="8" t="n"/>
      <c r="H408" s="8" t="n"/>
    </row>
    <row r="409">
      <c r="A409" s="5" t="n"/>
      <c r="D409" s="8" t="n"/>
      <c r="F409" s="8" t="n"/>
      <c r="H409" s="8" t="n"/>
    </row>
    <row r="410">
      <c r="A410" s="5" t="n"/>
      <c r="D410" s="8" t="n"/>
      <c r="F410" s="8" t="n"/>
      <c r="H410" s="8" t="n"/>
    </row>
    <row r="411">
      <c r="A411" s="5" t="n"/>
      <c r="D411" s="8" t="n"/>
      <c r="F411" s="8" t="n"/>
      <c r="H411" s="8" t="n"/>
    </row>
    <row r="412">
      <c r="A412" s="5" t="n"/>
      <c r="D412" s="8" t="n"/>
      <c r="F412" s="8" t="n"/>
      <c r="H412" s="8" t="n"/>
    </row>
    <row r="413">
      <c r="A413" s="5" t="n"/>
      <c r="D413" s="8" t="n"/>
      <c r="F413" s="8" t="n"/>
      <c r="H413" s="8" t="n"/>
    </row>
    <row r="414">
      <c r="A414" s="5" t="n"/>
      <c r="D414" s="8" t="n"/>
      <c r="F414" s="8" t="n"/>
      <c r="H414" s="8" t="n"/>
    </row>
    <row r="415">
      <c r="A415" s="5" t="n"/>
      <c r="D415" s="8" t="n"/>
      <c r="F415" s="8" t="n"/>
      <c r="H415" s="8" t="n"/>
    </row>
    <row r="416">
      <c r="A416" s="5" t="n"/>
      <c r="D416" s="8" t="n"/>
      <c r="F416" s="8" t="n"/>
      <c r="H416" s="8" t="n"/>
    </row>
    <row r="417">
      <c r="A417" s="5" t="n"/>
      <c r="D417" s="8" t="n"/>
      <c r="F417" s="8" t="n"/>
      <c r="H417" s="8" t="n"/>
    </row>
    <row r="418">
      <c r="A418" s="5" t="n"/>
      <c r="D418" s="8" t="n"/>
      <c r="F418" s="8" t="n"/>
      <c r="H418" s="8" t="n"/>
    </row>
    <row r="419">
      <c r="A419" s="5" t="n"/>
      <c r="D419" s="8" t="n"/>
      <c r="F419" s="8" t="n"/>
      <c r="H419" s="8" t="n"/>
    </row>
    <row r="420">
      <c r="A420" s="5" t="n"/>
      <c r="D420" s="8" t="n"/>
      <c r="F420" s="8" t="n"/>
      <c r="H420" s="8" t="n"/>
    </row>
    <row r="421">
      <c r="A421" s="5" t="n"/>
      <c r="D421" s="8" t="n"/>
      <c r="F421" s="8" t="n"/>
      <c r="H421" s="8" t="n"/>
    </row>
    <row r="422">
      <c r="A422" s="5" t="n"/>
      <c r="D422" s="8" t="n"/>
      <c r="F422" s="8" t="n"/>
      <c r="H422" s="8" t="n"/>
    </row>
    <row r="423">
      <c r="A423" s="5" t="n"/>
      <c r="D423" s="8" t="n"/>
      <c r="F423" s="8" t="n"/>
      <c r="H423" s="8" t="n"/>
    </row>
    <row r="424">
      <c r="A424" s="5" t="n"/>
      <c r="D424" s="8" t="n"/>
      <c r="F424" s="8" t="n"/>
      <c r="H424" s="8" t="n"/>
    </row>
    <row r="425">
      <c r="A425" s="5" t="n"/>
      <c r="D425" s="8" t="n"/>
      <c r="F425" s="8" t="n"/>
      <c r="H425" s="8" t="n"/>
    </row>
    <row r="426">
      <c r="A426" s="5" t="n"/>
      <c r="D426" s="8" t="n"/>
      <c r="F426" s="8" t="n"/>
      <c r="H426" s="8" t="n"/>
    </row>
    <row r="427">
      <c r="A427" s="5" t="n"/>
      <c r="D427" s="8" t="n"/>
      <c r="F427" s="8" t="n"/>
      <c r="H427" s="8" t="n"/>
    </row>
    <row r="428">
      <c r="A428" s="5" t="n"/>
      <c r="D428" s="8" t="n"/>
      <c r="F428" s="8" t="n"/>
      <c r="H428" s="8" t="n"/>
    </row>
    <row r="429">
      <c r="A429" s="5" t="n"/>
      <c r="D429" s="8" t="n"/>
      <c r="F429" s="8" t="n"/>
      <c r="H429" s="8" t="n"/>
    </row>
    <row r="430">
      <c r="A430" s="5" t="n"/>
      <c r="D430" s="8" t="n"/>
      <c r="F430" s="8" t="n"/>
      <c r="H430" s="8" t="n"/>
    </row>
    <row r="431">
      <c r="A431" s="7" t="n"/>
      <c r="D431" s="8" t="n"/>
      <c r="F431" s="8" t="n"/>
      <c r="H431" s="8" t="n"/>
    </row>
    <row r="432">
      <c r="D432" s="8" t="n"/>
      <c r="F432" s="8" t="n"/>
      <c r="H432" s="8" t="n"/>
    </row>
    <row r="433">
      <c r="D433" s="8" t="n"/>
      <c r="F433" s="8" t="n"/>
      <c r="H433" s="8" t="n"/>
    </row>
    <row r="434">
      <c r="D434" s="8" t="n"/>
      <c r="F434" s="8" t="n"/>
      <c r="H434" s="8" t="n"/>
    </row>
    <row r="435">
      <c r="A435" s="3" t="n"/>
      <c r="D435" s="8" t="n"/>
      <c r="F435" s="8" t="n"/>
      <c r="H435" s="8" t="n"/>
    </row>
    <row r="436">
      <c r="A436" s="3" t="n"/>
      <c r="D436" s="8" t="n"/>
      <c r="F436" s="8" t="n"/>
      <c r="H436" s="8" t="n"/>
    </row>
    <row r="437">
      <c r="A437" s="5" t="n"/>
      <c r="D437" s="8" t="n"/>
      <c r="F437" s="8" t="n"/>
      <c r="H437" s="8" t="n"/>
    </row>
    <row r="438">
      <c r="A438" s="5" t="n"/>
      <c r="D438" s="8" t="n"/>
      <c r="F438" s="8" t="n"/>
      <c r="H438" s="8" t="n"/>
    </row>
    <row r="439">
      <c r="A439" s="5" t="n"/>
      <c r="D439" s="8" t="n"/>
      <c r="F439" s="8" t="n"/>
      <c r="H439" s="8" t="n"/>
    </row>
    <row r="440">
      <c r="A440" s="5" t="n"/>
      <c r="D440" s="8" t="n"/>
      <c r="F440" s="8" t="n"/>
      <c r="H440" s="8" t="n"/>
    </row>
    <row r="441">
      <c r="A441" s="5" t="n"/>
      <c r="D441" s="8" t="n"/>
      <c r="F441" s="8" t="n"/>
      <c r="H441" s="8" t="n"/>
    </row>
    <row r="442">
      <c r="A442" s="5" t="n"/>
      <c r="D442" s="8" t="n"/>
      <c r="F442" s="8" t="n"/>
      <c r="H442" s="8" t="n"/>
    </row>
    <row r="443">
      <c r="A443" s="5" t="n"/>
      <c r="D443" s="8" t="n"/>
      <c r="F443" s="8" t="n"/>
      <c r="H443" s="8" t="n"/>
    </row>
    <row r="444">
      <c r="A444" s="5" t="n"/>
      <c r="D444" s="8" t="n"/>
      <c r="F444" s="8" t="n"/>
      <c r="H444" s="8" t="n"/>
    </row>
    <row r="445">
      <c r="A445" s="5" t="n"/>
      <c r="D445" s="8" t="n"/>
      <c r="F445" s="8" t="n"/>
      <c r="H445" s="8" t="n"/>
    </row>
    <row r="446">
      <c r="A446" s="5" t="n"/>
      <c r="D446" s="8" t="n"/>
      <c r="F446" s="8" t="n"/>
      <c r="H446" s="8" t="n"/>
    </row>
    <row r="447">
      <c r="A447" s="5" t="n"/>
      <c r="D447" s="8" t="n"/>
      <c r="F447" s="8" t="n"/>
      <c r="H447" s="8" t="n"/>
    </row>
    <row r="448">
      <c r="A448" s="5" t="n"/>
      <c r="D448" s="8" t="n"/>
      <c r="F448" s="8" t="n"/>
      <c r="H448" s="8" t="n"/>
    </row>
    <row r="449">
      <c r="A449" s="5" t="n"/>
      <c r="D449" s="8" t="n"/>
      <c r="F449" s="8" t="n"/>
      <c r="H449" s="8" t="n"/>
    </row>
    <row r="450">
      <c r="A450" s="5" t="n"/>
      <c r="D450" s="8" t="n"/>
      <c r="F450" s="8" t="n"/>
      <c r="H450" s="8" t="n"/>
    </row>
    <row r="451">
      <c r="A451" s="5" t="n"/>
      <c r="D451" s="8" t="n"/>
      <c r="F451" s="8" t="n"/>
      <c r="H451" s="8" t="n"/>
    </row>
    <row r="452">
      <c r="A452" s="5" t="n"/>
      <c r="D452" s="8" t="n"/>
      <c r="F452" s="8" t="n"/>
      <c r="H452" s="8" t="n"/>
    </row>
    <row r="453">
      <c r="A453" s="5" t="n"/>
      <c r="D453" s="8" t="n"/>
      <c r="F453" s="8" t="n"/>
      <c r="H453" s="8" t="n"/>
    </row>
    <row r="454">
      <c r="A454" s="5" t="n"/>
      <c r="D454" s="8" t="n"/>
      <c r="F454" s="8" t="n"/>
      <c r="H454" s="8" t="n"/>
    </row>
    <row r="455">
      <c r="A455" s="5" t="n"/>
      <c r="D455" s="8" t="n"/>
      <c r="F455" s="8" t="n"/>
      <c r="H455" s="8" t="n"/>
    </row>
    <row r="456">
      <c r="A456" s="5" t="n"/>
      <c r="D456" s="8" t="n"/>
      <c r="F456" s="8" t="n"/>
      <c r="H456" s="8" t="n"/>
    </row>
    <row r="457">
      <c r="A457" s="5" t="n"/>
      <c r="D457" s="8" t="n"/>
      <c r="F457" s="8" t="n"/>
      <c r="H457" s="8" t="n"/>
    </row>
    <row r="458">
      <c r="A458" s="5" t="n"/>
      <c r="D458" s="8" t="n"/>
      <c r="F458" s="8" t="n"/>
      <c r="H458" s="8" t="n"/>
    </row>
    <row r="459">
      <c r="A459" s="5" t="n"/>
      <c r="D459" s="8" t="n"/>
      <c r="F459" s="8" t="n"/>
      <c r="H459" s="8" t="n"/>
    </row>
    <row r="460">
      <c r="A460" s="5" t="n"/>
      <c r="D460" s="8" t="n"/>
      <c r="F460" s="8" t="n"/>
      <c r="H460" s="8" t="n"/>
    </row>
    <row r="461">
      <c r="A461" s="5" t="n"/>
      <c r="D461" s="8" t="n"/>
      <c r="F461" s="8" t="n"/>
      <c r="H461" s="8" t="n"/>
    </row>
    <row r="462">
      <c r="A462" s="5" t="n"/>
      <c r="D462" s="8" t="n"/>
      <c r="F462" s="8" t="n"/>
      <c r="H462" s="8" t="n"/>
    </row>
    <row r="463">
      <c r="A463" s="5" t="n"/>
      <c r="D463" s="8" t="n"/>
      <c r="F463" s="8" t="n"/>
      <c r="H463" s="8" t="n"/>
    </row>
    <row r="464">
      <c r="A464" s="5" t="n"/>
      <c r="D464" s="8" t="n"/>
      <c r="F464" s="8" t="n"/>
      <c r="H464" s="8" t="n"/>
    </row>
    <row r="465">
      <c r="A465" s="5" t="n"/>
      <c r="D465" s="8" t="n"/>
      <c r="F465" s="8" t="n"/>
      <c r="H465" s="8" t="n"/>
    </row>
    <row r="466">
      <c r="A466" s="5" t="n"/>
      <c r="D466" s="8" t="n"/>
      <c r="F466" s="8" t="n"/>
      <c r="H466" s="8" t="n"/>
    </row>
    <row r="467">
      <c r="A467" s="5" t="n"/>
      <c r="D467" s="8" t="n"/>
      <c r="F467" s="8" t="n"/>
      <c r="H467" s="8" t="n"/>
    </row>
    <row r="468">
      <c r="A468" s="5" t="n"/>
      <c r="D468" s="8" t="n"/>
      <c r="F468" s="8" t="n"/>
      <c r="H468" s="8" t="n"/>
    </row>
    <row r="469">
      <c r="A469" s="5" t="n"/>
      <c r="D469" s="8" t="n"/>
      <c r="F469" s="8" t="n"/>
      <c r="H469" s="8" t="n"/>
    </row>
    <row r="470">
      <c r="A470" s="5" t="n"/>
      <c r="D470" s="8" t="n"/>
      <c r="F470" s="8" t="n"/>
      <c r="H470" s="8" t="n"/>
    </row>
    <row r="471">
      <c r="A471" s="5" t="n"/>
      <c r="D471" s="8" t="n"/>
      <c r="F471" s="8" t="n"/>
      <c r="H471" s="8" t="n"/>
    </row>
    <row r="472">
      <c r="A472" s="5" t="n"/>
      <c r="D472" s="8" t="n"/>
      <c r="F472" s="8" t="n"/>
      <c r="H472" s="8" t="n"/>
    </row>
    <row r="473">
      <c r="A473" s="5" t="n"/>
      <c r="D473" s="8" t="n"/>
      <c r="F473" s="8" t="n"/>
      <c r="H473" s="8" t="n"/>
    </row>
    <row r="474">
      <c r="A474" s="5" t="n"/>
      <c r="D474" s="8" t="n"/>
      <c r="F474" s="8" t="n"/>
      <c r="H474" s="8" t="n"/>
    </row>
    <row r="475">
      <c r="A475" s="5" t="n"/>
      <c r="D475" s="8" t="n"/>
      <c r="F475" s="8" t="n"/>
      <c r="H475" s="8" t="n"/>
    </row>
    <row r="476">
      <c r="A476" s="5" t="n"/>
      <c r="D476" s="8" t="n"/>
      <c r="F476" s="8" t="n"/>
      <c r="H476" s="8" t="n"/>
    </row>
    <row r="477">
      <c r="A477" s="5" t="n"/>
      <c r="D477" s="8" t="n"/>
      <c r="F477" s="8" t="n"/>
      <c r="H477" s="8" t="n"/>
    </row>
    <row r="478">
      <c r="A478" s="5" t="n"/>
      <c r="D478" s="8" t="n"/>
      <c r="F478" s="8" t="n"/>
      <c r="H478" s="8" t="n"/>
    </row>
    <row r="479">
      <c r="A479" s="5" t="n"/>
      <c r="D479" s="8" t="n"/>
      <c r="F479" s="8" t="n"/>
      <c r="H479" s="8" t="n"/>
    </row>
    <row r="480">
      <c r="A480" s="5" t="n"/>
      <c r="D480" s="8" t="n"/>
      <c r="F480" s="8" t="n"/>
      <c r="H480" s="8" t="n"/>
    </row>
    <row r="481">
      <c r="A481" s="5" t="n"/>
      <c r="D481" s="8" t="n"/>
      <c r="F481" s="8" t="n"/>
      <c r="H481" s="8" t="n"/>
    </row>
    <row r="482">
      <c r="A482" s="5" t="n"/>
      <c r="D482" s="8" t="n"/>
      <c r="F482" s="8" t="n"/>
      <c r="H482" s="8" t="n"/>
    </row>
    <row r="483">
      <c r="A483" s="5" t="n"/>
      <c r="D483" s="8" t="n"/>
      <c r="F483" s="8" t="n"/>
      <c r="H483" s="8" t="n"/>
    </row>
    <row r="484">
      <c r="A484" s="5" t="n"/>
      <c r="D484" s="8" t="n"/>
      <c r="F484" s="8" t="n"/>
      <c r="H484" s="8" t="n"/>
    </row>
    <row r="485">
      <c r="A485" s="5" t="n"/>
      <c r="D485" s="8" t="n"/>
      <c r="F485" s="8" t="n"/>
      <c r="H485" s="8" t="n"/>
    </row>
    <row r="486">
      <c r="A486" s="5" t="n"/>
      <c r="D486" s="8" t="n"/>
      <c r="F486" s="8" t="n"/>
      <c r="H486" s="8" t="n"/>
    </row>
    <row r="487">
      <c r="A487" s="5" t="n"/>
      <c r="D487" s="8" t="n"/>
      <c r="F487" s="8" t="n"/>
      <c r="H487" s="8" t="n"/>
    </row>
    <row r="488">
      <c r="A488" s="5" t="n"/>
      <c r="D488" s="8" t="n"/>
      <c r="F488" s="8" t="n"/>
      <c r="H488" s="8" t="n"/>
    </row>
    <row r="489">
      <c r="A489" s="5" t="n"/>
      <c r="D489" s="8" t="n"/>
      <c r="F489" s="8" t="n"/>
      <c r="H489" s="8" t="n"/>
    </row>
    <row r="490">
      <c r="A490" s="5" t="n"/>
      <c r="D490" s="8" t="n"/>
      <c r="F490" s="8" t="n"/>
      <c r="H490" s="8" t="n"/>
    </row>
    <row r="491">
      <c r="A491" s="5" t="n"/>
      <c r="D491" s="8" t="n"/>
      <c r="F491" s="8" t="n"/>
      <c r="H491" s="8" t="n"/>
    </row>
    <row r="492">
      <c r="A492" s="5" t="n"/>
      <c r="D492" s="8" t="n"/>
      <c r="F492" s="8" t="n"/>
      <c r="H492" s="8" t="n"/>
    </row>
    <row r="493">
      <c r="A493" s="5" t="n"/>
      <c r="D493" s="8" t="n"/>
      <c r="F493" s="8" t="n"/>
      <c r="H493" s="8" t="n"/>
    </row>
    <row r="494">
      <c r="A494" s="5" t="n"/>
      <c r="D494" s="8" t="n"/>
      <c r="F494" s="8" t="n"/>
      <c r="H494" s="8" t="n"/>
    </row>
    <row r="495">
      <c r="A495" s="5" t="n"/>
      <c r="D495" s="8" t="n"/>
      <c r="F495" s="8" t="n"/>
      <c r="H495" s="8" t="n"/>
    </row>
    <row r="496">
      <c r="A496" s="5" t="n"/>
      <c r="D496" s="8" t="n"/>
      <c r="F496" s="8" t="n"/>
      <c r="H496" s="8" t="n"/>
    </row>
    <row r="497">
      <c r="A497" s="5" t="n"/>
      <c r="D497" s="8" t="n"/>
      <c r="F497" s="8" t="n"/>
      <c r="H497" s="8" t="n"/>
    </row>
    <row r="498">
      <c r="A498" s="5" t="n"/>
      <c r="D498" s="8" t="n"/>
      <c r="F498" s="8" t="n"/>
      <c r="H498" s="8" t="n"/>
    </row>
    <row r="499">
      <c r="A499" s="5" t="n"/>
      <c r="D499" s="8" t="n"/>
      <c r="F499" s="8" t="n"/>
      <c r="H499" s="8" t="n"/>
    </row>
    <row r="500">
      <c r="A500" s="5" t="n"/>
      <c r="D500" s="8" t="n"/>
      <c r="F500" s="8" t="n"/>
      <c r="H500" s="8" t="n"/>
    </row>
    <row r="501">
      <c r="A501" s="5" t="n"/>
      <c r="D501" s="8" t="n"/>
      <c r="F501" s="8" t="n"/>
      <c r="H501" s="8" t="n"/>
    </row>
    <row r="502">
      <c r="A502" s="5" t="n"/>
      <c r="D502" s="8" t="n"/>
      <c r="F502" s="8" t="n"/>
      <c r="H502" s="8" t="n"/>
    </row>
    <row r="503">
      <c r="A503" s="5" t="n"/>
      <c r="D503" s="8" t="n"/>
      <c r="F503" s="8" t="n"/>
      <c r="H503" s="8" t="n"/>
    </row>
    <row r="504">
      <c r="A504" s="7" t="n"/>
      <c r="D504" s="8" t="n"/>
      <c r="F504" s="8" t="n"/>
      <c r="H504" s="8" t="n"/>
    </row>
    <row r="505">
      <c r="D505" s="8" t="n"/>
      <c r="F505" s="8" t="n"/>
      <c r="H505" s="8" t="n"/>
    </row>
    <row r="506">
      <c r="D506" s="8" t="n"/>
      <c r="F506" s="8" t="n"/>
      <c r="H506" s="8" t="n"/>
    </row>
    <row r="507">
      <c r="D507" s="8" t="n"/>
      <c r="F507" s="8" t="n"/>
      <c r="H507" s="8" t="n"/>
    </row>
    <row r="508">
      <c r="A508" s="3" t="n"/>
      <c r="D508" s="8" t="n"/>
      <c r="F508" s="8" t="n"/>
      <c r="H508" s="8" t="n"/>
    </row>
    <row r="509">
      <c r="A509" s="3" t="n"/>
      <c r="D509" s="8" t="n"/>
      <c r="F509" s="8" t="n"/>
      <c r="H509" s="8" t="n"/>
    </row>
    <row r="510">
      <c r="A510" s="5" t="n"/>
      <c r="D510" s="8" t="n"/>
      <c r="F510" s="8" t="n"/>
      <c r="H510" s="8" t="n"/>
    </row>
    <row r="511">
      <c r="A511" s="5" t="n"/>
      <c r="D511" s="8" t="n"/>
      <c r="F511" s="8" t="n"/>
      <c r="H511" s="8" t="n"/>
    </row>
    <row r="512">
      <c r="A512" s="5" t="n"/>
      <c r="D512" s="8" t="n"/>
      <c r="F512" s="8" t="n"/>
      <c r="H512" s="8" t="n"/>
    </row>
    <row r="513">
      <c r="A513" s="5" t="n"/>
      <c r="D513" s="8" t="n"/>
      <c r="F513" s="8" t="n"/>
      <c r="H513" s="8" t="n"/>
    </row>
    <row r="514">
      <c r="A514" s="5" t="n"/>
      <c r="D514" s="8" t="n"/>
      <c r="F514" s="8" t="n"/>
      <c r="H514" s="8" t="n"/>
    </row>
    <row r="515">
      <c r="A515" s="5" t="n"/>
      <c r="D515" s="8" t="n"/>
      <c r="F515" s="8" t="n"/>
      <c r="H515" s="8" t="n"/>
    </row>
    <row r="516">
      <c r="A516" s="5" t="n"/>
      <c r="D516" s="8" t="n"/>
      <c r="F516" s="8" t="n"/>
      <c r="H516" s="8" t="n"/>
    </row>
    <row r="517">
      <c r="A517" s="5" t="n"/>
      <c r="D517" s="8" t="n"/>
      <c r="F517" s="8" t="n"/>
      <c r="H517" s="8" t="n"/>
    </row>
    <row r="518">
      <c r="A518" s="5" t="n"/>
      <c r="D518" s="8" t="n"/>
      <c r="F518" s="8" t="n"/>
      <c r="H518" s="8" t="n"/>
    </row>
    <row r="519">
      <c r="A519" s="5" t="n"/>
      <c r="D519" s="8" t="n"/>
      <c r="F519" s="8" t="n"/>
      <c r="H519" s="8" t="n"/>
    </row>
    <row r="520">
      <c r="A520" s="5" t="n"/>
      <c r="D520" s="8" t="n"/>
      <c r="F520" s="8" t="n"/>
      <c r="H520" s="8" t="n"/>
    </row>
    <row r="521">
      <c r="A521" s="5" t="n"/>
      <c r="D521" s="8" t="n"/>
      <c r="F521" s="8" t="n"/>
      <c r="H521" s="8" t="n"/>
    </row>
    <row r="522">
      <c r="A522" s="5" t="n"/>
      <c r="D522" s="8" t="n"/>
      <c r="F522" s="8" t="n"/>
      <c r="H522" s="8" t="n"/>
    </row>
    <row r="523">
      <c r="A523" s="5" t="n"/>
      <c r="D523" s="8" t="n"/>
      <c r="F523" s="8" t="n"/>
      <c r="H523" s="8" t="n"/>
    </row>
    <row r="524">
      <c r="A524" s="5" t="n"/>
      <c r="D524" s="8" t="n"/>
      <c r="F524" s="8" t="n"/>
      <c r="H524" s="8" t="n"/>
    </row>
    <row r="525">
      <c r="A525" s="5" t="n"/>
      <c r="D525" s="8" t="n"/>
      <c r="F525" s="8" t="n"/>
      <c r="H525" s="8" t="n"/>
    </row>
    <row r="526">
      <c r="A526" s="5" t="n"/>
      <c r="D526" s="8" t="n"/>
      <c r="F526" s="8" t="n"/>
      <c r="H526" s="8" t="n"/>
    </row>
    <row r="527">
      <c r="A527" s="5" t="n"/>
      <c r="D527" s="8" t="n"/>
      <c r="F527" s="8" t="n"/>
      <c r="H527" s="8" t="n"/>
    </row>
    <row r="528">
      <c r="A528" s="5" t="n"/>
      <c r="D528" s="8" t="n"/>
      <c r="F528" s="8" t="n"/>
      <c r="H528" s="8" t="n"/>
    </row>
    <row r="529">
      <c r="A529" s="5" t="n"/>
      <c r="D529" s="8" t="n"/>
      <c r="F529" s="8" t="n"/>
      <c r="H529" s="8" t="n"/>
    </row>
    <row r="530">
      <c r="A530" s="5" t="n"/>
      <c r="D530" s="8" t="n"/>
      <c r="F530" s="8" t="n"/>
      <c r="H530" s="8" t="n"/>
    </row>
    <row r="531">
      <c r="A531" s="5" t="n"/>
      <c r="D531" s="8" t="n"/>
      <c r="F531" s="8" t="n"/>
      <c r="H531" s="8" t="n"/>
    </row>
    <row r="532">
      <c r="A532" s="5" t="n"/>
      <c r="D532" s="8" t="n"/>
      <c r="F532" s="8" t="n"/>
      <c r="H532" s="8" t="n"/>
    </row>
    <row r="533">
      <c r="A533" s="5" t="n"/>
      <c r="D533" s="8" t="n"/>
      <c r="F533" s="8" t="n"/>
      <c r="H533" s="8" t="n"/>
    </row>
    <row r="534">
      <c r="A534" s="5" t="n"/>
      <c r="D534" s="8" t="n"/>
      <c r="F534" s="8" t="n"/>
      <c r="H534" s="8" t="n"/>
    </row>
    <row r="535">
      <c r="A535" s="5" t="n"/>
      <c r="D535" s="8" t="n"/>
      <c r="F535" s="8" t="n"/>
      <c r="H535" s="8" t="n"/>
    </row>
    <row r="536">
      <c r="A536" s="5" t="n"/>
      <c r="D536" s="8" t="n"/>
      <c r="F536" s="8" t="n"/>
      <c r="H536" s="8" t="n"/>
    </row>
    <row r="537">
      <c r="A537" s="5" t="n"/>
      <c r="D537" s="8" t="n"/>
      <c r="F537" s="8" t="n"/>
      <c r="H537" s="8" t="n"/>
    </row>
    <row r="538">
      <c r="A538" s="5" t="n"/>
      <c r="D538" s="8" t="n"/>
      <c r="F538" s="8" t="n"/>
      <c r="H538" s="8" t="n"/>
    </row>
    <row r="539">
      <c r="A539" s="5" t="n"/>
      <c r="D539" s="8" t="n"/>
      <c r="F539" s="8" t="n"/>
      <c r="H539" s="8" t="n"/>
    </row>
    <row r="540">
      <c r="A540" s="5" t="n"/>
      <c r="D540" s="8" t="n"/>
      <c r="F540" s="8" t="n"/>
      <c r="H540" s="8" t="n"/>
    </row>
    <row r="541">
      <c r="A541" s="5" t="n"/>
      <c r="D541" s="8" t="n"/>
      <c r="F541" s="8" t="n"/>
      <c r="H541" s="8" t="n"/>
    </row>
    <row r="542">
      <c r="A542" s="5" t="n"/>
      <c r="D542" s="8" t="n"/>
      <c r="F542" s="8" t="n"/>
      <c r="H542" s="8" t="n"/>
    </row>
    <row r="543">
      <c r="A543" s="5" t="n"/>
      <c r="D543" s="8" t="n"/>
      <c r="F543" s="8" t="n"/>
      <c r="H543" s="8" t="n"/>
    </row>
    <row r="544">
      <c r="A544" s="5" t="n"/>
      <c r="D544" s="8" t="n"/>
      <c r="F544" s="8" t="n"/>
      <c r="H544" s="8" t="n"/>
    </row>
    <row r="545">
      <c r="A545" s="5" t="n"/>
      <c r="D545" s="8" t="n"/>
      <c r="F545" s="8" t="n"/>
      <c r="H545" s="8" t="n"/>
    </row>
    <row r="546">
      <c r="A546" s="5" t="n"/>
      <c r="D546" s="8" t="n"/>
      <c r="F546" s="8" t="n"/>
      <c r="H546" s="8" t="n"/>
    </row>
    <row r="547">
      <c r="A547" s="5" t="n"/>
      <c r="D547" s="8" t="n"/>
      <c r="F547" s="8" t="n"/>
      <c r="H547" s="8" t="n"/>
    </row>
    <row r="548">
      <c r="A548" s="5" t="n"/>
      <c r="D548" s="8" t="n"/>
      <c r="F548" s="8" t="n"/>
      <c r="H548" s="8" t="n"/>
    </row>
    <row r="549">
      <c r="A549" s="5" t="n"/>
      <c r="D549" s="8" t="n"/>
      <c r="F549" s="8" t="n"/>
      <c r="H549" s="8" t="n"/>
    </row>
    <row r="550">
      <c r="A550" s="5" t="n"/>
      <c r="D550" s="8" t="n"/>
      <c r="F550" s="8" t="n"/>
      <c r="H550" s="8" t="n"/>
    </row>
    <row r="551">
      <c r="A551" s="5" t="n"/>
      <c r="D551" s="8" t="n"/>
      <c r="F551" s="8" t="n"/>
      <c r="H551" s="8" t="n"/>
    </row>
    <row r="552">
      <c r="A552" s="5" t="n"/>
      <c r="D552" s="8" t="n"/>
      <c r="F552" s="8" t="n"/>
      <c r="H552" s="8" t="n"/>
    </row>
    <row r="553">
      <c r="A553" s="5" t="n"/>
      <c r="D553" s="8" t="n"/>
      <c r="F553" s="8" t="n"/>
      <c r="H553" s="8" t="n"/>
    </row>
    <row r="554">
      <c r="A554" s="5" t="n"/>
      <c r="D554" s="8" t="n"/>
      <c r="F554" s="8" t="n"/>
      <c r="H554" s="8" t="n"/>
    </row>
    <row r="555">
      <c r="A555" s="5" t="n"/>
      <c r="D555" s="8" t="n"/>
      <c r="F555" s="8" t="n"/>
      <c r="H555" s="8" t="n"/>
    </row>
    <row r="556">
      <c r="A556" s="5" t="n"/>
      <c r="D556" s="8" t="n"/>
      <c r="F556" s="8" t="n"/>
      <c r="H556" s="8" t="n"/>
    </row>
    <row r="557">
      <c r="A557" s="5" t="n"/>
      <c r="D557" s="8" t="n"/>
      <c r="F557" s="8" t="n"/>
      <c r="H557" s="8" t="n"/>
    </row>
    <row r="558">
      <c r="A558" s="5" t="n"/>
      <c r="D558" s="8" t="n"/>
      <c r="F558" s="8" t="n"/>
      <c r="H558" s="8" t="n"/>
    </row>
    <row r="559">
      <c r="A559" s="5" t="n"/>
      <c r="D559" s="8" t="n"/>
      <c r="F559" s="8" t="n"/>
      <c r="H559" s="8" t="n"/>
    </row>
    <row r="560">
      <c r="A560" s="5" t="n"/>
      <c r="D560" s="8" t="n"/>
      <c r="F560" s="8" t="n"/>
      <c r="H560" s="8" t="n"/>
    </row>
    <row r="561">
      <c r="A561" s="5" t="n"/>
      <c r="D561" s="8" t="n"/>
      <c r="F561" s="8" t="n"/>
      <c r="H561" s="8" t="n"/>
    </row>
    <row r="562">
      <c r="A562" s="5" t="n"/>
      <c r="D562" s="8" t="n"/>
      <c r="F562" s="8" t="n"/>
      <c r="H562" s="8" t="n"/>
    </row>
    <row r="563">
      <c r="A563" s="5" t="n"/>
      <c r="D563" s="8" t="n"/>
      <c r="F563" s="8" t="n"/>
      <c r="H563" s="8" t="n"/>
    </row>
    <row r="564">
      <c r="A564" s="5" t="n"/>
      <c r="D564" s="8" t="n"/>
      <c r="F564" s="8" t="n"/>
      <c r="H564" s="8" t="n"/>
    </row>
    <row r="565">
      <c r="A565" s="5" t="n"/>
      <c r="D565" s="8" t="n"/>
      <c r="F565" s="8" t="n"/>
      <c r="H565" s="8" t="n"/>
    </row>
    <row r="566">
      <c r="A566" s="5" t="n"/>
      <c r="D566" s="8" t="n"/>
      <c r="F566" s="8" t="n"/>
      <c r="H566" s="8" t="n"/>
    </row>
    <row r="567">
      <c r="A567" s="5" t="n"/>
      <c r="D567" s="8" t="n"/>
      <c r="F567" s="8" t="n"/>
      <c r="H567" s="8" t="n"/>
    </row>
    <row r="568">
      <c r="A568" s="5" t="n"/>
      <c r="D568" s="8" t="n"/>
      <c r="F568" s="8" t="n"/>
      <c r="H568" s="8" t="n"/>
    </row>
    <row r="569">
      <c r="A569" s="5" t="n"/>
      <c r="D569" s="8" t="n"/>
      <c r="F569" s="8" t="n"/>
      <c r="H569" s="8" t="n"/>
    </row>
    <row r="570">
      <c r="A570" s="5" t="n"/>
      <c r="D570" s="8" t="n"/>
      <c r="F570" s="8" t="n"/>
      <c r="H570" s="8" t="n"/>
    </row>
    <row r="571">
      <c r="A571" s="5" t="n"/>
      <c r="D571" s="8" t="n"/>
      <c r="F571" s="8" t="n"/>
      <c r="H571" s="8" t="n"/>
    </row>
    <row r="572">
      <c r="A572" s="5" t="n"/>
      <c r="D572" s="8" t="n"/>
      <c r="F572" s="8" t="n"/>
      <c r="H572" s="8" t="n"/>
    </row>
    <row r="573">
      <c r="A573" s="5" t="n"/>
      <c r="D573" s="8" t="n"/>
      <c r="F573" s="8" t="n"/>
      <c r="H573" s="8" t="n"/>
    </row>
    <row r="574">
      <c r="A574" s="5" t="n"/>
      <c r="D574" s="8" t="n"/>
      <c r="F574" s="8" t="n"/>
      <c r="H574" s="8" t="n"/>
    </row>
    <row r="575">
      <c r="A575" s="5" t="n"/>
      <c r="D575" s="8" t="n"/>
      <c r="F575" s="8" t="n"/>
      <c r="H575" s="8" t="n"/>
    </row>
    <row r="576">
      <c r="A576" s="5" t="n"/>
      <c r="D576" s="8" t="n"/>
      <c r="F576" s="8" t="n"/>
      <c r="H576" s="8" t="n"/>
    </row>
    <row r="577">
      <c r="A577" s="7" t="n"/>
      <c r="D577" s="8" t="n"/>
      <c r="F577" s="8" t="n"/>
      <c r="H577" s="8" t="n"/>
    </row>
    <row r="578">
      <c r="D578" s="8" t="n"/>
      <c r="F578" s="8" t="n"/>
      <c r="H578" s="8" t="n"/>
    </row>
    <row r="579">
      <c r="D579" s="8" t="n"/>
      <c r="F579" s="8" t="n"/>
      <c r="H579" s="8" t="n"/>
    </row>
    <row r="580">
      <c r="D580" s="8" t="n"/>
      <c r="F580" s="8" t="n"/>
      <c r="H580" s="8" t="n"/>
    </row>
    <row r="581">
      <c r="A581" s="3" t="n"/>
      <c r="D581" s="8" t="n"/>
      <c r="F581" s="8" t="n"/>
      <c r="H581" s="8" t="n"/>
    </row>
    <row r="582">
      <c r="A582" s="3" t="n"/>
      <c r="D582" s="8" t="n"/>
      <c r="F582" s="8" t="n"/>
      <c r="H582" s="8" t="n"/>
    </row>
    <row r="583">
      <c r="A583" s="5" t="n"/>
      <c r="D583" s="8" t="n"/>
      <c r="F583" s="8" t="n"/>
      <c r="H583" s="8" t="n"/>
    </row>
    <row r="584">
      <c r="A584" s="5" t="n"/>
      <c r="D584" s="8" t="n"/>
      <c r="F584" s="8" t="n"/>
      <c r="H584" s="8" t="n"/>
    </row>
    <row r="585">
      <c r="A585" s="5" t="n"/>
      <c r="D585" s="8" t="n"/>
      <c r="F585" s="8" t="n"/>
      <c r="H585" s="8" t="n"/>
    </row>
    <row r="586">
      <c r="A586" s="5" t="n"/>
      <c r="D586" s="8" t="n"/>
      <c r="F586" s="8" t="n"/>
      <c r="H586" s="8" t="n"/>
    </row>
    <row r="587">
      <c r="A587" s="5" t="n"/>
      <c r="D587" s="8" t="n"/>
      <c r="F587" s="8" t="n"/>
      <c r="H587" s="8" t="n"/>
    </row>
    <row r="588">
      <c r="A588" s="5" t="n"/>
      <c r="D588" s="8" t="n"/>
      <c r="F588" s="8" t="n"/>
      <c r="H588" s="8" t="n"/>
    </row>
    <row r="589">
      <c r="A589" s="5" t="n"/>
      <c r="D589" s="8" t="n"/>
      <c r="F589" s="8" t="n"/>
      <c r="H589" s="8" t="n"/>
    </row>
    <row r="590">
      <c r="A590" s="5" t="n"/>
      <c r="D590" s="8" t="n"/>
      <c r="F590" s="8" t="n"/>
      <c r="H590" s="8" t="n"/>
    </row>
    <row r="591">
      <c r="A591" s="5" t="n"/>
      <c r="D591" s="8" t="n"/>
      <c r="F591" s="8" t="n"/>
      <c r="H591" s="8" t="n"/>
    </row>
    <row r="592">
      <c r="A592" s="5" t="n"/>
      <c r="D592" s="8" t="n"/>
      <c r="F592" s="8" t="n"/>
      <c r="H592" s="8" t="n"/>
    </row>
    <row r="593">
      <c r="A593" s="5" t="n"/>
      <c r="D593" s="8" t="n"/>
      <c r="F593" s="8" t="n"/>
      <c r="H593" s="8" t="n"/>
    </row>
    <row r="594">
      <c r="A594" s="5" t="n"/>
      <c r="D594" s="8" t="n"/>
      <c r="F594" s="8" t="n"/>
      <c r="H594" s="8" t="n"/>
    </row>
    <row r="595">
      <c r="A595" s="5" t="n"/>
      <c r="D595" s="8" t="n"/>
      <c r="F595" s="8" t="n"/>
      <c r="H595" s="8" t="n"/>
    </row>
    <row r="596">
      <c r="A596" s="5" t="n"/>
      <c r="D596" s="8" t="n"/>
      <c r="F596" s="8" t="n"/>
      <c r="H596" s="8" t="n"/>
    </row>
    <row r="597">
      <c r="A597" s="5" t="n"/>
      <c r="D597" s="8" t="n"/>
      <c r="F597" s="8" t="n"/>
      <c r="H597" s="8" t="n"/>
    </row>
    <row r="598">
      <c r="A598" s="5" t="n"/>
      <c r="D598" s="8" t="n"/>
      <c r="F598" s="8" t="n"/>
      <c r="H598" s="8" t="n"/>
    </row>
    <row r="599">
      <c r="A599" s="5" t="n"/>
      <c r="D599" s="8" t="n"/>
      <c r="F599" s="8" t="n"/>
      <c r="H599" s="8" t="n"/>
    </row>
    <row r="600">
      <c r="A600" s="5" t="n"/>
      <c r="D600" s="8" t="n"/>
      <c r="F600" s="8" t="n"/>
      <c r="H600" s="8" t="n"/>
    </row>
    <row r="601">
      <c r="A601" s="5" t="n"/>
      <c r="D601" s="8" t="n"/>
      <c r="F601" s="8" t="n"/>
      <c r="H601" s="8" t="n"/>
    </row>
    <row r="602">
      <c r="A602" s="5" t="n"/>
      <c r="D602" s="8" t="n"/>
      <c r="F602" s="8" t="n"/>
      <c r="H602" s="8" t="n"/>
    </row>
    <row r="603">
      <c r="A603" s="5" t="n"/>
      <c r="D603" s="8" t="n"/>
      <c r="F603" s="8" t="n"/>
      <c r="H603" s="8" t="n"/>
    </row>
    <row r="604">
      <c r="A604" s="5" t="n"/>
      <c r="D604" s="8" t="n"/>
      <c r="F604" s="8" t="n"/>
      <c r="H604" s="8" t="n"/>
    </row>
    <row r="605">
      <c r="A605" s="5" t="n"/>
      <c r="D605" s="8" t="n"/>
      <c r="F605" s="8" t="n"/>
      <c r="H605" s="8" t="n"/>
    </row>
    <row r="606">
      <c r="A606" s="5" t="n"/>
      <c r="D606" s="8" t="n"/>
      <c r="F606" s="8" t="n"/>
      <c r="H606" s="8" t="n"/>
    </row>
    <row r="607">
      <c r="A607" s="5" t="n"/>
      <c r="D607" s="8" t="n"/>
      <c r="F607" s="8" t="n"/>
      <c r="H607" s="8" t="n"/>
    </row>
    <row r="608">
      <c r="A608" s="5" t="n"/>
      <c r="D608" s="8" t="n"/>
      <c r="F608" s="8" t="n"/>
      <c r="H608" s="8" t="n"/>
    </row>
    <row r="609">
      <c r="A609" s="5" t="n"/>
      <c r="D609" s="8" t="n"/>
      <c r="F609" s="8" t="n"/>
      <c r="H609" s="8" t="n"/>
    </row>
    <row r="610">
      <c r="A610" s="5" t="n"/>
      <c r="D610" s="8" t="n"/>
      <c r="F610" s="8" t="n"/>
      <c r="H610" s="8" t="n"/>
    </row>
    <row r="611">
      <c r="A611" s="5" t="n"/>
      <c r="D611" s="8" t="n"/>
      <c r="F611" s="8" t="n"/>
      <c r="H611" s="8" t="n"/>
    </row>
    <row r="612">
      <c r="A612" s="5" t="n"/>
      <c r="D612" s="8" t="n"/>
      <c r="F612" s="8" t="n"/>
      <c r="H612" s="8" t="n"/>
    </row>
    <row r="613">
      <c r="A613" s="5" t="n"/>
      <c r="D613" s="8" t="n"/>
      <c r="F613" s="8" t="n"/>
      <c r="H613" s="8" t="n"/>
    </row>
    <row r="614">
      <c r="A614" s="5" t="n"/>
      <c r="D614" s="8" t="n"/>
      <c r="F614" s="8" t="n"/>
      <c r="H614" s="8" t="n"/>
    </row>
    <row r="615">
      <c r="A615" s="5" t="n"/>
      <c r="D615" s="8" t="n"/>
      <c r="F615" s="8" t="n"/>
      <c r="H615" s="8" t="n"/>
    </row>
    <row r="616">
      <c r="A616" s="5" t="n"/>
      <c r="D616" s="8" t="n"/>
      <c r="F616" s="8" t="n"/>
      <c r="H616" s="8" t="n"/>
    </row>
    <row r="617">
      <c r="A617" s="5" t="n"/>
      <c r="D617" s="8" t="n"/>
      <c r="F617" s="8" t="n"/>
      <c r="H617" s="8" t="n"/>
    </row>
    <row r="618">
      <c r="A618" s="5" t="n"/>
      <c r="D618" s="8" t="n"/>
      <c r="F618" s="8" t="n"/>
      <c r="H618" s="8" t="n"/>
    </row>
    <row r="619">
      <c r="A619" s="5" t="n"/>
      <c r="D619" s="8" t="n"/>
      <c r="F619" s="8" t="n"/>
      <c r="H619" s="8" t="n"/>
    </row>
    <row r="620">
      <c r="A620" s="5" t="n"/>
      <c r="D620" s="8" t="n"/>
      <c r="F620" s="8" t="n"/>
      <c r="H620" s="8" t="n"/>
    </row>
    <row r="621">
      <c r="A621" s="5" t="n"/>
      <c r="D621" s="8" t="n"/>
      <c r="F621" s="8" t="n"/>
      <c r="H621" s="8" t="n"/>
    </row>
    <row r="622">
      <c r="A622" s="5" t="n"/>
      <c r="D622" s="8" t="n"/>
      <c r="F622" s="8" t="n"/>
      <c r="H622" s="8" t="n"/>
    </row>
    <row r="623">
      <c r="A623" s="5" t="n"/>
      <c r="D623" s="8" t="n"/>
      <c r="F623" s="8" t="n"/>
      <c r="H623" s="8" t="n"/>
    </row>
    <row r="624">
      <c r="A624" s="5" t="n"/>
      <c r="D624" s="8" t="n"/>
      <c r="F624" s="8" t="n"/>
      <c r="H624" s="8" t="n"/>
    </row>
    <row r="625">
      <c r="A625" s="5" t="n"/>
      <c r="D625" s="8" t="n"/>
      <c r="F625" s="8" t="n"/>
      <c r="H625" s="8" t="n"/>
    </row>
    <row r="626">
      <c r="A626" s="5" t="n"/>
      <c r="D626" s="8" t="n"/>
      <c r="F626" s="8" t="n"/>
      <c r="H626" s="8" t="n"/>
    </row>
    <row r="627">
      <c r="A627" s="5" t="n"/>
      <c r="D627" s="8" t="n"/>
      <c r="F627" s="8" t="n"/>
      <c r="H627" s="8" t="n"/>
    </row>
    <row r="628">
      <c r="A628" s="5" t="n"/>
      <c r="D628" s="8" t="n"/>
      <c r="F628" s="8" t="n"/>
      <c r="H628" s="8" t="n"/>
    </row>
    <row r="629">
      <c r="A629" s="5" t="n"/>
      <c r="D629" s="8" t="n"/>
      <c r="F629" s="8" t="n"/>
      <c r="H629" s="8" t="n"/>
    </row>
    <row r="630">
      <c r="A630" s="5" t="n"/>
      <c r="D630" s="8" t="n"/>
      <c r="F630" s="8" t="n"/>
      <c r="H630" s="8" t="n"/>
    </row>
    <row r="631">
      <c r="A631" s="5" t="n"/>
      <c r="D631" s="8" t="n"/>
      <c r="F631" s="8" t="n"/>
      <c r="H631" s="8" t="n"/>
    </row>
    <row r="632">
      <c r="A632" s="5" t="n"/>
      <c r="D632" s="8" t="n"/>
      <c r="F632" s="8" t="n"/>
      <c r="H632" s="8" t="n"/>
    </row>
    <row r="633">
      <c r="A633" s="5" t="n"/>
      <c r="D633" s="8" t="n"/>
      <c r="F633" s="8" t="n"/>
      <c r="H633" s="8" t="n"/>
    </row>
    <row r="634">
      <c r="A634" s="5" t="n"/>
      <c r="D634" s="8" t="n"/>
      <c r="F634" s="8" t="n"/>
      <c r="H634" s="8" t="n"/>
    </row>
    <row r="635">
      <c r="A635" s="5" t="n"/>
      <c r="D635" s="8" t="n"/>
      <c r="F635" s="8" t="n"/>
      <c r="H635" s="8" t="n"/>
    </row>
    <row r="636">
      <c r="A636" s="5" t="n"/>
      <c r="D636" s="8" t="n"/>
      <c r="F636" s="8" t="n"/>
      <c r="H636" s="8" t="n"/>
    </row>
    <row r="637">
      <c r="A637" s="5" t="n"/>
      <c r="D637" s="8" t="n"/>
      <c r="F637" s="8" t="n"/>
      <c r="H637" s="8" t="n"/>
    </row>
    <row r="638">
      <c r="A638" s="5" t="n"/>
      <c r="D638" s="8" t="n"/>
      <c r="F638" s="8" t="n"/>
      <c r="H638" s="8" t="n"/>
    </row>
    <row r="639">
      <c r="A639" s="5" t="n"/>
      <c r="D639" s="8" t="n"/>
      <c r="F639" s="8" t="n"/>
      <c r="H639" s="8" t="n"/>
    </row>
    <row r="640">
      <c r="A640" s="5" t="n"/>
      <c r="D640" s="8" t="n"/>
      <c r="F640" s="8" t="n"/>
      <c r="H640" s="8" t="n"/>
    </row>
    <row r="641">
      <c r="A641" s="5" t="n"/>
      <c r="D641" s="8" t="n"/>
      <c r="F641" s="8" t="n"/>
      <c r="H641" s="8" t="n"/>
    </row>
    <row r="642">
      <c r="A642" s="5" t="n"/>
      <c r="D642" s="8" t="n"/>
      <c r="F642" s="8" t="n"/>
      <c r="H642" s="8" t="n"/>
    </row>
    <row r="643">
      <c r="A643" s="5" t="n"/>
      <c r="D643" s="8" t="n"/>
      <c r="F643" s="8" t="n"/>
      <c r="H643" s="8" t="n"/>
    </row>
    <row r="644">
      <c r="A644" s="5" t="n"/>
      <c r="D644" s="8" t="n"/>
      <c r="F644" s="8" t="n"/>
      <c r="H644" s="8" t="n"/>
    </row>
    <row r="645">
      <c r="A645" s="5" t="n"/>
      <c r="D645" s="8" t="n"/>
      <c r="F645" s="8" t="n"/>
      <c r="H645" s="8" t="n"/>
    </row>
    <row r="646">
      <c r="A646" s="5" t="n"/>
      <c r="D646" s="8" t="n"/>
      <c r="F646" s="8" t="n"/>
      <c r="H646" s="8" t="n"/>
    </row>
    <row r="647">
      <c r="A647" s="5" t="n"/>
      <c r="D647" s="8" t="n"/>
      <c r="F647" s="8" t="n"/>
      <c r="H647" s="8" t="n"/>
    </row>
    <row r="648">
      <c r="A648" s="5" t="n"/>
      <c r="D648" s="8" t="n"/>
      <c r="F648" s="8" t="n"/>
      <c r="H648" s="8" t="n"/>
    </row>
    <row r="649">
      <c r="A649" s="5" t="n"/>
      <c r="D649" s="8" t="n"/>
      <c r="F649" s="8" t="n"/>
      <c r="H649" s="8" t="n"/>
    </row>
    <row r="650">
      <c r="A650" s="7" t="n"/>
      <c r="D650" s="8" t="n"/>
      <c r="F650" s="8" t="n"/>
      <c r="H650" s="8" t="n"/>
    </row>
    <row r="651">
      <c r="D651" s="8" t="n"/>
      <c r="F651" s="8" t="n"/>
      <c r="H651" s="8" t="n"/>
    </row>
    <row r="652">
      <c r="D652" s="8" t="n"/>
      <c r="F652" s="8" t="n"/>
      <c r="H652" s="8" t="n"/>
    </row>
    <row r="653">
      <c r="D653" s="8" t="n"/>
      <c r="F653" s="8" t="n"/>
      <c r="H653" s="8" t="n"/>
    </row>
    <row r="654">
      <c r="A654" s="3" t="n"/>
      <c r="D654" s="8" t="n"/>
      <c r="F654" s="8" t="n"/>
      <c r="H654" s="8" t="n"/>
    </row>
    <row r="655">
      <c r="A655" s="3" t="n"/>
      <c r="D655" s="8" t="n"/>
      <c r="F655" s="8" t="n"/>
      <c r="H655" s="8" t="n"/>
    </row>
    <row r="656">
      <c r="A656" s="5" t="n"/>
      <c r="D656" s="8" t="n"/>
      <c r="F656" s="8" t="n"/>
      <c r="H656" s="8" t="n"/>
    </row>
    <row r="657">
      <c r="A657" s="5" t="n"/>
      <c r="D657" s="8" t="n"/>
      <c r="F657" s="8" t="n"/>
      <c r="H657" s="8" t="n"/>
    </row>
    <row r="658">
      <c r="A658" s="5" t="n"/>
      <c r="D658" s="8" t="n"/>
      <c r="F658" s="8" t="n"/>
      <c r="H658" s="8" t="n"/>
    </row>
    <row r="659">
      <c r="A659" s="5" t="n"/>
      <c r="D659" s="8" t="n"/>
      <c r="F659" s="8" t="n"/>
      <c r="H659" s="8" t="n"/>
    </row>
    <row r="660">
      <c r="A660" s="5" t="n"/>
      <c r="D660" s="8" t="n"/>
      <c r="F660" s="8" t="n"/>
      <c r="H660" s="8" t="n"/>
    </row>
    <row r="661">
      <c r="A661" s="5" t="n"/>
      <c r="D661" s="8" t="n"/>
      <c r="F661" s="8" t="n"/>
      <c r="H661" s="8" t="n"/>
    </row>
    <row r="662">
      <c r="A662" s="5" t="n"/>
      <c r="D662" s="8" t="n"/>
      <c r="F662" s="8" t="n"/>
      <c r="H662" s="8" t="n"/>
    </row>
    <row r="663">
      <c r="A663" s="5" t="n"/>
      <c r="D663" s="8" t="n"/>
      <c r="F663" s="8" t="n"/>
      <c r="H663" s="8" t="n"/>
    </row>
    <row r="664">
      <c r="A664" s="5" t="n"/>
      <c r="D664" s="8" t="n"/>
      <c r="F664" s="8" t="n"/>
      <c r="H664" s="8" t="n"/>
    </row>
    <row r="665">
      <c r="A665" s="5" t="n"/>
      <c r="D665" s="8" t="n"/>
      <c r="F665" s="8" t="n"/>
      <c r="H665" s="8" t="n"/>
    </row>
    <row r="666">
      <c r="A666" s="5" t="n"/>
      <c r="D666" s="8" t="n"/>
      <c r="F666" s="8" t="n"/>
      <c r="H666" s="8" t="n"/>
    </row>
    <row r="667">
      <c r="A667" s="5" t="n"/>
      <c r="D667" s="8" t="n"/>
      <c r="F667" s="8" t="n"/>
      <c r="H667" s="8" t="n"/>
    </row>
    <row r="668">
      <c r="A668" s="5" t="n"/>
      <c r="D668" s="8" t="n"/>
      <c r="F668" s="8" t="n"/>
      <c r="H668" s="8" t="n"/>
    </row>
    <row r="669">
      <c r="A669" s="5" t="n"/>
      <c r="D669" s="8" t="n"/>
      <c r="F669" s="8" t="n"/>
      <c r="H669" s="8" t="n"/>
    </row>
    <row r="670">
      <c r="A670" s="5" t="n"/>
      <c r="D670" s="8" t="n"/>
      <c r="F670" s="8" t="n"/>
      <c r="H670" s="8" t="n"/>
    </row>
    <row r="671">
      <c r="A671" s="5" t="n"/>
      <c r="D671" s="8" t="n"/>
      <c r="F671" s="8" t="n"/>
      <c r="H671" s="8" t="n"/>
    </row>
    <row r="672">
      <c r="A672" s="5" t="n"/>
      <c r="D672" s="8" t="n"/>
      <c r="F672" s="8" t="n"/>
      <c r="H672" s="8" t="n"/>
    </row>
    <row r="673">
      <c r="A673" s="5" t="n"/>
      <c r="D673" s="8" t="n"/>
      <c r="F673" s="8" t="n"/>
      <c r="H673" s="8" t="n"/>
    </row>
    <row r="674">
      <c r="A674" s="5" t="n"/>
      <c r="D674" s="8" t="n"/>
      <c r="F674" s="8" t="n"/>
      <c r="H674" s="8" t="n"/>
    </row>
    <row r="675">
      <c r="A675" s="5" t="n"/>
      <c r="D675" s="8" t="n"/>
      <c r="F675" s="8" t="n"/>
      <c r="H675" s="8" t="n"/>
    </row>
    <row r="676">
      <c r="A676" s="5" t="n"/>
      <c r="D676" s="8" t="n"/>
      <c r="F676" s="8" t="n"/>
      <c r="H676" s="8" t="n"/>
    </row>
    <row r="677">
      <c r="A677" s="5" t="n"/>
      <c r="D677" s="8" t="n"/>
      <c r="F677" s="8" t="n"/>
      <c r="H677" s="8" t="n"/>
    </row>
    <row r="678">
      <c r="A678" s="5" t="n"/>
      <c r="D678" s="8" t="n"/>
      <c r="F678" s="8" t="n"/>
      <c r="H678" s="8" t="n"/>
    </row>
    <row r="679">
      <c r="A679" s="5" t="n"/>
      <c r="D679" s="8" t="n"/>
      <c r="F679" s="8" t="n"/>
      <c r="H679" s="8" t="n"/>
    </row>
    <row r="680">
      <c r="A680" s="5" t="n"/>
      <c r="D680" s="8" t="n"/>
      <c r="F680" s="8" t="n"/>
      <c r="H680" s="8" t="n"/>
    </row>
    <row r="681">
      <c r="A681" s="5" t="n"/>
      <c r="D681" s="8" t="n"/>
      <c r="F681" s="8" t="n"/>
      <c r="H681" s="8" t="n"/>
    </row>
    <row r="682">
      <c r="A682" s="5" t="n"/>
      <c r="D682" s="8" t="n"/>
      <c r="F682" s="8" t="n"/>
      <c r="H682" s="8" t="n"/>
    </row>
    <row r="683">
      <c r="A683" s="5" t="n"/>
      <c r="D683" s="8" t="n"/>
      <c r="F683" s="8" t="n"/>
      <c r="H683" s="8" t="n"/>
    </row>
    <row r="684">
      <c r="A684" s="5" t="n"/>
      <c r="D684" s="8" t="n"/>
      <c r="F684" s="8" t="n"/>
      <c r="H684" s="8" t="n"/>
    </row>
    <row r="685">
      <c r="A685" s="5" t="n"/>
      <c r="D685" s="8" t="n"/>
      <c r="F685" s="8" t="n"/>
      <c r="H685" s="8" t="n"/>
    </row>
    <row r="686">
      <c r="A686" s="5" t="n"/>
      <c r="D686" s="8" t="n"/>
      <c r="F686" s="8" t="n"/>
      <c r="H686" s="8" t="n"/>
    </row>
    <row r="687">
      <c r="A687" s="5" t="n"/>
      <c r="D687" s="8" t="n"/>
      <c r="F687" s="8" t="n"/>
      <c r="H687" s="8" t="n"/>
    </row>
    <row r="688">
      <c r="A688" s="5" t="n"/>
      <c r="D688" s="8" t="n"/>
      <c r="F688" s="8" t="n"/>
      <c r="H688" s="8" t="n"/>
    </row>
    <row r="689">
      <c r="A689" s="5" t="n"/>
      <c r="D689" s="8" t="n"/>
      <c r="F689" s="8" t="n"/>
      <c r="H689" s="8" t="n"/>
    </row>
    <row r="690">
      <c r="A690" s="5" t="n"/>
      <c r="D690" s="8" t="n"/>
      <c r="F690" s="8" t="n"/>
      <c r="H690" s="8" t="n"/>
    </row>
    <row r="691">
      <c r="A691" s="5" t="n"/>
      <c r="D691" s="8" t="n"/>
      <c r="F691" s="8" t="n"/>
      <c r="H691" s="8" t="n"/>
    </row>
    <row r="692">
      <c r="A692" s="5" t="n"/>
      <c r="D692" s="8" t="n"/>
      <c r="F692" s="8" t="n"/>
      <c r="H692" s="8" t="n"/>
    </row>
    <row r="693">
      <c r="A693" s="5" t="n"/>
      <c r="D693" s="8" t="n"/>
      <c r="F693" s="8" t="n"/>
      <c r="H693" s="8" t="n"/>
    </row>
    <row r="694">
      <c r="A694" s="5" t="n"/>
      <c r="D694" s="8" t="n"/>
      <c r="F694" s="8" t="n"/>
      <c r="H694" s="8" t="n"/>
    </row>
    <row r="695">
      <c r="A695" s="5" t="n"/>
      <c r="D695" s="8" t="n"/>
      <c r="F695" s="8" t="n"/>
      <c r="H695" s="8" t="n"/>
    </row>
    <row r="696">
      <c r="A696" s="5" t="n"/>
      <c r="D696" s="8" t="n"/>
      <c r="F696" s="8" t="n"/>
      <c r="H696" s="8" t="n"/>
    </row>
    <row r="697">
      <c r="A697" s="5" t="n"/>
      <c r="D697" s="8" t="n"/>
      <c r="F697" s="8" t="n"/>
      <c r="H697" s="8" t="n"/>
    </row>
    <row r="698">
      <c r="A698" s="5" t="n"/>
      <c r="D698" s="8" t="n"/>
      <c r="F698" s="8" t="n"/>
      <c r="H698" s="8" t="n"/>
    </row>
    <row r="699">
      <c r="A699" s="5" t="n"/>
      <c r="D699" s="8" t="n"/>
      <c r="F699" s="8" t="n"/>
      <c r="H699" s="8" t="n"/>
    </row>
    <row r="700">
      <c r="A700" s="5" t="n"/>
      <c r="D700" s="8" t="n"/>
      <c r="F700" s="8" t="n"/>
      <c r="H700" s="8" t="n"/>
    </row>
    <row r="701">
      <c r="A701" s="5" t="n"/>
      <c r="D701" s="8" t="n"/>
      <c r="F701" s="8" t="n"/>
      <c r="H701" s="8" t="n"/>
    </row>
    <row r="702">
      <c r="A702" s="5" t="n"/>
      <c r="D702" s="8" t="n"/>
      <c r="F702" s="8" t="n"/>
      <c r="H702" s="8" t="n"/>
    </row>
    <row r="703">
      <c r="A703" s="5" t="n"/>
      <c r="D703" s="8" t="n"/>
      <c r="F703" s="8" t="n"/>
      <c r="H703" s="8" t="n"/>
    </row>
    <row r="704">
      <c r="A704" s="5" t="n"/>
      <c r="D704" s="8" t="n"/>
      <c r="F704" s="8" t="n"/>
      <c r="H704" s="8" t="n"/>
    </row>
    <row r="705">
      <c r="A705" s="5" t="n"/>
      <c r="D705" s="8" t="n"/>
      <c r="F705" s="8" t="n"/>
      <c r="H705" s="8" t="n"/>
    </row>
    <row r="706">
      <c r="A706" s="5" t="n"/>
      <c r="D706" s="8" t="n"/>
      <c r="F706" s="8" t="n"/>
      <c r="H706" s="8" t="n"/>
    </row>
    <row r="707">
      <c r="A707" s="5" t="n"/>
      <c r="D707" s="8" t="n"/>
      <c r="F707" s="8" t="n"/>
      <c r="H707" s="8" t="n"/>
    </row>
    <row r="708">
      <c r="A708" s="5" t="n"/>
      <c r="D708" s="8" t="n"/>
      <c r="F708" s="8" t="n"/>
      <c r="H708" s="8" t="n"/>
    </row>
    <row r="709">
      <c r="A709" s="5" t="n"/>
      <c r="D709" s="8" t="n"/>
      <c r="F709" s="8" t="n"/>
      <c r="H709" s="8" t="n"/>
    </row>
    <row r="710">
      <c r="A710" s="5" t="n"/>
      <c r="D710" s="8" t="n"/>
      <c r="F710" s="8" t="n"/>
      <c r="H710" s="8" t="n"/>
    </row>
    <row r="711">
      <c r="A711" s="5" t="n"/>
      <c r="D711" s="8" t="n"/>
      <c r="F711" s="8" t="n"/>
      <c r="H711" s="8" t="n"/>
    </row>
    <row r="712">
      <c r="A712" s="5" t="n"/>
      <c r="D712" s="8" t="n"/>
      <c r="F712" s="8" t="n"/>
      <c r="H712" s="8" t="n"/>
    </row>
    <row r="713">
      <c r="A713" s="5" t="n"/>
      <c r="D713" s="8" t="n"/>
      <c r="F713" s="8" t="n"/>
      <c r="H713" s="8" t="n"/>
    </row>
    <row r="714">
      <c r="A714" s="5" t="n"/>
      <c r="D714" s="8" t="n"/>
      <c r="F714" s="8" t="n"/>
      <c r="H714" s="8" t="n"/>
    </row>
    <row r="715">
      <c r="A715" s="5" t="n"/>
      <c r="D715" s="8" t="n"/>
      <c r="F715" s="8" t="n"/>
      <c r="H715" s="8" t="n"/>
    </row>
    <row r="716">
      <c r="A716" s="5" t="n"/>
      <c r="D716" s="8" t="n"/>
      <c r="F716" s="8" t="n"/>
      <c r="H716" s="8" t="n"/>
    </row>
    <row r="717">
      <c r="A717" s="5" t="n"/>
      <c r="D717" s="8" t="n"/>
      <c r="F717" s="8" t="n"/>
      <c r="H717" s="8" t="n"/>
    </row>
    <row r="718">
      <c r="A718" s="5" t="n"/>
      <c r="D718" s="8" t="n"/>
      <c r="F718" s="8" t="n"/>
      <c r="H718" s="8" t="n"/>
    </row>
    <row r="719">
      <c r="A719" s="5" t="n"/>
      <c r="D719" s="8" t="n"/>
      <c r="F719" s="8" t="n"/>
      <c r="H719" s="8" t="n"/>
    </row>
    <row r="720">
      <c r="A720" s="5" t="n"/>
      <c r="D720" s="8" t="n"/>
      <c r="F720" s="8" t="n"/>
      <c r="H720" s="8" t="n"/>
    </row>
    <row r="721">
      <c r="A721" s="5" t="n"/>
      <c r="D721" s="8" t="n"/>
      <c r="F721" s="8" t="n"/>
      <c r="H721" s="8" t="n"/>
    </row>
    <row r="722">
      <c r="A722" s="5" t="n"/>
      <c r="D722" s="8" t="n"/>
      <c r="F722" s="8" t="n"/>
      <c r="H722" s="8" t="n"/>
    </row>
    <row r="723">
      <c r="A723" s="7" t="n"/>
      <c r="D723" s="8" t="n"/>
      <c r="F723" s="8" t="n"/>
      <c r="H723" s="8" t="n"/>
    </row>
    <row r="724">
      <c r="D724" s="8" t="n"/>
      <c r="F724" s="8" t="n"/>
      <c r="H724" s="8" t="n"/>
    </row>
    <row r="725">
      <c r="D725" s="8" t="n"/>
      <c r="F725" s="8" t="n"/>
      <c r="H725" s="8" t="n"/>
    </row>
    <row r="726">
      <c r="D726" s="8" t="n"/>
      <c r="F726" s="8" t="n"/>
      <c r="H726" s="8" t="n"/>
    </row>
    <row r="727">
      <c r="A727" s="3" t="n"/>
      <c r="D727" s="8" t="n"/>
      <c r="F727" s="8" t="n"/>
      <c r="H727" s="8" t="n"/>
    </row>
    <row r="728">
      <c r="A728" s="3" t="n"/>
      <c r="D728" s="8" t="n"/>
      <c r="F728" s="8" t="n"/>
      <c r="H728" s="8" t="n"/>
    </row>
    <row r="729">
      <c r="A729" s="5" t="n"/>
      <c r="D729" s="8" t="n"/>
      <c r="F729" s="8" t="n"/>
      <c r="H729" s="8" t="n"/>
    </row>
    <row r="730">
      <c r="A730" s="5" t="n"/>
      <c r="D730" s="8" t="n"/>
      <c r="F730" s="8" t="n"/>
      <c r="H730" s="8" t="n"/>
    </row>
    <row r="731">
      <c r="A731" s="5" t="n"/>
      <c r="D731" s="8" t="n"/>
      <c r="F731" s="8" t="n"/>
      <c r="H731" s="8" t="n"/>
    </row>
    <row r="732">
      <c r="A732" s="5" t="n"/>
      <c r="D732" s="8" t="n"/>
      <c r="F732" s="8" t="n"/>
      <c r="H732" s="8" t="n"/>
    </row>
    <row r="733">
      <c r="A733" s="5" t="n"/>
      <c r="D733" s="8" t="n"/>
      <c r="F733" s="8" t="n"/>
      <c r="H733" s="8" t="n"/>
    </row>
    <row r="734">
      <c r="A734" s="5" t="n"/>
      <c r="D734" s="8" t="n"/>
      <c r="F734" s="8" t="n"/>
      <c r="H734" s="8" t="n"/>
    </row>
    <row r="735">
      <c r="A735" s="5" t="n"/>
      <c r="D735" s="8" t="n"/>
      <c r="F735" s="8" t="n"/>
      <c r="H735" s="8" t="n"/>
    </row>
    <row r="736">
      <c r="A736" s="5" t="n"/>
      <c r="D736" s="8" t="n"/>
      <c r="F736" s="8" t="n"/>
      <c r="H736" s="8" t="n"/>
    </row>
    <row r="737">
      <c r="A737" s="5" t="n"/>
      <c r="D737" s="8" t="n"/>
      <c r="F737" s="8" t="n"/>
      <c r="H737" s="8" t="n"/>
    </row>
    <row r="738">
      <c r="A738" s="5" t="n"/>
      <c r="D738" s="8" t="n"/>
      <c r="F738" s="8" t="n"/>
      <c r="H738" s="8" t="n"/>
    </row>
    <row r="739">
      <c r="A739" s="5" t="n"/>
      <c r="D739" s="8" t="n"/>
      <c r="F739" s="8" t="n"/>
      <c r="H739" s="8" t="n"/>
    </row>
    <row r="740">
      <c r="A740" s="5" t="n"/>
      <c r="D740" s="8" t="n"/>
      <c r="F740" s="8" t="n"/>
      <c r="H740" s="8" t="n"/>
    </row>
    <row r="741">
      <c r="A741" s="5" t="n"/>
      <c r="D741" s="8" t="n"/>
      <c r="F741" s="8" t="n"/>
      <c r="H741" s="8" t="n"/>
    </row>
    <row r="742">
      <c r="A742" s="5" t="n"/>
      <c r="D742" s="8" t="n"/>
      <c r="F742" s="8" t="n"/>
      <c r="H742" s="8" t="n"/>
    </row>
    <row r="743">
      <c r="A743" s="5" t="n"/>
      <c r="D743" s="8" t="n"/>
      <c r="F743" s="8" t="n"/>
      <c r="H743" s="8" t="n"/>
    </row>
    <row r="744">
      <c r="A744" s="5" t="n"/>
      <c r="D744" s="8" t="n"/>
      <c r="F744" s="8" t="n"/>
      <c r="H744" s="8" t="n"/>
    </row>
    <row r="745">
      <c r="A745" s="5" t="n"/>
      <c r="D745" s="8" t="n"/>
      <c r="F745" s="8" t="n"/>
      <c r="H745" s="8" t="n"/>
    </row>
    <row r="746">
      <c r="A746" s="5" t="n"/>
      <c r="D746" s="8" t="n"/>
      <c r="F746" s="8" t="n"/>
      <c r="H746" s="8" t="n"/>
    </row>
    <row r="747">
      <c r="A747" s="5" t="n"/>
      <c r="D747" s="8" t="n"/>
      <c r="F747" s="8" t="n"/>
      <c r="H747" s="8" t="n"/>
    </row>
    <row r="748">
      <c r="A748" s="5" t="n"/>
      <c r="D748" s="8" t="n"/>
      <c r="F748" s="8" t="n"/>
      <c r="H748" s="8" t="n"/>
    </row>
    <row r="749">
      <c r="A749" s="5" t="n"/>
      <c r="D749" s="8" t="n"/>
      <c r="F749" s="8" t="n"/>
      <c r="H749" s="8" t="n"/>
    </row>
    <row r="750">
      <c r="A750" s="5" t="n"/>
      <c r="D750" s="8" t="n"/>
      <c r="F750" s="8" t="n"/>
      <c r="H750" s="8" t="n"/>
    </row>
    <row r="751">
      <c r="A751" s="5" t="n"/>
      <c r="D751" s="8" t="n"/>
      <c r="F751" s="8" t="n"/>
      <c r="H751" s="8" t="n"/>
    </row>
    <row r="752">
      <c r="A752" s="5" t="n"/>
      <c r="D752" s="8" t="n"/>
      <c r="F752" s="8" t="n"/>
      <c r="H752" s="8" t="n"/>
    </row>
    <row r="753">
      <c r="A753" s="5" t="n"/>
      <c r="D753" s="8" t="n"/>
      <c r="F753" s="8" t="n"/>
      <c r="H753" s="8" t="n"/>
    </row>
    <row r="754">
      <c r="A754" s="5" t="n"/>
      <c r="D754" s="8" t="n"/>
      <c r="F754" s="8" t="n"/>
      <c r="H754" s="8" t="n"/>
    </row>
    <row r="755">
      <c r="A755" s="5" t="n"/>
      <c r="D755" s="8" t="n"/>
      <c r="F755" s="8" t="n"/>
      <c r="H755" s="8" t="n"/>
    </row>
    <row r="756">
      <c r="A756" s="5" t="n"/>
      <c r="D756" s="8" t="n"/>
      <c r="F756" s="8" t="n"/>
      <c r="H756" s="8" t="n"/>
    </row>
    <row r="757">
      <c r="A757" s="5" t="n"/>
      <c r="D757" s="8" t="n"/>
      <c r="F757" s="8" t="n"/>
      <c r="H757" s="8" t="n"/>
    </row>
    <row r="758">
      <c r="A758" s="5" t="n"/>
      <c r="D758" s="8" t="n"/>
      <c r="F758" s="8" t="n"/>
      <c r="H758" s="8" t="n"/>
    </row>
    <row r="759">
      <c r="A759" s="5" t="n"/>
      <c r="D759" s="8" t="n"/>
      <c r="F759" s="8" t="n"/>
      <c r="H759" s="8" t="n"/>
    </row>
    <row r="760">
      <c r="A760" s="5" t="n"/>
      <c r="D760" s="8" t="n"/>
      <c r="F760" s="8" t="n"/>
      <c r="H760" s="8" t="n"/>
    </row>
    <row r="761">
      <c r="A761" s="5" t="n"/>
      <c r="D761" s="8" t="n"/>
      <c r="F761" s="8" t="n"/>
      <c r="H761" s="8" t="n"/>
    </row>
    <row r="762">
      <c r="A762" s="5" t="n"/>
      <c r="D762" s="8" t="n"/>
      <c r="F762" s="8" t="n"/>
      <c r="H762" s="8" t="n"/>
    </row>
    <row r="763">
      <c r="A763" s="5" t="n"/>
      <c r="D763" s="8" t="n"/>
      <c r="F763" s="8" t="n"/>
      <c r="H763" s="8" t="n"/>
    </row>
    <row r="764">
      <c r="A764" s="5" t="n"/>
      <c r="D764" s="8" t="n"/>
      <c r="F764" s="8" t="n"/>
      <c r="H764" s="8" t="n"/>
    </row>
    <row r="765">
      <c r="A765" s="5" t="n"/>
      <c r="D765" s="8" t="n"/>
      <c r="F765" s="8" t="n"/>
      <c r="H765" s="8" t="n"/>
    </row>
    <row r="766">
      <c r="A766" s="5" t="n"/>
      <c r="D766" s="8" t="n"/>
      <c r="F766" s="8" t="n"/>
      <c r="H766" s="8" t="n"/>
    </row>
    <row r="767">
      <c r="A767" s="5" t="n"/>
      <c r="D767" s="8" t="n"/>
      <c r="F767" s="8" t="n"/>
      <c r="H767" s="8" t="n"/>
    </row>
    <row r="768">
      <c r="A768" s="5" t="n"/>
      <c r="D768" s="8" t="n"/>
      <c r="F768" s="8" t="n"/>
      <c r="H768" s="8" t="n"/>
    </row>
    <row r="769">
      <c r="A769" s="5" t="n"/>
      <c r="D769" s="8" t="n"/>
      <c r="F769" s="8" t="n"/>
      <c r="H769" s="8" t="n"/>
    </row>
    <row r="770">
      <c r="A770" s="5" t="n"/>
      <c r="D770" s="8" t="n"/>
      <c r="F770" s="8" t="n"/>
      <c r="H770" s="8" t="n"/>
    </row>
    <row r="771">
      <c r="A771" s="5" t="n"/>
      <c r="D771" s="8" t="n"/>
      <c r="F771" s="8" t="n"/>
      <c r="H771" s="8" t="n"/>
    </row>
    <row r="772">
      <c r="A772" s="5" t="n"/>
      <c r="D772" s="8" t="n"/>
      <c r="F772" s="8" t="n"/>
      <c r="H772" s="8" t="n"/>
    </row>
    <row r="773">
      <c r="A773" s="5" t="n"/>
      <c r="D773" s="8" t="n"/>
      <c r="F773" s="8" t="n"/>
      <c r="H773" s="8" t="n"/>
    </row>
    <row r="774">
      <c r="A774" s="5" t="n"/>
      <c r="D774" s="8" t="n"/>
      <c r="F774" s="8" t="n"/>
      <c r="H774" s="8" t="n"/>
    </row>
    <row r="775">
      <c r="A775" s="5" t="n"/>
      <c r="D775" s="8" t="n"/>
      <c r="F775" s="8" t="n"/>
      <c r="H775" s="8" t="n"/>
    </row>
    <row r="776">
      <c r="A776" s="5" t="n"/>
      <c r="D776" s="8" t="n"/>
      <c r="F776" s="8" t="n"/>
      <c r="H776" s="8" t="n"/>
    </row>
    <row r="777">
      <c r="A777" s="5" t="n"/>
      <c r="D777" s="8" t="n"/>
      <c r="F777" s="8" t="n"/>
      <c r="H777" s="8" t="n"/>
    </row>
    <row r="778">
      <c r="A778" s="5" t="n"/>
      <c r="D778" s="8" t="n"/>
      <c r="F778" s="8" t="n"/>
      <c r="H778" s="8" t="n"/>
    </row>
    <row r="779">
      <c r="A779" s="5" t="n"/>
      <c r="D779" s="8" t="n"/>
      <c r="F779" s="8" t="n"/>
      <c r="H779" s="8" t="n"/>
    </row>
    <row r="780">
      <c r="A780" s="5" t="n"/>
      <c r="D780" s="8" t="n"/>
      <c r="F780" s="8" t="n"/>
      <c r="H780" s="8" t="n"/>
    </row>
    <row r="781">
      <c r="A781" s="5" t="n"/>
      <c r="D781" s="8" t="n"/>
      <c r="F781" s="8" t="n"/>
      <c r="H781" s="8" t="n"/>
    </row>
    <row r="782">
      <c r="A782" s="5" t="n"/>
      <c r="D782" s="8" t="n"/>
      <c r="F782" s="8" t="n"/>
      <c r="H782" s="8" t="n"/>
    </row>
    <row r="783">
      <c r="A783" s="5" t="n"/>
      <c r="D783" s="8" t="n"/>
      <c r="F783" s="8" t="n"/>
      <c r="H783" s="8" t="n"/>
    </row>
    <row r="784">
      <c r="A784" s="5" t="n"/>
      <c r="D784" s="8" t="n"/>
      <c r="F784" s="8" t="n"/>
      <c r="H784" s="8" t="n"/>
    </row>
    <row r="785">
      <c r="A785" s="5" t="n"/>
      <c r="D785" s="8" t="n"/>
      <c r="F785" s="8" t="n"/>
      <c r="H785" s="8" t="n"/>
    </row>
    <row r="786">
      <c r="A786" s="5" t="n"/>
      <c r="D786" s="8" t="n"/>
      <c r="F786" s="8" t="n"/>
      <c r="H786" s="8" t="n"/>
    </row>
    <row r="787">
      <c r="A787" s="5" t="n"/>
      <c r="D787" s="8" t="n"/>
      <c r="F787" s="8" t="n"/>
      <c r="H787" s="8" t="n"/>
    </row>
    <row r="788">
      <c r="A788" s="5" t="n"/>
      <c r="D788" s="8" t="n"/>
      <c r="F788" s="8" t="n"/>
      <c r="H788" s="8" t="n"/>
    </row>
    <row r="789">
      <c r="A789" s="5" t="n"/>
      <c r="D789" s="8" t="n"/>
      <c r="F789" s="8" t="n"/>
      <c r="H789" s="8" t="n"/>
    </row>
    <row r="790">
      <c r="A790" s="5" t="n"/>
      <c r="D790" s="8" t="n"/>
      <c r="F790" s="8" t="n"/>
      <c r="H790" s="8" t="n"/>
    </row>
    <row r="791">
      <c r="A791" s="5" t="n"/>
      <c r="D791" s="8" t="n"/>
      <c r="F791" s="8" t="n"/>
      <c r="H791" s="8" t="n"/>
    </row>
    <row r="792">
      <c r="A792" s="5" t="n"/>
      <c r="D792" s="8" t="n"/>
      <c r="F792" s="8" t="n"/>
      <c r="H792" s="8" t="n"/>
    </row>
    <row r="793">
      <c r="A793" s="5" t="n"/>
      <c r="D793" s="8" t="n"/>
      <c r="F793" s="8" t="n"/>
      <c r="H793" s="8" t="n"/>
    </row>
    <row r="794">
      <c r="A794" s="5" t="n"/>
      <c r="D794" s="8" t="n"/>
      <c r="F794" s="8" t="n"/>
      <c r="H794" s="8" t="n"/>
    </row>
    <row r="795">
      <c r="A795" s="5" t="n"/>
      <c r="D795" s="8" t="n"/>
      <c r="F795" s="8" t="n"/>
      <c r="H795" s="8" t="n"/>
    </row>
    <row r="796">
      <c r="A796" s="7" t="n"/>
      <c r="D796" s="8" t="n"/>
      <c r="F796" s="8" t="n"/>
      <c r="H796" s="8" t="n"/>
    </row>
    <row r="797">
      <c r="D797" s="8" t="n"/>
      <c r="F797" s="8" t="n"/>
      <c r="H797" s="8" t="n"/>
    </row>
    <row r="798">
      <c r="D798" s="8" t="n"/>
      <c r="F798" s="8" t="n"/>
      <c r="H798" s="8" t="n"/>
    </row>
    <row r="799">
      <c r="D799" s="8" t="n"/>
      <c r="F799" s="8" t="n"/>
      <c r="H799" s="8" t="n"/>
    </row>
    <row r="800">
      <c r="A800" s="3" t="n"/>
      <c r="D800" s="8" t="n"/>
      <c r="F800" s="8" t="n"/>
      <c r="H800" s="8" t="n"/>
    </row>
    <row r="801">
      <c r="A801" s="3" t="n"/>
      <c r="D801" s="8" t="n"/>
      <c r="F801" s="8" t="n"/>
      <c r="H801" s="8" t="n"/>
    </row>
    <row r="802">
      <c r="A802" s="5" t="n"/>
      <c r="D802" s="8" t="n"/>
      <c r="F802" s="8" t="n"/>
      <c r="H802" s="8" t="n"/>
    </row>
    <row r="803">
      <c r="A803" s="5" t="n"/>
      <c r="D803" s="8" t="n"/>
      <c r="F803" s="8" t="n"/>
      <c r="H803" s="8" t="n"/>
    </row>
    <row r="804">
      <c r="A804" s="5" t="n"/>
      <c r="D804" s="8" t="n"/>
      <c r="F804" s="8" t="n"/>
      <c r="H804" s="8" t="n"/>
    </row>
    <row r="805">
      <c r="A805" s="5" t="n"/>
      <c r="D805" s="8" t="n"/>
      <c r="F805" s="8" t="n"/>
      <c r="H805" s="8" t="n"/>
    </row>
    <row r="806">
      <c r="A806" s="5" t="n"/>
      <c r="D806" s="8" t="n"/>
      <c r="F806" s="8" t="n"/>
      <c r="H806" s="8" t="n"/>
    </row>
    <row r="807">
      <c r="A807" s="5" t="n"/>
      <c r="D807" s="8" t="n"/>
      <c r="F807" s="8" t="n"/>
      <c r="H807" s="8" t="n"/>
    </row>
    <row r="808">
      <c r="A808" s="5" t="n"/>
      <c r="D808" s="8" t="n"/>
      <c r="F808" s="8" t="n"/>
      <c r="H808" s="8" t="n"/>
    </row>
    <row r="809">
      <c r="A809" s="5" t="n"/>
      <c r="D809" s="8" t="n"/>
      <c r="F809" s="8" t="n"/>
      <c r="H809" s="8" t="n"/>
    </row>
    <row r="810">
      <c r="A810" s="5" t="n"/>
      <c r="D810" s="8" t="n"/>
      <c r="F810" s="8" t="n"/>
      <c r="H810" s="8" t="n"/>
    </row>
    <row r="811">
      <c r="A811" s="5" t="n"/>
      <c r="D811" s="8" t="n"/>
      <c r="F811" s="8" t="n"/>
      <c r="H811" s="8" t="n"/>
    </row>
    <row r="812">
      <c r="A812" s="5" t="n"/>
      <c r="D812" s="8" t="n"/>
      <c r="F812" s="8" t="n"/>
      <c r="H812" s="8" t="n"/>
    </row>
    <row r="813">
      <c r="A813" s="5" t="n"/>
      <c r="D813" s="8" t="n"/>
      <c r="F813" s="8" t="n"/>
      <c r="H813" s="8" t="n"/>
    </row>
    <row r="814">
      <c r="A814" s="5" t="n"/>
      <c r="D814" s="8" t="n"/>
      <c r="F814" s="8" t="n"/>
      <c r="H814" s="8" t="n"/>
    </row>
    <row r="815">
      <c r="A815" s="5" t="n"/>
      <c r="D815" s="8" t="n"/>
      <c r="F815" s="8" t="n"/>
      <c r="H815" s="8" t="n"/>
    </row>
    <row r="816">
      <c r="A816" s="5" t="n"/>
      <c r="D816" s="8" t="n"/>
      <c r="F816" s="8" t="n"/>
      <c r="H816" s="8" t="n"/>
    </row>
    <row r="817">
      <c r="A817" s="5" t="n"/>
      <c r="D817" s="8" t="n"/>
      <c r="F817" s="8" t="n"/>
      <c r="H817" s="8" t="n"/>
    </row>
    <row r="818">
      <c r="A818" s="5" t="n"/>
      <c r="D818" s="8" t="n"/>
      <c r="F818" s="8" t="n"/>
      <c r="H818" s="8" t="n"/>
    </row>
    <row r="819">
      <c r="A819" s="5" t="n"/>
      <c r="D819" s="8" t="n"/>
      <c r="F819" s="8" t="n"/>
      <c r="H819" s="8" t="n"/>
    </row>
    <row r="820">
      <c r="A820" s="5" t="n"/>
      <c r="D820" s="8" t="n"/>
      <c r="F820" s="8" t="n"/>
      <c r="H820" s="8" t="n"/>
    </row>
    <row r="821">
      <c r="A821" s="5" t="n"/>
      <c r="D821" s="8" t="n"/>
      <c r="F821" s="8" t="n"/>
      <c r="H821" s="8" t="n"/>
    </row>
    <row r="822">
      <c r="A822" s="5" t="n"/>
      <c r="D822" s="8" t="n"/>
      <c r="F822" s="8" t="n"/>
      <c r="H822" s="8" t="n"/>
    </row>
    <row r="823">
      <c r="A823" s="5" t="n"/>
      <c r="D823" s="8" t="n"/>
      <c r="F823" s="8" t="n"/>
      <c r="H823" s="8" t="n"/>
    </row>
    <row r="824">
      <c r="A824" s="5" t="n"/>
      <c r="D824" s="8" t="n"/>
      <c r="F824" s="8" t="n"/>
      <c r="H824" s="8" t="n"/>
    </row>
    <row r="825">
      <c r="A825" s="5" t="n"/>
      <c r="D825" s="8" t="n"/>
      <c r="F825" s="8" t="n"/>
      <c r="H825" s="8" t="n"/>
    </row>
    <row r="826">
      <c r="A826" s="5" t="n"/>
      <c r="D826" s="8" t="n"/>
      <c r="F826" s="8" t="n"/>
      <c r="H826" s="8" t="n"/>
    </row>
    <row r="827">
      <c r="A827" s="5" t="n"/>
      <c r="D827" s="8" t="n"/>
      <c r="F827" s="8" t="n"/>
      <c r="H827" s="8" t="n"/>
    </row>
    <row r="828">
      <c r="A828" s="5" t="n"/>
      <c r="D828" s="8" t="n"/>
      <c r="F828" s="8" t="n"/>
      <c r="H828" s="8" t="n"/>
    </row>
    <row r="829">
      <c r="A829" s="5" t="n"/>
      <c r="D829" s="8" t="n"/>
      <c r="F829" s="8" t="n"/>
      <c r="H829" s="8" t="n"/>
    </row>
    <row r="830">
      <c r="A830" s="5" t="n"/>
      <c r="D830" s="8" t="n"/>
      <c r="F830" s="8" t="n"/>
      <c r="H830" s="8" t="n"/>
    </row>
    <row r="831">
      <c r="A831" s="5" t="n"/>
      <c r="D831" s="8" t="n"/>
      <c r="F831" s="8" t="n"/>
      <c r="H831" s="8" t="n"/>
    </row>
    <row r="832">
      <c r="A832" s="5" t="n"/>
      <c r="D832" s="8" t="n"/>
      <c r="F832" s="8" t="n"/>
      <c r="H832" s="8" t="n"/>
    </row>
    <row r="833">
      <c r="A833" s="5" t="n"/>
      <c r="D833" s="8" t="n"/>
      <c r="F833" s="8" t="n"/>
      <c r="H833" s="8" t="n"/>
    </row>
    <row r="834">
      <c r="A834" s="5" t="n"/>
      <c r="D834" s="8" t="n"/>
      <c r="F834" s="8" t="n"/>
      <c r="H834" s="8" t="n"/>
    </row>
    <row r="835">
      <c r="A835" s="5" t="n"/>
      <c r="D835" s="8" t="n"/>
      <c r="F835" s="8" t="n"/>
      <c r="H835" s="8" t="n"/>
    </row>
    <row r="836">
      <c r="A836" s="5" t="n"/>
      <c r="D836" s="8" t="n"/>
      <c r="F836" s="8" t="n"/>
      <c r="H836" s="8" t="n"/>
    </row>
    <row r="837">
      <c r="A837" s="5" t="n"/>
      <c r="D837" s="8" t="n"/>
      <c r="F837" s="8" t="n"/>
      <c r="H837" s="8" t="n"/>
    </row>
    <row r="838">
      <c r="A838" s="5" t="n"/>
      <c r="D838" s="8" t="n"/>
      <c r="F838" s="8" t="n"/>
      <c r="H838" s="8" t="n"/>
    </row>
    <row r="839">
      <c r="A839" s="5" t="n"/>
      <c r="D839" s="8" t="n"/>
      <c r="F839" s="8" t="n"/>
      <c r="H839" s="8" t="n"/>
    </row>
    <row r="840">
      <c r="A840" s="5" t="n"/>
      <c r="D840" s="8" t="n"/>
      <c r="F840" s="8" t="n"/>
      <c r="H840" s="8" t="n"/>
    </row>
    <row r="841">
      <c r="A841" s="5" t="n"/>
      <c r="D841" s="8" t="n"/>
      <c r="F841" s="8" t="n"/>
      <c r="H841" s="8" t="n"/>
    </row>
    <row r="842">
      <c r="A842" s="5" t="n"/>
      <c r="D842" s="8" t="n"/>
      <c r="F842" s="8" t="n"/>
      <c r="H842" s="8" t="n"/>
    </row>
    <row r="843">
      <c r="A843" s="5" t="n"/>
      <c r="D843" s="8" t="n"/>
      <c r="F843" s="8" t="n"/>
      <c r="H843" s="8" t="n"/>
    </row>
    <row r="844">
      <c r="A844" s="5" t="n"/>
      <c r="D844" s="8" t="n"/>
      <c r="F844" s="8" t="n"/>
      <c r="H844" s="8" t="n"/>
    </row>
    <row r="845">
      <c r="A845" s="5" t="n"/>
      <c r="D845" s="8" t="n"/>
      <c r="F845" s="8" t="n"/>
      <c r="H845" s="8" t="n"/>
    </row>
    <row r="846">
      <c r="A846" s="5" t="n"/>
      <c r="D846" s="8" t="n"/>
      <c r="F846" s="8" t="n"/>
      <c r="H846" s="8" t="n"/>
    </row>
    <row r="847">
      <c r="A847" s="5" t="n"/>
      <c r="D847" s="8" t="n"/>
      <c r="F847" s="8" t="n"/>
      <c r="H847" s="8" t="n"/>
    </row>
    <row r="848">
      <c r="A848" s="5" t="n"/>
      <c r="D848" s="8" t="n"/>
      <c r="F848" s="8" t="n"/>
      <c r="H848" s="8" t="n"/>
    </row>
    <row r="849">
      <c r="A849" s="5" t="n"/>
      <c r="D849" s="8" t="n"/>
      <c r="F849" s="8" t="n"/>
      <c r="H849" s="8" t="n"/>
    </row>
    <row r="850">
      <c r="A850" s="5" t="n"/>
      <c r="D850" s="8" t="n"/>
      <c r="F850" s="8" t="n"/>
      <c r="H850" s="8" t="n"/>
    </row>
    <row r="851">
      <c r="A851" s="5" t="n"/>
      <c r="D851" s="8" t="n"/>
      <c r="F851" s="8" t="n"/>
      <c r="H851" s="8" t="n"/>
    </row>
    <row r="852">
      <c r="A852" s="5" t="n"/>
      <c r="D852" s="8" t="n"/>
      <c r="F852" s="8" t="n"/>
      <c r="H852" s="8" t="n"/>
    </row>
    <row r="853">
      <c r="A853" s="5" t="n"/>
      <c r="D853" s="8" t="n"/>
      <c r="F853" s="8" t="n"/>
      <c r="H853" s="8" t="n"/>
    </row>
    <row r="854">
      <c r="A854" s="5" t="n"/>
      <c r="D854" s="8" t="n"/>
      <c r="F854" s="8" t="n"/>
      <c r="H854" s="8" t="n"/>
    </row>
    <row r="855">
      <c r="A855" s="5" t="n"/>
      <c r="D855" s="8" t="n"/>
      <c r="F855" s="8" t="n"/>
      <c r="H855" s="8" t="n"/>
    </row>
    <row r="856">
      <c r="A856" s="5" t="n"/>
      <c r="D856" s="8" t="n"/>
      <c r="F856" s="8" t="n"/>
      <c r="H856" s="8" t="n"/>
    </row>
    <row r="857">
      <c r="A857" s="5" t="n"/>
      <c r="D857" s="8" t="n"/>
      <c r="F857" s="8" t="n"/>
      <c r="H857" s="8" t="n"/>
    </row>
    <row r="858">
      <c r="A858" s="5" t="n"/>
      <c r="D858" s="8" t="n"/>
      <c r="F858" s="8" t="n"/>
      <c r="H858" s="8" t="n"/>
    </row>
    <row r="859">
      <c r="A859" s="5" t="n"/>
      <c r="D859" s="8" t="n"/>
      <c r="F859" s="8" t="n"/>
      <c r="H859" s="8" t="n"/>
    </row>
    <row r="860">
      <c r="A860" s="5" t="n"/>
      <c r="D860" s="8" t="n"/>
      <c r="F860" s="8" t="n"/>
      <c r="H860" s="8" t="n"/>
    </row>
    <row r="861">
      <c r="A861" s="5" t="n"/>
      <c r="D861" s="8" t="n"/>
      <c r="F861" s="8" t="n"/>
      <c r="H861" s="8" t="n"/>
    </row>
    <row r="862">
      <c r="A862" s="5" t="n"/>
      <c r="D862" s="8" t="n"/>
      <c r="F862" s="8" t="n"/>
      <c r="H862" s="8" t="n"/>
    </row>
    <row r="863">
      <c r="A863" s="5" t="n"/>
      <c r="D863" s="8" t="n"/>
      <c r="F863" s="8" t="n"/>
      <c r="H863" s="8" t="n"/>
    </row>
    <row r="864">
      <c r="A864" s="5" t="n"/>
      <c r="D864" s="8" t="n"/>
      <c r="F864" s="8" t="n"/>
      <c r="H864" s="8" t="n"/>
    </row>
    <row r="865">
      <c r="A865" s="5" t="n"/>
      <c r="D865" s="8" t="n"/>
      <c r="F865" s="8" t="n"/>
      <c r="H865" s="8" t="n"/>
    </row>
    <row r="866">
      <c r="A866" s="5" t="n"/>
      <c r="D866" s="8" t="n"/>
      <c r="F866" s="8" t="n"/>
      <c r="H866" s="8" t="n"/>
    </row>
    <row r="867">
      <c r="A867" s="5" t="n"/>
      <c r="D867" s="8" t="n"/>
      <c r="F867" s="8" t="n"/>
      <c r="H867" s="8" t="n"/>
    </row>
    <row r="868">
      <c r="A868" s="5" t="n"/>
      <c r="D868" s="8" t="n"/>
      <c r="F868" s="8" t="n"/>
      <c r="H868" s="8" t="n"/>
    </row>
    <row r="869">
      <c r="A869" s="7" t="n"/>
      <c r="D869" s="8" t="n"/>
      <c r="F869" s="8" t="n"/>
      <c r="H869" s="8" t="n"/>
    </row>
    <row r="870">
      <c r="D870" s="8" t="n"/>
      <c r="F870" s="8" t="n"/>
      <c r="H870" s="8" t="n"/>
    </row>
    <row r="871">
      <c r="D871" s="8" t="n"/>
      <c r="F871" s="8" t="n"/>
      <c r="H871" s="8" t="n"/>
    </row>
    <row r="872">
      <c r="D872" s="8" t="n"/>
      <c r="F872" s="8" t="n"/>
      <c r="H872" s="8" t="n"/>
    </row>
    <row r="873">
      <c r="A873" s="3" t="n"/>
      <c r="D873" s="8" t="n"/>
      <c r="F873" s="8" t="n"/>
      <c r="H873" s="8" t="n"/>
    </row>
    <row r="874">
      <c r="A874" s="3" t="n"/>
      <c r="D874" s="8" t="n"/>
      <c r="F874" s="8" t="n"/>
      <c r="H874" s="8" t="n"/>
    </row>
    <row r="875">
      <c r="A875" s="5" t="n"/>
      <c r="D875" s="8" t="n"/>
      <c r="F875" s="8" t="n"/>
      <c r="H875" s="8" t="n"/>
    </row>
    <row r="876">
      <c r="A876" s="5" t="n"/>
      <c r="D876" s="8" t="n"/>
      <c r="F876" s="8" t="n"/>
      <c r="H876" s="8" t="n"/>
    </row>
    <row r="877">
      <c r="A877" s="5" t="n"/>
      <c r="D877" s="8" t="n"/>
      <c r="F877" s="8" t="n"/>
      <c r="H877" s="8" t="n"/>
    </row>
    <row r="878">
      <c r="A878" s="5" t="n"/>
      <c r="D878" s="8" t="n"/>
      <c r="F878" s="8" t="n"/>
      <c r="H878" s="8" t="n"/>
    </row>
    <row r="879">
      <c r="A879" s="5" t="n"/>
      <c r="D879" s="8" t="n"/>
      <c r="F879" s="8" t="n"/>
      <c r="H879" s="8" t="n"/>
    </row>
    <row r="880">
      <c r="A880" s="5" t="n"/>
      <c r="D880" s="8" t="n"/>
      <c r="F880" s="8" t="n"/>
      <c r="H880" s="8" t="n"/>
    </row>
    <row r="881">
      <c r="A881" s="5" t="n"/>
      <c r="D881" s="8" t="n"/>
      <c r="F881" s="8" t="n"/>
      <c r="H881" s="8" t="n"/>
    </row>
    <row r="882">
      <c r="A882" s="5" t="n"/>
      <c r="D882" s="8" t="n"/>
      <c r="F882" s="8" t="n"/>
      <c r="H882" s="8" t="n"/>
    </row>
    <row r="883">
      <c r="A883" s="5" t="n"/>
      <c r="D883" s="8" t="n"/>
      <c r="F883" s="8" t="n"/>
      <c r="H883" s="8" t="n"/>
    </row>
    <row r="884">
      <c r="A884" s="5" t="n"/>
      <c r="D884" s="8" t="n"/>
      <c r="F884" s="8" t="n"/>
      <c r="H884" s="8" t="n"/>
    </row>
    <row r="885">
      <c r="A885" s="5" t="n"/>
      <c r="D885" s="8" t="n"/>
      <c r="F885" s="8" t="n"/>
      <c r="H885" s="8" t="n"/>
    </row>
    <row r="886">
      <c r="A886" s="5" t="n"/>
      <c r="D886" s="8" t="n"/>
      <c r="F886" s="8" t="n"/>
      <c r="H886" s="8" t="n"/>
    </row>
    <row r="887">
      <c r="A887" s="5" t="n"/>
      <c r="D887" s="8" t="n"/>
      <c r="F887" s="8" t="n"/>
      <c r="H887" s="8" t="n"/>
    </row>
    <row r="888">
      <c r="A888" s="5" t="n"/>
      <c r="D888" s="8" t="n"/>
      <c r="F888" s="8" t="n"/>
      <c r="H888" s="8" t="n"/>
    </row>
    <row r="889">
      <c r="A889" s="5" t="n"/>
      <c r="D889" s="8" t="n"/>
      <c r="F889" s="8" t="n"/>
      <c r="H889" s="8" t="n"/>
    </row>
    <row r="890">
      <c r="A890" s="5" t="n"/>
      <c r="D890" s="8" t="n"/>
      <c r="F890" s="8" t="n"/>
      <c r="H890" s="8" t="n"/>
    </row>
    <row r="891">
      <c r="A891" s="5" t="n"/>
      <c r="D891" s="8" t="n"/>
      <c r="F891" s="8" t="n"/>
      <c r="H891" s="8" t="n"/>
    </row>
    <row r="892">
      <c r="A892" s="5" t="n"/>
      <c r="D892" s="8" t="n"/>
      <c r="F892" s="8" t="n"/>
      <c r="H892" s="8" t="n"/>
    </row>
    <row r="893">
      <c r="A893" s="5" t="n"/>
      <c r="D893" s="8" t="n"/>
      <c r="F893" s="8" t="n"/>
      <c r="H893" s="8" t="n"/>
    </row>
    <row r="894">
      <c r="A894" s="5" t="n"/>
      <c r="D894" s="8" t="n"/>
      <c r="F894" s="8" t="n"/>
      <c r="H894" s="8" t="n"/>
    </row>
    <row r="895">
      <c r="A895" s="5" t="n"/>
      <c r="D895" s="8" t="n"/>
      <c r="F895" s="8" t="n"/>
      <c r="H895" s="8" t="n"/>
    </row>
    <row r="896">
      <c r="A896" s="5" t="n"/>
      <c r="D896" s="8" t="n"/>
      <c r="F896" s="8" t="n"/>
      <c r="H896" s="8" t="n"/>
    </row>
    <row r="897">
      <c r="A897" s="5" t="n"/>
      <c r="D897" s="8" t="n"/>
      <c r="F897" s="8" t="n"/>
      <c r="H897" s="8" t="n"/>
    </row>
    <row r="898">
      <c r="A898" s="5" t="n"/>
      <c r="D898" s="8" t="n"/>
      <c r="F898" s="8" t="n"/>
      <c r="H898" s="8" t="n"/>
    </row>
    <row r="899">
      <c r="A899" s="5" t="n"/>
      <c r="D899" s="8" t="n"/>
      <c r="F899" s="8" t="n"/>
      <c r="H899" s="8" t="n"/>
    </row>
    <row r="900">
      <c r="A900" s="5" t="n"/>
      <c r="D900" s="8" t="n"/>
      <c r="F900" s="8" t="n"/>
      <c r="H900" s="8" t="n"/>
    </row>
    <row r="901">
      <c r="A901" s="5" t="n"/>
      <c r="D901" s="8" t="n"/>
      <c r="F901" s="8" t="n"/>
      <c r="H901" s="8" t="n"/>
    </row>
    <row r="902">
      <c r="A902" s="5" t="n"/>
      <c r="D902" s="8" t="n"/>
      <c r="F902" s="8" t="n"/>
      <c r="H902" s="8" t="n"/>
    </row>
    <row r="903">
      <c r="A903" s="5" t="n"/>
      <c r="D903" s="8" t="n"/>
      <c r="F903" s="8" t="n"/>
      <c r="H903" s="8" t="n"/>
    </row>
    <row r="904">
      <c r="A904" s="5" t="n"/>
      <c r="D904" s="8" t="n"/>
      <c r="F904" s="8" t="n"/>
      <c r="H904" s="8" t="n"/>
    </row>
    <row r="905">
      <c r="A905" s="5" t="n"/>
      <c r="D905" s="8" t="n"/>
      <c r="F905" s="8" t="n"/>
      <c r="H905" s="8" t="n"/>
    </row>
    <row r="906">
      <c r="A906" s="5" t="n"/>
      <c r="D906" s="8" t="n"/>
      <c r="F906" s="8" t="n"/>
      <c r="H906" s="8" t="n"/>
    </row>
    <row r="907">
      <c r="A907" s="5" t="n"/>
      <c r="D907" s="8" t="n"/>
      <c r="F907" s="8" t="n"/>
      <c r="H907" s="8" t="n"/>
    </row>
    <row r="908">
      <c r="A908" s="5" t="n"/>
      <c r="D908" s="8" t="n"/>
      <c r="F908" s="8" t="n"/>
      <c r="H908" s="8" t="n"/>
    </row>
    <row r="909">
      <c r="A909" s="5" t="n"/>
      <c r="D909" s="8" t="n"/>
      <c r="F909" s="8" t="n"/>
      <c r="H909" s="8" t="n"/>
    </row>
    <row r="910">
      <c r="A910" s="5" t="n"/>
      <c r="D910" s="8" t="n"/>
      <c r="F910" s="8" t="n"/>
      <c r="H910" s="8" t="n"/>
    </row>
    <row r="911">
      <c r="A911" s="5" t="n"/>
      <c r="D911" s="8" t="n"/>
      <c r="F911" s="8" t="n"/>
      <c r="H911" s="8" t="n"/>
    </row>
    <row r="912">
      <c r="A912" s="5" t="n"/>
      <c r="D912" s="8" t="n"/>
      <c r="F912" s="8" t="n"/>
      <c r="H912" s="8" t="n"/>
    </row>
    <row r="913">
      <c r="A913" s="5" t="n"/>
      <c r="D913" s="8" t="n"/>
      <c r="F913" s="8" t="n"/>
      <c r="H913" s="8" t="n"/>
    </row>
    <row r="914">
      <c r="A914" s="5" t="n"/>
      <c r="D914" s="8" t="n"/>
      <c r="F914" s="8" t="n"/>
      <c r="H914" s="8" t="n"/>
    </row>
    <row r="915">
      <c r="A915" s="5" t="n"/>
      <c r="D915" s="8" t="n"/>
      <c r="F915" s="8" t="n"/>
      <c r="H915" s="8" t="n"/>
    </row>
    <row r="916">
      <c r="A916" s="5" t="n"/>
      <c r="D916" s="8" t="n"/>
      <c r="F916" s="8" t="n"/>
      <c r="H916" s="8" t="n"/>
    </row>
    <row r="917">
      <c r="A917" s="5" t="n"/>
      <c r="D917" s="8" t="n"/>
      <c r="F917" s="8" t="n"/>
      <c r="H917" s="8" t="n"/>
    </row>
    <row r="918">
      <c r="A918" s="5" t="n"/>
      <c r="D918" s="8" t="n"/>
      <c r="F918" s="8" t="n"/>
      <c r="H918" s="8" t="n"/>
    </row>
    <row r="919">
      <c r="A919" s="5" t="n"/>
      <c r="D919" s="8" t="n"/>
      <c r="F919" s="8" t="n"/>
      <c r="H919" s="8" t="n"/>
    </row>
    <row r="920">
      <c r="A920" s="5" t="n"/>
      <c r="D920" s="8" t="n"/>
      <c r="F920" s="8" t="n"/>
      <c r="H920" s="8" t="n"/>
    </row>
    <row r="921">
      <c r="A921" s="5" t="n"/>
      <c r="D921" s="8" t="n"/>
      <c r="F921" s="8" t="n"/>
      <c r="H921" s="8" t="n"/>
    </row>
    <row r="922">
      <c r="A922" s="5" t="n"/>
      <c r="D922" s="8" t="n"/>
      <c r="F922" s="8" t="n"/>
      <c r="H922" s="8" t="n"/>
    </row>
    <row r="923">
      <c r="A923" s="5" t="n"/>
      <c r="D923" s="8" t="n"/>
      <c r="F923" s="8" t="n"/>
      <c r="H923" s="8" t="n"/>
    </row>
    <row r="924">
      <c r="A924" s="5" t="n"/>
      <c r="D924" s="8" t="n"/>
      <c r="F924" s="8" t="n"/>
      <c r="H924" s="8" t="n"/>
    </row>
    <row r="925">
      <c r="A925" s="5" t="n"/>
      <c r="D925" s="8" t="n"/>
      <c r="F925" s="8" t="n"/>
      <c r="H925" s="8" t="n"/>
    </row>
    <row r="926">
      <c r="A926" s="5" t="n"/>
      <c r="D926" s="8" t="n"/>
      <c r="F926" s="8" t="n"/>
      <c r="H926" s="8" t="n"/>
    </row>
    <row r="927">
      <c r="A927" s="5" t="n"/>
      <c r="D927" s="8" t="n"/>
      <c r="F927" s="8" t="n"/>
      <c r="H927" s="8" t="n"/>
    </row>
    <row r="928">
      <c r="A928" s="5" t="n"/>
      <c r="D928" s="8" t="n"/>
      <c r="F928" s="8" t="n"/>
      <c r="H928" s="8" t="n"/>
    </row>
    <row r="929">
      <c r="A929" s="5" t="n"/>
      <c r="D929" s="8" t="n"/>
      <c r="F929" s="8" t="n"/>
      <c r="H929" s="8" t="n"/>
    </row>
    <row r="930">
      <c r="A930" s="5" t="n"/>
      <c r="D930" s="8" t="n"/>
      <c r="F930" s="8" t="n"/>
      <c r="H930" s="8" t="n"/>
    </row>
    <row r="931">
      <c r="A931" s="5" t="n"/>
      <c r="D931" s="8" t="n"/>
      <c r="F931" s="8" t="n"/>
      <c r="H931" s="8" t="n"/>
    </row>
    <row r="932">
      <c r="A932" s="5" t="n"/>
      <c r="D932" s="8" t="n"/>
      <c r="F932" s="8" t="n"/>
      <c r="H932" s="8" t="n"/>
    </row>
    <row r="933">
      <c r="A933" s="5" t="n"/>
      <c r="D933" s="8" t="n"/>
      <c r="F933" s="8" t="n"/>
      <c r="H933" s="8" t="n"/>
    </row>
    <row r="934">
      <c r="A934" s="5" t="n"/>
      <c r="D934" s="8" t="n"/>
      <c r="F934" s="8" t="n"/>
      <c r="H934" s="8" t="n"/>
    </row>
    <row r="935">
      <c r="A935" s="5" t="n"/>
      <c r="D935" s="8" t="n"/>
      <c r="F935" s="8" t="n"/>
      <c r="H935" s="8" t="n"/>
    </row>
    <row r="936">
      <c r="A936" s="5" t="n"/>
      <c r="D936" s="8" t="n"/>
      <c r="F936" s="8" t="n"/>
      <c r="H936" s="8" t="n"/>
    </row>
    <row r="937">
      <c r="A937" s="5" t="n"/>
      <c r="D937" s="8" t="n"/>
      <c r="F937" s="8" t="n"/>
      <c r="H937" s="8" t="n"/>
    </row>
    <row r="938">
      <c r="A938" s="5" t="n"/>
      <c r="D938" s="8" t="n"/>
      <c r="F938" s="8" t="n"/>
      <c r="H938" s="8" t="n"/>
    </row>
    <row r="939">
      <c r="A939" s="5" t="n"/>
      <c r="D939" s="8" t="n"/>
      <c r="F939" s="8" t="n"/>
      <c r="H939" s="8" t="n"/>
    </row>
    <row r="940">
      <c r="A940" s="5" t="n"/>
      <c r="D940" s="8" t="n"/>
      <c r="F940" s="8" t="n"/>
      <c r="H940" s="8" t="n"/>
    </row>
    <row r="941">
      <c r="A941" s="5" t="n"/>
      <c r="D941" s="8" t="n"/>
      <c r="F941" s="8" t="n"/>
      <c r="H941" s="8" t="n"/>
    </row>
    <row r="942">
      <c r="A942" s="7" t="n"/>
      <c r="D942" s="8" t="n"/>
      <c r="F942" s="8" t="n"/>
      <c r="H942" s="8" t="n"/>
    </row>
    <row r="943">
      <c r="D943" s="8" t="n"/>
      <c r="F943" s="8" t="n"/>
      <c r="H943" s="8" t="n"/>
    </row>
    <row r="944">
      <c r="D944" s="8" t="n"/>
      <c r="F944" s="8" t="n"/>
      <c r="H944" s="8" t="n"/>
    </row>
    <row r="945">
      <c r="D945" s="8" t="n"/>
      <c r="F945" s="8" t="n"/>
      <c r="H945" s="8" t="n"/>
    </row>
    <row r="946">
      <c r="D946" s="8" t="n"/>
      <c r="F946" s="8" t="n"/>
      <c r="H946" s="8" t="n"/>
    </row>
    <row r="947">
      <c r="D947" s="8" t="n"/>
      <c r="F947" s="8" t="n"/>
      <c r="H947" s="8" t="n"/>
    </row>
    <row r="948">
      <c r="D948" s="8" t="n"/>
      <c r="F948" s="8" t="n"/>
      <c r="H948" s="8" t="n"/>
    </row>
    <row r="949">
      <c r="D949" s="8" t="n"/>
      <c r="F949" s="8" t="n"/>
      <c r="H949" s="8" t="n"/>
    </row>
    <row r="950">
      <c r="D950" s="8" t="n"/>
      <c r="F950" s="8" t="n"/>
      <c r="H950" s="8" t="n"/>
    </row>
    <row r="951">
      <c r="D951" s="8" t="n"/>
      <c r="F951" s="8" t="n"/>
      <c r="H951" s="8" t="n"/>
    </row>
    <row r="952">
      <c r="D952" s="8" t="n"/>
      <c r="F952" s="8" t="n"/>
      <c r="H952" s="8" t="n"/>
    </row>
    <row r="953">
      <c r="D953" s="8" t="n"/>
      <c r="F953" s="8" t="n"/>
      <c r="H953" s="8" t="n"/>
    </row>
    <row r="954">
      <c r="D954" s="8" t="n"/>
      <c r="F954" s="8" t="n"/>
      <c r="H954" s="8" t="n"/>
    </row>
    <row r="955">
      <c r="D955" s="8" t="n"/>
      <c r="F955" s="8" t="n"/>
      <c r="H955" s="8" t="n"/>
    </row>
    <row r="956">
      <c r="D956" s="8" t="n"/>
      <c r="F956" s="8" t="n"/>
      <c r="H956" s="8" t="n"/>
    </row>
    <row r="957">
      <c r="D957" s="8" t="n"/>
      <c r="F957" s="8" t="n"/>
      <c r="H957" s="8" t="n"/>
    </row>
    <row r="958">
      <c r="D958" s="8" t="n"/>
      <c r="F958" s="8" t="n"/>
      <c r="H958" s="8" t="n"/>
    </row>
    <row r="959">
      <c r="D959" s="8" t="n"/>
      <c r="F959" s="8" t="n"/>
      <c r="H959" s="8" t="n"/>
    </row>
    <row r="960">
      <c r="D960" s="8" t="n"/>
      <c r="F960" s="8" t="n"/>
      <c r="H960" s="8" t="n"/>
    </row>
    <row r="961">
      <c r="D961" s="8" t="n"/>
      <c r="F961" s="8" t="n"/>
      <c r="H961" s="8" t="n"/>
    </row>
    <row r="962">
      <c r="D962" s="8" t="n"/>
      <c r="F962" s="8" t="n"/>
      <c r="H962" s="8" t="n"/>
    </row>
    <row r="963">
      <c r="D963" s="8" t="n"/>
      <c r="F963" s="8" t="n"/>
      <c r="H963" s="8" t="n"/>
    </row>
    <row r="964">
      <c r="D964" s="8" t="n"/>
      <c r="F964" s="8" t="n"/>
      <c r="H964" s="8" t="n"/>
    </row>
    <row r="965">
      <c r="D965" s="8" t="n"/>
      <c r="F965" s="8" t="n"/>
      <c r="H965" s="8" t="n"/>
    </row>
    <row r="966">
      <c r="D966" s="8" t="n"/>
      <c r="F966" s="8" t="n"/>
      <c r="H966" s="8" t="n"/>
    </row>
    <row r="967">
      <c r="D967" s="8" t="n"/>
      <c r="F967" s="8" t="n"/>
      <c r="H967" s="8" t="n"/>
    </row>
    <row r="968">
      <c r="D968" s="8" t="n"/>
      <c r="F968" s="8" t="n"/>
      <c r="H968" s="8" t="n"/>
    </row>
    <row r="969">
      <c r="D969" s="8" t="n"/>
      <c r="F969" s="8" t="n"/>
      <c r="H969" s="8" t="n"/>
    </row>
    <row r="970">
      <c r="D970" s="8" t="n"/>
      <c r="F970" s="8" t="n"/>
      <c r="H970" s="8" t="n"/>
    </row>
    <row r="971">
      <c r="D971" s="8" t="n"/>
      <c r="F971" s="8" t="n"/>
      <c r="H971" s="8" t="n"/>
    </row>
    <row r="972">
      <c r="D972" s="8" t="n"/>
      <c r="F972" s="8" t="n"/>
      <c r="H972" s="8" t="n"/>
    </row>
    <row r="973">
      <c r="D973" s="8" t="n"/>
      <c r="F973" s="8" t="n"/>
      <c r="H973" s="8" t="n"/>
    </row>
    <row r="974">
      <c r="D974" s="8" t="n"/>
      <c r="F974" s="8" t="n"/>
      <c r="H974" s="8" t="n"/>
    </row>
    <row r="975">
      <c r="D975" s="8" t="n"/>
      <c r="F975" s="8" t="n"/>
      <c r="H975" s="8" t="n"/>
    </row>
    <row r="976">
      <c r="D976" s="8" t="n"/>
      <c r="F976" s="8" t="n"/>
      <c r="H976" s="8" t="n"/>
    </row>
    <row r="977">
      <c r="D977" s="8" t="n"/>
      <c r="F977" s="8" t="n"/>
      <c r="H977" s="8" t="n"/>
    </row>
    <row r="978">
      <c r="D978" s="8" t="n"/>
      <c r="F978" s="8" t="n"/>
      <c r="H978" s="8" t="n"/>
    </row>
    <row r="979">
      <c r="D979" s="8" t="n"/>
      <c r="F979" s="8" t="n"/>
      <c r="H979" s="8" t="n"/>
    </row>
    <row r="980">
      <c r="D980" s="8" t="n"/>
      <c r="F980" s="8" t="n"/>
      <c r="H980" s="8" t="n"/>
    </row>
    <row r="981">
      <c r="D981" s="8" t="n"/>
      <c r="F981" s="8" t="n"/>
      <c r="H981" s="8" t="n"/>
    </row>
    <row r="982">
      <c r="D982" s="8" t="n"/>
      <c r="F982" s="8" t="n"/>
      <c r="H982" s="8" t="n"/>
    </row>
    <row r="983">
      <c r="D983" s="8" t="n"/>
      <c r="F983" s="8" t="n"/>
      <c r="H983" s="8" t="n"/>
    </row>
    <row r="984">
      <c r="D984" s="8" t="n"/>
      <c r="F984" s="8" t="n"/>
      <c r="H984" s="8" t="n"/>
    </row>
    <row r="985">
      <c r="D985" s="8" t="n"/>
      <c r="F985" s="8" t="n"/>
      <c r="H985" s="8" t="n"/>
    </row>
    <row r="986">
      <c r="D986" s="8" t="n"/>
      <c r="F986" s="8" t="n"/>
      <c r="H986" s="8" t="n"/>
    </row>
    <row r="987">
      <c r="D987" s="8" t="n"/>
      <c r="F987" s="8" t="n"/>
      <c r="H987" s="8" t="n"/>
    </row>
    <row r="988">
      <c r="D988" s="8" t="n"/>
      <c r="F988" s="8" t="n"/>
      <c r="H988" s="8" t="n"/>
    </row>
    <row r="989">
      <c r="D989" s="8" t="n"/>
      <c r="F989" s="8" t="n"/>
      <c r="H989" s="8" t="n"/>
    </row>
    <row r="990">
      <c r="D990" s="8" t="n"/>
      <c r="F990" s="8" t="n"/>
      <c r="H990" s="8" t="n"/>
    </row>
    <row r="991">
      <c r="D991" s="8" t="n"/>
      <c r="F991" s="8" t="n"/>
      <c r="H991" s="8" t="n"/>
    </row>
    <row r="992">
      <c r="D992" s="8" t="n"/>
      <c r="F992" s="8" t="n"/>
      <c r="H992" s="8" t="n"/>
    </row>
    <row r="993">
      <c r="D993" s="8" t="n"/>
      <c r="F993" s="8" t="n"/>
      <c r="H993" s="8" t="n"/>
    </row>
    <row r="994">
      <c r="D994" s="8" t="n"/>
      <c r="F994" s="8" t="n"/>
      <c r="H994" s="8" t="n"/>
    </row>
    <row r="995">
      <c r="D995" s="8" t="n"/>
      <c r="F995" s="8" t="n"/>
      <c r="H995" s="8" t="n"/>
    </row>
    <row r="996">
      <c r="D996" s="8" t="n"/>
      <c r="F996" s="8" t="n"/>
      <c r="H996" s="8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min="1" max="1"/>
    <col width="50.85546875" customWidth="1" min="2" max="2"/>
    <col width="20.28515625" customWidth="1" min="3" max="3"/>
    <col width="23.28515625" customWidth="1" min="4" max="4"/>
    <col width="21.140625" customWidth="1" min="5" max="5"/>
    <col width="18.42578125" customWidth="1" min="6" max="6"/>
    <col width="21.28515625" customWidth="1" min="7" max="7"/>
    <col width="19.140625" customWidth="1" min="8" max="8"/>
    <col width="19.42578125" customWidth="1" min="9" max="9"/>
    <col width="33.28515625" customWidth="1" min="10" max="10"/>
    <col width="18.140625" customWidth="1" min="11" max="11"/>
    <col width="23.28515625" customWidth="1" min="12" max="18"/>
    <col width="42.42578125" customWidth="1" min="19" max="19"/>
    <col width="12.42578125" customWidth="1" min="20" max="20"/>
  </cols>
  <sheetData>
    <row r="1" ht="16.5" customHeight="1">
      <c r="A1" s="88" t="n"/>
      <c r="B1" s="88" t="inlineStr">
        <is>
          <t>JUN 2026 EXPENSES</t>
        </is>
      </c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6" t="n"/>
    </row>
    <row r="2" ht="58.5" customHeight="1">
      <c r="A2" s="39" t="inlineStr">
        <is>
          <t>FLAT #</t>
        </is>
      </c>
      <c r="B2" s="39" t="n">
        <v>0</v>
      </c>
      <c r="C2" s="39" t="inlineStr">
        <is>
          <t>WATER USED IN LTRS (L)</t>
        </is>
      </c>
      <c r="D2" s="39" t="inlineStr">
        <is>
          <t>COMMON AREA EQUALLY DEVIDED</t>
        </is>
      </c>
      <c r="E2" s="39" t="inlineStr">
        <is>
          <t>TOTAL FRESH WATER CONSUMED</t>
        </is>
      </c>
      <c r="F2" s="63" t="inlineStr">
        <is>
          <t>%OF TOTAL USED</t>
        </is>
      </c>
      <c r="G2" s="39" t="inlineStr">
        <is>
          <t>WATER EXPENSE SHARING BY %</t>
        </is>
      </c>
      <c r="H2" s="39" t="inlineStr">
        <is>
          <t>#METERS</t>
        </is>
      </c>
      <c r="I2" s="39" t="inlineStr">
        <is>
          <t>METER RENT</t>
        </is>
      </c>
      <c r="J2" s="39" t="inlineStr">
        <is>
          <t>VARIABLE EXPENSE = COMMON AREA METER RENT + WATER EXPENSE+ FLAT METER RENT</t>
        </is>
      </c>
      <c r="K2" s="39" t="inlineStr">
        <is>
          <t>FIXED EXPENSE SHARE</t>
        </is>
      </c>
      <c r="L2" s="39" t="inlineStr">
        <is>
          <t>PARKING FEE</t>
        </is>
      </c>
      <c r="M2" s="39" t="inlineStr">
        <is>
          <t>CLUB BOOKING FEE</t>
        </is>
      </c>
      <c r="N2" s="39" t="inlineStr">
        <is>
          <t>POLYCARBONATE PROJECT CANCELLATION CREDIT AMOUNT</t>
        </is>
      </c>
      <c r="O2" s="39" t="inlineStr">
        <is>
          <t>SHIFTING FEE</t>
        </is>
      </c>
      <c r="P2" s="39" t="inlineStr">
        <is>
          <t>GYM USAGE FEE</t>
        </is>
      </c>
      <c r="Q2" s="39" t="n"/>
      <c r="R2" s="39" t="inlineStr">
        <is>
          <t>TOTAL EXPENSE TO BE PAID</t>
        </is>
      </c>
      <c r="S2" s="39" t="n"/>
      <c r="T2" s="39" t="n"/>
    </row>
    <row r="3" ht="12.75" customHeight="1">
      <c r="A3" s="40" t="inlineStr">
        <is>
          <t>CH</t>
        </is>
      </c>
      <c r="B3" s="40" t="inlineStr">
        <is>
          <t>MPFOWA</t>
        </is>
      </c>
      <c r="C3" s="41" t="n">
        <v>0</v>
      </c>
      <c r="D3" s="41" t="n">
        <v>0</v>
      </c>
      <c r="E3" s="41" t="n"/>
      <c r="F3" s="64" t="n"/>
      <c r="G3" s="41" t="n"/>
      <c r="H3" s="41" t="n">
        <v>1</v>
      </c>
      <c r="I3" s="41">
        <f>H3*$T$7</f>
        <v/>
      </c>
      <c r="J3" s="41" t="n"/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</row>
    <row r="4" ht="12.75" customHeight="1">
      <c r="A4" s="42" t="inlineStr">
        <is>
          <t>GYM</t>
        </is>
      </c>
      <c r="B4" s="42" t="inlineStr">
        <is>
          <t>MPFOWA</t>
        </is>
      </c>
      <c r="C4" s="43" t="n">
        <v>0</v>
      </c>
      <c r="D4" s="43" t="n">
        <v>0</v>
      </c>
      <c r="E4" s="43" t="n"/>
      <c r="F4" s="65" t="n"/>
      <c r="G4" s="43" t="n"/>
      <c r="H4" s="43" t="n">
        <v>1</v>
      </c>
      <c r="I4" s="43">
        <f>H4*$T$7</f>
        <v/>
      </c>
      <c r="J4" s="43" t="n"/>
      <c r="K4" s="43" t="n"/>
      <c r="L4" s="47" t="n"/>
      <c r="M4" s="43" t="n"/>
      <c r="N4" s="43" t="n"/>
      <c r="O4" s="43" t="n"/>
      <c r="P4" s="43" t="n"/>
      <c r="Q4" s="43" t="n"/>
      <c r="R4" s="43" t="n"/>
      <c r="S4" s="43" t="inlineStr">
        <is>
          <t>TOTAL FIXED EXPENSE</t>
        </is>
      </c>
      <c r="T4" s="43">
        <f>'ANNUAL-EXPENSE-DETAILS'!AB5</f>
        <v/>
      </c>
    </row>
    <row r="5" ht="12.75" customHeight="1">
      <c r="A5" s="40" t="inlineStr">
        <is>
          <t>BSMT</t>
        </is>
      </c>
      <c r="B5" s="40" t="inlineStr">
        <is>
          <t>MPFOWA</t>
        </is>
      </c>
      <c r="C5" s="41" t="n">
        <v>0</v>
      </c>
      <c r="D5" s="41" t="n">
        <v>0</v>
      </c>
      <c r="E5" s="41" t="n"/>
      <c r="F5" s="64" t="n"/>
      <c r="G5" s="41" t="n"/>
      <c r="H5" s="41" t="n">
        <v>1</v>
      </c>
      <c r="I5" s="41">
        <f>H5*$T$7</f>
        <v/>
      </c>
      <c r="J5" s="41" t="n"/>
      <c r="K5" s="41" t="n"/>
      <c r="L5" s="104" t="n"/>
      <c r="M5" s="41" t="n"/>
      <c r="N5" s="41" t="n"/>
      <c r="O5" s="41" t="n"/>
      <c r="P5" s="41" t="n"/>
      <c r="Q5" s="41" t="n"/>
      <c r="R5" s="41" t="n"/>
      <c r="S5" s="41" t="inlineStr">
        <is>
          <t>TOTAL WATER EXPENSE</t>
        </is>
      </c>
      <c r="T5" s="41">
        <f>'ANNUAL-EXPENSE-DETAILS'!AA5</f>
        <v/>
      </c>
    </row>
    <row r="6" ht="12.75" customHeight="1">
      <c r="A6" s="42" t="inlineStr">
        <is>
          <t>F1</t>
        </is>
      </c>
      <c r="B6" s="42">
        <f>VLOOKUP(A6,Members!$A$2:$B$65,2,FALSE)</f>
        <v/>
      </c>
      <c r="C6" s="43" t="n">
        <v>0</v>
      </c>
      <c r="D6" s="43">
        <f>SUM($C$3:$C$5)/64</f>
        <v/>
      </c>
      <c r="E6" s="43">
        <f>C6+D6</f>
        <v/>
      </c>
      <c r="F6" s="65">
        <f>IF($C$70=0, 0, E6/$C$70)</f>
        <v/>
      </c>
      <c r="G6" s="43">
        <f>F6*$T$5</f>
        <v/>
      </c>
      <c r="H6" s="43" t="n">
        <v>3</v>
      </c>
      <c r="I6" s="43">
        <f>$T$7*H6</f>
        <v/>
      </c>
      <c r="J6" s="43">
        <f>G6+$T$9+I6</f>
        <v/>
      </c>
      <c r="K6" s="43">
        <f>$T$11/64</f>
        <v/>
      </c>
      <c r="L6" s="43" t="n">
        <v>0</v>
      </c>
      <c r="M6" s="43" t="n">
        <v>0</v>
      </c>
      <c r="N6" s="43" t="n"/>
      <c r="O6" s="43" t="n">
        <v>0</v>
      </c>
      <c r="P6" s="43" t="n">
        <v>0</v>
      </c>
      <c r="Q6" s="43" t="n"/>
      <c r="R6" s="43">
        <f>(SUM(J6:P6))*$B$2</f>
        <v/>
      </c>
      <c r="S6" s="43" t="n"/>
      <c r="T6" s="43" t="n"/>
    </row>
    <row r="7" ht="12.75" customHeight="1">
      <c r="A7" s="40" t="inlineStr">
        <is>
          <t>F2</t>
        </is>
      </c>
      <c r="B7" s="40">
        <f>VLOOKUP(A7,Members!$A$2:$B$65,2,FALSE)</f>
        <v/>
      </c>
      <c r="C7" s="41" t="n">
        <v>0</v>
      </c>
      <c r="D7" s="41">
        <f>SUM($C$3:$C$5)/64</f>
        <v/>
      </c>
      <c r="E7" s="41">
        <f>C7+D7</f>
        <v/>
      </c>
      <c r="F7" s="64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$T$11/64</f>
        <v/>
      </c>
      <c r="L7" s="41" t="n">
        <v>0</v>
      </c>
      <c r="M7" s="41" t="n">
        <v>0</v>
      </c>
      <c r="N7" s="41" t="n"/>
      <c r="O7" s="41" t="n">
        <v>0</v>
      </c>
      <c r="P7" s="41" t="n">
        <v>0</v>
      </c>
      <c r="Q7" s="41" t="n"/>
      <c r="R7" s="41">
        <f>(SUM(J7:P7))*$B$2</f>
        <v/>
      </c>
      <c r="S7" s="41" t="inlineStr">
        <is>
          <t>RENT PER METER</t>
        </is>
      </c>
      <c r="T7" s="41" t="n">
        <v>117.811659</v>
      </c>
    </row>
    <row r="8" ht="12.75" customHeight="1">
      <c r="A8" s="42" t="inlineStr">
        <is>
          <t>F3</t>
        </is>
      </c>
      <c r="B8" s="42">
        <f>VLOOKUP(A8,Members!$A$2:$B$65,2,FALSE)</f>
        <v/>
      </c>
      <c r="C8" s="43" t="n">
        <v>0</v>
      </c>
      <c r="D8" s="43">
        <f>SUM($C$3:$C$5)/64</f>
        <v/>
      </c>
      <c r="E8" s="43">
        <f>C8+D8</f>
        <v/>
      </c>
      <c r="F8" s="65">
        <f>IF($C$70=0, 0, E8/$C$70)</f>
        <v/>
      </c>
      <c r="G8" s="43">
        <f>F8*$T$5</f>
        <v/>
      </c>
      <c r="H8" s="43" t="n">
        <v>4</v>
      </c>
      <c r="I8" s="43">
        <f>$T$7*H8</f>
        <v/>
      </c>
      <c r="J8" s="43">
        <f>G8+$T$9+I8</f>
        <v/>
      </c>
      <c r="K8" s="43">
        <f>$T$11/64</f>
        <v/>
      </c>
      <c r="L8" s="43" t="n">
        <v>0</v>
      </c>
      <c r="M8" s="43" t="n">
        <v>0</v>
      </c>
      <c r="N8" s="43" t="n"/>
      <c r="O8" s="43" t="n">
        <v>0</v>
      </c>
      <c r="P8" s="43" t="n">
        <v>0</v>
      </c>
      <c r="Q8" s="43" t="n"/>
      <c r="R8" s="43">
        <f>(SUM(J8:P8))*$B$2</f>
        <v/>
      </c>
      <c r="S8" s="43" t="inlineStr">
        <is>
          <t>COMMON AREA METER RENT</t>
        </is>
      </c>
      <c r="T8" s="43">
        <f>$T$7*3</f>
        <v/>
      </c>
    </row>
    <row r="9" ht="12.75" customHeight="1">
      <c r="A9" s="40" t="inlineStr">
        <is>
          <t>F4</t>
        </is>
      </c>
      <c r="B9" s="40">
        <f>VLOOKUP(A9,Members!$A$2:$B$65,2,FALSE)</f>
        <v/>
      </c>
      <c r="C9" s="41" t="n">
        <v>0</v>
      </c>
      <c r="D9" s="41">
        <f>SUM($C$3:$C$5)/64</f>
        <v/>
      </c>
      <c r="E9" s="41">
        <f>C9+D9</f>
        <v/>
      </c>
      <c r="F9" s="64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$T$11/64</f>
        <v/>
      </c>
      <c r="L9" s="41" t="n">
        <v>0</v>
      </c>
      <c r="M9" s="41" t="n">
        <v>0</v>
      </c>
      <c r="N9" s="41" t="n"/>
      <c r="O9" s="41" t="n">
        <v>0</v>
      </c>
      <c r="P9" s="41" t="n">
        <v>0</v>
      </c>
      <c r="Q9" s="41" t="n"/>
      <c r="R9" s="41">
        <f>(SUM(J9:P9))*$B$2</f>
        <v/>
      </c>
      <c r="S9" s="41" t="inlineStr">
        <is>
          <t>COMMON AREA METER RENT/FLAT</t>
        </is>
      </c>
      <c r="T9" s="41">
        <f>T8/64</f>
        <v/>
      </c>
    </row>
    <row r="10" ht="12.75" customHeight="1">
      <c r="A10" s="42" t="inlineStr">
        <is>
          <t>F5</t>
        </is>
      </c>
      <c r="B10" s="42">
        <f>VLOOKUP(A10,Members!$A$2:$B$65,2,FALSE)</f>
        <v/>
      </c>
      <c r="C10" s="43" t="n">
        <v>0</v>
      </c>
      <c r="D10" s="43">
        <f>SUM($C$3:$C$5)/64</f>
        <v/>
      </c>
      <c r="E10" s="43">
        <f>C10+D10</f>
        <v/>
      </c>
      <c r="F10" s="65">
        <f>IF($C$70=0, 0, E10/$C$70)</f>
        <v/>
      </c>
      <c r="G10" s="43">
        <f>F10*$T$5</f>
        <v/>
      </c>
      <c r="H10" s="43" t="n">
        <v>3</v>
      </c>
      <c r="I10" s="43">
        <f>$T$7*H10</f>
        <v/>
      </c>
      <c r="J10" s="43">
        <f>G10+$T$9+I10</f>
        <v/>
      </c>
      <c r="K10" s="43">
        <f>$T$11/64</f>
        <v/>
      </c>
      <c r="L10" s="43" t="n">
        <v>0</v>
      </c>
      <c r="M10" s="43" t="n">
        <v>0</v>
      </c>
      <c r="N10" s="43" t="n"/>
      <c r="O10" s="43" t="n">
        <v>0</v>
      </c>
      <c r="P10" s="43" t="n">
        <v>0</v>
      </c>
      <c r="Q10" s="43" t="n"/>
      <c r="R10" s="43">
        <f>(SUM(J10:P10))*$B$2</f>
        <v/>
      </c>
      <c r="S10" s="43" t="n"/>
      <c r="T10" s="43" t="n"/>
    </row>
    <row r="11" ht="12.75" customHeight="1">
      <c r="A11" s="40" t="inlineStr">
        <is>
          <t>F6</t>
        </is>
      </c>
      <c r="B11" s="40">
        <f>VLOOKUP(A11,Members!$A$2:$B$65,2,FALSE)</f>
        <v/>
      </c>
      <c r="C11" s="41" t="n">
        <v>0</v>
      </c>
      <c r="D11" s="41">
        <f>SUM($C$3:$C$5)/64</f>
        <v/>
      </c>
      <c r="E11" s="41">
        <f>C11+D11</f>
        <v/>
      </c>
      <c r="F11" s="64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$T$11/64</f>
        <v/>
      </c>
      <c r="L11" s="41" t="n">
        <v>0</v>
      </c>
      <c r="M11" s="41" t="n">
        <v>0</v>
      </c>
      <c r="N11" s="41" t="n"/>
      <c r="O11" s="41" t="n">
        <v>0</v>
      </c>
      <c r="P11" s="41" t="n">
        <v>0</v>
      </c>
      <c r="Q11" s="41" t="n"/>
      <c r="R11" s="41">
        <f>(SUM(J11:P11))*$B$2</f>
        <v/>
      </c>
      <c r="S11" s="41" t="inlineStr">
        <is>
          <t>TOTAL FIXED EXPENSE</t>
        </is>
      </c>
      <c r="T11" s="41">
        <f>'ANNUAL-EXPENSE-DETAILS'!AB5</f>
        <v/>
      </c>
    </row>
    <row r="12" ht="12.75" customHeight="1">
      <c r="A12" s="42" t="inlineStr">
        <is>
          <t>F7</t>
        </is>
      </c>
      <c r="B12" s="42">
        <f>VLOOKUP(A12,Members!$A$2:$B$65,2,FALSE)</f>
        <v/>
      </c>
      <c r="C12" s="43" t="n">
        <v>0</v>
      </c>
      <c r="D12" s="43">
        <f>SUM($C$3:$C$5)/64</f>
        <v/>
      </c>
      <c r="E12" s="43">
        <f>C12+D12</f>
        <v/>
      </c>
      <c r="F12" s="65">
        <f>IF($C$70=0, 0, E12/$C$70)</f>
        <v/>
      </c>
      <c r="G12" s="43">
        <f>F12*$T$5</f>
        <v/>
      </c>
      <c r="H12" s="43" t="n">
        <v>3</v>
      </c>
      <c r="I12" s="43">
        <f>$T$7*H12</f>
        <v/>
      </c>
      <c r="J12" s="43">
        <f>G12+$T$9+I12</f>
        <v/>
      </c>
      <c r="K12" s="43">
        <f>$T$11/64</f>
        <v/>
      </c>
      <c r="L12" s="43" t="n">
        <v>0</v>
      </c>
      <c r="M12" s="43" t="n">
        <v>0</v>
      </c>
      <c r="N12" s="43" t="n"/>
      <c r="O12" s="43" t="n">
        <v>0</v>
      </c>
      <c r="P12" s="43" t="n">
        <v>0</v>
      </c>
      <c r="Q12" s="43" t="n"/>
      <c r="R12" s="43">
        <f>(SUM(J12:P12))*$B$2</f>
        <v/>
      </c>
      <c r="S12" s="43" t="n"/>
      <c r="T12" s="43" t="n"/>
    </row>
    <row r="13" ht="12.75" customHeight="1">
      <c r="A13" s="40" t="inlineStr">
        <is>
          <t>F8</t>
        </is>
      </c>
      <c r="B13" s="40">
        <f>VLOOKUP(A13,Members!$A$2:$B$65,2,FALSE)</f>
        <v/>
      </c>
      <c r="C13" s="41" t="n">
        <v>0</v>
      </c>
      <c r="D13" s="41">
        <f>SUM($C$3:$C$5)/64</f>
        <v/>
      </c>
      <c r="E13" s="41">
        <f>C13+D13</f>
        <v/>
      </c>
      <c r="F13" s="64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$T$11/64</f>
        <v/>
      </c>
      <c r="L13" s="41" t="n">
        <v>0</v>
      </c>
      <c r="M13" s="41" t="n">
        <v>0</v>
      </c>
      <c r="N13" s="41" t="n"/>
      <c r="O13" s="41" t="n">
        <v>0</v>
      </c>
      <c r="P13" s="41" t="n">
        <v>0</v>
      </c>
      <c r="Q13" s="41" t="n"/>
      <c r="R13" s="41">
        <f>(SUM(J13:P13))*$B$2</f>
        <v/>
      </c>
      <c r="S13" s="41" t="n"/>
      <c r="T13" s="41" t="n"/>
    </row>
    <row r="14" ht="12.75" customHeight="1">
      <c r="A14" s="42" t="inlineStr">
        <is>
          <t>F9</t>
        </is>
      </c>
      <c r="B14" s="42">
        <f>VLOOKUP(A14,Members!$A$2:$B$65,2,FALSE)</f>
        <v/>
      </c>
      <c r="C14" s="43" t="n">
        <v>0</v>
      </c>
      <c r="D14" s="43">
        <f>SUM($C$3:$C$5)/64</f>
        <v/>
      </c>
      <c r="E14" s="43">
        <f>C14+D14</f>
        <v/>
      </c>
      <c r="F14" s="65">
        <f>IF($C$70=0, 0, E14/$C$70)</f>
        <v/>
      </c>
      <c r="G14" s="43">
        <f>F14*$T$5</f>
        <v/>
      </c>
      <c r="H14" s="43" t="n">
        <v>4</v>
      </c>
      <c r="I14" s="43">
        <f>$T$7*H14</f>
        <v/>
      </c>
      <c r="J14" s="43">
        <f>G14+$T$9+I14</f>
        <v/>
      </c>
      <c r="K14" s="43">
        <f>$T$11/64</f>
        <v/>
      </c>
      <c r="L14" s="43" t="n">
        <v>0</v>
      </c>
      <c r="M14" s="43" t="n">
        <v>0</v>
      </c>
      <c r="N14" s="43" t="n"/>
      <c r="O14" s="43" t="n">
        <v>0</v>
      </c>
      <c r="P14" s="43" t="n">
        <v>0</v>
      </c>
      <c r="Q14" s="43" t="n"/>
      <c r="R14" s="43">
        <f>(SUM(J14:P14))*$B$2</f>
        <v/>
      </c>
      <c r="S14" s="43" t="inlineStr">
        <is>
          <t>BALANCE IN ACCOUNT ON 30-JUN-2023</t>
        </is>
      </c>
      <c r="T14" s="43" t="n"/>
    </row>
    <row r="15" ht="12.75" customHeight="1">
      <c r="A15" s="40" t="inlineStr">
        <is>
          <t>F10</t>
        </is>
      </c>
      <c r="B15" s="40">
        <f>VLOOKUP(A15,Members!$A$2:$B$65,2,FALSE)</f>
        <v/>
      </c>
      <c r="C15" s="41" t="n">
        <v>0</v>
      </c>
      <c r="D15" s="41">
        <f>SUM($C$3:$C$5)/64</f>
        <v/>
      </c>
      <c r="E15" s="41">
        <f>C15+D15</f>
        <v/>
      </c>
      <c r="F15" s="64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$T$11/64</f>
        <v/>
      </c>
      <c r="L15" s="41" t="n">
        <v>0</v>
      </c>
      <c r="M15" s="41" t="n">
        <v>0</v>
      </c>
      <c r="N15" s="41" t="n"/>
      <c r="O15" s="41" t="n">
        <v>0</v>
      </c>
      <c r="P15" s="41" t="n">
        <v>0</v>
      </c>
      <c r="Q15" s="41" t="n"/>
      <c r="R15" s="41">
        <f>(SUM(J15:P15))*$B$2</f>
        <v/>
      </c>
      <c r="S15" s="41" t="inlineStr">
        <is>
          <t>TOTAL NON MAINTENANCE CORPUS COLLECTION</t>
        </is>
      </c>
      <c r="T15" s="41" t="n"/>
    </row>
    <row r="16" ht="12.75" customHeight="1">
      <c r="A16" s="42" t="inlineStr">
        <is>
          <t>F11</t>
        </is>
      </c>
      <c r="B16" s="42">
        <f>VLOOKUP(A16,Members!$A$2:$B$65,2,FALSE)</f>
        <v/>
      </c>
      <c r="C16" s="43" t="n">
        <v>0</v>
      </c>
      <c r="D16" s="43">
        <f>SUM($C$3:$C$5)/64</f>
        <v/>
      </c>
      <c r="E16" s="43">
        <f>C16+D16</f>
        <v/>
      </c>
      <c r="F16" s="65">
        <f>IF($C$70=0, 0, E16/$C$70)</f>
        <v/>
      </c>
      <c r="G16" s="43">
        <f>F16*$T$5</f>
        <v/>
      </c>
      <c r="H16" s="43" t="n">
        <v>3</v>
      </c>
      <c r="I16" s="43">
        <f>$T$7*H16</f>
        <v/>
      </c>
      <c r="J16" s="43">
        <f>G16+$T$9+I16</f>
        <v/>
      </c>
      <c r="K16" s="43">
        <f>$T$11/64</f>
        <v/>
      </c>
      <c r="L16" s="43" t="n">
        <v>0</v>
      </c>
      <c r="M16" s="43" t="n">
        <v>0</v>
      </c>
      <c r="N16" s="43" t="n"/>
      <c r="O16" s="43" t="n">
        <v>0</v>
      </c>
      <c r="P16" s="43" t="n">
        <v>0</v>
      </c>
      <c r="Q16" s="43" t="n"/>
      <c r="R16" s="43">
        <f>(SUM(J16:P16))*$B$2</f>
        <v/>
      </c>
      <c r="S16" s="43" t="inlineStr">
        <is>
          <t>TOTAL FD DONE</t>
        </is>
      </c>
      <c r="T16" s="43" t="n"/>
    </row>
    <row r="17" ht="12.75" customHeight="1">
      <c r="A17" s="40" t="inlineStr">
        <is>
          <t>F12</t>
        </is>
      </c>
      <c r="B17" s="40">
        <f>VLOOKUP(A17,Members!$A$2:$B$65,2,FALSE)</f>
        <v/>
      </c>
      <c r="C17" s="41" t="n">
        <v>0</v>
      </c>
      <c r="D17" s="41">
        <f>SUM($C$3:$C$5)/64</f>
        <v/>
      </c>
      <c r="E17" s="41">
        <f>C17+D17</f>
        <v/>
      </c>
      <c r="F17" s="64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$T$11/64</f>
        <v/>
      </c>
      <c r="L17" s="41" t="n">
        <v>0</v>
      </c>
      <c r="M17" s="41" t="n">
        <v>0</v>
      </c>
      <c r="N17" s="41" t="n"/>
      <c r="O17" s="41" t="n">
        <v>0</v>
      </c>
      <c r="P17" s="41" t="n">
        <v>0</v>
      </c>
      <c r="Q17" s="41" t="n"/>
      <c r="R17" s="41">
        <f>(SUM(J17:P17))*$B$2</f>
        <v/>
      </c>
      <c r="S17" s="41" t="inlineStr">
        <is>
          <t>AMOUNT AVAILABLE FOR NON MAINTENANCE CORPUS</t>
        </is>
      </c>
      <c r="T17" s="41">
        <f>T15-T16</f>
        <v/>
      </c>
    </row>
    <row r="18" ht="12.75" customHeight="1">
      <c r="A18" s="42" t="inlineStr">
        <is>
          <t>F13</t>
        </is>
      </c>
      <c r="B18" s="42">
        <f>VLOOKUP(A18,Members!$A$2:$B$65,2,FALSE)</f>
        <v/>
      </c>
      <c r="C18" s="43" t="n">
        <v>0</v>
      </c>
      <c r="D18" s="43">
        <f>SUM($C$3:$C$5)/64</f>
        <v/>
      </c>
      <c r="E18" s="43">
        <f>C18+D18</f>
        <v/>
      </c>
      <c r="F18" s="65">
        <f>IF($C$70=0, 0, E18/$C$70)</f>
        <v/>
      </c>
      <c r="G18" s="43">
        <f>F18*$T$5</f>
        <v/>
      </c>
      <c r="H18" s="43" t="n">
        <v>4</v>
      </c>
      <c r="I18" s="43">
        <f>$T$7*H18</f>
        <v/>
      </c>
      <c r="J18" s="43">
        <f>G18+$T$9+I18</f>
        <v/>
      </c>
      <c r="K18" s="43">
        <f>$T$11/64</f>
        <v/>
      </c>
      <c r="L18" s="43" t="n">
        <v>0</v>
      </c>
      <c r="M18" s="43" t="n">
        <v>0</v>
      </c>
      <c r="N18" s="43" t="n"/>
      <c r="O18" s="43" t="n">
        <v>0</v>
      </c>
      <c r="P18" s="43" t="n">
        <v>0</v>
      </c>
      <c r="Q18" s="43" t="n"/>
      <c r="R18" s="43">
        <f>(SUM(J18:P18))*$B$2</f>
        <v/>
      </c>
      <c r="S18" s="43" t="inlineStr">
        <is>
          <t>AMOUNT AVAILABLE FOR MAINTENANCE</t>
        </is>
      </c>
      <c r="T18" s="43">
        <f>T14-T17</f>
        <v/>
      </c>
    </row>
    <row r="19" ht="12.75" customHeight="1">
      <c r="A19" s="40" t="inlineStr">
        <is>
          <t>F14</t>
        </is>
      </c>
      <c r="B19" s="40">
        <f>VLOOKUP(A19,Members!$A$2:$B$65,2,FALSE)</f>
        <v/>
      </c>
      <c r="C19" s="41" t="n">
        <v>0</v>
      </c>
      <c r="D19" s="41">
        <f>SUM($C$3:$C$5)/64</f>
        <v/>
      </c>
      <c r="E19" s="41">
        <f>C19+D19</f>
        <v/>
      </c>
      <c r="F19" s="64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$T$11/64</f>
        <v/>
      </c>
      <c r="L19" s="41" t="n">
        <v>0</v>
      </c>
      <c r="M19" s="41" t="n">
        <v>0</v>
      </c>
      <c r="N19" s="41" t="n"/>
      <c r="O19" s="41" t="n">
        <v>0</v>
      </c>
      <c r="P19" s="41" t="n">
        <v>0</v>
      </c>
      <c r="Q19" s="41" t="n"/>
      <c r="R19" s="41">
        <f>(SUM(J19:P19))*$B$2</f>
        <v/>
      </c>
      <c r="S19" s="41" t="n"/>
      <c r="T19" s="41" t="n"/>
    </row>
    <row r="20" ht="12.75" customHeight="1">
      <c r="A20" s="42" t="inlineStr">
        <is>
          <t>F15</t>
        </is>
      </c>
      <c r="B20" s="42">
        <f>VLOOKUP(A20,Members!$A$2:$B$65,2,FALSE)</f>
        <v/>
      </c>
      <c r="C20" s="43" t="n">
        <v>0</v>
      </c>
      <c r="D20" s="43">
        <f>SUM($C$3:$C$5)/64</f>
        <v/>
      </c>
      <c r="E20" s="43">
        <f>C20+D20</f>
        <v/>
      </c>
      <c r="F20" s="65">
        <f>IF($C$70=0, 0, E20/$C$70)</f>
        <v/>
      </c>
      <c r="G20" s="43">
        <f>F20*$T$5</f>
        <v/>
      </c>
      <c r="H20" s="43" t="n">
        <v>4</v>
      </c>
      <c r="I20" s="43">
        <f>$T$7*H20</f>
        <v/>
      </c>
      <c r="J20" s="43">
        <f>G20+$T$9+I20</f>
        <v/>
      </c>
      <c r="K20" s="43">
        <f>$T$11/64</f>
        <v/>
      </c>
      <c r="L20" s="43" t="n">
        <v>0</v>
      </c>
      <c r="M20" s="43" t="n">
        <v>0</v>
      </c>
      <c r="N20" s="43" t="n"/>
      <c r="O20" s="43" t="n">
        <v>0</v>
      </c>
      <c r="P20" s="43" t="n">
        <v>0</v>
      </c>
      <c r="Q20" s="43" t="n"/>
      <c r="R20" s="43">
        <f>(SUM(J20:P20))*$B$2</f>
        <v/>
      </c>
      <c r="S20" s="43" t="n"/>
      <c r="T20" s="43" t="n"/>
    </row>
    <row r="21" ht="12.75" customHeight="1">
      <c r="A21" s="40" t="inlineStr">
        <is>
          <t>F16</t>
        </is>
      </c>
      <c r="B21" s="40">
        <f>VLOOKUP(A21,Members!$A$2:$B$65,2,FALSE)</f>
        <v/>
      </c>
      <c r="C21" s="41" t="n">
        <v>0</v>
      </c>
      <c r="D21" s="41">
        <f>SUM($C$3:$C$5)/64</f>
        <v/>
      </c>
      <c r="E21" s="41">
        <f>C21+D21</f>
        <v/>
      </c>
      <c r="F21" s="64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$T$11/64</f>
        <v/>
      </c>
      <c r="L21" s="41" t="n">
        <v>0</v>
      </c>
      <c r="M21" s="41" t="n">
        <v>0</v>
      </c>
      <c r="N21" s="41" t="n"/>
      <c r="O21" s="41" t="n">
        <v>0</v>
      </c>
      <c r="P21" s="41" t="n">
        <v>0</v>
      </c>
      <c r="Q21" s="41" t="n"/>
      <c r="R21" s="41">
        <f>(SUM(J21:P21))*$B$2</f>
        <v/>
      </c>
      <c r="S21" s="41" t="n"/>
      <c r="T21" s="41" t="n"/>
    </row>
    <row r="22" ht="12.75" customHeight="1">
      <c r="A22" s="42" t="inlineStr">
        <is>
          <t>G1</t>
        </is>
      </c>
      <c r="B22" s="42">
        <f>VLOOKUP(A22,Members!$A$2:$B$65,2,FALSE)</f>
        <v/>
      </c>
      <c r="C22" s="43" t="n">
        <v>0</v>
      </c>
      <c r="D22" s="43">
        <f>SUM($C$3:$C$5)/64</f>
        <v/>
      </c>
      <c r="E22" s="43">
        <f>C22+D22</f>
        <v/>
      </c>
      <c r="F22" s="65">
        <f>IF($C$70=0, 0, E22/$C$70)</f>
        <v/>
      </c>
      <c r="G22" s="43">
        <f>F22*$T$5</f>
        <v/>
      </c>
      <c r="H22" s="43" t="n">
        <v>3</v>
      </c>
      <c r="I22" s="43">
        <f>$T$7*H22</f>
        <v/>
      </c>
      <c r="J22" s="43">
        <f>G22+$T$9+I22</f>
        <v/>
      </c>
      <c r="K22" s="43">
        <f>$T$11/64</f>
        <v/>
      </c>
      <c r="L22" s="43" t="n">
        <v>0</v>
      </c>
      <c r="M22" s="43" t="n">
        <v>0</v>
      </c>
      <c r="N22" s="43" t="n"/>
      <c r="O22" s="43" t="n">
        <v>0</v>
      </c>
      <c r="P22" s="43" t="n">
        <v>0</v>
      </c>
      <c r="Q22" s="43" t="n"/>
      <c r="R22" s="43">
        <f>(SUM(J22:P22))*$B$2</f>
        <v/>
      </c>
      <c r="S22" s="43" t="n"/>
      <c r="T22" s="43" t="n"/>
    </row>
    <row r="23" ht="12.75" customHeight="1">
      <c r="A23" s="40" t="inlineStr">
        <is>
          <t>G2</t>
        </is>
      </c>
      <c r="B23" s="40">
        <f>VLOOKUP(A23,Members!$A$2:$B$65,2,FALSE)</f>
        <v/>
      </c>
      <c r="C23" s="41" t="n">
        <v>0</v>
      </c>
      <c r="D23" s="41">
        <f>SUM($C$3:$C$5)/64</f>
        <v/>
      </c>
      <c r="E23" s="41">
        <f>C23+D23</f>
        <v/>
      </c>
      <c r="F23" s="64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$T$11/64</f>
        <v/>
      </c>
      <c r="L23" s="41" t="n">
        <v>0</v>
      </c>
      <c r="M23" s="41" t="n">
        <v>0</v>
      </c>
      <c r="N23" s="41" t="n"/>
      <c r="O23" s="41" t="n">
        <v>0</v>
      </c>
      <c r="P23" s="41" t="n">
        <v>0</v>
      </c>
      <c r="Q23" s="41" t="n"/>
      <c r="R23" s="41">
        <f>(SUM(J23:P23))*$B$2</f>
        <v/>
      </c>
      <c r="S23" s="41" t="n"/>
      <c r="T23" s="41" t="n"/>
    </row>
    <row r="24" ht="12.75" customHeight="1">
      <c r="A24" s="42" t="inlineStr">
        <is>
          <t>G3</t>
        </is>
      </c>
      <c r="B24" s="42">
        <f>VLOOKUP(A24,Members!$A$2:$B$65,2,FALSE)</f>
        <v/>
      </c>
      <c r="C24" s="43" t="n">
        <v>0</v>
      </c>
      <c r="D24" s="43">
        <f>SUM($C$3:$C$5)/64</f>
        <v/>
      </c>
      <c r="E24" s="43">
        <f>C24+D24</f>
        <v/>
      </c>
      <c r="F24" s="65">
        <f>IF($C$70=0, 0, E24/$C$70)</f>
        <v/>
      </c>
      <c r="G24" s="43">
        <f>F24*$T$5</f>
        <v/>
      </c>
      <c r="H24" s="43" t="n">
        <v>4</v>
      </c>
      <c r="I24" s="43">
        <f>$T$7*H24</f>
        <v/>
      </c>
      <c r="J24" s="43">
        <f>G24+$T$9+I24</f>
        <v/>
      </c>
      <c r="K24" s="43">
        <f>$T$11/64</f>
        <v/>
      </c>
      <c r="L24" s="43" t="n">
        <v>0</v>
      </c>
      <c r="M24" s="43" t="n">
        <v>0</v>
      </c>
      <c r="N24" s="43" t="n"/>
      <c r="O24" s="43" t="n">
        <v>0</v>
      </c>
      <c r="P24" s="43" t="n">
        <v>0</v>
      </c>
      <c r="Q24" s="43" t="n"/>
      <c r="R24" s="43">
        <f>(SUM(J24:P24))*$B$2</f>
        <v/>
      </c>
      <c r="S24" s="43" t="n"/>
      <c r="T24" s="43" t="n"/>
    </row>
    <row r="25" ht="12.75" customHeight="1">
      <c r="A25" s="40" t="inlineStr">
        <is>
          <t>G4</t>
        </is>
      </c>
      <c r="B25" s="40">
        <f>VLOOKUP(A25,Members!$A$2:$B$65,2,FALSE)</f>
        <v/>
      </c>
      <c r="C25" s="41" t="n">
        <v>0</v>
      </c>
      <c r="D25" s="41">
        <f>SUM($C$3:$C$5)/64</f>
        <v/>
      </c>
      <c r="E25" s="41">
        <f>C25+D25</f>
        <v/>
      </c>
      <c r="F25" s="64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$T$11/64</f>
        <v/>
      </c>
      <c r="L25" s="41" t="n">
        <v>0</v>
      </c>
      <c r="M25" s="41" t="n">
        <v>0</v>
      </c>
      <c r="N25" s="41" t="n"/>
      <c r="O25" s="41" t="n">
        <v>0</v>
      </c>
      <c r="P25" s="41" t="n">
        <v>0</v>
      </c>
      <c r="Q25" s="41" t="n"/>
      <c r="R25" s="41">
        <f>(SUM(J25:P25))*$B$2</f>
        <v/>
      </c>
      <c r="S25" s="41" t="n"/>
      <c r="T25" s="41" t="n"/>
    </row>
    <row r="26" ht="12.75" customHeight="1">
      <c r="A26" s="42" t="inlineStr">
        <is>
          <t>G5</t>
        </is>
      </c>
      <c r="B26" s="42">
        <f>VLOOKUP(A26,Members!$A$2:$B$65,2,FALSE)</f>
        <v/>
      </c>
      <c r="C26" s="43" t="n">
        <v>0</v>
      </c>
      <c r="D26" s="43">
        <f>SUM($C$3:$C$5)/64</f>
        <v/>
      </c>
      <c r="E26" s="43">
        <f>C26+D26</f>
        <v/>
      </c>
      <c r="F26" s="65">
        <f>IF($C$70=0, 0, E26/$C$70)</f>
        <v/>
      </c>
      <c r="G26" s="43">
        <f>F26*$T$5</f>
        <v/>
      </c>
      <c r="H26" s="43" t="n">
        <v>3</v>
      </c>
      <c r="I26" s="43">
        <f>$T$7*H26</f>
        <v/>
      </c>
      <c r="J26" s="43">
        <f>G26+$T$9+I26</f>
        <v/>
      </c>
      <c r="K26" s="43">
        <f>$T$11/64</f>
        <v/>
      </c>
      <c r="L26" s="43" t="n">
        <v>0</v>
      </c>
      <c r="M26" s="43" t="n">
        <v>0</v>
      </c>
      <c r="N26" s="43" t="n"/>
      <c r="O26" s="43" t="n">
        <v>0</v>
      </c>
      <c r="P26" s="43" t="n">
        <v>0</v>
      </c>
      <c r="Q26" s="43" t="n"/>
      <c r="R26" s="43">
        <f>(SUM(J26:P26))*$B$2</f>
        <v/>
      </c>
      <c r="S26" s="43" t="n"/>
      <c r="T26" s="43" t="n"/>
    </row>
    <row r="27" ht="12.75" customHeight="1">
      <c r="A27" s="40" t="inlineStr">
        <is>
          <t>G6</t>
        </is>
      </c>
      <c r="B27" s="40">
        <f>VLOOKUP(A27,Members!$A$2:$B$65,2,FALSE)</f>
        <v/>
      </c>
      <c r="C27" s="41" t="n">
        <v>0</v>
      </c>
      <c r="D27" s="41">
        <f>SUM($C$3:$C$5)/64</f>
        <v/>
      </c>
      <c r="E27" s="41">
        <f>C27+D27</f>
        <v/>
      </c>
      <c r="F27" s="64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$T$11/64</f>
        <v/>
      </c>
      <c r="L27" s="41" t="n">
        <v>0</v>
      </c>
      <c r="M27" s="41" t="n">
        <v>0</v>
      </c>
      <c r="N27" s="41" t="n"/>
      <c r="O27" s="41" t="n">
        <v>0</v>
      </c>
      <c r="P27" s="41" t="n">
        <v>0</v>
      </c>
      <c r="Q27" s="41" t="n"/>
      <c r="R27" s="41">
        <f>(SUM(J27:P27))*$B$2</f>
        <v/>
      </c>
      <c r="S27" s="41" t="n"/>
      <c r="T27" s="41" t="n"/>
    </row>
    <row r="28" ht="12.75" customHeight="1">
      <c r="A28" s="42" t="inlineStr">
        <is>
          <t>G7</t>
        </is>
      </c>
      <c r="B28" s="42">
        <f>VLOOKUP(A28,Members!$A$2:$B$65,2,FALSE)</f>
        <v/>
      </c>
      <c r="C28" s="43" t="n">
        <v>0</v>
      </c>
      <c r="D28" s="43">
        <f>SUM($C$3:$C$5)/64</f>
        <v/>
      </c>
      <c r="E28" s="43">
        <f>C28+D28</f>
        <v/>
      </c>
      <c r="F28" s="65">
        <f>IF($C$70=0, 0, E28/$C$70)</f>
        <v/>
      </c>
      <c r="G28" s="43">
        <f>F28*$T$5</f>
        <v/>
      </c>
      <c r="H28" s="43" t="n">
        <v>3</v>
      </c>
      <c r="I28" s="43">
        <f>$T$7*H28</f>
        <v/>
      </c>
      <c r="J28" s="43">
        <f>G28+$T$9+I28</f>
        <v/>
      </c>
      <c r="K28" s="43">
        <f>$T$11/64</f>
        <v/>
      </c>
      <c r="L28" s="43" t="n">
        <v>0</v>
      </c>
      <c r="M28" s="43" t="n">
        <v>0</v>
      </c>
      <c r="N28" s="43" t="n"/>
      <c r="O28" s="43" t="n">
        <v>0</v>
      </c>
      <c r="P28" s="43" t="n">
        <v>0</v>
      </c>
      <c r="Q28" s="43" t="n"/>
      <c r="R28" s="43">
        <f>(SUM(J28:P28))*$B$2</f>
        <v/>
      </c>
      <c r="S28" s="43" t="n"/>
      <c r="T28" s="43" t="n"/>
    </row>
    <row r="29" ht="12.75" customHeight="1">
      <c r="A29" s="40" t="inlineStr">
        <is>
          <t>G8</t>
        </is>
      </c>
      <c r="B29" s="40">
        <f>VLOOKUP(A29,Members!$A$2:$B$65,2,FALSE)</f>
        <v/>
      </c>
      <c r="C29" s="41" t="n">
        <v>0</v>
      </c>
      <c r="D29" s="41">
        <f>SUM($C$3:$C$5)/64</f>
        <v/>
      </c>
      <c r="E29" s="41">
        <f>C29+D29</f>
        <v/>
      </c>
      <c r="F29" s="64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$T$11/64</f>
        <v/>
      </c>
      <c r="L29" s="41" t="n">
        <v>0</v>
      </c>
      <c r="M29" s="41" t="n">
        <v>0</v>
      </c>
      <c r="N29" s="41" t="n"/>
      <c r="O29" s="41" t="n">
        <v>0</v>
      </c>
      <c r="P29" s="41" t="n">
        <v>0</v>
      </c>
      <c r="Q29" s="41" t="n"/>
      <c r="R29" s="41">
        <f>(SUM(J29:P29))*$B$2</f>
        <v/>
      </c>
      <c r="S29" s="41" t="n"/>
      <c r="T29" s="41" t="n"/>
    </row>
    <row r="30" ht="12.75" customHeight="1">
      <c r="A30" s="42" t="inlineStr">
        <is>
          <t>G9</t>
        </is>
      </c>
      <c r="B30" s="42">
        <f>VLOOKUP(A30,Members!$A$2:$B$65,2,FALSE)</f>
        <v/>
      </c>
      <c r="C30" s="43" t="n">
        <v>0</v>
      </c>
      <c r="D30" s="43">
        <f>SUM($C$3:$C$5)/64</f>
        <v/>
      </c>
      <c r="E30" s="43">
        <f>C30+D30</f>
        <v/>
      </c>
      <c r="F30" s="65">
        <f>IF($C$70=0, 0, E30/$C$70)</f>
        <v/>
      </c>
      <c r="G30" s="43">
        <f>F30*$T$5</f>
        <v/>
      </c>
      <c r="H30" s="43" t="n">
        <v>5</v>
      </c>
      <c r="I30" s="43">
        <f>$T$7*H30</f>
        <v/>
      </c>
      <c r="J30" s="43">
        <f>G30+$T$9+I30</f>
        <v/>
      </c>
      <c r="K30" s="43">
        <f>$T$11/64</f>
        <v/>
      </c>
      <c r="L30" s="43" t="n">
        <v>0</v>
      </c>
      <c r="M30" s="43" t="n">
        <v>0</v>
      </c>
      <c r="N30" s="43" t="n"/>
      <c r="O30" s="43" t="n">
        <v>0</v>
      </c>
      <c r="P30" s="43" t="n">
        <v>0</v>
      </c>
      <c r="Q30" s="43" t="n"/>
      <c r="R30" s="43">
        <f>(SUM(J30:P30))*$B$2</f>
        <v/>
      </c>
      <c r="S30" s="43" t="n"/>
      <c r="T30" s="43" t="n"/>
    </row>
    <row r="31" ht="12.75" customHeight="1">
      <c r="A31" s="40" t="inlineStr">
        <is>
          <t>G10</t>
        </is>
      </c>
      <c r="B31" s="40">
        <f>VLOOKUP(A31,Members!$A$2:$B$65,2,FALSE)</f>
        <v/>
      </c>
      <c r="C31" s="41" t="n">
        <v>0</v>
      </c>
      <c r="D31" s="41">
        <f>SUM($C$3:$C$5)/64</f>
        <v/>
      </c>
      <c r="E31" s="41">
        <f>C31+D31</f>
        <v/>
      </c>
      <c r="F31" s="64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$T$11/64</f>
        <v/>
      </c>
      <c r="L31" s="41" t="n">
        <v>0</v>
      </c>
      <c r="M31" s="41" t="n">
        <v>0</v>
      </c>
      <c r="N31" s="41" t="n"/>
      <c r="O31" s="41" t="n">
        <v>0</v>
      </c>
      <c r="P31" s="41" t="n">
        <v>0</v>
      </c>
      <c r="Q31" s="41" t="n"/>
      <c r="R31" s="41">
        <f>(SUM(J31:P31))*$B$2</f>
        <v/>
      </c>
      <c r="S31" s="41" t="n"/>
      <c r="T31" s="41" t="n"/>
    </row>
    <row r="32" ht="12.75" customHeight="1">
      <c r="A32" s="42" t="inlineStr">
        <is>
          <t>G11</t>
        </is>
      </c>
      <c r="B32" s="42">
        <f>VLOOKUP(A32,Members!$A$2:$B$65,2,FALSE)</f>
        <v/>
      </c>
      <c r="C32" s="43" t="n">
        <v>0</v>
      </c>
      <c r="D32" s="43">
        <f>SUM($C$3:$C$5)/64</f>
        <v/>
      </c>
      <c r="E32" s="43">
        <f>C32+D32</f>
        <v/>
      </c>
      <c r="F32" s="65">
        <f>IF($C$70=0, 0, E32/$C$70)</f>
        <v/>
      </c>
      <c r="G32" s="43">
        <f>F32*$T$5</f>
        <v/>
      </c>
      <c r="H32" s="43" t="n">
        <v>3</v>
      </c>
      <c r="I32" s="43">
        <f>$T$7*H32</f>
        <v/>
      </c>
      <c r="J32" s="43">
        <f>G32+$T$9+I32</f>
        <v/>
      </c>
      <c r="K32" s="43">
        <f>$T$11/64</f>
        <v/>
      </c>
      <c r="L32" s="43" t="n">
        <v>0</v>
      </c>
      <c r="M32" s="43" t="n">
        <v>0</v>
      </c>
      <c r="N32" s="43" t="n"/>
      <c r="O32" s="43" t="n">
        <v>0</v>
      </c>
      <c r="P32" s="43" t="n">
        <v>0</v>
      </c>
      <c r="Q32" s="43" t="n"/>
      <c r="R32" s="43">
        <f>(SUM(J32:P32))*$B$2</f>
        <v/>
      </c>
      <c r="S32" s="43" t="n"/>
      <c r="T32" s="43" t="n"/>
    </row>
    <row r="33" ht="12.75" customHeight="1">
      <c r="A33" s="40" t="inlineStr">
        <is>
          <t>G12</t>
        </is>
      </c>
      <c r="B33" s="40">
        <f>VLOOKUP(A33,Members!$A$2:$B$65,2,FALSE)</f>
        <v/>
      </c>
      <c r="C33" s="41" t="n">
        <v>0</v>
      </c>
      <c r="D33" s="41">
        <f>SUM($C$3:$C$5)/64</f>
        <v/>
      </c>
      <c r="E33" s="41">
        <f>C33+D33</f>
        <v/>
      </c>
      <c r="F33" s="64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$T$11/64</f>
        <v/>
      </c>
      <c r="L33" s="41" t="n">
        <v>0</v>
      </c>
      <c r="M33" s="41" t="n">
        <v>0</v>
      </c>
      <c r="N33" s="41" t="n"/>
      <c r="O33" s="41" t="n">
        <v>0</v>
      </c>
      <c r="P33" s="41" t="n">
        <v>0</v>
      </c>
      <c r="Q33" s="41" t="n"/>
      <c r="R33" s="41">
        <f>(SUM(J33:P33))*$B$2</f>
        <v/>
      </c>
      <c r="S33" s="41" t="n"/>
      <c r="T33" s="41" t="n"/>
    </row>
    <row r="34" ht="12.75" customHeight="1">
      <c r="A34" s="42" t="inlineStr">
        <is>
          <t>G13</t>
        </is>
      </c>
      <c r="B34" s="42">
        <f>VLOOKUP(A34,Members!$A$2:$B$65,2,FALSE)</f>
        <v/>
      </c>
      <c r="C34" s="43" t="n">
        <v>0</v>
      </c>
      <c r="D34" s="43">
        <f>SUM($C$3:$C$5)/64</f>
        <v/>
      </c>
      <c r="E34" s="43">
        <f>C34+D34</f>
        <v/>
      </c>
      <c r="F34" s="65">
        <f>IF($C$70=0, 0, E34/$C$70)</f>
        <v/>
      </c>
      <c r="G34" s="43">
        <f>F34*$T$5</f>
        <v/>
      </c>
      <c r="H34" s="43" t="n">
        <v>4</v>
      </c>
      <c r="I34" s="43">
        <f>$T$7*H34</f>
        <v/>
      </c>
      <c r="J34" s="43">
        <f>G34+$T$9+I34</f>
        <v/>
      </c>
      <c r="K34" s="43">
        <f>$T$11/64</f>
        <v/>
      </c>
      <c r="L34" s="43" t="n">
        <v>0</v>
      </c>
      <c r="M34" s="43" t="n">
        <v>0</v>
      </c>
      <c r="N34" s="43" t="n"/>
      <c r="O34" s="43" t="n">
        <v>0</v>
      </c>
      <c r="P34" s="43" t="n">
        <v>0</v>
      </c>
      <c r="Q34" s="43" t="n"/>
      <c r="R34" s="43">
        <f>(SUM(J34:P34))*$B$2</f>
        <v/>
      </c>
      <c r="S34" s="43" t="n"/>
      <c r="T34" s="43" t="n"/>
    </row>
    <row r="35" ht="12.75" customHeight="1">
      <c r="A35" s="40" t="inlineStr">
        <is>
          <t>G14</t>
        </is>
      </c>
      <c r="B35" s="40">
        <f>VLOOKUP(A35,Members!$A$2:$B$65,2,FALSE)</f>
        <v/>
      </c>
      <c r="C35" s="41" t="n">
        <v>0</v>
      </c>
      <c r="D35" s="41">
        <f>SUM($C$3:$C$5)/64</f>
        <v/>
      </c>
      <c r="E35" s="41">
        <f>C35+D35</f>
        <v/>
      </c>
      <c r="F35" s="64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$T$11/64</f>
        <v/>
      </c>
      <c r="L35" s="41" t="n">
        <v>0</v>
      </c>
      <c r="M35" s="41" t="n">
        <v>0</v>
      </c>
      <c r="N35" s="41" t="n"/>
      <c r="O35" s="41" t="n">
        <v>0</v>
      </c>
      <c r="P35" s="41" t="n">
        <v>0</v>
      </c>
      <c r="Q35" s="41" t="n"/>
      <c r="R35" s="41">
        <f>(SUM(J35:P35))*$B$2</f>
        <v/>
      </c>
      <c r="S35" s="41" t="n"/>
      <c r="T35" s="41" t="n"/>
    </row>
    <row r="36" ht="12.75" customHeight="1">
      <c r="A36" s="42" t="inlineStr">
        <is>
          <t>G15</t>
        </is>
      </c>
      <c r="B36" s="42">
        <f>VLOOKUP(A36,Members!$A$2:$B$65,2,FALSE)</f>
        <v/>
      </c>
      <c r="C36" s="43" t="n">
        <v>0</v>
      </c>
      <c r="D36" s="43">
        <f>SUM($C$3:$C$5)/64</f>
        <v/>
      </c>
      <c r="E36" s="43">
        <f>C36+D36</f>
        <v/>
      </c>
      <c r="F36" s="65">
        <f>IF($C$70=0, 0, E36/$C$70)</f>
        <v/>
      </c>
      <c r="G36" s="43">
        <f>F36*$T$5</f>
        <v/>
      </c>
      <c r="H36" s="43" t="n">
        <v>4</v>
      </c>
      <c r="I36" s="43">
        <f>$T$7*H36</f>
        <v/>
      </c>
      <c r="J36" s="43">
        <f>G36+$T$9+I36</f>
        <v/>
      </c>
      <c r="K36" s="43">
        <f>$T$11/64</f>
        <v/>
      </c>
      <c r="L36" s="43" t="n">
        <v>0</v>
      </c>
      <c r="M36" s="43" t="n">
        <v>0</v>
      </c>
      <c r="N36" s="43" t="n"/>
      <c r="O36" s="43" t="n">
        <v>0</v>
      </c>
      <c r="P36" s="43" t="n">
        <v>0</v>
      </c>
      <c r="Q36" s="43" t="n"/>
      <c r="R36" s="43">
        <f>(SUM(J36:P36))*$B$2</f>
        <v/>
      </c>
      <c r="S36" s="43" t="n"/>
      <c r="T36" s="43" t="n"/>
    </row>
    <row r="37" ht="12.75" customHeight="1">
      <c r="A37" s="40" t="inlineStr">
        <is>
          <t>G16</t>
        </is>
      </c>
      <c r="B37" s="40">
        <f>VLOOKUP(A37,Members!$A$2:$B$65,2,FALSE)</f>
        <v/>
      </c>
      <c r="C37" s="41" t="n">
        <v>0</v>
      </c>
      <c r="D37" s="41">
        <f>SUM($C$3:$C$5)/64</f>
        <v/>
      </c>
      <c r="E37" s="41">
        <f>C37+D37</f>
        <v/>
      </c>
      <c r="F37" s="64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$T$11/64</f>
        <v/>
      </c>
      <c r="L37" s="41" t="n">
        <v>0</v>
      </c>
      <c r="M37" s="41" t="n">
        <v>0</v>
      </c>
      <c r="N37" s="41" t="n"/>
      <c r="O37" s="41" t="n">
        <v>0</v>
      </c>
      <c r="P37" s="41" t="n">
        <v>0</v>
      </c>
      <c r="Q37" s="41" t="n"/>
      <c r="R37" s="41">
        <f>(SUM(J37:P37))*$B$2</f>
        <v/>
      </c>
      <c r="S37" s="41" t="n"/>
      <c r="T37" s="41" t="n"/>
    </row>
    <row r="38" ht="12.75" customHeight="1">
      <c r="A38" s="42" t="inlineStr">
        <is>
          <t>S1</t>
        </is>
      </c>
      <c r="B38" s="42">
        <f>VLOOKUP(A38,Members!$A$2:$B$65,2,FALSE)</f>
        <v/>
      </c>
      <c r="C38" s="43" t="n">
        <v>0</v>
      </c>
      <c r="D38" s="43">
        <f>SUM($C$3:$C$5)/64</f>
        <v/>
      </c>
      <c r="E38" s="43">
        <f>C38+D38</f>
        <v/>
      </c>
      <c r="F38" s="65">
        <f>IF($C$70=0, 0, E38/$C$70)</f>
        <v/>
      </c>
      <c r="G38" s="43">
        <f>F38*$T$5</f>
        <v/>
      </c>
      <c r="H38" s="43" t="n">
        <v>3</v>
      </c>
      <c r="I38" s="43">
        <f>$T$7*H38</f>
        <v/>
      </c>
      <c r="J38" s="43">
        <f>G38+$T$9+I38</f>
        <v/>
      </c>
      <c r="K38" s="43">
        <f>$T$11/64</f>
        <v/>
      </c>
      <c r="L38" s="43" t="n">
        <v>0</v>
      </c>
      <c r="M38" s="43" t="n">
        <v>0</v>
      </c>
      <c r="N38" s="43" t="n"/>
      <c r="O38" s="43" t="n">
        <v>0</v>
      </c>
      <c r="P38" s="43" t="n">
        <v>0</v>
      </c>
      <c r="Q38" s="43" t="n"/>
      <c r="R38" s="43">
        <f>(SUM(J38:P38))*$B$2</f>
        <v/>
      </c>
      <c r="S38" s="43" t="n"/>
      <c r="T38" s="43" t="n"/>
    </row>
    <row r="39" ht="12.75" customHeight="1">
      <c r="A39" s="40" t="inlineStr">
        <is>
          <t>S2</t>
        </is>
      </c>
      <c r="B39" s="40">
        <f>VLOOKUP(A39,Members!$A$2:$B$65,2,FALSE)</f>
        <v/>
      </c>
      <c r="C39" s="41" t="n">
        <v>0</v>
      </c>
      <c r="D39" s="41">
        <f>SUM($C$3:$C$5)/64</f>
        <v/>
      </c>
      <c r="E39" s="41">
        <f>C39+D39</f>
        <v/>
      </c>
      <c r="F39" s="64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$T$11/64</f>
        <v/>
      </c>
      <c r="L39" s="41" t="n">
        <v>0</v>
      </c>
      <c r="M39" s="41" t="n">
        <v>0</v>
      </c>
      <c r="N39" s="41" t="n"/>
      <c r="O39" s="41" t="n">
        <v>0</v>
      </c>
      <c r="P39" s="41" t="n">
        <v>0</v>
      </c>
      <c r="Q39" s="41" t="n"/>
      <c r="R39" s="41">
        <f>(SUM(J39:P39))*$B$2</f>
        <v/>
      </c>
      <c r="S39" s="41" t="n"/>
      <c r="T39" s="41" t="n"/>
    </row>
    <row r="40" ht="12.75" customHeight="1">
      <c r="A40" s="42" t="inlineStr">
        <is>
          <t>S3</t>
        </is>
      </c>
      <c r="B40" s="42">
        <f>VLOOKUP(A40,Members!$A$2:$B$65,2,FALSE)</f>
        <v/>
      </c>
      <c r="C40" s="43" t="n">
        <v>0</v>
      </c>
      <c r="D40" s="43">
        <f>SUM($C$3:$C$5)/64</f>
        <v/>
      </c>
      <c r="E40" s="43">
        <f>C40+D40</f>
        <v/>
      </c>
      <c r="F40" s="65">
        <f>IF($C$70=0, 0, E40/$C$70)</f>
        <v/>
      </c>
      <c r="G40" s="43">
        <f>F40*$T$5</f>
        <v/>
      </c>
      <c r="H40" s="43" t="n">
        <v>4</v>
      </c>
      <c r="I40" s="43">
        <f>$T$7*H40</f>
        <v/>
      </c>
      <c r="J40" s="43">
        <f>G40+$T$9+I40</f>
        <v/>
      </c>
      <c r="K40" s="43">
        <f>$T$11/64</f>
        <v/>
      </c>
      <c r="L40" s="43" t="n">
        <v>0</v>
      </c>
      <c r="M40" s="43" t="n">
        <v>0</v>
      </c>
      <c r="N40" s="43" t="n"/>
      <c r="O40" s="43" t="n">
        <v>0</v>
      </c>
      <c r="P40" s="43" t="n">
        <v>0</v>
      </c>
      <c r="Q40" s="43" t="n"/>
      <c r="R40" s="43">
        <f>(SUM(J40:P40))*$B$2</f>
        <v/>
      </c>
      <c r="S40" s="43" t="n"/>
      <c r="T40" s="43" t="n"/>
    </row>
    <row r="41" ht="12.75" customHeight="1">
      <c r="A41" s="40" t="inlineStr">
        <is>
          <t>S4</t>
        </is>
      </c>
      <c r="B41" s="40">
        <f>VLOOKUP(A41,Members!$A$2:$B$65,2,FALSE)</f>
        <v/>
      </c>
      <c r="C41" s="41" t="n">
        <v>0</v>
      </c>
      <c r="D41" s="41">
        <f>SUM($C$3:$C$5)/64</f>
        <v/>
      </c>
      <c r="E41" s="41">
        <f>C41+D41</f>
        <v/>
      </c>
      <c r="F41" s="64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$T$11/64</f>
        <v/>
      </c>
      <c r="L41" s="41" t="n">
        <v>0</v>
      </c>
      <c r="M41" s="41" t="n">
        <v>0</v>
      </c>
      <c r="N41" s="41" t="n"/>
      <c r="O41" s="41" t="n">
        <v>0</v>
      </c>
      <c r="P41" s="41" t="n">
        <v>0</v>
      </c>
      <c r="Q41" s="41" t="n"/>
      <c r="R41" s="41">
        <f>(SUM(J41:P41))*$B$2</f>
        <v/>
      </c>
      <c r="S41" s="41" t="n"/>
      <c r="T41" s="41" t="n"/>
    </row>
    <row r="42" ht="12.75" customHeight="1">
      <c r="A42" s="42" t="inlineStr">
        <is>
          <t>S5</t>
        </is>
      </c>
      <c r="B42" s="42">
        <f>VLOOKUP(A42,Members!$A$2:$B$65,2,FALSE)</f>
        <v/>
      </c>
      <c r="C42" s="43" t="n">
        <v>0</v>
      </c>
      <c r="D42" s="43">
        <f>SUM($C$3:$C$5)/64</f>
        <v/>
      </c>
      <c r="E42" s="43">
        <f>C42+D42</f>
        <v/>
      </c>
      <c r="F42" s="65">
        <f>IF($C$70=0, 0, E42/$C$70)</f>
        <v/>
      </c>
      <c r="G42" s="43">
        <f>F42*$T$5</f>
        <v/>
      </c>
      <c r="H42" s="43" t="n">
        <v>3</v>
      </c>
      <c r="I42" s="43">
        <f>$T$7*H42</f>
        <v/>
      </c>
      <c r="J42" s="43">
        <f>G42+$T$9+I42</f>
        <v/>
      </c>
      <c r="K42" s="43">
        <f>$T$11/64</f>
        <v/>
      </c>
      <c r="L42" s="43" t="n">
        <v>0</v>
      </c>
      <c r="M42" s="43" t="n">
        <v>0</v>
      </c>
      <c r="N42" s="43" t="n"/>
      <c r="O42" s="43" t="n">
        <v>0</v>
      </c>
      <c r="P42" s="43" t="n">
        <v>0</v>
      </c>
      <c r="Q42" s="43" t="n"/>
      <c r="R42" s="43">
        <f>(SUM(J42:P42))*$B$2</f>
        <v/>
      </c>
      <c r="S42" s="43" t="n"/>
      <c r="T42" s="43" t="n"/>
    </row>
    <row r="43" ht="12.75" customHeight="1">
      <c r="A43" s="40" t="inlineStr">
        <is>
          <t>S6</t>
        </is>
      </c>
      <c r="B43" s="40">
        <f>VLOOKUP(A43,Members!$A$2:$B$65,2,FALSE)</f>
        <v/>
      </c>
      <c r="C43" s="41" t="n">
        <v>0</v>
      </c>
      <c r="D43" s="41">
        <f>SUM($C$3:$C$5)/64</f>
        <v/>
      </c>
      <c r="E43" s="41">
        <f>C43+D43</f>
        <v/>
      </c>
      <c r="F43" s="64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$T$11/64</f>
        <v/>
      </c>
      <c r="L43" s="41" t="n">
        <v>0</v>
      </c>
      <c r="M43" s="41" t="n">
        <v>0</v>
      </c>
      <c r="N43" s="41" t="n"/>
      <c r="O43" s="41" t="n">
        <v>0</v>
      </c>
      <c r="P43" s="41" t="n">
        <v>0</v>
      </c>
      <c r="Q43" s="41" t="n"/>
      <c r="R43" s="41">
        <f>(SUM(J43:P43))*$B$2</f>
        <v/>
      </c>
      <c r="S43" s="41" t="n"/>
      <c r="T43" s="41" t="n"/>
    </row>
    <row r="44" ht="12.75" customHeight="1">
      <c r="A44" s="42" t="inlineStr">
        <is>
          <t>S7</t>
        </is>
      </c>
      <c r="B44" s="42">
        <f>VLOOKUP(A44,Members!$A$2:$B$65,2,FALSE)</f>
        <v/>
      </c>
      <c r="C44" s="43" t="n">
        <v>0</v>
      </c>
      <c r="D44" s="43">
        <f>SUM($C$3:$C$5)/64</f>
        <v/>
      </c>
      <c r="E44" s="43">
        <f>C44+D44</f>
        <v/>
      </c>
      <c r="F44" s="65">
        <f>IF($C$70=0, 0, E44/$C$70)</f>
        <v/>
      </c>
      <c r="G44" s="43">
        <f>F44*$T$5</f>
        <v/>
      </c>
      <c r="H44" s="43" t="n">
        <v>3</v>
      </c>
      <c r="I44" s="43">
        <f>$T$7*H44</f>
        <v/>
      </c>
      <c r="J44" s="43">
        <f>G44+$T$9+I44</f>
        <v/>
      </c>
      <c r="K44" s="43">
        <f>$T$11/64</f>
        <v/>
      </c>
      <c r="L44" s="43" t="n">
        <v>0</v>
      </c>
      <c r="M44" s="43" t="n">
        <v>0</v>
      </c>
      <c r="N44" s="43" t="n"/>
      <c r="O44" s="43" t="n">
        <v>0</v>
      </c>
      <c r="P44" s="43" t="n">
        <v>0</v>
      </c>
      <c r="Q44" s="43" t="n"/>
      <c r="R44" s="43">
        <f>(SUM(J44:P44))*$B$2</f>
        <v/>
      </c>
      <c r="S44" s="43" t="n"/>
      <c r="T44" s="43" t="n"/>
    </row>
    <row r="45" ht="12.75" customHeight="1">
      <c r="A45" s="40" t="inlineStr">
        <is>
          <t>S8</t>
        </is>
      </c>
      <c r="B45" s="40">
        <f>VLOOKUP(A45,Members!$A$2:$B$65,2,FALSE)</f>
        <v/>
      </c>
      <c r="C45" s="41" t="n">
        <v>0</v>
      </c>
      <c r="D45" s="41">
        <f>SUM($C$3:$C$5)/64</f>
        <v/>
      </c>
      <c r="E45" s="41">
        <f>C45+D45</f>
        <v/>
      </c>
      <c r="F45" s="64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$T$11/64</f>
        <v/>
      </c>
      <c r="L45" s="41" t="n">
        <v>0</v>
      </c>
      <c r="M45" s="41" t="n">
        <v>0</v>
      </c>
      <c r="N45" s="41" t="n"/>
      <c r="O45" s="41" t="n">
        <v>0</v>
      </c>
      <c r="P45" s="41" t="n">
        <v>0</v>
      </c>
      <c r="Q45" s="41" t="n"/>
      <c r="R45" s="41">
        <f>(SUM(J45:P45))*$B$2</f>
        <v/>
      </c>
      <c r="S45" s="41" t="n"/>
      <c r="T45" s="41" t="n"/>
    </row>
    <row r="46" ht="12.75" customHeight="1">
      <c r="A46" s="42" t="inlineStr">
        <is>
          <t>S9</t>
        </is>
      </c>
      <c r="B46" s="42">
        <f>VLOOKUP(A46,Members!$A$2:$B$65,2,FALSE)</f>
        <v/>
      </c>
      <c r="C46" s="43" t="n">
        <v>0</v>
      </c>
      <c r="D46" s="43">
        <f>SUM($C$3:$C$5)/64</f>
        <v/>
      </c>
      <c r="E46" s="43">
        <f>C46+D46</f>
        <v/>
      </c>
      <c r="F46" s="65">
        <f>IF($C$70=0, 0, E46/$C$70)</f>
        <v/>
      </c>
      <c r="G46" s="43">
        <f>F46*$T$5</f>
        <v/>
      </c>
      <c r="H46" s="43" t="n">
        <v>4</v>
      </c>
      <c r="I46" s="43">
        <f>$T$7*H46</f>
        <v/>
      </c>
      <c r="J46" s="43">
        <f>G46+$T$9+I46</f>
        <v/>
      </c>
      <c r="K46" s="43">
        <f>$T$11/64</f>
        <v/>
      </c>
      <c r="L46" s="43" t="n">
        <v>0</v>
      </c>
      <c r="M46" s="43" t="n">
        <v>0</v>
      </c>
      <c r="N46" s="43" t="n"/>
      <c r="O46" s="43" t="n">
        <v>0</v>
      </c>
      <c r="P46" s="43" t="n">
        <v>0</v>
      </c>
      <c r="Q46" s="43" t="n"/>
      <c r="R46" s="43">
        <f>(SUM(J46:P46))*$B$2</f>
        <v/>
      </c>
      <c r="S46" s="43" t="n"/>
      <c r="T46" s="43" t="n"/>
    </row>
    <row r="47" ht="12.75" customHeight="1">
      <c r="A47" s="40" t="inlineStr">
        <is>
          <t>S10</t>
        </is>
      </c>
      <c r="B47" s="40">
        <f>VLOOKUP(A47,Members!$A$2:$B$65,2,FALSE)</f>
        <v/>
      </c>
      <c r="C47" s="41" t="n">
        <v>0</v>
      </c>
      <c r="D47" s="41">
        <f>SUM($C$3:$C$5)/64</f>
        <v/>
      </c>
      <c r="E47" s="41">
        <f>C47+D47</f>
        <v/>
      </c>
      <c r="F47" s="64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$T$11/64</f>
        <v/>
      </c>
      <c r="L47" s="41" t="n">
        <v>0</v>
      </c>
      <c r="M47" s="41" t="n">
        <v>0</v>
      </c>
      <c r="N47" s="41" t="n"/>
      <c r="O47" s="41" t="n">
        <v>0</v>
      </c>
      <c r="P47" s="41" t="n">
        <v>0</v>
      </c>
      <c r="Q47" s="41" t="n"/>
      <c r="R47" s="41">
        <f>(SUM(J47:P47))*$B$2</f>
        <v/>
      </c>
      <c r="S47" s="41" t="n"/>
      <c r="T47" s="41" t="n"/>
    </row>
    <row r="48" ht="12.75" customHeight="1">
      <c r="A48" s="42" t="inlineStr">
        <is>
          <t>S11</t>
        </is>
      </c>
      <c r="B48" s="42">
        <f>VLOOKUP(A48,Members!$A$2:$B$65,2,FALSE)</f>
        <v/>
      </c>
      <c r="C48" s="43" t="n">
        <v>0</v>
      </c>
      <c r="D48" s="43">
        <f>SUM($C$3:$C$5)/64</f>
        <v/>
      </c>
      <c r="E48" s="43">
        <f>C48+D48</f>
        <v/>
      </c>
      <c r="F48" s="65">
        <f>IF($C$70=0, 0, E48/$C$70)</f>
        <v/>
      </c>
      <c r="G48" s="43">
        <f>F48*$T$5</f>
        <v/>
      </c>
      <c r="H48" s="43" t="n">
        <v>3</v>
      </c>
      <c r="I48" s="43">
        <f>$T$7*H48</f>
        <v/>
      </c>
      <c r="J48" s="43">
        <f>G48+$T$9+I48</f>
        <v/>
      </c>
      <c r="K48" s="43">
        <f>$T$11/64</f>
        <v/>
      </c>
      <c r="L48" s="43" t="n">
        <v>0</v>
      </c>
      <c r="M48" s="43" t="n">
        <v>0</v>
      </c>
      <c r="N48" s="43" t="n"/>
      <c r="O48" s="43" t="n">
        <v>0</v>
      </c>
      <c r="P48" s="43" t="n">
        <v>0</v>
      </c>
      <c r="Q48" s="43" t="n"/>
      <c r="R48" s="43">
        <f>(SUM(J48:P48))*$B$2</f>
        <v/>
      </c>
      <c r="S48" s="43" t="n"/>
      <c r="T48" s="43" t="n"/>
    </row>
    <row r="49" ht="12.75" customHeight="1">
      <c r="A49" s="40" t="inlineStr">
        <is>
          <t>S12</t>
        </is>
      </c>
      <c r="B49" s="40">
        <f>VLOOKUP(A49,Members!$A$2:$B$65,2,FALSE)</f>
        <v/>
      </c>
      <c r="C49" s="41" t="n">
        <v>0</v>
      </c>
      <c r="D49" s="41">
        <f>SUM($C$3:$C$5)/64</f>
        <v/>
      </c>
      <c r="E49" s="41">
        <f>C49+D49</f>
        <v/>
      </c>
      <c r="F49" s="64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$T$11/64</f>
        <v/>
      </c>
      <c r="L49" s="41" t="n">
        <v>0</v>
      </c>
      <c r="M49" s="41" t="n">
        <v>0</v>
      </c>
      <c r="N49" s="41" t="n"/>
      <c r="O49" s="41" t="n">
        <v>0</v>
      </c>
      <c r="P49" s="41" t="n">
        <v>0</v>
      </c>
      <c r="Q49" s="41" t="n"/>
      <c r="R49" s="41">
        <f>(SUM(J49:P49))*$B$2</f>
        <v/>
      </c>
      <c r="S49" s="41" t="n"/>
      <c r="T49" s="41" t="n"/>
    </row>
    <row r="50" ht="12.75" customHeight="1">
      <c r="A50" s="42" t="inlineStr">
        <is>
          <t>S13</t>
        </is>
      </c>
      <c r="B50" s="42">
        <f>VLOOKUP(A50,Members!$A$2:$B$65,2,FALSE)</f>
        <v/>
      </c>
      <c r="C50" s="43" t="n">
        <v>0</v>
      </c>
      <c r="D50" s="43">
        <f>SUM($C$3:$C$5)/64</f>
        <v/>
      </c>
      <c r="E50" s="43">
        <f>C50+D50</f>
        <v/>
      </c>
      <c r="F50" s="65">
        <f>IF($C$70=0, 0, E50/$C$70)</f>
        <v/>
      </c>
      <c r="G50" s="43">
        <f>F50*$T$5</f>
        <v/>
      </c>
      <c r="H50" s="43" t="n">
        <v>4</v>
      </c>
      <c r="I50" s="43">
        <f>$T$7*H50</f>
        <v/>
      </c>
      <c r="J50" s="43">
        <f>G50+$T$9+I50</f>
        <v/>
      </c>
      <c r="K50" s="43">
        <f>$T$11/64</f>
        <v/>
      </c>
      <c r="L50" s="43" t="n">
        <v>0</v>
      </c>
      <c r="M50" s="43" t="n">
        <v>0</v>
      </c>
      <c r="N50" s="43" t="n"/>
      <c r="O50" s="43" t="n">
        <v>0</v>
      </c>
      <c r="P50" s="43" t="n">
        <v>0</v>
      </c>
      <c r="Q50" s="43" t="n"/>
      <c r="R50" s="43">
        <f>(SUM(J50:P50))*$B$2</f>
        <v/>
      </c>
      <c r="S50" s="43" t="n"/>
      <c r="T50" s="43" t="n"/>
    </row>
    <row r="51" ht="12.75" customHeight="1">
      <c r="A51" s="40" t="inlineStr">
        <is>
          <t>S14</t>
        </is>
      </c>
      <c r="B51" s="40">
        <f>VLOOKUP(A51,Members!$A$2:$B$65,2,FALSE)</f>
        <v/>
      </c>
      <c r="C51" s="41" t="n">
        <v>0</v>
      </c>
      <c r="D51" s="41">
        <f>SUM($C$3:$C$5)/64</f>
        <v/>
      </c>
      <c r="E51" s="41">
        <f>C51+D51</f>
        <v/>
      </c>
      <c r="F51" s="64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$T$11/64</f>
        <v/>
      </c>
      <c r="L51" s="41" t="n">
        <v>0</v>
      </c>
      <c r="M51" s="41" t="n">
        <v>0</v>
      </c>
      <c r="N51" s="41" t="n"/>
      <c r="O51" s="41" t="n">
        <v>0</v>
      </c>
      <c r="P51" s="41" t="n">
        <v>0</v>
      </c>
      <c r="Q51" s="41" t="n"/>
      <c r="R51" s="41">
        <f>(SUM(J51:P51))*$B$2</f>
        <v/>
      </c>
      <c r="S51" s="41" t="n"/>
      <c r="T51" s="41" t="n"/>
    </row>
    <row r="52" ht="12.75" customHeight="1">
      <c r="A52" s="42" t="inlineStr">
        <is>
          <t>S15</t>
        </is>
      </c>
      <c r="B52" s="42">
        <f>VLOOKUP(A52,Members!$A$2:$B$65,2,FALSE)</f>
        <v/>
      </c>
      <c r="C52" s="43" t="n">
        <v>0</v>
      </c>
      <c r="D52" s="43">
        <f>SUM($C$3:$C$5)/64</f>
        <v/>
      </c>
      <c r="E52" s="43">
        <f>C52+D52</f>
        <v/>
      </c>
      <c r="F52" s="65">
        <f>IF($C$70=0, 0, E52/$C$70)</f>
        <v/>
      </c>
      <c r="G52" s="43">
        <f>F52*$T$5</f>
        <v/>
      </c>
      <c r="H52" s="43" t="n">
        <v>4</v>
      </c>
      <c r="I52" s="43">
        <f>$T$7*H52</f>
        <v/>
      </c>
      <c r="J52" s="43">
        <f>G52+$T$9+I52</f>
        <v/>
      </c>
      <c r="K52" s="43">
        <f>$T$11/64</f>
        <v/>
      </c>
      <c r="L52" s="43" t="n">
        <v>0</v>
      </c>
      <c r="M52" s="43" t="n">
        <v>0</v>
      </c>
      <c r="N52" s="43" t="n"/>
      <c r="O52" s="43" t="n">
        <v>0</v>
      </c>
      <c r="P52" s="43" t="n">
        <v>0</v>
      </c>
      <c r="Q52" s="43" t="n"/>
      <c r="R52" s="43">
        <f>(SUM(J52:P52))*$B$2</f>
        <v/>
      </c>
      <c r="S52" s="43" t="n"/>
      <c r="T52" s="43" t="n"/>
    </row>
    <row r="53" ht="12.75" customHeight="1">
      <c r="A53" s="40" t="inlineStr">
        <is>
          <t>S16</t>
        </is>
      </c>
      <c r="B53" s="40">
        <f>VLOOKUP(A53,Members!$A$2:$B$65,2,FALSE)</f>
        <v/>
      </c>
      <c r="C53" s="41" t="n">
        <v>0</v>
      </c>
      <c r="D53" s="41">
        <f>SUM($C$3:$C$5)/64</f>
        <v/>
      </c>
      <c r="E53" s="41">
        <f>C53+D53</f>
        <v/>
      </c>
      <c r="F53" s="64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$T$11/64</f>
        <v/>
      </c>
      <c r="L53" s="41" t="n">
        <v>0</v>
      </c>
      <c r="M53" s="41" t="n">
        <v>0</v>
      </c>
      <c r="N53" s="41" t="n"/>
      <c r="O53" s="41" t="n">
        <v>0</v>
      </c>
      <c r="P53" s="41" t="n">
        <v>0</v>
      </c>
      <c r="Q53" s="41" t="n"/>
      <c r="R53" s="41">
        <f>(SUM(J53:P53))*$B$2</f>
        <v/>
      </c>
      <c r="S53" s="41" t="n"/>
      <c r="T53" s="41" t="n"/>
    </row>
    <row r="54" ht="12.75" customHeight="1">
      <c r="A54" s="42" t="inlineStr">
        <is>
          <t>T1</t>
        </is>
      </c>
      <c r="B54" s="42">
        <f>VLOOKUP(A54,Members!$A$2:$B$65,2,FALSE)</f>
        <v/>
      </c>
      <c r="C54" s="43" t="n">
        <v>0</v>
      </c>
      <c r="D54" s="43">
        <f>SUM($C$3:$C$5)/64</f>
        <v/>
      </c>
      <c r="E54" s="43">
        <f>C54+D54</f>
        <v/>
      </c>
      <c r="F54" s="65">
        <f>IF($C$70=0, 0, E54/$C$70)</f>
        <v/>
      </c>
      <c r="G54" s="43">
        <f>F54*$T$5</f>
        <v/>
      </c>
      <c r="H54" s="43" t="n">
        <v>3</v>
      </c>
      <c r="I54" s="43">
        <f>$T$7*H54</f>
        <v/>
      </c>
      <c r="J54" s="43">
        <f>G54+$T$9+I54</f>
        <v/>
      </c>
      <c r="K54" s="43">
        <f>$T$11/64</f>
        <v/>
      </c>
      <c r="L54" s="43" t="n">
        <v>0</v>
      </c>
      <c r="M54" s="43" t="n">
        <v>0</v>
      </c>
      <c r="N54" s="43" t="n"/>
      <c r="O54" s="43" t="n">
        <v>0</v>
      </c>
      <c r="P54" s="43" t="n">
        <v>0</v>
      </c>
      <c r="Q54" s="43" t="n"/>
      <c r="R54" s="43">
        <f>(SUM(J54:P54))*$B$2</f>
        <v/>
      </c>
      <c r="S54" s="43" t="n"/>
      <c r="T54" s="43" t="n"/>
    </row>
    <row r="55" ht="12.75" customHeight="1">
      <c r="A55" s="40" t="inlineStr">
        <is>
          <t>T2</t>
        </is>
      </c>
      <c r="B55" s="40">
        <f>VLOOKUP(A55,Members!$A$2:$B$65,2,FALSE)</f>
        <v/>
      </c>
      <c r="C55" s="41" t="n">
        <v>0</v>
      </c>
      <c r="D55" s="41">
        <f>SUM($C$3:$C$5)/64</f>
        <v/>
      </c>
      <c r="E55" s="41">
        <f>C55+D55</f>
        <v/>
      </c>
      <c r="F55" s="64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$T$11/64</f>
        <v/>
      </c>
      <c r="L55" s="41" t="n">
        <v>0</v>
      </c>
      <c r="M55" s="41" t="n">
        <v>0</v>
      </c>
      <c r="N55" s="41" t="n"/>
      <c r="O55" s="41" t="n">
        <v>0</v>
      </c>
      <c r="P55" s="41" t="n">
        <v>0</v>
      </c>
      <c r="Q55" s="41" t="n"/>
      <c r="R55" s="41">
        <f>(SUM(J55:P55))*$B$2</f>
        <v/>
      </c>
      <c r="S55" s="41" t="n"/>
      <c r="T55" s="41" t="n"/>
    </row>
    <row r="56" ht="12.75" customHeight="1">
      <c r="A56" s="42" t="inlineStr">
        <is>
          <t>T3</t>
        </is>
      </c>
      <c r="B56" s="42">
        <f>VLOOKUP(A56,Members!$A$2:$B$65,2,FALSE)</f>
        <v/>
      </c>
      <c r="C56" s="43" t="n">
        <v>0</v>
      </c>
      <c r="D56" s="43">
        <f>SUM($C$3:$C$5)/64</f>
        <v/>
      </c>
      <c r="E56" s="43">
        <f>C56+D56</f>
        <v/>
      </c>
      <c r="F56" s="65">
        <f>IF($C$70=0, 0, E56/$C$70)</f>
        <v/>
      </c>
      <c r="G56" s="43">
        <f>F56*$T$5</f>
        <v/>
      </c>
      <c r="H56" s="43" t="n">
        <v>4</v>
      </c>
      <c r="I56" s="43">
        <f>$T$7*H56</f>
        <v/>
      </c>
      <c r="J56" s="43">
        <f>G56+$T$9+I56</f>
        <v/>
      </c>
      <c r="K56" s="43">
        <f>$T$11/64</f>
        <v/>
      </c>
      <c r="L56" s="43" t="n">
        <v>0</v>
      </c>
      <c r="M56" s="43" t="n">
        <v>0</v>
      </c>
      <c r="N56" s="43" t="n"/>
      <c r="O56" s="43" t="n">
        <v>0</v>
      </c>
      <c r="P56" s="43" t="n">
        <v>0</v>
      </c>
      <c r="Q56" s="43" t="n"/>
      <c r="R56" s="43">
        <f>(SUM(J56:P56))*$B$2</f>
        <v/>
      </c>
      <c r="S56" s="43" t="n"/>
      <c r="T56" s="43" t="n"/>
    </row>
    <row r="57" ht="12.75" customHeight="1">
      <c r="A57" s="40" t="inlineStr">
        <is>
          <t>T4</t>
        </is>
      </c>
      <c r="B57" s="40">
        <f>VLOOKUP(A57,Members!$A$2:$B$65,2,FALSE)</f>
        <v/>
      </c>
      <c r="C57" s="41" t="n">
        <v>0</v>
      </c>
      <c r="D57" s="41">
        <f>SUM($C$3:$C$5)/64</f>
        <v/>
      </c>
      <c r="E57" s="41">
        <f>C57+D57</f>
        <v/>
      </c>
      <c r="F57" s="64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$T$11/64</f>
        <v/>
      </c>
      <c r="L57" s="41" t="n">
        <v>0</v>
      </c>
      <c r="M57" s="41" t="n">
        <v>0</v>
      </c>
      <c r="N57" s="41" t="n"/>
      <c r="O57" s="41" t="n">
        <v>0</v>
      </c>
      <c r="P57" s="41" t="n">
        <v>0</v>
      </c>
      <c r="Q57" s="41" t="n"/>
      <c r="R57" s="41">
        <f>(SUM(J57:P57))*$B$2</f>
        <v/>
      </c>
      <c r="S57" s="41" t="n"/>
      <c r="T57" s="41" t="n"/>
    </row>
    <row r="58" ht="12.75" customHeight="1">
      <c r="A58" s="42" t="inlineStr">
        <is>
          <t>T5</t>
        </is>
      </c>
      <c r="B58" s="42">
        <f>VLOOKUP(A58,Members!$A$2:$B$65,2,FALSE)</f>
        <v/>
      </c>
      <c r="C58" s="43" t="n">
        <v>0</v>
      </c>
      <c r="D58" s="43">
        <f>SUM($C$3:$C$5)/64</f>
        <v/>
      </c>
      <c r="E58" s="43">
        <f>C58+D58</f>
        <v/>
      </c>
      <c r="F58" s="65">
        <f>IF($C$70=0, 0, E58/$C$70)</f>
        <v/>
      </c>
      <c r="G58" s="43">
        <f>F58*$T$5</f>
        <v/>
      </c>
      <c r="H58" s="43" t="n">
        <v>3</v>
      </c>
      <c r="I58" s="43">
        <f>$T$7*H58</f>
        <v/>
      </c>
      <c r="J58" s="43">
        <f>G58+$T$9+I58</f>
        <v/>
      </c>
      <c r="K58" s="43">
        <f>$T$11/64</f>
        <v/>
      </c>
      <c r="L58" s="43" t="n">
        <v>0</v>
      </c>
      <c r="M58" s="43" t="n">
        <v>0</v>
      </c>
      <c r="N58" s="43" t="n"/>
      <c r="O58" s="43" t="n">
        <v>0</v>
      </c>
      <c r="P58" s="43" t="n">
        <v>0</v>
      </c>
      <c r="Q58" s="43" t="n"/>
      <c r="R58" s="43">
        <f>(SUM(J58:P58))*$B$2</f>
        <v/>
      </c>
      <c r="S58" s="43" t="n"/>
      <c r="T58" s="43" t="n"/>
    </row>
    <row r="59" ht="12.75" customHeight="1">
      <c r="A59" s="40" t="inlineStr">
        <is>
          <t>T6</t>
        </is>
      </c>
      <c r="B59" s="40">
        <f>VLOOKUP(A59,Members!$A$2:$B$65,2,FALSE)</f>
        <v/>
      </c>
      <c r="C59" s="41" t="n">
        <v>0</v>
      </c>
      <c r="D59" s="41">
        <f>SUM($C$3:$C$5)/64</f>
        <v/>
      </c>
      <c r="E59" s="41">
        <f>C59+D59</f>
        <v/>
      </c>
      <c r="F59" s="64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$T$11/64</f>
        <v/>
      </c>
      <c r="L59" s="41" t="n">
        <v>0</v>
      </c>
      <c r="M59" s="41" t="n">
        <v>0</v>
      </c>
      <c r="N59" s="41" t="n"/>
      <c r="O59" s="41" t="n">
        <v>0</v>
      </c>
      <c r="P59" s="41" t="n">
        <v>0</v>
      </c>
      <c r="Q59" s="41" t="n"/>
      <c r="R59" s="41">
        <f>(SUM(J59:P59))*$B$2</f>
        <v/>
      </c>
      <c r="S59" s="41" t="n"/>
      <c r="T59" s="41" t="n"/>
    </row>
    <row r="60" ht="12.75" customHeight="1">
      <c r="A60" s="42" t="inlineStr">
        <is>
          <t>T7</t>
        </is>
      </c>
      <c r="B60" s="42">
        <f>VLOOKUP(A60,Members!$A$2:$B$65,2,FALSE)</f>
        <v/>
      </c>
      <c r="C60" s="43" t="n">
        <v>0</v>
      </c>
      <c r="D60" s="43">
        <f>SUM($C$3:$C$5)/64</f>
        <v/>
      </c>
      <c r="E60" s="43">
        <f>C60+D60</f>
        <v/>
      </c>
      <c r="F60" s="65">
        <f>IF($C$70=0, 0, E60/$C$70)</f>
        <v/>
      </c>
      <c r="G60" s="43">
        <f>F60*$T$5</f>
        <v/>
      </c>
      <c r="H60" s="43" t="n">
        <v>3</v>
      </c>
      <c r="I60" s="43">
        <f>$T$7*H60</f>
        <v/>
      </c>
      <c r="J60" s="43">
        <f>G60+$T$9+I60</f>
        <v/>
      </c>
      <c r="K60" s="43">
        <f>$T$11/64</f>
        <v/>
      </c>
      <c r="L60" s="43" t="n">
        <v>0</v>
      </c>
      <c r="M60" s="43" t="n">
        <v>0</v>
      </c>
      <c r="N60" s="43" t="n"/>
      <c r="O60" s="43" t="n">
        <v>0</v>
      </c>
      <c r="P60" s="43" t="n">
        <v>0</v>
      </c>
      <c r="Q60" s="43" t="n"/>
      <c r="R60" s="43">
        <f>(SUM(J60:P60))*$B$2</f>
        <v/>
      </c>
      <c r="S60" s="43" t="n"/>
      <c r="T60" s="43" t="n"/>
    </row>
    <row r="61" ht="12.75" customHeight="1">
      <c r="A61" s="40" t="inlineStr">
        <is>
          <t>T8</t>
        </is>
      </c>
      <c r="B61" s="40">
        <f>VLOOKUP(A61,Members!$A$2:$B$65,2,FALSE)</f>
        <v/>
      </c>
      <c r="C61" s="41" t="n">
        <v>0</v>
      </c>
      <c r="D61" s="41">
        <f>SUM($C$3:$C$5)/64</f>
        <v/>
      </c>
      <c r="E61" s="41">
        <f>C61+D61</f>
        <v/>
      </c>
      <c r="F61" s="64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$T$11/64</f>
        <v/>
      </c>
      <c r="L61" s="41" t="n">
        <v>0</v>
      </c>
      <c r="M61" s="41" t="n">
        <v>0</v>
      </c>
      <c r="N61" s="41" t="n"/>
      <c r="O61" s="41" t="n">
        <v>0</v>
      </c>
      <c r="P61" s="41" t="n">
        <v>0</v>
      </c>
      <c r="Q61" s="41" t="n"/>
      <c r="R61" s="41">
        <f>(SUM(J61:P61))*$B$2</f>
        <v/>
      </c>
      <c r="S61" s="41" t="n"/>
      <c r="T61" s="41" t="n"/>
    </row>
    <row r="62" ht="12.75" customHeight="1">
      <c r="A62" s="42" t="inlineStr">
        <is>
          <t>T9</t>
        </is>
      </c>
      <c r="B62" s="42">
        <f>VLOOKUP(A62,Members!$A$2:$B$65,2,FALSE)</f>
        <v/>
      </c>
      <c r="C62" s="43" t="n">
        <v>0</v>
      </c>
      <c r="D62" s="43">
        <f>SUM($C$3:$C$5)/64</f>
        <v/>
      </c>
      <c r="E62" s="43">
        <f>C62+D62</f>
        <v/>
      </c>
      <c r="F62" s="65">
        <f>IF($C$70=0, 0, E62/$C$70)</f>
        <v/>
      </c>
      <c r="G62" s="43">
        <f>F62*$T$5</f>
        <v/>
      </c>
      <c r="H62" s="43" t="n">
        <v>4</v>
      </c>
      <c r="I62" s="43">
        <f>$T$7*H62</f>
        <v/>
      </c>
      <c r="J62" s="43">
        <f>G62+$T$9+I62</f>
        <v/>
      </c>
      <c r="K62" s="43">
        <f>$T$11/64</f>
        <v/>
      </c>
      <c r="L62" s="43" t="n">
        <v>0</v>
      </c>
      <c r="M62" s="43" t="n">
        <v>0</v>
      </c>
      <c r="N62" s="43" t="n"/>
      <c r="O62" s="43" t="n">
        <v>0</v>
      </c>
      <c r="P62" s="43" t="n">
        <v>0</v>
      </c>
      <c r="Q62" s="43" t="n"/>
      <c r="R62" s="43">
        <f>(SUM(J62:P62))*$B$2</f>
        <v/>
      </c>
      <c r="S62" s="43" t="n"/>
      <c r="T62" s="43" t="n"/>
    </row>
    <row r="63" ht="12.75" customHeight="1">
      <c r="A63" s="40" t="inlineStr">
        <is>
          <t>T10</t>
        </is>
      </c>
      <c r="B63" s="40">
        <f>VLOOKUP(A63,Members!$A$2:$B$65,2,FALSE)</f>
        <v/>
      </c>
      <c r="C63" s="41" t="n">
        <v>0</v>
      </c>
      <c r="D63" s="41">
        <f>SUM($C$3:$C$5)/64</f>
        <v/>
      </c>
      <c r="E63" s="41">
        <f>C63+D63</f>
        <v/>
      </c>
      <c r="F63" s="64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$T$11/64</f>
        <v/>
      </c>
      <c r="L63" s="41" t="n">
        <v>0</v>
      </c>
      <c r="M63" s="41" t="n">
        <v>0</v>
      </c>
      <c r="N63" s="41" t="n"/>
      <c r="O63" s="41" t="n">
        <v>0</v>
      </c>
      <c r="P63" s="41" t="n">
        <v>0</v>
      </c>
      <c r="Q63" s="41" t="n"/>
      <c r="R63" s="41">
        <f>(SUM(J63:P63))*$B$2</f>
        <v/>
      </c>
      <c r="S63" s="41" t="n"/>
      <c r="T63" s="41" t="n"/>
    </row>
    <row r="64" ht="12.75" customHeight="1">
      <c r="A64" s="42" t="inlineStr">
        <is>
          <t>T11</t>
        </is>
      </c>
      <c r="B64" s="42">
        <f>VLOOKUP(A64,Members!$A$2:$B$65,2,FALSE)</f>
        <v/>
      </c>
      <c r="C64" s="43" t="n">
        <v>0</v>
      </c>
      <c r="D64" s="43">
        <f>SUM($C$3:$C$5)/64</f>
        <v/>
      </c>
      <c r="E64" s="43">
        <f>C64+D64</f>
        <v/>
      </c>
      <c r="F64" s="65">
        <f>IF($C$70=0, 0, E64/$C$70)</f>
        <v/>
      </c>
      <c r="G64" s="43">
        <f>F64*$T$5</f>
        <v/>
      </c>
      <c r="H64" s="43" t="n">
        <v>3</v>
      </c>
      <c r="I64" s="43">
        <f>$T$7*H64</f>
        <v/>
      </c>
      <c r="J64" s="43">
        <f>G64+$T$9+I64</f>
        <v/>
      </c>
      <c r="K64" s="43">
        <f>$T$11/64</f>
        <v/>
      </c>
      <c r="L64" s="43" t="n">
        <v>0</v>
      </c>
      <c r="M64" s="43" t="n">
        <v>0</v>
      </c>
      <c r="N64" s="43" t="n"/>
      <c r="O64" s="43" t="n">
        <v>0</v>
      </c>
      <c r="P64" s="43" t="n">
        <v>0</v>
      </c>
      <c r="Q64" s="43" t="n"/>
      <c r="R64" s="43">
        <f>(SUM(J64:P64))*$B$2</f>
        <v/>
      </c>
      <c r="S64" s="43" t="n"/>
      <c r="T64" s="43" t="n"/>
    </row>
    <row r="65" ht="12.75" customHeight="1">
      <c r="A65" s="40" t="inlineStr">
        <is>
          <t>T12</t>
        </is>
      </c>
      <c r="B65" s="40">
        <f>VLOOKUP(A65,Members!$A$2:$B$65,2,FALSE)</f>
        <v/>
      </c>
      <c r="C65" s="41" t="n">
        <v>0</v>
      </c>
      <c r="D65" s="41">
        <f>SUM($C$3:$C$5)/64</f>
        <v/>
      </c>
      <c r="E65" s="41">
        <f>C65+D65</f>
        <v/>
      </c>
      <c r="F65" s="64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$T$11/64</f>
        <v/>
      </c>
      <c r="L65" s="41" t="n">
        <v>0</v>
      </c>
      <c r="M65" s="41" t="n">
        <v>0</v>
      </c>
      <c r="N65" s="41" t="n"/>
      <c r="O65" s="41" t="n">
        <v>0</v>
      </c>
      <c r="P65" s="41" t="n">
        <v>0</v>
      </c>
      <c r="Q65" s="41" t="n"/>
      <c r="R65" s="41">
        <f>(SUM(J65:P65))*$B$2</f>
        <v/>
      </c>
      <c r="S65" s="41" t="n"/>
      <c r="T65" s="41" t="n"/>
    </row>
    <row r="66" ht="12.75" customHeight="1">
      <c r="A66" s="42" t="inlineStr">
        <is>
          <t>T13</t>
        </is>
      </c>
      <c r="B66" s="42">
        <f>VLOOKUP(A66,Members!$A$2:$B$65,2,FALSE)</f>
        <v/>
      </c>
      <c r="C66" s="43" t="n">
        <v>0</v>
      </c>
      <c r="D66" s="43">
        <f>SUM($C$3:$C$5)/64</f>
        <v/>
      </c>
      <c r="E66" s="43">
        <f>C66+D66</f>
        <v/>
      </c>
      <c r="F66" s="65">
        <f>IF($C$70=0, 0, E66/$C$70)</f>
        <v/>
      </c>
      <c r="G66" s="43">
        <f>F66*$T$5</f>
        <v/>
      </c>
      <c r="H66" s="43" t="n">
        <v>4</v>
      </c>
      <c r="I66" s="43">
        <f>$T$7*H66</f>
        <v/>
      </c>
      <c r="J66" s="43">
        <f>G66+$T$9+I66</f>
        <v/>
      </c>
      <c r="K66" s="43">
        <f>$T$11/64</f>
        <v/>
      </c>
      <c r="L66" s="43" t="n">
        <v>0</v>
      </c>
      <c r="M66" s="43" t="n">
        <v>0</v>
      </c>
      <c r="N66" s="43" t="n"/>
      <c r="O66" s="43" t="n">
        <v>0</v>
      </c>
      <c r="P66" s="43" t="n">
        <v>0</v>
      </c>
      <c r="Q66" s="43" t="n"/>
      <c r="R66" s="43">
        <f>(SUM(J66:P66))*$B$2</f>
        <v/>
      </c>
      <c r="S66" s="43" t="n"/>
      <c r="T66" s="43" t="n"/>
    </row>
    <row r="67" ht="12.75" customHeight="1">
      <c r="A67" s="40" t="inlineStr">
        <is>
          <t>T14</t>
        </is>
      </c>
      <c r="B67" s="40">
        <f>VLOOKUP(A67,Members!$A$2:$B$65,2,FALSE)</f>
        <v/>
      </c>
      <c r="C67" s="41" t="n">
        <v>0</v>
      </c>
      <c r="D67" s="41">
        <f>SUM($C$3:$C$5)/64</f>
        <v/>
      </c>
      <c r="E67" s="41">
        <f>C67+D67</f>
        <v/>
      </c>
      <c r="F67" s="64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$T$11/64</f>
        <v/>
      </c>
      <c r="L67" s="41" t="n">
        <v>0</v>
      </c>
      <c r="M67" s="41" t="n">
        <v>0</v>
      </c>
      <c r="N67" s="41" t="n"/>
      <c r="O67" s="41" t="n">
        <v>0</v>
      </c>
      <c r="P67" s="41" t="n">
        <v>0</v>
      </c>
      <c r="Q67" s="41" t="n"/>
      <c r="R67" s="41">
        <f>(SUM(J67:P67))*$B$2</f>
        <v/>
      </c>
      <c r="S67" s="41" t="n"/>
      <c r="T67" s="41" t="n"/>
    </row>
    <row r="68" ht="12.75" customHeight="1">
      <c r="A68" s="42" t="inlineStr">
        <is>
          <t>T15</t>
        </is>
      </c>
      <c r="B68" s="42">
        <f>VLOOKUP(A68,Members!$A$2:$B$65,2,FALSE)</f>
        <v/>
      </c>
      <c r="C68" s="43" t="n">
        <v>0</v>
      </c>
      <c r="D68" s="43">
        <f>SUM($C$3:$C$5)/64</f>
        <v/>
      </c>
      <c r="E68" s="43">
        <f>C68+D68</f>
        <v/>
      </c>
      <c r="F68" s="65">
        <f>IF($C$70=0, 0, E68/$C$70)</f>
        <v/>
      </c>
      <c r="G68" s="43">
        <f>F68*$T$5</f>
        <v/>
      </c>
      <c r="H68" s="43" t="n">
        <v>4</v>
      </c>
      <c r="I68" s="43">
        <f>$T$7*H68</f>
        <v/>
      </c>
      <c r="J68" s="43">
        <f>G68+$T$9+I68</f>
        <v/>
      </c>
      <c r="K68" s="43">
        <f>$T$11/64</f>
        <v/>
      </c>
      <c r="L68" s="43" t="n">
        <v>0</v>
      </c>
      <c r="M68" s="43" t="n">
        <v>0</v>
      </c>
      <c r="N68" s="43" t="n"/>
      <c r="O68" s="43" t="n">
        <v>0</v>
      </c>
      <c r="P68" s="43" t="n">
        <v>0</v>
      </c>
      <c r="Q68" s="43" t="n"/>
      <c r="R68" s="43">
        <f>(SUM(J68:P68))*$B$2</f>
        <v/>
      </c>
      <c r="S68" s="43" t="n"/>
      <c r="T68" s="43" t="n"/>
    </row>
    <row r="69" ht="12.75" customHeight="1">
      <c r="A69" s="40" t="inlineStr">
        <is>
          <t>T16</t>
        </is>
      </c>
      <c r="B69" s="40">
        <f>VLOOKUP(A69,Members!$A$2:$B$65,2,FALSE)</f>
        <v/>
      </c>
      <c r="C69" s="41" t="n">
        <v>0</v>
      </c>
      <c r="D69" s="41">
        <f>SUM($C$3:$C$5)/64</f>
        <v/>
      </c>
      <c r="E69" s="41">
        <f>C69+D69</f>
        <v/>
      </c>
      <c r="F69" s="64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$T$11/64</f>
        <v/>
      </c>
      <c r="L69" s="41" t="n">
        <v>0</v>
      </c>
      <c r="M69" s="41" t="n">
        <v>0</v>
      </c>
      <c r="N69" s="41" t="n"/>
      <c r="O69" s="41" t="n">
        <v>0</v>
      </c>
      <c r="P69" s="41" t="n">
        <v>0</v>
      </c>
      <c r="Q69" s="41" t="n"/>
      <c r="R69" s="41">
        <f>(SUM(J69:P69))*$B$2</f>
        <v/>
      </c>
      <c r="S69" s="41" t="n"/>
      <c r="T69" s="41" t="n"/>
    </row>
    <row r="70" ht="12.75" customHeight="1">
      <c r="A70" s="42" t="n"/>
      <c r="B70" s="42" t="inlineStr">
        <is>
          <t>TOTAL</t>
        </is>
      </c>
      <c r="C70" s="43">
        <f>SUM(C3:C69)</f>
        <v/>
      </c>
      <c r="D70" s="43">
        <f>SUM(D3:D69)</f>
        <v/>
      </c>
      <c r="E70" s="43">
        <f>SUM(E3:E69)</f>
        <v/>
      </c>
      <c r="F70" s="65">
        <f>IF($C$70=0, 0, E70/$C$70)</f>
        <v/>
      </c>
      <c r="G70" s="43">
        <f>SUM(G3:G69)</f>
        <v/>
      </c>
      <c r="H70" s="43">
        <f>SUM(H3:H69)</f>
        <v/>
      </c>
      <c r="I70" s="43">
        <f>SUM(I3:I69)</f>
        <v/>
      </c>
      <c r="J70" s="43">
        <f>SUM(J3:J69)</f>
        <v/>
      </c>
      <c r="K70" s="43">
        <f>SUM(K3:K69)</f>
        <v/>
      </c>
      <c r="L70" s="43">
        <f>SUM(L3:L69)</f>
        <v/>
      </c>
      <c r="M70" s="43">
        <f>SUM(M3:M69)</f>
        <v/>
      </c>
      <c r="N70" s="43">
        <f>SUM(N3:N69)</f>
        <v/>
      </c>
      <c r="O70" s="43">
        <f>SUM(O3:O69)</f>
        <v/>
      </c>
      <c r="P70" s="43">
        <f>SUM(P3:P69)</f>
        <v/>
      </c>
      <c r="Q70" s="43" t="n"/>
      <c r="R70" s="43">
        <f>SUM(R3:R69)</f>
        <v/>
      </c>
      <c r="S70" s="43" t="n"/>
      <c r="T70" s="43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min="1" max="1"/>
    <col width="64.28515625" customWidth="1" min="2" max="2"/>
  </cols>
  <sheetData>
    <row r="1">
      <c r="A1" s="39" t="inlineStr">
        <is>
          <t>FLAT #</t>
        </is>
      </c>
      <c r="B1" s="39" t="n"/>
      <c r="C1" s="39" t="inlineStr">
        <is>
          <t>Amount</t>
        </is>
      </c>
      <c r="D1" s="66" t="inlineStr">
        <is>
          <t>Date</t>
        </is>
      </c>
      <c r="E1" s="39" t="inlineStr">
        <is>
          <t>Amount</t>
        </is>
      </c>
      <c r="F1" s="66" t="inlineStr">
        <is>
          <t>Date</t>
        </is>
      </c>
      <c r="G1" s="39" t="inlineStr">
        <is>
          <t>Amount</t>
        </is>
      </c>
      <c r="H1" s="57" t="inlineStr">
        <is>
          <t>Date</t>
        </is>
      </c>
      <c r="I1" s="39" t="inlineStr">
        <is>
          <t>Amount</t>
        </is>
      </c>
      <c r="J1" s="100" t="inlineStr">
        <is>
          <t>Date</t>
        </is>
      </c>
      <c r="K1" s="100" t="inlineStr">
        <is>
          <t>Total</t>
        </is>
      </c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  <c r="AA1" s="100" t="n"/>
    </row>
    <row r="2" ht="15" customHeight="1">
      <c r="A2" s="42" t="inlineStr">
        <is>
          <t>F1</t>
        </is>
      </c>
      <c r="B2" s="42">
        <f>VLOOKUP(A2,Members!$A$2:$B$65,2,FALSE)</f>
        <v/>
      </c>
      <c r="C2" s="47" t="n"/>
      <c r="D2" s="50" t="n"/>
      <c r="E2" s="47" t="n"/>
      <c r="F2" s="50" t="n"/>
      <c r="G2" s="47" t="n"/>
      <c r="H2" s="58" t="n"/>
      <c r="I2" s="47" t="n"/>
      <c r="J2" s="47" t="n"/>
      <c r="K2" s="47">
        <f>SUM(C2,E2,G2,I2)</f>
        <v/>
      </c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</row>
    <row r="3" ht="15" customHeight="1">
      <c r="A3" s="40" t="inlineStr">
        <is>
          <t>F2</t>
        </is>
      </c>
      <c r="B3" s="40">
        <f>VLOOKUP(A3,Members!$A$2:$B$65,2,FALSE)</f>
        <v/>
      </c>
      <c r="C3" s="104" t="n"/>
      <c r="D3" s="53" t="n"/>
      <c r="E3" s="104" t="n"/>
      <c r="F3" s="53" t="n"/>
      <c r="G3" s="104" t="n"/>
      <c r="H3" s="59" t="n"/>
      <c r="I3" s="104" t="n"/>
      <c r="J3" s="104" t="n"/>
      <c r="K3" s="104">
        <f>SUM(C3,E3,G3,I3)</f>
        <v/>
      </c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</row>
    <row r="4" ht="15" customHeight="1">
      <c r="A4" s="42" t="inlineStr">
        <is>
          <t>F3</t>
        </is>
      </c>
      <c r="B4" s="42">
        <f>VLOOKUP(A4,Members!$A$2:$B$65,2,FALSE)</f>
        <v/>
      </c>
      <c r="C4" s="47" t="n"/>
      <c r="D4" s="61" t="n"/>
      <c r="E4" s="43" t="n"/>
      <c r="F4" s="50" t="n"/>
      <c r="G4" s="47" t="n"/>
      <c r="H4" s="58" t="n"/>
      <c r="I4" s="47" t="n"/>
      <c r="J4" s="47" t="n"/>
      <c r="K4" s="47">
        <f>SUM(C4,E4,G4,I4)</f>
        <v/>
      </c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</row>
    <row r="5" ht="15" customHeight="1">
      <c r="A5" s="40" t="inlineStr">
        <is>
          <t>F4</t>
        </is>
      </c>
      <c r="B5" s="40">
        <f>VLOOKUP(A5,Members!$A$2:$B$65,2,FALSE)</f>
        <v/>
      </c>
      <c r="C5" s="41" t="n"/>
      <c r="D5" s="53" t="n"/>
      <c r="E5" s="104" t="n"/>
      <c r="F5" s="53" t="n"/>
      <c r="G5" s="104" t="n"/>
      <c r="H5" s="59" t="n"/>
      <c r="I5" s="104" t="n"/>
      <c r="J5" s="104" t="n"/>
      <c r="K5" s="41">
        <f>SUM(C5,E5,G5,I5)</f>
        <v/>
      </c>
      <c r="L5" s="104" t="n"/>
      <c r="M5" s="104" t="n"/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</row>
    <row r="6" ht="15" customHeight="1">
      <c r="A6" s="42" t="inlineStr">
        <is>
          <t>F5</t>
        </is>
      </c>
      <c r="B6" s="42">
        <f>VLOOKUP(A6,Members!$A$2:$B$65,2,FALSE)</f>
        <v/>
      </c>
      <c r="C6" s="47" t="n"/>
      <c r="D6" s="50" t="n"/>
      <c r="E6" s="47" t="n"/>
      <c r="F6" s="50" t="n"/>
      <c r="G6" s="47" t="n"/>
      <c r="H6" s="58" t="n"/>
      <c r="I6" s="47" t="n"/>
      <c r="J6" s="47" t="n"/>
      <c r="K6" s="47">
        <f>SUM(C6,E6,G6,I6)</f>
        <v/>
      </c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  <c r="AA6" s="47" t="n"/>
    </row>
    <row r="7" ht="15" customHeight="1">
      <c r="A7" s="40" t="inlineStr">
        <is>
          <t>F6</t>
        </is>
      </c>
      <c r="B7" s="40">
        <f>VLOOKUP(A7,Members!$A$2:$B$65,2,FALSE)</f>
        <v/>
      </c>
      <c r="C7" s="104" t="n"/>
      <c r="D7" s="53" t="n"/>
      <c r="E7" s="104" t="n"/>
      <c r="F7" s="53" t="n"/>
      <c r="G7" s="104" t="n"/>
      <c r="H7" s="59" t="n"/>
      <c r="I7" s="104" t="n"/>
      <c r="J7" s="104" t="n"/>
      <c r="K7" s="104">
        <f>SUM(C7,E7,G7,I7)</f>
        <v/>
      </c>
      <c r="L7" s="104" t="n"/>
      <c r="M7" s="104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</row>
    <row r="8" ht="15" customHeight="1">
      <c r="A8" s="42" t="inlineStr">
        <is>
          <t>F7</t>
        </is>
      </c>
      <c r="B8" s="42">
        <f>VLOOKUP(A8,Members!$A$2:$B$65,2,FALSE)</f>
        <v/>
      </c>
      <c r="C8" s="47" t="n"/>
      <c r="D8" s="50" t="n"/>
      <c r="E8" s="47" t="n"/>
      <c r="F8" s="50" t="n"/>
      <c r="G8" s="47" t="n"/>
      <c r="H8" s="58" t="n"/>
      <c r="I8" s="47" t="n"/>
      <c r="J8" s="47" t="n"/>
      <c r="K8" s="47">
        <f>SUM(C8,E8,G8,I8)</f>
        <v/>
      </c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  <c r="AA8" s="47" t="n"/>
    </row>
    <row r="9" ht="15" customHeight="1">
      <c r="A9" s="40" t="inlineStr">
        <is>
          <t>F8</t>
        </is>
      </c>
      <c r="B9" s="40">
        <f>VLOOKUP(A9,Members!$A$2:$B$65,2,FALSE)</f>
        <v/>
      </c>
      <c r="C9" s="41" t="n"/>
      <c r="D9" s="53" t="n"/>
      <c r="E9" s="104" t="n"/>
      <c r="F9" s="53" t="n"/>
      <c r="G9" s="104" t="n"/>
      <c r="H9" s="59" t="n"/>
      <c r="I9" s="104" t="n"/>
      <c r="J9" s="104" t="n"/>
      <c r="K9" s="41">
        <f>SUM(C9,E9,G9,I9)</f>
        <v/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</row>
    <row r="10" ht="15" customHeight="1">
      <c r="A10" s="42" t="inlineStr">
        <is>
          <t>F9</t>
        </is>
      </c>
      <c r="B10" s="42">
        <f>VLOOKUP(A10,Members!$A$2:$B$65,2,FALSE)</f>
        <v/>
      </c>
      <c r="C10" s="43" t="n"/>
      <c r="D10" s="50" t="n"/>
      <c r="E10" s="47" t="n"/>
      <c r="F10" s="50" t="n"/>
      <c r="G10" s="47" t="n"/>
      <c r="H10" s="58" t="n"/>
      <c r="I10" s="47" t="n"/>
      <c r="J10" s="47" t="n"/>
      <c r="K10" s="43">
        <f>SUM(C10,E10,G10,I10)</f>
        <v/>
      </c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  <c r="AA10" s="47" t="n"/>
    </row>
    <row r="11" ht="15" customHeight="1">
      <c r="A11" s="40" t="inlineStr">
        <is>
          <t>F10</t>
        </is>
      </c>
      <c r="B11" s="40">
        <f>VLOOKUP(A11,Members!$A$2:$B$65,2,FALSE)</f>
        <v/>
      </c>
      <c r="C11" s="41" t="n"/>
      <c r="D11" s="53" t="n"/>
      <c r="E11" s="104" t="n"/>
      <c r="F11" s="53" t="n"/>
      <c r="G11" s="104" t="n"/>
      <c r="H11" s="59" t="n"/>
      <c r="I11" s="104" t="n"/>
      <c r="J11" s="104" t="n"/>
      <c r="K11" s="41">
        <f>SUM(C11,E11,G11,I11)</f>
        <v/>
      </c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</row>
    <row r="12" ht="15" customHeight="1">
      <c r="A12" s="42" t="inlineStr">
        <is>
          <t>F11</t>
        </is>
      </c>
      <c r="B12" s="42">
        <f>VLOOKUP(A12,Members!$A$2:$B$65,2,FALSE)</f>
        <v/>
      </c>
      <c r="C12" s="43" t="n"/>
      <c r="D12" s="50" t="n"/>
      <c r="E12" s="47" t="n"/>
      <c r="F12" s="50" t="n"/>
      <c r="G12" s="47" t="n"/>
      <c r="H12" s="58" t="n"/>
      <c r="I12" s="47" t="n"/>
      <c r="J12" s="47" t="n"/>
      <c r="K12" s="43">
        <f>SUM(C12,E12,G12,I12)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</row>
    <row r="13" ht="15" customHeight="1">
      <c r="A13" s="40" t="inlineStr">
        <is>
          <t>F12</t>
        </is>
      </c>
      <c r="B13" s="40">
        <f>VLOOKUP(A13,Members!$A$2:$B$65,2,FALSE)</f>
        <v/>
      </c>
      <c r="C13" s="41" t="n"/>
      <c r="D13" s="53" t="n"/>
      <c r="E13" s="104" t="n"/>
      <c r="F13" s="53" t="n"/>
      <c r="G13" s="104" t="n"/>
      <c r="H13" s="59" t="n"/>
      <c r="I13" s="104" t="n"/>
      <c r="J13" s="104" t="n"/>
      <c r="K13" s="41">
        <f>SUM(C13,E13,G13,I13)</f>
        <v/>
      </c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</row>
    <row r="14" ht="15" customHeight="1">
      <c r="A14" s="42" t="inlineStr">
        <is>
          <t>F13</t>
        </is>
      </c>
      <c r="B14" s="42">
        <f>VLOOKUP(A14,Members!$A$2:$B$65,2,FALSE)</f>
        <v/>
      </c>
      <c r="C14" s="47" t="n"/>
      <c r="D14" s="50" t="n"/>
      <c r="E14" s="47" t="n"/>
      <c r="F14" s="50" t="n"/>
      <c r="G14" s="47" t="n"/>
      <c r="H14" s="58" t="n"/>
      <c r="I14" s="47" t="n"/>
      <c r="J14" s="47" t="n"/>
      <c r="K14" s="47">
        <f>SUM(C14,E14,G14,I14)</f>
        <v/>
      </c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  <c r="AA14" s="47" t="n"/>
    </row>
    <row r="15" ht="15" customHeight="1">
      <c r="A15" s="40" t="inlineStr">
        <is>
          <t>F14</t>
        </is>
      </c>
      <c r="B15" s="40">
        <f>VLOOKUP(A15,Members!$A$2:$B$65,2,FALSE)</f>
        <v/>
      </c>
      <c r="C15" s="41" t="n"/>
      <c r="D15" s="53" t="n"/>
      <c r="E15" s="104" t="n"/>
      <c r="F15" s="53" t="n"/>
      <c r="G15" s="104" t="n"/>
      <c r="H15" s="59" t="n"/>
      <c r="I15" s="104" t="n"/>
      <c r="J15" s="104" t="n"/>
      <c r="K15" s="41">
        <f>SUM(C15,E15,G15,I15)</f>
        <v/>
      </c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</row>
    <row r="16" ht="15" customHeight="1">
      <c r="A16" s="42" t="inlineStr">
        <is>
          <t>F15</t>
        </is>
      </c>
      <c r="B16" s="42">
        <f>VLOOKUP(A16,Members!$A$2:$B$65,2,FALSE)</f>
        <v/>
      </c>
      <c r="C16" s="47" t="n"/>
      <c r="D16" s="50" t="n"/>
      <c r="E16" s="47" t="n"/>
      <c r="F16" s="50" t="n"/>
      <c r="G16" s="47" t="n"/>
      <c r="H16" s="58" t="n"/>
      <c r="I16" s="47" t="n"/>
      <c r="J16" s="47" t="n"/>
      <c r="K16" s="47">
        <f>SUM(C16,E16,G16,I16)</f>
        <v/>
      </c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  <c r="AA16" s="47" t="n"/>
    </row>
    <row r="17" ht="15" customHeight="1">
      <c r="A17" s="40" t="inlineStr">
        <is>
          <t>F16</t>
        </is>
      </c>
      <c r="B17" s="40">
        <f>VLOOKUP(A17,Members!$A$2:$B$65,2,FALSE)</f>
        <v/>
      </c>
      <c r="C17" s="104" t="n"/>
      <c r="D17" s="53" t="n"/>
      <c r="E17" s="104" t="n"/>
      <c r="F17" s="53" t="n"/>
      <c r="G17" s="104" t="n"/>
      <c r="H17" s="59" t="n"/>
      <c r="I17" s="104" t="n"/>
      <c r="J17" s="104" t="n"/>
      <c r="K17" s="104">
        <f>SUM(C17,E17,G17,I17)</f>
        <v/>
      </c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</row>
    <row r="18" ht="15" customHeight="1">
      <c r="A18" s="42" t="inlineStr">
        <is>
          <t>G1</t>
        </is>
      </c>
      <c r="B18" s="42">
        <f>VLOOKUP(A18,Members!$A$2:$B$65,2,FALSE)</f>
        <v/>
      </c>
      <c r="C18" s="43" t="n"/>
      <c r="D18" s="50" t="n"/>
      <c r="E18" s="43" t="n"/>
      <c r="F18" s="50" t="n"/>
      <c r="G18" s="47" t="n"/>
      <c r="H18" s="58" t="n"/>
      <c r="I18" s="47" t="n"/>
      <c r="J18" s="47" t="n"/>
      <c r="K18" s="43">
        <f>SUM(C18,E18,G18,I18)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</row>
    <row r="19" ht="15" customHeight="1">
      <c r="A19" s="40" t="inlineStr">
        <is>
          <t>G2</t>
        </is>
      </c>
      <c r="B19" s="40">
        <f>VLOOKUP(A19,Members!$A$2:$B$65,2,FALSE)</f>
        <v/>
      </c>
      <c r="C19" s="41" t="n"/>
      <c r="D19" s="53" t="n"/>
      <c r="E19" s="104" t="n"/>
      <c r="F19" s="53" t="n"/>
      <c r="G19" s="104" t="n"/>
      <c r="H19" s="59" t="n"/>
      <c r="I19" s="104" t="n"/>
      <c r="J19" s="104" t="n"/>
      <c r="K19" s="41">
        <f>SUM(C19,E19,G19,I19)</f>
        <v/>
      </c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</row>
    <row r="20" ht="15" customHeight="1">
      <c r="A20" s="42" t="inlineStr">
        <is>
          <t>G3</t>
        </is>
      </c>
      <c r="B20" s="42">
        <f>VLOOKUP(A20,Members!$A$2:$B$65,2,FALSE)</f>
        <v/>
      </c>
      <c r="C20" s="43" t="n"/>
      <c r="D20" s="50" t="n"/>
      <c r="E20" s="47" t="n"/>
      <c r="F20" s="50" t="n"/>
      <c r="G20" s="47" t="n"/>
      <c r="H20" s="58" t="n"/>
      <c r="I20" s="47" t="n"/>
      <c r="J20" s="47" t="n"/>
      <c r="K20" s="43">
        <f>SUM(C20,E20,G20,I20)</f>
        <v/>
      </c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</row>
    <row r="21" ht="15" customHeight="1">
      <c r="A21" s="40" t="inlineStr">
        <is>
          <t>G4</t>
        </is>
      </c>
      <c r="B21" s="40">
        <f>VLOOKUP(A21,Members!$A$2:$B$65,2,FALSE)</f>
        <v/>
      </c>
      <c r="C21" s="41" t="n"/>
      <c r="D21" s="53" t="n"/>
      <c r="E21" s="104" t="n"/>
      <c r="F21" s="53" t="n"/>
      <c r="G21" s="104" t="n"/>
      <c r="H21" s="59" t="n"/>
      <c r="I21" s="104" t="n"/>
      <c r="J21" s="104" t="n"/>
      <c r="K21" s="41">
        <f>SUM(C21,E21,G21,I21)</f>
        <v/>
      </c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</row>
    <row r="22" ht="15.95" customHeight="1">
      <c r="A22" s="42" t="inlineStr">
        <is>
          <t>G5</t>
        </is>
      </c>
      <c r="B22" s="42">
        <f>VLOOKUP(A22,Members!$A$2:$B$65,2,FALSE)</f>
        <v/>
      </c>
      <c r="C22" s="43" t="n"/>
      <c r="D22" s="50" t="n"/>
      <c r="E22" s="47" t="n"/>
      <c r="F22" s="50" t="n"/>
      <c r="G22" s="47" t="n"/>
      <c r="H22" s="58" t="n"/>
      <c r="I22" s="47" t="n"/>
      <c r="J22" s="47" t="n"/>
      <c r="K22" s="43">
        <f>SUM(C22,E22,G22,I22)</f>
        <v/>
      </c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</row>
    <row r="23" ht="15.95" customHeight="1">
      <c r="A23" s="40" t="inlineStr">
        <is>
          <t>G6</t>
        </is>
      </c>
      <c r="B23" s="40">
        <f>VLOOKUP(A23,Members!$A$2:$B$65,2,FALSE)</f>
        <v/>
      </c>
      <c r="C23" s="104" t="n"/>
      <c r="D23" s="53" t="n"/>
      <c r="E23" s="104" t="n"/>
      <c r="F23" s="53" t="n"/>
      <c r="G23" s="104" t="n"/>
      <c r="H23" s="59" t="n"/>
      <c r="I23" s="104" t="n"/>
      <c r="J23" s="104" t="n"/>
      <c r="K23" s="104">
        <f>SUM(C23,E23,G23,I23)</f>
        <v/>
      </c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</row>
    <row r="24" ht="15.95" customHeight="1">
      <c r="A24" s="42" t="inlineStr">
        <is>
          <t>G7</t>
        </is>
      </c>
      <c r="B24" s="42">
        <f>VLOOKUP(A24,Members!$A$2:$B$65,2,FALSE)</f>
        <v/>
      </c>
      <c r="C24" s="43" t="n"/>
      <c r="D24" s="50" t="n"/>
      <c r="E24" s="47" t="n"/>
      <c r="F24" s="50" t="n"/>
      <c r="G24" s="47" t="n"/>
      <c r="H24" s="58" t="n"/>
      <c r="I24" s="47" t="n"/>
      <c r="J24" s="47" t="n"/>
      <c r="K24" s="43">
        <f>SUM(C24,E24,G24,I24)</f>
        <v/>
      </c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</row>
    <row r="25" ht="15.95" customHeight="1">
      <c r="A25" s="40" t="inlineStr">
        <is>
          <t>G8</t>
        </is>
      </c>
      <c r="B25" s="40">
        <f>VLOOKUP(A25,Members!$A$2:$B$65,2,FALSE)</f>
        <v/>
      </c>
      <c r="C25" s="104" t="n"/>
      <c r="D25" s="53" t="n"/>
      <c r="E25" s="104" t="n"/>
      <c r="F25" s="53" t="n"/>
      <c r="G25" s="104" t="n"/>
      <c r="H25" s="59" t="n"/>
      <c r="I25" s="104" t="n"/>
      <c r="J25" s="104" t="n"/>
      <c r="K25" s="104">
        <f>SUM(C25,E25,G25,I25)</f>
        <v/>
      </c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</row>
    <row r="26" ht="15.95" customHeight="1">
      <c r="A26" s="42" t="inlineStr">
        <is>
          <t>G9</t>
        </is>
      </c>
      <c r="B26" s="42">
        <f>VLOOKUP(A26,Members!$A$2:$B$65,2,FALSE)</f>
        <v/>
      </c>
      <c r="C26" s="43" t="n"/>
      <c r="D26" s="50" t="n"/>
      <c r="E26" s="47" t="n"/>
      <c r="F26" s="50" t="n"/>
      <c r="G26" s="47" t="n"/>
      <c r="H26" s="58" t="n"/>
      <c r="I26" s="47" t="n"/>
      <c r="J26" s="47" t="n"/>
      <c r="K26" s="43">
        <f>SUM(C26,E26,G26,I26)</f>
        <v/>
      </c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</row>
    <row r="27" ht="15.95" customHeight="1">
      <c r="A27" s="40" t="inlineStr">
        <is>
          <t>G10</t>
        </is>
      </c>
      <c r="B27" s="40">
        <f>VLOOKUP(A27,Members!$A$2:$B$65,2,FALSE)</f>
        <v/>
      </c>
      <c r="C27" s="41" t="n"/>
      <c r="D27" s="53" t="n"/>
      <c r="E27" s="104" t="n"/>
      <c r="F27" s="53" t="n"/>
      <c r="G27" s="104" t="n"/>
      <c r="H27" s="59" t="n"/>
      <c r="I27" s="104" t="n"/>
      <c r="J27" s="104" t="n"/>
      <c r="K27" s="41">
        <f>SUM(C27,E27,G27,I27)</f>
        <v/>
      </c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</row>
    <row r="28" ht="15.95" customHeight="1">
      <c r="A28" s="42" t="inlineStr">
        <is>
          <t>G11</t>
        </is>
      </c>
      <c r="B28" s="42">
        <f>VLOOKUP(A28,Members!$A$2:$B$65,2,FALSE)</f>
        <v/>
      </c>
      <c r="C28" s="43" t="n"/>
      <c r="D28" s="50" t="n"/>
      <c r="E28" s="47" t="n"/>
      <c r="F28" s="50" t="n"/>
      <c r="G28" s="47" t="n"/>
      <c r="H28" s="58" t="n"/>
      <c r="I28" s="47" t="n"/>
      <c r="J28" s="47" t="n"/>
      <c r="K28" s="43">
        <f>SUM(C28,E28,G28,I28)</f>
        <v/>
      </c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</row>
    <row r="29" ht="15.95" customHeight="1">
      <c r="A29" s="40" t="inlineStr">
        <is>
          <t>G12</t>
        </is>
      </c>
      <c r="B29" s="40">
        <f>VLOOKUP(A29,Members!$A$2:$B$65,2,FALSE)</f>
        <v/>
      </c>
      <c r="C29" s="41" t="n"/>
      <c r="D29" s="53" t="n"/>
      <c r="E29" s="104" t="n"/>
      <c r="F29" s="53" t="n"/>
      <c r="G29" s="104" t="n"/>
      <c r="H29" s="59" t="n"/>
      <c r="I29" s="104" t="n"/>
      <c r="J29" s="104" t="n"/>
      <c r="K29" s="41">
        <f>SUM(C29,E29,G29,I29)</f>
        <v/>
      </c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</row>
    <row r="30" ht="15.95" customHeight="1">
      <c r="A30" s="42" t="inlineStr">
        <is>
          <t>G13</t>
        </is>
      </c>
      <c r="B30" s="42">
        <f>VLOOKUP(A30,Members!$A$2:$B$65,2,FALSE)</f>
        <v/>
      </c>
      <c r="C30" s="47" t="n"/>
      <c r="D30" s="50" t="n"/>
      <c r="E30" s="47" t="n"/>
      <c r="F30" s="50" t="n"/>
      <c r="G30" s="47" t="n"/>
      <c r="H30" s="58" t="n"/>
      <c r="I30" s="47" t="n"/>
      <c r="J30" s="47" t="n"/>
      <c r="K30" s="47">
        <f>SUM(C30,E30,G30,I30)</f>
        <v/>
      </c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</row>
    <row r="31" ht="15.95" customHeight="1">
      <c r="A31" s="40" t="inlineStr">
        <is>
          <t>G14</t>
        </is>
      </c>
      <c r="B31" s="40">
        <f>VLOOKUP(A31,Members!$A$2:$B$65,2,FALSE)</f>
        <v/>
      </c>
      <c r="C31" s="104" t="n"/>
      <c r="D31" s="53" t="n"/>
      <c r="E31" s="104" t="n"/>
      <c r="F31" s="53" t="n"/>
      <c r="G31" s="104" t="n"/>
      <c r="H31" s="59" t="n"/>
      <c r="I31" s="104" t="n"/>
      <c r="J31" s="104" t="n"/>
      <c r="K31" s="104">
        <f>SUM(C31,E31,G31,I31)</f>
        <v/>
      </c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</row>
    <row r="32" ht="15.95" customHeight="1">
      <c r="A32" s="42" t="inlineStr">
        <is>
          <t>G15</t>
        </is>
      </c>
      <c r="B32" s="42">
        <f>VLOOKUP(A32,Members!$A$2:$B$65,2,FALSE)</f>
        <v/>
      </c>
      <c r="C32" s="43" t="n"/>
      <c r="D32" s="50" t="n"/>
      <c r="E32" s="47" t="n"/>
      <c r="F32" s="50" t="n"/>
      <c r="G32" s="47" t="n"/>
      <c r="H32" s="58" t="n"/>
      <c r="I32" s="47" t="n"/>
      <c r="J32" s="47" t="n"/>
      <c r="K32" s="43">
        <f>SUM(C32,E32,G32,I32)</f>
        <v/>
      </c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</row>
    <row r="33" ht="15.95" customHeight="1">
      <c r="A33" s="40" t="inlineStr">
        <is>
          <t>G16</t>
        </is>
      </c>
      <c r="B33" s="40">
        <f>VLOOKUP(A33,Members!$A$2:$B$65,2,FALSE)</f>
        <v/>
      </c>
      <c r="C33" s="104" t="n"/>
      <c r="D33" s="53" t="n"/>
      <c r="E33" s="104" t="n"/>
      <c r="F33" s="53" t="n"/>
      <c r="G33" s="104" t="n"/>
      <c r="H33" s="59" t="n"/>
      <c r="I33" s="104" t="n"/>
      <c r="J33" s="104" t="n"/>
      <c r="K33" s="104">
        <f>SUM(C33,E33,G33,I33)</f>
        <v/>
      </c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</row>
    <row r="34" ht="15.95" customHeight="1">
      <c r="A34" s="42" t="inlineStr">
        <is>
          <t>S1</t>
        </is>
      </c>
      <c r="B34" s="42">
        <f>VLOOKUP(A34,Members!$A$2:$B$65,2,FALSE)</f>
        <v/>
      </c>
      <c r="C34" s="43" t="n"/>
      <c r="D34" s="50" t="n"/>
      <c r="E34" s="47" t="n"/>
      <c r="F34" s="50" t="n"/>
      <c r="G34" s="47" t="n"/>
      <c r="H34" s="58" t="n"/>
      <c r="I34" s="47" t="n"/>
      <c r="J34" s="47" t="n"/>
      <c r="K34" s="43">
        <f>SUM(C34,E34,G34,I34)</f>
        <v/>
      </c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  <c r="AA34" s="47" t="n"/>
    </row>
    <row r="35" ht="15.95" customHeight="1">
      <c r="A35" s="40" t="inlineStr">
        <is>
          <t>S2</t>
        </is>
      </c>
      <c r="B35" s="40">
        <f>VLOOKUP(A35,Members!$A$2:$B$65,2,FALSE)</f>
        <v/>
      </c>
      <c r="C35" s="41" t="n"/>
      <c r="D35" s="53" t="n"/>
      <c r="E35" s="104" t="n"/>
      <c r="F35" s="53" t="n"/>
      <c r="G35" s="104" t="n"/>
      <c r="H35" s="59" t="n"/>
      <c r="I35" s="104" t="n"/>
      <c r="J35" s="104" t="n"/>
      <c r="K35" s="41">
        <f>SUM(C35,E35,G35,I35)</f>
        <v/>
      </c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</row>
    <row r="36" ht="15.95" customHeight="1">
      <c r="A36" s="42" t="inlineStr">
        <is>
          <t>S3</t>
        </is>
      </c>
      <c r="B36" s="42">
        <f>VLOOKUP(A36,Members!$A$2:$B$65,2,FALSE)</f>
        <v/>
      </c>
      <c r="C36" s="47" t="n"/>
      <c r="D36" s="50" t="n"/>
      <c r="E36" s="47" t="n"/>
      <c r="F36" s="50" t="n"/>
      <c r="G36" s="47" t="n"/>
      <c r="H36" s="58" t="n"/>
      <c r="I36" s="47" t="n"/>
      <c r="J36" s="47" t="n"/>
      <c r="K36" s="47">
        <f>SUM(C36,E36,G36,I36)</f>
        <v/>
      </c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</row>
    <row r="37" ht="15.95" customHeight="1">
      <c r="A37" s="40" t="inlineStr">
        <is>
          <t>S4</t>
        </is>
      </c>
      <c r="B37" s="40">
        <f>VLOOKUP(A37,Members!$A$2:$B$65,2,FALSE)</f>
        <v/>
      </c>
      <c r="C37" s="41" t="n"/>
      <c r="D37" s="53" t="n"/>
      <c r="E37" s="104" t="n"/>
      <c r="F37" s="53" t="n"/>
      <c r="G37" s="104" t="n"/>
      <c r="H37" s="59" t="n"/>
      <c r="I37" s="104" t="n"/>
      <c r="J37" s="104" t="n"/>
      <c r="K37" s="41">
        <f>SUM(C37,E37,G37,I37)</f>
        <v/>
      </c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</row>
    <row r="38" ht="15.95" customHeight="1">
      <c r="A38" s="42" t="inlineStr">
        <is>
          <t>S5</t>
        </is>
      </c>
      <c r="B38" s="42">
        <f>VLOOKUP(A38,Members!$A$2:$B$65,2,FALSE)</f>
        <v/>
      </c>
      <c r="C38" s="47" t="n"/>
      <c r="D38" s="50" t="n"/>
      <c r="E38" s="47" t="n"/>
      <c r="F38" s="50" t="n"/>
      <c r="G38" s="47" t="n"/>
      <c r="H38" s="58" t="n"/>
      <c r="I38" s="47" t="n"/>
      <c r="J38" s="47" t="n"/>
      <c r="K38" s="47">
        <f>SUM(C38,E38,G38,I38)</f>
        <v/>
      </c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</row>
    <row r="39" ht="15.95" customHeight="1">
      <c r="A39" s="40" t="inlineStr">
        <is>
          <t>S6</t>
        </is>
      </c>
      <c r="B39" s="40">
        <f>VLOOKUP(A39,Members!$A$2:$B$65,2,FALSE)</f>
        <v/>
      </c>
      <c r="C39" s="104" t="n"/>
      <c r="D39" s="53" t="n"/>
      <c r="E39" s="104" t="n"/>
      <c r="F39" s="53" t="n"/>
      <c r="G39" s="104" t="n"/>
      <c r="H39" s="59" t="n"/>
      <c r="I39" s="104" t="n"/>
      <c r="J39" s="104" t="n"/>
      <c r="K39" s="104">
        <f>SUM(C39,E39,G39,I39)</f>
        <v/>
      </c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</row>
    <row r="40" ht="15.95" customHeight="1">
      <c r="A40" s="42" t="inlineStr">
        <is>
          <t>S7</t>
        </is>
      </c>
      <c r="B40" s="42">
        <f>VLOOKUP(A40,Members!$A$2:$B$65,2,FALSE)</f>
        <v/>
      </c>
      <c r="C40" s="43" t="n"/>
      <c r="D40" s="50" t="n"/>
      <c r="E40" s="47" t="n"/>
      <c r="F40" s="50" t="n"/>
      <c r="G40" s="47" t="n"/>
      <c r="H40" s="58" t="n"/>
      <c r="I40" s="47" t="n"/>
      <c r="J40" s="47" t="n"/>
      <c r="K40" s="43">
        <f>SUM(C40,E40,G40,I40)</f>
        <v/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  <c r="AA40" s="47" t="n"/>
    </row>
    <row r="41" ht="15.95" customHeight="1">
      <c r="A41" s="40" t="inlineStr">
        <is>
          <t>S8</t>
        </is>
      </c>
      <c r="B41" s="40">
        <f>VLOOKUP(A41,Members!$A$2:$B$65,2,FALSE)</f>
        <v/>
      </c>
      <c r="C41" s="41" t="n"/>
      <c r="D41" s="53" t="n"/>
      <c r="E41" s="104" t="n"/>
      <c r="F41" s="53" t="n"/>
      <c r="G41" s="104" t="n"/>
      <c r="H41" s="59" t="n"/>
      <c r="I41" s="104" t="n"/>
      <c r="J41" s="104" t="n"/>
      <c r="K41" s="41">
        <f>SUM(C41,E41,G41,I41)</f>
        <v/>
      </c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</row>
    <row r="42" ht="15.95" customHeight="1">
      <c r="A42" s="42" t="inlineStr">
        <is>
          <t>S9</t>
        </is>
      </c>
      <c r="B42" s="42">
        <f>VLOOKUP(A42,Members!$A$2:$B$65,2,FALSE)</f>
        <v/>
      </c>
      <c r="C42" s="43" t="n"/>
      <c r="D42" s="50" t="n"/>
      <c r="E42" s="47" t="n"/>
      <c r="F42" s="50" t="n"/>
      <c r="G42" s="47" t="n"/>
      <c r="H42" s="58" t="n"/>
      <c r="I42" s="47" t="n"/>
      <c r="J42" s="47" t="n"/>
      <c r="K42" s="43">
        <f>SUM(C42,E42,G42,I42)</f>
        <v/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</row>
    <row r="43" ht="15.95" customHeight="1">
      <c r="A43" s="40" t="inlineStr">
        <is>
          <t>S10</t>
        </is>
      </c>
      <c r="B43" s="40">
        <f>VLOOKUP(A43,Members!$A$2:$B$65,2,FALSE)</f>
        <v/>
      </c>
      <c r="C43" s="41" t="n"/>
      <c r="D43" s="53" t="n"/>
      <c r="E43" s="104" t="n"/>
      <c r="F43" s="53" t="n"/>
      <c r="G43" s="104" t="n"/>
      <c r="H43" s="59" t="n"/>
      <c r="I43" s="104" t="n"/>
      <c r="J43" s="104" t="n"/>
      <c r="K43" s="41">
        <f>SUM(C43,E43,G43,I43)</f>
        <v/>
      </c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</row>
    <row r="44" ht="15.95" customHeight="1">
      <c r="A44" s="42" t="inlineStr">
        <is>
          <t>S11</t>
        </is>
      </c>
      <c r="B44" s="42">
        <f>VLOOKUP(A44,Members!$A$2:$B$65,2,FALSE)</f>
        <v/>
      </c>
      <c r="C44" s="47" t="n"/>
      <c r="D44" s="50" t="n"/>
      <c r="E44" s="47" t="n"/>
      <c r="F44" s="50" t="n"/>
      <c r="G44" s="47" t="n"/>
      <c r="H44" s="58" t="n"/>
      <c r="I44" s="47" t="n"/>
      <c r="J44" s="47" t="n"/>
      <c r="K44" s="47">
        <f>SUM(C44,E44,G44,I44)</f>
        <v/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</row>
    <row r="45" ht="15.95" customHeight="1">
      <c r="A45" s="40" t="inlineStr">
        <is>
          <t>S12</t>
        </is>
      </c>
      <c r="B45" s="40">
        <f>VLOOKUP(A45,Members!$A$2:$B$65,2,FALSE)</f>
        <v/>
      </c>
      <c r="C45" s="41" t="n"/>
      <c r="D45" s="53" t="n"/>
      <c r="E45" s="104" t="n"/>
      <c r="F45" s="53" t="n"/>
      <c r="G45" s="104" t="n"/>
      <c r="H45" s="59" t="n"/>
      <c r="I45" s="104" t="n"/>
      <c r="J45" s="104" t="n"/>
      <c r="K45" s="41">
        <f>SUM(C45,E45,G45,I45)</f>
        <v/>
      </c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</row>
    <row r="46" ht="15.95" customHeight="1">
      <c r="A46" s="42" t="inlineStr">
        <is>
          <t>S13</t>
        </is>
      </c>
      <c r="B46" s="42">
        <f>VLOOKUP(A46,Members!$A$2:$B$65,2,FALSE)</f>
        <v/>
      </c>
      <c r="C46" s="47" t="n"/>
      <c r="D46" s="50" t="n"/>
      <c r="E46" s="47" t="n"/>
      <c r="F46" s="50" t="n"/>
      <c r="G46" s="47" t="n"/>
      <c r="H46" s="58" t="n"/>
      <c r="I46" s="47" t="n"/>
      <c r="J46" s="47" t="n"/>
      <c r="K46" s="47">
        <f>SUM(C46,E46,G46,I46)</f>
        <v/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</row>
    <row r="47" ht="15.95" customHeight="1">
      <c r="A47" s="40" t="inlineStr">
        <is>
          <t>S14</t>
        </is>
      </c>
      <c r="B47" s="40">
        <f>VLOOKUP(A47,Members!$A$2:$B$65,2,FALSE)</f>
        <v/>
      </c>
      <c r="C47" s="104" t="n"/>
      <c r="D47" s="53" t="n"/>
      <c r="E47" s="104" t="n"/>
      <c r="F47" s="53" t="n"/>
      <c r="G47" s="104" t="n"/>
      <c r="H47" s="59" t="n"/>
      <c r="I47" s="104" t="n"/>
      <c r="J47" s="104" t="n"/>
      <c r="K47" s="104">
        <f>SUM(C47,E47,G47,I47)</f>
        <v/>
      </c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</row>
    <row r="48" ht="15.95" customHeight="1">
      <c r="A48" s="42" t="inlineStr">
        <is>
          <t>S15</t>
        </is>
      </c>
      <c r="B48" s="42">
        <f>VLOOKUP(A48,Members!$A$2:$B$65,2,FALSE)</f>
        <v/>
      </c>
      <c r="C48" s="43" t="n"/>
      <c r="D48" s="50" t="n"/>
      <c r="E48" s="47" t="n"/>
      <c r="F48" s="50" t="n"/>
      <c r="G48" s="47" t="n"/>
      <c r="H48" s="58" t="n"/>
      <c r="I48" s="47" t="n"/>
      <c r="J48" s="47" t="n"/>
      <c r="K48" s="43">
        <f>SUM(C48,E48,G48,I48)</f>
        <v/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</row>
    <row r="49" ht="15.95" customHeight="1">
      <c r="A49" s="40" t="inlineStr">
        <is>
          <t>S16</t>
        </is>
      </c>
      <c r="B49" s="40">
        <f>VLOOKUP(A49,Members!$A$2:$B$65,2,FALSE)</f>
        <v/>
      </c>
      <c r="C49" s="104" t="n"/>
      <c r="D49" s="53" t="n"/>
      <c r="E49" s="104" t="n"/>
      <c r="F49" s="53" t="n"/>
      <c r="G49" s="104" t="n"/>
      <c r="H49" s="59" t="n"/>
      <c r="I49" s="104" t="n"/>
      <c r="J49" s="104" t="n"/>
      <c r="K49" s="104">
        <f>SUM(C49,E49,G49,I49)</f>
        <v/>
      </c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</row>
    <row r="50" ht="15.95" customHeight="1">
      <c r="A50" s="42" t="inlineStr">
        <is>
          <t>T1</t>
        </is>
      </c>
      <c r="B50" s="42">
        <f>VLOOKUP(A50,Members!$A$2:$B$65,2,FALSE)</f>
        <v/>
      </c>
      <c r="C50" s="47" t="n"/>
      <c r="D50" s="50" t="n"/>
      <c r="E50" s="47" t="n"/>
      <c r="F50" s="50" t="n"/>
      <c r="G50" s="47" t="n"/>
      <c r="H50" s="58" t="n"/>
      <c r="I50" s="47" t="n"/>
      <c r="J50" s="47" t="n"/>
      <c r="K50" s="47">
        <f>SUM(C50,E50,G50,I50)</f>
        <v/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</row>
    <row r="51" ht="15.95" customHeight="1">
      <c r="A51" s="40" t="inlineStr">
        <is>
          <t>T2</t>
        </is>
      </c>
      <c r="B51" s="40">
        <f>VLOOKUP(A51,Members!$A$2:$B$65,2,FALSE)</f>
        <v/>
      </c>
      <c r="C51" s="41" t="n"/>
      <c r="D51" s="53" t="n"/>
      <c r="E51" s="104" t="n"/>
      <c r="F51" s="53" t="n"/>
      <c r="G51" s="104" t="n"/>
      <c r="H51" s="59" t="n"/>
      <c r="I51" s="104" t="n"/>
      <c r="J51" s="104" t="n"/>
      <c r="K51" s="41">
        <f>SUM(C51,E51,G51,I51)</f>
        <v/>
      </c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</row>
    <row r="52" ht="15.95" customHeight="1">
      <c r="A52" s="42" t="inlineStr">
        <is>
          <t>T3</t>
        </is>
      </c>
      <c r="B52" s="42">
        <f>VLOOKUP(A52,Members!$A$2:$B$65,2,FALSE)</f>
        <v/>
      </c>
      <c r="C52" s="43" t="n"/>
      <c r="D52" s="50" t="n"/>
      <c r="E52" s="47" t="n"/>
      <c r="F52" s="50" t="n"/>
      <c r="G52" s="47" t="n"/>
      <c r="H52" s="58" t="n"/>
      <c r="I52" s="47" t="n"/>
      <c r="J52" s="47" t="n"/>
      <c r="K52" s="43">
        <f>SUM(C52,E52,G52,I52)</f>
        <v/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</row>
    <row r="53" ht="15.95" customHeight="1">
      <c r="A53" s="40" t="inlineStr">
        <is>
          <t>T4</t>
        </is>
      </c>
      <c r="B53" s="40">
        <f>VLOOKUP(A53,Members!$A$2:$B$65,2,FALSE)</f>
        <v/>
      </c>
      <c r="C53" s="41" t="n"/>
      <c r="D53" s="53" t="n"/>
      <c r="E53" s="104" t="n"/>
      <c r="F53" s="53" t="n"/>
      <c r="G53" s="104" t="n"/>
      <c r="H53" s="59" t="n"/>
      <c r="I53" s="104" t="n"/>
      <c r="J53" s="104" t="n"/>
      <c r="K53" s="41">
        <f>SUM(C53,E53,G53,I53)</f>
        <v/>
      </c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</row>
    <row r="54" ht="15.95" customHeight="1">
      <c r="A54" s="42" t="inlineStr">
        <is>
          <t>T5</t>
        </is>
      </c>
      <c r="B54" s="42">
        <f>VLOOKUP(A54,Members!$A$2:$B$65,2,FALSE)</f>
        <v/>
      </c>
      <c r="C54" s="47" t="n"/>
      <c r="D54" s="50" t="n"/>
      <c r="E54" s="47" t="n"/>
      <c r="F54" s="50" t="n"/>
      <c r="G54" s="47" t="n"/>
      <c r="H54" s="58" t="n"/>
      <c r="I54" s="47" t="n"/>
      <c r="J54" s="47" t="n"/>
      <c r="K54" s="47">
        <f>SUM(C54,E54,G54,I54)</f>
        <v/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</row>
    <row r="55" ht="15.95" customHeight="1">
      <c r="A55" s="40" t="inlineStr">
        <is>
          <t>T6</t>
        </is>
      </c>
      <c r="B55" s="40">
        <f>VLOOKUP(A55,Members!$A$2:$B$65,2,FALSE)</f>
        <v/>
      </c>
      <c r="C55" s="41" t="n"/>
      <c r="D55" s="53" t="n"/>
      <c r="E55" s="104" t="n"/>
      <c r="F55" s="53" t="n"/>
      <c r="G55" s="104" t="n"/>
      <c r="H55" s="59" t="n"/>
      <c r="I55" s="104" t="n"/>
      <c r="J55" s="104" t="n"/>
      <c r="K55" s="41">
        <f>SUM(C55,E55,G55,I55)</f>
        <v/>
      </c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</row>
    <row r="56" ht="15.95" customHeight="1">
      <c r="A56" s="42" t="inlineStr">
        <is>
          <t>T7</t>
        </is>
      </c>
      <c r="B56" s="42">
        <f>VLOOKUP(A56,Members!$A$2:$B$65,2,FALSE)</f>
        <v/>
      </c>
      <c r="C56" s="47" t="n"/>
      <c r="D56" s="50" t="n"/>
      <c r="E56" s="47" t="n"/>
      <c r="F56" s="50" t="n"/>
      <c r="G56" s="47" t="n"/>
      <c r="H56" s="58" t="n"/>
      <c r="I56" s="47" t="n"/>
      <c r="J56" s="47" t="n"/>
      <c r="K56" s="47">
        <f>SUM(C56,E56,G56,I56)</f>
        <v/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</row>
    <row r="57" ht="15.95" customHeight="1">
      <c r="A57" s="40" t="inlineStr">
        <is>
          <t>T8</t>
        </is>
      </c>
      <c r="B57" s="40">
        <f>VLOOKUP(A57,Members!$A$2:$B$65,2,FALSE)</f>
        <v/>
      </c>
      <c r="C57" s="41" t="n"/>
      <c r="D57" s="53" t="n"/>
      <c r="E57" s="104" t="n"/>
      <c r="F57" s="53" t="n"/>
      <c r="G57" s="104" t="n"/>
      <c r="H57" s="59" t="n"/>
      <c r="I57" s="104" t="n"/>
      <c r="J57" s="104" t="n"/>
      <c r="K57" s="41">
        <f>SUM(C57,E57,G57,I57)</f>
        <v/>
      </c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</row>
    <row r="58" ht="15.95" customHeight="1">
      <c r="A58" s="42" t="inlineStr">
        <is>
          <t>T9</t>
        </is>
      </c>
      <c r="B58" s="42">
        <f>VLOOKUP(A58,Members!$A$2:$B$65,2,FALSE)</f>
        <v/>
      </c>
      <c r="C58" s="47" t="n"/>
      <c r="D58" s="50" t="n"/>
      <c r="E58" s="47" t="n"/>
      <c r="F58" s="50" t="n"/>
      <c r="G58" s="47" t="n"/>
      <c r="H58" s="58" t="n"/>
      <c r="I58" s="47" t="n"/>
      <c r="J58" s="47" t="n"/>
      <c r="K58" s="47">
        <f>SUM(C58,E58,G58,I58)</f>
        <v/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</row>
    <row r="59" ht="15.95" customHeight="1">
      <c r="A59" s="40" t="inlineStr">
        <is>
          <t>T10</t>
        </is>
      </c>
      <c r="B59" s="40">
        <f>VLOOKUP(A59,Members!$A$2:$B$65,2,FALSE)</f>
        <v/>
      </c>
      <c r="C59" s="41" t="n"/>
      <c r="D59" s="53" t="n"/>
      <c r="E59" s="104" t="n"/>
      <c r="F59" s="53" t="n"/>
      <c r="G59" s="104" t="n"/>
      <c r="H59" s="59" t="n"/>
      <c r="I59" s="104" t="n"/>
      <c r="J59" s="104" t="n"/>
      <c r="K59" s="41">
        <f>SUM(C59,E59,G59,I59)</f>
        <v/>
      </c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</row>
    <row r="60" ht="15.95" customHeight="1">
      <c r="A60" s="42" t="inlineStr">
        <is>
          <t>T11</t>
        </is>
      </c>
      <c r="B60" s="42">
        <f>VLOOKUP(A60,Members!$A$2:$B$65,2,FALSE)</f>
        <v/>
      </c>
      <c r="C60" s="43" t="n"/>
      <c r="D60" s="50" t="n"/>
      <c r="E60" s="47" t="n"/>
      <c r="F60" s="50" t="n"/>
      <c r="G60" s="47" t="n"/>
      <c r="H60" s="58" t="n"/>
      <c r="I60" s="47" t="n"/>
      <c r="J60" s="47" t="n"/>
      <c r="K60" s="43">
        <f>SUM(C60,E60,G60,I60)</f>
        <v/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</row>
    <row r="61" ht="15.95" customHeight="1">
      <c r="A61" s="40" t="inlineStr">
        <is>
          <t>T12</t>
        </is>
      </c>
      <c r="B61" s="40">
        <f>VLOOKUP(A61,Members!$A$2:$B$65,2,FALSE)</f>
        <v/>
      </c>
      <c r="C61" s="41" t="n"/>
      <c r="D61" s="53" t="n"/>
      <c r="E61" s="104" t="n"/>
      <c r="F61" s="53" t="n"/>
      <c r="G61" s="104" t="n"/>
      <c r="H61" s="59" t="n"/>
      <c r="I61" s="104" t="n"/>
      <c r="J61" s="104" t="n"/>
      <c r="K61" s="41">
        <f>SUM(C61,E61,G61,I61)</f>
        <v/>
      </c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</row>
    <row r="62" ht="15.95" customHeight="1">
      <c r="A62" s="42" t="inlineStr">
        <is>
          <t>T13</t>
        </is>
      </c>
      <c r="B62" s="42">
        <f>VLOOKUP(A62,Members!$A$2:$B$65,2,FALSE)</f>
        <v/>
      </c>
      <c r="C62" s="47" t="n"/>
      <c r="D62" s="51" t="n"/>
      <c r="E62" s="47" t="n"/>
      <c r="F62" s="50" t="n"/>
      <c r="G62" s="47" t="n"/>
      <c r="H62" s="58" t="n"/>
      <c r="I62" s="47" t="n"/>
      <c r="J62" s="47" t="n"/>
      <c r="K62" s="47">
        <f>SUM(C62,E62,G62,I62)</f>
        <v/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</row>
    <row r="63" ht="15.95" customHeight="1">
      <c r="A63" s="40" t="inlineStr">
        <is>
          <t>T14</t>
        </is>
      </c>
      <c r="B63" s="40">
        <f>VLOOKUP(A63,Members!$A$2:$B$65,2,FALSE)</f>
        <v/>
      </c>
      <c r="C63" s="41" t="n"/>
      <c r="D63" s="53" t="n"/>
      <c r="E63" s="104" t="n"/>
      <c r="F63" s="53" t="n"/>
      <c r="G63" s="104" t="n"/>
      <c r="H63" s="59" t="n"/>
      <c r="I63" s="104" t="n"/>
      <c r="J63" s="104" t="n"/>
      <c r="K63" s="41">
        <f>SUM(C63,E63,G63,I63)</f>
        <v/>
      </c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</row>
    <row r="64" ht="15.95" customHeight="1">
      <c r="A64" s="42" t="inlineStr">
        <is>
          <t>T15</t>
        </is>
      </c>
      <c r="B64" s="42">
        <f>VLOOKUP(A64,Members!$A$2:$B$65,2,FALSE)</f>
        <v/>
      </c>
      <c r="C64" s="43" t="n"/>
      <c r="D64" s="50" t="n"/>
      <c r="E64" s="47" t="n"/>
      <c r="F64" s="50" t="n"/>
      <c r="G64" s="47" t="n"/>
      <c r="H64" s="58" t="n"/>
      <c r="I64" s="47" t="n"/>
      <c r="J64" s="47" t="n"/>
      <c r="K64" s="43">
        <f>SUM(C64,E64,G64,I64)</f>
        <v/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</row>
    <row r="65" ht="15.95" customHeight="1">
      <c r="A65" s="40" t="inlineStr">
        <is>
          <t>T16</t>
        </is>
      </c>
      <c r="B65" s="40">
        <f>VLOOKUP(A65,Members!$A$2:$B$65,2,FALSE)</f>
        <v/>
      </c>
      <c r="C65" s="104" t="n"/>
      <c r="D65" s="53" t="n"/>
      <c r="E65" s="104" t="n"/>
      <c r="F65" s="53" t="n"/>
      <c r="G65" s="104" t="n"/>
      <c r="H65" s="59" t="n"/>
      <c r="I65" s="104" t="n"/>
      <c r="J65" s="104" t="n"/>
      <c r="K65" s="104">
        <f>SUM(C65,E65,G65,I65)</f>
        <v/>
      </c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</row>
    <row r="66">
      <c r="A66" s="44" t="inlineStr">
        <is>
          <t>TOTAL</t>
        </is>
      </c>
      <c r="B66" s="55" t="n"/>
      <c r="C66" s="56" t="n"/>
      <c r="D66" s="67" t="n"/>
      <c r="E66" s="56" t="n"/>
      <c r="F66" s="67" t="n"/>
      <c r="G66" s="56" t="n"/>
      <c r="H66" s="62" t="n"/>
      <c r="I66" s="56" t="n"/>
      <c r="J66" s="56" t="n"/>
      <c r="K66" s="56">
        <f>SUM(K2:K65)</f>
        <v/>
      </c>
      <c r="L66" s="56" t="n"/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  <c r="Z66" s="56" t="n"/>
      <c r="AA66" s="56" t="n"/>
    </row>
    <row r="67">
      <c r="D67" s="10" t="n"/>
      <c r="F67" s="9" t="n"/>
      <c r="H67" s="8" t="n"/>
    </row>
    <row r="68">
      <c r="D68" s="10" t="n"/>
      <c r="F68" s="9" t="n"/>
      <c r="H68" s="8" t="n"/>
    </row>
    <row r="69">
      <c r="D69" s="10" t="n"/>
      <c r="F69" s="9" t="n"/>
      <c r="H69" s="8" t="n"/>
    </row>
    <row r="70">
      <c r="A70" s="3" t="n"/>
      <c r="D70" s="10" t="n"/>
      <c r="F70" s="9" t="n"/>
      <c r="H70" s="8" t="n"/>
    </row>
    <row r="71">
      <c r="A71" s="3" t="n"/>
      <c r="D71" s="10" t="n"/>
      <c r="F71" s="9" t="n"/>
      <c r="H71" s="8" t="n"/>
    </row>
    <row r="72">
      <c r="A72" s="5" t="n"/>
      <c r="D72" s="10" t="n"/>
      <c r="F72" s="9" t="n"/>
      <c r="H72" s="8" t="n"/>
    </row>
    <row r="73">
      <c r="A73" s="5" t="n"/>
      <c r="D73" s="10" t="n"/>
      <c r="F73" s="9" t="n"/>
      <c r="H73" s="8" t="n"/>
    </row>
    <row r="74">
      <c r="A74" s="5" t="n"/>
      <c r="D74" s="10" t="n"/>
      <c r="F74" s="9" t="n"/>
      <c r="H74" s="8" t="n"/>
    </row>
    <row r="75">
      <c r="A75" s="5" t="n"/>
      <c r="D75" s="10" t="n"/>
      <c r="F75" s="9" t="n"/>
      <c r="H75" s="8" t="n"/>
    </row>
    <row r="76">
      <c r="A76" s="5" t="n"/>
      <c r="D76" s="10" t="n"/>
      <c r="F76" s="9" t="n"/>
      <c r="H76" s="8" t="n"/>
    </row>
    <row r="77">
      <c r="A77" s="5" t="n"/>
      <c r="D77" s="10" t="n"/>
      <c r="F77" s="9" t="n"/>
      <c r="H77" s="8" t="n"/>
    </row>
    <row r="78">
      <c r="A78" s="5" t="n"/>
      <c r="D78" s="10" t="n"/>
      <c r="F78" s="9" t="n"/>
      <c r="H78" s="8" t="n"/>
    </row>
    <row r="79">
      <c r="A79" s="5" t="n"/>
      <c r="D79" s="10" t="n"/>
      <c r="F79" s="9" t="n"/>
      <c r="H79" s="8" t="n"/>
    </row>
    <row r="80">
      <c r="A80" s="5" t="n"/>
      <c r="D80" s="10" t="n"/>
      <c r="F80" s="9" t="n"/>
      <c r="H80" s="8" t="n"/>
    </row>
    <row r="81">
      <c r="A81" s="5" t="n"/>
      <c r="D81" s="10" t="n"/>
      <c r="F81" s="9" t="n"/>
      <c r="H81" s="8" t="n"/>
    </row>
    <row r="82">
      <c r="A82" s="5" t="n"/>
      <c r="D82" s="10" t="n"/>
      <c r="F82" s="9" t="n"/>
      <c r="H82" s="8" t="n"/>
    </row>
    <row r="83">
      <c r="A83" s="5" t="n"/>
      <c r="D83" s="10" t="n"/>
      <c r="F83" s="9" t="n"/>
      <c r="H83" s="8" t="n"/>
    </row>
    <row r="84">
      <c r="A84" s="5" t="n"/>
      <c r="D84" s="10" t="n"/>
      <c r="F84" s="9" t="n"/>
      <c r="H84" s="8" t="n"/>
    </row>
    <row r="85">
      <c r="A85" s="5" t="n"/>
      <c r="D85" s="10" t="n"/>
      <c r="F85" s="9" t="n"/>
      <c r="H85" s="8" t="n"/>
    </row>
    <row r="86">
      <c r="A86" s="5" t="n"/>
      <c r="D86" s="10" t="n"/>
      <c r="F86" s="9" t="n"/>
      <c r="H86" s="8" t="n"/>
    </row>
    <row r="87">
      <c r="A87" s="5" t="n"/>
      <c r="D87" s="10" t="n"/>
      <c r="F87" s="9" t="n"/>
      <c r="H87" s="8" t="n"/>
    </row>
    <row r="88">
      <c r="A88" s="5" t="n"/>
      <c r="D88" s="10" t="n"/>
      <c r="F88" s="9" t="n"/>
      <c r="H88" s="8" t="n"/>
    </row>
    <row r="89">
      <c r="A89" s="5" t="n"/>
      <c r="D89" s="10" t="n"/>
      <c r="F89" s="9" t="n"/>
      <c r="H89" s="8" t="n"/>
    </row>
    <row r="90">
      <c r="A90" s="5" t="n"/>
      <c r="D90" s="10" t="n"/>
      <c r="F90" s="9" t="n"/>
      <c r="H90" s="8" t="n"/>
    </row>
    <row r="91">
      <c r="A91" s="5" t="n"/>
      <c r="D91" s="10" t="n"/>
      <c r="F91" s="9" t="n"/>
      <c r="H91" s="8" t="n"/>
    </row>
    <row r="92">
      <c r="A92" s="5" t="n"/>
      <c r="D92" s="10" t="n"/>
      <c r="F92" s="9" t="n"/>
      <c r="H92" s="8" t="n"/>
    </row>
    <row r="93">
      <c r="A93" s="5" t="n"/>
      <c r="D93" s="10" t="n"/>
      <c r="F93" s="9" t="n"/>
      <c r="H93" s="8" t="n"/>
    </row>
    <row r="94">
      <c r="A94" s="5" t="n"/>
      <c r="D94" s="10" t="n"/>
      <c r="F94" s="9" t="n"/>
      <c r="H94" s="8" t="n"/>
    </row>
    <row r="95">
      <c r="A95" s="5" t="n"/>
      <c r="D95" s="10" t="n"/>
      <c r="F95" s="9" t="n"/>
      <c r="H95" s="8" t="n"/>
    </row>
    <row r="96">
      <c r="A96" s="5" t="n"/>
      <c r="D96" s="10" t="n"/>
      <c r="F96" s="9" t="n"/>
      <c r="H96" s="8" t="n"/>
    </row>
    <row r="97">
      <c r="A97" s="5" t="n"/>
      <c r="D97" s="10" t="n"/>
      <c r="F97" s="9" t="n"/>
      <c r="H97" s="8" t="n"/>
    </row>
    <row r="98">
      <c r="A98" s="5" t="n"/>
      <c r="D98" s="10" t="n"/>
      <c r="F98" s="9" t="n"/>
      <c r="H98" s="8" t="n"/>
    </row>
    <row r="99">
      <c r="A99" s="5" t="n"/>
      <c r="D99" s="10" t="n"/>
      <c r="F99" s="9" t="n"/>
      <c r="H99" s="8" t="n"/>
    </row>
    <row r="100">
      <c r="A100" s="5" t="n"/>
      <c r="D100" s="10" t="n"/>
      <c r="F100" s="9" t="n"/>
      <c r="H100" s="8" t="n"/>
    </row>
    <row r="101">
      <c r="A101" s="5" t="n"/>
      <c r="D101" s="10" t="n"/>
      <c r="F101" s="9" t="n"/>
      <c r="H101" s="8" t="n"/>
    </row>
    <row r="102">
      <c r="A102" s="5" t="n"/>
      <c r="D102" s="10" t="n"/>
      <c r="F102" s="9" t="n"/>
      <c r="H102" s="8" t="n"/>
    </row>
    <row r="103">
      <c r="A103" s="5" t="n"/>
      <c r="D103" s="10" t="n"/>
      <c r="F103" s="9" t="n"/>
      <c r="H103" s="8" t="n"/>
    </row>
    <row r="104">
      <c r="A104" s="5" t="n"/>
      <c r="D104" s="10" t="n"/>
      <c r="F104" s="9" t="n"/>
      <c r="H104" s="8" t="n"/>
    </row>
    <row r="105">
      <c r="A105" s="5" t="n"/>
      <c r="D105" s="10" t="n"/>
      <c r="F105" s="9" t="n"/>
      <c r="H105" s="8" t="n"/>
    </row>
    <row r="106">
      <c r="A106" s="5" t="n"/>
      <c r="D106" s="10" t="n"/>
      <c r="F106" s="9" t="n"/>
      <c r="H106" s="8" t="n"/>
    </row>
    <row r="107">
      <c r="A107" s="5" t="n"/>
      <c r="D107" s="10" t="n"/>
      <c r="F107" s="9" t="n"/>
      <c r="H107" s="8" t="n"/>
    </row>
    <row r="108">
      <c r="A108" s="5" t="n"/>
      <c r="D108" s="10" t="n"/>
      <c r="F108" s="9" t="n"/>
      <c r="H108" s="8" t="n"/>
    </row>
    <row r="109">
      <c r="A109" s="5" t="n"/>
      <c r="D109" s="10" t="n"/>
      <c r="F109" s="9" t="n"/>
      <c r="H109" s="8" t="n"/>
    </row>
    <row r="110">
      <c r="A110" s="5" t="n"/>
      <c r="D110" s="10" t="n"/>
      <c r="F110" s="9" t="n"/>
      <c r="H110" s="8" t="n"/>
    </row>
    <row r="111">
      <c r="A111" s="5" t="n"/>
      <c r="D111" s="10" t="n"/>
      <c r="F111" s="9" t="n"/>
      <c r="H111" s="8" t="n"/>
    </row>
    <row r="112">
      <c r="A112" s="5" t="n"/>
      <c r="D112" s="10" t="n"/>
      <c r="F112" s="9" t="n"/>
      <c r="H112" s="8" t="n"/>
    </row>
    <row r="113">
      <c r="A113" s="5" t="n"/>
      <c r="D113" s="10" t="n"/>
      <c r="F113" s="9" t="n"/>
      <c r="H113" s="8" t="n"/>
    </row>
    <row r="114">
      <c r="A114" s="5" t="n"/>
      <c r="D114" s="10" t="n"/>
      <c r="F114" s="9" t="n"/>
      <c r="H114" s="8" t="n"/>
    </row>
    <row r="115">
      <c r="A115" s="5" t="n"/>
      <c r="D115" s="10" t="n"/>
      <c r="F115" s="9" t="n"/>
      <c r="H115" s="8" t="n"/>
    </row>
    <row r="116">
      <c r="A116" s="5" t="n"/>
      <c r="D116" s="10" t="n"/>
      <c r="F116" s="9" t="n"/>
      <c r="H116" s="8" t="n"/>
    </row>
    <row r="117">
      <c r="A117" s="5" t="n"/>
      <c r="D117" s="10" t="n"/>
      <c r="F117" s="9" t="n"/>
      <c r="H117" s="8" t="n"/>
    </row>
    <row r="118">
      <c r="A118" s="5" t="n"/>
      <c r="D118" s="10" t="n"/>
      <c r="F118" s="9" t="n"/>
      <c r="H118" s="8" t="n"/>
    </row>
    <row r="119">
      <c r="A119" s="5" t="n"/>
      <c r="D119" s="10" t="n"/>
      <c r="F119" s="9" t="n"/>
      <c r="H119" s="8" t="n"/>
    </row>
    <row r="120">
      <c r="A120" s="5" t="n"/>
      <c r="D120" s="10" t="n"/>
      <c r="F120" s="9" t="n"/>
      <c r="H120" s="8" t="n"/>
    </row>
    <row r="121">
      <c r="A121" s="5" t="n"/>
      <c r="D121" s="10" t="n"/>
      <c r="F121" s="9" t="n"/>
      <c r="H121" s="8" t="n"/>
    </row>
    <row r="122">
      <c r="A122" s="5" t="n"/>
      <c r="D122" s="10" t="n"/>
      <c r="F122" s="9" t="n"/>
      <c r="H122" s="8" t="n"/>
    </row>
    <row r="123">
      <c r="A123" s="5" t="n"/>
      <c r="D123" s="10" t="n"/>
      <c r="F123" s="9" t="n"/>
      <c r="H123" s="8" t="n"/>
    </row>
    <row r="124">
      <c r="A124" s="5" t="n"/>
      <c r="D124" s="10" t="n"/>
      <c r="F124" s="9" t="n"/>
      <c r="H124" s="8" t="n"/>
    </row>
    <row r="125">
      <c r="A125" s="5" t="n"/>
      <c r="D125" s="10" t="n"/>
      <c r="F125" s="9" t="n"/>
      <c r="H125" s="8" t="n"/>
    </row>
    <row r="126">
      <c r="A126" s="5" t="n"/>
      <c r="D126" s="10" t="n"/>
      <c r="F126" s="9" t="n"/>
      <c r="H126" s="8" t="n"/>
    </row>
    <row r="127">
      <c r="A127" s="5" t="n"/>
      <c r="D127" s="10" t="n"/>
      <c r="F127" s="9" t="n"/>
      <c r="H127" s="8" t="n"/>
    </row>
    <row r="128">
      <c r="A128" s="5" t="n"/>
      <c r="D128" s="10" t="n"/>
      <c r="F128" s="9" t="n"/>
      <c r="H128" s="8" t="n"/>
    </row>
    <row r="129">
      <c r="A129" s="5" t="n"/>
      <c r="D129" s="10" t="n"/>
      <c r="F129" s="9" t="n"/>
      <c r="H129" s="8" t="n"/>
    </row>
    <row r="130">
      <c r="A130" s="5" t="n"/>
      <c r="D130" s="10" t="n"/>
      <c r="F130" s="9" t="n"/>
      <c r="H130" s="8" t="n"/>
    </row>
    <row r="131">
      <c r="A131" s="5" t="n"/>
      <c r="D131" s="10" t="n"/>
      <c r="F131" s="9" t="n"/>
      <c r="H131" s="8" t="n"/>
    </row>
    <row r="132">
      <c r="A132" s="5" t="n"/>
      <c r="D132" s="10" t="n"/>
      <c r="F132" s="9" t="n"/>
      <c r="H132" s="8" t="n"/>
    </row>
    <row r="133">
      <c r="A133" s="5" t="n"/>
      <c r="D133" s="10" t="n"/>
      <c r="F133" s="9" t="n"/>
      <c r="H133" s="8" t="n"/>
    </row>
    <row r="134">
      <c r="A134" s="5" t="n"/>
      <c r="D134" s="10" t="n"/>
      <c r="F134" s="9" t="n"/>
      <c r="H134" s="8" t="n"/>
    </row>
    <row r="135">
      <c r="A135" s="5" t="n"/>
      <c r="D135" s="10" t="n"/>
      <c r="F135" s="9" t="n"/>
      <c r="H135" s="8" t="n"/>
    </row>
    <row r="136">
      <c r="A136" s="5" t="n"/>
      <c r="D136" s="10" t="n"/>
      <c r="F136" s="9" t="n"/>
      <c r="H136" s="8" t="n"/>
    </row>
    <row r="137">
      <c r="A137" s="5" t="n"/>
      <c r="D137" s="10" t="n"/>
      <c r="F137" s="9" t="n"/>
      <c r="H137" s="8" t="n"/>
    </row>
    <row r="138">
      <c r="A138" s="5" t="n"/>
      <c r="D138" s="10" t="n"/>
      <c r="F138" s="9" t="n"/>
      <c r="H138" s="8" t="n"/>
    </row>
    <row r="139">
      <c r="A139" s="7" t="n"/>
      <c r="D139" s="10" t="n"/>
      <c r="F139" s="9" t="n"/>
      <c r="H139" s="8" t="n"/>
    </row>
    <row r="140">
      <c r="D140" s="10" t="n"/>
      <c r="F140" s="9" t="n"/>
      <c r="H140" s="8" t="n"/>
    </row>
    <row r="141">
      <c r="D141" s="10" t="n"/>
      <c r="F141" s="9" t="n"/>
      <c r="H141" s="8" t="n"/>
    </row>
    <row r="142">
      <c r="D142" s="10" t="n"/>
      <c r="F142" s="9" t="n"/>
      <c r="H142" s="8" t="n"/>
    </row>
    <row r="143">
      <c r="A143" s="3" t="n"/>
      <c r="D143" s="10" t="n"/>
      <c r="F143" s="9" t="n"/>
      <c r="H143" s="8" t="n"/>
    </row>
    <row r="144">
      <c r="A144" s="3" t="n"/>
      <c r="D144" s="10" t="n"/>
      <c r="F144" s="9" t="n"/>
      <c r="H144" s="8" t="n"/>
    </row>
    <row r="145">
      <c r="A145" s="5" t="n"/>
      <c r="D145" s="10" t="n"/>
      <c r="F145" s="9" t="n"/>
      <c r="H145" s="8" t="n"/>
    </row>
    <row r="146">
      <c r="A146" s="5" t="n"/>
      <c r="D146" s="10" t="n"/>
      <c r="F146" s="9" t="n"/>
      <c r="H146" s="8" t="n"/>
    </row>
    <row r="147">
      <c r="A147" s="5" t="n"/>
      <c r="D147" s="10" t="n"/>
      <c r="F147" s="9" t="n"/>
      <c r="H147" s="8" t="n"/>
    </row>
    <row r="148">
      <c r="A148" s="5" t="n"/>
      <c r="D148" s="10" t="n"/>
      <c r="F148" s="9" t="n"/>
      <c r="H148" s="8" t="n"/>
    </row>
    <row r="149">
      <c r="A149" s="5" t="n"/>
      <c r="D149" s="10" t="n"/>
      <c r="F149" s="9" t="n"/>
      <c r="H149" s="8" t="n"/>
    </row>
    <row r="150">
      <c r="A150" s="5" t="n"/>
      <c r="D150" s="10" t="n"/>
      <c r="F150" s="9" t="n"/>
      <c r="H150" s="8" t="n"/>
    </row>
    <row r="151">
      <c r="A151" s="5" t="n"/>
      <c r="D151" s="10" t="n"/>
      <c r="F151" s="9" t="n"/>
      <c r="H151" s="8" t="n"/>
    </row>
    <row r="152">
      <c r="A152" s="5" t="n"/>
      <c r="D152" s="10" t="n"/>
      <c r="F152" s="9" t="n"/>
      <c r="H152" s="8" t="n"/>
    </row>
    <row r="153">
      <c r="A153" s="5" t="n"/>
      <c r="D153" s="10" t="n"/>
      <c r="F153" s="9" t="n"/>
      <c r="H153" s="8" t="n"/>
    </row>
    <row r="154">
      <c r="A154" s="5" t="n"/>
      <c r="D154" s="10" t="n"/>
      <c r="F154" s="9" t="n"/>
      <c r="H154" s="8" t="n"/>
    </row>
    <row r="155">
      <c r="A155" s="5" t="n"/>
      <c r="D155" s="10" t="n"/>
      <c r="F155" s="9" t="n"/>
      <c r="H155" s="8" t="n"/>
    </row>
    <row r="156">
      <c r="A156" s="5" t="n"/>
      <c r="D156" s="10" t="n"/>
      <c r="F156" s="9" t="n"/>
      <c r="H156" s="8" t="n"/>
    </row>
    <row r="157">
      <c r="A157" s="5" t="n"/>
      <c r="D157" s="10" t="n"/>
      <c r="F157" s="9" t="n"/>
      <c r="H157" s="8" t="n"/>
    </row>
    <row r="158">
      <c r="A158" s="5" t="n"/>
      <c r="D158" s="10" t="n"/>
      <c r="F158" s="9" t="n"/>
      <c r="H158" s="8" t="n"/>
    </row>
    <row r="159">
      <c r="A159" s="5" t="n"/>
      <c r="D159" s="10" t="n"/>
      <c r="F159" s="9" t="n"/>
      <c r="H159" s="8" t="n"/>
    </row>
    <row r="160">
      <c r="A160" s="5" t="n"/>
      <c r="D160" s="10" t="n"/>
      <c r="F160" s="9" t="n"/>
      <c r="H160" s="8" t="n"/>
    </row>
    <row r="161">
      <c r="A161" s="5" t="n"/>
      <c r="D161" s="10" t="n"/>
      <c r="F161" s="9" t="n"/>
      <c r="H161" s="8" t="n"/>
    </row>
    <row r="162">
      <c r="A162" s="5" t="n"/>
      <c r="D162" s="10" t="n"/>
      <c r="F162" s="9" t="n"/>
      <c r="H162" s="8" t="n"/>
    </row>
    <row r="163">
      <c r="A163" s="5" t="n"/>
      <c r="D163" s="10" t="n"/>
      <c r="F163" s="9" t="n"/>
      <c r="H163" s="8" t="n"/>
    </row>
    <row r="164">
      <c r="A164" s="5" t="n"/>
      <c r="D164" s="10" t="n"/>
      <c r="F164" s="9" t="n"/>
      <c r="H164" s="8" t="n"/>
    </row>
    <row r="165">
      <c r="A165" s="5" t="n"/>
      <c r="D165" s="10" t="n"/>
      <c r="F165" s="9" t="n"/>
      <c r="H165" s="8" t="n"/>
    </row>
    <row r="166">
      <c r="A166" s="5" t="n"/>
      <c r="D166" s="10" t="n"/>
      <c r="F166" s="9" t="n"/>
      <c r="H166" s="8" t="n"/>
    </row>
    <row r="167">
      <c r="A167" s="5" t="n"/>
      <c r="D167" s="10" t="n"/>
      <c r="F167" s="9" t="n"/>
      <c r="H167" s="8" t="n"/>
    </row>
    <row r="168">
      <c r="A168" s="5" t="n"/>
      <c r="D168" s="10" t="n"/>
      <c r="F168" s="9" t="n"/>
      <c r="H168" s="8" t="n"/>
    </row>
    <row r="169">
      <c r="A169" s="5" t="n"/>
      <c r="D169" s="10" t="n"/>
      <c r="F169" s="9" t="n"/>
      <c r="H169" s="8" t="n"/>
    </row>
    <row r="170">
      <c r="A170" s="5" t="n"/>
      <c r="D170" s="10" t="n"/>
      <c r="F170" s="9" t="n"/>
      <c r="H170" s="8" t="n"/>
    </row>
    <row r="171">
      <c r="A171" s="5" t="n"/>
      <c r="D171" s="10" t="n"/>
      <c r="F171" s="9" t="n"/>
      <c r="H171" s="8" t="n"/>
    </row>
    <row r="172">
      <c r="A172" s="5" t="n"/>
      <c r="D172" s="10" t="n"/>
      <c r="F172" s="9" t="n"/>
      <c r="H172" s="8" t="n"/>
    </row>
    <row r="173">
      <c r="A173" s="5" t="n"/>
      <c r="D173" s="10" t="n"/>
      <c r="F173" s="9" t="n"/>
      <c r="H173" s="8" t="n"/>
    </row>
    <row r="174">
      <c r="A174" s="5" t="n"/>
      <c r="D174" s="10" t="n"/>
      <c r="F174" s="9" t="n"/>
      <c r="H174" s="8" t="n"/>
    </row>
    <row r="175">
      <c r="A175" s="5" t="n"/>
      <c r="D175" s="10" t="n"/>
      <c r="F175" s="9" t="n"/>
      <c r="H175" s="8" t="n"/>
    </row>
    <row r="176">
      <c r="A176" s="5" t="n"/>
      <c r="D176" s="10" t="n"/>
      <c r="F176" s="9" t="n"/>
      <c r="H176" s="8" t="n"/>
    </row>
    <row r="177">
      <c r="A177" s="5" t="n"/>
      <c r="D177" s="10" t="n"/>
      <c r="F177" s="9" t="n"/>
      <c r="H177" s="8" t="n"/>
    </row>
    <row r="178">
      <c r="A178" s="5" t="n"/>
      <c r="D178" s="10" t="n"/>
      <c r="F178" s="9" t="n"/>
      <c r="H178" s="8" t="n"/>
    </row>
    <row r="179">
      <c r="A179" s="5" t="n"/>
      <c r="D179" s="10" t="n"/>
      <c r="F179" s="9" t="n"/>
      <c r="H179" s="8" t="n"/>
    </row>
    <row r="180">
      <c r="A180" s="5" t="n"/>
      <c r="D180" s="10" t="n"/>
      <c r="F180" s="9" t="n"/>
      <c r="H180" s="8" t="n"/>
    </row>
    <row r="181">
      <c r="A181" s="5" t="n"/>
      <c r="D181" s="10" t="n"/>
      <c r="F181" s="9" t="n"/>
      <c r="H181" s="8" t="n"/>
    </row>
    <row r="182">
      <c r="A182" s="5" t="n"/>
      <c r="D182" s="10" t="n"/>
      <c r="F182" s="9" t="n"/>
      <c r="H182" s="8" t="n"/>
    </row>
    <row r="183">
      <c r="A183" s="5" t="n"/>
      <c r="D183" s="10" t="n"/>
      <c r="F183" s="9" t="n"/>
      <c r="H183" s="8" t="n"/>
    </row>
    <row r="184">
      <c r="A184" s="5" t="n"/>
      <c r="D184" s="10" t="n"/>
      <c r="F184" s="9" t="n"/>
      <c r="H184" s="8" t="n"/>
    </row>
    <row r="185">
      <c r="A185" s="5" t="n"/>
      <c r="D185" s="10" t="n"/>
      <c r="F185" s="9" t="n"/>
      <c r="H185" s="8" t="n"/>
    </row>
    <row r="186">
      <c r="A186" s="5" t="n"/>
      <c r="D186" s="10" t="n"/>
      <c r="F186" s="9" t="n"/>
      <c r="H186" s="8" t="n"/>
    </row>
    <row r="187">
      <c r="A187" s="5" t="n"/>
      <c r="D187" s="10" t="n"/>
      <c r="F187" s="9" t="n"/>
      <c r="H187" s="8" t="n"/>
    </row>
    <row r="188">
      <c r="A188" s="5" t="n"/>
      <c r="D188" s="10" t="n"/>
      <c r="F188" s="9" t="n"/>
      <c r="H188" s="8" t="n"/>
    </row>
    <row r="189">
      <c r="A189" s="5" t="n"/>
      <c r="D189" s="10" t="n"/>
      <c r="F189" s="9" t="n"/>
      <c r="H189" s="8" t="n"/>
    </row>
    <row r="190">
      <c r="A190" s="5" t="n"/>
      <c r="D190" s="10" t="n"/>
      <c r="F190" s="9" t="n"/>
      <c r="H190" s="8" t="n"/>
    </row>
    <row r="191">
      <c r="A191" s="5" t="n"/>
      <c r="D191" s="10" t="n"/>
      <c r="F191" s="9" t="n"/>
      <c r="H191" s="8" t="n"/>
    </row>
    <row r="192">
      <c r="A192" s="5" t="n"/>
      <c r="D192" s="10" t="n"/>
      <c r="F192" s="9" t="n"/>
      <c r="H192" s="8" t="n"/>
    </row>
    <row r="193">
      <c r="A193" s="5" t="n"/>
      <c r="D193" s="10" t="n"/>
      <c r="F193" s="9" t="n"/>
      <c r="H193" s="8" t="n"/>
    </row>
    <row r="194">
      <c r="A194" s="5" t="n"/>
      <c r="D194" s="10" t="n"/>
      <c r="F194" s="9" t="n"/>
      <c r="H194" s="8" t="n"/>
    </row>
    <row r="195">
      <c r="A195" s="5" t="n"/>
      <c r="D195" s="10" t="n"/>
      <c r="F195" s="9" t="n"/>
      <c r="H195" s="8" t="n"/>
    </row>
    <row r="196">
      <c r="A196" s="5" t="n"/>
      <c r="D196" s="10" t="n"/>
      <c r="F196" s="9" t="n"/>
      <c r="H196" s="8" t="n"/>
    </row>
    <row r="197">
      <c r="A197" s="5" t="n"/>
      <c r="D197" s="10" t="n"/>
      <c r="F197" s="9" t="n"/>
      <c r="H197" s="8" t="n"/>
    </row>
    <row r="198">
      <c r="A198" s="5" t="n"/>
      <c r="D198" s="10" t="n"/>
      <c r="F198" s="9" t="n"/>
      <c r="H198" s="8" t="n"/>
    </row>
    <row r="199">
      <c r="A199" s="5" t="n"/>
      <c r="D199" s="10" t="n"/>
      <c r="F199" s="9" t="n"/>
      <c r="H199" s="8" t="n"/>
    </row>
    <row r="200">
      <c r="A200" s="5" t="n"/>
      <c r="D200" s="10" t="n"/>
      <c r="F200" s="9" t="n"/>
      <c r="H200" s="8" t="n"/>
    </row>
    <row r="201">
      <c r="A201" s="5" t="n"/>
      <c r="D201" s="10" t="n"/>
      <c r="F201" s="9" t="n"/>
      <c r="H201" s="8" t="n"/>
    </row>
    <row r="202">
      <c r="A202" s="5" t="n"/>
      <c r="D202" s="10" t="n"/>
      <c r="F202" s="9" t="n"/>
      <c r="H202" s="8" t="n"/>
    </row>
    <row r="203">
      <c r="A203" s="5" t="n"/>
      <c r="D203" s="10" t="n"/>
      <c r="F203" s="9" t="n"/>
      <c r="H203" s="8" t="n"/>
    </row>
    <row r="204">
      <c r="A204" s="5" t="n"/>
      <c r="D204" s="10" t="n"/>
      <c r="F204" s="9" t="n"/>
      <c r="H204" s="8" t="n"/>
    </row>
    <row r="205">
      <c r="A205" s="5" t="n"/>
      <c r="D205" s="10" t="n"/>
      <c r="F205" s="9" t="n"/>
      <c r="H205" s="8" t="n"/>
    </row>
    <row r="206">
      <c r="A206" s="5" t="n"/>
      <c r="D206" s="10" t="n"/>
      <c r="F206" s="9" t="n"/>
      <c r="H206" s="8" t="n"/>
    </row>
    <row r="207">
      <c r="A207" s="5" t="n"/>
      <c r="D207" s="10" t="n"/>
      <c r="F207" s="9" t="n"/>
      <c r="H207" s="8" t="n"/>
    </row>
    <row r="208">
      <c r="A208" s="5" t="n"/>
      <c r="D208" s="10" t="n"/>
      <c r="F208" s="9" t="n"/>
      <c r="H208" s="8" t="n"/>
    </row>
    <row r="209">
      <c r="A209" s="5" t="n"/>
      <c r="D209" s="10" t="n"/>
      <c r="F209" s="9" t="n"/>
      <c r="H209" s="8" t="n"/>
    </row>
    <row r="210">
      <c r="A210" s="5" t="n"/>
      <c r="D210" s="10" t="n"/>
      <c r="F210" s="9" t="n"/>
      <c r="H210" s="8" t="n"/>
    </row>
    <row r="211">
      <c r="A211" s="5" t="n"/>
      <c r="D211" s="10" t="n"/>
      <c r="F211" s="9" t="n"/>
      <c r="H211" s="8" t="n"/>
    </row>
    <row r="212">
      <c r="A212" s="7" t="n"/>
      <c r="D212" s="10" t="n"/>
      <c r="F212" s="9" t="n"/>
      <c r="H212" s="8" t="n"/>
    </row>
    <row r="213">
      <c r="D213" s="10" t="n"/>
      <c r="F213" s="9" t="n"/>
      <c r="H213" s="8" t="n"/>
    </row>
    <row r="214">
      <c r="D214" s="10" t="n"/>
      <c r="F214" s="9" t="n"/>
      <c r="H214" s="8" t="n"/>
    </row>
    <row r="215">
      <c r="D215" s="10" t="n"/>
      <c r="F215" s="9" t="n"/>
      <c r="H215" s="8" t="n"/>
    </row>
    <row r="216">
      <c r="A216" s="3" t="n"/>
      <c r="D216" s="10" t="n"/>
      <c r="F216" s="9" t="n"/>
      <c r="H216" s="8" t="n"/>
    </row>
    <row r="217">
      <c r="A217" s="3" t="n"/>
      <c r="D217" s="10" t="n"/>
      <c r="F217" s="9" t="n"/>
      <c r="H217" s="8" t="n"/>
    </row>
    <row r="218">
      <c r="A218" s="5" t="n"/>
      <c r="D218" s="10" t="n"/>
      <c r="F218" s="9" t="n"/>
      <c r="H218" s="8" t="n"/>
    </row>
    <row r="219">
      <c r="A219" s="5" t="n"/>
      <c r="D219" s="10" t="n"/>
      <c r="F219" s="9" t="n"/>
      <c r="H219" s="8" t="n"/>
    </row>
    <row r="220">
      <c r="A220" s="5" t="n"/>
      <c r="D220" s="10" t="n"/>
      <c r="F220" s="9" t="n"/>
      <c r="H220" s="8" t="n"/>
    </row>
    <row r="221">
      <c r="A221" s="5" t="n"/>
      <c r="D221" s="10" t="n"/>
      <c r="F221" s="9" t="n"/>
      <c r="H221" s="8" t="n"/>
    </row>
    <row r="222">
      <c r="A222" s="5" t="n"/>
      <c r="D222" s="10" t="n"/>
      <c r="F222" s="9" t="n"/>
      <c r="H222" s="8" t="n"/>
    </row>
    <row r="223">
      <c r="A223" s="5" t="n"/>
      <c r="D223" s="10" t="n"/>
      <c r="F223" s="9" t="n"/>
      <c r="H223" s="8" t="n"/>
    </row>
    <row r="224">
      <c r="A224" s="5" t="n"/>
      <c r="D224" s="10" t="n"/>
      <c r="F224" s="9" t="n"/>
      <c r="H224" s="8" t="n"/>
    </row>
    <row r="225">
      <c r="A225" s="5" t="n"/>
      <c r="D225" s="10" t="n"/>
      <c r="F225" s="9" t="n"/>
      <c r="H225" s="8" t="n"/>
    </row>
    <row r="226">
      <c r="A226" s="5" t="n"/>
      <c r="D226" s="10" t="n"/>
      <c r="F226" s="9" t="n"/>
      <c r="H226" s="8" t="n"/>
    </row>
    <row r="227">
      <c r="A227" s="5" t="n"/>
      <c r="D227" s="10" t="n"/>
      <c r="F227" s="9" t="n"/>
      <c r="H227" s="8" t="n"/>
    </row>
    <row r="228">
      <c r="A228" s="5" t="n"/>
      <c r="D228" s="10" t="n"/>
      <c r="F228" s="9" t="n"/>
      <c r="H228" s="8" t="n"/>
    </row>
    <row r="229">
      <c r="A229" s="5" t="n"/>
      <c r="D229" s="10" t="n"/>
      <c r="F229" s="9" t="n"/>
      <c r="H229" s="8" t="n"/>
    </row>
    <row r="230">
      <c r="A230" s="5" t="n"/>
      <c r="D230" s="10" t="n"/>
      <c r="F230" s="9" t="n"/>
      <c r="H230" s="8" t="n"/>
    </row>
    <row r="231">
      <c r="A231" s="5" t="n"/>
      <c r="D231" s="10" t="n"/>
      <c r="F231" s="9" t="n"/>
      <c r="H231" s="8" t="n"/>
    </row>
    <row r="232">
      <c r="A232" s="5" t="n"/>
      <c r="D232" s="10" t="n"/>
      <c r="F232" s="9" t="n"/>
      <c r="H232" s="8" t="n"/>
    </row>
    <row r="233">
      <c r="A233" s="5" t="n"/>
      <c r="D233" s="10" t="n"/>
      <c r="F233" s="9" t="n"/>
      <c r="H233" s="8" t="n"/>
    </row>
    <row r="234">
      <c r="A234" s="5" t="n"/>
      <c r="D234" s="10" t="n"/>
      <c r="F234" s="9" t="n"/>
      <c r="H234" s="8" t="n"/>
    </row>
    <row r="235">
      <c r="A235" s="5" t="n"/>
      <c r="D235" s="10" t="n"/>
      <c r="F235" s="9" t="n"/>
      <c r="H235" s="8" t="n"/>
    </row>
    <row r="236">
      <c r="A236" s="5" t="n"/>
      <c r="D236" s="10" t="n"/>
      <c r="F236" s="9" t="n"/>
      <c r="H236" s="8" t="n"/>
    </row>
    <row r="237">
      <c r="A237" s="5" t="n"/>
      <c r="D237" s="10" t="n"/>
      <c r="F237" s="9" t="n"/>
      <c r="H237" s="8" t="n"/>
    </row>
    <row r="238">
      <c r="A238" s="5" t="n"/>
      <c r="D238" s="10" t="n"/>
      <c r="F238" s="9" t="n"/>
      <c r="H238" s="8" t="n"/>
    </row>
    <row r="239">
      <c r="A239" s="5" t="n"/>
      <c r="D239" s="10" t="n"/>
      <c r="F239" s="9" t="n"/>
      <c r="H239" s="8" t="n"/>
    </row>
    <row r="240">
      <c r="A240" s="5" t="n"/>
      <c r="D240" s="10" t="n"/>
      <c r="F240" s="9" t="n"/>
      <c r="H240" s="8" t="n"/>
    </row>
    <row r="241">
      <c r="A241" s="5" t="n"/>
      <c r="D241" s="10" t="n"/>
      <c r="F241" s="9" t="n"/>
      <c r="H241" s="8" t="n"/>
    </row>
    <row r="242">
      <c r="A242" s="5" t="n"/>
      <c r="D242" s="10" t="n"/>
      <c r="F242" s="9" t="n"/>
      <c r="H242" s="8" t="n"/>
    </row>
    <row r="243">
      <c r="A243" s="5" t="n"/>
      <c r="D243" s="10" t="n"/>
      <c r="F243" s="9" t="n"/>
      <c r="H243" s="8" t="n"/>
    </row>
    <row r="244">
      <c r="A244" s="5" t="n"/>
      <c r="D244" s="10" t="n"/>
      <c r="F244" s="9" t="n"/>
      <c r="H244" s="8" t="n"/>
    </row>
    <row r="245">
      <c r="A245" s="5" t="n"/>
      <c r="D245" s="10" t="n"/>
      <c r="F245" s="9" t="n"/>
      <c r="H245" s="8" t="n"/>
    </row>
    <row r="246">
      <c r="A246" s="5" t="n"/>
      <c r="D246" s="10" t="n"/>
      <c r="F246" s="9" t="n"/>
      <c r="H246" s="8" t="n"/>
    </row>
    <row r="247">
      <c r="A247" s="5" t="n"/>
      <c r="D247" s="10" t="n"/>
      <c r="F247" s="9" t="n"/>
      <c r="H247" s="8" t="n"/>
    </row>
    <row r="248">
      <c r="A248" s="5" t="n"/>
      <c r="D248" s="10" t="n"/>
      <c r="F248" s="9" t="n"/>
      <c r="H248" s="8" t="n"/>
    </row>
    <row r="249">
      <c r="A249" s="5" t="n"/>
      <c r="D249" s="10" t="n"/>
      <c r="F249" s="9" t="n"/>
      <c r="H249" s="8" t="n"/>
    </row>
    <row r="250">
      <c r="A250" s="5" t="n"/>
      <c r="D250" s="10" t="n"/>
      <c r="F250" s="9" t="n"/>
      <c r="H250" s="8" t="n"/>
    </row>
    <row r="251">
      <c r="A251" s="5" t="n"/>
      <c r="D251" s="10" t="n"/>
      <c r="F251" s="9" t="n"/>
      <c r="H251" s="8" t="n"/>
    </row>
    <row r="252">
      <c r="A252" s="5" t="n"/>
      <c r="D252" s="10" t="n"/>
      <c r="F252" s="9" t="n"/>
      <c r="H252" s="8" t="n"/>
    </row>
    <row r="253">
      <c r="A253" s="5" t="n"/>
      <c r="D253" s="10" t="n"/>
      <c r="F253" s="9" t="n"/>
      <c r="H253" s="8" t="n"/>
    </row>
    <row r="254">
      <c r="A254" s="5" t="n"/>
      <c r="D254" s="10" t="n"/>
      <c r="F254" s="9" t="n"/>
      <c r="H254" s="8" t="n"/>
    </row>
    <row r="255">
      <c r="A255" s="5" t="n"/>
      <c r="D255" s="10" t="n"/>
      <c r="F255" s="9" t="n"/>
      <c r="H255" s="8" t="n"/>
    </row>
    <row r="256">
      <c r="A256" s="5" t="n"/>
      <c r="D256" s="10" t="n"/>
      <c r="F256" s="9" t="n"/>
      <c r="H256" s="8" t="n"/>
    </row>
    <row r="257">
      <c r="A257" s="5" t="n"/>
      <c r="D257" s="10" t="n"/>
      <c r="F257" s="9" t="n"/>
      <c r="H257" s="8" t="n"/>
    </row>
    <row r="258">
      <c r="A258" s="5" t="n"/>
      <c r="D258" s="10" t="n"/>
      <c r="F258" s="9" t="n"/>
      <c r="H258" s="8" t="n"/>
    </row>
    <row r="259">
      <c r="A259" s="5" t="n"/>
      <c r="D259" s="10" t="n"/>
      <c r="F259" s="9" t="n"/>
      <c r="H259" s="8" t="n"/>
    </row>
    <row r="260">
      <c r="A260" s="5" t="n"/>
      <c r="D260" s="10" t="n"/>
      <c r="F260" s="9" t="n"/>
      <c r="H260" s="8" t="n"/>
    </row>
    <row r="261">
      <c r="A261" s="5" t="n"/>
      <c r="D261" s="10" t="n"/>
      <c r="F261" s="9" t="n"/>
      <c r="H261" s="8" t="n"/>
    </row>
    <row r="262">
      <c r="A262" s="5" t="n"/>
      <c r="D262" s="10" t="n"/>
      <c r="F262" s="9" t="n"/>
      <c r="H262" s="8" t="n"/>
    </row>
    <row r="263">
      <c r="A263" s="5" t="n"/>
      <c r="D263" s="10" t="n"/>
      <c r="F263" s="9" t="n"/>
      <c r="H263" s="8" t="n"/>
    </row>
    <row r="264">
      <c r="A264" s="5" t="n"/>
      <c r="D264" s="10" t="n"/>
      <c r="F264" s="9" t="n"/>
      <c r="H264" s="8" t="n"/>
    </row>
    <row r="265">
      <c r="A265" s="5" t="n"/>
      <c r="D265" s="10" t="n"/>
      <c r="F265" s="9" t="n"/>
      <c r="H265" s="8" t="n"/>
    </row>
    <row r="266">
      <c r="A266" s="5" t="n"/>
      <c r="D266" s="10" t="n"/>
      <c r="F266" s="9" t="n"/>
      <c r="H266" s="8" t="n"/>
    </row>
    <row r="267">
      <c r="A267" s="5" t="n"/>
      <c r="D267" s="10" t="n"/>
      <c r="F267" s="9" t="n"/>
      <c r="H267" s="8" t="n"/>
    </row>
    <row r="268">
      <c r="A268" s="5" t="n"/>
      <c r="D268" s="10" t="n"/>
      <c r="F268" s="9" t="n"/>
      <c r="H268" s="8" t="n"/>
    </row>
    <row r="269">
      <c r="A269" s="5" t="n"/>
      <c r="D269" s="10" t="n"/>
      <c r="F269" s="9" t="n"/>
      <c r="H269" s="8" t="n"/>
    </row>
    <row r="270">
      <c r="A270" s="5" t="n"/>
      <c r="D270" s="10" t="n"/>
      <c r="F270" s="9" t="n"/>
      <c r="H270" s="8" t="n"/>
    </row>
    <row r="271">
      <c r="A271" s="5" t="n"/>
      <c r="D271" s="10" t="n"/>
      <c r="F271" s="9" t="n"/>
      <c r="H271" s="8" t="n"/>
    </row>
    <row r="272">
      <c r="A272" s="5" t="n"/>
      <c r="D272" s="10" t="n"/>
      <c r="F272" s="9" t="n"/>
      <c r="H272" s="8" t="n"/>
    </row>
    <row r="273">
      <c r="A273" s="5" t="n"/>
      <c r="D273" s="10" t="n"/>
      <c r="F273" s="9" t="n"/>
      <c r="H273" s="8" t="n"/>
    </row>
    <row r="274">
      <c r="A274" s="5" t="n"/>
      <c r="D274" s="10" t="n"/>
      <c r="F274" s="9" t="n"/>
      <c r="H274" s="8" t="n"/>
    </row>
    <row r="275">
      <c r="A275" s="5" t="n"/>
      <c r="D275" s="10" t="n"/>
      <c r="F275" s="9" t="n"/>
      <c r="H275" s="8" t="n"/>
    </row>
    <row r="276">
      <c r="A276" s="5" t="n"/>
      <c r="D276" s="10" t="n"/>
      <c r="F276" s="9" t="n"/>
      <c r="H276" s="8" t="n"/>
    </row>
    <row r="277">
      <c r="A277" s="5" t="n"/>
      <c r="D277" s="10" t="n"/>
      <c r="F277" s="9" t="n"/>
      <c r="H277" s="8" t="n"/>
    </row>
    <row r="278">
      <c r="A278" s="5" t="n"/>
      <c r="D278" s="10" t="n"/>
      <c r="F278" s="9" t="n"/>
      <c r="H278" s="8" t="n"/>
    </row>
    <row r="279">
      <c r="A279" s="5" t="n"/>
      <c r="D279" s="10" t="n"/>
      <c r="F279" s="9" t="n"/>
      <c r="H279" s="8" t="n"/>
    </row>
    <row r="280">
      <c r="A280" s="5" t="n"/>
      <c r="D280" s="10" t="n"/>
      <c r="F280" s="9" t="n"/>
      <c r="H280" s="8" t="n"/>
    </row>
    <row r="281">
      <c r="A281" s="5" t="n"/>
      <c r="D281" s="10" t="n"/>
      <c r="F281" s="9" t="n"/>
      <c r="H281" s="8" t="n"/>
    </row>
    <row r="282">
      <c r="A282" s="5" t="n"/>
      <c r="D282" s="10" t="n"/>
      <c r="F282" s="9" t="n"/>
      <c r="H282" s="8" t="n"/>
    </row>
    <row r="283">
      <c r="A283" s="5" t="n"/>
      <c r="D283" s="10" t="n"/>
      <c r="F283" s="9" t="n"/>
      <c r="H283" s="8" t="n"/>
    </row>
    <row r="284">
      <c r="A284" s="5" t="n"/>
      <c r="D284" s="10" t="n"/>
      <c r="F284" s="9" t="n"/>
      <c r="H284" s="8" t="n"/>
    </row>
    <row r="285">
      <c r="A285" s="7" t="n"/>
      <c r="D285" s="10" t="n"/>
      <c r="F285" s="9" t="n"/>
      <c r="H285" s="8" t="n"/>
    </row>
    <row r="286">
      <c r="D286" s="10" t="n"/>
      <c r="F286" s="9" t="n"/>
      <c r="H286" s="8" t="n"/>
    </row>
    <row r="287">
      <c r="D287" s="10" t="n"/>
      <c r="F287" s="9" t="n"/>
      <c r="H287" s="8" t="n"/>
    </row>
    <row r="288">
      <c r="D288" s="10" t="n"/>
      <c r="F288" s="9" t="n"/>
      <c r="H288" s="8" t="n"/>
    </row>
    <row r="289">
      <c r="A289" s="3" t="n"/>
      <c r="D289" s="10" t="n"/>
      <c r="F289" s="9" t="n"/>
      <c r="H289" s="8" t="n"/>
    </row>
    <row r="290">
      <c r="A290" s="3" t="n"/>
      <c r="D290" s="10" t="n"/>
      <c r="F290" s="9" t="n"/>
      <c r="H290" s="8" t="n"/>
    </row>
    <row r="291">
      <c r="A291" s="5" t="n"/>
      <c r="D291" s="10" t="n"/>
      <c r="F291" s="9" t="n"/>
      <c r="H291" s="8" t="n"/>
    </row>
    <row r="292">
      <c r="A292" s="5" t="n"/>
      <c r="D292" s="10" t="n"/>
      <c r="F292" s="9" t="n"/>
      <c r="H292" s="8" t="n"/>
    </row>
    <row r="293">
      <c r="A293" s="5" t="n"/>
      <c r="D293" s="10" t="n"/>
      <c r="F293" s="9" t="n"/>
      <c r="H293" s="8" t="n"/>
    </row>
    <row r="294">
      <c r="A294" s="5" t="n"/>
      <c r="D294" s="10" t="n"/>
      <c r="F294" s="9" t="n"/>
      <c r="H294" s="8" t="n"/>
    </row>
    <row r="295">
      <c r="A295" s="5" t="n"/>
      <c r="D295" s="10" t="n"/>
      <c r="F295" s="9" t="n"/>
      <c r="H295" s="8" t="n"/>
    </row>
    <row r="296">
      <c r="A296" s="5" t="n"/>
      <c r="D296" s="10" t="n"/>
      <c r="F296" s="9" t="n"/>
      <c r="H296" s="8" t="n"/>
    </row>
    <row r="297">
      <c r="A297" s="5" t="n"/>
      <c r="D297" s="10" t="n"/>
      <c r="F297" s="9" t="n"/>
      <c r="H297" s="8" t="n"/>
    </row>
    <row r="298">
      <c r="A298" s="5" t="n"/>
      <c r="D298" s="10" t="n"/>
      <c r="F298" s="9" t="n"/>
      <c r="H298" s="8" t="n"/>
    </row>
    <row r="299">
      <c r="A299" s="5" t="n"/>
      <c r="D299" s="10" t="n"/>
      <c r="F299" s="9" t="n"/>
      <c r="H299" s="8" t="n"/>
    </row>
    <row r="300">
      <c r="A300" s="5" t="n"/>
      <c r="D300" s="10" t="n"/>
      <c r="F300" s="9" t="n"/>
      <c r="H300" s="8" t="n"/>
    </row>
    <row r="301">
      <c r="A301" s="5" t="n"/>
      <c r="D301" s="10" t="n"/>
      <c r="F301" s="9" t="n"/>
      <c r="H301" s="8" t="n"/>
    </row>
    <row r="302">
      <c r="A302" s="5" t="n"/>
      <c r="D302" s="10" t="n"/>
      <c r="F302" s="9" t="n"/>
      <c r="H302" s="8" t="n"/>
    </row>
    <row r="303">
      <c r="A303" s="5" t="n"/>
      <c r="D303" s="10" t="n"/>
      <c r="F303" s="9" t="n"/>
      <c r="H303" s="8" t="n"/>
    </row>
    <row r="304">
      <c r="A304" s="5" t="n"/>
      <c r="D304" s="10" t="n"/>
      <c r="F304" s="9" t="n"/>
      <c r="H304" s="8" t="n"/>
    </row>
    <row r="305">
      <c r="A305" s="5" t="n"/>
      <c r="D305" s="10" t="n"/>
      <c r="F305" s="9" t="n"/>
      <c r="H305" s="8" t="n"/>
    </row>
    <row r="306">
      <c r="A306" s="5" t="n"/>
      <c r="D306" s="10" t="n"/>
      <c r="F306" s="9" t="n"/>
      <c r="H306" s="8" t="n"/>
    </row>
    <row r="307">
      <c r="A307" s="5" t="n"/>
      <c r="D307" s="10" t="n"/>
      <c r="F307" s="9" t="n"/>
      <c r="H307" s="8" t="n"/>
    </row>
    <row r="308">
      <c r="A308" s="5" t="n"/>
      <c r="D308" s="10" t="n"/>
      <c r="F308" s="9" t="n"/>
      <c r="H308" s="8" t="n"/>
    </row>
    <row r="309">
      <c r="A309" s="5" t="n"/>
      <c r="D309" s="10" t="n"/>
      <c r="F309" s="9" t="n"/>
      <c r="H309" s="8" t="n"/>
    </row>
    <row r="310">
      <c r="A310" s="5" t="n"/>
      <c r="D310" s="10" t="n"/>
      <c r="F310" s="9" t="n"/>
      <c r="H310" s="8" t="n"/>
    </row>
    <row r="311">
      <c r="A311" s="5" t="n"/>
      <c r="D311" s="10" t="n"/>
      <c r="F311" s="9" t="n"/>
      <c r="H311" s="8" t="n"/>
    </row>
    <row r="312">
      <c r="A312" s="5" t="n"/>
      <c r="D312" s="10" t="n"/>
      <c r="F312" s="9" t="n"/>
      <c r="H312" s="8" t="n"/>
    </row>
    <row r="313">
      <c r="A313" s="5" t="n"/>
      <c r="D313" s="10" t="n"/>
      <c r="F313" s="9" t="n"/>
      <c r="H313" s="8" t="n"/>
    </row>
    <row r="314">
      <c r="A314" s="5" t="n"/>
      <c r="D314" s="10" t="n"/>
      <c r="F314" s="9" t="n"/>
      <c r="H314" s="8" t="n"/>
    </row>
    <row r="315">
      <c r="A315" s="5" t="n"/>
      <c r="D315" s="10" t="n"/>
      <c r="F315" s="9" t="n"/>
      <c r="H315" s="8" t="n"/>
    </row>
    <row r="316">
      <c r="A316" s="5" t="n"/>
      <c r="D316" s="10" t="n"/>
      <c r="F316" s="9" t="n"/>
      <c r="H316" s="8" t="n"/>
    </row>
    <row r="317">
      <c r="A317" s="5" t="n"/>
      <c r="D317" s="10" t="n"/>
      <c r="F317" s="9" t="n"/>
      <c r="H317" s="8" t="n"/>
    </row>
    <row r="318">
      <c r="A318" s="5" t="n"/>
      <c r="D318" s="10" t="n"/>
      <c r="F318" s="9" t="n"/>
      <c r="H318" s="8" t="n"/>
    </row>
    <row r="319">
      <c r="A319" s="5" t="n"/>
      <c r="D319" s="10" t="n"/>
      <c r="F319" s="9" t="n"/>
      <c r="H319" s="8" t="n"/>
    </row>
    <row r="320">
      <c r="A320" s="5" t="n"/>
      <c r="D320" s="10" t="n"/>
      <c r="F320" s="9" t="n"/>
      <c r="H320" s="8" t="n"/>
    </row>
    <row r="321">
      <c r="A321" s="5" t="n"/>
      <c r="D321" s="10" t="n"/>
      <c r="F321" s="9" t="n"/>
      <c r="H321" s="8" t="n"/>
    </row>
    <row r="322">
      <c r="A322" s="5" t="n"/>
      <c r="D322" s="10" t="n"/>
      <c r="F322" s="9" t="n"/>
      <c r="H322" s="8" t="n"/>
    </row>
    <row r="323">
      <c r="A323" s="5" t="n"/>
      <c r="D323" s="10" t="n"/>
      <c r="F323" s="9" t="n"/>
      <c r="H323" s="8" t="n"/>
    </row>
    <row r="324">
      <c r="A324" s="5" t="n"/>
      <c r="D324" s="10" t="n"/>
      <c r="F324" s="9" t="n"/>
      <c r="H324" s="8" t="n"/>
    </row>
    <row r="325">
      <c r="A325" s="5" t="n"/>
      <c r="D325" s="10" t="n"/>
      <c r="F325" s="9" t="n"/>
      <c r="H325" s="8" t="n"/>
    </row>
    <row r="326">
      <c r="A326" s="5" t="n"/>
      <c r="D326" s="10" t="n"/>
      <c r="F326" s="9" t="n"/>
      <c r="H326" s="8" t="n"/>
    </row>
    <row r="327">
      <c r="A327" s="5" t="n"/>
      <c r="D327" s="10" t="n"/>
      <c r="F327" s="9" t="n"/>
      <c r="H327" s="8" t="n"/>
    </row>
    <row r="328">
      <c r="A328" s="5" t="n"/>
      <c r="D328" s="10" t="n"/>
      <c r="F328" s="9" t="n"/>
      <c r="H328" s="8" t="n"/>
    </row>
    <row r="329">
      <c r="A329" s="5" t="n"/>
      <c r="D329" s="10" t="n"/>
      <c r="F329" s="9" t="n"/>
      <c r="H329" s="8" t="n"/>
    </row>
    <row r="330">
      <c r="A330" s="5" t="n"/>
      <c r="D330" s="10" t="n"/>
      <c r="F330" s="9" t="n"/>
      <c r="H330" s="8" t="n"/>
    </row>
    <row r="331">
      <c r="A331" s="5" t="n"/>
      <c r="D331" s="10" t="n"/>
      <c r="F331" s="9" t="n"/>
      <c r="H331" s="8" t="n"/>
    </row>
    <row r="332">
      <c r="A332" s="5" t="n"/>
      <c r="D332" s="10" t="n"/>
      <c r="F332" s="9" t="n"/>
      <c r="H332" s="8" t="n"/>
    </row>
    <row r="333">
      <c r="A333" s="5" t="n"/>
      <c r="D333" s="10" t="n"/>
      <c r="F333" s="9" t="n"/>
      <c r="H333" s="8" t="n"/>
    </row>
    <row r="334">
      <c r="A334" s="5" t="n"/>
      <c r="D334" s="10" t="n"/>
      <c r="F334" s="9" t="n"/>
      <c r="H334" s="8" t="n"/>
    </row>
    <row r="335">
      <c r="A335" s="5" t="n"/>
      <c r="D335" s="10" t="n"/>
      <c r="F335" s="9" t="n"/>
      <c r="H335" s="8" t="n"/>
    </row>
    <row r="336">
      <c r="A336" s="5" t="n"/>
      <c r="D336" s="10" t="n"/>
      <c r="F336" s="9" t="n"/>
      <c r="H336" s="8" t="n"/>
    </row>
    <row r="337">
      <c r="A337" s="5" t="n"/>
      <c r="D337" s="10" t="n"/>
      <c r="F337" s="9" t="n"/>
      <c r="H337" s="8" t="n"/>
    </row>
    <row r="338">
      <c r="A338" s="5" t="n"/>
      <c r="D338" s="10" t="n"/>
      <c r="F338" s="9" t="n"/>
      <c r="H338" s="8" t="n"/>
    </row>
    <row r="339">
      <c r="A339" s="5" t="n"/>
      <c r="D339" s="10" t="n"/>
      <c r="F339" s="9" t="n"/>
      <c r="H339" s="8" t="n"/>
    </row>
    <row r="340">
      <c r="A340" s="5" t="n"/>
      <c r="D340" s="10" t="n"/>
      <c r="F340" s="9" t="n"/>
      <c r="H340" s="8" t="n"/>
    </row>
    <row r="341">
      <c r="A341" s="5" t="n"/>
      <c r="D341" s="10" t="n"/>
      <c r="F341" s="9" t="n"/>
      <c r="H341" s="8" t="n"/>
    </row>
    <row r="342">
      <c r="A342" s="5" t="n"/>
      <c r="D342" s="10" t="n"/>
      <c r="F342" s="9" t="n"/>
      <c r="H342" s="8" t="n"/>
    </row>
    <row r="343">
      <c r="A343" s="5" t="n"/>
      <c r="D343" s="10" t="n"/>
      <c r="F343" s="9" t="n"/>
      <c r="H343" s="8" t="n"/>
    </row>
    <row r="344">
      <c r="A344" s="5" t="n"/>
      <c r="D344" s="10" t="n"/>
      <c r="F344" s="9" t="n"/>
      <c r="H344" s="8" t="n"/>
    </row>
    <row r="345">
      <c r="A345" s="5" t="n"/>
      <c r="D345" s="10" t="n"/>
      <c r="F345" s="9" t="n"/>
      <c r="H345" s="8" t="n"/>
    </row>
    <row r="346">
      <c r="A346" s="5" t="n"/>
      <c r="D346" s="10" t="n"/>
      <c r="F346" s="9" t="n"/>
      <c r="H346" s="8" t="n"/>
    </row>
    <row r="347">
      <c r="A347" s="5" t="n"/>
      <c r="D347" s="10" t="n"/>
      <c r="F347" s="9" t="n"/>
      <c r="H347" s="8" t="n"/>
    </row>
    <row r="348">
      <c r="A348" s="5" t="n"/>
      <c r="D348" s="10" t="n"/>
      <c r="F348" s="9" t="n"/>
      <c r="H348" s="8" t="n"/>
    </row>
    <row r="349">
      <c r="A349" s="5" t="n"/>
      <c r="D349" s="10" t="n"/>
      <c r="F349" s="9" t="n"/>
      <c r="H349" s="8" t="n"/>
    </row>
    <row r="350">
      <c r="A350" s="5" t="n"/>
      <c r="D350" s="10" t="n"/>
      <c r="F350" s="9" t="n"/>
      <c r="H350" s="8" t="n"/>
    </row>
    <row r="351">
      <c r="A351" s="5" t="n"/>
      <c r="D351" s="10" t="n"/>
      <c r="F351" s="9" t="n"/>
      <c r="H351" s="8" t="n"/>
    </row>
    <row r="352">
      <c r="A352" s="5" t="n"/>
      <c r="D352" s="10" t="n"/>
      <c r="F352" s="9" t="n"/>
      <c r="H352" s="8" t="n"/>
    </row>
    <row r="353">
      <c r="A353" s="5" t="n"/>
      <c r="D353" s="10" t="n"/>
      <c r="F353" s="9" t="n"/>
      <c r="H353" s="8" t="n"/>
    </row>
    <row r="354">
      <c r="A354" s="5" t="n"/>
      <c r="D354" s="10" t="n"/>
      <c r="F354" s="9" t="n"/>
      <c r="H354" s="8" t="n"/>
    </row>
    <row r="355">
      <c r="A355" s="5" t="n"/>
      <c r="D355" s="10" t="n"/>
      <c r="F355" s="9" t="n"/>
      <c r="H355" s="8" t="n"/>
    </row>
    <row r="356">
      <c r="A356" s="5" t="n"/>
      <c r="D356" s="10" t="n"/>
      <c r="F356" s="9" t="n"/>
      <c r="H356" s="8" t="n"/>
    </row>
    <row r="357">
      <c r="A357" s="5" t="n"/>
      <c r="D357" s="10" t="n"/>
      <c r="F357" s="9" t="n"/>
      <c r="H357" s="8" t="n"/>
    </row>
    <row r="358">
      <c r="A358" s="7" t="n"/>
      <c r="D358" s="10" t="n"/>
      <c r="F358" s="9" t="n"/>
      <c r="H358" s="8" t="n"/>
    </row>
    <row r="359">
      <c r="D359" s="10" t="n"/>
      <c r="F359" s="9" t="n"/>
      <c r="H359" s="8" t="n"/>
    </row>
    <row r="360">
      <c r="D360" s="10" t="n"/>
      <c r="F360" s="9" t="n"/>
      <c r="H360" s="8" t="n"/>
    </row>
    <row r="361">
      <c r="D361" s="10" t="n"/>
      <c r="F361" s="9" t="n"/>
      <c r="H361" s="8" t="n"/>
    </row>
    <row r="362">
      <c r="A362" s="3" t="n"/>
      <c r="D362" s="10" t="n"/>
      <c r="F362" s="9" t="n"/>
      <c r="H362" s="8" t="n"/>
    </row>
    <row r="363">
      <c r="A363" s="3" t="n"/>
      <c r="D363" s="10" t="n"/>
      <c r="F363" s="9" t="n"/>
      <c r="H363" s="8" t="n"/>
    </row>
    <row r="364">
      <c r="A364" s="5" t="n"/>
      <c r="D364" s="10" t="n"/>
      <c r="F364" s="9" t="n"/>
      <c r="H364" s="8" t="n"/>
    </row>
    <row r="365">
      <c r="A365" s="5" t="n"/>
      <c r="D365" s="10" t="n"/>
      <c r="F365" s="9" t="n"/>
      <c r="H365" s="8" t="n"/>
    </row>
    <row r="366">
      <c r="A366" s="5" t="n"/>
      <c r="D366" s="10" t="n"/>
      <c r="F366" s="9" t="n"/>
      <c r="H366" s="8" t="n"/>
    </row>
    <row r="367">
      <c r="A367" s="5" t="n"/>
      <c r="D367" s="10" t="n"/>
      <c r="F367" s="9" t="n"/>
      <c r="H367" s="8" t="n"/>
    </row>
    <row r="368">
      <c r="A368" s="5" t="n"/>
      <c r="D368" s="10" t="n"/>
      <c r="F368" s="9" t="n"/>
      <c r="H368" s="8" t="n"/>
    </row>
    <row r="369">
      <c r="A369" s="5" t="n"/>
      <c r="D369" s="10" t="n"/>
      <c r="F369" s="9" t="n"/>
      <c r="H369" s="8" t="n"/>
    </row>
    <row r="370">
      <c r="A370" s="5" t="n"/>
      <c r="D370" s="10" t="n"/>
      <c r="F370" s="9" t="n"/>
      <c r="H370" s="8" t="n"/>
    </row>
    <row r="371">
      <c r="A371" s="5" t="n"/>
      <c r="D371" s="10" t="n"/>
      <c r="F371" s="9" t="n"/>
      <c r="H371" s="8" t="n"/>
    </row>
    <row r="372">
      <c r="A372" s="5" t="n"/>
      <c r="D372" s="10" t="n"/>
      <c r="F372" s="9" t="n"/>
      <c r="H372" s="8" t="n"/>
    </row>
    <row r="373">
      <c r="A373" s="5" t="n"/>
      <c r="D373" s="10" t="n"/>
      <c r="F373" s="9" t="n"/>
      <c r="H373" s="8" t="n"/>
    </row>
    <row r="374">
      <c r="A374" s="5" t="n"/>
      <c r="D374" s="10" t="n"/>
      <c r="F374" s="9" t="n"/>
      <c r="H374" s="8" t="n"/>
    </row>
    <row r="375">
      <c r="A375" s="5" t="n"/>
      <c r="D375" s="10" t="n"/>
      <c r="F375" s="9" t="n"/>
      <c r="H375" s="8" t="n"/>
    </row>
    <row r="376">
      <c r="A376" s="5" t="n"/>
      <c r="D376" s="10" t="n"/>
      <c r="F376" s="9" t="n"/>
      <c r="H376" s="8" t="n"/>
    </row>
    <row r="377">
      <c r="A377" s="5" t="n"/>
      <c r="D377" s="10" t="n"/>
      <c r="F377" s="9" t="n"/>
      <c r="H377" s="8" t="n"/>
    </row>
    <row r="378">
      <c r="A378" s="5" t="n"/>
      <c r="D378" s="10" t="n"/>
      <c r="F378" s="9" t="n"/>
      <c r="H378" s="8" t="n"/>
    </row>
    <row r="379">
      <c r="A379" s="5" t="n"/>
      <c r="D379" s="10" t="n"/>
      <c r="F379" s="9" t="n"/>
      <c r="H379" s="8" t="n"/>
    </row>
    <row r="380">
      <c r="A380" s="5" t="n"/>
      <c r="D380" s="10" t="n"/>
      <c r="F380" s="9" t="n"/>
      <c r="H380" s="8" t="n"/>
    </row>
    <row r="381">
      <c r="A381" s="5" t="n"/>
      <c r="D381" s="10" t="n"/>
      <c r="F381" s="9" t="n"/>
      <c r="H381" s="8" t="n"/>
    </row>
    <row r="382">
      <c r="A382" s="5" t="n"/>
      <c r="D382" s="10" t="n"/>
      <c r="F382" s="9" t="n"/>
      <c r="H382" s="8" t="n"/>
    </row>
    <row r="383">
      <c r="A383" s="5" t="n"/>
      <c r="D383" s="10" t="n"/>
      <c r="F383" s="9" t="n"/>
      <c r="H383" s="8" t="n"/>
    </row>
    <row r="384">
      <c r="A384" s="5" t="n"/>
      <c r="D384" s="10" t="n"/>
      <c r="F384" s="9" t="n"/>
      <c r="H384" s="8" t="n"/>
    </row>
    <row r="385">
      <c r="A385" s="5" t="n"/>
      <c r="D385" s="10" t="n"/>
      <c r="F385" s="9" t="n"/>
      <c r="H385" s="8" t="n"/>
    </row>
    <row r="386">
      <c r="A386" s="5" t="n"/>
      <c r="D386" s="10" t="n"/>
      <c r="F386" s="9" t="n"/>
      <c r="H386" s="8" t="n"/>
    </row>
    <row r="387">
      <c r="A387" s="5" t="n"/>
      <c r="D387" s="10" t="n"/>
      <c r="F387" s="9" t="n"/>
      <c r="H387" s="8" t="n"/>
    </row>
    <row r="388">
      <c r="A388" s="5" t="n"/>
      <c r="D388" s="10" t="n"/>
      <c r="F388" s="9" t="n"/>
      <c r="H388" s="8" t="n"/>
    </row>
    <row r="389">
      <c r="A389" s="5" t="n"/>
      <c r="D389" s="10" t="n"/>
      <c r="F389" s="9" t="n"/>
      <c r="H389" s="8" t="n"/>
    </row>
    <row r="390">
      <c r="A390" s="5" t="n"/>
      <c r="D390" s="10" t="n"/>
      <c r="F390" s="9" t="n"/>
      <c r="H390" s="8" t="n"/>
    </row>
    <row r="391">
      <c r="A391" s="5" t="n"/>
      <c r="D391" s="10" t="n"/>
      <c r="F391" s="9" t="n"/>
      <c r="H391" s="8" t="n"/>
    </row>
    <row r="392">
      <c r="A392" s="5" t="n"/>
      <c r="D392" s="10" t="n"/>
      <c r="F392" s="9" t="n"/>
      <c r="H392" s="8" t="n"/>
    </row>
    <row r="393">
      <c r="A393" s="5" t="n"/>
      <c r="D393" s="10" t="n"/>
      <c r="F393" s="9" t="n"/>
      <c r="H393" s="8" t="n"/>
    </row>
    <row r="394">
      <c r="A394" s="5" t="n"/>
      <c r="D394" s="10" t="n"/>
      <c r="F394" s="9" t="n"/>
      <c r="H394" s="8" t="n"/>
    </row>
    <row r="395">
      <c r="A395" s="5" t="n"/>
      <c r="D395" s="10" t="n"/>
      <c r="F395" s="9" t="n"/>
      <c r="H395" s="8" t="n"/>
    </row>
    <row r="396">
      <c r="A396" s="5" t="n"/>
      <c r="D396" s="10" t="n"/>
      <c r="F396" s="9" t="n"/>
      <c r="H396" s="8" t="n"/>
    </row>
    <row r="397">
      <c r="A397" s="5" t="n"/>
      <c r="D397" s="10" t="n"/>
      <c r="F397" s="9" t="n"/>
      <c r="H397" s="8" t="n"/>
    </row>
    <row r="398">
      <c r="A398" s="5" t="n"/>
      <c r="D398" s="10" t="n"/>
      <c r="F398" s="9" t="n"/>
      <c r="H398" s="8" t="n"/>
    </row>
    <row r="399">
      <c r="A399" s="5" t="n"/>
      <c r="D399" s="10" t="n"/>
      <c r="F399" s="9" t="n"/>
      <c r="H399" s="8" t="n"/>
    </row>
    <row r="400">
      <c r="A400" s="5" t="n"/>
      <c r="D400" s="10" t="n"/>
      <c r="F400" s="9" t="n"/>
      <c r="H400" s="8" t="n"/>
    </row>
    <row r="401">
      <c r="A401" s="5" t="n"/>
      <c r="D401" s="10" t="n"/>
      <c r="F401" s="9" t="n"/>
      <c r="H401" s="8" t="n"/>
    </row>
    <row r="402">
      <c r="A402" s="5" t="n"/>
      <c r="D402" s="10" t="n"/>
      <c r="F402" s="9" t="n"/>
      <c r="H402" s="8" t="n"/>
    </row>
    <row r="403">
      <c r="A403" s="5" t="n"/>
      <c r="D403" s="10" t="n"/>
      <c r="F403" s="9" t="n"/>
      <c r="H403" s="8" t="n"/>
    </row>
    <row r="404">
      <c r="A404" s="5" t="n"/>
      <c r="D404" s="10" t="n"/>
      <c r="F404" s="9" t="n"/>
      <c r="H404" s="8" t="n"/>
    </row>
    <row r="405">
      <c r="A405" s="5" t="n"/>
      <c r="D405" s="10" t="n"/>
      <c r="F405" s="9" t="n"/>
      <c r="H405" s="8" t="n"/>
    </row>
    <row r="406">
      <c r="A406" s="5" t="n"/>
      <c r="D406" s="10" t="n"/>
      <c r="F406" s="9" t="n"/>
      <c r="H406" s="8" t="n"/>
    </row>
    <row r="407">
      <c r="A407" s="5" t="n"/>
      <c r="D407" s="10" t="n"/>
      <c r="F407" s="9" t="n"/>
      <c r="H407" s="8" t="n"/>
    </row>
    <row r="408">
      <c r="A408" s="5" t="n"/>
      <c r="D408" s="10" t="n"/>
      <c r="F408" s="9" t="n"/>
      <c r="H408" s="8" t="n"/>
    </row>
    <row r="409">
      <c r="A409" s="5" t="n"/>
      <c r="D409" s="10" t="n"/>
      <c r="F409" s="9" t="n"/>
      <c r="H409" s="8" t="n"/>
    </row>
    <row r="410">
      <c r="A410" s="5" t="n"/>
      <c r="D410" s="10" t="n"/>
      <c r="F410" s="9" t="n"/>
      <c r="H410" s="8" t="n"/>
    </row>
    <row r="411">
      <c r="A411" s="5" t="n"/>
      <c r="D411" s="10" t="n"/>
      <c r="F411" s="9" t="n"/>
      <c r="H411" s="8" t="n"/>
    </row>
    <row r="412">
      <c r="A412" s="5" t="n"/>
      <c r="D412" s="10" t="n"/>
      <c r="F412" s="9" t="n"/>
      <c r="H412" s="8" t="n"/>
    </row>
    <row r="413">
      <c r="A413" s="5" t="n"/>
      <c r="D413" s="10" t="n"/>
      <c r="F413" s="9" t="n"/>
      <c r="H413" s="8" t="n"/>
    </row>
    <row r="414">
      <c r="A414" s="5" t="n"/>
      <c r="D414" s="10" t="n"/>
      <c r="F414" s="9" t="n"/>
      <c r="H414" s="8" t="n"/>
    </row>
    <row r="415">
      <c r="A415" s="5" t="n"/>
      <c r="D415" s="10" t="n"/>
      <c r="F415" s="9" t="n"/>
      <c r="H415" s="8" t="n"/>
    </row>
    <row r="416">
      <c r="A416" s="5" t="n"/>
      <c r="D416" s="10" t="n"/>
      <c r="F416" s="9" t="n"/>
      <c r="H416" s="8" t="n"/>
    </row>
    <row r="417">
      <c r="A417" s="5" t="n"/>
      <c r="D417" s="10" t="n"/>
      <c r="F417" s="9" t="n"/>
      <c r="H417" s="8" t="n"/>
    </row>
    <row r="418">
      <c r="A418" s="5" t="n"/>
      <c r="D418" s="10" t="n"/>
      <c r="F418" s="9" t="n"/>
      <c r="H418" s="8" t="n"/>
    </row>
    <row r="419">
      <c r="A419" s="5" t="n"/>
      <c r="D419" s="10" t="n"/>
      <c r="F419" s="9" t="n"/>
      <c r="H419" s="8" t="n"/>
    </row>
    <row r="420">
      <c r="A420" s="5" t="n"/>
      <c r="D420" s="10" t="n"/>
      <c r="F420" s="9" t="n"/>
      <c r="H420" s="8" t="n"/>
    </row>
    <row r="421">
      <c r="A421" s="5" t="n"/>
      <c r="D421" s="10" t="n"/>
      <c r="F421" s="9" t="n"/>
      <c r="H421" s="8" t="n"/>
    </row>
    <row r="422">
      <c r="A422" s="5" t="n"/>
      <c r="D422" s="10" t="n"/>
      <c r="F422" s="9" t="n"/>
      <c r="H422" s="8" t="n"/>
    </row>
    <row r="423">
      <c r="A423" s="5" t="n"/>
      <c r="D423" s="10" t="n"/>
      <c r="F423" s="9" t="n"/>
      <c r="H423" s="8" t="n"/>
    </row>
    <row r="424">
      <c r="A424" s="5" t="n"/>
      <c r="D424" s="10" t="n"/>
      <c r="F424" s="9" t="n"/>
      <c r="H424" s="8" t="n"/>
    </row>
    <row r="425">
      <c r="A425" s="5" t="n"/>
      <c r="D425" s="10" t="n"/>
      <c r="F425" s="9" t="n"/>
      <c r="H425" s="8" t="n"/>
    </row>
    <row r="426">
      <c r="A426" s="5" t="n"/>
      <c r="D426" s="10" t="n"/>
      <c r="F426" s="9" t="n"/>
      <c r="H426" s="8" t="n"/>
    </row>
    <row r="427">
      <c r="A427" s="5" t="n"/>
      <c r="D427" s="10" t="n"/>
      <c r="F427" s="9" t="n"/>
      <c r="H427" s="8" t="n"/>
    </row>
    <row r="428">
      <c r="A428" s="5" t="n"/>
      <c r="D428" s="10" t="n"/>
      <c r="F428" s="9" t="n"/>
      <c r="H428" s="8" t="n"/>
    </row>
    <row r="429">
      <c r="A429" s="5" t="n"/>
      <c r="D429" s="10" t="n"/>
      <c r="F429" s="9" t="n"/>
      <c r="H429" s="8" t="n"/>
    </row>
    <row r="430">
      <c r="A430" s="5" t="n"/>
      <c r="D430" s="10" t="n"/>
      <c r="F430" s="9" t="n"/>
      <c r="H430" s="8" t="n"/>
    </row>
    <row r="431">
      <c r="A431" s="7" t="n"/>
      <c r="D431" s="10" t="n"/>
      <c r="F431" s="9" t="n"/>
      <c r="H431" s="8" t="n"/>
    </row>
    <row r="432">
      <c r="D432" s="10" t="n"/>
      <c r="F432" s="9" t="n"/>
      <c r="H432" s="8" t="n"/>
    </row>
    <row r="433">
      <c r="D433" s="10" t="n"/>
      <c r="F433" s="9" t="n"/>
      <c r="H433" s="8" t="n"/>
    </row>
    <row r="434">
      <c r="D434" s="10" t="n"/>
      <c r="F434" s="9" t="n"/>
      <c r="H434" s="8" t="n"/>
    </row>
    <row r="435">
      <c r="A435" s="3" t="n"/>
      <c r="D435" s="10" t="n"/>
      <c r="F435" s="9" t="n"/>
      <c r="H435" s="8" t="n"/>
    </row>
    <row r="436">
      <c r="A436" s="3" t="n"/>
      <c r="D436" s="10" t="n"/>
      <c r="F436" s="9" t="n"/>
      <c r="H436" s="8" t="n"/>
    </row>
    <row r="437">
      <c r="A437" s="5" t="n"/>
      <c r="D437" s="10" t="n"/>
      <c r="F437" s="9" t="n"/>
      <c r="H437" s="8" t="n"/>
    </row>
    <row r="438">
      <c r="A438" s="5" t="n"/>
      <c r="D438" s="10" t="n"/>
      <c r="F438" s="9" t="n"/>
      <c r="H438" s="8" t="n"/>
    </row>
    <row r="439">
      <c r="A439" s="5" t="n"/>
      <c r="D439" s="10" t="n"/>
      <c r="F439" s="9" t="n"/>
      <c r="H439" s="8" t="n"/>
    </row>
    <row r="440">
      <c r="A440" s="5" t="n"/>
      <c r="D440" s="10" t="n"/>
      <c r="F440" s="9" t="n"/>
      <c r="H440" s="8" t="n"/>
    </row>
    <row r="441">
      <c r="A441" s="5" t="n"/>
      <c r="D441" s="10" t="n"/>
      <c r="F441" s="9" t="n"/>
      <c r="H441" s="8" t="n"/>
    </row>
    <row r="442">
      <c r="A442" s="5" t="n"/>
      <c r="D442" s="10" t="n"/>
      <c r="F442" s="9" t="n"/>
      <c r="H442" s="8" t="n"/>
    </row>
    <row r="443">
      <c r="A443" s="5" t="n"/>
      <c r="D443" s="10" t="n"/>
      <c r="F443" s="9" t="n"/>
      <c r="H443" s="8" t="n"/>
    </row>
    <row r="444">
      <c r="A444" s="5" t="n"/>
      <c r="D444" s="10" t="n"/>
      <c r="F444" s="9" t="n"/>
      <c r="H444" s="8" t="n"/>
    </row>
    <row r="445">
      <c r="A445" s="5" t="n"/>
      <c r="D445" s="10" t="n"/>
      <c r="F445" s="9" t="n"/>
      <c r="H445" s="8" t="n"/>
    </row>
    <row r="446">
      <c r="A446" s="5" t="n"/>
      <c r="D446" s="10" t="n"/>
      <c r="F446" s="9" t="n"/>
      <c r="H446" s="8" t="n"/>
    </row>
    <row r="447">
      <c r="A447" s="5" t="n"/>
      <c r="D447" s="10" t="n"/>
      <c r="F447" s="9" t="n"/>
      <c r="H447" s="8" t="n"/>
    </row>
    <row r="448">
      <c r="A448" s="5" t="n"/>
      <c r="D448" s="10" t="n"/>
      <c r="F448" s="9" t="n"/>
      <c r="H448" s="8" t="n"/>
    </row>
    <row r="449">
      <c r="A449" s="5" t="n"/>
      <c r="D449" s="10" t="n"/>
      <c r="F449" s="9" t="n"/>
      <c r="H449" s="8" t="n"/>
    </row>
    <row r="450">
      <c r="A450" s="5" t="n"/>
      <c r="D450" s="10" t="n"/>
      <c r="F450" s="9" t="n"/>
      <c r="H450" s="8" t="n"/>
    </row>
    <row r="451">
      <c r="A451" s="5" t="n"/>
      <c r="D451" s="10" t="n"/>
      <c r="F451" s="9" t="n"/>
      <c r="H451" s="8" t="n"/>
    </row>
    <row r="452">
      <c r="A452" s="5" t="n"/>
      <c r="D452" s="10" t="n"/>
      <c r="F452" s="9" t="n"/>
      <c r="H452" s="8" t="n"/>
    </row>
    <row r="453">
      <c r="A453" s="5" t="n"/>
      <c r="D453" s="10" t="n"/>
      <c r="F453" s="9" t="n"/>
      <c r="H453" s="8" t="n"/>
    </row>
    <row r="454">
      <c r="A454" s="5" t="n"/>
      <c r="D454" s="10" t="n"/>
      <c r="F454" s="9" t="n"/>
      <c r="H454" s="8" t="n"/>
    </row>
    <row r="455">
      <c r="A455" s="5" t="n"/>
      <c r="D455" s="10" t="n"/>
      <c r="F455" s="9" t="n"/>
      <c r="H455" s="8" t="n"/>
    </row>
    <row r="456">
      <c r="A456" s="5" t="n"/>
      <c r="D456" s="10" t="n"/>
      <c r="F456" s="9" t="n"/>
      <c r="H456" s="8" t="n"/>
    </row>
    <row r="457">
      <c r="A457" s="5" t="n"/>
      <c r="D457" s="10" t="n"/>
      <c r="F457" s="9" t="n"/>
      <c r="H457" s="8" t="n"/>
    </row>
    <row r="458">
      <c r="A458" s="5" t="n"/>
      <c r="D458" s="10" t="n"/>
      <c r="F458" s="9" t="n"/>
      <c r="H458" s="8" t="n"/>
    </row>
    <row r="459">
      <c r="A459" s="5" t="n"/>
      <c r="D459" s="10" t="n"/>
      <c r="F459" s="9" t="n"/>
      <c r="H459" s="8" t="n"/>
    </row>
    <row r="460">
      <c r="A460" s="5" t="n"/>
      <c r="D460" s="10" t="n"/>
      <c r="F460" s="9" t="n"/>
      <c r="H460" s="8" t="n"/>
    </row>
    <row r="461">
      <c r="A461" s="5" t="n"/>
      <c r="D461" s="10" t="n"/>
      <c r="F461" s="9" t="n"/>
      <c r="H461" s="8" t="n"/>
    </row>
    <row r="462">
      <c r="A462" s="5" t="n"/>
      <c r="D462" s="10" t="n"/>
      <c r="F462" s="9" t="n"/>
      <c r="H462" s="8" t="n"/>
    </row>
    <row r="463">
      <c r="A463" s="5" t="n"/>
      <c r="D463" s="10" t="n"/>
      <c r="F463" s="9" t="n"/>
      <c r="H463" s="8" t="n"/>
    </row>
    <row r="464">
      <c r="A464" s="5" t="n"/>
      <c r="D464" s="10" t="n"/>
      <c r="F464" s="9" t="n"/>
      <c r="H464" s="8" t="n"/>
    </row>
    <row r="465">
      <c r="A465" s="5" t="n"/>
      <c r="D465" s="10" t="n"/>
      <c r="F465" s="9" t="n"/>
      <c r="H465" s="8" t="n"/>
    </row>
    <row r="466">
      <c r="A466" s="5" t="n"/>
      <c r="D466" s="10" t="n"/>
      <c r="F466" s="9" t="n"/>
      <c r="H466" s="8" t="n"/>
    </row>
    <row r="467">
      <c r="A467" s="5" t="n"/>
      <c r="D467" s="10" t="n"/>
      <c r="F467" s="9" t="n"/>
      <c r="H467" s="8" t="n"/>
    </row>
    <row r="468">
      <c r="A468" s="5" t="n"/>
      <c r="D468" s="10" t="n"/>
      <c r="F468" s="9" t="n"/>
      <c r="H468" s="8" t="n"/>
    </row>
    <row r="469">
      <c r="A469" s="5" t="n"/>
      <c r="D469" s="10" t="n"/>
      <c r="F469" s="9" t="n"/>
      <c r="H469" s="8" t="n"/>
    </row>
    <row r="470">
      <c r="A470" s="5" t="n"/>
      <c r="D470" s="10" t="n"/>
      <c r="F470" s="9" t="n"/>
      <c r="H470" s="8" t="n"/>
    </row>
    <row r="471">
      <c r="A471" s="5" t="n"/>
      <c r="D471" s="10" t="n"/>
      <c r="F471" s="9" t="n"/>
      <c r="H471" s="8" t="n"/>
    </row>
    <row r="472">
      <c r="A472" s="5" t="n"/>
      <c r="D472" s="10" t="n"/>
      <c r="F472" s="9" t="n"/>
      <c r="H472" s="8" t="n"/>
    </row>
    <row r="473">
      <c r="A473" s="5" t="n"/>
      <c r="D473" s="10" t="n"/>
      <c r="F473" s="9" t="n"/>
      <c r="H473" s="8" t="n"/>
    </row>
    <row r="474">
      <c r="A474" s="5" t="n"/>
      <c r="D474" s="10" t="n"/>
      <c r="F474" s="9" t="n"/>
      <c r="H474" s="8" t="n"/>
    </row>
    <row r="475">
      <c r="A475" s="5" t="n"/>
      <c r="D475" s="10" t="n"/>
      <c r="F475" s="9" t="n"/>
      <c r="H475" s="8" t="n"/>
    </row>
    <row r="476">
      <c r="A476" s="5" t="n"/>
      <c r="D476" s="10" t="n"/>
      <c r="F476" s="9" t="n"/>
      <c r="H476" s="8" t="n"/>
    </row>
    <row r="477">
      <c r="A477" s="5" t="n"/>
      <c r="D477" s="10" t="n"/>
      <c r="F477" s="9" t="n"/>
      <c r="H477" s="8" t="n"/>
    </row>
    <row r="478">
      <c r="A478" s="5" t="n"/>
      <c r="D478" s="10" t="n"/>
      <c r="F478" s="9" t="n"/>
      <c r="H478" s="8" t="n"/>
    </row>
    <row r="479">
      <c r="A479" s="5" t="n"/>
      <c r="D479" s="10" t="n"/>
      <c r="F479" s="9" t="n"/>
      <c r="H479" s="8" t="n"/>
    </row>
    <row r="480">
      <c r="A480" s="5" t="n"/>
      <c r="D480" s="10" t="n"/>
      <c r="F480" s="9" t="n"/>
      <c r="H480" s="8" t="n"/>
    </row>
    <row r="481">
      <c r="A481" s="5" t="n"/>
      <c r="D481" s="10" t="n"/>
      <c r="F481" s="9" t="n"/>
      <c r="H481" s="8" t="n"/>
    </row>
    <row r="482">
      <c r="A482" s="5" t="n"/>
      <c r="D482" s="10" t="n"/>
      <c r="F482" s="9" t="n"/>
      <c r="H482" s="8" t="n"/>
    </row>
    <row r="483">
      <c r="A483" s="5" t="n"/>
      <c r="D483" s="10" t="n"/>
      <c r="F483" s="9" t="n"/>
      <c r="H483" s="8" t="n"/>
    </row>
    <row r="484">
      <c r="A484" s="5" t="n"/>
      <c r="D484" s="10" t="n"/>
      <c r="F484" s="9" t="n"/>
      <c r="H484" s="8" t="n"/>
    </row>
    <row r="485">
      <c r="A485" s="5" t="n"/>
      <c r="D485" s="10" t="n"/>
      <c r="F485" s="9" t="n"/>
      <c r="H485" s="8" t="n"/>
    </row>
    <row r="486">
      <c r="A486" s="5" t="n"/>
      <c r="D486" s="10" t="n"/>
      <c r="F486" s="9" t="n"/>
      <c r="H486" s="8" t="n"/>
    </row>
    <row r="487">
      <c r="A487" s="5" t="n"/>
      <c r="D487" s="10" t="n"/>
      <c r="F487" s="9" t="n"/>
      <c r="H487" s="8" t="n"/>
    </row>
    <row r="488">
      <c r="A488" s="5" t="n"/>
      <c r="D488" s="10" t="n"/>
      <c r="F488" s="9" t="n"/>
      <c r="H488" s="8" t="n"/>
    </row>
    <row r="489">
      <c r="A489" s="5" t="n"/>
      <c r="D489" s="10" t="n"/>
      <c r="F489" s="9" t="n"/>
      <c r="H489" s="8" t="n"/>
    </row>
    <row r="490">
      <c r="A490" s="5" t="n"/>
      <c r="D490" s="10" t="n"/>
      <c r="F490" s="9" t="n"/>
      <c r="H490" s="8" t="n"/>
    </row>
    <row r="491">
      <c r="A491" s="5" t="n"/>
      <c r="D491" s="10" t="n"/>
      <c r="F491" s="9" t="n"/>
      <c r="H491" s="8" t="n"/>
    </row>
    <row r="492">
      <c r="A492" s="5" t="n"/>
      <c r="D492" s="10" t="n"/>
      <c r="F492" s="9" t="n"/>
      <c r="H492" s="8" t="n"/>
    </row>
    <row r="493">
      <c r="A493" s="5" t="n"/>
      <c r="D493" s="10" t="n"/>
      <c r="F493" s="9" t="n"/>
      <c r="H493" s="8" t="n"/>
    </row>
    <row r="494">
      <c r="A494" s="5" t="n"/>
      <c r="D494" s="10" t="n"/>
      <c r="F494" s="9" t="n"/>
      <c r="H494" s="8" t="n"/>
    </row>
    <row r="495">
      <c r="A495" s="5" t="n"/>
      <c r="D495" s="10" t="n"/>
      <c r="F495" s="9" t="n"/>
      <c r="H495" s="8" t="n"/>
    </row>
    <row r="496">
      <c r="A496" s="5" t="n"/>
      <c r="D496" s="10" t="n"/>
      <c r="F496" s="9" t="n"/>
      <c r="H496" s="8" t="n"/>
    </row>
    <row r="497">
      <c r="A497" s="5" t="n"/>
      <c r="D497" s="10" t="n"/>
      <c r="F497" s="9" t="n"/>
      <c r="H497" s="8" t="n"/>
    </row>
    <row r="498">
      <c r="A498" s="5" t="n"/>
      <c r="D498" s="10" t="n"/>
      <c r="F498" s="9" t="n"/>
      <c r="H498" s="8" t="n"/>
    </row>
    <row r="499">
      <c r="A499" s="5" t="n"/>
      <c r="D499" s="10" t="n"/>
      <c r="F499" s="9" t="n"/>
      <c r="H499" s="8" t="n"/>
    </row>
    <row r="500">
      <c r="A500" s="5" t="n"/>
      <c r="D500" s="10" t="n"/>
      <c r="F500" s="9" t="n"/>
      <c r="H500" s="8" t="n"/>
    </row>
    <row r="501">
      <c r="A501" s="5" t="n"/>
      <c r="D501" s="10" t="n"/>
      <c r="F501" s="9" t="n"/>
      <c r="H501" s="8" t="n"/>
    </row>
    <row r="502">
      <c r="A502" s="5" t="n"/>
      <c r="D502" s="10" t="n"/>
      <c r="F502" s="9" t="n"/>
      <c r="H502" s="8" t="n"/>
    </row>
    <row r="503">
      <c r="A503" s="5" t="n"/>
      <c r="D503" s="10" t="n"/>
      <c r="F503" s="9" t="n"/>
      <c r="H503" s="8" t="n"/>
    </row>
    <row r="504">
      <c r="A504" s="7" t="n"/>
      <c r="D504" s="10" t="n"/>
      <c r="F504" s="9" t="n"/>
      <c r="H504" s="8" t="n"/>
    </row>
    <row r="505">
      <c r="D505" s="10" t="n"/>
      <c r="F505" s="9" t="n"/>
      <c r="H505" s="8" t="n"/>
    </row>
    <row r="506">
      <c r="D506" s="10" t="n"/>
      <c r="F506" s="9" t="n"/>
      <c r="H506" s="8" t="n"/>
    </row>
    <row r="507">
      <c r="D507" s="10" t="n"/>
      <c r="F507" s="9" t="n"/>
      <c r="H507" s="8" t="n"/>
    </row>
    <row r="508">
      <c r="A508" s="3" t="n"/>
      <c r="D508" s="10" t="n"/>
      <c r="F508" s="9" t="n"/>
      <c r="H508" s="8" t="n"/>
    </row>
    <row r="509">
      <c r="A509" s="3" t="n"/>
      <c r="D509" s="10" t="n"/>
      <c r="F509" s="9" t="n"/>
      <c r="H509" s="8" t="n"/>
    </row>
    <row r="510">
      <c r="A510" s="5" t="n"/>
      <c r="D510" s="10" t="n"/>
      <c r="F510" s="9" t="n"/>
      <c r="H510" s="8" t="n"/>
    </row>
    <row r="511">
      <c r="A511" s="5" t="n"/>
      <c r="D511" s="10" t="n"/>
      <c r="F511" s="9" t="n"/>
      <c r="H511" s="8" t="n"/>
    </row>
    <row r="512">
      <c r="A512" s="5" t="n"/>
      <c r="D512" s="10" t="n"/>
      <c r="F512" s="9" t="n"/>
      <c r="H512" s="8" t="n"/>
    </row>
    <row r="513">
      <c r="A513" s="5" t="n"/>
      <c r="D513" s="10" t="n"/>
      <c r="F513" s="9" t="n"/>
      <c r="H513" s="8" t="n"/>
    </row>
    <row r="514">
      <c r="A514" s="5" t="n"/>
      <c r="D514" s="10" t="n"/>
      <c r="F514" s="9" t="n"/>
      <c r="H514" s="8" t="n"/>
    </row>
    <row r="515">
      <c r="A515" s="5" t="n"/>
      <c r="D515" s="10" t="n"/>
      <c r="F515" s="9" t="n"/>
      <c r="H515" s="8" t="n"/>
    </row>
    <row r="516">
      <c r="A516" s="5" t="n"/>
      <c r="D516" s="10" t="n"/>
      <c r="F516" s="9" t="n"/>
      <c r="H516" s="8" t="n"/>
    </row>
    <row r="517">
      <c r="A517" s="5" t="n"/>
      <c r="D517" s="10" t="n"/>
      <c r="F517" s="9" t="n"/>
      <c r="H517" s="8" t="n"/>
    </row>
    <row r="518">
      <c r="A518" s="5" t="n"/>
      <c r="D518" s="10" t="n"/>
      <c r="F518" s="9" t="n"/>
      <c r="H518" s="8" t="n"/>
    </row>
    <row r="519">
      <c r="A519" s="5" t="n"/>
      <c r="D519" s="10" t="n"/>
      <c r="F519" s="9" t="n"/>
      <c r="H519" s="8" t="n"/>
    </row>
    <row r="520">
      <c r="A520" s="5" t="n"/>
      <c r="D520" s="10" t="n"/>
      <c r="F520" s="9" t="n"/>
      <c r="H520" s="8" t="n"/>
    </row>
    <row r="521">
      <c r="A521" s="5" t="n"/>
      <c r="D521" s="10" t="n"/>
      <c r="F521" s="9" t="n"/>
      <c r="H521" s="8" t="n"/>
    </row>
    <row r="522">
      <c r="A522" s="5" t="n"/>
      <c r="D522" s="10" t="n"/>
      <c r="F522" s="9" t="n"/>
      <c r="H522" s="8" t="n"/>
    </row>
    <row r="523">
      <c r="A523" s="5" t="n"/>
      <c r="D523" s="10" t="n"/>
      <c r="F523" s="9" t="n"/>
      <c r="H523" s="8" t="n"/>
    </row>
    <row r="524">
      <c r="A524" s="5" t="n"/>
      <c r="D524" s="10" t="n"/>
      <c r="F524" s="9" t="n"/>
      <c r="H524" s="8" t="n"/>
    </row>
    <row r="525">
      <c r="A525" s="5" t="n"/>
      <c r="D525" s="10" t="n"/>
      <c r="F525" s="9" t="n"/>
      <c r="H525" s="8" t="n"/>
    </row>
    <row r="526">
      <c r="A526" s="5" t="n"/>
      <c r="D526" s="10" t="n"/>
      <c r="F526" s="9" t="n"/>
      <c r="H526" s="8" t="n"/>
    </row>
    <row r="527">
      <c r="A527" s="5" t="n"/>
      <c r="D527" s="10" t="n"/>
      <c r="F527" s="9" t="n"/>
      <c r="H527" s="8" t="n"/>
    </row>
    <row r="528">
      <c r="A528" s="5" t="n"/>
      <c r="D528" s="10" t="n"/>
      <c r="F528" s="9" t="n"/>
      <c r="H528" s="8" t="n"/>
    </row>
    <row r="529">
      <c r="A529" s="5" t="n"/>
      <c r="D529" s="10" t="n"/>
      <c r="F529" s="9" t="n"/>
      <c r="H529" s="8" t="n"/>
    </row>
    <row r="530">
      <c r="A530" s="5" t="n"/>
      <c r="D530" s="10" t="n"/>
      <c r="F530" s="9" t="n"/>
      <c r="H530" s="8" t="n"/>
    </row>
    <row r="531">
      <c r="A531" s="5" t="n"/>
      <c r="D531" s="10" t="n"/>
      <c r="F531" s="9" t="n"/>
      <c r="H531" s="8" t="n"/>
    </row>
    <row r="532">
      <c r="A532" s="5" t="n"/>
      <c r="D532" s="10" t="n"/>
      <c r="F532" s="9" t="n"/>
      <c r="H532" s="8" t="n"/>
    </row>
    <row r="533">
      <c r="A533" s="5" t="n"/>
      <c r="D533" s="10" t="n"/>
      <c r="F533" s="9" t="n"/>
      <c r="H533" s="8" t="n"/>
    </row>
    <row r="534">
      <c r="A534" s="5" t="n"/>
      <c r="D534" s="10" t="n"/>
      <c r="F534" s="9" t="n"/>
      <c r="H534" s="8" t="n"/>
    </row>
    <row r="535">
      <c r="A535" s="5" t="n"/>
      <c r="D535" s="10" t="n"/>
      <c r="F535" s="9" t="n"/>
      <c r="H535" s="8" t="n"/>
    </row>
    <row r="536">
      <c r="A536" s="5" t="n"/>
      <c r="D536" s="10" t="n"/>
      <c r="F536" s="9" t="n"/>
      <c r="H536" s="8" t="n"/>
    </row>
    <row r="537">
      <c r="A537" s="5" t="n"/>
      <c r="D537" s="10" t="n"/>
      <c r="F537" s="9" t="n"/>
      <c r="H537" s="8" t="n"/>
    </row>
    <row r="538">
      <c r="A538" s="5" t="n"/>
      <c r="D538" s="10" t="n"/>
      <c r="F538" s="9" t="n"/>
      <c r="H538" s="8" t="n"/>
    </row>
    <row r="539">
      <c r="A539" s="5" t="n"/>
      <c r="D539" s="10" t="n"/>
      <c r="F539" s="9" t="n"/>
      <c r="H539" s="8" t="n"/>
    </row>
    <row r="540">
      <c r="A540" s="5" t="n"/>
      <c r="D540" s="10" t="n"/>
      <c r="F540" s="9" t="n"/>
      <c r="H540" s="8" t="n"/>
    </row>
    <row r="541">
      <c r="A541" s="5" t="n"/>
      <c r="D541" s="10" t="n"/>
      <c r="F541" s="9" t="n"/>
      <c r="H541" s="8" t="n"/>
    </row>
    <row r="542">
      <c r="A542" s="5" t="n"/>
      <c r="D542" s="10" t="n"/>
      <c r="F542" s="9" t="n"/>
      <c r="H542" s="8" t="n"/>
    </row>
    <row r="543">
      <c r="A543" s="5" t="n"/>
      <c r="D543" s="10" t="n"/>
      <c r="F543" s="9" t="n"/>
      <c r="H543" s="8" t="n"/>
    </row>
    <row r="544">
      <c r="A544" s="5" t="n"/>
      <c r="D544" s="10" t="n"/>
      <c r="F544" s="9" t="n"/>
      <c r="H544" s="8" t="n"/>
    </row>
    <row r="545">
      <c r="A545" s="5" t="n"/>
      <c r="D545" s="10" t="n"/>
      <c r="F545" s="9" t="n"/>
      <c r="H545" s="8" t="n"/>
    </row>
    <row r="546">
      <c r="A546" s="5" t="n"/>
      <c r="D546" s="10" t="n"/>
      <c r="F546" s="9" t="n"/>
      <c r="H546" s="8" t="n"/>
    </row>
    <row r="547">
      <c r="A547" s="5" t="n"/>
      <c r="D547" s="10" t="n"/>
      <c r="F547" s="9" t="n"/>
      <c r="H547" s="8" t="n"/>
    </row>
    <row r="548">
      <c r="A548" s="5" t="n"/>
      <c r="D548" s="10" t="n"/>
      <c r="F548" s="9" t="n"/>
      <c r="H548" s="8" t="n"/>
    </row>
    <row r="549">
      <c r="A549" s="5" t="n"/>
      <c r="D549" s="10" t="n"/>
      <c r="F549" s="9" t="n"/>
      <c r="H549" s="8" t="n"/>
    </row>
    <row r="550">
      <c r="A550" s="5" t="n"/>
      <c r="D550" s="10" t="n"/>
      <c r="F550" s="9" t="n"/>
      <c r="H550" s="8" t="n"/>
    </row>
    <row r="551">
      <c r="A551" s="5" t="n"/>
      <c r="D551" s="10" t="n"/>
      <c r="F551" s="9" t="n"/>
      <c r="H551" s="8" t="n"/>
    </row>
    <row r="552">
      <c r="A552" s="5" t="n"/>
      <c r="D552" s="10" t="n"/>
      <c r="F552" s="9" t="n"/>
      <c r="H552" s="8" t="n"/>
    </row>
    <row r="553">
      <c r="A553" s="5" t="n"/>
      <c r="D553" s="10" t="n"/>
      <c r="F553" s="9" t="n"/>
      <c r="H553" s="8" t="n"/>
    </row>
    <row r="554">
      <c r="A554" s="5" t="n"/>
      <c r="D554" s="10" t="n"/>
      <c r="F554" s="9" t="n"/>
      <c r="H554" s="8" t="n"/>
    </row>
    <row r="555">
      <c r="A555" s="5" t="n"/>
      <c r="D555" s="10" t="n"/>
      <c r="F555" s="9" t="n"/>
      <c r="H555" s="8" t="n"/>
    </row>
    <row r="556">
      <c r="A556" s="5" t="n"/>
      <c r="D556" s="10" t="n"/>
      <c r="F556" s="9" t="n"/>
      <c r="H556" s="8" t="n"/>
    </row>
    <row r="557">
      <c r="A557" s="5" t="n"/>
      <c r="D557" s="10" t="n"/>
      <c r="F557" s="9" t="n"/>
      <c r="H557" s="8" t="n"/>
    </row>
    <row r="558">
      <c r="A558" s="5" t="n"/>
      <c r="D558" s="10" t="n"/>
      <c r="F558" s="9" t="n"/>
      <c r="H558" s="8" t="n"/>
    </row>
    <row r="559">
      <c r="A559" s="5" t="n"/>
      <c r="D559" s="10" t="n"/>
      <c r="F559" s="9" t="n"/>
      <c r="H559" s="8" t="n"/>
    </row>
    <row r="560">
      <c r="A560" s="5" t="n"/>
      <c r="D560" s="10" t="n"/>
      <c r="F560" s="9" t="n"/>
      <c r="H560" s="8" t="n"/>
    </row>
    <row r="561">
      <c r="A561" s="5" t="n"/>
      <c r="D561" s="10" t="n"/>
      <c r="F561" s="9" t="n"/>
      <c r="H561" s="8" t="n"/>
    </row>
    <row r="562">
      <c r="A562" s="5" t="n"/>
      <c r="D562" s="10" t="n"/>
      <c r="F562" s="9" t="n"/>
      <c r="H562" s="8" t="n"/>
    </row>
    <row r="563">
      <c r="A563" s="5" t="n"/>
      <c r="D563" s="10" t="n"/>
      <c r="F563" s="9" t="n"/>
      <c r="H563" s="8" t="n"/>
    </row>
    <row r="564">
      <c r="A564" s="5" t="n"/>
      <c r="D564" s="10" t="n"/>
      <c r="F564" s="9" t="n"/>
      <c r="H564" s="8" t="n"/>
    </row>
    <row r="565">
      <c r="A565" s="5" t="n"/>
      <c r="D565" s="10" t="n"/>
      <c r="F565" s="9" t="n"/>
      <c r="H565" s="8" t="n"/>
    </row>
    <row r="566">
      <c r="A566" s="5" t="n"/>
      <c r="D566" s="10" t="n"/>
      <c r="F566" s="9" t="n"/>
      <c r="H566" s="8" t="n"/>
    </row>
    <row r="567">
      <c r="A567" s="5" t="n"/>
      <c r="D567" s="10" t="n"/>
      <c r="F567" s="9" t="n"/>
      <c r="H567" s="8" t="n"/>
    </row>
    <row r="568">
      <c r="A568" s="5" t="n"/>
      <c r="D568" s="10" t="n"/>
      <c r="F568" s="9" t="n"/>
      <c r="H568" s="8" t="n"/>
    </row>
    <row r="569">
      <c r="A569" s="5" t="n"/>
      <c r="D569" s="10" t="n"/>
      <c r="F569" s="9" t="n"/>
      <c r="H569" s="8" t="n"/>
    </row>
    <row r="570">
      <c r="A570" s="5" t="n"/>
      <c r="D570" s="10" t="n"/>
      <c r="F570" s="9" t="n"/>
      <c r="H570" s="8" t="n"/>
    </row>
    <row r="571">
      <c r="A571" s="5" t="n"/>
      <c r="D571" s="10" t="n"/>
      <c r="F571" s="9" t="n"/>
      <c r="H571" s="8" t="n"/>
    </row>
    <row r="572">
      <c r="A572" s="5" t="n"/>
      <c r="D572" s="10" t="n"/>
      <c r="F572" s="9" t="n"/>
      <c r="H572" s="8" t="n"/>
    </row>
    <row r="573">
      <c r="A573" s="5" t="n"/>
      <c r="D573" s="10" t="n"/>
      <c r="F573" s="9" t="n"/>
      <c r="H573" s="8" t="n"/>
    </row>
    <row r="574">
      <c r="A574" s="5" t="n"/>
      <c r="D574" s="10" t="n"/>
      <c r="F574" s="9" t="n"/>
      <c r="H574" s="8" t="n"/>
    </row>
    <row r="575">
      <c r="A575" s="5" t="n"/>
      <c r="D575" s="10" t="n"/>
      <c r="F575" s="9" t="n"/>
      <c r="H575" s="8" t="n"/>
    </row>
    <row r="576">
      <c r="A576" s="5" t="n"/>
      <c r="D576" s="10" t="n"/>
      <c r="F576" s="9" t="n"/>
      <c r="H576" s="8" t="n"/>
    </row>
    <row r="577">
      <c r="A577" s="7" t="n"/>
      <c r="D577" s="10" t="n"/>
      <c r="F577" s="9" t="n"/>
      <c r="H577" s="8" t="n"/>
    </row>
    <row r="578">
      <c r="D578" s="10" t="n"/>
      <c r="F578" s="9" t="n"/>
      <c r="H578" s="8" t="n"/>
    </row>
    <row r="579">
      <c r="D579" s="10" t="n"/>
      <c r="F579" s="9" t="n"/>
      <c r="H579" s="8" t="n"/>
    </row>
    <row r="580">
      <c r="D580" s="10" t="n"/>
      <c r="F580" s="9" t="n"/>
      <c r="H580" s="8" t="n"/>
    </row>
    <row r="581">
      <c r="A581" s="3" t="n"/>
      <c r="D581" s="10" t="n"/>
      <c r="F581" s="9" t="n"/>
      <c r="H581" s="8" t="n"/>
    </row>
    <row r="582">
      <c r="A582" s="3" t="n"/>
      <c r="D582" s="10" t="n"/>
      <c r="F582" s="9" t="n"/>
      <c r="H582" s="8" t="n"/>
    </row>
    <row r="583">
      <c r="A583" s="5" t="n"/>
      <c r="D583" s="10" t="n"/>
      <c r="F583" s="9" t="n"/>
      <c r="H583" s="8" t="n"/>
    </row>
    <row r="584">
      <c r="A584" s="5" t="n"/>
      <c r="D584" s="10" t="n"/>
      <c r="F584" s="9" t="n"/>
      <c r="H584" s="8" t="n"/>
    </row>
    <row r="585">
      <c r="A585" s="5" t="n"/>
      <c r="D585" s="10" t="n"/>
      <c r="F585" s="9" t="n"/>
      <c r="H585" s="8" t="n"/>
    </row>
    <row r="586">
      <c r="A586" s="5" t="n"/>
      <c r="D586" s="10" t="n"/>
      <c r="F586" s="9" t="n"/>
      <c r="H586" s="8" t="n"/>
    </row>
    <row r="587">
      <c r="A587" s="5" t="n"/>
      <c r="D587" s="10" t="n"/>
      <c r="F587" s="9" t="n"/>
      <c r="H587" s="8" t="n"/>
    </row>
    <row r="588">
      <c r="A588" s="5" t="n"/>
      <c r="D588" s="10" t="n"/>
      <c r="F588" s="9" t="n"/>
      <c r="H588" s="8" t="n"/>
    </row>
    <row r="589">
      <c r="A589" s="5" t="n"/>
      <c r="D589" s="10" t="n"/>
      <c r="F589" s="9" t="n"/>
      <c r="H589" s="8" t="n"/>
    </row>
    <row r="590">
      <c r="A590" s="5" t="n"/>
      <c r="D590" s="10" t="n"/>
      <c r="F590" s="9" t="n"/>
      <c r="H590" s="8" t="n"/>
    </row>
    <row r="591">
      <c r="A591" s="5" t="n"/>
      <c r="D591" s="10" t="n"/>
      <c r="F591" s="9" t="n"/>
      <c r="H591" s="8" t="n"/>
    </row>
    <row r="592">
      <c r="A592" s="5" t="n"/>
      <c r="D592" s="10" t="n"/>
      <c r="F592" s="9" t="n"/>
      <c r="H592" s="8" t="n"/>
    </row>
    <row r="593">
      <c r="A593" s="5" t="n"/>
      <c r="D593" s="10" t="n"/>
      <c r="F593" s="9" t="n"/>
      <c r="H593" s="8" t="n"/>
    </row>
    <row r="594">
      <c r="A594" s="5" t="n"/>
      <c r="D594" s="10" t="n"/>
      <c r="F594" s="9" t="n"/>
      <c r="H594" s="8" t="n"/>
    </row>
    <row r="595">
      <c r="A595" s="5" t="n"/>
      <c r="D595" s="10" t="n"/>
      <c r="F595" s="9" t="n"/>
      <c r="H595" s="8" t="n"/>
    </row>
    <row r="596">
      <c r="A596" s="5" t="n"/>
      <c r="D596" s="10" t="n"/>
      <c r="F596" s="9" t="n"/>
      <c r="H596" s="8" t="n"/>
    </row>
    <row r="597">
      <c r="A597" s="5" t="n"/>
      <c r="D597" s="10" t="n"/>
      <c r="F597" s="9" t="n"/>
      <c r="H597" s="8" t="n"/>
    </row>
    <row r="598">
      <c r="A598" s="5" t="n"/>
      <c r="D598" s="10" t="n"/>
      <c r="F598" s="9" t="n"/>
      <c r="H598" s="8" t="n"/>
    </row>
    <row r="599">
      <c r="A599" s="5" t="n"/>
      <c r="D599" s="10" t="n"/>
      <c r="F599" s="9" t="n"/>
      <c r="H599" s="8" t="n"/>
    </row>
    <row r="600">
      <c r="A600" s="5" t="n"/>
      <c r="D600" s="10" t="n"/>
      <c r="F600" s="9" t="n"/>
      <c r="H600" s="8" t="n"/>
    </row>
    <row r="601">
      <c r="A601" s="5" t="n"/>
      <c r="D601" s="10" t="n"/>
      <c r="F601" s="9" t="n"/>
      <c r="H601" s="8" t="n"/>
    </row>
    <row r="602">
      <c r="A602" s="5" t="n"/>
      <c r="D602" s="10" t="n"/>
      <c r="F602" s="9" t="n"/>
      <c r="H602" s="8" t="n"/>
    </row>
    <row r="603">
      <c r="A603" s="5" t="n"/>
      <c r="D603" s="10" t="n"/>
      <c r="F603" s="9" t="n"/>
      <c r="H603" s="8" t="n"/>
    </row>
    <row r="604">
      <c r="A604" s="5" t="n"/>
      <c r="D604" s="10" t="n"/>
      <c r="F604" s="9" t="n"/>
      <c r="H604" s="8" t="n"/>
    </row>
    <row r="605">
      <c r="A605" s="5" t="n"/>
      <c r="D605" s="10" t="n"/>
      <c r="F605" s="9" t="n"/>
      <c r="H605" s="8" t="n"/>
    </row>
    <row r="606">
      <c r="A606" s="5" t="n"/>
      <c r="D606" s="10" t="n"/>
      <c r="F606" s="9" t="n"/>
      <c r="H606" s="8" t="n"/>
    </row>
    <row r="607">
      <c r="A607" s="5" t="n"/>
      <c r="D607" s="10" t="n"/>
      <c r="F607" s="9" t="n"/>
      <c r="H607" s="8" t="n"/>
    </row>
    <row r="608">
      <c r="A608" s="5" t="n"/>
      <c r="D608" s="10" t="n"/>
      <c r="F608" s="9" t="n"/>
      <c r="H608" s="8" t="n"/>
    </row>
    <row r="609">
      <c r="A609" s="5" t="n"/>
      <c r="D609" s="10" t="n"/>
      <c r="F609" s="9" t="n"/>
      <c r="H609" s="8" t="n"/>
    </row>
    <row r="610">
      <c r="A610" s="5" t="n"/>
      <c r="D610" s="10" t="n"/>
      <c r="F610" s="9" t="n"/>
      <c r="H610" s="8" t="n"/>
    </row>
    <row r="611">
      <c r="A611" s="5" t="n"/>
      <c r="D611" s="10" t="n"/>
      <c r="F611" s="9" t="n"/>
      <c r="H611" s="8" t="n"/>
    </row>
    <row r="612">
      <c r="A612" s="5" t="n"/>
      <c r="D612" s="10" t="n"/>
      <c r="F612" s="9" t="n"/>
      <c r="H612" s="8" t="n"/>
    </row>
    <row r="613">
      <c r="A613" s="5" t="n"/>
      <c r="D613" s="10" t="n"/>
      <c r="F613" s="9" t="n"/>
      <c r="H613" s="8" t="n"/>
    </row>
    <row r="614">
      <c r="A614" s="5" t="n"/>
      <c r="D614" s="10" t="n"/>
      <c r="F614" s="9" t="n"/>
      <c r="H614" s="8" t="n"/>
    </row>
    <row r="615">
      <c r="A615" s="5" t="n"/>
      <c r="D615" s="10" t="n"/>
      <c r="F615" s="9" t="n"/>
      <c r="H615" s="8" t="n"/>
    </row>
    <row r="616">
      <c r="A616" s="5" t="n"/>
      <c r="D616" s="10" t="n"/>
      <c r="F616" s="9" t="n"/>
      <c r="H616" s="8" t="n"/>
    </row>
    <row r="617">
      <c r="A617" s="5" t="n"/>
      <c r="D617" s="10" t="n"/>
      <c r="F617" s="9" t="n"/>
      <c r="H617" s="8" t="n"/>
    </row>
    <row r="618">
      <c r="A618" s="5" t="n"/>
      <c r="D618" s="10" t="n"/>
      <c r="F618" s="9" t="n"/>
      <c r="H618" s="8" t="n"/>
    </row>
    <row r="619">
      <c r="A619" s="5" t="n"/>
      <c r="D619" s="10" t="n"/>
      <c r="F619" s="9" t="n"/>
      <c r="H619" s="8" t="n"/>
    </row>
    <row r="620">
      <c r="A620" s="5" t="n"/>
      <c r="D620" s="10" t="n"/>
      <c r="F620" s="9" t="n"/>
      <c r="H620" s="8" t="n"/>
    </row>
    <row r="621">
      <c r="A621" s="5" t="n"/>
      <c r="D621" s="10" t="n"/>
      <c r="F621" s="9" t="n"/>
      <c r="H621" s="8" t="n"/>
    </row>
    <row r="622">
      <c r="A622" s="5" t="n"/>
      <c r="D622" s="10" t="n"/>
      <c r="F622" s="9" t="n"/>
      <c r="H622" s="8" t="n"/>
    </row>
    <row r="623">
      <c r="A623" s="5" t="n"/>
      <c r="D623" s="10" t="n"/>
      <c r="F623" s="9" t="n"/>
      <c r="H623" s="8" t="n"/>
    </row>
    <row r="624">
      <c r="A624" s="5" t="n"/>
      <c r="D624" s="10" t="n"/>
      <c r="F624" s="9" t="n"/>
      <c r="H624" s="8" t="n"/>
    </row>
    <row r="625">
      <c r="A625" s="5" t="n"/>
      <c r="D625" s="10" t="n"/>
      <c r="F625" s="9" t="n"/>
      <c r="H625" s="8" t="n"/>
    </row>
    <row r="626">
      <c r="A626" s="5" t="n"/>
      <c r="D626" s="10" t="n"/>
      <c r="F626" s="9" t="n"/>
      <c r="H626" s="8" t="n"/>
    </row>
    <row r="627">
      <c r="A627" s="5" t="n"/>
      <c r="D627" s="10" t="n"/>
      <c r="F627" s="9" t="n"/>
      <c r="H627" s="8" t="n"/>
    </row>
    <row r="628">
      <c r="A628" s="5" t="n"/>
      <c r="D628" s="10" t="n"/>
      <c r="F628" s="9" t="n"/>
      <c r="H628" s="8" t="n"/>
    </row>
    <row r="629">
      <c r="A629" s="5" t="n"/>
      <c r="D629" s="10" t="n"/>
      <c r="F629" s="9" t="n"/>
      <c r="H629" s="8" t="n"/>
    </row>
    <row r="630">
      <c r="A630" s="5" t="n"/>
      <c r="D630" s="10" t="n"/>
      <c r="F630" s="9" t="n"/>
      <c r="H630" s="8" t="n"/>
    </row>
    <row r="631">
      <c r="A631" s="5" t="n"/>
      <c r="D631" s="10" t="n"/>
      <c r="F631" s="9" t="n"/>
      <c r="H631" s="8" t="n"/>
    </row>
    <row r="632">
      <c r="A632" s="5" t="n"/>
      <c r="D632" s="10" t="n"/>
      <c r="F632" s="9" t="n"/>
      <c r="H632" s="8" t="n"/>
    </row>
    <row r="633">
      <c r="A633" s="5" t="n"/>
      <c r="D633" s="10" t="n"/>
      <c r="F633" s="9" t="n"/>
      <c r="H633" s="8" t="n"/>
    </row>
    <row r="634">
      <c r="A634" s="5" t="n"/>
      <c r="D634" s="10" t="n"/>
      <c r="F634" s="9" t="n"/>
      <c r="H634" s="8" t="n"/>
    </row>
    <row r="635">
      <c r="A635" s="5" t="n"/>
      <c r="D635" s="10" t="n"/>
      <c r="F635" s="9" t="n"/>
      <c r="H635" s="8" t="n"/>
    </row>
    <row r="636">
      <c r="A636" s="5" t="n"/>
      <c r="D636" s="10" t="n"/>
      <c r="F636" s="9" t="n"/>
      <c r="H636" s="8" t="n"/>
    </row>
    <row r="637">
      <c r="A637" s="5" t="n"/>
      <c r="D637" s="10" t="n"/>
      <c r="F637" s="9" t="n"/>
      <c r="H637" s="8" t="n"/>
    </row>
    <row r="638">
      <c r="A638" s="5" t="n"/>
      <c r="D638" s="10" t="n"/>
      <c r="F638" s="9" t="n"/>
      <c r="H638" s="8" t="n"/>
    </row>
    <row r="639">
      <c r="A639" s="5" t="n"/>
      <c r="D639" s="10" t="n"/>
      <c r="F639" s="9" t="n"/>
      <c r="H639" s="8" t="n"/>
    </row>
    <row r="640">
      <c r="A640" s="5" t="n"/>
      <c r="D640" s="10" t="n"/>
      <c r="F640" s="9" t="n"/>
      <c r="H640" s="8" t="n"/>
    </row>
    <row r="641">
      <c r="A641" s="5" t="n"/>
      <c r="D641" s="10" t="n"/>
      <c r="F641" s="9" t="n"/>
      <c r="H641" s="8" t="n"/>
    </row>
    <row r="642">
      <c r="A642" s="5" t="n"/>
      <c r="D642" s="10" t="n"/>
      <c r="F642" s="9" t="n"/>
      <c r="H642" s="8" t="n"/>
    </row>
    <row r="643">
      <c r="A643" s="5" t="n"/>
      <c r="D643" s="10" t="n"/>
      <c r="F643" s="9" t="n"/>
      <c r="H643" s="8" t="n"/>
    </row>
    <row r="644">
      <c r="A644" s="5" t="n"/>
      <c r="D644" s="10" t="n"/>
      <c r="F644" s="9" t="n"/>
      <c r="H644" s="8" t="n"/>
    </row>
    <row r="645">
      <c r="A645" s="5" t="n"/>
      <c r="D645" s="10" t="n"/>
      <c r="F645" s="9" t="n"/>
      <c r="H645" s="8" t="n"/>
    </row>
    <row r="646">
      <c r="A646" s="5" t="n"/>
      <c r="D646" s="10" t="n"/>
      <c r="F646" s="9" t="n"/>
      <c r="H646" s="8" t="n"/>
    </row>
    <row r="647">
      <c r="A647" s="5" t="n"/>
      <c r="D647" s="10" t="n"/>
      <c r="F647" s="9" t="n"/>
      <c r="H647" s="8" t="n"/>
    </row>
    <row r="648">
      <c r="A648" s="5" t="n"/>
      <c r="D648" s="10" t="n"/>
      <c r="F648" s="9" t="n"/>
      <c r="H648" s="8" t="n"/>
    </row>
    <row r="649">
      <c r="A649" s="5" t="n"/>
      <c r="D649" s="10" t="n"/>
      <c r="F649" s="9" t="n"/>
      <c r="H649" s="8" t="n"/>
    </row>
    <row r="650">
      <c r="A650" s="7" t="n"/>
      <c r="D650" s="10" t="n"/>
      <c r="F650" s="9" t="n"/>
      <c r="H650" s="8" t="n"/>
    </row>
    <row r="651">
      <c r="D651" s="10" t="n"/>
      <c r="F651" s="9" t="n"/>
      <c r="H651" s="8" t="n"/>
    </row>
    <row r="652">
      <c r="D652" s="10" t="n"/>
      <c r="F652" s="9" t="n"/>
      <c r="H652" s="8" t="n"/>
    </row>
    <row r="653">
      <c r="D653" s="10" t="n"/>
      <c r="F653" s="9" t="n"/>
      <c r="H653" s="8" t="n"/>
    </row>
    <row r="654">
      <c r="A654" s="3" t="n"/>
      <c r="D654" s="10" t="n"/>
      <c r="F654" s="9" t="n"/>
      <c r="H654" s="8" t="n"/>
    </row>
    <row r="655">
      <c r="A655" s="3" t="n"/>
      <c r="D655" s="10" t="n"/>
      <c r="F655" s="9" t="n"/>
      <c r="H655" s="8" t="n"/>
    </row>
    <row r="656">
      <c r="A656" s="5" t="n"/>
      <c r="D656" s="10" t="n"/>
      <c r="F656" s="9" t="n"/>
      <c r="H656" s="8" t="n"/>
    </row>
    <row r="657">
      <c r="A657" s="5" t="n"/>
      <c r="D657" s="10" t="n"/>
      <c r="F657" s="9" t="n"/>
      <c r="H657" s="8" t="n"/>
    </row>
    <row r="658">
      <c r="A658" s="5" t="n"/>
      <c r="D658" s="10" t="n"/>
      <c r="F658" s="9" t="n"/>
      <c r="H658" s="8" t="n"/>
    </row>
    <row r="659">
      <c r="A659" s="5" t="n"/>
      <c r="D659" s="10" t="n"/>
      <c r="F659" s="9" t="n"/>
      <c r="H659" s="8" t="n"/>
    </row>
    <row r="660">
      <c r="A660" s="5" t="n"/>
      <c r="D660" s="10" t="n"/>
      <c r="F660" s="9" t="n"/>
      <c r="H660" s="8" t="n"/>
    </row>
    <row r="661">
      <c r="A661" s="5" t="n"/>
      <c r="D661" s="10" t="n"/>
      <c r="F661" s="9" t="n"/>
      <c r="H661" s="8" t="n"/>
    </row>
    <row r="662">
      <c r="A662" s="5" t="n"/>
      <c r="D662" s="10" t="n"/>
      <c r="F662" s="9" t="n"/>
      <c r="H662" s="8" t="n"/>
    </row>
    <row r="663">
      <c r="A663" s="5" t="n"/>
      <c r="D663" s="10" t="n"/>
      <c r="F663" s="9" t="n"/>
      <c r="H663" s="8" t="n"/>
    </row>
    <row r="664">
      <c r="A664" s="5" t="n"/>
      <c r="D664" s="10" t="n"/>
      <c r="F664" s="9" t="n"/>
      <c r="H664" s="8" t="n"/>
    </row>
    <row r="665">
      <c r="A665" s="5" t="n"/>
      <c r="D665" s="10" t="n"/>
      <c r="F665" s="9" t="n"/>
      <c r="H665" s="8" t="n"/>
    </row>
    <row r="666">
      <c r="A666" s="5" t="n"/>
      <c r="D666" s="10" t="n"/>
      <c r="F666" s="9" t="n"/>
      <c r="H666" s="8" t="n"/>
    </row>
    <row r="667">
      <c r="A667" s="5" t="n"/>
      <c r="D667" s="10" t="n"/>
      <c r="F667" s="9" t="n"/>
      <c r="H667" s="8" t="n"/>
    </row>
    <row r="668">
      <c r="A668" s="5" t="n"/>
      <c r="D668" s="10" t="n"/>
      <c r="F668" s="9" t="n"/>
      <c r="H668" s="8" t="n"/>
    </row>
    <row r="669">
      <c r="A669" s="5" t="n"/>
      <c r="D669" s="10" t="n"/>
      <c r="F669" s="9" t="n"/>
      <c r="H669" s="8" t="n"/>
    </row>
    <row r="670">
      <c r="A670" s="5" t="n"/>
      <c r="D670" s="10" t="n"/>
      <c r="F670" s="9" t="n"/>
      <c r="H670" s="8" t="n"/>
    </row>
    <row r="671">
      <c r="A671" s="5" t="n"/>
      <c r="D671" s="10" t="n"/>
      <c r="F671" s="9" t="n"/>
      <c r="H671" s="8" t="n"/>
    </row>
    <row r="672">
      <c r="A672" s="5" t="n"/>
      <c r="D672" s="10" t="n"/>
      <c r="F672" s="9" t="n"/>
      <c r="H672" s="8" t="n"/>
    </row>
    <row r="673">
      <c r="A673" s="5" t="n"/>
      <c r="D673" s="10" t="n"/>
      <c r="F673" s="9" t="n"/>
      <c r="H673" s="8" t="n"/>
    </row>
    <row r="674">
      <c r="A674" s="5" t="n"/>
      <c r="D674" s="10" t="n"/>
      <c r="F674" s="9" t="n"/>
      <c r="H674" s="8" t="n"/>
    </row>
    <row r="675">
      <c r="A675" s="5" t="n"/>
      <c r="D675" s="10" t="n"/>
      <c r="F675" s="9" t="n"/>
      <c r="H675" s="8" t="n"/>
    </row>
    <row r="676">
      <c r="A676" s="5" t="n"/>
      <c r="D676" s="10" t="n"/>
      <c r="F676" s="9" t="n"/>
      <c r="H676" s="8" t="n"/>
    </row>
    <row r="677">
      <c r="A677" s="5" t="n"/>
      <c r="D677" s="10" t="n"/>
      <c r="F677" s="9" t="n"/>
      <c r="H677" s="8" t="n"/>
    </row>
    <row r="678">
      <c r="A678" s="5" t="n"/>
      <c r="D678" s="10" t="n"/>
      <c r="F678" s="9" t="n"/>
      <c r="H678" s="8" t="n"/>
    </row>
    <row r="679">
      <c r="A679" s="5" t="n"/>
      <c r="D679" s="10" t="n"/>
      <c r="F679" s="9" t="n"/>
      <c r="H679" s="8" t="n"/>
    </row>
    <row r="680">
      <c r="A680" s="5" t="n"/>
      <c r="D680" s="10" t="n"/>
      <c r="F680" s="9" t="n"/>
      <c r="H680" s="8" t="n"/>
    </row>
    <row r="681">
      <c r="A681" s="5" t="n"/>
      <c r="D681" s="10" t="n"/>
      <c r="F681" s="9" t="n"/>
      <c r="H681" s="8" t="n"/>
    </row>
    <row r="682">
      <c r="A682" s="5" t="n"/>
      <c r="D682" s="10" t="n"/>
      <c r="F682" s="9" t="n"/>
      <c r="H682" s="8" t="n"/>
    </row>
    <row r="683">
      <c r="A683" s="5" t="n"/>
      <c r="D683" s="10" t="n"/>
      <c r="F683" s="9" t="n"/>
      <c r="H683" s="8" t="n"/>
    </row>
    <row r="684">
      <c r="A684" s="5" t="n"/>
      <c r="D684" s="10" t="n"/>
      <c r="F684" s="9" t="n"/>
      <c r="H684" s="8" t="n"/>
    </row>
    <row r="685">
      <c r="A685" s="5" t="n"/>
      <c r="D685" s="10" t="n"/>
      <c r="F685" s="9" t="n"/>
      <c r="H685" s="8" t="n"/>
    </row>
    <row r="686">
      <c r="A686" s="5" t="n"/>
      <c r="D686" s="10" t="n"/>
      <c r="F686" s="9" t="n"/>
      <c r="H686" s="8" t="n"/>
    </row>
    <row r="687">
      <c r="A687" s="5" t="n"/>
      <c r="D687" s="10" t="n"/>
      <c r="F687" s="9" t="n"/>
      <c r="H687" s="8" t="n"/>
    </row>
    <row r="688">
      <c r="A688" s="5" t="n"/>
      <c r="D688" s="10" t="n"/>
      <c r="F688" s="9" t="n"/>
      <c r="H688" s="8" t="n"/>
    </row>
    <row r="689">
      <c r="A689" s="5" t="n"/>
      <c r="D689" s="10" t="n"/>
      <c r="F689" s="9" t="n"/>
      <c r="H689" s="8" t="n"/>
    </row>
    <row r="690">
      <c r="A690" s="5" t="n"/>
      <c r="D690" s="10" t="n"/>
      <c r="F690" s="9" t="n"/>
      <c r="H690" s="8" t="n"/>
    </row>
    <row r="691">
      <c r="A691" s="5" t="n"/>
      <c r="D691" s="10" t="n"/>
      <c r="F691" s="9" t="n"/>
      <c r="H691" s="8" t="n"/>
    </row>
    <row r="692">
      <c r="A692" s="5" t="n"/>
      <c r="D692" s="10" t="n"/>
      <c r="F692" s="9" t="n"/>
      <c r="H692" s="8" t="n"/>
    </row>
    <row r="693">
      <c r="A693" s="5" t="n"/>
      <c r="D693" s="10" t="n"/>
      <c r="F693" s="9" t="n"/>
      <c r="H693" s="8" t="n"/>
    </row>
    <row r="694">
      <c r="A694" s="5" t="n"/>
      <c r="D694" s="10" t="n"/>
      <c r="F694" s="9" t="n"/>
      <c r="H694" s="8" t="n"/>
    </row>
    <row r="695">
      <c r="A695" s="5" t="n"/>
      <c r="D695" s="10" t="n"/>
      <c r="F695" s="9" t="n"/>
      <c r="H695" s="8" t="n"/>
    </row>
    <row r="696">
      <c r="A696" s="5" t="n"/>
      <c r="D696" s="10" t="n"/>
      <c r="F696" s="9" t="n"/>
      <c r="H696" s="8" t="n"/>
    </row>
    <row r="697">
      <c r="A697" s="5" t="n"/>
      <c r="D697" s="10" t="n"/>
      <c r="F697" s="9" t="n"/>
      <c r="H697" s="8" t="n"/>
    </row>
    <row r="698">
      <c r="A698" s="5" t="n"/>
      <c r="D698" s="10" t="n"/>
      <c r="F698" s="9" t="n"/>
      <c r="H698" s="8" t="n"/>
    </row>
    <row r="699">
      <c r="A699" s="5" t="n"/>
      <c r="D699" s="10" t="n"/>
      <c r="F699" s="9" t="n"/>
      <c r="H699" s="8" t="n"/>
    </row>
    <row r="700">
      <c r="A700" s="5" t="n"/>
      <c r="D700" s="10" t="n"/>
      <c r="F700" s="9" t="n"/>
      <c r="H700" s="8" t="n"/>
    </row>
    <row r="701">
      <c r="A701" s="5" t="n"/>
      <c r="D701" s="10" t="n"/>
      <c r="F701" s="9" t="n"/>
      <c r="H701" s="8" t="n"/>
    </row>
    <row r="702">
      <c r="A702" s="5" t="n"/>
      <c r="D702" s="10" t="n"/>
      <c r="F702" s="9" t="n"/>
      <c r="H702" s="8" t="n"/>
    </row>
    <row r="703">
      <c r="A703" s="5" t="n"/>
      <c r="D703" s="10" t="n"/>
      <c r="F703" s="9" t="n"/>
      <c r="H703" s="8" t="n"/>
    </row>
    <row r="704">
      <c r="A704" s="5" t="n"/>
      <c r="D704" s="10" t="n"/>
      <c r="F704" s="9" t="n"/>
      <c r="H704" s="8" t="n"/>
    </row>
    <row r="705">
      <c r="A705" s="5" t="n"/>
      <c r="D705" s="10" t="n"/>
      <c r="F705" s="9" t="n"/>
      <c r="H705" s="8" t="n"/>
    </row>
    <row r="706">
      <c r="A706" s="5" t="n"/>
      <c r="D706" s="10" t="n"/>
      <c r="F706" s="9" t="n"/>
      <c r="H706" s="8" t="n"/>
    </row>
    <row r="707">
      <c r="A707" s="5" t="n"/>
      <c r="D707" s="10" t="n"/>
      <c r="F707" s="9" t="n"/>
      <c r="H707" s="8" t="n"/>
    </row>
    <row r="708">
      <c r="A708" s="5" t="n"/>
      <c r="D708" s="10" t="n"/>
      <c r="F708" s="9" t="n"/>
      <c r="H708" s="8" t="n"/>
    </row>
    <row r="709">
      <c r="A709" s="5" t="n"/>
      <c r="D709" s="10" t="n"/>
      <c r="F709" s="9" t="n"/>
      <c r="H709" s="8" t="n"/>
    </row>
    <row r="710">
      <c r="A710" s="5" t="n"/>
      <c r="D710" s="10" t="n"/>
      <c r="F710" s="9" t="n"/>
      <c r="H710" s="8" t="n"/>
    </row>
    <row r="711">
      <c r="A711" s="5" t="n"/>
      <c r="D711" s="10" t="n"/>
      <c r="F711" s="9" t="n"/>
      <c r="H711" s="8" t="n"/>
    </row>
    <row r="712">
      <c r="A712" s="5" t="n"/>
      <c r="D712" s="10" t="n"/>
      <c r="F712" s="9" t="n"/>
      <c r="H712" s="8" t="n"/>
    </row>
    <row r="713">
      <c r="A713" s="5" t="n"/>
      <c r="D713" s="10" t="n"/>
      <c r="F713" s="9" t="n"/>
      <c r="H713" s="8" t="n"/>
    </row>
    <row r="714">
      <c r="A714" s="5" t="n"/>
      <c r="D714" s="10" t="n"/>
      <c r="F714" s="9" t="n"/>
      <c r="H714" s="8" t="n"/>
    </row>
    <row r="715">
      <c r="A715" s="5" t="n"/>
      <c r="D715" s="10" t="n"/>
      <c r="F715" s="9" t="n"/>
      <c r="H715" s="8" t="n"/>
    </row>
    <row r="716">
      <c r="A716" s="5" t="n"/>
      <c r="D716" s="10" t="n"/>
      <c r="F716" s="9" t="n"/>
      <c r="H716" s="8" t="n"/>
    </row>
    <row r="717">
      <c r="A717" s="5" t="n"/>
      <c r="D717" s="10" t="n"/>
      <c r="F717" s="9" t="n"/>
      <c r="H717" s="8" t="n"/>
    </row>
    <row r="718">
      <c r="A718" s="5" t="n"/>
      <c r="D718" s="10" t="n"/>
      <c r="F718" s="9" t="n"/>
      <c r="H718" s="8" t="n"/>
    </row>
    <row r="719">
      <c r="A719" s="5" t="n"/>
      <c r="D719" s="10" t="n"/>
      <c r="F719" s="9" t="n"/>
      <c r="H719" s="8" t="n"/>
    </row>
    <row r="720">
      <c r="A720" s="5" t="n"/>
      <c r="D720" s="10" t="n"/>
      <c r="F720" s="9" t="n"/>
      <c r="H720" s="8" t="n"/>
    </row>
    <row r="721">
      <c r="A721" s="5" t="n"/>
      <c r="D721" s="10" t="n"/>
      <c r="F721" s="9" t="n"/>
      <c r="H721" s="8" t="n"/>
    </row>
    <row r="722">
      <c r="A722" s="5" t="n"/>
      <c r="D722" s="10" t="n"/>
      <c r="F722" s="9" t="n"/>
      <c r="H722" s="8" t="n"/>
    </row>
    <row r="723">
      <c r="A723" s="7" t="n"/>
      <c r="D723" s="10" t="n"/>
      <c r="F723" s="9" t="n"/>
      <c r="H723" s="8" t="n"/>
    </row>
    <row r="724">
      <c r="D724" s="10" t="n"/>
      <c r="F724" s="9" t="n"/>
      <c r="H724" s="8" t="n"/>
    </row>
    <row r="725">
      <c r="D725" s="10" t="n"/>
      <c r="F725" s="9" t="n"/>
      <c r="H725" s="8" t="n"/>
    </row>
    <row r="726">
      <c r="D726" s="10" t="n"/>
      <c r="F726" s="9" t="n"/>
      <c r="H726" s="8" t="n"/>
    </row>
    <row r="727">
      <c r="A727" s="3" t="n"/>
      <c r="D727" s="10" t="n"/>
      <c r="F727" s="9" t="n"/>
      <c r="H727" s="8" t="n"/>
    </row>
    <row r="728">
      <c r="A728" s="3" t="n"/>
      <c r="D728" s="10" t="n"/>
      <c r="F728" s="9" t="n"/>
      <c r="H728" s="8" t="n"/>
    </row>
    <row r="729">
      <c r="A729" s="5" t="n"/>
      <c r="D729" s="10" t="n"/>
      <c r="F729" s="9" t="n"/>
      <c r="H729" s="8" t="n"/>
    </row>
    <row r="730">
      <c r="A730" s="5" t="n"/>
      <c r="D730" s="10" t="n"/>
      <c r="F730" s="9" t="n"/>
      <c r="H730" s="8" t="n"/>
    </row>
    <row r="731">
      <c r="A731" s="5" t="n"/>
      <c r="D731" s="10" t="n"/>
      <c r="F731" s="9" t="n"/>
      <c r="H731" s="8" t="n"/>
    </row>
    <row r="732">
      <c r="A732" s="5" t="n"/>
      <c r="D732" s="10" t="n"/>
      <c r="F732" s="9" t="n"/>
      <c r="H732" s="8" t="n"/>
    </row>
    <row r="733">
      <c r="A733" s="5" t="n"/>
      <c r="D733" s="10" t="n"/>
      <c r="F733" s="9" t="n"/>
      <c r="H733" s="8" t="n"/>
    </row>
    <row r="734">
      <c r="A734" s="5" t="n"/>
      <c r="D734" s="10" t="n"/>
      <c r="F734" s="9" t="n"/>
      <c r="H734" s="8" t="n"/>
    </row>
    <row r="735">
      <c r="A735" s="5" t="n"/>
      <c r="D735" s="10" t="n"/>
      <c r="F735" s="9" t="n"/>
      <c r="H735" s="8" t="n"/>
    </row>
    <row r="736">
      <c r="A736" s="5" t="n"/>
      <c r="D736" s="10" t="n"/>
      <c r="F736" s="9" t="n"/>
      <c r="H736" s="8" t="n"/>
    </row>
    <row r="737">
      <c r="A737" s="5" t="n"/>
      <c r="D737" s="10" t="n"/>
      <c r="F737" s="9" t="n"/>
      <c r="H737" s="8" t="n"/>
    </row>
    <row r="738">
      <c r="A738" s="5" t="n"/>
      <c r="D738" s="10" t="n"/>
      <c r="F738" s="9" t="n"/>
      <c r="H738" s="8" t="n"/>
    </row>
    <row r="739">
      <c r="A739" s="5" t="n"/>
      <c r="D739" s="10" t="n"/>
      <c r="F739" s="9" t="n"/>
      <c r="H739" s="8" t="n"/>
    </row>
    <row r="740">
      <c r="A740" s="5" t="n"/>
      <c r="D740" s="10" t="n"/>
      <c r="F740" s="9" t="n"/>
      <c r="H740" s="8" t="n"/>
    </row>
    <row r="741">
      <c r="A741" s="5" t="n"/>
      <c r="D741" s="10" t="n"/>
      <c r="F741" s="9" t="n"/>
      <c r="H741" s="8" t="n"/>
    </row>
    <row r="742">
      <c r="A742" s="5" t="n"/>
      <c r="D742" s="10" t="n"/>
      <c r="F742" s="9" t="n"/>
      <c r="H742" s="8" t="n"/>
    </row>
    <row r="743">
      <c r="A743" s="5" t="n"/>
      <c r="D743" s="10" t="n"/>
      <c r="F743" s="9" t="n"/>
      <c r="H743" s="8" t="n"/>
    </row>
    <row r="744">
      <c r="A744" s="5" t="n"/>
      <c r="D744" s="10" t="n"/>
      <c r="F744" s="9" t="n"/>
      <c r="H744" s="8" t="n"/>
    </row>
    <row r="745">
      <c r="A745" s="5" t="n"/>
      <c r="D745" s="10" t="n"/>
      <c r="F745" s="9" t="n"/>
      <c r="H745" s="8" t="n"/>
    </row>
    <row r="746">
      <c r="A746" s="5" t="n"/>
      <c r="D746" s="10" t="n"/>
      <c r="F746" s="9" t="n"/>
      <c r="H746" s="8" t="n"/>
    </row>
    <row r="747">
      <c r="A747" s="5" t="n"/>
      <c r="D747" s="10" t="n"/>
      <c r="F747" s="9" t="n"/>
      <c r="H747" s="8" t="n"/>
    </row>
    <row r="748">
      <c r="A748" s="5" t="n"/>
      <c r="D748" s="10" t="n"/>
      <c r="F748" s="9" t="n"/>
      <c r="H748" s="8" t="n"/>
    </row>
    <row r="749">
      <c r="A749" s="5" t="n"/>
      <c r="D749" s="10" t="n"/>
      <c r="F749" s="9" t="n"/>
      <c r="H749" s="8" t="n"/>
    </row>
    <row r="750">
      <c r="A750" s="5" t="n"/>
      <c r="D750" s="10" t="n"/>
      <c r="F750" s="9" t="n"/>
      <c r="H750" s="8" t="n"/>
    </row>
    <row r="751">
      <c r="A751" s="5" t="n"/>
      <c r="D751" s="10" t="n"/>
      <c r="F751" s="9" t="n"/>
      <c r="H751" s="8" t="n"/>
    </row>
    <row r="752">
      <c r="A752" s="5" t="n"/>
      <c r="D752" s="10" t="n"/>
      <c r="F752" s="9" t="n"/>
      <c r="H752" s="8" t="n"/>
    </row>
    <row r="753">
      <c r="A753" s="5" t="n"/>
      <c r="D753" s="10" t="n"/>
      <c r="F753" s="9" t="n"/>
      <c r="H753" s="8" t="n"/>
    </row>
    <row r="754">
      <c r="A754" s="5" t="n"/>
      <c r="D754" s="10" t="n"/>
      <c r="F754" s="9" t="n"/>
      <c r="H754" s="8" t="n"/>
    </row>
    <row r="755">
      <c r="A755" s="5" t="n"/>
      <c r="D755" s="10" t="n"/>
      <c r="F755" s="9" t="n"/>
      <c r="H755" s="8" t="n"/>
    </row>
    <row r="756">
      <c r="A756" s="5" t="n"/>
      <c r="D756" s="10" t="n"/>
      <c r="F756" s="9" t="n"/>
      <c r="H756" s="8" t="n"/>
    </row>
    <row r="757">
      <c r="A757" s="5" t="n"/>
      <c r="D757" s="10" t="n"/>
      <c r="F757" s="9" t="n"/>
      <c r="H757" s="8" t="n"/>
    </row>
    <row r="758">
      <c r="A758" s="5" t="n"/>
      <c r="D758" s="10" t="n"/>
      <c r="F758" s="9" t="n"/>
      <c r="H758" s="8" t="n"/>
    </row>
    <row r="759">
      <c r="A759" s="5" t="n"/>
      <c r="D759" s="10" t="n"/>
      <c r="F759" s="9" t="n"/>
      <c r="H759" s="8" t="n"/>
    </row>
    <row r="760">
      <c r="A760" s="5" t="n"/>
      <c r="D760" s="10" t="n"/>
      <c r="F760" s="9" t="n"/>
      <c r="H760" s="8" t="n"/>
    </row>
    <row r="761">
      <c r="A761" s="5" t="n"/>
      <c r="D761" s="10" t="n"/>
      <c r="F761" s="9" t="n"/>
      <c r="H761" s="8" t="n"/>
    </row>
    <row r="762">
      <c r="A762" s="5" t="n"/>
      <c r="D762" s="10" t="n"/>
      <c r="F762" s="9" t="n"/>
      <c r="H762" s="8" t="n"/>
    </row>
    <row r="763">
      <c r="A763" s="5" t="n"/>
      <c r="D763" s="10" t="n"/>
      <c r="F763" s="9" t="n"/>
      <c r="H763" s="8" t="n"/>
    </row>
    <row r="764">
      <c r="A764" s="5" t="n"/>
      <c r="D764" s="10" t="n"/>
      <c r="F764" s="9" t="n"/>
      <c r="H764" s="8" t="n"/>
    </row>
    <row r="765">
      <c r="A765" s="5" t="n"/>
      <c r="D765" s="10" t="n"/>
      <c r="F765" s="9" t="n"/>
      <c r="H765" s="8" t="n"/>
    </row>
    <row r="766">
      <c r="A766" s="5" t="n"/>
      <c r="D766" s="10" t="n"/>
      <c r="F766" s="9" t="n"/>
      <c r="H766" s="8" t="n"/>
    </row>
    <row r="767">
      <c r="A767" s="5" t="n"/>
      <c r="D767" s="10" t="n"/>
      <c r="F767" s="9" t="n"/>
      <c r="H767" s="8" t="n"/>
    </row>
    <row r="768">
      <c r="A768" s="5" t="n"/>
      <c r="D768" s="10" t="n"/>
      <c r="F768" s="9" t="n"/>
      <c r="H768" s="8" t="n"/>
    </row>
    <row r="769">
      <c r="A769" s="5" t="n"/>
      <c r="D769" s="10" t="n"/>
      <c r="F769" s="9" t="n"/>
      <c r="H769" s="8" t="n"/>
    </row>
    <row r="770">
      <c r="A770" s="5" t="n"/>
      <c r="D770" s="10" t="n"/>
      <c r="F770" s="9" t="n"/>
      <c r="H770" s="8" t="n"/>
    </row>
    <row r="771">
      <c r="A771" s="5" t="n"/>
      <c r="D771" s="10" t="n"/>
      <c r="F771" s="9" t="n"/>
      <c r="H771" s="8" t="n"/>
    </row>
    <row r="772">
      <c r="A772" s="5" t="n"/>
      <c r="D772" s="10" t="n"/>
      <c r="F772" s="9" t="n"/>
      <c r="H772" s="8" t="n"/>
    </row>
    <row r="773">
      <c r="A773" s="5" t="n"/>
      <c r="D773" s="10" t="n"/>
      <c r="F773" s="9" t="n"/>
      <c r="H773" s="8" t="n"/>
    </row>
    <row r="774">
      <c r="A774" s="5" t="n"/>
      <c r="D774" s="10" t="n"/>
      <c r="F774" s="9" t="n"/>
      <c r="H774" s="8" t="n"/>
    </row>
    <row r="775">
      <c r="A775" s="5" t="n"/>
      <c r="D775" s="10" t="n"/>
      <c r="F775" s="9" t="n"/>
      <c r="H775" s="8" t="n"/>
    </row>
    <row r="776">
      <c r="A776" s="5" t="n"/>
      <c r="D776" s="10" t="n"/>
      <c r="F776" s="9" t="n"/>
      <c r="H776" s="8" t="n"/>
    </row>
    <row r="777">
      <c r="A777" s="5" t="n"/>
      <c r="D777" s="10" t="n"/>
      <c r="F777" s="9" t="n"/>
      <c r="H777" s="8" t="n"/>
    </row>
    <row r="778">
      <c r="A778" s="5" t="n"/>
      <c r="D778" s="10" t="n"/>
      <c r="F778" s="9" t="n"/>
      <c r="H778" s="8" t="n"/>
    </row>
    <row r="779">
      <c r="A779" s="5" t="n"/>
      <c r="D779" s="10" t="n"/>
      <c r="F779" s="9" t="n"/>
      <c r="H779" s="8" t="n"/>
    </row>
    <row r="780">
      <c r="A780" s="5" t="n"/>
      <c r="D780" s="10" t="n"/>
      <c r="F780" s="9" t="n"/>
      <c r="H780" s="8" t="n"/>
    </row>
    <row r="781">
      <c r="A781" s="5" t="n"/>
      <c r="D781" s="10" t="n"/>
      <c r="F781" s="9" t="n"/>
      <c r="H781" s="8" t="n"/>
    </row>
    <row r="782">
      <c r="A782" s="5" t="n"/>
      <c r="D782" s="10" t="n"/>
      <c r="F782" s="9" t="n"/>
      <c r="H782" s="8" t="n"/>
    </row>
    <row r="783">
      <c r="A783" s="5" t="n"/>
      <c r="D783" s="10" t="n"/>
      <c r="F783" s="9" t="n"/>
      <c r="H783" s="8" t="n"/>
    </row>
    <row r="784">
      <c r="A784" s="5" t="n"/>
      <c r="D784" s="10" t="n"/>
      <c r="F784" s="9" t="n"/>
      <c r="H784" s="8" t="n"/>
    </row>
    <row r="785">
      <c r="A785" s="5" t="n"/>
      <c r="D785" s="10" t="n"/>
      <c r="F785" s="9" t="n"/>
      <c r="H785" s="8" t="n"/>
    </row>
    <row r="786">
      <c r="A786" s="5" t="n"/>
      <c r="D786" s="10" t="n"/>
      <c r="F786" s="9" t="n"/>
      <c r="H786" s="8" t="n"/>
    </row>
    <row r="787">
      <c r="A787" s="5" t="n"/>
      <c r="D787" s="10" t="n"/>
      <c r="F787" s="9" t="n"/>
      <c r="H787" s="8" t="n"/>
    </row>
    <row r="788">
      <c r="A788" s="5" t="n"/>
      <c r="D788" s="10" t="n"/>
      <c r="F788" s="9" t="n"/>
      <c r="H788" s="8" t="n"/>
    </row>
    <row r="789">
      <c r="A789" s="5" t="n"/>
      <c r="D789" s="10" t="n"/>
      <c r="F789" s="9" t="n"/>
      <c r="H789" s="8" t="n"/>
    </row>
    <row r="790">
      <c r="A790" s="5" t="n"/>
      <c r="D790" s="10" t="n"/>
      <c r="F790" s="9" t="n"/>
      <c r="H790" s="8" t="n"/>
    </row>
    <row r="791">
      <c r="A791" s="5" t="n"/>
      <c r="D791" s="10" t="n"/>
      <c r="F791" s="9" t="n"/>
      <c r="H791" s="8" t="n"/>
    </row>
    <row r="792">
      <c r="A792" s="5" t="n"/>
      <c r="D792" s="10" t="n"/>
      <c r="F792" s="9" t="n"/>
      <c r="H792" s="8" t="n"/>
    </row>
    <row r="793">
      <c r="A793" s="5" t="n"/>
      <c r="D793" s="10" t="n"/>
      <c r="F793" s="9" t="n"/>
      <c r="H793" s="8" t="n"/>
    </row>
    <row r="794">
      <c r="A794" s="5" t="n"/>
      <c r="D794" s="10" t="n"/>
      <c r="F794" s="9" t="n"/>
      <c r="H794" s="8" t="n"/>
    </row>
    <row r="795">
      <c r="A795" s="5" t="n"/>
      <c r="D795" s="10" t="n"/>
      <c r="F795" s="9" t="n"/>
      <c r="H795" s="8" t="n"/>
    </row>
    <row r="796">
      <c r="A796" s="7" t="n"/>
      <c r="D796" s="10" t="n"/>
      <c r="F796" s="9" t="n"/>
      <c r="H796" s="8" t="n"/>
    </row>
    <row r="797">
      <c r="D797" s="10" t="n"/>
      <c r="F797" s="9" t="n"/>
      <c r="H797" s="8" t="n"/>
    </row>
    <row r="798">
      <c r="D798" s="10" t="n"/>
      <c r="F798" s="9" t="n"/>
      <c r="H798" s="8" t="n"/>
    </row>
    <row r="799">
      <c r="D799" s="10" t="n"/>
      <c r="F799" s="9" t="n"/>
      <c r="H799" s="8" t="n"/>
    </row>
    <row r="800">
      <c r="A800" s="3" t="n"/>
      <c r="D800" s="10" t="n"/>
      <c r="F800" s="9" t="n"/>
      <c r="H800" s="8" t="n"/>
    </row>
    <row r="801">
      <c r="A801" s="3" t="n"/>
      <c r="D801" s="10" t="n"/>
      <c r="F801" s="9" t="n"/>
      <c r="H801" s="8" t="n"/>
    </row>
    <row r="802">
      <c r="A802" s="5" t="n"/>
      <c r="D802" s="10" t="n"/>
      <c r="F802" s="9" t="n"/>
      <c r="H802" s="8" t="n"/>
    </row>
    <row r="803">
      <c r="A803" s="5" t="n"/>
      <c r="D803" s="10" t="n"/>
      <c r="F803" s="9" t="n"/>
      <c r="H803" s="8" t="n"/>
    </row>
    <row r="804">
      <c r="A804" s="5" t="n"/>
      <c r="D804" s="10" t="n"/>
      <c r="F804" s="9" t="n"/>
      <c r="H804" s="8" t="n"/>
    </row>
    <row r="805">
      <c r="A805" s="5" t="n"/>
      <c r="D805" s="10" t="n"/>
      <c r="F805" s="9" t="n"/>
      <c r="H805" s="8" t="n"/>
    </row>
    <row r="806">
      <c r="A806" s="5" t="n"/>
      <c r="D806" s="10" t="n"/>
      <c r="F806" s="9" t="n"/>
      <c r="H806" s="8" t="n"/>
    </row>
    <row r="807">
      <c r="A807" s="5" t="n"/>
      <c r="D807" s="10" t="n"/>
      <c r="F807" s="9" t="n"/>
      <c r="H807" s="8" t="n"/>
    </row>
    <row r="808">
      <c r="A808" s="5" t="n"/>
      <c r="D808" s="10" t="n"/>
      <c r="F808" s="9" t="n"/>
      <c r="H808" s="8" t="n"/>
    </row>
    <row r="809">
      <c r="A809" s="5" t="n"/>
      <c r="D809" s="10" t="n"/>
      <c r="F809" s="9" t="n"/>
      <c r="H809" s="8" t="n"/>
    </row>
    <row r="810">
      <c r="A810" s="5" t="n"/>
      <c r="D810" s="10" t="n"/>
      <c r="F810" s="9" t="n"/>
      <c r="H810" s="8" t="n"/>
    </row>
    <row r="811">
      <c r="A811" s="5" t="n"/>
      <c r="D811" s="10" t="n"/>
      <c r="F811" s="9" t="n"/>
      <c r="H811" s="8" t="n"/>
    </row>
    <row r="812">
      <c r="A812" s="5" t="n"/>
      <c r="D812" s="10" t="n"/>
      <c r="F812" s="9" t="n"/>
      <c r="H812" s="8" t="n"/>
    </row>
    <row r="813">
      <c r="A813" s="5" t="n"/>
      <c r="D813" s="10" t="n"/>
      <c r="F813" s="9" t="n"/>
      <c r="H813" s="8" t="n"/>
    </row>
    <row r="814">
      <c r="A814" s="5" t="n"/>
      <c r="D814" s="10" t="n"/>
      <c r="F814" s="9" t="n"/>
      <c r="H814" s="8" t="n"/>
    </row>
    <row r="815">
      <c r="A815" s="5" t="n"/>
      <c r="D815" s="10" t="n"/>
      <c r="F815" s="9" t="n"/>
      <c r="H815" s="8" t="n"/>
    </row>
    <row r="816">
      <c r="A816" s="5" t="n"/>
      <c r="D816" s="10" t="n"/>
      <c r="F816" s="9" t="n"/>
      <c r="H816" s="8" t="n"/>
    </row>
    <row r="817">
      <c r="A817" s="5" t="n"/>
      <c r="D817" s="10" t="n"/>
      <c r="F817" s="9" t="n"/>
      <c r="H817" s="8" t="n"/>
    </row>
    <row r="818">
      <c r="A818" s="5" t="n"/>
      <c r="D818" s="10" t="n"/>
      <c r="F818" s="9" t="n"/>
      <c r="H818" s="8" t="n"/>
    </row>
    <row r="819">
      <c r="A819" s="5" t="n"/>
      <c r="D819" s="10" t="n"/>
      <c r="F819" s="9" t="n"/>
      <c r="H819" s="8" t="n"/>
    </row>
    <row r="820">
      <c r="A820" s="5" t="n"/>
      <c r="D820" s="10" t="n"/>
      <c r="F820" s="9" t="n"/>
      <c r="H820" s="8" t="n"/>
    </row>
    <row r="821">
      <c r="A821" s="5" t="n"/>
      <c r="D821" s="10" t="n"/>
      <c r="F821" s="9" t="n"/>
      <c r="H821" s="8" t="n"/>
    </row>
    <row r="822">
      <c r="A822" s="5" t="n"/>
      <c r="D822" s="10" t="n"/>
      <c r="F822" s="9" t="n"/>
      <c r="H822" s="8" t="n"/>
    </row>
    <row r="823">
      <c r="A823" s="5" t="n"/>
      <c r="D823" s="10" t="n"/>
      <c r="F823" s="9" t="n"/>
      <c r="H823" s="8" t="n"/>
    </row>
    <row r="824">
      <c r="A824" s="5" t="n"/>
      <c r="D824" s="10" t="n"/>
      <c r="F824" s="9" t="n"/>
      <c r="H824" s="8" t="n"/>
    </row>
    <row r="825">
      <c r="A825" s="5" t="n"/>
      <c r="D825" s="10" t="n"/>
      <c r="F825" s="9" t="n"/>
      <c r="H825" s="8" t="n"/>
    </row>
    <row r="826">
      <c r="A826" s="5" t="n"/>
      <c r="D826" s="10" t="n"/>
      <c r="F826" s="9" t="n"/>
      <c r="H826" s="8" t="n"/>
    </row>
    <row r="827">
      <c r="A827" s="5" t="n"/>
      <c r="D827" s="10" t="n"/>
      <c r="F827" s="9" t="n"/>
      <c r="H827" s="8" t="n"/>
    </row>
    <row r="828">
      <c r="A828" s="5" t="n"/>
      <c r="D828" s="10" t="n"/>
      <c r="F828" s="9" t="n"/>
      <c r="H828" s="8" t="n"/>
    </row>
    <row r="829">
      <c r="A829" s="5" t="n"/>
      <c r="D829" s="10" t="n"/>
      <c r="F829" s="9" t="n"/>
      <c r="H829" s="8" t="n"/>
    </row>
    <row r="830">
      <c r="A830" s="5" t="n"/>
      <c r="D830" s="10" t="n"/>
      <c r="F830" s="9" t="n"/>
      <c r="H830" s="8" t="n"/>
    </row>
    <row r="831">
      <c r="A831" s="5" t="n"/>
      <c r="D831" s="10" t="n"/>
      <c r="F831" s="9" t="n"/>
      <c r="H831" s="8" t="n"/>
    </row>
    <row r="832">
      <c r="A832" s="5" t="n"/>
      <c r="D832" s="10" t="n"/>
      <c r="F832" s="9" t="n"/>
      <c r="H832" s="8" t="n"/>
    </row>
    <row r="833">
      <c r="A833" s="5" t="n"/>
      <c r="D833" s="10" t="n"/>
      <c r="F833" s="9" t="n"/>
      <c r="H833" s="8" t="n"/>
    </row>
    <row r="834">
      <c r="A834" s="5" t="n"/>
      <c r="D834" s="10" t="n"/>
      <c r="F834" s="9" t="n"/>
      <c r="H834" s="8" t="n"/>
    </row>
    <row r="835">
      <c r="A835" s="5" t="n"/>
      <c r="D835" s="10" t="n"/>
      <c r="F835" s="9" t="n"/>
      <c r="H835" s="8" t="n"/>
    </row>
    <row r="836">
      <c r="A836" s="5" t="n"/>
      <c r="D836" s="10" t="n"/>
      <c r="F836" s="9" t="n"/>
      <c r="H836" s="8" t="n"/>
    </row>
    <row r="837">
      <c r="A837" s="5" t="n"/>
      <c r="D837" s="10" t="n"/>
      <c r="F837" s="9" t="n"/>
      <c r="H837" s="8" t="n"/>
    </row>
    <row r="838">
      <c r="A838" s="5" t="n"/>
      <c r="D838" s="10" t="n"/>
      <c r="F838" s="9" t="n"/>
      <c r="H838" s="8" t="n"/>
    </row>
    <row r="839">
      <c r="A839" s="5" t="n"/>
      <c r="D839" s="10" t="n"/>
      <c r="F839" s="9" t="n"/>
      <c r="H839" s="8" t="n"/>
    </row>
    <row r="840">
      <c r="A840" s="5" t="n"/>
      <c r="D840" s="10" t="n"/>
      <c r="F840" s="9" t="n"/>
      <c r="H840" s="8" t="n"/>
    </row>
    <row r="841">
      <c r="A841" s="5" t="n"/>
      <c r="D841" s="10" t="n"/>
      <c r="F841" s="9" t="n"/>
      <c r="H841" s="8" t="n"/>
    </row>
    <row r="842">
      <c r="A842" s="5" t="n"/>
      <c r="D842" s="10" t="n"/>
      <c r="F842" s="9" t="n"/>
      <c r="H842" s="8" t="n"/>
    </row>
    <row r="843">
      <c r="A843" s="5" t="n"/>
      <c r="D843" s="10" t="n"/>
      <c r="F843" s="9" t="n"/>
      <c r="H843" s="8" t="n"/>
    </row>
    <row r="844">
      <c r="A844" s="5" t="n"/>
      <c r="D844" s="10" t="n"/>
      <c r="F844" s="9" t="n"/>
      <c r="H844" s="8" t="n"/>
    </row>
    <row r="845">
      <c r="A845" s="5" t="n"/>
      <c r="D845" s="10" t="n"/>
      <c r="F845" s="9" t="n"/>
      <c r="H845" s="8" t="n"/>
    </row>
    <row r="846">
      <c r="A846" s="5" t="n"/>
      <c r="D846" s="10" t="n"/>
      <c r="F846" s="9" t="n"/>
      <c r="H846" s="8" t="n"/>
    </row>
    <row r="847">
      <c r="A847" s="5" t="n"/>
      <c r="D847" s="10" t="n"/>
      <c r="F847" s="9" t="n"/>
      <c r="H847" s="8" t="n"/>
    </row>
    <row r="848">
      <c r="A848" s="5" t="n"/>
      <c r="D848" s="10" t="n"/>
      <c r="F848" s="9" t="n"/>
      <c r="H848" s="8" t="n"/>
    </row>
    <row r="849">
      <c r="A849" s="5" t="n"/>
      <c r="D849" s="10" t="n"/>
      <c r="F849" s="9" t="n"/>
      <c r="H849" s="8" t="n"/>
    </row>
    <row r="850">
      <c r="A850" s="5" t="n"/>
      <c r="D850" s="10" t="n"/>
      <c r="F850" s="9" t="n"/>
      <c r="H850" s="8" t="n"/>
    </row>
    <row r="851">
      <c r="A851" s="5" t="n"/>
      <c r="D851" s="10" t="n"/>
      <c r="F851" s="9" t="n"/>
      <c r="H851" s="8" t="n"/>
    </row>
    <row r="852">
      <c r="A852" s="5" t="n"/>
      <c r="D852" s="10" t="n"/>
      <c r="F852" s="9" t="n"/>
      <c r="H852" s="8" t="n"/>
    </row>
    <row r="853">
      <c r="A853" s="5" t="n"/>
      <c r="D853" s="10" t="n"/>
      <c r="F853" s="9" t="n"/>
      <c r="H853" s="8" t="n"/>
    </row>
    <row r="854">
      <c r="A854" s="5" t="n"/>
      <c r="D854" s="10" t="n"/>
      <c r="F854" s="9" t="n"/>
      <c r="H854" s="8" t="n"/>
    </row>
    <row r="855">
      <c r="A855" s="5" t="n"/>
      <c r="D855" s="10" t="n"/>
      <c r="F855" s="9" t="n"/>
      <c r="H855" s="8" t="n"/>
    </row>
    <row r="856">
      <c r="A856" s="5" t="n"/>
      <c r="D856" s="10" t="n"/>
      <c r="F856" s="9" t="n"/>
      <c r="H856" s="8" t="n"/>
    </row>
    <row r="857">
      <c r="A857" s="5" t="n"/>
      <c r="D857" s="10" t="n"/>
      <c r="F857" s="9" t="n"/>
      <c r="H857" s="8" t="n"/>
    </row>
    <row r="858">
      <c r="A858" s="5" t="n"/>
      <c r="D858" s="10" t="n"/>
      <c r="F858" s="9" t="n"/>
      <c r="H858" s="8" t="n"/>
    </row>
    <row r="859">
      <c r="A859" s="5" t="n"/>
      <c r="D859" s="10" t="n"/>
      <c r="F859" s="9" t="n"/>
      <c r="H859" s="8" t="n"/>
    </row>
    <row r="860">
      <c r="A860" s="5" t="n"/>
      <c r="D860" s="10" t="n"/>
      <c r="F860" s="9" t="n"/>
      <c r="H860" s="8" t="n"/>
    </row>
    <row r="861">
      <c r="A861" s="5" t="n"/>
      <c r="D861" s="10" t="n"/>
      <c r="F861" s="9" t="n"/>
      <c r="H861" s="8" t="n"/>
    </row>
    <row r="862">
      <c r="A862" s="5" t="n"/>
      <c r="D862" s="10" t="n"/>
      <c r="F862" s="9" t="n"/>
      <c r="H862" s="8" t="n"/>
    </row>
    <row r="863">
      <c r="A863" s="5" t="n"/>
      <c r="D863" s="10" t="n"/>
      <c r="F863" s="9" t="n"/>
      <c r="H863" s="8" t="n"/>
    </row>
    <row r="864">
      <c r="A864" s="5" t="n"/>
      <c r="D864" s="10" t="n"/>
      <c r="F864" s="9" t="n"/>
      <c r="H864" s="8" t="n"/>
    </row>
    <row r="865">
      <c r="A865" s="5" t="n"/>
      <c r="D865" s="10" t="n"/>
      <c r="F865" s="9" t="n"/>
      <c r="H865" s="8" t="n"/>
    </row>
    <row r="866">
      <c r="A866" s="5" t="n"/>
      <c r="D866" s="10" t="n"/>
      <c r="F866" s="9" t="n"/>
      <c r="H866" s="8" t="n"/>
    </row>
    <row r="867">
      <c r="A867" s="5" t="n"/>
      <c r="D867" s="10" t="n"/>
      <c r="F867" s="9" t="n"/>
      <c r="H867" s="8" t="n"/>
    </row>
    <row r="868">
      <c r="A868" s="5" t="n"/>
      <c r="D868" s="10" t="n"/>
      <c r="F868" s="9" t="n"/>
      <c r="H868" s="8" t="n"/>
    </row>
    <row r="869">
      <c r="A869" s="7" t="n"/>
      <c r="D869" s="10" t="n"/>
      <c r="F869" s="9" t="n"/>
      <c r="H869" s="8" t="n"/>
    </row>
    <row r="870">
      <c r="D870" s="10" t="n"/>
      <c r="F870" s="9" t="n"/>
      <c r="H870" s="8" t="n"/>
    </row>
    <row r="871">
      <c r="D871" s="10" t="n"/>
      <c r="F871" s="9" t="n"/>
      <c r="H871" s="8" t="n"/>
    </row>
    <row r="872">
      <c r="D872" s="10" t="n"/>
      <c r="F872" s="9" t="n"/>
      <c r="H872" s="8" t="n"/>
    </row>
    <row r="873">
      <c r="A873" s="3" t="n"/>
      <c r="D873" s="10" t="n"/>
      <c r="F873" s="9" t="n"/>
      <c r="H873" s="8" t="n"/>
    </row>
    <row r="874">
      <c r="A874" s="3" t="n"/>
      <c r="D874" s="10" t="n"/>
      <c r="F874" s="9" t="n"/>
      <c r="H874" s="8" t="n"/>
    </row>
    <row r="875">
      <c r="A875" s="5" t="n"/>
      <c r="D875" s="10" t="n"/>
      <c r="F875" s="9" t="n"/>
      <c r="H875" s="8" t="n"/>
    </row>
    <row r="876">
      <c r="A876" s="5" t="n"/>
      <c r="D876" s="10" t="n"/>
      <c r="F876" s="9" t="n"/>
      <c r="H876" s="8" t="n"/>
    </row>
    <row r="877">
      <c r="A877" s="5" t="n"/>
      <c r="D877" s="10" t="n"/>
      <c r="F877" s="9" t="n"/>
      <c r="H877" s="8" t="n"/>
    </row>
    <row r="878">
      <c r="A878" s="5" t="n"/>
      <c r="D878" s="10" t="n"/>
      <c r="F878" s="9" t="n"/>
      <c r="H878" s="8" t="n"/>
    </row>
    <row r="879">
      <c r="A879" s="5" t="n"/>
      <c r="D879" s="10" t="n"/>
      <c r="F879" s="9" t="n"/>
      <c r="H879" s="8" t="n"/>
    </row>
    <row r="880">
      <c r="A880" s="5" t="n"/>
      <c r="D880" s="10" t="n"/>
      <c r="F880" s="9" t="n"/>
      <c r="H880" s="8" t="n"/>
    </row>
    <row r="881">
      <c r="A881" s="5" t="n"/>
      <c r="D881" s="10" t="n"/>
      <c r="F881" s="9" t="n"/>
      <c r="H881" s="8" t="n"/>
    </row>
    <row r="882">
      <c r="A882" s="5" t="n"/>
      <c r="D882" s="10" t="n"/>
      <c r="F882" s="9" t="n"/>
      <c r="H882" s="8" t="n"/>
    </row>
    <row r="883">
      <c r="A883" s="5" t="n"/>
      <c r="D883" s="10" t="n"/>
      <c r="F883" s="9" t="n"/>
      <c r="H883" s="8" t="n"/>
    </row>
    <row r="884">
      <c r="A884" s="5" t="n"/>
      <c r="D884" s="10" t="n"/>
      <c r="F884" s="9" t="n"/>
      <c r="H884" s="8" t="n"/>
    </row>
    <row r="885">
      <c r="A885" s="5" t="n"/>
      <c r="D885" s="10" t="n"/>
      <c r="F885" s="9" t="n"/>
      <c r="H885" s="8" t="n"/>
    </row>
    <row r="886">
      <c r="A886" s="5" t="n"/>
      <c r="D886" s="10" t="n"/>
      <c r="F886" s="9" t="n"/>
      <c r="H886" s="8" t="n"/>
    </row>
    <row r="887">
      <c r="A887" s="5" t="n"/>
      <c r="D887" s="10" t="n"/>
      <c r="F887" s="9" t="n"/>
      <c r="H887" s="8" t="n"/>
    </row>
    <row r="888">
      <c r="A888" s="5" t="n"/>
      <c r="D888" s="10" t="n"/>
      <c r="F888" s="9" t="n"/>
      <c r="H888" s="8" t="n"/>
    </row>
    <row r="889">
      <c r="A889" s="5" t="n"/>
      <c r="D889" s="10" t="n"/>
      <c r="F889" s="9" t="n"/>
      <c r="H889" s="8" t="n"/>
    </row>
    <row r="890">
      <c r="A890" s="5" t="n"/>
      <c r="D890" s="10" t="n"/>
      <c r="F890" s="9" t="n"/>
      <c r="H890" s="8" t="n"/>
    </row>
    <row r="891">
      <c r="A891" s="5" t="n"/>
      <c r="D891" s="10" t="n"/>
      <c r="F891" s="9" t="n"/>
      <c r="H891" s="8" t="n"/>
    </row>
    <row r="892">
      <c r="A892" s="5" t="n"/>
      <c r="D892" s="10" t="n"/>
      <c r="F892" s="9" t="n"/>
      <c r="H892" s="8" t="n"/>
    </row>
    <row r="893">
      <c r="A893" s="5" t="n"/>
      <c r="D893" s="10" t="n"/>
      <c r="F893" s="9" t="n"/>
      <c r="H893" s="8" t="n"/>
    </row>
    <row r="894">
      <c r="A894" s="5" t="n"/>
      <c r="D894" s="10" t="n"/>
      <c r="F894" s="9" t="n"/>
      <c r="H894" s="8" t="n"/>
    </row>
    <row r="895">
      <c r="A895" s="5" t="n"/>
      <c r="D895" s="10" t="n"/>
      <c r="F895" s="9" t="n"/>
      <c r="H895" s="8" t="n"/>
    </row>
    <row r="896">
      <c r="A896" s="5" t="n"/>
      <c r="D896" s="10" t="n"/>
      <c r="F896" s="9" t="n"/>
      <c r="H896" s="8" t="n"/>
    </row>
    <row r="897">
      <c r="A897" s="5" t="n"/>
      <c r="D897" s="10" t="n"/>
      <c r="F897" s="9" t="n"/>
      <c r="H897" s="8" t="n"/>
    </row>
    <row r="898">
      <c r="A898" s="5" t="n"/>
      <c r="D898" s="10" t="n"/>
      <c r="F898" s="9" t="n"/>
      <c r="H898" s="8" t="n"/>
    </row>
    <row r="899">
      <c r="A899" s="5" t="n"/>
      <c r="D899" s="10" t="n"/>
      <c r="F899" s="9" t="n"/>
      <c r="H899" s="8" t="n"/>
    </row>
    <row r="900">
      <c r="A900" s="5" t="n"/>
      <c r="D900" s="10" t="n"/>
      <c r="F900" s="9" t="n"/>
      <c r="H900" s="8" t="n"/>
    </row>
    <row r="901">
      <c r="A901" s="5" t="n"/>
      <c r="D901" s="10" t="n"/>
      <c r="F901" s="9" t="n"/>
      <c r="H901" s="8" t="n"/>
    </row>
    <row r="902">
      <c r="A902" s="5" t="n"/>
      <c r="D902" s="10" t="n"/>
      <c r="F902" s="9" t="n"/>
      <c r="H902" s="8" t="n"/>
    </row>
    <row r="903">
      <c r="A903" s="5" t="n"/>
      <c r="D903" s="10" t="n"/>
      <c r="F903" s="9" t="n"/>
      <c r="H903" s="8" t="n"/>
    </row>
    <row r="904">
      <c r="A904" s="5" t="n"/>
      <c r="D904" s="10" t="n"/>
      <c r="F904" s="9" t="n"/>
      <c r="H904" s="8" t="n"/>
    </row>
    <row r="905">
      <c r="A905" s="5" t="n"/>
      <c r="D905" s="10" t="n"/>
      <c r="F905" s="9" t="n"/>
      <c r="H905" s="8" t="n"/>
    </row>
    <row r="906">
      <c r="A906" s="5" t="n"/>
      <c r="D906" s="10" t="n"/>
      <c r="F906" s="9" t="n"/>
      <c r="H906" s="8" t="n"/>
    </row>
    <row r="907">
      <c r="A907" s="5" t="n"/>
      <c r="D907" s="10" t="n"/>
      <c r="F907" s="9" t="n"/>
      <c r="H907" s="8" t="n"/>
    </row>
    <row r="908">
      <c r="A908" s="5" t="n"/>
      <c r="D908" s="10" t="n"/>
      <c r="F908" s="9" t="n"/>
      <c r="H908" s="8" t="n"/>
    </row>
    <row r="909">
      <c r="A909" s="5" t="n"/>
      <c r="D909" s="10" t="n"/>
      <c r="F909" s="9" t="n"/>
      <c r="H909" s="8" t="n"/>
    </row>
    <row r="910">
      <c r="A910" s="5" t="n"/>
      <c r="D910" s="10" t="n"/>
      <c r="F910" s="9" t="n"/>
      <c r="H910" s="8" t="n"/>
    </row>
    <row r="911">
      <c r="A911" s="5" t="n"/>
      <c r="D911" s="10" t="n"/>
      <c r="F911" s="9" t="n"/>
      <c r="H911" s="8" t="n"/>
    </row>
    <row r="912">
      <c r="A912" s="5" t="n"/>
      <c r="D912" s="10" t="n"/>
      <c r="F912" s="9" t="n"/>
      <c r="H912" s="8" t="n"/>
    </row>
    <row r="913">
      <c r="A913" s="5" t="n"/>
      <c r="D913" s="10" t="n"/>
      <c r="F913" s="9" t="n"/>
      <c r="H913" s="8" t="n"/>
    </row>
    <row r="914">
      <c r="A914" s="5" t="n"/>
      <c r="D914" s="10" t="n"/>
      <c r="F914" s="9" t="n"/>
      <c r="H914" s="8" t="n"/>
    </row>
    <row r="915">
      <c r="A915" s="5" t="n"/>
      <c r="D915" s="10" t="n"/>
      <c r="F915" s="9" t="n"/>
      <c r="H915" s="8" t="n"/>
    </row>
    <row r="916">
      <c r="A916" s="5" t="n"/>
      <c r="D916" s="10" t="n"/>
      <c r="F916" s="9" t="n"/>
      <c r="H916" s="8" t="n"/>
    </row>
    <row r="917">
      <c r="A917" s="5" t="n"/>
      <c r="D917" s="10" t="n"/>
      <c r="F917" s="9" t="n"/>
      <c r="H917" s="8" t="n"/>
    </row>
    <row r="918">
      <c r="A918" s="5" t="n"/>
      <c r="D918" s="10" t="n"/>
      <c r="F918" s="9" t="n"/>
      <c r="H918" s="8" t="n"/>
    </row>
    <row r="919">
      <c r="A919" s="5" t="n"/>
      <c r="D919" s="10" t="n"/>
      <c r="F919" s="9" t="n"/>
      <c r="H919" s="8" t="n"/>
    </row>
    <row r="920">
      <c r="A920" s="5" t="n"/>
      <c r="D920" s="10" t="n"/>
      <c r="F920" s="9" t="n"/>
      <c r="H920" s="8" t="n"/>
    </row>
    <row r="921">
      <c r="A921" s="5" t="n"/>
      <c r="D921" s="10" t="n"/>
      <c r="F921" s="9" t="n"/>
      <c r="H921" s="8" t="n"/>
    </row>
    <row r="922">
      <c r="A922" s="5" t="n"/>
      <c r="D922" s="10" t="n"/>
      <c r="F922" s="9" t="n"/>
      <c r="H922" s="8" t="n"/>
    </row>
    <row r="923">
      <c r="A923" s="5" t="n"/>
      <c r="D923" s="10" t="n"/>
      <c r="F923" s="9" t="n"/>
      <c r="H923" s="8" t="n"/>
    </row>
    <row r="924">
      <c r="A924" s="5" t="n"/>
      <c r="D924" s="10" t="n"/>
      <c r="F924" s="9" t="n"/>
      <c r="H924" s="8" t="n"/>
    </row>
    <row r="925">
      <c r="A925" s="5" t="n"/>
      <c r="D925" s="10" t="n"/>
      <c r="F925" s="9" t="n"/>
      <c r="H925" s="8" t="n"/>
    </row>
    <row r="926">
      <c r="A926" s="5" t="n"/>
      <c r="D926" s="10" t="n"/>
      <c r="F926" s="9" t="n"/>
      <c r="H926" s="8" t="n"/>
    </row>
    <row r="927">
      <c r="A927" s="5" t="n"/>
      <c r="D927" s="10" t="n"/>
      <c r="F927" s="9" t="n"/>
      <c r="H927" s="8" t="n"/>
    </row>
    <row r="928">
      <c r="A928" s="5" t="n"/>
      <c r="D928" s="10" t="n"/>
      <c r="F928" s="9" t="n"/>
      <c r="H928" s="8" t="n"/>
    </row>
    <row r="929">
      <c r="A929" s="5" t="n"/>
      <c r="D929" s="10" t="n"/>
      <c r="F929" s="9" t="n"/>
      <c r="H929" s="8" t="n"/>
    </row>
    <row r="930">
      <c r="A930" s="5" t="n"/>
      <c r="D930" s="10" t="n"/>
      <c r="F930" s="9" t="n"/>
      <c r="H930" s="8" t="n"/>
    </row>
    <row r="931">
      <c r="A931" s="5" t="n"/>
      <c r="D931" s="10" t="n"/>
      <c r="F931" s="9" t="n"/>
      <c r="H931" s="8" t="n"/>
    </row>
    <row r="932">
      <c r="A932" s="5" t="n"/>
      <c r="D932" s="10" t="n"/>
      <c r="F932" s="9" t="n"/>
      <c r="H932" s="8" t="n"/>
    </row>
    <row r="933">
      <c r="A933" s="5" t="n"/>
      <c r="D933" s="10" t="n"/>
      <c r="F933" s="9" t="n"/>
      <c r="H933" s="8" t="n"/>
    </row>
    <row r="934">
      <c r="A934" s="5" t="n"/>
      <c r="D934" s="10" t="n"/>
      <c r="F934" s="9" t="n"/>
      <c r="H934" s="8" t="n"/>
    </row>
    <row r="935">
      <c r="A935" s="5" t="n"/>
      <c r="D935" s="10" t="n"/>
      <c r="F935" s="9" t="n"/>
      <c r="H935" s="8" t="n"/>
    </row>
    <row r="936">
      <c r="A936" s="5" t="n"/>
      <c r="D936" s="10" t="n"/>
      <c r="F936" s="9" t="n"/>
      <c r="H936" s="8" t="n"/>
    </row>
    <row r="937">
      <c r="A937" s="5" t="n"/>
      <c r="D937" s="10" t="n"/>
      <c r="F937" s="9" t="n"/>
      <c r="H937" s="8" t="n"/>
    </row>
    <row r="938">
      <c r="A938" s="5" t="n"/>
      <c r="D938" s="10" t="n"/>
      <c r="F938" s="9" t="n"/>
      <c r="H938" s="8" t="n"/>
    </row>
    <row r="939">
      <c r="A939" s="5" t="n"/>
      <c r="D939" s="10" t="n"/>
      <c r="F939" s="9" t="n"/>
      <c r="H939" s="8" t="n"/>
    </row>
    <row r="940">
      <c r="A940" s="5" t="n"/>
      <c r="D940" s="10" t="n"/>
      <c r="F940" s="9" t="n"/>
      <c r="H940" s="8" t="n"/>
    </row>
    <row r="941">
      <c r="A941" s="5" t="n"/>
      <c r="D941" s="10" t="n"/>
      <c r="F941" s="9" t="n"/>
      <c r="H941" s="8" t="n"/>
    </row>
    <row r="942">
      <c r="A942" s="7" t="n"/>
      <c r="D942" s="10" t="n"/>
      <c r="F942" s="9" t="n"/>
      <c r="H942" s="8" t="n"/>
    </row>
    <row r="943">
      <c r="D943" s="10" t="n"/>
      <c r="F943" s="9" t="n"/>
      <c r="H943" s="8" t="n"/>
    </row>
    <row r="944">
      <c r="D944" s="10" t="n"/>
      <c r="F944" s="9" t="n"/>
      <c r="H944" s="8" t="n"/>
    </row>
    <row r="945">
      <c r="D945" s="10" t="n"/>
      <c r="F945" s="9" t="n"/>
      <c r="H945" s="8" t="n"/>
    </row>
    <row r="946">
      <c r="D946" s="10" t="n"/>
      <c r="F946" s="9" t="n"/>
      <c r="H946" s="8" t="n"/>
    </row>
    <row r="947">
      <c r="D947" s="10" t="n"/>
      <c r="F947" s="9" t="n"/>
      <c r="H947" s="8" t="n"/>
    </row>
    <row r="948">
      <c r="D948" s="10" t="n"/>
      <c r="F948" s="9" t="n"/>
      <c r="H948" s="8" t="n"/>
    </row>
    <row r="949">
      <c r="D949" s="10" t="n"/>
      <c r="F949" s="9" t="n"/>
      <c r="H949" s="8" t="n"/>
    </row>
    <row r="950">
      <c r="D950" s="10" t="n"/>
      <c r="F950" s="9" t="n"/>
      <c r="H950" s="8" t="n"/>
    </row>
    <row r="951">
      <c r="D951" s="10" t="n"/>
      <c r="F951" s="9" t="n"/>
      <c r="H951" s="8" t="n"/>
    </row>
    <row r="952">
      <c r="D952" s="10" t="n"/>
      <c r="F952" s="9" t="n"/>
      <c r="H952" s="8" t="n"/>
    </row>
    <row r="953">
      <c r="D953" s="10" t="n"/>
      <c r="F953" s="9" t="n"/>
      <c r="H953" s="8" t="n"/>
    </row>
    <row r="954">
      <c r="D954" s="10" t="n"/>
      <c r="F954" s="9" t="n"/>
      <c r="H954" s="8" t="n"/>
    </row>
    <row r="955">
      <c r="D955" s="10" t="n"/>
      <c r="F955" s="9" t="n"/>
      <c r="H955" s="8" t="n"/>
    </row>
    <row r="956">
      <c r="D956" s="10" t="n"/>
      <c r="F956" s="9" t="n"/>
      <c r="H956" s="8" t="n"/>
    </row>
    <row r="957">
      <c r="D957" s="10" t="n"/>
      <c r="F957" s="9" t="n"/>
      <c r="H957" s="8" t="n"/>
    </row>
    <row r="958">
      <c r="D958" s="10" t="n"/>
      <c r="F958" s="9" t="n"/>
      <c r="H958" s="8" t="n"/>
    </row>
    <row r="959">
      <c r="D959" s="10" t="n"/>
      <c r="F959" s="9" t="n"/>
      <c r="H959" s="8" t="n"/>
    </row>
    <row r="960">
      <c r="D960" s="10" t="n"/>
      <c r="F960" s="9" t="n"/>
      <c r="H960" s="8" t="n"/>
    </row>
    <row r="961">
      <c r="D961" s="10" t="n"/>
      <c r="F961" s="9" t="n"/>
      <c r="H961" s="8" t="n"/>
    </row>
    <row r="962">
      <c r="D962" s="10" t="n"/>
      <c r="F962" s="9" t="n"/>
      <c r="H962" s="8" t="n"/>
    </row>
    <row r="963">
      <c r="D963" s="10" t="n"/>
      <c r="F963" s="9" t="n"/>
      <c r="H963" s="8" t="n"/>
    </row>
    <row r="964">
      <c r="D964" s="10" t="n"/>
      <c r="F964" s="9" t="n"/>
      <c r="H964" s="8" t="n"/>
    </row>
    <row r="965">
      <c r="D965" s="10" t="n"/>
      <c r="F965" s="9" t="n"/>
      <c r="H965" s="8" t="n"/>
    </row>
    <row r="966">
      <c r="D966" s="10" t="n"/>
      <c r="F966" s="9" t="n"/>
      <c r="H966" s="8" t="n"/>
    </row>
    <row r="967">
      <c r="D967" s="10" t="n"/>
      <c r="F967" s="9" t="n"/>
      <c r="H967" s="8" t="n"/>
    </row>
    <row r="968">
      <c r="D968" s="10" t="n"/>
      <c r="F968" s="9" t="n"/>
      <c r="H968" s="8" t="n"/>
    </row>
    <row r="969">
      <c r="D969" s="10" t="n"/>
      <c r="F969" s="9" t="n"/>
      <c r="H969" s="8" t="n"/>
    </row>
    <row r="970">
      <c r="D970" s="10" t="n"/>
      <c r="F970" s="9" t="n"/>
      <c r="H970" s="8" t="n"/>
    </row>
    <row r="971">
      <c r="D971" s="10" t="n"/>
      <c r="F971" s="9" t="n"/>
      <c r="H971" s="8" t="n"/>
    </row>
    <row r="972">
      <c r="D972" s="10" t="n"/>
      <c r="F972" s="9" t="n"/>
      <c r="H972" s="8" t="n"/>
    </row>
    <row r="973">
      <c r="D973" s="10" t="n"/>
      <c r="F973" s="9" t="n"/>
      <c r="H973" s="8" t="n"/>
    </row>
    <row r="974">
      <c r="D974" s="10" t="n"/>
      <c r="F974" s="9" t="n"/>
      <c r="H974" s="8" t="n"/>
    </row>
    <row r="975">
      <c r="D975" s="10" t="n"/>
      <c r="F975" s="9" t="n"/>
      <c r="H975" s="8" t="n"/>
    </row>
    <row r="976">
      <c r="D976" s="10" t="n"/>
      <c r="F976" s="9" t="n"/>
      <c r="H976" s="8" t="n"/>
    </row>
    <row r="977">
      <c r="D977" s="10" t="n"/>
      <c r="F977" s="9" t="n"/>
      <c r="H977" s="8" t="n"/>
    </row>
    <row r="978">
      <c r="D978" s="10" t="n"/>
      <c r="F978" s="9" t="n"/>
      <c r="H978" s="8" t="n"/>
    </row>
    <row r="979">
      <c r="D979" s="10" t="n"/>
      <c r="F979" s="9" t="n"/>
      <c r="H979" s="8" t="n"/>
    </row>
    <row r="980">
      <c r="D980" s="10" t="n"/>
      <c r="F980" s="9" t="n"/>
      <c r="H980" s="8" t="n"/>
    </row>
    <row r="981">
      <c r="D981" s="10" t="n"/>
      <c r="F981" s="9" t="n"/>
      <c r="H981" s="8" t="n"/>
    </row>
    <row r="982">
      <c r="D982" s="10" t="n"/>
      <c r="F982" s="9" t="n"/>
      <c r="H982" s="8" t="n"/>
    </row>
    <row r="983">
      <c r="D983" s="10" t="n"/>
      <c r="F983" s="9" t="n"/>
      <c r="H983" s="8" t="n"/>
    </row>
    <row r="984">
      <c r="D984" s="10" t="n"/>
      <c r="F984" s="9" t="n"/>
      <c r="H984" s="8" t="n"/>
    </row>
    <row r="985">
      <c r="D985" s="10" t="n"/>
      <c r="F985" s="9" t="n"/>
      <c r="H985" s="8" t="n"/>
    </row>
    <row r="986">
      <c r="D986" s="10" t="n"/>
      <c r="F986" s="9" t="n"/>
      <c r="H986" s="8" t="n"/>
    </row>
    <row r="987">
      <c r="D987" s="10" t="n"/>
      <c r="F987" s="9" t="n"/>
      <c r="H987" s="8" t="n"/>
    </row>
    <row r="988">
      <c r="D988" s="10" t="n"/>
      <c r="F988" s="9" t="n"/>
      <c r="H988" s="8" t="n"/>
    </row>
    <row r="989">
      <c r="D989" s="10" t="n"/>
      <c r="F989" s="9" t="n"/>
      <c r="H989" s="8" t="n"/>
    </row>
    <row r="990">
      <c r="D990" s="10" t="n"/>
      <c r="F990" s="9" t="n"/>
      <c r="H990" s="8" t="n"/>
    </row>
    <row r="991">
      <c r="D991" s="10" t="n"/>
      <c r="F991" s="9" t="n"/>
      <c r="H991" s="8" t="n"/>
    </row>
    <row r="992">
      <c r="D992" s="10" t="n"/>
      <c r="F992" s="9" t="n"/>
      <c r="H992" s="8" t="n"/>
    </row>
    <row r="993">
      <c r="D993" s="10" t="n"/>
      <c r="F993" s="9" t="n"/>
      <c r="H993" s="8" t="n"/>
    </row>
    <row r="994">
      <c r="D994" s="10" t="n"/>
      <c r="F994" s="9" t="n"/>
      <c r="H994" s="8" t="n"/>
    </row>
    <row r="995">
      <c r="D995" s="10" t="n"/>
      <c r="F995" s="9" t="n"/>
      <c r="H995" s="8" t="n"/>
    </row>
    <row r="996">
      <c r="D996" s="10" t="n"/>
      <c r="F996" s="9" t="n"/>
      <c r="H996" s="8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BX64"/>
  <sheetViews>
    <sheetView workbookViewId="0">
      <selection activeCell="A1" sqref="A1"/>
    </sheetView>
  </sheetViews>
  <sheetFormatPr baseColWidth="8" defaultColWidth="14.42578125" defaultRowHeight="15" customHeight="1"/>
  <cols>
    <col width="36.140625" customWidth="1" min="1" max="1"/>
    <col hidden="1" width="14.42578125" customWidth="1" min="2" max="2"/>
  </cols>
  <sheetData>
    <row r="1">
      <c r="A1" s="100" t="inlineStr">
        <is>
          <t>Expense Head</t>
        </is>
      </c>
      <c r="B1" s="100" t="n"/>
      <c r="C1" s="100">
        <f t="array" ref="C1:BN1">TRANSPOSE('INCOME-EXPENSE-CYCLES'!A3:A66)</f>
        <v/>
      </c>
      <c r="D1" s="100" t="inlineStr">
        <is>
          <t>F2</t>
        </is>
      </c>
      <c r="E1" s="100" t="inlineStr">
        <is>
          <t>F3</t>
        </is>
      </c>
      <c r="F1" s="100" t="inlineStr">
        <is>
          <t>F4</t>
        </is>
      </c>
      <c r="G1" s="100" t="inlineStr">
        <is>
          <t>F5</t>
        </is>
      </c>
      <c r="H1" s="100" t="inlineStr">
        <is>
          <t>F6</t>
        </is>
      </c>
      <c r="I1" s="100" t="inlineStr">
        <is>
          <t>F7</t>
        </is>
      </c>
      <c r="J1" s="100" t="inlineStr">
        <is>
          <t>F8</t>
        </is>
      </c>
      <c r="K1" s="100" t="inlineStr">
        <is>
          <t>F9</t>
        </is>
      </c>
      <c r="L1" s="100" t="inlineStr">
        <is>
          <t>F10</t>
        </is>
      </c>
      <c r="M1" s="100" t="inlineStr">
        <is>
          <t>F11</t>
        </is>
      </c>
      <c r="N1" s="100" t="inlineStr">
        <is>
          <t>F12</t>
        </is>
      </c>
      <c r="O1" s="100" t="inlineStr">
        <is>
          <t>F13</t>
        </is>
      </c>
      <c r="P1" s="100" t="inlineStr">
        <is>
          <t>F14</t>
        </is>
      </c>
      <c r="Q1" s="100" t="inlineStr">
        <is>
          <t>F15</t>
        </is>
      </c>
      <c r="R1" s="100" t="inlineStr">
        <is>
          <t>F16</t>
        </is>
      </c>
      <c r="S1" s="100" t="inlineStr">
        <is>
          <t>G1</t>
        </is>
      </c>
      <c r="T1" s="100" t="inlineStr">
        <is>
          <t>G2</t>
        </is>
      </c>
      <c r="U1" s="100" t="inlineStr">
        <is>
          <t>G3</t>
        </is>
      </c>
      <c r="V1" s="100" t="inlineStr">
        <is>
          <t>G4</t>
        </is>
      </c>
      <c r="W1" s="100" t="inlineStr">
        <is>
          <t>G5</t>
        </is>
      </c>
      <c r="X1" s="100" t="inlineStr">
        <is>
          <t>G6</t>
        </is>
      </c>
      <c r="Y1" s="100" t="inlineStr">
        <is>
          <t>G7</t>
        </is>
      </c>
      <c r="Z1" s="100" t="inlineStr">
        <is>
          <t>G8</t>
        </is>
      </c>
      <c r="AA1" s="100" t="inlineStr">
        <is>
          <t>G9</t>
        </is>
      </c>
      <c r="AB1" s="100" t="inlineStr">
        <is>
          <t>G10</t>
        </is>
      </c>
      <c r="AC1" s="100" t="inlineStr">
        <is>
          <t>G11</t>
        </is>
      </c>
      <c r="AD1" s="100" t="inlineStr">
        <is>
          <t>G12</t>
        </is>
      </c>
      <c r="AE1" s="100" t="inlineStr">
        <is>
          <t>G13</t>
        </is>
      </c>
      <c r="AF1" s="100" t="inlineStr">
        <is>
          <t>G14</t>
        </is>
      </c>
      <c r="AG1" s="100" t="inlineStr">
        <is>
          <t>G15</t>
        </is>
      </c>
      <c r="AH1" s="100" t="inlineStr">
        <is>
          <t>G16</t>
        </is>
      </c>
      <c r="AI1" s="100" t="inlineStr">
        <is>
          <t>S1</t>
        </is>
      </c>
      <c r="AJ1" s="100" t="inlineStr">
        <is>
          <t>S2</t>
        </is>
      </c>
      <c r="AK1" s="100" t="inlineStr">
        <is>
          <t>S3</t>
        </is>
      </c>
      <c r="AL1" s="100" t="inlineStr">
        <is>
          <t>S4</t>
        </is>
      </c>
      <c r="AM1" s="100" t="inlineStr">
        <is>
          <t>S5</t>
        </is>
      </c>
      <c r="AN1" s="100" t="inlineStr">
        <is>
          <t>S6</t>
        </is>
      </c>
      <c r="AO1" s="100" t="inlineStr">
        <is>
          <t>S7</t>
        </is>
      </c>
      <c r="AP1" s="100" t="inlineStr">
        <is>
          <t>S8</t>
        </is>
      </c>
      <c r="AQ1" s="100" t="inlineStr">
        <is>
          <t>S9</t>
        </is>
      </c>
      <c r="AR1" s="100" t="inlineStr">
        <is>
          <t>S10</t>
        </is>
      </c>
      <c r="AS1" s="100" t="inlineStr">
        <is>
          <t>S11</t>
        </is>
      </c>
      <c r="AT1" s="100" t="inlineStr">
        <is>
          <t>S12</t>
        </is>
      </c>
      <c r="AU1" s="100" t="inlineStr">
        <is>
          <t>S13</t>
        </is>
      </c>
      <c r="AV1" s="100" t="inlineStr">
        <is>
          <t>S14</t>
        </is>
      </c>
      <c r="AW1" s="100" t="inlineStr">
        <is>
          <t>S15</t>
        </is>
      </c>
      <c r="AX1" s="100" t="inlineStr">
        <is>
          <t>S16</t>
        </is>
      </c>
      <c r="AY1" s="100" t="inlineStr">
        <is>
          <t>T1</t>
        </is>
      </c>
      <c r="AZ1" s="100" t="inlineStr">
        <is>
          <t>T2</t>
        </is>
      </c>
      <c r="BA1" s="100" t="inlineStr">
        <is>
          <t>T3</t>
        </is>
      </c>
      <c r="BB1" s="100" t="inlineStr">
        <is>
          <t>T4</t>
        </is>
      </c>
      <c r="BC1" s="100" t="inlineStr">
        <is>
          <t>T5</t>
        </is>
      </c>
      <c r="BD1" s="100" t="inlineStr">
        <is>
          <t>T6</t>
        </is>
      </c>
      <c r="BE1" s="100" t="inlineStr">
        <is>
          <t>T7</t>
        </is>
      </c>
      <c r="BF1" s="100" t="inlineStr">
        <is>
          <t>T8</t>
        </is>
      </c>
      <c r="BG1" s="100" t="inlineStr">
        <is>
          <t>T9</t>
        </is>
      </c>
      <c r="BH1" s="100" t="inlineStr">
        <is>
          <t>T10</t>
        </is>
      </c>
      <c r="BI1" s="100" t="inlineStr">
        <is>
          <t>T11</t>
        </is>
      </c>
      <c r="BJ1" s="100" t="inlineStr">
        <is>
          <t>T12</t>
        </is>
      </c>
      <c r="BK1" s="100" t="inlineStr">
        <is>
          <t>T13</t>
        </is>
      </c>
      <c r="BL1" s="100" t="inlineStr">
        <is>
          <t>T14</t>
        </is>
      </c>
      <c r="BM1" s="100" t="inlineStr">
        <is>
          <t>T15</t>
        </is>
      </c>
      <c r="BN1" s="100" t="inlineStr">
        <is>
          <t>T16</t>
        </is>
      </c>
      <c r="BO1" s="100" t="n"/>
      <c r="BP1" s="100" t="n"/>
      <c r="BQ1" s="100" t="n"/>
      <c r="BR1" s="100" t="n"/>
      <c r="BS1" s="100" t="n"/>
      <c r="BT1" s="100" t="n"/>
      <c r="BU1" s="100" t="n"/>
      <c r="BV1" s="100" t="n"/>
      <c r="BW1" s="100" t="n"/>
      <c r="BX1" s="100" t="n"/>
    </row>
    <row r="2">
      <c r="A2" s="36" t="inlineStr">
        <is>
          <t>Water consumption (Litres)</t>
        </is>
      </c>
      <c r="B2" s="36" t="n"/>
      <c r="C2" s="43">
        <f t="array" ref="C2:BN2">TRANSPOSE('July2026-EXPENSE'!E6:E69)</f>
        <v/>
      </c>
      <c r="D2" s="43" t="n">
        <v>0</v>
      </c>
      <c r="E2" s="43" t="n">
        <v>0</v>
      </c>
      <c r="F2" s="43" t="n">
        <v>0</v>
      </c>
      <c r="G2" s="43" t="n">
        <v>0</v>
      </c>
      <c r="H2" s="43" t="n">
        <v>0</v>
      </c>
      <c r="I2" s="43" t="n">
        <v>0</v>
      </c>
      <c r="J2" s="43" t="n">
        <v>0</v>
      </c>
      <c r="K2" s="43" t="n">
        <v>0</v>
      </c>
      <c r="L2" s="43" t="n">
        <v>0</v>
      </c>
      <c r="M2" s="43" t="n">
        <v>0</v>
      </c>
      <c r="N2" s="43" t="n">
        <v>0</v>
      </c>
      <c r="O2" s="43" t="n">
        <v>0</v>
      </c>
      <c r="P2" s="43" t="n">
        <v>0</v>
      </c>
      <c r="Q2" s="43" t="n">
        <v>0</v>
      </c>
      <c r="R2" s="43" t="n">
        <v>0</v>
      </c>
      <c r="S2" s="43" t="n">
        <v>0</v>
      </c>
      <c r="T2" s="43" t="n">
        <v>0</v>
      </c>
      <c r="U2" s="43" t="n">
        <v>0</v>
      </c>
      <c r="V2" s="43" t="n">
        <v>0</v>
      </c>
      <c r="W2" s="43" t="n">
        <v>0</v>
      </c>
      <c r="X2" s="43" t="n">
        <v>0</v>
      </c>
      <c r="Y2" s="43" t="n">
        <v>0</v>
      </c>
      <c r="Z2" s="43" t="n">
        <v>0</v>
      </c>
      <c r="AA2" s="43" t="n">
        <v>0</v>
      </c>
      <c r="AB2" s="43" t="n">
        <v>0</v>
      </c>
      <c r="AC2" s="43" t="n">
        <v>0</v>
      </c>
      <c r="AD2" s="43" t="n">
        <v>0</v>
      </c>
      <c r="AE2" s="43" t="n">
        <v>0</v>
      </c>
      <c r="AF2" s="43" t="n">
        <v>0</v>
      </c>
      <c r="AG2" s="43" t="n">
        <v>0</v>
      </c>
      <c r="AH2" s="43" t="n">
        <v>0</v>
      </c>
      <c r="AI2" s="43" t="n">
        <v>0</v>
      </c>
      <c r="AJ2" s="43" t="n">
        <v>0</v>
      </c>
      <c r="AK2" s="43" t="n">
        <v>0</v>
      </c>
      <c r="AL2" s="43" t="n">
        <v>0</v>
      </c>
      <c r="AM2" s="43" t="n">
        <v>0</v>
      </c>
      <c r="AN2" s="43" t="n">
        <v>0</v>
      </c>
      <c r="AO2" s="43" t="n">
        <v>0</v>
      </c>
      <c r="AP2" s="43" t="n">
        <v>0</v>
      </c>
      <c r="AQ2" s="43" t="n">
        <v>0</v>
      </c>
      <c r="AR2" s="43" t="n">
        <v>0</v>
      </c>
      <c r="AS2" s="43" t="n">
        <v>0</v>
      </c>
      <c r="AT2" s="43" t="n">
        <v>0</v>
      </c>
      <c r="AU2" s="43" t="n">
        <v>0</v>
      </c>
      <c r="AV2" s="43" t="n">
        <v>0</v>
      </c>
      <c r="AW2" s="43" t="n">
        <v>0</v>
      </c>
      <c r="AX2" s="43" t="n">
        <v>0</v>
      </c>
      <c r="AY2" s="43" t="n">
        <v>0</v>
      </c>
      <c r="AZ2" s="43" t="n">
        <v>0</v>
      </c>
      <c r="BA2" s="43" t="n">
        <v>0</v>
      </c>
      <c r="BB2" s="43" t="n">
        <v>0</v>
      </c>
      <c r="BC2" s="43" t="n">
        <v>0</v>
      </c>
      <c r="BD2" s="43" t="n">
        <v>0</v>
      </c>
      <c r="BE2" s="43" t="n">
        <v>0</v>
      </c>
      <c r="BF2" s="43" t="n">
        <v>0</v>
      </c>
      <c r="BG2" s="43" t="n">
        <v>0</v>
      </c>
      <c r="BH2" s="43" t="n">
        <v>0</v>
      </c>
      <c r="BI2" s="43" t="n">
        <v>0</v>
      </c>
      <c r="BJ2" s="43" t="n">
        <v>0</v>
      </c>
      <c r="BK2" s="43" t="n">
        <v>0</v>
      </c>
      <c r="BL2" s="43" t="n">
        <v>0</v>
      </c>
      <c r="BM2" s="43" t="n">
        <v>0</v>
      </c>
      <c r="BN2" s="43" t="n">
        <v>0</v>
      </c>
      <c r="BO2" s="47" t="n"/>
      <c r="BP2" s="47" t="n"/>
      <c r="BQ2" s="47" t="n"/>
      <c r="BR2" s="47" t="n"/>
      <c r="BS2" s="47" t="n"/>
      <c r="BT2" s="47" t="n"/>
      <c r="BU2" s="47" t="n"/>
      <c r="BV2" s="47" t="n"/>
      <c r="BW2" s="47" t="n"/>
      <c r="BX2" s="47" t="n"/>
    </row>
    <row r="3">
      <c r="A3" s="37" t="inlineStr">
        <is>
          <t>Water consumption (%age of total)</t>
        </is>
      </c>
      <c r="B3" s="37" t="n"/>
      <c r="C3" s="64">
        <f t="array" ref="C3:BN3">TRANSPOSE('July2026-EXPENSE'!F6:F69)</f>
        <v/>
      </c>
      <c r="D3" s="64" t="n">
        <v>0</v>
      </c>
      <c r="E3" s="64" t="n">
        <v>0</v>
      </c>
      <c r="F3" s="64" t="n">
        <v>0</v>
      </c>
      <c r="G3" s="64" t="n">
        <v>0</v>
      </c>
      <c r="H3" s="64" t="n">
        <v>0</v>
      </c>
      <c r="I3" s="64" t="n">
        <v>0</v>
      </c>
      <c r="J3" s="64" t="n">
        <v>0</v>
      </c>
      <c r="K3" s="64" t="n">
        <v>0</v>
      </c>
      <c r="L3" s="64" t="n">
        <v>0</v>
      </c>
      <c r="M3" s="64" t="n">
        <v>0</v>
      </c>
      <c r="N3" s="64" t="n">
        <v>0</v>
      </c>
      <c r="O3" s="64" t="n">
        <v>0</v>
      </c>
      <c r="P3" s="64" t="n">
        <v>0</v>
      </c>
      <c r="Q3" s="64" t="n">
        <v>0</v>
      </c>
      <c r="R3" s="64" t="n">
        <v>0</v>
      </c>
      <c r="S3" s="64" t="n">
        <v>0</v>
      </c>
      <c r="T3" s="64" t="n">
        <v>0</v>
      </c>
      <c r="U3" s="64" t="n">
        <v>0</v>
      </c>
      <c r="V3" s="64" t="n">
        <v>0</v>
      </c>
      <c r="W3" s="64" t="n">
        <v>0</v>
      </c>
      <c r="X3" s="64" t="n">
        <v>0</v>
      </c>
      <c r="Y3" s="64" t="n">
        <v>0</v>
      </c>
      <c r="Z3" s="64" t="n">
        <v>0</v>
      </c>
      <c r="AA3" s="64" t="n">
        <v>0</v>
      </c>
      <c r="AB3" s="64" t="n">
        <v>0</v>
      </c>
      <c r="AC3" s="64" t="n">
        <v>0</v>
      </c>
      <c r="AD3" s="64" t="n">
        <v>0</v>
      </c>
      <c r="AE3" s="64" t="n">
        <v>0</v>
      </c>
      <c r="AF3" s="64" t="n">
        <v>0</v>
      </c>
      <c r="AG3" s="64" t="n">
        <v>0</v>
      </c>
      <c r="AH3" s="64" t="n">
        <v>0</v>
      </c>
      <c r="AI3" s="64" t="n">
        <v>0</v>
      </c>
      <c r="AJ3" s="64" t="n">
        <v>0</v>
      </c>
      <c r="AK3" s="64" t="n">
        <v>0</v>
      </c>
      <c r="AL3" s="64" t="n">
        <v>0</v>
      </c>
      <c r="AM3" s="64" t="n">
        <v>0</v>
      </c>
      <c r="AN3" s="64" t="n">
        <v>0</v>
      </c>
      <c r="AO3" s="64" t="n">
        <v>0</v>
      </c>
      <c r="AP3" s="64" t="n">
        <v>0</v>
      </c>
      <c r="AQ3" s="64" t="n">
        <v>0</v>
      </c>
      <c r="AR3" s="64" t="n">
        <v>0</v>
      </c>
      <c r="AS3" s="64" t="n">
        <v>0</v>
      </c>
      <c r="AT3" s="64" t="n">
        <v>0</v>
      </c>
      <c r="AU3" s="64" t="n">
        <v>0</v>
      </c>
      <c r="AV3" s="64" t="n">
        <v>0</v>
      </c>
      <c r="AW3" s="64" t="n">
        <v>0</v>
      </c>
      <c r="AX3" s="64" t="n">
        <v>0</v>
      </c>
      <c r="AY3" s="64" t="n">
        <v>0</v>
      </c>
      <c r="AZ3" s="64" t="n">
        <v>0</v>
      </c>
      <c r="BA3" s="64" t="n">
        <v>0</v>
      </c>
      <c r="BB3" s="64" t="n">
        <v>0</v>
      </c>
      <c r="BC3" s="64" t="n">
        <v>0</v>
      </c>
      <c r="BD3" s="64" t="n">
        <v>0</v>
      </c>
      <c r="BE3" s="64" t="n">
        <v>0</v>
      </c>
      <c r="BF3" s="64" t="n">
        <v>0</v>
      </c>
      <c r="BG3" s="64" t="n">
        <v>0</v>
      </c>
      <c r="BH3" s="64" t="n">
        <v>0</v>
      </c>
      <c r="BI3" s="64" t="n">
        <v>0</v>
      </c>
      <c r="BJ3" s="64" t="n">
        <v>0</v>
      </c>
      <c r="BK3" s="64" t="n">
        <v>0</v>
      </c>
      <c r="BL3" s="64" t="n">
        <v>0</v>
      </c>
      <c r="BM3" s="64" t="n">
        <v>0</v>
      </c>
      <c r="BN3" s="64" t="n">
        <v>0</v>
      </c>
      <c r="BO3" s="104" t="n"/>
      <c r="BP3" s="104" t="n"/>
      <c r="BQ3" s="104" t="n"/>
      <c r="BR3" s="104" t="n"/>
      <c r="BS3" s="104" t="n"/>
      <c r="BT3" s="104" t="n"/>
      <c r="BU3" s="104" t="n"/>
      <c r="BV3" s="104" t="n"/>
      <c r="BW3" s="104" t="n"/>
      <c r="BX3" s="104" t="n"/>
    </row>
    <row r="4">
      <c r="A4" s="36" t="inlineStr">
        <is>
          <t>Water meter rent</t>
        </is>
      </c>
      <c r="B4" s="36" t="n"/>
      <c r="C4" s="43">
        <f t="array" ref="C4:BN4">TRANSPOSE('July2026-EXPENSE'!I6:I69)</f>
        <v/>
      </c>
      <c r="D4" s="43" t="n">
        <v>471.246636</v>
      </c>
      <c r="E4" s="43" t="n">
        <v>471.246636</v>
      </c>
      <c r="F4" s="43" t="n">
        <v>471.246636</v>
      </c>
      <c r="G4" s="43" t="n">
        <v>353.434977</v>
      </c>
      <c r="H4" s="43" t="n">
        <v>353.434977</v>
      </c>
      <c r="I4" s="43" t="n">
        <v>353.434977</v>
      </c>
      <c r="J4" s="43" t="n">
        <v>353.434977</v>
      </c>
      <c r="K4" s="43" t="n">
        <v>471.246636</v>
      </c>
      <c r="L4" s="43" t="n">
        <v>353.434977</v>
      </c>
      <c r="M4" s="43" t="n">
        <v>353.434977</v>
      </c>
      <c r="N4" s="43" t="n">
        <v>353.434977</v>
      </c>
      <c r="O4" s="43" t="n">
        <v>471.246636</v>
      </c>
      <c r="P4" s="43" t="n">
        <v>471.246636</v>
      </c>
      <c r="Q4" s="43" t="n">
        <v>471.246636</v>
      </c>
      <c r="R4" s="43" t="n">
        <v>353.434977</v>
      </c>
      <c r="S4" s="43" t="n">
        <v>353.434977</v>
      </c>
      <c r="T4" s="43" t="n">
        <v>471.246636</v>
      </c>
      <c r="U4" s="43" t="n">
        <v>471.246636</v>
      </c>
      <c r="V4" s="43" t="n">
        <v>471.246636</v>
      </c>
      <c r="W4" s="43" t="n">
        <v>353.434977</v>
      </c>
      <c r="X4" s="43" t="n">
        <v>353.434977</v>
      </c>
      <c r="Y4" s="43" t="n">
        <v>353.434977</v>
      </c>
      <c r="Z4" s="43" t="n">
        <v>353.434977</v>
      </c>
      <c r="AA4" s="43" t="n">
        <v>589.058295</v>
      </c>
      <c r="AB4" s="43" t="n">
        <v>353.434977</v>
      </c>
      <c r="AC4" s="43" t="n">
        <v>353.434977</v>
      </c>
      <c r="AD4" s="43" t="n">
        <v>353.434977</v>
      </c>
      <c r="AE4" s="43" t="n">
        <v>471.246636</v>
      </c>
      <c r="AF4" s="43" t="n">
        <v>471.246636</v>
      </c>
      <c r="AG4" s="43" t="n">
        <v>471.246636</v>
      </c>
      <c r="AH4" s="43" t="n">
        <v>353.434977</v>
      </c>
      <c r="AI4" s="43" t="n">
        <v>353.434977</v>
      </c>
      <c r="AJ4" s="43" t="n">
        <v>471.246636</v>
      </c>
      <c r="AK4" s="43" t="n">
        <v>471.246636</v>
      </c>
      <c r="AL4" s="43" t="n">
        <v>353.434977</v>
      </c>
      <c r="AM4" s="43" t="n">
        <v>353.434977</v>
      </c>
      <c r="AN4" s="43" t="n">
        <v>353.434977</v>
      </c>
      <c r="AO4" s="43" t="n">
        <v>353.434977</v>
      </c>
      <c r="AP4" s="43" t="n">
        <v>353.434977</v>
      </c>
      <c r="AQ4" s="43" t="n">
        <v>471.246636</v>
      </c>
      <c r="AR4" s="43" t="n">
        <v>353.434977</v>
      </c>
      <c r="AS4" s="43" t="n">
        <v>353.434977</v>
      </c>
      <c r="AT4" s="43" t="n">
        <v>353.434977</v>
      </c>
      <c r="AU4" s="43" t="n">
        <v>471.246636</v>
      </c>
      <c r="AV4" s="43" t="n">
        <v>471.246636</v>
      </c>
      <c r="AW4" s="43" t="n">
        <v>471.246636</v>
      </c>
      <c r="AX4" s="43" t="n">
        <v>353.434977</v>
      </c>
      <c r="AY4" s="43" t="n">
        <v>353.434977</v>
      </c>
      <c r="AZ4" s="43" t="n">
        <v>471.246636</v>
      </c>
      <c r="BA4" s="43" t="n">
        <v>471.246636</v>
      </c>
      <c r="BB4" s="43" t="n">
        <v>471.246636</v>
      </c>
      <c r="BC4" s="43" t="n">
        <v>353.434977</v>
      </c>
      <c r="BD4" s="43" t="n">
        <v>353.434977</v>
      </c>
      <c r="BE4" s="43" t="n">
        <v>353.434977</v>
      </c>
      <c r="BF4" s="43" t="n">
        <v>353.434977</v>
      </c>
      <c r="BG4" s="43" t="n">
        <v>471.246636</v>
      </c>
      <c r="BH4" s="43" t="n">
        <v>353.434977</v>
      </c>
      <c r="BI4" s="43" t="n">
        <v>353.434977</v>
      </c>
      <c r="BJ4" s="43" t="n">
        <v>353.434977</v>
      </c>
      <c r="BK4" s="43" t="n">
        <v>471.246636</v>
      </c>
      <c r="BL4" s="43" t="n">
        <v>471.246636</v>
      </c>
      <c r="BM4" s="43" t="n">
        <v>471.246636</v>
      </c>
      <c r="BN4" s="43" t="n">
        <v>353.434977</v>
      </c>
      <c r="BO4" s="47" t="n"/>
      <c r="BP4" s="47" t="n"/>
      <c r="BQ4" s="47" t="n"/>
      <c r="BR4" s="47" t="n"/>
      <c r="BS4" s="47" t="n"/>
      <c r="BT4" s="47" t="n"/>
      <c r="BU4" s="47" t="n"/>
      <c r="BV4" s="47" t="n"/>
      <c r="BW4" s="47" t="n"/>
      <c r="BX4" s="47" t="n"/>
    </row>
    <row r="5">
      <c r="A5" s="37" t="inlineStr">
        <is>
          <t>Common meter rent (eq. distributed)</t>
        </is>
      </c>
      <c r="B5" s="37" t="n"/>
      <c r="C5" s="41">
        <f>'July2026-EXPENSE'!$T$9</f>
        <v/>
      </c>
      <c r="D5" s="41">
        <f>'July2026-EXPENSE'!$T$9</f>
        <v/>
      </c>
      <c r="E5" s="41">
        <f>'July2026-EXPENSE'!$T$9</f>
        <v/>
      </c>
      <c r="F5" s="41">
        <f>'July2026-EXPENSE'!$T$9</f>
        <v/>
      </c>
      <c r="G5" s="41">
        <f>'July2026-EXPENSE'!$T$9</f>
        <v/>
      </c>
      <c r="H5" s="41">
        <f>'July2026-EXPENSE'!$T$9</f>
        <v/>
      </c>
      <c r="I5" s="41">
        <f>'July2026-EXPENSE'!$T$9</f>
        <v/>
      </c>
      <c r="J5" s="41">
        <f>'July2026-EXPENSE'!$T$9</f>
        <v/>
      </c>
      <c r="K5" s="41">
        <f>'July2026-EXPENSE'!$T$9</f>
        <v/>
      </c>
      <c r="L5" s="41">
        <f>'July2026-EXPENSE'!$T$9</f>
        <v/>
      </c>
      <c r="M5" s="41">
        <f>'July2026-EXPENSE'!$T$9</f>
        <v/>
      </c>
      <c r="N5" s="41">
        <f>'July2026-EXPENSE'!$T$9</f>
        <v/>
      </c>
      <c r="O5" s="41">
        <f>'July2026-EXPENSE'!$T$9</f>
        <v/>
      </c>
      <c r="P5" s="41">
        <f>'July2026-EXPENSE'!$T$9</f>
        <v/>
      </c>
      <c r="Q5" s="41">
        <f>'July2026-EXPENSE'!$T$9</f>
        <v/>
      </c>
      <c r="R5" s="41">
        <f>'July2026-EXPENSE'!$T$9</f>
        <v/>
      </c>
      <c r="S5" s="41">
        <f>'July2026-EXPENSE'!$T$9</f>
        <v/>
      </c>
      <c r="T5" s="41">
        <f>'July2026-EXPENSE'!$T$9</f>
        <v/>
      </c>
      <c r="U5" s="41">
        <f>'July2026-EXPENSE'!$T$9</f>
        <v/>
      </c>
      <c r="V5" s="41">
        <f>'July2026-EXPENSE'!$T$9</f>
        <v/>
      </c>
      <c r="W5" s="41">
        <f>'July2026-EXPENSE'!$T$9</f>
        <v/>
      </c>
      <c r="X5" s="41">
        <f>'July2026-EXPENSE'!$T$9</f>
        <v/>
      </c>
      <c r="Y5" s="41">
        <f>'July2026-EXPENSE'!$T$9</f>
        <v/>
      </c>
      <c r="Z5" s="41">
        <f>'July2026-EXPENSE'!$T$9</f>
        <v/>
      </c>
      <c r="AA5" s="41">
        <f>'July2026-EXPENSE'!$T$9</f>
        <v/>
      </c>
      <c r="AB5" s="41">
        <f>'July2026-EXPENSE'!$T$9</f>
        <v/>
      </c>
      <c r="AC5" s="41">
        <f>'July2026-EXPENSE'!$T$9</f>
        <v/>
      </c>
      <c r="AD5" s="41">
        <f>'July2026-EXPENSE'!$T$9</f>
        <v/>
      </c>
      <c r="AE5" s="41">
        <f>'July2026-EXPENSE'!$T$9</f>
        <v/>
      </c>
      <c r="AF5" s="41">
        <f>'July2026-EXPENSE'!$T$9</f>
        <v/>
      </c>
      <c r="AG5" s="41">
        <f>'July2026-EXPENSE'!$T$9</f>
        <v/>
      </c>
      <c r="AH5" s="41">
        <f>'July2026-EXPENSE'!$T$9</f>
        <v/>
      </c>
      <c r="AI5" s="41">
        <f>'July2026-EXPENSE'!$T$9</f>
        <v/>
      </c>
      <c r="AJ5" s="41">
        <f>'July2026-EXPENSE'!$T$9</f>
        <v/>
      </c>
      <c r="AK5" s="41">
        <f>'July2026-EXPENSE'!$T$9</f>
        <v/>
      </c>
      <c r="AL5" s="41">
        <f>'July2026-EXPENSE'!$T$9</f>
        <v/>
      </c>
      <c r="AM5" s="41">
        <f>'July2026-EXPENSE'!$T$9</f>
        <v/>
      </c>
      <c r="AN5" s="41">
        <f>'July2026-EXPENSE'!$T$9</f>
        <v/>
      </c>
      <c r="AO5" s="41">
        <f>'July2026-EXPENSE'!$T$9</f>
        <v/>
      </c>
      <c r="AP5" s="41">
        <f>'July2026-EXPENSE'!$T$9</f>
        <v/>
      </c>
      <c r="AQ5" s="41">
        <f>'July2026-EXPENSE'!$T$9</f>
        <v/>
      </c>
      <c r="AR5" s="41">
        <f>'July2026-EXPENSE'!$T$9</f>
        <v/>
      </c>
      <c r="AS5" s="41">
        <f>'July2026-EXPENSE'!$T$9</f>
        <v/>
      </c>
      <c r="AT5" s="41">
        <f>'July2026-EXPENSE'!$T$9</f>
        <v/>
      </c>
      <c r="AU5" s="41">
        <f>'July2026-EXPENSE'!$T$9</f>
        <v/>
      </c>
      <c r="AV5" s="41">
        <f>'July2026-EXPENSE'!$T$9</f>
        <v/>
      </c>
      <c r="AW5" s="41">
        <f>'July2026-EXPENSE'!$T$9</f>
        <v/>
      </c>
      <c r="AX5" s="41">
        <f>'July2026-EXPENSE'!$T$9</f>
        <v/>
      </c>
      <c r="AY5" s="41">
        <f>'July2026-EXPENSE'!$T$9</f>
        <v/>
      </c>
      <c r="AZ5" s="41">
        <f>'July2026-EXPENSE'!$T$9</f>
        <v/>
      </c>
      <c r="BA5" s="41">
        <f>'July2026-EXPENSE'!$T$9</f>
        <v/>
      </c>
      <c r="BB5" s="41">
        <f>'July2026-EXPENSE'!$T$9</f>
        <v/>
      </c>
      <c r="BC5" s="41">
        <f>'July2026-EXPENSE'!$T$9</f>
        <v/>
      </c>
      <c r="BD5" s="41">
        <f>'July2026-EXPENSE'!$T$9</f>
        <v/>
      </c>
      <c r="BE5" s="41">
        <f>'July2026-EXPENSE'!$T$9</f>
        <v/>
      </c>
      <c r="BF5" s="41">
        <f>'July2026-EXPENSE'!$T$9</f>
        <v/>
      </c>
      <c r="BG5" s="41">
        <f>'July2026-EXPENSE'!$T$9</f>
        <v/>
      </c>
      <c r="BH5" s="41">
        <f>'July2026-EXPENSE'!$T$9</f>
        <v/>
      </c>
      <c r="BI5" s="41">
        <f>'July2026-EXPENSE'!$T$9</f>
        <v/>
      </c>
      <c r="BJ5" s="41">
        <f>'July2026-EXPENSE'!$T$9</f>
        <v/>
      </c>
      <c r="BK5" s="41">
        <f>'July2026-EXPENSE'!$T$9</f>
        <v/>
      </c>
      <c r="BL5" s="41">
        <f>'July2026-EXPENSE'!$T$9</f>
        <v/>
      </c>
      <c r="BM5" s="41">
        <f>'July2026-EXPENSE'!$T$9</f>
        <v/>
      </c>
      <c r="BN5" s="41">
        <f>'July2026-EXPENSE'!$T$9</f>
        <v/>
      </c>
      <c r="BO5" s="104" t="n"/>
      <c r="BP5" s="104" t="n"/>
      <c r="BQ5" s="104" t="n"/>
      <c r="BR5" s="104" t="n"/>
      <c r="BS5" s="104" t="n"/>
      <c r="BT5" s="104" t="n"/>
      <c r="BU5" s="104" t="n"/>
      <c r="BV5" s="104" t="n"/>
      <c r="BW5" s="104" t="n"/>
      <c r="BX5" s="104" t="n"/>
    </row>
    <row r="6">
      <c r="A6" s="36" t="inlineStr">
        <is>
          <t>Total water related expense</t>
        </is>
      </c>
      <c r="B6" s="36" t="n"/>
      <c r="C6" s="43">
        <f t="array" ref="C6:BN6">TRANSPOSE('July2026-EXPENSE'!J6:J69)</f>
        <v/>
      </c>
      <c r="D6" s="43" t="n">
        <v>476.769057515625</v>
      </c>
      <c r="E6" s="43" t="n">
        <v>476.769057515625</v>
      </c>
      <c r="F6" s="43" t="n">
        <v>476.769057515625</v>
      </c>
      <c r="G6" s="43" t="n">
        <v>358.957398515625</v>
      </c>
      <c r="H6" s="43" t="n">
        <v>358.957398515625</v>
      </c>
      <c r="I6" s="43" t="n">
        <v>358.957398515625</v>
      </c>
      <c r="J6" s="43" t="n">
        <v>358.957398515625</v>
      </c>
      <c r="K6" s="43" t="n">
        <v>476.769057515625</v>
      </c>
      <c r="L6" s="43" t="n">
        <v>358.957398515625</v>
      </c>
      <c r="M6" s="43" t="n">
        <v>358.957398515625</v>
      </c>
      <c r="N6" s="43" t="n">
        <v>358.957398515625</v>
      </c>
      <c r="O6" s="43" t="n">
        <v>476.769057515625</v>
      </c>
      <c r="P6" s="43" t="n">
        <v>476.769057515625</v>
      </c>
      <c r="Q6" s="43" t="n">
        <v>476.769057515625</v>
      </c>
      <c r="R6" s="43" t="n">
        <v>358.957398515625</v>
      </c>
      <c r="S6" s="43" t="n">
        <v>358.957398515625</v>
      </c>
      <c r="T6" s="43" t="n">
        <v>476.769057515625</v>
      </c>
      <c r="U6" s="43" t="n">
        <v>476.769057515625</v>
      </c>
      <c r="V6" s="43" t="n">
        <v>476.769057515625</v>
      </c>
      <c r="W6" s="43" t="n">
        <v>358.957398515625</v>
      </c>
      <c r="X6" s="43" t="n">
        <v>358.957398515625</v>
      </c>
      <c r="Y6" s="43" t="n">
        <v>358.957398515625</v>
      </c>
      <c r="Z6" s="43" t="n">
        <v>358.957398515625</v>
      </c>
      <c r="AA6" s="43" t="n">
        <v>594.580716515625</v>
      </c>
      <c r="AB6" s="43" t="n">
        <v>358.957398515625</v>
      </c>
      <c r="AC6" s="43" t="n">
        <v>358.957398515625</v>
      </c>
      <c r="AD6" s="43" t="n">
        <v>358.957398515625</v>
      </c>
      <c r="AE6" s="43" t="n">
        <v>476.769057515625</v>
      </c>
      <c r="AF6" s="43" t="n">
        <v>476.769057515625</v>
      </c>
      <c r="AG6" s="43" t="n">
        <v>476.769057515625</v>
      </c>
      <c r="AH6" s="43" t="n">
        <v>358.957398515625</v>
      </c>
      <c r="AI6" s="43" t="n">
        <v>358.957398515625</v>
      </c>
      <c r="AJ6" s="43" t="n">
        <v>476.769057515625</v>
      </c>
      <c r="AK6" s="43" t="n">
        <v>476.769057515625</v>
      </c>
      <c r="AL6" s="43" t="n">
        <v>358.957398515625</v>
      </c>
      <c r="AM6" s="43" t="n">
        <v>358.957398515625</v>
      </c>
      <c r="AN6" s="43" t="n">
        <v>358.957398515625</v>
      </c>
      <c r="AO6" s="43" t="n">
        <v>358.957398515625</v>
      </c>
      <c r="AP6" s="43" t="n">
        <v>358.957398515625</v>
      </c>
      <c r="AQ6" s="43" t="n">
        <v>476.769057515625</v>
      </c>
      <c r="AR6" s="43" t="n">
        <v>358.957398515625</v>
      </c>
      <c r="AS6" s="43" t="n">
        <v>358.957398515625</v>
      </c>
      <c r="AT6" s="43" t="n">
        <v>358.957398515625</v>
      </c>
      <c r="AU6" s="43" t="n">
        <v>476.769057515625</v>
      </c>
      <c r="AV6" s="43" t="n">
        <v>476.769057515625</v>
      </c>
      <c r="AW6" s="43" t="n">
        <v>476.769057515625</v>
      </c>
      <c r="AX6" s="43" t="n">
        <v>358.957398515625</v>
      </c>
      <c r="AY6" s="43" t="n">
        <v>358.957398515625</v>
      </c>
      <c r="AZ6" s="43" t="n">
        <v>476.769057515625</v>
      </c>
      <c r="BA6" s="43" t="n">
        <v>476.769057515625</v>
      </c>
      <c r="BB6" s="43" t="n">
        <v>476.769057515625</v>
      </c>
      <c r="BC6" s="43" t="n">
        <v>358.957398515625</v>
      </c>
      <c r="BD6" s="43" t="n">
        <v>358.957398515625</v>
      </c>
      <c r="BE6" s="43" t="n">
        <v>358.957398515625</v>
      </c>
      <c r="BF6" s="43" t="n">
        <v>358.957398515625</v>
      </c>
      <c r="BG6" s="43" t="n">
        <v>476.769057515625</v>
      </c>
      <c r="BH6" s="43" t="n">
        <v>358.957398515625</v>
      </c>
      <c r="BI6" s="43" t="n">
        <v>358.957398515625</v>
      </c>
      <c r="BJ6" s="43" t="n">
        <v>358.957398515625</v>
      </c>
      <c r="BK6" s="43" t="n">
        <v>476.769057515625</v>
      </c>
      <c r="BL6" s="43" t="n">
        <v>476.769057515625</v>
      </c>
      <c r="BM6" s="43" t="n">
        <v>476.769057515625</v>
      </c>
      <c r="BN6" s="43" t="n">
        <v>358.957398515625</v>
      </c>
      <c r="BO6" s="47" t="n"/>
      <c r="BP6" s="47" t="n"/>
      <c r="BQ6" s="47" t="n"/>
      <c r="BR6" s="47" t="n"/>
      <c r="BS6" s="47" t="n"/>
      <c r="BT6" s="47" t="n"/>
      <c r="BU6" s="47" t="n"/>
      <c r="BV6" s="47" t="n"/>
      <c r="BW6" s="47" t="n"/>
      <c r="BX6" s="47" t="n"/>
    </row>
    <row r="7">
      <c r="A7" s="37" t="inlineStr">
        <is>
          <t>Society Parking Rent</t>
        </is>
      </c>
      <c r="B7" s="37" t="n"/>
      <c r="C7" s="41">
        <f t="array" ref="C7:BN7">TRANSPOSE('July2026-EXPENSE'!L6:L69)</f>
        <v/>
      </c>
      <c r="D7" s="41" t="n">
        <v>0</v>
      </c>
      <c r="E7" s="41" t="n">
        <v>0</v>
      </c>
      <c r="F7" s="41" t="n">
        <v>0</v>
      </c>
      <c r="G7" s="41" t="n">
        <v>0</v>
      </c>
      <c r="H7" s="41" t="n">
        <v>0</v>
      </c>
      <c r="I7" s="41" t="n">
        <v>0</v>
      </c>
      <c r="J7" s="41" t="n">
        <v>0</v>
      </c>
      <c r="K7" s="41" t="n">
        <v>0</v>
      </c>
      <c r="L7" s="41" t="n">
        <v>0</v>
      </c>
      <c r="M7" s="41" t="n">
        <v>0</v>
      </c>
      <c r="N7" s="41" t="n">
        <v>0</v>
      </c>
      <c r="O7" s="41" t="n">
        <v>0</v>
      </c>
      <c r="P7" s="41" t="n">
        <v>0</v>
      </c>
      <c r="Q7" s="41" t="n">
        <v>0</v>
      </c>
      <c r="R7" s="41" t="n">
        <v>0</v>
      </c>
      <c r="S7" s="41" t="n">
        <v>0</v>
      </c>
      <c r="T7" s="41" t="n">
        <v>0</v>
      </c>
      <c r="U7" s="41" t="n">
        <v>0</v>
      </c>
      <c r="V7" s="41" t="n">
        <v>0</v>
      </c>
      <c r="W7" s="41" t="n">
        <v>0</v>
      </c>
      <c r="X7" s="41" t="n">
        <v>0</v>
      </c>
      <c r="Y7" s="41" t="n">
        <v>0</v>
      </c>
      <c r="Z7" s="41" t="n">
        <v>0</v>
      </c>
      <c r="AA7" s="41" t="n">
        <v>0</v>
      </c>
      <c r="AB7" s="41" t="n">
        <v>0</v>
      </c>
      <c r="AC7" s="41" t="n">
        <v>0</v>
      </c>
      <c r="AD7" s="41" t="n">
        <v>0</v>
      </c>
      <c r="AE7" s="41" t="n">
        <v>0</v>
      </c>
      <c r="AF7" s="41" t="n">
        <v>0</v>
      </c>
      <c r="AG7" s="41" t="n">
        <v>0</v>
      </c>
      <c r="AH7" s="41" t="n">
        <v>0</v>
      </c>
      <c r="AI7" s="41" t="n">
        <v>0</v>
      </c>
      <c r="AJ7" s="41" t="n">
        <v>0</v>
      </c>
      <c r="AK7" s="41" t="n">
        <v>0</v>
      </c>
      <c r="AL7" s="41" t="n">
        <v>0</v>
      </c>
      <c r="AM7" s="41" t="n">
        <v>0</v>
      </c>
      <c r="AN7" s="41" t="n">
        <v>0</v>
      </c>
      <c r="AO7" s="41" t="n">
        <v>0</v>
      </c>
      <c r="AP7" s="41" t="n">
        <v>0</v>
      </c>
      <c r="AQ7" s="41" t="n">
        <v>0</v>
      </c>
      <c r="AR7" s="41" t="n">
        <v>0</v>
      </c>
      <c r="AS7" s="41" t="n">
        <v>0</v>
      </c>
      <c r="AT7" s="41" t="n">
        <v>0</v>
      </c>
      <c r="AU7" s="41" t="n">
        <v>0</v>
      </c>
      <c r="AV7" s="41" t="n">
        <v>0</v>
      </c>
      <c r="AW7" s="41" t="n">
        <v>0</v>
      </c>
      <c r="AX7" s="41" t="n">
        <v>0</v>
      </c>
      <c r="AY7" s="41" t="n">
        <v>0</v>
      </c>
      <c r="AZ7" s="41" t="n">
        <v>0</v>
      </c>
      <c r="BA7" s="41" t="n">
        <v>0</v>
      </c>
      <c r="BB7" s="41" t="n">
        <v>0</v>
      </c>
      <c r="BC7" s="41" t="n">
        <v>0</v>
      </c>
      <c r="BD7" s="41" t="n">
        <v>0</v>
      </c>
      <c r="BE7" s="41" t="n">
        <v>0</v>
      </c>
      <c r="BF7" s="41" t="n">
        <v>0</v>
      </c>
      <c r="BG7" s="41" t="n">
        <v>0</v>
      </c>
      <c r="BH7" s="41" t="n">
        <v>0</v>
      </c>
      <c r="BI7" s="41" t="n">
        <v>0</v>
      </c>
      <c r="BJ7" s="41" t="n">
        <v>0</v>
      </c>
      <c r="BK7" s="41" t="n">
        <v>0</v>
      </c>
      <c r="BL7" s="41" t="n">
        <v>0</v>
      </c>
      <c r="BM7" s="41" t="n">
        <v>0</v>
      </c>
      <c r="BN7" s="41" t="n">
        <v>0</v>
      </c>
      <c r="BO7" s="104" t="n"/>
      <c r="BP7" s="104" t="n"/>
      <c r="BQ7" s="104" t="n"/>
      <c r="BR7" s="104" t="n"/>
      <c r="BS7" s="104" t="n"/>
      <c r="BT7" s="104" t="n"/>
      <c r="BU7" s="104" t="n"/>
      <c r="BV7" s="104" t="n"/>
      <c r="BW7" s="104" t="n"/>
      <c r="BX7" s="104" t="n"/>
    </row>
    <row r="8">
      <c r="A8" s="36" t="inlineStr">
        <is>
          <t>Clubhouse booking fee</t>
        </is>
      </c>
      <c r="B8" s="36" t="n"/>
      <c r="C8" s="43">
        <f t="array" ref="C8:BN8">TRANSPOSE('July2026-EXPENSE'!M6:M69)</f>
        <v/>
      </c>
      <c r="D8" s="43" t="n">
        <v>0</v>
      </c>
      <c r="E8" s="43" t="n">
        <v>0</v>
      </c>
      <c r="F8" s="43" t="n">
        <v>0</v>
      </c>
      <c r="G8" s="43" t="n">
        <v>0</v>
      </c>
      <c r="H8" s="43" t="n">
        <v>0</v>
      </c>
      <c r="I8" s="43" t="n">
        <v>0</v>
      </c>
      <c r="J8" s="43" t="n">
        <v>0</v>
      </c>
      <c r="K8" s="43" t="n">
        <v>0</v>
      </c>
      <c r="L8" s="43" t="n">
        <v>0</v>
      </c>
      <c r="M8" s="43" t="n">
        <v>0</v>
      </c>
      <c r="N8" s="43" t="n">
        <v>0</v>
      </c>
      <c r="O8" s="43" t="n">
        <v>0</v>
      </c>
      <c r="P8" s="43" t="n">
        <v>0</v>
      </c>
      <c r="Q8" s="43" t="n">
        <v>0</v>
      </c>
      <c r="R8" s="43" t="n">
        <v>0</v>
      </c>
      <c r="S8" s="43" t="n">
        <v>0</v>
      </c>
      <c r="T8" s="43" t="n">
        <v>0</v>
      </c>
      <c r="U8" s="43" t="n">
        <v>0</v>
      </c>
      <c r="V8" s="43" t="n">
        <v>0</v>
      </c>
      <c r="W8" s="43" t="n">
        <v>0</v>
      </c>
      <c r="X8" s="43" t="n">
        <v>0</v>
      </c>
      <c r="Y8" s="43" t="n">
        <v>0</v>
      </c>
      <c r="Z8" s="43" t="n">
        <v>0</v>
      </c>
      <c r="AA8" s="43" t="n">
        <v>0</v>
      </c>
      <c r="AB8" s="43" t="n">
        <v>0</v>
      </c>
      <c r="AC8" s="43" t="n">
        <v>0</v>
      </c>
      <c r="AD8" s="43" t="n">
        <v>0</v>
      </c>
      <c r="AE8" s="43" t="n">
        <v>0</v>
      </c>
      <c r="AF8" s="43" t="n">
        <v>0</v>
      </c>
      <c r="AG8" s="43" t="n">
        <v>0</v>
      </c>
      <c r="AH8" s="43" t="n">
        <v>0</v>
      </c>
      <c r="AI8" s="43" t="n">
        <v>0</v>
      </c>
      <c r="AJ8" s="43" t="n">
        <v>0</v>
      </c>
      <c r="AK8" s="43" t="n">
        <v>0</v>
      </c>
      <c r="AL8" s="43" t="n">
        <v>0</v>
      </c>
      <c r="AM8" s="43" t="n">
        <v>0</v>
      </c>
      <c r="AN8" s="43" t="n">
        <v>0</v>
      </c>
      <c r="AO8" s="43" t="n">
        <v>0</v>
      </c>
      <c r="AP8" s="43" t="n">
        <v>0</v>
      </c>
      <c r="AQ8" s="43" t="n">
        <v>0</v>
      </c>
      <c r="AR8" s="43" t="n">
        <v>0</v>
      </c>
      <c r="AS8" s="43" t="n">
        <v>0</v>
      </c>
      <c r="AT8" s="43" t="n">
        <v>0</v>
      </c>
      <c r="AU8" s="43" t="n">
        <v>0</v>
      </c>
      <c r="AV8" s="43" t="n">
        <v>0</v>
      </c>
      <c r="AW8" s="43" t="n">
        <v>0</v>
      </c>
      <c r="AX8" s="43" t="n">
        <v>0</v>
      </c>
      <c r="AY8" s="43" t="n">
        <v>0</v>
      </c>
      <c r="AZ8" s="43" t="n">
        <v>0</v>
      </c>
      <c r="BA8" s="43" t="n">
        <v>0</v>
      </c>
      <c r="BB8" s="43" t="n">
        <v>0</v>
      </c>
      <c r="BC8" s="43" t="n">
        <v>0</v>
      </c>
      <c r="BD8" s="43" t="n">
        <v>0</v>
      </c>
      <c r="BE8" s="43" t="n">
        <v>0</v>
      </c>
      <c r="BF8" s="43" t="n">
        <v>0</v>
      </c>
      <c r="BG8" s="43" t="n">
        <v>0</v>
      </c>
      <c r="BH8" s="43" t="n">
        <v>0</v>
      </c>
      <c r="BI8" s="43" t="n">
        <v>0</v>
      </c>
      <c r="BJ8" s="43" t="n">
        <v>0</v>
      </c>
      <c r="BK8" s="43" t="n">
        <v>0</v>
      </c>
      <c r="BL8" s="43" t="n">
        <v>0</v>
      </c>
      <c r="BM8" s="43" t="n">
        <v>0</v>
      </c>
      <c r="BN8" s="43" t="n">
        <v>0</v>
      </c>
      <c r="BO8" s="47" t="n"/>
      <c r="BP8" s="47" t="n"/>
      <c r="BQ8" s="47" t="n"/>
      <c r="BR8" s="47" t="n"/>
      <c r="BS8" s="47" t="n"/>
      <c r="BT8" s="47" t="n"/>
      <c r="BU8" s="47" t="n"/>
      <c r="BV8" s="47" t="n"/>
      <c r="BW8" s="47" t="n"/>
      <c r="BX8" s="47" t="n"/>
    </row>
    <row r="9">
      <c r="A9" s="37" t="inlineStr">
        <is>
          <t>Moving in/out charges</t>
        </is>
      </c>
      <c r="B9" s="37" t="n"/>
      <c r="C9" s="41">
        <f t="array" ref="C9:BN9">TRANSPOSE('July2026-EXPENSE'!N6:N69)</f>
        <v/>
      </c>
      <c r="D9" s="41" t="n">
        <v>0</v>
      </c>
      <c r="E9" s="41" t="n">
        <v>0</v>
      </c>
      <c r="F9" s="41" t="n">
        <v>0</v>
      </c>
      <c r="G9" s="41" t="n">
        <v>0</v>
      </c>
      <c r="H9" s="41" t="n">
        <v>0</v>
      </c>
      <c r="I9" s="41" t="n">
        <v>0</v>
      </c>
      <c r="J9" s="41" t="n">
        <v>0</v>
      </c>
      <c r="K9" s="41" t="n">
        <v>0</v>
      </c>
      <c r="L9" s="41" t="n">
        <v>0</v>
      </c>
      <c r="M9" s="41" t="n">
        <v>0</v>
      </c>
      <c r="N9" s="41" t="n">
        <v>0</v>
      </c>
      <c r="O9" s="41" t="n">
        <v>0</v>
      </c>
      <c r="P9" s="41" t="n">
        <v>0</v>
      </c>
      <c r="Q9" s="41" t="n">
        <v>0</v>
      </c>
      <c r="R9" s="41" t="n">
        <v>0</v>
      </c>
      <c r="S9" s="41" t="n">
        <v>0</v>
      </c>
      <c r="T9" s="41" t="n">
        <v>0</v>
      </c>
      <c r="U9" s="41" t="n">
        <v>0</v>
      </c>
      <c r="V9" s="41" t="n">
        <v>0</v>
      </c>
      <c r="W9" s="41" t="n">
        <v>0</v>
      </c>
      <c r="X9" s="41" t="n">
        <v>0</v>
      </c>
      <c r="Y9" s="41" t="n">
        <v>0</v>
      </c>
      <c r="Z9" s="41" t="n">
        <v>0</v>
      </c>
      <c r="AA9" s="41" t="n">
        <v>0</v>
      </c>
      <c r="AB9" s="41" t="n">
        <v>0</v>
      </c>
      <c r="AC9" s="41" t="n">
        <v>0</v>
      </c>
      <c r="AD9" s="41" t="n">
        <v>0</v>
      </c>
      <c r="AE9" s="41" t="n">
        <v>0</v>
      </c>
      <c r="AF9" s="41" t="n">
        <v>0</v>
      </c>
      <c r="AG9" s="41" t="n">
        <v>0</v>
      </c>
      <c r="AH9" s="41" t="n">
        <v>0</v>
      </c>
      <c r="AI9" s="41" t="n">
        <v>0</v>
      </c>
      <c r="AJ9" s="41" t="n">
        <v>0</v>
      </c>
      <c r="AK9" s="41" t="n">
        <v>0</v>
      </c>
      <c r="AL9" s="41" t="n">
        <v>0</v>
      </c>
      <c r="AM9" s="41" t="n">
        <v>0</v>
      </c>
      <c r="AN9" s="41" t="n">
        <v>0</v>
      </c>
      <c r="AO9" s="41" t="n">
        <v>0</v>
      </c>
      <c r="AP9" s="41" t="n">
        <v>0</v>
      </c>
      <c r="AQ9" s="41" t="n">
        <v>0</v>
      </c>
      <c r="AR9" s="41" t="n">
        <v>0</v>
      </c>
      <c r="AS9" s="41" t="n">
        <v>0</v>
      </c>
      <c r="AT9" s="41" t="n">
        <v>0</v>
      </c>
      <c r="AU9" s="41" t="n">
        <v>0</v>
      </c>
      <c r="AV9" s="41" t="n">
        <v>0</v>
      </c>
      <c r="AW9" s="41" t="n">
        <v>0</v>
      </c>
      <c r="AX9" s="41" t="n">
        <v>0</v>
      </c>
      <c r="AY9" s="41" t="n">
        <v>0</v>
      </c>
      <c r="AZ9" s="41" t="n">
        <v>0</v>
      </c>
      <c r="BA9" s="41" t="n">
        <v>0</v>
      </c>
      <c r="BB9" s="41" t="n">
        <v>0</v>
      </c>
      <c r="BC9" s="41" t="n">
        <v>0</v>
      </c>
      <c r="BD9" s="41" t="n">
        <v>0</v>
      </c>
      <c r="BE9" s="41" t="n">
        <v>0</v>
      </c>
      <c r="BF9" s="41" t="n">
        <v>0</v>
      </c>
      <c r="BG9" s="41" t="n">
        <v>0</v>
      </c>
      <c r="BH9" s="41" t="n">
        <v>0</v>
      </c>
      <c r="BI9" s="41" t="n">
        <v>0</v>
      </c>
      <c r="BJ9" s="41" t="n">
        <v>0</v>
      </c>
      <c r="BK9" s="41" t="n">
        <v>0</v>
      </c>
      <c r="BL9" s="41" t="n">
        <v>0</v>
      </c>
      <c r="BM9" s="41" t="n">
        <v>0</v>
      </c>
      <c r="BN9" s="41" t="n">
        <v>0</v>
      </c>
      <c r="BO9" s="104" t="n"/>
      <c r="BP9" s="104" t="n"/>
      <c r="BQ9" s="104" t="n"/>
      <c r="BR9" s="104" t="n"/>
      <c r="BS9" s="104" t="n"/>
      <c r="BT9" s="104" t="n"/>
      <c r="BU9" s="104" t="n"/>
      <c r="BV9" s="104" t="n"/>
      <c r="BW9" s="104" t="n"/>
      <c r="BX9" s="104" t="n"/>
    </row>
    <row r="10">
      <c r="A10" s="36" t="inlineStr">
        <is>
          <t>Gym usage fee</t>
        </is>
      </c>
      <c r="B10" s="36" t="n"/>
      <c r="C10" s="43">
        <f t="array" ref="C10:BN10">TRANSPOSE('July2026-EXPENSE'!O6:O69)</f>
        <v/>
      </c>
      <c r="D10" s="43" t="n">
        <v>0</v>
      </c>
      <c r="E10" s="43" t="n">
        <v>0</v>
      </c>
      <c r="F10" s="43" t="n">
        <v>0</v>
      </c>
      <c r="G10" s="43" t="n">
        <v>0</v>
      </c>
      <c r="H10" s="43" t="n">
        <v>0</v>
      </c>
      <c r="I10" s="43" t="n">
        <v>0</v>
      </c>
      <c r="J10" s="43" t="n">
        <v>0</v>
      </c>
      <c r="K10" s="43" t="n">
        <v>0</v>
      </c>
      <c r="L10" s="43" t="n">
        <v>0</v>
      </c>
      <c r="M10" s="43" t="n">
        <v>0</v>
      </c>
      <c r="N10" s="43" t="n">
        <v>0</v>
      </c>
      <c r="O10" s="43" t="n">
        <v>0</v>
      </c>
      <c r="P10" s="43" t="n">
        <v>0</v>
      </c>
      <c r="Q10" s="43" t="n">
        <v>0</v>
      </c>
      <c r="R10" s="43" t="n">
        <v>0</v>
      </c>
      <c r="S10" s="43" t="n">
        <v>0</v>
      </c>
      <c r="T10" s="43" t="n">
        <v>0</v>
      </c>
      <c r="U10" s="43" t="n">
        <v>0</v>
      </c>
      <c r="V10" s="43" t="n">
        <v>0</v>
      </c>
      <c r="W10" s="43" t="n">
        <v>0</v>
      </c>
      <c r="X10" s="43" t="n">
        <v>0</v>
      </c>
      <c r="Y10" s="43" t="n">
        <v>0</v>
      </c>
      <c r="Z10" s="43" t="n">
        <v>0</v>
      </c>
      <c r="AA10" s="43" t="n">
        <v>0</v>
      </c>
      <c r="AB10" s="43" t="n">
        <v>0</v>
      </c>
      <c r="AC10" s="43" t="n">
        <v>0</v>
      </c>
      <c r="AD10" s="43" t="n">
        <v>0</v>
      </c>
      <c r="AE10" s="43" t="n">
        <v>0</v>
      </c>
      <c r="AF10" s="43" t="n">
        <v>0</v>
      </c>
      <c r="AG10" s="43" t="n">
        <v>0</v>
      </c>
      <c r="AH10" s="43" t="n">
        <v>0</v>
      </c>
      <c r="AI10" s="43" t="n">
        <v>0</v>
      </c>
      <c r="AJ10" s="43" t="n">
        <v>0</v>
      </c>
      <c r="AK10" s="43" t="n">
        <v>0</v>
      </c>
      <c r="AL10" s="43" t="n">
        <v>0</v>
      </c>
      <c r="AM10" s="43" t="n">
        <v>0</v>
      </c>
      <c r="AN10" s="43" t="n">
        <v>0</v>
      </c>
      <c r="AO10" s="43" t="n">
        <v>0</v>
      </c>
      <c r="AP10" s="43" t="n">
        <v>0</v>
      </c>
      <c r="AQ10" s="43" t="n">
        <v>0</v>
      </c>
      <c r="AR10" s="43" t="n">
        <v>0</v>
      </c>
      <c r="AS10" s="43" t="n">
        <v>0</v>
      </c>
      <c r="AT10" s="43" t="n">
        <v>0</v>
      </c>
      <c r="AU10" s="43" t="n">
        <v>0</v>
      </c>
      <c r="AV10" s="43" t="n">
        <v>0</v>
      </c>
      <c r="AW10" s="43" t="n">
        <v>0</v>
      </c>
      <c r="AX10" s="43" t="n">
        <v>0</v>
      </c>
      <c r="AY10" s="43" t="n">
        <v>0</v>
      </c>
      <c r="AZ10" s="43" t="n">
        <v>0</v>
      </c>
      <c r="BA10" s="43" t="n">
        <v>0</v>
      </c>
      <c r="BB10" s="43" t="n">
        <v>0</v>
      </c>
      <c r="BC10" s="43" t="n">
        <v>0</v>
      </c>
      <c r="BD10" s="43" t="n">
        <v>0</v>
      </c>
      <c r="BE10" s="43" t="n">
        <v>0</v>
      </c>
      <c r="BF10" s="43" t="n">
        <v>0</v>
      </c>
      <c r="BG10" s="43" t="n">
        <v>0</v>
      </c>
      <c r="BH10" s="43" t="n">
        <v>0</v>
      </c>
      <c r="BI10" s="43" t="n">
        <v>0</v>
      </c>
      <c r="BJ10" s="43" t="n">
        <v>0</v>
      </c>
      <c r="BK10" s="43" t="n">
        <v>0</v>
      </c>
      <c r="BL10" s="43" t="n">
        <v>0</v>
      </c>
      <c r="BM10" s="43" t="n">
        <v>0</v>
      </c>
      <c r="BN10" s="43" t="n">
        <v>0</v>
      </c>
      <c r="BO10" s="47" t="n"/>
      <c r="BP10" s="47" t="n"/>
      <c r="BQ10" s="47" t="n"/>
      <c r="BR10" s="47" t="n"/>
      <c r="BS10" s="47" t="n"/>
      <c r="BT10" s="47" t="n"/>
      <c r="BU10" s="47" t="n"/>
      <c r="BV10" s="47" t="n"/>
      <c r="BW10" s="47" t="n"/>
      <c r="BX10" s="47" t="n"/>
    </row>
    <row r="11">
      <c r="A11" s="40">
        <f t="array" ref="A11:A64">TRANSPOSE('ANNUAL-EXPENSE-DETAILS'!B2:Y2)</f>
        <v/>
      </c>
      <c r="B11" s="40">
        <f t="array" ref="B11:B64">TRANSPOSE('ANNUAL-EXPENSE-DETAILS'!B6:Y6)</f>
        <v/>
      </c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4" t="n"/>
      <c r="AI11" s="104" t="n"/>
      <c r="AJ11" s="104" t="n"/>
      <c r="AK11" s="104" t="n"/>
      <c r="AL11" s="104" t="n"/>
      <c r="AM11" s="104" t="n"/>
      <c r="AN11" s="104" t="n"/>
      <c r="AO11" s="104" t="n"/>
      <c r="AP11" s="104" t="n"/>
      <c r="AQ11" s="104" t="n"/>
      <c r="AR11" s="104" t="n"/>
      <c r="AS11" s="104" t="n"/>
      <c r="AT11" s="104" t="n"/>
      <c r="AU11" s="104" t="n"/>
      <c r="AV11" s="104" t="n"/>
      <c r="AW11" s="104" t="n"/>
      <c r="AX11" s="104" t="n"/>
      <c r="AY11" s="104" t="n"/>
      <c r="AZ11" s="104" t="n"/>
      <c r="BA11" s="104" t="n"/>
      <c r="BB11" s="104" t="n"/>
      <c r="BC11" s="104" t="n"/>
      <c r="BD11" s="104" t="n"/>
      <c r="BE11" s="104" t="n"/>
      <c r="BF11" s="104" t="n"/>
      <c r="BG11" s="104" t="n"/>
      <c r="BH11" s="104" t="n"/>
      <c r="BI11" s="104" t="n"/>
      <c r="BJ11" s="104" t="n"/>
      <c r="BK11" s="104" t="n"/>
      <c r="BL11" s="104" t="n"/>
      <c r="BM11" s="104" t="n"/>
      <c r="BN11" s="104" t="n"/>
      <c r="BO11" s="104" t="n"/>
      <c r="BP11" s="104" t="n"/>
      <c r="BQ11" s="104" t="n"/>
      <c r="BR11" s="104" t="n"/>
      <c r="BS11" s="104" t="n"/>
      <c r="BT11" s="104" t="n"/>
      <c r="BU11" s="104" t="n"/>
      <c r="BV11" s="104" t="n"/>
      <c r="BW11" s="104" t="n"/>
      <c r="BX11" s="104" t="n"/>
    </row>
    <row r="12">
      <c r="A12" s="42" t="inlineStr">
        <is>
          <t>STP SLUDGE CLEANING
BALAJI</t>
        </is>
      </c>
      <c r="B12" s="42" t="n">
        <v>0</v>
      </c>
      <c r="C12" s="47" t="n"/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  <c r="AB12" s="47" t="n"/>
      <c r="AC12" s="47" t="n"/>
      <c r="AD12" s="47" t="n"/>
      <c r="AE12" s="47" t="n"/>
      <c r="AF12" s="47" t="n"/>
      <c r="AG12" s="47" t="n"/>
      <c r="AH12" s="47" t="n"/>
      <c r="AI12" s="47" t="n"/>
      <c r="AJ12" s="47" t="n"/>
      <c r="AK12" s="47" t="n"/>
      <c r="AL12" s="47" t="n"/>
      <c r="AM12" s="47" t="n"/>
      <c r="AN12" s="47" t="n"/>
      <c r="AO12" s="47" t="n"/>
      <c r="AP12" s="47" t="n"/>
      <c r="AQ12" s="47" t="n"/>
      <c r="AR12" s="47" t="n"/>
      <c r="AS12" s="47" t="n"/>
      <c r="AT12" s="47" t="n"/>
      <c r="AU12" s="47" t="n"/>
      <c r="AV12" s="47" t="n"/>
      <c r="AW12" s="47" t="n"/>
      <c r="AX12" s="47" t="n"/>
      <c r="AY12" s="47" t="n"/>
      <c r="AZ12" s="47" t="n"/>
      <c r="BA12" s="47" t="n"/>
      <c r="BB12" s="47" t="n"/>
      <c r="BC12" s="47" t="n"/>
      <c r="BD12" s="47" t="n"/>
      <c r="BE12" s="47" t="n"/>
      <c r="BF12" s="47" t="n"/>
      <c r="BG12" s="47" t="n"/>
      <c r="BH12" s="47" t="n"/>
      <c r="BI12" s="47" t="n"/>
      <c r="BJ12" s="47" t="n"/>
      <c r="BK12" s="47" t="n"/>
      <c r="BL12" s="47" t="n"/>
      <c r="BM12" s="47" t="n"/>
      <c r="BN12" s="47" t="n"/>
      <c r="BO12" s="47" t="n"/>
      <c r="BP12" s="47" t="n"/>
      <c r="BQ12" s="47" t="n"/>
      <c r="BR12" s="47" t="n"/>
      <c r="BS12" s="47" t="n"/>
      <c r="BT12" s="47" t="n"/>
      <c r="BU12" s="47" t="n"/>
      <c r="BV12" s="47" t="n"/>
      <c r="BW12" s="47" t="n"/>
      <c r="BX12" s="47" t="n"/>
    </row>
    <row r="13">
      <c r="A13" s="40" t="inlineStr">
        <is>
          <t>STP MAINTENANCE</t>
        </is>
      </c>
      <c r="B13" s="40" t="n">
        <v>0</v>
      </c>
      <c r="C13" s="104">
        <f>$B13/64</f>
        <v/>
      </c>
      <c r="D13" s="104">
        <f>$B13/64</f>
        <v/>
      </c>
      <c r="E13" s="104">
        <f>$B13/64</f>
        <v/>
      </c>
      <c r="F13" s="104">
        <f>$B13/64</f>
        <v/>
      </c>
      <c r="G13" s="104">
        <f>$B13/64</f>
        <v/>
      </c>
      <c r="H13" s="104">
        <f>$B13/64</f>
        <v/>
      </c>
      <c r="I13" s="104">
        <f>$B13/64</f>
        <v/>
      </c>
      <c r="J13" s="104">
        <f>$B13/64</f>
        <v/>
      </c>
      <c r="K13" s="104">
        <f>$B13/64</f>
        <v/>
      </c>
      <c r="L13" s="104">
        <f>$B13/64</f>
        <v/>
      </c>
      <c r="M13" s="104">
        <f>$B13/64</f>
        <v/>
      </c>
      <c r="N13" s="104">
        <f>$B13/64</f>
        <v/>
      </c>
      <c r="O13" s="104">
        <f>$B13/64</f>
        <v/>
      </c>
      <c r="P13" s="104">
        <f>$B13/64</f>
        <v/>
      </c>
      <c r="Q13" s="104">
        <f>$B13/64</f>
        <v/>
      </c>
      <c r="R13" s="104">
        <f>$B13/64</f>
        <v/>
      </c>
      <c r="S13" s="104">
        <f>$B13/64</f>
        <v/>
      </c>
      <c r="T13" s="104">
        <f>$B13/64</f>
        <v/>
      </c>
      <c r="U13" s="104">
        <f>$B13/64</f>
        <v/>
      </c>
      <c r="V13" s="104">
        <f>$B13/64</f>
        <v/>
      </c>
      <c r="W13" s="104">
        <f>$B13/64</f>
        <v/>
      </c>
      <c r="X13" s="104">
        <f>$B13/64</f>
        <v/>
      </c>
      <c r="Y13" s="104">
        <f>$B13/64</f>
        <v/>
      </c>
      <c r="Z13" s="104">
        <f>$B13/64</f>
        <v/>
      </c>
      <c r="AA13" s="104">
        <f>$B13/64</f>
        <v/>
      </c>
      <c r="AB13" s="104">
        <f>$B13/64</f>
        <v/>
      </c>
      <c r="AC13" s="104">
        <f>$B13/64</f>
        <v/>
      </c>
      <c r="AD13" s="104">
        <f>$B13/64</f>
        <v/>
      </c>
      <c r="AE13" s="104">
        <f>$B13/64</f>
        <v/>
      </c>
      <c r="AF13" s="104">
        <f>$B13/64</f>
        <v/>
      </c>
      <c r="AG13" s="104">
        <f>$B13/64</f>
        <v/>
      </c>
      <c r="AH13" s="104">
        <f>$B13/64</f>
        <v/>
      </c>
      <c r="AI13" s="104">
        <f>$B13/64</f>
        <v/>
      </c>
      <c r="AJ13" s="104">
        <f>$B13/64</f>
        <v/>
      </c>
      <c r="AK13" s="104">
        <f>$B13/64</f>
        <v/>
      </c>
      <c r="AL13" s="104">
        <f>$B13/64</f>
        <v/>
      </c>
      <c r="AM13" s="104">
        <f>$B13/64</f>
        <v/>
      </c>
      <c r="AN13" s="104">
        <f>$B13/64</f>
        <v/>
      </c>
      <c r="AO13" s="104">
        <f>$B13/64</f>
        <v/>
      </c>
      <c r="AP13" s="104">
        <f>$B13/64</f>
        <v/>
      </c>
      <c r="AQ13" s="104">
        <f>$B13/64</f>
        <v/>
      </c>
      <c r="AR13" s="104">
        <f>$B13/64</f>
        <v/>
      </c>
      <c r="AS13" s="104">
        <f>$B13/64</f>
        <v/>
      </c>
      <c r="AT13" s="104">
        <f>$B13/64</f>
        <v/>
      </c>
      <c r="AU13" s="104">
        <f>$B13/64</f>
        <v/>
      </c>
      <c r="AV13" s="104">
        <f>$B13/64</f>
        <v/>
      </c>
      <c r="AW13" s="104">
        <f>$B13/64</f>
        <v/>
      </c>
      <c r="AX13" s="104">
        <f>$B13/64</f>
        <v/>
      </c>
      <c r="AY13" s="104">
        <f>$B13/64</f>
        <v/>
      </c>
      <c r="AZ13" s="104">
        <f>$B13/64</f>
        <v/>
      </c>
      <c r="BA13" s="104">
        <f>$B13/64</f>
        <v/>
      </c>
      <c r="BB13" s="104">
        <f>$B13/64</f>
        <v/>
      </c>
      <c r="BC13" s="104">
        <f>$B13/64</f>
        <v/>
      </c>
      <c r="BD13" s="104">
        <f>$B13/64</f>
        <v/>
      </c>
      <c r="BE13" s="104">
        <f>$B13/64</f>
        <v/>
      </c>
      <c r="BF13" s="104">
        <f>$B13/64</f>
        <v/>
      </c>
      <c r="BG13" s="104">
        <f>$B13/64</f>
        <v/>
      </c>
      <c r="BH13" s="104">
        <f>$B13/64</f>
        <v/>
      </c>
      <c r="BI13" s="104">
        <f>$B13/64</f>
        <v/>
      </c>
      <c r="BJ13" s="104">
        <f>$B13/64</f>
        <v/>
      </c>
      <c r="BK13" s="104">
        <f>$B13/64</f>
        <v/>
      </c>
      <c r="BL13" s="104">
        <f>$B13/64</f>
        <v/>
      </c>
      <c r="BM13" s="104">
        <f>$B13/64</f>
        <v/>
      </c>
      <c r="BN13" s="104">
        <f>$B13/64</f>
        <v/>
      </c>
      <c r="BO13" s="104" t="n"/>
      <c r="BP13" s="104" t="n"/>
      <c r="BQ13" s="104" t="n"/>
      <c r="BR13" s="104" t="n"/>
      <c r="BS13" s="104" t="n"/>
      <c r="BT13" s="104" t="n"/>
      <c r="BU13" s="104" t="n"/>
      <c r="BV13" s="104" t="n"/>
      <c r="BW13" s="104" t="n"/>
      <c r="BX13" s="104" t="n"/>
    </row>
    <row r="14">
      <c r="A14" s="42" t="inlineStr">
        <is>
          <t>STP MATERIALS</t>
        </is>
      </c>
      <c r="B14" s="42" t="n">
        <v>0</v>
      </c>
      <c r="C14" s="47">
        <f>$B14/64</f>
        <v/>
      </c>
      <c r="D14" s="47">
        <f>$B14/64</f>
        <v/>
      </c>
      <c r="E14" s="47">
        <f>$B14/64</f>
        <v/>
      </c>
      <c r="F14" s="47">
        <f>$B14/64</f>
        <v/>
      </c>
      <c r="G14" s="47">
        <f>$B14/64</f>
        <v/>
      </c>
      <c r="H14" s="47">
        <f>$B14/64</f>
        <v/>
      </c>
      <c r="I14" s="47">
        <f>$B14/64</f>
        <v/>
      </c>
      <c r="J14" s="47">
        <f>$B14/64</f>
        <v/>
      </c>
      <c r="K14" s="47">
        <f>$B14/64</f>
        <v/>
      </c>
      <c r="L14" s="47">
        <f>$B14/64</f>
        <v/>
      </c>
      <c r="M14" s="47">
        <f>$B14/64</f>
        <v/>
      </c>
      <c r="N14" s="47">
        <f>$B14/64</f>
        <v/>
      </c>
      <c r="O14" s="47">
        <f>$B14/64</f>
        <v/>
      </c>
      <c r="P14" s="47">
        <f>$B14/64</f>
        <v/>
      </c>
      <c r="Q14" s="47">
        <f>$B14/64</f>
        <v/>
      </c>
      <c r="R14" s="47">
        <f>$B14/64</f>
        <v/>
      </c>
      <c r="S14" s="47">
        <f>$B14/64</f>
        <v/>
      </c>
      <c r="T14" s="47">
        <f>$B14/64</f>
        <v/>
      </c>
      <c r="U14" s="47">
        <f>$B14/64</f>
        <v/>
      </c>
      <c r="V14" s="47">
        <f>$B14/64</f>
        <v/>
      </c>
      <c r="W14" s="47">
        <f>$B14/64</f>
        <v/>
      </c>
      <c r="X14" s="47">
        <f>$B14/64</f>
        <v/>
      </c>
      <c r="Y14" s="47">
        <f>$B14/64</f>
        <v/>
      </c>
      <c r="Z14" s="47">
        <f>$B14/64</f>
        <v/>
      </c>
      <c r="AA14" s="47">
        <f>$B14/64</f>
        <v/>
      </c>
      <c r="AB14" s="47">
        <f>$B14/64</f>
        <v/>
      </c>
      <c r="AC14" s="47">
        <f>$B14/64</f>
        <v/>
      </c>
      <c r="AD14" s="47">
        <f>$B14/64</f>
        <v/>
      </c>
      <c r="AE14" s="47">
        <f>$B14/64</f>
        <v/>
      </c>
      <c r="AF14" s="47">
        <f>$B14/64</f>
        <v/>
      </c>
      <c r="AG14" s="47">
        <f>$B14/64</f>
        <v/>
      </c>
      <c r="AH14" s="47">
        <f>$B14/64</f>
        <v/>
      </c>
      <c r="AI14" s="47">
        <f>$B14/64</f>
        <v/>
      </c>
      <c r="AJ14" s="47">
        <f>$B14/64</f>
        <v/>
      </c>
      <c r="AK14" s="47">
        <f>$B14/64</f>
        <v/>
      </c>
      <c r="AL14" s="47">
        <f>$B14/64</f>
        <v/>
      </c>
      <c r="AM14" s="47">
        <f>$B14/64</f>
        <v/>
      </c>
      <c r="AN14" s="47">
        <f>$B14/64</f>
        <v/>
      </c>
      <c r="AO14" s="47">
        <f>$B14/64</f>
        <v/>
      </c>
      <c r="AP14" s="47">
        <f>$B14/64</f>
        <v/>
      </c>
      <c r="AQ14" s="47">
        <f>$B14/64</f>
        <v/>
      </c>
      <c r="AR14" s="47">
        <f>$B14/64</f>
        <v/>
      </c>
      <c r="AS14" s="47">
        <f>$B14/64</f>
        <v/>
      </c>
      <c r="AT14" s="47">
        <f>$B14/64</f>
        <v/>
      </c>
      <c r="AU14" s="47">
        <f>$B14/64</f>
        <v/>
      </c>
      <c r="AV14" s="47">
        <f>$B14/64</f>
        <v/>
      </c>
      <c r="AW14" s="47">
        <f>$B14/64</f>
        <v/>
      </c>
      <c r="AX14" s="47">
        <f>$B14/64</f>
        <v/>
      </c>
      <c r="AY14" s="47">
        <f>$B14/64</f>
        <v/>
      </c>
      <c r="AZ14" s="47">
        <f>$B14/64</f>
        <v/>
      </c>
      <c r="BA14" s="47">
        <f>$B14/64</f>
        <v/>
      </c>
      <c r="BB14" s="47">
        <f>$B14/64</f>
        <v/>
      </c>
      <c r="BC14" s="47">
        <f>$B14/64</f>
        <v/>
      </c>
      <c r="BD14" s="47">
        <f>$B14/64</f>
        <v/>
      </c>
      <c r="BE14" s="47">
        <f>$B14/64</f>
        <v/>
      </c>
      <c r="BF14" s="47">
        <f>$B14/64</f>
        <v/>
      </c>
      <c r="BG14" s="47">
        <f>$B14/64</f>
        <v/>
      </c>
      <c r="BH14" s="47">
        <f>$B14/64</f>
        <v/>
      </c>
      <c r="BI14" s="47">
        <f>$B14/64</f>
        <v/>
      </c>
      <c r="BJ14" s="47">
        <f>$B14/64</f>
        <v/>
      </c>
      <c r="BK14" s="47">
        <f>$B14/64</f>
        <v/>
      </c>
      <c r="BL14" s="47">
        <f>$B14/64</f>
        <v/>
      </c>
      <c r="BM14" s="47">
        <f>$B14/64</f>
        <v/>
      </c>
      <c r="BN14" s="47">
        <f>$B14/64</f>
        <v/>
      </c>
      <c r="BO14" s="47" t="n"/>
      <c r="BP14" s="47" t="n"/>
      <c r="BQ14" s="47" t="n"/>
      <c r="BR14" s="47" t="n"/>
      <c r="BS14" s="47" t="n"/>
      <c r="BT14" s="47" t="n"/>
      <c r="BU14" s="47" t="n"/>
      <c r="BV14" s="47" t="n"/>
      <c r="BW14" s="47" t="n"/>
      <c r="BX14" s="47" t="n"/>
    </row>
    <row r="15">
      <c r="A15" s="40" t="inlineStr">
        <is>
          <t>STP REPAIR</t>
        </is>
      </c>
      <c r="B15" s="40" t="n">
        <v>0</v>
      </c>
      <c r="C15" s="104">
        <f>$B15/64</f>
        <v/>
      </c>
      <c r="D15" s="104">
        <f>$B15/64</f>
        <v/>
      </c>
      <c r="E15" s="104">
        <f>$B15/64</f>
        <v/>
      </c>
      <c r="F15" s="104">
        <f>$B15/64</f>
        <v/>
      </c>
      <c r="G15" s="104">
        <f>$B15/64</f>
        <v/>
      </c>
      <c r="H15" s="104">
        <f>$B15/64</f>
        <v/>
      </c>
      <c r="I15" s="104">
        <f>$B15/64</f>
        <v/>
      </c>
      <c r="J15" s="104">
        <f>$B15/64</f>
        <v/>
      </c>
      <c r="K15" s="104">
        <f>$B15/64</f>
        <v/>
      </c>
      <c r="L15" s="104">
        <f>$B15/64</f>
        <v/>
      </c>
      <c r="M15" s="104">
        <f>$B15/64</f>
        <v/>
      </c>
      <c r="N15" s="104">
        <f>$B15/64</f>
        <v/>
      </c>
      <c r="O15" s="104">
        <f>$B15/64</f>
        <v/>
      </c>
      <c r="P15" s="104">
        <f>$B15/64</f>
        <v/>
      </c>
      <c r="Q15" s="104">
        <f>$B15/64</f>
        <v/>
      </c>
      <c r="R15" s="104">
        <f>$B15/64</f>
        <v/>
      </c>
      <c r="S15" s="104">
        <f>$B15/64</f>
        <v/>
      </c>
      <c r="T15" s="104">
        <f>$B15/64</f>
        <v/>
      </c>
      <c r="U15" s="104">
        <f>$B15/64</f>
        <v/>
      </c>
      <c r="V15" s="104">
        <f>$B15/64</f>
        <v/>
      </c>
      <c r="W15" s="104">
        <f>$B15/64</f>
        <v/>
      </c>
      <c r="X15" s="104">
        <f>$B15/64</f>
        <v/>
      </c>
      <c r="Y15" s="104">
        <f>$B15/64</f>
        <v/>
      </c>
      <c r="Z15" s="104">
        <f>$B15/64</f>
        <v/>
      </c>
      <c r="AA15" s="104">
        <f>$B15/64</f>
        <v/>
      </c>
      <c r="AB15" s="104">
        <f>$B15/64</f>
        <v/>
      </c>
      <c r="AC15" s="104">
        <f>$B15/64</f>
        <v/>
      </c>
      <c r="AD15" s="104">
        <f>$B15/64</f>
        <v/>
      </c>
      <c r="AE15" s="104">
        <f>$B15/64</f>
        <v/>
      </c>
      <c r="AF15" s="104">
        <f>$B15/64</f>
        <v/>
      </c>
      <c r="AG15" s="104">
        <f>$B15/64</f>
        <v/>
      </c>
      <c r="AH15" s="104">
        <f>$B15/64</f>
        <v/>
      </c>
      <c r="AI15" s="104">
        <f>$B15/64</f>
        <v/>
      </c>
      <c r="AJ15" s="104">
        <f>$B15/64</f>
        <v/>
      </c>
      <c r="AK15" s="104">
        <f>$B15/64</f>
        <v/>
      </c>
      <c r="AL15" s="104">
        <f>$B15/64</f>
        <v/>
      </c>
      <c r="AM15" s="104">
        <f>$B15/64</f>
        <v/>
      </c>
      <c r="AN15" s="104">
        <f>$B15/64</f>
        <v/>
      </c>
      <c r="AO15" s="104">
        <f>$B15/64</f>
        <v/>
      </c>
      <c r="AP15" s="104">
        <f>$B15/64</f>
        <v/>
      </c>
      <c r="AQ15" s="104">
        <f>$B15/64</f>
        <v/>
      </c>
      <c r="AR15" s="104">
        <f>$B15/64</f>
        <v/>
      </c>
      <c r="AS15" s="104">
        <f>$B15/64</f>
        <v/>
      </c>
      <c r="AT15" s="104">
        <f>$B15/64</f>
        <v/>
      </c>
      <c r="AU15" s="104">
        <f>$B15/64</f>
        <v/>
      </c>
      <c r="AV15" s="104">
        <f>$B15/64</f>
        <v/>
      </c>
      <c r="AW15" s="104">
        <f>$B15/64</f>
        <v/>
      </c>
      <c r="AX15" s="104">
        <f>$B15/64</f>
        <v/>
      </c>
      <c r="AY15" s="104">
        <f>$B15/64</f>
        <v/>
      </c>
      <c r="AZ15" s="104">
        <f>$B15/64</f>
        <v/>
      </c>
      <c r="BA15" s="104">
        <f>$B15/64</f>
        <v/>
      </c>
      <c r="BB15" s="104">
        <f>$B15/64</f>
        <v/>
      </c>
      <c r="BC15" s="104">
        <f>$B15/64</f>
        <v/>
      </c>
      <c r="BD15" s="104">
        <f>$B15/64</f>
        <v/>
      </c>
      <c r="BE15" s="104">
        <f>$B15/64</f>
        <v/>
      </c>
      <c r="BF15" s="104">
        <f>$B15/64</f>
        <v/>
      </c>
      <c r="BG15" s="104">
        <f>$B15/64</f>
        <v/>
      </c>
      <c r="BH15" s="104">
        <f>$B15/64</f>
        <v/>
      </c>
      <c r="BI15" s="104">
        <f>$B15/64</f>
        <v/>
      </c>
      <c r="BJ15" s="104">
        <f>$B15/64</f>
        <v/>
      </c>
      <c r="BK15" s="104">
        <f>$B15/64</f>
        <v/>
      </c>
      <c r="BL15" s="104">
        <f>$B15/64</f>
        <v/>
      </c>
      <c r="BM15" s="104">
        <f>$B15/64</f>
        <v/>
      </c>
      <c r="BN15" s="104">
        <f>$B15/64</f>
        <v/>
      </c>
      <c r="BO15" s="104" t="n"/>
      <c r="BP15" s="104" t="n"/>
      <c r="BQ15" s="104" t="n"/>
      <c r="BR15" s="104" t="n"/>
      <c r="BS15" s="104" t="n"/>
      <c r="BT15" s="104" t="n"/>
      <c r="BU15" s="104" t="n"/>
      <c r="BV15" s="104" t="n"/>
      <c r="BW15" s="104" t="n"/>
      <c r="BX15" s="104" t="n"/>
    </row>
    <row r="16">
      <c r="A16" s="42" t="inlineStr">
        <is>
          <t xml:space="preserve">COMMON 
ELECTRICITY BILL
</t>
        </is>
      </c>
      <c r="B16" s="42" t="n">
        <v>0</v>
      </c>
      <c r="C16" s="47">
        <f>$B16/64</f>
        <v/>
      </c>
      <c r="D16" s="47">
        <f>$B16/64</f>
        <v/>
      </c>
      <c r="E16" s="47">
        <f>$B16/64</f>
        <v/>
      </c>
      <c r="F16" s="47">
        <f>$B16/64</f>
        <v/>
      </c>
      <c r="G16" s="47">
        <f>$B16/64</f>
        <v/>
      </c>
      <c r="H16" s="47">
        <f>$B16/64</f>
        <v/>
      </c>
      <c r="I16" s="47">
        <f>$B16/64</f>
        <v/>
      </c>
      <c r="J16" s="47">
        <f>$B16/64</f>
        <v/>
      </c>
      <c r="K16" s="47">
        <f>$B16/64</f>
        <v/>
      </c>
      <c r="L16" s="47">
        <f>$B16/64</f>
        <v/>
      </c>
      <c r="M16" s="47">
        <f>$B16/64</f>
        <v/>
      </c>
      <c r="N16" s="47">
        <f>$B16/64</f>
        <v/>
      </c>
      <c r="O16" s="47">
        <f>$B16/64</f>
        <v/>
      </c>
      <c r="P16" s="47">
        <f>$B16/64</f>
        <v/>
      </c>
      <c r="Q16" s="47">
        <f>$B16/64</f>
        <v/>
      </c>
      <c r="R16" s="47">
        <f>$B16/64</f>
        <v/>
      </c>
      <c r="S16" s="47">
        <f>$B16/64</f>
        <v/>
      </c>
      <c r="T16" s="47">
        <f>$B16/64</f>
        <v/>
      </c>
      <c r="U16" s="47">
        <f>$B16/64</f>
        <v/>
      </c>
      <c r="V16" s="47">
        <f>$B16/64</f>
        <v/>
      </c>
      <c r="W16" s="47">
        <f>$B16/64</f>
        <v/>
      </c>
      <c r="X16" s="47">
        <f>$B16/64</f>
        <v/>
      </c>
      <c r="Y16" s="47">
        <f>$B16/64</f>
        <v/>
      </c>
      <c r="Z16" s="47">
        <f>$B16/64</f>
        <v/>
      </c>
      <c r="AA16" s="47">
        <f>$B16/64</f>
        <v/>
      </c>
      <c r="AB16" s="47">
        <f>$B16/64</f>
        <v/>
      </c>
      <c r="AC16" s="47">
        <f>$B16/64</f>
        <v/>
      </c>
      <c r="AD16" s="47">
        <f>$B16/64</f>
        <v/>
      </c>
      <c r="AE16" s="47">
        <f>$B16/64</f>
        <v/>
      </c>
      <c r="AF16" s="47">
        <f>$B16/64</f>
        <v/>
      </c>
      <c r="AG16" s="47">
        <f>$B16/64</f>
        <v/>
      </c>
      <c r="AH16" s="47">
        <f>$B16/64</f>
        <v/>
      </c>
      <c r="AI16" s="47">
        <f>$B16/64</f>
        <v/>
      </c>
      <c r="AJ16" s="47">
        <f>$B16/64</f>
        <v/>
      </c>
      <c r="AK16" s="47">
        <f>$B16/64</f>
        <v/>
      </c>
      <c r="AL16" s="47">
        <f>$B16/64</f>
        <v/>
      </c>
      <c r="AM16" s="47">
        <f>$B16/64</f>
        <v/>
      </c>
      <c r="AN16" s="47">
        <f>$B16/64</f>
        <v/>
      </c>
      <c r="AO16" s="47">
        <f>$B16/64</f>
        <v/>
      </c>
      <c r="AP16" s="47">
        <f>$B16/64</f>
        <v/>
      </c>
      <c r="AQ16" s="47">
        <f>$B16/64</f>
        <v/>
      </c>
      <c r="AR16" s="47">
        <f>$B16/64</f>
        <v/>
      </c>
      <c r="AS16" s="47">
        <f>$B16/64</f>
        <v/>
      </c>
      <c r="AT16" s="47">
        <f>$B16/64</f>
        <v/>
      </c>
      <c r="AU16" s="47">
        <f>$B16/64</f>
        <v/>
      </c>
      <c r="AV16" s="47">
        <f>$B16/64</f>
        <v/>
      </c>
      <c r="AW16" s="47">
        <f>$B16/64</f>
        <v/>
      </c>
      <c r="AX16" s="47">
        <f>$B16/64</f>
        <v/>
      </c>
      <c r="AY16" s="47">
        <f>$B16/64</f>
        <v/>
      </c>
      <c r="AZ16" s="47">
        <f>$B16/64</f>
        <v/>
      </c>
      <c r="BA16" s="47">
        <f>$B16/64</f>
        <v/>
      </c>
      <c r="BB16" s="47">
        <f>$B16/64</f>
        <v/>
      </c>
      <c r="BC16" s="47">
        <f>$B16/64</f>
        <v/>
      </c>
      <c r="BD16" s="47">
        <f>$B16/64</f>
        <v/>
      </c>
      <c r="BE16" s="47">
        <f>$B16/64</f>
        <v/>
      </c>
      <c r="BF16" s="47">
        <f>$B16/64</f>
        <v/>
      </c>
      <c r="BG16" s="47">
        <f>$B16/64</f>
        <v/>
      </c>
      <c r="BH16" s="47">
        <f>$B16/64</f>
        <v/>
      </c>
      <c r="BI16" s="47">
        <f>$B16/64</f>
        <v/>
      </c>
      <c r="BJ16" s="47">
        <f>$B16/64</f>
        <v/>
      </c>
      <c r="BK16" s="47">
        <f>$B16/64</f>
        <v/>
      </c>
      <c r="BL16" s="47">
        <f>$B16/64</f>
        <v/>
      </c>
      <c r="BM16" s="47">
        <f>$B16/64</f>
        <v/>
      </c>
      <c r="BN16" s="47">
        <f>$B16/64</f>
        <v/>
      </c>
      <c r="BO16" s="47" t="n"/>
      <c r="BP16" s="47" t="n"/>
      <c r="BQ16" s="47" t="n"/>
      <c r="BR16" s="47" t="n"/>
      <c r="BS16" s="47" t="n"/>
      <c r="BT16" s="47" t="n"/>
      <c r="BU16" s="47" t="n"/>
      <c r="BV16" s="47" t="n"/>
      <c r="BW16" s="47" t="n"/>
      <c r="BX16" s="47" t="n"/>
    </row>
    <row r="17">
      <c r="A17" s="40" t="inlineStr">
        <is>
          <t>BECOM Service tax</t>
        </is>
      </c>
      <c r="B17" s="40" t="n">
        <v>0</v>
      </c>
      <c r="C17" s="104">
        <f>$B17/64</f>
        <v/>
      </c>
      <c r="D17" s="104">
        <f>$B17/64</f>
        <v/>
      </c>
      <c r="E17" s="104">
        <f>$B17/64</f>
        <v/>
      </c>
      <c r="F17" s="104">
        <f>$B17/64</f>
        <v/>
      </c>
      <c r="G17" s="104">
        <f>$B17/64</f>
        <v/>
      </c>
      <c r="H17" s="104">
        <f>$B17/64</f>
        <v/>
      </c>
      <c r="I17" s="104">
        <f>$B17/64</f>
        <v/>
      </c>
      <c r="J17" s="104">
        <f>$B17/64</f>
        <v/>
      </c>
      <c r="K17" s="104">
        <f>$B17/64</f>
        <v/>
      </c>
      <c r="L17" s="104">
        <f>$B17/64</f>
        <v/>
      </c>
      <c r="M17" s="104">
        <f>$B17/64</f>
        <v/>
      </c>
      <c r="N17" s="104">
        <f>$B17/64</f>
        <v/>
      </c>
      <c r="O17" s="104">
        <f>$B17/64</f>
        <v/>
      </c>
      <c r="P17" s="104">
        <f>$B17/64</f>
        <v/>
      </c>
      <c r="Q17" s="104">
        <f>$B17/64</f>
        <v/>
      </c>
      <c r="R17" s="104">
        <f>$B17/64</f>
        <v/>
      </c>
      <c r="S17" s="104">
        <f>$B17/64</f>
        <v/>
      </c>
      <c r="T17" s="104">
        <f>$B17/64</f>
        <v/>
      </c>
      <c r="U17" s="104">
        <f>$B17/64</f>
        <v/>
      </c>
      <c r="V17" s="104">
        <f>$B17/64</f>
        <v/>
      </c>
      <c r="W17" s="104">
        <f>$B17/64</f>
        <v/>
      </c>
      <c r="X17" s="104">
        <f>$B17/64</f>
        <v/>
      </c>
      <c r="Y17" s="104">
        <f>$B17/64</f>
        <v/>
      </c>
      <c r="Z17" s="104">
        <f>$B17/64</f>
        <v/>
      </c>
      <c r="AA17" s="104">
        <f>$B17/64</f>
        <v/>
      </c>
      <c r="AB17" s="104">
        <f>$B17/64</f>
        <v/>
      </c>
      <c r="AC17" s="104">
        <f>$B17/64</f>
        <v/>
      </c>
      <c r="AD17" s="104">
        <f>$B17/64</f>
        <v/>
      </c>
      <c r="AE17" s="104">
        <f>$B17/64</f>
        <v/>
      </c>
      <c r="AF17" s="104">
        <f>$B17/64</f>
        <v/>
      </c>
      <c r="AG17" s="104">
        <f>$B17/64</f>
        <v/>
      </c>
      <c r="AH17" s="104">
        <f>$B17/64</f>
        <v/>
      </c>
      <c r="AI17" s="104">
        <f>$B17/64</f>
        <v/>
      </c>
      <c r="AJ17" s="104">
        <f>$B17/64</f>
        <v/>
      </c>
      <c r="AK17" s="104">
        <f>$B17/64</f>
        <v/>
      </c>
      <c r="AL17" s="104">
        <f>$B17/64</f>
        <v/>
      </c>
      <c r="AM17" s="104">
        <f>$B17/64</f>
        <v/>
      </c>
      <c r="AN17" s="104">
        <f>$B17/64</f>
        <v/>
      </c>
      <c r="AO17" s="104">
        <f>$B17/64</f>
        <v/>
      </c>
      <c r="AP17" s="104">
        <f>$B17/64</f>
        <v/>
      </c>
      <c r="AQ17" s="104">
        <f>$B17/64</f>
        <v/>
      </c>
      <c r="AR17" s="104">
        <f>$B17/64</f>
        <v/>
      </c>
      <c r="AS17" s="104">
        <f>$B17/64</f>
        <v/>
      </c>
      <c r="AT17" s="104">
        <f>$B17/64</f>
        <v/>
      </c>
      <c r="AU17" s="104">
        <f>$B17/64</f>
        <v/>
      </c>
      <c r="AV17" s="104">
        <f>$B17/64</f>
        <v/>
      </c>
      <c r="AW17" s="104">
        <f>$B17/64</f>
        <v/>
      </c>
      <c r="AX17" s="104">
        <f>$B17/64</f>
        <v/>
      </c>
      <c r="AY17" s="104">
        <f>$B17/64</f>
        <v/>
      </c>
      <c r="AZ17" s="104">
        <f>$B17/64</f>
        <v/>
      </c>
      <c r="BA17" s="104">
        <f>$B17/64</f>
        <v/>
      </c>
      <c r="BB17" s="104">
        <f>$B17/64</f>
        <v/>
      </c>
      <c r="BC17" s="104">
        <f>$B17/64</f>
        <v/>
      </c>
      <c r="BD17" s="104">
        <f>$B17/64</f>
        <v/>
      </c>
      <c r="BE17" s="104">
        <f>$B17/64</f>
        <v/>
      </c>
      <c r="BF17" s="104">
        <f>$B17/64</f>
        <v/>
      </c>
      <c r="BG17" s="104">
        <f>$B17/64</f>
        <v/>
      </c>
      <c r="BH17" s="104">
        <f>$B17/64</f>
        <v/>
      </c>
      <c r="BI17" s="104">
        <f>$B17/64</f>
        <v/>
      </c>
      <c r="BJ17" s="104">
        <f>$B17/64</f>
        <v/>
      </c>
      <c r="BK17" s="104">
        <f>$B17/64</f>
        <v/>
      </c>
      <c r="BL17" s="104">
        <f>$B17/64</f>
        <v/>
      </c>
      <c r="BM17" s="104">
        <f>$B17/64</f>
        <v/>
      </c>
      <c r="BN17" s="104">
        <f>$B17/64</f>
        <v/>
      </c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</row>
    <row r="18">
      <c r="A18" s="42" t="inlineStr">
        <is>
          <t>SECURITY SERVICES</t>
        </is>
      </c>
      <c r="B18" s="42" t="n">
        <v>0</v>
      </c>
      <c r="C18" s="47">
        <f>$B18/64</f>
        <v/>
      </c>
      <c r="D18" s="47">
        <f>$B18/64</f>
        <v/>
      </c>
      <c r="E18" s="47">
        <f>$B18/64</f>
        <v/>
      </c>
      <c r="F18" s="47">
        <f>$B18/64</f>
        <v/>
      </c>
      <c r="G18" s="47">
        <f>$B18/64</f>
        <v/>
      </c>
      <c r="H18" s="47">
        <f>$B18/64</f>
        <v/>
      </c>
      <c r="I18" s="47">
        <f>$B18/64</f>
        <v/>
      </c>
      <c r="J18" s="47">
        <f>$B18/64</f>
        <v/>
      </c>
      <c r="K18" s="47">
        <f>$B18/64</f>
        <v/>
      </c>
      <c r="L18" s="47">
        <f>$B18/64</f>
        <v/>
      </c>
      <c r="M18" s="47">
        <f>$B18/64</f>
        <v/>
      </c>
      <c r="N18" s="47">
        <f>$B18/64</f>
        <v/>
      </c>
      <c r="O18" s="47">
        <f>$B18/64</f>
        <v/>
      </c>
      <c r="P18" s="47">
        <f>$B18/64</f>
        <v/>
      </c>
      <c r="Q18" s="47">
        <f>$B18/64</f>
        <v/>
      </c>
      <c r="R18" s="47">
        <f>$B18/64</f>
        <v/>
      </c>
      <c r="S18" s="47">
        <f>$B18/64</f>
        <v/>
      </c>
      <c r="T18" s="47">
        <f>$B18/64</f>
        <v/>
      </c>
      <c r="U18" s="47">
        <f>$B18/64</f>
        <v/>
      </c>
      <c r="V18" s="47">
        <f>$B18/64</f>
        <v/>
      </c>
      <c r="W18" s="47">
        <f>$B18/64</f>
        <v/>
      </c>
      <c r="X18" s="47">
        <f>$B18/64</f>
        <v/>
      </c>
      <c r="Y18" s="47">
        <f>$B18/64</f>
        <v/>
      </c>
      <c r="Z18" s="47">
        <f>$B18/64</f>
        <v/>
      </c>
      <c r="AA18" s="47">
        <f>$B18/64</f>
        <v/>
      </c>
      <c r="AB18" s="47">
        <f>$B18/64</f>
        <v/>
      </c>
      <c r="AC18" s="47">
        <f>$B18/64</f>
        <v/>
      </c>
      <c r="AD18" s="47">
        <f>$B18/64</f>
        <v/>
      </c>
      <c r="AE18" s="47">
        <f>$B18/64</f>
        <v/>
      </c>
      <c r="AF18" s="47">
        <f>$B18/64</f>
        <v/>
      </c>
      <c r="AG18" s="47">
        <f>$B18/64</f>
        <v/>
      </c>
      <c r="AH18" s="47">
        <f>$B18/64</f>
        <v/>
      </c>
      <c r="AI18" s="47">
        <f>$B18/64</f>
        <v/>
      </c>
      <c r="AJ18" s="47">
        <f>$B18/64</f>
        <v/>
      </c>
      <c r="AK18" s="47">
        <f>$B18/64</f>
        <v/>
      </c>
      <c r="AL18" s="47">
        <f>$B18/64</f>
        <v/>
      </c>
      <c r="AM18" s="47">
        <f>$B18/64</f>
        <v/>
      </c>
      <c r="AN18" s="47">
        <f>$B18/64</f>
        <v/>
      </c>
      <c r="AO18" s="47">
        <f>$B18/64</f>
        <v/>
      </c>
      <c r="AP18" s="47">
        <f>$B18/64</f>
        <v/>
      </c>
      <c r="AQ18" s="47">
        <f>$B18/64</f>
        <v/>
      </c>
      <c r="AR18" s="47">
        <f>$B18/64</f>
        <v/>
      </c>
      <c r="AS18" s="47">
        <f>$B18/64</f>
        <v/>
      </c>
      <c r="AT18" s="47">
        <f>$B18/64</f>
        <v/>
      </c>
      <c r="AU18" s="47">
        <f>$B18/64</f>
        <v/>
      </c>
      <c r="AV18" s="47">
        <f>$B18/64</f>
        <v/>
      </c>
      <c r="AW18" s="47">
        <f>$B18/64</f>
        <v/>
      </c>
      <c r="AX18" s="47">
        <f>$B18/64</f>
        <v/>
      </c>
      <c r="AY18" s="47">
        <f>$B18/64</f>
        <v/>
      </c>
      <c r="AZ18" s="47">
        <f>$B18/64</f>
        <v/>
      </c>
      <c r="BA18" s="47">
        <f>$B18/64</f>
        <v/>
      </c>
      <c r="BB18" s="47">
        <f>$B18/64</f>
        <v/>
      </c>
      <c r="BC18" s="47">
        <f>$B18/64</f>
        <v/>
      </c>
      <c r="BD18" s="47">
        <f>$B18/64</f>
        <v/>
      </c>
      <c r="BE18" s="47">
        <f>$B18/64</f>
        <v/>
      </c>
      <c r="BF18" s="47">
        <f>$B18/64</f>
        <v/>
      </c>
      <c r="BG18" s="47">
        <f>$B18/64</f>
        <v/>
      </c>
      <c r="BH18" s="47">
        <f>$B18/64</f>
        <v/>
      </c>
      <c r="BI18" s="47">
        <f>$B18/64</f>
        <v/>
      </c>
      <c r="BJ18" s="47">
        <f>$B18/64</f>
        <v/>
      </c>
      <c r="BK18" s="47">
        <f>$B18/64</f>
        <v/>
      </c>
      <c r="BL18" s="47">
        <f>$B18/64</f>
        <v/>
      </c>
      <c r="BM18" s="47">
        <f>$B18/64</f>
        <v/>
      </c>
      <c r="BN18" s="47">
        <f>$B18/64</f>
        <v/>
      </c>
      <c r="BO18" s="47" t="n"/>
      <c r="BP18" s="47" t="n"/>
      <c r="BQ18" s="47" t="n"/>
      <c r="BR18" s="47" t="n"/>
      <c r="BS18" s="47" t="n"/>
      <c r="BT18" s="47" t="n"/>
      <c r="BU18" s="47" t="n"/>
      <c r="BV18" s="47" t="n"/>
      <c r="BW18" s="47" t="n"/>
      <c r="BX18" s="47" t="n"/>
    </row>
    <row r="19">
      <c r="A19" s="40" t="inlineStr">
        <is>
          <t>GARBAGE REMOVAL</t>
        </is>
      </c>
      <c r="B19" s="40" t="n">
        <v>0</v>
      </c>
      <c r="C19" s="104">
        <f>$B19/64</f>
        <v/>
      </c>
      <c r="D19" s="104">
        <f>$B19/64</f>
        <v/>
      </c>
      <c r="E19" s="104">
        <f>$B19/64</f>
        <v/>
      </c>
      <c r="F19" s="104">
        <f>$B19/64</f>
        <v/>
      </c>
      <c r="G19" s="104">
        <f>$B19/64</f>
        <v/>
      </c>
      <c r="H19" s="104">
        <f>$B19/64</f>
        <v/>
      </c>
      <c r="I19" s="104">
        <f>$B19/64</f>
        <v/>
      </c>
      <c r="J19" s="104">
        <f>$B19/64</f>
        <v/>
      </c>
      <c r="K19" s="104">
        <f>$B19/64</f>
        <v/>
      </c>
      <c r="L19" s="104">
        <f>$B19/64</f>
        <v/>
      </c>
      <c r="M19" s="104">
        <f>$B19/64</f>
        <v/>
      </c>
      <c r="N19" s="104">
        <f>$B19/64</f>
        <v/>
      </c>
      <c r="O19" s="104">
        <f>$B19/64</f>
        <v/>
      </c>
      <c r="P19" s="104">
        <f>$B19/64</f>
        <v/>
      </c>
      <c r="Q19" s="104">
        <f>$B19/64</f>
        <v/>
      </c>
      <c r="R19" s="104">
        <f>$B19/64</f>
        <v/>
      </c>
      <c r="S19" s="104">
        <f>$B19/64</f>
        <v/>
      </c>
      <c r="T19" s="104">
        <f>$B19/64</f>
        <v/>
      </c>
      <c r="U19" s="104">
        <f>$B19/64</f>
        <v/>
      </c>
      <c r="V19" s="104">
        <f>$B19/64</f>
        <v/>
      </c>
      <c r="W19" s="104">
        <f>$B19/64</f>
        <v/>
      </c>
      <c r="X19" s="104">
        <f>$B19/64</f>
        <v/>
      </c>
      <c r="Y19" s="104">
        <f>$B19/64</f>
        <v/>
      </c>
      <c r="Z19" s="104">
        <f>$B19/64</f>
        <v/>
      </c>
      <c r="AA19" s="104">
        <f>$B19/64</f>
        <v/>
      </c>
      <c r="AB19" s="104">
        <f>$B19/64</f>
        <v/>
      </c>
      <c r="AC19" s="104">
        <f>$B19/64</f>
        <v/>
      </c>
      <c r="AD19" s="104">
        <f>$B19/64</f>
        <v/>
      </c>
      <c r="AE19" s="104">
        <f>$B19/64</f>
        <v/>
      </c>
      <c r="AF19" s="104">
        <f>$B19/64</f>
        <v/>
      </c>
      <c r="AG19" s="104">
        <f>$B19/64</f>
        <v/>
      </c>
      <c r="AH19" s="104">
        <f>$B19/64</f>
        <v/>
      </c>
      <c r="AI19" s="104">
        <f>$B19/64</f>
        <v/>
      </c>
      <c r="AJ19" s="104">
        <f>$B19/64</f>
        <v/>
      </c>
      <c r="AK19" s="104">
        <f>$B19/64</f>
        <v/>
      </c>
      <c r="AL19" s="104">
        <f>$B19/64</f>
        <v/>
      </c>
      <c r="AM19" s="104">
        <f>$B19/64</f>
        <v/>
      </c>
      <c r="AN19" s="104">
        <f>$B19/64</f>
        <v/>
      </c>
      <c r="AO19" s="104">
        <f>$B19/64</f>
        <v/>
      </c>
      <c r="AP19" s="104">
        <f>$B19/64</f>
        <v/>
      </c>
      <c r="AQ19" s="104">
        <f>$B19/64</f>
        <v/>
      </c>
      <c r="AR19" s="104">
        <f>$B19/64</f>
        <v/>
      </c>
      <c r="AS19" s="104">
        <f>$B19/64</f>
        <v/>
      </c>
      <c r="AT19" s="104">
        <f>$B19/64</f>
        <v/>
      </c>
      <c r="AU19" s="104">
        <f>$B19/64</f>
        <v/>
      </c>
      <c r="AV19" s="104">
        <f>$B19/64</f>
        <v/>
      </c>
      <c r="AW19" s="104">
        <f>$B19/64</f>
        <v/>
      </c>
      <c r="AX19" s="104">
        <f>$B19/64</f>
        <v/>
      </c>
      <c r="AY19" s="104">
        <f>$B19/64</f>
        <v/>
      </c>
      <c r="AZ19" s="104">
        <f>$B19/64</f>
        <v/>
      </c>
      <c r="BA19" s="104">
        <f>$B19/64</f>
        <v/>
      </c>
      <c r="BB19" s="104">
        <f>$B19/64</f>
        <v/>
      </c>
      <c r="BC19" s="104">
        <f>$B19/64</f>
        <v/>
      </c>
      <c r="BD19" s="104">
        <f>$B19/64</f>
        <v/>
      </c>
      <c r="BE19" s="104">
        <f>$B19/64</f>
        <v/>
      </c>
      <c r="BF19" s="104">
        <f>$B19/64</f>
        <v/>
      </c>
      <c r="BG19" s="104">
        <f>$B19/64</f>
        <v/>
      </c>
      <c r="BH19" s="104">
        <f>$B19/64</f>
        <v/>
      </c>
      <c r="BI19" s="104">
        <f>$B19/64</f>
        <v/>
      </c>
      <c r="BJ19" s="104">
        <f>$B19/64</f>
        <v/>
      </c>
      <c r="BK19" s="104">
        <f>$B19/64</f>
        <v/>
      </c>
      <c r="BL19" s="104">
        <f>$B19/64</f>
        <v/>
      </c>
      <c r="BM19" s="104">
        <f>$B19/64</f>
        <v/>
      </c>
      <c r="BN19" s="104">
        <f>$B19/64</f>
        <v/>
      </c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</row>
    <row r="20">
      <c r="A20" s="42" t="inlineStr">
        <is>
          <t>PETTY CASH</t>
        </is>
      </c>
      <c r="B20" s="42" t="n">
        <v>0</v>
      </c>
      <c r="C20" s="47">
        <f>$B20/64</f>
        <v/>
      </c>
      <c r="D20" s="47">
        <f>$B20/64</f>
        <v/>
      </c>
      <c r="E20" s="47">
        <f>$B20/64</f>
        <v/>
      </c>
      <c r="F20" s="47">
        <f>$B20/64</f>
        <v/>
      </c>
      <c r="G20" s="47">
        <f>$B20/64</f>
        <v/>
      </c>
      <c r="H20" s="47">
        <f>$B20/64</f>
        <v/>
      </c>
      <c r="I20" s="47">
        <f>$B20/64</f>
        <v/>
      </c>
      <c r="J20" s="47">
        <f>$B20/64</f>
        <v/>
      </c>
      <c r="K20" s="47">
        <f>$B20/64</f>
        <v/>
      </c>
      <c r="L20" s="47">
        <f>$B20/64</f>
        <v/>
      </c>
      <c r="M20" s="47">
        <f>$B20/64</f>
        <v/>
      </c>
      <c r="N20" s="47">
        <f>$B20/64</f>
        <v/>
      </c>
      <c r="O20" s="47">
        <f>$B20/64</f>
        <v/>
      </c>
      <c r="P20" s="47">
        <f>$B20/64</f>
        <v/>
      </c>
      <c r="Q20" s="47">
        <f>$B20/64</f>
        <v/>
      </c>
      <c r="R20" s="47">
        <f>$B20/64</f>
        <v/>
      </c>
      <c r="S20" s="47">
        <f>$B20/64</f>
        <v/>
      </c>
      <c r="T20" s="47">
        <f>$B20/64</f>
        <v/>
      </c>
      <c r="U20" s="47">
        <f>$B20/64</f>
        <v/>
      </c>
      <c r="V20" s="47">
        <f>$B20/64</f>
        <v/>
      </c>
      <c r="W20" s="47">
        <f>$B20/64</f>
        <v/>
      </c>
      <c r="X20" s="47">
        <f>$B20/64</f>
        <v/>
      </c>
      <c r="Y20" s="47">
        <f>$B20/64</f>
        <v/>
      </c>
      <c r="Z20" s="47">
        <f>$B20/64</f>
        <v/>
      </c>
      <c r="AA20" s="47">
        <f>$B20/64</f>
        <v/>
      </c>
      <c r="AB20" s="47">
        <f>$B20/64</f>
        <v/>
      </c>
      <c r="AC20" s="47">
        <f>$B20/64</f>
        <v/>
      </c>
      <c r="AD20" s="47">
        <f>$B20/64</f>
        <v/>
      </c>
      <c r="AE20" s="47">
        <f>$B20/64</f>
        <v/>
      </c>
      <c r="AF20" s="47">
        <f>$B20/64</f>
        <v/>
      </c>
      <c r="AG20" s="47">
        <f>$B20/64</f>
        <v/>
      </c>
      <c r="AH20" s="47">
        <f>$B20/64</f>
        <v/>
      </c>
      <c r="AI20" s="47">
        <f>$B20/64</f>
        <v/>
      </c>
      <c r="AJ20" s="47">
        <f>$B20/64</f>
        <v/>
      </c>
      <c r="AK20" s="47">
        <f>$B20/64</f>
        <v/>
      </c>
      <c r="AL20" s="47">
        <f>$B20/64</f>
        <v/>
      </c>
      <c r="AM20" s="47">
        <f>$B20/64</f>
        <v/>
      </c>
      <c r="AN20" s="47">
        <f>$B20/64</f>
        <v/>
      </c>
      <c r="AO20" s="47">
        <f>$B20/64</f>
        <v/>
      </c>
      <c r="AP20" s="47">
        <f>$B20/64</f>
        <v/>
      </c>
      <c r="AQ20" s="47">
        <f>$B20/64</f>
        <v/>
      </c>
      <c r="AR20" s="47">
        <f>$B20/64</f>
        <v/>
      </c>
      <c r="AS20" s="47">
        <f>$B20/64</f>
        <v/>
      </c>
      <c r="AT20" s="47">
        <f>$B20/64</f>
        <v/>
      </c>
      <c r="AU20" s="47">
        <f>$B20/64</f>
        <v/>
      </c>
      <c r="AV20" s="47">
        <f>$B20/64</f>
        <v/>
      </c>
      <c r="AW20" s="47">
        <f>$B20/64</f>
        <v/>
      </c>
      <c r="AX20" s="47">
        <f>$B20/64</f>
        <v/>
      </c>
      <c r="AY20" s="47">
        <f>$B20/64</f>
        <v/>
      </c>
      <c r="AZ20" s="47">
        <f>$B20/64</f>
        <v/>
      </c>
      <c r="BA20" s="47">
        <f>$B20/64</f>
        <v/>
      </c>
      <c r="BB20" s="47">
        <f>$B20/64</f>
        <v/>
      </c>
      <c r="BC20" s="47">
        <f>$B20/64</f>
        <v/>
      </c>
      <c r="BD20" s="47">
        <f>$B20/64</f>
        <v/>
      </c>
      <c r="BE20" s="47">
        <f>$B20/64</f>
        <v/>
      </c>
      <c r="BF20" s="47">
        <f>$B20/64</f>
        <v/>
      </c>
      <c r="BG20" s="47">
        <f>$B20/64</f>
        <v/>
      </c>
      <c r="BH20" s="47">
        <f>$B20/64</f>
        <v/>
      </c>
      <c r="BI20" s="47">
        <f>$B20/64</f>
        <v/>
      </c>
      <c r="BJ20" s="47">
        <f>$B20/64</f>
        <v/>
      </c>
      <c r="BK20" s="47">
        <f>$B20/64</f>
        <v/>
      </c>
      <c r="BL20" s="47">
        <f>$B20/64</f>
        <v/>
      </c>
      <c r="BM20" s="47">
        <f>$B20/64</f>
        <v/>
      </c>
      <c r="BN20" s="47">
        <f>$B20/64</f>
        <v/>
      </c>
      <c r="BO20" s="47" t="n"/>
      <c r="BP20" s="47" t="n"/>
      <c r="BQ20" s="47" t="n"/>
      <c r="BR20" s="47" t="n"/>
      <c r="BS20" s="47" t="n"/>
      <c r="BT20" s="47" t="n"/>
      <c r="BU20" s="47" t="n"/>
      <c r="BV20" s="47" t="n"/>
      <c r="BW20" s="47" t="n"/>
      <c r="BX20" s="47" t="n"/>
    </row>
    <row r="21">
      <c r="A21" s="40" t="inlineStr">
        <is>
          <t>ELEVATOR MAINTENANCE</t>
        </is>
      </c>
      <c r="B21" s="40" t="n">
        <v>0</v>
      </c>
      <c r="C21" s="104">
        <f>$B21/64</f>
        <v/>
      </c>
      <c r="D21" s="104">
        <f>$B21/64</f>
        <v/>
      </c>
      <c r="E21" s="104">
        <f>$B21/64</f>
        <v/>
      </c>
      <c r="F21" s="104">
        <f>$B21/64</f>
        <v/>
      </c>
      <c r="G21" s="104">
        <f>$B21/64</f>
        <v/>
      </c>
      <c r="H21" s="104">
        <f>$B21/64</f>
        <v/>
      </c>
      <c r="I21" s="104">
        <f>$B21/64</f>
        <v/>
      </c>
      <c r="J21" s="104">
        <f>$B21/64</f>
        <v/>
      </c>
      <c r="K21" s="104">
        <f>$B21/64</f>
        <v/>
      </c>
      <c r="L21" s="104">
        <f>$B21/64</f>
        <v/>
      </c>
      <c r="M21" s="104">
        <f>$B21/64</f>
        <v/>
      </c>
      <c r="N21" s="104">
        <f>$B21/64</f>
        <v/>
      </c>
      <c r="O21" s="104">
        <f>$B21/64</f>
        <v/>
      </c>
      <c r="P21" s="104">
        <f>$B21/64</f>
        <v/>
      </c>
      <c r="Q21" s="104">
        <f>$B21/64</f>
        <v/>
      </c>
      <c r="R21" s="104">
        <f>$B21/64</f>
        <v/>
      </c>
      <c r="S21" s="104">
        <f>$B21/64</f>
        <v/>
      </c>
      <c r="T21" s="104">
        <f>$B21/64</f>
        <v/>
      </c>
      <c r="U21" s="104">
        <f>$B21/64</f>
        <v/>
      </c>
      <c r="V21" s="104">
        <f>$B21/64</f>
        <v/>
      </c>
      <c r="W21" s="104">
        <f>$B21/64</f>
        <v/>
      </c>
      <c r="X21" s="104">
        <f>$B21/64</f>
        <v/>
      </c>
      <c r="Y21" s="104">
        <f>$B21/64</f>
        <v/>
      </c>
      <c r="Z21" s="104">
        <f>$B21/64</f>
        <v/>
      </c>
      <c r="AA21" s="104">
        <f>$B21/64</f>
        <v/>
      </c>
      <c r="AB21" s="104">
        <f>$B21/64</f>
        <v/>
      </c>
      <c r="AC21" s="104">
        <f>$B21/64</f>
        <v/>
      </c>
      <c r="AD21" s="104">
        <f>$B21/64</f>
        <v/>
      </c>
      <c r="AE21" s="104">
        <f>$B21/64</f>
        <v/>
      </c>
      <c r="AF21" s="104">
        <f>$B21/64</f>
        <v/>
      </c>
      <c r="AG21" s="104">
        <f>$B21/64</f>
        <v/>
      </c>
      <c r="AH21" s="104">
        <f>$B21/64</f>
        <v/>
      </c>
      <c r="AI21" s="104">
        <f>$B21/64</f>
        <v/>
      </c>
      <c r="AJ21" s="104">
        <f>$B21/64</f>
        <v/>
      </c>
      <c r="AK21" s="104">
        <f>$B21/64</f>
        <v/>
      </c>
      <c r="AL21" s="104">
        <f>$B21/64</f>
        <v/>
      </c>
      <c r="AM21" s="104">
        <f>$B21/64</f>
        <v/>
      </c>
      <c r="AN21" s="104">
        <f>$B21/64</f>
        <v/>
      </c>
      <c r="AO21" s="104">
        <f>$B21/64</f>
        <v/>
      </c>
      <c r="AP21" s="104">
        <f>$B21/64</f>
        <v/>
      </c>
      <c r="AQ21" s="104">
        <f>$B21/64</f>
        <v/>
      </c>
      <c r="AR21" s="104">
        <f>$B21/64</f>
        <v/>
      </c>
      <c r="AS21" s="104">
        <f>$B21/64</f>
        <v/>
      </c>
      <c r="AT21" s="104">
        <f>$B21/64</f>
        <v/>
      </c>
      <c r="AU21" s="104">
        <f>$B21/64</f>
        <v/>
      </c>
      <c r="AV21" s="104">
        <f>$B21/64</f>
        <v/>
      </c>
      <c r="AW21" s="104">
        <f>$B21/64</f>
        <v/>
      </c>
      <c r="AX21" s="104">
        <f>$B21/64</f>
        <v/>
      </c>
      <c r="AY21" s="104">
        <f>$B21/64</f>
        <v/>
      </c>
      <c r="AZ21" s="104">
        <f>$B21/64</f>
        <v/>
      </c>
      <c r="BA21" s="104">
        <f>$B21/64</f>
        <v/>
      </c>
      <c r="BB21" s="104">
        <f>$B21/64</f>
        <v/>
      </c>
      <c r="BC21" s="104">
        <f>$B21/64</f>
        <v/>
      </c>
      <c r="BD21" s="104">
        <f>$B21/64</f>
        <v/>
      </c>
      <c r="BE21" s="104">
        <f>$B21/64</f>
        <v/>
      </c>
      <c r="BF21" s="104">
        <f>$B21/64</f>
        <v/>
      </c>
      <c r="BG21" s="104">
        <f>$B21/64</f>
        <v/>
      </c>
      <c r="BH21" s="104">
        <f>$B21/64</f>
        <v/>
      </c>
      <c r="BI21" s="104">
        <f>$B21/64</f>
        <v/>
      </c>
      <c r="BJ21" s="104">
        <f>$B21/64</f>
        <v/>
      </c>
      <c r="BK21" s="104">
        <f>$B21/64</f>
        <v/>
      </c>
      <c r="BL21" s="104">
        <f>$B21/64</f>
        <v/>
      </c>
      <c r="BM21" s="104">
        <f>$B21/64</f>
        <v/>
      </c>
      <c r="BN21" s="104">
        <f>$B21/64</f>
        <v/>
      </c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</row>
    <row r="22">
      <c r="A22" s="42" t="inlineStr">
        <is>
          <t>MOTOR REPAIR</t>
        </is>
      </c>
      <c r="B22" s="42" t="n">
        <v>0</v>
      </c>
      <c r="C22" s="47">
        <f>$B22/64</f>
        <v/>
      </c>
      <c r="D22" s="47">
        <f>$B22/64</f>
        <v/>
      </c>
      <c r="E22" s="47">
        <f>$B22/64</f>
        <v/>
      </c>
      <c r="F22" s="47">
        <f>$B22/64</f>
        <v/>
      </c>
      <c r="G22" s="47">
        <f>$B22/64</f>
        <v/>
      </c>
      <c r="H22" s="47">
        <f>$B22/64</f>
        <v/>
      </c>
      <c r="I22" s="47">
        <f>$B22/64</f>
        <v/>
      </c>
      <c r="J22" s="47">
        <f>$B22/64</f>
        <v/>
      </c>
      <c r="K22" s="47">
        <f>$B22/64</f>
        <v/>
      </c>
      <c r="L22" s="47">
        <f>$B22/64</f>
        <v/>
      </c>
      <c r="M22" s="47">
        <f>$B22/64</f>
        <v/>
      </c>
      <c r="N22" s="47">
        <f>$B22/64</f>
        <v/>
      </c>
      <c r="O22" s="47">
        <f>$B22/64</f>
        <v/>
      </c>
      <c r="P22" s="47">
        <f>$B22/64</f>
        <v/>
      </c>
      <c r="Q22" s="47">
        <f>$B22/64</f>
        <v/>
      </c>
      <c r="R22" s="47">
        <f>$B22/64</f>
        <v/>
      </c>
      <c r="S22" s="47">
        <f>$B22/64</f>
        <v/>
      </c>
      <c r="T22" s="47">
        <f>$B22/64</f>
        <v/>
      </c>
      <c r="U22" s="47">
        <f>$B22/64</f>
        <v/>
      </c>
      <c r="V22" s="47">
        <f>$B22/64</f>
        <v/>
      </c>
      <c r="W22" s="47">
        <f>$B22/64</f>
        <v/>
      </c>
      <c r="X22" s="47">
        <f>$B22/64</f>
        <v/>
      </c>
      <c r="Y22" s="47">
        <f>$B22/64</f>
        <v/>
      </c>
      <c r="Z22" s="47">
        <f>$B22/64</f>
        <v/>
      </c>
      <c r="AA22" s="47">
        <f>$B22/64</f>
        <v/>
      </c>
      <c r="AB22" s="47">
        <f>$B22/64</f>
        <v/>
      </c>
      <c r="AC22" s="47">
        <f>$B22/64</f>
        <v/>
      </c>
      <c r="AD22" s="47">
        <f>$B22/64</f>
        <v/>
      </c>
      <c r="AE22" s="47">
        <f>$B22/64</f>
        <v/>
      </c>
      <c r="AF22" s="47">
        <f>$B22/64</f>
        <v/>
      </c>
      <c r="AG22" s="47">
        <f>$B22/64</f>
        <v/>
      </c>
      <c r="AH22" s="47">
        <f>$B22/64</f>
        <v/>
      </c>
      <c r="AI22" s="47">
        <f>$B22/64</f>
        <v/>
      </c>
      <c r="AJ22" s="47">
        <f>$B22/64</f>
        <v/>
      </c>
      <c r="AK22" s="47">
        <f>$B22/64</f>
        <v/>
      </c>
      <c r="AL22" s="47">
        <f>$B22/64</f>
        <v/>
      </c>
      <c r="AM22" s="47">
        <f>$B22/64</f>
        <v/>
      </c>
      <c r="AN22" s="47">
        <f>$B22/64</f>
        <v/>
      </c>
      <c r="AO22" s="47">
        <f>$B22/64</f>
        <v/>
      </c>
      <c r="AP22" s="47">
        <f>$B22/64</f>
        <v/>
      </c>
      <c r="AQ22" s="47">
        <f>$B22/64</f>
        <v/>
      </c>
      <c r="AR22" s="47">
        <f>$B22/64</f>
        <v/>
      </c>
      <c r="AS22" s="47">
        <f>$B22/64</f>
        <v/>
      </c>
      <c r="AT22" s="47">
        <f>$B22/64</f>
        <v/>
      </c>
      <c r="AU22" s="47">
        <f>$B22/64</f>
        <v/>
      </c>
      <c r="AV22" s="47">
        <f>$B22/64</f>
        <v/>
      </c>
      <c r="AW22" s="47">
        <f>$B22/64</f>
        <v/>
      </c>
      <c r="AX22" s="47">
        <f>$B22/64</f>
        <v/>
      </c>
      <c r="AY22" s="47">
        <f>$B22/64</f>
        <v/>
      </c>
      <c r="AZ22" s="47">
        <f>$B22/64</f>
        <v/>
      </c>
      <c r="BA22" s="47">
        <f>$B22/64</f>
        <v/>
      </c>
      <c r="BB22" s="47">
        <f>$B22/64</f>
        <v/>
      </c>
      <c r="BC22" s="47">
        <f>$B22/64</f>
        <v/>
      </c>
      <c r="BD22" s="47">
        <f>$B22/64</f>
        <v/>
      </c>
      <c r="BE22" s="47">
        <f>$B22/64</f>
        <v/>
      </c>
      <c r="BF22" s="47">
        <f>$B22/64</f>
        <v/>
      </c>
      <c r="BG22" s="47">
        <f>$B22/64</f>
        <v/>
      </c>
      <c r="BH22" s="47">
        <f>$B22/64</f>
        <v/>
      </c>
      <c r="BI22" s="47">
        <f>$B22/64</f>
        <v/>
      </c>
      <c r="BJ22" s="47">
        <f>$B22/64</f>
        <v/>
      </c>
      <c r="BK22" s="47">
        <f>$B22/64</f>
        <v/>
      </c>
      <c r="BL22" s="47">
        <f>$B22/64</f>
        <v/>
      </c>
      <c r="BM22" s="47">
        <f>$B22/64</f>
        <v/>
      </c>
      <c r="BN22" s="47">
        <f>$B22/64</f>
        <v/>
      </c>
      <c r="BO22" s="47" t="n"/>
      <c r="BP22" s="47" t="n"/>
      <c r="BQ22" s="47" t="n"/>
      <c r="BR22" s="47" t="n"/>
      <c r="BS22" s="47" t="n"/>
      <c r="BT22" s="47" t="n"/>
      <c r="BU22" s="47" t="n"/>
      <c r="BV22" s="47" t="n"/>
      <c r="BW22" s="47" t="n"/>
      <c r="BX22" s="47" t="n"/>
    </row>
    <row r="23">
      <c r="A23" s="40" t="inlineStr">
        <is>
          <t>PLUMBING MATERIAL</t>
        </is>
      </c>
      <c r="B23" s="40" t="n">
        <v>0</v>
      </c>
      <c r="C23" s="104">
        <f>$B23/64</f>
        <v/>
      </c>
      <c r="D23" s="104">
        <f>$B23/64</f>
        <v/>
      </c>
      <c r="E23" s="104">
        <f>$B23/64</f>
        <v/>
      </c>
      <c r="F23" s="104">
        <f>$B23/64</f>
        <v/>
      </c>
      <c r="G23" s="104">
        <f>$B23/64</f>
        <v/>
      </c>
      <c r="H23" s="104">
        <f>$B23/64</f>
        <v/>
      </c>
      <c r="I23" s="104">
        <f>$B23/64</f>
        <v/>
      </c>
      <c r="J23" s="104">
        <f>$B23/64</f>
        <v/>
      </c>
      <c r="K23" s="104">
        <f>$B23/64</f>
        <v/>
      </c>
      <c r="L23" s="104">
        <f>$B23/64</f>
        <v/>
      </c>
      <c r="M23" s="104">
        <f>$B23/64</f>
        <v/>
      </c>
      <c r="N23" s="104">
        <f>$B23/64</f>
        <v/>
      </c>
      <c r="O23" s="104">
        <f>$B23/64</f>
        <v/>
      </c>
      <c r="P23" s="104">
        <f>$B23/64</f>
        <v/>
      </c>
      <c r="Q23" s="104">
        <f>$B23/64</f>
        <v/>
      </c>
      <c r="R23" s="104">
        <f>$B23/64</f>
        <v/>
      </c>
      <c r="S23" s="104">
        <f>$B23/64</f>
        <v/>
      </c>
      <c r="T23" s="104">
        <f>$B23/64</f>
        <v/>
      </c>
      <c r="U23" s="104">
        <f>$B23/64</f>
        <v/>
      </c>
      <c r="V23" s="104">
        <f>$B23/64</f>
        <v/>
      </c>
      <c r="W23" s="104">
        <f>$B23/64</f>
        <v/>
      </c>
      <c r="X23" s="104">
        <f>$B23/64</f>
        <v/>
      </c>
      <c r="Y23" s="104">
        <f>$B23/64</f>
        <v/>
      </c>
      <c r="Z23" s="104">
        <f>$B23/64</f>
        <v/>
      </c>
      <c r="AA23" s="104">
        <f>$B23/64</f>
        <v/>
      </c>
      <c r="AB23" s="104">
        <f>$B23/64</f>
        <v/>
      </c>
      <c r="AC23" s="104">
        <f>$B23/64</f>
        <v/>
      </c>
      <c r="AD23" s="104">
        <f>$B23/64</f>
        <v/>
      </c>
      <c r="AE23" s="104">
        <f>$B23/64</f>
        <v/>
      </c>
      <c r="AF23" s="104">
        <f>$B23/64</f>
        <v/>
      </c>
      <c r="AG23" s="104">
        <f>$B23/64</f>
        <v/>
      </c>
      <c r="AH23" s="104">
        <f>$B23/64</f>
        <v/>
      </c>
      <c r="AI23" s="104">
        <f>$B23/64</f>
        <v/>
      </c>
      <c r="AJ23" s="104">
        <f>$B23/64</f>
        <v/>
      </c>
      <c r="AK23" s="104">
        <f>$B23/64</f>
        <v/>
      </c>
      <c r="AL23" s="104">
        <f>$B23/64</f>
        <v/>
      </c>
      <c r="AM23" s="104">
        <f>$B23/64</f>
        <v/>
      </c>
      <c r="AN23" s="104">
        <f>$B23/64</f>
        <v/>
      </c>
      <c r="AO23" s="104">
        <f>$B23/64</f>
        <v/>
      </c>
      <c r="AP23" s="104">
        <f>$B23/64</f>
        <v/>
      </c>
      <c r="AQ23" s="104">
        <f>$B23/64</f>
        <v/>
      </c>
      <c r="AR23" s="104">
        <f>$B23/64</f>
        <v/>
      </c>
      <c r="AS23" s="104">
        <f>$B23/64</f>
        <v/>
      </c>
      <c r="AT23" s="104">
        <f>$B23/64</f>
        <v/>
      </c>
      <c r="AU23" s="104">
        <f>$B23/64</f>
        <v/>
      </c>
      <c r="AV23" s="104">
        <f>$B23/64</f>
        <v/>
      </c>
      <c r="AW23" s="104">
        <f>$B23/64</f>
        <v/>
      </c>
      <c r="AX23" s="104">
        <f>$B23/64</f>
        <v/>
      </c>
      <c r="AY23" s="104">
        <f>$B23/64</f>
        <v/>
      </c>
      <c r="AZ23" s="104">
        <f>$B23/64</f>
        <v/>
      </c>
      <c r="BA23" s="104">
        <f>$B23/64</f>
        <v/>
      </c>
      <c r="BB23" s="104">
        <f>$B23/64</f>
        <v/>
      </c>
      <c r="BC23" s="104">
        <f>$B23/64</f>
        <v/>
      </c>
      <c r="BD23" s="104">
        <f>$B23/64</f>
        <v/>
      </c>
      <c r="BE23" s="104">
        <f>$B23/64</f>
        <v/>
      </c>
      <c r="BF23" s="104">
        <f>$B23/64</f>
        <v/>
      </c>
      <c r="BG23" s="104">
        <f>$B23/64</f>
        <v/>
      </c>
      <c r="BH23" s="104">
        <f>$B23/64</f>
        <v/>
      </c>
      <c r="BI23" s="104">
        <f>$B23/64</f>
        <v/>
      </c>
      <c r="BJ23" s="104">
        <f>$B23/64</f>
        <v/>
      </c>
      <c r="BK23" s="104">
        <f>$B23/64</f>
        <v/>
      </c>
      <c r="BL23" s="104">
        <f>$B23/64</f>
        <v/>
      </c>
      <c r="BM23" s="104">
        <f>$B23/64</f>
        <v/>
      </c>
      <c r="BN23" s="104">
        <f>$B23/64</f>
        <v/>
      </c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</row>
    <row r="24">
      <c r="A24" s="42" t="inlineStr">
        <is>
          <t>ELECTRICITY MATERIAL</t>
        </is>
      </c>
      <c r="B24" s="42" t="n">
        <v>0</v>
      </c>
      <c r="C24" s="47">
        <f>$B24/64</f>
        <v/>
      </c>
      <c r="D24" s="47">
        <f>$B24/64</f>
        <v/>
      </c>
      <c r="E24" s="47">
        <f>$B24/64</f>
        <v/>
      </c>
      <c r="F24" s="47">
        <f>$B24/64</f>
        <v/>
      </c>
      <c r="G24" s="47">
        <f>$B24/64</f>
        <v/>
      </c>
      <c r="H24" s="47">
        <f>$B24/64</f>
        <v/>
      </c>
      <c r="I24" s="47">
        <f>$B24/64</f>
        <v/>
      </c>
      <c r="J24" s="47">
        <f>$B24/64</f>
        <v/>
      </c>
      <c r="K24" s="47">
        <f>$B24/64</f>
        <v/>
      </c>
      <c r="L24" s="47">
        <f>$B24/64</f>
        <v/>
      </c>
      <c r="M24" s="47">
        <f>$B24/64</f>
        <v/>
      </c>
      <c r="N24" s="47">
        <f>$B24/64</f>
        <v/>
      </c>
      <c r="O24" s="47">
        <f>$B24/64</f>
        <v/>
      </c>
      <c r="P24" s="47">
        <f>$B24/64</f>
        <v/>
      </c>
      <c r="Q24" s="47">
        <f>$B24/64</f>
        <v/>
      </c>
      <c r="R24" s="47">
        <f>$B24/64</f>
        <v/>
      </c>
      <c r="S24" s="47">
        <f>$B24/64</f>
        <v/>
      </c>
      <c r="T24" s="47">
        <f>$B24/64</f>
        <v/>
      </c>
      <c r="U24" s="47">
        <f>$B24/64</f>
        <v/>
      </c>
      <c r="V24" s="47">
        <f>$B24/64</f>
        <v/>
      </c>
      <c r="W24" s="47">
        <f>$B24/64</f>
        <v/>
      </c>
      <c r="X24" s="47">
        <f>$B24/64</f>
        <v/>
      </c>
      <c r="Y24" s="47">
        <f>$B24/64</f>
        <v/>
      </c>
      <c r="Z24" s="47">
        <f>$B24/64</f>
        <v/>
      </c>
      <c r="AA24" s="47">
        <f>$B24/64</f>
        <v/>
      </c>
      <c r="AB24" s="47">
        <f>$B24/64</f>
        <v/>
      </c>
      <c r="AC24" s="47">
        <f>$B24/64</f>
        <v/>
      </c>
      <c r="AD24" s="47">
        <f>$B24/64</f>
        <v/>
      </c>
      <c r="AE24" s="47">
        <f>$B24/64</f>
        <v/>
      </c>
      <c r="AF24" s="47">
        <f>$B24/64</f>
        <v/>
      </c>
      <c r="AG24" s="47">
        <f>$B24/64</f>
        <v/>
      </c>
      <c r="AH24" s="47">
        <f>$B24/64</f>
        <v/>
      </c>
      <c r="AI24" s="47">
        <f>$B24/64</f>
        <v/>
      </c>
      <c r="AJ24" s="47">
        <f>$B24/64</f>
        <v/>
      </c>
      <c r="AK24" s="47">
        <f>$B24/64</f>
        <v/>
      </c>
      <c r="AL24" s="47">
        <f>$B24/64</f>
        <v/>
      </c>
      <c r="AM24" s="47">
        <f>$B24/64</f>
        <v/>
      </c>
      <c r="AN24" s="47">
        <f>$B24/64</f>
        <v/>
      </c>
      <c r="AO24" s="47">
        <f>$B24/64</f>
        <v/>
      </c>
      <c r="AP24" s="47">
        <f>$B24/64</f>
        <v/>
      </c>
      <c r="AQ24" s="47">
        <f>$B24/64</f>
        <v/>
      </c>
      <c r="AR24" s="47">
        <f>$B24/64</f>
        <v/>
      </c>
      <c r="AS24" s="47">
        <f>$B24/64</f>
        <v/>
      </c>
      <c r="AT24" s="47">
        <f>$B24/64</f>
        <v/>
      </c>
      <c r="AU24" s="47">
        <f>$B24/64</f>
        <v/>
      </c>
      <c r="AV24" s="47">
        <f>$B24/64</f>
        <v/>
      </c>
      <c r="AW24" s="47">
        <f>$B24/64</f>
        <v/>
      </c>
      <c r="AX24" s="47">
        <f>$B24/64</f>
        <v/>
      </c>
      <c r="AY24" s="47">
        <f>$B24/64</f>
        <v/>
      </c>
      <c r="AZ24" s="47">
        <f>$B24/64</f>
        <v/>
      </c>
      <c r="BA24" s="47">
        <f>$B24/64</f>
        <v/>
      </c>
      <c r="BB24" s="47">
        <f>$B24/64</f>
        <v/>
      </c>
      <c r="BC24" s="47">
        <f>$B24/64</f>
        <v/>
      </c>
      <c r="BD24" s="47">
        <f>$B24/64</f>
        <v/>
      </c>
      <c r="BE24" s="47">
        <f>$B24/64</f>
        <v/>
      </c>
      <c r="BF24" s="47">
        <f>$B24/64</f>
        <v/>
      </c>
      <c r="BG24" s="47">
        <f>$B24/64</f>
        <v/>
      </c>
      <c r="BH24" s="47">
        <f>$B24/64</f>
        <v/>
      </c>
      <c r="BI24" s="47">
        <f>$B24/64</f>
        <v/>
      </c>
      <c r="BJ24" s="47">
        <f>$B24/64</f>
        <v/>
      </c>
      <c r="BK24" s="47">
        <f>$B24/64</f>
        <v/>
      </c>
      <c r="BL24" s="47">
        <f>$B24/64</f>
        <v/>
      </c>
      <c r="BM24" s="47">
        <f>$B24/64</f>
        <v/>
      </c>
      <c r="BN24" s="47">
        <f>$B24/64</f>
        <v/>
      </c>
      <c r="BO24" s="47" t="n"/>
      <c r="BP24" s="47" t="n"/>
      <c r="BQ24" s="47" t="n"/>
      <c r="BR24" s="47" t="n"/>
      <c r="BS24" s="47" t="n"/>
      <c r="BT24" s="47" t="n"/>
      <c r="BU24" s="47" t="n"/>
      <c r="BV24" s="47" t="n"/>
      <c r="BW24" s="47" t="n"/>
      <c r="BX24" s="47" t="n"/>
    </row>
    <row r="25">
      <c r="A25" s="40" t="inlineStr">
        <is>
          <t>ELECTRICITY MATERIAL</t>
        </is>
      </c>
      <c r="B25" s="40" t="n">
        <v>0</v>
      </c>
      <c r="C25" s="104">
        <f>$B25/64</f>
        <v/>
      </c>
      <c r="D25" s="104">
        <f>$B25/64</f>
        <v/>
      </c>
      <c r="E25" s="104">
        <f>$B25/64</f>
        <v/>
      </c>
      <c r="F25" s="104">
        <f>$B25/64</f>
        <v/>
      </c>
      <c r="G25" s="104">
        <f>$B25/64</f>
        <v/>
      </c>
      <c r="H25" s="104">
        <f>$B25/64</f>
        <v/>
      </c>
      <c r="I25" s="104">
        <f>$B25/64</f>
        <v/>
      </c>
      <c r="J25" s="104">
        <f>$B25/64</f>
        <v/>
      </c>
      <c r="K25" s="104">
        <f>$B25/64</f>
        <v/>
      </c>
      <c r="L25" s="104">
        <f>$B25/64</f>
        <v/>
      </c>
      <c r="M25" s="104">
        <f>$B25/64</f>
        <v/>
      </c>
      <c r="N25" s="104">
        <f>$B25/64</f>
        <v/>
      </c>
      <c r="O25" s="104">
        <f>$B25/64</f>
        <v/>
      </c>
      <c r="P25" s="104">
        <f>$B25/64</f>
        <v/>
      </c>
      <c r="Q25" s="104">
        <f>$B25/64</f>
        <v/>
      </c>
      <c r="R25" s="104">
        <f>$B25/64</f>
        <v/>
      </c>
      <c r="S25" s="104">
        <f>$B25/64</f>
        <v/>
      </c>
      <c r="T25" s="104">
        <f>$B25/64</f>
        <v/>
      </c>
      <c r="U25" s="104">
        <f>$B25/64</f>
        <v/>
      </c>
      <c r="V25" s="104">
        <f>$B25/64</f>
        <v/>
      </c>
      <c r="W25" s="104">
        <f>$B25/64</f>
        <v/>
      </c>
      <c r="X25" s="104">
        <f>$B25/64</f>
        <v/>
      </c>
      <c r="Y25" s="104">
        <f>$B25/64</f>
        <v/>
      </c>
      <c r="Z25" s="104">
        <f>$B25/64</f>
        <v/>
      </c>
      <c r="AA25" s="104">
        <f>$B25/64</f>
        <v/>
      </c>
      <c r="AB25" s="104">
        <f>$B25/64</f>
        <v/>
      </c>
      <c r="AC25" s="104">
        <f>$B25/64</f>
        <v/>
      </c>
      <c r="AD25" s="104">
        <f>$B25/64</f>
        <v/>
      </c>
      <c r="AE25" s="104">
        <f>$B25/64</f>
        <v/>
      </c>
      <c r="AF25" s="104">
        <f>$B25/64</f>
        <v/>
      </c>
      <c r="AG25" s="104">
        <f>$B25/64</f>
        <v/>
      </c>
      <c r="AH25" s="104">
        <f>$B25/64</f>
        <v/>
      </c>
      <c r="AI25" s="104">
        <f>$B25/64</f>
        <v/>
      </c>
      <c r="AJ25" s="104">
        <f>$B25/64</f>
        <v/>
      </c>
      <c r="AK25" s="104">
        <f>$B25/64</f>
        <v/>
      </c>
      <c r="AL25" s="104">
        <f>$B25/64</f>
        <v/>
      </c>
      <c r="AM25" s="104">
        <f>$B25/64</f>
        <v/>
      </c>
      <c r="AN25" s="104">
        <f>$B25/64</f>
        <v/>
      </c>
      <c r="AO25" s="104">
        <f>$B25/64</f>
        <v/>
      </c>
      <c r="AP25" s="104">
        <f>$B25/64</f>
        <v/>
      </c>
      <c r="AQ25" s="104">
        <f>$B25/64</f>
        <v/>
      </c>
      <c r="AR25" s="104">
        <f>$B25/64</f>
        <v/>
      </c>
      <c r="AS25" s="104">
        <f>$B25/64</f>
        <v/>
      </c>
      <c r="AT25" s="104">
        <f>$B25/64</f>
        <v/>
      </c>
      <c r="AU25" s="104">
        <f>$B25/64</f>
        <v/>
      </c>
      <c r="AV25" s="104">
        <f>$B25/64</f>
        <v/>
      </c>
      <c r="AW25" s="104">
        <f>$B25/64</f>
        <v/>
      </c>
      <c r="AX25" s="104">
        <f>$B25/64</f>
        <v/>
      </c>
      <c r="AY25" s="104">
        <f>$B25/64</f>
        <v/>
      </c>
      <c r="AZ25" s="104">
        <f>$B25/64</f>
        <v/>
      </c>
      <c r="BA25" s="104">
        <f>$B25/64</f>
        <v/>
      </c>
      <c r="BB25" s="104">
        <f>$B25/64</f>
        <v/>
      </c>
      <c r="BC25" s="104">
        <f>$B25/64</f>
        <v/>
      </c>
      <c r="BD25" s="104">
        <f>$B25/64</f>
        <v/>
      </c>
      <c r="BE25" s="104">
        <f>$B25/64</f>
        <v/>
      </c>
      <c r="BF25" s="104">
        <f>$B25/64</f>
        <v/>
      </c>
      <c r="BG25" s="104">
        <f>$B25/64</f>
        <v/>
      </c>
      <c r="BH25" s="104">
        <f>$B25/64</f>
        <v/>
      </c>
      <c r="BI25" s="104">
        <f>$B25/64</f>
        <v/>
      </c>
      <c r="BJ25" s="104">
        <f>$B25/64</f>
        <v/>
      </c>
      <c r="BK25" s="104">
        <f>$B25/64</f>
        <v/>
      </c>
      <c r="BL25" s="104">
        <f>$B25/64</f>
        <v/>
      </c>
      <c r="BM25" s="104">
        <f>$B25/64</f>
        <v/>
      </c>
      <c r="BN25" s="104">
        <f>$B25/64</f>
        <v/>
      </c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</row>
    <row r="26">
      <c r="A26" s="42" t="inlineStr">
        <is>
          <t>TRANSFORMER REPAIR</t>
        </is>
      </c>
      <c r="B26" s="42" t="n">
        <v>0</v>
      </c>
      <c r="C26" s="47">
        <f>$B26/64</f>
        <v/>
      </c>
      <c r="D26" s="47">
        <f>$B26/64</f>
        <v/>
      </c>
      <c r="E26" s="47">
        <f>$B26/64</f>
        <v/>
      </c>
      <c r="F26" s="47">
        <f>$B26/64</f>
        <v/>
      </c>
      <c r="G26" s="47">
        <f>$B26/64</f>
        <v/>
      </c>
      <c r="H26" s="47">
        <f>$B26/64</f>
        <v/>
      </c>
      <c r="I26" s="47">
        <f>$B26/64</f>
        <v/>
      </c>
      <c r="J26" s="47">
        <f>$B26/64</f>
        <v/>
      </c>
      <c r="K26" s="47">
        <f>$B26/64</f>
        <v/>
      </c>
      <c r="L26" s="47">
        <f>$B26/64</f>
        <v/>
      </c>
      <c r="M26" s="47">
        <f>$B26/64</f>
        <v/>
      </c>
      <c r="N26" s="47">
        <f>$B26/64</f>
        <v/>
      </c>
      <c r="O26" s="47">
        <f>$B26/64</f>
        <v/>
      </c>
      <c r="P26" s="47">
        <f>$B26/64</f>
        <v/>
      </c>
      <c r="Q26" s="47">
        <f>$B26/64</f>
        <v/>
      </c>
      <c r="R26" s="47">
        <f>$B26/64</f>
        <v/>
      </c>
      <c r="S26" s="47">
        <f>$B26/64</f>
        <v/>
      </c>
      <c r="T26" s="47">
        <f>$B26/64</f>
        <v/>
      </c>
      <c r="U26" s="47">
        <f>$B26/64</f>
        <v/>
      </c>
      <c r="V26" s="47">
        <f>$B26/64</f>
        <v/>
      </c>
      <c r="W26" s="47">
        <f>$B26/64</f>
        <v/>
      </c>
      <c r="X26" s="47">
        <f>$B26/64</f>
        <v/>
      </c>
      <c r="Y26" s="47">
        <f>$B26/64</f>
        <v/>
      </c>
      <c r="Z26" s="47">
        <f>$B26/64</f>
        <v/>
      </c>
      <c r="AA26" s="47">
        <f>$B26/64</f>
        <v/>
      </c>
      <c r="AB26" s="47">
        <f>$B26/64</f>
        <v/>
      </c>
      <c r="AC26" s="47">
        <f>$B26/64</f>
        <v/>
      </c>
      <c r="AD26" s="47">
        <f>$B26/64</f>
        <v/>
      </c>
      <c r="AE26" s="47">
        <f>$B26/64</f>
        <v/>
      </c>
      <c r="AF26" s="47">
        <f>$B26/64</f>
        <v/>
      </c>
      <c r="AG26" s="47">
        <f>$B26/64</f>
        <v/>
      </c>
      <c r="AH26" s="47">
        <f>$B26/64</f>
        <v/>
      </c>
      <c r="AI26" s="47">
        <f>$B26/64</f>
        <v/>
      </c>
      <c r="AJ26" s="47">
        <f>$B26/64</f>
        <v/>
      </c>
      <c r="AK26" s="47">
        <f>$B26/64</f>
        <v/>
      </c>
      <c r="AL26" s="47">
        <f>$B26/64</f>
        <v/>
      </c>
      <c r="AM26" s="47">
        <f>$B26/64</f>
        <v/>
      </c>
      <c r="AN26" s="47">
        <f>$B26/64</f>
        <v/>
      </c>
      <c r="AO26" s="47">
        <f>$B26/64</f>
        <v/>
      </c>
      <c r="AP26" s="47">
        <f>$B26/64</f>
        <v/>
      </c>
      <c r="AQ26" s="47">
        <f>$B26/64</f>
        <v/>
      </c>
      <c r="AR26" s="47">
        <f>$B26/64</f>
        <v/>
      </c>
      <c r="AS26" s="47">
        <f>$B26/64</f>
        <v/>
      </c>
      <c r="AT26" s="47">
        <f>$B26/64</f>
        <v/>
      </c>
      <c r="AU26" s="47">
        <f>$B26/64</f>
        <v/>
      </c>
      <c r="AV26" s="47">
        <f>$B26/64</f>
        <v/>
      </c>
      <c r="AW26" s="47">
        <f>$B26/64</f>
        <v/>
      </c>
      <c r="AX26" s="47">
        <f>$B26/64</f>
        <v/>
      </c>
      <c r="AY26" s="47">
        <f>$B26/64</f>
        <v/>
      </c>
      <c r="AZ26" s="47">
        <f>$B26/64</f>
        <v/>
      </c>
      <c r="BA26" s="47">
        <f>$B26/64</f>
        <v/>
      </c>
      <c r="BB26" s="47">
        <f>$B26/64</f>
        <v/>
      </c>
      <c r="BC26" s="47">
        <f>$B26/64</f>
        <v/>
      </c>
      <c r="BD26" s="47">
        <f>$B26/64</f>
        <v/>
      </c>
      <c r="BE26" s="47">
        <f>$B26/64</f>
        <v/>
      </c>
      <c r="BF26" s="47">
        <f>$B26/64</f>
        <v/>
      </c>
      <c r="BG26" s="47">
        <f>$B26/64</f>
        <v/>
      </c>
      <c r="BH26" s="47">
        <f>$B26/64</f>
        <v/>
      </c>
      <c r="BI26" s="47">
        <f>$B26/64</f>
        <v/>
      </c>
      <c r="BJ26" s="47">
        <f>$B26/64</f>
        <v/>
      </c>
      <c r="BK26" s="47">
        <f>$B26/64</f>
        <v/>
      </c>
      <c r="BL26" s="47">
        <f>$B26/64</f>
        <v/>
      </c>
      <c r="BM26" s="47">
        <f>$B26/64</f>
        <v/>
      </c>
      <c r="BN26" s="47">
        <f>$B26/64</f>
        <v/>
      </c>
      <c r="BO26" s="47" t="n"/>
      <c r="BP26" s="47" t="n"/>
      <c r="BQ26" s="47" t="n"/>
      <c r="BR26" s="47" t="n"/>
      <c r="BS26" s="47" t="n"/>
      <c r="BT26" s="47" t="n"/>
      <c r="BU26" s="47" t="n"/>
      <c r="BV26" s="47" t="n"/>
      <c r="BW26" s="47" t="n"/>
      <c r="BX26" s="47" t="n"/>
    </row>
    <row r="27">
      <c r="A27" s="40" t="inlineStr">
        <is>
          <t>GENERATOR MAINTENANCE
EPITOME</t>
        </is>
      </c>
      <c r="B27" s="40" t="n">
        <v>0</v>
      </c>
      <c r="C27" s="104">
        <f>$B27/64</f>
        <v/>
      </c>
      <c r="D27" s="104">
        <f>$B27/64</f>
        <v/>
      </c>
      <c r="E27" s="104">
        <f>$B27/64</f>
        <v/>
      </c>
      <c r="F27" s="104">
        <f>$B27/64</f>
        <v/>
      </c>
      <c r="G27" s="104">
        <f>$B27/64</f>
        <v/>
      </c>
      <c r="H27" s="104">
        <f>$B27/64</f>
        <v/>
      </c>
      <c r="I27" s="104">
        <f>$B27/64</f>
        <v/>
      </c>
      <c r="J27" s="104">
        <f>$B27/64</f>
        <v/>
      </c>
      <c r="K27" s="104">
        <f>$B27/64</f>
        <v/>
      </c>
      <c r="L27" s="104">
        <f>$B27/64</f>
        <v/>
      </c>
      <c r="M27" s="104">
        <f>$B27/64</f>
        <v/>
      </c>
      <c r="N27" s="104">
        <f>$B27/64</f>
        <v/>
      </c>
      <c r="O27" s="104">
        <f>$B27/64</f>
        <v/>
      </c>
      <c r="P27" s="104">
        <f>$B27/64</f>
        <v/>
      </c>
      <c r="Q27" s="104">
        <f>$B27/64</f>
        <v/>
      </c>
      <c r="R27" s="104">
        <f>$B27/64</f>
        <v/>
      </c>
      <c r="S27" s="104">
        <f>$B27/64</f>
        <v/>
      </c>
      <c r="T27" s="104">
        <f>$B27/64</f>
        <v/>
      </c>
      <c r="U27" s="104">
        <f>$B27/64</f>
        <v/>
      </c>
      <c r="V27" s="104">
        <f>$B27/64</f>
        <v/>
      </c>
      <c r="W27" s="104">
        <f>$B27/64</f>
        <v/>
      </c>
      <c r="X27" s="104">
        <f>$B27/64</f>
        <v/>
      </c>
      <c r="Y27" s="104">
        <f>$B27/64</f>
        <v/>
      </c>
      <c r="Z27" s="104">
        <f>$B27/64</f>
        <v/>
      </c>
      <c r="AA27" s="104">
        <f>$B27/64</f>
        <v/>
      </c>
      <c r="AB27" s="104">
        <f>$B27/64</f>
        <v/>
      </c>
      <c r="AC27" s="104">
        <f>$B27/64</f>
        <v/>
      </c>
      <c r="AD27" s="104">
        <f>$B27/64</f>
        <v/>
      </c>
      <c r="AE27" s="104">
        <f>$B27/64</f>
        <v/>
      </c>
      <c r="AF27" s="104">
        <f>$B27/64</f>
        <v/>
      </c>
      <c r="AG27" s="104">
        <f>$B27/64</f>
        <v/>
      </c>
      <c r="AH27" s="104">
        <f>$B27/64</f>
        <v/>
      </c>
      <c r="AI27" s="104">
        <f>$B27/64</f>
        <v/>
      </c>
      <c r="AJ27" s="104">
        <f>$B27/64</f>
        <v/>
      </c>
      <c r="AK27" s="104">
        <f>$B27/64</f>
        <v/>
      </c>
      <c r="AL27" s="104">
        <f>$B27/64</f>
        <v/>
      </c>
      <c r="AM27" s="104">
        <f>$B27/64</f>
        <v/>
      </c>
      <c r="AN27" s="104">
        <f>$B27/64</f>
        <v/>
      </c>
      <c r="AO27" s="104">
        <f>$B27/64</f>
        <v/>
      </c>
      <c r="AP27" s="104">
        <f>$B27/64</f>
        <v/>
      </c>
      <c r="AQ27" s="104">
        <f>$B27/64</f>
        <v/>
      </c>
      <c r="AR27" s="104">
        <f>$B27/64</f>
        <v/>
      </c>
      <c r="AS27" s="104">
        <f>$B27/64</f>
        <v/>
      </c>
      <c r="AT27" s="104">
        <f>$B27/64</f>
        <v/>
      </c>
      <c r="AU27" s="104">
        <f>$B27/64</f>
        <v/>
      </c>
      <c r="AV27" s="104">
        <f>$B27/64</f>
        <v/>
      </c>
      <c r="AW27" s="104">
        <f>$B27/64</f>
        <v/>
      </c>
      <c r="AX27" s="104">
        <f>$B27/64</f>
        <v/>
      </c>
      <c r="AY27" s="104">
        <f>$B27/64</f>
        <v/>
      </c>
      <c r="AZ27" s="104">
        <f>$B27/64</f>
        <v/>
      </c>
      <c r="BA27" s="104">
        <f>$B27/64</f>
        <v/>
      </c>
      <c r="BB27" s="104">
        <f>$B27/64</f>
        <v/>
      </c>
      <c r="BC27" s="104">
        <f>$B27/64</f>
        <v/>
      </c>
      <c r="BD27" s="104">
        <f>$B27/64</f>
        <v/>
      </c>
      <c r="BE27" s="104">
        <f>$B27/64</f>
        <v/>
      </c>
      <c r="BF27" s="104">
        <f>$B27/64</f>
        <v/>
      </c>
      <c r="BG27" s="104">
        <f>$B27/64</f>
        <v/>
      </c>
      <c r="BH27" s="104">
        <f>$B27/64</f>
        <v/>
      </c>
      <c r="BI27" s="104">
        <f>$B27/64</f>
        <v/>
      </c>
      <c r="BJ27" s="104">
        <f>$B27/64</f>
        <v/>
      </c>
      <c r="BK27" s="104">
        <f>$B27/64</f>
        <v/>
      </c>
      <c r="BL27" s="104">
        <f>$B27/64</f>
        <v/>
      </c>
      <c r="BM27" s="104">
        <f>$B27/64</f>
        <v/>
      </c>
      <c r="BN27" s="104">
        <f>$B27/64</f>
        <v/>
      </c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</row>
    <row r="28">
      <c r="A28" s="42" t="inlineStr">
        <is>
          <t>GARDENING</t>
        </is>
      </c>
      <c r="B28" s="42" t="n">
        <v>0</v>
      </c>
      <c r="C28" s="47">
        <f>$B28/64</f>
        <v/>
      </c>
      <c r="D28" s="47">
        <f>$B28/64</f>
        <v/>
      </c>
      <c r="E28" s="47">
        <f>$B28/64</f>
        <v/>
      </c>
      <c r="F28" s="47">
        <f>$B28/64</f>
        <v/>
      </c>
      <c r="G28" s="47">
        <f>$B28/64</f>
        <v/>
      </c>
      <c r="H28" s="47">
        <f>$B28/64</f>
        <v/>
      </c>
      <c r="I28" s="47">
        <f>$B28/64</f>
        <v/>
      </c>
      <c r="J28" s="47">
        <f>$B28/64</f>
        <v/>
      </c>
      <c r="K28" s="47">
        <f>$B28/64</f>
        <v/>
      </c>
      <c r="L28" s="47">
        <f>$B28/64</f>
        <v/>
      </c>
      <c r="M28" s="47">
        <f>$B28/64</f>
        <v/>
      </c>
      <c r="N28" s="47">
        <f>$B28/64</f>
        <v/>
      </c>
      <c r="O28" s="47">
        <f>$B28/64</f>
        <v/>
      </c>
      <c r="P28" s="47">
        <f>$B28/64</f>
        <v/>
      </c>
      <c r="Q28" s="47">
        <f>$B28/64</f>
        <v/>
      </c>
      <c r="R28" s="47">
        <f>$B28/64</f>
        <v/>
      </c>
      <c r="S28" s="47">
        <f>$B28/64</f>
        <v/>
      </c>
      <c r="T28" s="47">
        <f>$B28/64</f>
        <v/>
      </c>
      <c r="U28" s="47">
        <f>$B28/64</f>
        <v/>
      </c>
      <c r="V28" s="47">
        <f>$B28/64</f>
        <v/>
      </c>
      <c r="W28" s="47">
        <f>$B28/64</f>
        <v/>
      </c>
      <c r="X28" s="47">
        <f>$B28/64</f>
        <v/>
      </c>
      <c r="Y28" s="47">
        <f>$B28/64</f>
        <v/>
      </c>
      <c r="Z28" s="47">
        <f>$B28/64</f>
        <v/>
      </c>
      <c r="AA28" s="47">
        <f>$B28/64</f>
        <v/>
      </c>
      <c r="AB28" s="47">
        <f>$B28/64</f>
        <v/>
      </c>
      <c r="AC28" s="47">
        <f>$B28/64</f>
        <v/>
      </c>
      <c r="AD28" s="47">
        <f>$B28/64</f>
        <v/>
      </c>
      <c r="AE28" s="47">
        <f>$B28/64</f>
        <v/>
      </c>
      <c r="AF28" s="47">
        <f>$B28/64</f>
        <v/>
      </c>
      <c r="AG28" s="47">
        <f>$B28/64</f>
        <v/>
      </c>
      <c r="AH28" s="47">
        <f>$B28/64</f>
        <v/>
      </c>
      <c r="AI28" s="47">
        <f>$B28/64</f>
        <v/>
      </c>
      <c r="AJ28" s="47">
        <f>$B28/64</f>
        <v/>
      </c>
      <c r="AK28" s="47">
        <f>$B28/64</f>
        <v/>
      </c>
      <c r="AL28" s="47">
        <f>$B28/64</f>
        <v/>
      </c>
      <c r="AM28" s="47">
        <f>$B28/64</f>
        <v/>
      </c>
      <c r="AN28" s="47">
        <f>$B28/64</f>
        <v/>
      </c>
      <c r="AO28" s="47">
        <f>$B28/64</f>
        <v/>
      </c>
      <c r="AP28" s="47">
        <f>$B28/64</f>
        <v/>
      </c>
      <c r="AQ28" s="47">
        <f>$B28/64</f>
        <v/>
      </c>
      <c r="AR28" s="47">
        <f>$B28/64</f>
        <v/>
      </c>
      <c r="AS28" s="47">
        <f>$B28/64</f>
        <v/>
      </c>
      <c r="AT28" s="47">
        <f>$B28/64</f>
        <v/>
      </c>
      <c r="AU28" s="47">
        <f>$B28/64</f>
        <v/>
      </c>
      <c r="AV28" s="47">
        <f>$B28/64</f>
        <v/>
      </c>
      <c r="AW28" s="47">
        <f>$B28/64</f>
        <v/>
      </c>
      <c r="AX28" s="47">
        <f>$B28/64</f>
        <v/>
      </c>
      <c r="AY28" s="47">
        <f>$B28/64</f>
        <v/>
      </c>
      <c r="AZ28" s="47">
        <f>$B28/64</f>
        <v/>
      </c>
      <c r="BA28" s="47">
        <f>$B28/64</f>
        <v/>
      </c>
      <c r="BB28" s="47">
        <f>$B28/64</f>
        <v/>
      </c>
      <c r="BC28" s="47">
        <f>$B28/64</f>
        <v/>
      </c>
      <c r="BD28" s="47">
        <f>$B28/64</f>
        <v/>
      </c>
      <c r="BE28" s="47">
        <f>$B28/64</f>
        <v/>
      </c>
      <c r="BF28" s="47">
        <f>$B28/64</f>
        <v/>
      </c>
      <c r="BG28" s="47">
        <f>$B28/64</f>
        <v/>
      </c>
      <c r="BH28" s="47">
        <f>$B28/64</f>
        <v/>
      </c>
      <c r="BI28" s="47">
        <f>$B28/64</f>
        <v/>
      </c>
      <c r="BJ28" s="47">
        <f>$B28/64</f>
        <v/>
      </c>
      <c r="BK28" s="47">
        <f>$B28/64</f>
        <v/>
      </c>
      <c r="BL28" s="47">
        <f>$B28/64</f>
        <v/>
      </c>
      <c r="BM28" s="47">
        <f>$B28/64</f>
        <v/>
      </c>
      <c r="BN28" s="47">
        <f>$B28/64</f>
        <v/>
      </c>
      <c r="BO28" s="47" t="n"/>
      <c r="BP28" s="47" t="n"/>
      <c r="BQ28" s="47" t="n"/>
      <c r="BR28" s="47" t="n"/>
      <c r="BS28" s="47" t="n"/>
      <c r="BT28" s="47" t="n"/>
      <c r="BU28" s="47" t="n"/>
      <c r="BV28" s="47" t="n"/>
      <c r="BW28" s="47" t="n"/>
      <c r="BX28" s="47" t="n"/>
    </row>
    <row r="29">
      <c r="A29" s="40" t="inlineStr">
        <is>
          <t>PLUMBER WAGE</t>
        </is>
      </c>
      <c r="B29" s="40" t="n">
        <v>0</v>
      </c>
      <c r="C29" s="104">
        <f>$B29/64</f>
        <v/>
      </c>
      <c r="D29" s="104">
        <f>$B29/64</f>
        <v/>
      </c>
      <c r="E29" s="104">
        <f>$B29/64</f>
        <v/>
      </c>
      <c r="F29" s="104">
        <f>$B29/64</f>
        <v/>
      </c>
      <c r="G29" s="104">
        <f>$B29/64</f>
        <v/>
      </c>
      <c r="H29" s="104">
        <f>$B29/64</f>
        <v/>
      </c>
      <c r="I29" s="104">
        <f>$B29/64</f>
        <v/>
      </c>
      <c r="J29" s="104">
        <f>$B29/64</f>
        <v/>
      </c>
      <c r="K29" s="104">
        <f>$B29/64</f>
        <v/>
      </c>
      <c r="L29" s="104">
        <f>$B29/64</f>
        <v/>
      </c>
      <c r="M29" s="104">
        <f>$B29/64</f>
        <v/>
      </c>
      <c r="N29" s="104">
        <f>$B29/64</f>
        <v/>
      </c>
      <c r="O29" s="104">
        <f>$B29/64</f>
        <v/>
      </c>
      <c r="P29" s="104">
        <f>$B29/64</f>
        <v/>
      </c>
      <c r="Q29" s="104">
        <f>$B29/64</f>
        <v/>
      </c>
      <c r="R29" s="104">
        <f>$B29/64</f>
        <v/>
      </c>
      <c r="S29" s="104">
        <f>$B29/64</f>
        <v/>
      </c>
      <c r="T29" s="104">
        <f>$B29/64</f>
        <v/>
      </c>
      <c r="U29" s="104">
        <f>$B29/64</f>
        <v/>
      </c>
      <c r="V29" s="104">
        <f>$B29/64</f>
        <v/>
      </c>
      <c r="W29" s="104">
        <f>$B29/64</f>
        <v/>
      </c>
      <c r="X29" s="104">
        <f>$B29/64</f>
        <v/>
      </c>
      <c r="Y29" s="104">
        <f>$B29/64</f>
        <v/>
      </c>
      <c r="Z29" s="104">
        <f>$B29/64</f>
        <v/>
      </c>
      <c r="AA29" s="104">
        <f>$B29/64</f>
        <v/>
      </c>
      <c r="AB29" s="104">
        <f>$B29/64</f>
        <v/>
      </c>
      <c r="AC29" s="104">
        <f>$B29/64</f>
        <v/>
      </c>
      <c r="AD29" s="104">
        <f>$B29/64</f>
        <v/>
      </c>
      <c r="AE29" s="104">
        <f>$B29/64</f>
        <v/>
      </c>
      <c r="AF29" s="104">
        <f>$B29/64</f>
        <v/>
      </c>
      <c r="AG29" s="104">
        <f>$B29/64</f>
        <v/>
      </c>
      <c r="AH29" s="104">
        <f>$B29/64</f>
        <v/>
      </c>
      <c r="AI29" s="104">
        <f>$B29/64</f>
        <v/>
      </c>
      <c r="AJ29" s="104">
        <f>$B29/64</f>
        <v/>
      </c>
      <c r="AK29" s="104">
        <f>$B29/64</f>
        <v/>
      </c>
      <c r="AL29" s="104">
        <f>$B29/64</f>
        <v/>
      </c>
      <c r="AM29" s="104">
        <f>$B29/64</f>
        <v/>
      </c>
      <c r="AN29" s="104">
        <f>$B29/64</f>
        <v/>
      </c>
      <c r="AO29" s="104">
        <f>$B29/64</f>
        <v/>
      </c>
      <c r="AP29" s="104">
        <f>$B29/64</f>
        <v/>
      </c>
      <c r="AQ29" s="104">
        <f>$B29/64</f>
        <v/>
      </c>
      <c r="AR29" s="104">
        <f>$B29/64</f>
        <v/>
      </c>
      <c r="AS29" s="104">
        <f>$B29/64</f>
        <v/>
      </c>
      <c r="AT29" s="104">
        <f>$B29/64</f>
        <v/>
      </c>
      <c r="AU29" s="104">
        <f>$B29/64</f>
        <v/>
      </c>
      <c r="AV29" s="104">
        <f>$B29/64</f>
        <v/>
      </c>
      <c r="AW29" s="104">
        <f>$B29/64</f>
        <v/>
      </c>
      <c r="AX29" s="104">
        <f>$B29/64</f>
        <v/>
      </c>
      <c r="AY29" s="104">
        <f>$B29/64</f>
        <v/>
      </c>
      <c r="AZ29" s="104">
        <f>$B29/64</f>
        <v/>
      </c>
      <c r="BA29" s="104">
        <f>$B29/64</f>
        <v/>
      </c>
      <c r="BB29" s="104">
        <f>$B29/64</f>
        <v/>
      </c>
      <c r="BC29" s="104">
        <f>$B29/64</f>
        <v/>
      </c>
      <c r="BD29" s="104">
        <f>$B29/64</f>
        <v/>
      </c>
      <c r="BE29" s="104">
        <f>$B29/64</f>
        <v/>
      </c>
      <c r="BF29" s="104">
        <f>$B29/64</f>
        <v/>
      </c>
      <c r="BG29" s="104">
        <f>$B29/64</f>
        <v/>
      </c>
      <c r="BH29" s="104">
        <f>$B29/64</f>
        <v/>
      </c>
      <c r="BI29" s="104">
        <f>$B29/64</f>
        <v/>
      </c>
      <c r="BJ29" s="104">
        <f>$B29/64</f>
        <v/>
      </c>
      <c r="BK29" s="104">
        <f>$B29/64</f>
        <v/>
      </c>
      <c r="BL29" s="104">
        <f>$B29/64</f>
        <v/>
      </c>
      <c r="BM29" s="104">
        <f>$B29/64</f>
        <v/>
      </c>
      <c r="BN29" s="104">
        <f>$B29/64</f>
        <v/>
      </c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</row>
    <row r="30">
      <c r="A30" s="42" t="inlineStr">
        <is>
          <t>ELECTRICIAN WAGE</t>
        </is>
      </c>
      <c r="B30" s="42" t="n">
        <v>0</v>
      </c>
      <c r="C30" s="47">
        <f>$B30/64</f>
        <v/>
      </c>
      <c r="D30" s="47">
        <f>$B30/64</f>
        <v/>
      </c>
      <c r="E30" s="47">
        <f>$B30/64</f>
        <v/>
      </c>
      <c r="F30" s="47">
        <f>$B30/64</f>
        <v/>
      </c>
      <c r="G30" s="47">
        <f>$B30/64</f>
        <v/>
      </c>
      <c r="H30" s="47">
        <f>$B30/64</f>
        <v/>
      </c>
      <c r="I30" s="47">
        <f>$B30/64</f>
        <v/>
      </c>
      <c r="J30" s="47">
        <f>$B30/64</f>
        <v/>
      </c>
      <c r="K30" s="47">
        <f>$B30/64</f>
        <v/>
      </c>
      <c r="L30" s="47">
        <f>$B30/64</f>
        <v/>
      </c>
      <c r="M30" s="47">
        <f>$B30/64</f>
        <v/>
      </c>
      <c r="N30" s="47">
        <f>$B30/64</f>
        <v/>
      </c>
      <c r="O30" s="47">
        <f>$B30/64</f>
        <v/>
      </c>
      <c r="P30" s="47">
        <f>$B30/64</f>
        <v/>
      </c>
      <c r="Q30" s="47">
        <f>$B30/64</f>
        <v/>
      </c>
      <c r="R30" s="47">
        <f>$B30/64</f>
        <v/>
      </c>
      <c r="S30" s="47">
        <f>$B30/64</f>
        <v/>
      </c>
      <c r="T30" s="47">
        <f>$B30/64</f>
        <v/>
      </c>
      <c r="U30" s="47">
        <f>$B30/64</f>
        <v/>
      </c>
      <c r="V30" s="47">
        <f>$B30/64</f>
        <v/>
      </c>
      <c r="W30" s="47">
        <f>$B30/64</f>
        <v/>
      </c>
      <c r="X30" s="47">
        <f>$B30/64</f>
        <v/>
      </c>
      <c r="Y30" s="47">
        <f>$B30/64</f>
        <v/>
      </c>
      <c r="Z30" s="47">
        <f>$B30/64</f>
        <v/>
      </c>
      <c r="AA30" s="47">
        <f>$B30/64</f>
        <v/>
      </c>
      <c r="AB30" s="47">
        <f>$B30/64</f>
        <v/>
      </c>
      <c r="AC30" s="47">
        <f>$B30/64</f>
        <v/>
      </c>
      <c r="AD30" s="47">
        <f>$B30/64</f>
        <v/>
      </c>
      <c r="AE30" s="47">
        <f>$B30/64</f>
        <v/>
      </c>
      <c r="AF30" s="47">
        <f>$B30/64</f>
        <v/>
      </c>
      <c r="AG30" s="47">
        <f>$B30/64</f>
        <v/>
      </c>
      <c r="AH30" s="47">
        <f>$B30/64</f>
        <v/>
      </c>
      <c r="AI30" s="47">
        <f>$B30/64</f>
        <v/>
      </c>
      <c r="AJ30" s="47">
        <f>$B30/64</f>
        <v/>
      </c>
      <c r="AK30" s="47">
        <f>$B30/64</f>
        <v/>
      </c>
      <c r="AL30" s="47">
        <f>$B30/64</f>
        <v/>
      </c>
      <c r="AM30" s="47">
        <f>$B30/64</f>
        <v/>
      </c>
      <c r="AN30" s="47">
        <f>$B30/64</f>
        <v/>
      </c>
      <c r="AO30" s="47">
        <f>$B30/64</f>
        <v/>
      </c>
      <c r="AP30" s="47">
        <f>$B30/64</f>
        <v/>
      </c>
      <c r="AQ30" s="47">
        <f>$B30/64</f>
        <v/>
      </c>
      <c r="AR30" s="47">
        <f>$B30/64</f>
        <v/>
      </c>
      <c r="AS30" s="47">
        <f>$B30/64</f>
        <v/>
      </c>
      <c r="AT30" s="47">
        <f>$B30/64</f>
        <v/>
      </c>
      <c r="AU30" s="47">
        <f>$B30/64</f>
        <v/>
      </c>
      <c r="AV30" s="47">
        <f>$B30/64</f>
        <v/>
      </c>
      <c r="AW30" s="47">
        <f>$B30/64</f>
        <v/>
      </c>
      <c r="AX30" s="47">
        <f>$B30/64</f>
        <v/>
      </c>
      <c r="AY30" s="47">
        <f>$B30/64</f>
        <v/>
      </c>
      <c r="AZ30" s="47">
        <f>$B30/64</f>
        <v/>
      </c>
      <c r="BA30" s="47">
        <f>$B30/64</f>
        <v/>
      </c>
      <c r="BB30" s="47">
        <f>$B30/64</f>
        <v/>
      </c>
      <c r="BC30" s="47">
        <f>$B30/64</f>
        <v/>
      </c>
      <c r="BD30" s="47">
        <f>$B30/64</f>
        <v/>
      </c>
      <c r="BE30" s="47">
        <f>$B30/64</f>
        <v/>
      </c>
      <c r="BF30" s="47">
        <f>$B30/64</f>
        <v/>
      </c>
      <c r="BG30" s="47">
        <f>$B30/64</f>
        <v/>
      </c>
      <c r="BH30" s="47">
        <f>$B30/64</f>
        <v/>
      </c>
      <c r="BI30" s="47">
        <f>$B30/64</f>
        <v/>
      </c>
      <c r="BJ30" s="47">
        <f>$B30/64</f>
        <v/>
      </c>
      <c r="BK30" s="47">
        <f>$B30/64</f>
        <v/>
      </c>
      <c r="BL30" s="47">
        <f>$B30/64</f>
        <v/>
      </c>
      <c r="BM30" s="47">
        <f>$B30/64</f>
        <v/>
      </c>
      <c r="BN30" s="47">
        <f>$B30/64</f>
        <v/>
      </c>
      <c r="BO30" s="47" t="n"/>
      <c r="BP30" s="47" t="n"/>
      <c r="BQ30" s="47" t="n"/>
      <c r="BR30" s="47" t="n"/>
      <c r="BS30" s="47" t="n"/>
      <c r="BT30" s="47" t="n"/>
      <c r="BU30" s="47" t="n"/>
      <c r="BV30" s="47" t="n"/>
      <c r="BW30" s="47" t="n"/>
      <c r="BX30" s="47" t="n"/>
    </row>
    <row r="31">
      <c r="A31" s="40" t="inlineStr">
        <is>
          <t>MANAGER WAGE</t>
        </is>
      </c>
      <c r="B31" s="40" t="n">
        <v>0</v>
      </c>
      <c r="C31" s="104">
        <f>$B31/64</f>
        <v/>
      </c>
      <c r="D31" s="104">
        <f>$B31/64</f>
        <v/>
      </c>
      <c r="E31" s="104">
        <f>$B31/64</f>
        <v/>
      </c>
      <c r="F31" s="104">
        <f>$B31/64</f>
        <v/>
      </c>
      <c r="G31" s="104">
        <f>$B31/64</f>
        <v/>
      </c>
      <c r="H31" s="104">
        <f>$B31/64</f>
        <v/>
      </c>
      <c r="I31" s="104">
        <f>$B31/64</f>
        <v/>
      </c>
      <c r="J31" s="104">
        <f>$B31/64</f>
        <v/>
      </c>
      <c r="K31" s="104">
        <f>$B31/64</f>
        <v/>
      </c>
      <c r="L31" s="104">
        <f>$B31/64</f>
        <v/>
      </c>
      <c r="M31" s="104">
        <f>$B31/64</f>
        <v/>
      </c>
      <c r="N31" s="104">
        <f>$B31/64</f>
        <v/>
      </c>
      <c r="O31" s="104">
        <f>$B31/64</f>
        <v/>
      </c>
      <c r="P31" s="104">
        <f>$B31/64</f>
        <v/>
      </c>
      <c r="Q31" s="104">
        <f>$B31/64</f>
        <v/>
      </c>
      <c r="R31" s="104">
        <f>$B31/64</f>
        <v/>
      </c>
      <c r="S31" s="104">
        <f>$B31/64</f>
        <v/>
      </c>
      <c r="T31" s="104">
        <f>$B31/64</f>
        <v/>
      </c>
      <c r="U31" s="104">
        <f>$B31/64</f>
        <v/>
      </c>
      <c r="V31" s="104">
        <f>$B31/64</f>
        <v/>
      </c>
      <c r="W31" s="104">
        <f>$B31/64</f>
        <v/>
      </c>
      <c r="X31" s="104">
        <f>$B31/64</f>
        <v/>
      </c>
      <c r="Y31" s="104">
        <f>$B31/64</f>
        <v/>
      </c>
      <c r="Z31" s="104">
        <f>$B31/64</f>
        <v/>
      </c>
      <c r="AA31" s="104">
        <f>$B31/64</f>
        <v/>
      </c>
      <c r="AB31" s="104">
        <f>$B31/64</f>
        <v/>
      </c>
      <c r="AC31" s="104">
        <f>$B31/64</f>
        <v/>
      </c>
      <c r="AD31" s="104">
        <f>$B31/64</f>
        <v/>
      </c>
      <c r="AE31" s="104">
        <f>$B31/64</f>
        <v/>
      </c>
      <c r="AF31" s="104">
        <f>$B31/64</f>
        <v/>
      </c>
      <c r="AG31" s="104">
        <f>$B31/64</f>
        <v/>
      </c>
      <c r="AH31" s="104">
        <f>$B31/64</f>
        <v/>
      </c>
      <c r="AI31" s="104">
        <f>$B31/64</f>
        <v/>
      </c>
      <c r="AJ31" s="104">
        <f>$B31/64</f>
        <v/>
      </c>
      <c r="AK31" s="104">
        <f>$B31/64</f>
        <v/>
      </c>
      <c r="AL31" s="104">
        <f>$B31/64</f>
        <v/>
      </c>
      <c r="AM31" s="104">
        <f>$B31/64</f>
        <v/>
      </c>
      <c r="AN31" s="104">
        <f>$B31/64</f>
        <v/>
      </c>
      <c r="AO31" s="104">
        <f>$B31/64</f>
        <v/>
      </c>
      <c r="AP31" s="104">
        <f>$B31/64</f>
        <v/>
      </c>
      <c r="AQ31" s="104">
        <f>$B31/64</f>
        <v/>
      </c>
      <c r="AR31" s="104">
        <f>$B31/64</f>
        <v/>
      </c>
      <c r="AS31" s="104">
        <f>$B31/64</f>
        <v/>
      </c>
      <c r="AT31" s="104">
        <f>$B31/64</f>
        <v/>
      </c>
      <c r="AU31" s="104">
        <f>$B31/64</f>
        <v/>
      </c>
      <c r="AV31" s="104">
        <f>$B31/64</f>
        <v/>
      </c>
      <c r="AW31" s="104">
        <f>$B31/64</f>
        <v/>
      </c>
      <c r="AX31" s="104">
        <f>$B31/64</f>
        <v/>
      </c>
      <c r="AY31" s="104">
        <f>$B31/64</f>
        <v/>
      </c>
      <c r="AZ31" s="104">
        <f>$B31/64</f>
        <v/>
      </c>
      <c r="BA31" s="104">
        <f>$B31/64</f>
        <v/>
      </c>
      <c r="BB31" s="104">
        <f>$B31/64</f>
        <v/>
      </c>
      <c r="BC31" s="104">
        <f>$B31/64</f>
        <v/>
      </c>
      <c r="BD31" s="104">
        <f>$B31/64</f>
        <v/>
      </c>
      <c r="BE31" s="104">
        <f>$B31/64</f>
        <v/>
      </c>
      <c r="BF31" s="104">
        <f>$B31/64</f>
        <v/>
      </c>
      <c r="BG31" s="104">
        <f>$B31/64</f>
        <v/>
      </c>
      <c r="BH31" s="104">
        <f>$B31/64</f>
        <v/>
      </c>
      <c r="BI31" s="104">
        <f>$B31/64</f>
        <v/>
      </c>
      <c r="BJ31" s="104">
        <f>$B31/64</f>
        <v/>
      </c>
      <c r="BK31" s="104">
        <f>$B31/64</f>
        <v/>
      </c>
      <c r="BL31" s="104">
        <f>$B31/64</f>
        <v/>
      </c>
      <c r="BM31" s="104">
        <f>$B31/64</f>
        <v/>
      </c>
      <c r="BN31" s="104">
        <f>$B31/64</f>
        <v/>
      </c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</row>
    <row r="32">
      <c r="A32" s="42" t="inlineStr">
        <is>
          <t>DRIED LEAVES REMOVAL</t>
        </is>
      </c>
      <c r="B32" s="42" t="n">
        <v>0</v>
      </c>
      <c r="C32" s="47">
        <f>$B32/64</f>
        <v/>
      </c>
      <c r="D32" s="47">
        <f>$B32/64</f>
        <v/>
      </c>
      <c r="E32" s="47">
        <f>$B32/64</f>
        <v/>
      </c>
      <c r="F32" s="47">
        <f>$B32/64</f>
        <v/>
      </c>
      <c r="G32" s="47">
        <f>$B32/64</f>
        <v/>
      </c>
      <c r="H32" s="47">
        <f>$B32/64</f>
        <v/>
      </c>
      <c r="I32" s="47">
        <f>$B32/64</f>
        <v/>
      </c>
      <c r="J32" s="47">
        <f>$B32/64</f>
        <v/>
      </c>
      <c r="K32" s="47">
        <f>$B32/64</f>
        <v/>
      </c>
      <c r="L32" s="47">
        <f>$B32/64</f>
        <v/>
      </c>
      <c r="M32" s="47">
        <f>$B32/64</f>
        <v/>
      </c>
      <c r="N32" s="47">
        <f>$B32/64</f>
        <v/>
      </c>
      <c r="O32" s="47">
        <f>$B32/64</f>
        <v/>
      </c>
      <c r="P32" s="47">
        <f>$B32/64</f>
        <v/>
      </c>
      <c r="Q32" s="47">
        <f>$B32/64</f>
        <v/>
      </c>
      <c r="R32" s="47">
        <f>$B32/64</f>
        <v/>
      </c>
      <c r="S32" s="47">
        <f>$B32/64</f>
        <v/>
      </c>
      <c r="T32" s="47">
        <f>$B32/64</f>
        <v/>
      </c>
      <c r="U32" s="47">
        <f>$B32/64</f>
        <v/>
      </c>
      <c r="V32" s="47">
        <f>$B32/64</f>
        <v/>
      </c>
      <c r="W32" s="47">
        <f>$B32/64</f>
        <v/>
      </c>
      <c r="X32" s="47">
        <f>$B32/64</f>
        <v/>
      </c>
      <c r="Y32" s="47">
        <f>$B32/64</f>
        <v/>
      </c>
      <c r="Z32" s="47">
        <f>$B32/64</f>
        <v/>
      </c>
      <c r="AA32" s="47">
        <f>$B32/64</f>
        <v/>
      </c>
      <c r="AB32" s="47">
        <f>$B32/64</f>
        <v/>
      </c>
      <c r="AC32" s="47">
        <f>$B32/64</f>
        <v/>
      </c>
      <c r="AD32" s="47">
        <f>$B32/64</f>
        <v/>
      </c>
      <c r="AE32" s="47">
        <f>$B32/64</f>
        <v/>
      </c>
      <c r="AF32" s="47">
        <f>$B32/64</f>
        <v/>
      </c>
      <c r="AG32" s="47">
        <f>$B32/64</f>
        <v/>
      </c>
      <c r="AH32" s="47">
        <f>$B32/64</f>
        <v/>
      </c>
      <c r="AI32" s="47">
        <f>$B32/64</f>
        <v/>
      </c>
      <c r="AJ32" s="47">
        <f>$B32/64</f>
        <v/>
      </c>
      <c r="AK32" s="47">
        <f>$B32/64</f>
        <v/>
      </c>
      <c r="AL32" s="47">
        <f>$B32/64</f>
        <v/>
      </c>
      <c r="AM32" s="47">
        <f>$B32/64</f>
        <v/>
      </c>
      <c r="AN32" s="47">
        <f>$B32/64</f>
        <v/>
      </c>
      <c r="AO32" s="47">
        <f>$B32/64</f>
        <v/>
      </c>
      <c r="AP32" s="47">
        <f>$B32/64</f>
        <v/>
      </c>
      <c r="AQ32" s="47">
        <f>$B32/64</f>
        <v/>
      </c>
      <c r="AR32" s="47">
        <f>$B32/64</f>
        <v/>
      </c>
      <c r="AS32" s="47">
        <f>$B32/64</f>
        <v/>
      </c>
      <c r="AT32" s="47">
        <f>$B32/64</f>
        <v/>
      </c>
      <c r="AU32" s="47">
        <f>$B32/64</f>
        <v/>
      </c>
      <c r="AV32" s="47">
        <f>$B32/64</f>
        <v/>
      </c>
      <c r="AW32" s="47">
        <f>$B32/64</f>
        <v/>
      </c>
      <c r="AX32" s="47">
        <f>$B32/64</f>
        <v/>
      </c>
      <c r="AY32" s="47">
        <f>$B32/64</f>
        <v/>
      </c>
      <c r="AZ32" s="47">
        <f>$B32/64</f>
        <v/>
      </c>
      <c r="BA32" s="47">
        <f>$B32/64</f>
        <v/>
      </c>
      <c r="BB32" s="47">
        <f>$B32/64</f>
        <v/>
      </c>
      <c r="BC32" s="47">
        <f>$B32/64</f>
        <v/>
      </c>
      <c r="BD32" s="47">
        <f>$B32/64</f>
        <v/>
      </c>
      <c r="BE32" s="47">
        <f>$B32/64</f>
        <v/>
      </c>
      <c r="BF32" s="47">
        <f>$B32/64</f>
        <v/>
      </c>
      <c r="BG32" s="47">
        <f>$B32/64</f>
        <v/>
      </c>
      <c r="BH32" s="47">
        <f>$B32/64</f>
        <v/>
      </c>
      <c r="BI32" s="47">
        <f>$B32/64</f>
        <v/>
      </c>
      <c r="BJ32" s="47">
        <f>$B32/64</f>
        <v/>
      </c>
      <c r="BK32" s="47">
        <f>$B32/64</f>
        <v/>
      </c>
      <c r="BL32" s="47">
        <f>$B32/64</f>
        <v/>
      </c>
      <c r="BM32" s="47">
        <f>$B32/64</f>
        <v/>
      </c>
      <c r="BN32" s="47">
        <f>$B32/64</f>
        <v/>
      </c>
      <c r="BO32" s="47" t="n"/>
      <c r="BP32" s="47" t="n"/>
      <c r="BQ32" s="47" t="n"/>
      <c r="BR32" s="47" t="n"/>
      <c r="BS32" s="47" t="n"/>
      <c r="BT32" s="47" t="n"/>
      <c r="BU32" s="47" t="n"/>
      <c r="BV32" s="47" t="n"/>
      <c r="BW32" s="47" t="n"/>
      <c r="BX32" s="47" t="n"/>
    </row>
    <row r="33">
      <c r="A33" s="40" t="inlineStr">
        <is>
          <t>ACCOUNTING</t>
        </is>
      </c>
      <c r="B33" s="40" t="n">
        <v>0</v>
      </c>
      <c r="C33" s="104">
        <f>$B33/64</f>
        <v/>
      </c>
      <c r="D33" s="104">
        <f>$B33/64</f>
        <v/>
      </c>
      <c r="E33" s="104">
        <f>$B33/64</f>
        <v/>
      </c>
      <c r="F33" s="104">
        <f>$B33/64</f>
        <v/>
      </c>
      <c r="G33" s="104">
        <f>$B33/64</f>
        <v/>
      </c>
      <c r="H33" s="104">
        <f>$B33/64</f>
        <v/>
      </c>
      <c r="I33" s="104">
        <f>$B33/64</f>
        <v/>
      </c>
      <c r="J33" s="104">
        <f>$B33/64</f>
        <v/>
      </c>
      <c r="K33" s="104">
        <f>$B33/64</f>
        <v/>
      </c>
      <c r="L33" s="104">
        <f>$B33/64</f>
        <v/>
      </c>
      <c r="M33" s="104">
        <f>$B33/64</f>
        <v/>
      </c>
      <c r="N33" s="104">
        <f>$B33/64</f>
        <v/>
      </c>
      <c r="O33" s="104">
        <f>$B33/64</f>
        <v/>
      </c>
      <c r="P33" s="104">
        <f>$B33/64</f>
        <v/>
      </c>
      <c r="Q33" s="104">
        <f>$B33/64</f>
        <v/>
      </c>
      <c r="R33" s="104">
        <f>$B33/64</f>
        <v/>
      </c>
      <c r="S33" s="104">
        <f>$B33/64</f>
        <v/>
      </c>
      <c r="T33" s="104">
        <f>$B33/64</f>
        <v/>
      </c>
      <c r="U33" s="104">
        <f>$B33/64</f>
        <v/>
      </c>
      <c r="V33" s="104">
        <f>$B33/64</f>
        <v/>
      </c>
      <c r="W33" s="104">
        <f>$B33/64</f>
        <v/>
      </c>
      <c r="X33" s="104">
        <f>$B33/64</f>
        <v/>
      </c>
      <c r="Y33" s="104">
        <f>$B33/64</f>
        <v/>
      </c>
      <c r="Z33" s="104">
        <f>$B33/64</f>
        <v/>
      </c>
      <c r="AA33" s="104">
        <f>$B33/64</f>
        <v/>
      </c>
      <c r="AB33" s="104">
        <f>$B33/64</f>
        <v/>
      </c>
      <c r="AC33" s="104">
        <f>$B33/64</f>
        <v/>
      </c>
      <c r="AD33" s="104">
        <f>$B33/64</f>
        <v/>
      </c>
      <c r="AE33" s="104">
        <f>$B33/64</f>
        <v/>
      </c>
      <c r="AF33" s="104">
        <f>$B33/64</f>
        <v/>
      </c>
      <c r="AG33" s="104">
        <f>$B33/64</f>
        <v/>
      </c>
      <c r="AH33" s="104">
        <f>$B33/64</f>
        <v/>
      </c>
      <c r="AI33" s="104">
        <f>$B33/64</f>
        <v/>
      </c>
      <c r="AJ33" s="104">
        <f>$B33/64</f>
        <v/>
      </c>
      <c r="AK33" s="104">
        <f>$B33/64</f>
        <v/>
      </c>
      <c r="AL33" s="104">
        <f>$B33/64</f>
        <v/>
      </c>
      <c r="AM33" s="104">
        <f>$B33/64</f>
        <v/>
      </c>
      <c r="AN33" s="104">
        <f>$B33/64</f>
        <v/>
      </c>
      <c r="AO33" s="104">
        <f>$B33/64</f>
        <v/>
      </c>
      <c r="AP33" s="104">
        <f>$B33/64</f>
        <v/>
      </c>
      <c r="AQ33" s="104">
        <f>$B33/64</f>
        <v/>
      </c>
      <c r="AR33" s="104">
        <f>$B33/64</f>
        <v/>
      </c>
      <c r="AS33" s="104">
        <f>$B33/64</f>
        <v/>
      </c>
      <c r="AT33" s="104">
        <f>$B33/64</f>
        <v/>
      </c>
      <c r="AU33" s="104">
        <f>$B33/64</f>
        <v/>
      </c>
      <c r="AV33" s="104">
        <f>$B33/64</f>
        <v/>
      </c>
      <c r="AW33" s="104">
        <f>$B33/64</f>
        <v/>
      </c>
      <c r="AX33" s="104">
        <f>$B33/64</f>
        <v/>
      </c>
      <c r="AY33" s="104">
        <f>$B33/64</f>
        <v/>
      </c>
      <c r="AZ33" s="104">
        <f>$B33/64</f>
        <v/>
      </c>
      <c r="BA33" s="104">
        <f>$B33/64</f>
        <v/>
      </c>
      <c r="BB33" s="104">
        <f>$B33/64</f>
        <v/>
      </c>
      <c r="BC33" s="104">
        <f>$B33/64</f>
        <v/>
      </c>
      <c r="BD33" s="104">
        <f>$B33/64</f>
        <v/>
      </c>
      <c r="BE33" s="104">
        <f>$B33/64</f>
        <v/>
      </c>
      <c r="BF33" s="104">
        <f>$B33/64</f>
        <v/>
      </c>
      <c r="BG33" s="104">
        <f>$B33/64</f>
        <v/>
      </c>
      <c r="BH33" s="104">
        <f>$B33/64</f>
        <v/>
      </c>
      <c r="BI33" s="104">
        <f>$B33/64</f>
        <v/>
      </c>
      <c r="BJ33" s="104">
        <f>$B33/64</f>
        <v/>
      </c>
      <c r="BK33" s="104">
        <f>$B33/64</f>
        <v/>
      </c>
      <c r="BL33" s="104">
        <f>$B33/64</f>
        <v/>
      </c>
      <c r="BM33" s="104">
        <f>$B33/64</f>
        <v/>
      </c>
      <c r="BN33" s="104">
        <f>$B33/64</f>
        <v/>
      </c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</row>
    <row r="34">
      <c r="A34" s="42" t="inlineStr">
        <is>
          <t>HOUSE KEEPING MATERIALS</t>
        </is>
      </c>
      <c r="B34" s="42" t="n">
        <v>0</v>
      </c>
      <c r="C34" s="47">
        <f>$B34/64</f>
        <v/>
      </c>
      <c r="D34" s="47">
        <f>$B34/64</f>
        <v/>
      </c>
      <c r="E34" s="47">
        <f>$B34/64</f>
        <v/>
      </c>
      <c r="F34" s="47">
        <f>$B34/64</f>
        <v/>
      </c>
      <c r="G34" s="47">
        <f>$B34/64</f>
        <v/>
      </c>
      <c r="H34" s="47">
        <f>$B34/64</f>
        <v/>
      </c>
      <c r="I34" s="47">
        <f>$B34/64</f>
        <v/>
      </c>
      <c r="J34" s="47">
        <f>$B34/64</f>
        <v/>
      </c>
      <c r="K34" s="47">
        <f>$B34/64</f>
        <v/>
      </c>
      <c r="L34" s="47">
        <f>$B34/64</f>
        <v/>
      </c>
      <c r="M34" s="47">
        <f>$B34/64</f>
        <v/>
      </c>
      <c r="N34" s="47">
        <f>$B34/64</f>
        <v/>
      </c>
      <c r="O34" s="47">
        <f>$B34/64</f>
        <v/>
      </c>
      <c r="P34" s="47">
        <f>$B34/64</f>
        <v/>
      </c>
      <c r="Q34" s="47">
        <f>$B34/64</f>
        <v/>
      </c>
      <c r="R34" s="47">
        <f>$B34/64</f>
        <v/>
      </c>
      <c r="S34" s="47">
        <f>$B34/64</f>
        <v/>
      </c>
      <c r="T34" s="47">
        <f>$B34/64</f>
        <v/>
      </c>
      <c r="U34" s="47">
        <f>$B34/64</f>
        <v/>
      </c>
      <c r="V34" s="47">
        <f>$B34/64</f>
        <v/>
      </c>
      <c r="W34" s="47">
        <f>$B34/64</f>
        <v/>
      </c>
      <c r="X34" s="47">
        <f>$B34/64</f>
        <v/>
      </c>
      <c r="Y34" s="47">
        <f>$B34/64</f>
        <v/>
      </c>
      <c r="Z34" s="47">
        <f>$B34/64</f>
        <v/>
      </c>
      <c r="AA34" s="47">
        <f>$B34/64</f>
        <v/>
      </c>
      <c r="AB34" s="47">
        <f>$B34/64</f>
        <v/>
      </c>
      <c r="AC34" s="47">
        <f>$B34/64</f>
        <v/>
      </c>
      <c r="AD34" s="47">
        <f>$B34/64</f>
        <v/>
      </c>
      <c r="AE34" s="47">
        <f>$B34/64</f>
        <v/>
      </c>
      <c r="AF34" s="47">
        <f>$B34/64</f>
        <v/>
      </c>
      <c r="AG34" s="47">
        <f>$B34/64</f>
        <v/>
      </c>
      <c r="AH34" s="47">
        <f>$B34/64</f>
        <v/>
      </c>
      <c r="AI34" s="47">
        <f>$B34/64</f>
        <v/>
      </c>
      <c r="AJ34" s="47">
        <f>$B34/64</f>
        <v/>
      </c>
      <c r="AK34" s="47">
        <f>$B34/64</f>
        <v/>
      </c>
      <c r="AL34" s="47">
        <f>$B34/64</f>
        <v/>
      </c>
      <c r="AM34" s="47">
        <f>$B34/64</f>
        <v/>
      </c>
      <c r="AN34" s="47">
        <f>$B34/64</f>
        <v/>
      </c>
      <c r="AO34" s="47">
        <f>$B34/64</f>
        <v/>
      </c>
      <c r="AP34" s="47">
        <f>$B34/64</f>
        <v/>
      </c>
      <c r="AQ34" s="47">
        <f>$B34/64</f>
        <v/>
      </c>
      <c r="AR34" s="47">
        <f>$B34/64</f>
        <v/>
      </c>
      <c r="AS34" s="47">
        <f>$B34/64</f>
        <v/>
      </c>
      <c r="AT34" s="47">
        <f>$B34/64</f>
        <v/>
      </c>
      <c r="AU34" s="47">
        <f>$B34/64</f>
        <v/>
      </c>
      <c r="AV34" s="47">
        <f>$B34/64</f>
        <v/>
      </c>
      <c r="AW34" s="47">
        <f>$B34/64</f>
        <v/>
      </c>
      <c r="AX34" s="47">
        <f>$B34/64</f>
        <v/>
      </c>
      <c r="AY34" s="47">
        <f>$B34/64</f>
        <v/>
      </c>
      <c r="AZ34" s="47">
        <f>$B34/64</f>
        <v/>
      </c>
      <c r="BA34" s="47">
        <f>$B34/64</f>
        <v/>
      </c>
      <c r="BB34" s="47">
        <f>$B34/64</f>
        <v/>
      </c>
      <c r="BC34" s="47">
        <f>$B34/64</f>
        <v/>
      </c>
      <c r="BD34" s="47">
        <f>$B34/64</f>
        <v/>
      </c>
      <c r="BE34" s="47">
        <f>$B34/64</f>
        <v/>
      </c>
      <c r="BF34" s="47">
        <f>$B34/64</f>
        <v/>
      </c>
      <c r="BG34" s="47">
        <f>$B34/64</f>
        <v/>
      </c>
      <c r="BH34" s="47">
        <f>$B34/64</f>
        <v/>
      </c>
      <c r="BI34" s="47">
        <f>$B34/64</f>
        <v/>
      </c>
      <c r="BJ34" s="47">
        <f>$B34/64</f>
        <v/>
      </c>
      <c r="BK34" s="47">
        <f>$B34/64</f>
        <v/>
      </c>
      <c r="BL34" s="47">
        <f>$B34/64</f>
        <v/>
      </c>
      <c r="BM34" s="47">
        <f>$B34/64</f>
        <v/>
      </c>
      <c r="BN34" s="47">
        <f>$B34/64</f>
        <v/>
      </c>
      <c r="BO34" s="47" t="n"/>
      <c r="BP34" s="47" t="n"/>
      <c r="BQ34" s="47" t="n"/>
      <c r="BR34" s="47" t="n"/>
      <c r="BS34" s="47" t="n"/>
      <c r="BT34" s="47" t="n"/>
      <c r="BU34" s="47" t="n"/>
      <c r="BV34" s="47" t="n"/>
      <c r="BW34" s="47" t="n"/>
      <c r="BX34" s="47" t="n"/>
    </row>
    <row r="35">
      <c r="A35" s="40" t="e">
        <v>#N/A</v>
      </c>
      <c r="B35" s="40" t="e">
        <v>#N/A</v>
      </c>
      <c r="C35" s="104">
        <f>$B35/64</f>
        <v/>
      </c>
      <c r="D35" s="104">
        <f>$B35/64</f>
        <v/>
      </c>
      <c r="E35" s="104">
        <f>$B35/64</f>
        <v/>
      </c>
      <c r="F35" s="104">
        <f>$B35/64</f>
        <v/>
      </c>
      <c r="G35" s="104">
        <f>$B35/64</f>
        <v/>
      </c>
      <c r="H35" s="104">
        <f>$B35/64</f>
        <v/>
      </c>
      <c r="I35" s="104">
        <f>$B35/64</f>
        <v/>
      </c>
      <c r="J35" s="104">
        <f>$B35/64</f>
        <v/>
      </c>
      <c r="K35" s="104">
        <f>$B35/64</f>
        <v/>
      </c>
      <c r="L35" s="104">
        <f>$B35/64</f>
        <v/>
      </c>
      <c r="M35" s="104">
        <f>$B35/64</f>
        <v/>
      </c>
      <c r="N35" s="104">
        <f>$B35/64</f>
        <v/>
      </c>
      <c r="O35" s="104">
        <f>$B35/64</f>
        <v/>
      </c>
      <c r="P35" s="104">
        <f>$B35/64</f>
        <v/>
      </c>
      <c r="Q35" s="104">
        <f>$B35/64</f>
        <v/>
      </c>
      <c r="R35" s="104">
        <f>$B35/64</f>
        <v/>
      </c>
      <c r="S35" s="104">
        <f>$B35/64</f>
        <v/>
      </c>
      <c r="T35" s="104">
        <f>$B35/64</f>
        <v/>
      </c>
      <c r="U35" s="104">
        <f>$B35/64</f>
        <v/>
      </c>
      <c r="V35" s="104">
        <f>$B35/64</f>
        <v/>
      </c>
      <c r="W35" s="104">
        <f>$B35/64</f>
        <v/>
      </c>
      <c r="X35" s="104">
        <f>$B35/64</f>
        <v/>
      </c>
      <c r="Y35" s="104">
        <f>$B35/64</f>
        <v/>
      </c>
      <c r="Z35" s="104">
        <f>$B35/64</f>
        <v/>
      </c>
      <c r="AA35" s="104">
        <f>$B35/64</f>
        <v/>
      </c>
      <c r="AB35" s="104">
        <f>$B35/64</f>
        <v/>
      </c>
      <c r="AC35" s="104">
        <f>$B35/64</f>
        <v/>
      </c>
      <c r="AD35" s="104">
        <f>$B35/64</f>
        <v/>
      </c>
      <c r="AE35" s="104">
        <f>$B35/64</f>
        <v/>
      </c>
      <c r="AF35" s="104">
        <f>$B35/64</f>
        <v/>
      </c>
      <c r="AG35" s="104">
        <f>$B35/64</f>
        <v/>
      </c>
      <c r="AH35" s="104">
        <f>$B35/64</f>
        <v/>
      </c>
      <c r="AI35" s="104">
        <f>$B35/64</f>
        <v/>
      </c>
      <c r="AJ35" s="104">
        <f>$B35/64</f>
        <v/>
      </c>
      <c r="AK35" s="104">
        <f>$B35/64</f>
        <v/>
      </c>
      <c r="AL35" s="104">
        <f>$B35/64</f>
        <v/>
      </c>
      <c r="AM35" s="104">
        <f>$B35/64</f>
        <v/>
      </c>
      <c r="AN35" s="104">
        <f>$B35/64</f>
        <v/>
      </c>
      <c r="AO35" s="104">
        <f>$B35/64</f>
        <v/>
      </c>
      <c r="AP35" s="104">
        <f>$B35/64</f>
        <v/>
      </c>
      <c r="AQ35" s="104">
        <f>$B35/64</f>
        <v/>
      </c>
      <c r="AR35" s="104">
        <f>$B35/64</f>
        <v/>
      </c>
      <c r="AS35" s="104">
        <f>$B35/64</f>
        <v/>
      </c>
      <c r="AT35" s="104">
        <f>$B35/64</f>
        <v/>
      </c>
      <c r="AU35" s="104">
        <f>$B35/64</f>
        <v/>
      </c>
      <c r="AV35" s="104">
        <f>$B35/64</f>
        <v/>
      </c>
      <c r="AW35" s="104">
        <f>$B35/64</f>
        <v/>
      </c>
      <c r="AX35" s="104">
        <f>$B35/64</f>
        <v/>
      </c>
      <c r="AY35" s="104">
        <f>$B35/64</f>
        <v/>
      </c>
      <c r="AZ35" s="104">
        <f>$B35/64</f>
        <v/>
      </c>
      <c r="BA35" s="104">
        <f>$B35/64</f>
        <v/>
      </c>
      <c r="BB35" s="104">
        <f>$B35/64</f>
        <v/>
      </c>
      <c r="BC35" s="104">
        <f>$B35/64</f>
        <v/>
      </c>
      <c r="BD35" s="104">
        <f>$B35/64</f>
        <v/>
      </c>
      <c r="BE35" s="104">
        <f>$B35/64</f>
        <v/>
      </c>
      <c r="BF35" s="104">
        <f>$B35/64</f>
        <v/>
      </c>
      <c r="BG35" s="104">
        <f>$B35/64</f>
        <v/>
      </c>
      <c r="BH35" s="104">
        <f>$B35/64</f>
        <v/>
      </c>
      <c r="BI35" s="104">
        <f>$B35/64</f>
        <v/>
      </c>
      <c r="BJ35" s="104">
        <f>$B35/64</f>
        <v/>
      </c>
      <c r="BK35" s="104">
        <f>$B35/64</f>
        <v/>
      </c>
      <c r="BL35" s="104">
        <f>$B35/64</f>
        <v/>
      </c>
      <c r="BM35" s="104">
        <f>$B35/64</f>
        <v/>
      </c>
      <c r="BN35" s="104">
        <f>$B35/64</f>
        <v/>
      </c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</row>
    <row r="36">
      <c r="A36" s="42" t="e">
        <v>#N/A</v>
      </c>
      <c r="B36" s="42" t="e">
        <v>#N/A</v>
      </c>
      <c r="C36" s="47">
        <f>$B36/64</f>
        <v/>
      </c>
      <c r="D36" s="47">
        <f>$B36/64</f>
        <v/>
      </c>
      <c r="E36" s="47">
        <f>$B36/64</f>
        <v/>
      </c>
      <c r="F36" s="47">
        <f>$B36/64</f>
        <v/>
      </c>
      <c r="G36" s="47">
        <f>$B36/64</f>
        <v/>
      </c>
      <c r="H36" s="47">
        <f>$B36/64</f>
        <v/>
      </c>
      <c r="I36" s="47">
        <f>$B36/64</f>
        <v/>
      </c>
      <c r="J36" s="47">
        <f>$B36/64</f>
        <v/>
      </c>
      <c r="K36" s="47">
        <f>$B36/64</f>
        <v/>
      </c>
      <c r="L36" s="47">
        <f>$B36/64</f>
        <v/>
      </c>
      <c r="M36" s="47">
        <f>$B36/64</f>
        <v/>
      </c>
      <c r="N36" s="47">
        <f>$B36/64</f>
        <v/>
      </c>
      <c r="O36" s="47">
        <f>$B36/64</f>
        <v/>
      </c>
      <c r="P36" s="47">
        <f>$B36/64</f>
        <v/>
      </c>
      <c r="Q36" s="47">
        <f>$B36/64</f>
        <v/>
      </c>
      <c r="R36" s="47">
        <f>$B36/64</f>
        <v/>
      </c>
      <c r="S36" s="47">
        <f>$B36/64</f>
        <v/>
      </c>
      <c r="T36" s="47">
        <f>$B36/64</f>
        <v/>
      </c>
      <c r="U36" s="47">
        <f>$B36/64</f>
        <v/>
      </c>
      <c r="V36" s="47">
        <f>$B36/64</f>
        <v/>
      </c>
      <c r="W36" s="47">
        <f>$B36/64</f>
        <v/>
      </c>
      <c r="X36" s="47">
        <f>$B36/64</f>
        <v/>
      </c>
      <c r="Y36" s="47">
        <f>$B36/64</f>
        <v/>
      </c>
      <c r="Z36" s="47">
        <f>$B36/64</f>
        <v/>
      </c>
      <c r="AA36" s="47">
        <f>$B36/64</f>
        <v/>
      </c>
      <c r="AB36" s="47">
        <f>$B36/64</f>
        <v/>
      </c>
      <c r="AC36" s="47">
        <f>$B36/64</f>
        <v/>
      </c>
      <c r="AD36" s="47">
        <f>$B36/64</f>
        <v/>
      </c>
      <c r="AE36" s="47">
        <f>$B36/64</f>
        <v/>
      </c>
      <c r="AF36" s="47">
        <f>$B36/64</f>
        <v/>
      </c>
      <c r="AG36" s="47">
        <f>$B36/64</f>
        <v/>
      </c>
      <c r="AH36" s="47">
        <f>$B36/64</f>
        <v/>
      </c>
      <c r="AI36" s="47">
        <f>$B36/64</f>
        <v/>
      </c>
      <c r="AJ36" s="47">
        <f>$B36/64</f>
        <v/>
      </c>
      <c r="AK36" s="47">
        <f>$B36/64</f>
        <v/>
      </c>
      <c r="AL36" s="47">
        <f>$B36/64</f>
        <v/>
      </c>
      <c r="AM36" s="47">
        <f>$B36/64</f>
        <v/>
      </c>
      <c r="AN36" s="47">
        <f>$B36/64</f>
        <v/>
      </c>
      <c r="AO36" s="47">
        <f>$B36/64</f>
        <v/>
      </c>
      <c r="AP36" s="47">
        <f>$B36/64</f>
        <v/>
      </c>
      <c r="AQ36" s="47">
        <f>$B36/64</f>
        <v/>
      </c>
      <c r="AR36" s="47">
        <f>$B36/64</f>
        <v/>
      </c>
      <c r="AS36" s="47">
        <f>$B36/64</f>
        <v/>
      </c>
      <c r="AT36" s="47">
        <f>$B36/64</f>
        <v/>
      </c>
      <c r="AU36" s="47">
        <f>$B36/64</f>
        <v/>
      </c>
      <c r="AV36" s="47">
        <f>$B36/64</f>
        <v/>
      </c>
      <c r="AW36" s="47">
        <f>$B36/64</f>
        <v/>
      </c>
      <c r="AX36" s="47">
        <f>$B36/64</f>
        <v/>
      </c>
      <c r="AY36" s="47">
        <f>$B36/64</f>
        <v/>
      </c>
      <c r="AZ36" s="47">
        <f>$B36/64</f>
        <v/>
      </c>
      <c r="BA36" s="47">
        <f>$B36/64</f>
        <v/>
      </c>
      <c r="BB36" s="47">
        <f>$B36/64</f>
        <v/>
      </c>
      <c r="BC36" s="47">
        <f>$B36/64</f>
        <v/>
      </c>
      <c r="BD36" s="47">
        <f>$B36/64</f>
        <v/>
      </c>
      <c r="BE36" s="47">
        <f>$B36/64</f>
        <v/>
      </c>
      <c r="BF36" s="47">
        <f>$B36/64</f>
        <v/>
      </c>
      <c r="BG36" s="47">
        <f>$B36/64</f>
        <v/>
      </c>
      <c r="BH36" s="47">
        <f>$B36/64</f>
        <v/>
      </c>
      <c r="BI36" s="47">
        <f>$B36/64</f>
        <v/>
      </c>
      <c r="BJ36" s="47">
        <f>$B36/64</f>
        <v/>
      </c>
      <c r="BK36" s="47">
        <f>$B36/64</f>
        <v/>
      </c>
      <c r="BL36" s="47">
        <f>$B36/64</f>
        <v/>
      </c>
      <c r="BM36" s="47">
        <f>$B36/64</f>
        <v/>
      </c>
      <c r="BN36" s="47">
        <f>$B36/64</f>
        <v/>
      </c>
      <c r="BO36" s="47" t="n"/>
      <c r="BP36" s="47" t="n"/>
      <c r="BQ36" s="47" t="n"/>
      <c r="BR36" s="47" t="n"/>
      <c r="BS36" s="47" t="n"/>
      <c r="BT36" s="47" t="n"/>
      <c r="BU36" s="47" t="n"/>
      <c r="BV36" s="47" t="n"/>
      <c r="BW36" s="47" t="n"/>
      <c r="BX36" s="47" t="n"/>
    </row>
    <row r="37">
      <c r="A37" s="40" t="e">
        <v>#N/A</v>
      </c>
      <c r="B37" s="40" t="e">
        <v>#N/A</v>
      </c>
      <c r="C37" s="104">
        <f>$B37/64</f>
        <v/>
      </c>
      <c r="D37" s="104">
        <f>$B37/64</f>
        <v/>
      </c>
      <c r="E37" s="104">
        <f>$B37/64</f>
        <v/>
      </c>
      <c r="F37" s="104">
        <f>$B37/64</f>
        <v/>
      </c>
      <c r="G37" s="104">
        <f>$B37/64</f>
        <v/>
      </c>
      <c r="H37" s="104">
        <f>$B37/64</f>
        <v/>
      </c>
      <c r="I37" s="104">
        <f>$B37/64</f>
        <v/>
      </c>
      <c r="J37" s="104">
        <f>$B37/64</f>
        <v/>
      </c>
      <c r="K37" s="104">
        <f>$B37/64</f>
        <v/>
      </c>
      <c r="L37" s="104">
        <f>$B37/64</f>
        <v/>
      </c>
      <c r="M37" s="104">
        <f>$B37/64</f>
        <v/>
      </c>
      <c r="N37" s="104">
        <f>$B37/64</f>
        <v/>
      </c>
      <c r="O37" s="104">
        <f>$B37/64</f>
        <v/>
      </c>
      <c r="P37" s="104">
        <f>$B37/64</f>
        <v/>
      </c>
      <c r="Q37" s="104">
        <f>$B37/64</f>
        <v/>
      </c>
      <c r="R37" s="104">
        <f>$B37/64</f>
        <v/>
      </c>
      <c r="S37" s="104">
        <f>$B37/64</f>
        <v/>
      </c>
      <c r="T37" s="104">
        <f>$B37/64</f>
        <v/>
      </c>
      <c r="U37" s="104">
        <f>$B37/64</f>
        <v/>
      </c>
      <c r="V37" s="104">
        <f>$B37/64</f>
        <v/>
      </c>
      <c r="W37" s="104">
        <f>$B37/64</f>
        <v/>
      </c>
      <c r="X37" s="104">
        <f>$B37/64</f>
        <v/>
      </c>
      <c r="Y37" s="104">
        <f>$B37/64</f>
        <v/>
      </c>
      <c r="Z37" s="104">
        <f>$B37/64</f>
        <v/>
      </c>
      <c r="AA37" s="104">
        <f>$B37/64</f>
        <v/>
      </c>
      <c r="AB37" s="104">
        <f>$B37/64</f>
        <v/>
      </c>
      <c r="AC37" s="104">
        <f>$B37/64</f>
        <v/>
      </c>
      <c r="AD37" s="104">
        <f>$B37/64</f>
        <v/>
      </c>
      <c r="AE37" s="104">
        <f>$B37/64</f>
        <v/>
      </c>
      <c r="AF37" s="104">
        <f>$B37/64</f>
        <v/>
      </c>
      <c r="AG37" s="104">
        <f>$B37/64</f>
        <v/>
      </c>
      <c r="AH37" s="104">
        <f>$B37/64</f>
        <v/>
      </c>
      <c r="AI37" s="104">
        <f>$B37/64</f>
        <v/>
      </c>
      <c r="AJ37" s="104">
        <f>$B37/64</f>
        <v/>
      </c>
      <c r="AK37" s="104">
        <f>$B37/64</f>
        <v/>
      </c>
      <c r="AL37" s="104">
        <f>$B37/64</f>
        <v/>
      </c>
      <c r="AM37" s="104">
        <f>$B37/64</f>
        <v/>
      </c>
      <c r="AN37" s="104">
        <f>$B37/64</f>
        <v/>
      </c>
      <c r="AO37" s="104">
        <f>$B37/64</f>
        <v/>
      </c>
      <c r="AP37" s="104">
        <f>$B37/64</f>
        <v/>
      </c>
      <c r="AQ37" s="104">
        <f>$B37/64</f>
        <v/>
      </c>
      <c r="AR37" s="104">
        <f>$B37/64</f>
        <v/>
      </c>
      <c r="AS37" s="104">
        <f>$B37/64</f>
        <v/>
      </c>
      <c r="AT37" s="104">
        <f>$B37/64</f>
        <v/>
      </c>
      <c r="AU37" s="104">
        <f>$B37/64</f>
        <v/>
      </c>
      <c r="AV37" s="104">
        <f>$B37/64</f>
        <v/>
      </c>
      <c r="AW37" s="104">
        <f>$B37/64</f>
        <v/>
      </c>
      <c r="AX37" s="104">
        <f>$B37/64</f>
        <v/>
      </c>
      <c r="AY37" s="104">
        <f>$B37/64</f>
        <v/>
      </c>
      <c r="AZ37" s="104">
        <f>$B37/64</f>
        <v/>
      </c>
      <c r="BA37" s="104">
        <f>$B37/64</f>
        <v/>
      </c>
      <c r="BB37" s="104">
        <f>$B37/64</f>
        <v/>
      </c>
      <c r="BC37" s="104">
        <f>$B37/64</f>
        <v/>
      </c>
      <c r="BD37" s="104">
        <f>$B37/64</f>
        <v/>
      </c>
      <c r="BE37" s="104">
        <f>$B37/64</f>
        <v/>
      </c>
      <c r="BF37" s="104">
        <f>$B37/64</f>
        <v/>
      </c>
      <c r="BG37" s="104">
        <f>$B37/64</f>
        <v/>
      </c>
      <c r="BH37" s="104">
        <f>$B37/64</f>
        <v/>
      </c>
      <c r="BI37" s="104">
        <f>$B37/64</f>
        <v/>
      </c>
      <c r="BJ37" s="104">
        <f>$B37/64</f>
        <v/>
      </c>
      <c r="BK37" s="104">
        <f>$B37/64</f>
        <v/>
      </c>
      <c r="BL37" s="104">
        <f>$B37/64</f>
        <v/>
      </c>
      <c r="BM37" s="104">
        <f>$B37/64</f>
        <v/>
      </c>
      <c r="BN37" s="104">
        <f>$B37/64</f>
        <v/>
      </c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</row>
    <row r="38">
      <c r="A38" s="42" t="e">
        <v>#N/A</v>
      </c>
      <c r="B38" s="42" t="e">
        <v>#N/A</v>
      </c>
      <c r="C38" s="47">
        <f>$B38/64</f>
        <v/>
      </c>
      <c r="D38" s="47">
        <f>$B38/64</f>
        <v/>
      </c>
      <c r="E38" s="47">
        <f>$B38/64</f>
        <v/>
      </c>
      <c r="F38" s="47">
        <f>$B38/64</f>
        <v/>
      </c>
      <c r="G38" s="47">
        <f>$B38/64</f>
        <v/>
      </c>
      <c r="H38" s="47">
        <f>$B38/64</f>
        <v/>
      </c>
      <c r="I38" s="47">
        <f>$B38/64</f>
        <v/>
      </c>
      <c r="J38" s="47">
        <f>$B38/64</f>
        <v/>
      </c>
      <c r="K38" s="47">
        <f>$B38/64</f>
        <v/>
      </c>
      <c r="L38" s="47">
        <f>$B38/64</f>
        <v/>
      </c>
      <c r="M38" s="47">
        <f>$B38/64</f>
        <v/>
      </c>
      <c r="N38" s="47">
        <f>$B38/64</f>
        <v/>
      </c>
      <c r="O38" s="47">
        <f>$B38/64</f>
        <v/>
      </c>
      <c r="P38" s="47">
        <f>$B38/64</f>
        <v/>
      </c>
      <c r="Q38" s="47">
        <f>$B38/64</f>
        <v/>
      </c>
      <c r="R38" s="47">
        <f>$B38/64</f>
        <v/>
      </c>
      <c r="S38" s="47">
        <f>$B38/64</f>
        <v/>
      </c>
      <c r="T38" s="47">
        <f>$B38/64</f>
        <v/>
      </c>
      <c r="U38" s="47">
        <f>$B38/64</f>
        <v/>
      </c>
      <c r="V38" s="47">
        <f>$B38/64</f>
        <v/>
      </c>
      <c r="W38" s="47">
        <f>$B38/64</f>
        <v/>
      </c>
      <c r="X38" s="47">
        <f>$B38/64</f>
        <v/>
      </c>
      <c r="Y38" s="47">
        <f>$B38/64</f>
        <v/>
      </c>
      <c r="Z38" s="47">
        <f>$B38/64</f>
        <v/>
      </c>
      <c r="AA38" s="47">
        <f>$B38/64</f>
        <v/>
      </c>
      <c r="AB38" s="47">
        <f>$B38/64</f>
        <v/>
      </c>
      <c r="AC38" s="47">
        <f>$B38/64</f>
        <v/>
      </c>
      <c r="AD38" s="47">
        <f>$B38/64</f>
        <v/>
      </c>
      <c r="AE38" s="47">
        <f>$B38/64</f>
        <v/>
      </c>
      <c r="AF38" s="47">
        <f>$B38/64</f>
        <v/>
      </c>
      <c r="AG38" s="47">
        <f>$B38/64</f>
        <v/>
      </c>
      <c r="AH38" s="47">
        <f>$B38/64</f>
        <v/>
      </c>
      <c r="AI38" s="47">
        <f>$B38/64</f>
        <v/>
      </c>
      <c r="AJ38" s="47">
        <f>$B38/64</f>
        <v/>
      </c>
      <c r="AK38" s="47">
        <f>$B38/64</f>
        <v/>
      </c>
      <c r="AL38" s="47">
        <f>$B38/64</f>
        <v/>
      </c>
      <c r="AM38" s="47">
        <f>$B38/64</f>
        <v/>
      </c>
      <c r="AN38" s="47">
        <f>$B38/64</f>
        <v/>
      </c>
      <c r="AO38" s="47">
        <f>$B38/64</f>
        <v/>
      </c>
      <c r="AP38" s="47">
        <f>$B38/64</f>
        <v/>
      </c>
      <c r="AQ38" s="47">
        <f>$B38/64</f>
        <v/>
      </c>
      <c r="AR38" s="47">
        <f>$B38/64</f>
        <v/>
      </c>
      <c r="AS38" s="47">
        <f>$B38/64</f>
        <v/>
      </c>
      <c r="AT38" s="47">
        <f>$B38/64</f>
        <v/>
      </c>
      <c r="AU38" s="47">
        <f>$B38/64</f>
        <v/>
      </c>
      <c r="AV38" s="47">
        <f>$B38/64</f>
        <v/>
      </c>
      <c r="AW38" s="47">
        <f>$B38/64</f>
        <v/>
      </c>
      <c r="AX38" s="47">
        <f>$B38/64</f>
        <v/>
      </c>
      <c r="AY38" s="47">
        <f>$B38/64</f>
        <v/>
      </c>
      <c r="AZ38" s="47">
        <f>$B38/64</f>
        <v/>
      </c>
      <c r="BA38" s="47">
        <f>$B38/64</f>
        <v/>
      </c>
      <c r="BB38" s="47">
        <f>$B38/64</f>
        <v/>
      </c>
      <c r="BC38" s="47">
        <f>$B38/64</f>
        <v/>
      </c>
      <c r="BD38" s="47">
        <f>$B38/64</f>
        <v/>
      </c>
      <c r="BE38" s="47">
        <f>$B38/64</f>
        <v/>
      </c>
      <c r="BF38" s="47">
        <f>$B38/64</f>
        <v/>
      </c>
      <c r="BG38" s="47">
        <f>$B38/64</f>
        <v/>
      </c>
      <c r="BH38" s="47">
        <f>$B38/64</f>
        <v/>
      </c>
      <c r="BI38" s="47">
        <f>$B38/64</f>
        <v/>
      </c>
      <c r="BJ38" s="47">
        <f>$B38/64</f>
        <v/>
      </c>
      <c r="BK38" s="47">
        <f>$B38/64</f>
        <v/>
      </c>
      <c r="BL38" s="47">
        <f>$B38/64</f>
        <v/>
      </c>
      <c r="BM38" s="47">
        <f>$B38/64</f>
        <v/>
      </c>
      <c r="BN38" s="47">
        <f>$B38/64</f>
        <v/>
      </c>
      <c r="BO38" s="47" t="n"/>
      <c r="BP38" s="47" t="n"/>
      <c r="BQ38" s="47" t="n"/>
      <c r="BR38" s="47" t="n"/>
      <c r="BS38" s="47" t="n"/>
      <c r="BT38" s="47" t="n"/>
      <c r="BU38" s="47" t="n"/>
      <c r="BV38" s="47" t="n"/>
      <c r="BW38" s="47" t="n"/>
      <c r="BX38" s="47" t="n"/>
    </row>
    <row r="39">
      <c r="A39" s="40" t="e">
        <v>#N/A</v>
      </c>
      <c r="B39" s="40" t="e">
        <v>#N/A</v>
      </c>
      <c r="C39" s="104">
        <f>$B39/64</f>
        <v/>
      </c>
      <c r="D39" s="104">
        <f>$B39/64</f>
        <v/>
      </c>
      <c r="E39" s="104">
        <f>$B39/64</f>
        <v/>
      </c>
      <c r="F39" s="104">
        <f>$B39/64</f>
        <v/>
      </c>
      <c r="G39" s="104">
        <f>$B39/64</f>
        <v/>
      </c>
      <c r="H39" s="104">
        <f>$B39/64</f>
        <v/>
      </c>
      <c r="I39" s="104">
        <f>$B39/64</f>
        <v/>
      </c>
      <c r="J39" s="104">
        <f>$B39/64</f>
        <v/>
      </c>
      <c r="K39" s="104">
        <f>$B39/64</f>
        <v/>
      </c>
      <c r="L39" s="104">
        <f>$B39/64</f>
        <v/>
      </c>
      <c r="M39" s="104">
        <f>$B39/64</f>
        <v/>
      </c>
      <c r="N39" s="104">
        <f>$B39/64</f>
        <v/>
      </c>
      <c r="O39" s="104">
        <f>$B39/64</f>
        <v/>
      </c>
      <c r="P39" s="104">
        <f>$B39/64</f>
        <v/>
      </c>
      <c r="Q39" s="104">
        <f>$B39/64</f>
        <v/>
      </c>
      <c r="R39" s="104">
        <f>$B39/64</f>
        <v/>
      </c>
      <c r="S39" s="104">
        <f>$B39/64</f>
        <v/>
      </c>
      <c r="T39" s="104">
        <f>$B39/64</f>
        <v/>
      </c>
      <c r="U39" s="104">
        <f>$B39/64</f>
        <v/>
      </c>
      <c r="V39" s="104">
        <f>$B39/64</f>
        <v/>
      </c>
      <c r="W39" s="104">
        <f>$B39/64</f>
        <v/>
      </c>
      <c r="X39" s="104">
        <f>$B39/64</f>
        <v/>
      </c>
      <c r="Y39" s="104">
        <f>$B39/64</f>
        <v/>
      </c>
      <c r="Z39" s="104">
        <f>$B39/64</f>
        <v/>
      </c>
      <c r="AA39" s="104">
        <f>$B39/64</f>
        <v/>
      </c>
      <c r="AB39" s="104">
        <f>$B39/64</f>
        <v/>
      </c>
      <c r="AC39" s="104">
        <f>$B39/64</f>
        <v/>
      </c>
      <c r="AD39" s="104">
        <f>$B39/64</f>
        <v/>
      </c>
      <c r="AE39" s="104">
        <f>$B39/64</f>
        <v/>
      </c>
      <c r="AF39" s="104">
        <f>$B39/64</f>
        <v/>
      </c>
      <c r="AG39" s="104">
        <f>$B39/64</f>
        <v/>
      </c>
      <c r="AH39" s="104">
        <f>$B39/64</f>
        <v/>
      </c>
      <c r="AI39" s="104">
        <f>$B39/64</f>
        <v/>
      </c>
      <c r="AJ39" s="104">
        <f>$B39/64</f>
        <v/>
      </c>
      <c r="AK39" s="104">
        <f>$B39/64</f>
        <v/>
      </c>
      <c r="AL39" s="104">
        <f>$B39/64</f>
        <v/>
      </c>
      <c r="AM39" s="104">
        <f>$B39/64</f>
        <v/>
      </c>
      <c r="AN39" s="104">
        <f>$B39/64</f>
        <v/>
      </c>
      <c r="AO39" s="104">
        <f>$B39/64</f>
        <v/>
      </c>
      <c r="AP39" s="104">
        <f>$B39/64</f>
        <v/>
      </c>
      <c r="AQ39" s="104">
        <f>$B39/64</f>
        <v/>
      </c>
      <c r="AR39" s="104">
        <f>$B39/64</f>
        <v/>
      </c>
      <c r="AS39" s="104">
        <f>$B39/64</f>
        <v/>
      </c>
      <c r="AT39" s="104">
        <f>$B39/64</f>
        <v/>
      </c>
      <c r="AU39" s="104">
        <f>$B39/64</f>
        <v/>
      </c>
      <c r="AV39" s="104">
        <f>$B39/64</f>
        <v/>
      </c>
      <c r="AW39" s="104">
        <f>$B39/64</f>
        <v/>
      </c>
      <c r="AX39" s="104">
        <f>$B39/64</f>
        <v/>
      </c>
      <c r="AY39" s="104">
        <f>$B39/64</f>
        <v/>
      </c>
      <c r="AZ39" s="104">
        <f>$B39/64</f>
        <v/>
      </c>
      <c r="BA39" s="104">
        <f>$B39/64</f>
        <v/>
      </c>
      <c r="BB39" s="104">
        <f>$B39/64</f>
        <v/>
      </c>
      <c r="BC39" s="104">
        <f>$B39/64</f>
        <v/>
      </c>
      <c r="BD39" s="104">
        <f>$B39/64</f>
        <v/>
      </c>
      <c r="BE39" s="104">
        <f>$B39/64</f>
        <v/>
      </c>
      <c r="BF39" s="104">
        <f>$B39/64</f>
        <v/>
      </c>
      <c r="BG39" s="104">
        <f>$B39/64</f>
        <v/>
      </c>
      <c r="BH39" s="104">
        <f>$B39/64</f>
        <v/>
      </c>
      <c r="BI39" s="104">
        <f>$B39/64</f>
        <v/>
      </c>
      <c r="BJ39" s="104">
        <f>$B39/64</f>
        <v/>
      </c>
      <c r="BK39" s="104">
        <f>$B39/64</f>
        <v/>
      </c>
      <c r="BL39" s="104">
        <f>$B39/64</f>
        <v/>
      </c>
      <c r="BM39" s="104">
        <f>$B39/64</f>
        <v/>
      </c>
      <c r="BN39" s="104">
        <f>$B39/64</f>
        <v/>
      </c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</row>
    <row r="40">
      <c r="A40" s="42" t="e">
        <v>#N/A</v>
      </c>
      <c r="B40" s="42" t="e">
        <v>#N/A</v>
      </c>
      <c r="C40" s="47">
        <f>$B40/64</f>
        <v/>
      </c>
      <c r="D40" s="47">
        <f>$B40/64</f>
        <v/>
      </c>
      <c r="E40" s="47">
        <f>$B40/64</f>
        <v/>
      </c>
      <c r="F40" s="47">
        <f>$B40/64</f>
        <v/>
      </c>
      <c r="G40" s="47">
        <f>$B40/64</f>
        <v/>
      </c>
      <c r="H40" s="47">
        <f>$B40/64</f>
        <v/>
      </c>
      <c r="I40" s="47">
        <f>$B40/64</f>
        <v/>
      </c>
      <c r="J40" s="47">
        <f>$B40/64</f>
        <v/>
      </c>
      <c r="K40" s="47">
        <f>$B40/64</f>
        <v/>
      </c>
      <c r="L40" s="47">
        <f>$B40/64</f>
        <v/>
      </c>
      <c r="M40" s="47">
        <f>$B40/64</f>
        <v/>
      </c>
      <c r="N40" s="47">
        <f>$B40/64</f>
        <v/>
      </c>
      <c r="O40" s="47">
        <f>$B40/64</f>
        <v/>
      </c>
      <c r="P40" s="47">
        <f>$B40/64</f>
        <v/>
      </c>
      <c r="Q40" s="47">
        <f>$B40/64</f>
        <v/>
      </c>
      <c r="R40" s="47">
        <f>$B40/64</f>
        <v/>
      </c>
      <c r="S40" s="47">
        <f>$B40/64</f>
        <v/>
      </c>
      <c r="T40" s="47">
        <f>$B40/64</f>
        <v/>
      </c>
      <c r="U40" s="47">
        <f>$B40/64</f>
        <v/>
      </c>
      <c r="V40" s="47">
        <f>$B40/64</f>
        <v/>
      </c>
      <c r="W40" s="47">
        <f>$B40/64</f>
        <v/>
      </c>
      <c r="X40" s="47">
        <f>$B40/64</f>
        <v/>
      </c>
      <c r="Y40" s="47">
        <f>$B40/64</f>
        <v/>
      </c>
      <c r="Z40" s="47">
        <f>$B40/64</f>
        <v/>
      </c>
      <c r="AA40" s="47">
        <f>$B40/64</f>
        <v/>
      </c>
      <c r="AB40" s="47">
        <f>$B40/64</f>
        <v/>
      </c>
      <c r="AC40" s="47">
        <f>$B40/64</f>
        <v/>
      </c>
      <c r="AD40" s="47">
        <f>$B40/64</f>
        <v/>
      </c>
      <c r="AE40" s="47">
        <f>$B40/64</f>
        <v/>
      </c>
      <c r="AF40" s="47">
        <f>$B40/64</f>
        <v/>
      </c>
      <c r="AG40" s="47">
        <f>$B40/64</f>
        <v/>
      </c>
      <c r="AH40" s="47">
        <f>$B40/64</f>
        <v/>
      </c>
      <c r="AI40" s="47">
        <f>$B40/64</f>
        <v/>
      </c>
      <c r="AJ40" s="47">
        <f>$B40/64</f>
        <v/>
      </c>
      <c r="AK40" s="47">
        <f>$B40/64</f>
        <v/>
      </c>
      <c r="AL40" s="47">
        <f>$B40/64</f>
        <v/>
      </c>
      <c r="AM40" s="47">
        <f>$B40/64</f>
        <v/>
      </c>
      <c r="AN40" s="47">
        <f>$B40/64</f>
        <v/>
      </c>
      <c r="AO40" s="47">
        <f>$B40/64</f>
        <v/>
      </c>
      <c r="AP40" s="47">
        <f>$B40/64</f>
        <v/>
      </c>
      <c r="AQ40" s="47">
        <f>$B40/64</f>
        <v/>
      </c>
      <c r="AR40" s="47">
        <f>$B40/64</f>
        <v/>
      </c>
      <c r="AS40" s="47">
        <f>$B40/64</f>
        <v/>
      </c>
      <c r="AT40" s="47">
        <f>$B40/64</f>
        <v/>
      </c>
      <c r="AU40" s="47">
        <f>$B40/64</f>
        <v/>
      </c>
      <c r="AV40" s="47">
        <f>$B40/64</f>
        <v/>
      </c>
      <c r="AW40" s="47">
        <f>$B40/64</f>
        <v/>
      </c>
      <c r="AX40" s="47">
        <f>$B40/64</f>
        <v/>
      </c>
      <c r="AY40" s="47">
        <f>$B40/64</f>
        <v/>
      </c>
      <c r="AZ40" s="47">
        <f>$B40/64</f>
        <v/>
      </c>
      <c r="BA40" s="47">
        <f>$B40/64</f>
        <v/>
      </c>
      <c r="BB40" s="47">
        <f>$B40/64</f>
        <v/>
      </c>
      <c r="BC40" s="47">
        <f>$B40/64</f>
        <v/>
      </c>
      <c r="BD40" s="47">
        <f>$B40/64</f>
        <v/>
      </c>
      <c r="BE40" s="47">
        <f>$B40/64</f>
        <v/>
      </c>
      <c r="BF40" s="47">
        <f>$B40/64</f>
        <v/>
      </c>
      <c r="BG40" s="47">
        <f>$B40/64</f>
        <v/>
      </c>
      <c r="BH40" s="47">
        <f>$B40/64</f>
        <v/>
      </c>
      <c r="BI40" s="47">
        <f>$B40/64</f>
        <v/>
      </c>
      <c r="BJ40" s="47">
        <f>$B40/64</f>
        <v/>
      </c>
      <c r="BK40" s="47">
        <f>$B40/64</f>
        <v/>
      </c>
      <c r="BL40" s="47">
        <f>$B40/64</f>
        <v/>
      </c>
      <c r="BM40" s="47">
        <f>$B40/64</f>
        <v/>
      </c>
      <c r="BN40" s="47">
        <f>$B40/64</f>
        <v/>
      </c>
      <c r="BO40" s="47" t="n"/>
      <c r="BP40" s="47" t="n"/>
      <c r="BQ40" s="47" t="n"/>
      <c r="BR40" s="47" t="n"/>
      <c r="BS40" s="47" t="n"/>
      <c r="BT40" s="47" t="n"/>
      <c r="BU40" s="47" t="n"/>
      <c r="BV40" s="47" t="n"/>
      <c r="BW40" s="47" t="n"/>
      <c r="BX40" s="47" t="n"/>
    </row>
    <row r="41">
      <c r="A41" s="40" t="e">
        <v>#N/A</v>
      </c>
      <c r="B41" s="40" t="e">
        <v>#N/A</v>
      </c>
      <c r="C41" s="104">
        <f>$B41/64</f>
        <v/>
      </c>
      <c r="D41" s="104">
        <f>$B41/64</f>
        <v/>
      </c>
      <c r="E41" s="104">
        <f>$B41/64</f>
        <v/>
      </c>
      <c r="F41" s="104">
        <f>$B41/64</f>
        <v/>
      </c>
      <c r="G41" s="104">
        <f>$B41/64</f>
        <v/>
      </c>
      <c r="H41" s="104">
        <f>$B41/64</f>
        <v/>
      </c>
      <c r="I41" s="104">
        <f>$B41/64</f>
        <v/>
      </c>
      <c r="J41" s="104">
        <f>$B41/64</f>
        <v/>
      </c>
      <c r="K41" s="104">
        <f>$B41/64</f>
        <v/>
      </c>
      <c r="L41" s="104">
        <f>$B41/64</f>
        <v/>
      </c>
      <c r="M41" s="104">
        <f>$B41/64</f>
        <v/>
      </c>
      <c r="N41" s="104">
        <f>$B41/64</f>
        <v/>
      </c>
      <c r="O41" s="104">
        <f>$B41/64</f>
        <v/>
      </c>
      <c r="P41" s="104">
        <f>$B41/64</f>
        <v/>
      </c>
      <c r="Q41" s="104">
        <f>$B41/64</f>
        <v/>
      </c>
      <c r="R41" s="104">
        <f>$B41/64</f>
        <v/>
      </c>
      <c r="S41" s="104">
        <f>$B41/64</f>
        <v/>
      </c>
      <c r="T41" s="104">
        <f>$B41/64</f>
        <v/>
      </c>
      <c r="U41" s="104">
        <f>$B41/64</f>
        <v/>
      </c>
      <c r="V41" s="104">
        <f>$B41/64</f>
        <v/>
      </c>
      <c r="W41" s="104">
        <f>$B41/64</f>
        <v/>
      </c>
      <c r="X41" s="104">
        <f>$B41/64</f>
        <v/>
      </c>
      <c r="Y41" s="104">
        <f>$B41/64</f>
        <v/>
      </c>
      <c r="Z41" s="104">
        <f>$B41/64</f>
        <v/>
      </c>
      <c r="AA41" s="104">
        <f>$B41/64</f>
        <v/>
      </c>
      <c r="AB41" s="104">
        <f>$B41/64</f>
        <v/>
      </c>
      <c r="AC41" s="104">
        <f>$B41/64</f>
        <v/>
      </c>
      <c r="AD41" s="104">
        <f>$B41/64</f>
        <v/>
      </c>
      <c r="AE41" s="104">
        <f>$B41/64</f>
        <v/>
      </c>
      <c r="AF41" s="104">
        <f>$B41/64</f>
        <v/>
      </c>
      <c r="AG41" s="104">
        <f>$B41/64</f>
        <v/>
      </c>
      <c r="AH41" s="104">
        <f>$B41/64</f>
        <v/>
      </c>
      <c r="AI41" s="104">
        <f>$B41/64</f>
        <v/>
      </c>
      <c r="AJ41" s="104">
        <f>$B41/64</f>
        <v/>
      </c>
      <c r="AK41" s="104">
        <f>$B41/64</f>
        <v/>
      </c>
      <c r="AL41" s="104">
        <f>$B41/64</f>
        <v/>
      </c>
      <c r="AM41" s="104">
        <f>$B41/64</f>
        <v/>
      </c>
      <c r="AN41" s="104">
        <f>$B41/64</f>
        <v/>
      </c>
      <c r="AO41" s="104">
        <f>$B41/64</f>
        <v/>
      </c>
      <c r="AP41" s="104">
        <f>$B41/64</f>
        <v/>
      </c>
      <c r="AQ41" s="104">
        <f>$B41/64</f>
        <v/>
      </c>
      <c r="AR41" s="104">
        <f>$B41/64</f>
        <v/>
      </c>
      <c r="AS41" s="104">
        <f>$B41/64</f>
        <v/>
      </c>
      <c r="AT41" s="104">
        <f>$B41/64</f>
        <v/>
      </c>
      <c r="AU41" s="104">
        <f>$B41/64</f>
        <v/>
      </c>
      <c r="AV41" s="104">
        <f>$B41/64</f>
        <v/>
      </c>
      <c r="AW41" s="104">
        <f>$B41/64</f>
        <v/>
      </c>
      <c r="AX41" s="104">
        <f>$B41/64</f>
        <v/>
      </c>
      <c r="AY41" s="104">
        <f>$B41/64</f>
        <v/>
      </c>
      <c r="AZ41" s="104">
        <f>$B41/64</f>
        <v/>
      </c>
      <c r="BA41" s="104">
        <f>$B41/64</f>
        <v/>
      </c>
      <c r="BB41" s="104">
        <f>$B41/64</f>
        <v/>
      </c>
      <c r="BC41" s="104">
        <f>$B41/64</f>
        <v/>
      </c>
      <c r="BD41" s="104">
        <f>$B41/64</f>
        <v/>
      </c>
      <c r="BE41" s="104">
        <f>$B41/64</f>
        <v/>
      </c>
      <c r="BF41" s="104">
        <f>$B41/64</f>
        <v/>
      </c>
      <c r="BG41" s="104">
        <f>$B41/64</f>
        <v/>
      </c>
      <c r="BH41" s="104">
        <f>$B41/64</f>
        <v/>
      </c>
      <c r="BI41" s="104">
        <f>$B41/64</f>
        <v/>
      </c>
      <c r="BJ41" s="104">
        <f>$B41/64</f>
        <v/>
      </c>
      <c r="BK41" s="104">
        <f>$B41/64</f>
        <v/>
      </c>
      <c r="BL41" s="104">
        <f>$B41/64</f>
        <v/>
      </c>
      <c r="BM41" s="104">
        <f>$B41/64</f>
        <v/>
      </c>
      <c r="BN41" s="104">
        <f>$B41/64</f>
        <v/>
      </c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</row>
    <row r="42">
      <c r="A42" s="42" t="e">
        <v>#N/A</v>
      </c>
      <c r="B42" s="42" t="e">
        <v>#N/A</v>
      </c>
      <c r="C42" s="47">
        <f>$B42/64</f>
        <v/>
      </c>
      <c r="D42" s="47">
        <f>$B42/64</f>
        <v/>
      </c>
      <c r="E42" s="47">
        <f>$B42/64</f>
        <v/>
      </c>
      <c r="F42" s="47">
        <f>$B42/64</f>
        <v/>
      </c>
      <c r="G42" s="47">
        <f>$B42/64</f>
        <v/>
      </c>
      <c r="H42" s="47">
        <f>$B42/64</f>
        <v/>
      </c>
      <c r="I42" s="47">
        <f>$B42/64</f>
        <v/>
      </c>
      <c r="J42" s="47">
        <f>$B42/64</f>
        <v/>
      </c>
      <c r="K42" s="47">
        <f>$B42/64</f>
        <v/>
      </c>
      <c r="L42" s="47">
        <f>$B42/64</f>
        <v/>
      </c>
      <c r="M42" s="47">
        <f>$B42/64</f>
        <v/>
      </c>
      <c r="N42" s="47">
        <f>$B42/64</f>
        <v/>
      </c>
      <c r="O42" s="47">
        <f>$B42/64</f>
        <v/>
      </c>
      <c r="P42" s="47">
        <f>$B42/64</f>
        <v/>
      </c>
      <c r="Q42" s="47">
        <f>$B42/64</f>
        <v/>
      </c>
      <c r="R42" s="47">
        <f>$B42/64</f>
        <v/>
      </c>
      <c r="S42" s="47">
        <f>$B42/64</f>
        <v/>
      </c>
      <c r="T42" s="47">
        <f>$B42/64</f>
        <v/>
      </c>
      <c r="U42" s="47">
        <f>$B42/64</f>
        <v/>
      </c>
      <c r="V42" s="47">
        <f>$B42/64</f>
        <v/>
      </c>
      <c r="W42" s="47">
        <f>$B42/64</f>
        <v/>
      </c>
      <c r="X42" s="47">
        <f>$B42/64</f>
        <v/>
      </c>
      <c r="Y42" s="47">
        <f>$B42/64</f>
        <v/>
      </c>
      <c r="Z42" s="47">
        <f>$B42/64</f>
        <v/>
      </c>
      <c r="AA42" s="47">
        <f>$B42/64</f>
        <v/>
      </c>
      <c r="AB42" s="47">
        <f>$B42/64</f>
        <v/>
      </c>
      <c r="AC42" s="47">
        <f>$B42/64</f>
        <v/>
      </c>
      <c r="AD42" s="47">
        <f>$B42/64</f>
        <v/>
      </c>
      <c r="AE42" s="47">
        <f>$B42/64</f>
        <v/>
      </c>
      <c r="AF42" s="47">
        <f>$B42/64</f>
        <v/>
      </c>
      <c r="AG42" s="47">
        <f>$B42/64</f>
        <v/>
      </c>
      <c r="AH42" s="47">
        <f>$B42/64</f>
        <v/>
      </c>
      <c r="AI42" s="47">
        <f>$B42/64</f>
        <v/>
      </c>
      <c r="AJ42" s="47">
        <f>$B42/64</f>
        <v/>
      </c>
      <c r="AK42" s="47">
        <f>$B42/64</f>
        <v/>
      </c>
      <c r="AL42" s="47">
        <f>$B42/64</f>
        <v/>
      </c>
      <c r="AM42" s="47">
        <f>$B42/64</f>
        <v/>
      </c>
      <c r="AN42" s="47">
        <f>$B42/64</f>
        <v/>
      </c>
      <c r="AO42" s="47">
        <f>$B42/64</f>
        <v/>
      </c>
      <c r="AP42" s="47">
        <f>$B42/64</f>
        <v/>
      </c>
      <c r="AQ42" s="47">
        <f>$B42/64</f>
        <v/>
      </c>
      <c r="AR42" s="47">
        <f>$B42/64</f>
        <v/>
      </c>
      <c r="AS42" s="47">
        <f>$B42/64</f>
        <v/>
      </c>
      <c r="AT42" s="47">
        <f>$B42/64</f>
        <v/>
      </c>
      <c r="AU42" s="47">
        <f>$B42/64</f>
        <v/>
      </c>
      <c r="AV42" s="47">
        <f>$B42/64</f>
        <v/>
      </c>
      <c r="AW42" s="47">
        <f>$B42/64</f>
        <v/>
      </c>
      <c r="AX42" s="47">
        <f>$B42/64</f>
        <v/>
      </c>
      <c r="AY42" s="47">
        <f>$B42/64</f>
        <v/>
      </c>
      <c r="AZ42" s="47">
        <f>$B42/64</f>
        <v/>
      </c>
      <c r="BA42" s="47">
        <f>$B42/64</f>
        <v/>
      </c>
      <c r="BB42" s="47">
        <f>$B42/64</f>
        <v/>
      </c>
      <c r="BC42" s="47">
        <f>$B42/64</f>
        <v/>
      </c>
      <c r="BD42" s="47">
        <f>$B42/64</f>
        <v/>
      </c>
      <c r="BE42" s="47">
        <f>$B42/64</f>
        <v/>
      </c>
      <c r="BF42" s="47">
        <f>$B42/64</f>
        <v/>
      </c>
      <c r="BG42" s="47">
        <f>$B42/64</f>
        <v/>
      </c>
      <c r="BH42" s="47">
        <f>$B42/64</f>
        <v/>
      </c>
      <c r="BI42" s="47">
        <f>$B42/64</f>
        <v/>
      </c>
      <c r="BJ42" s="47">
        <f>$B42/64</f>
        <v/>
      </c>
      <c r="BK42" s="47">
        <f>$B42/64</f>
        <v/>
      </c>
      <c r="BL42" s="47">
        <f>$B42/64</f>
        <v/>
      </c>
      <c r="BM42" s="47">
        <f>$B42/64</f>
        <v/>
      </c>
      <c r="BN42" s="47">
        <f>$B42/64</f>
        <v/>
      </c>
      <c r="BO42" s="47" t="n"/>
      <c r="BP42" s="47" t="n"/>
      <c r="BQ42" s="47" t="n"/>
      <c r="BR42" s="47" t="n"/>
      <c r="BS42" s="47" t="n"/>
      <c r="BT42" s="47" t="n"/>
      <c r="BU42" s="47" t="n"/>
      <c r="BV42" s="47" t="n"/>
      <c r="BW42" s="47" t="n"/>
      <c r="BX42" s="47" t="n"/>
    </row>
    <row r="43">
      <c r="A43" s="40" t="e">
        <v>#N/A</v>
      </c>
      <c r="B43" s="40" t="e">
        <v>#N/A</v>
      </c>
      <c r="C43" s="104">
        <f>$B43/64</f>
        <v/>
      </c>
      <c r="D43" s="104">
        <f>$B43/64</f>
        <v/>
      </c>
      <c r="E43" s="104">
        <f>$B43/64</f>
        <v/>
      </c>
      <c r="F43" s="104">
        <f>$B43/64</f>
        <v/>
      </c>
      <c r="G43" s="104">
        <f>$B43/64</f>
        <v/>
      </c>
      <c r="H43" s="104">
        <f>$B43/64</f>
        <v/>
      </c>
      <c r="I43" s="104">
        <f>$B43/64</f>
        <v/>
      </c>
      <c r="J43" s="104">
        <f>$B43/64</f>
        <v/>
      </c>
      <c r="K43" s="104">
        <f>$B43/64</f>
        <v/>
      </c>
      <c r="L43" s="104">
        <f>$B43/64</f>
        <v/>
      </c>
      <c r="M43" s="104">
        <f>$B43/64</f>
        <v/>
      </c>
      <c r="N43" s="104">
        <f>$B43/64</f>
        <v/>
      </c>
      <c r="O43" s="104">
        <f>$B43/64</f>
        <v/>
      </c>
      <c r="P43" s="104">
        <f>$B43/64</f>
        <v/>
      </c>
      <c r="Q43" s="104">
        <f>$B43/64</f>
        <v/>
      </c>
      <c r="R43" s="104">
        <f>$B43/64</f>
        <v/>
      </c>
      <c r="S43" s="104">
        <f>$B43/64</f>
        <v/>
      </c>
      <c r="T43" s="104">
        <f>$B43/64</f>
        <v/>
      </c>
      <c r="U43" s="104">
        <f>$B43/64</f>
        <v/>
      </c>
      <c r="V43" s="104">
        <f>$B43/64</f>
        <v/>
      </c>
      <c r="W43" s="104">
        <f>$B43/64</f>
        <v/>
      </c>
      <c r="X43" s="104">
        <f>$B43/64</f>
        <v/>
      </c>
      <c r="Y43" s="104">
        <f>$B43/64</f>
        <v/>
      </c>
      <c r="Z43" s="104">
        <f>$B43/64</f>
        <v/>
      </c>
      <c r="AA43" s="104">
        <f>$B43/64</f>
        <v/>
      </c>
      <c r="AB43" s="104">
        <f>$B43/64</f>
        <v/>
      </c>
      <c r="AC43" s="104">
        <f>$B43/64</f>
        <v/>
      </c>
      <c r="AD43" s="104">
        <f>$B43/64</f>
        <v/>
      </c>
      <c r="AE43" s="104">
        <f>$B43/64</f>
        <v/>
      </c>
      <c r="AF43" s="104">
        <f>$B43/64</f>
        <v/>
      </c>
      <c r="AG43" s="104">
        <f>$B43/64</f>
        <v/>
      </c>
      <c r="AH43" s="104">
        <f>$B43/64</f>
        <v/>
      </c>
      <c r="AI43" s="104">
        <f>$B43/64</f>
        <v/>
      </c>
      <c r="AJ43" s="104">
        <f>$B43/64</f>
        <v/>
      </c>
      <c r="AK43" s="104">
        <f>$B43/64</f>
        <v/>
      </c>
      <c r="AL43" s="104">
        <f>$B43/64</f>
        <v/>
      </c>
      <c r="AM43" s="104">
        <f>$B43/64</f>
        <v/>
      </c>
      <c r="AN43" s="104">
        <f>$B43/64</f>
        <v/>
      </c>
      <c r="AO43" s="104">
        <f>$B43/64</f>
        <v/>
      </c>
      <c r="AP43" s="104">
        <f>$B43/64</f>
        <v/>
      </c>
      <c r="AQ43" s="104">
        <f>$B43/64</f>
        <v/>
      </c>
      <c r="AR43" s="104">
        <f>$B43/64</f>
        <v/>
      </c>
      <c r="AS43" s="104">
        <f>$B43/64</f>
        <v/>
      </c>
      <c r="AT43" s="104">
        <f>$B43/64</f>
        <v/>
      </c>
      <c r="AU43" s="104">
        <f>$B43/64</f>
        <v/>
      </c>
      <c r="AV43" s="104">
        <f>$B43/64</f>
        <v/>
      </c>
      <c r="AW43" s="104">
        <f>$B43/64</f>
        <v/>
      </c>
      <c r="AX43" s="104">
        <f>$B43/64</f>
        <v/>
      </c>
      <c r="AY43" s="104">
        <f>$B43/64</f>
        <v/>
      </c>
      <c r="AZ43" s="104">
        <f>$B43/64</f>
        <v/>
      </c>
      <c r="BA43" s="104">
        <f>$B43/64</f>
        <v/>
      </c>
      <c r="BB43" s="104">
        <f>$B43/64</f>
        <v/>
      </c>
      <c r="BC43" s="104">
        <f>$B43/64</f>
        <v/>
      </c>
      <c r="BD43" s="104">
        <f>$B43/64</f>
        <v/>
      </c>
      <c r="BE43" s="104">
        <f>$B43/64</f>
        <v/>
      </c>
      <c r="BF43" s="104">
        <f>$B43/64</f>
        <v/>
      </c>
      <c r="BG43" s="104">
        <f>$B43/64</f>
        <v/>
      </c>
      <c r="BH43" s="104">
        <f>$B43/64</f>
        <v/>
      </c>
      <c r="BI43" s="104">
        <f>$B43/64</f>
        <v/>
      </c>
      <c r="BJ43" s="104">
        <f>$B43/64</f>
        <v/>
      </c>
      <c r="BK43" s="104">
        <f>$B43/64</f>
        <v/>
      </c>
      <c r="BL43" s="104">
        <f>$B43/64</f>
        <v/>
      </c>
      <c r="BM43" s="104">
        <f>$B43/64</f>
        <v/>
      </c>
      <c r="BN43" s="104">
        <f>$B43/64</f>
        <v/>
      </c>
      <c r="BO43" s="104" t="n"/>
      <c r="BP43" s="104" t="n"/>
      <c r="BQ43" s="104" t="n"/>
      <c r="BR43" s="104" t="n"/>
      <c r="BS43" s="104" t="n"/>
      <c r="BT43" s="104" t="n"/>
      <c r="BU43" s="104" t="n"/>
      <c r="BV43" s="104" t="n"/>
      <c r="BW43" s="104" t="n"/>
      <c r="BX43" s="104" t="n"/>
    </row>
    <row r="44">
      <c r="A44" s="42" t="e">
        <v>#N/A</v>
      </c>
      <c r="B44" s="42" t="e">
        <v>#N/A</v>
      </c>
      <c r="C44" s="47">
        <f>$B44/64</f>
        <v/>
      </c>
      <c r="D44" s="47">
        <f>$B44/64</f>
        <v/>
      </c>
      <c r="E44" s="47">
        <f>$B44/64</f>
        <v/>
      </c>
      <c r="F44" s="47">
        <f>$B44/64</f>
        <v/>
      </c>
      <c r="G44" s="47">
        <f>$B44/64</f>
        <v/>
      </c>
      <c r="H44" s="47">
        <f>$B44/64</f>
        <v/>
      </c>
      <c r="I44" s="47">
        <f>$B44/64</f>
        <v/>
      </c>
      <c r="J44" s="47">
        <f>$B44/64</f>
        <v/>
      </c>
      <c r="K44" s="47">
        <f>$B44/64</f>
        <v/>
      </c>
      <c r="L44" s="47">
        <f>$B44/64</f>
        <v/>
      </c>
      <c r="M44" s="47">
        <f>$B44/64</f>
        <v/>
      </c>
      <c r="N44" s="47">
        <f>$B44/64</f>
        <v/>
      </c>
      <c r="O44" s="47">
        <f>$B44/64</f>
        <v/>
      </c>
      <c r="P44" s="47">
        <f>$B44/64</f>
        <v/>
      </c>
      <c r="Q44" s="47">
        <f>$B44/64</f>
        <v/>
      </c>
      <c r="R44" s="47">
        <f>$B44/64</f>
        <v/>
      </c>
      <c r="S44" s="47">
        <f>$B44/64</f>
        <v/>
      </c>
      <c r="T44" s="47">
        <f>$B44/64</f>
        <v/>
      </c>
      <c r="U44" s="47">
        <f>$B44/64</f>
        <v/>
      </c>
      <c r="V44" s="47">
        <f>$B44/64</f>
        <v/>
      </c>
      <c r="W44" s="47">
        <f>$B44/64</f>
        <v/>
      </c>
      <c r="X44" s="47">
        <f>$B44/64</f>
        <v/>
      </c>
      <c r="Y44" s="47">
        <f>$B44/64</f>
        <v/>
      </c>
      <c r="Z44" s="47">
        <f>$B44/64</f>
        <v/>
      </c>
      <c r="AA44" s="47">
        <f>$B44/64</f>
        <v/>
      </c>
      <c r="AB44" s="47">
        <f>$B44/64</f>
        <v/>
      </c>
      <c r="AC44" s="47">
        <f>$B44/64</f>
        <v/>
      </c>
      <c r="AD44" s="47">
        <f>$B44/64</f>
        <v/>
      </c>
      <c r="AE44" s="47">
        <f>$B44/64</f>
        <v/>
      </c>
      <c r="AF44" s="47">
        <f>$B44/64</f>
        <v/>
      </c>
      <c r="AG44" s="47">
        <f>$B44/64</f>
        <v/>
      </c>
      <c r="AH44" s="47">
        <f>$B44/64</f>
        <v/>
      </c>
      <c r="AI44" s="47">
        <f>$B44/64</f>
        <v/>
      </c>
      <c r="AJ44" s="47">
        <f>$B44/64</f>
        <v/>
      </c>
      <c r="AK44" s="47">
        <f>$B44/64</f>
        <v/>
      </c>
      <c r="AL44" s="47">
        <f>$B44/64</f>
        <v/>
      </c>
      <c r="AM44" s="47">
        <f>$B44/64</f>
        <v/>
      </c>
      <c r="AN44" s="47">
        <f>$B44/64</f>
        <v/>
      </c>
      <c r="AO44" s="47">
        <f>$B44/64</f>
        <v/>
      </c>
      <c r="AP44" s="47">
        <f>$B44/64</f>
        <v/>
      </c>
      <c r="AQ44" s="47">
        <f>$B44/64</f>
        <v/>
      </c>
      <c r="AR44" s="47">
        <f>$B44/64</f>
        <v/>
      </c>
      <c r="AS44" s="47">
        <f>$B44/64</f>
        <v/>
      </c>
      <c r="AT44" s="47">
        <f>$B44/64</f>
        <v/>
      </c>
      <c r="AU44" s="47">
        <f>$B44/64</f>
        <v/>
      </c>
      <c r="AV44" s="47">
        <f>$B44/64</f>
        <v/>
      </c>
      <c r="AW44" s="47">
        <f>$B44/64</f>
        <v/>
      </c>
      <c r="AX44" s="47">
        <f>$B44/64</f>
        <v/>
      </c>
      <c r="AY44" s="47">
        <f>$B44/64</f>
        <v/>
      </c>
      <c r="AZ44" s="47">
        <f>$B44/64</f>
        <v/>
      </c>
      <c r="BA44" s="47">
        <f>$B44/64</f>
        <v/>
      </c>
      <c r="BB44" s="47">
        <f>$B44/64</f>
        <v/>
      </c>
      <c r="BC44" s="47">
        <f>$B44/64</f>
        <v/>
      </c>
      <c r="BD44" s="47">
        <f>$B44/64</f>
        <v/>
      </c>
      <c r="BE44" s="47">
        <f>$B44/64</f>
        <v/>
      </c>
      <c r="BF44" s="47">
        <f>$B44/64</f>
        <v/>
      </c>
      <c r="BG44" s="47">
        <f>$B44/64</f>
        <v/>
      </c>
      <c r="BH44" s="47">
        <f>$B44/64</f>
        <v/>
      </c>
      <c r="BI44" s="47">
        <f>$B44/64</f>
        <v/>
      </c>
      <c r="BJ44" s="47">
        <f>$B44/64</f>
        <v/>
      </c>
      <c r="BK44" s="47">
        <f>$B44/64</f>
        <v/>
      </c>
      <c r="BL44" s="47">
        <f>$B44/64</f>
        <v/>
      </c>
      <c r="BM44" s="47">
        <f>$B44/64</f>
        <v/>
      </c>
      <c r="BN44" s="47">
        <f>$B44/64</f>
        <v/>
      </c>
      <c r="BO44" s="47" t="n"/>
      <c r="BP44" s="47" t="n"/>
      <c r="BQ44" s="47" t="n"/>
      <c r="BR44" s="47" t="n"/>
      <c r="BS44" s="47" t="n"/>
      <c r="BT44" s="47" t="n"/>
      <c r="BU44" s="47" t="n"/>
      <c r="BV44" s="47" t="n"/>
      <c r="BW44" s="47" t="n"/>
      <c r="BX44" s="47" t="n"/>
    </row>
    <row r="45">
      <c r="A45" s="40" t="e">
        <v>#N/A</v>
      </c>
      <c r="B45" s="40" t="e">
        <v>#N/A</v>
      </c>
      <c r="C45" s="104">
        <f>$B45/64</f>
        <v/>
      </c>
      <c r="D45" s="104">
        <f>$B45/64</f>
        <v/>
      </c>
      <c r="E45" s="104">
        <f>$B45/64</f>
        <v/>
      </c>
      <c r="F45" s="104">
        <f>$B45/64</f>
        <v/>
      </c>
      <c r="G45" s="104">
        <f>$B45/64</f>
        <v/>
      </c>
      <c r="H45" s="104">
        <f>$B45/64</f>
        <v/>
      </c>
      <c r="I45" s="104">
        <f>$B45/64</f>
        <v/>
      </c>
      <c r="J45" s="104">
        <f>$B45/64</f>
        <v/>
      </c>
      <c r="K45" s="104">
        <f>$B45/64</f>
        <v/>
      </c>
      <c r="L45" s="104">
        <f>$B45/64</f>
        <v/>
      </c>
      <c r="M45" s="104">
        <f>$B45/64</f>
        <v/>
      </c>
      <c r="N45" s="104">
        <f>$B45/64</f>
        <v/>
      </c>
      <c r="O45" s="104">
        <f>$B45/64</f>
        <v/>
      </c>
      <c r="P45" s="104">
        <f>$B45/64</f>
        <v/>
      </c>
      <c r="Q45" s="104">
        <f>$B45/64</f>
        <v/>
      </c>
      <c r="R45" s="104">
        <f>$B45/64</f>
        <v/>
      </c>
      <c r="S45" s="104">
        <f>$B45/64</f>
        <v/>
      </c>
      <c r="T45" s="104">
        <f>$B45/64</f>
        <v/>
      </c>
      <c r="U45" s="104">
        <f>$B45/64</f>
        <v/>
      </c>
      <c r="V45" s="104">
        <f>$B45/64</f>
        <v/>
      </c>
      <c r="W45" s="104">
        <f>$B45/64</f>
        <v/>
      </c>
      <c r="X45" s="104">
        <f>$B45/64</f>
        <v/>
      </c>
      <c r="Y45" s="104">
        <f>$B45/64</f>
        <v/>
      </c>
      <c r="Z45" s="104">
        <f>$B45/64</f>
        <v/>
      </c>
      <c r="AA45" s="104">
        <f>$B45/64</f>
        <v/>
      </c>
      <c r="AB45" s="104">
        <f>$B45/64</f>
        <v/>
      </c>
      <c r="AC45" s="104">
        <f>$B45/64</f>
        <v/>
      </c>
      <c r="AD45" s="104">
        <f>$B45/64</f>
        <v/>
      </c>
      <c r="AE45" s="104">
        <f>$B45/64</f>
        <v/>
      </c>
      <c r="AF45" s="104">
        <f>$B45/64</f>
        <v/>
      </c>
      <c r="AG45" s="104">
        <f>$B45/64</f>
        <v/>
      </c>
      <c r="AH45" s="104">
        <f>$B45/64</f>
        <v/>
      </c>
      <c r="AI45" s="104">
        <f>$B45/64</f>
        <v/>
      </c>
      <c r="AJ45" s="104">
        <f>$B45/64</f>
        <v/>
      </c>
      <c r="AK45" s="104">
        <f>$B45/64</f>
        <v/>
      </c>
      <c r="AL45" s="104">
        <f>$B45/64</f>
        <v/>
      </c>
      <c r="AM45" s="104">
        <f>$B45/64</f>
        <v/>
      </c>
      <c r="AN45" s="104">
        <f>$B45/64</f>
        <v/>
      </c>
      <c r="AO45" s="104">
        <f>$B45/64</f>
        <v/>
      </c>
      <c r="AP45" s="104">
        <f>$B45/64</f>
        <v/>
      </c>
      <c r="AQ45" s="104">
        <f>$B45/64</f>
        <v/>
      </c>
      <c r="AR45" s="104">
        <f>$B45/64</f>
        <v/>
      </c>
      <c r="AS45" s="104">
        <f>$B45/64</f>
        <v/>
      </c>
      <c r="AT45" s="104">
        <f>$B45/64</f>
        <v/>
      </c>
      <c r="AU45" s="104">
        <f>$B45/64</f>
        <v/>
      </c>
      <c r="AV45" s="104">
        <f>$B45/64</f>
        <v/>
      </c>
      <c r="AW45" s="104">
        <f>$B45/64</f>
        <v/>
      </c>
      <c r="AX45" s="104">
        <f>$B45/64</f>
        <v/>
      </c>
      <c r="AY45" s="104">
        <f>$B45/64</f>
        <v/>
      </c>
      <c r="AZ45" s="104">
        <f>$B45/64</f>
        <v/>
      </c>
      <c r="BA45" s="104">
        <f>$B45/64</f>
        <v/>
      </c>
      <c r="BB45" s="104">
        <f>$B45/64</f>
        <v/>
      </c>
      <c r="BC45" s="104">
        <f>$B45/64</f>
        <v/>
      </c>
      <c r="BD45" s="104">
        <f>$B45/64</f>
        <v/>
      </c>
      <c r="BE45" s="104">
        <f>$B45/64</f>
        <v/>
      </c>
      <c r="BF45" s="104">
        <f>$B45/64</f>
        <v/>
      </c>
      <c r="BG45" s="104">
        <f>$B45/64</f>
        <v/>
      </c>
      <c r="BH45" s="104">
        <f>$B45/64</f>
        <v/>
      </c>
      <c r="BI45" s="104">
        <f>$B45/64</f>
        <v/>
      </c>
      <c r="BJ45" s="104">
        <f>$B45/64</f>
        <v/>
      </c>
      <c r="BK45" s="104">
        <f>$B45/64</f>
        <v/>
      </c>
      <c r="BL45" s="104">
        <f>$B45/64</f>
        <v/>
      </c>
      <c r="BM45" s="104">
        <f>$B45/64</f>
        <v/>
      </c>
      <c r="BN45" s="104">
        <f>$B45/64</f>
        <v/>
      </c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</row>
    <row r="46">
      <c r="A46" s="42" t="e">
        <v>#N/A</v>
      </c>
      <c r="B46" s="42" t="e">
        <v>#N/A</v>
      </c>
      <c r="C46" s="47">
        <f>$B46/64</f>
        <v/>
      </c>
      <c r="D46" s="47">
        <f>$B46/64</f>
        <v/>
      </c>
      <c r="E46" s="47">
        <f>$B46/64</f>
        <v/>
      </c>
      <c r="F46" s="47">
        <f>$B46/64</f>
        <v/>
      </c>
      <c r="G46" s="47">
        <f>$B46/64</f>
        <v/>
      </c>
      <c r="H46" s="47">
        <f>$B46/64</f>
        <v/>
      </c>
      <c r="I46" s="47">
        <f>$B46/64</f>
        <v/>
      </c>
      <c r="J46" s="47">
        <f>$B46/64</f>
        <v/>
      </c>
      <c r="K46" s="47">
        <f>$B46/64</f>
        <v/>
      </c>
      <c r="L46" s="47">
        <f>$B46/64</f>
        <v/>
      </c>
      <c r="M46" s="47">
        <f>$B46/64</f>
        <v/>
      </c>
      <c r="N46" s="47">
        <f>$B46/64</f>
        <v/>
      </c>
      <c r="O46" s="47">
        <f>$B46/64</f>
        <v/>
      </c>
      <c r="P46" s="47">
        <f>$B46/64</f>
        <v/>
      </c>
      <c r="Q46" s="47">
        <f>$B46/64</f>
        <v/>
      </c>
      <c r="R46" s="47">
        <f>$B46/64</f>
        <v/>
      </c>
      <c r="S46" s="47">
        <f>$B46/64</f>
        <v/>
      </c>
      <c r="T46" s="47">
        <f>$B46/64</f>
        <v/>
      </c>
      <c r="U46" s="47">
        <f>$B46/64</f>
        <v/>
      </c>
      <c r="V46" s="47">
        <f>$B46/64</f>
        <v/>
      </c>
      <c r="W46" s="47">
        <f>$B46/64</f>
        <v/>
      </c>
      <c r="X46" s="47">
        <f>$B46/64</f>
        <v/>
      </c>
      <c r="Y46" s="47">
        <f>$B46/64</f>
        <v/>
      </c>
      <c r="Z46" s="47">
        <f>$B46/64</f>
        <v/>
      </c>
      <c r="AA46" s="47">
        <f>$B46/64</f>
        <v/>
      </c>
      <c r="AB46" s="47">
        <f>$B46/64</f>
        <v/>
      </c>
      <c r="AC46" s="47">
        <f>$B46/64</f>
        <v/>
      </c>
      <c r="AD46" s="47">
        <f>$B46/64</f>
        <v/>
      </c>
      <c r="AE46" s="47">
        <f>$B46/64</f>
        <v/>
      </c>
      <c r="AF46" s="47">
        <f>$B46/64</f>
        <v/>
      </c>
      <c r="AG46" s="47">
        <f>$B46/64</f>
        <v/>
      </c>
      <c r="AH46" s="47">
        <f>$B46/64</f>
        <v/>
      </c>
      <c r="AI46" s="47">
        <f>$B46/64</f>
        <v/>
      </c>
      <c r="AJ46" s="47">
        <f>$B46/64</f>
        <v/>
      </c>
      <c r="AK46" s="47">
        <f>$B46/64</f>
        <v/>
      </c>
      <c r="AL46" s="47">
        <f>$B46/64</f>
        <v/>
      </c>
      <c r="AM46" s="47">
        <f>$B46/64</f>
        <v/>
      </c>
      <c r="AN46" s="47">
        <f>$B46/64</f>
        <v/>
      </c>
      <c r="AO46" s="47">
        <f>$B46/64</f>
        <v/>
      </c>
      <c r="AP46" s="47">
        <f>$B46/64</f>
        <v/>
      </c>
      <c r="AQ46" s="47">
        <f>$B46/64</f>
        <v/>
      </c>
      <c r="AR46" s="47">
        <f>$B46/64</f>
        <v/>
      </c>
      <c r="AS46" s="47">
        <f>$B46/64</f>
        <v/>
      </c>
      <c r="AT46" s="47">
        <f>$B46/64</f>
        <v/>
      </c>
      <c r="AU46" s="47">
        <f>$B46/64</f>
        <v/>
      </c>
      <c r="AV46" s="47">
        <f>$B46/64</f>
        <v/>
      </c>
      <c r="AW46" s="47">
        <f>$B46/64</f>
        <v/>
      </c>
      <c r="AX46" s="47">
        <f>$B46/64</f>
        <v/>
      </c>
      <c r="AY46" s="47">
        <f>$B46/64</f>
        <v/>
      </c>
      <c r="AZ46" s="47">
        <f>$B46/64</f>
        <v/>
      </c>
      <c r="BA46" s="47">
        <f>$B46/64</f>
        <v/>
      </c>
      <c r="BB46" s="47">
        <f>$B46/64</f>
        <v/>
      </c>
      <c r="BC46" s="47">
        <f>$B46/64</f>
        <v/>
      </c>
      <c r="BD46" s="47">
        <f>$B46/64</f>
        <v/>
      </c>
      <c r="BE46" s="47">
        <f>$B46/64</f>
        <v/>
      </c>
      <c r="BF46" s="47">
        <f>$B46/64</f>
        <v/>
      </c>
      <c r="BG46" s="47">
        <f>$B46/64</f>
        <v/>
      </c>
      <c r="BH46" s="47">
        <f>$B46/64</f>
        <v/>
      </c>
      <c r="BI46" s="47">
        <f>$B46/64</f>
        <v/>
      </c>
      <c r="BJ46" s="47">
        <f>$B46/64</f>
        <v/>
      </c>
      <c r="BK46" s="47">
        <f>$B46/64</f>
        <v/>
      </c>
      <c r="BL46" s="47">
        <f>$B46/64</f>
        <v/>
      </c>
      <c r="BM46" s="47">
        <f>$B46/64</f>
        <v/>
      </c>
      <c r="BN46" s="47">
        <f>$B46/64</f>
        <v/>
      </c>
      <c r="BO46" s="47" t="n"/>
      <c r="BP46" s="47" t="n"/>
      <c r="BQ46" s="47" t="n"/>
      <c r="BR46" s="47" t="n"/>
      <c r="BS46" s="47" t="n"/>
      <c r="BT46" s="47" t="n"/>
      <c r="BU46" s="47" t="n"/>
      <c r="BV46" s="47" t="n"/>
      <c r="BW46" s="47" t="n"/>
      <c r="BX46" s="47" t="n"/>
    </row>
    <row r="47">
      <c r="A47" s="40" t="e">
        <v>#N/A</v>
      </c>
      <c r="B47" s="40" t="e">
        <v>#N/A</v>
      </c>
      <c r="C47" s="104">
        <f>$B47/64</f>
        <v/>
      </c>
      <c r="D47" s="104">
        <f>$B47/64</f>
        <v/>
      </c>
      <c r="E47" s="104">
        <f>$B47/64</f>
        <v/>
      </c>
      <c r="F47" s="104">
        <f>$B47/64</f>
        <v/>
      </c>
      <c r="G47" s="104">
        <f>$B47/64</f>
        <v/>
      </c>
      <c r="H47" s="104">
        <f>$B47/64</f>
        <v/>
      </c>
      <c r="I47" s="104">
        <f>$B47/64</f>
        <v/>
      </c>
      <c r="J47" s="104">
        <f>$B47/64</f>
        <v/>
      </c>
      <c r="K47" s="104">
        <f>$B47/64</f>
        <v/>
      </c>
      <c r="L47" s="104">
        <f>$B47/64</f>
        <v/>
      </c>
      <c r="M47" s="104">
        <f>$B47/64</f>
        <v/>
      </c>
      <c r="N47" s="104">
        <f>$B47/64</f>
        <v/>
      </c>
      <c r="O47" s="104">
        <f>$B47/64</f>
        <v/>
      </c>
      <c r="P47" s="104">
        <f>$B47/64</f>
        <v/>
      </c>
      <c r="Q47" s="104">
        <f>$B47/64</f>
        <v/>
      </c>
      <c r="R47" s="104">
        <f>$B47/64</f>
        <v/>
      </c>
      <c r="S47" s="104">
        <f>$B47/64</f>
        <v/>
      </c>
      <c r="T47" s="104">
        <f>$B47/64</f>
        <v/>
      </c>
      <c r="U47" s="104">
        <f>$B47/64</f>
        <v/>
      </c>
      <c r="V47" s="104">
        <f>$B47/64</f>
        <v/>
      </c>
      <c r="W47" s="104">
        <f>$B47/64</f>
        <v/>
      </c>
      <c r="X47" s="104">
        <f>$B47/64</f>
        <v/>
      </c>
      <c r="Y47" s="104">
        <f>$B47/64</f>
        <v/>
      </c>
      <c r="Z47" s="104">
        <f>$B47/64</f>
        <v/>
      </c>
      <c r="AA47" s="104">
        <f>$B47/64</f>
        <v/>
      </c>
      <c r="AB47" s="104">
        <f>$B47/64</f>
        <v/>
      </c>
      <c r="AC47" s="104">
        <f>$B47/64</f>
        <v/>
      </c>
      <c r="AD47" s="104">
        <f>$B47/64</f>
        <v/>
      </c>
      <c r="AE47" s="104">
        <f>$B47/64</f>
        <v/>
      </c>
      <c r="AF47" s="104">
        <f>$B47/64</f>
        <v/>
      </c>
      <c r="AG47" s="104">
        <f>$B47/64</f>
        <v/>
      </c>
      <c r="AH47" s="104">
        <f>$B47/64</f>
        <v/>
      </c>
      <c r="AI47" s="104">
        <f>$B47/64</f>
        <v/>
      </c>
      <c r="AJ47" s="104">
        <f>$B47/64</f>
        <v/>
      </c>
      <c r="AK47" s="104">
        <f>$B47/64</f>
        <v/>
      </c>
      <c r="AL47" s="104">
        <f>$B47/64</f>
        <v/>
      </c>
      <c r="AM47" s="104">
        <f>$B47/64</f>
        <v/>
      </c>
      <c r="AN47" s="104">
        <f>$B47/64</f>
        <v/>
      </c>
      <c r="AO47" s="104">
        <f>$B47/64</f>
        <v/>
      </c>
      <c r="AP47" s="104">
        <f>$B47/64</f>
        <v/>
      </c>
      <c r="AQ47" s="104">
        <f>$B47/64</f>
        <v/>
      </c>
      <c r="AR47" s="104">
        <f>$B47/64</f>
        <v/>
      </c>
      <c r="AS47" s="104">
        <f>$B47/64</f>
        <v/>
      </c>
      <c r="AT47" s="104">
        <f>$B47/64</f>
        <v/>
      </c>
      <c r="AU47" s="104">
        <f>$B47/64</f>
        <v/>
      </c>
      <c r="AV47" s="104">
        <f>$B47/64</f>
        <v/>
      </c>
      <c r="AW47" s="104">
        <f>$B47/64</f>
        <v/>
      </c>
      <c r="AX47" s="104">
        <f>$B47/64</f>
        <v/>
      </c>
      <c r="AY47" s="104">
        <f>$B47/64</f>
        <v/>
      </c>
      <c r="AZ47" s="104">
        <f>$B47/64</f>
        <v/>
      </c>
      <c r="BA47" s="104">
        <f>$B47/64</f>
        <v/>
      </c>
      <c r="BB47" s="104">
        <f>$B47/64</f>
        <v/>
      </c>
      <c r="BC47" s="104">
        <f>$B47/64</f>
        <v/>
      </c>
      <c r="BD47" s="104">
        <f>$B47/64</f>
        <v/>
      </c>
      <c r="BE47" s="104">
        <f>$B47/64</f>
        <v/>
      </c>
      <c r="BF47" s="104">
        <f>$B47/64</f>
        <v/>
      </c>
      <c r="BG47" s="104">
        <f>$B47/64</f>
        <v/>
      </c>
      <c r="BH47" s="104">
        <f>$B47/64</f>
        <v/>
      </c>
      <c r="BI47" s="104">
        <f>$B47/64</f>
        <v/>
      </c>
      <c r="BJ47" s="104">
        <f>$B47/64</f>
        <v/>
      </c>
      <c r="BK47" s="104">
        <f>$B47/64</f>
        <v/>
      </c>
      <c r="BL47" s="104">
        <f>$B47/64</f>
        <v/>
      </c>
      <c r="BM47" s="104">
        <f>$B47/64</f>
        <v/>
      </c>
      <c r="BN47" s="104">
        <f>$B47/64</f>
        <v/>
      </c>
      <c r="BO47" s="104" t="n"/>
      <c r="BP47" s="104" t="n"/>
      <c r="BQ47" s="104" t="n"/>
      <c r="BR47" s="104" t="n"/>
      <c r="BS47" s="104" t="n"/>
      <c r="BT47" s="104" t="n"/>
      <c r="BU47" s="104" t="n"/>
      <c r="BV47" s="104" t="n"/>
      <c r="BW47" s="104" t="n"/>
      <c r="BX47" s="104" t="n"/>
    </row>
    <row r="48">
      <c r="A48" s="42" t="e">
        <v>#N/A</v>
      </c>
      <c r="B48" s="42" t="e">
        <v>#N/A</v>
      </c>
      <c r="C48" s="47">
        <f>$B48/64</f>
        <v/>
      </c>
      <c r="D48" s="47">
        <f>$B48/64</f>
        <v/>
      </c>
      <c r="E48" s="47">
        <f>$B48/64</f>
        <v/>
      </c>
      <c r="F48" s="47">
        <f>$B48/64</f>
        <v/>
      </c>
      <c r="G48" s="47">
        <f>$B48/64</f>
        <v/>
      </c>
      <c r="H48" s="47">
        <f>$B48/64</f>
        <v/>
      </c>
      <c r="I48" s="47">
        <f>$B48/64</f>
        <v/>
      </c>
      <c r="J48" s="47">
        <f>$B48/64</f>
        <v/>
      </c>
      <c r="K48" s="47">
        <f>$B48/64</f>
        <v/>
      </c>
      <c r="L48" s="47">
        <f>$B48/64</f>
        <v/>
      </c>
      <c r="M48" s="47">
        <f>$B48/64</f>
        <v/>
      </c>
      <c r="N48" s="47">
        <f>$B48/64</f>
        <v/>
      </c>
      <c r="O48" s="47">
        <f>$B48/64</f>
        <v/>
      </c>
      <c r="P48" s="47">
        <f>$B48/64</f>
        <v/>
      </c>
      <c r="Q48" s="47">
        <f>$B48/64</f>
        <v/>
      </c>
      <c r="R48" s="47">
        <f>$B48/64</f>
        <v/>
      </c>
      <c r="S48" s="47">
        <f>$B48/64</f>
        <v/>
      </c>
      <c r="T48" s="47">
        <f>$B48/64</f>
        <v/>
      </c>
      <c r="U48" s="47">
        <f>$B48/64</f>
        <v/>
      </c>
      <c r="V48" s="47">
        <f>$B48/64</f>
        <v/>
      </c>
      <c r="W48" s="47">
        <f>$B48/64</f>
        <v/>
      </c>
      <c r="X48" s="47">
        <f>$B48/64</f>
        <v/>
      </c>
      <c r="Y48" s="47">
        <f>$B48/64</f>
        <v/>
      </c>
      <c r="Z48" s="47">
        <f>$B48/64</f>
        <v/>
      </c>
      <c r="AA48" s="47">
        <f>$B48/64</f>
        <v/>
      </c>
      <c r="AB48" s="47">
        <f>$B48/64</f>
        <v/>
      </c>
      <c r="AC48" s="47">
        <f>$B48/64</f>
        <v/>
      </c>
      <c r="AD48" s="47">
        <f>$B48/64</f>
        <v/>
      </c>
      <c r="AE48" s="47">
        <f>$B48/64</f>
        <v/>
      </c>
      <c r="AF48" s="47">
        <f>$B48/64</f>
        <v/>
      </c>
      <c r="AG48" s="47">
        <f>$B48/64</f>
        <v/>
      </c>
      <c r="AH48" s="47">
        <f>$B48/64</f>
        <v/>
      </c>
      <c r="AI48" s="47">
        <f>$B48/64</f>
        <v/>
      </c>
      <c r="AJ48" s="47">
        <f>$B48/64</f>
        <v/>
      </c>
      <c r="AK48" s="47">
        <f>$B48/64</f>
        <v/>
      </c>
      <c r="AL48" s="47">
        <f>$B48/64</f>
        <v/>
      </c>
      <c r="AM48" s="47">
        <f>$B48/64</f>
        <v/>
      </c>
      <c r="AN48" s="47">
        <f>$B48/64</f>
        <v/>
      </c>
      <c r="AO48" s="47">
        <f>$B48/64</f>
        <v/>
      </c>
      <c r="AP48" s="47">
        <f>$B48/64</f>
        <v/>
      </c>
      <c r="AQ48" s="47">
        <f>$B48/64</f>
        <v/>
      </c>
      <c r="AR48" s="47">
        <f>$B48/64</f>
        <v/>
      </c>
      <c r="AS48" s="47">
        <f>$B48/64</f>
        <v/>
      </c>
      <c r="AT48" s="47">
        <f>$B48/64</f>
        <v/>
      </c>
      <c r="AU48" s="47">
        <f>$B48/64</f>
        <v/>
      </c>
      <c r="AV48" s="47">
        <f>$B48/64</f>
        <v/>
      </c>
      <c r="AW48" s="47">
        <f>$B48/64</f>
        <v/>
      </c>
      <c r="AX48" s="47">
        <f>$B48/64</f>
        <v/>
      </c>
      <c r="AY48" s="47">
        <f>$B48/64</f>
        <v/>
      </c>
      <c r="AZ48" s="47">
        <f>$B48/64</f>
        <v/>
      </c>
      <c r="BA48" s="47">
        <f>$B48/64</f>
        <v/>
      </c>
      <c r="BB48" s="47">
        <f>$B48/64</f>
        <v/>
      </c>
      <c r="BC48" s="47">
        <f>$B48/64</f>
        <v/>
      </c>
      <c r="BD48" s="47">
        <f>$B48/64</f>
        <v/>
      </c>
      <c r="BE48" s="47">
        <f>$B48/64</f>
        <v/>
      </c>
      <c r="BF48" s="47">
        <f>$B48/64</f>
        <v/>
      </c>
      <c r="BG48" s="47">
        <f>$B48/64</f>
        <v/>
      </c>
      <c r="BH48" s="47">
        <f>$B48/64</f>
        <v/>
      </c>
      <c r="BI48" s="47">
        <f>$B48/64</f>
        <v/>
      </c>
      <c r="BJ48" s="47">
        <f>$B48/64</f>
        <v/>
      </c>
      <c r="BK48" s="47">
        <f>$B48/64</f>
        <v/>
      </c>
      <c r="BL48" s="47">
        <f>$B48/64</f>
        <v/>
      </c>
      <c r="BM48" s="47">
        <f>$B48/64</f>
        <v/>
      </c>
      <c r="BN48" s="47">
        <f>$B48/64</f>
        <v/>
      </c>
      <c r="BO48" s="47" t="n"/>
      <c r="BP48" s="47" t="n"/>
      <c r="BQ48" s="47" t="n"/>
      <c r="BR48" s="47" t="n"/>
      <c r="BS48" s="47" t="n"/>
      <c r="BT48" s="47" t="n"/>
      <c r="BU48" s="47" t="n"/>
      <c r="BV48" s="47" t="n"/>
      <c r="BW48" s="47" t="n"/>
      <c r="BX48" s="47" t="n"/>
    </row>
    <row r="49">
      <c r="A49" s="40" t="e">
        <v>#N/A</v>
      </c>
      <c r="B49" s="40" t="e">
        <v>#N/A</v>
      </c>
      <c r="C49" s="104">
        <f>$B49/64</f>
        <v/>
      </c>
      <c r="D49" s="104">
        <f>$B49/64</f>
        <v/>
      </c>
      <c r="E49" s="104">
        <f>$B49/64</f>
        <v/>
      </c>
      <c r="F49" s="104">
        <f>$B49/64</f>
        <v/>
      </c>
      <c r="G49" s="104">
        <f>$B49/64</f>
        <v/>
      </c>
      <c r="H49" s="104">
        <f>$B49/64</f>
        <v/>
      </c>
      <c r="I49" s="104">
        <f>$B49/64</f>
        <v/>
      </c>
      <c r="J49" s="104">
        <f>$B49/64</f>
        <v/>
      </c>
      <c r="K49" s="104">
        <f>$B49/64</f>
        <v/>
      </c>
      <c r="L49" s="104">
        <f>$B49/64</f>
        <v/>
      </c>
      <c r="M49" s="104">
        <f>$B49/64</f>
        <v/>
      </c>
      <c r="N49" s="104">
        <f>$B49/64</f>
        <v/>
      </c>
      <c r="O49" s="104">
        <f>$B49/64</f>
        <v/>
      </c>
      <c r="P49" s="104">
        <f>$B49/64</f>
        <v/>
      </c>
      <c r="Q49" s="104">
        <f>$B49/64</f>
        <v/>
      </c>
      <c r="R49" s="104">
        <f>$B49/64</f>
        <v/>
      </c>
      <c r="S49" s="104">
        <f>$B49/64</f>
        <v/>
      </c>
      <c r="T49" s="104">
        <f>$B49/64</f>
        <v/>
      </c>
      <c r="U49" s="104">
        <f>$B49/64</f>
        <v/>
      </c>
      <c r="V49" s="104">
        <f>$B49/64</f>
        <v/>
      </c>
      <c r="W49" s="104">
        <f>$B49/64</f>
        <v/>
      </c>
      <c r="X49" s="104">
        <f>$B49/64</f>
        <v/>
      </c>
      <c r="Y49" s="104">
        <f>$B49/64</f>
        <v/>
      </c>
      <c r="Z49" s="104">
        <f>$B49/64</f>
        <v/>
      </c>
      <c r="AA49" s="104">
        <f>$B49/64</f>
        <v/>
      </c>
      <c r="AB49" s="104">
        <f>$B49/64</f>
        <v/>
      </c>
      <c r="AC49" s="104">
        <f>$B49/64</f>
        <v/>
      </c>
      <c r="AD49" s="104">
        <f>$B49/64</f>
        <v/>
      </c>
      <c r="AE49" s="104">
        <f>$B49/64</f>
        <v/>
      </c>
      <c r="AF49" s="104">
        <f>$B49/64</f>
        <v/>
      </c>
      <c r="AG49" s="104">
        <f>$B49/64</f>
        <v/>
      </c>
      <c r="AH49" s="104">
        <f>$B49/64</f>
        <v/>
      </c>
      <c r="AI49" s="104">
        <f>$B49/64</f>
        <v/>
      </c>
      <c r="AJ49" s="104">
        <f>$B49/64</f>
        <v/>
      </c>
      <c r="AK49" s="104">
        <f>$B49/64</f>
        <v/>
      </c>
      <c r="AL49" s="104">
        <f>$B49/64</f>
        <v/>
      </c>
      <c r="AM49" s="104">
        <f>$B49/64</f>
        <v/>
      </c>
      <c r="AN49" s="104">
        <f>$B49/64</f>
        <v/>
      </c>
      <c r="AO49" s="104">
        <f>$B49/64</f>
        <v/>
      </c>
      <c r="AP49" s="104">
        <f>$B49/64</f>
        <v/>
      </c>
      <c r="AQ49" s="104">
        <f>$B49/64</f>
        <v/>
      </c>
      <c r="AR49" s="104">
        <f>$B49/64</f>
        <v/>
      </c>
      <c r="AS49" s="104">
        <f>$B49/64</f>
        <v/>
      </c>
      <c r="AT49" s="104">
        <f>$B49/64</f>
        <v/>
      </c>
      <c r="AU49" s="104">
        <f>$B49/64</f>
        <v/>
      </c>
      <c r="AV49" s="104">
        <f>$B49/64</f>
        <v/>
      </c>
      <c r="AW49" s="104">
        <f>$B49/64</f>
        <v/>
      </c>
      <c r="AX49" s="104">
        <f>$B49/64</f>
        <v/>
      </c>
      <c r="AY49" s="104">
        <f>$B49/64</f>
        <v/>
      </c>
      <c r="AZ49" s="104">
        <f>$B49/64</f>
        <v/>
      </c>
      <c r="BA49" s="104">
        <f>$B49/64</f>
        <v/>
      </c>
      <c r="BB49" s="104">
        <f>$B49/64</f>
        <v/>
      </c>
      <c r="BC49" s="104">
        <f>$B49/64</f>
        <v/>
      </c>
      <c r="BD49" s="104">
        <f>$B49/64</f>
        <v/>
      </c>
      <c r="BE49" s="104">
        <f>$B49/64</f>
        <v/>
      </c>
      <c r="BF49" s="104">
        <f>$B49/64</f>
        <v/>
      </c>
      <c r="BG49" s="104">
        <f>$B49/64</f>
        <v/>
      </c>
      <c r="BH49" s="104">
        <f>$B49/64</f>
        <v/>
      </c>
      <c r="BI49" s="104">
        <f>$B49/64</f>
        <v/>
      </c>
      <c r="BJ49" s="104">
        <f>$B49/64</f>
        <v/>
      </c>
      <c r="BK49" s="104">
        <f>$B49/64</f>
        <v/>
      </c>
      <c r="BL49" s="104">
        <f>$B49/64</f>
        <v/>
      </c>
      <c r="BM49" s="104">
        <f>$B49/64</f>
        <v/>
      </c>
      <c r="BN49" s="104">
        <f>$B49/64</f>
        <v/>
      </c>
      <c r="BO49" s="104" t="n"/>
      <c r="BP49" s="104" t="n"/>
      <c r="BQ49" s="104" t="n"/>
      <c r="BR49" s="104" t="n"/>
      <c r="BS49" s="104" t="n"/>
      <c r="BT49" s="104" t="n"/>
      <c r="BU49" s="104" t="n"/>
      <c r="BV49" s="104" t="n"/>
      <c r="BW49" s="104" t="n"/>
      <c r="BX49" s="104" t="n"/>
    </row>
    <row r="50">
      <c r="A50" s="42" t="e">
        <v>#N/A</v>
      </c>
      <c r="B50" s="42" t="e">
        <v>#N/A</v>
      </c>
      <c r="C50" s="47">
        <f>$B50/64</f>
        <v/>
      </c>
      <c r="D50" s="47">
        <f>$B50/64</f>
        <v/>
      </c>
      <c r="E50" s="47">
        <f>$B50/64</f>
        <v/>
      </c>
      <c r="F50" s="47">
        <f>$B50/64</f>
        <v/>
      </c>
      <c r="G50" s="47">
        <f>$B50/64</f>
        <v/>
      </c>
      <c r="H50" s="47">
        <f>$B50/64</f>
        <v/>
      </c>
      <c r="I50" s="47">
        <f>$B50/64</f>
        <v/>
      </c>
      <c r="J50" s="47">
        <f>$B50/64</f>
        <v/>
      </c>
      <c r="K50" s="47">
        <f>$B50/64</f>
        <v/>
      </c>
      <c r="L50" s="47">
        <f>$B50/64</f>
        <v/>
      </c>
      <c r="M50" s="47">
        <f>$B50/64</f>
        <v/>
      </c>
      <c r="N50" s="47">
        <f>$B50/64</f>
        <v/>
      </c>
      <c r="O50" s="47">
        <f>$B50/64</f>
        <v/>
      </c>
      <c r="P50" s="47">
        <f>$B50/64</f>
        <v/>
      </c>
      <c r="Q50" s="47">
        <f>$B50/64</f>
        <v/>
      </c>
      <c r="R50" s="47">
        <f>$B50/64</f>
        <v/>
      </c>
      <c r="S50" s="47">
        <f>$B50/64</f>
        <v/>
      </c>
      <c r="T50" s="47">
        <f>$B50/64</f>
        <v/>
      </c>
      <c r="U50" s="47">
        <f>$B50/64</f>
        <v/>
      </c>
      <c r="V50" s="47">
        <f>$B50/64</f>
        <v/>
      </c>
      <c r="W50" s="47">
        <f>$B50/64</f>
        <v/>
      </c>
      <c r="X50" s="47">
        <f>$B50/64</f>
        <v/>
      </c>
      <c r="Y50" s="47">
        <f>$B50/64</f>
        <v/>
      </c>
      <c r="Z50" s="47">
        <f>$B50/64</f>
        <v/>
      </c>
      <c r="AA50" s="47">
        <f>$B50/64</f>
        <v/>
      </c>
      <c r="AB50" s="47">
        <f>$B50/64</f>
        <v/>
      </c>
      <c r="AC50" s="47">
        <f>$B50/64</f>
        <v/>
      </c>
      <c r="AD50" s="47">
        <f>$B50/64</f>
        <v/>
      </c>
      <c r="AE50" s="47">
        <f>$B50/64</f>
        <v/>
      </c>
      <c r="AF50" s="47">
        <f>$B50/64</f>
        <v/>
      </c>
      <c r="AG50" s="47">
        <f>$B50/64</f>
        <v/>
      </c>
      <c r="AH50" s="47">
        <f>$B50/64</f>
        <v/>
      </c>
      <c r="AI50" s="47">
        <f>$B50/64</f>
        <v/>
      </c>
      <c r="AJ50" s="47">
        <f>$B50/64</f>
        <v/>
      </c>
      <c r="AK50" s="47">
        <f>$B50/64</f>
        <v/>
      </c>
      <c r="AL50" s="47">
        <f>$B50/64</f>
        <v/>
      </c>
      <c r="AM50" s="47">
        <f>$B50/64</f>
        <v/>
      </c>
      <c r="AN50" s="47">
        <f>$B50/64</f>
        <v/>
      </c>
      <c r="AO50" s="47">
        <f>$B50/64</f>
        <v/>
      </c>
      <c r="AP50" s="47">
        <f>$B50/64</f>
        <v/>
      </c>
      <c r="AQ50" s="47">
        <f>$B50/64</f>
        <v/>
      </c>
      <c r="AR50" s="47">
        <f>$B50/64</f>
        <v/>
      </c>
      <c r="AS50" s="47">
        <f>$B50/64</f>
        <v/>
      </c>
      <c r="AT50" s="47">
        <f>$B50/64</f>
        <v/>
      </c>
      <c r="AU50" s="47">
        <f>$B50/64</f>
        <v/>
      </c>
      <c r="AV50" s="47">
        <f>$B50/64</f>
        <v/>
      </c>
      <c r="AW50" s="47">
        <f>$B50/64</f>
        <v/>
      </c>
      <c r="AX50" s="47">
        <f>$B50/64</f>
        <v/>
      </c>
      <c r="AY50" s="47">
        <f>$B50/64</f>
        <v/>
      </c>
      <c r="AZ50" s="47">
        <f>$B50/64</f>
        <v/>
      </c>
      <c r="BA50" s="47">
        <f>$B50/64</f>
        <v/>
      </c>
      <c r="BB50" s="47">
        <f>$B50/64</f>
        <v/>
      </c>
      <c r="BC50" s="47">
        <f>$B50/64</f>
        <v/>
      </c>
      <c r="BD50" s="47">
        <f>$B50/64</f>
        <v/>
      </c>
      <c r="BE50" s="47">
        <f>$B50/64</f>
        <v/>
      </c>
      <c r="BF50" s="47">
        <f>$B50/64</f>
        <v/>
      </c>
      <c r="BG50" s="47">
        <f>$B50/64</f>
        <v/>
      </c>
      <c r="BH50" s="47">
        <f>$B50/64</f>
        <v/>
      </c>
      <c r="BI50" s="47">
        <f>$B50/64</f>
        <v/>
      </c>
      <c r="BJ50" s="47">
        <f>$B50/64</f>
        <v/>
      </c>
      <c r="BK50" s="47">
        <f>$B50/64</f>
        <v/>
      </c>
      <c r="BL50" s="47">
        <f>$B50/64</f>
        <v/>
      </c>
      <c r="BM50" s="47">
        <f>$B50/64</f>
        <v/>
      </c>
      <c r="BN50" s="47">
        <f>$B50/64</f>
        <v/>
      </c>
      <c r="BO50" s="47" t="n"/>
      <c r="BP50" s="47" t="n"/>
      <c r="BQ50" s="47" t="n"/>
      <c r="BR50" s="47" t="n"/>
      <c r="BS50" s="47" t="n"/>
      <c r="BT50" s="47" t="n"/>
      <c r="BU50" s="47" t="n"/>
      <c r="BV50" s="47" t="n"/>
      <c r="BW50" s="47" t="n"/>
      <c r="BX50" s="47" t="n"/>
    </row>
    <row r="51">
      <c r="A51" s="40" t="e">
        <v>#N/A</v>
      </c>
      <c r="B51" s="40" t="e">
        <v>#N/A</v>
      </c>
      <c r="C51" s="104">
        <f>$B51/64</f>
        <v/>
      </c>
      <c r="D51" s="104">
        <f>$B51/64</f>
        <v/>
      </c>
      <c r="E51" s="104">
        <f>$B51/64</f>
        <v/>
      </c>
      <c r="F51" s="104">
        <f>$B51/64</f>
        <v/>
      </c>
      <c r="G51" s="104">
        <f>$B51/64</f>
        <v/>
      </c>
      <c r="H51" s="104">
        <f>$B51/64</f>
        <v/>
      </c>
      <c r="I51" s="104">
        <f>$B51/64</f>
        <v/>
      </c>
      <c r="J51" s="104">
        <f>$B51/64</f>
        <v/>
      </c>
      <c r="K51" s="104">
        <f>$B51/64</f>
        <v/>
      </c>
      <c r="L51" s="104">
        <f>$B51/64</f>
        <v/>
      </c>
      <c r="M51" s="104">
        <f>$B51/64</f>
        <v/>
      </c>
      <c r="N51" s="104">
        <f>$B51/64</f>
        <v/>
      </c>
      <c r="O51" s="104">
        <f>$B51/64</f>
        <v/>
      </c>
      <c r="P51" s="104">
        <f>$B51/64</f>
        <v/>
      </c>
      <c r="Q51" s="104">
        <f>$B51/64</f>
        <v/>
      </c>
      <c r="R51" s="104">
        <f>$B51/64</f>
        <v/>
      </c>
      <c r="S51" s="104">
        <f>$B51/64</f>
        <v/>
      </c>
      <c r="T51" s="104">
        <f>$B51/64</f>
        <v/>
      </c>
      <c r="U51" s="104">
        <f>$B51/64</f>
        <v/>
      </c>
      <c r="V51" s="104">
        <f>$B51/64</f>
        <v/>
      </c>
      <c r="W51" s="104">
        <f>$B51/64</f>
        <v/>
      </c>
      <c r="X51" s="104">
        <f>$B51/64</f>
        <v/>
      </c>
      <c r="Y51" s="104">
        <f>$B51/64</f>
        <v/>
      </c>
      <c r="Z51" s="104">
        <f>$B51/64</f>
        <v/>
      </c>
      <c r="AA51" s="104">
        <f>$B51/64</f>
        <v/>
      </c>
      <c r="AB51" s="104">
        <f>$B51/64</f>
        <v/>
      </c>
      <c r="AC51" s="104">
        <f>$B51/64</f>
        <v/>
      </c>
      <c r="AD51" s="104">
        <f>$B51/64</f>
        <v/>
      </c>
      <c r="AE51" s="104">
        <f>$B51/64</f>
        <v/>
      </c>
      <c r="AF51" s="104">
        <f>$B51/64</f>
        <v/>
      </c>
      <c r="AG51" s="104">
        <f>$B51/64</f>
        <v/>
      </c>
      <c r="AH51" s="104">
        <f>$B51/64</f>
        <v/>
      </c>
      <c r="AI51" s="104">
        <f>$B51/64</f>
        <v/>
      </c>
      <c r="AJ51" s="104">
        <f>$B51/64</f>
        <v/>
      </c>
      <c r="AK51" s="104">
        <f>$B51/64</f>
        <v/>
      </c>
      <c r="AL51" s="104">
        <f>$B51/64</f>
        <v/>
      </c>
      <c r="AM51" s="104">
        <f>$B51/64</f>
        <v/>
      </c>
      <c r="AN51" s="104">
        <f>$B51/64</f>
        <v/>
      </c>
      <c r="AO51" s="104">
        <f>$B51/64</f>
        <v/>
      </c>
      <c r="AP51" s="104">
        <f>$B51/64</f>
        <v/>
      </c>
      <c r="AQ51" s="104">
        <f>$B51/64</f>
        <v/>
      </c>
      <c r="AR51" s="104">
        <f>$B51/64</f>
        <v/>
      </c>
      <c r="AS51" s="104">
        <f>$B51/64</f>
        <v/>
      </c>
      <c r="AT51" s="104">
        <f>$B51/64</f>
        <v/>
      </c>
      <c r="AU51" s="104">
        <f>$B51/64</f>
        <v/>
      </c>
      <c r="AV51" s="104">
        <f>$B51/64</f>
        <v/>
      </c>
      <c r="AW51" s="104">
        <f>$B51/64</f>
        <v/>
      </c>
      <c r="AX51" s="104">
        <f>$B51/64</f>
        <v/>
      </c>
      <c r="AY51" s="104">
        <f>$B51/64</f>
        <v/>
      </c>
      <c r="AZ51" s="104">
        <f>$B51/64</f>
        <v/>
      </c>
      <c r="BA51" s="104">
        <f>$B51/64</f>
        <v/>
      </c>
      <c r="BB51" s="104">
        <f>$B51/64</f>
        <v/>
      </c>
      <c r="BC51" s="104">
        <f>$B51/64</f>
        <v/>
      </c>
      <c r="BD51" s="104">
        <f>$B51/64</f>
        <v/>
      </c>
      <c r="BE51" s="104">
        <f>$B51/64</f>
        <v/>
      </c>
      <c r="BF51" s="104">
        <f>$B51/64</f>
        <v/>
      </c>
      <c r="BG51" s="104">
        <f>$B51/64</f>
        <v/>
      </c>
      <c r="BH51" s="104">
        <f>$B51/64</f>
        <v/>
      </c>
      <c r="BI51" s="104">
        <f>$B51/64</f>
        <v/>
      </c>
      <c r="BJ51" s="104">
        <f>$B51/64</f>
        <v/>
      </c>
      <c r="BK51" s="104">
        <f>$B51/64</f>
        <v/>
      </c>
      <c r="BL51" s="104">
        <f>$B51/64</f>
        <v/>
      </c>
      <c r="BM51" s="104">
        <f>$B51/64</f>
        <v/>
      </c>
      <c r="BN51" s="104">
        <f>$B51/64</f>
        <v/>
      </c>
      <c r="BO51" s="104" t="n"/>
      <c r="BP51" s="104" t="n"/>
      <c r="BQ51" s="104" t="n"/>
      <c r="BR51" s="104" t="n"/>
      <c r="BS51" s="104" t="n"/>
      <c r="BT51" s="104" t="n"/>
      <c r="BU51" s="104" t="n"/>
      <c r="BV51" s="104" t="n"/>
      <c r="BW51" s="104" t="n"/>
      <c r="BX51" s="104" t="n"/>
    </row>
    <row r="52">
      <c r="A52" s="42" t="e">
        <v>#N/A</v>
      </c>
      <c r="B52" s="42" t="e">
        <v>#N/A</v>
      </c>
      <c r="C52" s="47">
        <f>$B52/64</f>
        <v/>
      </c>
      <c r="D52" s="47">
        <f>$B52/64</f>
        <v/>
      </c>
      <c r="E52" s="47">
        <f>$B52/64</f>
        <v/>
      </c>
      <c r="F52" s="47">
        <f>$B52/64</f>
        <v/>
      </c>
      <c r="G52" s="47">
        <f>$B52/64</f>
        <v/>
      </c>
      <c r="H52" s="47">
        <f>$B52/64</f>
        <v/>
      </c>
      <c r="I52" s="47">
        <f>$B52/64</f>
        <v/>
      </c>
      <c r="J52" s="47">
        <f>$B52/64</f>
        <v/>
      </c>
      <c r="K52" s="47">
        <f>$B52/64</f>
        <v/>
      </c>
      <c r="L52" s="47">
        <f>$B52/64</f>
        <v/>
      </c>
      <c r="M52" s="47">
        <f>$B52/64</f>
        <v/>
      </c>
      <c r="N52" s="47">
        <f>$B52/64</f>
        <v/>
      </c>
      <c r="O52" s="47">
        <f>$B52/64</f>
        <v/>
      </c>
      <c r="P52" s="47">
        <f>$B52/64</f>
        <v/>
      </c>
      <c r="Q52" s="47">
        <f>$B52/64</f>
        <v/>
      </c>
      <c r="R52" s="47">
        <f>$B52/64</f>
        <v/>
      </c>
      <c r="S52" s="47">
        <f>$B52/64</f>
        <v/>
      </c>
      <c r="T52" s="47">
        <f>$B52/64</f>
        <v/>
      </c>
      <c r="U52" s="47">
        <f>$B52/64</f>
        <v/>
      </c>
      <c r="V52" s="47">
        <f>$B52/64</f>
        <v/>
      </c>
      <c r="W52" s="47">
        <f>$B52/64</f>
        <v/>
      </c>
      <c r="X52" s="47">
        <f>$B52/64</f>
        <v/>
      </c>
      <c r="Y52" s="47">
        <f>$B52/64</f>
        <v/>
      </c>
      <c r="Z52" s="47">
        <f>$B52/64</f>
        <v/>
      </c>
      <c r="AA52" s="47">
        <f>$B52/64</f>
        <v/>
      </c>
      <c r="AB52" s="47">
        <f>$B52/64</f>
        <v/>
      </c>
      <c r="AC52" s="47">
        <f>$B52/64</f>
        <v/>
      </c>
      <c r="AD52" s="47">
        <f>$B52/64</f>
        <v/>
      </c>
      <c r="AE52" s="47">
        <f>$B52/64</f>
        <v/>
      </c>
      <c r="AF52" s="47">
        <f>$B52/64</f>
        <v/>
      </c>
      <c r="AG52" s="47">
        <f>$B52/64</f>
        <v/>
      </c>
      <c r="AH52" s="47">
        <f>$B52/64</f>
        <v/>
      </c>
      <c r="AI52" s="47">
        <f>$B52/64</f>
        <v/>
      </c>
      <c r="AJ52" s="47">
        <f>$B52/64</f>
        <v/>
      </c>
      <c r="AK52" s="47">
        <f>$B52/64</f>
        <v/>
      </c>
      <c r="AL52" s="47">
        <f>$B52/64</f>
        <v/>
      </c>
      <c r="AM52" s="47">
        <f>$B52/64</f>
        <v/>
      </c>
      <c r="AN52" s="47">
        <f>$B52/64</f>
        <v/>
      </c>
      <c r="AO52" s="47">
        <f>$B52/64</f>
        <v/>
      </c>
      <c r="AP52" s="47">
        <f>$B52/64</f>
        <v/>
      </c>
      <c r="AQ52" s="47">
        <f>$B52/64</f>
        <v/>
      </c>
      <c r="AR52" s="47">
        <f>$B52/64</f>
        <v/>
      </c>
      <c r="AS52" s="47">
        <f>$B52/64</f>
        <v/>
      </c>
      <c r="AT52" s="47">
        <f>$B52/64</f>
        <v/>
      </c>
      <c r="AU52" s="47">
        <f>$B52/64</f>
        <v/>
      </c>
      <c r="AV52" s="47">
        <f>$B52/64</f>
        <v/>
      </c>
      <c r="AW52" s="47">
        <f>$B52/64</f>
        <v/>
      </c>
      <c r="AX52" s="47">
        <f>$B52/64</f>
        <v/>
      </c>
      <c r="AY52" s="47">
        <f>$B52/64</f>
        <v/>
      </c>
      <c r="AZ52" s="47">
        <f>$B52/64</f>
        <v/>
      </c>
      <c r="BA52" s="47">
        <f>$B52/64</f>
        <v/>
      </c>
      <c r="BB52" s="47">
        <f>$B52/64</f>
        <v/>
      </c>
      <c r="BC52" s="47">
        <f>$B52/64</f>
        <v/>
      </c>
      <c r="BD52" s="47">
        <f>$B52/64</f>
        <v/>
      </c>
      <c r="BE52" s="47">
        <f>$B52/64</f>
        <v/>
      </c>
      <c r="BF52" s="47">
        <f>$B52/64</f>
        <v/>
      </c>
      <c r="BG52" s="47">
        <f>$B52/64</f>
        <v/>
      </c>
      <c r="BH52" s="47">
        <f>$B52/64</f>
        <v/>
      </c>
      <c r="BI52" s="47">
        <f>$B52/64</f>
        <v/>
      </c>
      <c r="BJ52" s="47">
        <f>$B52/64</f>
        <v/>
      </c>
      <c r="BK52" s="47">
        <f>$B52/64</f>
        <v/>
      </c>
      <c r="BL52" s="47">
        <f>$B52/64</f>
        <v/>
      </c>
      <c r="BM52" s="47">
        <f>$B52/64</f>
        <v/>
      </c>
      <c r="BN52" s="47">
        <f>$B52/64</f>
        <v/>
      </c>
      <c r="BO52" s="47" t="n"/>
      <c r="BP52" s="47" t="n"/>
      <c r="BQ52" s="47" t="n"/>
      <c r="BR52" s="47" t="n"/>
      <c r="BS52" s="47" t="n"/>
      <c r="BT52" s="47" t="n"/>
      <c r="BU52" s="47" t="n"/>
      <c r="BV52" s="47" t="n"/>
      <c r="BW52" s="47" t="n"/>
      <c r="BX52" s="47" t="n"/>
    </row>
    <row r="53">
      <c r="A53" s="40" t="e">
        <v>#N/A</v>
      </c>
      <c r="B53" s="40" t="e">
        <v>#N/A</v>
      </c>
      <c r="C53" s="104">
        <f>$B53/64</f>
        <v/>
      </c>
      <c r="D53" s="104">
        <f>$B53/64</f>
        <v/>
      </c>
      <c r="E53" s="104">
        <f>$B53/64</f>
        <v/>
      </c>
      <c r="F53" s="104">
        <f>$B53/64</f>
        <v/>
      </c>
      <c r="G53" s="104">
        <f>$B53/64</f>
        <v/>
      </c>
      <c r="H53" s="104">
        <f>$B53/64</f>
        <v/>
      </c>
      <c r="I53" s="104">
        <f>$B53/64</f>
        <v/>
      </c>
      <c r="J53" s="104">
        <f>$B53/64</f>
        <v/>
      </c>
      <c r="K53" s="104">
        <f>$B53/64</f>
        <v/>
      </c>
      <c r="L53" s="104">
        <f>$B53/64</f>
        <v/>
      </c>
      <c r="M53" s="104">
        <f>$B53/64</f>
        <v/>
      </c>
      <c r="N53" s="104">
        <f>$B53/64</f>
        <v/>
      </c>
      <c r="O53" s="104">
        <f>$B53/64</f>
        <v/>
      </c>
      <c r="P53" s="104">
        <f>$B53/64</f>
        <v/>
      </c>
      <c r="Q53" s="104">
        <f>$B53/64</f>
        <v/>
      </c>
      <c r="R53" s="104">
        <f>$B53/64</f>
        <v/>
      </c>
      <c r="S53" s="104">
        <f>$B53/64</f>
        <v/>
      </c>
      <c r="T53" s="104">
        <f>$B53/64</f>
        <v/>
      </c>
      <c r="U53" s="104">
        <f>$B53/64</f>
        <v/>
      </c>
      <c r="V53" s="104">
        <f>$B53/64</f>
        <v/>
      </c>
      <c r="W53" s="104">
        <f>$B53/64</f>
        <v/>
      </c>
      <c r="X53" s="104">
        <f>$B53/64</f>
        <v/>
      </c>
      <c r="Y53" s="104">
        <f>$B53/64</f>
        <v/>
      </c>
      <c r="Z53" s="104">
        <f>$B53/64</f>
        <v/>
      </c>
      <c r="AA53" s="104">
        <f>$B53/64</f>
        <v/>
      </c>
      <c r="AB53" s="104">
        <f>$B53/64</f>
        <v/>
      </c>
      <c r="AC53" s="104">
        <f>$B53/64</f>
        <v/>
      </c>
      <c r="AD53" s="104">
        <f>$B53/64</f>
        <v/>
      </c>
      <c r="AE53" s="104">
        <f>$B53/64</f>
        <v/>
      </c>
      <c r="AF53" s="104">
        <f>$B53/64</f>
        <v/>
      </c>
      <c r="AG53" s="104">
        <f>$B53/64</f>
        <v/>
      </c>
      <c r="AH53" s="104">
        <f>$B53/64</f>
        <v/>
      </c>
      <c r="AI53" s="104">
        <f>$B53/64</f>
        <v/>
      </c>
      <c r="AJ53" s="104">
        <f>$B53/64</f>
        <v/>
      </c>
      <c r="AK53" s="104">
        <f>$B53/64</f>
        <v/>
      </c>
      <c r="AL53" s="104">
        <f>$B53/64</f>
        <v/>
      </c>
      <c r="AM53" s="104">
        <f>$B53/64</f>
        <v/>
      </c>
      <c r="AN53" s="104">
        <f>$B53/64</f>
        <v/>
      </c>
      <c r="AO53" s="104">
        <f>$B53/64</f>
        <v/>
      </c>
      <c r="AP53" s="104">
        <f>$B53/64</f>
        <v/>
      </c>
      <c r="AQ53" s="104">
        <f>$B53/64</f>
        <v/>
      </c>
      <c r="AR53" s="104">
        <f>$B53/64</f>
        <v/>
      </c>
      <c r="AS53" s="104">
        <f>$B53/64</f>
        <v/>
      </c>
      <c r="AT53" s="104">
        <f>$B53/64</f>
        <v/>
      </c>
      <c r="AU53" s="104">
        <f>$B53/64</f>
        <v/>
      </c>
      <c r="AV53" s="104">
        <f>$B53/64</f>
        <v/>
      </c>
      <c r="AW53" s="104">
        <f>$B53/64</f>
        <v/>
      </c>
      <c r="AX53" s="104">
        <f>$B53/64</f>
        <v/>
      </c>
      <c r="AY53" s="104">
        <f>$B53/64</f>
        <v/>
      </c>
      <c r="AZ53" s="104">
        <f>$B53/64</f>
        <v/>
      </c>
      <c r="BA53" s="104">
        <f>$B53/64</f>
        <v/>
      </c>
      <c r="BB53" s="104">
        <f>$B53/64</f>
        <v/>
      </c>
      <c r="BC53" s="104">
        <f>$B53/64</f>
        <v/>
      </c>
      <c r="BD53" s="104">
        <f>$B53/64</f>
        <v/>
      </c>
      <c r="BE53" s="104">
        <f>$B53/64</f>
        <v/>
      </c>
      <c r="BF53" s="104">
        <f>$B53/64</f>
        <v/>
      </c>
      <c r="BG53" s="104">
        <f>$B53/64</f>
        <v/>
      </c>
      <c r="BH53" s="104">
        <f>$B53/64</f>
        <v/>
      </c>
      <c r="BI53" s="104">
        <f>$B53/64</f>
        <v/>
      </c>
      <c r="BJ53" s="104">
        <f>$B53/64</f>
        <v/>
      </c>
      <c r="BK53" s="104">
        <f>$B53/64</f>
        <v/>
      </c>
      <c r="BL53" s="104">
        <f>$B53/64</f>
        <v/>
      </c>
      <c r="BM53" s="104">
        <f>$B53/64</f>
        <v/>
      </c>
      <c r="BN53" s="104">
        <f>$B53/64</f>
        <v/>
      </c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</row>
    <row r="54">
      <c r="A54" s="42" t="e">
        <v>#N/A</v>
      </c>
      <c r="B54" s="42" t="e">
        <v>#N/A</v>
      </c>
      <c r="C54" s="47">
        <f>$B54/64</f>
        <v/>
      </c>
      <c r="D54" s="47">
        <f>$B54/64</f>
        <v/>
      </c>
      <c r="E54" s="47">
        <f>$B54/64</f>
        <v/>
      </c>
      <c r="F54" s="47">
        <f>$B54/64</f>
        <v/>
      </c>
      <c r="G54" s="47">
        <f>$B54/64</f>
        <v/>
      </c>
      <c r="H54" s="47">
        <f>$B54/64</f>
        <v/>
      </c>
      <c r="I54" s="47">
        <f>$B54/64</f>
        <v/>
      </c>
      <c r="J54" s="47">
        <f>$B54/64</f>
        <v/>
      </c>
      <c r="K54" s="47">
        <f>$B54/64</f>
        <v/>
      </c>
      <c r="L54" s="47">
        <f>$B54/64</f>
        <v/>
      </c>
      <c r="M54" s="47">
        <f>$B54/64</f>
        <v/>
      </c>
      <c r="N54" s="47">
        <f>$B54/64</f>
        <v/>
      </c>
      <c r="O54" s="47">
        <f>$B54/64</f>
        <v/>
      </c>
      <c r="P54" s="47">
        <f>$B54/64</f>
        <v/>
      </c>
      <c r="Q54" s="47">
        <f>$B54/64</f>
        <v/>
      </c>
      <c r="R54" s="47">
        <f>$B54/64</f>
        <v/>
      </c>
      <c r="S54" s="47">
        <f>$B54/64</f>
        <v/>
      </c>
      <c r="T54" s="47">
        <f>$B54/64</f>
        <v/>
      </c>
      <c r="U54" s="47">
        <f>$B54/64</f>
        <v/>
      </c>
      <c r="V54" s="47">
        <f>$B54/64</f>
        <v/>
      </c>
      <c r="W54" s="47">
        <f>$B54/64</f>
        <v/>
      </c>
      <c r="X54" s="47">
        <f>$B54/64</f>
        <v/>
      </c>
      <c r="Y54" s="47">
        <f>$B54/64</f>
        <v/>
      </c>
      <c r="Z54" s="47">
        <f>$B54/64</f>
        <v/>
      </c>
      <c r="AA54" s="47">
        <f>$B54/64</f>
        <v/>
      </c>
      <c r="AB54" s="47">
        <f>$B54/64</f>
        <v/>
      </c>
      <c r="AC54" s="47">
        <f>$B54/64</f>
        <v/>
      </c>
      <c r="AD54" s="47">
        <f>$B54/64</f>
        <v/>
      </c>
      <c r="AE54" s="47">
        <f>$B54/64</f>
        <v/>
      </c>
      <c r="AF54" s="47">
        <f>$B54/64</f>
        <v/>
      </c>
      <c r="AG54" s="47">
        <f>$B54/64</f>
        <v/>
      </c>
      <c r="AH54" s="47">
        <f>$B54/64</f>
        <v/>
      </c>
      <c r="AI54" s="47">
        <f>$B54/64</f>
        <v/>
      </c>
      <c r="AJ54" s="47">
        <f>$B54/64</f>
        <v/>
      </c>
      <c r="AK54" s="47">
        <f>$B54/64</f>
        <v/>
      </c>
      <c r="AL54" s="47">
        <f>$B54/64</f>
        <v/>
      </c>
      <c r="AM54" s="47">
        <f>$B54/64</f>
        <v/>
      </c>
      <c r="AN54" s="47">
        <f>$B54/64</f>
        <v/>
      </c>
      <c r="AO54" s="47">
        <f>$B54/64</f>
        <v/>
      </c>
      <c r="AP54" s="47">
        <f>$B54/64</f>
        <v/>
      </c>
      <c r="AQ54" s="47">
        <f>$B54/64</f>
        <v/>
      </c>
      <c r="AR54" s="47">
        <f>$B54/64</f>
        <v/>
      </c>
      <c r="AS54" s="47">
        <f>$B54/64</f>
        <v/>
      </c>
      <c r="AT54" s="47">
        <f>$B54/64</f>
        <v/>
      </c>
      <c r="AU54" s="47">
        <f>$B54/64</f>
        <v/>
      </c>
      <c r="AV54" s="47">
        <f>$B54/64</f>
        <v/>
      </c>
      <c r="AW54" s="47">
        <f>$B54/64</f>
        <v/>
      </c>
      <c r="AX54" s="47">
        <f>$B54/64</f>
        <v/>
      </c>
      <c r="AY54" s="47">
        <f>$B54/64</f>
        <v/>
      </c>
      <c r="AZ54" s="47">
        <f>$B54/64</f>
        <v/>
      </c>
      <c r="BA54" s="47">
        <f>$B54/64</f>
        <v/>
      </c>
      <c r="BB54" s="47">
        <f>$B54/64</f>
        <v/>
      </c>
      <c r="BC54" s="47">
        <f>$B54/64</f>
        <v/>
      </c>
      <c r="BD54" s="47">
        <f>$B54/64</f>
        <v/>
      </c>
      <c r="BE54" s="47">
        <f>$B54/64</f>
        <v/>
      </c>
      <c r="BF54" s="47">
        <f>$B54/64</f>
        <v/>
      </c>
      <c r="BG54" s="47">
        <f>$B54/64</f>
        <v/>
      </c>
      <c r="BH54" s="47">
        <f>$B54/64</f>
        <v/>
      </c>
      <c r="BI54" s="47">
        <f>$B54/64</f>
        <v/>
      </c>
      <c r="BJ54" s="47">
        <f>$B54/64</f>
        <v/>
      </c>
      <c r="BK54" s="47">
        <f>$B54/64</f>
        <v/>
      </c>
      <c r="BL54" s="47">
        <f>$B54/64</f>
        <v/>
      </c>
      <c r="BM54" s="47">
        <f>$B54/64</f>
        <v/>
      </c>
      <c r="BN54" s="47">
        <f>$B54/64</f>
        <v/>
      </c>
      <c r="BO54" s="47" t="n"/>
      <c r="BP54" s="47" t="n"/>
      <c r="BQ54" s="47" t="n"/>
      <c r="BR54" s="47" t="n"/>
      <c r="BS54" s="47" t="n"/>
      <c r="BT54" s="47" t="n"/>
      <c r="BU54" s="47" t="n"/>
      <c r="BV54" s="47" t="n"/>
      <c r="BW54" s="47" t="n"/>
      <c r="BX54" s="47" t="n"/>
    </row>
    <row r="55">
      <c r="A55" s="40" t="e">
        <v>#N/A</v>
      </c>
      <c r="B55" s="40" t="e">
        <v>#N/A</v>
      </c>
      <c r="C55" s="104">
        <f>$B55/64</f>
        <v/>
      </c>
      <c r="D55" s="104">
        <f>$B55/64</f>
        <v/>
      </c>
      <c r="E55" s="104">
        <f>$B55/64</f>
        <v/>
      </c>
      <c r="F55" s="104">
        <f>$B55/64</f>
        <v/>
      </c>
      <c r="G55" s="104">
        <f>$B55/64</f>
        <v/>
      </c>
      <c r="H55" s="104">
        <f>$B55/64</f>
        <v/>
      </c>
      <c r="I55" s="104">
        <f>$B55/64</f>
        <v/>
      </c>
      <c r="J55" s="104">
        <f>$B55/64</f>
        <v/>
      </c>
      <c r="K55" s="104">
        <f>$B55/64</f>
        <v/>
      </c>
      <c r="L55" s="104">
        <f>$B55/64</f>
        <v/>
      </c>
      <c r="M55" s="104">
        <f>$B55/64</f>
        <v/>
      </c>
      <c r="N55" s="104">
        <f>$B55/64</f>
        <v/>
      </c>
      <c r="O55" s="104">
        <f>$B55/64</f>
        <v/>
      </c>
      <c r="P55" s="104">
        <f>$B55/64</f>
        <v/>
      </c>
      <c r="Q55" s="104">
        <f>$B55/64</f>
        <v/>
      </c>
      <c r="R55" s="104">
        <f>$B55/64</f>
        <v/>
      </c>
      <c r="S55" s="104">
        <f>$B55/64</f>
        <v/>
      </c>
      <c r="T55" s="104">
        <f>$B55/64</f>
        <v/>
      </c>
      <c r="U55" s="104">
        <f>$B55/64</f>
        <v/>
      </c>
      <c r="V55" s="104">
        <f>$B55/64</f>
        <v/>
      </c>
      <c r="W55" s="104">
        <f>$B55/64</f>
        <v/>
      </c>
      <c r="X55" s="104">
        <f>$B55/64</f>
        <v/>
      </c>
      <c r="Y55" s="104">
        <f>$B55/64</f>
        <v/>
      </c>
      <c r="Z55" s="104">
        <f>$B55/64</f>
        <v/>
      </c>
      <c r="AA55" s="104">
        <f>$B55/64</f>
        <v/>
      </c>
      <c r="AB55" s="104">
        <f>$B55/64</f>
        <v/>
      </c>
      <c r="AC55" s="104">
        <f>$B55/64</f>
        <v/>
      </c>
      <c r="AD55" s="104">
        <f>$B55/64</f>
        <v/>
      </c>
      <c r="AE55" s="104">
        <f>$B55/64</f>
        <v/>
      </c>
      <c r="AF55" s="104">
        <f>$B55/64</f>
        <v/>
      </c>
      <c r="AG55" s="104">
        <f>$B55/64</f>
        <v/>
      </c>
      <c r="AH55" s="104">
        <f>$B55/64</f>
        <v/>
      </c>
      <c r="AI55" s="104">
        <f>$B55/64</f>
        <v/>
      </c>
      <c r="AJ55" s="104">
        <f>$B55/64</f>
        <v/>
      </c>
      <c r="AK55" s="104">
        <f>$B55/64</f>
        <v/>
      </c>
      <c r="AL55" s="104">
        <f>$B55/64</f>
        <v/>
      </c>
      <c r="AM55" s="104">
        <f>$B55/64</f>
        <v/>
      </c>
      <c r="AN55" s="104">
        <f>$B55/64</f>
        <v/>
      </c>
      <c r="AO55" s="104">
        <f>$B55/64</f>
        <v/>
      </c>
      <c r="AP55" s="104">
        <f>$B55/64</f>
        <v/>
      </c>
      <c r="AQ55" s="104">
        <f>$B55/64</f>
        <v/>
      </c>
      <c r="AR55" s="104">
        <f>$B55/64</f>
        <v/>
      </c>
      <c r="AS55" s="104">
        <f>$B55/64</f>
        <v/>
      </c>
      <c r="AT55" s="104">
        <f>$B55/64</f>
        <v/>
      </c>
      <c r="AU55" s="104">
        <f>$B55/64</f>
        <v/>
      </c>
      <c r="AV55" s="104">
        <f>$B55/64</f>
        <v/>
      </c>
      <c r="AW55" s="104">
        <f>$B55/64</f>
        <v/>
      </c>
      <c r="AX55" s="104">
        <f>$B55/64</f>
        <v/>
      </c>
      <c r="AY55" s="104">
        <f>$B55/64</f>
        <v/>
      </c>
      <c r="AZ55" s="104">
        <f>$B55/64</f>
        <v/>
      </c>
      <c r="BA55" s="104">
        <f>$B55/64</f>
        <v/>
      </c>
      <c r="BB55" s="104">
        <f>$B55/64</f>
        <v/>
      </c>
      <c r="BC55" s="104">
        <f>$B55/64</f>
        <v/>
      </c>
      <c r="BD55" s="104">
        <f>$B55/64</f>
        <v/>
      </c>
      <c r="BE55" s="104">
        <f>$B55/64</f>
        <v/>
      </c>
      <c r="BF55" s="104">
        <f>$B55/64</f>
        <v/>
      </c>
      <c r="BG55" s="104">
        <f>$B55/64</f>
        <v/>
      </c>
      <c r="BH55" s="104">
        <f>$B55/64</f>
        <v/>
      </c>
      <c r="BI55" s="104">
        <f>$B55/64</f>
        <v/>
      </c>
      <c r="BJ55" s="104">
        <f>$B55/64</f>
        <v/>
      </c>
      <c r="BK55" s="104">
        <f>$B55/64</f>
        <v/>
      </c>
      <c r="BL55" s="104">
        <f>$B55/64</f>
        <v/>
      </c>
      <c r="BM55" s="104">
        <f>$B55/64</f>
        <v/>
      </c>
      <c r="BN55" s="104">
        <f>$B55/64</f>
        <v/>
      </c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</row>
    <row r="56">
      <c r="A56" s="42" t="e">
        <v>#N/A</v>
      </c>
      <c r="B56" s="42" t="e">
        <v>#N/A</v>
      </c>
      <c r="C56" s="47">
        <f>$B56/64</f>
        <v/>
      </c>
      <c r="D56" s="47">
        <f>$B56/64</f>
        <v/>
      </c>
      <c r="E56" s="47">
        <f>$B56/64</f>
        <v/>
      </c>
      <c r="F56" s="47">
        <f>$B56/64</f>
        <v/>
      </c>
      <c r="G56" s="47">
        <f>$B56/64</f>
        <v/>
      </c>
      <c r="H56" s="47">
        <f>$B56/64</f>
        <v/>
      </c>
      <c r="I56" s="47">
        <f>$B56/64</f>
        <v/>
      </c>
      <c r="J56" s="47">
        <f>$B56/64</f>
        <v/>
      </c>
      <c r="K56" s="47">
        <f>$B56/64</f>
        <v/>
      </c>
      <c r="L56" s="47">
        <f>$B56/64</f>
        <v/>
      </c>
      <c r="M56" s="47">
        <f>$B56/64</f>
        <v/>
      </c>
      <c r="N56" s="47">
        <f>$B56/64</f>
        <v/>
      </c>
      <c r="O56" s="47">
        <f>$B56/64</f>
        <v/>
      </c>
      <c r="P56" s="47">
        <f>$B56/64</f>
        <v/>
      </c>
      <c r="Q56" s="47">
        <f>$B56/64</f>
        <v/>
      </c>
      <c r="R56" s="47">
        <f>$B56/64</f>
        <v/>
      </c>
      <c r="S56" s="47">
        <f>$B56/64</f>
        <v/>
      </c>
      <c r="T56" s="47">
        <f>$B56/64</f>
        <v/>
      </c>
      <c r="U56" s="47">
        <f>$B56/64</f>
        <v/>
      </c>
      <c r="V56" s="47">
        <f>$B56/64</f>
        <v/>
      </c>
      <c r="W56" s="47">
        <f>$B56/64</f>
        <v/>
      </c>
      <c r="X56" s="47">
        <f>$B56/64</f>
        <v/>
      </c>
      <c r="Y56" s="47">
        <f>$B56/64</f>
        <v/>
      </c>
      <c r="Z56" s="47">
        <f>$B56/64</f>
        <v/>
      </c>
      <c r="AA56" s="47">
        <f>$B56/64</f>
        <v/>
      </c>
      <c r="AB56" s="47">
        <f>$B56/64</f>
        <v/>
      </c>
      <c r="AC56" s="47">
        <f>$B56/64</f>
        <v/>
      </c>
      <c r="AD56" s="47">
        <f>$B56/64</f>
        <v/>
      </c>
      <c r="AE56" s="47">
        <f>$B56/64</f>
        <v/>
      </c>
      <c r="AF56" s="47">
        <f>$B56/64</f>
        <v/>
      </c>
      <c r="AG56" s="47">
        <f>$B56/64</f>
        <v/>
      </c>
      <c r="AH56" s="47">
        <f>$B56/64</f>
        <v/>
      </c>
      <c r="AI56" s="47">
        <f>$B56/64</f>
        <v/>
      </c>
      <c r="AJ56" s="47">
        <f>$B56/64</f>
        <v/>
      </c>
      <c r="AK56" s="47">
        <f>$B56/64</f>
        <v/>
      </c>
      <c r="AL56" s="47">
        <f>$B56/64</f>
        <v/>
      </c>
      <c r="AM56" s="47">
        <f>$B56/64</f>
        <v/>
      </c>
      <c r="AN56" s="47">
        <f>$B56/64</f>
        <v/>
      </c>
      <c r="AO56" s="47">
        <f>$B56/64</f>
        <v/>
      </c>
      <c r="AP56" s="47">
        <f>$B56/64</f>
        <v/>
      </c>
      <c r="AQ56" s="47">
        <f>$B56/64</f>
        <v/>
      </c>
      <c r="AR56" s="47">
        <f>$B56/64</f>
        <v/>
      </c>
      <c r="AS56" s="47">
        <f>$B56/64</f>
        <v/>
      </c>
      <c r="AT56" s="47">
        <f>$B56/64</f>
        <v/>
      </c>
      <c r="AU56" s="47">
        <f>$B56/64</f>
        <v/>
      </c>
      <c r="AV56" s="47">
        <f>$B56/64</f>
        <v/>
      </c>
      <c r="AW56" s="47">
        <f>$B56/64</f>
        <v/>
      </c>
      <c r="AX56" s="47">
        <f>$B56/64</f>
        <v/>
      </c>
      <c r="AY56" s="47">
        <f>$B56/64</f>
        <v/>
      </c>
      <c r="AZ56" s="47">
        <f>$B56/64</f>
        <v/>
      </c>
      <c r="BA56" s="47">
        <f>$B56/64</f>
        <v/>
      </c>
      <c r="BB56" s="47">
        <f>$B56/64</f>
        <v/>
      </c>
      <c r="BC56" s="47">
        <f>$B56/64</f>
        <v/>
      </c>
      <c r="BD56" s="47">
        <f>$B56/64</f>
        <v/>
      </c>
      <c r="BE56" s="47">
        <f>$B56/64</f>
        <v/>
      </c>
      <c r="BF56" s="47">
        <f>$B56/64</f>
        <v/>
      </c>
      <c r="BG56" s="47">
        <f>$B56/64</f>
        <v/>
      </c>
      <c r="BH56" s="47">
        <f>$B56/64</f>
        <v/>
      </c>
      <c r="BI56" s="47">
        <f>$B56/64</f>
        <v/>
      </c>
      <c r="BJ56" s="47">
        <f>$B56/64</f>
        <v/>
      </c>
      <c r="BK56" s="47">
        <f>$B56/64</f>
        <v/>
      </c>
      <c r="BL56" s="47">
        <f>$B56/64</f>
        <v/>
      </c>
      <c r="BM56" s="47">
        <f>$B56/64</f>
        <v/>
      </c>
      <c r="BN56" s="47">
        <f>$B56/64</f>
        <v/>
      </c>
      <c r="BO56" s="47" t="n"/>
      <c r="BP56" s="47" t="n"/>
      <c r="BQ56" s="47" t="n"/>
      <c r="BR56" s="47" t="n"/>
      <c r="BS56" s="47" t="n"/>
      <c r="BT56" s="47" t="n"/>
      <c r="BU56" s="47" t="n"/>
      <c r="BV56" s="47" t="n"/>
      <c r="BW56" s="47" t="n"/>
      <c r="BX56" s="47" t="n"/>
    </row>
    <row r="57">
      <c r="A57" s="40" t="e">
        <v>#N/A</v>
      </c>
      <c r="B57" s="40" t="e">
        <v>#N/A</v>
      </c>
      <c r="C57" s="104">
        <f>$B57/64</f>
        <v/>
      </c>
      <c r="D57" s="104">
        <f>$B57/64</f>
        <v/>
      </c>
      <c r="E57" s="104">
        <f>$B57/64</f>
        <v/>
      </c>
      <c r="F57" s="104">
        <f>$B57/64</f>
        <v/>
      </c>
      <c r="G57" s="104">
        <f>$B57/64</f>
        <v/>
      </c>
      <c r="H57" s="104">
        <f>$B57/64</f>
        <v/>
      </c>
      <c r="I57" s="104">
        <f>$B57/64</f>
        <v/>
      </c>
      <c r="J57" s="104">
        <f>$B57/64</f>
        <v/>
      </c>
      <c r="K57" s="104">
        <f>$B57/64</f>
        <v/>
      </c>
      <c r="L57" s="104">
        <f>$B57/64</f>
        <v/>
      </c>
      <c r="M57" s="104">
        <f>$B57/64</f>
        <v/>
      </c>
      <c r="N57" s="104">
        <f>$B57/64</f>
        <v/>
      </c>
      <c r="O57" s="104">
        <f>$B57/64</f>
        <v/>
      </c>
      <c r="P57" s="104">
        <f>$B57/64</f>
        <v/>
      </c>
      <c r="Q57" s="104">
        <f>$B57/64</f>
        <v/>
      </c>
      <c r="R57" s="104">
        <f>$B57/64</f>
        <v/>
      </c>
      <c r="S57" s="104">
        <f>$B57/64</f>
        <v/>
      </c>
      <c r="T57" s="104">
        <f>$B57/64</f>
        <v/>
      </c>
      <c r="U57" s="104">
        <f>$B57/64</f>
        <v/>
      </c>
      <c r="V57" s="104">
        <f>$B57/64</f>
        <v/>
      </c>
      <c r="W57" s="104">
        <f>$B57/64</f>
        <v/>
      </c>
      <c r="X57" s="104">
        <f>$B57/64</f>
        <v/>
      </c>
      <c r="Y57" s="104">
        <f>$B57/64</f>
        <v/>
      </c>
      <c r="Z57" s="104">
        <f>$B57/64</f>
        <v/>
      </c>
      <c r="AA57" s="104">
        <f>$B57/64</f>
        <v/>
      </c>
      <c r="AB57" s="104">
        <f>$B57/64</f>
        <v/>
      </c>
      <c r="AC57" s="104">
        <f>$B57/64</f>
        <v/>
      </c>
      <c r="AD57" s="104">
        <f>$B57/64</f>
        <v/>
      </c>
      <c r="AE57" s="104">
        <f>$B57/64</f>
        <v/>
      </c>
      <c r="AF57" s="104">
        <f>$B57/64</f>
        <v/>
      </c>
      <c r="AG57" s="104">
        <f>$B57/64</f>
        <v/>
      </c>
      <c r="AH57" s="104">
        <f>$B57/64</f>
        <v/>
      </c>
      <c r="AI57" s="104">
        <f>$B57/64</f>
        <v/>
      </c>
      <c r="AJ57" s="104">
        <f>$B57/64</f>
        <v/>
      </c>
      <c r="AK57" s="104">
        <f>$B57/64</f>
        <v/>
      </c>
      <c r="AL57" s="104">
        <f>$B57/64</f>
        <v/>
      </c>
      <c r="AM57" s="104">
        <f>$B57/64</f>
        <v/>
      </c>
      <c r="AN57" s="104">
        <f>$B57/64</f>
        <v/>
      </c>
      <c r="AO57" s="104">
        <f>$B57/64</f>
        <v/>
      </c>
      <c r="AP57" s="104">
        <f>$B57/64</f>
        <v/>
      </c>
      <c r="AQ57" s="104">
        <f>$B57/64</f>
        <v/>
      </c>
      <c r="AR57" s="104">
        <f>$B57/64</f>
        <v/>
      </c>
      <c r="AS57" s="104">
        <f>$B57/64</f>
        <v/>
      </c>
      <c r="AT57" s="104">
        <f>$B57/64</f>
        <v/>
      </c>
      <c r="AU57" s="104">
        <f>$B57/64</f>
        <v/>
      </c>
      <c r="AV57" s="104">
        <f>$B57/64</f>
        <v/>
      </c>
      <c r="AW57" s="104">
        <f>$B57/64</f>
        <v/>
      </c>
      <c r="AX57" s="104">
        <f>$B57/64</f>
        <v/>
      </c>
      <c r="AY57" s="104">
        <f>$B57/64</f>
        <v/>
      </c>
      <c r="AZ57" s="104">
        <f>$B57/64</f>
        <v/>
      </c>
      <c r="BA57" s="104">
        <f>$B57/64</f>
        <v/>
      </c>
      <c r="BB57" s="104">
        <f>$B57/64</f>
        <v/>
      </c>
      <c r="BC57" s="104">
        <f>$B57/64</f>
        <v/>
      </c>
      <c r="BD57" s="104">
        <f>$B57/64</f>
        <v/>
      </c>
      <c r="BE57" s="104">
        <f>$B57/64</f>
        <v/>
      </c>
      <c r="BF57" s="104">
        <f>$B57/64</f>
        <v/>
      </c>
      <c r="BG57" s="104">
        <f>$B57/64</f>
        <v/>
      </c>
      <c r="BH57" s="104">
        <f>$B57/64</f>
        <v/>
      </c>
      <c r="BI57" s="104">
        <f>$B57/64</f>
        <v/>
      </c>
      <c r="BJ57" s="104">
        <f>$B57/64</f>
        <v/>
      </c>
      <c r="BK57" s="104">
        <f>$B57/64</f>
        <v/>
      </c>
      <c r="BL57" s="104">
        <f>$B57/64</f>
        <v/>
      </c>
      <c r="BM57" s="104">
        <f>$B57/64</f>
        <v/>
      </c>
      <c r="BN57" s="104">
        <f>$B57/64</f>
        <v/>
      </c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</row>
    <row r="58">
      <c r="A58" s="42" t="e">
        <v>#N/A</v>
      </c>
      <c r="B58" s="42" t="e">
        <v>#N/A</v>
      </c>
      <c r="C58" s="47">
        <f>$B58/64</f>
        <v/>
      </c>
      <c r="D58" s="47">
        <f>$B58/64</f>
        <v/>
      </c>
      <c r="E58" s="47">
        <f>$B58/64</f>
        <v/>
      </c>
      <c r="F58" s="47">
        <f>$B58/64</f>
        <v/>
      </c>
      <c r="G58" s="47">
        <f>$B58/64</f>
        <v/>
      </c>
      <c r="H58" s="47">
        <f>$B58/64</f>
        <v/>
      </c>
      <c r="I58" s="47">
        <f>$B58/64</f>
        <v/>
      </c>
      <c r="J58" s="47">
        <f>$B58/64</f>
        <v/>
      </c>
      <c r="K58" s="47">
        <f>$B58/64</f>
        <v/>
      </c>
      <c r="L58" s="47">
        <f>$B58/64</f>
        <v/>
      </c>
      <c r="M58" s="47">
        <f>$B58/64</f>
        <v/>
      </c>
      <c r="N58" s="47">
        <f>$B58/64</f>
        <v/>
      </c>
      <c r="O58" s="47">
        <f>$B58/64</f>
        <v/>
      </c>
      <c r="P58" s="47">
        <f>$B58/64</f>
        <v/>
      </c>
      <c r="Q58" s="47">
        <f>$B58/64</f>
        <v/>
      </c>
      <c r="R58" s="47">
        <f>$B58/64</f>
        <v/>
      </c>
      <c r="S58" s="47">
        <f>$B58/64</f>
        <v/>
      </c>
      <c r="T58" s="47">
        <f>$B58/64</f>
        <v/>
      </c>
      <c r="U58" s="47">
        <f>$B58/64</f>
        <v/>
      </c>
      <c r="V58" s="47">
        <f>$B58/64</f>
        <v/>
      </c>
      <c r="W58" s="47">
        <f>$B58/64</f>
        <v/>
      </c>
      <c r="X58" s="47">
        <f>$B58/64</f>
        <v/>
      </c>
      <c r="Y58" s="47">
        <f>$B58/64</f>
        <v/>
      </c>
      <c r="Z58" s="47">
        <f>$B58/64</f>
        <v/>
      </c>
      <c r="AA58" s="47">
        <f>$B58/64</f>
        <v/>
      </c>
      <c r="AB58" s="47">
        <f>$B58/64</f>
        <v/>
      </c>
      <c r="AC58" s="47">
        <f>$B58/64</f>
        <v/>
      </c>
      <c r="AD58" s="47">
        <f>$B58/64</f>
        <v/>
      </c>
      <c r="AE58" s="47">
        <f>$B58/64</f>
        <v/>
      </c>
      <c r="AF58" s="47">
        <f>$B58/64</f>
        <v/>
      </c>
      <c r="AG58" s="47">
        <f>$B58/64</f>
        <v/>
      </c>
      <c r="AH58" s="47">
        <f>$B58/64</f>
        <v/>
      </c>
      <c r="AI58" s="47">
        <f>$B58/64</f>
        <v/>
      </c>
      <c r="AJ58" s="47">
        <f>$B58/64</f>
        <v/>
      </c>
      <c r="AK58" s="47">
        <f>$B58/64</f>
        <v/>
      </c>
      <c r="AL58" s="47">
        <f>$B58/64</f>
        <v/>
      </c>
      <c r="AM58" s="47">
        <f>$B58/64</f>
        <v/>
      </c>
      <c r="AN58" s="47">
        <f>$B58/64</f>
        <v/>
      </c>
      <c r="AO58" s="47">
        <f>$B58/64</f>
        <v/>
      </c>
      <c r="AP58" s="47">
        <f>$B58/64</f>
        <v/>
      </c>
      <c r="AQ58" s="47">
        <f>$B58/64</f>
        <v/>
      </c>
      <c r="AR58" s="47">
        <f>$B58/64</f>
        <v/>
      </c>
      <c r="AS58" s="47">
        <f>$B58/64</f>
        <v/>
      </c>
      <c r="AT58" s="47">
        <f>$B58/64</f>
        <v/>
      </c>
      <c r="AU58" s="47">
        <f>$B58/64</f>
        <v/>
      </c>
      <c r="AV58" s="47">
        <f>$B58/64</f>
        <v/>
      </c>
      <c r="AW58" s="47">
        <f>$B58/64</f>
        <v/>
      </c>
      <c r="AX58" s="47">
        <f>$B58/64</f>
        <v/>
      </c>
      <c r="AY58" s="47">
        <f>$B58/64</f>
        <v/>
      </c>
      <c r="AZ58" s="47">
        <f>$B58/64</f>
        <v/>
      </c>
      <c r="BA58" s="47">
        <f>$B58/64</f>
        <v/>
      </c>
      <c r="BB58" s="47">
        <f>$B58/64</f>
        <v/>
      </c>
      <c r="BC58" s="47">
        <f>$B58/64</f>
        <v/>
      </c>
      <c r="BD58" s="47">
        <f>$B58/64</f>
        <v/>
      </c>
      <c r="BE58" s="47">
        <f>$B58/64</f>
        <v/>
      </c>
      <c r="BF58" s="47">
        <f>$B58/64</f>
        <v/>
      </c>
      <c r="BG58" s="47">
        <f>$B58/64</f>
        <v/>
      </c>
      <c r="BH58" s="47">
        <f>$B58/64</f>
        <v/>
      </c>
      <c r="BI58" s="47">
        <f>$B58/64</f>
        <v/>
      </c>
      <c r="BJ58" s="47">
        <f>$B58/64</f>
        <v/>
      </c>
      <c r="BK58" s="47">
        <f>$B58/64</f>
        <v/>
      </c>
      <c r="BL58" s="47">
        <f>$B58/64</f>
        <v/>
      </c>
      <c r="BM58" s="47">
        <f>$B58/64</f>
        <v/>
      </c>
      <c r="BN58" s="47">
        <f>$B58/64</f>
        <v/>
      </c>
      <c r="BO58" s="47" t="n"/>
      <c r="BP58" s="47" t="n"/>
      <c r="BQ58" s="47" t="n"/>
      <c r="BR58" s="47" t="n"/>
      <c r="BS58" s="47" t="n"/>
      <c r="BT58" s="47" t="n"/>
      <c r="BU58" s="47" t="n"/>
      <c r="BV58" s="47" t="n"/>
      <c r="BW58" s="47" t="n"/>
      <c r="BX58" s="47" t="n"/>
    </row>
    <row r="59">
      <c r="A59" s="40" t="e">
        <v>#N/A</v>
      </c>
      <c r="B59" s="40" t="e">
        <v>#N/A</v>
      </c>
      <c r="C59" s="104">
        <f>$B59/64</f>
        <v/>
      </c>
      <c r="D59" s="104">
        <f>$B59/64</f>
        <v/>
      </c>
      <c r="E59" s="104">
        <f>$B59/64</f>
        <v/>
      </c>
      <c r="F59" s="104">
        <f>$B59/64</f>
        <v/>
      </c>
      <c r="G59" s="104">
        <f>$B59/64</f>
        <v/>
      </c>
      <c r="H59" s="104">
        <f>$B59/64</f>
        <v/>
      </c>
      <c r="I59" s="104">
        <f>$B59/64</f>
        <v/>
      </c>
      <c r="J59" s="104">
        <f>$B59/64</f>
        <v/>
      </c>
      <c r="K59" s="104">
        <f>$B59/64</f>
        <v/>
      </c>
      <c r="L59" s="104">
        <f>$B59/64</f>
        <v/>
      </c>
      <c r="M59" s="104">
        <f>$B59/64</f>
        <v/>
      </c>
      <c r="N59" s="104">
        <f>$B59/64</f>
        <v/>
      </c>
      <c r="O59" s="104">
        <f>$B59/64</f>
        <v/>
      </c>
      <c r="P59" s="104">
        <f>$B59/64</f>
        <v/>
      </c>
      <c r="Q59" s="104">
        <f>$B59/64</f>
        <v/>
      </c>
      <c r="R59" s="104">
        <f>$B59/64</f>
        <v/>
      </c>
      <c r="S59" s="104">
        <f>$B59/64</f>
        <v/>
      </c>
      <c r="T59" s="104">
        <f>$B59/64</f>
        <v/>
      </c>
      <c r="U59" s="104">
        <f>$B59/64</f>
        <v/>
      </c>
      <c r="V59" s="104">
        <f>$B59/64</f>
        <v/>
      </c>
      <c r="W59" s="104">
        <f>$B59/64</f>
        <v/>
      </c>
      <c r="X59" s="104">
        <f>$B59/64</f>
        <v/>
      </c>
      <c r="Y59" s="104">
        <f>$B59/64</f>
        <v/>
      </c>
      <c r="Z59" s="104">
        <f>$B59/64</f>
        <v/>
      </c>
      <c r="AA59" s="104">
        <f>$B59/64</f>
        <v/>
      </c>
      <c r="AB59" s="104">
        <f>$B59/64</f>
        <v/>
      </c>
      <c r="AC59" s="104">
        <f>$B59/64</f>
        <v/>
      </c>
      <c r="AD59" s="104">
        <f>$B59/64</f>
        <v/>
      </c>
      <c r="AE59" s="104">
        <f>$B59/64</f>
        <v/>
      </c>
      <c r="AF59" s="104">
        <f>$B59/64</f>
        <v/>
      </c>
      <c r="AG59" s="104">
        <f>$B59/64</f>
        <v/>
      </c>
      <c r="AH59" s="104">
        <f>$B59/64</f>
        <v/>
      </c>
      <c r="AI59" s="104">
        <f>$B59/64</f>
        <v/>
      </c>
      <c r="AJ59" s="104">
        <f>$B59/64</f>
        <v/>
      </c>
      <c r="AK59" s="104">
        <f>$B59/64</f>
        <v/>
      </c>
      <c r="AL59" s="104">
        <f>$B59/64</f>
        <v/>
      </c>
      <c r="AM59" s="104">
        <f>$B59/64</f>
        <v/>
      </c>
      <c r="AN59" s="104">
        <f>$B59/64</f>
        <v/>
      </c>
      <c r="AO59" s="104">
        <f>$B59/64</f>
        <v/>
      </c>
      <c r="AP59" s="104">
        <f>$B59/64</f>
        <v/>
      </c>
      <c r="AQ59" s="104">
        <f>$B59/64</f>
        <v/>
      </c>
      <c r="AR59" s="104">
        <f>$B59/64</f>
        <v/>
      </c>
      <c r="AS59" s="104">
        <f>$B59/64</f>
        <v/>
      </c>
      <c r="AT59" s="104">
        <f>$B59/64</f>
        <v/>
      </c>
      <c r="AU59" s="104">
        <f>$B59/64</f>
        <v/>
      </c>
      <c r="AV59" s="104">
        <f>$B59/64</f>
        <v/>
      </c>
      <c r="AW59" s="104">
        <f>$B59/64</f>
        <v/>
      </c>
      <c r="AX59" s="104">
        <f>$B59/64</f>
        <v/>
      </c>
      <c r="AY59" s="104">
        <f>$B59/64</f>
        <v/>
      </c>
      <c r="AZ59" s="104">
        <f>$B59/64</f>
        <v/>
      </c>
      <c r="BA59" s="104">
        <f>$B59/64</f>
        <v/>
      </c>
      <c r="BB59" s="104">
        <f>$B59/64</f>
        <v/>
      </c>
      <c r="BC59" s="104">
        <f>$B59/64</f>
        <v/>
      </c>
      <c r="BD59" s="104">
        <f>$B59/64</f>
        <v/>
      </c>
      <c r="BE59" s="104">
        <f>$B59/64</f>
        <v/>
      </c>
      <c r="BF59" s="104">
        <f>$B59/64</f>
        <v/>
      </c>
      <c r="BG59" s="104">
        <f>$B59/64</f>
        <v/>
      </c>
      <c r="BH59" s="104">
        <f>$B59/64</f>
        <v/>
      </c>
      <c r="BI59" s="104">
        <f>$B59/64</f>
        <v/>
      </c>
      <c r="BJ59" s="104">
        <f>$B59/64</f>
        <v/>
      </c>
      <c r="BK59" s="104">
        <f>$B59/64</f>
        <v/>
      </c>
      <c r="BL59" s="104">
        <f>$B59/64</f>
        <v/>
      </c>
      <c r="BM59" s="104">
        <f>$B59/64</f>
        <v/>
      </c>
      <c r="BN59" s="104">
        <f>$B59/64</f>
        <v/>
      </c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</row>
    <row r="60">
      <c r="A60" s="42" t="e">
        <v>#N/A</v>
      </c>
      <c r="B60" s="42" t="e">
        <v>#N/A</v>
      </c>
      <c r="C60" s="47">
        <f>$B60/64</f>
        <v/>
      </c>
      <c r="D60" s="47">
        <f>$B60/64</f>
        <v/>
      </c>
      <c r="E60" s="47">
        <f>$B60/64</f>
        <v/>
      </c>
      <c r="F60" s="47">
        <f>$B60/64</f>
        <v/>
      </c>
      <c r="G60" s="47">
        <f>$B60/64</f>
        <v/>
      </c>
      <c r="H60" s="47">
        <f>$B60/64</f>
        <v/>
      </c>
      <c r="I60" s="47">
        <f>$B60/64</f>
        <v/>
      </c>
      <c r="J60" s="47">
        <f>$B60/64</f>
        <v/>
      </c>
      <c r="K60" s="47">
        <f>$B60/64</f>
        <v/>
      </c>
      <c r="L60" s="47">
        <f>$B60/64</f>
        <v/>
      </c>
      <c r="M60" s="47">
        <f>$B60/64</f>
        <v/>
      </c>
      <c r="N60" s="47">
        <f>$B60/64</f>
        <v/>
      </c>
      <c r="O60" s="47">
        <f>$B60/64</f>
        <v/>
      </c>
      <c r="P60" s="47">
        <f>$B60/64</f>
        <v/>
      </c>
      <c r="Q60" s="47">
        <f>$B60/64</f>
        <v/>
      </c>
      <c r="R60" s="47">
        <f>$B60/64</f>
        <v/>
      </c>
      <c r="S60" s="47">
        <f>$B60/64</f>
        <v/>
      </c>
      <c r="T60" s="47">
        <f>$B60/64</f>
        <v/>
      </c>
      <c r="U60" s="47">
        <f>$B60/64</f>
        <v/>
      </c>
      <c r="V60" s="47">
        <f>$B60/64</f>
        <v/>
      </c>
      <c r="W60" s="47">
        <f>$B60/64</f>
        <v/>
      </c>
      <c r="X60" s="47">
        <f>$B60/64</f>
        <v/>
      </c>
      <c r="Y60" s="47">
        <f>$B60/64</f>
        <v/>
      </c>
      <c r="Z60" s="47">
        <f>$B60/64</f>
        <v/>
      </c>
      <c r="AA60" s="47">
        <f>$B60/64</f>
        <v/>
      </c>
      <c r="AB60" s="47">
        <f>$B60/64</f>
        <v/>
      </c>
      <c r="AC60" s="47">
        <f>$B60/64</f>
        <v/>
      </c>
      <c r="AD60" s="47">
        <f>$B60/64</f>
        <v/>
      </c>
      <c r="AE60" s="47">
        <f>$B60/64</f>
        <v/>
      </c>
      <c r="AF60" s="47">
        <f>$B60/64</f>
        <v/>
      </c>
      <c r="AG60" s="47">
        <f>$B60/64</f>
        <v/>
      </c>
      <c r="AH60" s="47">
        <f>$B60/64</f>
        <v/>
      </c>
      <c r="AI60" s="47">
        <f>$B60/64</f>
        <v/>
      </c>
      <c r="AJ60" s="47">
        <f>$B60/64</f>
        <v/>
      </c>
      <c r="AK60" s="47">
        <f>$B60/64</f>
        <v/>
      </c>
      <c r="AL60" s="47">
        <f>$B60/64</f>
        <v/>
      </c>
      <c r="AM60" s="47">
        <f>$B60/64</f>
        <v/>
      </c>
      <c r="AN60" s="47">
        <f>$B60/64</f>
        <v/>
      </c>
      <c r="AO60" s="47">
        <f>$B60/64</f>
        <v/>
      </c>
      <c r="AP60" s="47">
        <f>$B60/64</f>
        <v/>
      </c>
      <c r="AQ60" s="47">
        <f>$B60/64</f>
        <v/>
      </c>
      <c r="AR60" s="47">
        <f>$B60/64</f>
        <v/>
      </c>
      <c r="AS60" s="47">
        <f>$B60/64</f>
        <v/>
      </c>
      <c r="AT60" s="47">
        <f>$B60/64</f>
        <v/>
      </c>
      <c r="AU60" s="47">
        <f>$B60/64</f>
        <v/>
      </c>
      <c r="AV60" s="47">
        <f>$B60/64</f>
        <v/>
      </c>
      <c r="AW60" s="47">
        <f>$B60/64</f>
        <v/>
      </c>
      <c r="AX60" s="47">
        <f>$B60/64</f>
        <v/>
      </c>
      <c r="AY60" s="47">
        <f>$B60/64</f>
        <v/>
      </c>
      <c r="AZ60" s="47">
        <f>$B60/64</f>
        <v/>
      </c>
      <c r="BA60" s="47">
        <f>$B60/64</f>
        <v/>
      </c>
      <c r="BB60" s="47">
        <f>$B60/64</f>
        <v/>
      </c>
      <c r="BC60" s="47">
        <f>$B60/64</f>
        <v/>
      </c>
      <c r="BD60" s="47">
        <f>$B60/64</f>
        <v/>
      </c>
      <c r="BE60" s="47">
        <f>$B60/64</f>
        <v/>
      </c>
      <c r="BF60" s="47">
        <f>$B60/64</f>
        <v/>
      </c>
      <c r="BG60" s="47">
        <f>$B60/64</f>
        <v/>
      </c>
      <c r="BH60" s="47">
        <f>$B60/64</f>
        <v/>
      </c>
      <c r="BI60" s="47">
        <f>$B60/64</f>
        <v/>
      </c>
      <c r="BJ60" s="47">
        <f>$B60/64</f>
        <v/>
      </c>
      <c r="BK60" s="47">
        <f>$B60/64</f>
        <v/>
      </c>
      <c r="BL60" s="47">
        <f>$B60/64</f>
        <v/>
      </c>
      <c r="BM60" s="47">
        <f>$B60/64</f>
        <v/>
      </c>
      <c r="BN60" s="47">
        <f>$B60/64</f>
        <v/>
      </c>
      <c r="BO60" s="47" t="n"/>
      <c r="BP60" s="47" t="n"/>
      <c r="BQ60" s="47" t="n"/>
      <c r="BR60" s="47" t="n"/>
      <c r="BS60" s="47" t="n"/>
      <c r="BT60" s="47" t="n"/>
      <c r="BU60" s="47" t="n"/>
      <c r="BV60" s="47" t="n"/>
      <c r="BW60" s="47" t="n"/>
      <c r="BX60" s="47" t="n"/>
    </row>
    <row r="61">
      <c r="A61" s="40" t="e">
        <v>#N/A</v>
      </c>
      <c r="B61" s="37" t="e">
        <v>#N/A</v>
      </c>
      <c r="C61" s="41">
        <f>SUM(C6,C13:C60)</f>
        <v/>
      </c>
      <c r="D61" s="41">
        <f>SUM(D6,D13:D60)</f>
        <v/>
      </c>
      <c r="E61" s="41">
        <f>SUM(E6,E13:E60)</f>
        <v/>
      </c>
      <c r="F61" s="41">
        <f>SUM(F6,F13:F60)</f>
        <v/>
      </c>
      <c r="G61" s="41">
        <f>SUM(G6,G13:G60)</f>
        <v/>
      </c>
      <c r="H61" s="41">
        <f>SUM(H6,H13:H60)</f>
        <v/>
      </c>
      <c r="I61" s="41">
        <f>SUM(I6,I13:I60)</f>
        <v/>
      </c>
      <c r="J61" s="41">
        <f>SUM(J6,J13:J60)</f>
        <v/>
      </c>
      <c r="K61" s="41">
        <f>SUM(K6,K13:K60)</f>
        <v/>
      </c>
      <c r="L61" s="41">
        <f>SUM(L6,L13:L60)</f>
        <v/>
      </c>
      <c r="M61" s="41">
        <f>SUM(M6,M13:M60)</f>
        <v/>
      </c>
      <c r="N61" s="41">
        <f>SUM(N6,N13:N60)</f>
        <v/>
      </c>
      <c r="O61" s="41">
        <f>SUM(O6,O13:O60)</f>
        <v/>
      </c>
      <c r="P61" s="41">
        <f>SUM(P6,P13:P60)</f>
        <v/>
      </c>
      <c r="Q61" s="41">
        <f>SUM(Q6,Q13:Q60)</f>
        <v/>
      </c>
      <c r="R61" s="41">
        <f>SUM(R6,R13:R60)</f>
        <v/>
      </c>
      <c r="S61" s="41">
        <f>SUM(S6,S13:S60)</f>
        <v/>
      </c>
      <c r="T61" s="41">
        <f>SUM(T6,T13:T60)</f>
        <v/>
      </c>
      <c r="U61" s="41">
        <f>SUM(U6,U13:U60)</f>
        <v/>
      </c>
      <c r="V61" s="41">
        <f>SUM(V6,V13:V60)</f>
        <v/>
      </c>
      <c r="W61" s="41">
        <f>SUM(W6,W13:W60)</f>
        <v/>
      </c>
      <c r="X61" s="41">
        <f>SUM(X6,X13:X60)</f>
        <v/>
      </c>
      <c r="Y61" s="41">
        <f>SUM(Y6,Y13:Y60)</f>
        <v/>
      </c>
      <c r="Z61" s="41">
        <f>SUM(Z6,Z13:Z60)</f>
        <v/>
      </c>
      <c r="AA61" s="41">
        <f>SUM(AA6,AA13:AA60)</f>
        <v/>
      </c>
      <c r="AB61" s="41">
        <f>SUM(AB6,AB13:AB60)</f>
        <v/>
      </c>
      <c r="AC61" s="41">
        <f>SUM(AC6,AC13:AC60)</f>
        <v/>
      </c>
      <c r="AD61" s="41">
        <f>SUM(AD6,AD13:AD60)</f>
        <v/>
      </c>
      <c r="AE61" s="41">
        <f>SUM(AE6,AE13:AE60)</f>
        <v/>
      </c>
      <c r="AF61" s="41">
        <f>SUM(AF6,AF13:AF60)</f>
        <v/>
      </c>
      <c r="AG61" s="41">
        <f>SUM(AG6,AG13:AG60)</f>
        <v/>
      </c>
      <c r="AH61" s="41">
        <f>SUM(AH6,AH13:AH60)</f>
        <v/>
      </c>
      <c r="AI61" s="41">
        <f>SUM(AI6,AI13:AI60)</f>
        <v/>
      </c>
      <c r="AJ61" s="41">
        <f>SUM(AJ6,AJ13:AJ60)</f>
        <v/>
      </c>
      <c r="AK61" s="41">
        <f>SUM(AK6,AK13:AK60)</f>
        <v/>
      </c>
      <c r="AL61" s="41">
        <f>SUM(AL6,AL13:AL60)</f>
        <v/>
      </c>
      <c r="AM61" s="41">
        <f>SUM(AM6,AM13:AM60)</f>
        <v/>
      </c>
      <c r="AN61" s="41">
        <f>SUM(AN6,AN13:AN60)</f>
        <v/>
      </c>
      <c r="AO61" s="41">
        <f>SUM(AO6,AO13:AO60)</f>
        <v/>
      </c>
      <c r="AP61" s="41">
        <f>SUM(AP6,AP13:AP60)</f>
        <v/>
      </c>
      <c r="AQ61" s="41">
        <f>SUM(AQ6,AQ13:AQ60)</f>
        <v/>
      </c>
      <c r="AR61" s="41">
        <f>SUM(AR6,AR13:AR60)</f>
        <v/>
      </c>
      <c r="AS61" s="41">
        <f>SUM(AS6,AS13:AS60)</f>
        <v/>
      </c>
      <c r="AT61" s="41">
        <f>SUM(AT6,AT13:AT60)</f>
        <v/>
      </c>
      <c r="AU61" s="41">
        <f>SUM(AU6,AU13:AU60)</f>
        <v/>
      </c>
      <c r="AV61" s="41">
        <f>SUM(AV6,AV13:AV60)</f>
        <v/>
      </c>
      <c r="AW61" s="41">
        <f>SUM(AW6,AW13:AW60)</f>
        <v/>
      </c>
      <c r="AX61" s="41">
        <f>SUM(AX6,AX13:AX60)</f>
        <v/>
      </c>
      <c r="AY61" s="41">
        <f>SUM(AY6,AY13:AY60)</f>
        <v/>
      </c>
      <c r="AZ61" s="41">
        <f>SUM(AZ6,AZ13:AZ60)</f>
        <v/>
      </c>
      <c r="BA61" s="41">
        <f>SUM(BA6,BA13:BA60)</f>
        <v/>
      </c>
      <c r="BB61" s="41">
        <f>SUM(BB6,BB13:BB60)</f>
        <v/>
      </c>
      <c r="BC61" s="41">
        <f>SUM(BC6,BC13:BC60)</f>
        <v/>
      </c>
      <c r="BD61" s="41">
        <f>SUM(BD6,BD13:BD60)</f>
        <v/>
      </c>
      <c r="BE61" s="41">
        <f>SUM(BE6,BE13:BE60)</f>
        <v/>
      </c>
      <c r="BF61" s="41">
        <f>SUM(BF6,BF13:BF60)</f>
        <v/>
      </c>
      <c r="BG61" s="41">
        <f>SUM(BG6,BG13:BG60)</f>
        <v/>
      </c>
      <c r="BH61" s="41">
        <f>SUM(BH6,BH13:BH60)</f>
        <v/>
      </c>
      <c r="BI61" s="41">
        <f>SUM(BI6,BI13:BI60)</f>
        <v/>
      </c>
      <c r="BJ61" s="41">
        <f>SUM(BJ6,BJ13:BJ60)</f>
        <v/>
      </c>
      <c r="BK61" s="41">
        <f>SUM(BK6,BK13:BK60)</f>
        <v/>
      </c>
      <c r="BL61" s="41">
        <f>SUM(BL6,BL13:BL60)</f>
        <v/>
      </c>
      <c r="BM61" s="41">
        <f>SUM(BM6,BM13:BM60)</f>
        <v/>
      </c>
      <c r="BN61" s="41">
        <f>SUM(BN6,BN13:BN60)</f>
        <v/>
      </c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</row>
    <row r="62">
      <c r="A62" s="42" t="e">
        <v>#N/A</v>
      </c>
      <c r="B62" s="42" t="e">
        <v>#N/A</v>
      </c>
      <c r="C62" s="47" t="n"/>
      <c r="D62" s="47" t="n"/>
      <c r="E62" s="47" t="n"/>
      <c r="F62" s="47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  <c r="AB62" s="47" t="n"/>
      <c r="AC62" s="47" t="n"/>
      <c r="AD62" s="47" t="n"/>
      <c r="AE62" s="47" t="n"/>
      <c r="AF62" s="47" t="n"/>
      <c r="AG62" s="47" t="n"/>
      <c r="AH62" s="47" t="n"/>
      <c r="AI62" s="47" t="n"/>
      <c r="AJ62" s="47" t="n"/>
      <c r="AK62" s="47" t="n"/>
      <c r="AL62" s="47" t="n"/>
      <c r="AM62" s="47" t="n"/>
      <c r="AN62" s="47" t="n"/>
      <c r="AO62" s="47" t="n"/>
      <c r="AP62" s="47" t="n"/>
      <c r="AQ62" s="47" t="n"/>
      <c r="AR62" s="47" t="n"/>
      <c r="AS62" s="47" t="n"/>
      <c r="AT62" s="47" t="n"/>
      <c r="AU62" s="47" t="n"/>
      <c r="AV62" s="47" t="n"/>
      <c r="AW62" s="47" t="n"/>
      <c r="AX62" s="47" t="n"/>
      <c r="AY62" s="47" t="n"/>
      <c r="AZ62" s="47" t="n"/>
      <c r="BA62" s="47" t="n"/>
      <c r="BB62" s="47" t="n"/>
      <c r="BC62" s="47" t="n"/>
      <c r="BD62" s="47" t="n"/>
      <c r="BE62" s="47" t="n"/>
      <c r="BF62" s="47" t="n"/>
      <c r="BG62" s="47" t="n"/>
      <c r="BH62" s="47" t="n"/>
      <c r="BI62" s="47" t="n"/>
      <c r="BJ62" s="47" t="n"/>
      <c r="BK62" s="47" t="n"/>
      <c r="BL62" s="47" t="n"/>
      <c r="BM62" s="47" t="n"/>
      <c r="BN62" s="47" t="n"/>
      <c r="BO62" s="47" t="n"/>
      <c r="BP62" s="47" t="n"/>
      <c r="BQ62" s="47" t="n"/>
      <c r="BR62" s="47" t="n"/>
      <c r="BS62" s="47" t="n"/>
      <c r="BT62" s="47" t="n"/>
      <c r="BU62" s="47" t="n"/>
      <c r="BV62" s="47" t="n"/>
      <c r="BW62" s="47" t="n"/>
      <c r="BX62" s="47" t="n"/>
    </row>
    <row r="63">
      <c r="A63" s="40" t="e">
        <v>#N/A</v>
      </c>
      <c r="B63" s="40" t="e">
        <v>#N/A</v>
      </c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</row>
    <row r="64">
      <c r="A64" s="42" t="e">
        <v>#N/A</v>
      </c>
      <c r="B64" s="42" t="e">
        <v>#N/A</v>
      </c>
      <c r="C64" s="47" t="n"/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  <c r="AB64" s="47" t="n"/>
      <c r="AC64" s="47" t="n"/>
      <c r="AD64" s="47" t="n"/>
      <c r="AE64" s="47" t="n"/>
      <c r="AF64" s="47" t="n"/>
      <c r="AG64" s="47" t="n"/>
      <c r="AH64" s="47" t="n"/>
      <c r="AI64" s="47" t="n"/>
      <c r="AJ64" s="47" t="n"/>
      <c r="AK64" s="47" t="n"/>
      <c r="AL64" s="47" t="n"/>
      <c r="AM64" s="47" t="n"/>
      <c r="AN64" s="47" t="n"/>
      <c r="AO64" s="47" t="n"/>
      <c r="AP64" s="47" t="n"/>
      <c r="AQ64" s="47" t="n"/>
      <c r="AR64" s="47" t="n"/>
      <c r="AS64" s="47" t="n"/>
      <c r="AT64" s="47" t="n"/>
      <c r="AU64" s="47" t="n"/>
      <c r="AV64" s="47" t="n"/>
      <c r="AW64" s="47" t="n"/>
      <c r="AX64" s="47" t="n"/>
      <c r="AY64" s="47" t="n"/>
      <c r="AZ64" s="47" t="n"/>
      <c r="BA64" s="47" t="n"/>
      <c r="BB64" s="47" t="n"/>
      <c r="BC64" s="47" t="n"/>
      <c r="BD64" s="47" t="n"/>
      <c r="BE64" s="47" t="n"/>
      <c r="BF64" s="47" t="n"/>
      <c r="BG64" s="47" t="n"/>
      <c r="BH64" s="47" t="n"/>
      <c r="BI64" s="47" t="n"/>
      <c r="BJ64" s="47" t="n"/>
      <c r="BK64" s="47" t="n"/>
      <c r="BL64" s="47" t="n"/>
      <c r="BM64" s="47" t="n"/>
      <c r="BN64" s="47" t="n"/>
      <c r="BO64" s="47" t="n"/>
      <c r="BP64" s="47" t="n"/>
      <c r="BQ64" s="47" t="n"/>
      <c r="BR64" s="47" t="n"/>
      <c r="BS64" s="47" t="n"/>
      <c r="BT64" s="47" t="n"/>
      <c r="BU64" s="47" t="n"/>
      <c r="BV64" s="47" t="n"/>
      <c r="BW64" s="47" t="n"/>
      <c r="BX64" s="47" t="n"/>
    </row>
  </sheetData>
  <autoFilter ref="A1:BN61">
    <filterColumn colId="2" hiddenButton="0" showButton="1">
      <filters>
        <filter val="0.98%"/>
        <filter val="103.125"/>
        <filter val="109.375"/>
        <filter val="140.625"/>
        <filter val="156.25"/>
        <filter val="2360"/>
        <filter val="25"/>
        <filter val="353.43"/>
        <filter val="4,320.91"/>
        <filter val="452.8125"/>
        <filter val="458.734375"/>
        <filter val="46.875"/>
        <filter val="468.75"/>
        <filter val="5,496.71"/>
        <filter val="5.52"/>
        <filter val="51.5625"/>
        <filter val="748.61"/>
        <filter val="78.125"/>
        <filter val="93.75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BI66"/>
  <sheetViews>
    <sheetView workbookViewId="0">
      <selection activeCell="A1" sqref="A1"/>
    </sheetView>
  </sheetViews>
  <sheetFormatPr baseColWidth="8" defaultColWidth="14.42578125" defaultRowHeight="15" customHeight="1"/>
  <cols>
    <col width="24.28515625" customWidth="1" min="2" max="2"/>
    <col width="30.85546875" customWidth="1" min="3" max="3"/>
    <col width="16" customWidth="1" min="4" max="4"/>
    <col width="32.7109375" customWidth="1" min="5" max="5"/>
    <col width="24.42578125" customWidth="1" min="6" max="6"/>
    <col width="18.42578125" customWidth="1" min="7" max="7"/>
    <col width="20.42578125" customWidth="1" min="8" max="8"/>
    <col width="20.28515625" customWidth="1" min="9" max="9"/>
    <col width="13.42578125" customWidth="1" min="10" max="10"/>
    <col width="16.140625" customWidth="1" min="11" max="11"/>
    <col width="20.42578125" customWidth="1" min="12" max="12"/>
    <col width="17.42578125" customWidth="1" min="13" max="13"/>
    <col width="14.28515625" customWidth="1" min="14" max="14"/>
    <col width="10.42578125" customWidth="1" min="15" max="15"/>
    <col width="15.42578125" customWidth="1" min="16" max="16"/>
    <col width="17.140625" customWidth="1" min="17" max="17"/>
    <col width="17.42578125" customWidth="1" min="18" max="18"/>
    <col width="18.42578125" customWidth="1" min="19" max="19"/>
    <col width="11.42578125" customWidth="1" min="20" max="20"/>
    <col width="23.140625" customWidth="1" min="21" max="21"/>
    <col width="14.140625" customWidth="1" min="22" max="22"/>
    <col width="19.42578125" customWidth="1" min="23" max="23"/>
    <col width="20.42578125" customWidth="1" min="24" max="24"/>
    <col width="25.140625" customWidth="1" min="59" max="60"/>
  </cols>
  <sheetData>
    <row r="1">
      <c r="A1" s="100">
        <f t="array" ref="A1:BI66">TRANSPOSE('July2026-EXPENSE-Flatwise'!A1:BN61)</f>
        <v/>
      </c>
      <c r="B1" s="100" t="inlineStr">
        <is>
          <t>Water consumption (Litres)</t>
        </is>
      </c>
      <c r="C1" s="100" t="inlineStr">
        <is>
          <t>Water consumption (%age of total)</t>
        </is>
      </c>
      <c r="D1" s="100" t="inlineStr">
        <is>
          <t>Water meter rent</t>
        </is>
      </c>
      <c r="E1" s="100" t="inlineStr">
        <is>
          <t>Common meter rent (eq. distributed)</t>
        </is>
      </c>
      <c r="F1" s="100" t="inlineStr">
        <is>
          <t>Total water related expense</t>
        </is>
      </c>
      <c r="G1" s="100" t="inlineStr">
        <is>
          <t>Society Parking Rent</t>
        </is>
      </c>
      <c r="H1" s="100" t="inlineStr">
        <is>
          <t>Clubhouse booking fee</t>
        </is>
      </c>
      <c r="I1" s="100" t="inlineStr">
        <is>
          <t>Moving in/out charges</t>
        </is>
      </c>
      <c r="J1" s="100" t="inlineStr">
        <is>
          <t>Gym usage fee</t>
        </is>
      </c>
      <c r="K1" s="39" t="inlineStr">
        <is>
          <t>DRINKING WATER
SLN WATER SUP</t>
        </is>
      </c>
      <c r="L1" s="39" t="inlineStr">
        <is>
          <t>STP SLUDGE CLEANING
BALAJI</t>
        </is>
      </c>
      <c r="M1" s="39" t="inlineStr">
        <is>
          <t>STP MAINTENANCE</t>
        </is>
      </c>
      <c r="N1" s="39" t="inlineStr">
        <is>
          <t>STP MATERIALS</t>
        </is>
      </c>
      <c r="O1" s="39" t="inlineStr">
        <is>
          <t>STP REPAIR</t>
        </is>
      </c>
      <c r="P1" s="39" t="inlineStr">
        <is>
          <t xml:space="preserve">COMMON 
ELECTRICITY BILL
</t>
        </is>
      </c>
      <c r="Q1" s="39" t="inlineStr">
        <is>
          <t>BECOM Service tax</t>
        </is>
      </c>
      <c r="R1" s="39" t="inlineStr">
        <is>
          <t>SECURITY SERVICES</t>
        </is>
      </c>
      <c r="S1" s="39" t="inlineStr">
        <is>
          <t>GARBAGE REMOVAL</t>
        </is>
      </c>
      <c r="T1" s="39" t="inlineStr">
        <is>
          <t>PETTY CASH</t>
        </is>
      </c>
      <c r="U1" s="39" t="inlineStr">
        <is>
          <t>ELEVATOR MAINTENANCE</t>
        </is>
      </c>
      <c r="V1" s="39" t="inlineStr">
        <is>
          <t>MOTOR REPAIR</t>
        </is>
      </c>
      <c r="W1" s="39" t="inlineStr">
        <is>
          <t>PLUMBING MATERIAL</t>
        </is>
      </c>
      <c r="X1" s="39" t="inlineStr">
        <is>
          <t>ELECTRICITY MATERIAL</t>
        </is>
      </c>
      <c r="Y1" s="39" t="inlineStr">
        <is>
          <t>ELECTRICITY MATERIAL</t>
        </is>
      </c>
      <c r="Z1" s="39" t="inlineStr">
        <is>
          <t>TRANSFORMER REPAIR</t>
        </is>
      </c>
      <c r="AA1" s="39" t="inlineStr">
        <is>
          <t>GENERATOR MAINTENANCE
EPITOME</t>
        </is>
      </c>
      <c r="AB1" s="39" t="inlineStr">
        <is>
          <t>GARDENING</t>
        </is>
      </c>
      <c r="AC1" s="39" t="inlineStr">
        <is>
          <t>PLUMBER WAGE</t>
        </is>
      </c>
      <c r="AD1" s="39" t="inlineStr">
        <is>
          <t>ELECTRICIAN WAGE</t>
        </is>
      </c>
      <c r="AE1" s="39" t="inlineStr">
        <is>
          <t>MANAGER WAGE</t>
        </is>
      </c>
      <c r="AF1" s="39" t="inlineStr">
        <is>
          <t>DRIED LEAVES REMOVAL</t>
        </is>
      </c>
      <c r="AG1" s="39" t="inlineStr">
        <is>
          <t>ACCOUNTING</t>
        </is>
      </c>
      <c r="AH1" s="39" t="inlineStr">
        <is>
          <t>HOUSE KEEPING MATERIALS</t>
        </is>
      </c>
      <c r="AI1" s="39" t="e">
        <v>#N/A</v>
      </c>
      <c r="AJ1" s="39" t="e">
        <v>#N/A</v>
      </c>
      <c r="AK1" s="39" t="e">
        <v>#N/A</v>
      </c>
      <c r="AL1" s="39" t="e">
        <v>#N/A</v>
      </c>
      <c r="AM1" s="39" t="e">
        <v>#N/A</v>
      </c>
      <c r="AN1" s="39" t="e">
        <v>#N/A</v>
      </c>
      <c r="AO1" s="39" t="e">
        <v>#N/A</v>
      </c>
      <c r="AP1" s="39" t="e">
        <v>#N/A</v>
      </c>
      <c r="AQ1" s="39" t="e">
        <v>#N/A</v>
      </c>
      <c r="AR1" s="39" t="e">
        <v>#N/A</v>
      </c>
      <c r="AS1" s="39" t="e">
        <v>#N/A</v>
      </c>
      <c r="AT1" s="39" t="e">
        <v>#N/A</v>
      </c>
      <c r="AU1" s="39" t="e">
        <v>#N/A</v>
      </c>
      <c r="AV1" s="39" t="e">
        <v>#N/A</v>
      </c>
      <c r="AW1" s="39" t="e">
        <v>#N/A</v>
      </c>
      <c r="AX1" s="39" t="e">
        <v>#N/A</v>
      </c>
      <c r="AY1" s="39" t="e">
        <v>#N/A</v>
      </c>
      <c r="AZ1" s="39" t="e">
        <v>#N/A</v>
      </c>
      <c r="BA1" s="39" t="e">
        <v>#N/A</v>
      </c>
      <c r="BB1" s="39" t="e">
        <v>#N/A</v>
      </c>
      <c r="BC1" s="39" t="e">
        <v>#N/A</v>
      </c>
      <c r="BD1" s="39" t="e">
        <v>#N/A</v>
      </c>
      <c r="BE1" s="39" t="e">
        <v>#N/A</v>
      </c>
      <c r="BF1" s="39" t="e">
        <v>#N/A</v>
      </c>
      <c r="BG1" s="39" t="e">
        <v>#N/A</v>
      </c>
      <c r="BH1" s="39" t="e">
        <v>#N/A</v>
      </c>
      <c r="BI1" s="39" t="e">
        <v>#N/A</v>
      </c>
    </row>
    <row r="2">
      <c r="A2" s="4" t="n">
        <v>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6" t="n">
        <v>0</v>
      </c>
      <c r="L2" s="6" t="n">
        <v>0</v>
      </c>
      <c r="M2" s="6" t="n">
        <v>0</v>
      </c>
      <c r="N2" s="6" t="n">
        <v>0</v>
      </c>
      <c r="O2" s="6" t="n">
        <v>0</v>
      </c>
      <c r="P2" s="6" t="n">
        <v>0</v>
      </c>
      <c r="Q2" s="6" t="n">
        <v>0</v>
      </c>
      <c r="R2" s="6" t="n">
        <v>0</v>
      </c>
      <c r="S2" s="6" t="n">
        <v>0</v>
      </c>
      <c r="T2" s="6" t="n">
        <v>0</v>
      </c>
      <c r="U2" s="6" t="n">
        <v>0</v>
      </c>
      <c r="V2" s="6" t="n">
        <v>0</v>
      </c>
      <c r="W2" s="6" t="n">
        <v>0</v>
      </c>
      <c r="X2" s="6" t="n">
        <v>0</v>
      </c>
      <c r="Y2" s="6" t="n">
        <v>0</v>
      </c>
      <c r="Z2" s="6" t="n">
        <v>0</v>
      </c>
      <c r="AA2" s="6" t="n">
        <v>0</v>
      </c>
      <c r="AB2" s="6" t="n">
        <v>0</v>
      </c>
      <c r="AC2" s="6" t="n">
        <v>0</v>
      </c>
      <c r="AD2" s="6" t="n">
        <v>0</v>
      </c>
      <c r="AE2" s="6" t="n">
        <v>0</v>
      </c>
      <c r="AF2" s="6" t="n">
        <v>0</v>
      </c>
      <c r="AG2" s="6" t="n">
        <v>0</v>
      </c>
      <c r="AH2" s="6" t="n">
        <v>0</v>
      </c>
      <c r="AI2" s="6" t="e">
        <v>#N/A</v>
      </c>
      <c r="AJ2" s="6" t="e">
        <v>#N/A</v>
      </c>
      <c r="AK2" s="6" t="e">
        <v>#N/A</v>
      </c>
      <c r="AL2" s="6" t="e">
        <v>#N/A</v>
      </c>
      <c r="AM2" s="6" t="e">
        <v>#N/A</v>
      </c>
      <c r="AN2" s="6" t="e">
        <v>#N/A</v>
      </c>
      <c r="AO2" s="6" t="e">
        <v>#N/A</v>
      </c>
      <c r="AP2" s="6" t="e">
        <v>#N/A</v>
      </c>
      <c r="AQ2" s="6" t="e">
        <v>#N/A</v>
      </c>
      <c r="AR2" s="6" t="e">
        <v>#N/A</v>
      </c>
      <c r="AS2" s="6" t="e">
        <v>#N/A</v>
      </c>
      <c r="AT2" s="6" t="e">
        <v>#N/A</v>
      </c>
      <c r="AU2" s="6" t="e">
        <v>#N/A</v>
      </c>
      <c r="AV2" s="6" t="e">
        <v>#N/A</v>
      </c>
      <c r="AW2" s="6" t="e">
        <v>#N/A</v>
      </c>
      <c r="AX2" s="6" t="e">
        <v>#N/A</v>
      </c>
      <c r="AY2" s="6" t="e">
        <v>#N/A</v>
      </c>
      <c r="AZ2" s="6" t="e">
        <v>#N/A</v>
      </c>
      <c r="BA2" s="6" t="e">
        <v>#N/A</v>
      </c>
      <c r="BB2" s="6" t="e">
        <v>#N/A</v>
      </c>
      <c r="BC2" s="6" t="e">
        <v>#N/A</v>
      </c>
      <c r="BD2" s="6" t="e">
        <v>#N/A</v>
      </c>
      <c r="BE2" s="6" t="e">
        <v>#N/A</v>
      </c>
      <c r="BF2" s="6" t="e">
        <v>#N/A</v>
      </c>
      <c r="BG2" s="6" t="e">
        <v>#N/A</v>
      </c>
      <c r="BH2" s="6" t="e">
        <v>#N/A</v>
      </c>
      <c r="BI2" s="4" t="e">
        <v>#N/A</v>
      </c>
    </row>
    <row r="3">
      <c r="A3" s="37" t="inlineStr">
        <is>
          <t>F1</t>
        </is>
      </c>
      <c r="B3" s="40" t="n">
        <v>0</v>
      </c>
      <c r="C3" s="64" t="n">
        <v>0</v>
      </c>
      <c r="D3" s="41" t="n">
        <v>353.434977</v>
      </c>
      <c r="E3" s="41" t="n">
        <v>5.522421515625</v>
      </c>
      <c r="F3" s="41" t="n">
        <v>358.957398515625</v>
      </c>
      <c r="G3" s="41" t="n">
        <v>0</v>
      </c>
      <c r="H3" s="41" t="n">
        <v>0</v>
      </c>
      <c r="I3" s="41" t="n">
        <v>0</v>
      </c>
      <c r="J3" s="41" t="n">
        <v>0</v>
      </c>
      <c r="K3" s="104" t="n">
        <v>0</v>
      </c>
      <c r="L3" s="104" t="n">
        <v>0</v>
      </c>
      <c r="M3" s="104" t="n">
        <v>0</v>
      </c>
      <c r="N3" s="104" t="n">
        <v>0</v>
      </c>
      <c r="O3" s="104" t="n">
        <v>0</v>
      </c>
      <c r="P3" s="104" t="n">
        <v>0</v>
      </c>
      <c r="Q3" s="104" t="n">
        <v>0</v>
      </c>
      <c r="R3" s="104" t="n">
        <v>0</v>
      </c>
      <c r="S3" s="104" t="n">
        <v>0</v>
      </c>
      <c r="T3" s="104" t="n">
        <v>0</v>
      </c>
      <c r="U3" s="104" t="n">
        <v>0</v>
      </c>
      <c r="V3" s="104" t="n">
        <v>0</v>
      </c>
      <c r="W3" s="104" t="n">
        <v>0</v>
      </c>
      <c r="X3" s="104" t="n">
        <v>0</v>
      </c>
      <c r="Y3" s="104" t="n">
        <v>0</v>
      </c>
      <c r="Z3" s="104" t="n">
        <v>0</v>
      </c>
      <c r="AA3" s="104" t="n">
        <v>0</v>
      </c>
      <c r="AB3" s="104" t="n">
        <v>0</v>
      </c>
      <c r="AC3" s="104" t="n">
        <v>0</v>
      </c>
      <c r="AD3" s="104" t="n">
        <v>0</v>
      </c>
      <c r="AE3" s="104" t="n">
        <v>0</v>
      </c>
      <c r="AF3" s="104" t="n">
        <v>0</v>
      </c>
      <c r="AG3" s="104" t="n">
        <v>0</v>
      </c>
      <c r="AH3" s="104" t="n">
        <v>0</v>
      </c>
      <c r="AI3" s="104" t="e">
        <v>#N/A</v>
      </c>
      <c r="AJ3" s="104" t="e">
        <v>#N/A</v>
      </c>
      <c r="AK3" s="104" t="e">
        <v>#N/A</v>
      </c>
      <c r="AL3" s="104" t="e">
        <v>#N/A</v>
      </c>
      <c r="AM3" s="104" t="e">
        <v>#N/A</v>
      </c>
      <c r="AN3" s="104" t="e">
        <v>#N/A</v>
      </c>
      <c r="AO3" s="104" t="e">
        <v>#N/A</v>
      </c>
      <c r="AP3" s="104" t="e">
        <v>#N/A</v>
      </c>
      <c r="AQ3" s="104" t="e">
        <v>#N/A</v>
      </c>
      <c r="AR3" s="104" t="e">
        <v>#N/A</v>
      </c>
      <c r="AS3" s="104" t="e">
        <v>#N/A</v>
      </c>
      <c r="AT3" s="104" t="e">
        <v>#N/A</v>
      </c>
      <c r="AU3" s="104" t="e">
        <v>#N/A</v>
      </c>
      <c r="AV3" s="104" t="e">
        <v>#N/A</v>
      </c>
      <c r="AW3" s="104" t="e">
        <v>#N/A</v>
      </c>
      <c r="AX3" s="104" t="e">
        <v>#N/A</v>
      </c>
      <c r="AY3" s="104" t="e">
        <v>#N/A</v>
      </c>
      <c r="AZ3" s="104" t="e">
        <v>#N/A</v>
      </c>
      <c r="BA3" s="104" t="e">
        <v>#N/A</v>
      </c>
      <c r="BB3" s="104" t="e">
        <v>#N/A</v>
      </c>
      <c r="BC3" s="104" t="e">
        <v>#N/A</v>
      </c>
      <c r="BD3" s="104" t="e">
        <v>#N/A</v>
      </c>
      <c r="BE3" s="104" t="e">
        <v>#N/A</v>
      </c>
      <c r="BF3" s="104" t="e">
        <v>#N/A</v>
      </c>
      <c r="BG3" s="104" t="e">
        <v>#N/A</v>
      </c>
      <c r="BH3" s="104" t="e">
        <v>#N/A</v>
      </c>
      <c r="BI3" s="41" t="e">
        <v>#N/A</v>
      </c>
    </row>
    <row r="4">
      <c r="A4" s="36" t="inlineStr">
        <is>
          <t>F2</t>
        </is>
      </c>
      <c r="B4" s="42" t="n">
        <v>0</v>
      </c>
      <c r="C4" s="65" t="n">
        <v>0</v>
      </c>
      <c r="D4" s="43" t="n">
        <v>471.246636</v>
      </c>
      <c r="E4" s="43" t="n">
        <v>5.522421515625</v>
      </c>
      <c r="F4" s="43" t="n">
        <v>476.769057515625</v>
      </c>
      <c r="G4" s="43" t="n">
        <v>0</v>
      </c>
      <c r="H4" s="43" t="n">
        <v>0</v>
      </c>
      <c r="I4" s="43" t="n">
        <v>0</v>
      </c>
      <c r="J4" s="43" t="n">
        <v>0</v>
      </c>
      <c r="K4" s="47" t="n">
        <v>0</v>
      </c>
      <c r="L4" s="47" t="n">
        <v>0</v>
      </c>
      <c r="M4" s="47" t="n">
        <v>0</v>
      </c>
      <c r="N4" s="47" t="n">
        <v>0</v>
      </c>
      <c r="O4" s="47" t="n">
        <v>0</v>
      </c>
      <c r="P4" s="47" t="n">
        <v>0</v>
      </c>
      <c r="Q4" s="47" t="n">
        <v>0</v>
      </c>
      <c r="R4" s="47" t="n">
        <v>0</v>
      </c>
      <c r="S4" s="47" t="n">
        <v>0</v>
      </c>
      <c r="T4" s="47" t="n">
        <v>0</v>
      </c>
      <c r="U4" s="47" t="n">
        <v>0</v>
      </c>
      <c r="V4" s="47" t="n">
        <v>0</v>
      </c>
      <c r="W4" s="47" t="n">
        <v>0</v>
      </c>
      <c r="X4" s="47" t="n">
        <v>0</v>
      </c>
      <c r="Y4" s="47" t="n">
        <v>0</v>
      </c>
      <c r="Z4" s="47" t="n">
        <v>0</v>
      </c>
      <c r="AA4" s="47" t="n">
        <v>0</v>
      </c>
      <c r="AB4" s="47" t="n">
        <v>0</v>
      </c>
      <c r="AC4" s="47" t="n">
        <v>0</v>
      </c>
      <c r="AD4" s="47" t="n">
        <v>0</v>
      </c>
      <c r="AE4" s="47" t="n">
        <v>0</v>
      </c>
      <c r="AF4" s="47" t="n">
        <v>0</v>
      </c>
      <c r="AG4" s="47" t="n">
        <v>0</v>
      </c>
      <c r="AH4" s="47" t="n">
        <v>0</v>
      </c>
      <c r="AI4" s="47" t="e">
        <v>#N/A</v>
      </c>
      <c r="AJ4" s="47" t="e">
        <v>#N/A</v>
      </c>
      <c r="AK4" s="47" t="e">
        <v>#N/A</v>
      </c>
      <c r="AL4" s="47" t="e">
        <v>#N/A</v>
      </c>
      <c r="AM4" s="47" t="e">
        <v>#N/A</v>
      </c>
      <c r="AN4" s="47" t="e">
        <v>#N/A</v>
      </c>
      <c r="AO4" s="47" t="e">
        <v>#N/A</v>
      </c>
      <c r="AP4" s="47" t="e">
        <v>#N/A</v>
      </c>
      <c r="AQ4" s="47" t="e">
        <v>#N/A</v>
      </c>
      <c r="AR4" s="47" t="e">
        <v>#N/A</v>
      </c>
      <c r="AS4" s="47" t="e">
        <v>#N/A</v>
      </c>
      <c r="AT4" s="47" t="e">
        <v>#N/A</v>
      </c>
      <c r="AU4" s="47" t="e">
        <v>#N/A</v>
      </c>
      <c r="AV4" s="47" t="e">
        <v>#N/A</v>
      </c>
      <c r="AW4" s="47" t="e">
        <v>#N/A</v>
      </c>
      <c r="AX4" s="47" t="e">
        <v>#N/A</v>
      </c>
      <c r="AY4" s="47" t="e">
        <v>#N/A</v>
      </c>
      <c r="AZ4" s="47" t="e">
        <v>#N/A</v>
      </c>
      <c r="BA4" s="47" t="e">
        <v>#N/A</v>
      </c>
      <c r="BB4" s="47" t="e">
        <v>#N/A</v>
      </c>
      <c r="BC4" s="47" t="e">
        <v>#N/A</v>
      </c>
      <c r="BD4" s="47" t="e">
        <v>#N/A</v>
      </c>
      <c r="BE4" s="47" t="e">
        <v>#N/A</v>
      </c>
      <c r="BF4" s="47" t="e">
        <v>#N/A</v>
      </c>
      <c r="BG4" s="47" t="e">
        <v>#N/A</v>
      </c>
      <c r="BH4" s="47" t="e">
        <v>#N/A</v>
      </c>
      <c r="BI4" s="43" t="e">
        <v>#N/A</v>
      </c>
    </row>
    <row r="5">
      <c r="A5" s="37" t="inlineStr">
        <is>
          <t>F3</t>
        </is>
      </c>
      <c r="B5" s="40" t="n">
        <v>0</v>
      </c>
      <c r="C5" s="64" t="n">
        <v>0</v>
      </c>
      <c r="D5" s="41" t="n">
        <v>471.246636</v>
      </c>
      <c r="E5" s="41" t="n">
        <v>5.522421515625</v>
      </c>
      <c r="F5" s="41" t="n">
        <v>476.769057515625</v>
      </c>
      <c r="G5" s="41" t="n">
        <v>0</v>
      </c>
      <c r="H5" s="41" t="n">
        <v>0</v>
      </c>
      <c r="I5" s="41" t="n">
        <v>0</v>
      </c>
      <c r="J5" s="41" t="n">
        <v>0</v>
      </c>
      <c r="K5" s="104" t="n">
        <v>0</v>
      </c>
      <c r="L5" s="104" t="n">
        <v>0</v>
      </c>
      <c r="M5" s="104" t="n">
        <v>0</v>
      </c>
      <c r="N5" s="104" t="n">
        <v>0</v>
      </c>
      <c r="O5" s="104" t="n">
        <v>0</v>
      </c>
      <c r="P5" s="104" t="n">
        <v>0</v>
      </c>
      <c r="Q5" s="104" t="n">
        <v>0</v>
      </c>
      <c r="R5" s="104" t="n">
        <v>0</v>
      </c>
      <c r="S5" s="104" t="n">
        <v>0</v>
      </c>
      <c r="T5" s="104" t="n">
        <v>0</v>
      </c>
      <c r="U5" s="104" t="n">
        <v>0</v>
      </c>
      <c r="V5" s="104" t="n">
        <v>0</v>
      </c>
      <c r="W5" s="104" t="n">
        <v>0</v>
      </c>
      <c r="X5" s="104" t="n">
        <v>0</v>
      </c>
      <c r="Y5" s="104" t="n">
        <v>0</v>
      </c>
      <c r="Z5" s="104" t="n">
        <v>0</v>
      </c>
      <c r="AA5" s="104" t="n">
        <v>0</v>
      </c>
      <c r="AB5" s="104" t="n">
        <v>0</v>
      </c>
      <c r="AC5" s="104" t="n">
        <v>0</v>
      </c>
      <c r="AD5" s="104" t="n">
        <v>0</v>
      </c>
      <c r="AE5" s="104" t="n">
        <v>0</v>
      </c>
      <c r="AF5" s="104" t="n">
        <v>0</v>
      </c>
      <c r="AG5" s="104" t="n">
        <v>0</v>
      </c>
      <c r="AH5" s="104" t="n">
        <v>0</v>
      </c>
      <c r="AI5" s="104" t="e">
        <v>#N/A</v>
      </c>
      <c r="AJ5" s="104" t="e">
        <v>#N/A</v>
      </c>
      <c r="AK5" s="104" t="e">
        <v>#N/A</v>
      </c>
      <c r="AL5" s="104" t="e">
        <v>#N/A</v>
      </c>
      <c r="AM5" s="104" t="e">
        <v>#N/A</v>
      </c>
      <c r="AN5" s="104" t="e">
        <v>#N/A</v>
      </c>
      <c r="AO5" s="104" t="e">
        <v>#N/A</v>
      </c>
      <c r="AP5" s="104" t="e">
        <v>#N/A</v>
      </c>
      <c r="AQ5" s="104" t="e">
        <v>#N/A</v>
      </c>
      <c r="AR5" s="104" t="e">
        <v>#N/A</v>
      </c>
      <c r="AS5" s="104" t="e">
        <v>#N/A</v>
      </c>
      <c r="AT5" s="104" t="e">
        <v>#N/A</v>
      </c>
      <c r="AU5" s="104" t="e">
        <v>#N/A</v>
      </c>
      <c r="AV5" s="104" t="e">
        <v>#N/A</v>
      </c>
      <c r="AW5" s="104" t="e">
        <v>#N/A</v>
      </c>
      <c r="AX5" s="104" t="e">
        <v>#N/A</v>
      </c>
      <c r="AY5" s="104" t="e">
        <v>#N/A</v>
      </c>
      <c r="AZ5" s="104" t="e">
        <v>#N/A</v>
      </c>
      <c r="BA5" s="104" t="e">
        <v>#N/A</v>
      </c>
      <c r="BB5" s="104" t="e">
        <v>#N/A</v>
      </c>
      <c r="BC5" s="104" t="e">
        <v>#N/A</v>
      </c>
      <c r="BD5" s="104" t="e">
        <v>#N/A</v>
      </c>
      <c r="BE5" s="104" t="e">
        <v>#N/A</v>
      </c>
      <c r="BF5" s="104" t="e">
        <v>#N/A</v>
      </c>
      <c r="BG5" s="104" t="e">
        <v>#N/A</v>
      </c>
      <c r="BH5" s="104" t="e">
        <v>#N/A</v>
      </c>
      <c r="BI5" s="41" t="e">
        <v>#N/A</v>
      </c>
    </row>
    <row r="6">
      <c r="A6" s="36" t="inlineStr">
        <is>
          <t>F4</t>
        </is>
      </c>
      <c r="B6" s="42" t="n">
        <v>0</v>
      </c>
      <c r="C6" s="65" t="n">
        <v>0</v>
      </c>
      <c r="D6" s="43" t="n">
        <v>471.246636</v>
      </c>
      <c r="E6" s="43" t="n">
        <v>5.522421515625</v>
      </c>
      <c r="F6" s="43" t="n">
        <v>476.769057515625</v>
      </c>
      <c r="G6" s="43" t="n">
        <v>0</v>
      </c>
      <c r="H6" s="43" t="n">
        <v>0</v>
      </c>
      <c r="I6" s="43" t="n">
        <v>0</v>
      </c>
      <c r="J6" s="43" t="n">
        <v>0</v>
      </c>
      <c r="K6" s="47" t="n">
        <v>0</v>
      </c>
      <c r="L6" s="47" t="n">
        <v>0</v>
      </c>
      <c r="M6" s="47" t="n">
        <v>0</v>
      </c>
      <c r="N6" s="47" t="n">
        <v>0</v>
      </c>
      <c r="O6" s="47" t="n">
        <v>0</v>
      </c>
      <c r="P6" s="47" t="n">
        <v>0</v>
      </c>
      <c r="Q6" s="47" t="n">
        <v>0</v>
      </c>
      <c r="R6" s="47" t="n">
        <v>0</v>
      </c>
      <c r="S6" s="47" t="n">
        <v>0</v>
      </c>
      <c r="T6" s="47" t="n">
        <v>0</v>
      </c>
      <c r="U6" s="47" t="n">
        <v>0</v>
      </c>
      <c r="V6" s="47" t="n">
        <v>0</v>
      </c>
      <c r="W6" s="47" t="n">
        <v>0</v>
      </c>
      <c r="X6" s="47" t="n">
        <v>0</v>
      </c>
      <c r="Y6" s="47" t="n">
        <v>0</v>
      </c>
      <c r="Z6" s="47" t="n">
        <v>0</v>
      </c>
      <c r="AA6" s="47" t="n">
        <v>0</v>
      </c>
      <c r="AB6" s="47" t="n">
        <v>0</v>
      </c>
      <c r="AC6" s="47" t="n">
        <v>0</v>
      </c>
      <c r="AD6" s="47" t="n">
        <v>0</v>
      </c>
      <c r="AE6" s="47" t="n">
        <v>0</v>
      </c>
      <c r="AF6" s="47" t="n">
        <v>0</v>
      </c>
      <c r="AG6" s="47" t="n">
        <v>0</v>
      </c>
      <c r="AH6" s="47" t="n">
        <v>0</v>
      </c>
      <c r="AI6" s="47" t="e">
        <v>#N/A</v>
      </c>
      <c r="AJ6" s="47" t="e">
        <v>#N/A</v>
      </c>
      <c r="AK6" s="47" t="e">
        <v>#N/A</v>
      </c>
      <c r="AL6" s="47" t="e">
        <v>#N/A</v>
      </c>
      <c r="AM6" s="47" t="e">
        <v>#N/A</v>
      </c>
      <c r="AN6" s="47" t="e">
        <v>#N/A</v>
      </c>
      <c r="AO6" s="47" t="e">
        <v>#N/A</v>
      </c>
      <c r="AP6" s="47" t="e">
        <v>#N/A</v>
      </c>
      <c r="AQ6" s="47" t="e">
        <v>#N/A</v>
      </c>
      <c r="AR6" s="47" t="e">
        <v>#N/A</v>
      </c>
      <c r="AS6" s="47" t="e">
        <v>#N/A</v>
      </c>
      <c r="AT6" s="47" t="e">
        <v>#N/A</v>
      </c>
      <c r="AU6" s="47" t="e">
        <v>#N/A</v>
      </c>
      <c r="AV6" s="47" t="e">
        <v>#N/A</v>
      </c>
      <c r="AW6" s="47" t="e">
        <v>#N/A</v>
      </c>
      <c r="AX6" s="47" t="e">
        <v>#N/A</v>
      </c>
      <c r="AY6" s="47" t="e">
        <v>#N/A</v>
      </c>
      <c r="AZ6" s="47" t="e">
        <v>#N/A</v>
      </c>
      <c r="BA6" s="47" t="e">
        <v>#N/A</v>
      </c>
      <c r="BB6" s="47" t="e">
        <v>#N/A</v>
      </c>
      <c r="BC6" s="47" t="e">
        <v>#N/A</v>
      </c>
      <c r="BD6" s="47" t="e">
        <v>#N/A</v>
      </c>
      <c r="BE6" s="47" t="e">
        <v>#N/A</v>
      </c>
      <c r="BF6" s="47" t="e">
        <v>#N/A</v>
      </c>
      <c r="BG6" s="47" t="e">
        <v>#N/A</v>
      </c>
      <c r="BH6" s="47" t="e">
        <v>#N/A</v>
      </c>
      <c r="BI6" s="43" t="e">
        <v>#N/A</v>
      </c>
    </row>
    <row r="7">
      <c r="A7" s="37" t="inlineStr">
        <is>
          <t>F5</t>
        </is>
      </c>
      <c r="B7" s="40" t="n">
        <v>0</v>
      </c>
      <c r="C7" s="64" t="n">
        <v>0</v>
      </c>
      <c r="D7" s="41" t="n">
        <v>353.434977</v>
      </c>
      <c r="E7" s="41" t="n">
        <v>5.522421515625</v>
      </c>
      <c r="F7" s="41" t="n">
        <v>358.957398515625</v>
      </c>
      <c r="G7" s="41" t="n">
        <v>0</v>
      </c>
      <c r="H7" s="41" t="n">
        <v>0</v>
      </c>
      <c r="I7" s="41" t="n">
        <v>0</v>
      </c>
      <c r="J7" s="41" t="n">
        <v>0</v>
      </c>
      <c r="K7" s="104" t="n">
        <v>0</v>
      </c>
      <c r="L7" s="104" t="n">
        <v>0</v>
      </c>
      <c r="M7" s="104" t="n">
        <v>0</v>
      </c>
      <c r="N7" s="104" t="n">
        <v>0</v>
      </c>
      <c r="O7" s="104" t="n">
        <v>0</v>
      </c>
      <c r="P7" s="104" t="n">
        <v>0</v>
      </c>
      <c r="Q7" s="104" t="n">
        <v>0</v>
      </c>
      <c r="R7" s="104" t="n">
        <v>0</v>
      </c>
      <c r="S7" s="104" t="n">
        <v>0</v>
      </c>
      <c r="T7" s="104" t="n">
        <v>0</v>
      </c>
      <c r="U7" s="104" t="n">
        <v>0</v>
      </c>
      <c r="V7" s="104" t="n">
        <v>0</v>
      </c>
      <c r="W7" s="104" t="n">
        <v>0</v>
      </c>
      <c r="X7" s="104" t="n">
        <v>0</v>
      </c>
      <c r="Y7" s="104" t="n">
        <v>0</v>
      </c>
      <c r="Z7" s="104" t="n">
        <v>0</v>
      </c>
      <c r="AA7" s="104" t="n">
        <v>0</v>
      </c>
      <c r="AB7" s="104" t="n">
        <v>0</v>
      </c>
      <c r="AC7" s="104" t="n">
        <v>0</v>
      </c>
      <c r="AD7" s="104" t="n">
        <v>0</v>
      </c>
      <c r="AE7" s="104" t="n">
        <v>0</v>
      </c>
      <c r="AF7" s="104" t="n">
        <v>0</v>
      </c>
      <c r="AG7" s="104" t="n">
        <v>0</v>
      </c>
      <c r="AH7" s="104" t="n">
        <v>0</v>
      </c>
      <c r="AI7" s="104" t="e">
        <v>#N/A</v>
      </c>
      <c r="AJ7" s="104" t="e">
        <v>#N/A</v>
      </c>
      <c r="AK7" s="104" t="e">
        <v>#N/A</v>
      </c>
      <c r="AL7" s="104" t="e">
        <v>#N/A</v>
      </c>
      <c r="AM7" s="104" t="e">
        <v>#N/A</v>
      </c>
      <c r="AN7" s="104" t="e">
        <v>#N/A</v>
      </c>
      <c r="AO7" s="104" t="e">
        <v>#N/A</v>
      </c>
      <c r="AP7" s="104" t="e">
        <v>#N/A</v>
      </c>
      <c r="AQ7" s="104" t="e">
        <v>#N/A</v>
      </c>
      <c r="AR7" s="104" t="e">
        <v>#N/A</v>
      </c>
      <c r="AS7" s="104" t="e">
        <v>#N/A</v>
      </c>
      <c r="AT7" s="104" t="e">
        <v>#N/A</v>
      </c>
      <c r="AU7" s="104" t="e">
        <v>#N/A</v>
      </c>
      <c r="AV7" s="104" t="e">
        <v>#N/A</v>
      </c>
      <c r="AW7" s="104" t="e">
        <v>#N/A</v>
      </c>
      <c r="AX7" s="104" t="e">
        <v>#N/A</v>
      </c>
      <c r="AY7" s="104" t="e">
        <v>#N/A</v>
      </c>
      <c r="AZ7" s="104" t="e">
        <v>#N/A</v>
      </c>
      <c r="BA7" s="104" t="e">
        <v>#N/A</v>
      </c>
      <c r="BB7" s="104" t="e">
        <v>#N/A</v>
      </c>
      <c r="BC7" s="104" t="e">
        <v>#N/A</v>
      </c>
      <c r="BD7" s="104" t="e">
        <v>#N/A</v>
      </c>
      <c r="BE7" s="104" t="e">
        <v>#N/A</v>
      </c>
      <c r="BF7" s="104" t="e">
        <v>#N/A</v>
      </c>
      <c r="BG7" s="104" t="e">
        <v>#N/A</v>
      </c>
      <c r="BH7" s="104" t="e">
        <v>#N/A</v>
      </c>
      <c r="BI7" s="41" t="e">
        <v>#N/A</v>
      </c>
    </row>
    <row r="8">
      <c r="A8" s="36" t="inlineStr">
        <is>
          <t>F6</t>
        </is>
      </c>
      <c r="B8" s="42" t="n">
        <v>0</v>
      </c>
      <c r="C8" s="65" t="n">
        <v>0</v>
      </c>
      <c r="D8" s="43" t="n">
        <v>353.434977</v>
      </c>
      <c r="E8" s="43" t="n">
        <v>5.522421515625</v>
      </c>
      <c r="F8" s="43" t="n">
        <v>358.957398515625</v>
      </c>
      <c r="G8" s="43" t="n">
        <v>0</v>
      </c>
      <c r="H8" s="43" t="n">
        <v>0</v>
      </c>
      <c r="I8" s="43" t="n">
        <v>0</v>
      </c>
      <c r="J8" s="43" t="n">
        <v>0</v>
      </c>
      <c r="K8" s="47" t="n">
        <v>0</v>
      </c>
      <c r="L8" s="47" t="n">
        <v>0</v>
      </c>
      <c r="M8" s="47" t="n">
        <v>0</v>
      </c>
      <c r="N8" s="47" t="n">
        <v>0</v>
      </c>
      <c r="O8" s="47" t="n">
        <v>0</v>
      </c>
      <c r="P8" s="47" t="n">
        <v>0</v>
      </c>
      <c r="Q8" s="47" t="n">
        <v>0</v>
      </c>
      <c r="R8" s="47" t="n">
        <v>0</v>
      </c>
      <c r="S8" s="47" t="n">
        <v>0</v>
      </c>
      <c r="T8" s="47" t="n">
        <v>0</v>
      </c>
      <c r="U8" s="47" t="n">
        <v>0</v>
      </c>
      <c r="V8" s="47" t="n">
        <v>0</v>
      </c>
      <c r="W8" s="47" t="n">
        <v>0</v>
      </c>
      <c r="X8" s="47" t="n">
        <v>0</v>
      </c>
      <c r="Y8" s="47" t="n">
        <v>0</v>
      </c>
      <c r="Z8" s="47" t="n">
        <v>0</v>
      </c>
      <c r="AA8" s="47" t="n">
        <v>0</v>
      </c>
      <c r="AB8" s="47" t="n">
        <v>0</v>
      </c>
      <c r="AC8" s="47" t="n">
        <v>0</v>
      </c>
      <c r="AD8" s="47" t="n">
        <v>0</v>
      </c>
      <c r="AE8" s="47" t="n">
        <v>0</v>
      </c>
      <c r="AF8" s="47" t="n">
        <v>0</v>
      </c>
      <c r="AG8" s="47" t="n">
        <v>0</v>
      </c>
      <c r="AH8" s="47" t="n">
        <v>0</v>
      </c>
      <c r="AI8" s="47" t="e">
        <v>#N/A</v>
      </c>
      <c r="AJ8" s="47" t="e">
        <v>#N/A</v>
      </c>
      <c r="AK8" s="47" t="e">
        <v>#N/A</v>
      </c>
      <c r="AL8" s="47" t="e">
        <v>#N/A</v>
      </c>
      <c r="AM8" s="47" t="e">
        <v>#N/A</v>
      </c>
      <c r="AN8" s="47" t="e">
        <v>#N/A</v>
      </c>
      <c r="AO8" s="47" t="e">
        <v>#N/A</v>
      </c>
      <c r="AP8" s="47" t="e">
        <v>#N/A</v>
      </c>
      <c r="AQ8" s="47" t="e">
        <v>#N/A</v>
      </c>
      <c r="AR8" s="47" t="e">
        <v>#N/A</v>
      </c>
      <c r="AS8" s="47" t="e">
        <v>#N/A</v>
      </c>
      <c r="AT8" s="47" t="e">
        <v>#N/A</v>
      </c>
      <c r="AU8" s="47" t="e">
        <v>#N/A</v>
      </c>
      <c r="AV8" s="47" t="e">
        <v>#N/A</v>
      </c>
      <c r="AW8" s="47" t="e">
        <v>#N/A</v>
      </c>
      <c r="AX8" s="47" t="e">
        <v>#N/A</v>
      </c>
      <c r="AY8" s="47" t="e">
        <v>#N/A</v>
      </c>
      <c r="AZ8" s="47" t="e">
        <v>#N/A</v>
      </c>
      <c r="BA8" s="47" t="e">
        <v>#N/A</v>
      </c>
      <c r="BB8" s="47" t="e">
        <v>#N/A</v>
      </c>
      <c r="BC8" s="47" t="e">
        <v>#N/A</v>
      </c>
      <c r="BD8" s="47" t="e">
        <v>#N/A</v>
      </c>
      <c r="BE8" s="47" t="e">
        <v>#N/A</v>
      </c>
      <c r="BF8" s="47" t="e">
        <v>#N/A</v>
      </c>
      <c r="BG8" s="47" t="e">
        <v>#N/A</v>
      </c>
      <c r="BH8" s="47" t="e">
        <v>#N/A</v>
      </c>
      <c r="BI8" s="43" t="e">
        <v>#N/A</v>
      </c>
    </row>
    <row r="9">
      <c r="A9" s="37" t="inlineStr">
        <is>
          <t>F7</t>
        </is>
      </c>
      <c r="B9" s="40" t="n">
        <v>0</v>
      </c>
      <c r="C9" s="64" t="n">
        <v>0</v>
      </c>
      <c r="D9" s="41" t="n">
        <v>353.434977</v>
      </c>
      <c r="E9" s="41" t="n">
        <v>5.522421515625</v>
      </c>
      <c r="F9" s="41" t="n">
        <v>358.957398515625</v>
      </c>
      <c r="G9" s="41" t="n">
        <v>0</v>
      </c>
      <c r="H9" s="41" t="n">
        <v>0</v>
      </c>
      <c r="I9" s="41" t="n">
        <v>0</v>
      </c>
      <c r="J9" s="41" t="n">
        <v>0</v>
      </c>
      <c r="K9" s="104" t="n">
        <v>0</v>
      </c>
      <c r="L9" s="104" t="n">
        <v>0</v>
      </c>
      <c r="M9" s="104" t="n">
        <v>0</v>
      </c>
      <c r="N9" s="104" t="n">
        <v>0</v>
      </c>
      <c r="O9" s="104" t="n">
        <v>0</v>
      </c>
      <c r="P9" s="104" t="n">
        <v>0</v>
      </c>
      <c r="Q9" s="104" t="n">
        <v>0</v>
      </c>
      <c r="R9" s="104" t="n">
        <v>0</v>
      </c>
      <c r="S9" s="104" t="n">
        <v>0</v>
      </c>
      <c r="T9" s="104" t="n">
        <v>0</v>
      </c>
      <c r="U9" s="104" t="n">
        <v>0</v>
      </c>
      <c r="V9" s="104" t="n">
        <v>0</v>
      </c>
      <c r="W9" s="104" t="n">
        <v>0</v>
      </c>
      <c r="X9" s="104" t="n">
        <v>0</v>
      </c>
      <c r="Y9" s="104" t="n">
        <v>0</v>
      </c>
      <c r="Z9" s="104" t="n">
        <v>0</v>
      </c>
      <c r="AA9" s="104" t="n">
        <v>0</v>
      </c>
      <c r="AB9" s="104" t="n">
        <v>0</v>
      </c>
      <c r="AC9" s="104" t="n">
        <v>0</v>
      </c>
      <c r="AD9" s="104" t="n">
        <v>0</v>
      </c>
      <c r="AE9" s="104" t="n">
        <v>0</v>
      </c>
      <c r="AF9" s="104" t="n">
        <v>0</v>
      </c>
      <c r="AG9" s="104" t="n">
        <v>0</v>
      </c>
      <c r="AH9" s="104" t="n">
        <v>0</v>
      </c>
      <c r="AI9" s="104" t="e">
        <v>#N/A</v>
      </c>
      <c r="AJ9" s="104" t="e">
        <v>#N/A</v>
      </c>
      <c r="AK9" s="104" t="e">
        <v>#N/A</v>
      </c>
      <c r="AL9" s="104" t="e">
        <v>#N/A</v>
      </c>
      <c r="AM9" s="104" t="e">
        <v>#N/A</v>
      </c>
      <c r="AN9" s="104" t="e">
        <v>#N/A</v>
      </c>
      <c r="AO9" s="104" t="e">
        <v>#N/A</v>
      </c>
      <c r="AP9" s="104" t="e">
        <v>#N/A</v>
      </c>
      <c r="AQ9" s="104" t="e">
        <v>#N/A</v>
      </c>
      <c r="AR9" s="104" t="e">
        <v>#N/A</v>
      </c>
      <c r="AS9" s="104" t="e">
        <v>#N/A</v>
      </c>
      <c r="AT9" s="104" t="e">
        <v>#N/A</v>
      </c>
      <c r="AU9" s="104" t="e">
        <v>#N/A</v>
      </c>
      <c r="AV9" s="104" t="e">
        <v>#N/A</v>
      </c>
      <c r="AW9" s="104" t="e">
        <v>#N/A</v>
      </c>
      <c r="AX9" s="104" t="e">
        <v>#N/A</v>
      </c>
      <c r="AY9" s="104" t="e">
        <v>#N/A</v>
      </c>
      <c r="AZ9" s="104" t="e">
        <v>#N/A</v>
      </c>
      <c r="BA9" s="104" t="e">
        <v>#N/A</v>
      </c>
      <c r="BB9" s="104" t="e">
        <v>#N/A</v>
      </c>
      <c r="BC9" s="104" t="e">
        <v>#N/A</v>
      </c>
      <c r="BD9" s="104" t="e">
        <v>#N/A</v>
      </c>
      <c r="BE9" s="104" t="e">
        <v>#N/A</v>
      </c>
      <c r="BF9" s="104" t="e">
        <v>#N/A</v>
      </c>
      <c r="BG9" s="104" t="e">
        <v>#N/A</v>
      </c>
      <c r="BH9" s="104" t="e">
        <v>#N/A</v>
      </c>
      <c r="BI9" s="41" t="e">
        <v>#N/A</v>
      </c>
    </row>
    <row r="10">
      <c r="A10" s="36" t="inlineStr">
        <is>
          <t>F8</t>
        </is>
      </c>
      <c r="B10" s="42" t="n">
        <v>0</v>
      </c>
      <c r="C10" s="65" t="n">
        <v>0</v>
      </c>
      <c r="D10" s="43" t="n">
        <v>353.434977</v>
      </c>
      <c r="E10" s="43" t="n">
        <v>5.522421515625</v>
      </c>
      <c r="F10" s="43" t="n">
        <v>358.957398515625</v>
      </c>
      <c r="G10" s="43" t="n">
        <v>0</v>
      </c>
      <c r="H10" s="43" t="n">
        <v>0</v>
      </c>
      <c r="I10" s="43" t="n">
        <v>0</v>
      </c>
      <c r="J10" s="43" t="n">
        <v>0</v>
      </c>
      <c r="K10" s="47" t="n">
        <v>0</v>
      </c>
      <c r="L10" s="47" t="n">
        <v>0</v>
      </c>
      <c r="M10" s="47" t="n">
        <v>0</v>
      </c>
      <c r="N10" s="47" t="n">
        <v>0</v>
      </c>
      <c r="O10" s="47" t="n">
        <v>0</v>
      </c>
      <c r="P10" s="47" t="n">
        <v>0</v>
      </c>
      <c r="Q10" s="47" t="n">
        <v>0</v>
      </c>
      <c r="R10" s="47" t="n">
        <v>0</v>
      </c>
      <c r="S10" s="47" t="n">
        <v>0</v>
      </c>
      <c r="T10" s="47" t="n">
        <v>0</v>
      </c>
      <c r="U10" s="47" t="n">
        <v>0</v>
      </c>
      <c r="V10" s="47" t="n">
        <v>0</v>
      </c>
      <c r="W10" s="47" t="n">
        <v>0</v>
      </c>
      <c r="X10" s="47" t="n">
        <v>0</v>
      </c>
      <c r="Y10" s="47" t="n">
        <v>0</v>
      </c>
      <c r="Z10" s="47" t="n">
        <v>0</v>
      </c>
      <c r="AA10" s="47" t="n">
        <v>0</v>
      </c>
      <c r="AB10" s="47" t="n">
        <v>0</v>
      </c>
      <c r="AC10" s="47" t="n">
        <v>0</v>
      </c>
      <c r="AD10" s="47" t="n">
        <v>0</v>
      </c>
      <c r="AE10" s="47" t="n">
        <v>0</v>
      </c>
      <c r="AF10" s="47" t="n">
        <v>0</v>
      </c>
      <c r="AG10" s="47" t="n">
        <v>0</v>
      </c>
      <c r="AH10" s="47" t="n">
        <v>0</v>
      </c>
      <c r="AI10" s="47" t="e">
        <v>#N/A</v>
      </c>
      <c r="AJ10" s="47" t="e">
        <v>#N/A</v>
      </c>
      <c r="AK10" s="47" t="e">
        <v>#N/A</v>
      </c>
      <c r="AL10" s="47" t="e">
        <v>#N/A</v>
      </c>
      <c r="AM10" s="47" t="e">
        <v>#N/A</v>
      </c>
      <c r="AN10" s="47" t="e">
        <v>#N/A</v>
      </c>
      <c r="AO10" s="47" t="e">
        <v>#N/A</v>
      </c>
      <c r="AP10" s="47" t="e">
        <v>#N/A</v>
      </c>
      <c r="AQ10" s="47" t="e">
        <v>#N/A</v>
      </c>
      <c r="AR10" s="47" t="e">
        <v>#N/A</v>
      </c>
      <c r="AS10" s="47" t="e">
        <v>#N/A</v>
      </c>
      <c r="AT10" s="47" t="e">
        <v>#N/A</v>
      </c>
      <c r="AU10" s="47" t="e">
        <v>#N/A</v>
      </c>
      <c r="AV10" s="47" t="e">
        <v>#N/A</v>
      </c>
      <c r="AW10" s="47" t="e">
        <v>#N/A</v>
      </c>
      <c r="AX10" s="47" t="e">
        <v>#N/A</v>
      </c>
      <c r="AY10" s="47" t="e">
        <v>#N/A</v>
      </c>
      <c r="AZ10" s="47" t="e">
        <v>#N/A</v>
      </c>
      <c r="BA10" s="47" t="e">
        <v>#N/A</v>
      </c>
      <c r="BB10" s="47" t="e">
        <v>#N/A</v>
      </c>
      <c r="BC10" s="47" t="e">
        <v>#N/A</v>
      </c>
      <c r="BD10" s="47" t="e">
        <v>#N/A</v>
      </c>
      <c r="BE10" s="47" t="e">
        <v>#N/A</v>
      </c>
      <c r="BF10" s="47" t="e">
        <v>#N/A</v>
      </c>
      <c r="BG10" s="47" t="e">
        <v>#N/A</v>
      </c>
      <c r="BH10" s="47" t="e">
        <v>#N/A</v>
      </c>
      <c r="BI10" s="43" t="e">
        <v>#N/A</v>
      </c>
    </row>
    <row r="11">
      <c r="A11" s="37" t="inlineStr">
        <is>
          <t>F9</t>
        </is>
      </c>
      <c r="B11" s="40" t="n">
        <v>0</v>
      </c>
      <c r="C11" s="64" t="n">
        <v>0</v>
      </c>
      <c r="D11" s="41" t="n">
        <v>471.246636</v>
      </c>
      <c r="E11" s="41" t="n">
        <v>5.522421515625</v>
      </c>
      <c r="F11" s="41" t="n">
        <v>476.769057515625</v>
      </c>
      <c r="G11" s="41" t="n">
        <v>0</v>
      </c>
      <c r="H11" s="41" t="n">
        <v>0</v>
      </c>
      <c r="I11" s="41" t="n">
        <v>0</v>
      </c>
      <c r="J11" s="41" t="n">
        <v>0</v>
      </c>
      <c r="K11" s="104" t="n">
        <v>0</v>
      </c>
      <c r="L11" s="104" t="n">
        <v>0</v>
      </c>
      <c r="M11" s="104" t="n">
        <v>0</v>
      </c>
      <c r="N11" s="104" t="n">
        <v>0</v>
      </c>
      <c r="O11" s="104" t="n">
        <v>0</v>
      </c>
      <c r="P11" s="104" t="n">
        <v>0</v>
      </c>
      <c r="Q11" s="104" t="n">
        <v>0</v>
      </c>
      <c r="R11" s="104" t="n">
        <v>0</v>
      </c>
      <c r="S11" s="104" t="n">
        <v>0</v>
      </c>
      <c r="T11" s="104" t="n">
        <v>0</v>
      </c>
      <c r="U11" s="104" t="n">
        <v>0</v>
      </c>
      <c r="V11" s="104" t="n">
        <v>0</v>
      </c>
      <c r="W11" s="104" t="n">
        <v>0</v>
      </c>
      <c r="X11" s="104" t="n">
        <v>0</v>
      </c>
      <c r="Y11" s="104" t="n">
        <v>0</v>
      </c>
      <c r="Z11" s="104" t="n">
        <v>0</v>
      </c>
      <c r="AA11" s="104" t="n">
        <v>0</v>
      </c>
      <c r="AB11" s="104" t="n">
        <v>0</v>
      </c>
      <c r="AC11" s="104" t="n">
        <v>0</v>
      </c>
      <c r="AD11" s="104" t="n">
        <v>0</v>
      </c>
      <c r="AE11" s="104" t="n">
        <v>0</v>
      </c>
      <c r="AF11" s="104" t="n">
        <v>0</v>
      </c>
      <c r="AG11" s="104" t="n">
        <v>0</v>
      </c>
      <c r="AH11" s="104" t="n">
        <v>0</v>
      </c>
      <c r="AI11" s="104" t="e">
        <v>#N/A</v>
      </c>
      <c r="AJ11" s="104" t="e">
        <v>#N/A</v>
      </c>
      <c r="AK11" s="104" t="e">
        <v>#N/A</v>
      </c>
      <c r="AL11" s="104" t="e">
        <v>#N/A</v>
      </c>
      <c r="AM11" s="104" t="e">
        <v>#N/A</v>
      </c>
      <c r="AN11" s="104" t="e">
        <v>#N/A</v>
      </c>
      <c r="AO11" s="104" t="e">
        <v>#N/A</v>
      </c>
      <c r="AP11" s="104" t="e">
        <v>#N/A</v>
      </c>
      <c r="AQ11" s="104" t="e">
        <v>#N/A</v>
      </c>
      <c r="AR11" s="104" t="e">
        <v>#N/A</v>
      </c>
      <c r="AS11" s="104" t="e">
        <v>#N/A</v>
      </c>
      <c r="AT11" s="104" t="e">
        <v>#N/A</v>
      </c>
      <c r="AU11" s="104" t="e">
        <v>#N/A</v>
      </c>
      <c r="AV11" s="104" t="e">
        <v>#N/A</v>
      </c>
      <c r="AW11" s="104" t="e">
        <v>#N/A</v>
      </c>
      <c r="AX11" s="104" t="e">
        <v>#N/A</v>
      </c>
      <c r="AY11" s="104" t="e">
        <v>#N/A</v>
      </c>
      <c r="AZ11" s="104" t="e">
        <v>#N/A</v>
      </c>
      <c r="BA11" s="104" t="e">
        <v>#N/A</v>
      </c>
      <c r="BB11" s="104" t="e">
        <v>#N/A</v>
      </c>
      <c r="BC11" s="104" t="e">
        <v>#N/A</v>
      </c>
      <c r="BD11" s="104" t="e">
        <v>#N/A</v>
      </c>
      <c r="BE11" s="104" t="e">
        <v>#N/A</v>
      </c>
      <c r="BF11" s="104" t="e">
        <v>#N/A</v>
      </c>
      <c r="BG11" s="104" t="e">
        <v>#N/A</v>
      </c>
      <c r="BH11" s="104" t="e">
        <v>#N/A</v>
      </c>
      <c r="BI11" s="41" t="e">
        <v>#N/A</v>
      </c>
    </row>
    <row r="12">
      <c r="A12" s="36" t="inlineStr">
        <is>
          <t>F10</t>
        </is>
      </c>
      <c r="B12" s="42" t="n">
        <v>0</v>
      </c>
      <c r="C12" s="65" t="n">
        <v>0</v>
      </c>
      <c r="D12" s="43" t="n">
        <v>353.434977</v>
      </c>
      <c r="E12" s="43" t="n">
        <v>5.522421515625</v>
      </c>
      <c r="F12" s="43" t="n">
        <v>358.957398515625</v>
      </c>
      <c r="G12" s="43" t="n">
        <v>0</v>
      </c>
      <c r="H12" s="43" t="n">
        <v>0</v>
      </c>
      <c r="I12" s="43" t="n">
        <v>0</v>
      </c>
      <c r="J12" s="43" t="n">
        <v>0</v>
      </c>
      <c r="K12" s="47" t="n">
        <v>0</v>
      </c>
      <c r="L12" s="47" t="n">
        <v>0</v>
      </c>
      <c r="M12" s="47" t="n">
        <v>0</v>
      </c>
      <c r="N12" s="47" t="n">
        <v>0</v>
      </c>
      <c r="O12" s="47" t="n">
        <v>0</v>
      </c>
      <c r="P12" s="47" t="n">
        <v>0</v>
      </c>
      <c r="Q12" s="47" t="n">
        <v>0</v>
      </c>
      <c r="R12" s="47" t="n">
        <v>0</v>
      </c>
      <c r="S12" s="47" t="n">
        <v>0</v>
      </c>
      <c r="T12" s="47" t="n">
        <v>0</v>
      </c>
      <c r="U12" s="47" t="n">
        <v>0</v>
      </c>
      <c r="V12" s="47" t="n">
        <v>0</v>
      </c>
      <c r="W12" s="47" t="n">
        <v>0</v>
      </c>
      <c r="X12" s="47" t="n">
        <v>0</v>
      </c>
      <c r="Y12" s="47" t="n">
        <v>0</v>
      </c>
      <c r="Z12" s="47" t="n">
        <v>0</v>
      </c>
      <c r="AA12" s="47" t="n">
        <v>0</v>
      </c>
      <c r="AB12" s="47" t="n">
        <v>0</v>
      </c>
      <c r="AC12" s="47" t="n">
        <v>0</v>
      </c>
      <c r="AD12" s="47" t="n">
        <v>0</v>
      </c>
      <c r="AE12" s="47" t="n">
        <v>0</v>
      </c>
      <c r="AF12" s="47" t="n">
        <v>0</v>
      </c>
      <c r="AG12" s="47" t="n">
        <v>0</v>
      </c>
      <c r="AH12" s="47" t="n">
        <v>0</v>
      </c>
      <c r="AI12" s="47" t="e">
        <v>#N/A</v>
      </c>
      <c r="AJ12" s="47" t="e">
        <v>#N/A</v>
      </c>
      <c r="AK12" s="47" t="e">
        <v>#N/A</v>
      </c>
      <c r="AL12" s="47" t="e">
        <v>#N/A</v>
      </c>
      <c r="AM12" s="47" t="e">
        <v>#N/A</v>
      </c>
      <c r="AN12" s="47" t="e">
        <v>#N/A</v>
      </c>
      <c r="AO12" s="47" t="e">
        <v>#N/A</v>
      </c>
      <c r="AP12" s="47" t="e">
        <v>#N/A</v>
      </c>
      <c r="AQ12" s="47" t="e">
        <v>#N/A</v>
      </c>
      <c r="AR12" s="47" t="e">
        <v>#N/A</v>
      </c>
      <c r="AS12" s="47" t="e">
        <v>#N/A</v>
      </c>
      <c r="AT12" s="47" t="e">
        <v>#N/A</v>
      </c>
      <c r="AU12" s="47" t="e">
        <v>#N/A</v>
      </c>
      <c r="AV12" s="47" t="e">
        <v>#N/A</v>
      </c>
      <c r="AW12" s="47" t="e">
        <v>#N/A</v>
      </c>
      <c r="AX12" s="47" t="e">
        <v>#N/A</v>
      </c>
      <c r="AY12" s="47" t="e">
        <v>#N/A</v>
      </c>
      <c r="AZ12" s="47" t="e">
        <v>#N/A</v>
      </c>
      <c r="BA12" s="47" t="e">
        <v>#N/A</v>
      </c>
      <c r="BB12" s="47" t="e">
        <v>#N/A</v>
      </c>
      <c r="BC12" s="47" t="e">
        <v>#N/A</v>
      </c>
      <c r="BD12" s="47" t="e">
        <v>#N/A</v>
      </c>
      <c r="BE12" s="47" t="e">
        <v>#N/A</v>
      </c>
      <c r="BF12" s="47" t="e">
        <v>#N/A</v>
      </c>
      <c r="BG12" s="47" t="e">
        <v>#N/A</v>
      </c>
      <c r="BH12" s="47" t="e">
        <v>#N/A</v>
      </c>
      <c r="BI12" s="43" t="e">
        <v>#N/A</v>
      </c>
    </row>
    <row r="13">
      <c r="A13" s="37" t="inlineStr">
        <is>
          <t>F11</t>
        </is>
      </c>
      <c r="B13" s="40" t="n">
        <v>0</v>
      </c>
      <c r="C13" s="64" t="n">
        <v>0</v>
      </c>
      <c r="D13" s="41" t="n">
        <v>353.434977</v>
      </c>
      <c r="E13" s="41" t="n">
        <v>5.522421515625</v>
      </c>
      <c r="F13" s="41" t="n">
        <v>358.957398515625</v>
      </c>
      <c r="G13" s="41" t="n">
        <v>0</v>
      </c>
      <c r="H13" s="41" t="n">
        <v>0</v>
      </c>
      <c r="I13" s="41" t="n">
        <v>0</v>
      </c>
      <c r="J13" s="41" t="n">
        <v>0</v>
      </c>
      <c r="K13" s="104" t="n">
        <v>0</v>
      </c>
      <c r="L13" s="104" t="n">
        <v>0</v>
      </c>
      <c r="M13" s="104" t="n">
        <v>0</v>
      </c>
      <c r="N13" s="104" t="n">
        <v>0</v>
      </c>
      <c r="O13" s="104" t="n">
        <v>0</v>
      </c>
      <c r="P13" s="104" t="n">
        <v>0</v>
      </c>
      <c r="Q13" s="104" t="n">
        <v>0</v>
      </c>
      <c r="R13" s="104" t="n">
        <v>0</v>
      </c>
      <c r="S13" s="104" t="n">
        <v>0</v>
      </c>
      <c r="T13" s="104" t="n">
        <v>0</v>
      </c>
      <c r="U13" s="104" t="n">
        <v>0</v>
      </c>
      <c r="V13" s="104" t="n">
        <v>0</v>
      </c>
      <c r="W13" s="104" t="n">
        <v>0</v>
      </c>
      <c r="X13" s="104" t="n">
        <v>0</v>
      </c>
      <c r="Y13" s="104" t="n">
        <v>0</v>
      </c>
      <c r="Z13" s="104" t="n">
        <v>0</v>
      </c>
      <c r="AA13" s="104" t="n">
        <v>0</v>
      </c>
      <c r="AB13" s="104" t="n">
        <v>0</v>
      </c>
      <c r="AC13" s="104" t="n">
        <v>0</v>
      </c>
      <c r="AD13" s="104" t="n">
        <v>0</v>
      </c>
      <c r="AE13" s="104" t="n">
        <v>0</v>
      </c>
      <c r="AF13" s="104" t="n">
        <v>0</v>
      </c>
      <c r="AG13" s="104" t="n">
        <v>0</v>
      </c>
      <c r="AH13" s="104" t="n">
        <v>0</v>
      </c>
      <c r="AI13" s="104" t="e">
        <v>#N/A</v>
      </c>
      <c r="AJ13" s="104" t="e">
        <v>#N/A</v>
      </c>
      <c r="AK13" s="104" t="e">
        <v>#N/A</v>
      </c>
      <c r="AL13" s="104" t="e">
        <v>#N/A</v>
      </c>
      <c r="AM13" s="104" t="e">
        <v>#N/A</v>
      </c>
      <c r="AN13" s="104" t="e">
        <v>#N/A</v>
      </c>
      <c r="AO13" s="104" t="e">
        <v>#N/A</v>
      </c>
      <c r="AP13" s="104" t="e">
        <v>#N/A</v>
      </c>
      <c r="AQ13" s="104" t="e">
        <v>#N/A</v>
      </c>
      <c r="AR13" s="104" t="e">
        <v>#N/A</v>
      </c>
      <c r="AS13" s="104" t="e">
        <v>#N/A</v>
      </c>
      <c r="AT13" s="104" t="e">
        <v>#N/A</v>
      </c>
      <c r="AU13" s="104" t="e">
        <v>#N/A</v>
      </c>
      <c r="AV13" s="104" t="e">
        <v>#N/A</v>
      </c>
      <c r="AW13" s="104" t="e">
        <v>#N/A</v>
      </c>
      <c r="AX13" s="104" t="e">
        <v>#N/A</v>
      </c>
      <c r="AY13" s="104" t="e">
        <v>#N/A</v>
      </c>
      <c r="AZ13" s="104" t="e">
        <v>#N/A</v>
      </c>
      <c r="BA13" s="104" t="e">
        <v>#N/A</v>
      </c>
      <c r="BB13" s="104" t="e">
        <v>#N/A</v>
      </c>
      <c r="BC13" s="104" t="e">
        <v>#N/A</v>
      </c>
      <c r="BD13" s="104" t="e">
        <v>#N/A</v>
      </c>
      <c r="BE13" s="104" t="e">
        <v>#N/A</v>
      </c>
      <c r="BF13" s="104" t="e">
        <v>#N/A</v>
      </c>
      <c r="BG13" s="104" t="e">
        <v>#N/A</v>
      </c>
      <c r="BH13" s="104" t="e">
        <v>#N/A</v>
      </c>
      <c r="BI13" s="41" t="e">
        <v>#N/A</v>
      </c>
    </row>
    <row r="14">
      <c r="A14" s="36" t="inlineStr">
        <is>
          <t>F12</t>
        </is>
      </c>
      <c r="B14" s="42" t="n">
        <v>0</v>
      </c>
      <c r="C14" s="65" t="n">
        <v>0</v>
      </c>
      <c r="D14" s="43" t="n">
        <v>353.434977</v>
      </c>
      <c r="E14" s="43" t="n">
        <v>5.522421515625</v>
      </c>
      <c r="F14" s="43" t="n">
        <v>358.957398515625</v>
      </c>
      <c r="G14" s="43" t="n">
        <v>0</v>
      </c>
      <c r="H14" s="43" t="n">
        <v>0</v>
      </c>
      <c r="I14" s="43" t="n">
        <v>0</v>
      </c>
      <c r="J14" s="43" t="n">
        <v>0</v>
      </c>
      <c r="K14" s="47" t="n">
        <v>0</v>
      </c>
      <c r="L14" s="47" t="n">
        <v>0</v>
      </c>
      <c r="M14" s="47" t="n">
        <v>0</v>
      </c>
      <c r="N14" s="47" t="n">
        <v>0</v>
      </c>
      <c r="O14" s="47" t="n">
        <v>0</v>
      </c>
      <c r="P14" s="47" t="n">
        <v>0</v>
      </c>
      <c r="Q14" s="47" t="n">
        <v>0</v>
      </c>
      <c r="R14" s="47" t="n">
        <v>0</v>
      </c>
      <c r="S14" s="47" t="n">
        <v>0</v>
      </c>
      <c r="T14" s="47" t="n">
        <v>0</v>
      </c>
      <c r="U14" s="47" t="n">
        <v>0</v>
      </c>
      <c r="V14" s="47" t="n">
        <v>0</v>
      </c>
      <c r="W14" s="47" t="n">
        <v>0</v>
      </c>
      <c r="X14" s="47" t="n">
        <v>0</v>
      </c>
      <c r="Y14" s="47" t="n">
        <v>0</v>
      </c>
      <c r="Z14" s="47" t="n">
        <v>0</v>
      </c>
      <c r="AA14" s="47" t="n">
        <v>0</v>
      </c>
      <c r="AB14" s="47" t="n">
        <v>0</v>
      </c>
      <c r="AC14" s="47" t="n">
        <v>0</v>
      </c>
      <c r="AD14" s="47" t="n">
        <v>0</v>
      </c>
      <c r="AE14" s="47" t="n">
        <v>0</v>
      </c>
      <c r="AF14" s="47" t="n">
        <v>0</v>
      </c>
      <c r="AG14" s="47" t="n">
        <v>0</v>
      </c>
      <c r="AH14" s="47" t="n">
        <v>0</v>
      </c>
      <c r="AI14" s="47" t="e">
        <v>#N/A</v>
      </c>
      <c r="AJ14" s="47" t="e">
        <v>#N/A</v>
      </c>
      <c r="AK14" s="47" t="e">
        <v>#N/A</v>
      </c>
      <c r="AL14" s="47" t="e">
        <v>#N/A</v>
      </c>
      <c r="AM14" s="47" t="e">
        <v>#N/A</v>
      </c>
      <c r="AN14" s="47" t="e">
        <v>#N/A</v>
      </c>
      <c r="AO14" s="47" t="e">
        <v>#N/A</v>
      </c>
      <c r="AP14" s="47" t="e">
        <v>#N/A</v>
      </c>
      <c r="AQ14" s="47" t="e">
        <v>#N/A</v>
      </c>
      <c r="AR14" s="47" t="e">
        <v>#N/A</v>
      </c>
      <c r="AS14" s="47" t="e">
        <v>#N/A</v>
      </c>
      <c r="AT14" s="47" t="e">
        <v>#N/A</v>
      </c>
      <c r="AU14" s="47" t="e">
        <v>#N/A</v>
      </c>
      <c r="AV14" s="47" t="e">
        <v>#N/A</v>
      </c>
      <c r="AW14" s="47" t="e">
        <v>#N/A</v>
      </c>
      <c r="AX14" s="47" t="e">
        <v>#N/A</v>
      </c>
      <c r="AY14" s="47" t="e">
        <v>#N/A</v>
      </c>
      <c r="AZ14" s="47" t="e">
        <v>#N/A</v>
      </c>
      <c r="BA14" s="47" t="e">
        <v>#N/A</v>
      </c>
      <c r="BB14" s="47" t="e">
        <v>#N/A</v>
      </c>
      <c r="BC14" s="47" t="e">
        <v>#N/A</v>
      </c>
      <c r="BD14" s="47" t="e">
        <v>#N/A</v>
      </c>
      <c r="BE14" s="47" t="e">
        <v>#N/A</v>
      </c>
      <c r="BF14" s="47" t="e">
        <v>#N/A</v>
      </c>
      <c r="BG14" s="47" t="e">
        <v>#N/A</v>
      </c>
      <c r="BH14" s="47" t="e">
        <v>#N/A</v>
      </c>
      <c r="BI14" s="43" t="e">
        <v>#N/A</v>
      </c>
    </row>
    <row r="15">
      <c r="A15" s="37" t="inlineStr">
        <is>
          <t>F13</t>
        </is>
      </c>
      <c r="B15" s="40" t="n">
        <v>0</v>
      </c>
      <c r="C15" s="64" t="n">
        <v>0</v>
      </c>
      <c r="D15" s="41" t="n">
        <v>471.246636</v>
      </c>
      <c r="E15" s="41" t="n">
        <v>5.522421515625</v>
      </c>
      <c r="F15" s="41" t="n">
        <v>476.769057515625</v>
      </c>
      <c r="G15" s="41" t="n">
        <v>0</v>
      </c>
      <c r="H15" s="41" t="n">
        <v>0</v>
      </c>
      <c r="I15" s="41" t="n">
        <v>0</v>
      </c>
      <c r="J15" s="41" t="n">
        <v>0</v>
      </c>
      <c r="K15" s="104" t="n">
        <v>0</v>
      </c>
      <c r="L15" s="104" t="n">
        <v>0</v>
      </c>
      <c r="M15" s="104" t="n">
        <v>0</v>
      </c>
      <c r="N15" s="104" t="n">
        <v>0</v>
      </c>
      <c r="O15" s="104" t="n">
        <v>0</v>
      </c>
      <c r="P15" s="104" t="n">
        <v>0</v>
      </c>
      <c r="Q15" s="104" t="n">
        <v>0</v>
      </c>
      <c r="R15" s="104" t="n">
        <v>0</v>
      </c>
      <c r="S15" s="104" t="n">
        <v>0</v>
      </c>
      <c r="T15" s="104" t="n">
        <v>0</v>
      </c>
      <c r="U15" s="104" t="n">
        <v>0</v>
      </c>
      <c r="V15" s="104" t="n">
        <v>0</v>
      </c>
      <c r="W15" s="104" t="n">
        <v>0</v>
      </c>
      <c r="X15" s="104" t="n">
        <v>0</v>
      </c>
      <c r="Y15" s="104" t="n">
        <v>0</v>
      </c>
      <c r="Z15" s="104" t="n">
        <v>0</v>
      </c>
      <c r="AA15" s="104" t="n">
        <v>0</v>
      </c>
      <c r="AB15" s="104" t="n">
        <v>0</v>
      </c>
      <c r="AC15" s="104" t="n">
        <v>0</v>
      </c>
      <c r="AD15" s="104" t="n">
        <v>0</v>
      </c>
      <c r="AE15" s="104" t="n">
        <v>0</v>
      </c>
      <c r="AF15" s="104" t="n">
        <v>0</v>
      </c>
      <c r="AG15" s="104" t="n">
        <v>0</v>
      </c>
      <c r="AH15" s="104" t="n">
        <v>0</v>
      </c>
      <c r="AI15" s="104" t="e">
        <v>#N/A</v>
      </c>
      <c r="AJ15" s="104" t="e">
        <v>#N/A</v>
      </c>
      <c r="AK15" s="104" t="e">
        <v>#N/A</v>
      </c>
      <c r="AL15" s="104" t="e">
        <v>#N/A</v>
      </c>
      <c r="AM15" s="104" t="e">
        <v>#N/A</v>
      </c>
      <c r="AN15" s="104" t="e">
        <v>#N/A</v>
      </c>
      <c r="AO15" s="104" t="e">
        <v>#N/A</v>
      </c>
      <c r="AP15" s="104" t="e">
        <v>#N/A</v>
      </c>
      <c r="AQ15" s="104" t="e">
        <v>#N/A</v>
      </c>
      <c r="AR15" s="104" t="e">
        <v>#N/A</v>
      </c>
      <c r="AS15" s="104" t="e">
        <v>#N/A</v>
      </c>
      <c r="AT15" s="104" t="e">
        <v>#N/A</v>
      </c>
      <c r="AU15" s="104" t="e">
        <v>#N/A</v>
      </c>
      <c r="AV15" s="104" t="e">
        <v>#N/A</v>
      </c>
      <c r="AW15" s="104" t="e">
        <v>#N/A</v>
      </c>
      <c r="AX15" s="104" t="e">
        <v>#N/A</v>
      </c>
      <c r="AY15" s="104" t="e">
        <v>#N/A</v>
      </c>
      <c r="AZ15" s="104" t="e">
        <v>#N/A</v>
      </c>
      <c r="BA15" s="104" t="e">
        <v>#N/A</v>
      </c>
      <c r="BB15" s="104" t="e">
        <v>#N/A</v>
      </c>
      <c r="BC15" s="104" t="e">
        <v>#N/A</v>
      </c>
      <c r="BD15" s="104" t="e">
        <v>#N/A</v>
      </c>
      <c r="BE15" s="104" t="e">
        <v>#N/A</v>
      </c>
      <c r="BF15" s="104" t="e">
        <v>#N/A</v>
      </c>
      <c r="BG15" s="104" t="e">
        <v>#N/A</v>
      </c>
      <c r="BH15" s="104" t="e">
        <v>#N/A</v>
      </c>
      <c r="BI15" s="41" t="e">
        <v>#N/A</v>
      </c>
    </row>
    <row r="16">
      <c r="A16" s="36" t="inlineStr">
        <is>
          <t>F14</t>
        </is>
      </c>
      <c r="B16" s="42" t="n">
        <v>0</v>
      </c>
      <c r="C16" s="65" t="n">
        <v>0</v>
      </c>
      <c r="D16" s="43" t="n">
        <v>471.246636</v>
      </c>
      <c r="E16" s="43" t="n">
        <v>5.522421515625</v>
      </c>
      <c r="F16" s="43" t="n">
        <v>476.769057515625</v>
      </c>
      <c r="G16" s="43" t="n">
        <v>0</v>
      </c>
      <c r="H16" s="43" t="n">
        <v>0</v>
      </c>
      <c r="I16" s="43" t="n">
        <v>0</v>
      </c>
      <c r="J16" s="43" t="n">
        <v>0</v>
      </c>
      <c r="K16" s="47" t="n">
        <v>0</v>
      </c>
      <c r="L16" s="47" t="n">
        <v>0</v>
      </c>
      <c r="M16" s="47" t="n">
        <v>0</v>
      </c>
      <c r="N16" s="47" t="n">
        <v>0</v>
      </c>
      <c r="O16" s="47" t="n">
        <v>0</v>
      </c>
      <c r="P16" s="47" t="n">
        <v>0</v>
      </c>
      <c r="Q16" s="47" t="n">
        <v>0</v>
      </c>
      <c r="R16" s="47" t="n">
        <v>0</v>
      </c>
      <c r="S16" s="47" t="n">
        <v>0</v>
      </c>
      <c r="T16" s="47" t="n">
        <v>0</v>
      </c>
      <c r="U16" s="47" t="n">
        <v>0</v>
      </c>
      <c r="V16" s="47" t="n">
        <v>0</v>
      </c>
      <c r="W16" s="47" t="n">
        <v>0</v>
      </c>
      <c r="X16" s="47" t="n">
        <v>0</v>
      </c>
      <c r="Y16" s="47" t="n">
        <v>0</v>
      </c>
      <c r="Z16" s="47" t="n">
        <v>0</v>
      </c>
      <c r="AA16" s="47" t="n">
        <v>0</v>
      </c>
      <c r="AB16" s="47" t="n">
        <v>0</v>
      </c>
      <c r="AC16" s="47" t="n">
        <v>0</v>
      </c>
      <c r="AD16" s="47" t="n">
        <v>0</v>
      </c>
      <c r="AE16" s="47" t="n">
        <v>0</v>
      </c>
      <c r="AF16" s="47" t="n">
        <v>0</v>
      </c>
      <c r="AG16" s="47" t="n">
        <v>0</v>
      </c>
      <c r="AH16" s="47" t="n">
        <v>0</v>
      </c>
      <c r="AI16" s="47" t="e">
        <v>#N/A</v>
      </c>
      <c r="AJ16" s="47" t="e">
        <v>#N/A</v>
      </c>
      <c r="AK16" s="47" t="e">
        <v>#N/A</v>
      </c>
      <c r="AL16" s="47" t="e">
        <v>#N/A</v>
      </c>
      <c r="AM16" s="47" t="e">
        <v>#N/A</v>
      </c>
      <c r="AN16" s="47" t="e">
        <v>#N/A</v>
      </c>
      <c r="AO16" s="47" t="e">
        <v>#N/A</v>
      </c>
      <c r="AP16" s="47" t="e">
        <v>#N/A</v>
      </c>
      <c r="AQ16" s="47" t="e">
        <v>#N/A</v>
      </c>
      <c r="AR16" s="47" t="e">
        <v>#N/A</v>
      </c>
      <c r="AS16" s="47" t="e">
        <v>#N/A</v>
      </c>
      <c r="AT16" s="47" t="e">
        <v>#N/A</v>
      </c>
      <c r="AU16" s="47" t="e">
        <v>#N/A</v>
      </c>
      <c r="AV16" s="47" t="e">
        <v>#N/A</v>
      </c>
      <c r="AW16" s="47" t="e">
        <v>#N/A</v>
      </c>
      <c r="AX16" s="47" t="e">
        <v>#N/A</v>
      </c>
      <c r="AY16" s="47" t="e">
        <v>#N/A</v>
      </c>
      <c r="AZ16" s="47" t="e">
        <v>#N/A</v>
      </c>
      <c r="BA16" s="47" t="e">
        <v>#N/A</v>
      </c>
      <c r="BB16" s="47" t="e">
        <v>#N/A</v>
      </c>
      <c r="BC16" s="47" t="e">
        <v>#N/A</v>
      </c>
      <c r="BD16" s="47" t="e">
        <v>#N/A</v>
      </c>
      <c r="BE16" s="47" t="e">
        <v>#N/A</v>
      </c>
      <c r="BF16" s="47" t="e">
        <v>#N/A</v>
      </c>
      <c r="BG16" s="47" t="e">
        <v>#N/A</v>
      </c>
      <c r="BH16" s="47" t="e">
        <v>#N/A</v>
      </c>
      <c r="BI16" s="43" t="e">
        <v>#N/A</v>
      </c>
    </row>
    <row r="17">
      <c r="A17" s="37" t="inlineStr">
        <is>
          <t>F15</t>
        </is>
      </c>
      <c r="B17" s="40" t="n">
        <v>0</v>
      </c>
      <c r="C17" s="64" t="n">
        <v>0</v>
      </c>
      <c r="D17" s="41" t="n">
        <v>471.246636</v>
      </c>
      <c r="E17" s="41" t="n">
        <v>5.522421515625</v>
      </c>
      <c r="F17" s="41" t="n">
        <v>476.769057515625</v>
      </c>
      <c r="G17" s="41" t="n">
        <v>0</v>
      </c>
      <c r="H17" s="41" t="n">
        <v>0</v>
      </c>
      <c r="I17" s="41" t="n">
        <v>0</v>
      </c>
      <c r="J17" s="41" t="n">
        <v>0</v>
      </c>
      <c r="K17" s="104" t="n">
        <v>0</v>
      </c>
      <c r="L17" s="104" t="n">
        <v>0</v>
      </c>
      <c r="M17" s="104" t="n">
        <v>0</v>
      </c>
      <c r="N17" s="104" t="n">
        <v>0</v>
      </c>
      <c r="O17" s="104" t="n">
        <v>0</v>
      </c>
      <c r="P17" s="104" t="n">
        <v>0</v>
      </c>
      <c r="Q17" s="104" t="n">
        <v>0</v>
      </c>
      <c r="R17" s="104" t="n">
        <v>0</v>
      </c>
      <c r="S17" s="104" t="n">
        <v>0</v>
      </c>
      <c r="T17" s="104" t="n">
        <v>0</v>
      </c>
      <c r="U17" s="104" t="n">
        <v>0</v>
      </c>
      <c r="V17" s="104" t="n">
        <v>0</v>
      </c>
      <c r="W17" s="104" t="n">
        <v>0</v>
      </c>
      <c r="X17" s="104" t="n">
        <v>0</v>
      </c>
      <c r="Y17" s="104" t="n">
        <v>0</v>
      </c>
      <c r="Z17" s="104" t="n">
        <v>0</v>
      </c>
      <c r="AA17" s="104" t="n">
        <v>0</v>
      </c>
      <c r="AB17" s="104" t="n">
        <v>0</v>
      </c>
      <c r="AC17" s="104" t="n">
        <v>0</v>
      </c>
      <c r="AD17" s="104" t="n">
        <v>0</v>
      </c>
      <c r="AE17" s="104" t="n">
        <v>0</v>
      </c>
      <c r="AF17" s="104" t="n">
        <v>0</v>
      </c>
      <c r="AG17" s="104" t="n">
        <v>0</v>
      </c>
      <c r="AH17" s="104" t="n">
        <v>0</v>
      </c>
      <c r="AI17" s="104" t="e">
        <v>#N/A</v>
      </c>
      <c r="AJ17" s="104" t="e">
        <v>#N/A</v>
      </c>
      <c r="AK17" s="104" t="e">
        <v>#N/A</v>
      </c>
      <c r="AL17" s="104" t="e">
        <v>#N/A</v>
      </c>
      <c r="AM17" s="104" t="e">
        <v>#N/A</v>
      </c>
      <c r="AN17" s="104" t="e">
        <v>#N/A</v>
      </c>
      <c r="AO17" s="104" t="e">
        <v>#N/A</v>
      </c>
      <c r="AP17" s="104" t="e">
        <v>#N/A</v>
      </c>
      <c r="AQ17" s="104" t="e">
        <v>#N/A</v>
      </c>
      <c r="AR17" s="104" t="e">
        <v>#N/A</v>
      </c>
      <c r="AS17" s="104" t="e">
        <v>#N/A</v>
      </c>
      <c r="AT17" s="104" t="e">
        <v>#N/A</v>
      </c>
      <c r="AU17" s="104" t="e">
        <v>#N/A</v>
      </c>
      <c r="AV17" s="104" t="e">
        <v>#N/A</v>
      </c>
      <c r="AW17" s="104" t="e">
        <v>#N/A</v>
      </c>
      <c r="AX17" s="104" t="e">
        <v>#N/A</v>
      </c>
      <c r="AY17" s="104" t="e">
        <v>#N/A</v>
      </c>
      <c r="AZ17" s="104" t="e">
        <v>#N/A</v>
      </c>
      <c r="BA17" s="104" t="e">
        <v>#N/A</v>
      </c>
      <c r="BB17" s="104" t="e">
        <v>#N/A</v>
      </c>
      <c r="BC17" s="104" t="e">
        <v>#N/A</v>
      </c>
      <c r="BD17" s="104" t="e">
        <v>#N/A</v>
      </c>
      <c r="BE17" s="104" t="e">
        <v>#N/A</v>
      </c>
      <c r="BF17" s="104" t="e">
        <v>#N/A</v>
      </c>
      <c r="BG17" s="104" t="e">
        <v>#N/A</v>
      </c>
      <c r="BH17" s="104" t="e">
        <v>#N/A</v>
      </c>
      <c r="BI17" s="41" t="e">
        <v>#N/A</v>
      </c>
    </row>
    <row r="18">
      <c r="A18" s="36" t="inlineStr">
        <is>
          <t>F16</t>
        </is>
      </c>
      <c r="B18" s="42" t="n">
        <v>0</v>
      </c>
      <c r="C18" s="65" t="n">
        <v>0</v>
      </c>
      <c r="D18" s="43" t="n">
        <v>353.434977</v>
      </c>
      <c r="E18" s="43" t="n">
        <v>5.522421515625</v>
      </c>
      <c r="F18" s="43" t="n">
        <v>358.957398515625</v>
      </c>
      <c r="G18" s="43" t="n">
        <v>0</v>
      </c>
      <c r="H18" s="43" t="n">
        <v>0</v>
      </c>
      <c r="I18" s="43" t="n">
        <v>0</v>
      </c>
      <c r="J18" s="43" t="n">
        <v>0</v>
      </c>
      <c r="K18" s="47" t="n">
        <v>0</v>
      </c>
      <c r="L18" s="47" t="n">
        <v>0</v>
      </c>
      <c r="M18" s="47" t="n">
        <v>0</v>
      </c>
      <c r="N18" s="47" t="n">
        <v>0</v>
      </c>
      <c r="O18" s="47" t="n">
        <v>0</v>
      </c>
      <c r="P18" s="47" t="n">
        <v>0</v>
      </c>
      <c r="Q18" s="47" t="n">
        <v>0</v>
      </c>
      <c r="R18" s="47" t="n">
        <v>0</v>
      </c>
      <c r="S18" s="47" t="n">
        <v>0</v>
      </c>
      <c r="T18" s="47" t="n">
        <v>0</v>
      </c>
      <c r="U18" s="47" t="n">
        <v>0</v>
      </c>
      <c r="V18" s="47" t="n">
        <v>0</v>
      </c>
      <c r="W18" s="47" t="n">
        <v>0</v>
      </c>
      <c r="X18" s="47" t="n">
        <v>0</v>
      </c>
      <c r="Y18" s="47" t="n">
        <v>0</v>
      </c>
      <c r="Z18" s="47" t="n">
        <v>0</v>
      </c>
      <c r="AA18" s="47" t="n">
        <v>0</v>
      </c>
      <c r="AB18" s="47" t="n">
        <v>0</v>
      </c>
      <c r="AC18" s="47" t="n">
        <v>0</v>
      </c>
      <c r="AD18" s="47" t="n">
        <v>0</v>
      </c>
      <c r="AE18" s="47" t="n">
        <v>0</v>
      </c>
      <c r="AF18" s="47" t="n">
        <v>0</v>
      </c>
      <c r="AG18" s="47" t="n">
        <v>0</v>
      </c>
      <c r="AH18" s="47" t="n">
        <v>0</v>
      </c>
      <c r="AI18" s="47" t="e">
        <v>#N/A</v>
      </c>
      <c r="AJ18" s="47" t="e">
        <v>#N/A</v>
      </c>
      <c r="AK18" s="47" t="e">
        <v>#N/A</v>
      </c>
      <c r="AL18" s="47" t="e">
        <v>#N/A</v>
      </c>
      <c r="AM18" s="47" t="e">
        <v>#N/A</v>
      </c>
      <c r="AN18" s="47" t="e">
        <v>#N/A</v>
      </c>
      <c r="AO18" s="47" t="e">
        <v>#N/A</v>
      </c>
      <c r="AP18" s="47" t="e">
        <v>#N/A</v>
      </c>
      <c r="AQ18" s="47" t="e">
        <v>#N/A</v>
      </c>
      <c r="AR18" s="47" t="e">
        <v>#N/A</v>
      </c>
      <c r="AS18" s="47" t="e">
        <v>#N/A</v>
      </c>
      <c r="AT18" s="47" t="e">
        <v>#N/A</v>
      </c>
      <c r="AU18" s="47" t="e">
        <v>#N/A</v>
      </c>
      <c r="AV18" s="47" t="e">
        <v>#N/A</v>
      </c>
      <c r="AW18" s="47" t="e">
        <v>#N/A</v>
      </c>
      <c r="AX18" s="47" t="e">
        <v>#N/A</v>
      </c>
      <c r="AY18" s="47" t="e">
        <v>#N/A</v>
      </c>
      <c r="AZ18" s="47" t="e">
        <v>#N/A</v>
      </c>
      <c r="BA18" s="47" t="e">
        <v>#N/A</v>
      </c>
      <c r="BB18" s="47" t="e">
        <v>#N/A</v>
      </c>
      <c r="BC18" s="47" t="e">
        <v>#N/A</v>
      </c>
      <c r="BD18" s="47" t="e">
        <v>#N/A</v>
      </c>
      <c r="BE18" s="47" t="e">
        <v>#N/A</v>
      </c>
      <c r="BF18" s="47" t="e">
        <v>#N/A</v>
      </c>
      <c r="BG18" s="47" t="e">
        <v>#N/A</v>
      </c>
      <c r="BH18" s="47" t="e">
        <v>#N/A</v>
      </c>
      <c r="BI18" s="43" t="e">
        <v>#N/A</v>
      </c>
    </row>
    <row r="19">
      <c r="A19" s="37" t="inlineStr">
        <is>
          <t>G1</t>
        </is>
      </c>
      <c r="B19" s="40" t="n">
        <v>0</v>
      </c>
      <c r="C19" s="64" t="n">
        <v>0</v>
      </c>
      <c r="D19" s="41" t="n">
        <v>353.434977</v>
      </c>
      <c r="E19" s="41" t="n">
        <v>5.522421515625</v>
      </c>
      <c r="F19" s="41" t="n">
        <v>358.957398515625</v>
      </c>
      <c r="G19" s="41" t="n">
        <v>0</v>
      </c>
      <c r="H19" s="41" t="n">
        <v>0</v>
      </c>
      <c r="I19" s="41" t="n">
        <v>0</v>
      </c>
      <c r="J19" s="41" t="n">
        <v>0</v>
      </c>
      <c r="K19" s="104" t="n">
        <v>0</v>
      </c>
      <c r="L19" s="104" t="n">
        <v>0</v>
      </c>
      <c r="M19" s="104" t="n">
        <v>0</v>
      </c>
      <c r="N19" s="104" t="n">
        <v>0</v>
      </c>
      <c r="O19" s="104" t="n">
        <v>0</v>
      </c>
      <c r="P19" s="104" t="n">
        <v>0</v>
      </c>
      <c r="Q19" s="104" t="n">
        <v>0</v>
      </c>
      <c r="R19" s="104" t="n">
        <v>0</v>
      </c>
      <c r="S19" s="104" t="n">
        <v>0</v>
      </c>
      <c r="T19" s="104" t="n">
        <v>0</v>
      </c>
      <c r="U19" s="104" t="n">
        <v>0</v>
      </c>
      <c r="V19" s="104" t="n">
        <v>0</v>
      </c>
      <c r="W19" s="104" t="n">
        <v>0</v>
      </c>
      <c r="X19" s="104" t="n">
        <v>0</v>
      </c>
      <c r="Y19" s="104" t="n">
        <v>0</v>
      </c>
      <c r="Z19" s="104" t="n">
        <v>0</v>
      </c>
      <c r="AA19" s="104" t="n">
        <v>0</v>
      </c>
      <c r="AB19" s="104" t="n">
        <v>0</v>
      </c>
      <c r="AC19" s="104" t="n">
        <v>0</v>
      </c>
      <c r="AD19" s="104" t="n">
        <v>0</v>
      </c>
      <c r="AE19" s="104" t="n">
        <v>0</v>
      </c>
      <c r="AF19" s="104" t="n">
        <v>0</v>
      </c>
      <c r="AG19" s="104" t="n">
        <v>0</v>
      </c>
      <c r="AH19" s="104" t="n">
        <v>0</v>
      </c>
      <c r="AI19" s="104" t="e">
        <v>#N/A</v>
      </c>
      <c r="AJ19" s="104" t="e">
        <v>#N/A</v>
      </c>
      <c r="AK19" s="104" t="e">
        <v>#N/A</v>
      </c>
      <c r="AL19" s="104" t="e">
        <v>#N/A</v>
      </c>
      <c r="AM19" s="104" t="e">
        <v>#N/A</v>
      </c>
      <c r="AN19" s="104" t="e">
        <v>#N/A</v>
      </c>
      <c r="AO19" s="104" t="e">
        <v>#N/A</v>
      </c>
      <c r="AP19" s="104" t="e">
        <v>#N/A</v>
      </c>
      <c r="AQ19" s="104" t="e">
        <v>#N/A</v>
      </c>
      <c r="AR19" s="104" t="e">
        <v>#N/A</v>
      </c>
      <c r="AS19" s="104" t="e">
        <v>#N/A</v>
      </c>
      <c r="AT19" s="104" t="e">
        <v>#N/A</v>
      </c>
      <c r="AU19" s="104" t="e">
        <v>#N/A</v>
      </c>
      <c r="AV19" s="104" t="e">
        <v>#N/A</v>
      </c>
      <c r="AW19" s="104" t="e">
        <v>#N/A</v>
      </c>
      <c r="AX19" s="104" t="e">
        <v>#N/A</v>
      </c>
      <c r="AY19" s="104" t="e">
        <v>#N/A</v>
      </c>
      <c r="AZ19" s="104" t="e">
        <v>#N/A</v>
      </c>
      <c r="BA19" s="104" t="e">
        <v>#N/A</v>
      </c>
      <c r="BB19" s="104" t="e">
        <v>#N/A</v>
      </c>
      <c r="BC19" s="104" t="e">
        <v>#N/A</v>
      </c>
      <c r="BD19" s="104" t="e">
        <v>#N/A</v>
      </c>
      <c r="BE19" s="104" t="e">
        <v>#N/A</v>
      </c>
      <c r="BF19" s="104" t="e">
        <v>#N/A</v>
      </c>
      <c r="BG19" s="104" t="e">
        <v>#N/A</v>
      </c>
      <c r="BH19" s="104" t="e">
        <v>#N/A</v>
      </c>
      <c r="BI19" s="41" t="e">
        <v>#N/A</v>
      </c>
    </row>
    <row r="20">
      <c r="A20" s="36" t="inlineStr">
        <is>
          <t>G2</t>
        </is>
      </c>
      <c r="B20" s="42" t="n">
        <v>0</v>
      </c>
      <c r="C20" s="65" t="n">
        <v>0</v>
      </c>
      <c r="D20" s="43" t="n">
        <v>471.246636</v>
      </c>
      <c r="E20" s="43" t="n">
        <v>5.522421515625</v>
      </c>
      <c r="F20" s="43" t="n">
        <v>476.769057515625</v>
      </c>
      <c r="G20" s="43" t="n">
        <v>0</v>
      </c>
      <c r="H20" s="43" t="n">
        <v>0</v>
      </c>
      <c r="I20" s="43" t="n">
        <v>0</v>
      </c>
      <c r="J20" s="43" t="n">
        <v>0</v>
      </c>
      <c r="K20" s="47" t="n">
        <v>0</v>
      </c>
      <c r="L20" s="47" t="n">
        <v>0</v>
      </c>
      <c r="M20" s="47" t="n">
        <v>0</v>
      </c>
      <c r="N20" s="47" t="n">
        <v>0</v>
      </c>
      <c r="O20" s="47" t="n">
        <v>0</v>
      </c>
      <c r="P20" s="47" t="n">
        <v>0</v>
      </c>
      <c r="Q20" s="47" t="n">
        <v>0</v>
      </c>
      <c r="R20" s="47" t="n">
        <v>0</v>
      </c>
      <c r="S20" s="47" t="n">
        <v>0</v>
      </c>
      <c r="T20" s="47" t="n">
        <v>0</v>
      </c>
      <c r="U20" s="47" t="n">
        <v>0</v>
      </c>
      <c r="V20" s="47" t="n">
        <v>0</v>
      </c>
      <c r="W20" s="47" t="n">
        <v>0</v>
      </c>
      <c r="X20" s="47" t="n">
        <v>0</v>
      </c>
      <c r="Y20" s="47" t="n">
        <v>0</v>
      </c>
      <c r="Z20" s="47" t="n">
        <v>0</v>
      </c>
      <c r="AA20" s="47" t="n">
        <v>0</v>
      </c>
      <c r="AB20" s="47" t="n">
        <v>0</v>
      </c>
      <c r="AC20" s="47" t="n">
        <v>0</v>
      </c>
      <c r="AD20" s="47" t="n">
        <v>0</v>
      </c>
      <c r="AE20" s="47" t="n">
        <v>0</v>
      </c>
      <c r="AF20" s="47" t="n">
        <v>0</v>
      </c>
      <c r="AG20" s="47" t="n">
        <v>0</v>
      </c>
      <c r="AH20" s="47" t="n">
        <v>0</v>
      </c>
      <c r="AI20" s="47" t="e">
        <v>#N/A</v>
      </c>
      <c r="AJ20" s="47" t="e">
        <v>#N/A</v>
      </c>
      <c r="AK20" s="47" t="e">
        <v>#N/A</v>
      </c>
      <c r="AL20" s="47" t="e">
        <v>#N/A</v>
      </c>
      <c r="AM20" s="47" t="e">
        <v>#N/A</v>
      </c>
      <c r="AN20" s="47" t="e">
        <v>#N/A</v>
      </c>
      <c r="AO20" s="47" t="e">
        <v>#N/A</v>
      </c>
      <c r="AP20" s="47" t="e">
        <v>#N/A</v>
      </c>
      <c r="AQ20" s="47" t="e">
        <v>#N/A</v>
      </c>
      <c r="AR20" s="47" t="e">
        <v>#N/A</v>
      </c>
      <c r="AS20" s="47" t="e">
        <v>#N/A</v>
      </c>
      <c r="AT20" s="47" t="e">
        <v>#N/A</v>
      </c>
      <c r="AU20" s="47" t="e">
        <v>#N/A</v>
      </c>
      <c r="AV20" s="47" t="e">
        <v>#N/A</v>
      </c>
      <c r="AW20" s="47" t="e">
        <v>#N/A</v>
      </c>
      <c r="AX20" s="47" t="e">
        <v>#N/A</v>
      </c>
      <c r="AY20" s="47" t="e">
        <v>#N/A</v>
      </c>
      <c r="AZ20" s="47" t="e">
        <v>#N/A</v>
      </c>
      <c r="BA20" s="47" t="e">
        <v>#N/A</v>
      </c>
      <c r="BB20" s="47" t="e">
        <v>#N/A</v>
      </c>
      <c r="BC20" s="47" t="e">
        <v>#N/A</v>
      </c>
      <c r="BD20" s="47" t="e">
        <v>#N/A</v>
      </c>
      <c r="BE20" s="47" t="e">
        <v>#N/A</v>
      </c>
      <c r="BF20" s="47" t="e">
        <v>#N/A</v>
      </c>
      <c r="BG20" s="47" t="e">
        <v>#N/A</v>
      </c>
      <c r="BH20" s="47" t="e">
        <v>#N/A</v>
      </c>
      <c r="BI20" s="43" t="e">
        <v>#N/A</v>
      </c>
    </row>
    <row r="21">
      <c r="A21" s="37" t="inlineStr">
        <is>
          <t>G3</t>
        </is>
      </c>
      <c r="B21" s="40" t="n">
        <v>0</v>
      </c>
      <c r="C21" s="64" t="n">
        <v>0</v>
      </c>
      <c r="D21" s="41" t="n">
        <v>471.246636</v>
      </c>
      <c r="E21" s="41" t="n">
        <v>5.522421515625</v>
      </c>
      <c r="F21" s="41" t="n">
        <v>476.769057515625</v>
      </c>
      <c r="G21" s="41" t="n">
        <v>0</v>
      </c>
      <c r="H21" s="41" t="n">
        <v>0</v>
      </c>
      <c r="I21" s="41" t="n">
        <v>0</v>
      </c>
      <c r="J21" s="41" t="n">
        <v>0</v>
      </c>
      <c r="K21" s="104" t="n">
        <v>0</v>
      </c>
      <c r="L21" s="104" t="n">
        <v>0</v>
      </c>
      <c r="M21" s="104" t="n">
        <v>0</v>
      </c>
      <c r="N21" s="104" t="n">
        <v>0</v>
      </c>
      <c r="O21" s="104" t="n">
        <v>0</v>
      </c>
      <c r="P21" s="104" t="n">
        <v>0</v>
      </c>
      <c r="Q21" s="104" t="n">
        <v>0</v>
      </c>
      <c r="R21" s="104" t="n">
        <v>0</v>
      </c>
      <c r="S21" s="104" t="n">
        <v>0</v>
      </c>
      <c r="T21" s="104" t="n">
        <v>0</v>
      </c>
      <c r="U21" s="104" t="n">
        <v>0</v>
      </c>
      <c r="V21" s="104" t="n">
        <v>0</v>
      </c>
      <c r="W21" s="104" t="n">
        <v>0</v>
      </c>
      <c r="X21" s="104" t="n">
        <v>0</v>
      </c>
      <c r="Y21" s="104" t="n">
        <v>0</v>
      </c>
      <c r="Z21" s="104" t="n">
        <v>0</v>
      </c>
      <c r="AA21" s="104" t="n">
        <v>0</v>
      </c>
      <c r="AB21" s="104" t="n">
        <v>0</v>
      </c>
      <c r="AC21" s="104" t="n">
        <v>0</v>
      </c>
      <c r="AD21" s="104" t="n">
        <v>0</v>
      </c>
      <c r="AE21" s="104" t="n">
        <v>0</v>
      </c>
      <c r="AF21" s="104" t="n">
        <v>0</v>
      </c>
      <c r="AG21" s="104" t="n">
        <v>0</v>
      </c>
      <c r="AH21" s="104" t="n">
        <v>0</v>
      </c>
      <c r="AI21" s="104" t="e">
        <v>#N/A</v>
      </c>
      <c r="AJ21" s="104" t="e">
        <v>#N/A</v>
      </c>
      <c r="AK21" s="104" t="e">
        <v>#N/A</v>
      </c>
      <c r="AL21" s="104" t="e">
        <v>#N/A</v>
      </c>
      <c r="AM21" s="104" t="e">
        <v>#N/A</v>
      </c>
      <c r="AN21" s="104" t="e">
        <v>#N/A</v>
      </c>
      <c r="AO21" s="104" t="e">
        <v>#N/A</v>
      </c>
      <c r="AP21" s="104" t="e">
        <v>#N/A</v>
      </c>
      <c r="AQ21" s="104" t="e">
        <v>#N/A</v>
      </c>
      <c r="AR21" s="104" t="e">
        <v>#N/A</v>
      </c>
      <c r="AS21" s="104" t="e">
        <v>#N/A</v>
      </c>
      <c r="AT21" s="104" t="e">
        <v>#N/A</v>
      </c>
      <c r="AU21" s="104" t="e">
        <v>#N/A</v>
      </c>
      <c r="AV21" s="104" t="e">
        <v>#N/A</v>
      </c>
      <c r="AW21" s="104" t="e">
        <v>#N/A</v>
      </c>
      <c r="AX21" s="104" t="e">
        <v>#N/A</v>
      </c>
      <c r="AY21" s="104" t="e">
        <v>#N/A</v>
      </c>
      <c r="AZ21" s="104" t="e">
        <v>#N/A</v>
      </c>
      <c r="BA21" s="104" t="e">
        <v>#N/A</v>
      </c>
      <c r="BB21" s="104" t="e">
        <v>#N/A</v>
      </c>
      <c r="BC21" s="104" t="e">
        <v>#N/A</v>
      </c>
      <c r="BD21" s="104" t="e">
        <v>#N/A</v>
      </c>
      <c r="BE21" s="104" t="e">
        <v>#N/A</v>
      </c>
      <c r="BF21" s="104" t="e">
        <v>#N/A</v>
      </c>
      <c r="BG21" s="104" t="e">
        <v>#N/A</v>
      </c>
      <c r="BH21" s="104" t="e">
        <v>#N/A</v>
      </c>
      <c r="BI21" s="41" t="e">
        <v>#N/A</v>
      </c>
    </row>
    <row r="22">
      <c r="A22" s="36" t="inlineStr">
        <is>
          <t>G4</t>
        </is>
      </c>
      <c r="B22" s="42" t="n">
        <v>0</v>
      </c>
      <c r="C22" s="65" t="n">
        <v>0</v>
      </c>
      <c r="D22" s="43" t="n">
        <v>471.246636</v>
      </c>
      <c r="E22" s="43" t="n">
        <v>5.522421515625</v>
      </c>
      <c r="F22" s="43" t="n">
        <v>476.769057515625</v>
      </c>
      <c r="G22" s="43" t="n">
        <v>0</v>
      </c>
      <c r="H22" s="43" t="n">
        <v>0</v>
      </c>
      <c r="I22" s="43" t="n">
        <v>0</v>
      </c>
      <c r="J22" s="43" t="n">
        <v>0</v>
      </c>
      <c r="K22" s="47" t="n">
        <v>0</v>
      </c>
      <c r="L22" s="47" t="n">
        <v>0</v>
      </c>
      <c r="M22" s="47" t="n">
        <v>0</v>
      </c>
      <c r="N22" s="47" t="n">
        <v>0</v>
      </c>
      <c r="O22" s="47" t="n">
        <v>0</v>
      </c>
      <c r="P22" s="47" t="n">
        <v>0</v>
      </c>
      <c r="Q22" s="47" t="n">
        <v>0</v>
      </c>
      <c r="R22" s="47" t="n">
        <v>0</v>
      </c>
      <c r="S22" s="47" t="n">
        <v>0</v>
      </c>
      <c r="T22" s="47" t="n">
        <v>0</v>
      </c>
      <c r="U22" s="47" t="n">
        <v>0</v>
      </c>
      <c r="V22" s="47" t="n">
        <v>0</v>
      </c>
      <c r="W22" s="47" t="n">
        <v>0</v>
      </c>
      <c r="X22" s="47" t="n">
        <v>0</v>
      </c>
      <c r="Y22" s="47" t="n">
        <v>0</v>
      </c>
      <c r="Z22" s="47" t="n">
        <v>0</v>
      </c>
      <c r="AA22" s="47" t="n">
        <v>0</v>
      </c>
      <c r="AB22" s="47" t="n">
        <v>0</v>
      </c>
      <c r="AC22" s="47" t="n">
        <v>0</v>
      </c>
      <c r="AD22" s="47" t="n">
        <v>0</v>
      </c>
      <c r="AE22" s="47" t="n">
        <v>0</v>
      </c>
      <c r="AF22" s="47" t="n">
        <v>0</v>
      </c>
      <c r="AG22" s="47" t="n">
        <v>0</v>
      </c>
      <c r="AH22" s="47" t="n">
        <v>0</v>
      </c>
      <c r="AI22" s="47" t="e">
        <v>#N/A</v>
      </c>
      <c r="AJ22" s="47" t="e">
        <v>#N/A</v>
      </c>
      <c r="AK22" s="47" t="e">
        <v>#N/A</v>
      </c>
      <c r="AL22" s="47" t="e">
        <v>#N/A</v>
      </c>
      <c r="AM22" s="47" t="e">
        <v>#N/A</v>
      </c>
      <c r="AN22" s="47" t="e">
        <v>#N/A</v>
      </c>
      <c r="AO22" s="47" t="e">
        <v>#N/A</v>
      </c>
      <c r="AP22" s="47" t="e">
        <v>#N/A</v>
      </c>
      <c r="AQ22" s="47" t="e">
        <v>#N/A</v>
      </c>
      <c r="AR22" s="47" t="e">
        <v>#N/A</v>
      </c>
      <c r="AS22" s="47" t="e">
        <v>#N/A</v>
      </c>
      <c r="AT22" s="47" t="e">
        <v>#N/A</v>
      </c>
      <c r="AU22" s="47" t="e">
        <v>#N/A</v>
      </c>
      <c r="AV22" s="47" t="e">
        <v>#N/A</v>
      </c>
      <c r="AW22" s="47" t="e">
        <v>#N/A</v>
      </c>
      <c r="AX22" s="47" t="e">
        <v>#N/A</v>
      </c>
      <c r="AY22" s="47" t="e">
        <v>#N/A</v>
      </c>
      <c r="AZ22" s="47" t="e">
        <v>#N/A</v>
      </c>
      <c r="BA22" s="47" t="e">
        <v>#N/A</v>
      </c>
      <c r="BB22" s="47" t="e">
        <v>#N/A</v>
      </c>
      <c r="BC22" s="47" t="e">
        <v>#N/A</v>
      </c>
      <c r="BD22" s="47" t="e">
        <v>#N/A</v>
      </c>
      <c r="BE22" s="47" t="e">
        <v>#N/A</v>
      </c>
      <c r="BF22" s="47" t="e">
        <v>#N/A</v>
      </c>
      <c r="BG22" s="47" t="e">
        <v>#N/A</v>
      </c>
      <c r="BH22" s="47" t="e">
        <v>#N/A</v>
      </c>
      <c r="BI22" s="43" t="e">
        <v>#N/A</v>
      </c>
    </row>
    <row r="23">
      <c r="A23" s="37" t="inlineStr">
        <is>
          <t>G5</t>
        </is>
      </c>
      <c r="B23" s="40" t="n">
        <v>0</v>
      </c>
      <c r="C23" s="64" t="n">
        <v>0</v>
      </c>
      <c r="D23" s="41" t="n">
        <v>353.434977</v>
      </c>
      <c r="E23" s="41" t="n">
        <v>5.522421515625</v>
      </c>
      <c r="F23" s="41" t="n">
        <v>358.957398515625</v>
      </c>
      <c r="G23" s="41" t="n">
        <v>0</v>
      </c>
      <c r="H23" s="41" t="n">
        <v>0</v>
      </c>
      <c r="I23" s="41" t="n">
        <v>0</v>
      </c>
      <c r="J23" s="41" t="n">
        <v>0</v>
      </c>
      <c r="K23" s="104" t="n">
        <v>0</v>
      </c>
      <c r="L23" s="104" t="n">
        <v>0</v>
      </c>
      <c r="M23" s="104" t="n">
        <v>0</v>
      </c>
      <c r="N23" s="104" t="n">
        <v>0</v>
      </c>
      <c r="O23" s="104" t="n">
        <v>0</v>
      </c>
      <c r="P23" s="104" t="n">
        <v>0</v>
      </c>
      <c r="Q23" s="104" t="n">
        <v>0</v>
      </c>
      <c r="R23" s="104" t="n">
        <v>0</v>
      </c>
      <c r="S23" s="104" t="n">
        <v>0</v>
      </c>
      <c r="T23" s="104" t="n">
        <v>0</v>
      </c>
      <c r="U23" s="104" t="n">
        <v>0</v>
      </c>
      <c r="V23" s="104" t="n">
        <v>0</v>
      </c>
      <c r="W23" s="104" t="n">
        <v>0</v>
      </c>
      <c r="X23" s="104" t="n">
        <v>0</v>
      </c>
      <c r="Y23" s="104" t="n">
        <v>0</v>
      </c>
      <c r="Z23" s="104" t="n">
        <v>0</v>
      </c>
      <c r="AA23" s="104" t="n">
        <v>0</v>
      </c>
      <c r="AB23" s="104" t="n">
        <v>0</v>
      </c>
      <c r="AC23" s="104" t="n">
        <v>0</v>
      </c>
      <c r="AD23" s="104" t="n">
        <v>0</v>
      </c>
      <c r="AE23" s="104" t="n">
        <v>0</v>
      </c>
      <c r="AF23" s="104" t="n">
        <v>0</v>
      </c>
      <c r="AG23" s="104" t="n">
        <v>0</v>
      </c>
      <c r="AH23" s="104" t="n">
        <v>0</v>
      </c>
      <c r="AI23" s="104" t="e">
        <v>#N/A</v>
      </c>
      <c r="AJ23" s="104" t="e">
        <v>#N/A</v>
      </c>
      <c r="AK23" s="104" t="e">
        <v>#N/A</v>
      </c>
      <c r="AL23" s="104" t="e">
        <v>#N/A</v>
      </c>
      <c r="AM23" s="104" t="e">
        <v>#N/A</v>
      </c>
      <c r="AN23" s="104" t="e">
        <v>#N/A</v>
      </c>
      <c r="AO23" s="104" t="e">
        <v>#N/A</v>
      </c>
      <c r="AP23" s="104" t="e">
        <v>#N/A</v>
      </c>
      <c r="AQ23" s="104" t="e">
        <v>#N/A</v>
      </c>
      <c r="AR23" s="104" t="e">
        <v>#N/A</v>
      </c>
      <c r="AS23" s="104" t="e">
        <v>#N/A</v>
      </c>
      <c r="AT23" s="104" t="e">
        <v>#N/A</v>
      </c>
      <c r="AU23" s="104" t="e">
        <v>#N/A</v>
      </c>
      <c r="AV23" s="104" t="e">
        <v>#N/A</v>
      </c>
      <c r="AW23" s="104" t="e">
        <v>#N/A</v>
      </c>
      <c r="AX23" s="104" t="e">
        <v>#N/A</v>
      </c>
      <c r="AY23" s="104" t="e">
        <v>#N/A</v>
      </c>
      <c r="AZ23" s="104" t="e">
        <v>#N/A</v>
      </c>
      <c r="BA23" s="104" t="e">
        <v>#N/A</v>
      </c>
      <c r="BB23" s="104" t="e">
        <v>#N/A</v>
      </c>
      <c r="BC23" s="104" t="e">
        <v>#N/A</v>
      </c>
      <c r="BD23" s="104" t="e">
        <v>#N/A</v>
      </c>
      <c r="BE23" s="104" t="e">
        <v>#N/A</v>
      </c>
      <c r="BF23" s="104" t="e">
        <v>#N/A</v>
      </c>
      <c r="BG23" s="104" t="e">
        <v>#N/A</v>
      </c>
      <c r="BH23" s="104" t="e">
        <v>#N/A</v>
      </c>
      <c r="BI23" s="41" t="e">
        <v>#N/A</v>
      </c>
    </row>
    <row r="24">
      <c r="A24" s="36" t="inlineStr">
        <is>
          <t>G6</t>
        </is>
      </c>
      <c r="B24" s="42" t="n">
        <v>0</v>
      </c>
      <c r="C24" s="65" t="n">
        <v>0</v>
      </c>
      <c r="D24" s="43" t="n">
        <v>353.434977</v>
      </c>
      <c r="E24" s="43" t="n">
        <v>5.522421515625</v>
      </c>
      <c r="F24" s="43" t="n">
        <v>358.957398515625</v>
      </c>
      <c r="G24" s="43" t="n">
        <v>0</v>
      </c>
      <c r="H24" s="43" t="n">
        <v>0</v>
      </c>
      <c r="I24" s="43" t="n">
        <v>0</v>
      </c>
      <c r="J24" s="43" t="n">
        <v>0</v>
      </c>
      <c r="K24" s="47" t="n">
        <v>0</v>
      </c>
      <c r="L24" s="47" t="n">
        <v>0</v>
      </c>
      <c r="M24" s="47" t="n">
        <v>0</v>
      </c>
      <c r="N24" s="47" t="n">
        <v>0</v>
      </c>
      <c r="O24" s="47" t="n">
        <v>0</v>
      </c>
      <c r="P24" s="47" t="n">
        <v>0</v>
      </c>
      <c r="Q24" s="47" t="n">
        <v>0</v>
      </c>
      <c r="R24" s="47" t="n">
        <v>0</v>
      </c>
      <c r="S24" s="47" t="n">
        <v>0</v>
      </c>
      <c r="T24" s="47" t="n">
        <v>0</v>
      </c>
      <c r="U24" s="47" t="n">
        <v>0</v>
      </c>
      <c r="V24" s="47" t="n">
        <v>0</v>
      </c>
      <c r="W24" s="47" t="n">
        <v>0</v>
      </c>
      <c r="X24" s="47" t="n">
        <v>0</v>
      </c>
      <c r="Y24" s="47" t="n">
        <v>0</v>
      </c>
      <c r="Z24" s="47" t="n">
        <v>0</v>
      </c>
      <c r="AA24" s="47" t="n">
        <v>0</v>
      </c>
      <c r="AB24" s="47" t="n">
        <v>0</v>
      </c>
      <c r="AC24" s="47" t="n">
        <v>0</v>
      </c>
      <c r="AD24" s="47" t="n">
        <v>0</v>
      </c>
      <c r="AE24" s="47" t="n">
        <v>0</v>
      </c>
      <c r="AF24" s="47" t="n">
        <v>0</v>
      </c>
      <c r="AG24" s="47" t="n">
        <v>0</v>
      </c>
      <c r="AH24" s="47" t="n">
        <v>0</v>
      </c>
      <c r="AI24" s="47" t="e">
        <v>#N/A</v>
      </c>
      <c r="AJ24" s="47" t="e">
        <v>#N/A</v>
      </c>
      <c r="AK24" s="47" t="e">
        <v>#N/A</v>
      </c>
      <c r="AL24" s="47" t="e">
        <v>#N/A</v>
      </c>
      <c r="AM24" s="47" t="e">
        <v>#N/A</v>
      </c>
      <c r="AN24" s="47" t="e">
        <v>#N/A</v>
      </c>
      <c r="AO24" s="47" t="e">
        <v>#N/A</v>
      </c>
      <c r="AP24" s="47" t="e">
        <v>#N/A</v>
      </c>
      <c r="AQ24" s="47" t="e">
        <v>#N/A</v>
      </c>
      <c r="AR24" s="47" t="e">
        <v>#N/A</v>
      </c>
      <c r="AS24" s="47" t="e">
        <v>#N/A</v>
      </c>
      <c r="AT24" s="47" t="e">
        <v>#N/A</v>
      </c>
      <c r="AU24" s="47" t="e">
        <v>#N/A</v>
      </c>
      <c r="AV24" s="47" t="e">
        <v>#N/A</v>
      </c>
      <c r="AW24" s="47" t="e">
        <v>#N/A</v>
      </c>
      <c r="AX24" s="47" t="e">
        <v>#N/A</v>
      </c>
      <c r="AY24" s="47" t="e">
        <v>#N/A</v>
      </c>
      <c r="AZ24" s="47" t="e">
        <v>#N/A</v>
      </c>
      <c r="BA24" s="47" t="e">
        <v>#N/A</v>
      </c>
      <c r="BB24" s="47" t="e">
        <v>#N/A</v>
      </c>
      <c r="BC24" s="47" t="e">
        <v>#N/A</v>
      </c>
      <c r="BD24" s="47" t="e">
        <v>#N/A</v>
      </c>
      <c r="BE24" s="47" t="e">
        <v>#N/A</v>
      </c>
      <c r="BF24" s="47" t="e">
        <v>#N/A</v>
      </c>
      <c r="BG24" s="47" t="e">
        <v>#N/A</v>
      </c>
      <c r="BH24" s="47" t="e">
        <v>#N/A</v>
      </c>
      <c r="BI24" s="43" t="e">
        <v>#N/A</v>
      </c>
    </row>
    <row r="25">
      <c r="A25" s="37" t="inlineStr">
        <is>
          <t>G7</t>
        </is>
      </c>
      <c r="B25" s="40" t="n">
        <v>0</v>
      </c>
      <c r="C25" s="64" t="n">
        <v>0</v>
      </c>
      <c r="D25" s="41" t="n">
        <v>353.434977</v>
      </c>
      <c r="E25" s="41" t="n">
        <v>5.522421515625</v>
      </c>
      <c r="F25" s="41" t="n">
        <v>358.957398515625</v>
      </c>
      <c r="G25" s="41" t="n">
        <v>0</v>
      </c>
      <c r="H25" s="41" t="n">
        <v>0</v>
      </c>
      <c r="I25" s="41" t="n">
        <v>0</v>
      </c>
      <c r="J25" s="41" t="n">
        <v>0</v>
      </c>
      <c r="K25" s="104" t="n">
        <v>0</v>
      </c>
      <c r="L25" s="104" t="n">
        <v>0</v>
      </c>
      <c r="M25" s="104" t="n">
        <v>0</v>
      </c>
      <c r="N25" s="104" t="n">
        <v>0</v>
      </c>
      <c r="O25" s="104" t="n">
        <v>0</v>
      </c>
      <c r="P25" s="104" t="n">
        <v>0</v>
      </c>
      <c r="Q25" s="104" t="n">
        <v>0</v>
      </c>
      <c r="R25" s="104" t="n">
        <v>0</v>
      </c>
      <c r="S25" s="104" t="n">
        <v>0</v>
      </c>
      <c r="T25" s="104" t="n">
        <v>0</v>
      </c>
      <c r="U25" s="104" t="n">
        <v>0</v>
      </c>
      <c r="V25" s="104" t="n">
        <v>0</v>
      </c>
      <c r="W25" s="104" t="n">
        <v>0</v>
      </c>
      <c r="X25" s="104" t="n">
        <v>0</v>
      </c>
      <c r="Y25" s="104" t="n">
        <v>0</v>
      </c>
      <c r="Z25" s="104" t="n">
        <v>0</v>
      </c>
      <c r="AA25" s="104" t="n">
        <v>0</v>
      </c>
      <c r="AB25" s="104" t="n">
        <v>0</v>
      </c>
      <c r="AC25" s="104" t="n">
        <v>0</v>
      </c>
      <c r="AD25" s="104" t="n">
        <v>0</v>
      </c>
      <c r="AE25" s="104" t="n">
        <v>0</v>
      </c>
      <c r="AF25" s="104" t="n">
        <v>0</v>
      </c>
      <c r="AG25" s="104" t="n">
        <v>0</v>
      </c>
      <c r="AH25" s="104" t="n">
        <v>0</v>
      </c>
      <c r="AI25" s="104" t="e">
        <v>#N/A</v>
      </c>
      <c r="AJ25" s="104" t="e">
        <v>#N/A</v>
      </c>
      <c r="AK25" s="104" t="e">
        <v>#N/A</v>
      </c>
      <c r="AL25" s="104" t="e">
        <v>#N/A</v>
      </c>
      <c r="AM25" s="104" t="e">
        <v>#N/A</v>
      </c>
      <c r="AN25" s="104" t="e">
        <v>#N/A</v>
      </c>
      <c r="AO25" s="104" t="e">
        <v>#N/A</v>
      </c>
      <c r="AP25" s="104" t="e">
        <v>#N/A</v>
      </c>
      <c r="AQ25" s="104" t="e">
        <v>#N/A</v>
      </c>
      <c r="AR25" s="104" t="e">
        <v>#N/A</v>
      </c>
      <c r="AS25" s="104" t="e">
        <v>#N/A</v>
      </c>
      <c r="AT25" s="104" t="e">
        <v>#N/A</v>
      </c>
      <c r="AU25" s="104" t="e">
        <v>#N/A</v>
      </c>
      <c r="AV25" s="104" t="e">
        <v>#N/A</v>
      </c>
      <c r="AW25" s="104" t="e">
        <v>#N/A</v>
      </c>
      <c r="AX25" s="104" t="e">
        <v>#N/A</v>
      </c>
      <c r="AY25" s="104" t="e">
        <v>#N/A</v>
      </c>
      <c r="AZ25" s="104" t="e">
        <v>#N/A</v>
      </c>
      <c r="BA25" s="104" t="e">
        <v>#N/A</v>
      </c>
      <c r="BB25" s="104" t="e">
        <v>#N/A</v>
      </c>
      <c r="BC25" s="104" t="e">
        <v>#N/A</v>
      </c>
      <c r="BD25" s="104" t="e">
        <v>#N/A</v>
      </c>
      <c r="BE25" s="104" t="e">
        <v>#N/A</v>
      </c>
      <c r="BF25" s="104" t="e">
        <v>#N/A</v>
      </c>
      <c r="BG25" s="104" t="e">
        <v>#N/A</v>
      </c>
      <c r="BH25" s="104" t="e">
        <v>#N/A</v>
      </c>
      <c r="BI25" s="41" t="e">
        <v>#N/A</v>
      </c>
    </row>
    <row r="26">
      <c r="A26" s="36" t="inlineStr">
        <is>
          <t>G8</t>
        </is>
      </c>
      <c r="B26" s="42" t="n">
        <v>0</v>
      </c>
      <c r="C26" s="65" t="n">
        <v>0</v>
      </c>
      <c r="D26" s="43" t="n">
        <v>353.434977</v>
      </c>
      <c r="E26" s="43" t="n">
        <v>5.522421515625</v>
      </c>
      <c r="F26" s="43" t="n">
        <v>358.957398515625</v>
      </c>
      <c r="G26" s="43" t="n">
        <v>0</v>
      </c>
      <c r="H26" s="43" t="n">
        <v>0</v>
      </c>
      <c r="I26" s="43" t="n">
        <v>0</v>
      </c>
      <c r="J26" s="43" t="n">
        <v>0</v>
      </c>
      <c r="K26" s="47" t="n">
        <v>0</v>
      </c>
      <c r="L26" s="47" t="n">
        <v>0</v>
      </c>
      <c r="M26" s="47" t="n">
        <v>0</v>
      </c>
      <c r="N26" s="47" t="n">
        <v>0</v>
      </c>
      <c r="O26" s="47" t="n">
        <v>0</v>
      </c>
      <c r="P26" s="47" t="n">
        <v>0</v>
      </c>
      <c r="Q26" s="47" t="n">
        <v>0</v>
      </c>
      <c r="R26" s="47" t="n">
        <v>0</v>
      </c>
      <c r="S26" s="47" t="n">
        <v>0</v>
      </c>
      <c r="T26" s="47" t="n">
        <v>0</v>
      </c>
      <c r="U26" s="47" t="n">
        <v>0</v>
      </c>
      <c r="V26" s="47" t="n">
        <v>0</v>
      </c>
      <c r="W26" s="47" t="n">
        <v>0</v>
      </c>
      <c r="X26" s="47" t="n">
        <v>0</v>
      </c>
      <c r="Y26" s="47" t="n">
        <v>0</v>
      </c>
      <c r="Z26" s="47" t="n">
        <v>0</v>
      </c>
      <c r="AA26" s="47" t="n">
        <v>0</v>
      </c>
      <c r="AB26" s="47" t="n">
        <v>0</v>
      </c>
      <c r="AC26" s="47" t="n">
        <v>0</v>
      </c>
      <c r="AD26" s="47" t="n">
        <v>0</v>
      </c>
      <c r="AE26" s="47" t="n">
        <v>0</v>
      </c>
      <c r="AF26" s="47" t="n">
        <v>0</v>
      </c>
      <c r="AG26" s="47" t="n">
        <v>0</v>
      </c>
      <c r="AH26" s="47" t="n">
        <v>0</v>
      </c>
      <c r="AI26" s="47" t="e">
        <v>#N/A</v>
      </c>
      <c r="AJ26" s="47" t="e">
        <v>#N/A</v>
      </c>
      <c r="AK26" s="47" t="e">
        <v>#N/A</v>
      </c>
      <c r="AL26" s="47" t="e">
        <v>#N/A</v>
      </c>
      <c r="AM26" s="47" t="e">
        <v>#N/A</v>
      </c>
      <c r="AN26" s="47" t="e">
        <v>#N/A</v>
      </c>
      <c r="AO26" s="47" t="e">
        <v>#N/A</v>
      </c>
      <c r="AP26" s="47" t="e">
        <v>#N/A</v>
      </c>
      <c r="AQ26" s="47" t="e">
        <v>#N/A</v>
      </c>
      <c r="AR26" s="47" t="e">
        <v>#N/A</v>
      </c>
      <c r="AS26" s="47" t="e">
        <v>#N/A</v>
      </c>
      <c r="AT26" s="47" t="e">
        <v>#N/A</v>
      </c>
      <c r="AU26" s="47" t="e">
        <v>#N/A</v>
      </c>
      <c r="AV26" s="47" t="e">
        <v>#N/A</v>
      </c>
      <c r="AW26" s="47" t="e">
        <v>#N/A</v>
      </c>
      <c r="AX26" s="47" t="e">
        <v>#N/A</v>
      </c>
      <c r="AY26" s="47" t="e">
        <v>#N/A</v>
      </c>
      <c r="AZ26" s="47" t="e">
        <v>#N/A</v>
      </c>
      <c r="BA26" s="47" t="e">
        <v>#N/A</v>
      </c>
      <c r="BB26" s="47" t="e">
        <v>#N/A</v>
      </c>
      <c r="BC26" s="47" t="e">
        <v>#N/A</v>
      </c>
      <c r="BD26" s="47" t="e">
        <v>#N/A</v>
      </c>
      <c r="BE26" s="47" t="e">
        <v>#N/A</v>
      </c>
      <c r="BF26" s="47" t="e">
        <v>#N/A</v>
      </c>
      <c r="BG26" s="47" t="e">
        <v>#N/A</v>
      </c>
      <c r="BH26" s="47" t="e">
        <v>#N/A</v>
      </c>
      <c r="BI26" s="43" t="e">
        <v>#N/A</v>
      </c>
    </row>
    <row r="27">
      <c r="A27" s="37" t="inlineStr">
        <is>
          <t>G9</t>
        </is>
      </c>
      <c r="B27" s="40" t="n">
        <v>0</v>
      </c>
      <c r="C27" s="64" t="n">
        <v>0</v>
      </c>
      <c r="D27" s="41" t="n">
        <v>589.058295</v>
      </c>
      <c r="E27" s="41" t="n">
        <v>5.522421515625</v>
      </c>
      <c r="F27" s="41" t="n">
        <v>594.580716515625</v>
      </c>
      <c r="G27" s="41" t="n">
        <v>0</v>
      </c>
      <c r="H27" s="41" t="n">
        <v>0</v>
      </c>
      <c r="I27" s="41" t="n">
        <v>0</v>
      </c>
      <c r="J27" s="41" t="n">
        <v>0</v>
      </c>
      <c r="K27" s="104" t="n">
        <v>0</v>
      </c>
      <c r="L27" s="104" t="n">
        <v>0</v>
      </c>
      <c r="M27" s="104" t="n">
        <v>0</v>
      </c>
      <c r="N27" s="104" t="n">
        <v>0</v>
      </c>
      <c r="O27" s="104" t="n">
        <v>0</v>
      </c>
      <c r="P27" s="104" t="n">
        <v>0</v>
      </c>
      <c r="Q27" s="104" t="n">
        <v>0</v>
      </c>
      <c r="R27" s="104" t="n">
        <v>0</v>
      </c>
      <c r="S27" s="104" t="n">
        <v>0</v>
      </c>
      <c r="T27" s="104" t="n">
        <v>0</v>
      </c>
      <c r="U27" s="104" t="n">
        <v>0</v>
      </c>
      <c r="V27" s="104" t="n">
        <v>0</v>
      </c>
      <c r="W27" s="104" t="n">
        <v>0</v>
      </c>
      <c r="X27" s="104" t="n">
        <v>0</v>
      </c>
      <c r="Y27" s="104" t="n">
        <v>0</v>
      </c>
      <c r="Z27" s="104" t="n">
        <v>0</v>
      </c>
      <c r="AA27" s="104" t="n">
        <v>0</v>
      </c>
      <c r="AB27" s="104" t="n">
        <v>0</v>
      </c>
      <c r="AC27" s="104" t="n">
        <v>0</v>
      </c>
      <c r="AD27" s="104" t="n">
        <v>0</v>
      </c>
      <c r="AE27" s="104" t="n">
        <v>0</v>
      </c>
      <c r="AF27" s="104" t="n">
        <v>0</v>
      </c>
      <c r="AG27" s="104" t="n">
        <v>0</v>
      </c>
      <c r="AH27" s="104" t="n">
        <v>0</v>
      </c>
      <c r="AI27" s="104" t="e">
        <v>#N/A</v>
      </c>
      <c r="AJ27" s="104" t="e">
        <v>#N/A</v>
      </c>
      <c r="AK27" s="104" t="e">
        <v>#N/A</v>
      </c>
      <c r="AL27" s="104" t="e">
        <v>#N/A</v>
      </c>
      <c r="AM27" s="104" t="e">
        <v>#N/A</v>
      </c>
      <c r="AN27" s="104" t="e">
        <v>#N/A</v>
      </c>
      <c r="AO27" s="104" t="e">
        <v>#N/A</v>
      </c>
      <c r="AP27" s="104" t="e">
        <v>#N/A</v>
      </c>
      <c r="AQ27" s="104" t="e">
        <v>#N/A</v>
      </c>
      <c r="AR27" s="104" t="e">
        <v>#N/A</v>
      </c>
      <c r="AS27" s="104" t="e">
        <v>#N/A</v>
      </c>
      <c r="AT27" s="104" t="e">
        <v>#N/A</v>
      </c>
      <c r="AU27" s="104" t="e">
        <v>#N/A</v>
      </c>
      <c r="AV27" s="104" t="e">
        <v>#N/A</v>
      </c>
      <c r="AW27" s="104" t="e">
        <v>#N/A</v>
      </c>
      <c r="AX27" s="104" t="e">
        <v>#N/A</v>
      </c>
      <c r="AY27" s="104" t="e">
        <v>#N/A</v>
      </c>
      <c r="AZ27" s="104" t="e">
        <v>#N/A</v>
      </c>
      <c r="BA27" s="104" t="e">
        <v>#N/A</v>
      </c>
      <c r="BB27" s="104" t="e">
        <v>#N/A</v>
      </c>
      <c r="BC27" s="104" t="e">
        <v>#N/A</v>
      </c>
      <c r="BD27" s="104" t="e">
        <v>#N/A</v>
      </c>
      <c r="BE27" s="104" t="e">
        <v>#N/A</v>
      </c>
      <c r="BF27" s="104" t="e">
        <v>#N/A</v>
      </c>
      <c r="BG27" s="104" t="e">
        <v>#N/A</v>
      </c>
      <c r="BH27" s="104" t="e">
        <v>#N/A</v>
      </c>
      <c r="BI27" s="41" t="e">
        <v>#N/A</v>
      </c>
    </row>
    <row r="28">
      <c r="A28" s="36" t="inlineStr">
        <is>
          <t>G10</t>
        </is>
      </c>
      <c r="B28" s="42" t="n">
        <v>0</v>
      </c>
      <c r="C28" s="65" t="n">
        <v>0</v>
      </c>
      <c r="D28" s="43" t="n">
        <v>353.434977</v>
      </c>
      <c r="E28" s="43" t="n">
        <v>5.522421515625</v>
      </c>
      <c r="F28" s="43" t="n">
        <v>358.957398515625</v>
      </c>
      <c r="G28" s="43" t="n">
        <v>0</v>
      </c>
      <c r="H28" s="43" t="n">
        <v>0</v>
      </c>
      <c r="I28" s="43" t="n">
        <v>0</v>
      </c>
      <c r="J28" s="43" t="n">
        <v>0</v>
      </c>
      <c r="K28" s="47" t="n">
        <v>0</v>
      </c>
      <c r="L28" s="47" t="n">
        <v>0</v>
      </c>
      <c r="M28" s="47" t="n">
        <v>0</v>
      </c>
      <c r="N28" s="47" t="n">
        <v>0</v>
      </c>
      <c r="O28" s="47" t="n">
        <v>0</v>
      </c>
      <c r="P28" s="47" t="n">
        <v>0</v>
      </c>
      <c r="Q28" s="47" t="n">
        <v>0</v>
      </c>
      <c r="R28" s="47" t="n">
        <v>0</v>
      </c>
      <c r="S28" s="47" t="n">
        <v>0</v>
      </c>
      <c r="T28" s="47" t="n">
        <v>0</v>
      </c>
      <c r="U28" s="47" t="n">
        <v>0</v>
      </c>
      <c r="V28" s="47" t="n">
        <v>0</v>
      </c>
      <c r="W28" s="47" t="n">
        <v>0</v>
      </c>
      <c r="X28" s="47" t="n">
        <v>0</v>
      </c>
      <c r="Y28" s="47" t="n">
        <v>0</v>
      </c>
      <c r="Z28" s="47" t="n">
        <v>0</v>
      </c>
      <c r="AA28" s="47" t="n">
        <v>0</v>
      </c>
      <c r="AB28" s="47" t="n">
        <v>0</v>
      </c>
      <c r="AC28" s="47" t="n">
        <v>0</v>
      </c>
      <c r="AD28" s="47" t="n">
        <v>0</v>
      </c>
      <c r="AE28" s="47" t="n">
        <v>0</v>
      </c>
      <c r="AF28" s="47" t="n">
        <v>0</v>
      </c>
      <c r="AG28" s="47" t="n">
        <v>0</v>
      </c>
      <c r="AH28" s="47" t="n">
        <v>0</v>
      </c>
      <c r="AI28" s="47" t="e">
        <v>#N/A</v>
      </c>
      <c r="AJ28" s="47" t="e">
        <v>#N/A</v>
      </c>
      <c r="AK28" s="47" t="e">
        <v>#N/A</v>
      </c>
      <c r="AL28" s="47" t="e">
        <v>#N/A</v>
      </c>
      <c r="AM28" s="47" t="e">
        <v>#N/A</v>
      </c>
      <c r="AN28" s="47" t="e">
        <v>#N/A</v>
      </c>
      <c r="AO28" s="47" t="e">
        <v>#N/A</v>
      </c>
      <c r="AP28" s="47" t="e">
        <v>#N/A</v>
      </c>
      <c r="AQ28" s="47" t="e">
        <v>#N/A</v>
      </c>
      <c r="AR28" s="47" t="e">
        <v>#N/A</v>
      </c>
      <c r="AS28" s="47" t="e">
        <v>#N/A</v>
      </c>
      <c r="AT28" s="47" t="e">
        <v>#N/A</v>
      </c>
      <c r="AU28" s="47" t="e">
        <v>#N/A</v>
      </c>
      <c r="AV28" s="47" t="e">
        <v>#N/A</v>
      </c>
      <c r="AW28" s="47" t="e">
        <v>#N/A</v>
      </c>
      <c r="AX28" s="47" t="e">
        <v>#N/A</v>
      </c>
      <c r="AY28" s="47" t="e">
        <v>#N/A</v>
      </c>
      <c r="AZ28" s="47" t="e">
        <v>#N/A</v>
      </c>
      <c r="BA28" s="47" t="e">
        <v>#N/A</v>
      </c>
      <c r="BB28" s="47" t="e">
        <v>#N/A</v>
      </c>
      <c r="BC28" s="47" t="e">
        <v>#N/A</v>
      </c>
      <c r="BD28" s="47" t="e">
        <v>#N/A</v>
      </c>
      <c r="BE28" s="47" t="e">
        <v>#N/A</v>
      </c>
      <c r="BF28" s="47" t="e">
        <v>#N/A</v>
      </c>
      <c r="BG28" s="47" t="e">
        <v>#N/A</v>
      </c>
      <c r="BH28" s="47" t="e">
        <v>#N/A</v>
      </c>
      <c r="BI28" s="43" t="e">
        <v>#N/A</v>
      </c>
    </row>
    <row r="29">
      <c r="A29" s="37" t="inlineStr">
        <is>
          <t>G11</t>
        </is>
      </c>
      <c r="B29" s="40" t="n">
        <v>0</v>
      </c>
      <c r="C29" s="64" t="n">
        <v>0</v>
      </c>
      <c r="D29" s="41" t="n">
        <v>353.434977</v>
      </c>
      <c r="E29" s="41" t="n">
        <v>5.522421515625</v>
      </c>
      <c r="F29" s="41" t="n">
        <v>358.957398515625</v>
      </c>
      <c r="G29" s="41" t="n">
        <v>0</v>
      </c>
      <c r="H29" s="41" t="n">
        <v>0</v>
      </c>
      <c r="I29" s="41" t="n">
        <v>0</v>
      </c>
      <c r="J29" s="41" t="n">
        <v>0</v>
      </c>
      <c r="K29" s="104" t="n">
        <v>0</v>
      </c>
      <c r="L29" s="104" t="n">
        <v>0</v>
      </c>
      <c r="M29" s="104" t="n">
        <v>0</v>
      </c>
      <c r="N29" s="104" t="n">
        <v>0</v>
      </c>
      <c r="O29" s="104" t="n">
        <v>0</v>
      </c>
      <c r="P29" s="104" t="n">
        <v>0</v>
      </c>
      <c r="Q29" s="104" t="n">
        <v>0</v>
      </c>
      <c r="R29" s="104" t="n">
        <v>0</v>
      </c>
      <c r="S29" s="104" t="n">
        <v>0</v>
      </c>
      <c r="T29" s="104" t="n">
        <v>0</v>
      </c>
      <c r="U29" s="104" t="n">
        <v>0</v>
      </c>
      <c r="V29" s="104" t="n">
        <v>0</v>
      </c>
      <c r="W29" s="104" t="n">
        <v>0</v>
      </c>
      <c r="X29" s="104" t="n">
        <v>0</v>
      </c>
      <c r="Y29" s="104" t="n">
        <v>0</v>
      </c>
      <c r="Z29" s="104" t="n">
        <v>0</v>
      </c>
      <c r="AA29" s="104" t="n">
        <v>0</v>
      </c>
      <c r="AB29" s="104" t="n">
        <v>0</v>
      </c>
      <c r="AC29" s="104" t="n">
        <v>0</v>
      </c>
      <c r="AD29" s="104" t="n">
        <v>0</v>
      </c>
      <c r="AE29" s="104" t="n">
        <v>0</v>
      </c>
      <c r="AF29" s="104" t="n">
        <v>0</v>
      </c>
      <c r="AG29" s="104" t="n">
        <v>0</v>
      </c>
      <c r="AH29" s="104" t="n">
        <v>0</v>
      </c>
      <c r="AI29" s="104" t="e">
        <v>#N/A</v>
      </c>
      <c r="AJ29" s="104" t="e">
        <v>#N/A</v>
      </c>
      <c r="AK29" s="104" t="e">
        <v>#N/A</v>
      </c>
      <c r="AL29" s="104" t="e">
        <v>#N/A</v>
      </c>
      <c r="AM29" s="104" t="e">
        <v>#N/A</v>
      </c>
      <c r="AN29" s="104" t="e">
        <v>#N/A</v>
      </c>
      <c r="AO29" s="104" t="e">
        <v>#N/A</v>
      </c>
      <c r="AP29" s="104" t="e">
        <v>#N/A</v>
      </c>
      <c r="AQ29" s="104" t="e">
        <v>#N/A</v>
      </c>
      <c r="AR29" s="104" t="e">
        <v>#N/A</v>
      </c>
      <c r="AS29" s="104" t="e">
        <v>#N/A</v>
      </c>
      <c r="AT29" s="104" t="e">
        <v>#N/A</v>
      </c>
      <c r="AU29" s="104" t="e">
        <v>#N/A</v>
      </c>
      <c r="AV29" s="104" t="e">
        <v>#N/A</v>
      </c>
      <c r="AW29" s="104" t="e">
        <v>#N/A</v>
      </c>
      <c r="AX29" s="104" t="e">
        <v>#N/A</v>
      </c>
      <c r="AY29" s="104" t="e">
        <v>#N/A</v>
      </c>
      <c r="AZ29" s="104" t="e">
        <v>#N/A</v>
      </c>
      <c r="BA29" s="104" t="e">
        <v>#N/A</v>
      </c>
      <c r="BB29" s="104" t="e">
        <v>#N/A</v>
      </c>
      <c r="BC29" s="104" t="e">
        <v>#N/A</v>
      </c>
      <c r="BD29" s="104" t="e">
        <v>#N/A</v>
      </c>
      <c r="BE29" s="104" t="e">
        <v>#N/A</v>
      </c>
      <c r="BF29" s="104" t="e">
        <v>#N/A</v>
      </c>
      <c r="BG29" s="104" t="e">
        <v>#N/A</v>
      </c>
      <c r="BH29" s="104" t="e">
        <v>#N/A</v>
      </c>
      <c r="BI29" s="41" t="e">
        <v>#N/A</v>
      </c>
    </row>
    <row r="30">
      <c r="A30" s="36" t="inlineStr">
        <is>
          <t>G12</t>
        </is>
      </c>
      <c r="B30" s="42" t="n">
        <v>0</v>
      </c>
      <c r="C30" s="65" t="n">
        <v>0</v>
      </c>
      <c r="D30" s="43" t="n">
        <v>353.434977</v>
      </c>
      <c r="E30" s="43" t="n">
        <v>5.522421515625</v>
      </c>
      <c r="F30" s="43" t="n">
        <v>358.957398515625</v>
      </c>
      <c r="G30" s="43" t="n">
        <v>0</v>
      </c>
      <c r="H30" s="43" t="n">
        <v>0</v>
      </c>
      <c r="I30" s="43" t="n">
        <v>0</v>
      </c>
      <c r="J30" s="43" t="n">
        <v>0</v>
      </c>
      <c r="K30" s="47" t="n">
        <v>0</v>
      </c>
      <c r="L30" s="47" t="n">
        <v>0</v>
      </c>
      <c r="M30" s="47" t="n">
        <v>0</v>
      </c>
      <c r="N30" s="47" t="n">
        <v>0</v>
      </c>
      <c r="O30" s="47" t="n">
        <v>0</v>
      </c>
      <c r="P30" s="47" t="n">
        <v>0</v>
      </c>
      <c r="Q30" s="47" t="n">
        <v>0</v>
      </c>
      <c r="R30" s="47" t="n">
        <v>0</v>
      </c>
      <c r="S30" s="47" t="n">
        <v>0</v>
      </c>
      <c r="T30" s="47" t="n">
        <v>0</v>
      </c>
      <c r="U30" s="47" t="n">
        <v>0</v>
      </c>
      <c r="V30" s="47" t="n">
        <v>0</v>
      </c>
      <c r="W30" s="47" t="n">
        <v>0</v>
      </c>
      <c r="X30" s="47" t="n">
        <v>0</v>
      </c>
      <c r="Y30" s="47" t="n">
        <v>0</v>
      </c>
      <c r="Z30" s="47" t="n">
        <v>0</v>
      </c>
      <c r="AA30" s="47" t="n">
        <v>0</v>
      </c>
      <c r="AB30" s="47" t="n">
        <v>0</v>
      </c>
      <c r="AC30" s="47" t="n">
        <v>0</v>
      </c>
      <c r="AD30" s="47" t="n">
        <v>0</v>
      </c>
      <c r="AE30" s="47" t="n">
        <v>0</v>
      </c>
      <c r="AF30" s="47" t="n">
        <v>0</v>
      </c>
      <c r="AG30" s="47" t="n">
        <v>0</v>
      </c>
      <c r="AH30" s="47" t="n">
        <v>0</v>
      </c>
      <c r="AI30" s="47" t="e">
        <v>#N/A</v>
      </c>
      <c r="AJ30" s="47" t="e">
        <v>#N/A</v>
      </c>
      <c r="AK30" s="47" t="e">
        <v>#N/A</v>
      </c>
      <c r="AL30" s="47" t="e">
        <v>#N/A</v>
      </c>
      <c r="AM30" s="47" t="e">
        <v>#N/A</v>
      </c>
      <c r="AN30" s="47" t="e">
        <v>#N/A</v>
      </c>
      <c r="AO30" s="47" t="e">
        <v>#N/A</v>
      </c>
      <c r="AP30" s="47" t="e">
        <v>#N/A</v>
      </c>
      <c r="AQ30" s="47" t="e">
        <v>#N/A</v>
      </c>
      <c r="AR30" s="47" t="e">
        <v>#N/A</v>
      </c>
      <c r="AS30" s="47" t="e">
        <v>#N/A</v>
      </c>
      <c r="AT30" s="47" t="e">
        <v>#N/A</v>
      </c>
      <c r="AU30" s="47" t="e">
        <v>#N/A</v>
      </c>
      <c r="AV30" s="47" t="e">
        <v>#N/A</v>
      </c>
      <c r="AW30" s="47" t="e">
        <v>#N/A</v>
      </c>
      <c r="AX30" s="47" t="e">
        <v>#N/A</v>
      </c>
      <c r="AY30" s="47" t="e">
        <v>#N/A</v>
      </c>
      <c r="AZ30" s="47" t="e">
        <v>#N/A</v>
      </c>
      <c r="BA30" s="47" t="e">
        <v>#N/A</v>
      </c>
      <c r="BB30" s="47" t="e">
        <v>#N/A</v>
      </c>
      <c r="BC30" s="47" t="e">
        <v>#N/A</v>
      </c>
      <c r="BD30" s="47" t="e">
        <v>#N/A</v>
      </c>
      <c r="BE30" s="47" t="e">
        <v>#N/A</v>
      </c>
      <c r="BF30" s="47" t="e">
        <v>#N/A</v>
      </c>
      <c r="BG30" s="47" t="e">
        <v>#N/A</v>
      </c>
      <c r="BH30" s="47" t="e">
        <v>#N/A</v>
      </c>
      <c r="BI30" s="43" t="e">
        <v>#N/A</v>
      </c>
    </row>
    <row r="31">
      <c r="A31" s="37" t="inlineStr">
        <is>
          <t>G13</t>
        </is>
      </c>
      <c r="B31" s="40" t="n">
        <v>0</v>
      </c>
      <c r="C31" s="64" t="n">
        <v>0</v>
      </c>
      <c r="D31" s="41" t="n">
        <v>471.246636</v>
      </c>
      <c r="E31" s="41" t="n">
        <v>5.522421515625</v>
      </c>
      <c r="F31" s="41" t="n">
        <v>476.769057515625</v>
      </c>
      <c r="G31" s="41" t="n">
        <v>0</v>
      </c>
      <c r="H31" s="41" t="n">
        <v>0</v>
      </c>
      <c r="I31" s="41" t="n">
        <v>0</v>
      </c>
      <c r="J31" s="41" t="n">
        <v>0</v>
      </c>
      <c r="K31" s="104" t="n">
        <v>0</v>
      </c>
      <c r="L31" s="104" t="n">
        <v>0</v>
      </c>
      <c r="M31" s="104" t="n">
        <v>0</v>
      </c>
      <c r="N31" s="104" t="n">
        <v>0</v>
      </c>
      <c r="O31" s="104" t="n">
        <v>0</v>
      </c>
      <c r="P31" s="104" t="n">
        <v>0</v>
      </c>
      <c r="Q31" s="104" t="n">
        <v>0</v>
      </c>
      <c r="R31" s="104" t="n">
        <v>0</v>
      </c>
      <c r="S31" s="104" t="n">
        <v>0</v>
      </c>
      <c r="T31" s="104" t="n">
        <v>0</v>
      </c>
      <c r="U31" s="104" t="n">
        <v>0</v>
      </c>
      <c r="V31" s="104" t="n">
        <v>0</v>
      </c>
      <c r="W31" s="104" t="n">
        <v>0</v>
      </c>
      <c r="X31" s="104" t="n">
        <v>0</v>
      </c>
      <c r="Y31" s="104" t="n">
        <v>0</v>
      </c>
      <c r="Z31" s="104" t="n">
        <v>0</v>
      </c>
      <c r="AA31" s="104" t="n">
        <v>0</v>
      </c>
      <c r="AB31" s="104" t="n">
        <v>0</v>
      </c>
      <c r="AC31" s="104" t="n">
        <v>0</v>
      </c>
      <c r="AD31" s="104" t="n">
        <v>0</v>
      </c>
      <c r="AE31" s="104" t="n">
        <v>0</v>
      </c>
      <c r="AF31" s="104" t="n">
        <v>0</v>
      </c>
      <c r="AG31" s="104" t="n">
        <v>0</v>
      </c>
      <c r="AH31" s="104" t="n">
        <v>0</v>
      </c>
      <c r="AI31" s="104" t="e">
        <v>#N/A</v>
      </c>
      <c r="AJ31" s="104" t="e">
        <v>#N/A</v>
      </c>
      <c r="AK31" s="104" t="e">
        <v>#N/A</v>
      </c>
      <c r="AL31" s="104" t="e">
        <v>#N/A</v>
      </c>
      <c r="AM31" s="104" t="e">
        <v>#N/A</v>
      </c>
      <c r="AN31" s="104" t="e">
        <v>#N/A</v>
      </c>
      <c r="AO31" s="104" t="e">
        <v>#N/A</v>
      </c>
      <c r="AP31" s="104" t="e">
        <v>#N/A</v>
      </c>
      <c r="AQ31" s="104" t="e">
        <v>#N/A</v>
      </c>
      <c r="AR31" s="104" t="e">
        <v>#N/A</v>
      </c>
      <c r="AS31" s="104" t="e">
        <v>#N/A</v>
      </c>
      <c r="AT31" s="104" t="e">
        <v>#N/A</v>
      </c>
      <c r="AU31" s="104" t="e">
        <v>#N/A</v>
      </c>
      <c r="AV31" s="104" t="e">
        <v>#N/A</v>
      </c>
      <c r="AW31" s="104" t="e">
        <v>#N/A</v>
      </c>
      <c r="AX31" s="104" t="e">
        <v>#N/A</v>
      </c>
      <c r="AY31" s="104" t="e">
        <v>#N/A</v>
      </c>
      <c r="AZ31" s="104" t="e">
        <v>#N/A</v>
      </c>
      <c r="BA31" s="104" t="e">
        <v>#N/A</v>
      </c>
      <c r="BB31" s="104" t="e">
        <v>#N/A</v>
      </c>
      <c r="BC31" s="104" t="e">
        <v>#N/A</v>
      </c>
      <c r="BD31" s="104" t="e">
        <v>#N/A</v>
      </c>
      <c r="BE31" s="104" t="e">
        <v>#N/A</v>
      </c>
      <c r="BF31" s="104" t="e">
        <v>#N/A</v>
      </c>
      <c r="BG31" s="104" t="e">
        <v>#N/A</v>
      </c>
      <c r="BH31" s="104" t="e">
        <v>#N/A</v>
      </c>
      <c r="BI31" s="41" t="e">
        <v>#N/A</v>
      </c>
    </row>
    <row r="32">
      <c r="A32" s="36" t="inlineStr">
        <is>
          <t>G14</t>
        </is>
      </c>
      <c r="B32" s="42" t="n">
        <v>0</v>
      </c>
      <c r="C32" s="65" t="n">
        <v>0</v>
      </c>
      <c r="D32" s="43" t="n">
        <v>471.246636</v>
      </c>
      <c r="E32" s="43" t="n">
        <v>5.522421515625</v>
      </c>
      <c r="F32" s="43" t="n">
        <v>476.769057515625</v>
      </c>
      <c r="G32" s="43" t="n">
        <v>0</v>
      </c>
      <c r="H32" s="43" t="n">
        <v>0</v>
      </c>
      <c r="I32" s="43" t="n">
        <v>0</v>
      </c>
      <c r="J32" s="43" t="n">
        <v>0</v>
      </c>
      <c r="K32" s="47" t="n">
        <v>0</v>
      </c>
      <c r="L32" s="47" t="n">
        <v>0</v>
      </c>
      <c r="M32" s="47" t="n">
        <v>0</v>
      </c>
      <c r="N32" s="47" t="n">
        <v>0</v>
      </c>
      <c r="O32" s="47" t="n">
        <v>0</v>
      </c>
      <c r="P32" s="47" t="n">
        <v>0</v>
      </c>
      <c r="Q32" s="47" t="n">
        <v>0</v>
      </c>
      <c r="R32" s="47" t="n">
        <v>0</v>
      </c>
      <c r="S32" s="47" t="n">
        <v>0</v>
      </c>
      <c r="T32" s="47" t="n">
        <v>0</v>
      </c>
      <c r="U32" s="47" t="n">
        <v>0</v>
      </c>
      <c r="V32" s="47" t="n">
        <v>0</v>
      </c>
      <c r="W32" s="47" t="n">
        <v>0</v>
      </c>
      <c r="X32" s="47" t="n">
        <v>0</v>
      </c>
      <c r="Y32" s="47" t="n">
        <v>0</v>
      </c>
      <c r="Z32" s="47" t="n">
        <v>0</v>
      </c>
      <c r="AA32" s="47" t="n">
        <v>0</v>
      </c>
      <c r="AB32" s="47" t="n">
        <v>0</v>
      </c>
      <c r="AC32" s="47" t="n">
        <v>0</v>
      </c>
      <c r="AD32" s="47" t="n">
        <v>0</v>
      </c>
      <c r="AE32" s="47" t="n">
        <v>0</v>
      </c>
      <c r="AF32" s="47" t="n">
        <v>0</v>
      </c>
      <c r="AG32" s="47" t="n">
        <v>0</v>
      </c>
      <c r="AH32" s="47" t="n">
        <v>0</v>
      </c>
      <c r="AI32" s="47" t="e">
        <v>#N/A</v>
      </c>
      <c r="AJ32" s="47" t="e">
        <v>#N/A</v>
      </c>
      <c r="AK32" s="47" t="e">
        <v>#N/A</v>
      </c>
      <c r="AL32" s="47" t="e">
        <v>#N/A</v>
      </c>
      <c r="AM32" s="47" t="e">
        <v>#N/A</v>
      </c>
      <c r="AN32" s="47" t="e">
        <v>#N/A</v>
      </c>
      <c r="AO32" s="47" t="e">
        <v>#N/A</v>
      </c>
      <c r="AP32" s="47" t="e">
        <v>#N/A</v>
      </c>
      <c r="AQ32" s="47" t="e">
        <v>#N/A</v>
      </c>
      <c r="AR32" s="47" t="e">
        <v>#N/A</v>
      </c>
      <c r="AS32" s="47" t="e">
        <v>#N/A</v>
      </c>
      <c r="AT32" s="47" t="e">
        <v>#N/A</v>
      </c>
      <c r="AU32" s="47" t="e">
        <v>#N/A</v>
      </c>
      <c r="AV32" s="47" t="e">
        <v>#N/A</v>
      </c>
      <c r="AW32" s="47" t="e">
        <v>#N/A</v>
      </c>
      <c r="AX32" s="47" t="e">
        <v>#N/A</v>
      </c>
      <c r="AY32" s="47" t="e">
        <v>#N/A</v>
      </c>
      <c r="AZ32" s="47" t="e">
        <v>#N/A</v>
      </c>
      <c r="BA32" s="47" t="e">
        <v>#N/A</v>
      </c>
      <c r="BB32" s="47" t="e">
        <v>#N/A</v>
      </c>
      <c r="BC32" s="47" t="e">
        <v>#N/A</v>
      </c>
      <c r="BD32" s="47" t="e">
        <v>#N/A</v>
      </c>
      <c r="BE32" s="47" t="e">
        <v>#N/A</v>
      </c>
      <c r="BF32" s="47" t="e">
        <v>#N/A</v>
      </c>
      <c r="BG32" s="47" t="e">
        <v>#N/A</v>
      </c>
      <c r="BH32" s="47" t="e">
        <v>#N/A</v>
      </c>
      <c r="BI32" s="43" t="e">
        <v>#N/A</v>
      </c>
    </row>
    <row r="33">
      <c r="A33" s="37" t="inlineStr">
        <is>
          <t>G15</t>
        </is>
      </c>
      <c r="B33" s="40" t="n">
        <v>0</v>
      </c>
      <c r="C33" s="64" t="n">
        <v>0</v>
      </c>
      <c r="D33" s="41" t="n">
        <v>471.246636</v>
      </c>
      <c r="E33" s="41" t="n">
        <v>5.522421515625</v>
      </c>
      <c r="F33" s="41" t="n">
        <v>476.769057515625</v>
      </c>
      <c r="G33" s="41" t="n">
        <v>0</v>
      </c>
      <c r="H33" s="41" t="n">
        <v>0</v>
      </c>
      <c r="I33" s="41" t="n">
        <v>0</v>
      </c>
      <c r="J33" s="41" t="n">
        <v>0</v>
      </c>
      <c r="K33" s="104" t="n">
        <v>0</v>
      </c>
      <c r="L33" s="104" t="n">
        <v>0</v>
      </c>
      <c r="M33" s="104" t="n">
        <v>0</v>
      </c>
      <c r="N33" s="104" t="n">
        <v>0</v>
      </c>
      <c r="O33" s="104" t="n">
        <v>0</v>
      </c>
      <c r="P33" s="104" t="n">
        <v>0</v>
      </c>
      <c r="Q33" s="104" t="n">
        <v>0</v>
      </c>
      <c r="R33" s="104" t="n">
        <v>0</v>
      </c>
      <c r="S33" s="104" t="n">
        <v>0</v>
      </c>
      <c r="T33" s="104" t="n">
        <v>0</v>
      </c>
      <c r="U33" s="104" t="n">
        <v>0</v>
      </c>
      <c r="V33" s="104" t="n">
        <v>0</v>
      </c>
      <c r="W33" s="104" t="n">
        <v>0</v>
      </c>
      <c r="X33" s="104" t="n">
        <v>0</v>
      </c>
      <c r="Y33" s="104" t="n">
        <v>0</v>
      </c>
      <c r="Z33" s="104" t="n">
        <v>0</v>
      </c>
      <c r="AA33" s="104" t="n">
        <v>0</v>
      </c>
      <c r="AB33" s="104" t="n">
        <v>0</v>
      </c>
      <c r="AC33" s="104" t="n">
        <v>0</v>
      </c>
      <c r="AD33" s="104" t="n">
        <v>0</v>
      </c>
      <c r="AE33" s="104" t="n">
        <v>0</v>
      </c>
      <c r="AF33" s="104" t="n">
        <v>0</v>
      </c>
      <c r="AG33" s="104" t="n">
        <v>0</v>
      </c>
      <c r="AH33" s="104" t="n">
        <v>0</v>
      </c>
      <c r="AI33" s="104" t="e">
        <v>#N/A</v>
      </c>
      <c r="AJ33" s="104" t="e">
        <v>#N/A</v>
      </c>
      <c r="AK33" s="104" t="e">
        <v>#N/A</v>
      </c>
      <c r="AL33" s="104" t="e">
        <v>#N/A</v>
      </c>
      <c r="AM33" s="104" t="e">
        <v>#N/A</v>
      </c>
      <c r="AN33" s="104" t="e">
        <v>#N/A</v>
      </c>
      <c r="AO33" s="104" t="e">
        <v>#N/A</v>
      </c>
      <c r="AP33" s="104" t="e">
        <v>#N/A</v>
      </c>
      <c r="AQ33" s="104" t="e">
        <v>#N/A</v>
      </c>
      <c r="AR33" s="104" t="e">
        <v>#N/A</v>
      </c>
      <c r="AS33" s="104" t="e">
        <v>#N/A</v>
      </c>
      <c r="AT33" s="104" t="e">
        <v>#N/A</v>
      </c>
      <c r="AU33" s="104" t="e">
        <v>#N/A</v>
      </c>
      <c r="AV33" s="104" t="e">
        <v>#N/A</v>
      </c>
      <c r="AW33" s="104" t="e">
        <v>#N/A</v>
      </c>
      <c r="AX33" s="104" t="e">
        <v>#N/A</v>
      </c>
      <c r="AY33" s="104" t="e">
        <v>#N/A</v>
      </c>
      <c r="AZ33" s="104" t="e">
        <v>#N/A</v>
      </c>
      <c r="BA33" s="104" t="e">
        <v>#N/A</v>
      </c>
      <c r="BB33" s="104" t="e">
        <v>#N/A</v>
      </c>
      <c r="BC33" s="104" t="e">
        <v>#N/A</v>
      </c>
      <c r="BD33" s="104" t="e">
        <v>#N/A</v>
      </c>
      <c r="BE33" s="104" t="e">
        <v>#N/A</v>
      </c>
      <c r="BF33" s="104" t="e">
        <v>#N/A</v>
      </c>
      <c r="BG33" s="104" t="e">
        <v>#N/A</v>
      </c>
      <c r="BH33" s="104" t="e">
        <v>#N/A</v>
      </c>
      <c r="BI33" s="41" t="e">
        <v>#N/A</v>
      </c>
    </row>
    <row r="34">
      <c r="A34" s="36" t="inlineStr">
        <is>
          <t>G16</t>
        </is>
      </c>
      <c r="B34" s="42" t="n">
        <v>0</v>
      </c>
      <c r="C34" s="65" t="n">
        <v>0</v>
      </c>
      <c r="D34" s="43" t="n">
        <v>353.434977</v>
      </c>
      <c r="E34" s="43" t="n">
        <v>5.522421515625</v>
      </c>
      <c r="F34" s="43" t="n">
        <v>358.957398515625</v>
      </c>
      <c r="G34" s="43" t="n">
        <v>0</v>
      </c>
      <c r="H34" s="43" t="n">
        <v>0</v>
      </c>
      <c r="I34" s="43" t="n">
        <v>0</v>
      </c>
      <c r="J34" s="43" t="n">
        <v>0</v>
      </c>
      <c r="K34" s="47" t="n">
        <v>0</v>
      </c>
      <c r="L34" s="47" t="n">
        <v>0</v>
      </c>
      <c r="M34" s="47" t="n">
        <v>0</v>
      </c>
      <c r="N34" s="47" t="n">
        <v>0</v>
      </c>
      <c r="O34" s="47" t="n">
        <v>0</v>
      </c>
      <c r="P34" s="47" t="n">
        <v>0</v>
      </c>
      <c r="Q34" s="47" t="n">
        <v>0</v>
      </c>
      <c r="R34" s="47" t="n">
        <v>0</v>
      </c>
      <c r="S34" s="47" t="n">
        <v>0</v>
      </c>
      <c r="T34" s="47" t="n">
        <v>0</v>
      </c>
      <c r="U34" s="47" t="n">
        <v>0</v>
      </c>
      <c r="V34" s="47" t="n">
        <v>0</v>
      </c>
      <c r="W34" s="47" t="n">
        <v>0</v>
      </c>
      <c r="X34" s="47" t="n">
        <v>0</v>
      </c>
      <c r="Y34" s="47" t="n">
        <v>0</v>
      </c>
      <c r="Z34" s="47" t="n">
        <v>0</v>
      </c>
      <c r="AA34" s="47" t="n">
        <v>0</v>
      </c>
      <c r="AB34" s="47" t="n">
        <v>0</v>
      </c>
      <c r="AC34" s="47" t="n">
        <v>0</v>
      </c>
      <c r="AD34" s="47" t="n">
        <v>0</v>
      </c>
      <c r="AE34" s="47" t="n">
        <v>0</v>
      </c>
      <c r="AF34" s="47" t="n">
        <v>0</v>
      </c>
      <c r="AG34" s="47" t="n">
        <v>0</v>
      </c>
      <c r="AH34" s="47" t="n">
        <v>0</v>
      </c>
      <c r="AI34" s="47" t="e">
        <v>#N/A</v>
      </c>
      <c r="AJ34" s="47" t="e">
        <v>#N/A</v>
      </c>
      <c r="AK34" s="47" t="e">
        <v>#N/A</v>
      </c>
      <c r="AL34" s="47" t="e">
        <v>#N/A</v>
      </c>
      <c r="AM34" s="47" t="e">
        <v>#N/A</v>
      </c>
      <c r="AN34" s="47" t="e">
        <v>#N/A</v>
      </c>
      <c r="AO34" s="47" t="e">
        <v>#N/A</v>
      </c>
      <c r="AP34" s="47" t="e">
        <v>#N/A</v>
      </c>
      <c r="AQ34" s="47" t="e">
        <v>#N/A</v>
      </c>
      <c r="AR34" s="47" t="e">
        <v>#N/A</v>
      </c>
      <c r="AS34" s="47" t="e">
        <v>#N/A</v>
      </c>
      <c r="AT34" s="47" t="e">
        <v>#N/A</v>
      </c>
      <c r="AU34" s="47" t="e">
        <v>#N/A</v>
      </c>
      <c r="AV34" s="47" t="e">
        <v>#N/A</v>
      </c>
      <c r="AW34" s="47" t="e">
        <v>#N/A</v>
      </c>
      <c r="AX34" s="47" t="e">
        <v>#N/A</v>
      </c>
      <c r="AY34" s="47" t="e">
        <v>#N/A</v>
      </c>
      <c r="AZ34" s="47" t="e">
        <v>#N/A</v>
      </c>
      <c r="BA34" s="47" t="e">
        <v>#N/A</v>
      </c>
      <c r="BB34" s="47" t="e">
        <v>#N/A</v>
      </c>
      <c r="BC34" s="47" t="e">
        <v>#N/A</v>
      </c>
      <c r="BD34" s="47" t="e">
        <v>#N/A</v>
      </c>
      <c r="BE34" s="47" t="e">
        <v>#N/A</v>
      </c>
      <c r="BF34" s="47" t="e">
        <v>#N/A</v>
      </c>
      <c r="BG34" s="47" t="e">
        <v>#N/A</v>
      </c>
      <c r="BH34" s="47" t="e">
        <v>#N/A</v>
      </c>
      <c r="BI34" s="43" t="e">
        <v>#N/A</v>
      </c>
    </row>
    <row r="35">
      <c r="A35" s="37" t="inlineStr">
        <is>
          <t>S1</t>
        </is>
      </c>
      <c r="B35" s="40" t="n">
        <v>0</v>
      </c>
      <c r="C35" s="64" t="n">
        <v>0</v>
      </c>
      <c r="D35" s="41" t="n">
        <v>353.434977</v>
      </c>
      <c r="E35" s="41" t="n">
        <v>5.522421515625</v>
      </c>
      <c r="F35" s="41" t="n">
        <v>358.957398515625</v>
      </c>
      <c r="G35" s="41" t="n">
        <v>0</v>
      </c>
      <c r="H35" s="41" t="n">
        <v>0</v>
      </c>
      <c r="I35" s="41" t="n">
        <v>0</v>
      </c>
      <c r="J35" s="41" t="n">
        <v>0</v>
      </c>
      <c r="K35" s="104" t="n">
        <v>0</v>
      </c>
      <c r="L35" s="104" t="n">
        <v>0</v>
      </c>
      <c r="M35" s="104" t="n">
        <v>0</v>
      </c>
      <c r="N35" s="104" t="n">
        <v>0</v>
      </c>
      <c r="O35" s="104" t="n">
        <v>0</v>
      </c>
      <c r="P35" s="104" t="n">
        <v>0</v>
      </c>
      <c r="Q35" s="104" t="n">
        <v>0</v>
      </c>
      <c r="R35" s="104" t="n">
        <v>0</v>
      </c>
      <c r="S35" s="104" t="n">
        <v>0</v>
      </c>
      <c r="T35" s="104" t="n">
        <v>0</v>
      </c>
      <c r="U35" s="104" t="n">
        <v>0</v>
      </c>
      <c r="V35" s="104" t="n">
        <v>0</v>
      </c>
      <c r="W35" s="104" t="n">
        <v>0</v>
      </c>
      <c r="X35" s="104" t="n">
        <v>0</v>
      </c>
      <c r="Y35" s="104" t="n">
        <v>0</v>
      </c>
      <c r="Z35" s="104" t="n">
        <v>0</v>
      </c>
      <c r="AA35" s="104" t="n">
        <v>0</v>
      </c>
      <c r="AB35" s="104" t="n">
        <v>0</v>
      </c>
      <c r="AC35" s="104" t="n">
        <v>0</v>
      </c>
      <c r="AD35" s="104" t="n">
        <v>0</v>
      </c>
      <c r="AE35" s="104" t="n">
        <v>0</v>
      </c>
      <c r="AF35" s="104" t="n">
        <v>0</v>
      </c>
      <c r="AG35" s="104" t="n">
        <v>0</v>
      </c>
      <c r="AH35" s="104" t="n">
        <v>0</v>
      </c>
      <c r="AI35" s="104" t="e">
        <v>#N/A</v>
      </c>
      <c r="AJ35" s="104" t="e">
        <v>#N/A</v>
      </c>
      <c r="AK35" s="104" t="e">
        <v>#N/A</v>
      </c>
      <c r="AL35" s="104" t="e">
        <v>#N/A</v>
      </c>
      <c r="AM35" s="104" t="e">
        <v>#N/A</v>
      </c>
      <c r="AN35" s="104" t="e">
        <v>#N/A</v>
      </c>
      <c r="AO35" s="104" t="e">
        <v>#N/A</v>
      </c>
      <c r="AP35" s="104" t="e">
        <v>#N/A</v>
      </c>
      <c r="AQ35" s="104" t="e">
        <v>#N/A</v>
      </c>
      <c r="AR35" s="104" t="e">
        <v>#N/A</v>
      </c>
      <c r="AS35" s="104" t="e">
        <v>#N/A</v>
      </c>
      <c r="AT35" s="104" t="e">
        <v>#N/A</v>
      </c>
      <c r="AU35" s="104" t="e">
        <v>#N/A</v>
      </c>
      <c r="AV35" s="104" t="e">
        <v>#N/A</v>
      </c>
      <c r="AW35" s="104" t="e">
        <v>#N/A</v>
      </c>
      <c r="AX35" s="104" t="e">
        <v>#N/A</v>
      </c>
      <c r="AY35" s="104" t="e">
        <v>#N/A</v>
      </c>
      <c r="AZ35" s="104" t="e">
        <v>#N/A</v>
      </c>
      <c r="BA35" s="104" t="e">
        <v>#N/A</v>
      </c>
      <c r="BB35" s="104" t="e">
        <v>#N/A</v>
      </c>
      <c r="BC35" s="104" t="e">
        <v>#N/A</v>
      </c>
      <c r="BD35" s="104" t="e">
        <v>#N/A</v>
      </c>
      <c r="BE35" s="104" t="e">
        <v>#N/A</v>
      </c>
      <c r="BF35" s="104" t="e">
        <v>#N/A</v>
      </c>
      <c r="BG35" s="104" t="e">
        <v>#N/A</v>
      </c>
      <c r="BH35" s="104" t="e">
        <v>#N/A</v>
      </c>
      <c r="BI35" s="41" t="e">
        <v>#N/A</v>
      </c>
    </row>
    <row r="36">
      <c r="A36" s="36" t="inlineStr">
        <is>
          <t>S2</t>
        </is>
      </c>
      <c r="B36" s="42" t="n">
        <v>0</v>
      </c>
      <c r="C36" s="65" t="n">
        <v>0</v>
      </c>
      <c r="D36" s="43" t="n">
        <v>471.246636</v>
      </c>
      <c r="E36" s="43" t="n">
        <v>5.522421515625</v>
      </c>
      <c r="F36" s="43" t="n">
        <v>476.769057515625</v>
      </c>
      <c r="G36" s="43" t="n">
        <v>0</v>
      </c>
      <c r="H36" s="43" t="n">
        <v>0</v>
      </c>
      <c r="I36" s="43" t="n">
        <v>0</v>
      </c>
      <c r="J36" s="43" t="n">
        <v>0</v>
      </c>
      <c r="K36" s="47" t="n">
        <v>0</v>
      </c>
      <c r="L36" s="47" t="n">
        <v>0</v>
      </c>
      <c r="M36" s="47" t="n">
        <v>0</v>
      </c>
      <c r="N36" s="47" t="n">
        <v>0</v>
      </c>
      <c r="O36" s="47" t="n">
        <v>0</v>
      </c>
      <c r="P36" s="47" t="n">
        <v>0</v>
      </c>
      <c r="Q36" s="47" t="n">
        <v>0</v>
      </c>
      <c r="R36" s="47" t="n">
        <v>0</v>
      </c>
      <c r="S36" s="47" t="n">
        <v>0</v>
      </c>
      <c r="T36" s="47" t="n">
        <v>0</v>
      </c>
      <c r="U36" s="47" t="n">
        <v>0</v>
      </c>
      <c r="V36" s="47" t="n">
        <v>0</v>
      </c>
      <c r="W36" s="47" t="n">
        <v>0</v>
      </c>
      <c r="X36" s="47" t="n">
        <v>0</v>
      </c>
      <c r="Y36" s="47" t="n">
        <v>0</v>
      </c>
      <c r="Z36" s="47" t="n">
        <v>0</v>
      </c>
      <c r="AA36" s="47" t="n">
        <v>0</v>
      </c>
      <c r="AB36" s="47" t="n">
        <v>0</v>
      </c>
      <c r="AC36" s="47" t="n">
        <v>0</v>
      </c>
      <c r="AD36" s="47" t="n">
        <v>0</v>
      </c>
      <c r="AE36" s="47" t="n">
        <v>0</v>
      </c>
      <c r="AF36" s="47" t="n">
        <v>0</v>
      </c>
      <c r="AG36" s="47" t="n">
        <v>0</v>
      </c>
      <c r="AH36" s="47" t="n">
        <v>0</v>
      </c>
      <c r="AI36" s="47" t="e">
        <v>#N/A</v>
      </c>
      <c r="AJ36" s="47" t="e">
        <v>#N/A</v>
      </c>
      <c r="AK36" s="47" t="e">
        <v>#N/A</v>
      </c>
      <c r="AL36" s="47" t="e">
        <v>#N/A</v>
      </c>
      <c r="AM36" s="47" t="e">
        <v>#N/A</v>
      </c>
      <c r="AN36" s="47" t="e">
        <v>#N/A</v>
      </c>
      <c r="AO36" s="47" t="e">
        <v>#N/A</v>
      </c>
      <c r="AP36" s="47" t="e">
        <v>#N/A</v>
      </c>
      <c r="AQ36" s="47" t="e">
        <v>#N/A</v>
      </c>
      <c r="AR36" s="47" t="e">
        <v>#N/A</v>
      </c>
      <c r="AS36" s="47" t="e">
        <v>#N/A</v>
      </c>
      <c r="AT36" s="47" t="e">
        <v>#N/A</v>
      </c>
      <c r="AU36" s="47" t="e">
        <v>#N/A</v>
      </c>
      <c r="AV36" s="47" t="e">
        <v>#N/A</v>
      </c>
      <c r="AW36" s="47" t="e">
        <v>#N/A</v>
      </c>
      <c r="AX36" s="47" t="e">
        <v>#N/A</v>
      </c>
      <c r="AY36" s="47" t="e">
        <v>#N/A</v>
      </c>
      <c r="AZ36" s="47" t="e">
        <v>#N/A</v>
      </c>
      <c r="BA36" s="47" t="e">
        <v>#N/A</v>
      </c>
      <c r="BB36" s="47" t="e">
        <v>#N/A</v>
      </c>
      <c r="BC36" s="47" t="e">
        <v>#N/A</v>
      </c>
      <c r="BD36" s="47" t="e">
        <v>#N/A</v>
      </c>
      <c r="BE36" s="47" t="e">
        <v>#N/A</v>
      </c>
      <c r="BF36" s="47" t="e">
        <v>#N/A</v>
      </c>
      <c r="BG36" s="47" t="e">
        <v>#N/A</v>
      </c>
      <c r="BH36" s="47" t="e">
        <v>#N/A</v>
      </c>
      <c r="BI36" s="43" t="e">
        <v>#N/A</v>
      </c>
    </row>
    <row r="37">
      <c r="A37" s="37" t="inlineStr">
        <is>
          <t>S3</t>
        </is>
      </c>
      <c r="B37" s="40" t="n">
        <v>0</v>
      </c>
      <c r="C37" s="64" t="n">
        <v>0</v>
      </c>
      <c r="D37" s="41" t="n">
        <v>471.246636</v>
      </c>
      <c r="E37" s="41" t="n">
        <v>5.522421515625</v>
      </c>
      <c r="F37" s="41" t="n">
        <v>476.769057515625</v>
      </c>
      <c r="G37" s="41" t="n">
        <v>0</v>
      </c>
      <c r="H37" s="41" t="n">
        <v>0</v>
      </c>
      <c r="I37" s="41" t="n">
        <v>0</v>
      </c>
      <c r="J37" s="41" t="n">
        <v>0</v>
      </c>
      <c r="K37" s="104" t="n">
        <v>0</v>
      </c>
      <c r="L37" s="104" t="n">
        <v>0</v>
      </c>
      <c r="M37" s="104" t="n">
        <v>0</v>
      </c>
      <c r="N37" s="104" t="n">
        <v>0</v>
      </c>
      <c r="O37" s="104" t="n">
        <v>0</v>
      </c>
      <c r="P37" s="104" t="n">
        <v>0</v>
      </c>
      <c r="Q37" s="104" t="n">
        <v>0</v>
      </c>
      <c r="R37" s="104" t="n">
        <v>0</v>
      </c>
      <c r="S37" s="104" t="n">
        <v>0</v>
      </c>
      <c r="T37" s="104" t="n">
        <v>0</v>
      </c>
      <c r="U37" s="104" t="n">
        <v>0</v>
      </c>
      <c r="V37" s="104" t="n">
        <v>0</v>
      </c>
      <c r="W37" s="104" t="n">
        <v>0</v>
      </c>
      <c r="X37" s="104" t="n">
        <v>0</v>
      </c>
      <c r="Y37" s="104" t="n">
        <v>0</v>
      </c>
      <c r="Z37" s="104" t="n">
        <v>0</v>
      </c>
      <c r="AA37" s="104" t="n">
        <v>0</v>
      </c>
      <c r="AB37" s="104" t="n">
        <v>0</v>
      </c>
      <c r="AC37" s="104" t="n">
        <v>0</v>
      </c>
      <c r="AD37" s="104" t="n">
        <v>0</v>
      </c>
      <c r="AE37" s="104" t="n">
        <v>0</v>
      </c>
      <c r="AF37" s="104" t="n">
        <v>0</v>
      </c>
      <c r="AG37" s="104" t="n">
        <v>0</v>
      </c>
      <c r="AH37" s="104" t="n">
        <v>0</v>
      </c>
      <c r="AI37" s="104" t="e">
        <v>#N/A</v>
      </c>
      <c r="AJ37" s="104" t="e">
        <v>#N/A</v>
      </c>
      <c r="AK37" s="104" t="e">
        <v>#N/A</v>
      </c>
      <c r="AL37" s="104" t="e">
        <v>#N/A</v>
      </c>
      <c r="AM37" s="104" t="e">
        <v>#N/A</v>
      </c>
      <c r="AN37" s="104" t="e">
        <v>#N/A</v>
      </c>
      <c r="AO37" s="104" t="e">
        <v>#N/A</v>
      </c>
      <c r="AP37" s="104" t="e">
        <v>#N/A</v>
      </c>
      <c r="AQ37" s="104" t="e">
        <v>#N/A</v>
      </c>
      <c r="AR37" s="104" t="e">
        <v>#N/A</v>
      </c>
      <c r="AS37" s="104" t="e">
        <v>#N/A</v>
      </c>
      <c r="AT37" s="104" t="e">
        <v>#N/A</v>
      </c>
      <c r="AU37" s="104" t="e">
        <v>#N/A</v>
      </c>
      <c r="AV37" s="104" t="e">
        <v>#N/A</v>
      </c>
      <c r="AW37" s="104" t="e">
        <v>#N/A</v>
      </c>
      <c r="AX37" s="104" t="e">
        <v>#N/A</v>
      </c>
      <c r="AY37" s="104" t="e">
        <v>#N/A</v>
      </c>
      <c r="AZ37" s="104" t="e">
        <v>#N/A</v>
      </c>
      <c r="BA37" s="104" t="e">
        <v>#N/A</v>
      </c>
      <c r="BB37" s="104" t="e">
        <v>#N/A</v>
      </c>
      <c r="BC37" s="104" t="e">
        <v>#N/A</v>
      </c>
      <c r="BD37" s="104" t="e">
        <v>#N/A</v>
      </c>
      <c r="BE37" s="104" t="e">
        <v>#N/A</v>
      </c>
      <c r="BF37" s="104" t="e">
        <v>#N/A</v>
      </c>
      <c r="BG37" s="104" t="e">
        <v>#N/A</v>
      </c>
      <c r="BH37" s="104" t="e">
        <v>#N/A</v>
      </c>
      <c r="BI37" s="41" t="e">
        <v>#N/A</v>
      </c>
    </row>
    <row r="38">
      <c r="A38" s="36" t="inlineStr">
        <is>
          <t>S4</t>
        </is>
      </c>
      <c r="B38" s="42" t="n">
        <v>0</v>
      </c>
      <c r="C38" s="65" t="n">
        <v>0</v>
      </c>
      <c r="D38" s="43" t="n">
        <v>353.434977</v>
      </c>
      <c r="E38" s="43" t="n">
        <v>5.522421515625</v>
      </c>
      <c r="F38" s="43" t="n">
        <v>358.957398515625</v>
      </c>
      <c r="G38" s="43" t="n">
        <v>0</v>
      </c>
      <c r="H38" s="43" t="n">
        <v>0</v>
      </c>
      <c r="I38" s="43" t="n">
        <v>0</v>
      </c>
      <c r="J38" s="43" t="n">
        <v>0</v>
      </c>
      <c r="K38" s="47" t="n">
        <v>0</v>
      </c>
      <c r="L38" s="47" t="n">
        <v>0</v>
      </c>
      <c r="M38" s="47" t="n">
        <v>0</v>
      </c>
      <c r="N38" s="47" t="n">
        <v>0</v>
      </c>
      <c r="O38" s="47" t="n">
        <v>0</v>
      </c>
      <c r="P38" s="47" t="n">
        <v>0</v>
      </c>
      <c r="Q38" s="47" t="n">
        <v>0</v>
      </c>
      <c r="R38" s="47" t="n">
        <v>0</v>
      </c>
      <c r="S38" s="47" t="n">
        <v>0</v>
      </c>
      <c r="T38" s="47" t="n">
        <v>0</v>
      </c>
      <c r="U38" s="47" t="n">
        <v>0</v>
      </c>
      <c r="V38" s="47" t="n">
        <v>0</v>
      </c>
      <c r="W38" s="47" t="n">
        <v>0</v>
      </c>
      <c r="X38" s="47" t="n">
        <v>0</v>
      </c>
      <c r="Y38" s="47" t="n">
        <v>0</v>
      </c>
      <c r="Z38" s="47" t="n">
        <v>0</v>
      </c>
      <c r="AA38" s="47" t="n">
        <v>0</v>
      </c>
      <c r="AB38" s="47" t="n">
        <v>0</v>
      </c>
      <c r="AC38" s="47" t="n">
        <v>0</v>
      </c>
      <c r="AD38" s="47" t="n">
        <v>0</v>
      </c>
      <c r="AE38" s="47" t="n">
        <v>0</v>
      </c>
      <c r="AF38" s="47" t="n">
        <v>0</v>
      </c>
      <c r="AG38" s="47" t="n">
        <v>0</v>
      </c>
      <c r="AH38" s="47" t="n">
        <v>0</v>
      </c>
      <c r="AI38" s="47" t="e">
        <v>#N/A</v>
      </c>
      <c r="AJ38" s="47" t="e">
        <v>#N/A</v>
      </c>
      <c r="AK38" s="47" t="e">
        <v>#N/A</v>
      </c>
      <c r="AL38" s="47" t="e">
        <v>#N/A</v>
      </c>
      <c r="AM38" s="47" t="e">
        <v>#N/A</v>
      </c>
      <c r="AN38" s="47" t="e">
        <v>#N/A</v>
      </c>
      <c r="AO38" s="47" t="e">
        <v>#N/A</v>
      </c>
      <c r="AP38" s="47" t="e">
        <v>#N/A</v>
      </c>
      <c r="AQ38" s="47" t="e">
        <v>#N/A</v>
      </c>
      <c r="AR38" s="47" t="e">
        <v>#N/A</v>
      </c>
      <c r="AS38" s="47" t="e">
        <v>#N/A</v>
      </c>
      <c r="AT38" s="47" t="e">
        <v>#N/A</v>
      </c>
      <c r="AU38" s="47" t="e">
        <v>#N/A</v>
      </c>
      <c r="AV38" s="47" t="e">
        <v>#N/A</v>
      </c>
      <c r="AW38" s="47" t="e">
        <v>#N/A</v>
      </c>
      <c r="AX38" s="47" t="e">
        <v>#N/A</v>
      </c>
      <c r="AY38" s="47" t="e">
        <v>#N/A</v>
      </c>
      <c r="AZ38" s="47" t="e">
        <v>#N/A</v>
      </c>
      <c r="BA38" s="47" t="e">
        <v>#N/A</v>
      </c>
      <c r="BB38" s="47" t="e">
        <v>#N/A</v>
      </c>
      <c r="BC38" s="47" t="e">
        <v>#N/A</v>
      </c>
      <c r="BD38" s="47" t="e">
        <v>#N/A</v>
      </c>
      <c r="BE38" s="47" t="e">
        <v>#N/A</v>
      </c>
      <c r="BF38" s="47" t="e">
        <v>#N/A</v>
      </c>
      <c r="BG38" s="47" t="e">
        <v>#N/A</v>
      </c>
      <c r="BH38" s="47" t="e">
        <v>#N/A</v>
      </c>
      <c r="BI38" s="43" t="e">
        <v>#N/A</v>
      </c>
    </row>
    <row r="39">
      <c r="A39" s="37" t="inlineStr">
        <is>
          <t>S5</t>
        </is>
      </c>
      <c r="B39" s="40" t="n">
        <v>0</v>
      </c>
      <c r="C39" s="64" t="n">
        <v>0</v>
      </c>
      <c r="D39" s="41" t="n">
        <v>353.434977</v>
      </c>
      <c r="E39" s="41" t="n">
        <v>5.522421515625</v>
      </c>
      <c r="F39" s="41" t="n">
        <v>358.957398515625</v>
      </c>
      <c r="G39" s="41" t="n">
        <v>0</v>
      </c>
      <c r="H39" s="41" t="n">
        <v>0</v>
      </c>
      <c r="I39" s="41" t="n">
        <v>0</v>
      </c>
      <c r="J39" s="41" t="n">
        <v>0</v>
      </c>
      <c r="K39" s="104" t="n">
        <v>0</v>
      </c>
      <c r="L39" s="104" t="n">
        <v>0</v>
      </c>
      <c r="M39" s="104" t="n">
        <v>0</v>
      </c>
      <c r="N39" s="104" t="n">
        <v>0</v>
      </c>
      <c r="O39" s="104" t="n">
        <v>0</v>
      </c>
      <c r="P39" s="104" t="n">
        <v>0</v>
      </c>
      <c r="Q39" s="104" t="n">
        <v>0</v>
      </c>
      <c r="R39" s="104" t="n">
        <v>0</v>
      </c>
      <c r="S39" s="104" t="n">
        <v>0</v>
      </c>
      <c r="T39" s="104" t="n">
        <v>0</v>
      </c>
      <c r="U39" s="104" t="n">
        <v>0</v>
      </c>
      <c r="V39" s="104" t="n">
        <v>0</v>
      </c>
      <c r="W39" s="104" t="n">
        <v>0</v>
      </c>
      <c r="X39" s="104" t="n">
        <v>0</v>
      </c>
      <c r="Y39" s="104" t="n">
        <v>0</v>
      </c>
      <c r="Z39" s="104" t="n">
        <v>0</v>
      </c>
      <c r="AA39" s="104" t="n">
        <v>0</v>
      </c>
      <c r="AB39" s="104" t="n">
        <v>0</v>
      </c>
      <c r="AC39" s="104" t="n">
        <v>0</v>
      </c>
      <c r="AD39" s="104" t="n">
        <v>0</v>
      </c>
      <c r="AE39" s="104" t="n">
        <v>0</v>
      </c>
      <c r="AF39" s="104" t="n">
        <v>0</v>
      </c>
      <c r="AG39" s="104" t="n">
        <v>0</v>
      </c>
      <c r="AH39" s="104" t="n">
        <v>0</v>
      </c>
      <c r="AI39" s="104" t="e">
        <v>#N/A</v>
      </c>
      <c r="AJ39" s="104" t="e">
        <v>#N/A</v>
      </c>
      <c r="AK39" s="104" t="e">
        <v>#N/A</v>
      </c>
      <c r="AL39" s="104" t="e">
        <v>#N/A</v>
      </c>
      <c r="AM39" s="104" t="e">
        <v>#N/A</v>
      </c>
      <c r="AN39" s="104" t="e">
        <v>#N/A</v>
      </c>
      <c r="AO39" s="104" t="e">
        <v>#N/A</v>
      </c>
      <c r="AP39" s="104" t="e">
        <v>#N/A</v>
      </c>
      <c r="AQ39" s="104" t="e">
        <v>#N/A</v>
      </c>
      <c r="AR39" s="104" t="e">
        <v>#N/A</v>
      </c>
      <c r="AS39" s="104" t="e">
        <v>#N/A</v>
      </c>
      <c r="AT39" s="104" t="e">
        <v>#N/A</v>
      </c>
      <c r="AU39" s="104" t="e">
        <v>#N/A</v>
      </c>
      <c r="AV39" s="104" t="e">
        <v>#N/A</v>
      </c>
      <c r="AW39" s="104" t="e">
        <v>#N/A</v>
      </c>
      <c r="AX39" s="104" t="e">
        <v>#N/A</v>
      </c>
      <c r="AY39" s="104" t="e">
        <v>#N/A</v>
      </c>
      <c r="AZ39" s="104" t="e">
        <v>#N/A</v>
      </c>
      <c r="BA39" s="104" t="e">
        <v>#N/A</v>
      </c>
      <c r="BB39" s="104" t="e">
        <v>#N/A</v>
      </c>
      <c r="BC39" s="104" t="e">
        <v>#N/A</v>
      </c>
      <c r="BD39" s="104" t="e">
        <v>#N/A</v>
      </c>
      <c r="BE39" s="104" t="e">
        <v>#N/A</v>
      </c>
      <c r="BF39" s="104" t="e">
        <v>#N/A</v>
      </c>
      <c r="BG39" s="104" t="e">
        <v>#N/A</v>
      </c>
      <c r="BH39" s="104" t="e">
        <v>#N/A</v>
      </c>
      <c r="BI39" s="41" t="e">
        <v>#N/A</v>
      </c>
    </row>
    <row r="40">
      <c r="A40" s="36" t="inlineStr">
        <is>
          <t>S6</t>
        </is>
      </c>
      <c r="B40" s="42" t="n">
        <v>0</v>
      </c>
      <c r="C40" s="65" t="n">
        <v>0</v>
      </c>
      <c r="D40" s="43" t="n">
        <v>353.434977</v>
      </c>
      <c r="E40" s="43" t="n">
        <v>5.522421515625</v>
      </c>
      <c r="F40" s="43" t="n">
        <v>358.957398515625</v>
      </c>
      <c r="G40" s="43" t="n">
        <v>0</v>
      </c>
      <c r="H40" s="43" t="n">
        <v>0</v>
      </c>
      <c r="I40" s="43" t="n">
        <v>0</v>
      </c>
      <c r="J40" s="43" t="n">
        <v>0</v>
      </c>
      <c r="K40" s="47" t="n">
        <v>0</v>
      </c>
      <c r="L40" s="47" t="n">
        <v>0</v>
      </c>
      <c r="M40" s="47" t="n">
        <v>0</v>
      </c>
      <c r="N40" s="47" t="n">
        <v>0</v>
      </c>
      <c r="O40" s="47" t="n">
        <v>0</v>
      </c>
      <c r="P40" s="47" t="n">
        <v>0</v>
      </c>
      <c r="Q40" s="47" t="n">
        <v>0</v>
      </c>
      <c r="R40" s="47" t="n">
        <v>0</v>
      </c>
      <c r="S40" s="47" t="n">
        <v>0</v>
      </c>
      <c r="T40" s="47" t="n">
        <v>0</v>
      </c>
      <c r="U40" s="47" t="n">
        <v>0</v>
      </c>
      <c r="V40" s="47" t="n">
        <v>0</v>
      </c>
      <c r="W40" s="47" t="n">
        <v>0</v>
      </c>
      <c r="X40" s="47" t="n">
        <v>0</v>
      </c>
      <c r="Y40" s="47" t="n">
        <v>0</v>
      </c>
      <c r="Z40" s="47" t="n">
        <v>0</v>
      </c>
      <c r="AA40" s="47" t="n">
        <v>0</v>
      </c>
      <c r="AB40" s="47" t="n">
        <v>0</v>
      </c>
      <c r="AC40" s="47" t="n">
        <v>0</v>
      </c>
      <c r="AD40" s="47" t="n">
        <v>0</v>
      </c>
      <c r="AE40" s="47" t="n">
        <v>0</v>
      </c>
      <c r="AF40" s="47" t="n">
        <v>0</v>
      </c>
      <c r="AG40" s="47" t="n">
        <v>0</v>
      </c>
      <c r="AH40" s="47" t="n">
        <v>0</v>
      </c>
      <c r="AI40" s="47" t="e">
        <v>#N/A</v>
      </c>
      <c r="AJ40" s="47" t="e">
        <v>#N/A</v>
      </c>
      <c r="AK40" s="47" t="e">
        <v>#N/A</v>
      </c>
      <c r="AL40" s="47" t="e">
        <v>#N/A</v>
      </c>
      <c r="AM40" s="47" t="e">
        <v>#N/A</v>
      </c>
      <c r="AN40" s="47" t="e">
        <v>#N/A</v>
      </c>
      <c r="AO40" s="47" t="e">
        <v>#N/A</v>
      </c>
      <c r="AP40" s="47" t="e">
        <v>#N/A</v>
      </c>
      <c r="AQ40" s="47" t="e">
        <v>#N/A</v>
      </c>
      <c r="AR40" s="47" t="e">
        <v>#N/A</v>
      </c>
      <c r="AS40" s="47" t="e">
        <v>#N/A</v>
      </c>
      <c r="AT40" s="47" t="e">
        <v>#N/A</v>
      </c>
      <c r="AU40" s="47" t="e">
        <v>#N/A</v>
      </c>
      <c r="AV40" s="47" t="e">
        <v>#N/A</v>
      </c>
      <c r="AW40" s="47" t="e">
        <v>#N/A</v>
      </c>
      <c r="AX40" s="47" t="e">
        <v>#N/A</v>
      </c>
      <c r="AY40" s="47" t="e">
        <v>#N/A</v>
      </c>
      <c r="AZ40" s="47" t="e">
        <v>#N/A</v>
      </c>
      <c r="BA40" s="47" t="e">
        <v>#N/A</v>
      </c>
      <c r="BB40" s="47" t="e">
        <v>#N/A</v>
      </c>
      <c r="BC40" s="47" t="e">
        <v>#N/A</v>
      </c>
      <c r="BD40" s="47" t="e">
        <v>#N/A</v>
      </c>
      <c r="BE40" s="47" t="e">
        <v>#N/A</v>
      </c>
      <c r="BF40" s="47" t="e">
        <v>#N/A</v>
      </c>
      <c r="BG40" s="47" t="e">
        <v>#N/A</v>
      </c>
      <c r="BH40" s="47" t="e">
        <v>#N/A</v>
      </c>
      <c r="BI40" s="43" t="e">
        <v>#N/A</v>
      </c>
    </row>
    <row r="41">
      <c r="A41" s="37" t="inlineStr">
        <is>
          <t>S7</t>
        </is>
      </c>
      <c r="B41" s="40" t="n">
        <v>0</v>
      </c>
      <c r="C41" s="64" t="n">
        <v>0</v>
      </c>
      <c r="D41" s="41" t="n">
        <v>353.434977</v>
      </c>
      <c r="E41" s="41" t="n">
        <v>5.522421515625</v>
      </c>
      <c r="F41" s="41" t="n">
        <v>358.957398515625</v>
      </c>
      <c r="G41" s="41" t="n">
        <v>0</v>
      </c>
      <c r="H41" s="41" t="n">
        <v>0</v>
      </c>
      <c r="I41" s="41" t="n">
        <v>0</v>
      </c>
      <c r="J41" s="41" t="n">
        <v>0</v>
      </c>
      <c r="K41" s="104" t="n">
        <v>0</v>
      </c>
      <c r="L41" s="104" t="n">
        <v>0</v>
      </c>
      <c r="M41" s="104" t="n">
        <v>0</v>
      </c>
      <c r="N41" s="104" t="n">
        <v>0</v>
      </c>
      <c r="O41" s="104" t="n">
        <v>0</v>
      </c>
      <c r="P41" s="104" t="n">
        <v>0</v>
      </c>
      <c r="Q41" s="104" t="n">
        <v>0</v>
      </c>
      <c r="R41" s="104" t="n">
        <v>0</v>
      </c>
      <c r="S41" s="104" t="n">
        <v>0</v>
      </c>
      <c r="T41" s="104" t="n">
        <v>0</v>
      </c>
      <c r="U41" s="104" t="n">
        <v>0</v>
      </c>
      <c r="V41" s="104" t="n">
        <v>0</v>
      </c>
      <c r="W41" s="104" t="n">
        <v>0</v>
      </c>
      <c r="X41" s="104" t="n">
        <v>0</v>
      </c>
      <c r="Y41" s="104" t="n">
        <v>0</v>
      </c>
      <c r="Z41" s="104" t="n">
        <v>0</v>
      </c>
      <c r="AA41" s="104" t="n">
        <v>0</v>
      </c>
      <c r="AB41" s="104" t="n">
        <v>0</v>
      </c>
      <c r="AC41" s="104" t="n">
        <v>0</v>
      </c>
      <c r="AD41" s="104" t="n">
        <v>0</v>
      </c>
      <c r="AE41" s="104" t="n">
        <v>0</v>
      </c>
      <c r="AF41" s="104" t="n">
        <v>0</v>
      </c>
      <c r="AG41" s="104" t="n">
        <v>0</v>
      </c>
      <c r="AH41" s="104" t="n">
        <v>0</v>
      </c>
      <c r="AI41" s="104" t="e">
        <v>#N/A</v>
      </c>
      <c r="AJ41" s="104" t="e">
        <v>#N/A</v>
      </c>
      <c r="AK41" s="104" t="e">
        <v>#N/A</v>
      </c>
      <c r="AL41" s="104" t="e">
        <v>#N/A</v>
      </c>
      <c r="AM41" s="104" t="e">
        <v>#N/A</v>
      </c>
      <c r="AN41" s="104" t="e">
        <v>#N/A</v>
      </c>
      <c r="AO41" s="104" t="e">
        <v>#N/A</v>
      </c>
      <c r="AP41" s="104" t="e">
        <v>#N/A</v>
      </c>
      <c r="AQ41" s="104" t="e">
        <v>#N/A</v>
      </c>
      <c r="AR41" s="104" t="e">
        <v>#N/A</v>
      </c>
      <c r="AS41" s="104" t="e">
        <v>#N/A</v>
      </c>
      <c r="AT41" s="104" t="e">
        <v>#N/A</v>
      </c>
      <c r="AU41" s="104" t="e">
        <v>#N/A</v>
      </c>
      <c r="AV41" s="104" t="e">
        <v>#N/A</v>
      </c>
      <c r="AW41" s="104" t="e">
        <v>#N/A</v>
      </c>
      <c r="AX41" s="104" t="e">
        <v>#N/A</v>
      </c>
      <c r="AY41" s="104" t="e">
        <v>#N/A</v>
      </c>
      <c r="AZ41" s="104" t="e">
        <v>#N/A</v>
      </c>
      <c r="BA41" s="104" t="e">
        <v>#N/A</v>
      </c>
      <c r="BB41" s="104" t="e">
        <v>#N/A</v>
      </c>
      <c r="BC41" s="104" t="e">
        <v>#N/A</v>
      </c>
      <c r="BD41" s="104" t="e">
        <v>#N/A</v>
      </c>
      <c r="BE41" s="104" t="e">
        <v>#N/A</v>
      </c>
      <c r="BF41" s="104" t="e">
        <v>#N/A</v>
      </c>
      <c r="BG41" s="104" t="e">
        <v>#N/A</v>
      </c>
      <c r="BH41" s="104" t="e">
        <v>#N/A</v>
      </c>
      <c r="BI41" s="41" t="e">
        <v>#N/A</v>
      </c>
    </row>
    <row r="42">
      <c r="A42" s="36" t="inlineStr">
        <is>
          <t>S8</t>
        </is>
      </c>
      <c r="B42" s="42" t="n">
        <v>0</v>
      </c>
      <c r="C42" s="65" t="n">
        <v>0</v>
      </c>
      <c r="D42" s="43" t="n">
        <v>353.434977</v>
      </c>
      <c r="E42" s="43" t="n">
        <v>5.522421515625</v>
      </c>
      <c r="F42" s="43" t="n">
        <v>358.957398515625</v>
      </c>
      <c r="G42" s="43" t="n">
        <v>0</v>
      </c>
      <c r="H42" s="43" t="n">
        <v>0</v>
      </c>
      <c r="I42" s="43" t="n">
        <v>0</v>
      </c>
      <c r="J42" s="43" t="n">
        <v>0</v>
      </c>
      <c r="K42" s="47" t="n">
        <v>0</v>
      </c>
      <c r="L42" s="47" t="n">
        <v>0</v>
      </c>
      <c r="M42" s="47" t="n">
        <v>0</v>
      </c>
      <c r="N42" s="47" t="n">
        <v>0</v>
      </c>
      <c r="O42" s="47" t="n">
        <v>0</v>
      </c>
      <c r="P42" s="47" t="n">
        <v>0</v>
      </c>
      <c r="Q42" s="47" t="n">
        <v>0</v>
      </c>
      <c r="R42" s="47" t="n">
        <v>0</v>
      </c>
      <c r="S42" s="47" t="n">
        <v>0</v>
      </c>
      <c r="T42" s="47" t="n">
        <v>0</v>
      </c>
      <c r="U42" s="47" t="n">
        <v>0</v>
      </c>
      <c r="V42" s="47" t="n">
        <v>0</v>
      </c>
      <c r="W42" s="47" t="n">
        <v>0</v>
      </c>
      <c r="X42" s="47" t="n">
        <v>0</v>
      </c>
      <c r="Y42" s="47" t="n">
        <v>0</v>
      </c>
      <c r="Z42" s="47" t="n">
        <v>0</v>
      </c>
      <c r="AA42" s="47" t="n">
        <v>0</v>
      </c>
      <c r="AB42" s="47" t="n">
        <v>0</v>
      </c>
      <c r="AC42" s="47" t="n">
        <v>0</v>
      </c>
      <c r="AD42" s="47" t="n">
        <v>0</v>
      </c>
      <c r="AE42" s="47" t="n">
        <v>0</v>
      </c>
      <c r="AF42" s="47" t="n">
        <v>0</v>
      </c>
      <c r="AG42" s="47" t="n">
        <v>0</v>
      </c>
      <c r="AH42" s="47" t="n">
        <v>0</v>
      </c>
      <c r="AI42" s="47" t="e">
        <v>#N/A</v>
      </c>
      <c r="AJ42" s="47" t="e">
        <v>#N/A</v>
      </c>
      <c r="AK42" s="47" t="e">
        <v>#N/A</v>
      </c>
      <c r="AL42" s="47" t="e">
        <v>#N/A</v>
      </c>
      <c r="AM42" s="47" t="e">
        <v>#N/A</v>
      </c>
      <c r="AN42" s="47" t="e">
        <v>#N/A</v>
      </c>
      <c r="AO42" s="47" t="e">
        <v>#N/A</v>
      </c>
      <c r="AP42" s="47" t="e">
        <v>#N/A</v>
      </c>
      <c r="AQ42" s="47" t="e">
        <v>#N/A</v>
      </c>
      <c r="AR42" s="47" t="e">
        <v>#N/A</v>
      </c>
      <c r="AS42" s="47" t="e">
        <v>#N/A</v>
      </c>
      <c r="AT42" s="47" t="e">
        <v>#N/A</v>
      </c>
      <c r="AU42" s="47" t="e">
        <v>#N/A</v>
      </c>
      <c r="AV42" s="47" t="e">
        <v>#N/A</v>
      </c>
      <c r="AW42" s="47" t="e">
        <v>#N/A</v>
      </c>
      <c r="AX42" s="47" t="e">
        <v>#N/A</v>
      </c>
      <c r="AY42" s="47" t="e">
        <v>#N/A</v>
      </c>
      <c r="AZ42" s="47" t="e">
        <v>#N/A</v>
      </c>
      <c r="BA42" s="47" t="e">
        <v>#N/A</v>
      </c>
      <c r="BB42" s="47" t="e">
        <v>#N/A</v>
      </c>
      <c r="BC42" s="47" t="e">
        <v>#N/A</v>
      </c>
      <c r="BD42" s="47" t="e">
        <v>#N/A</v>
      </c>
      <c r="BE42" s="47" t="e">
        <v>#N/A</v>
      </c>
      <c r="BF42" s="47" t="e">
        <v>#N/A</v>
      </c>
      <c r="BG42" s="47" t="e">
        <v>#N/A</v>
      </c>
      <c r="BH42" s="47" t="e">
        <v>#N/A</v>
      </c>
      <c r="BI42" s="43" t="e">
        <v>#N/A</v>
      </c>
    </row>
    <row r="43">
      <c r="A43" s="37" t="inlineStr">
        <is>
          <t>S9</t>
        </is>
      </c>
      <c r="B43" s="40" t="n">
        <v>0</v>
      </c>
      <c r="C43" s="64" t="n">
        <v>0</v>
      </c>
      <c r="D43" s="41" t="n">
        <v>471.246636</v>
      </c>
      <c r="E43" s="41" t="n">
        <v>5.522421515625</v>
      </c>
      <c r="F43" s="41" t="n">
        <v>476.769057515625</v>
      </c>
      <c r="G43" s="41" t="n">
        <v>0</v>
      </c>
      <c r="H43" s="41" t="n">
        <v>0</v>
      </c>
      <c r="I43" s="41" t="n">
        <v>0</v>
      </c>
      <c r="J43" s="41" t="n">
        <v>0</v>
      </c>
      <c r="K43" s="104" t="n">
        <v>0</v>
      </c>
      <c r="L43" s="104" t="n">
        <v>0</v>
      </c>
      <c r="M43" s="104" t="n">
        <v>0</v>
      </c>
      <c r="N43" s="104" t="n">
        <v>0</v>
      </c>
      <c r="O43" s="104" t="n">
        <v>0</v>
      </c>
      <c r="P43" s="104" t="n">
        <v>0</v>
      </c>
      <c r="Q43" s="104" t="n">
        <v>0</v>
      </c>
      <c r="R43" s="104" t="n">
        <v>0</v>
      </c>
      <c r="S43" s="104" t="n">
        <v>0</v>
      </c>
      <c r="T43" s="104" t="n">
        <v>0</v>
      </c>
      <c r="U43" s="104" t="n">
        <v>0</v>
      </c>
      <c r="V43" s="104" t="n">
        <v>0</v>
      </c>
      <c r="W43" s="104" t="n">
        <v>0</v>
      </c>
      <c r="X43" s="104" t="n">
        <v>0</v>
      </c>
      <c r="Y43" s="104" t="n">
        <v>0</v>
      </c>
      <c r="Z43" s="104" t="n">
        <v>0</v>
      </c>
      <c r="AA43" s="104" t="n">
        <v>0</v>
      </c>
      <c r="AB43" s="104" t="n">
        <v>0</v>
      </c>
      <c r="AC43" s="104" t="n">
        <v>0</v>
      </c>
      <c r="AD43" s="104" t="n">
        <v>0</v>
      </c>
      <c r="AE43" s="104" t="n">
        <v>0</v>
      </c>
      <c r="AF43" s="104" t="n">
        <v>0</v>
      </c>
      <c r="AG43" s="104" t="n">
        <v>0</v>
      </c>
      <c r="AH43" s="104" t="n">
        <v>0</v>
      </c>
      <c r="AI43" s="104" t="e">
        <v>#N/A</v>
      </c>
      <c r="AJ43" s="104" t="e">
        <v>#N/A</v>
      </c>
      <c r="AK43" s="104" t="e">
        <v>#N/A</v>
      </c>
      <c r="AL43" s="104" t="e">
        <v>#N/A</v>
      </c>
      <c r="AM43" s="104" t="e">
        <v>#N/A</v>
      </c>
      <c r="AN43" s="104" t="e">
        <v>#N/A</v>
      </c>
      <c r="AO43" s="104" t="e">
        <v>#N/A</v>
      </c>
      <c r="AP43" s="104" t="e">
        <v>#N/A</v>
      </c>
      <c r="AQ43" s="104" t="e">
        <v>#N/A</v>
      </c>
      <c r="AR43" s="104" t="e">
        <v>#N/A</v>
      </c>
      <c r="AS43" s="104" t="e">
        <v>#N/A</v>
      </c>
      <c r="AT43" s="104" t="e">
        <v>#N/A</v>
      </c>
      <c r="AU43" s="104" t="e">
        <v>#N/A</v>
      </c>
      <c r="AV43" s="104" t="e">
        <v>#N/A</v>
      </c>
      <c r="AW43" s="104" t="e">
        <v>#N/A</v>
      </c>
      <c r="AX43" s="104" t="e">
        <v>#N/A</v>
      </c>
      <c r="AY43" s="104" t="e">
        <v>#N/A</v>
      </c>
      <c r="AZ43" s="104" t="e">
        <v>#N/A</v>
      </c>
      <c r="BA43" s="104" t="e">
        <v>#N/A</v>
      </c>
      <c r="BB43" s="104" t="e">
        <v>#N/A</v>
      </c>
      <c r="BC43" s="104" t="e">
        <v>#N/A</v>
      </c>
      <c r="BD43" s="104" t="e">
        <v>#N/A</v>
      </c>
      <c r="BE43" s="104" t="e">
        <v>#N/A</v>
      </c>
      <c r="BF43" s="104" t="e">
        <v>#N/A</v>
      </c>
      <c r="BG43" s="104" t="e">
        <v>#N/A</v>
      </c>
      <c r="BH43" s="104" t="e">
        <v>#N/A</v>
      </c>
      <c r="BI43" s="41" t="e">
        <v>#N/A</v>
      </c>
    </row>
    <row r="44">
      <c r="A44" s="36" t="inlineStr">
        <is>
          <t>S10</t>
        </is>
      </c>
      <c r="B44" s="42" t="n">
        <v>0</v>
      </c>
      <c r="C44" s="65" t="n">
        <v>0</v>
      </c>
      <c r="D44" s="43" t="n">
        <v>353.434977</v>
      </c>
      <c r="E44" s="43" t="n">
        <v>5.522421515625</v>
      </c>
      <c r="F44" s="43" t="n">
        <v>358.957398515625</v>
      </c>
      <c r="G44" s="43" t="n">
        <v>0</v>
      </c>
      <c r="H44" s="43" t="n">
        <v>0</v>
      </c>
      <c r="I44" s="43" t="n">
        <v>0</v>
      </c>
      <c r="J44" s="43" t="n">
        <v>0</v>
      </c>
      <c r="K44" s="47" t="n">
        <v>0</v>
      </c>
      <c r="L44" s="47" t="n">
        <v>0</v>
      </c>
      <c r="M44" s="47" t="n">
        <v>0</v>
      </c>
      <c r="N44" s="47" t="n">
        <v>0</v>
      </c>
      <c r="O44" s="47" t="n">
        <v>0</v>
      </c>
      <c r="P44" s="47" t="n">
        <v>0</v>
      </c>
      <c r="Q44" s="47" t="n">
        <v>0</v>
      </c>
      <c r="R44" s="47" t="n">
        <v>0</v>
      </c>
      <c r="S44" s="47" t="n">
        <v>0</v>
      </c>
      <c r="T44" s="47" t="n">
        <v>0</v>
      </c>
      <c r="U44" s="47" t="n">
        <v>0</v>
      </c>
      <c r="V44" s="47" t="n">
        <v>0</v>
      </c>
      <c r="W44" s="47" t="n">
        <v>0</v>
      </c>
      <c r="X44" s="47" t="n">
        <v>0</v>
      </c>
      <c r="Y44" s="47" t="n">
        <v>0</v>
      </c>
      <c r="Z44" s="47" t="n">
        <v>0</v>
      </c>
      <c r="AA44" s="47" t="n">
        <v>0</v>
      </c>
      <c r="AB44" s="47" t="n">
        <v>0</v>
      </c>
      <c r="AC44" s="47" t="n">
        <v>0</v>
      </c>
      <c r="AD44" s="47" t="n">
        <v>0</v>
      </c>
      <c r="AE44" s="47" t="n">
        <v>0</v>
      </c>
      <c r="AF44" s="47" t="n">
        <v>0</v>
      </c>
      <c r="AG44" s="47" t="n">
        <v>0</v>
      </c>
      <c r="AH44" s="47" t="n">
        <v>0</v>
      </c>
      <c r="AI44" s="47" t="e">
        <v>#N/A</v>
      </c>
      <c r="AJ44" s="47" t="e">
        <v>#N/A</v>
      </c>
      <c r="AK44" s="47" t="e">
        <v>#N/A</v>
      </c>
      <c r="AL44" s="47" t="e">
        <v>#N/A</v>
      </c>
      <c r="AM44" s="47" t="e">
        <v>#N/A</v>
      </c>
      <c r="AN44" s="47" t="e">
        <v>#N/A</v>
      </c>
      <c r="AO44" s="47" t="e">
        <v>#N/A</v>
      </c>
      <c r="AP44" s="47" t="e">
        <v>#N/A</v>
      </c>
      <c r="AQ44" s="47" t="e">
        <v>#N/A</v>
      </c>
      <c r="AR44" s="47" t="e">
        <v>#N/A</v>
      </c>
      <c r="AS44" s="47" t="e">
        <v>#N/A</v>
      </c>
      <c r="AT44" s="47" t="e">
        <v>#N/A</v>
      </c>
      <c r="AU44" s="47" t="e">
        <v>#N/A</v>
      </c>
      <c r="AV44" s="47" t="e">
        <v>#N/A</v>
      </c>
      <c r="AW44" s="47" t="e">
        <v>#N/A</v>
      </c>
      <c r="AX44" s="47" t="e">
        <v>#N/A</v>
      </c>
      <c r="AY44" s="47" t="e">
        <v>#N/A</v>
      </c>
      <c r="AZ44" s="47" t="e">
        <v>#N/A</v>
      </c>
      <c r="BA44" s="47" t="e">
        <v>#N/A</v>
      </c>
      <c r="BB44" s="47" t="e">
        <v>#N/A</v>
      </c>
      <c r="BC44" s="47" t="e">
        <v>#N/A</v>
      </c>
      <c r="BD44" s="47" t="e">
        <v>#N/A</v>
      </c>
      <c r="BE44" s="47" t="e">
        <v>#N/A</v>
      </c>
      <c r="BF44" s="47" t="e">
        <v>#N/A</v>
      </c>
      <c r="BG44" s="47" t="e">
        <v>#N/A</v>
      </c>
      <c r="BH44" s="47" t="e">
        <v>#N/A</v>
      </c>
      <c r="BI44" s="43" t="e">
        <v>#N/A</v>
      </c>
    </row>
    <row r="45">
      <c r="A45" s="37" t="inlineStr">
        <is>
          <t>S11</t>
        </is>
      </c>
      <c r="B45" s="40" t="n">
        <v>0</v>
      </c>
      <c r="C45" s="64" t="n">
        <v>0</v>
      </c>
      <c r="D45" s="41" t="n">
        <v>353.434977</v>
      </c>
      <c r="E45" s="41" t="n">
        <v>5.522421515625</v>
      </c>
      <c r="F45" s="41" t="n">
        <v>358.957398515625</v>
      </c>
      <c r="G45" s="41" t="n">
        <v>0</v>
      </c>
      <c r="H45" s="41" t="n">
        <v>0</v>
      </c>
      <c r="I45" s="41" t="n">
        <v>0</v>
      </c>
      <c r="J45" s="41" t="n">
        <v>0</v>
      </c>
      <c r="K45" s="104" t="n">
        <v>0</v>
      </c>
      <c r="L45" s="104" t="n">
        <v>0</v>
      </c>
      <c r="M45" s="104" t="n">
        <v>0</v>
      </c>
      <c r="N45" s="104" t="n">
        <v>0</v>
      </c>
      <c r="O45" s="104" t="n">
        <v>0</v>
      </c>
      <c r="P45" s="104" t="n">
        <v>0</v>
      </c>
      <c r="Q45" s="104" t="n">
        <v>0</v>
      </c>
      <c r="R45" s="104" t="n">
        <v>0</v>
      </c>
      <c r="S45" s="104" t="n">
        <v>0</v>
      </c>
      <c r="T45" s="104" t="n">
        <v>0</v>
      </c>
      <c r="U45" s="104" t="n">
        <v>0</v>
      </c>
      <c r="V45" s="104" t="n">
        <v>0</v>
      </c>
      <c r="W45" s="104" t="n">
        <v>0</v>
      </c>
      <c r="X45" s="104" t="n">
        <v>0</v>
      </c>
      <c r="Y45" s="104" t="n">
        <v>0</v>
      </c>
      <c r="Z45" s="104" t="n">
        <v>0</v>
      </c>
      <c r="AA45" s="104" t="n">
        <v>0</v>
      </c>
      <c r="AB45" s="104" t="n">
        <v>0</v>
      </c>
      <c r="AC45" s="104" t="n">
        <v>0</v>
      </c>
      <c r="AD45" s="104" t="n">
        <v>0</v>
      </c>
      <c r="AE45" s="104" t="n">
        <v>0</v>
      </c>
      <c r="AF45" s="104" t="n">
        <v>0</v>
      </c>
      <c r="AG45" s="104" t="n">
        <v>0</v>
      </c>
      <c r="AH45" s="104" t="n">
        <v>0</v>
      </c>
      <c r="AI45" s="104" t="e">
        <v>#N/A</v>
      </c>
      <c r="AJ45" s="104" t="e">
        <v>#N/A</v>
      </c>
      <c r="AK45" s="104" t="e">
        <v>#N/A</v>
      </c>
      <c r="AL45" s="104" t="e">
        <v>#N/A</v>
      </c>
      <c r="AM45" s="104" t="e">
        <v>#N/A</v>
      </c>
      <c r="AN45" s="104" t="e">
        <v>#N/A</v>
      </c>
      <c r="AO45" s="104" t="e">
        <v>#N/A</v>
      </c>
      <c r="AP45" s="104" t="e">
        <v>#N/A</v>
      </c>
      <c r="AQ45" s="104" t="e">
        <v>#N/A</v>
      </c>
      <c r="AR45" s="104" t="e">
        <v>#N/A</v>
      </c>
      <c r="AS45" s="104" t="e">
        <v>#N/A</v>
      </c>
      <c r="AT45" s="104" t="e">
        <v>#N/A</v>
      </c>
      <c r="AU45" s="104" t="e">
        <v>#N/A</v>
      </c>
      <c r="AV45" s="104" t="e">
        <v>#N/A</v>
      </c>
      <c r="AW45" s="104" t="e">
        <v>#N/A</v>
      </c>
      <c r="AX45" s="104" t="e">
        <v>#N/A</v>
      </c>
      <c r="AY45" s="104" t="e">
        <v>#N/A</v>
      </c>
      <c r="AZ45" s="104" t="e">
        <v>#N/A</v>
      </c>
      <c r="BA45" s="104" t="e">
        <v>#N/A</v>
      </c>
      <c r="BB45" s="104" t="e">
        <v>#N/A</v>
      </c>
      <c r="BC45" s="104" t="e">
        <v>#N/A</v>
      </c>
      <c r="BD45" s="104" t="e">
        <v>#N/A</v>
      </c>
      <c r="BE45" s="104" t="e">
        <v>#N/A</v>
      </c>
      <c r="BF45" s="104" t="e">
        <v>#N/A</v>
      </c>
      <c r="BG45" s="104" t="e">
        <v>#N/A</v>
      </c>
      <c r="BH45" s="104" t="e">
        <v>#N/A</v>
      </c>
      <c r="BI45" s="41" t="e">
        <v>#N/A</v>
      </c>
    </row>
    <row r="46">
      <c r="A46" s="36" t="inlineStr">
        <is>
          <t>S12</t>
        </is>
      </c>
      <c r="B46" s="42" t="n">
        <v>0</v>
      </c>
      <c r="C46" s="65" t="n">
        <v>0</v>
      </c>
      <c r="D46" s="43" t="n">
        <v>353.434977</v>
      </c>
      <c r="E46" s="43" t="n">
        <v>5.522421515625</v>
      </c>
      <c r="F46" s="43" t="n">
        <v>358.957398515625</v>
      </c>
      <c r="G46" s="43" t="n">
        <v>0</v>
      </c>
      <c r="H46" s="43" t="n">
        <v>0</v>
      </c>
      <c r="I46" s="43" t="n">
        <v>0</v>
      </c>
      <c r="J46" s="43" t="n">
        <v>0</v>
      </c>
      <c r="K46" s="47" t="n">
        <v>0</v>
      </c>
      <c r="L46" s="47" t="n">
        <v>0</v>
      </c>
      <c r="M46" s="47" t="n">
        <v>0</v>
      </c>
      <c r="N46" s="47" t="n">
        <v>0</v>
      </c>
      <c r="O46" s="47" t="n">
        <v>0</v>
      </c>
      <c r="P46" s="47" t="n">
        <v>0</v>
      </c>
      <c r="Q46" s="47" t="n">
        <v>0</v>
      </c>
      <c r="R46" s="47" t="n">
        <v>0</v>
      </c>
      <c r="S46" s="47" t="n">
        <v>0</v>
      </c>
      <c r="T46" s="47" t="n">
        <v>0</v>
      </c>
      <c r="U46" s="47" t="n">
        <v>0</v>
      </c>
      <c r="V46" s="47" t="n">
        <v>0</v>
      </c>
      <c r="W46" s="47" t="n">
        <v>0</v>
      </c>
      <c r="X46" s="47" t="n">
        <v>0</v>
      </c>
      <c r="Y46" s="47" t="n">
        <v>0</v>
      </c>
      <c r="Z46" s="47" t="n">
        <v>0</v>
      </c>
      <c r="AA46" s="47" t="n">
        <v>0</v>
      </c>
      <c r="AB46" s="47" t="n">
        <v>0</v>
      </c>
      <c r="AC46" s="47" t="n">
        <v>0</v>
      </c>
      <c r="AD46" s="47" t="n">
        <v>0</v>
      </c>
      <c r="AE46" s="47" t="n">
        <v>0</v>
      </c>
      <c r="AF46" s="47" t="n">
        <v>0</v>
      </c>
      <c r="AG46" s="47" t="n">
        <v>0</v>
      </c>
      <c r="AH46" s="47" t="n">
        <v>0</v>
      </c>
      <c r="AI46" s="47" t="e">
        <v>#N/A</v>
      </c>
      <c r="AJ46" s="47" t="e">
        <v>#N/A</v>
      </c>
      <c r="AK46" s="47" t="e">
        <v>#N/A</v>
      </c>
      <c r="AL46" s="47" t="e">
        <v>#N/A</v>
      </c>
      <c r="AM46" s="47" t="e">
        <v>#N/A</v>
      </c>
      <c r="AN46" s="47" t="e">
        <v>#N/A</v>
      </c>
      <c r="AO46" s="47" t="e">
        <v>#N/A</v>
      </c>
      <c r="AP46" s="47" t="e">
        <v>#N/A</v>
      </c>
      <c r="AQ46" s="47" t="e">
        <v>#N/A</v>
      </c>
      <c r="AR46" s="47" t="e">
        <v>#N/A</v>
      </c>
      <c r="AS46" s="47" t="e">
        <v>#N/A</v>
      </c>
      <c r="AT46" s="47" t="e">
        <v>#N/A</v>
      </c>
      <c r="AU46" s="47" t="e">
        <v>#N/A</v>
      </c>
      <c r="AV46" s="47" t="e">
        <v>#N/A</v>
      </c>
      <c r="AW46" s="47" t="e">
        <v>#N/A</v>
      </c>
      <c r="AX46" s="47" t="e">
        <v>#N/A</v>
      </c>
      <c r="AY46" s="47" t="e">
        <v>#N/A</v>
      </c>
      <c r="AZ46" s="47" t="e">
        <v>#N/A</v>
      </c>
      <c r="BA46" s="47" t="e">
        <v>#N/A</v>
      </c>
      <c r="BB46" s="47" t="e">
        <v>#N/A</v>
      </c>
      <c r="BC46" s="47" t="e">
        <v>#N/A</v>
      </c>
      <c r="BD46" s="47" t="e">
        <v>#N/A</v>
      </c>
      <c r="BE46" s="47" t="e">
        <v>#N/A</v>
      </c>
      <c r="BF46" s="47" t="e">
        <v>#N/A</v>
      </c>
      <c r="BG46" s="47" t="e">
        <v>#N/A</v>
      </c>
      <c r="BH46" s="47" t="e">
        <v>#N/A</v>
      </c>
      <c r="BI46" s="43" t="e">
        <v>#N/A</v>
      </c>
    </row>
    <row r="47">
      <c r="A47" s="37" t="inlineStr">
        <is>
          <t>S13</t>
        </is>
      </c>
      <c r="B47" s="40" t="n">
        <v>0</v>
      </c>
      <c r="C47" s="64" t="n">
        <v>0</v>
      </c>
      <c r="D47" s="41" t="n">
        <v>471.246636</v>
      </c>
      <c r="E47" s="41" t="n">
        <v>5.522421515625</v>
      </c>
      <c r="F47" s="41" t="n">
        <v>476.769057515625</v>
      </c>
      <c r="G47" s="41" t="n">
        <v>0</v>
      </c>
      <c r="H47" s="41" t="n">
        <v>0</v>
      </c>
      <c r="I47" s="41" t="n">
        <v>0</v>
      </c>
      <c r="J47" s="41" t="n">
        <v>0</v>
      </c>
      <c r="K47" s="104" t="n">
        <v>0</v>
      </c>
      <c r="L47" s="104" t="n">
        <v>0</v>
      </c>
      <c r="M47" s="104" t="n">
        <v>0</v>
      </c>
      <c r="N47" s="104" t="n">
        <v>0</v>
      </c>
      <c r="O47" s="104" t="n">
        <v>0</v>
      </c>
      <c r="P47" s="104" t="n">
        <v>0</v>
      </c>
      <c r="Q47" s="104" t="n">
        <v>0</v>
      </c>
      <c r="R47" s="104" t="n">
        <v>0</v>
      </c>
      <c r="S47" s="104" t="n">
        <v>0</v>
      </c>
      <c r="T47" s="104" t="n">
        <v>0</v>
      </c>
      <c r="U47" s="104" t="n">
        <v>0</v>
      </c>
      <c r="V47" s="104" t="n">
        <v>0</v>
      </c>
      <c r="W47" s="104" t="n">
        <v>0</v>
      </c>
      <c r="X47" s="104" t="n">
        <v>0</v>
      </c>
      <c r="Y47" s="104" t="n">
        <v>0</v>
      </c>
      <c r="Z47" s="104" t="n">
        <v>0</v>
      </c>
      <c r="AA47" s="104" t="n">
        <v>0</v>
      </c>
      <c r="AB47" s="104" t="n">
        <v>0</v>
      </c>
      <c r="AC47" s="104" t="n">
        <v>0</v>
      </c>
      <c r="AD47" s="104" t="n">
        <v>0</v>
      </c>
      <c r="AE47" s="104" t="n">
        <v>0</v>
      </c>
      <c r="AF47" s="104" t="n">
        <v>0</v>
      </c>
      <c r="AG47" s="104" t="n">
        <v>0</v>
      </c>
      <c r="AH47" s="104" t="n">
        <v>0</v>
      </c>
      <c r="AI47" s="104" t="e">
        <v>#N/A</v>
      </c>
      <c r="AJ47" s="104" t="e">
        <v>#N/A</v>
      </c>
      <c r="AK47" s="104" t="e">
        <v>#N/A</v>
      </c>
      <c r="AL47" s="104" t="e">
        <v>#N/A</v>
      </c>
      <c r="AM47" s="104" t="e">
        <v>#N/A</v>
      </c>
      <c r="AN47" s="104" t="e">
        <v>#N/A</v>
      </c>
      <c r="AO47" s="104" t="e">
        <v>#N/A</v>
      </c>
      <c r="AP47" s="104" t="e">
        <v>#N/A</v>
      </c>
      <c r="AQ47" s="104" t="e">
        <v>#N/A</v>
      </c>
      <c r="AR47" s="104" t="e">
        <v>#N/A</v>
      </c>
      <c r="AS47" s="104" t="e">
        <v>#N/A</v>
      </c>
      <c r="AT47" s="104" t="e">
        <v>#N/A</v>
      </c>
      <c r="AU47" s="104" t="e">
        <v>#N/A</v>
      </c>
      <c r="AV47" s="104" t="e">
        <v>#N/A</v>
      </c>
      <c r="AW47" s="104" t="e">
        <v>#N/A</v>
      </c>
      <c r="AX47" s="104" t="e">
        <v>#N/A</v>
      </c>
      <c r="AY47" s="104" t="e">
        <v>#N/A</v>
      </c>
      <c r="AZ47" s="104" t="e">
        <v>#N/A</v>
      </c>
      <c r="BA47" s="104" t="e">
        <v>#N/A</v>
      </c>
      <c r="BB47" s="104" t="e">
        <v>#N/A</v>
      </c>
      <c r="BC47" s="104" t="e">
        <v>#N/A</v>
      </c>
      <c r="BD47" s="104" t="e">
        <v>#N/A</v>
      </c>
      <c r="BE47" s="104" t="e">
        <v>#N/A</v>
      </c>
      <c r="BF47" s="104" t="e">
        <v>#N/A</v>
      </c>
      <c r="BG47" s="104" t="e">
        <v>#N/A</v>
      </c>
      <c r="BH47" s="104" t="e">
        <v>#N/A</v>
      </c>
      <c r="BI47" s="41" t="e">
        <v>#N/A</v>
      </c>
    </row>
    <row r="48">
      <c r="A48" s="36" t="inlineStr">
        <is>
          <t>S14</t>
        </is>
      </c>
      <c r="B48" s="42" t="n">
        <v>0</v>
      </c>
      <c r="C48" s="65" t="n">
        <v>0</v>
      </c>
      <c r="D48" s="43" t="n">
        <v>471.246636</v>
      </c>
      <c r="E48" s="43" t="n">
        <v>5.522421515625</v>
      </c>
      <c r="F48" s="43" t="n">
        <v>476.769057515625</v>
      </c>
      <c r="G48" s="43" t="n">
        <v>0</v>
      </c>
      <c r="H48" s="43" t="n">
        <v>0</v>
      </c>
      <c r="I48" s="43" t="n">
        <v>0</v>
      </c>
      <c r="J48" s="43" t="n">
        <v>0</v>
      </c>
      <c r="K48" s="47" t="n">
        <v>0</v>
      </c>
      <c r="L48" s="47" t="n">
        <v>0</v>
      </c>
      <c r="M48" s="47" t="n">
        <v>0</v>
      </c>
      <c r="N48" s="47" t="n">
        <v>0</v>
      </c>
      <c r="O48" s="47" t="n">
        <v>0</v>
      </c>
      <c r="P48" s="47" t="n">
        <v>0</v>
      </c>
      <c r="Q48" s="47" t="n">
        <v>0</v>
      </c>
      <c r="R48" s="47" t="n">
        <v>0</v>
      </c>
      <c r="S48" s="47" t="n">
        <v>0</v>
      </c>
      <c r="T48" s="47" t="n">
        <v>0</v>
      </c>
      <c r="U48" s="47" t="n">
        <v>0</v>
      </c>
      <c r="V48" s="47" t="n">
        <v>0</v>
      </c>
      <c r="W48" s="47" t="n">
        <v>0</v>
      </c>
      <c r="X48" s="47" t="n">
        <v>0</v>
      </c>
      <c r="Y48" s="47" t="n">
        <v>0</v>
      </c>
      <c r="Z48" s="47" t="n">
        <v>0</v>
      </c>
      <c r="AA48" s="47" t="n">
        <v>0</v>
      </c>
      <c r="AB48" s="47" t="n">
        <v>0</v>
      </c>
      <c r="AC48" s="47" t="n">
        <v>0</v>
      </c>
      <c r="AD48" s="47" t="n">
        <v>0</v>
      </c>
      <c r="AE48" s="47" t="n">
        <v>0</v>
      </c>
      <c r="AF48" s="47" t="n">
        <v>0</v>
      </c>
      <c r="AG48" s="47" t="n">
        <v>0</v>
      </c>
      <c r="AH48" s="47" t="n">
        <v>0</v>
      </c>
      <c r="AI48" s="47" t="e">
        <v>#N/A</v>
      </c>
      <c r="AJ48" s="47" t="e">
        <v>#N/A</v>
      </c>
      <c r="AK48" s="47" t="e">
        <v>#N/A</v>
      </c>
      <c r="AL48" s="47" t="e">
        <v>#N/A</v>
      </c>
      <c r="AM48" s="47" t="e">
        <v>#N/A</v>
      </c>
      <c r="AN48" s="47" t="e">
        <v>#N/A</v>
      </c>
      <c r="AO48" s="47" t="e">
        <v>#N/A</v>
      </c>
      <c r="AP48" s="47" t="e">
        <v>#N/A</v>
      </c>
      <c r="AQ48" s="47" t="e">
        <v>#N/A</v>
      </c>
      <c r="AR48" s="47" t="e">
        <v>#N/A</v>
      </c>
      <c r="AS48" s="47" t="e">
        <v>#N/A</v>
      </c>
      <c r="AT48" s="47" t="e">
        <v>#N/A</v>
      </c>
      <c r="AU48" s="47" t="e">
        <v>#N/A</v>
      </c>
      <c r="AV48" s="47" t="e">
        <v>#N/A</v>
      </c>
      <c r="AW48" s="47" t="e">
        <v>#N/A</v>
      </c>
      <c r="AX48" s="47" t="e">
        <v>#N/A</v>
      </c>
      <c r="AY48" s="47" t="e">
        <v>#N/A</v>
      </c>
      <c r="AZ48" s="47" t="e">
        <v>#N/A</v>
      </c>
      <c r="BA48" s="47" t="e">
        <v>#N/A</v>
      </c>
      <c r="BB48" s="47" t="e">
        <v>#N/A</v>
      </c>
      <c r="BC48" s="47" t="e">
        <v>#N/A</v>
      </c>
      <c r="BD48" s="47" t="e">
        <v>#N/A</v>
      </c>
      <c r="BE48" s="47" t="e">
        <v>#N/A</v>
      </c>
      <c r="BF48" s="47" t="e">
        <v>#N/A</v>
      </c>
      <c r="BG48" s="47" t="e">
        <v>#N/A</v>
      </c>
      <c r="BH48" s="47" t="e">
        <v>#N/A</v>
      </c>
      <c r="BI48" s="43" t="e">
        <v>#N/A</v>
      </c>
    </row>
    <row r="49">
      <c r="A49" s="37" t="inlineStr">
        <is>
          <t>S15</t>
        </is>
      </c>
      <c r="B49" s="40" t="n">
        <v>0</v>
      </c>
      <c r="C49" s="64" t="n">
        <v>0</v>
      </c>
      <c r="D49" s="41" t="n">
        <v>471.246636</v>
      </c>
      <c r="E49" s="41" t="n">
        <v>5.522421515625</v>
      </c>
      <c r="F49" s="41" t="n">
        <v>476.769057515625</v>
      </c>
      <c r="G49" s="41" t="n">
        <v>0</v>
      </c>
      <c r="H49" s="41" t="n">
        <v>0</v>
      </c>
      <c r="I49" s="41" t="n">
        <v>0</v>
      </c>
      <c r="J49" s="41" t="n">
        <v>0</v>
      </c>
      <c r="K49" s="104" t="n">
        <v>0</v>
      </c>
      <c r="L49" s="104" t="n">
        <v>0</v>
      </c>
      <c r="M49" s="104" t="n">
        <v>0</v>
      </c>
      <c r="N49" s="104" t="n">
        <v>0</v>
      </c>
      <c r="O49" s="104" t="n">
        <v>0</v>
      </c>
      <c r="P49" s="104" t="n">
        <v>0</v>
      </c>
      <c r="Q49" s="104" t="n">
        <v>0</v>
      </c>
      <c r="R49" s="104" t="n">
        <v>0</v>
      </c>
      <c r="S49" s="104" t="n">
        <v>0</v>
      </c>
      <c r="T49" s="104" t="n">
        <v>0</v>
      </c>
      <c r="U49" s="104" t="n">
        <v>0</v>
      </c>
      <c r="V49" s="104" t="n">
        <v>0</v>
      </c>
      <c r="W49" s="104" t="n">
        <v>0</v>
      </c>
      <c r="X49" s="104" t="n">
        <v>0</v>
      </c>
      <c r="Y49" s="104" t="n">
        <v>0</v>
      </c>
      <c r="Z49" s="104" t="n">
        <v>0</v>
      </c>
      <c r="AA49" s="104" t="n">
        <v>0</v>
      </c>
      <c r="AB49" s="104" t="n">
        <v>0</v>
      </c>
      <c r="AC49" s="104" t="n">
        <v>0</v>
      </c>
      <c r="AD49" s="104" t="n">
        <v>0</v>
      </c>
      <c r="AE49" s="104" t="n">
        <v>0</v>
      </c>
      <c r="AF49" s="104" t="n">
        <v>0</v>
      </c>
      <c r="AG49" s="104" t="n">
        <v>0</v>
      </c>
      <c r="AH49" s="104" t="n">
        <v>0</v>
      </c>
      <c r="AI49" s="104" t="e">
        <v>#N/A</v>
      </c>
      <c r="AJ49" s="104" t="e">
        <v>#N/A</v>
      </c>
      <c r="AK49" s="104" t="e">
        <v>#N/A</v>
      </c>
      <c r="AL49" s="104" t="e">
        <v>#N/A</v>
      </c>
      <c r="AM49" s="104" t="e">
        <v>#N/A</v>
      </c>
      <c r="AN49" s="104" t="e">
        <v>#N/A</v>
      </c>
      <c r="AO49" s="104" t="e">
        <v>#N/A</v>
      </c>
      <c r="AP49" s="104" t="e">
        <v>#N/A</v>
      </c>
      <c r="AQ49" s="104" t="e">
        <v>#N/A</v>
      </c>
      <c r="AR49" s="104" t="e">
        <v>#N/A</v>
      </c>
      <c r="AS49" s="104" t="e">
        <v>#N/A</v>
      </c>
      <c r="AT49" s="104" t="e">
        <v>#N/A</v>
      </c>
      <c r="AU49" s="104" t="e">
        <v>#N/A</v>
      </c>
      <c r="AV49" s="104" t="e">
        <v>#N/A</v>
      </c>
      <c r="AW49" s="104" t="e">
        <v>#N/A</v>
      </c>
      <c r="AX49" s="104" t="e">
        <v>#N/A</v>
      </c>
      <c r="AY49" s="104" t="e">
        <v>#N/A</v>
      </c>
      <c r="AZ49" s="104" t="e">
        <v>#N/A</v>
      </c>
      <c r="BA49" s="104" t="e">
        <v>#N/A</v>
      </c>
      <c r="BB49" s="104" t="e">
        <v>#N/A</v>
      </c>
      <c r="BC49" s="104" t="e">
        <v>#N/A</v>
      </c>
      <c r="BD49" s="104" t="e">
        <v>#N/A</v>
      </c>
      <c r="BE49" s="104" t="e">
        <v>#N/A</v>
      </c>
      <c r="BF49" s="104" t="e">
        <v>#N/A</v>
      </c>
      <c r="BG49" s="104" t="e">
        <v>#N/A</v>
      </c>
      <c r="BH49" s="104" t="e">
        <v>#N/A</v>
      </c>
      <c r="BI49" s="41" t="e">
        <v>#N/A</v>
      </c>
    </row>
    <row r="50">
      <c r="A50" s="36" t="inlineStr">
        <is>
          <t>S16</t>
        </is>
      </c>
      <c r="B50" s="42" t="n">
        <v>0</v>
      </c>
      <c r="C50" s="65" t="n">
        <v>0</v>
      </c>
      <c r="D50" s="43" t="n">
        <v>353.434977</v>
      </c>
      <c r="E50" s="43" t="n">
        <v>5.522421515625</v>
      </c>
      <c r="F50" s="43" t="n">
        <v>358.957398515625</v>
      </c>
      <c r="G50" s="43" t="n">
        <v>0</v>
      </c>
      <c r="H50" s="43" t="n">
        <v>0</v>
      </c>
      <c r="I50" s="43" t="n">
        <v>0</v>
      </c>
      <c r="J50" s="43" t="n">
        <v>0</v>
      </c>
      <c r="K50" s="47" t="n">
        <v>0</v>
      </c>
      <c r="L50" s="47" t="n">
        <v>0</v>
      </c>
      <c r="M50" s="47" t="n">
        <v>0</v>
      </c>
      <c r="N50" s="47" t="n">
        <v>0</v>
      </c>
      <c r="O50" s="47" t="n">
        <v>0</v>
      </c>
      <c r="P50" s="47" t="n">
        <v>0</v>
      </c>
      <c r="Q50" s="47" t="n">
        <v>0</v>
      </c>
      <c r="R50" s="47" t="n">
        <v>0</v>
      </c>
      <c r="S50" s="47" t="n">
        <v>0</v>
      </c>
      <c r="T50" s="47" t="n">
        <v>0</v>
      </c>
      <c r="U50" s="47" t="n">
        <v>0</v>
      </c>
      <c r="V50" s="47" t="n">
        <v>0</v>
      </c>
      <c r="W50" s="47" t="n">
        <v>0</v>
      </c>
      <c r="X50" s="47" t="n">
        <v>0</v>
      </c>
      <c r="Y50" s="47" t="n">
        <v>0</v>
      </c>
      <c r="Z50" s="47" t="n">
        <v>0</v>
      </c>
      <c r="AA50" s="47" t="n">
        <v>0</v>
      </c>
      <c r="AB50" s="47" t="n">
        <v>0</v>
      </c>
      <c r="AC50" s="47" t="n">
        <v>0</v>
      </c>
      <c r="AD50" s="47" t="n">
        <v>0</v>
      </c>
      <c r="AE50" s="47" t="n">
        <v>0</v>
      </c>
      <c r="AF50" s="47" t="n">
        <v>0</v>
      </c>
      <c r="AG50" s="47" t="n">
        <v>0</v>
      </c>
      <c r="AH50" s="47" t="n">
        <v>0</v>
      </c>
      <c r="AI50" s="47" t="e">
        <v>#N/A</v>
      </c>
      <c r="AJ50" s="47" t="e">
        <v>#N/A</v>
      </c>
      <c r="AK50" s="47" t="e">
        <v>#N/A</v>
      </c>
      <c r="AL50" s="47" t="e">
        <v>#N/A</v>
      </c>
      <c r="AM50" s="47" t="e">
        <v>#N/A</v>
      </c>
      <c r="AN50" s="47" t="e">
        <v>#N/A</v>
      </c>
      <c r="AO50" s="47" t="e">
        <v>#N/A</v>
      </c>
      <c r="AP50" s="47" t="e">
        <v>#N/A</v>
      </c>
      <c r="AQ50" s="47" t="e">
        <v>#N/A</v>
      </c>
      <c r="AR50" s="47" t="e">
        <v>#N/A</v>
      </c>
      <c r="AS50" s="47" t="e">
        <v>#N/A</v>
      </c>
      <c r="AT50" s="47" t="e">
        <v>#N/A</v>
      </c>
      <c r="AU50" s="47" t="e">
        <v>#N/A</v>
      </c>
      <c r="AV50" s="47" t="e">
        <v>#N/A</v>
      </c>
      <c r="AW50" s="47" t="e">
        <v>#N/A</v>
      </c>
      <c r="AX50" s="47" t="e">
        <v>#N/A</v>
      </c>
      <c r="AY50" s="47" t="e">
        <v>#N/A</v>
      </c>
      <c r="AZ50" s="47" t="e">
        <v>#N/A</v>
      </c>
      <c r="BA50" s="47" t="e">
        <v>#N/A</v>
      </c>
      <c r="BB50" s="47" t="e">
        <v>#N/A</v>
      </c>
      <c r="BC50" s="47" t="e">
        <v>#N/A</v>
      </c>
      <c r="BD50" s="47" t="e">
        <v>#N/A</v>
      </c>
      <c r="BE50" s="47" t="e">
        <v>#N/A</v>
      </c>
      <c r="BF50" s="47" t="e">
        <v>#N/A</v>
      </c>
      <c r="BG50" s="47" t="e">
        <v>#N/A</v>
      </c>
      <c r="BH50" s="47" t="e">
        <v>#N/A</v>
      </c>
      <c r="BI50" s="43" t="e">
        <v>#N/A</v>
      </c>
    </row>
    <row r="51">
      <c r="A51" s="37" t="inlineStr">
        <is>
          <t>T1</t>
        </is>
      </c>
      <c r="B51" s="40" t="n">
        <v>0</v>
      </c>
      <c r="C51" s="64" t="n">
        <v>0</v>
      </c>
      <c r="D51" s="41" t="n">
        <v>353.434977</v>
      </c>
      <c r="E51" s="41" t="n">
        <v>5.522421515625</v>
      </c>
      <c r="F51" s="41" t="n">
        <v>358.957398515625</v>
      </c>
      <c r="G51" s="41" t="n">
        <v>0</v>
      </c>
      <c r="H51" s="41" t="n">
        <v>0</v>
      </c>
      <c r="I51" s="41" t="n">
        <v>0</v>
      </c>
      <c r="J51" s="41" t="n">
        <v>0</v>
      </c>
      <c r="K51" s="104" t="n">
        <v>0</v>
      </c>
      <c r="L51" s="104" t="n">
        <v>0</v>
      </c>
      <c r="M51" s="104" t="n">
        <v>0</v>
      </c>
      <c r="N51" s="104" t="n">
        <v>0</v>
      </c>
      <c r="O51" s="104" t="n">
        <v>0</v>
      </c>
      <c r="P51" s="104" t="n">
        <v>0</v>
      </c>
      <c r="Q51" s="104" t="n">
        <v>0</v>
      </c>
      <c r="R51" s="104" t="n">
        <v>0</v>
      </c>
      <c r="S51" s="104" t="n">
        <v>0</v>
      </c>
      <c r="T51" s="104" t="n">
        <v>0</v>
      </c>
      <c r="U51" s="104" t="n">
        <v>0</v>
      </c>
      <c r="V51" s="104" t="n">
        <v>0</v>
      </c>
      <c r="W51" s="104" t="n">
        <v>0</v>
      </c>
      <c r="X51" s="104" t="n">
        <v>0</v>
      </c>
      <c r="Y51" s="104" t="n">
        <v>0</v>
      </c>
      <c r="Z51" s="104" t="n">
        <v>0</v>
      </c>
      <c r="AA51" s="104" t="n">
        <v>0</v>
      </c>
      <c r="AB51" s="104" t="n">
        <v>0</v>
      </c>
      <c r="AC51" s="104" t="n">
        <v>0</v>
      </c>
      <c r="AD51" s="104" t="n">
        <v>0</v>
      </c>
      <c r="AE51" s="104" t="n">
        <v>0</v>
      </c>
      <c r="AF51" s="104" t="n">
        <v>0</v>
      </c>
      <c r="AG51" s="104" t="n">
        <v>0</v>
      </c>
      <c r="AH51" s="104" t="n">
        <v>0</v>
      </c>
      <c r="AI51" s="104" t="e">
        <v>#N/A</v>
      </c>
      <c r="AJ51" s="104" t="e">
        <v>#N/A</v>
      </c>
      <c r="AK51" s="104" t="e">
        <v>#N/A</v>
      </c>
      <c r="AL51" s="104" t="e">
        <v>#N/A</v>
      </c>
      <c r="AM51" s="104" t="e">
        <v>#N/A</v>
      </c>
      <c r="AN51" s="104" t="e">
        <v>#N/A</v>
      </c>
      <c r="AO51" s="104" t="e">
        <v>#N/A</v>
      </c>
      <c r="AP51" s="104" t="e">
        <v>#N/A</v>
      </c>
      <c r="AQ51" s="104" t="e">
        <v>#N/A</v>
      </c>
      <c r="AR51" s="104" t="e">
        <v>#N/A</v>
      </c>
      <c r="AS51" s="104" t="e">
        <v>#N/A</v>
      </c>
      <c r="AT51" s="104" t="e">
        <v>#N/A</v>
      </c>
      <c r="AU51" s="104" t="e">
        <v>#N/A</v>
      </c>
      <c r="AV51" s="104" t="e">
        <v>#N/A</v>
      </c>
      <c r="AW51" s="104" t="e">
        <v>#N/A</v>
      </c>
      <c r="AX51" s="104" t="e">
        <v>#N/A</v>
      </c>
      <c r="AY51" s="104" t="e">
        <v>#N/A</v>
      </c>
      <c r="AZ51" s="104" t="e">
        <v>#N/A</v>
      </c>
      <c r="BA51" s="104" t="e">
        <v>#N/A</v>
      </c>
      <c r="BB51" s="104" t="e">
        <v>#N/A</v>
      </c>
      <c r="BC51" s="104" t="e">
        <v>#N/A</v>
      </c>
      <c r="BD51" s="104" t="e">
        <v>#N/A</v>
      </c>
      <c r="BE51" s="104" t="e">
        <v>#N/A</v>
      </c>
      <c r="BF51" s="104" t="e">
        <v>#N/A</v>
      </c>
      <c r="BG51" s="104" t="e">
        <v>#N/A</v>
      </c>
      <c r="BH51" s="104" t="e">
        <v>#N/A</v>
      </c>
      <c r="BI51" s="41" t="e">
        <v>#N/A</v>
      </c>
    </row>
    <row r="52">
      <c r="A52" s="36" t="inlineStr">
        <is>
          <t>T2</t>
        </is>
      </c>
      <c r="B52" s="42" t="n">
        <v>0</v>
      </c>
      <c r="C52" s="65" t="n">
        <v>0</v>
      </c>
      <c r="D52" s="43" t="n">
        <v>471.246636</v>
      </c>
      <c r="E52" s="43" t="n">
        <v>5.522421515625</v>
      </c>
      <c r="F52" s="43" t="n">
        <v>476.769057515625</v>
      </c>
      <c r="G52" s="43" t="n">
        <v>0</v>
      </c>
      <c r="H52" s="43" t="n">
        <v>0</v>
      </c>
      <c r="I52" s="43" t="n">
        <v>0</v>
      </c>
      <c r="J52" s="43" t="n">
        <v>0</v>
      </c>
      <c r="K52" s="47" t="n">
        <v>0</v>
      </c>
      <c r="L52" s="47" t="n">
        <v>0</v>
      </c>
      <c r="M52" s="47" t="n">
        <v>0</v>
      </c>
      <c r="N52" s="47" t="n">
        <v>0</v>
      </c>
      <c r="O52" s="47" t="n">
        <v>0</v>
      </c>
      <c r="P52" s="47" t="n">
        <v>0</v>
      </c>
      <c r="Q52" s="47" t="n">
        <v>0</v>
      </c>
      <c r="R52" s="47" t="n">
        <v>0</v>
      </c>
      <c r="S52" s="47" t="n">
        <v>0</v>
      </c>
      <c r="T52" s="47" t="n">
        <v>0</v>
      </c>
      <c r="U52" s="47" t="n">
        <v>0</v>
      </c>
      <c r="V52" s="47" t="n">
        <v>0</v>
      </c>
      <c r="W52" s="47" t="n">
        <v>0</v>
      </c>
      <c r="X52" s="47" t="n">
        <v>0</v>
      </c>
      <c r="Y52" s="47" t="n">
        <v>0</v>
      </c>
      <c r="Z52" s="47" t="n">
        <v>0</v>
      </c>
      <c r="AA52" s="47" t="n">
        <v>0</v>
      </c>
      <c r="AB52" s="47" t="n">
        <v>0</v>
      </c>
      <c r="AC52" s="47" t="n">
        <v>0</v>
      </c>
      <c r="AD52" s="47" t="n">
        <v>0</v>
      </c>
      <c r="AE52" s="47" t="n">
        <v>0</v>
      </c>
      <c r="AF52" s="47" t="n">
        <v>0</v>
      </c>
      <c r="AG52" s="47" t="n">
        <v>0</v>
      </c>
      <c r="AH52" s="47" t="n">
        <v>0</v>
      </c>
      <c r="AI52" s="47" t="e">
        <v>#N/A</v>
      </c>
      <c r="AJ52" s="47" t="e">
        <v>#N/A</v>
      </c>
      <c r="AK52" s="47" t="e">
        <v>#N/A</v>
      </c>
      <c r="AL52" s="47" t="e">
        <v>#N/A</v>
      </c>
      <c r="AM52" s="47" t="e">
        <v>#N/A</v>
      </c>
      <c r="AN52" s="47" t="e">
        <v>#N/A</v>
      </c>
      <c r="AO52" s="47" t="e">
        <v>#N/A</v>
      </c>
      <c r="AP52" s="47" t="e">
        <v>#N/A</v>
      </c>
      <c r="AQ52" s="47" t="e">
        <v>#N/A</v>
      </c>
      <c r="AR52" s="47" t="e">
        <v>#N/A</v>
      </c>
      <c r="AS52" s="47" t="e">
        <v>#N/A</v>
      </c>
      <c r="AT52" s="47" t="e">
        <v>#N/A</v>
      </c>
      <c r="AU52" s="47" t="e">
        <v>#N/A</v>
      </c>
      <c r="AV52" s="47" t="e">
        <v>#N/A</v>
      </c>
      <c r="AW52" s="47" t="e">
        <v>#N/A</v>
      </c>
      <c r="AX52" s="47" t="e">
        <v>#N/A</v>
      </c>
      <c r="AY52" s="47" t="e">
        <v>#N/A</v>
      </c>
      <c r="AZ52" s="47" t="e">
        <v>#N/A</v>
      </c>
      <c r="BA52" s="47" t="e">
        <v>#N/A</v>
      </c>
      <c r="BB52" s="47" t="e">
        <v>#N/A</v>
      </c>
      <c r="BC52" s="47" t="e">
        <v>#N/A</v>
      </c>
      <c r="BD52" s="47" t="e">
        <v>#N/A</v>
      </c>
      <c r="BE52" s="47" t="e">
        <v>#N/A</v>
      </c>
      <c r="BF52" s="47" t="e">
        <v>#N/A</v>
      </c>
      <c r="BG52" s="47" t="e">
        <v>#N/A</v>
      </c>
      <c r="BH52" s="47" t="e">
        <v>#N/A</v>
      </c>
      <c r="BI52" s="43" t="e">
        <v>#N/A</v>
      </c>
    </row>
    <row r="53">
      <c r="A53" s="37" t="inlineStr">
        <is>
          <t>T3</t>
        </is>
      </c>
      <c r="B53" s="40" t="n">
        <v>0</v>
      </c>
      <c r="C53" s="64" t="n">
        <v>0</v>
      </c>
      <c r="D53" s="41" t="n">
        <v>471.246636</v>
      </c>
      <c r="E53" s="41" t="n">
        <v>5.522421515625</v>
      </c>
      <c r="F53" s="41" t="n">
        <v>476.769057515625</v>
      </c>
      <c r="G53" s="41" t="n">
        <v>0</v>
      </c>
      <c r="H53" s="41" t="n">
        <v>0</v>
      </c>
      <c r="I53" s="41" t="n">
        <v>0</v>
      </c>
      <c r="J53" s="41" t="n">
        <v>0</v>
      </c>
      <c r="K53" s="104" t="n">
        <v>0</v>
      </c>
      <c r="L53" s="104" t="n">
        <v>0</v>
      </c>
      <c r="M53" s="104" t="n">
        <v>0</v>
      </c>
      <c r="N53" s="104" t="n">
        <v>0</v>
      </c>
      <c r="O53" s="104" t="n">
        <v>0</v>
      </c>
      <c r="P53" s="104" t="n">
        <v>0</v>
      </c>
      <c r="Q53" s="104" t="n">
        <v>0</v>
      </c>
      <c r="R53" s="104" t="n">
        <v>0</v>
      </c>
      <c r="S53" s="104" t="n">
        <v>0</v>
      </c>
      <c r="T53" s="104" t="n">
        <v>0</v>
      </c>
      <c r="U53" s="104" t="n">
        <v>0</v>
      </c>
      <c r="V53" s="104" t="n">
        <v>0</v>
      </c>
      <c r="W53" s="104" t="n">
        <v>0</v>
      </c>
      <c r="X53" s="104" t="n">
        <v>0</v>
      </c>
      <c r="Y53" s="104" t="n">
        <v>0</v>
      </c>
      <c r="Z53" s="104" t="n">
        <v>0</v>
      </c>
      <c r="AA53" s="104" t="n">
        <v>0</v>
      </c>
      <c r="AB53" s="104" t="n">
        <v>0</v>
      </c>
      <c r="AC53" s="104" t="n">
        <v>0</v>
      </c>
      <c r="AD53" s="104" t="n">
        <v>0</v>
      </c>
      <c r="AE53" s="104" t="n">
        <v>0</v>
      </c>
      <c r="AF53" s="104" t="n">
        <v>0</v>
      </c>
      <c r="AG53" s="104" t="n">
        <v>0</v>
      </c>
      <c r="AH53" s="104" t="n">
        <v>0</v>
      </c>
      <c r="AI53" s="104" t="e">
        <v>#N/A</v>
      </c>
      <c r="AJ53" s="104" t="e">
        <v>#N/A</v>
      </c>
      <c r="AK53" s="104" t="e">
        <v>#N/A</v>
      </c>
      <c r="AL53" s="104" t="e">
        <v>#N/A</v>
      </c>
      <c r="AM53" s="104" t="e">
        <v>#N/A</v>
      </c>
      <c r="AN53" s="104" t="e">
        <v>#N/A</v>
      </c>
      <c r="AO53" s="104" t="e">
        <v>#N/A</v>
      </c>
      <c r="AP53" s="104" t="e">
        <v>#N/A</v>
      </c>
      <c r="AQ53" s="104" t="e">
        <v>#N/A</v>
      </c>
      <c r="AR53" s="104" t="e">
        <v>#N/A</v>
      </c>
      <c r="AS53" s="104" t="e">
        <v>#N/A</v>
      </c>
      <c r="AT53" s="104" t="e">
        <v>#N/A</v>
      </c>
      <c r="AU53" s="104" t="e">
        <v>#N/A</v>
      </c>
      <c r="AV53" s="104" t="e">
        <v>#N/A</v>
      </c>
      <c r="AW53" s="104" t="e">
        <v>#N/A</v>
      </c>
      <c r="AX53" s="104" t="e">
        <v>#N/A</v>
      </c>
      <c r="AY53" s="104" t="e">
        <v>#N/A</v>
      </c>
      <c r="AZ53" s="104" t="e">
        <v>#N/A</v>
      </c>
      <c r="BA53" s="104" t="e">
        <v>#N/A</v>
      </c>
      <c r="BB53" s="104" t="e">
        <v>#N/A</v>
      </c>
      <c r="BC53" s="104" t="e">
        <v>#N/A</v>
      </c>
      <c r="BD53" s="104" t="e">
        <v>#N/A</v>
      </c>
      <c r="BE53" s="104" t="e">
        <v>#N/A</v>
      </c>
      <c r="BF53" s="104" t="e">
        <v>#N/A</v>
      </c>
      <c r="BG53" s="104" t="e">
        <v>#N/A</v>
      </c>
      <c r="BH53" s="104" t="e">
        <v>#N/A</v>
      </c>
      <c r="BI53" s="41" t="e">
        <v>#N/A</v>
      </c>
    </row>
    <row r="54">
      <c r="A54" s="36" t="inlineStr">
        <is>
          <t>T4</t>
        </is>
      </c>
      <c r="B54" s="42" t="n">
        <v>0</v>
      </c>
      <c r="C54" s="65" t="n">
        <v>0</v>
      </c>
      <c r="D54" s="43" t="n">
        <v>471.246636</v>
      </c>
      <c r="E54" s="43" t="n">
        <v>5.522421515625</v>
      </c>
      <c r="F54" s="43" t="n">
        <v>476.769057515625</v>
      </c>
      <c r="G54" s="43" t="n">
        <v>0</v>
      </c>
      <c r="H54" s="43" t="n">
        <v>0</v>
      </c>
      <c r="I54" s="43" t="n">
        <v>0</v>
      </c>
      <c r="J54" s="43" t="n">
        <v>0</v>
      </c>
      <c r="K54" s="47" t="n">
        <v>0</v>
      </c>
      <c r="L54" s="47" t="n">
        <v>0</v>
      </c>
      <c r="M54" s="47" t="n">
        <v>0</v>
      </c>
      <c r="N54" s="47" t="n">
        <v>0</v>
      </c>
      <c r="O54" s="47" t="n">
        <v>0</v>
      </c>
      <c r="P54" s="47" t="n">
        <v>0</v>
      </c>
      <c r="Q54" s="47" t="n">
        <v>0</v>
      </c>
      <c r="R54" s="47" t="n">
        <v>0</v>
      </c>
      <c r="S54" s="47" t="n">
        <v>0</v>
      </c>
      <c r="T54" s="47" t="n">
        <v>0</v>
      </c>
      <c r="U54" s="47" t="n">
        <v>0</v>
      </c>
      <c r="V54" s="47" t="n">
        <v>0</v>
      </c>
      <c r="W54" s="47" t="n">
        <v>0</v>
      </c>
      <c r="X54" s="47" t="n">
        <v>0</v>
      </c>
      <c r="Y54" s="47" t="n">
        <v>0</v>
      </c>
      <c r="Z54" s="47" t="n">
        <v>0</v>
      </c>
      <c r="AA54" s="47" t="n">
        <v>0</v>
      </c>
      <c r="AB54" s="47" t="n">
        <v>0</v>
      </c>
      <c r="AC54" s="47" t="n">
        <v>0</v>
      </c>
      <c r="AD54" s="47" t="n">
        <v>0</v>
      </c>
      <c r="AE54" s="47" t="n">
        <v>0</v>
      </c>
      <c r="AF54" s="47" t="n">
        <v>0</v>
      </c>
      <c r="AG54" s="47" t="n">
        <v>0</v>
      </c>
      <c r="AH54" s="47" t="n">
        <v>0</v>
      </c>
      <c r="AI54" s="47" t="e">
        <v>#N/A</v>
      </c>
      <c r="AJ54" s="47" t="e">
        <v>#N/A</v>
      </c>
      <c r="AK54" s="47" t="e">
        <v>#N/A</v>
      </c>
      <c r="AL54" s="47" t="e">
        <v>#N/A</v>
      </c>
      <c r="AM54" s="47" t="e">
        <v>#N/A</v>
      </c>
      <c r="AN54" s="47" t="e">
        <v>#N/A</v>
      </c>
      <c r="AO54" s="47" t="e">
        <v>#N/A</v>
      </c>
      <c r="AP54" s="47" t="e">
        <v>#N/A</v>
      </c>
      <c r="AQ54" s="47" t="e">
        <v>#N/A</v>
      </c>
      <c r="AR54" s="47" t="e">
        <v>#N/A</v>
      </c>
      <c r="AS54" s="47" t="e">
        <v>#N/A</v>
      </c>
      <c r="AT54" s="47" t="e">
        <v>#N/A</v>
      </c>
      <c r="AU54" s="47" t="e">
        <v>#N/A</v>
      </c>
      <c r="AV54" s="47" t="e">
        <v>#N/A</v>
      </c>
      <c r="AW54" s="47" t="e">
        <v>#N/A</v>
      </c>
      <c r="AX54" s="47" t="e">
        <v>#N/A</v>
      </c>
      <c r="AY54" s="47" t="e">
        <v>#N/A</v>
      </c>
      <c r="AZ54" s="47" t="e">
        <v>#N/A</v>
      </c>
      <c r="BA54" s="47" t="e">
        <v>#N/A</v>
      </c>
      <c r="BB54" s="47" t="e">
        <v>#N/A</v>
      </c>
      <c r="BC54" s="47" t="e">
        <v>#N/A</v>
      </c>
      <c r="BD54" s="47" t="e">
        <v>#N/A</v>
      </c>
      <c r="BE54" s="47" t="e">
        <v>#N/A</v>
      </c>
      <c r="BF54" s="47" t="e">
        <v>#N/A</v>
      </c>
      <c r="BG54" s="47" t="e">
        <v>#N/A</v>
      </c>
      <c r="BH54" s="47" t="e">
        <v>#N/A</v>
      </c>
      <c r="BI54" s="43" t="e">
        <v>#N/A</v>
      </c>
    </row>
    <row r="55">
      <c r="A55" s="37" t="inlineStr">
        <is>
          <t>T5</t>
        </is>
      </c>
      <c r="B55" s="40" t="n">
        <v>0</v>
      </c>
      <c r="C55" s="64" t="n">
        <v>0</v>
      </c>
      <c r="D55" s="41" t="n">
        <v>353.434977</v>
      </c>
      <c r="E55" s="41" t="n">
        <v>5.522421515625</v>
      </c>
      <c r="F55" s="41" t="n">
        <v>358.957398515625</v>
      </c>
      <c r="G55" s="41" t="n">
        <v>0</v>
      </c>
      <c r="H55" s="41" t="n">
        <v>0</v>
      </c>
      <c r="I55" s="41" t="n">
        <v>0</v>
      </c>
      <c r="J55" s="41" t="n">
        <v>0</v>
      </c>
      <c r="K55" s="104" t="n">
        <v>0</v>
      </c>
      <c r="L55" s="104" t="n">
        <v>0</v>
      </c>
      <c r="M55" s="104" t="n">
        <v>0</v>
      </c>
      <c r="N55" s="104" t="n">
        <v>0</v>
      </c>
      <c r="O55" s="104" t="n">
        <v>0</v>
      </c>
      <c r="P55" s="104" t="n">
        <v>0</v>
      </c>
      <c r="Q55" s="104" t="n">
        <v>0</v>
      </c>
      <c r="R55" s="104" t="n">
        <v>0</v>
      </c>
      <c r="S55" s="104" t="n">
        <v>0</v>
      </c>
      <c r="T55" s="104" t="n">
        <v>0</v>
      </c>
      <c r="U55" s="104" t="n">
        <v>0</v>
      </c>
      <c r="V55" s="104" t="n">
        <v>0</v>
      </c>
      <c r="W55" s="104" t="n">
        <v>0</v>
      </c>
      <c r="X55" s="104" t="n">
        <v>0</v>
      </c>
      <c r="Y55" s="104" t="n">
        <v>0</v>
      </c>
      <c r="Z55" s="104" t="n">
        <v>0</v>
      </c>
      <c r="AA55" s="104" t="n">
        <v>0</v>
      </c>
      <c r="AB55" s="104" t="n">
        <v>0</v>
      </c>
      <c r="AC55" s="104" t="n">
        <v>0</v>
      </c>
      <c r="AD55" s="104" t="n">
        <v>0</v>
      </c>
      <c r="AE55" s="104" t="n">
        <v>0</v>
      </c>
      <c r="AF55" s="104" t="n">
        <v>0</v>
      </c>
      <c r="AG55" s="104" t="n">
        <v>0</v>
      </c>
      <c r="AH55" s="104" t="n">
        <v>0</v>
      </c>
      <c r="AI55" s="104" t="e">
        <v>#N/A</v>
      </c>
      <c r="AJ55" s="104" t="e">
        <v>#N/A</v>
      </c>
      <c r="AK55" s="104" t="e">
        <v>#N/A</v>
      </c>
      <c r="AL55" s="104" t="e">
        <v>#N/A</v>
      </c>
      <c r="AM55" s="104" t="e">
        <v>#N/A</v>
      </c>
      <c r="AN55" s="104" t="e">
        <v>#N/A</v>
      </c>
      <c r="AO55" s="104" t="e">
        <v>#N/A</v>
      </c>
      <c r="AP55" s="104" t="e">
        <v>#N/A</v>
      </c>
      <c r="AQ55" s="104" t="e">
        <v>#N/A</v>
      </c>
      <c r="AR55" s="104" t="e">
        <v>#N/A</v>
      </c>
      <c r="AS55" s="104" t="e">
        <v>#N/A</v>
      </c>
      <c r="AT55" s="104" t="e">
        <v>#N/A</v>
      </c>
      <c r="AU55" s="104" t="e">
        <v>#N/A</v>
      </c>
      <c r="AV55" s="104" t="e">
        <v>#N/A</v>
      </c>
      <c r="AW55" s="104" t="e">
        <v>#N/A</v>
      </c>
      <c r="AX55" s="104" t="e">
        <v>#N/A</v>
      </c>
      <c r="AY55" s="104" t="e">
        <v>#N/A</v>
      </c>
      <c r="AZ55" s="104" t="e">
        <v>#N/A</v>
      </c>
      <c r="BA55" s="104" t="e">
        <v>#N/A</v>
      </c>
      <c r="BB55" s="104" t="e">
        <v>#N/A</v>
      </c>
      <c r="BC55" s="104" t="e">
        <v>#N/A</v>
      </c>
      <c r="BD55" s="104" t="e">
        <v>#N/A</v>
      </c>
      <c r="BE55" s="104" t="e">
        <v>#N/A</v>
      </c>
      <c r="BF55" s="104" t="e">
        <v>#N/A</v>
      </c>
      <c r="BG55" s="104" t="e">
        <v>#N/A</v>
      </c>
      <c r="BH55" s="104" t="e">
        <v>#N/A</v>
      </c>
      <c r="BI55" s="41" t="e">
        <v>#N/A</v>
      </c>
    </row>
    <row r="56">
      <c r="A56" s="36" t="inlineStr">
        <is>
          <t>T6</t>
        </is>
      </c>
      <c r="B56" s="42" t="n">
        <v>0</v>
      </c>
      <c r="C56" s="65" t="n">
        <v>0</v>
      </c>
      <c r="D56" s="43" t="n">
        <v>353.434977</v>
      </c>
      <c r="E56" s="43" t="n">
        <v>5.522421515625</v>
      </c>
      <c r="F56" s="43" t="n">
        <v>358.957398515625</v>
      </c>
      <c r="G56" s="43" t="n">
        <v>0</v>
      </c>
      <c r="H56" s="43" t="n">
        <v>0</v>
      </c>
      <c r="I56" s="43" t="n">
        <v>0</v>
      </c>
      <c r="J56" s="43" t="n">
        <v>0</v>
      </c>
      <c r="K56" s="47" t="n">
        <v>0</v>
      </c>
      <c r="L56" s="47" t="n">
        <v>0</v>
      </c>
      <c r="M56" s="47" t="n">
        <v>0</v>
      </c>
      <c r="N56" s="47" t="n">
        <v>0</v>
      </c>
      <c r="O56" s="47" t="n">
        <v>0</v>
      </c>
      <c r="P56" s="47" t="n">
        <v>0</v>
      </c>
      <c r="Q56" s="47" t="n">
        <v>0</v>
      </c>
      <c r="R56" s="47" t="n">
        <v>0</v>
      </c>
      <c r="S56" s="47" t="n">
        <v>0</v>
      </c>
      <c r="T56" s="47" t="n">
        <v>0</v>
      </c>
      <c r="U56" s="47" t="n">
        <v>0</v>
      </c>
      <c r="V56" s="47" t="n">
        <v>0</v>
      </c>
      <c r="W56" s="47" t="n">
        <v>0</v>
      </c>
      <c r="X56" s="47" t="n">
        <v>0</v>
      </c>
      <c r="Y56" s="47" t="n">
        <v>0</v>
      </c>
      <c r="Z56" s="47" t="n">
        <v>0</v>
      </c>
      <c r="AA56" s="47" t="n">
        <v>0</v>
      </c>
      <c r="AB56" s="47" t="n">
        <v>0</v>
      </c>
      <c r="AC56" s="47" t="n">
        <v>0</v>
      </c>
      <c r="AD56" s="47" t="n">
        <v>0</v>
      </c>
      <c r="AE56" s="47" t="n">
        <v>0</v>
      </c>
      <c r="AF56" s="47" t="n">
        <v>0</v>
      </c>
      <c r="AG56" s="47" t="n">
        <v>0</v>
      </c>
      <c r="AH56" s="47" t="n">
        <v>0</v>
      </c>
      <c r="AI56" s="47" t="e">
        <v>#N/A</v>
      </c>
      <c r="AJ56" s="47" t="e">
        <v>#N/A</v>
      </c>
      <c r="AK56" s="47" t="e">
        <v>#N/A</v>
      </c>
      <c r="AL56" s="47" t="e">
        <v>#N/A</v>
      </c>
      <c r="AM56" s="47" t="e">
        <v>#N/A</v>
      </c>
      <c r="AN56" s="47" t="e">
        <v>#N/A</v>
      </c>
      <c r="AO56" s="47" t="e">
        <v>#N/A</v>
      </c>
      <c r="AP56" s="47" t="e">
        <v>#N/A</v>
      </c>
      <c r="AQ56" s="47" t="e">
        <v>#N/A</v>
      </c>
      <c r="AR56" s="47" t="e">
        <v>#N/A</v>
      </c>
      <c r="AS56" s="47" t="e">
        <v>#N/A</v>
      </c>
      <c r="AT56" s="47" t="e">
        <v>#N/A</v>
      </c>
      <c r="AU56" s="47" t="e">
        <v>#N/A</v>
      </c>
      <c r="AV56" s="47" t="e">
        <v>#N/A</v>
      </c>
      <c r="AW56" s="47" t="e">
        <v>#N/A</v>
      </c>
      <c r="AX56" s="47" t="e">
        <v>#N/A</v>
      </c>
      <c r="AY56" s="47" t="e">
        <v>#N/A</v>
      </c>
      <c r="AZ56" s="47" t="e">
        <v>#N/A</v>
      </c>
      <c r="BA56" s="47" t="e">
        <v>#N/A</v>
      </c>
      <c r="BB56" s="47" t="e">
        <v>#N/A</v>
      </c>
      <c r="BC56" s="47" t="e">
        <v>#N/A</v>
      </c>
      <c r="BD56" s="47" t="e">
        <v>#N/A</v>
      </c>
      <c r="BE56" s="47" t="e">
        <v>#N/A</v>
      </c>
      <c r="BF56" s="47" t="e">
        <v>#N/A</v>
      </c>
      <c r="BG56" s="47" t="e">
        <v>#N/A</v>
      </c>
      <c r="BH56" s="47" t="e">
        <v>#N/A</v>
      </c>
      <c r="BI56" s="43" t="e">
        <v>#N/A</v>
      </c>
    </row>
    <row r="57">
      <c r="A57" s="37" t="inlineStr">
        <is>
          <t>T7</t>
        </is>
      </c>
      <c r="B57" s="40" t="n">
        <v>0</v>
      </c>
      <c r="C57" s="64" t="n">
        <v>0</v>
      </c>
      <c r="D57" s="41" t="n">
        <v>353.434977</v>
      </c>
      <c r="E57" s="41" t="n">
        <v>5.522421515625</v>
      </c>
      <c r="F57" s="41" t="n">
        <v>358.957398515625</v>
      </c>
      <c r="G57" s="41" t="n">
        <v>0</v>
      </c>
      <c r="H57" s="41" t="n">
        <v>0</v>
      </c>
      <c r="I57" s="41" t="n">
        <v>0</v>
      </c>
      <c r="J57" s="41" t="n">
        <v>0</v>
      </c>
      <c r="K57" s="104" t="n">
        <v>0</v>
      </c>
      <c r="L57" s="104" t="n">
        <v>0</v>
      </c>
      <c r="M57" s="104" t="n">
        <v>0</v>
      </c>
      <c r="N57" s="104" t="n">
        <v>0</v>
      </c>
      <c r="O57" s="104" t="n">
        <v>0</v>
      </c>
      <c r="P57" s="104" t="n">
        <v>0</v>
      </c>
      <c r="Q57" s="104" t="n">
        <v>0</v>
      </c>
      <c r="R57" s="104" t="n">
        <v>0</v>
      </c>
      <c r="S57" s="104" t="n">
        <v>0</v>
      </c>
      <c r="T57" s="104" t="n">
        <v>0</v>
      </c>
      <c r="U57" s="104" t="n">
        <v>0</v>
      </c>
      <c r="V57" s="104" t="n">
        <v>0</v>
      </c>
      <c r="W57" s="104" t="n">
        <v>0</v>
      </c>
      <c r="X57" s="104" t="n">
        <v>0</v>
      </c>
      <c r="Y57" s="104" t="n">
        <v>0</v>
      </c>
      <c r="Z57" s="104" t="n">
        <v>0</v>
      </c>
      <c r="AA57" s="104" t="n">
        <v>0</v>
      </c>
      <c r="AB57" s="104" t="n">
        <v>0</v>
      </c>
      <c r="AC57" s="104" t="n">
        <v>0</v>
      </c>
      <c r="AD57" s="104" t="n">
        <v>0</v>
      </c>
      <c r="AE57" s="104" t="n">
        <v>0</v>
      </c>
      <c r="AF57" s="104" t="n">
        <v>0</v>
      </c>
      <c r="AG57" s="104" t="n">
        <v>0</v>
      </c>
      <c r="AH57" s="104" t="n">
        <v>0</v>
      </c>
      <c r="AI57" s="104" t="e">
        <v>#N/A</v>
      </c>
      <c r="AJ57" s="104" t="e">
        <v>#N/A</v>
      </c>
      <c r="AK57" s="104" t="e">
        <v>#N/A</v>
      </c>
      <c r="AL57" s="104" t="e">
        <v>#N/A</v>
      </c>
      <c r="AM57" s="104" t="e">
        <v>#N/A</v>
      </c>
      <c r="AN57" s="104" t="e">
        <v>#N/A</v>
      </c>
      <c r="AO57" s="104" t="e">
        <v>#N/A</v>
      </c>
      <c r="AP57" s="104" t="e">
        <v>#N/A</v>
      </c>
      <c r="AQ57" s="104" t="e">
        <v>#N/A</v>
      </c>
      <c r="AR57" s="104" t="e">
        <v>#N/A</v>
      </c>
      <c r="AS57" s="104" t="e">
        <v>#N/A</v>
      </c>
      <c r="AT57" s="104" t="e">
        <v>#N/A</v>
      </c>
      <c r="AU57" s="104" t="e">
        <v>#N/A</v>
      </c>
      <c r="AV57" s="104" t="e">
        <v>#N/A</v>
      </c>
      <c r="AW57" s="104" t="e">
        <v>#N/A</v>
      </c>
      <c r="AX57" s="104" t="e">
        <v>#N/A</v>
      </c>
      <c r="AY57" s="104" t="e">
        <v>#N/A</v>
      </c>
      <c r="AZ57" s="104" t="e">
        <v>#N/A</v>
      </c>
      <c r="BA57" s="104" t="e">
        <v>#N/A</v>
      </c>
      <c r="BB57" s="104" t="e">
        <v>#N/A</v>
      </c>
      <c r="BC57" s="104" t="e">
        <v>#N/A</v>
      </c>
      <c r="BD57" s="104" t="e">
        <v>#N/A</v>
      </c>
      <c r="BE57" s="104" t="e">
        <v>#N/A</v>
      </c>
      <c r="BF57" s="104" t="e">
        <v>#N/A</v>
      </c>
      <c r="BG57" s="104" t="e">
        <v>#N/A</v>
      </c>
      <c r="BH57" s="104" t="e">
        <v>#N/A</v>
      </c>
      <c r="BI57" s="41" t="e">
        <v>#N/A</v>
      </c>
    </row>
    <row r="58">
      <c r="A58" s="36" t="inlineStr">
        <is>
          <t>T8</t>
        </is>
      </c>
      <c r="B58" s="42" t="n">
        <v>0</v>
      </c>
      <c r="C58" s="65" t="n">
        <v>0</v>
      </c>
      <c r="D58" s="43" t="n">
        <v>353.434977</v>
      </c>
      <c r="E58" s="43" t="n">
        <v>5.522421515625</v>
      </c>
      <c r="F58" s="43" t="n">
        <v>358.957398515625</v>
      </c>
      <c r="G58" s="43" t="n">
        <v>0</v>
      </c>
      <c r="H58" s="43" t="n">
        <v>0</v>
      </c>
      <c r="I58" s="43" t="n">
        <v>0</v>
      </c>
      <c r="J58" s="43" t="n">
        <v>0</v>
      </c>
      <c r="K58" s="47" t="n">
        <v>0</v>
      </c>
      <c r="L58" s="47" t="n">
        <v>0</v>
      </c>
      <c r="M58" s="47" t="n">
        <v>0</v>
      </c>
      <c r="N58" s="47" t="n">
        <v>0</v>
      </c>
      <c r="O58" s="47" t="n">
        <v>0</v>
      </c>
      <c r="P58" s="47" t="n">
        <v>0</v>
      </c>
      <c r="Q58" s="47" t="n">
        <v>0</v>
      </c>
      <c r="R58" s="47" t="n">
        <v>0</v>
      </c>
      <c r="S58" s="47" t="n">
        <v>0</v>
      </c>
      <c r="T58" s="47" t="n">
        <v>0</v>
      </c>
      <c r="U58" s="47" t="n">
        <v>0</v>
      </c>
      <c r="V58" s="47" t="n">
        <v>0</v>
      </c>
      <c r="W58" s="47" t="n">
        <v>0</v>
      </c>
      <c r="X58" s="47" t="n">
        <v>0</v>
      </c>
      <c r="Y58" s="47" t="n">
        <v>0</v>
      </c>
      <c r="Z58" s="47" t="n">
        <v>0</v>
      </c>
      <c r="AA58" s="47" t="n">
        <v>0</v>
      </c>
      <c r="AB58" s="47" t="n">
        <v>0</v>
      </c>
      <c r="AC58" s="47" t="n">
        <v>0</v>
      </c>
      <c r="AD58" s="47" t="n">
        <v>0</v>
      </c>
      <c r="AE58" s="47" t="n">
        <v>0</v>
      </c>
      <c r="AF58" s="47" t="n">
        <v>0</v>
      </c>
      <c r="AG58" s="47" t="n">
        <v>0</v>
      </c>
      <c r="AH58" s="47" t="n">
        <v>0</v>
      </c>
      <c r="AI58" s="47" t="e">
        <v>#N/A</v>
      </c>
      <c r="AJ58" s="47" t="e">
        <v>#N/A</v>
      </c>
      <c r="AK58" s="47" t="e">
        <v>#N/A</v>
      </c>
      <c r="AL58" s="47" t="e">
        <v>#N/A</v>
      </c>
      <c r="AM58" s="47" t="e">
        <v>#N/A</v>
      </c>
      <c r="AN58" s="47" t="e">
        <v>#N/A</v>
      </c>
      <c r="AO58" s="47" t="e">
        <v>#N/A</v>
      </c>
      <c r="AP58" s="47" t="e">
        <v>#N/A</v>
      </c>
      <c r="AQ58" s="47" t="e">
        <v>#N/A</v>
      </c>
      <c r="AR58" s="47" t="e">
        <v>#N/A</v>
      </c>
      <c r="AS58" s="47" t="e">
        <v>#N/A</v>
      </c>
      <c r="AT58" s="47" t="e">
        <v>#N/A</v>
      </c>
      <c r="AU58" s="47" t="e">
        <v>#N/A</v>
      </c>
      <c r="AV58" s="47" t="e">
        <v>#N/A</v>
      </c>
      <c r="AW58" s="47" t="e">
        <v>#N/A</v>
      </c>
      <c r="AX58" s="47" t="e">
        <v>#N/A</v>
      </c>
      <c r="AY58" s="47" t="e">
        <v>#N/A</v>
      </c>
      <c r="AZ58" s="47" t="e">
        <v>#N/A</v>
      </c>
      <c r="BA58" s="47" t="e">
        <v>#N/A</v>
      </c>
      <c r="BB58" s="47" t="e">
        <v>#N/A</v>
      </c>
      <c r="BC58" s="47" t="e">
        <v>#N/A</v>
      </c>
      <c r="BD58" s="47" t="e">
        <v>#N/A</v>
      </c>
      <c r="BE58" s="47" t="e">
        <v>#N/A</v>
      </c>
      <c r="BF58" s="47" t="e">
        <v>#N/A</v>
      </c>
      <c r="BG58" s="47" t="e">
        <v>#N/A</v>
      </c>
      <c r="BH58" s="47" t="e">
        <v>#N/A</v>
      </c>
      <c r="BI58" s="43" t="e">
        <v>#N/A</v>
      </c>
    </row>
    <row r="59">
      <c r="A59" s="37" t="inlineStr">
        <is>
          <t>T9</t>
        </is>
      </c>
      <c r="B59" s="40" t="n">
        <v>0</v>
      </c>
      <c r="C59" s="64" t="n">
        <v>0</v>
      </c>
      <c r="D59" s="41" t="n">
        <v>471.246636</v>
      </c>
      <c r="E59" s="41" t="n">
        <v>5.522421515625</v>
      </c>
      <c r="F59" s="41" t="n">
        <v>476.769057515625</v>
      </c>
      <c r="G59" s="41" t="n">
        <v>0</v>
      </c>
      <c r="H59" s="41" t="n">
        <v>0</v>
      </c>
      <c r="I59" s="41" t="n">
        <v>0</v>
      </c>
      <c r="J59" s="41" t="n">
        <v>0</v>
      </c>
      <c r="K59" s="104" t="n">
        <v>0</v>
      </c>
      <c r="L59" s="104" t="n">
        <v>0</v>
      </c>
      <c r="M59" s="104" t="n">
        <v>0</v>
      </c>
      <c r="N59" s="104" t="n">
        <v>0</v>
      </c>
      <c r="O59" s="104" t="n">
        <v>0</v>
      </c>
      <c r="P59" s="104" t="n">
        <v>0</v>
      </c>
      <c r="Q59" s="104" t="n">
        <v>0</v>
      </c>
      <c r="R59" s="104" t="n">
        <v>0</v>
      </c>
      <c r="S59" s="104" t="n">
        <v>0</v>
      </c>
      <c r="T59" s="104" t="n">
        <v>0</v>
      </c>
      <c r="U59" s="104" t="n">
        <v>0</v>
      </c>
      <c r="V59" s="104" t="n">
        <v>0</v>
      </c>
      <c r="W59" s="104" t="n">
        <v>0</v>
      </c>
      <c r="X59" s="104" t="n">
        <v>0</v>
      </c>
      <c r="Y59" s="104" t="n">
        <v>0</v>
      </c>
      <c r="Z59" s="104" t="n">
        <v>0</v>
      </c>
      <c r="AA59" s="104" t="n">
        <v>0</v>
      </c>
      <c r="AB59" s="104" t="n">
        <v>0</v>
      </c>
      <c r="AC59" s="104" t="n">
        <v>0</v>
      </c>
      <c r="AD59" s="104" t="n">
        <v>0</v>
      </c>
      <c r="AE59" s="104" t="n">
        <v>0</v>
      </c>
      <c r="AF59" s="104" t="n">
        <v>0</v>
      </c>
      <c r="AG59" s="104" t="n">
        <v>0</v>
      </c>
      <c r="AH59" s="104" t="n">
        <v>0</v>
      </c>
      <c r="AI59" s="104" t="e">
        <v>#N/A</v>
      </c>
      <c r="AJ59" s="104" t="e">
        <v>#N/A</v>
      </c>
      <c r="AK59" s="104" t="e">
        <v>#N/A</v>
      </c>
      <c r="AL59" s="104" t="e">
        <v>#N/A</v>
      </c>
      <c r="AM59" s="104" t="e">
        <v>#N/A</v>
      </c>
      <c r="AN59" s="104" t="e">
        <v>#N/A</v>
      </c>
      <c r="AO59" s="104" t="e">
        <v>#N/A</v>
      </c>
      <c r="AP59" s="104" t="e">
        <v>#N/A</v>
      </c>
      <c r="AQ59" s="104" t="e">
        <v>#N/A</v>
      </c>
      <c r="AR59" s="104" t="e">
        <v>#N/A</v>
      </c>
      <c r="AS59" s="104" t="e">
        <v>#N/A</v>
      </c>
      <c r="AT59" s="104" t="e">
        <v>#N/A</v>
      </c>
      <c r="AU59" s="104" t="e">
        <v>#N/A</v>
      </c>
      <c r="AV59" s="104" t="e">
        <v>#N/A</v>
      </c>
      <c r="AW59" s="104" t="e">
        <v>#N/A</v>
      </c>
      <c r="AX59" s="104" t="e">
        <v>#N/A</v>
      </c>
      <c r="AY59" s="104" t="e">
        <v>#N/A</v>
      </c>
      <c r="AZ59" s="104" t="e">
        <v>#N/A</v>
      </c>
      <c r="BA59" s="104" t="e">
        <v>#N/A</v>
      </c>
      <c r="BB59" s="104" t="e">
        <v>#N/A</v>
      </c>
      <c r="BC59" s="104" t="e">
        <v>#N/A</v>
      </c>
      <c r="BD59" s="104" t="e">
        <v>#N/A</v>
      </c>
      <c r="BE59" s="104" t="e">
        <v>#N/A</v>
      </c>
      <c r="BF59" s="104" t="e">
        <v>#N/A</v>
      </c>
      <c r="BG59" s="104" t="e">
        <v>#N/A</v>
      </c>
      <c r="BH59" s="104" t="e">
        <v>#N/A</v>
      </c>
      <c r="BI59" s="41" t="e">
        <v>#N/A</v>
      </c>
    </row>
    <row r="60">
      <c r="A60" s="36" t="inlineStr">
        <is>
          <t>T10</t>
        </is>
      </c>
      <c r="B60" s="42" t="n">
        <v>0</v>
      </c>
      <c r="C60" s="65" t="n">
        <v>0</v>
      </c>
      <c r="D60" s="43" t="n">
        <v>353.434977</v>
      </c>
      <c r="E60" s="43" t="n">
        <v>5.522421515625</v>
      </c>
      <c r="F60" s="43" t="n">
        <v>358.957398515625</v>
      </c>
      <c r="G60" s="43" t="n">
        <v>0</v>
      </c>
      <c r="H60" s="43" t="n">
        <v>0</v>
      </c>
      <c r="I60" s="43" t="n">
        <v>0</v>
      </c>
      <c r="J60" s="43" t="n">
        <v>0</v>
      </c>
      <c r="K60" s="47" t="n">
        <v>0</v>
      </c>
      <c r="L60" s="47" t="n">
        <v>0</v>
      </c>
      <c r="M60" s="47" t="n">
        <v>0</v>
      </c>
      <c r="N60" s="47" t="n">
        <v>0</v>
      </c>
      <c r="O60" s="47" t="n">
        <v>0</v>
      </c>
      <c r="P60" s="47" t="n">
        <v>0</v>
      </c>
      <c r="Q60" s="47" t="n">
        <v>0</v>
      </c>
      <c r="R60" s="47" t="n">
        <v>0</v>
      </c>
      <c r="S60" s="47" t="n">
        <v>0</v>
      </c>
      <c r="T60" s="47" t="n">
        <v>0</v>
      </c>
      <c r="U60" s="47" t="n">
        <v>0</v>
      </c>
      <c r="V60" s="47" t="n">
        <v>0</v>
      </c>
      <c r="W60" s="47" t="n">
        <v>0</v>
      </c>
      <c r="X60" s="47" t="n">
        <v>0</v>
      </c>
      <c r="Y60" s="47" t="n">
        <v>0</v>
      </c>
      <c r="Z60" s="47" t="n">
        <v>0</v>
      </c>
      <c r="AA60" s="47" t="n">
        <v>0</v>
      </c>
      <c r="AB60" s="47" t="n">
        <v>0</v>
      </c>
      <c r="AC60" s="47" t="n">
        <v>0</v>
      </c>
      <c r="AD60" s="47" t="n">
        <v>0</v>
      </c>
      <c r="AE60" s="47" t="n">
        <v>0</v>
      </c>
      <c r="AF60" s="47" t="n">
        <v>0</v>
      </c>
      <c r="AG60" s="47" t="n">
        <v>0</v>
      </c>
      <c r="AH60" s="47" t="n">
        <v>0</v>
      </c>
      <c r="AI60" s="47" t="e">
        <v>#N/A</v>
      </c>
      <c r="AJ60" s="47" t="e">
        <v>#N/A</v>
      </c>
      <c r="AK60" s="47" t="e">
        <v>#N/A</v>
      </c>
      <c r="AL60" s="47" t="e">
        <v>#N/A</v>
      </c>
      <c r="AM60" s="47" t="e">
        <v>#N/A</v>
      </c>
      <c r="AN60" s="47" t="e">
        <v>#N/A</v>
      </c>
      <c r="AO60" s="47" t="e">
        <v>#N/A</v>
      </c>
      <c r="AP60" s="47" t="e">
        <v>#N/A</v>
      </c>
      <c r="AQ60" s="47" t="e">
        <v>#N/A</v>
      </c>
      <c r="AR60" s="47" t="e">
        <v>#N/A</v>
      </c>
      <c r="AS60" s="47" t="e">
        <v>#N/A</v>
      </c>
      <c r="AT60" s="47" t="e">
        <v>#N/A</v>
      </c>
      <c r="AU60" s="47" t="e">
        <v>#N/A</v>
      </c>
      <c r="AV60" s="47" t="e">
        <v>#N/A</v>
      </c>
      <c r="AW60" s="47" t="e">
        <v>#N/A</v>
      </c>
      <c r="AX60" s="47" t="e">
        <v>#N/A</v>
      </c>
      <c r="AY60" s="47" t="e">
        <v>#N/A</v>
      </c>
      <c r="AZ60" s="47" t="e">
        <v>#N/A</v>
      </c>
      <c r="BA60" s="47" t="e">
        <v>#N/A</v>
      </c>
      <c r="BB60" s="47" t="e">
        <v>#N/A</v>
      </c>
      <c r="BC60" s="47" t="e">
        <v>#N/A</v>
      </c>
      <c r="BD60" s="47" t="e">
        <v>#N/A</v>
      </c>
      <c r="BE60" s="47" t="e">
        <v>#N/A</v>
      </c>
      <c r="BF60" s="47" t="e">
        <v>#N/A</v>
      </c>
      <c r="BG60" s="47" t="e">
        <v>#N/A</v>
      </c>
      <c r="BH60" s="47" t="e">
        <v>#N/A</v>
      </c>
      <c r="BI60" s="43" t="e">
        <v>#N/A</v>
      </c>
    </row>
    <row r="61">
      <c r="A61" s="37" t="inlineStr">
        <is>
          <t>T11</t>
        </is>
      </c>
      <c r="B61" s="40" t="n">
        <v>0</v>
      </c>
      <c r="C61" s="64" t="n">
        <v>0</v>
      </c>
      <c r="D61" s="41" t="n">
        <v>353.434977</v>
      </c>
      <c r="E61" s="41" t="n">
        <v>5.522421515625</v>
      </c>
      <c r="F61" s="41" t="n">
        <v>358.957398515625</v>
      </c>
      <c r="G61" s="41" t="n">
        <v>0</v>
      </c>
      <c r="H61" s="41" t="n">
        <v>0</v>
      </c>
      <c r="I61" s="41" t="n">
        <v>0</v>
      </c>
      <c r="J61" s="41" t="n">
        <v>0</v>
      </c>
      <c r="K61" s="104" t="n">
        <v>0</v>
      </c>
      <c r="L61" s="104" t="n">
        <v>0</v>
      </c>
      <c r="M61" s="104" t="n">
        <v>0</v>
      </c>
      <c r="N61" s="104" t="n">
        <v>0</v>
      </c>
      <c r="O61" s="104" t="n">
        <v>0</v>
      </c>
      <c r="P61" s="104" t="n">
        <v>0</v>
      </c>
      <c r="Q61" s="104" t="n">
        <v>0</v>
      </c>
      <c r="R61" s="104" t="n">
        <v>0</v>
      </c>
      <c r="S61" s="104" t="n">
        <v>0</v>
      </c>
      <c r="T61" s="104" t="n">
        <v>0</v>
      </c>
      <c r="U61" s="104" t="n">
        <v>0</v>
      </c>
      <c r="V61" s="104" t="n">
        <v>0</v>
      </c>
      <c r="W61" s="104" t="n">
        <v>0</v>
      </c>
      <c r="X61" s="104" t="n">
        <v>0</v>
      </c>
      <c r="Y61" s="104" t="n">
        <v>0</v>
      </c>
      <c r="Z61" s="104" t="n">
        <v>0</v>
      </c>
      <c r="AA61" s="104" t="n">
        <v>0</v>
      </c>
      <c r="AB61" s="104" t="n">
        <v>0</v>
      </c>
      <c r="AC61" s="104" t="n">
        <v>0</v>
      </c>
      <c r="AD61" s="104" t="n">
        <v>0</v>
      </c>
      <c r="AE61" s="104" t="n">
        <v>0</v>
      </c>
      <c r="AF61" s="104" t="n">
        <v>0</v>
      </c>
      <c r="AG61" s="104" t="n">
        <v>0</v>
      </c>
      <c r="AH61" s="104" t="n">
        <v>0</v>
      </c>
      <c r="AI61" s="104" t="e">
        <v>#N/A</v>
      </c>
      <c r="AJ61" s="104" t="e">
        <v>#N/A</v>
      </c>
      <c r="AK61" s="104" t="e">
        <v>#N/A</v>
      </c>
      <c r="AL61" s="104" t="e">
        <v>#N/A</v>
      </c>
      <c r="AM61" s="104" t="e">
        <v>#N/A</v>
      </c>
      <c r="AN61" s="104" t="e">
        <v>#N/A</v>
      </c>
      <c r="AO61" s="104" t="e">
        <v>#N/A</v>
      </c>
      <c r="AP61" s="104" t="e">
        <v>#N/A</v>
      </c>
      <c r="AQ61" s="104" t="e">
        <v>#N/A</v>
      </c>
      <c r="AR61" s="104" t="e">
        <v>#N/A</v>
      </c>
      <c r="AS61" s="104" t="e">
        <v>#N/A</v>
      </c>
      <c r="AT61" s="104" t="e">
        <v>#N/A</v>
      </c>
      <c r="AU61" s="104" t="e">
        <v>#N/A</v>
      </c>
      <c r="AV61" s="104" t="e">
        <v>#N/A</v>
      </c>
      <c r="AW61" s="104" t="e">
        <v>#N/A</v>
      </c>
      <c r="AX61" s="104" t="e">
        <v>#N/A</v>
      </c>
      <c r="AY61" s="104" t="e">
        <v>#N/A</v>
      </c>
      <c r="AZ61" s="104" t="e">
        <v>#N/A</v>
      </c>
      <c r="BA61" s="104" t="e">
        <v>#N/A</v>
      </c>
      <c r="BB61" s="104" t="e">
        <v>#N/A</v>
      </c>
      <c r="BC61" s="104" t="e">
        <v>#N/A</v>
      </c>
      <c r="BD61" s="104" t="e">
        <v>#N/A</v>
      </c>
      <c r="BE61" s="104" t="e">
        <v>#N/A</v>
      </c>
      <c r="BF61" s="104" t="e">
        <v>#N/A</v>
      </c>
      <c r="BG61" s="104" t="e">
        <v>#N/A</v>
      </c>
      <c r="BH61" s="104" t="e">
        <v>#N/A</v>
      </c>
      <c r="BI61" s="41" t="e">
        <v>#N/A</v>
      </c>
    </row>
    <row r="62">
      <c r="A62" s="36" t="inlineStr">
        <is>
          <t>T12</t>
        </is>
      </c>
      <c r="B62" s="42" t="n">
        <v>0</v>
      </c>
      <c r="C62" s="65" t="n">
        <v>0</v>
      </c>
      <c r="D62" s="43" t="n">
        <v>353.434977</v>
      </c>
      <c r="E62" s="43" t="n">
        <v>5.522421515625</v>
      </c>
      <c r="F62" s="43" t="n">
        <v>358.957398515625</v>
      </c>
      <c r="G62" s="43" t="n">
        <v>0</v>
      </c>
      <c r="H62" s="43" t="n">
        <v>0</v>
      </c>
      <c r="I62" s="43" t="n">
        <v>0</v>
      </c>
      <c r="J62" s="43" t="n">
        <v>0</v>
      </c>
      <c r="K62" s="47" t="n">
        <v>0</v>
      </c>
      <c r="L62" s="47" t="n">
        <v>0</v>
      </c>
      <c r="M62" s="47" t="n">
        <v>0</v>
      </c>
      <c r="N62" s="47" t="n">
        <v>0</v>
      </c>
      <c r="O62" s="47" t="n">
        <v>0</v>
      </c>
      <c r="P62" s="47" t="n">
        <v>0</v>
      </c>
      <c r="Q62" s="47" t="n">
        <v>0</v>
      </c>
      <c r="R62" s="47" t="n">
        <v>0</v>
      </c>
      <c r="S62" s="47" t="n">
        <v>0</v>
      </c>
      <c r="T62" s="47" t="n">
        <v>0</v>
      </c>
      <c r="U62" s="47" t="n">
        <v>0</v>
      </c>
      <c r="V62" s="47" t="n">
        <v>0</v>
      </c>
      <c r="W62" s="47" t="n">
        <v>0</v>
      </c>
      <c r="X62" s="47" t="n">
        <v>0</v>
      </c>
      <c r="Y62" s="47" t="n">
        <v>0</v>
      </c>
      <c r="Z62" s="47" t="n">
        <v>0</v>
      </c>
      <c r="AA62" s="47" t="n">
        <v>0</v>
      </c>
      <c r="AB62" s="47" t="n">
        <v>0</v>
      </c>
      <c r="AC62" s="47" t="n">
        <v>0</v>
      </c>
      <c r="AD62" s="47" t="n">
        <v>0</v>
      </c>
      <c r="AE62" s="47" t="n">
        <v>0</v>
      </c>
      <c r="AF62" s="47" t="n">
        <v>0</v>
      </c>
      <c r="AG62" s="47" t="n">
        <v>0</v>
      </c>
      <c r="AH62" s="47" t="n">
        <v>0</v>
      </c>
      <c r="AI62" s="47" t="e">
        <v>#N/A</v>
      </c>
      <c r="AJ62" s="47" t="e">
        <v>#N/A</v>
      </c>
      <c r="AK62" s="47" t="e">
        <v>#N/A</v>
      </c>
      <c r="AL62" s="47" t="e">
        <v>#N/A</v>
      </c>
      <c r="AM62" s="47" t="e">
        <v>#N/A</v>
      </c>
      <c r="AN62" s="47" t="e">
        <v>#N/A</v>
      </c>
      <c r="AO62" s="47" t="e">
        <v>#N/A</v>
      </c>
      <c r="AP62" s="47" t="e">
        <v>#N/A</v>
      </c>
      <c r="AQ62" s="47" t="e">
        <v>#N/A</v>
      </c>
      <c r="AR62" s="47" t="e">
        <v>#N/A</v>
      </c>
      <c r="AS62" s="47" t="e">
        <v>#N/A</v>
      </c>
      <c r="AT62" s="47" t="e">
        <v>#N/A</v>
      </c>
      <c r="AU62" s="47" t="e">
        <v>#N/A</v>
      </c>
      <c r="AV62" s="47" t="e">
        <v>#N/A</v>
      </c>
      <c r="AW62" s="47" t="e">
        <v>#N/A</v>
      </c>
      <c r="AX62" s="47" t="e">
        <v>#N/A</v>
      </c>
      <c r="AY62" s="47" t="e">
        <v>#N/A</v>
      </c>
      <c r="AZ62" s="47" t="e">
        <v>#N/A</v>
      </c>
      <c r="BA62" s="47" t="e">
        <v>#N/A</v>
      </c>
      <c r="BB62" s="47" t="e">
        <v>#N/A</v>
      </c>
      <c r="BC62" s="47" t="e">
        <v>#N/A</v>
      </c>
      <c r="BD62" s="47" t="e">
        <v>#N/A</v>
      </c>
      <c r="BE62" s="47" t="e">
        <v>#N/A</v>
      </c>
      <c r="BF62" s="47" t="e">
        <v>#N/A</v>
      </c>
      <c r="BG62" s="47" t="e">
        <v>#N/A</v>
      </c>
      <c r="BH62" s="47" t="e">
        <v>#N/A</v>
      </c>
      <c r="BI62" s="43" t="e">
        <v>#N/A</v>
      </c>
    </row>
    <row r="63">
      <c r="A63" s="37" t="inlineStr">
        <is>
          <t>T13</t>
        </is>
      </c>
      <c r="B63" s="40" t="n">
        <v>0</v>
      </c>
      <c r="C63" s="64" t="n">
        <v>0</v>
      </c>
      <c r="D63" s="41" t="n">
        <v>471.246636</v>
      </c>
      <c r="E63" s="41" t="n">
        <v>5.522421515625</v>
      </c>
      <c r="F63" s="41" t="n">
        <v>476.769057515625</v>
      </c>
      <c r="G63" s="41" t="n">
        <v>0</v>
      </c>
      <c r="H63" s="41" t="n">
        <v>0</v>
      </c>
      <c r="I63" s="41" t="n">
        <v>0</v>
      </c>
      <c r="J63" s="41" t="n">
        <v>0</v>
      </c>
      <c r="K63" s="104" t="n">
        <v>0</v>
      </c>
      <c r="L63" s="104" t="n">
        <v>0</v>
      </c>
      <c r="M63" s="104" t="n">
        <v>0</v>
      </c>
      <c r="N63" s="104" t="n">
        <v>0</v>
      </c>
      <c r="O63" s="104" t="n">
        <v>0</v>
      </c>
      <c r="P63" s="104" t="n">
        <v>0</v>
      </c>
      <c r="Q63" s="104" t="n">
        <v>0</v>
      </c>
      <c r="R63" s="104" t="n">
        <v>0</v>
      </c>
      <c r="S63" s="104" t="n">
        <v>0</v>
      </c>
      <c r="T63" s="104" t="n">
        <v>0</v>
      </c>
      <c r="U63" s="104" t="n">
        <v>0</v>
      </c>
      <c r="V63" s="104" t="n">
        <v>0</v>
      </c>
      <c r="W63" s="104" t="n">
        <v>0</v>
      </c>
      <c r="X63" s="104" t="n">
        <v>0</v>
      </c>
      <c r="Y63" s="104" t="n">
        <v>0</v>
      </c>
      <c r="Z63" s="104" t="n">
        <v>0</v>
      </c>
      <c r="AA63" s="104" t="n">
        <v>0</v>
      </c>
      <c r="AB63" s="104" t="n">
        <v>0</v>
      </c>
      <c r="AC63" s="104" t="n">
        <v>0</v>
      </c>
      <c r="AD63" s="104" t="n">
        <v>0</v>
      </c>
      <c r="AE63" s="104" t="n">
        <v>0</v>
      </c>
      <c r="AF63" s="104" t="n">
        <v>0</v>
      </c>
      <c r="AG63" s="104" t="n">
        <v>0</v>
      </c>
      <c r="AH63" s="104" t="n">
        <v>0</v>
      </c>
      <c r="AI63" s="104" t="e">
        <v>#N/A</v>
      </c>
      <c r="AJ63" s="104" t="e">
        <v>#N/A</v>
      </c>
      <c r="AK63" s="104" t="e">
        <v>#N/A</v>
      </c>
      <c r="AL63" s="104" t="e">
        <v>#N/A</v>
      </c>
      <c r="AM63" s="104" t="e">
        <v>#N/A</v>
      </c>
      <c r="AN63" s="104" t="e">
        <v>#N/A</v>
      </c>
      <c r="AO63" s="104" t="e">
        <v>#N/A</v>
      </c>
      <c r="AP63" s="104" t="e">
        <v>#N/A</v>
      </c>
      <c r="AQ63" s="104" t="e">
        <v>#N/A</v>
      </c>
      <c r="AR63" s="104" t="e">
        <v>#N/A</v>
      </c>
      <c r="AS63" s="104" t="e">
        <v>#N/A</v>
      </c>
      <c r="AT63" s="104" t="e">
        <v>#N/A</v>
      </c>
      <c r="AU63" s="104" t="e">
        <v>#N/A</v>
      </c>
      <c r="AV63" s="104" t="e">
        <v>#N/A</v>
      </c>
      <c r="AW63" s="104" t="e">
        <v>#N/A</v>
      </c>
      <c r="AX63" s="104" t="e">
        <v>#N/A</v>
      </c>
      <c r="AY63" s="104" t="e">
        <v>#N/A</v>
      </c>
      <c r="AZ63" s="104" t="e">
        <v>#N/A</v>
      </c>
      <c r="BA63" s="104" t="e">
        <v>#N/A</v>
      </c>
      <c r="BB63" s="104" t="e">
        <v>#N/A</v>
      </c>
      <c r="BC63" s="104" t="e">
        <v>#N/A</v>
      </c>
      <c r="BD63" s="104" t="e">
        <v>#N/A</v>
      </c>
      <c r="BE63" s="104" t="e">
        <v>#N/A</v>
      </c>
      <c r="BF63" s="104" t="e">
        <v>#N/A</v>
      </c>
      <c r="BG63" s="104" t="e">
        <v>#N/A</v>
      </c>
      <c r="BH63" s="104" t="e">
        <v>#N/A</v>
      </c>
      <c r="BI63" s="41" t="e">
        <v>#N/A</v>
      </c>
    </row>
    <row r="64">
      <c r="A64" s="36" t="inlineStr">
        <is>
          <t>T14</t>
        </is>
      </c>
      <c r="B64" s="42" t="n">
        <v>0</v>
      </c>
      <c r="C64" s="65" t="n">
        <v>0</v>
      </c>
      <c r="D64" s="43" t="n">
        <v>471.246636</v>
      </c>
      <c r="E64" s="43" t="n">
        <v>5.522421515625</v>
      </c>
      <c r="F64" s="43" t="n">
        <v>476.769057515625</v>
      </c>
      <c r="G64" s="43" t="n">
        <v>0</v>
      </c>
      <c r="H64" s="43" t="n">
        <v>0</v>
      </c>
      <c r="I64" s="43" t="n">
        <v>0</v>
      </c>
      <c r="J64" s="43" t="n">
        <v>0</v>
      </c>
      <c r="K64" s="47" t="n">
        <v>0</v>
      </c>
      <c r="L64" s="47" t="n">
        <v>0</v>
      </c>
      <c r="M64" s="47" t="n">
        <v>0</v>
      </c>
      <c r="N64" s="47" t="n">
        <v>0</v>
      </c>
      <c r="O64" s="47" t="n">
        <v>0</v>
      </c>
      <c r="P64" s="47" t="n">
        <v>0</v>
      </c>
      <c r="Q64" s="47" t="n">
        <v>0</v>
      </c>
      <c r="R64" s="47" t="n">
        <v>0</v>
      </c>
      <c r="S64" s="47" t="n">
        <v>0</v>
      </c>
      <c r="T64" s="47" t="n">
        <v>0</v>
      </c>
      <c r="U64" s="47" t="n">
        <v>0</v>
      </c>
      <c r="V64" s="47" t="n">
        <v>0</v>
      </c>
      <c r="W64" s="47" t="n">
        <v>0</v>
      </c>
      <c r="X64" s="47" t="n">
        <v>0</v>
      </c>
      <c r="Y64" s="47" t="n">
        <v>0</v>
      </c>
      <c r="Z64" s="47" t="n">
        <v>0</v>
      </c>
      <c r="AA64" s="47" t="n">
        <v>0</v>
      </c>
      <c r="AB64" s="47" t="n">
        <v>0</v>
      </c>
      <c r="AC64" s="47" t="n">
        <v>0</v>
      </c>
      <c r="AD64" s="47" t="n">
        <v>0</v>
      </c>
      <c r="AE64" s="47" t="n">
        <v>0</v>
      </c>
      <c r="AF64" s="47" t="n">
        <v>0</v>
      </c>
      <c r="AG64" s="47" t="n">
        <v>0</v>
      </c>
      <c r="AH64" s="47" t="n">
        <v>0</v>
      </c>
      <c r="AI64" s="47" t="e">
        <v>#N/A</v>
      </c>
      <c r="AJ64" s="47" t="e">
        <v>#N/A</v>
      </c>
      <c r="AK64" s="47" t="e">
        <v>#N/A</v>
      </c>
      <c r="AL64" s="47" t="e">
        <v>#N/A</v>
      </c>
      <c r="AM64" s="47" t="e">
        <v>#N/A</v>
      </c>
      <c r="AN64" s="47" t="e">
        <v>#N/A</v>
      </c>
      <c r="AO64" s="47" t="e">
        <v>#N/A</v>
      </c>
      <c r="AP64" s="47" t="e">
        <v>#N/A</v>
      </c>
      <c r="AQ64" s="47" t="e">
        <v>#N/A</v>
      </c>
      <c r="AR64" s="47" t="e">
        <v>#N/A</v>
      </c>
      <c r="AS64" s="47" t="e">
        <v>#N/A</v>
      </c>
      <c r="AT64" s="47" t="e">
        <v>#N/A</v>
      </c>
      <c r="AU64" s="47" t="e">
        <v>#N/A</v>
      </c>
      <c r="AV64" s="47" t="e">
        <v>#N/A</v>
      </c>
      <c r="AW64" s="47" t="e">
        <v>#N/A</v>
      </c>
      <c r="AX64" s="47" t="e">
        <v>#N/A</v>
      </c>
      <c r="AY64" s="47" t="e">
        <v>#N/A</v>
      </c>
      <c r="AZ64" s="47" t="e">
        <v>#N/A</v>
      </c>
      <c r="BA64" s="47" t="e">
        <v>#N/A</v>
      </c>
      <c r="BB64" s="47" t="e">
        <v>#N/A</v>
      </c>
      <c r="BC64" s="47" t="e">
        <v>#N/A</v>
      </c>
      <c r="BD64" s="47" t="e">
        <v>#N/A</v>
      </c>
      <c r="BE64" s="47" t="e">
        <v>#N/A</v>
      </c>
      <c r="BF64" s="47" t="e">
        <v>#N/A</v>
      </c>
      <c r="BG64" s="47" t="e">
        <v>#N/A</v>
      </c>
      <c r="BH64" s="47" t="e">
        <v>#N/A</v>
      </c>
      <c r="BI64" s="43" t="e">
        <v>#N/A</v>
      </c>
    </row>
    <row r="65">
      <c r="A65" s="37" t="inlineStr">
        <is>
          <t>T15</t>
        </is>
      </c>
      <c r="B65" s="40" t="n">
        <v>0</v>
      </c>
      <c r="C65" s="64" t="n">
        <v>0</v>
      </c>
      <c r="D65" s="41" t="n">
        <v>471.246636</v>
      </c>
      <c r="E65" s="41" t="n">
        <v>5.522421515625</v>
      </c>
      <c r="F65" s="41" t="n">
        <v>476.769057515625</v>
      </c>
      <c r="G65" s="41" t="n">
        <v>0</v>
      </c>
      <c r="H65" s="41" t="n">
        <v>0</v>
      </c>
      <c r="I65" s="41" t="n">
        <v>0</v>
      </c>
      <c r="J65" s="41" t="n">
        <v>0</v>
      </c>
      <c r="K65" s="104" t="n">
        <v>0</v>
      </c>
      <c r="L65" s="104" t="n">
        <v>0</v>
      </c>
      <c r="M65" s="104" t="n">
        <v>0</v>
      </c>
      <c r="N65" s="104" t="n">
        <v>0</v>
      </c>
      <c r="O65" s="104" t="n">
        <v>0</v>
      </c>
      <c r="P65" s="104" t="n">
        <v>0</v>
      </c>
      <c r="Q65" s="104" t="n">
        <v>0</v>
      </c>
      <c r="R65" s="104" t="n">
        <v>0</v>
      </c>
      <c r="S65" s="104" t="n">
        <v>0</v>
      </c>
      <c r="T65" s="104" t="n">
        <v>0</v>
      </c>
      <c r="U65" s="104" t="n">
        <v>0</v>
      </c>
      <c r="V65" s="104" t="n">
        <v>0</v>
      </c>
      <c r="W65" s="104" t="n">
        <v>0</v>
      </c>
      <c r="X65" s="104" t="n">
        <v>0</v>
      </c>
      <c r="Y65" s="104" t="n">
        <v>0</v>
      </c>
      <c r="Z65" s="104" t="n">
        <v>0</v>
      </c>
      <c r="AA65" s="104" t="n">
        <v>0</v>
      </c>
      <c r="AB65" s="104" t="n">
        <v>0</v>
      </c>
      <c r="AC65" s="104" t="n">
        <v>0</v>
      </c>
      <c r="AD65" s="104" t="n">
        <v>0</v>
      </c>
      <c r="AE65" s="104" t="n">
        <v>0</v>
      </c>
      <c r="AF65" s="104" t="n">
        <v>0</v>
      </c>
      <c r="AG65" s="104" t="n">
        <v>0</v>
      </c>
      <c r="AH65" s="104" t="n">
        <v>0</v>
      </c>
      <c r="AI65" s="104" t="e">
        <v>#N/A</v>
      </c>
      <c r="AJ65" s="104" t="e">
        <v>#N/A</v>
      </c>
      <c r="AK65" s="104" t="e">
        <v>#N/A</v>
      </c>
      <c r="AL65" s="104" t="e">
        <v>#N/A</v>
      </c>
      <c r="AM65" s="104" t="e">
        <v>#N/A</v>
      </c>
      <c r="AN65" s="104" t="e">
        <v>#N/A</v>
      </c>
      <c r="AO65" s="104" t="e">
        <v>#N/A</v>
      </c>
      <c r="AP65" s="104" t="e">
        <v>#N/A</v>
      </c>
      <c r="AQ65" s="104" t="e">
        <v>#N/A</v>
      </c>
      <c r="AR65" s="104" t="e">
        <v>#N/A</v>
      </c>
      <c r="AS65" s="104" t="e">
        <v>#N/A</v>
      </c>
      <c r="AT65" s="104" t="e">
        <v>#N/A</v>
      </c>
      <c r="AU65" s="104" t="e">
        <v>#N/A</v>
      </c>
      <c r="AV65" s="104" t="e">
        <v>#N/A</v>
      </c>
      <c r="AW65" s="104" t="e">
        <v>#N/A</v>
      </c>
      <c r="AX65" s="104" t="e">
        <v>#N/A</v>
      </c>
      <c r="AY65" s="104" t="e">
        <v>#N/A</v>
      </c>
      <c r="AZ65" s="104" t="e">
        <v>#N/A</v>
      </c>
      <c r="BA65" s="104" t="e">
        <v>#N/A</v>
      </c>
      <c r="BB65" s="104" t="e">
        <v>#N/A</v>
      </c>
      <c r="BC65" s="104" t="e">
        <v>#N/A</v>
      </c>
      <c r="BD65" s="104" t="e">
        <v>#N/A</v>
      </c>
      <c r="BE65" s="104" t="e">
        <v>#N/A</v>
      </c>
      <c r="BF65" s="104" t="e">
        <v>#N/A</v>
      </c>
      <c r="BG65" s="104" t="e">
        <v>#N/A</v>
      </c>
      <c r="BH65" s="104" t="e">
        <v>#N/A</v>
      </c>
      <c r="BI65" s="41" t="e">
        <v>#N/A</v>
      </c>
    </row>
    <row r="66">
      <c r="A66" s="36" t="inlineStr">
        <is>
          <t>T16</t>
        </is>
      </c>
      <c r="B66" s="42" t="n">
        <v>0</v>
      </c>
      <c r="C66" s="65" t="n">
        <v>0</v>
      </c>
      <c r="D66" s="43" t="n">
        <v>353.434977</v>
      </c>
      <c r="E66" s="43" t="n">
        <v>5.522421515625</v>
      </c>
      <c r="F66" s="43" t="n">
        <v>358.957398515625</v>
      </c>
      <c r="G66" s="43" t="n">
        <v>0</v>
      </c>
      <c r="H66" s="43" t="n">
        <v>0</v>
      </c>
      <c r="I66" s="43" t="n">
        <v>0</v>
      </c>
      <c r="J66" s="43" t="n">
        <v>0</v>
      </c>
      <c r="K66" s="47" t="n">
        <v>0</v>
      </c>
      <c r="L66" s="47" t="n">
        <v>0</v>
      </c>
      <c r="M66" s="47" t="n">
        <v>0</v>
      </c>
      <c r="N66" s="47" t="n">
        <v>0</v>
      </c>
      <c r="O66" s="47" t="n">
        <v>0</v>
      </c>
      <c r="P66" s="47" t="n">
        <v>0</v>
      </c>
      <c r="Q66" s="47" t="n">
        <v>0</v>
      </c>
      <c r="R66" s="47" t="n">
        <v>0</v>
      </c>
      <c r="S66" s="47" t="n">
        <v>0</v>
      </c>
      <c r="T66" s="47" t="n">
        <v>0</v>
      </c>
      <c r="U66" s="47" t="n">
        <v>0</v>
      </c>
      <c r="V66" s="47" t="n">
        <v>0</v>
      </c>
      <c r="W66" s="47" t="n">
        <v>0</v>
      </c>
      <c r="X66" s="47" t="n">
        <v>0</v>
      </c>
      <c r="Y66" s="47" t="n">
        <v>0</v>
      </c>
      <c r="Z66" s="47" t="n">
        <v>0</v>
      </c>
      <c r="AA66" s="47" t="n">
        <v>0</v>
      </c>
      <c r="AB66" s="47" t="n">
        <v>0</v>
      </c>
      <c r="AC66" s="47" t="n">
        <v>0</v>
      </c>
      <c r="AD66" s="47" t="n">
        <v>0</v>
      </c>
      <c r="AE66" s="47" t="n">
        <v>0</v>
      </c>
      <c r="AF66" s="47" t="n">
        <v>0</v>
      </c>
      <c r="AG66" s="47" t="n">
        <v>0</v>
      </c>
      <c r="AH66" s="47" t="n">
        <v>0</v>
      </c>
      <c r="AI66" s="47" t="e">
        <v>#N/A</v>
      </c>
      <c r="AJ66" s="47" t="e">
        <v>#N/A</v>
      </c>
      <c r="AK66" s="47" t="e">
        <v>#N/A</v>
      </c>
      <c r="AL66" s="47" t="e">
        <v>#N/A</v>
      </c>
      <c r="AM66" s="47" t="e">
        <v>#N/A</v>
      </c>
      <c r="AN66" s="47" t="e">
        <v>#N/A</v>
      </c>
      <c r="AO66" s="47" t="e">
        <v>#N/A</v>
      </c>
      <c r="AP66" s="47" t="e">
        <v>#N/A</v>
      </c>
      <c r="AQ66" s="47" t="e">
        <v>#N/A</v>
      </c>
      <c r="AR66" s="47" t="e">
        <v>#N/A</v>
      </c>
      <c r="AS66" s="47" t="e">
        <v>#N/A</v>
      </c>
      <c r="AT66" s="47" t="e">
        <v>#N/A</v>
      </c>
      <c r="AU66" s="47" t="e">
        <v>#N/A</v>
      </c>
      <c r="AV66" s="47" t="e">
        <v>#N/A</v>
      </c>
      <c r="AW66" s="47" t="e">
        <v>#N/A</v>
      </c>
      <c r="AX66" s="47" t="e">
        <v>#N/A</v>
      </c>
      <c r="AY66" s="47" t="e">
        <v>#N/A</v>
      </c>
      <c r="AZ66" s="47" t="e">
        <v>#N/A</v>
      </c>
      <c r="BA66" s="47" t="e">
        <v>#N/A</v>
      </c>
      <c r="BB66" s="47" t="e">
        <v>#N/A</v>
      </c>
      <c r="BC66" s="47" t="e">
        <v>#N/A</v>
      </c>
      <c r="BD66" s="47" t="e">
        <v>#N/A</v>
      </c>
      <c r="BE66" s="47" t="e">
        <v>#N/A</v>
      </c>
      <c r="BF66" s="47" t="e">
        <v>#N/A</v>
      </c>
      <c r="BG66" s="47" t="e">
        <v>#N/A</v>
      </c>
      <c r="BH66" s="47" t="e">
        <v>#N/A</v>
      </c>
      <c r="BI66" s="43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min="1" max="1"/>
    <col width="19.42578125" customWidth="1" min="2" max="2"/>
    <col width="22.28515625" customWidth="1" min="3" max="4"/>
    <col width="19" customWidth="1" min="5" max="5"/>
    <col width="22.28515625" customWidth="1" min="6" max="7"/>
    <col width="14.7109375" customWidth="1" min="8" max="8"/>
    <col width="22.28515625" customWidth="1" min="9" max="9"/>
    <col width="27.28515625" customWidth="1" min="10" max="10"/>
    <col width="19.85546875" customWidth="1" min="11" max="11"/>
    <col width="18.28515625" customWidth="1" min="12" max="12"/>
    <col width="17.7109375" customWidth="1" min="13" max="13"/>
    <col width="17" customWidth="1" min="14" max="14"/>
    <col width="16.7109375" customWidth="1" min="15" max="15"/>
    <col width="18.42578125" customWidth="1" min="16" max="18"/>
    <col width="53.42578125" customWidth="1" min="19" max="19"/>
    <col width="12.42578125" customWidth="1" min="20" max="20"/>
  </cols>
  <sheetData>
    <row r="1" ht="16.5" customHeight="1">
      <c r="A1" s="88" t="n"/>
      <c r="B1" s="88" t="inlineStr">
        <is>
          <t>JUL 2026 EXPENSES</t>
        </is>
      </c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6" t="n"/>
    </row>
    <row r="2" ht="58.5" customHeight="1">
      <c r="A2" s="39" t="inlineStr">
        <is>
          <t>FLAT #</t>
        </is>
      </c>
      <c r="B2" s="39" t="n">
        <v>0</v>
      </c>
      <c r="C2" s="39" t="inlineStr">
        <is>
          <t>WATER USED IN LTRS</t>
        </is>
      </c>
      <c r="D2" s="39" t="inlineStr">
        <is>
          <t>COMMON AREA EQUALLY DEVIDED</t>
        </is>
      </c>
      <c r="E2" s="39" t="inlineStr">
        <is>
          <t>TOTAL FRESH WATER CONSUMED</t>
        </is>
      </c>
      <c r="F2" s="63" t="inlineStr">
        <is>
          <t>%OF TOTAL USED</t>
        </is>
      </c>
      <c r="G2" s="39" t="inlineStr">
        <is>
          <t>WATER EXPENSE SHARING BY %</t>
        </is>
      </c>
      <c r="H2" s="39" t="inlineStr">
        <is>
          <t>#METERS</t>
        </is>
      </c>
      <c r="I2" s="39" t="inlineStr">
        <is>
          <t>METER RENT</t>
        </is>
      </c>
      <c r="J2" s="39" t="inlineStr">
        <is>
          <t>VARIABLE EXPENSE = COMMON AREA METER RENT + WATER EXPENSE+ FLAT METER RENT</t>
        </is>
      </c>
      <c r="K2" s="39" t="inlineStr">
        <is>
          <t>FIXED EXPENSE SHARE</t>
        </is>
      </c>
      <c r="L2" s="39" t="inlineStr">
        <is>
          <t>PARKING FEE</t>
        </is>
      </c>
      <c r="M2" s="39" t="inlineStr">
        <is>
          <t>CLUB BOOKING FEE</t>
        </is>
      </c>
      <c r="N2" s="39" t="inlineStr">
        <is>
          <t>SHIFTING FEE</t>
        </is>
      </c>
      <c r="O2" s="39" t="inlineStr">
        <is>
          <t>GYM USAGE FEE</t>
        </is>
      </c>
      <c r="P2" s="39" t="n"/>
      <c r="Q2" s="39" t="n"/>
      <c r="R2" s="39" t="inlineStr">
        <is>
          <t>TOTAL EXPENSE TO BE PAID</t>
        </is>
      </c>
      <c r="S2" s="39" t="n"/>
      <c r="T2" s="39" t="n"/>
    </row>
    <row r="3" ht="12.75" customHeight="1">
      <c r="A3" s="40" t="inlineStr">
        <is>
          <t>CH</t>
        </is>
      </c>
      <c r="B3" s="40" t="inlineStr">
        <is>
          <t>MPFOWA</t>
        </is>
      </c>
      <c r="C3" s="41" t="n">
        <v>0</v>
      </c>
      <c r="D3" s="41" t="n">
        <v>0</v>
      </c>
      <c r="E3" s="41" t="n"/>
      <c r="F3" s="64" t="n"/>
      <c r="G3" s="41" t="n"/>
      <c r="H3" s="41" t="n">
        <v>1</v>
      </c>
      <c r="I3" s="41">
        <f>T7</f>
        <v/>
      </c>
      <c r="J3" s="41" t="n"/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</row>
    <row r="4" ht="12.75" customHeight="1">
      <c r="A4" s="42" t="inlineStr">
        <is>
          <t>GYM</t>
        </is>
      </c>
      <c r="B4" s="42" t="inlineStr">
        <is>
          <t>MPFOWA</t>
        </is>
      </c>
      <c r="C4" s="43" t="n">
        <v>0</v>
      </c>
      <c r="D4" s="43" t="n">
        <v>0</v>
      </c>
      <c r="E4" s="43" t="n"/>
      <c r="F4" s="65" t="n"/>
      <c r="G4" s="43" t="n"/>
      <c r="H4" s="43" t="n">
        <v>1</v>
      </c>
      <c r="I4" s="43">
        <f>T7</f>
        <v/>
      </c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inlineStr">
        <is>
          <t>TOTAL FIXED EXPENSE</t>
        </is>
      </c>
      <c r="T4" s="43">
        <f>'ANNUAL-EXPENSE-DETAILS'!AB6</f>
        <v/>
      </c>
    </row>
    <row r="5" ht="12.75" customHeight="1">
      <c r="A5" s="40" t="inlineStr">
        <is>
          <t>BSMT</t>
        </is>
      </c>
      <c r="B5" s="40" t="inlineStr">
        <is>
          <t>MPFOWA</t>
        </is>
      </c>
      <c r="C5" s="41" t="n">
        <v>0</v>
      </c>
      <c r="D5" s="41" t="n">
        <v>0</v>
      </c>
      <c r="E5" s="41" t="n"/>
      <c r="F5" s="64" t="n"/>
      <c r="G5" s="41" t="n"/>
      <c r="H5" s="41" t="n">
        <v>1</v>
      </c>
      <c r="I5" s="41">
        <f>T7</f>
        <v/>
      </c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inlineStr">
        <is>
          <t>TOTAL WATER EXPENSE</t>
        </is>
      </c>
      <c r="T5" s="41">
        <f>'ANNUAL-EXPENSE-DETAILS'!AA6</f>
        <v/>
      </c>
    </row>
    <row r="6" ht="12.75" customHeight="1">
      <c r="A6" s="42" t="inlineStr">
        <is>
          <t>F1</t>
        </is>
      </c>
      <c r="B6" s="42">
        <f>VLOOKUP(A6,Members!$A$2:$B$65,2,FALSE)</f>
        <v/>
      </c>
      <c r="C6" s="43" t="n">
        <v>0</v>
      </c>
      <c r="D6" s="43">
        <f>SUM($C$3:$C$5)/64</f>
        <v/>
      </c>
      <c r="E6" s="43">
        <f>C6+D6</f>
        <v/>
      </c>
      <c r="F6" s="65">
        <f>IF($C$70=0, 0, E6/$C$70)</f>
        <v/>
      </c>
      <c r="G6" s="43">
        <f>F6*$T$5</f>
        <v/>
      </c>
      <c r="H6" s="43" t="n">
        <v>3</v>
      </c>
      <c r="I6" s="43">
        <f>$T$7*H6</f>
        <v/>
      </c>
      <c r="J6" s="43">
        <f>G6+$T$9+I6</f>
        <v/>
      </c>
      <c r="K6" s="43">
        <f>$T$11/64</f>
        <v/>
      </c>
      <c r="L6" s="43" t="n">
        <v>0</v>
      </c>
      <c r="M6" s="43" t="n">
        <v>0</v>
      </c>
      <c r="N6" s="43" t="n">
        <v>0</v>
      </c>
      <c r="O6" s="43" t="n">
        <v>0</v>
      </c>
      <c r="P6" s="43" t="n"/>
      <c r="Q6" s="43" t="n"/>
      <c r="R6" s="43">
        <f>(J6+K6+L6+M6+N6+O6)*$B$2</f>
        <v/>
      </c>
      <c r="S6" s="43" t="n"/>
      <c r="T6" s="43" t="n"/>
    </row>
    <row r="7" ht="12.75" customHeight="1">
      <c r="A7" s="40" t="inlineStr">
        <is>
          <t>F2</t>
        </is>
      </c>
      <c r="B7" s="40">
        <f>VLOOKUP(A7,Members!$A$2:$B$65,2,FALSE)</f>
        <v/>
      </c>
      <c r="C7" s="41" t="n">
        <v>0</v>
      </c>
      <c r="D7" s="41">
        <f>SUM($C$3:$C$5)/64</f>
        <v/>
      </c>
      <c r="E7" s="41">
        <f>C7+D7</f>
        <v/>
      </c>
      <c r="F7" s="64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$T$11/64</f>
        <v/>
      </c>
      <c r="L7" s="41" t="n">
        <v>0</v>
      </c>
      <c r="M7" s="41" t="n">
        <v>0</v>
      </c>
      <c r="N7" s="41" t="n">
        <v>0</v>
      </c>
      <c r="O7" s="41" t="n">
        <v>0</v>
      </c>
      <c r="P7" s="41" t="n"/>
      <c r="Q7" s="41" t="n"/>
      <c r="R7" s="41">
        <f>(J7+K7+L7+M7+N7+O7)*$B$2</f>
        <v/>
      </c>
      <c r="S7" s="41" t="inlineStr">
        <is>
          <t>RENT PER METER</t>
        </is>
      </c>
      <c r="T7" s="41" t="n">
        <v>117.811659</v>
      </c>
    </row>
    <row r="8" ht="12.75" customHeight="1">
      <c r="A8" s="42" t="inlineStr">
        <is>
          <t>F3</t>
        </is>
      </c>
      <c r="B8" s="42">
        <f>VLOOKUP(A8,Members!$A$2:$B$65,2,FALSE)</f>
        <v/>
      </c>
      <c r="C8" s="43" t="n">
        <v>0</v>
      </c>
      <c r="D8" s="43">
        <f>SUM($C$3:$C$5)/64</f>
        <v/>
      </c>
      <c r="E8" s="43">
        <f>C8+D8</f>
        <v/>
      </c>
      <c r="F8" s="65">
        <f>IF($C$70=0, 0, E8/$C$70)</f>
        <v/>
      </c>
      <c r="G8" s="43">
        <f>F8*$T$5</f>
        <v/>
      </c>
      <c r="H8" s="43" t="n">
        <v>4</v>
      </c>
      <c r="I8" s="43">
        <f>$T$7*H8</f>
        <v/>
      </c>
      <c r="J8" s="43">
        <f>G8+$T$9+I8</f>
        <v/>
      </c>
      <c r="K8" s="43">
        <f>$T$11/64</f>
        <v/>
      </c>
      <c r="L8" s="43" t="n">
        <v>0</v>
      </c>
      <c r="M8" s="43" t="n">
        <v>0</v>
      </c>
      <c r="N8" s="43" t="n">
        <v>0</v>
      </c>
      <c r="O8" s="43" t="n">
        <v>0</v>
      </c>
      <c r="P8" s="43" t="n"/>
      <c r="Q8" s="43" t="n"/>
      <c r="R8" s="43">
        <f>(J8+K8+L8+M8+N8+O8)*$B$2</f>
        <v/>
      </c>
      <c r="S8" s="43" t="inlineStr">
        <is>
          <t>COMMON AREA METER RENT</t>
        </is>
      </c>
      <c r="T8" s="43">
        <f>$T$7*3</f>
        <v/>
      </c>
    </row>
    <row r="9" ht="12.75" customHeight="1">
      <c r="A9" s="40" t="inlineStr">
        <is>
          <t>F4</t>
        </is>
      </c>
      <c r="B9" s="40">
        <f>VLOOKUP(A9,Members!$A$2:$B$65,2,FALSE)</f>
        <v/>
      </c>
      <c r="C9" s="41" t="n">
        <v>0</v>
      </c>
      <c r="D9" s="41">
        <f>SUM($C$3:$C$5)/64</f>
        <v/>
      </c>
      <c r="E9" s="41">
        <f>C9+D9</f>
        <v/>
      </c>
      <c r="F9" s="64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$T$11/64</f>
        <v/>
      </c>
      <c r="L9" s="41" t="n">
        <v>0</v>
      </c>
      <c r="M9" s="41" t="n">
        <v>0</v>
      </c>
      <c r="N9" s="41" t="n">
        <v>0</v>
      </c>
      <c r="O9" s="41" t="n">
        <v>0</v>
      </c>
      <c r="P9" s="41" t="n"/>
      <c r="Q9" s="41" t="n"/>
      <c r="R9" s="41">
        <f>(J9+K9+L9+M9+N9+O9)*$B$2</f>
        <v/>
      </c>
      <c r="S9" s="41" t="inlineStr">
        <is>
          <t>COMMON AREA METER RENT/FLAT</t>
        </is>
      </c>
      <c r="T9" s="41">
        <f>T8/64</f>
        <v/>
      </c>
    </row>
    <row r="10" ht="12.75" customHeight="1">
      <c r="A10" s="42" t="inlineStr">
        <is>
          <t>F5</t>
        </is>
      </c>
      <c r="B10" s="42">
        <f>VLOOKUP(A10,Members!$A$2:$B$65,2,FALSE)</f>
        <v/>
      </c>
      <c r="C10" s="43" t="n">
        <v>0</v>
      </c>
      <c r="D10" s="43">
        <f>SUM($C$3:$C$5)/64</f>
        <v/>
      </c>
      <c r="E10" s="43">
        <f>C10+D10</f>
        <v/>
      </c>
      <c r="F10" s="65">
        <f>IF($C$70=0, 0, E10/$C$70)</f>
        <v/>
      </c>
      <c r="G10" s="43">
        <f>F10*$T$5</f>
        <v/>
      </c>
      <c r="H10" s="43" t="n">
        <v>3</v>
      </c>
      <c r="I10" s="43">
        <f>$T$7*H10</f>
        <v/>
      </c>
      <c r="J10" s="43">
        <f>G10+$T$9+I10</f>
        <v/>
      </c>
      <c r="K10" s="43">
        <f>$T$11/64</f>
        <v/>
      </c>
      <c r="L10" s="43" t="n">
        <v>0</v>
      </c>
      <c r="M10" s="43" t="n">
        <v>0</v>
      </c>
      <c r="N10" s="43" t="n">
        <v>0</v>
      </c>
      <c r="O10" s="43" t="n">
        <v>0</v>
      </c>
      <c r="P10" s="43" t="n"/>
      <c r="Q10" s="43" t="n"/>
      <c r="R10" s="43">
        <f>(J10+K10+L10+M10+N10+O10)*$B$2</f>
        <v/>
      </c>
      <c r="S10" s="43" t="n"/>
      <c r="T10" s="43" t="n"/>
    </row>
    <row r="11" ht="12.75" customHeight="1">
      <c r="A11" s="40" t="inlineStr">
        <is>
          <t>F6</t>
        </is>
      </c>
      <c r="B11" s="40">
        <f>VLOOKUP(A11,Members!$A$2:$B$65,2,FALSE)</f>
        <v/>
      </c>
      <c r="C11" s="41" t="n">
        <v>0</v>
      </c>
      <c r="D11" s="41">
        <f>SUM($C$3:$C$5)/64</f>
        <v/>
      </c>
      <c r="E11" s="41">
        <f>C11+D11</f>
        <v/>
      </c>
      <c r="F11" s="64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$T$11/64</f>
        <v/>
      </c>
      <c r="L11" s="41" t="n">
        <v>0</v>
      </c>
      <c r="M11" s="41" t="n">
        <v>0</v>
      </c>
      <c r="N11" s="41" t="n">
        <v>0</v>
      </c>
      <c r="O11" s="41" t="n">
        <v>0</v>
      </c>
      <c r="P11" s="41" t="n"/>
      <c r="Q11" s="41" t="n"/>
      <c r="R11" s="41">
        <f>(J11+K11+L11+M11+N11+O11)*$B$2</f>
        <v/>
      </c>
      <c r="S11" s="41" t="inlineStr">
        <is>
          <t>TOTAL FIXED EXPENSE</t>
        </is>
      </c>
      <c r="T11" s="41">
        <f>'ANNUAL-EXPENSE-DETAILS'!AB6</f>
        <v/>
      </c>
    </row>
    <row r="12" ht="12.75" customHeight="1">
      <c r="A12" s="42" t="inlineStr">
        <is>
          <t>F7</t>
        </is>
      </c>
      <c r="B12" s="42">
        <f>VLOOKUP(A12,Members!$A$2:$B$65,2,FALSE)</f>
        <v/>
      </c>
      <c r="C12" s="43" t="n">
        <v>0</v>
      </c>
      <c r="D12" s="43">
        <f>SUM($C$3:$C$5)/64</f>
        <v/>
      </c>
      <c r="E12" s="43">
        <f>C12+D12</f>
        <v/>
      </c>
      <c r="F12" s="65">
        <f>IF($C$70=0, 0, E12/$C$70)</f>
        <v/>
      </c>
      <c r="G12" s="43">
        <f>F12*$T$5</f>
        <v/>
      </c>
      <c r="H12" s="43" t="n">
        <v>3</v>
      </c>
      <c r="I12" s="43">
        <f>$T$7*H12</f>
        <v/>
      </c>
      <c r="J12" s="43">
        <f>G12+$T$9+I12</f>
        <v/>
      </c>
      <c r="K12" s="43">
        <f>$T$11/64</f>
        <v/>
      </c>
      <c r="L12" s="43" t="n">
        <v>0</v>
      </c>
      <c r="M12" s="43" t="n">
        <v>0</v>
      </c>
      <c r="N12" s="43" t="n">
        <v>0</v>
      </c>
      <c r="O12" s="43" t="n">
        <v>0</v>
      </c>
      <c r="P12" s="43" t="n"/>
      <c r="Q12" s="43" t="n"/>
      <c r="R12" s="43">
        <f>(J12+K12+L12+M12+N12+O12)*$B$2</f>
        <v/>
      </c>
      <c r="S12" s="43" t="n"/>
      <c r="T12" s="43" t="n"/>
    </row>
    <row r="13" ht="12.75" customHeight="1">
      <c r="A13" s="40" t="inlineStr">
        <is>
          <t>F8</t>
        </is>
      </c>
      <c r="B13" s="40">
        <f>VLOOKUP(A13,Members!$A$2:$B$65,2,FALSE)</f>
        <v/>
      </c>
      <c r="C13" s="41" t="n">
        <v>0</v>
      </c>
      <c r="D13" s="41">
        <f>SUM($C$3:$C$5)/64</f>
        <v/>
      </c>
      <c r="E13" s="41">
        <f>C13+D13</f>
        <v/>
      </c>
      <c r="F13" s="64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$T$11/64</f>
        <v/>
      </c>
      <c r="L13" s="41" t="n">
        <v>0</v>
      </c>
      <c r="M13" s="41" t="n">
        <v>0</v>
      </c>
      <c r="N13" s="41" t="n">
        <v>0</v>
      </c>
      <c r="O13" s="41" t="n">
        <v>0</v>
      </c>
      <c r="P13" s="41" t="n"/>
      <c r="Q13" s="41" t="n"/>
      <c r="R13" s="41">
        <f>(J13+K13+L13+M13+N13+O13)*$B$2</f>
        <v/>
      </c>
      <c r="S13" s="41" t="n"/>
      <c r="T13" s="41" t="n"/>
    </row>
    <row r="14" ht="12.75" customHeight="1">
      <c r="A14" s="42" t="inlineStr">
        <is>
          <t>F9</t>
        </is>
      </c>
      <c r="B14" s="42">
        <f>VLOOKUP(A14,Members!$A$2:$B$65,2,FALSE)</f>
        <v/>
      </c>
      <c r="C14" s="43" t="n">
        <v>0</v>
      </c>
      <c r="D14" s="43">
        <f>SUM($C$3:$C$5)/64</f>
        <v/>
      </c>
      <c r="E14" s="43">
        <f>C14+D14</f>
        <v/>
      </c>
      <c r="F14" s="65">
        <f>IF($C$70=0, 0, E14/$C$70)</f>
        <v/>
      </c>
      <c r="G14" s="43">
        <f>F14*$T$5</f>
        <v/>
      </c>
      <c r="H14" s="43" t="n">
        <v>4</v>
      </c>
      <c r="I14" s="43">
        <f>$T$7*H14</f>
        <v/>
      </c>
      <c r="J14" s="43">
        <f>G14+$T$9+I14</f>
        <v/>
      </c>
      <c r="K14" s="43">
        <f>$T$11/64</f>
        <v/>
      </c>
      <c r="L14" s="43" t="n">
        <v>0</v>
      </c>
      <c r="M14" s="43" t="n">
        <v>0</v>
      </c>
      <c r="N14" s="43" t="n">
        <v>0</v>
      </c>
      <c r="O14" s="43" t="n">
        <v>0</v>
      </c>
      <c r="P14" s="43" t="n"/>
      <c r="Q14" s="43" t="n"/>
      <c r="R14" s="43">
        <f>(J14+K14+L14+M14+N14+O14)*$B$2</f>
        <v/>
      </c>
      <c r="S14" s="43" t="inlineStr">
        <is>
          <t>BALANCE IN ACCOUNT ON 31-JULY-2023</t>
        </is>
      </c>
      <c r="T14" s="43" t="n"/>
    </row>
    <row r="15" ht="12.75" customHeight="1">
      <c r="A15" s="40" t="inlineStr">
        <is>
          <t>F10</t>
        </is>
      </c>
      <c r="B15" s="40">
        <f>VLOOKUP(A15,Members!$A$2:$B$65,2,FALSE)</f>
        <v/>
      </c>
      <c r="C15" s="41" t="n">
        <v>0</v>
      </c>
      <c r="D15" s="41">
        <f>SUM($C$3:$C$5)/64</f>
        <v/>
      </c>
      <c r="E15" s="41">
        <f>C15+D15</f>
        <v/>
      </c>
      <c r="F15" s="64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$T$11/64</f>
        <v/>
      </c>
      <c r="L15" s="41" t="n">
        <v>0</v>
      </c>
      <c r="M15" s="41" t="n">
        <v>0</v>
      </c>
      <c r="N15" s="41" t="n">
        <v>0</v>
      </c>
      <c r="O15" s="41" t="n">
        <v>0</v>
      </c>
      <c r="P15" s="41" t="n"/>
      <c r="Q15" s="41" t="n"/>
      <c r="R15" s="41">
        <f>(J15+K15+L15+M15+N15+O15)*$B$2</f>
        <v/>
      </c>
      <c r="S15" s="41" t="inlineStr">
        <is>
          <t>TOTAL NON MAINTENANCE CORPUS COLLECTION</t>
        </is>
      </c>
      <c r="T15" s="41" t="n"/>
    </row>
    <row r="16" ht="12.75" customHeight="1">
      <c r="A16" s="42" t="inlineStr">
        <is>
          <t>F11</t>
        </is>
      </c>
      <c r="B16" s="42">
        <f>VLOOKUP(A16,Members!$A$2:$B$65,2,FALSE)</f>
        <v/>
      </c>
      <c r="C16" s="43" t="n">
        <v>0</v>
      </c>
      <c r="D16" s="43">
        <f>SUM($C$3:$C$5)/64</f>
        <v/>
      </c>
      <c r="E16" s="43">
        <f>C16+D16</f>
        <v/>
      </c>
      <c r="F16" s="65">
        <f>IF($C$70=0, 0, E16/$C$70)</f>
        <v/>
      </c>
      <c r="G16" s="43">
        <f>F16*$T$5</f>
        <v/>
      </c>
      <c r="H16" s="43" t="n">
        <v>3</v>
      </c>
      <c r="I16" s="43">
        <f>$T$7*H16</f>
        <v/>
      </c>
      <c r="J16" s="43">
        <f>G16+$T$9+I16</f>
        <v/>
      </c>
      <c r="K16" s="43">
        <f>$T$11/64</f>
        <v/>
      </c>
      <c r="L16" s="43" t="n">
        <v>0</v>
      </c>
      <c r="M16" s="43" t="n">
        <v>0</v>
      </c>
      <c r="N16" s="43" t="n">
        <v>0</v>
      </c>
      <c r="O16" s="43" t="n">
        <v>0</v>
      </c>
      <c r="P16" s="43" t="n"/>
      <c r="Q16" s="43" t="n"/>
      <c r="R16" s="43">
        <f>(J16+K16+L16+M16+N16+O16)*$B$2</f>
        <v/>
      </c>
      <c r="S16" s="43" t="inlineStr">
        <is>
          <t>TOTAL FD DONE</t>
        </is>
      </c>
      <c r="T16" s="43" t="n"/>
    </row>
    <row r="17" ht="12.75" customHeight="1">
      <c r="A17" s="40" t="inlineStr">
        <is>
          <t>F12</t>
        </is>
      </c>
      <c r="B17" s="40">
        <f>VLOOKUP(A17,Members!$A$2:$B$65,2,FALSE)</f>
        <v/>
      </c>
      <c r="C17" s="41" t="n">
        <v>0</v>
      </c>
      <c r="D17" s="41">
        <f>SUM($C$3:$C$5)/64</f>
        <v/>
      </c>
      <c r="E17" s="41">
        <f>C17+D17</f>
        <v/>
      </c>
      <c r="F17" s="64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$T$11/64</f>
        <v/>
      </c>
      <c r="L17" s="41" t="n">
        <v>0</v>
      </c>
      <c r="M17" s="41" t="n">
        <v>0</v>
      </c>
      <c r="N17" s="41" t="n">
        <v>0</v>
      </c>
      <c r="O17" s="41" t="n">
        <v>0</v>
      </c>
      <c r="P17" s="41" t="n"/>
      <c r="Q17" s="41" t="n"/>
      <c r="R17" s="41">
        <f>(J17+K17+L17+M17+N17+O17)*$B$2</f>
        <v/>
      </c>
      <c r="S17" s="41" t="inlineStr">
        <is>
          <t>AMOUNT AVAILABLE FOR NON MAINTENANCE CORPUS</t>
        </is>
      </c>
      <c r="T17" s="41">
        <f>T15-T16</f>
        <v/>
      </c>
    </row>
    <row r="18" ht="12.75" customHeight="1">
      <c r="A18" s="42" t="inlineStr">
        <is>
          <t>F13</t>
        </is>
      </c>
      <c r="B18" s="42">
        <f>VLOOKUP(A18,Members!$A$2:$B$65,2,FALSE)</f>
        <v/>
      </c>
      <c r="C18" s="43" t="n">
        <v>0</v>
      </c>
      <c r="D18" s="43">
        <f>SUM($C$3:$C$5)/64</f>
        <v/>
      </c>
      <c r="E18" s="43">
        <f>C18+D18</f>
        <v/>
      </c>
      <c r="F18" s="65">
        <f>IF($C$70=0, 0, E18/$C$70)</f>
        <v/>
      </c>
      <c r="G18" s="43">
        <f>F18*$T$5</f>
        <v/>
      </c>
      <c r="H18" s="43" t="n">
        <v>4</v>
      </c>
      <c r="I18" s="43">
        <f>$T$7*H18</f>
        <v/>
      </c>
      <c r="J18" s="43">
        <f>G18+$T$9+I18</f>
        <v/>
      </c>
      <c r="K18" s="43">
        <f>$T$11/64</f>
        <v/>
      </c>
      <c r="L18" s="43" t="n">
        <v>0</v>
      </c>
      <c r="M18" s="43" t="n">
        <v>0</v>
      </c>
      <c r="N18" s="43" t="n">
        <v>0</v>
      </c>
      <c r="O18" s="43" t="n">
        <v>0</v>
      </c>
      <c r="P18" s="43" t="n"/>
      <c r="Q18" s="43" t="n"/>
      <c r="R18" s="43">
        <f>(J18+K18+L18+M18+N18+O18)*$B$2</f>
        <v/>
      </c>
      <c r="S18" s="43" t="inlineStr">
        <is>
          <t>AMOUNT AVAILABLE FOR MAINTENANCE</t>
        </is>
      </c>
      <c r="T18" s="43">
        <f>T14-T17</f>
        <v/>
      </c>
    </row>
    <row r="19" ht="12.75" customHeight="1">
      <c r="A19" s="40" t="inlineStr">
        <is>
          <t>F14</t>
        </is>
      </c>
      <c r="B19" s="40">
        <f>VLOOKUP(A19,Members!$A$2:$B$65,2,FALSE)</f>
        <v/>
      </c>
      <c r="C19" s="41" t="n">
        <v>0</v>
      </c>
      <c r="D19" s="41">
        <f>SUM($C$3:$C$5)/64</f>
        <v/>
      </c>
      <c r="E19" s="41">
        <f>C19+D19</f>
        <v/>
      </c>
      <c r="F19" s="64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$T$11/64</f>
        <v/>
      </c>
      <c r="L19" s="41" t="n">
        <v>0</v>
      </c>
      <c r="M19" s="41" t="n">
        <v>0</v>
      </c>
      <c r="N19" s="41" t="n">
        <v>0</v>
      </c>
      <c r="O19" s="41" t="n">
        <v>0</v>
      </c>
      <c r="P19" s="41" t="n"/>
      <c r="Q19" s="41" t="n"/>
      <c r="R19" s="41">
        <f>(J19+K19+L19+M19+N19+O19)*$B$2</f>
        <v/>
      </c>
      <c r="S19" s="41" t="n"/>
      <c r="T19" s="41" t="n"/>
    </row>
    <row r="20" ht="12.75" customHeight="1">
      <c r="A20" s="42" t="inlineStr">
        <is>
          <t>F15</t>
        </is>
      </c>
      <c r="B20" s="42">
        <f>VLOOKUP(A20,Members!$A$2:$B$65,2,FALSE)</f>
        <v/>
      </c>
      <c r="C20" s="43" t="n">
        <v>0</v>
      </c>
      <c r="D20" s="43">
        <f>SUM($C$3:$C$5)/64</f>
        <v/>
      </c>
      <c r="E20" s="43">
        <f>C20+D20</f>
        <v/>
      </c>
      <c r="F20" s="65">
        <f>IF($C$70=0, 0, E20/$C$70)</f>
        <v/>
      </c>
      <c r="G20" s="43">
        <f>F20*$T$5</f>
        <v/>
      </c>
      <c r="H20" s="43" t="n">
        <v>4</v>
      </c>
      <c r="I20" s="43">
        <f>$T$7*H20</f>
        <v/>
      </c>
      <c r="J20" s="43">
        <f>G20+$T$9+I20</f>
        <v/>
      </c>
      <c r="K20" s="43">
        <f>$T$11/64</f>
        <v/>
      </c>
      <c r="L20" s="43" t="n">
        <v>0</v>
      </c>
      <c r="M20" s="43" t="n">
        <v>0</v>
      </c>
      <c r="N20" s="43" t="n">
        <v>0</v>
      </c>
      <c r="O20" s="43" t="n">
        <v>0</v>
      </c>
      <c r="P20" s="43" t="n"/>
      <c r="Q20" s="43" t="n"/>
      <c r="R20" s="43">
        <f>(J20+K20+L20+M20+N20+O20)*$B$2</f>
        <v/>
      </c>
      <c r="S20" s="43" t="n"/>
      <c r="T20" s="43" t="n"/>
    </row>
    <row r="21" ht="12.75" customHeight="1">
      <c r="A21" s="40" t="inlineStr">
        <is>
          <t>F16</t>
        </is>
      </c>
      <c r="B21" s="40">
        <f>VLOOKUP(A21,Members!$A$2:$B$65,2,FALSE)</f>
        <v/>
      </c>
      <c r="C21" s="41" t="n">
        <v>0</v>
      </c>
      <c r="D21" s="41">
        <f>SUM($C$3:$C$5)/64</f>
        <v/>
      </c>
      <c r="E21" s="41">
        <f>C21+D21</f>
        <v/>
      </c>
      <c r="F21" s="64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$T$11/64</f>
        <v/>
      </c>
      <c r="L21" s="41" t="n">
        <v>0</v>
      </c>
      <c r="M21" s="41" t="n">
        <v>0</v>
      </c>
      <c r="N21" s="41" t="n">
        <v>0</v>
      </c>
      <c r="O21" s="41" t="n">
        <v>0</v>
      </c>
      <c r="P21" s="41" t="n"/>
      <c r="Q21" s="41" t="n"/>
      <c r="R21" s="41">
        <f>(J21+K21+L21+M21+N21+O21)*$B$2</f>
        <v/>
      </c>
      <c r="S21" s="41" t="n"/>
      <c r="T21" s="41" t="n"/>
    </row>
    <row r="22" ht="12.75" customHeight="1">
      <c r="A22" s="42" t="inlineStr">
        <is>
          <t>G1</t>
        </is>
      </c>
      <c r="B22" s="42">
        <f>VLOOKUP(A22,Members!$A$2:$B$65,2,FALSE)</f>
        <v/>
      </c>
      <c r="C22" s="43" t="n">
        <v>0</v>
      </c>
      <c r="D22" s="43">
        <f>SUM($C$3:$C$5)/64</f>
        <v/>
      </c>
      <c r="E22" s="43">
        <f>C22+D22</f>
        <v/>
      </c>
      <c r="F22" s="65">
        <f>IF($C$70=0, 0, E22/$C$70)</f>
        <v/>
      </c>
      <c r="G22" s="43">
        <f>F22*$T$5</f>
        <v/>
      </c>
      <c r="H22" s="43" t="n">
        <v>3</v>
      </c>
      <c r="I22" s="43">
        <f>$T$7*H22</f>
        <v/>
      </c>
      <c r="J22" s="43">
        <f>G22+$T$9+I22</f>
        <v/>
      </c>
      <c r="K22" s="43">
        <f>$T$11/64</f>
        <v/>
      </c>
      <c r="L22" s="43" t="n">
        <v>0</v>
      </c>
      <c r="M22" s="43" t="n">
        <v>0</v>
      </c>
      <c r="N22" s="43" t="n">
        <v>0</v>
      </c>
      <c r="O22" s="43" t="n">
        <v>0</v>
      </c>
      <c r="P22" s="43" t="n"/>
      <c r="Q22" s="43" t="n"/>
      <c r="R22" s="43">
        <f>(J22+K22+L22+M22+N22+O22)*$B$2</f>
        <v/>
      </c>
      <c r="S22" s="43" t="n"/>
      <c r="T22" s="43" t="n"/>
    </row>
    <row r="23" ht="12.75" customHeight="1">
      <c r="A23" s="40" t="inlineStr">
        <is>
          <t>G2</t>
        </is>
      </c>
      <c r="B23" s="40">
        <f>VLOOKUP(A23,Members!$A$2:$B$65,2,FALSE)</f>
        <v/>
      </c>
      <c r="C23" s="41" t="n">
        <v>0</v>
      </c>
      <c r="D23" s="41">
        <f>SUM($C$3:$C$5)/64</f>
        <v/>
      </c>
      <c r="E23" s="41">
        <f>C23+D23</f>
        <v/>
      </c>
      <c r="F23" s="64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$T$11/64</f>
        <v/>
      </c>
      <c r="L23" s="41" t="n">
        <v>0</v>
      </c>
      <c r="M23" s="41" t="n">
        <v>0</v>
      </c>
      <c r="N23" s="41" t="n">
        <v>0</v>
      </c>
      <c r="O23" s="41" t="n">
        <v>0</v>
      </c>
      <c r="P23" s="41" t="n"/>
      <c r="Q23" s="41" t="n"/>
      <c r="R23" s="41">
        <f>(J23+K23+L23+M23+N23+O23)*$B$2</f>
        <v/>
      </c>
      <c r="S23" s="41" t="n"/>
      <c r="T23" s="41" t="n"/>
    </row>
    <row r="24" ht="12.75" customHeight="1">
      <c r="A24" s="42" t="inlineStr">
        <is>
          <t>G3</t>
        </is>
      </c>
      <c r="B24" s="42">
        <f>VLOOKUP(A24,Members!$A$2:$B$65,2,FALSE)</f>
        <v/>
      </c>
      <c r="C24" s="43" t="n">
        <v>0</v>
      </c>
      <c r="D24" s="43">
        <f>SUM($C$3:$C$5)/64</f>
        <v/>
      </c>
      <c r="E24" s="43">
        <f>C24+D24</f>
        <v/>
      </c>
      <c r="F24" s="65">
        <f>IF($C$70=0, 0, E24/$C$70)</f>
        <v/>
      </c>
      <c r="G24" s="43">
        <f>F24*$T$5</f>
        <v/>
      </c>
      <c r="H24" s="43" t="n">
        <v>4</v>
      </c>
      <c r="I24" s="43">
        <f>$T$7*H24</f>
        <v/>
      </c>
      <c r="J24" s="43">
        <f>G24+$T$9+I24</f>
        <v/>
      </c>
      <c r="K24" s="43">
        <f>$T$11/64</f>
        <v/>
      </c>
      <c r="L24" s="43" t="n">
        <v>0</v>
      </c>
      <c r="M24" s="43" t="n">
        <v>0</v>
      </c>
      <c r="N24" s="43" t="n">
        <v>0</v>
      </c>
      <c r="O24" s="43" t="n">
        <v>0</v>
      </c>
      <c r="P24" s="43" t="n"/>
      <c r="Q24" s="43" t="n"/>
      <c r="R24" s="43">
        <f>(J24+K24+L24+M24+N24+O24)*$B$2</f>
        <v/>
      </c>
      <c r="S24" s="43" t="n"/>
      <c r="T24" s="43" t="n"/>
    </row>
    <row r="25" ht="12.75" customHeight="1">
      <c r="A25" s="40" t="inlineStr">
        <is>
          <t>G4</t>
        </is>
      </c>
      <c r="B25" s="40">
        <f>VLOOKUP(A25,Members!$A$2:$B$65,2,FALSE)</f>
        <v/>
      </c>
      <c r="C25" s="41" t="n">
        <v>0</v>
      </c>
      <c r="D25" s="41">
        <f>SUM($C$3:$C$5)/64</f>
        <v/>
      </c>
      <c r="E25" s="41">
        <f>C25+D25</f>
        <v/>
      </c>
      <c r="F25" s="64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$T$11/64</f>
        <v/>
      </c>
      <c r="L25" s="41" t="n">
        <v>0</v>
      </c>
      <c r="M25" s="41" t="n">
        <v>0</v>
      </c>
      <c r="N25" s="41" t="n">
        <v>0</v>
      </c>
      <c r="O25" s="41" t="n">
        <v>0</v>
      </c>
      <c r="P25" s="41" t="n"/>
      <c r="Q25" s="41" t="n"/>
      <c r="R25" s="41">
        <f>(J25+K25+L25+M25+N25+O25)*$B$2</f>
        <v/>
      </c>
      <c r="S25" s="41" t="n"/>
      <c r="T25" s="41" t="n"/>
    </row>
    <row r="26" ht="12.75" customHeight="1">
      <c r="A26" s="42" t="inlineStr">
        <is>
          <t>G5</t>
        </is>
      </c>
      <c r="B26" s="42">
        <f>VLOOKUP(A26,Members!$A$2:$B$65,2,FALSE)</f>
        <v/>
      </c>
      <c r="C26" s="43" t="n">
        <v>0</v>
      </c>
      <c r="D26" s="43">
        <f>SUM($C$3:$C$5)/64</f>
        <v/>
      </c>
      <c r="E26" s="43">
        <f>C26+D26</f>
        <v/>
      </c>
      <c r="F26" s="65">
        <f>IF($C$70=0, 0, E26/$C$70)</f>
        <v/>
      </c>
      <c r="G26" s="43">
        <f>F26*$T$5</f>
        <v/>
      </c>
      <c r="H26" s="43" t="n">
        <v>3</v>
      </c>
      <c r="I26" s="43">
        <f>$T$7*H26</f>
        <v/>
      </c>
      <c r="J26" s="43">
        <f>G26+$T$9+I26</f>
        <v/>
      </c>
      <c r="K26" s="43">
        <f>$T$11/64</f>
        <v/>
      </c>
      <c r="L26" s="43" t="n">
        <v>0</v>
      </c>
      <c r="M26" s="43" t="n">
        <v>0</v>
      </c>
      <c r="N26" s="43" t="n">
        <v>0</v>
      </c>
      <c r="O26" s="43" t="n">
        <v>0</v>
      </c>
      <c r="P26" s="43" t="n"/>
      <c r="Q26" s="43" t="n"/>
      <c r="R26" s="43">
        <f>(J26+K26+L26+M26+N26+O26)*$B$2</f>
        <v/>
      </c>
      <c r="S26" s="43" t="n"/>
      <c r="T26" s="43" t="n"/>
    </row>
    <row r="27" ht="12.75" customHeight="1">
      <c r="A27" s="40" t="inlineStr">
        <is>
          <t>G6</t>
        </is>
      </c>
      <c r="B27" s="40">
        <f>VLOOKUP(A27,Members!$A$2:$B$65,2,FALSE)</f>
        <v/>
      </c>
      <c r="C27" s="41" t="n">
        <v>0</v>
      </c>
      <c r="D27" s="41">
        <f>SUM($C$3:$C$5)/64</f>
        <v/>
      </c>
      <c r="E27" s="41">
        <f>C27+D27</f>
        <v/>
      </c>
      <c r="F27" s="64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$T$11/64</f>
        <v/>
      </c>
      <c r="L27" s="41" t="n">
        <v>0</v>
      </c>
      <c r="M27" s="41" t="n">
        <v>0</v>
      </c>
      <c r="N27" s="41" t="n">
        <v>0</v>
      </c>
      <c r="O27" s="41" t="n">
        <v>0</v>
      </c>
      <c r="P27" s="41" t="n"/>
      <c r="Q27" s="41" t="n"/>
      <c r="R27" s="41">
        <f>(J27+K27+L27+M27+N27+O27)*$B$2</f>
        <v/>
      </c>
      <c r="S27" s="41" t="n"/>
      <c r="T27" s="41" t="n"/>
    </row>
    <row r="28" ht="12.75" customHeight="1">
      <c r="A28" s="42" t="inlineStr">
        <is>
          <t>G7</t>
        </is>
      </c>
      <c r="B28" s="42">
        <f>VLOOKUP(A28,Members!$A$2:$B$65,2,FALSE)</f>
        <v/>
      </c>
      <c r="C28" s="43" t="n">
        <v>0</v>
      </c>
      <c r="D28" s="43">
        <f>SUM($C$3:$C$5)/64</f>
        <v/>
      </c>
      <c r="E28" s="43">
        <f>C28+D28</f>
        <v/>
      </c>
      <c r="F28" s="65">
        <f>IF($C$70=0, 0, E28/$C$70)</f>
        <v/>
      </c>
      <c r="G28" s="43">
        <f>F28*$T$5</f>
        <v/>
      </c>
      <c r="H28" s="43" t="n">
        <v>3</v>
      </c>
      <c r="I28" s="43">
        <f>$T$7*H28</f>
        <v/>
      </c>
      <c r="J28" s="43">
        <f>G28+$T$9+I28</f>
        <v/>
      </c>
      <c r="K28" s="43">
        <f>$T$11/64</f>
        <v/>
      </c>
      <c r="L28" s="43" t="n">
        <v>0</v>
      </c>
      <c r="M28" s="43" t="n">
        <v>0</v>
      </c>
      <c r="N28" s="43" t="n">
        <v>0</v>
      </c>
      <c r="O28" s="43" t="n">
        <v>0</v>
      </c>
      <c r="P28" s="43" t="n"/>
      <c r="Q28" s="43" t="n"/>
      <c r="R28" s="43">
        <f>(J28+K28+L28+M28+N28+O28)*$B$2</f>
        <v/>
      </c>
      <c r="S28" s="43" t="n"/>
      <c r="T28" s="43" t="n"/>
    </row>
    <row r="29" ht="12.75" customHeight="1">
      <c r="A29" s="40" t="inlineStr">
        <is>
          <t>G8</t>
        </is>
      </c>
      <c r="B29" s="40">
        <f>VLOOKUP(A29,Members!$A$2:$B$65,2,FALSE)</f>
        <v/>
      </c>
      <c r="C29" s="41" t="n">
        <v>0</v>
      </c>
      <c r="D29" s="41">
        <f>SUM($C$3:$C$5)/64</f>
        <v/>
      </c>
      <c r="E29" s="41">
        <f>C29+D29</f>
        <v/>
      </c>
      <c r="F29" s="64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$T$11/64</f>
        <v/>
      </c>
      <c r="L29" s="41" t="n">
        <v>0</v>
      </c>
      <c r="M29" s="41" t="n">
        <v>0</v>
      </c>
      <c r="N29" s="41" t="n">
        <v>0</v>
      </c>
      <c r="O29" s="41" t="n">
        <v>0</v>
      </c>
      <c r="P29" s="41" t="n"/>
      <c r="Q29" s="41" t="n"/>
      <c r="R29" s="41">
        <f>(J29+K29+L29+M29+N29+O29)*$B$2</f>
        <v/>
      </c>
      <c r="S29" s="41" t="n"/>
      <c r="T29" s="41" t="n"/>
    </row>
    <row r="30" ht="12.75" customHeight="1">
      <c r="A30" s="42" t="inlineStr">
        <is>
          <t>G9</t>
        </is>
      </c>
      <c r="B30" s="42">
        <f>VLOOKUP(A30,Members!$A$2:$B$65,2,FALSE)</f>
        <v/>
      </c>
      <c r="C30" s="43" t="n">
        <v>0</v>
      </c>
      <c r="D30" s="43">
        <f>SUM($C$3:$C$5)/64</f>
        <v/>
      </c>
      <c r="E30" s="43">
        <f>C30+D30</f>
        <v/>
      </c>
      <c r="F30" s="65">
        <f>IF($C$70=0, 0, E30/$C$70)</f>
        <v/>
      </c>
      <c r="G30" s="43">
        <f>F30*$T$5</f>
        <v/>
      </c>
      <c r="H30" s="43" t="n">
        <v>5</v>
      </c>
      <c r="I30" s="43">
        <f>$T$7*H30</f>
        <v/>
      </c>
      <c r="J30" s="43">
        <f>G30+$T$9+I30</f>
        <v/>
      </c>
      <c r="K30" s="43">
        <f>$T$11/64</f>
        <v/>
      </c>
      <c r="L30" s="43" t="n">
        <v>0</v>
      </c>
      <c r="M30" s="43" t="n">
        <v>0</v>
      </c>
      <c r="N30" s="43" t="n">
        <v>0</v>
      </c>
      <c r="O30" s="43" t="n">
        <v>0</v>
      </c>
      <c r="P30" s="43" t="n"/>
      <c r="Q30" s="43" t="n"/>
      <c r="R30" s="43">
        <f>(J30+K30+L30+M30+N30+O30)*$B$2</f>
        <v/>
      </c>
      <c r="S30" s="43" t="n"/>
      <c r="T30" s="43" t="n"/>
    </row>
    <row r="31" ht="12.75" customHeight="1">
      <c r="A31" s="40" t="inlineStr">
        <is>
          <t>G10</t>
        </is>
      </c>
      <c r="B31" s="40">
        <f>VLOOKUP(A31,Members!$A$2:$B$65,2,FALSE)</f>
        <v/>
      </c>
      <c r="C31" s="41" t="n">
        <v>0</v>
      </c>
      <c r="D31" s="41">
        <f>SUM($C$3:$C$5)/64</f>
        <v/>
      </c>
      <c r="E31" s="41">
        <f>C31+D31</f>
        <v/>
      </c>
      <c r="F31" s="64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$T$11/64</f>
        <v/>
      </c>
      <c r="L31" s="41" t="n">
        <v>0</v>
      </c>
      <c r="M31" s="41" t="n">
        <v>0</v>
      </c>
      <c r="N31" s="41" t="n">
        <v>0</v>
      </c>
      <c r="O31" s="41" t="n">
        <v>0</v>
      </c>
      <c r="P31" s="41" t="n"/>
      <c r="Q31" s="41" t="n"/>
      <c r="R31" s="41">
        <f>(J31+K31+L31+M31+N31+O31)*$B$2</f>
        <v/>
      </c>
      <c r="S31" s="41" t="n"/>
      <c r="T31" s="41" t="n"/>
    </row>
    <row r="32" ht="12.75" customHeight="1">
      <c r="A32" s="42" t="inlineStr">
        <is>
          <t>G11</t>
        </is>
      </c>
      <c r="B32" s="42">
        <f>VLOOKUP(A32,Members!$A$2:$B$65,2,FALSE)</f>
        <v/>
      </c>
      <c r="C32" s="43" t="n">
        <v>0</v>
      </c>
      <c r="D32" s="43">
        <f>SUM($C$3:$C$5)/64</f>
        <v/>
      </c>
      <c r="E32" s="43">
        <f>C32+D32</f>
        <v/>
      </c>
      <c r="F32" s="65">
        <f>IF($C$70=0, 0, E32/$C$70)</f>
        <v/>
      </c>
      <c r="G32" s="43">
        <f>F32*$T$5</f>
        <v/>
      </c>
      <c r="H32" s="43" t="n">
        <v>3</v>
      </c>
      <c r="I32" s="43">
        <f>$T$7*H32</f>
        <v/>
      </c>
      <c r="J32" s="43">
        <f>G32+$T$9+I32</f>
        <v/>
      </c>
      <c r="K32" s="43">
        <f>$T$11/64</f>
        <v/>
      </c>
      <c r="L32" s="43" t="n">
        <v>0</v>
      </c>
      <c r="M32" s="43" t="n">
        <v>0</v>
      </c>
      <c r="N32" s="43" t="n">
        <v>0</v>
      </c>
      <c r="O32" s="43" t="n">
        <v>0</v>
      </c>
      <c r="P32" s="43" t="n"/>
      <c r="Q32" s="43" t="n"/>
      <c r="R32" s="43">
        <f>(J32+K32+L32+M32+N32+O32)*$B$2</f>
        <v/>
      </c>
      <c r="S32" s="43" t="n"/>
      <c r="T32" s="43" t="n"/>
    </row>
    <row r="33" ht="12.75" customHeight="1">
      <c r="A33" s="40" t="inlineStr">
        <is>
          <t>G12</t>
        </is>
      </c>
      <c r="B33" s="40">
        <f>VLOOKUP(A33,Members!$A$2:$B$65,2,FALSE)</f>
        <v/>
      </c>
      <c r="C33" s="41" t="n">
        <v>0</v>
      </c>
      <c r="D33" s="41">
        <f>SUM($C$3:$C$5)/64</f>
        <v/>
      </c>
      <c r="E33" s="41">
        <f>C33+D33</f>
        <v/>
      </c>
      <c r="F33" s="64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$T$11/64</f>
        <v/>
      </c>
      <c r="L33" s="41" t="n">
        <v>0</v>
      </c>
      <c r="M33" s="41" t="n">
        <v>0</v>
      </c>
      <c r="N33" s="41" t="n">
        <v>0</v>
      </c>
      <c r="O33" s="41" t="n">
        <v>0</v>
      </c>
      <c r="P33" s="41" t="n"/>
      <c r="Q33" s="41" t="n"/>
      <c r="R33" s="41">
        <f>(J33+K33+L33+M33+N33+O33)*$B$2</f>
        <v/>
      </c>
      <c r="S33" s="41" t="n"/>
      <c r="T33" s="41" t="n"/>
    </row>
    <row r="34" ht="12.75" customHeight="1">
      <c r="A34" s="42" t="inlineStr">
        <is>
          <t>G13</t>
        </is>
      </c>
      <c r="B34" s="42">
        <f>VLOOKUP(A34,Members!$A$2:$B$65,2,FALSE)</f>
        <v/>
      </c>
      <c r="C34" s="43" t="n">
        <v>0</v>
      </c>
      <c r="D34" s="43">
        <f>SUM($C$3:$C$5)/64</f>
        <v/>
      </c>
      <c r="E34" s="43">
        <f>C34+D34</f>
        <v/>
      </c>
      <c r="F34" s="65">
        <f>IF($C$70=0, 0, E34/$C$70)</f>
        <v/>
      </c>
      <c r="G34" s="43">
        <f>F34*$T$5</f>
        <v/>
      </c>
      <c r="H34" s="43" t="n">
        <v>4</v>
      </c>
      <c r="I34" s="43">
        <f>$T$7*H34</f>
        <v/>
      </c>
      <c r="J34" s="43">
        <f>G34+$T$9+I34</f>
        <v/>
      </c>
      <c r="K34" s="43">
        <f>$T$11/64</f>
        <v/>
      </c>
      <c r="L34" s="43" t="n">
        <v>0</v>
      </c>
      <c r="M34" s="43" t="n">
        <v>0</v>
      </c>
      <c r="N34" s="43" t="n">
        <v>0</v>
      </c>
      <c r="O34" s="43" t="n">
        <v>0</v>
      </c>
      <c r="P34" s="43" t="n"/>
      <c r="Q34" s="43" t="n"/>
      <c r="R34" s="43">
        <f>(J34+K34+L34+M34+N34+O34)*$B$2</f>
        <v/>
      </c>
      <c r="S34" s="43" t="n"/>
      <c r="T34" s="43" t="n"/>
    </row>
    <row r="35" ht="12.75" customHeight="1">
      <c r="A35" s="40" t="inlineStr">
        <is>
          <t>G14</t>
        </is>
      </c>
      <c r="B35" s="40">
        <f>VLOOKUP(A35,Members!$A$2:$B$65,2,FALSE)</f>
        <v/>
      </c>
      <c r="C35" s="41" t="n">
        <v>0</v>
      </c>
      <c r="D35" s="41">
        <f>SUM($C$3:$C$5)/64</f>
        <v/>
      </c>
      <c r="E35" s="41">
        <f>C35+D35</f>
        <v/>
      </c>
      <c r="F35" s="64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$T$11/64</f>
        <v/>
      </c>
      <c r="L35" s="41" t="n">
        <v>0</v>
      </c>
      <c r="M35" s="41" t="n">
        <v>0</v>
      </c>
      <c r="N35" s="41" t="n">
        <v>0</v>
      </c>
      <c r="O35" s="41" t="n">
        <v>0</v>
      </c>
      <c r="P35" s="41" t="n"/>
      <c r="Q35" s="41" t="n"/>
      <c r="R35" s="41">
        <f>(J35+K35+L35+M35+N35+O35)*$B$2</f>
        <v/>
      </c>
      <c r="S35" s="41" t="n"/>
      <c r="T35" s="41" t="n"/>
    </row>
    <row r="36" ht="12.75" customHeight="1">
      <c r="A36" s="42" t="inlineStr">
        <is>
          <t>G15</t>
        </is>
      </c>
      <c r="B36" s="42">
        <f>VLOOKUP(A36,Members!$A$2:$B$65,2,FALSE)</f>
        <v/>
      </c>
      <c r="C36" s="43" t="n">
        <v>0</v>
      </c>
      <c r="D36" s="43">
        <f>SUM($C$3:$C$5)/64</f>
        <v/>
      </c>
      <c r="E36" s="43">
        <f>C36+D36</f>
        <v/>
      </c>
      <c r="F36" s="65">
        <f>IF($C$70=0, 0, E36/$C$70)</f>
        <v/>
      </c>
      <c r="G36" s="43">
        <f>F36*$T$5</f>
        <v/>
      </c>
      <c r="H36" s="43" t="n">
        <v>4</v>
      </c>
      <c r="I36" s="43">
        <f>$T$7*H36</f>
        <v/>
      </c>
      <c r="J36" s="43">
        <f>G36+$T$9+I36</f>
        <v/>
      </c>
      <c r="K36" s="43">
        <f>$T$11/64</f>
        <v/>
      </c>
      <c r="L36" s="43" t="n">
        <v>0</v>
      </c>
      <c r="M36" s="43" t="n">
        <v>0</v>
      </c>
      <c r="N36" s="43" t="n">
        <v>0</v>
      </c>
      <c r="O36" s="43" t="n">
        <v>0</v>
      </c>
      <c r="P36" s="43" t="n"/>
      <c r="Q36" s="43" t="n"/>
      <c r="R36" s="43">
        <f>(J36+K36+L36+M36+N36+O36)*$B$2</f>
        <v/>
      </c>
      <c r="S36" s="43" t="n"/>
      <c r="T36" s="43" t="n"/>
    </row>
    <row r="37" ht="12.75" customHeight="1">
      <c r="A37" s="40" t="inlineStr">
        <is>
          <t>G16</t>
        </is>
      </c>
      <c r="B37" s="40">
        <f>VLOOKUP(A37,Members!$A$2:$B$65,2,FALSE)</f>
        <v/>
      </c>
      <c r="C37" s="41" t="n">
        <v>0</v>
      </c>
      <c r="D37" s="41">
        <f>SUM($C$3:$C$5)/64</f>
        <v/>
      </c>
      <c r="E37" s="41">
        <f>C37+D37</f>
        <v/>
      </c>
      <c r="F37" s="64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$T$11/64</f>
        <v/>
      </c>
      <c r="L37" s="41" t="n">
        <v>0</v>
      </c>
      <c r="M37" s="41" t="n">
        <v>0</v>
      </c>
      <c r="N37" s="41" t="n">
        <v>0</v>
      </c>
      <c r="O37" s="41" t="n">
        <v>0</v>
      </c>
      <c r="P37" s="41" t="n"/>
      <c r="Q37" s="41" t="n"/>
      <c r="R37" s="41">
        <f>(J37+K37+L37+M37+N37+O37)*$B$2</f>
        <v/>
      </c>
      <c r="S37" s="41" t="n"/>
      <c r="T37" s="41" t="n"/>
    </row>
    <row r="38" ht="12.75" customHeight="1">
      <c r="A38" s="42" t="inlineStr">
        <is>
          <t>S1</t>
        </is>
      </c>
      <c r="B38" s="42">
        <f>VLOOKUP(A38,Members!$A$2:$B$65,2,FALSE)</f>
        <v/>
      </c>
      <c r="C38" s="43" t="n">
        <v>0</v>
      </c>
      <c r="D38" s="43">
        <f>SUM($C$3:$C$5)/64</f>
        <v/>
      </c>
      <c r="E38" s="43">
        <f>C38+D38</f>
        <v/>
      </c>
      <c r="F38" s="65">
        <f>IF($C$70=0, 0, E38/$C$70)</f>
        <v/>
      </c>
      <c r="G38" s="43">
        <f>F38*$T$5</f>
        <v/>
      </c>
      <c r="H38" s="43" t="n">
        <v>3</v>
      </c>
      <c r="I38" s="43">
        <f>$T$7*H38</f>
        <v/>
      </c>
      <c r="J38" s="43">
        <f>G38+$T$9+I38</f>
        <v/>
      </c>
      <c r="K38" s="43">
        <f>$T$11/64</f>
        <v/>
      </c>
      <c r="L38" s="43" t="n">
        <v>0</v>
      </c>
      <c r="M38" s="43" t="n">
        <v>0</v>
      </c>
      <c r="N38" s="43" t="n">
        <v>0</v>
      </c>
      <c r="O38" s="43" t="n">
        <v>0</v>
      </c>
      <c r="P38" s="43" t="n"/>
      <c r="Q38" s="43" t="n"/>
      <c r="R38" s="43">
        <f>(J38+K38+L38+M38+N38+O38)*$B$2</f>
        <v/>
      </c>
      <c r="S38" s="43" t="n"/>
      <c r="T38" s="43" t="n"/>
    </row>
    <row r="39" ht="12.75" customHeight="1">
      <c r="A39" s="40" t="inlineStr">
        <is>
          <t>S2</t>
        </is>
      </c>
      <c r="B39" s="40">
        <f>VLOOKUP(A39,Members!$A$2:$B$65,2,FALSE)</f>
        <v/>
      </c>
      <c r="C39" s="41" t="n">
        <v>0</v>
      </c>
      <c r="D39" s="41">
        <f>SUM($C$3:$C$5)/64</f>
        <v/>
      </c>
      <c r="E39" s="41">
        <f>C39+D39</f>
        <v/>
      </c>
      <c r="F39" s="64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$T$11/64</f>
        <v/>
      </c>
      <c r="L39" s="41" t="n">
        <v>0</v>
      </c>
      <c r="M39" s="41" t="n">
        <v>0</v>
      </c>
      <c r="N39" s="41" t="n">
        <v>0</v>
      </c>
      <c r="O39" s="41" t="n">
        <v>0</v>
      </c>
      <c r="P39" s="41" t="n"/>
      <c r="Q39" s="41" t="n"/>
      <c r="R39" s="41">
        <f>(J39+K39+L39+M39+N39+O39)*$B$2</f>
        <v/>
      </c>
      <c r="S39" s="41" t="n"/>
      <c r="T39" s="41" t="n"/>
    </row>
    <row r="40" ht="12.75" customHeight="1">
      <c r="A40" s="42" t="inlineStr">
        <is>
          <t>S3</t>
        </is>
      </c>
      <c r="B40" s="42">
        <f>VLOOKUP(A40,Members!$A$2:$B$65,2,FALSE)</f>
        <v/>
      </c>
      <c r="C40" s="43" t="n">
        <v>0</v>
      </c>
      <c r="D40" s="43">
        <f>SUM($C$3:$C$5)/64</f>
        <v/>
      </c>
      <c r="E40" s="43">
        <f>C40+D40</f>
        <v/>
      </c>
      <c r="F40" s="65">
        <f>IF($C$70=0, 0, E40/$C$70)</f>
        <v/>
      </c>
      <c r="G40" s="43">
        <f>F40*$T$5</f>
        <v/>
      </c>
      <c r="H40" s="43" t="n">
        <v>4</v>
      </c>
      <c r="I40" s="43">
        <f>$T$7*H40</f>
        <v/>
      </c>
      <c r="J40" s="43">
        <f>G40+$T$9+I40</f>
        <v/>
      </c>
      <c r="K40" s="43">
        <f>$T$11/64</f>
        <v/>
      </c>
      <c r="L40" s="43" t="n">
        <v>0</v>
      </c>
      <c r="M40" s="43" t="n">
        <v>0</v>
      </c>
      <c r="N40" s="43" t="n">
        <v>0</v>
      </c>
      <c r="O40" s="43" t="n">
        <v>0</v>
      </c>
      <c r="P40" s="43" t="n"/>
      <c r="Q40" s="43" t="n"/>
      <c r="R40" s="43">
        <f>(J40+K40+L40+M40+N40+O40)*$B$2</f>
        <v/>
      </c>
      <c r="S40" s="43" t="n"/>
      <c r="T40" s="43" t="n"/>
    </row>
    <row r="41" ht="12.75" customHeight="1">
      <c r="A41" s="40" t="inlineStr">
        <is>
          <t>S4</t>
        </is>
      </c>
      <c r="B41" s="40">
        <f>VLOOKUP(A41,Members!$A$2:$B$65,2,FALSE)</f>
        <v/>
      </c>
      <c r="C41" s="41" t="n">
        <v>0</v>
      </c>
      <c r="D41" s="41">
        <f>SUM($C$3:$C$5)/64</f>
        <v/>
      </c>
      <c r="E41" s="41">
        <f>C41+D41</f>
        <v/>
      </c>
      <c r="F41" s="64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$T$11/64</f>
        <v/>
      </c>
      <c r="L41" s="41" t="n">
        <v>0</v>
      </c>
      <c r="M41" s="41" t="n">
        <v>0</v>
      </c>
      <c r="N41" s="41" t="n">
        <v>0</v>
      </c>
      <c r="O41" s="41" t="n">
        <v>0</v>
      </c>
      <c r="P41" s="41" t="n"/>
      <c r="Q41" s="41" t="n"/>
      <c r="R41" s="41">
        <f>(J41+K41+L41+M41+N41+O41)*$B$2</f>
        <v/>
      </c>
      <c r="S41" s="41" t="n"/>
      <c r="T41" s="41" t="n"/>
    </row>
    <row r="42" ht="12.75" customHeight="1">
      <c r="A42" s="42" t="inlineStr">
        <is>
          <t>S5</t>
        </is>
      </c>
      <c r="B42" s="42">
        <f>VLOOKUP(A42,Members!$A$2:$B$65,2,FALSE)</f>
        <v/>
      </c>
      <c r="C42" s="43" t="n">
        <v>0</v>
      </c>
      <c r="D42" s="43">
        <f>SUM($C$3:$C$5)/64</f>
        <v/>
      </c>
      <c r="E42" s="43">
        <f>C42+D42</f>
        <v/>
      </c>
      <c r="F42" s="65">
        <f>IF($C$70=0, 0, E42/$C$70)</f>
        <v/>
      </c>
      <c r="G42" s="43">
        <f>F42*$T$5</f>
        <v/>
      </c>
      <c r="H42" s="43" t="n">
        <v>3</v>
      </c>
      <c r="I42" s="43">
        <f>$T$7*H42</f>
        <v/>
      </c>
      <c r="J42" s="43">
        <f>G42+$T$9+I42</f>
        <v/>
      </c>
      <c r="K42" s="43">
        <f>$T$11/64</f>
        <v/>
      </c>
      <c r="L42" s="43" t="n">
        <v>0</v>
      </c>
      <c r="M42" s="43" t="n">
        <v>0</v>
      </c>
      <c r="N42" s="43" t="n">
        <v>0</v>
      </c>
      <c r="O42" s="43" t="n">
        <v>0</v>
      </c>
      <c r="P42" s="43" t="n"/>
      <c r="Q42" s="43" t="n"/>
      <c r="R42" s="43">
        <f>(J42+K42+L42+M42+N42+O42)*$B$2</f>
        <v/>
      </c>
      <c r="S42" s="43" t="n"/>
      <c r="T42" s="43" t="n"/>
    </row>
    <row r="43" ht="12.75" customHeight="1">
      <c r="A43" s="40" t="inlineStr">
        <is>
          <t>S6</t>
        </is>
      </c>
      <c r="B43" s="40">
        <f>VLOOKUP(A43,Members!$A$2:$B$65,2,FALSE)</f>
        <v/>
      </c>
      <c r="C43" s="41" t="n">
        <v>0</v>
      </c>
      <c r="D43" s="41">
        <f>SUM($C$3:$C$5)/64</f>
        <v/>
      </c>
      <c r="E43" s="41">
        <f>C43+D43</f>
        <v/>
      </c>
      <c r="F43" s="64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$T$11/64</f>
        <v/>
      </c>
      <c r="L43" s="41" t="n">
        <v>0</v>
      </c>
      <c r="M43" s="41" t="n">
        <v>0</v>
      </c>
      <c r="N43" s="41" t="n">
        <v>0</v>
      </c>
      <c r="O43" s="41" t="n">
        <v>0</v>
      </c>
      <c r="P43" s="41" t="n"/>
      <c r="Q43" s="41" t="n"/>
      <c r="R43" s="41">
        <f>(J43+K43+L43+M43+N43+O43)*$B$2</f>
        <v/>
      </c>
      <c r="S43" s="41" t="n"/>
      <c r="T43" s="41" t="n"/>
    </row>
    <row r="44" ht="12.75" customHeight="1">
      <c r="A44" s="42" t="inlineStr">
        <is>
          <t>S7</t>
        </is>
      </c>
      <c r="B44" s="42">
        <f>VLOOKUP(A44,Members!$A$2:$B$65,2,FALSE)</f>
        <v/>
      </c>
      <c r="C44" s="43" t="n">
        <v>0</v>
      </c>
      <c r="D44" s="43">
        <f>SUM($C$3:$C$5)/64</f>
        <v/>
      </c>
      <c r="E44" s="43">
        <f>C44+D44</f>
        <v/>
      </c>
      <c r="F44" s="65">
        <f>IF($C$70=0, 0, E44/$C$70)</f>
        <v/>
      </c>
      <c r="G44" s="43">
        <f>F44*$T$5</f>
        <v/>
      </c>
      <c r="H44" s="43" t="n">
        <v>3</v>
      </c>
      <c r="I44" s="43">
        <f>$T$7*H44</f>
        <v/>
      </c>
      <c r="J44" s="43">
        <f>G44+$T$9+I44</f>
        <v/>
      </c>
      <c r="K44" s="43">
        <f>$T$11/64</f>
        <v/>
      </c>
      <c r="L44" s="43" t="n">
        <v>0</v>
      </c>
      <c r="M44" s="43" t="n">
        <v>0</v>
      </c>
      <c r="N44" s="43" t="n">
        <v>0</v>
      </c>
      <c r="O44" s="43" t="n">
        <v>0</v>
      </c>
      <c r="P44" s="43" t="n"/>
      <c r="Q44" s="43" t="n"/>
      <c r="R44" s="43">
        <f>(J44+K44+L44+M44+N44+O44)*$B$2</f>
        <v/>
      </c>
      <c r="S44" s="43" t="n"/>
      <c r="T44" s="43" t="n"/>
    </row>
    <row r="45" ht="12.75" customHeight="1">
      <c r="A45" s="40" t="inlineStr">
        <is>
          <t>S8</t>
        </is>
      </c>
      <c r="B45" s="40">
        <f>VLOOKUP(A45,Members!$A$2:$B$65,2,FALSE)</f>
        <v/>
      </c>
      <c r="C45" s="41" t="n">
        <v>0</v>
      </c>
      <c r="D45" s="41">
        <f>SUM($C$3:$C$5)/64</f>
        <v/>
      </c>
      <c r="E45" s="41">
        <f>C45+D45</f>
        <v/>
      </c>
      <c r="F45" s="64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$T$11/64</f>
        <v/>
      </c>
      <c r="L45" s="41" t="n">
        <v>0</v>
      </c>
      <c r="M45" s="41" t="n">
        <v>0</v>
      </c>
      <c r="N45" s="41" t="n">
        <v>0</v>
      </c>
      <c r="O45" s="41" t="n">
        <v>0</v>
      </c>
      <c r="P45" s="41" t="n"/>
      <c r="Q45" s="41" t="n"/>
      <c r="R45" s="41">
        <f>(J45+K45+L45+M45+N45+O45)*$B$2</f>
        <v/>
      </c>
      <c r="S45" s="41" t="n"/>
      <c r="T45" s="41" t="n"/>
    </row>
    <row r="46" ht="12.75" customHeight="1">
      <c r="A46" s="42" t="inlineStr">
        <is>
          <t>S9</t>
        </is>
      </c>
      <c r="B46" s="42">
        <f>VLOOKUP(A46,Members!$A$2:$B$65,2,FALSE)</f>
        <v/>
      </c>
      <c r="C46" s="43" t="n">
        <v>0</v>
      </c>
      <c r="D46" s="43">
        <f>SUM($C$3:$C$5)/64</f>
        <v/>
      </c>
      <c r="E46" s="43">
        <f>C46+D46</f>
        <v/>
      </c>
      <c r="F46" s="65">
        <f>IF($C$70=0, 0, E46/$C$70)</f>
        <v/>
      </c>
      <c r="G46" s="43">
        <f>F46*$T$5</f>
        <v/>
      </c>
      <c r="H46" s="43" t="n">
        <v>4</v>
      </c>
      <c r="I46" s="43">
        <f>$T$7*H46</f>
        <v/>
      </c>
      <c r="J46" s="43">
        <f>G46+$T$9+I46</f>
        <v/>
      </c>
      <c r="K46" s="43">
        <f>$T$11/64</f>
        <v/>
      </c>
      <c r="L46" s="43" t="n">
        <v>0</v>
      </c>
      <c r="M46" s="43" t="n">
        <v>0</v>
      </c>
      <c r="N46" s="43" t="n">
        <v>0</v>
      </c>
      <c r="O46" s="43" t="n">
        <v>0</v>
      </c>
      <c r="P46" s="43" t="n"/>
      <c r="Q46" s="43" t="n"/>
      <c r="R46" s="43">
        <f>(J46+K46+L46+M46+N46+O46)*$B$2</f>
        <v/>
      </c>
      <c r="S46" s="43" t="n"/>
      <c r="T46" s="43" t="n"/>
    </row>
    <row r="47" ht="12.75" customHeight="1">
      <c r="A47" s="40" t="inlineStr">
        <is>
          <t>S10</t>
        </is>
      </c>
      <c r="B47" s="40">
        <f>VLOOKUP(A47,Members!$A$2:$B$65,2,FALSE)</f>
        <v/>
      </c>
      <c r="C47" s="41" t="n">
        <v>0</v>
      </c>
      <c r="D47" s="41">
        <f>SUM($C$3:$C$5)/64</f>
        <v/>
      </c>
      <c r="E47" s="41">
        <f>C47+D47</f>
        <v/>
      </c>
      <c r="F47" s="64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$T$11/64</f>
        <v/>
      </c>
      <c r="L47" s="41" t="n">
        <v>0</v>
      </c>
      <c r="M47" s="41" t="n">
        <v>0</v>
      </c>
      <c r="N47" s="41" t="n">
        <v>0</v>
      </c>
      <c r="O47" s="41" t="n">
        <v>0</v>
      </c>
      <c r="P47" s="41" t="n"/>
      <c r="Q47" s="41" t="n"/>
      <c r="R47" s="41">
        <f>(J47+K47+L47+M47+N47+O47)*$B$2</f>
        <v/>
      </c>
      <c r="S47" s="41" t="n"/>
      <c r="T47" s="41" t="n"/>
    </row>
    <row r="48" ht="12.75" customHeight="1">
      <c r="A48" s="42" t="inlineStr">
        <is>
          <t>S11</t>
        </is>
      </c>
      <c r="B48" s="42">
        <f>VLOOKUP(A48,Members!$A$2:$B$65,2,FALSE)</f>
        <v/>
      </c>
      <c r="C48" s="43" t="n">
        <v>0</v>
      </c>
      <c r="D48" s="43">
        <f>SUM($C$3:$C$5)/64</f>
        <v/>
      </c>
      <c r="E48" s="43">
        <f>C48+D48</f>
        <v/>
      </c>
      <c r="F48" s="65">
        <f>IF($C$70=0, 0, E48/$C$70)</f>
        <v/>
      </c>
      <c r="G48" s="43">
        <f>F48*$T$5</f>
        <v/>
      </c>
      <c r="H48" s="43" t="n">
        <v>3</v>
      </c>
      <c r="I48" s="43">
        <f>$T$7*H48</f>
        <v/>
      </c>
      <c r="J48" s="43">
        <f>G48+$T$9+I48</f>
        <v/>
      </c>
      <c r="K48" s="43">
        <f>$T$11/64</f>
        <v/>
      </c>
      <c r="L48" s="43" t="n">
        <v>0</v>
      </c>
      <c r="M48" s="43" t="n">
        <v>0</v>
      </c>
      <c r="N48" s="43" t="n">
        <v>0</v>
      </c>
      <c r="O48" s="43" t="n">
        <v>0</v>
      </c>
      <c r="P48" s="43" t="n"/>
      <c r="Q48" s="43" t="n"/>
      <c r="R48" s="43">
        <f>(J48+K48+L48+M48+N48+O48)*$B$2</f>
        <v/>
      </c>
      <c r="S48" s="43" t="n"/>
      <c r="T48" s="43" t="n"/>
    </row>
    <row r="49" ht="12.75" customHeight="1">
      <c r="A49" s="40" t="inlineStr">
        <is>
          <t>S12</t>
        </is>
      </c>
      <c r="B49" s="40">
        <f>VLOOKUP(A49,Members!$A$2:$B$65,2,FALSE)</f>
        <v/>
      </c>
      <c r="C49" s="41" t="n">
        <v>0</v>
      </c>
      <c r="D49" s="41">
        <f>SUM($C$3:$C$5)/64</f>
        <v/>
      </c>
      <c r="E49" s="41">
        <f>C49+D49</f>
        <v/>
      </c>
      <c r="F49" s="64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$T$11/64</f>
        <v/>
      </c>
      <c r="L49" s="41" t="n">
        <v>0</v>
      </c>
      <c r="M49" s="41" t="n">
        <v>0</v>
      </c>
      <c r="N49" s="41" t="n">
        <v>0</v>
      </c>
      <c r="O49" s="41" t="n">
        <v>0</v>
      </c>
      <c r="P49" s="41" t="n"/>
      <c r="Q49" s="41" t="n"/>
      <c r="R49" s="41">
        <f>(J49+K49+L49+M49+N49+O49)*$B$2</f>
        <v/>
      </c>
      <c r="S49" s="41" t="n"/>
      <c r="T49" s="41" t="n"/>
    </row>
    <row r="50" ht="12.75" customHeight="1">
      <c r="A50" s="42" t="inlineStr">
        <is>
          <t>S13</t>
        </is>
      </c>
      <c r="B50" s="42">
        <f>VLOOKUP(A50,Members!$A$2:$B$65,2,FALSE)</f>
        <v/>
      </c>
      <c r="C50" s="43" t="n">
        <v>0</v>
      </c>
      <c r="D50" s="43">
        <f>SUM($C$3:$C$5)/64</f>
        <v/>
      </c>
      <c r="E50" s="43">
        <f>C50+D50</f>
        <v/>
      </c>
      <c r="F50" s="65">
        <f>IF($C$70=0, 0, E50/$C$70)</f>
        <v/>
      </c>
      <c r="G50" s="43">
        <f>F50*$T$5</f>
        <v/>
      </c>
      <c r="H50" s="43" t="n">
        <v>4</v>
      </c>
      <c r="I50" s="43">
        <f>$T$7*H50</f>
        <v/>
      </c>
      <c r="J50" s="43">
        <f>G50+$T$9+I50</f>
        <v/>
      </c>
      <c r="K50" s="43">
        <f>$T$11/64</f>
        <v/>
      </c>
      <c r="L50" s="43" t="n">
        <v>0</v>
      </c>
      <c r="M50" s="43" t="n">
        <v>0</v>
      </c>
      <c r="N50" s="43" t="n">
        <v>0</v>
      </c>
      <c r="O50" s="43" t="n">
        <v>0</v>
      </c>
      <c r="P50" s="43" t="n"/>
      <c r="Q50" s="43" t="n"/>
      <c r="R50" s="43">
        <f>(J50+K50+L50+M50+N50+O50)*$B$2</f>
        <v/>
      </c>
      <c r="S50" s="43" t="n"/>
      <c r="T50" s="43" t="n"/>
    </row>
    <row r="51" ht="12.75" customHeight="1">
      <c r="A51" s="40" t="inlineStr">
        <is>
          <t>S14</t>
        </is>
      </c>
      <c r="B51" s="40">
        <f>VLOOKUP(A51,Members!$A$2:$B$65,2,FALSE)</f>
        <v/>
      </c>
      <c r="C51" s="41" t="n">
        <v>0</v>
      </c>
      <c r="D51" s="41">
        <f>SUM($C$3:$C$5)/64</f>
        <v/>
      </c>
      <c r="E51" s="41">
        <f>C51+D51</f>
        <v/>
      </c>
      <c r="F51" s="64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$T$11/64</f>
        <v/>
      </c>
      <c r="L51" s="41" t="n">
        <v>0</v>
      </c>
      <c r="M51" s="41" t="n">
        <v>0</v>
      </c>
      <c r="N51" s="41" t="n">
        <v>0</v>
      </c>
      <c r="O51" s="41" t="n">
        <v>0</v>
      </c>
      <c r="P51" s="41" t="n"/>
      <c r="Q51" s="41" t="n"/>
      <c r="R51" s="41">
        <f>(J51+K51+L51+M51+N51+O51)*$B$2</f>
        <v/>
      </c>
      <c r="S51" s="41" t="n"/>
      <c r="T51" s="41" t="n"/>
    </row>
    <row r="52" ht="12.75" customHeight="1">
      <c r="A52" s="42" t="inlineStr">
        <is>
          <t>S15</t>
        </is>
      </c>
      <c r="B52" s="42">
        <f>VLOOKUP(A52,Members!$A$2:$B$65,2,FALSE)</f>
        <v/>
      </c>
      <c r="C52" s="43" t="n">
        <v>0</v>
      </c>
      <c r="D52" s="43">
        <f>SUM($C$3:$C$5)/64</f>
        <v/>
      </c>
      <c r="E52" s="43">
        <f>C52+D52</f>
        <v/>
      </c>
      <c r="F52" s="65">
        <f>IF($C$70=0, 0, E52/$C$70)</f>
        <v/>
      </c>
      <c r="G52" s="43">
        <f>F52*$T$5</f>
        <v/>
      </c>
      <c r="H52" s="43" t="n">
        <v>4</v>
      </c>
      <c r="I52" s="43">
        <f>$T$7*H52</f>
        <v/>
      </c>
      <c r="J52" s="43">
        <f>G52+$T$9+I52</f>
        <v/>
      </c>
      <c r="K52" s="43">
        <f>$T$11/64</f>
        <v/>
      </c>
      <c r="L52" s="43" t="n">
        <v>0</v>
      </c>
      <c r="M52" s="43" t="n">
        <v>0</v>
      </c>
      <c r="N52" s="43" t="n">
        <v>0</v>
      </c>
      <c r="O52" s="43" t="n">
        <v>0</v>
      </c>
      <c r="P52" s="43" t="n"/>
      <c r="Q52" s="43" t="n"/>
      <c r="R52" s="43">
        <f>(J52+K52+L52+M52+N52+O52)*$B$2</f>
        <v/>
      </c>
      <c r="S52" s="43" t="n"/>
      <c r="T52" s="43" t="n"/>
    </row>
    <row r="53" ht="12.75" customHeight="1">
      <c r="A53" s="40" t="inlineStr">
        <is>
          <t>S16</t>
        </is>
      </c>
      <c r="B53" s="40">
        <f>VLOOKUP(A53,Members!$A$2:$B$65,2,FALSE)</f>
        <v/>
      </c>
      <c r="C53" s="41" t="n">
        <v>0</v>
      </c>
      <c r="D53" s="41">
        <f>SUM($C$3:$C$5)/64</f>
        <v/>
      </c>
      <c r="E53" s="41">
        <f>C53+D53</f>
        <v/>
      </c>
      <c r="F53" s="64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$T$11/64</f>
        <v/>
      </c>
      <c r="L53" s="41" t="n">
        <v>0</v>
      </c>
      <c r="M53" s="41" t="n">
        <v>0</v>
      </c>
      <c r="N53" s="41" t="n">
        <v>0</v>
      </c>
      <c r="O53" s="41" t="n">
        <v>0</v>
      </c>
      <c r="P53" s="41" t="n"/>
      <c r="Q53" s="41" t="n"/>
      <c r="R53" s="41">
        <f>(J53+K53+L53+M53+N53+O53)*$B$2</f>
        <v/>
      </c>
      <c r="S53" s="41" t="n"/>
      <c r="T53" s="41" t="n"/>
    </row>
    <row r="54" ht="12.75" customHeight="1">
      <c r="A54" s="42" t="inlineStr">
        <is>
          <t>T1</t>
        </is>
      </c>
      <c r="B54" s="42">
        <f>VLOOKUP(A54,Members!$A$2:$B$65,2,FALSE)</f>
        <v/>
      </c>
      <c r="C54" s="43" t="n">
        <v>0</v>
      </c>
      <c r="D54" s="43">
        <f>SUM($C$3:$C$5)/64</f>
        <v/>
      </c>
      <c r="E54" s="43">
        <f>C54+D54</f>
        <v/>
      </c>
      <c r="F54" s="65">
        <f>IF($C$70=0, 0, E54/$C$70)</f>
        <v/>
      </c>
      <c r="G54" s="43">
        <f>F54*$T$5</f>
        <v/>
      </c>
      <c r="H54" s="43" t="n">
        <v>3</v>
      </c>
      <c r="I54" s="43">
        <f>$T$7*H54</f>
        <v/>
      </c>
      <c r="J54" s="43">
        <f>G54+$T$9+I54</f>
        <v/>
      </c>
      <c r="K54" s="43">
        <f>$T$11/64</f>
        <v/>
      </c>
      <c r="L54" s="43" t="n">
        <v>0</v>
      </c>
      <c r="M54" s="43" t="n">
        <v>0</v>
      </c>
      <c r="N54" s="43" t="n">
        <v>0</v>
      </c>
      <c r="O54" s="43" t="n">
        <v>0</v>
      </c>
      <c r="P54" s="43" t="n"/>
      <c r="Q54" s="43" t="n"/>
      <c r="R54" s="43">
        <f>(J54+K54+L54+M54+N54+O54)*$B$2</f>
        <v/>
      </c>
      <c r="S54" s="43" t="n"/>
      <c r="T54" s="43" t="n"/>
    </row>
    <row r="55" ht="12.75" customHeight="1">
      <c r="A55" s="40" t="inlineStr">
        <is>
          <t>T2</t>
        </is>
      </c>
      <c r="B55" s="40">
        <f>VLOOKUP(A55,Members!$A$2:$B$65,2,FALSE)</f>
        <v/>
      </c>
      <c r="C55" s="41" t="n">
        <v>0</v>
      </c>
      <c r="D55" s="41">
        <f>SUM($C$3:$C$5)/64</f>
        <v/>
      </c>
      <c r="E55" s="41">
        <f>C55+D55</f>
        <v/>
      </c>
      <c r="F55" s="64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$T$11/64</f>
        <v/>
      </c>
      <c r="L55" s="41" t="n">
        <v>0</v>
      </c>
      <c r="M55" s="41" t="n">
        <v>0</v>
      </c>
      <c r="N55" s="41" t="n">
        <v>0</v>
      </c>
      <c r="O55" s="41" t="n">
        <v>0</v>
      </c>
      <c r="P55" s="41" t="n"/>
      <c r="Q55" s="41" t="n"/>
      <c r="R55" s="41">
        <f>(J55+K55+L55+M55+N55+O55)*$B$2</f>
        <v/>
      </c>
      <c r="S55" s="41" t="n"/>
      <c r="T55" s="41" t="n"/>
    </row>
    <row r="56" ht="12.75" customHeight="1">
      <c r="A56" s="42" t="inlineStr">
        <is>
          <t>T3</t>
        </is>
      </c>
      <c r="B56" s="42">
        <f>VLOOKUP(A56,Members!$A$2:$B$65,2,FALSE)</f>
        <v/>
      </c>
      <c r="C56" s="43" t="n">
        <v>0</v>
      </c>
      <c r="D56" s="43">
        <f>SUM($C$3:$C$5)/64</f>
        <v/>
      </c>
      <c r="E56" s="43">
        <f>C56+D56</f>
        <v/>
      </c>
      <c r="F56" s="65">
        <f>IF($C$70=0, 0, E56/$C$70)</f>
        <v/>
      </c>
      <c r="G56" s="43">
        <f>F56*$T$5</f>
        <v/>
      </c>
      <c r="H56" s="43" t="n">
        <v>4</v>
      </c>
      <c r="I56" s="43">
        <f>$T$7*H56</f>
        <v/>
      </c>
      <c r="J56" s="43">
        <f>G56+$T$9+I56</f>
        <v/>
      </c>
      <c r="K56" s="43">
        <f>$T$11/64</f>
        <v/>
      </c>
      <c r="L56" s="43" t="n">
        <v>0</v>
      </c>
      <c r="M56" s="43" t="n">
        <v>0</v>
      </c>
      <c r="N56" s="43" t="n">
        <v>0</v>
      </c>
      <c r="O56" s="43" t="n">
        <v>0</v>
      </c>
      <c r="P56" s="43" t="n"/>
      <c r="Q56" s="43" t="n"/>
      <c r="R56" s="43">
        <f>(J56+K56+L56+M56+N56+O56)*$B$2</f>
        <v/>
      </c>
      <c r="S56" s="43" t="n"/>
      <c r="T56" s="43" t="n"/>
    </row>
    <row r="57" ht="12.75" customHeight="1">
      <c r="A57" s="40" t="inlineStr">
        <is>
          <t>T4</t>
        </is>
      </c>
      <c r="B57" s="40">
        <f>VLOOKUP(A57,Members!$A$2:$B$65,2,FALSE)</f>
        <v/>
      </c>
      <c r="C57" s="41" t="n">
        <v>0</v>
      </c>
      <c r="D57" s="41">
        <f>SUM($C$3:$C$5)/64</f>
        <v/>
      </c>
      <c r="E57" s="41">
        <f>C57+D57</f>
        <v/>
      </c>
      <c r="F57" s="64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$T$11/64</f>
        <v/>
      </c>
      <c r="L57" s="41" t="n">
        <v>0</v>
      </c>
      <c r="M57" s="41" t="n">
        <v>0</v>
      </c>
      <c r="N57" s="41" t="n">
        <v>0</v>
      </c>
      <c r="O57" s="41" t="n">
        <v>0</v>
      </c>
      <c r="P57" s="41" t="n"/>
      <c r="Q57" s="41" t="n"/>
      <c r="R57" s="41">
        <f>(J57+K57+L57+M57+N57+O57)*$B$2</f>
        <v/>
      </c>
      <c r="S57" s="41" t="n"/>
      <c r="T57" s="41" t="n"/>
    </row>
    <row r="58" ht="12.75" customHeight="1">
      <c r="A58" s="42" t="inlineStr">
        <is>
          <t>T5</t>
        </is>
      </c>
      <c r="B58" s="42">
        <f>VLOOKUP(A58,Members!$A$2:$B$65,2,FALSE)</f>
        <v/>
      </c>
      <c r="C58" s="43" t="n">
        <v>0</v>
      </c>
      <c r="D58" s="43">
        <f>SUM($C$3:$C$5)/64</f>
        <v/>
      </c>
      <c r="E58" s="43">
        <f>C58+D58</f>
        <v/>
      </c>
      <c r="F58" s="65">
        <f>IF($C$70=0, 0, E58/$C$70)</f>
        <v/>
      </c>
      <c r="G58" s="43">
        <f>F58*$T$5</f>
        <v/>
      </c>
      <c r="H58" s="43" t="n">
        <v>3</v>
      </c>
      <c r="I58" s="43">
        <f>$T$7*H58</f>
        <v/>
      </c>
      <c r="J58" s="43">
        <f>G58+$T$9+I58</f>
        <v/>
      </c>
      <c r="K58" s="43">
        <f>$T$11/64</f>
        <v/>
      </c>
      <c r="L58" s="43" t="n">
        <v>0</v>
      </c>
      <c r="M58" s="43" t="n">
        <v>0</v>
      </c>
      <c r="N58" s="43" t="n">
        <v>0</v>
      </c>
      <c r="O58" s="43" t="n">
        <v>0</v>
      </c>
      <c r="P58" s="43" t="n"/>
      <c r="Q58" s="43" t="n"/>
      <c r="R58" s="43">
        <f>(J58+K58+L58+M58+N58+O58)*$B$2</f>
        <v/>
      </c>
      <c r="S58" s="43" t="n"/>
      <c r="T58" s="43" t="n"/>
    </row>
    <row r="59" ht="12.75" customHeight="1">
      <c r="A59" s="40" t="inlineStr">
        <is>
          <t>T6</t>
        </is>
      </c>
      <c r="B59" s="40">
        <f>VLOOKUP(A59,Members!$A$2:$B$65,2,FALSE)</f>
        <v/>
      </c>
      <c r="C59" s="41" t="n">
        <v>0</v>
      </c>
      <c r="D59" s="41">
        <f>SUM($C$3:$C$5)/64</f>
        <v/>
      </c>
      <c r="E59" s="41">
        <f>C59+D59</f>
        <v/>
      </c>
      <c r="F59" s="64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$T$11/64</f>
        <v/>
      </c>
      <c r="L59" s="41" t="n">
        <v>0</v>
      </c>
      <c r="M59" s="41" t="n">
        <v>0</v>
      </c>
      <c r="N59" s="41" t="n">
        <v>0</v>
      </c>
      <c r="O59" s="41" t="n">
        <v>0</v>
      </c>
      <c r="P59" s="41" t="n"/>
      <c r="Q59" s="41" t="n"/>
      <c r="R59" s="41">
        <f>(J59+K59+L59+M59+N59+O59)*$B$2</f>
        <v/>
      </c>
      <c r="S59" s="41" t="n"/>
      <c r="T59" s="41" t="n"/>
    </row>
    <row r="60" ht="12.75" customHeight="1">
      <c r="A60" s="42" t="inlineStr">
        <is>
          <t>T7</t>
        </is>
      </c>
      <c r="B60" s="42">
        <f>VLOOKUP(A60,Members!$A$2:$B$65,2,FALSE)</f>
        <v/>
      </c>
      <c r="C60" s="43" t="n">
        <v>0</v>
      </c>
      <c r="D60" s="43">
        <f>SUM($C$3:$C$5)/64</f>
        <v/>
      </c>
      <c r="E60" s="43">
        <f>C60+D60</f>
        <v/>
      </c>
      <c r="F60" s="65">
        <f>IF($C$70=0, 0, E60/$C$70)</f>
        <v/>
      </c>
      <c r="G60" s="43">
        <f>F60*$T$5</f>
        <v/>
      </c>
      <c r="H60" s="43" t="n">
        <v>3</v>
      </c>
      <c r="I60" s="43">
        <f>$T$7*H60</f>
        <v/>
      </c>
      <c r="J60" s="43">
        <f>G60+$T$9+I60</f>
        <v/>
      </c>
      <c r="K60" s="43">
        <f>$T$11/64</f>
        <v/>
      </c>
      <c r="L60" s="43" t="n">
        <v>0</v>
      </c>
      <c r="M60" s="43" t="n">
        <v>0</v>
      </c>
      <c r="N60" s="43" t="n">
        <v>0</v>
      </c>
      <c r="O60" s="43" t="n">
        <v>0</v>
      </c>
      <c r="P60" s="43" t="n"/>
      <c r="Q60" s="43" t="n"/>
      <c r="R60" s="43">
        <f>(J60+K60+L60+M60+N60+O60)*$B$2</f>
        <v/>
      </c>
      <c r="S60" s="43" t="n"/>
      <c r="T60" s="43" t="n"/>
    </row>
    <row r="61" ht="12.75" customHeight="1">
      <c r="A61" s="40" t="inlineStr">
        <is>
          <t>T8</t>
        </is>
      </c>
      <c r="B61" s="40">
        <f>VLOOKUP(A61,Members!$A$2:$B$65,2,FALSE)</f>
        <v/>
      </c>
      <c r="C61" s="41" t="n">
        <v>0</v>
      </c>
      <c r="D61" s="41">
        <f>SUM($C$3:$C$5)/64</f>
        <v/>
      </c>
      <c r="E61" s="41">
        <f>C61+D61</f>
        <v/>
      </c>
      <c r="F61" s="64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$T$11/64</f>
        <v/>
      </c>
      <c r="L61" s="41" t="n">
        <v>0</v>
      </c>
      <c r="M61" s="41" t="n">
        <v>0</v>
      </c>
      <c r="N61" s="41" t="n">
        <v>0</v>
      </c>
      <c r="O61" s="41" t="n">
        <v>0</v>
      </c>
      <c r="P61" s="41" t="n"/>
      <c r="Q61" s="41" t="n"/>
      <c r="R61" s="41">
        <f>(J61+K61+L61+M61+N61+O61)*$B$2</f>
        <v/>
      </c>
      <c r="S61" s="41" t="n"/>
      <c r="T61" s="41" t="n"/>
    </row>
    <row r="62" ht="12.75" customHeight="1">
      <c r="A62" s="42" t="inlineStr">
        <is>
          <t>T9</t>
        </is>
      </c>
      <c r="B62" s="42">
        <f>VLOOKUP(A62,Members!$A$2:$B$65,2,FALSE)</f>
        <v/>
      </c>
      <c r="C62" s="43" t="n">
        <v>0</v>
      </c>
      <c r="D62" s="43">
        <f>SUM($C$3:$C$5)/64</f>
        <v/>
      </c>
      <c r="E62" s="43">
        <f>C62+D62</f>
        <v/>
      </c>
      <c r="F62" s="65">
        <f>IF($C$70=0, 0, E62/$C$70)</f>
        <v/>
      </c>
      <c r="G62" s="43">
        <f>F62*$T$5</f>
        <v/>
      </c>
      <c r="H62" s="43" t="n">
        <v>4</v>
      </c>
      <c r="I62" s="43">
        <f>$T$7*H62</f>
        <v/>
      </c>
      <c r="J62" s="43">
        <f>G62+$T$9+I62</f>
        <v/>
      </c>
      <c r="K62" s="43">
        <f>$T$11/64</f>
        <v/>
      </c>
      <c r="L62" s="43" t="n">
        <v>0</v>
      </c>
      <c r="M62" s="43" t="n">
        <v>0</v>
      </c>
      <c r="N62" s="43" t="n">
        <v>0</v>
      </c>
      <c r="O62" s="43" t="n">
        <v>0</v>
      </c>
      <c r="P62" s="43" t="n"/>
      <c r="Q62" s="43" t="n"/>
      <c r="R62" s="43">
        <f>(J62+K62+L62+M62+N62+O62)*$B$2</f>
        <v/>
      </c>
      <c r="S62" s="43" t="n"/>
      <c r="T62" s="43" t="n"/>
    </row>
    <row r="63" ht="12.75" customHeight="1">
      <c r="A63" s="40" t="inlineStr">
        <is>
          <t>T10</t>
        </is>
      </c>
      <c r="B63" s="40">
        <f>VLOOKUP(A63,Members!$A$2:$B$65,2,FALSE)</f>
        <v/>
      </c>
      <c r="C63" s="41" t="n">
        <v>0</v>
      </c>
      <c r="D63" s="41">
        <f>SUM($C$3:$C$5)/64</f>
        <v/>
      </c>
      <c r="E63" s="41">
        <f>C63+D63</f>
        <v/>
      </c>
      <c r="F63" s="64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$T$11/64</f>
        <v/>
      </c>
      <c r="L63" s="41" t="n">
        <v>0</v>
      </c>
      <c r="M63" s="41" t="n">
        <v>0</v>
      </c>
      <c r="N63" s="41" t="n">
        <v>0</v>
      </c>
      <c r="O63" s="41" t="n">
        <v>0</v>
      </c>
      <c r="P63" s="41" t="n"/>
      <c r="Q63" s="41" t="n"/>
      <c r="R63" s="41">
        <f>(J63+K63+L63+M63+N63+O63)*$B$2</f>
        <v/>
      </c>
      <c r="S63" s="41" t="n"/>
      <c r="T63" s="41" t="n"/>
    </row>
    <row r="64" ht="12.75" customHeight="1">
      <c r="A64" s="42" t="inlineStr">
        <is>
          <t>T11</t>
        </is>
      </c>
      <c r="B64" s="42">
        <f>VLOOKUP(A64,Members!$A$2:$B$65,2,FALSE)</f>
        <v/>
      </c>
      <c r="C64" s="43" t="n">
        <v>0</v>
      </c>
      <c r="D64" s="43">
        <f>SUM($C$3:$C$5)/64</f>
        <v/>
      </c>
      <c r="E64" s="43">
        <f>C64+D64</f>
        <v/>
      </c>
      <c r="F64" s="65">
        <f>IF($C$70=0, 0, E64/$C$70)</f>
        <v/>
      </c>
      <c r="G64" s="43">
        <f>F64*$T$5</f>
        <v/>
      </c>
      <c r="H64" s="43" t="n">
        <v>3</v>
      </c>
      <c r="I64" s="43">
        <f>$T$7*H64</f>
        <v/>
      </c>
      <c r="J64" s="43">
        <f>G64+$T$9+I64</f>
        <v/>
      </c>
      <c r="K64" s="43">
        <f>$T$11/64</f>
        <v/>
      </c>
      <c r="L64" s="43" t="n">
        <v>0</v>
      </c>
      <c r="M64" s="43" t="n">
        <v>0</v>
      </c>
      <c r="N64" s="43" t="n">
        <v>0</v>
      </c>
      <c r="O64" s="43" t="n">
        <v>0</v>
      </c>
      <c r="P64" s="43" t="n"/>
      <c r="Q64" s="43" t="n"/>
      <c r="R64" s="43">
        <f>(J64+K64+L64+M64+N64+O64)*$B$2</f>
        <v/>
      </c>
      <c r="S64" s="43" t="n"/>
      <c r="T64" s="43" t="n"/>
    </row>
    <row r="65" ht="12.75" customHeight="1">
      <c r="A65" s="40" t="inlineStr">
        <is>
          <t>T12</t>
        </is>
      </c>
      <c r="B65" s="40">
        <f>VLOOKUP(A65,Members!$A$2:$B$65,2,FALSE)</f>
        <v/>
      </c>
      <c r="C65" s="41" t="n">
        <v>0</v>
      </c>
      <c r="D65" s="41">
        <f>SUM($C$3:$C$5)/64</f>
        <v/>
      </c>
      <c r="E65" s="41">
        <f>C65+D65</f>
        <v/>
      </c>
      <c r="F65" s="64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$T$11/64</f>
        <v/>
      </c>
      <c r="L65" s="41" t="n">
        <v>0</v>
      </c>
      <c r="M65" s="41" t="n">
        <v>0</v>
      </c>
      <c r="N65" s="41" t="n">
        <v>0</v>
      </c>
      <c r="O65" s="41" t="n">
        <v>0</v>
      </c>
      <c r="P65" s="41" t="n"/>
      <c r="Q65" s="41" t="n"/>
      <c r="R65" s="41">
        <f>(J65+K65+L65+M65+N65+O65)*$B$2</f>
        <v/>
      </c>
      <c r="S65" s="41" t="n"/>
      <c r="T65" s="41" t="n"/>
    </row>
    <row r="66" ht="12.75" customHeight="1">
      <c r="A66" s="42" t="inlineStr">
        <is>
          <t>T13</t>
        </is>
      </c>
      <c r="B66" s="42">
        <f>VLOOKUP(A66,Members!$A$2:$B$65,2,FALSE)</f>
        <v/>
      </c>
      <c r="C66" s="43" t="n">
        <v>0</v>
      </c>
      <c r="D66" s="43">
        <f>SUM($C$3:$C$5)/64</f>
        <v/>
      </c>
      <c r="E66" s="43">
        <f>C66+D66</f>
        <v/>
      </c>
      <c r="F66" s="65">
        <f>IF($C$70=0, 0, E66/$C$70)</f>
        <v/>
      </c>
      <c r="G66" s="43">
        <f>F66*$T$5</f>
        <v/>
      </c>
      <c r="H66" s="43" t="n">
        <v>4</v>
      </c>
      <c r="I66" s="43">
        <f>$T$7*H66</f>
        <v/>
      </c>
      <c r="J66" s="43">
        <f>G66+$T$9+I66</f>
        <v/>
      </c>
      <c r="K66" s="43">
        <f>$T$11/64</f>
        <v/>
      </c>
      <c r="L66" s="43" t="n">
        <v>0</v>
      </c>
      <c r="M66" s="43" t="n">
        <v>0</v>
      </c>
      <c r="N66" s="43" t="n">
        <v>0</v>
      </c>
      <c r="O66" s="43" t="n">
        <v>0</v>
      </c>
      <c r="P66" s="43" t="n"/>
      <c r="Q66" s="43" t="n"/>
      <c r="R66" s="43">
        <f>(J66+K66+L66+M66+N66+O66)*$B$2</f>
        <v/>
      </c>
      <c r="S66" s="43" t="n"/>
      <c r="T66" s="43" t="n"/>
    </row>
    <row r="67" ht="12.75" customHeight="1">
      <c r="A67" s="40" t="inlineStr">
        <is>
          <t>T14</t>
        </is>
      </c>
      <c r="B67" s="40">
        <f>VLOOKUP(A67,Members!$A$2:$B$65,2,FALSE)</f>
        <v/>
      </c>
      <c r="C67" s="41" t="n">
        <v>0</v>
      </c>
      <c r="D67" s="41">
        <f>SUM($C$3:$C$5)/64</f>
        <v/>
      </c>
      <c r="E67" s="41">
        <f>C67+D67</f>
        <v/>
      </c>
      <c r="F67" s="64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$T$11/64</f>
        <v/>
      </c>
      <c r="L67" s="41" t="n">
        <v>0</v>
      </c>
      <c r="M67" s="41" t="n">
        <v>0</v>
      </c>
      <c r="N67" s="41" t="n">
        <v>0</v>
      </c>
      <c r="O67" s="41" t="n">
        <v>0</v>
      </c>
      <c r="P67" s="41" t="n"/>
      <c r="Q67" s="41" t="n"/>
      <c r="R67" s="41">
        <f>(J67+K67+L67+M67+N67+O67)*$B$2</f>
        <v/>
      </c>
      <c r="S67" s="41" t="n"/>
      <c r="T67" s="41" t="n"/>
    </row>
    <row r="68" ht="12.75" customHeight="1">
      <c r="A68" s="42" t="inlineStr">
        <is>
          <t>T15</t>
        </is>
      </c>
      <c r="B68" s="42">
        <f>VLOOKUP(A68,Members!$A$2:$B$65,2,FALSE)</f>
        <v/>
      </c>
      <c r="C68" s="43" t="n">
        <v>0</v>
      </c>
      <c r="D68" s="43">
        <f>SUM($C$3:$C$5)/64</f>
        <v/>
      </c>
      <c r="E68" s="43">
        <f>C68+D68</f>
        <v/>
      </c>
      <c r="F68" s="65">
        <f>IF($C$70=0, 0, E68/$C$70)</f>
        <v/>
      </c>
      <c r="G68" s="43">
        <f>F68*$T$5</f>
        <v/>
      </c>
      <c r="H68" s="43" t="n">
        <v>4</v>
      </c>
      <c r="I68" s="43">
        <f>$T$7*H68</f>
        <v/>
      </c>
      <c r="J68" s="43">
        <f>G68+$T$9+I68</f>
        <v/>
      </c>
      <c r="K68" s="43">
        <f>$T$11/64</f>
        <v/>
      </c>
      <c r="L68" s="43" t="n">
        <v>0</v>
      </c>
      <c r="M68" s="43" t="n">
        <v>0</v>
      </c>
      <c r="N68" s="43" t="n">
        <v>0</v>
      </c>
      <c r="O68" s="43" t="n">
        <v>0</v>
      </c>
      <c r="P68" s="43" t="n"/>
      <c r="Q68" s="43" t="n"/>
      <c r="R68" s="43">
        <f>(J68+K68+L68+M68+N68+O68)*$B$2</f>
        <v/>
      </c>
      <c r="S68" s="43" t="n"/>
      <c r="T68" s="43" t="n"/>
    </row>
    <row r="69" ht="12.75" customHeight="1">
      <c r="A69" s="40" t="inlineStr">
        <is>
          <t>T16</t>
        </is>
      </c>
      <c r="B69" s="40">
        <f>VLOOKUP(A69,Members!$A$2:$B$65,2,FALSE)</f>
        <v/>
      </c>
      <c r="C69" s="41" t="n">
        <v>0</v>
      </c>
      <c r="D69" s="41">
        <f>SUM($C$3:$C$5)/64</f>
        <v/>
      </c>
      <c r="E69" s="41">
        <f>C69+D69</f>
        <v/>
      </c>
      <c r="F69" s="64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$T$11/64</f>
        <v/>
      </c>
      <c r="L69" s="41" t="n">
        <v>0</v>
      </c>
      <c r="M69" s="41" t="n">
        <v>0</v>
      </c>
      <c r="N69" s="41" t="n">
        <v>0</v>
      </c>
      <c r="O69" s="41" t="n">
        <v>0</v>
      </c>
      <c r="P69" s="41" t="n"/>
      <c r="Q69" s="41" t="n"/>
      <c r="R69" s="41">
        <f>(J69+K69+L69+M69+N69+O69)*$B$2</f>
        <v/>
      </c>
      <c r="S69" s="41" t="n"/>
      <c r="T69" s="41" t="n"/>
    </row>
    <row r="70" ht="12.75" customHeight="1">
      <c r="A70" s="42" t="n"/>
      <c r="B70" s="42" t="inlineStr">
        <is>
          <t>TOTAL</t>
        </is>
      </c>
      <c r="C70" s="43">
        <f>SUM(C3:C69)</f>
        <v/>
      </c>
      <c r="D70" s="43">
        <f>SUM(D3:D69)</f>
        <v/>
      </c>
      <c r="E70" s="43">
        <f>SUM(E3:E69)</f>
        <v/>
      </c>
      <c r="F70" s="65">
        <f>SUM(F3:F69)</f>
        <v/>
      </c>
      <c r="G70" s="43">
        <f>SUM(G3:G69)</f>
        <v/>
      </c>
      <c r="H70" s="43">
        <f>SUM(H3:H69)</f>
        <v/>
      </c>
      <c r="I70" s="43">
        <f>SUM(I3:I69)</f>
        <v/>
      </c>
      <c r="J70" s="43">
        <f>SUM(J3:J69)</f>
        <v/>
      </c>
      <c r="K70" s="43">
        <f>SUM(K3:K69)</f>
        <v/>
      </c>
      <c r="L70" s="43">
        <f>SUM(L3:L69)</f>
        <v/>
      </c>
      <c r="M70" s="43">
        <f>SUM(M3:M69)</f>
        <v/>
      </c>
      <c r="N70" s="43">
        <f>SUM(N3:N69)</f>
        <v/>
      </c>
      <c r="O70" s="43">
        <f>SUM(O3:O69)</f>
        <v/>
      </c>
      <c r="P70" s="43" t="n"/>
      <c r="Q70" s="43" t="n"/>
      <c r="R70" s="43">
        <f>SUM(R3:R69)</f>
        <v/>
      </c>
      <c r="S70" s="43" t="n"/>
      <c r="T70" s="43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min="1" max="1"/>
    <col width="64.28515625" customWidth="1" min="2" max="2"/>
  </cols>
  <sheetData>
    <row r="1">
      <c r="A1" s="39" t="inlineStr">
        <is>
          <t>FLAT #</t>
        </is>
      </c>
      <c r="B1" s="39" t="n"/>
      <c r="C1" s="39" t="inlineStr">
        <is>
          <t>Amount</t>
        </is>
      </c>
      <c r="D1" s="66" t="inlineStr">
        <is>
          <t>Date</t>
        </is>
      </c>
      <c r="E1" s="39" t="inlineStr">
        <is>
          <t>Amount</t>
        </is>
      </c>
      <c r="F1" s="66" t="inlineStr">
        <is>
          <t>Date</t>
        </is>
      </c>
      <c r="G1" s="39" t="inlineStr">
        <is>
          <t>Amount</t>
        </is>
      </c>
      <c r="H1" s="57" t="inlineStr">
        <is>
          <t>Date</t>
        </is>
      </c>
      <c r="I1" s="39" t="inlineStr">
        <is>
          <t>Amount</t>
        </is>
      </c>
      <c r="J1" s="100" t="inlineStr">
        <is>
          <t>Date</t>
        </is>
      </c>
      <c r="K1" s="100" t="inlineStr">
        <is>
          <t>Total</t>
        </is>
      </c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  <c r="AA1" s="100" t="n"/>
    </row>
    <row r="2" ht="15" customHeight="1">
      <c r="A2" s="42" t="inlineStr">
        <is>
          <t>F1</t>
        </is>
      </c>
      <c r="B2" s="42">
        <f>VLOOKUP(A2,Members!$A$2:$B$65,2,FALSE)</f>
        <v/>
      </c>
      <c r="C2" s="47" t="n"/>
      <c r="D2" s="50" t="n"/>
      <c r="E2" s="47" t="n"/>
      <c r="F2" s="50" t="n"/>
      <c r="G2" s="47" t="n"/>
      <c r="H2" s="58" t="n"/>
      <c r="I2" s="47" t="n"/>
      <c r="J2" s="47" t="n"/>
      <c r="K2" s="47">
        <f>SUM(C2,E2,G2,I2)</f>
        <v/>
      </c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</row>
    <row r="3" ht="15" customHeight="1">
      <c r="A3" s="40" t="inlineStr">
        <is>
          <t>F2</t>
        </is>
      </c>
      <c r="B3" s="40">
        <f>VLOOKUP(A3,Members!$A$2:$B$65,2,FALSE)</f>
        <v/>
      </c>
      <c r="C3" s="104" t="n"/>
      <c r="D3" s="53" t="n"/>
      <c r="E3" s="104" t="n"/>
      <c r="F3" s="53" t="n"/>
      <c r="G3" s="104" t="n"/>
      <c r="H3" s="59" t="n"/>
      <c r="I3" s="104" t="n"/>
      <c r="J3" s="104" t="n"/>
      <c r="K3" s="104">
        <f>SUM(C3,E3,G3,I3)</f>
        <v/>
      </c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</row>
    <row r="4" ht="15" customHeight="1">
      <c r="A4" s="42" t="inlineStr">
        <is>
          <t>F3</t>
        </is>
      </c>
      <c r="B4" s="42">
        <f>VLOOKUP(A4,Members!$A$2:$B$65,2,FALSE)</f>
        <v/>
      </c>
      <c r="C4" s="47" t="n"/>
      <c r="D4" s="50" t="n"/>
      <c r="E4" s="43" t="n"/>
      <c r="F4" s="50" t="n"/>
      <c r="G4" s="47" t="n"/>
      <c r="H4" s="58" t="n"/>
      <c r="I4" s="47" t="n"/>
      <c r="J4" s="47" t="n"/>
      <c r="K4" s="47">
        <f>SUM(C4,E4,G4,I4)</f>
        <v/>
      </c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</row>
    <row r="5" ht="15" customHeight="1">
      <c r="A5" s="40" t="inlineStr">
        <is>
          <t>F4</t>
        </is>
      </c>
      <c r="B5" s="40">
        <f>VLOOKUP(A5,Members!$A$2:$B$65,2,FALSE)</f>
        <v/>
      </c>
      <c r="C5" s="41" t="n"/>
      <c r="D5" s="53" t="n"/>
      <c r="E5" s="104" t="n"/>
      <c r="F5" s="53" t="n"/>
      <c r="G5" s="104" t="n"/>
      <c r="H5" s="59" t="n"/>
      <c r="I5" s="104" t="n"/>
      <c r="J5" s="104" t="n"/>
      <c r="K5" s="41">
        <f>SUM(C5,E5,G5,I5)</f>
        <v/>
      </c>
      <c r="L5" s="104" t="n"/>
      <c r="M5" s="104" t="n"/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</row>
    <row r="6" ht="15" customHeight="1">
      <c r="A6" s="42" t="inlineStr">
        <is>
          <t>F5</t>
        </is>
      </c>
      <c r="B6" s="42">
        <f>VLOOKUP(A6,Members!$A$2:$B$65,2,FALSE)</f>
        <v/>
      </c>
      <c r="C6" s="47" t="n"/>
      <c r="D6" s="50" t="n"/>
      <c r="E6" s="47" t="n"/>
      <c r="F6" s="50" t="n"/>
      <c r="G6" s="47" t="n"/>
      <c r="H6" s="58" t="n"/>
      <c r="I6" s="47" t="n"/>
      <c r="J6" s="47" t="n"/>
      <c r="K6" s="47">
        <f>SUM(C6,E6,G6,I6)</f>
        <v/>
      </c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  <c r="AA6" s="47" t="n"/>
    </row>
    <row r="7" ht="15" customHeight="1">
      <c r="A7" s="40" t="inlineStr">
        <is>
          <t>F6</t>
        </is>
      </c>
      <c r="B7" s="40">
        <f>VLOOKUP(A7,Members!$A$2:$B$65,2,FALSE)</f>
        <v/>
      </c>
      <c r="C7" s="104" t="n"/>
      <c r="D7" s="53" t="n"/>
      <c r="E7" s="104" t="n"/>
      <c r="F7" s="53" t="n"/>
      <c r="G7" s="104" t="n"/>
      <c r="H7" s="59" t="n"/>
      <c r="I7" s="104" t="n"/>
      <c r="J7" s="104" t="n"/>
      <c r="K7" s="104">
        <f>SUM(C7,E7,G7,I7)</f>
        <v/>
      </c>
      <c r="L7" s="104" t="n"/>
      <c r="M7" s="104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</row>
    <row r="8" ht="15" customHeight="1">
      <c r="A8" s="42" t="inlineStr">
        <is>
          <t>F7</t>
        </is>
      </c>
      <c r="B8" s="42">
        <f>VLOOKUP(A8,Members!$A$2:$B$65,2,FALSE)</f>
        <v/>
      </c>
      <c r="C8" s="47" t="n"/>
      <c r="D8" s="50" t="n"/>
      <c r="E8" s="47" t="n"/>
      <c r="F8" s="50" t="n"/>
      <c r="G8" s="47" t="n"/>
      <c r="H8" s="58" t="n"/>
      <c r="I8" s="47" t="n"/>
      <c r="J8" s="47" t="n"/>
      <c r="K8" s="47">
        <f>SUM(C8,E8,G8,I8)</f>
        <v/>
      </c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  <c r="AA8" s="47" t="n"/>
    </row>
    <row r="9" ht="15" customHeight="1">
      <c r="A9" s="40" t="inlineStr">
        <is>
          <t>F8</t>
        </is>
      </c>
      <c r="B9" s="40">
        <f>VLOOKUP(A9,Members!$A$2:$B$65,2,FALSE)</f>
        <v/>
      </c>
      <c r="C9" s="41" t="n"/>
      <c r="D9" s="53" t="n"/>
      <c r="E9" s="104" t="n"/>
      <c r="F9" s="53" t="n"/>
      <c r="G9" s="104" t="n"/>
      <c r="H9" s="59" t="n"/>
      <c r="I9" s="104" t="n"/>
      <c r="J9" s="104" t="n"/>
      <c r="K9" s="41">
        <f>SUM(C9,E9,G9,I9)</f>
        <v/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</row>
    <row r="10" ht="15" customHeight="1">
      <c r="A10" s="42" t="inlineStr">
        <is>
          <t>F9</t>
        </is>
      </c>
      <c r="B10" s="42">
        <f>VLOOKUP(A10,Members!$A$2:$B$65,2,FALSE)</f>
        <v/>
      </c>
      <c r="C10" s="43" t="n"/>
      <c r="D10" s="50" t="n"/>
      <c r="E10" s="47" t="n"/>
      <c r="F10" s="50" t="n"/>
      <c r="G10" s="47" t="n"/>
      <c r="H10" s="58" t="n"/>
      <c r="I10" s="47" t="n"/>
      <c r="J10" s="47" t="n"/>
      <c r="K10" s="43">
        <f>SUM(C10,E10,G10,I10)</f>
        <v/>
      </c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  <c r="AA10" s="47" t="n"/>
    </row>
    <row r="11" ht="15" customHeight="1">
      <c r="A11" s="40" t="inlineStr">
        <is>
          <t>F10</t>
        </is>
      </c>
      <c r="B11" s="40">
        <f>VLOOKUP(A11,Members!$A$2:$B$65,2,FALSE)</f>
        <v/>
      </c>
      <c r="C11" s="41" t="n"/>
      <c r="D11" s="53" t="n"/>
      <c r="E11" s="104" t="n"/>
      <c r="F11" s="53" t="n"/>
      <c r="G11" s="104" t="n"/>
      <c r="H11" s="59" t="n"/>
      <c r="I11" s="104" t="n"/>
      <c r="J11" s="104" t="n"/>
      <c r="K11" s="41">
        <f>SUM(C11,E11,G11,I11)</f>
        <v/>
      </c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</row>
    <row r="12" ht="15" customHeight="1">
      <c r="A12" s="42" t="inlineStr">
        <is>
          <t>F11</t>
        </is>
      </c>
      <c r="B12" s="42">
        <f>VLOOKUP(A12,Members!$A$2:$B$65,2,FALSE)</f>
        <v/>
      </c>
      <c r="C12" s="43" t="n"/>
      <c r="D12" s="50" t="n"/>
      <c r="E12" s="47" t="n"/>
      <c r="F12" s="50" t="n"/>
      <c r="G12" s="47" t="n"/>
      <c r="H12" s="58" t="n"/>
      <c r="I12" s="47" t="n"/>
      <c r="J12" s="47" t="n"/>
      <c r="K12" s="43">
        <f>SUM(C12,E12,G12,I12)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</row>
    <row r="13" ht="15" customHeight="1">
      <c r="A13" s="40" t="inlineStr">
        <is>
          <t>F12</t>
        </is>
      </c>
      <c r="B13" s="40">
        <f>VLOOKUP(A13,Members!$A$2:$B$65,2,FALSE)</f>
        <v/>
      </c>
      <c r="C13" s="41" t="n"/>
      <c r="D13" s="53" t="n"/>
      <c r="E13" s="104" t="n"/>
      <c r="F13" s="53" t="n"/>
      <c r="G13" s="104" t="n"/>
      <c r="H13" s="59" t="n"/>
      <c r="I13" s="104" t="n"/>
      <c r="J13" s="104" t="n"/>
      <c r="K13" s="41">
        <f>SUM(C13,E13,G13,I13)</f>
        <v/>
      </c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</row>
    <row r="14" ht="15" customHeight="1">
      <c r="A14" s="42" t="inlineStr">
        <is>
          <t>F13</t>
        </is>
      </c>
      <c r="B14" s="42">
        <f>VLOOKUP(A14,Members!$A$2:$B$65,2,FALSE)</f>
        <v/>
      </c>
      <c r="C14" s="47" t="n"/>
      <c r="D14" s="50" t="n"/>
      <c r="E14" s="47" t="n"/>
      <c r="F14" s="50" t="n"/>
      <c r="G14" s="47" t="n"/>
      <c r="H14" s="58" t="n"/>
      <c r="I14" s="47" t="n"/>
      <c r="J14" s="47" t="n"/>
      <c r="K14" s="47">
        <f>SUM(C14,E14,G14,I14)</f>
        <v/>
      </c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  <c r="AA14" s="47" t="n"/>
    </row>
    <row r="15" ht="15" customHeight="1">
      <c r="A15" s="40" t="inlineStr">
        <is>
          <t>F14</t>
        </is>
      </c>
      <c r="B15" s="40">
        <f>VLOOKUP(A15,Members!$A$2:$B$65,2,FALSE)</f>
        <v/>
      </c>
      <c r="C15" s="41" t="n"/>
      <c r="D15" s="53" t="n"/>
      <c r="E15" s="104" t="n"/>
      <c r="F15" s="53" t="n"/>
      <c r="G15" s="104" t="n"/>
      <c r="H15" s="59" t="n"/>
      <c r="I15" s="104" t="n"/>
      <c r="J15" s="104" t="n"/>
      <c r="K15" s="41">
        <f>SUM(C15,E15,G15,I15)</f>
        <v/>
      </c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</row>
    <row r="16" ht="15" customHeight="1">
      <c r="A16" s="42" t="inlineStr">
        <is>
          <t>F15</t>
        </is>
      </c>
      <c r="B16" s="42">
        <f>VLOOKUP(A16,Members!$A$2:$B$65,2,FALSE)</f>
        <v/>
      </c>
      <c r="C16" s="47" t="n"/>
      <c r="D16" s="50" t="n"/>
      <c r="E16" s="47" t="n"/>
      <c r="F16" s="50" t="n"/>
      <c r="G16" s="47" t="n"/>
      <c r="H16" s="58" t="n"/>
      <c r="I16" s="47" t="n"/>
      <c r="J16" s="47" t="n"/>
      <c r="K16" s="47">
        <f>SUM(C16,E16,G16,I16)</f>
        <v/>
      </c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  <c r="AA16" s="47" t="n"/>
    </row>
    <row r="17" ht="15" customHeight="1">
      <c r="A17" s="40" t="inlineStr">
        <is>
          <t>F16</t>
        </is>
      </c>
      <c r="B17" s="40">
        <f>VLOOKUP(A17,Members!$A$2:$B$65,2,FALSE)</f>
        <v/>
      </c>
      <c r="C17" s="104" t="n"/>
      <c r="D17" s="53" t="n"/>
      <c r="E17" s="104" t="n"/>
      <c r="F17" s="53" t="n"/>
      <c r="G17" s="104" t="n"/>
      <c r="H17" s="59" t="n"/>
      <c r="I17" s="104" t="n"/>
      <c r="J17" s="104" t="n"/>
      <c r="K17" s="104">
        <f>SUM(C17,E17,G17,I17)</f>
        <v/>
      </c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</row>
    <row r="18" ht="15" customHeight="1">
      <c r="A18" s="42" t="inlineStr">
        <is>
          <t>G1</t>
        </is>
      </c>
      <c r="B18" s="42">
        <f>VLOOKUP(A18,Members!$A$2:$B$65,2,FALSE)</f>
        <v/>
      </c>
      <c r="C18" s="43" t="n"/>
      <c r="D18" s="50" t="n"/>
      <c r="E18" s="43" t="n"/>
      <c r="F18" s="50" t="n"/>
      <c r="G18" s="47" t="n"/>
      <c r="H18" s="58" t="n"/>
      <c r="I18" s="47" t="n"/>
      <c r="J18" s="47" t="n"/>
      <c r="K18" s="43">
        <f>SUM(C18,E18,G18,I18)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</row>
    <row r="19" ht="15" customHeight="1">
      <c r="A19" s="40" t="inlineStr">
        <is>
          <t>G2</t>
        </is>
      </c>
      <c r="B19" s="40">
        <f>VLOOKUP(A19,Members!$A$2:$B$65,2,FALSE)</f>
        <v/>
      </c>
      <c r="C19" s="41" t="n"/>
      <c r="D19" s="53" t="n"/>
      <c r="E19" s="104" t="n"/>
      <c r="F19" s="53" t="n"/>
      <c r="G19" s="104" t="n"/>
      <c r="H19" s="59" t="n"/>
      <c r="I19" s="104" t="n"/>
      <c r="J19" s="104" t="n"/>
      <c r="K19" s="41">
        <f>SUM(C19,E19,G19,I19)</f>
        <v/>
      </c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</row>
    <row r="20" ht="15" customHeight="1">
      <c r="A20" s="42" t="inlineStr">
        <is>
          <t>G3</t>
        </is>
      </c>
      <c r="B20" s="42">
        <f>VLOOKUP(A20,Members!$A$2:$B$65,2,FALSE)</f>
        <v/>
      </c>
      <c r="C20" s="43" t="n"/>
      <c r="D20" s="50" t="n"/>
      <c r="E20" s="47" t="n"/>
      <c r="F20" s="50" t="n"/>
      <c r="G20" s="47" t="n"/>
      <c r="H20" s="58" t="n"/>
      <c r="I20" s="47" t="n"/>
      <c r="J20" s="47" t="n"/>
      <c r="K20" s="43">
        <f>SUM(C20,E20,G20,I20)</f>
        <v/>
      </c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</row>
    <row r="21" ht="15" customHeight="1">
      <c r="A21" s="40" t="inlineStr">
        <is>
          <t>G4</t>
        </is>
      </c>
      <c r="B21" s="40">
        <f>VLOOKUP(A21,Members!$A$2:$B$65,2,FALSE)</f>
        <v/>
      </c>
      <c r="C21" s="41" t="n"/>
      <c r="D21" s="53" t="n"/>
      <c r="E21" s="104" t="n"/>
      <c r="F21" s="53" t="n"/>
      <c r="G21" s="104" t="n"/>
      <c r="H21" s="59" t="n"/>
      <c r="I21" s="104" t="n"/>
      <c r="J21" s="104" t="n"/>
      <c r="K21" s="41">
        <f>SUM(C21,E21,G21,I21)</f>
        <v/>
      </c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</row>
    <row r="22" ht="15.95" customHeight="1">
      <c r="A22" s="42" t="inlineStr">
        <is>
          <t>G5</t>
        </is>
      </c>
      <c r="B22" s="42">
        <f>VLOOKUP(A22,Members!$A$2:$B$65,2,FALSE)</f>
        <v/>
      </c>
      <c r="C22" s="43" t="n"/>
      <c r="D22" s="50" t="n"/>
      <c r="E22" s="47" t="n"/>
      <c r="F22" s="50" t="n"/>
      <c r="G22" s="47" t="n"/>
      <c r="H22" s="58" t="n"/>
      <c r="I22" s="47" t="n"/>
      <c r="J22" s="47" t="n"/>
      <c r="K22" s="43">
        <f>SUM(C22,E22,G22,I22)</f>
        <v/>
      </c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</row>
    <row r="23" ht="15.95" customHeight="1">
      <c r="A23" s="40" t="inlineStr">
        <is>
          <t>G6</t>
        </is>
      </c>
      <c r="B23" s="40">
        <f>VLOOKUP(A23,Members!$A$2:$B$65,2,FALSE)</f>
        <v/>
      </c>
      <c r="C23" s="104" t="n"/>
      <c r="D23" s="53" t="n"/>
      <c r="E23" s="104" t="n"/>
      <c r="F23" s="53" t="n"/>
      <c r="G23" s="104" t="n"/>
      <c r="H23" s="59" t="n"/>
      <c r="I23" s="104" t="n"/>
      <c r="J23" s="104" t="n"/>
      <c r="K23" s="104">
        <f>SUM(C23,E23,G23,I23)</f>
        <v/>
      </c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</row>
    <row r="24" ht="15.95" customHeight="1">
      <c r="A24" s="42" t="inlineStr">
        <is>
          <t>G7</t>
        </is>
      </c>
      <c r="B24" s="42">
        <f>VLOOKUP(A24,Members!$A$2:$B$65,2,FALSE)</f>
        <v/>
      </c>
      <c r="C24" s="43" t="n"/>
      <c r="D24" s="50" t="n"/>
      <c r="E24" s="47" t="n"/>
      <c r="F24" s="50" t="n"/>
      <c r="G24" s="47" t="n"/>
      <c r="H24" s="58" t="n"/>
      <c r="I24" s="47" t="n"/>
      <c r="J24" s="47" t="n"/>
      <c r="K24" s="43">
        <f>SUM(C24,E24,G24,I24)</f>
        <v/>
      </c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</row>
    <row r="25" ht="15.95" customHeight="1">
      <c r="A25" s="40" t="inlineStr">
        <is>
          <t>G8</t>
        </is>
      </c>
      <c r="B25" s="40">
        <f>VLOOKUP(A25,Members!$A$2:$B$65,2,FALSE)</f>
        <v/>
      </c>
      <c r="C25" s="104" t="n"/>
      <c r="D25" s="53" t="n"/>
      <c r="E25" s="104" t="n"/>
      <c r="F25" s="53" t="n"/>
      <c r="G25" s="104" t="n"/>
      <c r="H25" s="59" t="n"/>
      <c r="I25" s="104" t="n"/>
      <c r="J25" s="104" t="n"/>
      <c r="K25" s="104">
        <f>SUM(C25,E25,G25,I25)</f>
        <v/>
      </c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</row>
    <row r="26" ht="15.95" customHeight="1">
      <c r="A26" s="42" t="inlineStr">
        <is>
          <t>G9</t>
        </is>
      </c>
      <c r="B26" s="42">
        <f>VLOOKUP(A26,Members!$A$2:$B$65,2,FALSE)</f>
        <v/>
      </c>
      <c r="C26" s="43" t="n"/>
      <c r="D26" s="50" t="n"/>
      <c r="E26" s="47" t="n"/>
      <c r="F26" s="50" t="n"/>
      <c r="G26" s="47" t="n"/>
      <c r="H26" s="58" t="n"/>
      <c r="I26" s="47" t="n"/>
      <c r="J26" s="47" t="n"/>
      <c r="K26" s="43">
        <f>SUM(C26,E26,G26,I26)</f>
        <v/>
      </c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</row>
    <row r="27" ht="15.95" customHeight="1">
      <c r="A27" s="40" t="inlineStr">
        <is>
          <t>G10</t>
        </is>
      </c>
      <c r="B27" s="40">
        <f>VLOOKUP(A27,Members!$A$2:$B$65,2,FALSE)</f>
        <v/>
      </c>
      <c r="C27" s="41" t="n"/>
      <c r="D27" s="53" t="n"/>
      <c r="E27" s="104" t="n"/>
      <c r="F27" s="53" t="n"/>
      <c r="G27" s="104" t="n"/>
      <c r="H27" s="59" t="n"/>
      <c r="I27" s="104" t="n"/>
      <c r="J27" s="104" t="n"/>
      <c r="K27" s="41">
        <f>SUM(C27,E27,G27,I27)</f>
        <v/>
      </c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</row>
    <row r="28" ht="15.95" customHeight="1">
      <c r="A28" s="42" t="inlineStr">
        <is>
          <t>G11</t>
        </is>
      </c>
      <c r="B28" s="42">
        <f>VLOOKUP(A28,Members!$A$2:$B$65,2,FALSE)</f>
        <v/>
      </c>
      <c r="C28" s="43" t="n"/>
      <c r="D28" s="50" t="n"/>
      <c r="E28" s="47" t="n"/>
      <c r="F28" s="50" t="n"/>
      <c r="G28" s="47" t="n"/>
      <c r="H28" s="58" t="n"/>
      <c r="I28" s="47" t="n"/>
      <c r="J28" s="47" t="n"/>
      <c r="K28" s="43">
        <f>SUM(C28,E28,G28,I28)</f>
        <v/>
      </c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</row>
    <row r="29" ht="15.95" customHeight="1">
      <c r="A29" s="40" t="inlineStr">
        <is>
          <t>G12</t>
        </is>
      </c>
      <c r="B29" s="40">
        <f>VLOOKUP(A29,Members!$A$2:$B$65,2,FALSE)</f>
        <v/>
      </c>
      <c r="C29" s="41" t="n"/>
      <c r="D29" s="53" t="n"/>
      <c r="E29" s="104" t="n"/>
      <c r="F29" s="53" t="n"/>
      <c r="G29" s="104" t="n"/>
      <c r="H29" s="59" t="n"/>
      <c r="I29" s="104" t="n"/>
      <c r="J29" s="104" t="n"/>
      <c r="K29" s="41">
        <f>SUM(C29,E29,G29,I29)</f>
        <v/>
      </c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</row>
    <row r="30" ht="15.95" customHeight="1">
      <c r="A30" s="42" t="inlineStr">
        <is>
          <t>G13</t>
        </is>
      </c>
      <c r="B30" s="42">
        <f>VLOOKUP(A30,Members!$A$2:$B$65,2,FALSE)</f>
        <v/>
      </c>
      <c r="C30" s="47" t="n"/>
      <c r="D30" s="50" t="n"/>
      <c r="E30" s="47" t="n"/>
      <c r="F30" s="50" t="n"/>
      <c r="G30" s="47" t="n"/>
      <c r="H30" s="58" t="n"/>
      <c r="I30" s="47" t="n"/>
      <c r="J30" s="47" t="n"/>
      <c r="K30" s="47">
        <f>SUM(C30,E30,G30,I30)</f>
        <v/>
      </c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</row>
    <row r="31" ht="15.95" customHeight="1">
      <c r="A31" s="40" t="inlineStr">
        <is>
          <t>G14</t>
        </is>
      </c>
      <c r="B31" s="40">
        <f>VLOOKUP(A31,Members!$A$2:$B$65,2,FALSE)</f>
        <v/>
      </c>
      <c r="C31" s="104" t="n"/>
      <c r="D31" s="53" t="n"/>
      <c r="E31" s="104" t="n"/>
      <c r="F31" s="53" t="n"/>
      <c r="G31" s="104" t="n"/>
      <c r="H31" s="59" t="n"/>
      <c r="I31" s="104" t="n"/>
      <c r="J31" s="104" t="n"/>
      <c r="K31" s="104">
        <f>SUM(C31,E31,G31,I31)</f>
        <v/>
      </c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</row>
    <row r="32" ht="15.95" customHeight="1">
      <c r="A32" s="42" t="inlineStr">
        <is>
          <t>G15</t>
        </is>
      </c>
      <c r="B32" s="42">
        <f>VLOOKUP(A32,Members!$A$2:$B$65,2,FALSE)</f>
        <v/>
      </c>
      <c r="C32" s="43" t="n"/>
      <c r="D32" s="50" t="n"/>
      <c r="E32" s="47" t="n"/>
      <c r="F32" s="50" t="n"/>
      <c r="G32" s="47" t="n"/>
      <c r="H32" s="58" t="n"/>
      <c r="I32" s="47" t="n"/>
      <c r="J32" s="47" t="n"/>
      <c r="K32" s="43">
        <f>SUM(C32,E32,G32,I32)</f>
        <v/>
      </c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</row>
    <row r="33" ht="15.95" customHeight="1">
      <c r="A33" s="40" t="inlineStr">
        <is>
          <t>G16</t>
        </is>
      </c>
      <c r="B33" s="40">
        <f>VLOOKUP(A33,Members!$A$2:$B$65,2,FALSE)</f>
        <v/>
      </c>
      <c r="C33" s="104" t="n"/>
      <c r="D33" s="53" t="n"/>
      <c r="E33" s="104" t="n"/>
      <c r="F33" s="53" t="n"/>
      <c r="G33" s="104" t="n"/>
      <c r="H33" s="59" t="n"/>
      <c r="I33" s="104" t="n"/>
      <c r="J33" s="104" t="n"/>
      <c r="K33" s="104">
        <f>SUM(C33,E33,G33,I33)</f>
        <v/>
      </c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</row>
    <row r="34" ht="15.95" customHeight="1">
      <c r="A34" s="42" t="inlineStr">
        <is>
          <t>S1</t>
        </is>
      </c>
      <c r="B34" s="42">
        <f>VLOOKUP(A34,Members!$A$2:$B$65,2,FALSE)</f>
        <v/>
      </c>
      <c r="C34" s="43" t="n"/>
      <c r="D34" s="50" t="n"/>
      <c r="E34" s="47" t="n"/>
      <c r="F34" s="50" t="n"/>
      <c r="G34" s="47" t="n"/>
      <c r="H34" s="58" t="n"/>
      <c r="I34" s="47" t="n"/>
      <c r="J34" s="47" t="n"/>
      <c r="K34" s="43">
        <f>SUM(C34,E34,G34,I34)</f>
        <v/>
      </c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  <c r="AA34" s="47" t="n"/>
    </row>
    <row r="35" ht="15.95" customHeight="1">
      <c r="A35" s="40" t="inlineStr">
        <is>
          <t>S2</t>
        </is>
      </c>
      <c r="B35" s="40">
        <f>VLOOKUP(A35,Members!$A$2:$B$65,2,FALSE)</f>
        <v/>
      </c>
      <c r="C35" s="41" t="n"/>
      <c r="D35" s="53" t="n"/>
      <c r="E35" s="104" t="n"/>
      <c r="F35" s="53" t="n"/>
      <c r="G35" s="104" t="n"/>
      <c r="H35" s="59" t="n"/>
      <c r="I35" s="104" t="n"/>
      <c r="J35" s="104" t="n"/>
      <c r="K35" s="41">
        <f>SUM(C35,E35,G35,I35)</f>
        <v/>
      </c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</row>
    <row r="36" ht="15.95" customHeight="1">
      <c r="A36" s="42" t="inlineStr">
        <is>
          <t>S3</t>
        </is>
      </c>
      <c r="B36" s="42">
        <f>VLOOKUP(A36,Members!$A$2:$B$65,2,FALSE)</f>
        <v/>
      </c>
      <c r="C36" s="47" t="n"/>
      <c r="D36" s="50" t="n"/>
      <c r="E36" s="47" t="n"/>
      <c r="F36" s="50" t="n"/>
      <c r="G36" s="47" t="n"/>
      <c r="H36" s="58" t="n"/>
      <c r="I36" s="47" t="n"/>
      <c r="J36" s="47" t="n"/>
      <c r="K36" s="47">
        <f>SUM(C36,E36,G36,I36)</f>
        <v/>
      </c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</row>
    <row r="37" ht="15.95" customHeight="1">
      <c r="A37" s="40" t="inlineStr">
        <is>
          <t>S4</t>
        </is>
      </c>
      <c r="B37" s="40">
        <f>VLOOKUP(A37,Members!$A$2:$B$65,2,FALSE)</f>
        <v/>
      </c>
      <c r="C37" s="41" t="n"/>
      <c r="D37" s="53" t="n"/>
      <c r="E37" s="104" t="n"/>
      <c r="F37" s="53" t="n"/>
      <c r="G37" s="104" t="n"/>
      <c r="H37" s="59" t="n"/>
      <c r="I37" s="104" t="n"/>
      <c r="J37" s="104" t="n"/>
      <c r="K37" s="41">
        <f>SUM(C37,E37,G37,I37)</f>
        <v/>
      </c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</row>
    <row r="38" ht="15.95" customHeight="1">
      <c r="A38" s="42" t="inlineStr">
        <is>
          <t>S5</t>
        </is>
      </c>
      <c r="B38" s="42">
        <f>VLOOKUP(A38,Members!$A$2:$B$65,2,FALSE)</f>
        <v/>
      </c>
      <c r="C38" s="47" t="n"/>
      <c r="D38" s="50" t="n"/>
      <c r="E38" s="47" t="n"/>
      <c r="F38" s="50" t="n"/>
      <c r="G38" s="47" t="n"/>
      <c r="H38" s="58" t="n"/>
      <c r="I38" s="47" t="n"/>
      <c r="J38" s="47" t="n"/>
      <c r="K38" s="47">
        <f>SUM(C38,E38,G38,I38)</f>
        <v/>
      </c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</row>
    <row r="39" ht="15.95" customHeight="1">
      <c r="A39" s="40" t="inlineStr">
        <is>
          <t>S6</t>
        </is>
      </c>
      <c r="B39" s="40">
        <f>VLOOKUP(A39,Members!$A$2:$B$65,2,FALSE)</f>
        <v/>
      </c>
      <c r="C39" s="104" t="n"/>
      <c r="D39" s="53" t="n"/>
      <c r="E39" s="104" t="n"/>
      <c r="F39" s="53" t="n"/>
      <c r="G39" s="104" t="n"/>
      <c r="H39" s="59" t="n"/>
      <c r="I39" s="104" t="n"/>
      <c r="J39" s="104" t="n"/>
      <c r="K39" s="104">
        <f>SUM(C39,E39,G39,I39)</f>
        <v/>
      </c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</row>
    <row r="40" ht="15.95" customHeight="1">
      <c r="A40" s="42" t="inlineStr">
        <is>
          <t>S7</t>
        </is>
      </c>
      <c r="B40" s="42">
        <f>VLOOKUP(A40,Members!$A$2:$B$65,2,FALSE)</f>
        <v/>
      </c>
      <c r="C40" s="43" t="n"/>
      <c r="D40" s="50" t="n"/>
      <c r="E40" s="47" t="n"/>
      <c r="F40" s="50" t="n"/>
      <c r="G40" s="47" t="n"/>
      <c r="H40" s="58" t="n"/>
      <c r="I40" s="47" t="n"/>
      <c r="J40" s="47" t="n"/>
      <c r="K40" s="43">
        <f>SUM(C40,E40,G40,I40)</f>
        <v/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  <c r="AA40" s="47" t="n"/>
    </row>
    <row r="41" ht="15.95" customHeight="1">
      <c r="A41" s="40" t="inlineStr">
        <is>
          <t>S8</t>
        </is>
      </c>
      <c r="B41" s="40">
        <f>VLOOKUP(A41,Members!$A$2:$B$65,2,FALSE)</f>
        <v/>
      </c>
      <c r="C41" s="41" t="n"/>
      <c r="D41" s="53" t="n"/>
      <c r="E41" s="104" t="n"/>
      <c r="F41" s="53" t="n"/>
      <c r="G41" s="104" t="n"/>
      <c r="H41" s="59" t="n"/>
      <c r="I41" s="104" t="n"/>
      <c r="J41" s="104" t="n"/>
      <c r="K41" s="41">
        <f>SUM(C41,E41,G41,I41)</f>
        <v/>
      </c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</row>
    <row r="42" ht="15.95" customHeight="1">
      <c r="A42" s="42" t="inlineStr">
        <is>
          <t>S9</t>
        </is>
      </c>
      <c r="B42" s="42">
        <f>VLOOKUP(A42,Members!$A$2:$B$65,2,FALSE)</f>
        <v/>
      </c>
      <c r="C42" s="43" t="n"/>
      <c r="D42" s="50" t="n"/>
      <c r="E42" s="47" t="n"/>
      <c r="F42" s="50" t="n"/>
      <c r="G42" s="47" t="n"/>
      <c r="H42" s="58" t="n"/>
      <c r="I42" s="47" t="n"/>
      <c r="J42" s="47" t="n"/>
      <c r="K42" s="43">
        <f>SUM(C42,E42,G42,I42)</f>
        <v/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</row>
    <row r="43" ht="15.95" customHeight="1">
      <c r="A43" s="40" t="inlineStr">
        <is>
          <t>S10</t>
        </is>
      </c>
      <c r="B43" s="40">
        <f>VLOOKUP(A43,Members!$A$2:$B$65,2,FALSE)</f>
        <v/>
      </c>
      <c r="C43" s="41" t="n"/>
      <c r="D43" s="53" t="n"/>
      <c r="E43" s="104" t="n"/>
      <c r="F43" s="53" t="n"/>
      <c r="G43" s="104" t="n"/>
      <c r="H43" s="59" t="n"/>
      <c r="I43" s="104" t="n"/>
      <c r="J43" s="104" t="n"/>
      <c r="K43" s="41">
        <f>SUM(C43,E43,G43,I43)</f>
        <v/>
      </c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</row>
    <row r="44" ht="15.95" customHeight="1">
      <c r="A44" s="42" t="inlineStr">
        <is>
          <t>S11</t>
        </is>
      </c>
      <c r="B44" s="42">
        <f>VLOOKUP(A44,Members!$A$2:$B$65,2,FALSE)</f>
        <v/>
      </c>
      <c r="C44" s="47" t="n"/>
      <c r="D44" s="50" t="n"/>
      <c r="E44" s="47" t="n"/>
      <c r="F44" s="50" t="n"/>
      <c r="G44" s="47" t="n"/>
      <c r="H44" s="58" t="n"/>
      <c r="I44" s="47" t="n"/>
      <c r="J44" s="47" t="n"/>
      <c r="K44" s="47">
        <f>SUM(C44,E44,G44,I44)</f>
        <v/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</row>
    <row r="45" ht="15.95" customHeight="1">
      <c r="A45" s="40" t="inlineStr">
        <is>
          <t>S12</t>
        </is>
      </c>
      <c r="B45" s="40">
        <f>VLOOKUP(A45,Members!$A$2:$B$65,2,FALSE)</f>
        <v/>
      </c>
      <c r="C45" s="41" t="n"/>
      <c r="D45" s="53" t="n"/>
      <c r="E45" s="104" t="n"/>
      <c r="F45" s="53" t="n"/>
      <c r="G45" s="104" t="n"/>
      <c r="H45" s="59" t="n"/>
      <c r="I45" s="104" t="n"/>
      <c r="J45" s="104" t="n"/>
      <c r="K45" s="41">
        <f>SUM(C45,E45,G45,I45)</f>
        <v/>
      </c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</row>
    <row r="46" ht="15.95" customHeight="1">
      <c r="A46" s="42" t="inlineStr">
        <is>
          <t>S13</t>
        </is>
      </c>
      <c r="B46" s="42">
        <f>VLOOKUP(A46,Members!$A$2:$B$65,2,FALSE)</f>
        <v/>
      </c>
      <c r="C46" s="47" t="n"/>
      <c r="D46" s="50" t="n"/>
      <c r="E46" s="47" t="n"/>
      <c r="F46" s="50" t="n"/>
      <c r="G46" s="47" t="n"/>
      <c r="H46" s="58" t="n"/>
      <c r="I46" s="47" t="n"/>
      <c r="J46" s="47" t="n"/>
      <c r="K46" s="47">
        <f>SUM(C46,E46,G46,I46)</f>
        <v/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</row>
    <row r="47" ht="15.95" customHeight="1">
      <c r="A47" s="40" t="inlineStr">
        <is>
          <t>S14</t>
        </is>
      </c>
      <c r="B47" s="40">
        <f>VLOOKUP(A47,Members!$A$2:$B$65,2,FALSE)</f>
        <v/>
      </c>
      <c r="C47" s="104" t="n"/>
      <c r="D47" s="53" t="n"/>
      <c r="E47" s="104" t="n"/>
      <c r="F47" s="53" t="n"/>
      <c r="G47" s="104" t="n"/>
      <c r="H47" s="59" t="n"/>
      <c r="I47" s="104" t="n"/>
      <c r="J47" s="104" t="n"/>
      <c r="K47" s="104">
        <f>SUM(C47,E47,G47,I47)</f>
        <v/>
      </c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</row>
    <row r="48" ht="15.95" customHeight="1">
      <c r="A48" s="42" t="inlineStr">
        <is>
          <t>S15</t>
        </is>
      </c>
      <c r="B48" s="42">
        <f>VLOOKUP(A48,Members!$A$2:$B$65,2,FALSE)</f>
        <v/>
      </c>
      <c r="C48" s="43" t="n"/>
      <c r="D48" s="50" t="n"/>
      <c r="E48" s="47" t="n"/>
      <c r="F48" s="50" t="n"/>
      <c r="G48" s="47" t="n"/>
      <c r="H48" s="58" t="n"/>
      <c r="I48" s="47" t="n"/>
      <c r="J48" s="47" t="n"/>
      <c r="K48" s="43">
        <f>SUM(C48,E48,G48,I48)</f>
        <v/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</row>
    <row r="49" ht="15.95" customHeight="1">
      <c r="A49" s="40" t="inlineStr">
        <is>
          <t>S16</t>
        </is>
      </c>
      <c r="B49" s="40">
        <f>VLOOKUP(A49,Members!$A$2:$B$65,2,FALSE)</f>
        <v/>
      </c>
      <c r="C49" s="104" t="n"/>
      <c r="D49" s="53" t="n"/>
      <c r="E49" s="104" t="n"/>
      <c r="F49" s="53" t="n"/>
      <c r="G49" s="104" t="n"/>
      <c r="H49" s="59" t="n"/>
      <c r="I49" s="104" t="n"/>
      <c r="J49" s="104" t="n"/>
      <c r="K49" s="104">
        <f>SUM(C49,E49,G49,I49)</f>
        <v/>
      </c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</row>
    <row r="50" ht="15.95" customHeight="1">
      <c r="A50" s="42" t="inlineStr">
        <is>
          <t>T1</t>
        </is>
      </c>
      <c r="B50" s="42">
        <f>VLOOKUP(A50,Members!$A$2:$B$65,2,FALSE)</f>
        <v/>
      </c>
      <c r="C50" s="47" t="n"/>
      <c r="D50" s="50" t="n"/>
      <c r="E50" s="47" t="n"/>
      <c r="F50" s="50" t="n"/>
      <c r="G50" s="47" t="n"/>
      <c r="H50" s="58" t="n"/>
      <c r="I50" s="47" t="n"/>
      <c r="J50" s="47" t="n"/>
      <c r="K50" s="47">
        <f>SUM(C50,E50,G50,I50)</f>
        <v/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</row>
    <row r="51" ht="15.95" customHeight="1">
      <c r="A51" s="40" t="inlineStr">
        <is>
          <t>T2</t>
        </is>
      </c>
      <c r="B51" s="40">
        <f>VLOOKUP(A51,Members!$A$2:$B$65,2,FALSE)</f>
        <v/>
      </c>
      <c r="C51" s="41" t="n"/>
      <c r="D51" s="53" t="n"/>
      <c r="E51" s="104" t="n"/>
      <c r="F51" s="53" t="n"/>
      <c r="G51" s="104" t="n"/>
      <c r="H51" s="59" t="n"/>
      <c r="I51" s="104" t="n"/>
      <c r="J51" s="104" t="n"/>
      <c r="K51" s="41">
        <f>SUM(C51,E51,G51,I51)</f>
        <v/>
      </c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</row>
    <row r="52" ht="15.95" customHeight="1">
      <c r="A52" s="42" t="inlineStr">
        <is>
          <t>T3</t>
        </is>
      </c>
      <c r="B52" s="42">
        <f>VLOOKUP(A52,Members!$A$2:$B$65,2,FALSE)</f>
        <v/>
      </c>
      <c r="C52" s="43" t="n"/>
      <c r="D52" s="50" t="n"/>
      <c r="E52" s="47" t="n"/>
      <c r="F52" s="50" t="n"/>
      <c r="G52" s="47" t="n"/>
      <c r="H52" s="58" t="n"/>
      <c r="I52" s="47" t="n"/>
      <c r="J52" s="47" t="n"/>
      <c r="K52" s="43">
        <f>SUM(C52,E52,G52,I52)</f>
        <v/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</row>
    <row r="53" ht="15.95" customHeight="1">
      <c r="A53" s="40" t="inlineStr">
        <is>
          <t>T4</t>
        </is>
      </c>
      <c r="B53" s="40">
        <f>VLOOKUP(A53,Members!$A$2:$B$65,2,FALSE)</f>
        <v/>
      </c>
      <c r="C53" s="41" t="n"/>
      <c r="D53" s="53" t="n"/>
      <c r="E53" s="104" t="n"/>
      <c r="F53" s="53" t="n"/>
      <c r="G53" s="104" t="n"/>
      <c r="H53" s="59" t="n"/>
      <c r="I53" s="104" t="n"/>
      <c r="J53" s="104" t="n"/>
      <c r="K53" s="41">
        <f>SUM(C53,E53,G53,I53)</f>
        <v/>
      </c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</row>
    <row r="54" ht="15.95" customHeight="1">
      <c r="A54" s="42" t="inlineStr">
        <is>
          <t>T5</t>
        </is>
      </c>
      <c r="B54" s="42">
        <f>VLOOKUP(A54,Members!$A$2:$B$65,2,FALSE)</f>
        <v/>
      </c>
      <c r="C54" s="47" t="n"/>
      <c r="D54" s="50" t="n"/>
      <c r="E54" s="47" t="n"/>
      <c r="F54" s="50" t="n"/>
      <c r="G54" s="47" t="n"/>
      <c r="H54" s="58" t="n"/>
      <c r="I54" s="47" t="n"/>
      <c r="J54" s="47" t="n"/>
      <c r="K54" s="47">
        <f>SUM(C54,E54,G54,I54)</f>
        <v/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</row>
    <row r="55" ht="15.95" customHeight="1">
      <c r="A55" s="40" t="inlineStr">
        <is>
          <t>T6</t>
        </is>
      </c>
      <c r="B55" s="40">
        <f>VLOOKUP(A55,Members!$A$2:$B$65,2,FALSE)</f>
        <v/>
      </c>
      <c r="C55" s="41" t="n"/>
      <c r="D55" s="53" t="n"/>
      <c r="E55" s="104" t="n"/>
      <c r="F55" s="53" t="n"/>
      <c r="G55" s="104" t="n"/>
      <c r="H55" s="59" t="n"/>
      <c r="I55" s="104" t="n"/>
      <c r="J55" s="104" t="n"/>
      <c r="K55" s="41">
        <f>SUM(C55,E55,G55,I55)</f>
        <v/>
      </c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</row>
    <row r="56" ht="15.95" customHeight="1">
      <c r="A56" s="42" t="inlineStr">
        <is>
          <t>T7</t>
        </is>
      </c>
      <c r="B56" s="42">
        <f>VLOOKUP(A56,Members!$A$2:$B$65,2,FALSE)</f>
        <v/>
      </c>
      <c r="C56" s="47" t="n"/>
      <c r="D56" s="50" t="n"/>
      <c r="E56" s="47" t="n"/>
      <c r="F56" s="50" t="n"/>
      <c r="G56" s="47" t="n"/>
      <c r="H56" s="58" t="n"/>
      <c r="I56" s="47" t="n"/>
      <c r="J56" s="47" t="n"/>
      <c r="K56" s="47">
        <f>SUM(C56,E56,G56,I56)</f>
        <v/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</row>
    <row r="57" ht="15.95" customHeight="1">
      <c r="A57" s="40" t="inlineStr">
        <is>
          <t>T8</t>
        </is>
      </c>
      <c r="B57" s="40">
        <f>VLOOKUP(A57,Members!$A$2:$B$65,2,FALSE)</f>
        <v/>
      </c>
      <c r="C57" s="41" t="n"/>
      <c r="D57" s="53" t="n"/>
      <c r="E57" s="104" t="n"/>
      <c r="F57" s="53" t="n"/>
      <c r="G57" s="104" t="n"/>
      <c r="H57" s="59" t="n"/>
      <c r="I57" s="104" t="n"/>
      <c r="J57" s="104" t="n"/>
      <c r="K57" s="41">
        <f>SUM(C57,E57,G57,I57)</f>
        <v/>
      </c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</row>
    <row r="58" ht="15.95" customHeight="1">
      <c r="A58" s="42" t="inlineStr">
        <is>
          <t>T9</t>
        </is>
      </c>
      <c r="B58" s="42">
        <f>VLOOKUP(A58,Members!$A$2:$B$65,2,FALSE)</f>
        <v/>
      </c>
      <c r="C58" s="47" t="n"/>
      <c r="D58" s="50" t="n"/>
      <c r="E58" s="47" t="n"/>
      <c r="F58" s="50" t="n"/>
      <c r="G58" s="47" t="n"/>
      <c r="H58" s="58" t="n"/>
      <c r="I58" s="47" t="n"/>
      <c r="J58" s="47" t="n"/>
      <c r="K58" s="47">
        <f>SUM(C58,E58,G58,I58)</f>
        <v/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</row>
    <row r="59" ht="15.95" customHeight="1">
      <c r="A59" s="40" t="inlineStr">
        <is>
          <t>T10</t>
        </is>
      </c>
      <c r="B59" s="40">
        <f>VLOOKUP(A59,Members!$A$2:$B$65,2,FALSE)</f>
        <v/>
      </c>
      <c r="C59" s="41" t="n"/>
      <c r="D59" s="53" t="n"/>
      <c r="E59" s="104" t="n"/>
      <c r="F59" s="53" t="n"/>
      <c r="G59" s="104" t="n"/>
      <c r="H59" s="59" t="n"/>
      <c r="I59" s="104" t="n"/>
      <c r="J59" s="104" t="n"/>
      <c r="K59" s="41">
        <f>SUM(C59,E59,G59,I59)</f>
        <v/>
      </c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</row>
    <row r="60" ht="15.95" customHeight="1">
      <c r="A60" s="42" t="inlineStr">
        <is>
          <t>T11</t>
        </is>
      </c>
      <c r="B60" s="42">
        <f>VLOOKUP(A60,Members!$A$2:$B$65,2,FALSE)</f>
        <v/>
      </c>
      <c r="C60" s="43" t="n"/>
      <c r="D60" s="50" t="n"/>
      <c r="E60" s="47" t="n"/>
      <c r="F60" s="50" t="n"/>
      <c r="G60" s="47" t="n"/>
      <c r="H60" s="58" t="n"/>
      <c r="I60" s="47" t="n"/>
      <c r="J60" s="47" t="n"/>
      <c r="K60" s="43">
        <f>SUM(C60,E60,G60,I60)</f>
        <v/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</row>
    <row r="61" ht="15.95" customHeight="1">
      <c r="A61" s="40" t="inlineStr">
        <is>
          <t>T12</t>
        </is>
      </c>
      <c r="B61" s="40">
        <f>VLOOKUP(A61,Members!$A$2:$B$65,2,FALSE)</f>
        <v/>
      </c>
      <c r="C61" s="41" t="n"/>
      <c r="D61" s="53" t="n"/>
      <c r="E61" s="104" t="n"/>
      <c r="F61" s="53" t="n"/>
      <c r="G61" s="104" t="n"/>
      <c r="H61" s="59" t="n"/>
      <c r="I61" s="104" t="n"/>
      <c r="J61" s="104" t="n"/>
      <c r="K61" s="41">
        <f>SUM(C61,E61,G61,I61)</f>
        <v/>
      </c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</row>
    <row r="62" ht="15.95" customHeight="1">
      <c r="A62" s="42" t="inlineStr">
        <is>
          <t>T13</t>
        </is>
      </c>
      <c r="B62" s="42">
        <f>VLOOKUP(A62,Members!$A$2:$B$65,2,FALSE)</f>
        <v/>
      </c>
      <c r="C62" s="47" t="n"/>
      <c r="D62" s="49" t="n"/>
      <c r="E62" s="47" t="n"/>
      <c r="F62" s="50" t="n"/>
      <c r="G62" s="47" t="n"/>
      <c r="H62" s="58" t="n"/>
      <c r="I62" s="47" t="n"/>
      <c r="J62" s="47" t="n"/>
      <c r="K62" s="47">
        <f>SUM(C62,E62,G62,I62)</f>
        <v/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</row>
    <row r="63" ht="15.95" customHeight="1">
      <c r="A63" s="40" t="inlineStr">
        <is>
          <t>T14</t>
        </is>
      </c>
      <c r="B63" s="40">
        <f>VLOOKUP(A63,Members!$A$2:$B$65,2,FALSE)</f>
        <v/>
      </c>
      <c r="C63" s="41" t="n"/>
      <c r="D63" s="53" t="n"/>
      <c r="E63" s="104" t="n"/>
      <c r="F63" s="53" t="n"/>
      <c r="G63" s="104" t="n"/>
      <c r="H63" s="59" t="n"/>
      <c r="I63" s="104" t="n"/>
      <c r="J63" s="104" t="n"/>
      <c r="K63" s="41">
        <f>SUM(C63,E63,G63,I63)</f>
        <v/>
      </c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</row>
    <row r="64" ht="15.95" customHeight="1">
      <c r="A64" s="42" t="inlineStr">
        <is>
          <t>T15</t>
        </is>
      </c>
      <c r="B64" s="42">
        <f>VLOOKUP(A64,Members!$A$2:$B$65,2,FALSE)</f>
        <v/>
      </c>
      <c r="C64" s="43" t="n"/>
      <c r="D64" s="50" t="n"/>
      <c r="E64" s="47" t="n"/>
      <c r="F64" s="50" t="n"/>
      <c r="G64" s="47" t="n"/>
      <c r="H64" s="58" t="n"/>
      <c r="I64" s="47" t="n"/>
      <c r="J64" s="47" t="n"/>
      <c r="K64" s="43">
        <f>SUM(C64,E64,G64,I64)</f>
        <v/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</row>
    <row r="65" ht="15.95" customHeight="1">
      <c r="A65" s="40" t="inlineStr">
        <is>
          <t>T16</t>
        </is>
      </c>
      <c r="B65" s="40">
        <f>VLOOKUP(A65,Members!$A$2:$B$65,2,FALSE)</f>
        <v/>
      </c>
      <c r="C65" s="104" t="n"/>
      <c r="D65" s="53" t="n"/>
      <c r="E65" s="104" t="n"/>
      <c r="F65" s="53" t="n"/>
      <c r="G65" s="104" t="n"/>
      <c r="H65" s="59" t="n"/>
      <c r="I65" s="104" t="n"/>
      <c r="J65" s="104" t="n"/>
      <c r="K65" s="104">
        <f>SUM(C65,E65,G65,I65)</f>
        <v/>
      </c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</row>
    <row r="66">
      <c r="A66" s="44" t="inlineStr">
        <is>
          <t>TOTAL</t>
        </is>
      </c>
      <c r="B66" s="55" t="n"/>
      <c r="C66" s="56" t="n"/>
      <c r="D66" s="67" t="n"/>
      <c r="E66" s="56" t="n"/>
      <c r="F66" s="67" t="n"/>
      <c r="G66" s="56" t="n"/>
      <c r="H66" s="62" t="n"/>
      <c r="I66" s="56" t="n"/>
      <c r="J66" s="56" t="n"/>
      <c r="K66" s="56">
        <f>SUM(K2:K65)</f>
        <v/>
      </c>
      <c r="L66" s="56" t="n"/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  <c r="Z66" s="56" t="n"/>
      <c r="AA66" s="56" t="n"/>
    </row>
    <row r="67">
      <c r="D67" s="10" t="n"/>
      <c r="F67" s="9" t="n"/>
      <c r="H67" s="8" t="n"/>
    </row>
    <row r="68">
      <c r="D68" s="10" t="n"/>
      <c r="F68" s="9" t="n"/>
      <c r="H68" s="8" t="n"/>
    </row>
    <row r="69">
      <c r="D69" s="10" t="n"/>
      <c r="F69" s="9" t="n"/>
      <c r="H69" s="8" t="n"/>
    </row>
    <row r="70">
      <c r="A70" s="3" t="n"/>
      <c r="D70" s="10" t="n"/>
      <c r="F70" s="9" t="n"/>
      <c r="H70" s="8" t="n"/>
    </row>
    <row r="71">
      <c r="A71" s="3" t="n"/>
      <c r="D71" s="10" t="n"/>
      <c r="F71" s="9" t="n"/>
      <c r="H71" s="8" t="n"/>
    </row>
    <row r="72">
      <c r="A72" s="5" t="n"/>
      <c r="D72" s="10" t="n"/>
      <c r="F72" s="9" t="n"/>
      <c r="H72" s="8" t="n"/>
    </row>
    <row r="73">
      <c r="A73" s="5" t="n"/>
      <c r="D73" s="10" t="n"/>
      <c r="F73" s="9" t="n"/>
      <c r="H73" s="8" t="n"/>
    </row>
    <row r="74">
      <c r="A74" s="5" t="n"/>
      <c r="D74" s="10" t="n"/>
      <c r="F74" s="9" t="n"/>
      <c r="H74" s="8" t="n"/>
    </row>
    <row r="75">
      <c r="A75" s="5" t="n"/>
      <c r="D75" s="10" t="n"/>
      <c r="F75" s="9" t="n"/>
      <c r="H75" s="8" t="n"/>
    </row>
    <row r="76">
      <c r="A76" s="5" t="n"/>
      <c r="D76" s="10" t="n"/>
      <c r="F76" s="9" t="n"/>
      <c r="H76" s="8" t="n"/>
    </row>
    <row r="77">
      <c r="A77" s="5" t="n"/>
      <c r="D77" s="10" t="n"/>
      <c r="F77" s="9" t="n"/>
      <c r="H77" s="8" t="n"/>
    </row>
    <row r="78">
      <c r="A78" s="5" t="n"/>
      <c r="D78" s="10" t="n"/>
      <c r="F78" s="9" t="n"/>
      <c r="H78" s="8" t="n"/>
    </row>
    <row r="79">
      <c r="A79" s="5" t="n"/>
      <c r="D79" s="10" t="n"/>
      <c r="F79" s="9" t="n"/>
      <c r="H79" s="8" t="n"/>
    </row>
    <row r="80">
      <c r="A80" s="5" t="n"/>
      <c r="D80" s="10" t="n"/>
      <c r="F80" s="9" t="n"/>
      <c r="H80" s="8" t="n"/>
    </row>
    <row r="81">
      <c r="A81" s="5" t="n"/>
      <c r="D81" s="10" t="n"/>
      <c r="F81" s="9" t="n"/>
      <c r="H81" s="8" t="n"/>
    </row>
    <row r="82">
      <c r="A82" s="5" t="n"/>
      <c r="D82" s="10" t="n"/>
      <c r="F82" s="9" t="n"/>
      <c r="H82" s="8" t="n"/>
    </row>
    <row r="83">
      <c r="A83" s="5" t="n"/>
      <c r="D83" s="10" t="n"/>
      <c r="F83" s="9" t="n"/>
      <c r="H83" s="8" t="n"/>
    </row>
    <row r="84">
      <c r="A84" s="5" t="n"/>
      <c r="D84" s="10" t="n"/>
      <c r="F84" s="9" t="n"/>
      <c r="H84" s="8" t="n"/>
    </row>
    <row r="85">
      <c r="A85" s="5" t="n"/>
      <c r="D85" s="10" t="n"/>
      <c r="F85" s="9" t="n"/>
      <c r="H85" s="8" t="n"/>
    </row>
    <row r="86">
      <c r="A86" s="5" t="n"/>
      <c r="D86" s="10" t="n"/>
      <c r="F86" s="9" t="n"/>
      <c r="H86" s="8" t="n"/>
    </row>
    <row r="87">
      <c r="A87" s="5" t="n"/>
      <c r="D87" s="10" t="n"/>
      <c r="F87" s="9" t="n"/>
      <c r="H87" s="8" t="n"/>
    </row>
    <row r="88">
      <c r="A88" s="5" t="n"/>
      <c r="D88" s="10" t="n"/>
      <c r="F88" s="9" t="n"/>
      <c r="H88" s="8" t="n"/>
    </row>
    <row r="89">
      <c r="A89" s="5" t="n"/>
      <c r="D89" s="10" t="n"/>
      <c r="F89" s="9" t="n"/>
      <c r="H89" s="8" t="n"/>
    </row>
    <row r="90">
      <c r="A90" s="5" t="n"/>
      <c r="D90" s="10" t="n"/>
      <c r="F90" s="9" t="n"/>
      <c r="H90" s="8" t="n"/>
    </row>
    <row r="91">
      <c r="A91" s="5" t="n"/>
      <c r="D91" s="10" t="n"/>
      <c r="F91" s="9" t="n"/>
      <c r="H91" s="8" t="n"/>
    </row>
    <row r="92">
      <c r="A92" s="5" t="n"/>
      <c r="D92" s="10" t="n"/>
      <c r="F92" s="9" t="n"/>
      <c r="H92" s="8" t="n"/>
    </row>
    <row r="93">
      <c r="A93" s="5" t="n"/>
      <c r="D93" s="10" t="n"/>
      <c r="F93" s="9" t="n"/>
      <c r="H93" s="8" t="n"/>
    </row>
    <row r="94">
      <c r="A94" s="5" t="n"/>
      <c r="D94" s="10" t="n"/>
      <c r="F94" s="9" t="n"/>
      <c r="H94" s="8" t="n"/>
    </row>
    <row r="95">
      <c r="A95" s="5" t="n"/>
      <c r="D95" s="10" t="n"/>
      <c r="F95" s="9" t="n"/>
      <c r="H95" s="8" t="n"/>
    </row>
    <row r="96">
      <c r="A96" s="5" t="n"/>
      <c r="D96" s="10" t="n"/>
      <c r="F96" s="9" t="n"/>
      <c r="H96" s="8" t="n"/>
    </row>
    <row r="97">
      <c r="A97" s="5" t="n"/>
      <c r="D97" s="10" t="n"/>
      <c r="F97" s="9" t="n"/>
      <c r="H97" s="8" t="n"/>
    </row>
    <row r="98">
      <c r="A98" s="5" t="n"/>
      <c r="D98" s="10" t="n"/>
      <c r="F98" s="9" t="n"/>
      <c r="H98" s="8" t="n"/>
    </row>
    <row r="99">
      <c r="A99" s="5" t="n"/>
      <c r="D99" s="10" t="n"/>
      <c r="F99" s="9" t="n"/>
      <c r="H99" s="8" t="n"/>
    </row>
    <row r="100">
      <c r="A100" s="5" t="n"/>
      <c r="D100" s="10" t="n"/>
      <c r="F100" s="9" t="n"/>
      <c r="H100" s="8" t="n"/>
    </row>
    <row r="101">
      <c r="A101" s="5" t="n"/>
      <c r="D101" s="10" t="n"/>
      <c r="F101" s="9" t="n"/>
      <c r="H101" s="8" t="n"/>
    </row>
    <row r="102">
      <c r="A102" s="5" t="n"/>
      <c r="D102" s="10" t="n"/>
      <c r="F102" s="9" t="n"/>
      <c r="H102" s="8" t="n"/>
    </row>
    <row r="103">
      <c r="A103" s="5" t="n"/>
      <c r="D103" s="10" t="n"/>
      <c r="F103" s="9" t="n"/>
      <c r="H103" s="8" t="n"/>
    </row>
    <row r="104">
      <c r="A104" s="5" t="n"/>
      <c r="D104" s="10" t="n"/>
      <c r="F104" s="9" t="n"/>
      <c r="H104" s="8" t="n"/>
    </row>
    <row r="105">
      <c r="A105" s="5" t="n"/>
      <c r="D105" s="10" t="n"/>
      <c r="F105" s="9" t="n"/>
      <c r="H105" s="8" t="n"/>
    </row>
    <row r="106">
      <c r="A106" s="5" t="n"/>
      <c r="D106" s="10" t="n"/>
      <c r="F106" s="9" t="n"/>
      <c r="H106" s="8" t="n"/>
    </row>
    <row r="107">
      <c r="A107" s="5" t="n"/>
      <c r="D107" s="10" t="n"/>
      <c r="F107" s="9" t="n"/>
      <c r="H107" s="8" t="n"/>
    </row>
    <row r="108">
      <c r="A108" s="5" t="n"/>
      <c r="D108" s="10" t="n"/>
      <c r="F108" s="9" t="n"/>
      <c r="H108" s="8" t="n"/>
    </row>
    <row r="109">
      <c r="A109" s="5" t="n"/>
      <c r="D109" s="10" t="n"/>
      <c r="F109" s="9" t="n"/>
      <c r="H109" s="8" t="n"/>
    </row>
    <row r="110">
      <c r="A110" s="5" t="n"/>
      <c r="D110" s="10" t="n"/>
      <c r="F110" s="9" t="n"/>
      <c r="H110" s="8" t="n"/>
    </row>
    <row r="111">
      <c r="A111" s="5" t="n"/>
      <c r="D111" s="10" t="n"/>
      <c r="F111" s="9" t="n"/>
      <c r="H111" s="8" t="n"/>
    </row>
    <row r="112">
      <c r="A112" s="5" t="n"/>
      <c r="D112" s="10" t="n"/>
      <c r="F112" s="9" t="n"/>
      <c r="H112" s="8" t="n"/>
    </row>
    <row r="113">
      <c r="A113" s="5" t="n"/>
      <c r="D113" s="10" t="n"/>
      <c r="F113" s="9" t="n"/>
      <c r="H113" s="8" t="n"/>
    </row>
    <row r="114">
      <c r="A114" s="5" t="n"/>
      <c r="D114" s="10" t="n"/>
      <c r="F114" s="9" t="n"/>
      <c r="H114" s="8" t="n"/>
    </row>
    <row r="115">
      <c r="A115" s="5" t="n"/>
      <c r="D115" s="10" t="n"/>
      <c r="F115" s="9" t="n"/>
      <c r="H115" s="8" t="n"/>
    </row>
    <row r="116">
      <c r="A116" s="5" t="n"/>
      <c r="D116" s="10" t="n"/>
      <c r="F116" s="9" t="n"/>
      <c r="H116" s="8" t="n"/>
    </row>
    <row r="117">
      <c r="A117" s="5" t="n"/>
      <c r="D117" s="10" t="n"/>
      <c r="F117" s="9" t="n"/>
      <c r="H117" s="8" t="n"/>
    </row>
    <row r="118">
      <c r="A118" s="5" t="n"/>
      <c r="D118" s="10" t="n"/>
      <c r="F118" s="9" t="n"/>
      <c r="H118" s="8" t="n"/>
    </row>
    <row r="119">
      <c r="A119" s="5" t="n"/>
      <c r="D119" s="10" t="n"/>
      <c r="F119" s="9" t="n"/>
      <c r="H119" s="8" t="n"/>
    </row>
    <row r="120">
      <c r="A120" s="5" t="n"/>
      <c r="D120" s="10" t="n"/>
      <c r="F120" s="9" t="n"/>
      <c r="H120" s="8" t="n"/>
    </row>
    <row r="121">
      <c r="A121" s="5" t="n"/>
      <c r="D121" s="10" t="n"/>
      <c r="F121" s="9" t="n"/>
      <c r="H121" s="8" t="n"/>
    </row>
    <row r="122">
      <c r="A122" s="5" t="n"/>
      <c r="D122" s="10" t="n"/>
      <c r="F122" s="9" t="n"/>
      <c r="H122" s="8" t="n"/>
    </row>
    <row r="123">
      <c r="A123" s="5" t="n"/>
      <c r="D123" s="10" t="n"/>
      <c r="F123" s="9" t="n"/>
      <c r="H123" s="8" t="n"/>
    </row>
    <row r="124">
      <c r="A124" s="5" t="n"/>
      <c r="D124" s="10" t="n"/>
      <c r="F124" s="9" t="n"/>
      <c r="H124" s="8" t="n"/>
    </row>
    <row r="125">
      <c r="A125" s="5" t="n"/>
      <c r="D125" s="10" t="n"/>
      <c r="F125" s="9" t="n"/>
      <c r="H125" s="8" t="n"/>
    </row>
    <row r="126">
      <c r="A126" s="5" t="n"/>
      <c r="D126" s="10" t="n"/>
      <c r="F126" s="9" t="n"/>
      <c r="H126" s="8" t="n"/>
    </row>
    <row r="127">
      <c r="A127" s="5" t="n"/>
      <c r="D127" s="10" t="n"/>
      <c r="F127" s="9" t="n"/>
      <c r="H127" s="8" t="n"/>
    </row>
    <row r="128">
      <c r="A128" s="5" t="n"/>
      <c r="D128" s="10" t="n"/>
      <c r="F128" s="9" t="n"/>
      <c r="H128" s="8" t="n"/>
    </row>
    <row r="129">
      <c r="A129" s="5" t="n"/>
      <c r="D129" s="10" t="n"/>
      <c r="F129" s="9" t="n"/>
      <c r="H129" s="8" t="n"/>
    </row>
    <row r="130">
      <c r="A130" s="5" t="n"/>
      <c r="D130" s="10" t="n"/>
      <c r="F130" s="9" t="n"/>
      <c r="H130" s="8" t="n"/>
    </row>
    <row r="131">
      <c r="A131" s="5" t="n"/>
      <c r="D131" s="10" t="n"/>
      <c r="F131" s="9" t="n"/>
      <c r="H131" s="8" t="n"/>
    </row>
    <row r="132">
      <c r="A132" s="5" t="n"/>
      <c r="D132" s="10" t="n"/>
      <c r="F132" s="9" t="n"/>
      <c r="H132" s="8" t="n"/>
    </row>
    <row r="133">
      <c r="A133" s="5" t="n"/>
      <c r="D133" s="10" t="n"/>
      <c r="F133" s="9" t="n"/>
      <c r="H133" s="8" t="n"/>
    </row>
    <row r="134">
      <c r="A134" s="5" t="n"/>
      <c r="D134" s="10" t="n"/>
      <c r="F134" s="9" t="n"/>
      <c r="H134" s="8" t="n"/>
    </row>
    <row r="135">
      <c r="A135" s="5" t="n"/>
      <c r="D135" s="10" t="n"/>
      <c r="F135" s="9" t="n"/>
      <c r="H135" s="8" t="n"/>
    </row>
    <row r="136">
      <c r="A136" s="5" t="n"/>
      <c r="D136" s="10" t="n"/>
      <c r="F136" s="9" t="n"/>
      <c r="H136" s="8" t="n"/>
    </row>
    <row r="137">
      <c r="A137" s="5" t="n"/>
      <c r="D137" s="10" t="n"/>
      <c r="F137" s="9" t="n"/>
      <c r="H137" s="8" t="n"/>
    </row>
    <row r="138">
      <c r="A138" s="5" t="n"/>
      <c r="D138" s="10" t="n"/>
      <c r="F138" s="9" t="n"/>
      <c r="H138" s="8" t="n"/>
    </row>
    <row r="139">
      <c r="A139" s="7" t="n"/>
      <c r="D139" s="10" t="n"/>
      <c r="F139" s="9" t="n"/>
      <c r="H139" s="8" t="n"/>
    </row>
    <row r="140">
      <c r="D140" s="10" t="n"/>
      <c r="F140" s="9" t="n"/>
      <c r="H140" s="8" t="n"/>
    </row>
    <row r="141">
      <c r="D141" s="10" t="n"/>
      <c r="F141" s="9" t="n"/>
      <c r="H141" s="8" t="n"/>
    </row>
    <row r="142">
      <c r="D142" s="10" t="n"/>
      <c r="F142" s="9" t="n"/>
      <c r="H142" s="8" t="n"/>
    </row>
    <row r="143">
      <c r="A143" s="3" t="n"/>
      <c r="D143" s="10" t="n"/>
      <c r="F143" s="9" t="n"/>
      <c r="H143" s="8" t="n"/>
    </row>
    <row r="144">
      <c r="A144" s="3" t="n"/>
      <c r="D144" s="10" t="n"/>
      <c r="F144" s="9" t="n"/>
      <c r="H144" s="8" t="n"/>
    </row>
    <row r="145">
      <c r="A145" s="5" t="n"/>
      <c r="D145" s="10" t="n"/>
      <c r="F145" s="9" t="n"/>
      <c r="H145" s="8" t="n"/>
    </row>
    <row r="146">
      <c r="A146" s="5" t="n"/>
      <c r="D146" s="10" t="n"/>
      <c r="F146" s="9" t="n"/>
      <c r="H146" s="8" t="n"/>
    </row>
    <row r="147">
      <c r="A147" s="5" t="n"/>
      <c r="D147" s="10" t="n"/>
      <c r="F147" s="9" t="n"/>
      <c r="H147" s="8" t="n"/>
    </row>
    <row r="148">
      <c r="A148" s="5" t="n"/>
      <c r="D148" s="10" t="n"/>
      <c r="F148" s="9" t="n"/>
      <c r="H148" s="8" t="n"/>
    </row>
    <row r="149">
      <c r="A149" s="5" t="n"/>
      <c r="D149" s="10" t="n"/>
      <c r="F149" s="9" t="n"/>
      <c r="H149" s="8" t="n"/>
    </row>
    <row r="150">
      <c r="A150" s="5" t="n"/>
      <c r="D150" s="10" t="n"/>
      <c r="F150" s="9" t="n"/>
      <c r="H150" s="8" t="n"/>
    </row>
    <row r="151">
      <c r="A151" s="5" t="n"/>
      <c r="D151" s="10" t="n"/>
      <c r="F151" s="9" t="n"/>
      <c r="H151" s="8" t="n"/>
    </row>
    <row r="152">
      <c r="A152" s="5" t="n"/>
      <c r="D152" s="10" t="n"/>
      <c r="F152" s="9" t="n"/>
      <c r="H152" s="8" t="n"/>
    </row>
    <row r="153">
      <c r="A153" s="5" t="n"/>
      <c r="D153" s="10" t="n"/>
      <c r="F153" s="9" t="n"/>
      <c r="H153" s="8" t="n"/>
    </row>
    <row r="154">
      <c r="A154" s="5" t="n"/>
      <c r="D154" s="10" t="n"/>
      <c r="F154" s="9" t="n"/>
      <c r="H154" s="8" t="n"/>
    </row>
    <row r="155">
      <c r="A155" s="5" t="n"/>
      <c r="D155" s="10" t="n"/>
      <c r="F155" s="9" t="n"/>
      <c r="H155" s="8" t="n"/>
    </row>
    <row r="156">
      <c r="A156" s="5" t="n"/>
      <c r="D156" s="10" t="n"/>
      <c r="F156" s="9" t="n"/>
      <c r="H156" s="8" t="n"/>
    </row>
    <row r="157">
      <c r="A157" s="5" t="n"/>
      <c r="D157" s="10" t="n"/>
      <c r="F157" s="9" t="n"/>
      <c r="H157" s="8" t="n"/>
    </row>
    <row r="158">
      <c r="A158" s="5" t="n"/>
      <c r="D158" s="10" t="n"/>
      <c r="F158" s="9" t="n"/>
      <c r="H158" s="8" t="n"/>
    </row>
    <row r="159">
      <c r="A159" s="5" t="n"/>
      <c r="D159" s="10" t="n"/>
      <c r="F159" s="9" t="n"/>
      <c r="H159" s="8" t="n"/>
    </row>
    <row r="160">
      <c r="A160" s="5" t="n"/>
      <c r="D160" s="10" t="n"/>
      <c r="F160" s="9" t="n"/>
      <c r="H160" s="8" t="n"/>
    </row>
    <row r="161">
      <c r="A161" s="5" t="n"/>
      <c r="D161" s="10" t="n"/>
      <c r="F161" s="9" t="n"/>
      <c r="H161" s="8" t="n"/>
    </row>
    <row r="162">
      <c r="A162" s="5" t="n"/>
      <c r="D162" s="10" t="n"/>
      <c r="F162" s="9" t="n"/>
      <c r="H162" s="8" t="n"/>
    </row>
    <row r="163">
      <c r="A163" s="5" t="n"/>
      <c r="D163" s="10" t="n"/>
      <c r="F163" s="9" t="n"/>
      <c r="H163" s="8" t="n"/>
    </row>
    <row r="164">
      <c r="A164" s="5" t="n"/>
      <c r="D164" s="10" t="n"/>
      <c r="F164" s="9" t="n"/>
      <c r="H164" s="8" t="n"/>
    </row>
    <row r="165">
      <c r="A165" s="5" t="n"/>
      <c r="D165" s="10" t="n"/>
      <c r="F165" s="9" t="n"/>
      <c r="H165" s="8" t="n"/>
    </row>
    <row r="166">
      <c r="A166" s="5" t="n"/>
      <c r="D166" s="10" t="n"/>
      <c r="F166" s="9" t="n"/>
      <c r="H166" s="8" t="n"/>
    </row>
    <row r="167">
      <c r="A167" s="5" t="n"/>
      <c r="D167" s="10" t="n"/>
      <c r="F167" s="9" t="n"/>
      <c r="H167" s="8" t="n"/>
    </row>
    <row r="168">
      <c r="A168" s="5" t="n"/>
      <c r="D168" s="10" t="n"/>
      <c r="F168" s="9" t="n"/>
      <c r="H168" s="8" t="n"/>
    </row>
    <row r="169">
      <c r="A169" s="5" t="n"/>
      <c r="D169" s="10" t="n"/>
      <c r="F169" s="9" t="n"/>
      <c r="H169" s="8" t="n"/>
    </row>
    <row r="170">
      <c r="A170" s="5" t="n"/>
      <c r="D170" s="10" t="n"/>
      <c r="F170" s="9" t="n"/>
      <c r="H170" s="8" t="n"/>
    </row>
    <row r="171">
      <c r="A171" s="5" t="n"/>
      <c r="D171" s="10" t="n"/>
      <c r="F171" s="9" t="n"/>
      <c r="H171" s="8" t="n"/>
    </row>
    <row r="172">
      <c r="A172" s="5" t="n"/>
      <c r="D172" s="10" t="n"/>
      <c r="F172" s="9" t="n"/>
      <c r="H172" s="8" t="n"/>
    </row>
    <row r="173">
      <c r="A173" s="5" t="n"/>
      <c r="D173" s="10" t="n"/>
      <c r="F173" s="9" t="n"/>
      <c r="H173" s="8" t="n"/>
    </row>
    <row r="174">
      <c r="A174" s="5" t="n"/>
      <c r="D174" s="10" t="n"/>
      <c r="F174" s="9" t="n"/>
      <c r="H174" s="8" t="n"/>
    </row>
    <row r="175">
      <c r="A175" s="5" t="n"/>
      <c r="D175" s="10" t="n"/>
      <c r="F175" s="9" t="n"/>
      <c r="H175" s="8" t="n"/>
    </row>
    <row r="176">
      <c r="A176" s="5" t="n"/>
      <c r="D176" s="10" t="n"/>
      <c r="F176" s="9" t="n"/>
      <c r="H176" s="8" t="n"/>
    </row>
    <row r="177">
      <c r="A177" s="5" t="n"/>
      <c r="D177" s="10" t="n"/>
      <c r="F177" s="9" t="n"/>
      <c r="H177" s="8" t="n"/>
    </row>
    <row r="178">
      <c r="A178" s="5" t="n"/>
      <c r="D178" s="10" t="n"/>
      <c r="F178" s="9" t="n"/>
      <c r="H178" s="8" t="n"/>
    </row>
    <row r="179">
      <c r="A179" s="5" t="n"/>
      <c r="D179" s="10" t="n"/>
      <c r="F179" s="9" t="n"/>
      <c r="H179" s="8" t="n"/>
    </row>
    <row r="180">
      <c r="A180" s="5" t="n"/>
      <c r="D180" s="10" t="n"/>
      <c r="F180" s="9" t="n"/>
      <c r="H180" s="8" t="n"/>
    </row>
    <row r="181">
      <c r="A181" s="5" t="n"/>
      <c r="D181" s="10" t="n"/>
      <c r="F181" s="9" t="n"/>
      <c r="H181" s="8" t="n"/>
    </row>
    <row r="182">
      <c r="A182" s="5" t="n"/>
      <c r="D182" s="10" t="n"/>
      <c r="F182" s="9" t="n"/>
      <c r="H182" s="8" t="n"/>
    </row>
    <row r="183">
      <c r="A183" s="5" t="n"/>
      <c r="D183" s="10" t="n"/>
      <c r="F183" s="9" t="n"/>
      <c r="H183" s="8" t="n"/>
    </row>
    <row r="184">
      <c r="A184" s="5" t="n"/>
      <c r="D184" s="10" t="n"/>
      <c r="F184" s="9" t="n"/>
      <c r="H184" s="8" t="n"/>
    </row>
    <row r="185">
      <c r="A185" s="5" t="n"/>
      <c r="D185" s="10" t="n"/>
      <c r="F185" s="9" t="n"/>
      <c r="H185" s="8" t="n"/>
    </row>
    <row r="186">
      <c r="A186" s="5" t="n"/>
      <c r="D186" s="10" t="n"/>
      <c r="F186" s="9" t="n"/>
      <c r="H186" s="8" t="n"/>
    </row>
    <row r="187">
      <c r="A187" s="5" t="n"/>
      <c r="D187" s="10" t="n"/>
      <c r="F187" s="9" t="n"/>
      <c r="H187" s="8" t="n"/>
    </row>
    <row r="188">
      <c r="A188" s="5" t="n"/>
      <c r="D188" s="10" t="n"/>
      <c r="F188" s="9" t="n"/>
      <c r="H188" s="8" t="n"/>
    </row>
    <row r="189">
      <c r="A189" s="5" t="n"/>
      <c r="D189" s="10" t="n"/>
      <c r="F189" s="9" t="n"/>
      <c r="H189" s="8" t="n"/>
    </row>
    <row r="190">
      <c r="A190" s="5" t="n"/>
      <c r="D190" s="10" t="n"/>
      <c r="F190" s="9" t="n"/>
      <c r="H190" s="8" t="n"/>
    </row>
    <row r="191">
      <c r="A191" s="5" t="n"/>
      <c r="D191" s="10" t="n"/>
      <c r="F191" s="9" t="n"/>
      <c r="H191" s="8" t="n"/>
    </row>
    <row r="192">
      <c r="A192" s="5" t="n"/>
      <c r="D192" s="10" t="n"/>
      <c r="F192" s="9" t="n"/>
      <c r="H192" s="8" t="n"/>
    </row>
    <row r="193">
      <c r="A193" s="5" t="n"/>
      <c r="D193" s="10" t="n"/>
      <c r="F193" s="9" t="n"/>
      <c r="H193" s="8" t="n"/>
    </row>
    <row r="194">
      <c r="A194" s="5" t="n"/>
      <c r="D194" s="10" t="n"/>
      <c r="F194" s="9" t="n"/>
      <c r="H194" s="8" t="n"/>
    </row>
    <row r="195">
      <c r="A195" s="5" t="n"/>
      <c r="D195" s="10" t="n"/>
      <c r="F195" s="9" t="n"/>
      <c r="H195" s="8" t="n"/>
    </row>
    <row r="196">
      <c r="A196" s="5" t="n"/>
      <c r="D196" s="10" t="n"/>
      <c r="F196" s="9" t="n"/>
      <c r="H196" s="8" t="n"/>
    </row>
    <row r="197">
      <c r="A197" s="5" t="n"/>
      <c r="D197" s="10" t="n"/>
      <c r="F197" s="9" t="n"/>
      <c r="H197" s="8" t="n"/>
    </row>
    <row r="198">
      <c r="A198" s="5" t="n"/>
      <c r="D198" s="10" t="n"/>
      <c r="F198" s="9" t="n"/>
      <c r="H198" s="8" t="n"/>
    </row>
    <row r="199">
      <c r="A199" s="5" t="n"/>
      <c r="D199" s="10" t="n"/>
      <c r="F199" s="9" t="n"/>
      <c r="H199" s="8" t="n"/>
    </row>
    <row r="200">
      <c r="A200" s="5" t="n"/>
      <c r="D200" s="10" t="n"/>
      <c r="F200" s="9" t="n"/>
      <c r="H200" s="8" t="n"/>
    </row>
    <row r="201">
      <c r="A201" s="5" t="n"/>
      <c r="D201" s="10" t="n"/>
      <c r="F201" s="9" t="n"/>
      <c r="H201" s="8" t="n"/>
    </row>
    <row r="202">
      <c r="A202" s="5" t="n"/>
      <c r="D202" s="10" t="n"/>
      <c r="F202" s="9" t="n"/>
      <c r="H202" s="8" t="n"/>
    </row>
    <row r="203">
      <c r="A203" s="5" t="n"/>
      <c r="D203" s="10" t="n"/>
      <c r="F203" s="9" t="n"/>
      <c r="H203" s="8" t="n"/>
    </row>
    <row r="204">
      <c r="A204" s="5" t="n"/>
      <c r="D204" s="10" t="n"/>
      <c r="F204" s="9" t="n"/>
      <c r="H204" s="8" t="n"/>
    </row>
    <row r="205">
      <c r="A205" s="5" t="n"/>
      <c r="D205" s="10" t="n"/>
      <c r="F205" s="9" t="n"/>
      <c r="H205" s="8" t="n"/>
    </row>
    <row r="206">
      <c r="A206" s="5" t="n"/>
      <c r="D206" s="10" t="n"/>
      <c r="F206" s="9" t="n"/>
      <c r="H206" s="8" t="n"/>
    </row>
    <row r="207">
      <c r="A207" s="5" t="n"/>
      <c r="D207" s="10" t="n"/>
      <c r="F207" s="9" t="n"/>
      <c r="H207" s="8" t="n"/>
    </row>
    <row r="208">
      <c r="A208" s="5" t="n"/>
      <c r="D208" s="10" t="n"/>
      <c r="F208" s="9" t="n"/>
      <c r="H208" s="8" t="n"/>
    </row>
    <row r="209">
      <c r="A209" s="5" t="n"/>
      <c r="D209" s="10" t="n"/>
      <c r="F209" s="9" t="n"/>
      <c r="H209" s="8" t="n"/>
    </row>
    <row r="210">
      <c r="A210" s="5" t="n"/>
      <c r="D210" s="10" t="n"/>
      <c r="F210" s="9" t="n"/>
      <c r="H210" s="8" t="n"/>
    </row>
    <row r="211">
      <c r="A211" s="5" t="n"/>
      <c r="D211" s="10" t="n"/>
      <c r="F211" s="9" t="n"/>
      <c r="H211" s="8" t="n"/>
    </row>
    <row r="212">
      <c r="A212" s="7" t="n"/>
      <c r="D212" s="10" t="n"/>
      <c r="F212" s="9" t="n"/>
      <c r="H212" s="8" t="n"/>
    </row>
    <row r="213">
      <c r="D213" s="10" t="n"/>
      <c r="F213" s="9" t="n"/>
      <c r="H213" s="8" t="n"/>
    </row>
    <row r="214">
      <c r="D214" s="10" t="n"/>
      <c r="F214" s="9" t="n"/>
      <c r="H214" s="8" t="n"/>
    </row>
    <row r="215">
      <c r="D215" s="10" t="n"/>
      <c r="F215" s="9" t="n"/>
      <c r="H215" s="8" t="n"/>
    </row>
    <row r="216">
      <c r="A216" s="3" t="n"/>
      <c r="D216" s="10" t="n"/>
      <c r="F216" s="9" t="n"/>
      <c r="H216" s="8" t="n"/>
    </row>
    <row r="217">
      <c r="A217" s="3" t="n"/>
      <c r="D217" s="10" t="n"/>
      <c r="F217" s="9" t="n"/>
      <c r="H217" s="8" t="n"/>
    </row>
    <row r="218">
      <c r="A218" s="5" t="n"/>
      <c r="D218" s="10" t="n"/>
      <c r="F218" s="9" t="n"/>
      <c r="H218" s="8" t="n"/>
    </row>
    <row r="219">
      <c r="A219" s="5" t="n"/>
      <c r="D219" s="10" t="n"/>
      <c r="F219" s="9" t="n"/>
      <c r="H219" s="8" t="n"/>
    </row>
    <row r="220">
      <c r="A220" s="5" t="n"/>
      <c r="D220" s="10" t="n"/>
      <c r="F220" s="9" t="n"/>
      <c r="H220" s="8" t="n"/>
    </row>
    <row r="221">
      <c r="A221" s="5" t="n"/>
      <c r="D221" s="10" t="n"/>
      <c r="F221" s="9" t="n"/>
      <c r="H221" s="8" t="n"/>
    </row>
    <row r="222">
      <c r="A222" s="5" t="n"/>
      <c r="D222" s="10" t="n"/>
      <c r="F222" s="9" t="n"/>
      <c r="H222" s="8" t="n"/>
    </row>
    <row r="223">
      <c r="A223" s="5" t="n"/>
      <c r="D223" s="10" t="n"/>
      <c r="F223" s="9" t="n"/>
      <c r="H223" s="8" t="n"/>
    </row>
    <row r="224">
      <c r="A224" s="5" t="n"/>
      <c r="D224" s="10" t="n"/>
      <c r="F224" s="9" t="n"/>
      <c r="H224" s="8" t="n"/>
    </row>
    <row r="225">
      <c r="A225" s="5" t="n"/>
      <c r="D225" s="10" t="n"/>
      <c r="F225" s="9" t="n"/>
      <c r="H225" s="8" t="n"/>
    </row>
    <row r="226">
      <c r="A226" s="5" t="n"/>
      <c r="D226" s="10" t="n"/>
      <c r="F226" s="9" t="n"/>
      <c r="H226" s="8" t="n"/>
    </row>
    <row r="227">
      <c r="A227" s="5" t="n"/>
      <c r="D227" s="10" t="n"/>
      <c r="F227" s="9" t="n"/>
      <c r="H227" s="8" t="n"/>
    </row>
    <row r="228">
      <c r="A228" s="5" t="n"/>
      <c r="D228" s="10" t="n"/>
      <c r="F228" s="9" t="n"/>
      <c r="H228" s="8" t="n"/>
    </row>
    <row r="229">
      <c r="A229" s="5" t="n"/>
      <c r="D229" s="10" t="n"/>
      <c r="F229" s="9" t="n"/>
      <c r="H229" s="8" t="n"/>
    </row>
    <row r="230">
      <c r="A230" s="5" t="n"/>
      <c r="D230" s="10" t="n"/>
      <c r="F230" s="9" t="n"/>
      <c r="H230" s="8" t="n"/>
    </row>
    <row r="231">
      <c r="A231" s="5" t="n"/>
      <c r="D231" s="10" t="n"/>
      <c r="F231" s="9" t="n"/>
      <c r="H231" s="8" t="n"/>
    </row>
    <row r="232">
      <c r="A232" s="5" t="n"/>
      <c r="D232" s="10" t="n"/>
      <c r="F232" s="9" t="n"/>
      <c r="H232" s="8" t="n"/>
    </row>
    <row r="233">
      <c r="A233" s="5" t="n"/>
      <c r="D233" s="10" t="n"/>
      <c r="F233" s="9" t="n"/>
      <c r="H233" s="8" t="n"/>
    </row>
    <row r="234">
      <c r="A234" s="5" t="n"/>
      <c r="D234" s="10" t="n"/>
      <c r="F234" s="9" t="n"/>
      <c r="H234" s="8" t="n"/>
    </row>
    <row r="235">
      <c r="A235" s="5" t="n"/>
      <c r="D235" s="10" t="n"/>
      <c r="F235" s="9" t="n"/>
      <c r="H235" s="8" t="n"/>
    </row>
    <row r="236">
      <c r="A236" s="5" t="n"/>
      <c r="D236" s="10" t="n"/>
      <c r="F236" s="9" t="n"/>
      <c r="H236" s="8" t="n"/>
    </row>
    <row r="237">
      <c r="A237" s="5" t="n"/>
      <c r="D237" s="10" t="n"/>
      <c r="F237" s="9" t="n"/>
      <c r="H237" s="8" t="n"/>
    </row>
    <row r="238">
      <c r="A238" s="5" t="n"/>
      <c r="D238" s="10" t="n"/>
      <c r="F238" s="9" t="n"/>
      <c r="H238" s="8" t="n"/>
    </row>
    <row r="239">
      <c r="A239" s="5" t="n"/>
      <c r="D239" s="10" t="n"/>
      <c r="F239" s="9" t="n"/>
      <c r="H239" s="8" t="n"/>
    </row>
    <row r="240">
      <c r="A240" s="5" t="n"/>
      <c r="D240" s="10" t="n"/>
      <c r="F240" s="9" t="n"/>
      <c r="H240" s="8" t="n"/>
    </row>
    <row r="241">
      <c r="A241" s="5" t="n"/>
      <c r="D241" s="10" t="n"/>
      <c r="F241" s="9" t="n"/>
      <c r="H241" s="8" t="n"/>
    </row>
    <row r="242">
      <c r="A242" s="5" t="n"/>
      <c r="D242" s="10" t="n"/>
      <c r="F242" s="9" t="n"/>
      <c r="H242" s="8" t="n"/>
    </row>
    <row r="243">
      <c r="A243" s="5" t="n"/>
      <c r="D243" s="10" t="n"/>
      <c r="F243" s="9" t="n"/>
      <c r="H243" s="8" t="n"/>
    </row>
    <row r="244">
      <c r="A244" s="5" t="n"/>
      <c r="D244" s="10" t="n"/>
      <c r="F244" s="9" t="n"/>
      <c r="H244" s="8" t="n"/>
    </row>
    <row r="245">
      <c r="A245" s="5" t="n"/>
      <c r="D245" s="10" t="n"/>
      <c r="F245" s="9" t="n"/>
      <c r="H245" s="8" t="n"/>
    </row>
    <row r="246">
      <c r="A246" s="5" t="n"/>
      <c r="D246" s="10" t="n"/>
      <c r="F246" s="9" t="n"/>
      <c r="H246" s="8" t="n"/>
    </row>
    <row r="247">
      <c r="A247" s="5" t="n"/>
      <c r="D247" s="10" t="n"/>
      <c r="F247" s="9" t="n"/>
      <c r="H247" s="8" t="n"/>
    </row>
    <row r="248">
      <c r="A248" s="5" t="n"/>
      <c r="D248" s="10" t="n"/>
      <c r="F248" s="9" t="n"/>
      <c r="H248" s="8" t="n"/>
    </row>
    <row r="249">
      <c r="A249" s="5" t="n"/>
      <c r="D249" s="10" t="n"/>
      <c r="F249" s="9" t="n"/>
      <c r="H249" s="8" t="n"/>
    </row>
    <row r="250">
      <c r="A250" s="5" t="n"/>
      <c r="D250" s="10" t="n"/>
      <c r="F250" s="9" t="n"/>
      <c r="H250" s="8" t="n"/>
    </row>
    <row r="251">
      <c r="A251" s="5" t="n"/>
      <c r="D251" s="10" t="n"/>
      <c r="F251" s="9" t="n"/>
      <c r="H251" s="8" t="n"/>
    </row>
    <row r="252">
      <c r="A252" s="5" t="n"/>
      <c r="D252" s="10" t="n"/>
      <c r="F252" s="9" t="n"/>
      <c r="H252" s="8" t="n"/>
    </row>
    <row r="253">
      <c r="A253" s="5" t="n"/>
      <c r="D253" s="10" t="n"/>
      <c r="F253" s="9" t="n"/>
      <c r="H253" s="8" t="n"/>
    </row>
    <row r="254">
      <c r="A254" s="5" t="n"/>
      <c r="D254" s="10" t="n"/>
      <c r="F254" s="9" t="n"/>
      <c r="H254" s="8" t="n"/>
    </row>
    <row r="255">
      <c r="A255" s="5" t="n"/>
      <c r="D255" s="10" t="n"/>
      <c r="F255" s="9" t="n"/>
      <c r="H255" s="8" t="n"/>
    </row>
    <row r="256">
      <c r="A256" s="5" t="n"/>
      <c r="D256" s="10" t="n"/>
      <c r="F256" s="9" t="n"/>
      <c r="H256" s="8" t="n"/>
    </row>
    <row r="257">
      <c r="A257" s="5" t="n"/>
      <c r="D257" s="10" t="n"/>
      <c r="F257" s="9" t="n"/>
      <c r="H257" s="8" t="n"/>
    </row>
    <row r="258">
      <c r="A258" s="5" t="n"/>
      <c r="D258" s="10" t="n"/>
      <c r="F258" s="9" t="n"/>
      <c r="H258" s="8" t="n"/>
    </row>
    <row r="259">
      <c r="A259" s="5" t="n"/>
      <c r="D259" s="10" t="n"/>
      <c r="F259" s="9" t="n"/>
      <c r="H259" s="8" t="n"/>
    </row>
    <row r="260">
      <c r="A260" s="5" t="n"/>
      <c r="D260" s="10" t="n"/>
      <c r="F260" s="9" t="n"/>
      <c r="H260" s="8" t="n"/>
    </row>
    <row r="261">
      <c r="A261" s="5" t="n"/>
      <c r="D261" s="10" t="n"/>
      <c r="F261" s="9" t="n"/>
      <c r="H261" s="8" t="n"/>
    </row>
    <row r="262">
      <c r="A262" s="5" t="n"/>
      <c r="D262" s="10" t="n"/>
      <c r="F262" s="9" t="n"/>
      <c r="H262" s="8" t="n"/>
    </row>
    <row r="263">
      <c r="A263" s="5" t="n"/>
      <c r="D263" s="10" t="n"/>
      <c r="F263" s="9" t="n"/>
      <c r="H263" s="8" t="n"/>
    </row>
    <row r="264">
      <c r="A264" s="5" t="n"/>
      <c r="D264" s="10" t="n"/>
      <c r="F264" s="9" t="n"/>
      <c r="H264" s="8" t="n"/>
    </row>
    <row r="265">
      <c r="A265" s="5" t="n"/>
      <c r="D265" s="10" t="n"/>
      <c r="F265" s="9" t="n"/>
      <c r="H265" s="8" t="n"/>
    </row>
    <row r="266">
      <c r="A266" s="5" t="n"/>
      <c r="D266" s="10" t="n"/>
      <c r="F266" s="9" t="n"/>
      <c r="H266" s="8" t="n"/>
    </row>
    <row r="267">
      <c r="A267" s="5" t="n"/>
      <c r="D267" s="10" t="n"/>
      <c r="F267" s="9" t="n"/>
      <c r="H267" s="8" t="n"/>
    </row>
    <row r="268">
      <c r="A268" s="5" t="n"/>
      <c r="D268" s="10" t="n"/>
      <c r="F268" s="9" t="n"/>
      <c r="H268" s="8" t="n"/>
    </row>
    <row r="269">
      <c r="A269" s="5" t="n"/>
      <c r="D269" s="10" t="n"/>
      <c r="F269" s="9" t="n"/>
      <c r="H269" s="8" t="n"/>
    </row>
    <row r="270">
      <c r="A270" s="5" t="n"/>
      <c r="D270" s="10" t="n"/>
      <c r="F270" s="9" t="n"/>
      <c r="H270" s="8" t="n"/>
    </row>
    <row r="271">
      <c r="A271" s="5" t="n"/>
      <c r="D271" s="10" t="n"/>
      <c r="F271" s="9" t="n"/>
      <c r="H271" s="8" t="n"/>
    </row>
    <row r="272">
      <c r="A272" s="5" t="n"/>
      <c r="D272" s="10" t="n"/>
      <c r="F272" s="9" t="n"/>
      <c r="H272" s="8" t="n"/>
    </row>
    <row r="273">
      <c r="A273" s="5" t="n"/>
      <c r="D273" s="10" t="n"/>
      <c r="F273" s="9" t="n"/>
      <c r="H273" s="8" t="n"/>
    </row>
    <row r="274">
      <c r="A274" s="5" t="n"/>
      <c r="D274" s="10" t="n"/>
      <c r="F274" s="9" t="n"/>
      <c r="H274" s="8" t="n"/>
    </row>
    <row r="275">
      <c r="A275" s="5" t="n"/>
      <c r="D275" s="10" t="n"/>
      <c r="F275" s="9" t="n"/>
      <c r="H275" s="8" t="n"/>
    </row>
    <row r="276">
      <c r="A276" s="5" t="n"/>
      <c r="D276" s="10" t="n"/>
      <c r="F276" s="9" t="n"/>
      <c r="H276" s="8" t="n"/>
    </row>
    <row r="277">
      <c r="A277" s="5" t="n"/>
      <c r="D277" s="10" t="n"/>
      <c r="F277" s="9" t="n"/>
      <c r="H277" s="8" t="n"/>
    </row>
    <row r="278">
      <c r="A278" s="5" t="n"/>
      <c r="D278" s="10" t="n"/>
      <c r="F278" s="9" t="n"/>
      <c r="H278" s="8" t="n"/>
    </row>
    <row r="279">
      <c r="A279" s="5" t="n"/>
      <c r="D279" s="10" t="n"/>
      <c r="F279" s="9" t="n"/>
      <c r="H279" s="8" t="n"/>
    </row>
    <row r="280">
      <c r="A280" s="5" t="n"/>
      <c r="D280" s="10" t="n"/>
      <c r="F280" s="9" t="n"/>
      <c r="H280" s="8" t="n"/>
    </row>
    <row r="281">
      <c r="A281" s="5" t="n"/>
      <c r="D281" s="10" t="n"/>
      <c r="F281" s="9" t="n"/>
      <c r="H281" s="8" t="n"/>
    </row>
    <row r="282">
      <c r="A282" s="5" t="n"/>
      <c r="D282" s="10" t="n"/>
      <c r="F282" s="9" t="n"/>
      <c r="H282" s="8" t="n"/>
    </row>
    <row r="283">
      <c r="A283" s="5" t="n"/>
      <c r="D283" s="10" t="n"/>
      <c r="F283" s="9" t="n"/>
      <c r="H283" s="8" t="n"/>
    </row>
    <row r="284">
      <c r="A284" s="5" t="n"/>
      <c r="D284" s="10" t="n"/>
      <c r="F284" s="9" t="n"/>
      <c r="H284" s="8" t="n"/>
    </row>
    <row r="285">
      <c r="A285" s="7" t="n"/>
      <c r="D285" s="10" t="n"/>
      <c r="F285" s="9" t="n"/>
      <c r="H285" s="8" t="n"/>
    </row>
    <row r="286">
      <c r="D286" s="10" t="n"/>
      <c r="F286" s="9" t="n"/>
      <c r="H286" s="8" t="n"/>
    </row>
    <row r="287">
      <c r="D287" s="10" t="n"/>
      <c r="F287" s="9" t="n"/>
      <c r="H287" s="8" t="n"/>
    </row>
    <row r="288">
      <c r="D288" s="10" t="n"/>
      <c r="F288" s="9" t="n"/>
      <c r="H288" s="8" t="n"/>
    </row>
    <row r="289">
      <c r="A289" s="3" t="n"/>
      <c r="D289" s="10" t="n"/>
      <c r="F289" s="9" t="n"/>
      <c r="H289" s="8" t="n"/>
    </row>
    <row r="290">
      <c r="A290" s="3" t="n"/>
      <c r="D290" s="10" t="n"/>
      <c r="F290" s="9" t="n"/>
      <c r="H290" s="8" t="n"/>
    </row>
    <row r="291">
      <c r="A291" s="5" t="n"/>
      <c r="D291" s="10" t="n"/>
      <c r="F291" s="9" t="n"/>
      <c r="H291" s="8" t="n"/>
    </row>
    <row r="292">
      <c r="A292" s="5" t="n"/>
      <c r="D292" s="10" t="n"/>
      <c r="F292" s="9" t="n"/>
      <c r="H292" s="8" t="n"/>
    </row>
    <row r="293">
      <c r="A293" s="5" t="n"/>
      <c r="D293" s="10" t="n"/>
      <c r="F293" s="9" t="n"/>
      <c r="H293" s="8" t="n"/>
    </row>
    <row r="294">
      <c r="A294" s="5" t="n"/>
      <c r="D294" s="10" t="n"/>
      <c r="F294" s="9" t="n"/>
      <c r="H294" s="8" t="n"/>
    </row>
    <row r="295">
      <c r="A295" s="5" t="n"/>
      <c r="D295" s="10" t="n"/>
      <c r="F295" s="9" t="n"/>
      <c r="H295" s="8" t="n"/>
    </row>
    <row r="296">
      <c r="A296" s="5" t="n"/>
      <c r="D296" s="10" t="n"/>
      <c r="F296" s="9" t="n"/>
      <c r="H296" s="8" t="n"/>
    </row>
    <row r="297">
      <c r="A297" s="5" t="n"/>
      <c r="D297" s="10" t="n"/>
      <c r="F297" s="9" t="n"/>
      <c r="H297" s="8" t="n"/>
    </row>
    <row r="298">
      <c r="A298" s="5" t="n"/>
      <c r="D298" s="10" t="n"/>
      <c r="F298" s="9" t="n"/>
      <c r="H298" s="8" t="n"/>
    </row>
    <row r="299">
      <c r="A299" s="5" t="n"/>
      <c r="D299" s="10" t="n"/>
      <c r="F299" s="9" t="n"/>
      <c r="H299" s="8" t="n"/>
    </row>
    <row r="300">
      <c r="A300" s="5" t="n"/>
      <c r="D300" s="10" t="n"/>
      <c r="F300" s="9" t="n"/>
      <c r="H300" s="8" t="n"/>
    </row>
    <row r="301">
      <c r="A301" s="5" t="n"/>
      <c r="D301" s="10" t="n"/>
      <c r="F301" s="9" t="n"/>
      <c r="H301" s="8" t="n"/>
    </row>
    <row r="302">
      <c r="A302" s="5" t="n"/>
      <c r="D302" s="10" t="n"/>
      <c r="F302" s="9" t="n"/>
      <c r="H302" s="8" t="n"/>
    </row>
    <row r="303">
      <c r="A303" s="5" t="n"/>
      <c r="D303" s="10" t="n"/>
      <c r="F303" s="9" t="n"/>
      <c r="H303" s="8" t="n"/>
    </row>
    <row r="304">
      <c r="A304" s="5" t="n"/>
      <c r="D304" s="10" t="n"/>
      <c r="F304" s="9" t="n"/>
      <c r="H304" s="8" t="n"/>
    </row>
    <row r="305">
      <c r="A305" s="5" t="n"/>
      <c r="D305" s="10" t="n"/>
      <c r="F305" s="9" t="n"/>
      <c r="H305" s="8" t="n"/>
    </row>
    <row r="306">
      <c r="A306" s="5" t="n"/>
      <c r="D306" s="10" t="n"/>
      <c r="F306" s="9" t="n"/>
      <c r="H306" s="8" t="n"/>
    </row>
    <row r="307">
      <c r="A307" s="5" t="n"/>
      <c r="D307" s="10" t="n"/>
      <c r="F307" s="9" t="n"/>
      <c r="H307" s="8" t="n"/>
    </row>
    <row r="308">
      <c r="A308" s="5" t="n"/>
      <c r="D308" s="10" t="n"/>
      <c r="F308" s="9" t="n"/>
      <c r="H308" s="8" t="n"/>
    </row>
    <row r="309">
      <c r="A309" s="5" t="n"/>
      <c r="D309" s="10" t="n"/>
      <c r="F309" s="9" t="n"/>
      <c r="H309" s="8" t="n"/>
    </row>
    <row r="310">
      <c r="A310" s="5" t="n"/>
      <c r="D310" s="10" t="n"/>
      <c r="F310" s="9" t="n"/>
      <c r="H310" s="8" t="n"/>
    </row>
    <row r="311">
      <c r="A311" s="5" t="n"/>
      <c r="D311" s="10" t="n"/>
      <c r="F311" s="9" t="n"/>
      <c r="H311" s="8" t="n"/>
    </row>
    <row r="312">
      <c r="A312" s="5" t="n"/>
      <c r="D312" s="10" t="n"/>
      <c r="F312" s="9" t="n"/>
      <c r="H312" s="8" t="n"/>
    </row>
    <row r="313">
      <c r="A313" s="5" t="n"/>
      <c r="D313" s="10" t="n"/>
      <c r="F313" s="9" t="n"/>
      <c r="H313" s="8" t="n"/>
    </row>
    <row r="314">
      <c r="A314" s="5" t="n"/>
      <c r="D314" s="10" t="n"/>
      <c r="F314" s="9" t="n"/>
      <c r="H314" s="8" t="n"/>
    </row>
    <row r="315">
      <c r="A315" s="5" t="n"/>
      <c r="D315" s="10" t="n"/>
      <c r="F315" s="9" t="n"/>
      <c r="H315" s="8" t="n"/>
    </row>
    <row r="316">
      <c r="A316" s="5" t="n"/>
      <c r="D316" s="10" t="n"/>
      <c r="F316" s="9" t="n"/>
      <c r="H316" s="8" t="n"/>
    </row>
    <row r="317">
      <c r="A317" s="5" t="n"/>
      <c r="D317" s="10" t="n"/>
      <c r="F317" s="9" t="n"/>
      <c r="H317" s="8" t="n"/>
    </row>
    <row r="318">
      <c r="A318" s="5" t="n"/>
      <c r="D318" s="10" t="n"/>
      <c r="F318" s="9" t="n"/>
      <c r="H318" s="8" t="n"/>
    </row>
    <row r="319">
      <c r="A319" s="5" t="n"/>
      <c r="D319" s="10" t="n"/>
      <c r="F319" s="9" t="n"/>
      <c r="H319" s="8" t="n"/>
    </row>
    <row r="320">
      <c r="A320" s="5" t="n"/>
      <c r="D320" s="10" t="n"/>
      <c r="F320" s="9" t="n"/>
      <c r="H320" s="8" t="n"/>
    </row>
    <row r="321">
      <c r="A321" s="5" t="n"/>
      <c r="D321" s="10" t="n"/>
      <c r="F321" s="9" t="n"/>
      <c r="H321" s="8" t="n"/>
    </row>
    <row r="322">
      <c r="A322" s="5" t="n"/>
      <c r="D322" s="10" t="n"/>
      <c r="F322" s="9" t="n"/>
      <c r="H322" s="8" t="n"/>
    </row>
    <row r="323">
      <c r="A323" s="5" t="n"/>
      <c r="D323" s="10" t="n"/>
      <c r="F323" s="9" t="n"/>
      <c r="H323" s="8" t="n"/>
    </row>
    <row r="324">
      <c r="A324" s="5" t="n"/>
      <c r="D324" s="10" t="n"/>
      <c r="F324" s="9" t="n"/>
      <c r="H324" s="8" t="n"/>
    </row>
    <row r="325">
      <c r="A325" s="5" t="n"/>
      <c r="D325" s="10" t="n"/>
      <c r="F325" s="9" t="n"/>
      <c r="H325" s="8" t="n"/>
    </row>
    <row r="326">
      <c r="A326" s="5" t="n"/>
      <c r="D326" s="10" t="n"/>
      <c r="F326" s="9" t="n"/>
      <c r="H326" s="8" t="n"/>
    </row>
    <row r="327">
      <c r="A327" s="5" t="n"/>
      <c r="D327" s="10" t="n"/>
      <c r="F327" s="9" t="n"/>
      <c r="H327" s="8" t="n"/>
    </row>
    <row r="328">
      <c r="A328" s="5" t="n"/>
      <c r="D328" s="10" t="n"/>
      <c r="F328" s="9" t="n"/>
      <c r="H328" s="8" t="n"/>
    </row>
    <row r="329">
      <c r="A329" s="5" t="n"/>
      <c r="D329" s="10" t="n"/>
      <c r="F329" s="9" t="n"/>
      <c r="H329" s="8" t="n"/>
    </row>
    <row r="330">
      <c r="A330" s="5" t="n"/>
      <c r="D330" s="10" t="n"/>
      <c r="F330" s="9" t="n"/>
      <c r="H330" s="8" t="n"/>
    </row>
    <row r="331">
      <c r="A331" s="5" t="n"/>
      <c r="D331" s="10" t="n"/>
      <c r="F331" s="9" t="n"/>
      <c r="H331" s="8" t="n"/>
    </row>
    <row r="332">
      <c r="A332" s="5" t="n"/>
      <c r="D332" s="10" t="n"/>
      <c r="F332" s="9" t="n"/>
      <c r="H332" s="8" t="n"/>
    </row>
    <row r="333">
      <c r="A333" s="5" t="n"/>
      <c r="D333" s="10" t="n"/>
      <c r="F333" s="9" t="n"/>
      <c r="H333" s="8" t="n"/>
    </row>
    <row r="334">
      <c r="A334" s="5" t="n"/>
      <c r="D334" s="10" t="n"/>
      <c r="F334" s="9" t="n"/>
      <c r="H334" s="8" t="n"/>
    </row>
    <row r="335">
      <c r="A335" s="5" t="n"/>
      <c r="D335" s="10" t="n"/>
      <c r="F335" s="9" t="n"/>
      <c r="H335" s="8" t="n"/>
    </row>
    <row r="336">
      <c r="A336" s="5" t="n"/>
      <c r="D336" s="10" t="n"/>
      <c r="F336" s="9" t="n"/>
      <c r="H336" s="8" t="n"/>
    </row>
    <row r="337">
      <c r="A337" s="5" t="n"/>
      <c r="D337" s="10" t="n"/>
      <c r="F337" s="9" t="n"/>
      <c r="H337" s="8" t="n"/>
    </row>
    <row r="338">
      <c r="A338" s="5" t="n"/>
      <c r="D338" s="10" t="n"/>
      <c r="F338" s="9" t="n"/>
      <c r="H338" s="8" t="n"/>
    </row>
    <row r="339">
      <c r="A339" s="5" t="n"/>
      <c r="D339" s="10" t="n"/>
      <c r="F339" s="9" t="n"/>
      <c r="H339" s="8" t="n"/>
    </row>
    <row r="340">
      <c r="A340" s="5" t="n"/>
      <c r="D340" s="10" t="n"/>
      <c r="F340" s="9" t="n"/>
      <c r="H340" s="8" t="n"/>
    </row>
    <row r="341">
      <c r="A341" s="5" t="n"/>
      <c r="D341" s="10" t="n"/>
      <c r="F341" s="9" t="n"/>
      <c r="H341" s="8" t="n"/>
    </row>
    <row r="342">
      <c r="A342" s="5" t="n"/>
      <c r="D342" s="10" t="n"/>
      <c r="F342" s="9" t="n"/>
      <c r="H342" s="8" t="n"/>
    </row>
    <row r="343">
      <c r="A343" s="5" t="n"/>
      <c r="D343" s="10" t="n"/>
      <c r="F343" s="9" t="n"/>
      <c r="H343" s="8" t="n"/>
    </row>
    <row r="344">
      <c r="A344" s="5" t="n"/>
      <c r="D344" s="10" t="n"/>
      <c r="F344" s="9" t="n"/>
      <c r="H344" s="8" t="n"/>
    </row>
    <row r="345">
      <c r="A345" s="5" t="n"/>
      <c r="D345" s="10" t="n"/>
      <c r="F345" s="9" t="n"/>
      <c r="H345" s="8" t="n"/>
    </row>
    <row r="346">
      <c r="A346" s="5" t="n"/>
      <c r="D346" s="10" t="n"/>
      <c r="F346" s="9" t="n"/>
      <c r="H346" s="8" t="n"/>
    </row>
    <row r="347">
      <c r="A347" s="5" t="n"/>
      <c r="D347" s="10" t="n"/>
      <c r="F347" s="9" t="n"/>
      <c r="H347" s="8" t="n"/>
    </row>
    <row r="348">
      <c r="A348" s="5" t="n"/>
      <c r="D348" s="10" t="n"/>
      <c r="F348" s="9" t="n"/>
      <c r="H348" s="8" t="n"/>
    </row>
    <row r="349">
      <c r="A349" s="5" t="n"/>
      <c r="D349" s="10" t="n"/>
      <c r="F349" s="9" t="n"/>
      <c r="H349" s="8" t="n"/>
    </row>
    <row r="350">
      <c r="A350" s="5" t="n"/>
      <c r="D350" s="10" t="n"/>
      <c r="F350" s="9" t="n"/>
      <c r="H350" s="8" t="n"/>
    </row>
    <row r="351">
      <c r="A351" s="5" t="n"/>
      <c r="D351" s="10" t="n"/>
      <c r="F351" s="9" t="n"/>
      <c r="H351" s="8" t="n"/>
    </row>
    <row r="352">
      <c r="A352" s="5" t="n"/>
      <c r="D352" s="10" t="n"/>
      <c r="F352" s="9" t="n"/>
      <c r="H352" s="8" t="n"/>
    </row>
    <row r="353">
      <c r="A353" s="5" t="n"/>
      <c r="D353" s="10" t="n"/>
      <c r="F353" s="9" t="n"/>
      <c r="H353" s="8" t="n"/>
    </row>
    <row r="354">
      <c r="A354" s="5" t="n"/>
      <c r="D354" s="10" t="n"/>
      <c r="F354" s="9" t="n"/>
      <c r="H354" s="8" t="n"/>
    </row>
    <row r="355">
      <c r="A355" s="5" t="n"/>
      <c r="D355" s="10" t="n"/>
      <c r="F355" s="9" t="n"/>
      <c r="H355" s="8" t="n"/>
    </row>
    <row r="356">
      <c r="A356" s="5" t="n"/>
      <c r="D356" s="10" t="n"/>
      <c r="F356" s="9" t="n"/>
      <c r="H356" s="8" t="n"/>
    </row>
    <row r="357">
      <c r="A357" s="5" t="n"/>
      <c r="D357" s="10" t="n"/>
      <c r="F357" s="9" t="n"/>
      <c r="H357" s="8" t="n"/>
    </row>
    <row r="358">
      <c r="A358" s="7" t="n"/>
      <c r="D358" s="10" t="n"/>
      <c r="F358" s="9" t="n"/>
      <c r="H358" s="8" t="n"/>
    </row>
    <row r="359">
      <c r="D359" s="10" t="n"/>
      <c r="F359" s="9" t="n"/>
      <c r="H359" s="8" t="n"/>
    </row>
    <row r="360">
      <c r="D360" s="10" t="n"/>
      <c r="F360" s="9" t="n"/>
      <c r="H360" s="8" t="n"/>
    </row>
    <row r="361">
      <c r="D361" s="10" t="n"/>
      <c r="F361" s="9" t="n"/>
      <c r="H361" s="8" t="n"/>
    </row>
    <row r="362">
      <c r="A362" s="3" t="n"/>
      <c r="D362" s="10" t="n"/>
      <c r="F362" s="9" t="n"/>
      <c r="H362" s="8" t="n"/>
    </row>
    <row r="363">
      <c r="A363" s="3" t="n"/>
      <c r="D363" s="10" t="n"/>
      <c r="F363" s="9" t="n"/>
      <c r="H363" s="8" t="n"/>
    </row>
    <row r="364">
      <c r="A364" s="5" t="n"/>
      <c r="D364" s="10" t="n"/>
      <c r="F364" s="9" t="n"/>
      <c r="H364" s="8" t="n"/>
    </row>
    <row r="365">
      <c r="A365" s="5" t="n"/>
      <c r="D365" s="10" t="n"/>
      <c r="F365" s="9" t="n"/>
      <c r="H365" s="8" t="n"/>
    </row>
    <row r="366">
      <c r="A366" s="5" t="n"/>
      <c r="D366" s="10" t="n"/>
      <c r="F366" s="9" t="n"/>
      <c r="H366" s="8" t="n"/>
    </row>
    <row r="367">
      <c r="A367" s="5" t="n"/>
      <c r="D367" s="10" t="n"/>
      <c r="F367" s="9" t="n"/>
      <c r="H367" s="8" t="n"/>
    </row>
    <row r="368">
      <c r="A368" s="5" t="n"/>
      <c r="D368" s="10" t="n"/>
      <c r="F368" s="9" t="n"/>
      <c r="H368" s="8" t="n"/>
    </row>
    <row r="369">
      <c r="A369" s="5" t="n"/>
      <c r="D369" s="10" t="n"/>
      <c r="F369" s="9" t="n"/>
      <c r="H369" s="8" t="n"/>
    </row>
    <row r="370">
      <c r="A370" s="5" t="n"/>
      <c r="D370" s="10" t="n"/>
      <c r="F370" s="9" t="n"/>
      <c r="H370" s="8" t="n"/>
    </row>
    <row r="371">
      <c r="A371" s="5" t="n"/>
      <c r="D371" s="10" t="n"/>
      <c r="F371" s="9" t="n"/>
      <c r="H371" s="8" t="n"/>
    </row>
    <row r="372">
      <c r="A372" s="5" t="n"/>
      <c r="D372" s="10" t="n"/>
      <c r="F372" s="9" t="n"/>
      <c r="H372" s="8" t="n"/>
    </row>
    <row r="373">
      <c r="A373" s="5" t="n"/>
      <c r="D373" s="10" t="n"/>
      <c r="F373" s="9" t="n"/>
      <c r="H373" s="8" t="n"/>
    </row>
    <row r="374">
      <c r="A374" s="5" t="n"/>
      <c r="D374" s="10" t="n"/>
      <c r="F374" s="9" t="n"/>
      <c r="H374" s="8" t="n"/>
    </row>
    <row r="375">
      <c r="A375" s="5" t="n"/>
      <c r="D375" s="10" t="n"/>
      <c r="F375" s="9" t="n"/>
      <c r="H375" s="8" t="n"/>
    </row>
    <row r="376">
      <c r="A376" s="5" t="n"/>
      <c r="D376" s="10" t="n"/>
      <c r="F376" s="9" t="n"/>
      <c r="H376" s="8" t="n"/>
    </row>
    <row r="377">
      <c r="A377" s="5" t="n"/>
      <c r="D377" s="10" t="n"/>
      <c r="F377" s="9" t="n"/>
      <c r="H377" s="8" t="n"/>
    </row>
    <row r="378">
      <c r="A378" s="5" t="n"/>
      <c r="D378" s="10" t="n"/>
      <c r="F378" s="9" t="n"/>
      <c r="H378" s="8" t="n"/>
    </row>
    <row r="379">
      <c r="A379" s="5" t="n"/>
      <c r="D379" s="10" t="n"/>
      <c r="F379" s="9" t="n"/>
      <c r="H379" s="8" t="n"/>
    </row>
    <row r="380">
      <c r="A380" s="5" t="n"/>
      <c r="D380" s="10" t="n"/>
      <c r="F380" s="9" t="n"/>
      <c r="H380" s="8" t="n"/>
    </row>
    <row r="381">
      <c r="A381" s="5" t="n"/>
      <c r="D381" s="10" t="n"/>
      <c r="F381" s="9" t="n"/>
      <c r="H381" s="8" t="n"/>
    </row>
    <row r="382">
      <c r="A382" s="5" t="n"/>
      <c r="D382" s="10" t="n"/>
      <c r="F382" s="9" t="n"/>
      <c r="H382" s="8" t="n"/>
    </row>
    <row r="383">
      <c r="A383" s="5" t="n"/>
      <c r="D383" s="10" t="n"/>
      <c r="F383" s="9" t="n"/>
      <c r="H383" s="8" t="n"/>
    </row>
    <row r="384">
      <c r="A384" s="5" t="n"/>
      <c r="D384" s="10" t="n"/>
      <c r="F384" s="9" t="n"/>
      <c r="H384" s="8" t="n"/>
    </row>
    <row r="385">
      <c r="A385" s="5" t="n"/>
      <c r="D385" s="10" t="n"/>
      <c r="F385" s="9" t="n"/>
      <c r="H385" s="8" t="n"/>
    </row>
    <row r="386">
      <c r="A386" s="5" t="n"/>
      <c r="D386" s="10" t="n"/>
      <c r="F386" s="9" t="n"/>
      <c r="H386" s="8" t="n"/>
    </row>
    <row r="387">
      <c r="A387" s="5" t="n"/>
      <c r="D387" s="10" t="n"/>
      <c r="F387" s="9" t="n"/>
      <c r="H387" s="8" t="n"/>
    </row>
    <row r="388">
      <c r="A388" s="5" t="n"/>
      <c r="D388" s="10" t="n"/>
      <c r="F388" s="9" t="n"/>
      <c r="H388" s="8" t="n"/>
    </row>
    <row r="389">
      <c r="A389" s="5" t="n"/>
      <c r="D389" s="10" t="n"/>
      <c r="F389" s="9" t="n"/>
      <c r="H389" s="8" t="n"/>
    </row>
    <row r="390">
      <c r="A390" s="5" t="n"/>
      <c r="D390" s="10" t="n"/>
      <c r="F390" s="9" t="n"/>
      <c r="H390" s="8" t="n"/>
    </row>
    <row r="391">
      <c r="A391" s="5" t="n"/>
      <c r="D391" s="10" t="n"/>
      <c r="F391" s="9" t="n"/>
      <c r="H391" s="8" t="n"/>
    </row>
    <row r="392">
      <c r="A392" s="5" t="n"/>
      <c r="D392" s="10" t="n"/>
      <c r="F392" s="9" t="n"/>
      <c r="H392" s="8" t="n"/>
    </row>
    <row r="393">
      <c r="A393" s="5" t="n"/>
      <c r="D393" s="10" t="n"/>
      <c r="F393" s="9" t="n"/>
      <c r="H393" s="8" t="n"/>
    </row>
    <row r="394">
      <c r="A394" s="5" t="n"/>
      <c r="D394" s="10" t="n"/>
      <c r="F394" s="9" t="n"/>
      <c r="H394" s="8" t="n"/>
    </row>
    <row r="395">
      <c r="A395" s="5" t="n"/>
      <c r="D395" s="10" t="n"/>
      <c r="F395" s="9" t="n"/>
      <c r="H395" s="8" t="n"/>
    </row>
    <row r="396">
      <c r="A396" s="5" t="n"/>
      <c r="D396" s="10" t="n"/>
      <c r="F396" s="9" t="n"/>
      <c r="H396" s="8" t="n"/>
    </row>
    <row r="397">
      <c r="A397" s="5" t="n"/>
      <c r="D397" s="10" t="n"/>
      <c r="F397" s="9" t="n"/>
      <c r="H397" s="8" t="n"/>
    </row>
    <row r="398">
      <c r="A398" s="5" t="n"/>
      <c r="D398" s="10" t="n"/>
      <c r="F398" s="9" t="n"/>
      <c r="H398" s="8" t="n"/>
    </row>
    <row r="399">
      <c r="A399" s="5" t="n"/>
      <c r="D399" s="10" t="n"/>
      <c r="F399" s="9" t="n"/>
      <c r="H399" s="8" t="n"/>
    </row>
    <row r="400">
      <c r="A400" s="5" t="n"/>
      <c r="D400" s="10" t="n"/>
      <c r="F400" s="9" t="n"/>
      <c r="H400" s="8" t="n"/>
    </row>
    <row r="401">
      <c r="A401" s="5" t="n"/>
      <c r="D401" s="10" t="n"/>
      <c r="F401" s="9" t="n"/>
      <c r="H401" s="8" t="n"/>
    </row>
    <row r="402">
      <c r="A402" s="5" t="n"/>
      <c r="D402" s="10" t="n"/>
      <c r="F402" s="9" t="n"/>
      <c r="H402" s="8" t="n"/>
    </row>
    <row r="403">
      <c r="A403" s="5" t="n"/>
      <c r="D403" s="10" t="n"/>
      <c r="F403" s="9" t="n"/>
      <c r="H403" s="8" t="n"/>
    </row>
    <row r="404">
      <c r="A404" s="5" t="n"/>
      <c r="D404" s="10" t="n"/>
      <c r="F404" s="9" t="n"/>
      <c r="H404" s="8" t="n"/>
    </row>
    <row r="405">
      <c r="A405" s="5" t="n"/>
      <c r="D405" s="10" t="n"/>
      <c r="F405" s="9" t="n"/>
      <c r="H405" s="8" t="n"/>
    </row>
    <row r="406">
      <c r="A406" s="5" t="n"/>
      <c r="D406" s="10" t="n"/>
      <c r="F406" s="9" t="n"/>
      <c r="H406" s="8" t="n"/>
    </row>
    <row r="407">
      <c r="A407" s="5" t="n"/>
      <c r="D407" s="10" t="n"/>
      <c r="F407" s="9" t="n"/>
      <c r="H407" s="8" t="n"/>
    </row>
    <row r="408">
      <c r="A408" s="5" t="n"/>
      <c r="D408" s="10" t="n"/>
      <c r="F408" s="9" t="n"/>
      <c r="H408" s="8" t="n"/>
    </row>
    <row r="409">
      <c r="A409" s="5" t="n"/>
      <c r="D409" s="10" t="n"/>
      <c r="F409" s="9" t="n"/>
      <c r="H409" s="8" t="n"/>
    </row>
    <row r="410">
      <c r="A410" s="5" t="n"/>
      <c r="D410" s="10" t="n"/>
      <c r="F410" s="9" t="n"/>
      <c r="H410" s="8" t="n"/>
    </row>
    <row r="411">
      <c r="A411" s="5" t="n"/>
      <c r="D411" s="10" t="n"/>
      <c r="F411" s="9" t="n"/>
      <c r="H411" s="8" t="n"/>
    </row>
    <row r="412">
      <c r="A412" s="5" t="n"/>
      <c r="D412" s="10" t="n"/>
      <c r="F412" s="9" t="n"/>
      <c r="H412" s="8" t="n"/>
    </row>
    <row r="413">
      <c r="A413" s="5" t="n"/>
      <c r="D413" s="10" t="n"/>
      <c r="F413" s="9" t="n"/>
      <c r="H413" s="8" t="n"/>
    </row>
    <row r="414">
      <c r="A414" s="5" t="n"/>
      <c r="D414" s="10" t="n"/>
      <c r="F414" s="9" t="n"/>
      <c r="H414" s="8" t="n"/>
    </row>
    <row r="415">
      <c r="A415" s="5" t="n"/>
      <c r="D415" s="10" t="n"/>
      <c r="F415" s="9" t="n"/>
      <c r="H415" s="8" t="n"/>
    </row>
    <row r="416">
      <c r="A416" s="5" t="n"/>
      <c r="D416" s="10" t="n"/>
      <c r="F416" s="9" t="n"/>
      <c r="H416" s="8" t="n"/>
    </row>
    <row r="417">
      <c r="A417" s="5" t="n"/>
      <c r="D417" s="10" t="n"/>
      <c r="F417" s="9" t="n"/>
      <c r="H417" s="8" t="n"/>
    </row>
    <row r="418">
      <c r="A418" s="5" t="n"/>
      <c r="D418" s="10" t="n"/>
      <c r="F418" s="9" t="n"/>
      <c r="H418" s="8" t="n"/>
    </row>
    <row r="419">
      <c r="A419" s="5" t="n"/>
      <c r="D419" s="10" t="n"/>
      <c r="F419" s="9" t="n"/>
      <c r="H419" s="8" t="n"/>
    </row>
    <row r="420">
      <c r="A420" s="5" t="n"/>
      <c r="D420" s="10" t="n"/>
      <c r="F420" s="9" t="n"/>
      <c r="H420" s="8" t="n"/>
    </row>
    <row r="421">
      <c r="A421" s="5" t="n"/>
      <c r="D421" s="10" t="n"/>
      <c r="F421" s="9" t="n"/>
      <c r="H421" s="8" t="n"/>
    </row>
    <row r="422">
      <c r="A422" s="5" t="n"/>
      <c r="D422" s="10" t="n"/>
      <c r="F422" s="9" t="n"/>
      <c r="H422" s="8" t="n"/>
    </row>
    <row r="423">
      <c r="A423" s="5" t="n"/>
      <c r="D423" s="10" t="n"/>
      <c r="F423" s="9" t="n"/>
      <c r="H423" s="8" t="n"/>
    </row>
    <row r="424">
      <c r="A424" s="5" t="n"/>
      <c r="D424" s="10" t="n"/>
      <c r="F424" s="9" t="n"/>
      <c r="H424" s="8" t="n"/>
    </row>
    <row r="425">
      <c r="A425" s="5" t="n"/>
      <c r="D425" s="10" t="n"/>
      <c r="F425" s="9" t="n"/>
      <c r="H425" s="8" t="n"/>
    </row>
    <row r="426">
      <c r="A426" s="5" t="n"/>
      <c r="D426" s="10" t="n"/>
      <c r="F426" s="9" t="n"/>
      <c r="H426" s="8" t="n"/>
    </row>
    <row r="427">
      <c r="A427" s="5" t="n"/>
      <c r="D427" s="10" t="n"/>
      <c r="F427" s="9" t="n"/>
      <c r="H427" s="8" t="n"/>
    </row>
    <row r="428">
      <c r="A428" s="5" t="n"/>
      <c r="D428" s="10" t="n"/>
      <c r="F428" s="9" t="n"/>
      <c r="H428" s="8" t="n"/>
    </row>
    <row r="429">
      <c r="A429" s="5" t="n"/>
      <c r="D429" s="10" t="n"/>
      <c r="F429" s="9" t="n"/>
      <c r="H429" s="8" t="n"/>
    </row>
    <row r="430">
      <c r="A430" s="5" t="n"/>
      <c r="D430" s="10" t="n"/>
      <c r="F430" s="9" t="n"/>
      <c r="H430" s="8" t="n"/>
    </row>
    <row r="431">
      <c r="A431" s="7" t="n"/>
      <c r="D431" s="10" t="n"/>
      <c r="F431" s="9" t="n"/>
      <c r="H431" s="8" t="n"/>
    </row>
    <row r="432">
      <c r="D432" s="10" t="n"/>
      <c r="F432" s="9" t="n"/>
      <c r="H432" s="8" t="n"/>
    </row>
    <row r="433">
      <c r="D433" s="10" t="n"/>
      <c r="F433" s="9" t="n"/>
      <c r="H433" s="8" t="n"/>
    </row>
    <row r="434">
      <c r="D434" s="10" t="n"/>
      <c r="F434" s="9" t="n"/>
      <c r="H434" s="8" t="n"/>
    </row>
    <row r="435">
      <c r="A435" s="3" t="n"/>
      <c r="D435" s="10" t="n"/>
      <c r="F435" s="9" t="n"/>
      <c r="H435" s="8" t="n"/>
    </row>
    <row r="436">
      <c r="A436" s="3" t="n"/>
      <c r="D436" s="10" t="n"/>
      <c r="F436" s="9" t="n"/>
      <c r="H436" s="8" t="n"/>
    </row>
    <row r="437">
      <c r="A437" s="5" t="n"/>
      <c r="D437" s="10" t="n"/>
      <c r="F437" s="9" t="n"/>
      <c r="H437" s="8" t="n"/>
    </row>
    <row r="438">
      <c r="A438" s="5" t="n"/>
      <c r="D438" s="10" t="n"/>
      <c r="F438" s="9" t="n"/>
      <c r="H438" s="8" t="n"/>
    </row>
    <row r="439">
      <c r="A439" s="5" t="n"/>
      <c r="D439" s="10" t="n"/>
      <c r="F439" s="9" t="n"/>
      <c r="H439" s="8" t="n"/>
    </row>
    <row r="440">
      <c r="A440" s="5" t="n"/>
      <c r="D440" s="10" t="n"/>
      <c r="F440" s="9" t="n"/>
      <c r="H440" s="8" t="n"/>
    </row>
    <row r="441">
      <c r="A441" s="5" t="n"/>
      <c r="D441" s="10" t="n"/>
      <c r="F441" s="9" t="n"/>
      <c r="H441" s="8" t="n"/>
    </row>
    <row r="442">
      <c r="A442" s="5" t="n"/>
      <c r="D442" s="10" t="n"/>
      <c r="F442" s="9" t="n"/>
      <c r="H442" s="8" t="n"/>
    </row>
    <row r="443">
      <c r="A443" s="5" t="n"/>
      <c r="D443" s="10" t="n"/>
      <c r="F443" s="9" t="n"/>
      <c r="H443" s="8" t="n"/>
    </row>
    <row r="444">
      <c r="A444" s="5" t="n"/>
      <c r="D444" s="10" t="n"/>
      <c r="F444" s="9" t="n"/>
      <c r="H444" s="8" t="n"/>
    </row>
    <row r="445">
      <c r="A445" s="5" t="n"/>
      <c r="D445" s="10" t="n"/>
      <c r="F445" s="9" t="n"/>
      <c r="H445" s="8" t="n"/>
    </row>
    <row r="446">
      <c r="A446" s="5" t="n"/>
      <c r="D446" s="10" t="n"/>
      <c r="F446" s="9" t="n"/>
      <c r="H446" s="8" t="n"/>
    </row>
    <row r="447">
      <c r="A447" s="5" t="n"/>
      <c r="D447" s="10" t="n"/>
      <c r="F447" s="9" t="n"/>
      <c r="H447" s="8" t="n"/>
    </row>
    <row r="448">
      <c r="A448" s="5" t="n"/>
      <c r="D448" s="10" t="n"/>
      <c r="F448" s="9" t="n"/>
      <c r="H448" s="8" t="n"/>
    </row>
    <row r="449">
      <c r="A449" s="5" t="n"/>
      <c r="D449" s="10" t="n"/>
      <c r="F449" s="9" t="n"/>
      <c r="H449" s="8" t="n"/>
    </row>
    <row r="450">
      <c r="A450" s="5" t="n"/>
      <c r="D450" s="10" t="n"/>
      <c r="F450" s="9" t="n"/>
      <c r="H450" s="8" t="n"/>
    </row>
    <row r="451">
      <c r="A451" s="5" t="n"/>
      <c r="D451" s="10" t="n"/>
      <c r="F451" s="9" t="n"/>
      <c r="H451" s="8" t="n"/>
    </row>
    <row r="452">
      <c r="A452" s="5" t="n"/>
      <c r="D452" s="10" t="n"/>
      <c r="F452" s="9" t="n"/>
      <c r="H452" s="8" t="n"/>
    </row>
    <row r="453">
      <c r="A453" s="5" t="n"/>
      <c r="D453" s="10" t="n"/>
      <c r="F453" s="9" t="n"/>
      <c r="H453" s="8" t="n"/>
    </row>
    <row r="454">
      <c r="A454" s="5" t="n"/>
      <c r="D454" s="10" t="n"/>
      <c r="F454" s="9" t="n"/>
      <c r="H454" s="8" t="n"/>
    </row>
    <row r="455">
      <c r="A455" s="5" t="n"/>
      <c r="D455" s="10" t="n"/>
      <c r="F455" s="9" t="n"/>
      <c r="H455" s="8" t="n"/>
    </row>
    <row r="456">
      <c r="A456" s="5" t="n"/>
      <c r="D456" s="10" t="n"/>
      <c r="F456" s="9" t="n"/>
      <c r="H456" s="8" t="n"/>
    </row>
    <row r="457">
      <c r="A457" s="5" t="n"/>
      <c r="D457" s="10" t="n"/>
      <c r="F457" s="9" t="n"/>
      <c r="H457" s="8" t="n"/>
    </row>
    <row r="458">
      <c r="A458" s="5" t="n"/>
      <c r="D458" s="10" t="n"/>
      <c r="F458" s="9" t="n"/>
      <c r="H458" s="8" t="n"/>
    </row>
    <row r="459">
      <c r="A459" s="5" t="n"/>
      <c r="D459" s="10" t="n"/>
      <c r="F459" s="9" t="n"/>
      <c r="H459" s="8" t="n"/>
    </row>
    <row r="460">
      <c r="A460" s="5" t="n"/>
      <c r="D460" s="10" t="n"/>
      <c r="F460" s="9" t="n"/>
      <c r="H460" s="8" t="n"/>
    </row>
    <row r="461">
      <c r="A461" s="5" t="n"/>
      <c r="D461" s="10" t="n"/>
      <c r="F461" s="9" t="n"/>
      <c r="H461" s="8" t="n"/>
    </row>
    <row r="462">
      <c r="A462" s="5" t="n"/>
      <c r="D462" s="10" t="n"/>
      <c r="F462" s="9" t="n"/>
      <c r="H462" s="8" t="n"/>
    </row>
    <row r="463">
      <c r="A463" s="5" t="n"/>
      <c r="D463" s="10" t="n"/>
      <c r="F463" s="9" t="n"/>
      <c r="H463" s="8" t="n"/>
    </row>
    <row r="464">
      <c r="A464" s="5" t="n"/>
      <c r="D464" s="10" t="n"/>
      <c r="F464" s="9" t="n"/>
      <c r="H464" s="8" t="n"/>
    </row>
    <row r="465">
      <c r="A465" s="5" t="n"/>
      <c r="D465" s="10" t="n"/>
      <c r="F465" s="9" t="n"/>
      <c r="H465" s="8" t="n"/>
    </row>
    <row r="466">
      <c r="A466" s="5" t="n"/>
      <c r="D466" s="10" t="n"/>
      <c r="F466" s="9" t="n"/>
      <c r="H466" s="8" t="n"/>
    </row>
    <row r="467">
      <c r="A467" s="5" t="n"/>
      <c r="D467" s="10" t="n"/>
      <c r="F467" s="9" t="n"/>
      <c r="H467" s="8" t="n"/>
    </row>
    <row r="468">
      <c r="A468" s="5" t="n"/>
      <c r="D468" s="10" t="n"/>
      <c r="F468" s="9" t="n"/>
      <c r="H468" s="8" t="n"/>
    </row>
    <row r="469">
      <c r="A469" s="5" t="n"/>
      <c r="D469" s="10" t="n"/>
      <c r="F469" s="9" t="n"/>
      <c r="H469" s="8" t="n"/>
    </row>
    <row r="470">
      <c r="A470" s="5" t="n"/>
      <c r="D470" s="10" t="n"/>
      <c r="F470" s="9" t="n"/>
      <c r="H470" s="8" t="n"/>
    </row>
    <row r="471">
      <c r="A471" s="5" t="n"/>
      <c r="D471" s="10" t="n"/>
      <c r="F471" s="9" t="n"/>
      <c r="H471" s="8" t="n"/>
    </row>
    <row r="472">
      <c r="A472" s="5" t="n"/>
      <c r="D472" s="10" t="n"/>
      <c r="F472" s="9" t="n"/>
      <c r="H472" s="8" t="n"/>
    </row>
    <row r="473">
      <c r="A473" s="5" t="n"/>
      <c r="D473" s="10" t="n"/>
      <c r="F473" s="9" t="n"/>
      <c r="H473" s="8" t="n"/>
    </row>
    <row r="474">
      <c r="A474" s="5" t="n"/>
      <c r="D474" s="10" t="n"/>
      <c r="F474" s="9" t="n"/>
      <c r="H474" s="8" t="n"/>
    </row>
    <row r="475">
      <c r="A475" s="5" t="n"/>
      <c r="D475" s="10" t="n"/>
      <c r="F475" s="9" t="n"/>
      <c r="H475" s="8" t="n"/>
    </row>
    <row r="476">
      <c r="A476" s="5" t="n"/>
      <c r="D476" s="10" t="n"/>
      <c r="F476" s="9" t="n"/>
      <c r="H476" s="8" t="n"/>
    </row>
    <row r="477">
      <c r="A477" s="5" t="n"/>
      <c r="D477" s="10" t="n"/>
      <c r="F477" s="9" t="n"/>
      <c r="H477" s="8" t="n"/>
    </row>
    <row r="478">
      <c r="A478" s="5" t="n"/>
      <c r="D478" s="10" t="n"/>
      <c r="F478" s="9" t="n"/>
      <c r="H478" s="8" t="n"/>
    </row>
    <row r="479">
      <c r="A479" s="5" t="n"/>
      <c r="D479" s="10" t="n"/>
      <c r="F479" s="9" t="n"/>
      <c r="H479" s="8" t="n"/>
    </row>
    <row r="480">
      <c r="A480" s="5" t="n"/>
      <c r="D480" s="10" t="n"/>
      <c r="F480" s="9" t="n"/>
      <c r="H480" s="8" t="n"/>
    </row>
    <row r="481">
      <c r="A481" s="5" t="n"/>
      <c r="D481" s="10" t="n"/>
      <c r="F481" s="9" t="n"/>
      <c r="H481" s="8" t="n"/>
    </row>
    <row r="482">
      <c r="A482" s="5" t="n"/>
      <c r="D482" s="10" t="n"/>
      <c r="F482" s="9" t="n"/>
      <c r="H482" s="8" t="n"/>
    </row>
    <row r="483">
      <c r="A483" s="5" t="n"/>
      <c r="D483" s="10" t="n"/>
      <c r="F483" s="9" t="n"/>
      <c r="H483" s="8" t="n"/>
    </row>
    <row r="484">
      <c r="A484" s="5" t="n"/>
      <c r="D484" s="10" t="n"/>
      <c r="F484" s="9" t="n"/>
      <c r="H484" s="8" t="n"/>
    </row>
    <row r="485">
      <c r="A485" s="5" t="n"/>
      <c r="D485" s="10" t="n"/>
      <c r="F485" s="9" t="n"/>
      <c r="H485" s="8" t="n"/>
    </row>
    <row r="486">
      <c r="A486" s="5" t="n"/>
      <c r="D486" s="10" t="n"/>
      <c r="F486" s="9" t="n"/>
      <c r="H486" s="8" t="n"/>
    </row>
    <row r="487">
      <c r="A487" s="5" t="n"/>
      <c r="D487" s="10" t="n"/>
      <c r="F487" s="9" t="n"/>
      <c r="H487" s="8" t="n"/>
    </row>
    <row r="488">
      <c r="A488" s="5" t="n"/>
      <c r="D488" s="10" t="n"/>
      <c r="F488" s="9" t="n"/>
      <c r="H488" s="8" t="n"/>
    </row>
    <row r="489">
      <c r="A489" s="5" t="n"/>
      <c r="D489" s="10" t="n"/>
      <c r="F489" s="9" t="n"/>
      <c r="H489" s="8" t="n"/>
    </row>
    <row r="490">
      <c r="A490" s="5" t="n"/>
      <c r="D490" s="10" t="n"/>
      <c r="F490" s="9" t="n"/>
      <c r="H490" s="8" t="n"/>
    </row>
    <row r="491">
      <c r="A491" s="5" t="n"/>
      <c r="D491" s="10" t="n"/>
      <c r="F491" s="9" t="n"/>
      <c r="H491" s="8" t="n"/>
    </row>
    <row r="492">
      <c r="A492" s="5" t="n"/>
      <c r="D492" s="10" t="n"/>
      <c r="F492" s="9" t="n"/>
      <c r="H492" s="8" t="n"/>
    </row>
    <row r="493">
      <c r="A493" s="5" t="n"/>
      <c r="D493" s="10" t="n"/>
      <c r="F493" s="9" t="n"/>
      <c r="H493" s="8" t="n"/>
    </row>
    <row r="494">
      <c r="A494" s="5" t="n"/>
      <c r="D494" s="10" t="n"/>
      <c r="F494" s="9" t="n"/>
      <c r="H494" s="8" t="n"/>
    </row>
    <row r="495">
      <c r="A495" s="5" t="n"/>
      <c r="D495" s="10" t="n"/>
      <c r="F495" s="9" t="n"/>
      <c r="H495" s="8" t="n"/>
    </row>
    <row r="496">
      <c r="A496" s="5" t="n"/>
      <c r="D496" s="10" t="n"/>
      <c r="F496" s="9" t="n"/>
      <c r="H496" s="8" t="n"/>
    </row>
    <row r="497">
      <c r="A497" s="5" t="n"/>
      <c r="D497" s="10" t="n"/>
      <c r="F497" s="9" t="n"/>
      <c r="H497" s="8" t="n"/>
    </row>
    <row r="498">
      <c r="A498" s="5" t="n"/>
      <c r="D498" s="10" t="n"/>
      <c r="F498" s="9" t="n"/>
      <c r="H498" s="8" t="n"/>
    </row>
    <row r="499">
      <c r="A499" s="5" t="n"/>
      <c r="D499" s="10" t="n"/>
      <c r="F499" s="9" t="n"/>
      <c r="H499" s="8" t="n"/>
    </row>
    <row r="500">
      <c r="A500" s="5" t="n"/>
      <c r="D500" s="10" t="n"/>
      <c r="F500" s="9" t="n"/>
      <c r="H500" s="8" t="n"/>
    </row>
    <row r="501">
      <c r="A501" s="5" t="n"/>
      <c r="D501" s="10" t="n"/>
      <c r="F501" s="9" t="n"/>
      <c r="H501" s="8" t="n"/>
    </row>
    <row r="502">
      <c r="A502" s="5" t="n"/>
      <c r="D502" s="10" t="n"/>
      <c r="F502" s="9" t="n"/>
      <c r="H502" s="8" t="n"/>
    </row>
    <row r="503">
      <c r="A503" s="5" t="n"/>
      <c r="D503" s="10" t="n"/>
      <c r="F503" s="9" t="n"/>
      <c r="H503" s="8" t="n"/>
    </row>
    <row r="504">
      <c r="A504" s="7" t="n"/>
      <c r="D504" s="10" t="n"/>
      <c r="F504" s="9" t="n"/>
      <c r="H504" s="8" t="n"/>
    </row>
    <row r="505">
      <c r="D505" s="10" t="n"/>
      <c r="F505" s="9" t="n"/>
      <c r="H505" s="8" t="n"/>
    </row>
    <row r="506">
      <c r="D506" s="10" t="n"/>
      <c r="F506" s="9" t="n"/>
      <c r="H506" s="8" t="n"/>
    </row>
    <row r="507">
      <c r="D507" s="10" t="n"/>
      <c r="F507" s="9" t="n"/>
      <c r="H507" s="8" t="n"/>
    </row>
    <row r="508">
      <c r="A508" s="3" t="n"/>
      <c r="D508" s="10" t="n"/>
      <c r="F508" s="9" t="n"/>
      <c r="H508" s="8" t="n"/>
    </row>
    <row r="509">
      <c r="A509" s="3" t="n"/>
      <c r="D509" s="10" t="n"/>
      <c r="F509" s="9" t="n"/>
      <c r="H509" s="8" t="n"/>
    </row>
    <row r="510">
      <c r="A510" s="5" t="n"/>
      <c r="D510" s="10" t="n"/>
      <c r="F510" s="9" t="n"/>
      <c r="H510" s="8" t="n"/>
    </row>
    <row r="511">
      <c r="A511" s="5" t="n"/>
      <c r="D511" s="10" t="n"/>
      <c r="F511" s="9" t="n"/>
      <c r="H511" s="8" t="n"/>
    </row>
    <row r="512">
      <c r="A512" s="5" t="n"/>
      <c r="D512" s="10" t="n"/>
      <c r="F512" s="9" t="n"/>
      <c r="H512" s="8" t="n"/>
    </row>
    <row r="513">
      <c r="A513" s="5" t="n"/>
      <c r="D513" s="10" t="n"/>
      <c r="F513" s="9" t="n"/>
      <c r="H513" s="8" t="n"/>
    </row>
    <row r="514">
      <c r="A514" s="5" t="n"/>
      <c r="D514" s="10" t="n"/>
      <c r="F514" s="9" t="n"/>
      <c r="H514" s="8" t="n"/>
    </row>
    <row r="515">
      <c r="A515" s="5" t="n"/>
      <c r="D515" s="10" t="n"/>
      <c r="F515" s="9" t="n"/>
      <c r="H515" s="8" t="n"/>
    </row>
    <row r="516">
      <c r="A516" s="5" t="n"/>
      <c r="D516" s="10" t="n"/>
      <c r="F516" s="9" t="n"/>
      <c r="H516" s="8" t="n"/>
    </row>
    <row r="517">
      <c r="A517" s="5" t="n"/>
      <c r="D517" s="10" t="n"/>
      <c r="F517" s="9" t="n"/>
      <c r="H517" s="8" t="n"/>
    </row>
    <row r="518">
      <c r="A518" s="5" t="n"/>
      <c r="D518" s="10" t="n"/>
      <c r="F518" s="9" t="n"/>
      <c r="H518" s="8" t="n"/>
    </row>
    <row r="519">
      <c r="A519" s="5" t="n"/>
      <c r="D519" s="10" t="n"/>
      <c r="F519" s="9" t="n"/>
      <c r="H519" s="8" t="n"/>
    </row>
    <row r="520">
      <c r="A520" s="5" t="n"/>
      <c r="D520" s="10" t="n"/>
      <c r="F520" s="9" t="n"/>
      <c r="H520" s="8" t="n"/>
    </row>
    <row r="521">
      <c r="A521" s="5" t="n"/>
      <c r="D521" s="10" t="n"/>
      <c r="F521" s="9" t="n"/>
      <c r="H521" s="8" t="n"/>
    </row>
    <row r="522">
      <c r="A522" s="5" t="n"/>
      <c r="D522" s="10" t="n"/>
      <c r="F522" s="9" t="n"/>
      <c r="H522" s="8" t="n"/>
    </row>
    <row r="523">
      <c r="A523" s="5" t="n"/>
      <c r="D523" s="10" t="n"/>
      <c r="F523" s="9" t="n"/>
      <c r="H523" s="8" t="n"/>
    </row>
    <row r="524">
      <c r="A524" s="5" t="n"/>
      <c r="D524" s="10" t="n"/>
      <c r="F524" s="9" t="n"/>
      <c r="H524" s="8" t="n"/>
    </row>
    <row r="525">
      <c r="A525" s="5" t="n"/>
      <c r="D525" s="10" t="n"/>
      <c r="F525" s="9" t="n"/>
      <c r="H525" s="8" t="n"/>
    </row>
    <row r="526">
      <c r="A526" s="5" t="n"/>
      <c r="D526" s="10" t="n"/>
      <c r="F526" s="9" t="n"/>
      <c r="H526" s="8" t="n"/>
    </row>
    <row r="527">
      <c r="A527" s="5" t="n"/>
      <c r="D527" s="10" t="n"/>
      <c r="F527" s="9" t="n"/>
      <c r="H527" s="8" t="n"/>
    </row>
    <row r="528">
      <c r="A528" s="5" t="n"/>
      <c r="D528" s="10" t="n"/>
      <c r="F528" s="9" t="n"/>
      <c r="H528" s="8" t="n"/>
    </row>
    <row r="529">
      <c r="A529" s="5" t="n"/>
      <c r="D529" s="10" t="n"/>
      <c r="F529" s="9" t="n"/>
      <c r="H529" s="8" t="n"/>
    </row>
    <row r="530">
      <c r="A530" s="5" t="n"/>
      <c r="D530" s="10" t="n"/>
      <c r="F530" s="9" t="n"/>
      <c r="H530" s="8" t="n"/>
    </row>
    <row r="531">
      <c r="A531" s="5" t="n"/>
      <c r="D531" s="10" t="n"/>
      <c r="F531" s="9" t="n"/>
      <c r="H531" s="8" t="n"/>
    </row>
    <row r="532">
      <c r="A532" s="5" t="n"/>
      <c r="D532" s="10" t="n"/>
      <c r="F532" s="9" t="n"/>
      <c r="H532" s="8" t="n"/>
    </row>
    <row r="533">
      <c r="A533" s="5" t="n"/>
      <c r="D533" s="10" t="n"/>
      <c r="F533" s="9" t="n"/>
      <c r="H533" s="8" t="n"/>
    </row>
    <row r="534">
      <c r="A534" s="5" t="n"/>
      <c r="D534" s="10" t="n"/>
      <c r="F534" s="9" t="n"/>
      <c r="H534" s="8" t="n"/>
    </row>
    <row r="535">
      <c r="A535" s="5" t="n"/>
      <c r="D535" s="10" t="n"/>
      <c r="F535" s="9" t="n"/>
      <c r="H535" s="8" t="n"/>
    </row>
    <row r="536">
      <c r="A536" s="5" t="n"/>
      <c r="D536" s="10" t="n"/>
      <c r="F536" s="9" t="n"/>
      <c r="H536" s="8" t="n"/>
    </row>
    <row r="537">
      <c r="A537" s="5" t="n"/>
      <c r="D537" s="10" t="n"/>
      <c r="F537" s="9" t="n"/>
      <c r="H537" s="8" t="n"/>
    </row>
    <row r="538">
      <c r="A538" s="5" t="n"/>
      <c r="D538" s="10" t="n"/>
      <c r="F538" s="9" t="n"/>
      <c r="H538" s="8" t="n"/>
    </row>
    <row r="539">
      <c r="A539" s="5" t="n"/>
      <c r="D539" s="10" t="n"/>
      <c r="F539" s="9" t="n"/>
      <c r="H539" s="8" t="n"/>
    </row>
    <row r="540">
      <c r="A540" s="5" t="n"/>
      <c r="D540" s="10" t="n"/>
      <c r="F540" s="9" t="n"/>
      <c r="H540" s="8" t="n"/>
    </row>
    <row r="541">
      <c r="A541" s="5" t="n"/>
      <c r="D541" s="10" t="n"/>
      <c r="F541" s="9" t="n"/>
      <c r="H541" s="8" t="n"/>
    </row>
    <row r="542">
      <c r="A542" s="5" t="n"/>
      <c r="D542" s="10" t="n"/>
      <c r="F542" s="9" t="n"/>
      <c r="H542" s="8" t="n"/>
    </row>
    <row r="543">
      <c r="A543" s="5" t="n"/>
      <c r="D543" s="10" t="n"/>
      <c r="F543" s="9" t="n"/>
      <c r="H543" s="8" t="n"/>
    </row>
    <row r="544">
      <c r="A544" s="5" t="n"/>
      <c r="D544" s="10" t="n"/>
      <c r="F544" s="9" t="n"/>
      <c r="H544" s="8" t="n"/>
    </row>
    <row r="545">
      <c r="A545" s="5" t="n"/>
      <c r="D545" s="10" t="n"/>
      <c r="F545" s="9" t="n"/>
      <c r="H545" s="8" t="n"/>
    </row>
    <row r="546">
      <c r="A546" s="5" t="n"/>
      <c r="D546" s="10" t="n"/>
      <c r="F546" s="9" t="n"/>
      <c r="H546" s="8" t="n"/>
    </row>
    <row r="547">
      <c r="A547" s="5" t="n"/>
      <c r="D547" s="10" t="n"/>
      <c r="F547" s="9" t="n"/>
      <c r="H547" s="8" t="n"/>
    </row>
    <row r="548">
      <c r="A548" s="5" t="n"/>
      <c r="D548" s="10" t="n"/>
      <c r="F548" s="9" t="n"/>
      <c r="H548" s="8" t="n"/>
    </row>
    <row r="549">
      <c r="A549" s="5" t="n"/>
      <c r="D549" s="10" t="n"/>
      <c r="F549" s="9" t="n"/>
      <c r="H549" s="8" t="n"/>
    </row>
    <row r="550">
      <c r="A550" s="5" t="n"/>
      <c r="D550" s="10" t="n"/>
      <c r="F550" s="9" t="n"/>
      <c r="H550" s="8" t="n"/>
    </row>
    <row r="551">
      <c r="A551" s="5" t="n"/>
      <c r="D551" s="10" t="n"/>
      <c r="F551" s="9" t="n"/>
      <c r="H551" s="8" t="n"/>
    </row>
    <row r="552">
      <c r="A552" s="5" t="n"/>
      <c r="D552" s="10" t="n"/>
      <c r="F552" s="9" t="n"/>
      <c r="H552" s="8" t="n"/>
    </row>
    <row r="553">
      <c r="A553" s="5" t="n"/>
      <c r="D553" s="10" t="n"/>
      <c r="F553" s="9" t="n"/>
      <c r="H553" s="8" t="n"/>
    </row>
    <row r="554">
      <c r="A554" s="5" t="n"/>
      <c r="D554" s="10" t="n"/>
      <c r="F554" s="9" t="n"/>
      <c r="H554" s="8" t="n"/>
    </row>
    <row r="555">
      <c r="A555" s="5" t="n"/>
      <c r="D555" s="10" t="n"/>
      <c r="F555" s="9" t="n"/>
      <c r="H555" s="8" t="n"/>
    </row>
    <row r="556">
      <c r="A556" s="5" t="n"/>
      <c r="D556" s="10" t="n"/>
      <c r="F556" s="9" t="n"/>
      <c r="H556" s="8" t="n"/>
    </row>
    <row r="557">
      <c r="A557" s="5" t="n"/>
      <c r="D557" s="10" t="n"/>
      <c r="F557" s="9" t="n"/>
      <c r="H557" s="8" t="n"/>
    </row>
    <row r="558">
      <c r="A558" s="5" t="n"/>
      <c r="D558" s="10" t="n"/>
      <c r="F558" s="9" t="n"/>
      <c r="H558" s="8" t="n"/>
    </row>
    <row r="559">
      <c r="A559" s="5" t="n"/>
      <c r="D559" s="10" t="n"/>
      <c r="F559" s="9" t="n"/>
      <c r="H559" s="8" t="n"/>
    </row>
    <row r="560">
      <c r="A560" s="5" t="n"/>
      <c r="D560" s="10" t="n"/>
      <c r="F560" s="9" t="n"/>
      <c r="H560" s="8" t="n"/>
    </row>
    <row r="561">
      <c r="A561" s="5" t="n"/>
      <c r="D561" s="10" t="n"/>
      <c r="F561" s="9" t="n"/>
      <c r="H561" s="8" t="n"/>
    </row>
    <row r="562">
      <c r="A562" s="5" t="n"/>
      <c r="D562" s="10" t="n"/>
      <c r="F562" s="9" t="n"/>
      <c r="H562" s="8" t="n"/>
    </row>
    <row r="563">
      <c r="A563" s="5" t="n"/>
      <c r="D563" s="10" t="n"/>
      <c r="F563" s="9" t="n"/>
      <c r="H563" s="8" t="n"/>
    </row>
    <row r="564">
      <c r="A564" s="5" t="n"/>
      <c r="D564" s="10" t="n"/>
      <c r="F564" s="9" t="n"/>
      <c r="H564" s="8" t="n"/>
    </row>
    <row r="565">
      <c r="A565" s="5" t="n"/>
      <c r="D565" s="10" t="n"/>
      <c r="F565" s="9" t="n"/>
      <c r="H565" s="8" t="n"/>
    </row>
    <row r="566">
      <c r="A566" s="5" t="n"/>
      <c r="D566" s="10" t="n"/>
      <c r="F566" s="9" t="n"/>
      <c r="H566" s="8" t="n"/>
    </row>
    <row r="567">
      <c r="A567" s="5" t="n"/>
      <c r="D567" s="10" t="n"/>
      <c r="F567" s="9" t="n"/>
      <c r="H567" s="8" t="n"/>
    </row>
    <row r="568">
      <c r="A568" s="5" t="n"/>
      <c r="D568" s="10" t="n"/>
      <c r="F568" s="9" t="n"/>
      <c r="H568" s="8" t="n"/>
    </row>
    <row r="569">
      <c r="A569" s="5" t="n"/>
      <c r="D569" s="10" t="n"/>
      <c r="F569" s="9" t="n"/>
      <c r="H569" s="8" t="n"/>
    </row>
    <row r="570">
      <c r="A570" s="5" t="n"/>
      <c r="D570" s="10" t="n"/>
      <c r="F570" s="9" t="n"/>
      <c r="H570" s="8" t="n"/>
    </row>
    <row r="571">
      <c r="A571" s="5" t="n"/>
      <c r="D571" s="10" t="n"/>
      <c r="F571" s="9" t="n"/>
      <c r="H571" s="8" t="n"/>
    </row>
    <row r="572">
      <c r="A572" s="5" t="n"/>
      <c r="D572" s="10" t="n"/>
      <c r="F572" s="9" t="n"/>
      <c r="H572" s="8" t="n"/>
    </row>
    <row r="573">
      <c r="A573" s="5" t="n"/>
      <c r="D573" s="10" t="n"/>
      <c r="F573" s="9" t="n"/>
      <c r="H573" s="8" t="n"/>
    </row>
    <row r="574">
      <c r="A574" s="5" t="n"/>
      <c r="D574" s="10" t="n"/>
      <c r="F574" s="9" t="n"/>
      <c r="H574" s="8" t="n"/>
    </row>
    <row r="575">
      <c r="A575" s="5" t="n"/>
      <c r="D575" s="10" t="n"/>
      <c r="F575" s="9" t="n"/>
      <c r="H575" s="8" t="n"/>
    </row>
    <row r="576">
      <c r="A576" s="5" t="n"/>
      <c r="D576" s="10" t="n"/>
      <c r="F576" s="9" t="n"/>
      <c r="H576" s="8" t="n"/>
    </row>
    <row r="577">
      <c r="A577" s="7" t="n"/>
      <c r="D577" s="10" t="n"/>
      <c r="F577" s="9" t="n"/>
      <c r="H577" s="8" t="n"/>
    </row>
    <row r="578">
      <c r="D578" s="10" t="n"/>
      <c r="F578" s="9" t="n"/>
      <c r="H578" s="8" t="n"/>
    </row>
    <row r="579">
      <c r="D579" s="10" t="n"/>
      <c r="F579" s="9" t="n"/>
      <c r="H579" s="8" t="n"/>
    </row>
    <row r="580">
      <c r="D580" s="10" t="n"/>
      <c r="F580" s="9" t="n"/>
      <c r="H580" s="8" t="n"/>
    </row>
    <row r="581">
      <c r="A581" s="3" t="n"/>
      <c r="D581" s="10" t="n"/>
      <c r="F581" s="9" t="n"/>
      <c r="H581" s="8" t="n"/>
    </row>
    <row r="582">
      <c r="A582" s="3" t="n"/>
      <c r="D582" s="10" t="n"/>
      <c r="F582" s="9" t="n"/>
      <c r="H582" s="8" t="n"/>
    </row>
    <row r="583">
      <c r="A583" s="5" t="n"/>
      <c r="D583" s="10" t="n"/>
      <c r="F583" s="9" t="n"/>
      <c r="H583" s="8" t="n"/>
    </row>
    <row r="584">
      <c r="A584" s="5" t="n"/>
      <c r="D584" s="10" t="n"/>
      <c r="F584" s="9" t="n"/>
      <c r="H584" s="8" t="n"/>
    </row>
    <row r="585">
      <c r="A585" s="5" t="n"/>
      <c r="D585" s="10" t="n"/>
      <c r="F585" s="9" t="n"/>
      <c r="H585" s="8" t="n"/>
    </row>
    <row r="586">
      <c r="A586" s="5" t="n"/>
      <c r="D586" s="10" t="n"/>
      <c r="F586" s="9" t="n"/>
      <c r="H586" s="8" t="n"/>
    </row>
    <row r="587">
      <c r="A587" s="5" t="n"/>
      <c r="D587" s="10" t="n"/>
      <c r="F587" s="9" t="n"/>
      <c r="H587" s="8" t="n"/>
    </row>
    <row r="588">
      <c r="A588" s="5" t="n"/>
      <c r="D588" s="10" t="n"/>
      <c r="F588" s="9" t="n"/>
      <c r="H588" s="8" t="n"/>
    </row>
    <row r="589">
      <c r="A589" s="5" t="n"/>
      <c r="D589" s="10" t="n"/>
      <c r="F589" s="9" t="n"/>
      <c r="H589" s="8" t="n"/>
    </row>
    <row r="590">
      <c r="A590" s="5" t="n"/>
      <c r="D590" s="10" t="n"/>
      <c r="F590" s="9" t="n"/>
      <c r="H590" s="8" t="n"/>
    </row>
    <row r="591">
      <c r="A591" s="5" t="n"/>
      <c r="D591" s="10" t="n"/>
      <c r="F591" s="9" t="n"/>
      <c r="H591" s="8" t="n"/>
    </row>
    <row r="592">
      <c r="A592" s="5" t="n"/>
      <c r="D592" s="10" t="n"/>
      <c r="F592" s="9" t="n"/>
      <c r="H592" s="8" t="n"/>
    </row>
    <row r="593">
      <c r="A593" s="5" t="n"/>
      <c r="D593" s="10" t="n"/>
      <c r="F593" s="9" t="n"/>
      <c r="H593" s="8" t="n"/>
    </row>
    <row r="594">
      <c r="A594" s="5" t="n"/>
      <c r="D594" s="10" t="n"/>
      <c r="F594" s="9" t="n"/>
      <c r="H594" s="8" t="n"/>
    </row>
    <row r="595">
      <c r="A595" s="5" t="n"/>
      <c r="D595" s="10" t="n"/>
      <c r="F595" s="9" t="n"/>
      <c r="H595" s="8" t="n"/>
    </row>
    <row r="596">
      <c r="A596" s="5" t="n"/>
      <c r="D596" s="10" t="n"/>
      <c r="F596" s="9" t="n"/>
      <c r="H596" s="8" t="n"/>
    </row>
    <row r="597">
      <c r="A597" s="5" t="n"/>
      <c r="D597" s="10" t="n"/>
      <c r="F597" s="9" t="n"/>
      <c r="H597" s="8" t="n"/>
    </row>
    <row r="598">
      <c r="A598" s="5" t="n"/>
      <c r="D598" s="10" t="n"/>
      <c r="F598" s="9" t="n"/>
      <c r="H598" s="8" t="n"/>
    </row>
    <row r="599">
      <c r="A599" s="5" t="n"/>
      <c r="D599" s="10" t="n"/>
      <c r="F599" s="9" t="n"/>
      <c r="H599" s="8" t="n"/>
    </row>
    <row r="600">
      <c r="A600" s="5" t="n"/>
      <c r="D600" s="10" t="n"/>
      <c r="F600" s="9" t="n"/>
      <c r="H600" s="8" t="n"/>
    </row>
    <row r="601">
      <c r="A601" s="5" t="n"/>
      <c r="D601" s="10" t="n"/>
      <c r="F601" s="9" t="n"/>
      <c r="H601" s="8" t="n"/>
    </row>
    <row r="602">
      <c r="A602" s="5" t="n"/>
      <c r="D602" s="10" t="n"/>
      <c r="F602" s="9" t="n"/>
      <c r="H602" s="8" t="n"/>
    </row>
    <row r="603">
      <c r="A603" s="5" t="n"/>
      <c r="D603" s="10" t="n"/>
      <c r="F603" s="9" t="n"/>
      <c r="H603" s="8" t="n"/>
    </row>
    <row r="604">
      <c r="A604" s="5" t="n"/>
      <c r="D604" s="10" t="n"/>
      <c r="F604" s="9" t="n"/>
      <c r="H604" s="8" t="n"/>
    </row>
    <row r="605">
      <c r="A605" s="5" t="n"/>
      <c r="D605" s="10" t="n"/>
      <c r="F605" s="9" t="n"/>
      <c r="H605" s="8" t="n"/>
    </row>
    <row r="606">
      <c r="A606" s="5" t="n"/>
      <c r="D606" s="10" t="n"/>
      <c r="F606" s="9" t="n"/>
      <c r="H606" s="8" t="n"/>
    </row>
    <row r="607">
      <c r="A607" s="5" t="n"/>
      <c r="D607" s="10" t="n"/>
      <c r="F607" s="9" t="n"/>
      <c r="H607" s="8" t="n"/>
    </row>
    <row r="608">
      <c r="A608" s="5" t="n"/>
      <c r="D608" s="10" t="n"/>
      <c r="F608" s="9" t="n"/>
      <c r="H608" s="8" t="n"/>
    </row>
    <row r="609">
      <c r="A609" s="5" t="n"/>
      <c r="D609" s="10" t="n"/>
      <c r="F609" s="9" t="n"/>
      <c r="H609" s="8" t="n"/>
    </row>
    <row r="610">
      <c r="A610" s="5" t="n"/>
      <c r="D610" s="10" t="n"/>
      <c r="F610" s="9" t="n"/>
      <c r="H610" s="8" t="n"/>
    </row>
    <row r="611">
      <c r="A611" s="5" t="n"/>
      <c r="D611" s="10" t="n"/>
      <c r="F611" s="9" t="n"/>
      <c r="H611" s="8" t="n"/>
    </row>
    <row r="612">
      <c r="A612" s="5" t="n"/>
      <c r="D612" s="10" t="n"/>
      <c r="F612" s="9" t="n"/>
      <c r="H612" s="8" t="n"/>
    </row>
    <row r="613">
      <c r="A613" s="5" t="n"/>
      <c r="D613" s="10" t="n"/>
      <c r="F613" s="9" t="n"/>
      <c r="H613" s="8" t="n"/>
    </row>
    <row r="614">
      <c r="A614" s="5" t="n"/>
      <c r="D614" s="10" t="n"/>
      <c r="F614" s="9" t="n"/>
      <c r="H614" s="8" t="n"/>
    </row>
    <row r="615">
      <c r="A615" s="5" t="n"/>
      <c r="D615" s="10" t="n"/>
      <c r="F615" s="9" t="n"/>
      <c r="H615" s="8" t="n"/>
    </row>
    <row r="616">
      <c r="A616" s="5" t="n"/>
      <c r="D616" s="10" t="n"/>
      <c r="F616" s="9" t="n"/>
      <c r="H616" s="8" t="n"/>
    </row>
    <row r="617">
      <c r="A617" s="5" t="n"/>
      <c r="D617" s="10" t="n"/>
      <c r="F617" s="9" t="n"/>
      <c r="H617" s="8" t="n"/>
    </row>
    <row r="618">
      <c r="A618" s="5" t="n"/>
      <c r="D618" s="10" t="n"/>
      <c r="F618" s="9" t="n"/>
      <c r="H618" s="8" t="n"/>
    </row>
    <row r="619">
      <c r="A619" s="5" t="n"/>
      <c r="D619" s="10" t="n"/>
      <c r="F619" s="9" t="n"/>
      <c r="H619" s="8" t="n"/>
    </row>
    <row r="620">
      <c r="A620" s="5" t="n"/>
      <c r="D620" s="10" t="n"/>
      <c r="F620" s="9" t="n"/>
      <c r="H620" s="8" t="n"/>
    </row>
    <row r="621">
      <c r="A621" s="5" t="n"/>
      <c r="D621" s="10" t="n"/>
      <c r="F621" s="9" t="n"/>
      <c r="H621" s="8" t="n"/>
    </row>
    <row r="622">
      <c r="A622" s="5" t="n"/>
      <c r="D622" s="10" t="n"/>
      <c r="F622" s="9" t="n"/>
      <c r="H622" s="8" t="n"/>
    </row>
    <row r="623">
      <c r="A623" s="5" t="n"/>
      <c r="D623" s="10" t="n"/>
      <c r="F623" s="9" t="n"/>
      <c r="H623" s="8" t="n"/>
    </row>
    <row r="624">
      <c r="A624" s="5" t="n"/>
      <c r="D624" s="10" t="n"/>
      <c r="F624" s="9" t="n"/>
      <c r="H624" s="8" t="n"/>
    </row>
    <row r="625">
      <c r="A625" s="5" t="n"/>
      <c r="D625" s="10" t="n"/>
      <c r="F625" s="9" t="n"/>
      <c r="H625" s="8" t="n"/>
    </row>
    <row r="626">
      <c r="A626" s="5" t="n"/>
      <c r="D626" s="10" t="n"/>
      <c r="F626" s="9" t="n"/>
      <c r="H626" s="8" t="n"/>
    </row>
    <row r="627">
      <c r="A627" s="5" t="n"/>
      <c r="D627" s="10" t="n"/>
      <c r="F627" s="9" t="n"/>
      <c r="H627" s="8" t="n"/>
    </row>
    <row r="628">
      <c r="A628" s="5" t="n"/>
      <c r="D628" s="10" t="n"/>
      <c r="F628" s="9" t="n"/>
      <c r="H628" s="8" t="n"/>
    </row>
    <row r="629">
      <c r="A629" s="5" t="n"/>
      <c r="D629" s="10" t="n"/>
      <c r="F629" s="9" t="n"/>
      <c r="H629" s="8" t="n"/>
    </row>
    <row r="630">
      <c r="A630" s="5" t="n"/>
      <c r="D630" s="10" t="n"/>
      <c r="F630" s="9" t="n"/>
      <c r="H630" s="8" t="n"/>
    </row>
    <row r="631">
      <c r="A631" s="5" t="n"/>
      <c r="D631" s="10" t="n"/>
      <c r="F631" s="9" t="n"/>
      <c r="H631" s="8" t="n"/>
    </row>
    <row r="632">
      <c r="A632" s="5" t="n"/>
      <c r="D632" s="10" t="n"/>
      <c r="F632" s="9" t="n"/>
      <c r="H632" s="8" t="n"/>
    </row>
    <row r="633">
      <c r="A633" s="5" t="n"/>
      <c r="D633" s="10" t="n"/>
      <c r="F633" s="9" t="n"/>
      <c r="H633" s="8" t="n"/>
    </row>
    <row r="634">
      <c r="A634" s="5" t="n"/>
      <c r="D634" s="10" t="n"/>
      <c r="F634" s="9" t="n"/>
      <c r="H634" s="8" t="n"/>
    </row>
    <row r="635">
      <c r="A635" s="5" t="n"/>
      <c r="D635" s="10" t="n"/>
      <c r="F635" s="9" t="n"/>
      <c r="H635" s="8" t="n"/>
    </row>
    <row r="636">
      <c r="A636" s="5" t="n"/>
      <c r="D636" s="10" t="n"/>
      <c r="F636" s="9" t="n"/>
      <c r="H636" s="8" t="n"/>
    </row>
    <row r="637">
      <c r="A637" s="5" t="n"/>
      <c r="D637" s="10" t="n"/>
      <c r="F637" s="9" t="n"/>
      <c r="H637" s="8" t="n"/>
    </row>
    <row r="638">
      <c r="A638" s="5" t="n"/>
      <c r="D638" s="10" t="n"/>
      <c r="F638" s="9" t="n"/>
      <c r="H638" s="8" t="n"/>
    </row>
    <row r="639">
      <c r="A639" s="5" t="n"/>
      <c r="D639" s="10" t="n"/>
      <c r="F639" s="9" t="n"/>
      <c r="H639" s="8" t="n"/>
    </row>
    <row r="640">
      <c r="A640" s="5" t="n"/>
      <c r="D640" s="10" t="n"/>
      <c r="F640" s="9" t="n"/>
      <c r="H640" s="8" t="n"/>
    </row>
    <row r="641">
      <c r="A641" s="5" t="n"/>
      <c r="D641" s="10" t="n"/>
      <c r="F641" s="9" t="n"/>
      <c r="H641" s="8" t="n"/>
    </row>
    <row r="642">
      <c r="A642" s="5" t="n"/>
      <c r="D642" s="10" t="n"/>
      <c r="F642" s="9" t="n"/>
      <c r="H642" s="8" t="n"/>
    </row>
    <row r="643">
      <c r="A643" s="5" t="n"/>
      <c r="D643" s="10" t="n"/>
      <c r="F643" s="9" t="n"/>
      <c r="H643" s="8" t="n"/>
    </row>
    <row r="644">
      <c r="A644" s="5" t="n"/>
      <c r="D644" s="10" t="n"/>
      <c r="F644" s="9" t="n"/>
      <c r="H644" s="8" t="n"/>
    </row>
    <row r="645">
      <c r="A645" s="5" t="n"/>
      <c r="D645" s="10" t="n"/>
      <c r="F645" s="9" t="n"/>
      <c r="H645" s="8" t="n"/>
    </row>
    <row r="646">
      <c r="A646" s="5" t="n"/>
      <c r="D646" s="10" t="n"/>
      <c r="F646" s="9" t="n"/>
      <c r="H646" s="8" t="n"/>
    </row>
    <row r="647">
      <c r="A647" s="5" t="n"/>
      <c r="D647" s="10" t="n"/>
      <c r="F647" s="9" t="n"/>
      <c r="H647" s="8" t="n"/>
    </row>
    <row r="648">
      <c r="A648" s="5" t="n"/>
      <c r="D648" s="10" t="n"/>
      <c r="F648" s="9" t="n"/>
      <c r="H648" s="8" t="n"/>
    </row>
    <row r="649">
      <c r="A649" s="5" t="n"/>
      <c r="D649" s="10" t="n"/>
      <c r="F649" s="9" t="n"/>
      <c r="H649" s="8" t="n"/>
    </row>
    <row r="650">
      <c r="A650" s="7" t="n"/>
      <c r="D650" s="10" t="n"/>
      <c r="F650" s="9" t="n"/>
      <c r="H650" s="8" t="n"/>
    </row>
    <row r="651">
      <c r="D651" s="10" t="n"/>
      <c r="F651" s="9" t="n"/>
      <c r="H651" s="8" t="n"/>
    </row>
    <row r="652">
      <c r="D652" s="10" t="n"/>
      <c r="F652" s="9" t="n"/>
      <c r="H652" s="8" t="n"/>
    </row>
    <row r="653">
      <c r="D653" s="10" t="n"/>
      <c r="F653" s="9" t="n"/>
      <c r="H653" s="8" t="n"/>
    </row>
    <row r="654">
      <c r="A654" s="3" t="n"/>
      <c r="D654" s="10" t="n"/>
      <c r="F654" s="9" t="n"/>
      <c r="H654" s="8" t="n"/>
    </row>
    <row r="655">
      <c r="A655" s="3" t="n"/>
      <c r="D655" s="10" t="n"/>
      <c r="F655" s="9" t="n"/>
      <c r="H655" s="8" t="n"/>
    </row>
    <row r="656">
      <c r="A656" s="5" t="n"/>
      <c r="D656" s="10" t="n"/>
      <c r="F656" s="9" t="n"/>
      <c r="H656" s="8" t="n"/>
    </row>
    <row r="657">
      <c r="A657" s="5" t="n"/>
      <c r="D657" s="10" t="n"/>
      <c r="F657" s="9" t="n"/>
      <c r="H657" s="8" t="n"/>
    </row>
    <row r="658">
      <c r="A658" s="5" t="n"/>
      <c r="D658" s="10" t="n"/>
      <c r="F658" s="9" t="n"/>
      <c r="H658" s="8" t="n"/>
    </row>
    <row r="659">
      <c r="A659" s="5" t="n"/>
      <c r="D659" s="10" t="n"/>
      <c r="F659" s="9" t="n"/>
      <c r="H659" s="8" t="n"/>
    </row>
    <row r="660">
      <c r="A660" s="5" t="n"/>
      <c r="D660" s="10" t="n"/>
      <c r="F660" s="9" t="n"/>
      <c r="H660" s="8" t="n"/>
    </row>
    <row r="661">
      <c r="A661" s="5" t="n"/>
      <c r="D661" s="10" t="n"/>
      <c r="F661" s="9" t="n"/>
      <c r="H661" s="8" t="n"/>
    </row>
    <row r="662">
      <c r="A662" s="5" t="n"/>
      <c r="D662" s="10" t="n"/>
      <c r="F662" s="9" t="n"/>
      <c r="H662" s="8" t="n"/>
    </row>
    <row r="663">
      <c r="A663" s="5" t="n"/>
      <c r="D663" s="10" t="n"/>
      <c r="F663" s="9" t="n"/>
      <c r="H663" s="8" t="n"/>
    </row>
    <row r="664">
      <c r="A664" s="5" t="n"/>
      <c r="D664" s="10" t="n"/>
      <c r="F664" s="9" t="n"/>
      <c r="H664" s="8" t="n"/>
    </row>
    <row r="665">
      <c r="A665" s="5" t="n"/>
      <c r="D665" s="10" t="n"/>
      <c r="F665" s="9" t="n"/>
      <c r="H665" s="8" t="n"/>
    </row>
    <row r="666">
      <c r="A666" s="5" t="n"/>
      <c r="D666" s="10" t="n"/>
      <c r="F666" s="9" t="n"/>
      <c r="H666" s="8" t="n"/>
    </row>
    <row r="667">
      <c r="A667" s="5" t="n"/>
      <c r="D667" s="10" t="n"/>
      <c r="F667" s="9" t="n"/>
      <c r="H667" s="8" t="n"/>
    </row>
    <row r="668">
      <c r="A668" s="5" t="n"/>
      <c r="D668" s="10" t="n"/>
      <c r="F668" s="9" t="n"/>
      <c r="H668" s="8" t="n"/>
    </row>
    <row r="669">
      <c r="A669" s="5" t="n"/>
      <c r="D669" s="10" t="n"/>
      <c r="F669" s="9" t="n"/>
      <c r="H669" s="8" t="n"/>
    </row>
    <row r="670">
      <c r="A670" s="5" t="n"/>
      <c r="D670" s="10" t="n"/>
      <c r="F670" s="9" t="n"/>
      <c r="H670" s="8" t="n"/>
    </row>
    <row r="671">
      <c r="A671" s="5" t="n"/>
      <c r="D671" s="10" t="n"/>
      <c r="F671" s="9" t="n"/>
      <c r="H671" s="8" t="n"/>
    </row>
    <row r="672">
      <c r="A672" s="5" t="n"/>
      <c r="D672" s="10" t="n"/>
      <c r="F672" s="9" t="n"/>
      <c r="H672" s="8" t="n"/>
    </row>
    <row r="673">
      <c r="A673" s="5" t="n"/>
      <c r="D673" s="10" t="n"/>
      <c r="F673" s="9" t="n"/>
      <c r="H673" s="8" t="n"/>
    </row>
    <row r="674">
      <c r="A674" s="5" t="n"/>
      <c r="D674" s="10" t="n"/>
      <c r="F674" s="9" t="n"/>
      <c r="H674" s="8" t="n"/>
    </row>
    <row r="675">
      <c r="A675" s="5" t="n"/>
      <c r="D675" s="10" t="n"/>
      <c r="F675" s="9" t="n"/>
      <c r="H675" s="8" t="n"/>
    </row>
    <row r="676">
      <c r="A676" s="5" t="n"/>
      <c r="D676" s="10" t="n"/>
      <c r="F676" s="9" t="n"/>
      <c r="H676" s="8" t="n"/>
    </row>
    <row r="677">
      <c r="A677" s="5" t="n"/>
      <c r="D677" s="10" t="n"/>
      <c r="F677" s="9" t="n"/>
      <c r="H677" s="8" t="n"/>
    </row>
    <row r="678">
      <c r="A678" s="5" t="n"/>
      <c r="D678" s="10" t="n"/>
      <c r="F678" s="9" t="n"/>
      <c r="H678" s="8" t="n"/>
    </row>
    <row r="679">
      <c r="A679" s="5" t="n"/>
      <c r="D679" s="10" t="n"/>
      <c r="F679" s="9" t="n"/>
      <c r="H679" s="8" t="n"/>
    </row>
    <row r="680">
      <c r="A680" s="5" t="n"/>
      <c r="D680" s="10" t="n"/>
      <c r="F680" s="9" t="n"/>
      <c r="H680" s="8" t="n"/>
    </row>
    <row r="681">
      <c r="A681" s="5" t="n"/>
      <c r="D681" s="10" t="n"/>
      <c r="F681" s="9" t="n"/>
      <c r="H681" s="8" t="n"/>
    </row>
    <row r="682">
      <c r="A682" s="5" t="n"/>
      <c r="D682" s="10" t="n"/>
      <c r="F682" s="9" t="n"/>
      <c r="H682" s="8" t="n"/>
    </row>
    <row r="683">
      <c r="A683" s="5" t="n"/>
      <c r="D683" s="10" t="n"/>
      <c r="F683" s="9" t="n"/>
      <c r="H683" s="8" t="n"/>
    </row>
    <row r="684">
      <c r="A684" s="5" t="n"/>
      <c r="D684" s="10" t="n"/>
      <c r="F684" s="9" t="n"/>
      <c r="H684" s="8" t="n"/>
    </row>
    <row r="685">
      <c r="A685" s="5" t="n"/>
      <c r="D685" s="10" t="n"/>
      <c r="F685" s="9" t="n"/>
      <c r="H685" s="8" t="n"/>
    </row>
    <row r="686">
      <c r="A686" s="5" t="n"/>
      <c r="D686" s="10" t="n"/>
      <c r="F686" s="9" t="n"/>
      <c r="H686" s="8" t="n"/>
    </row>
    <row r="687">
      <c r="A687" s="5" t="n"/>
      <c r="D687" s="10" t="n"/>
      <c r="F687" s="9" t="n"/>
      <c r="H687" s="8" t="n"/>
    </row>
    <row r="688">
      <c r="A688" s="5" t="n"/>
      <c r="D688" s="10" t="n"/>
      <c r="F688" s="9" t="n"/>
      <c r="H688" s="8" t="n"/>
    </row>
    <row r="689">
      <c r="A689" s="5" t="n"/>
      <c r="D689" s="10" t="n"/>
      <c r="F689" s="9" t="n"/>
      <c r="H689" s="8" t="n"/>
    </row>
    <row r="690">
      <c r="A690" s="5" t="n"/>
      <c r="D690" s="10" t="n"/>
      <c r="F690" s="9" t="n"/>
      <c r="H690" s="8" t="n"/>
    </row>
    <row r="691">
      <c r="A691" s="5" t="n"/>
      <c r="D691" s="10" t="n"/>
      <c r="F691" s="9" t="n"/>
      <c r="H691" s="8" t="n"/>
    </row>
    <row r="692">
      <c r="A692" s="5" t="n"/>
      <c r="D692" s="10" t="n"/>
      <c r="F692" s="9" t="n"/>
      <c r="H692" s="8" t="n"/>
    </row>
    <row r="693">
      <c r="A693" s="5" t="n"/>
      <c r="D693" s="10" t="n"/>
      <c r="F693" s="9" t="n"/>
      <c r="H693" s="8" t="n"/>
    </row>
    <row r="694">
      <c r="A694" s="5" t="n"/>
      <c r="D694" s="10" t="n"/>
      <c r="F694" s="9" t="n"/>
      <c r="H694" s="8" t="n"/>
    </row>
    <row r="695">
      <c r="A695" s="5" t="n"/>
      <c r="D695" s="10" t="n"/>
      <c r="F695" s="9" t="n"/>
      <c r="H695" s="8" t="n"/>
    </row>
    <row r="696">
      <c r="A696" s="5" t="n"/>
      <c r="D696" s="10" t="n"/>
      <c r="F696" s="9" t="n"/>
      <c r="H696" s="8" t="n"/>
    </row>
    <row r="697">
      <c r="A697" s="5" t="n"/>
      <c r="D697" s="10" t="n"/>
      <c r="F697" s="9" t="n"/>
      <c r="H697" s="8" t="n"/>
    </row>
    <row r="698">
      <c r="A698" s="5" t="n"/>
      <c r="D698" s="10" t="n"/>
      <c r="F698" s="9" t="n"/>
      <c r="H698" s="8" t="n"/>
    </row>
    <row r="699">
      <c r="A699" s="5" t="n"/>
      <c r="D699" s="10" t="n"/>
      <c r="F699" s="9" t="n"/>
      <c r="H699" s="8" t="n"/>
    </row>
    <row r="700">
      <c r="A700" s="5" t="n"/>
      <c r="D700" s="10" t="n"/>
      <c r="F700" s="9" t="n"/>
      <c r="H700" s="8" t="n"/>
    </row>
    <row r="701">
      <c r="A701" s="5" t="n"/>
      <c r="D701" s="10" t="n"/>
      <c r="F701" s="9" t="n"/>
      <c r="H701" s="8" t="n"/>
    </row>
    <row r="702">
      <c r="A702" s="5" t="n"/>
      <c r="D702" s="10" t="n"/>
      <c r="F702" s="9" t="n"/>
      <c r="H702" s="8" t="n"/>
    </row>
    <row r="703">
      <c r="A703" s="5" t="n"/>
      <c r="D703" s="10" t="n"/>
      <c r="F703" s="9" t="n"/>
      <c r="H703" s="8" t="n"/>
    </row>
    <row r="704">
      <c r="A704" s="5" t="n"/>
      <c r="D704" s="10" t="n"/>
      <c r="F704" s="9" t="n"/>
      <c r="H704" s="8" t="n"/>
    </row>
    <row r="705">
      <c r="A705" s="5" t="n"/>
      <c r="D705" s="10" t="n"/>
      <c r="F705" s="9" t="n"/>
      <c r="H705" s="8" t="n"/>
    </row>
    <row r="706">
      <c r="A706" s="5" t="n"/>
      <c r="D706" s="10" t="n"/>
      <c r="F706" s="9" t="n"/>
      <c r="H706" s="8" t="n"/>
    </row>
    <row r="707">
      <c r="A707" s="5" t="n"/>
      <c r="D707" s="10" t="n"/>
      <c r="F707" s="9" t="n"/>
      <c r="H707" s="8" t="n"/>
    </row>
    <row r="708">
      <c r="A708" s="5" t="n"/>
      <c r="D708" s="10" t="n"/>
      <c r="F708" s="9" t="n"/>
      <c r="H708" s="8" t="n"/>
    </row>
    <row r="709">
      <c r="A709" s="5" t="n"/>
      <c r="D709" s="10" t="n"/>
      <c r="F709" s="9" t="n"/>
      <c r="H709" s="8" t="n"/>
    </row>
    <row r="710">
      <c r="A710" s="5" t="n"/>
      <c r="D710" s="10" t="n"/>
      <c r="F710" s="9" t="n"/>
      <c r="H710" s="8" t="n"/>
    </row>
    <row r="711">
      <c r="A711" s="5" t="n"/>
      <c r="D711" s="10" t="n"/>
      <c r="F711" s="9" t="n"/>
      <c r="H711" s="8" t="n"/>
    </row>
    <row r="712">
      <c r="A712" s="5" t="n"/>
      <c r="D712" s="10" t="n"/>
      <c r="F712" s="9" t="n"/>
      <c r="H712" s="8" t="n"/>
    </row>
    <row r="713">
      <c r="A713" s="5" t="n"/>
      <c r="D713" s="10" t="n"/>
      <c r="F713" s="9" t="n"/>
      <c r="H713" s="8" t="n"/>
    </row>
    <row r="714">
      <c r="A714" s="5" t="n"/>
      <c r="D714" s="10" t="n"/>
      <c r="F714" s="9" t="n"/>
      <c r="H714" s="8" t="n"/>
    </row>
    <row r="715">
      <c r="A715" s="5" t="n"/>
      <c r="D715" s="10" t="n"/>
      <c r="F715" s="9" t="n"/>
      <c r="H715" s="8" t="n"/>
    </row>
    <row r="716">
      <c r="A716" s="5" t="n"/>
      <c r="D716" s="10" t="n"/>
      <c r="F716" s="9" t="n"/>
      <c r="H716" s="8" t="n"/>
    </row>
    <row r="717">
      <c r="A717" s="5" t="n"/>
      <c r="D717" s="10" t="n"/>
      <c r="F717" s="9" t="n"/>
      <c r="H717" s="8" t="n"/>
    </row>
    <row r="718">
      <c r="A718" s="5" t="n"/>
      <c r="D718" s="10" t="n"/>
      <c r="F718" s="9" t="n"/>
      <c r="H718" s="8" t="n"/>
    </row>
    <row r="719">
      <c r="A719" s="5" t="n"/>
      <c r="D719" s="10" t="n"/>
      <c r="F719" s="9" t="n"/>
      <c r="H719" s="8" t="n"/>
    </row>
    <row r="720">
      <c r="A720" s="5" t="n"/>
      <c r="D720" s="10" t="n"/>
      <c r="F720" s="9" t="n"/>
      <c r="H720" s="8" t="n"/>
    </row>
    <row r="721">
      <c r="A721" s="5" t="n"/>
      <c r="D721" s="10" t="n"/>
      <c r="F721" s="9" t="n"/>
      <c r="H721" s="8" t="n"/>
    </row>
    <row r="722">
      <c r="A722" s="5" t="n"/>
      <c r="D722" s="10" t="n"/>
      <c r="F722" s="9" t="n"/>
      <c r="H722" s="8" t="n"/>
    </row>
    <row r="723">
      <c r="A723" s="7" t="n"/>
      <c r="D723" s="10" t="n"/>
      <c r="F723" s="9" t="n"/>
      <c r="H723" s="8" t="n"/>
    </row>
    <row r="724">
      <c r="D724" s="10" t="n"/>
      <c r="F724" s="9" t="n"/>
      <c r="H724" s="8" t="n"/>
    </row>
    <row r="725">
      <c r="D725" s="10" t="n"/>
      <c r="F725" s="9" t="n"/>
      <c r="H725" s="8" t="n"/>
    </row>
    <row r="726">
      <c r="D726" s="10" t="n"/>
      <c r="F726" s="9" t="n"/>
      <c r="H726" s="8" t="n"/>
    </row>
    <row r="727">
      <c r="A727" s="3" t="n"/>
      <c r="D727" s="10" t="n"/>
      <c r="F727" s="9" t="n"/>
      <c r="H727" s="8" t="n"/>
    </row>
    <row r="728">
      <c r="A728" s="3" t="n"/>
      <c r="D728" s="10" t="n"/>
      <c r="F728" s="9" t="n"/>
      <c r="H728" s="8" t="n"/>
    </row>
    <row r="729">
      <c r="A729" s="5" t="n"/>
      <c r="D729" s="10" t="n"/>
      <c r="F729" s="9" t="n"/>
      <c r="H729" s="8" t="n"/>
    </row>
    <row r="730">
      <c r="A730" s="5" t="n"/>
      <c r="D730" s="10" t="n"/>
      <c r="F730" s="9" t="n"/>
      <c r="H730" s="8" t="n"/>
    </row>
    <row r="731">
      <c r="A731" s="5" t="n"/>
      <c r="D731" s="10" t="n"/>
      <c r="F731" s="9" t="n"/>
      <c r="H731" s="8" t="n"/>
    </row>
    <row r="732">
      <c r="A732" s="5" t="n"/>
      <c r="D732" s="10" t="n"/>
      <c r="F732" s="9" t="n"/>
      <c r="H732" s="8" t="n"/>
    </row>
    <row r="733">
      <c r="A733" s="5" t="n"/>
      <c r="D733" s="10" t="n"/>
      <c r="F733" s="9" t="n"/>
      <c r="H733" s="8" t="n"/>
    </row>
    <row r="734">
      <c r="A734" s="5" t="n"/>
      <c r="D734" s="10" t="n"/>
      <c r="F734" s="9" t="n"/>
      <c r="H734" s="8" t="n"/>
    </row>
    <row r="735">
      <c r="A735" s="5" t="n"/>
      <c r="D735" s="10" t="n"/>
      <c r="F735" s="9" t="n"/>
      <c r="H735" s="8" t="n"/>
    </row>
    <row r="736">
      <c r="A736" s="5" t="n"/>
      <c r="D736" s="10" t="n"/>
      <c r="F736" s="9" t="n"/>
      <c r="H736" s="8" t="n"/>
    </row>
    <row r="737">
      <c r="A737" s="5" t="n"/>
      <c r="D737" s="10" t="n"/>
      <c r="F737" s="9" t="n"/>
      <c r="H737" s="8" t="n"/>
    </row>
    <row r="738">
      <c r="A738" s="5" t="n"/>
      <c r="D738" s="10" t="n"/>
      <c r="F738" s="9" t="n"/>
      <c r="H738" s="8" t="n"/>
    </row>
    <row r="739">
      <c r="A739" s="5" t="n"/>
      <c r="D739" s="10" t="n"/>
      <c r="F739" s="9" t="n"/>
      <c r="H739" s="8" t="n"/>
    </row>
    <row r="740">
      <c r="A740" s="5" t="n"/>
      <c r="D740" s="10" t="n"/>
      <c r="F740" s="9" t="n"/>
      <c r="H740" s="8" t="n"/>
    </row>
    <row r="741">
      <c r="A741" s="5" t="n"/>
      <c r="D741" s="10" t="n"/>
      <c r="F741" s="9" t="n"/>
      <c r="H741" s="8" t="n"/>
    </row>
    <row r="742">
      <c r="A742" s="5" t="n"/>
      <c r="D742" s="10" t="n"/>
      <c r="F742" s="9" t="n"/>
      <c r="H742" s="8" t="n"/>
    </row>
    <row r="743">
      <c r="A743" s="5" t="n"/>
      <c r="D743" s="10" t="n"/>
      <c r="F743" s="9" t="n"/>
      <c r="H743" s="8" t="n"/>
    </row>
    <row r="744">
      <c r="A744" s="5" t="n"/>
      <c r="D744" s="10" t="n"/>
      <c r="F744" s="9" t="n"/>
      <c r="H744" s="8" t="n"/>
    </row>
    <row r="745">
      <c r="A745" s="5" t="n"/>
      <c r="D745" s="10" t="n"/>
      <c r="F745" s="9" t="n"/>
      <c r="H745" s="8" t="n"/>
    </row>
    <row r="746">
      <c r="A746" s="5" t="n"/>
      <c r="D746" s="10" t="n"/>
      <c r="F746" s="9" t="n"/>
      <c r="H746" s="8" t="n"/>
    </row>
    <row r="747">
      <c r="A747" s="5" t="n"/>
      <c r="D747" s="10" t="n"/>
      <c r="F747" s="9" t="n"/>
      <c r="H747" s="8" t="n"/>
    </row>
    <row r="748">
      <c r="A748" s="5" t="n"/>
      <c r="D748" s="10" t="n"/>
      <c r="F748" s="9" t="n"/>
      <c r="H748" s="8" t="n"/>
    </row>
    <row r="749">
      <c r="A749" s="5" t="n"/>
      <c r="D749" s="10" t="n"/>
      <c r="F749" s="9" t="n"/>
      <c r="H749" s="8" t="n"/>
    </row>
    <row r="750">
      <c r="A750" s="5" t="n"/>
      <c r="D750" s="10" t="n"/>
      <c r="F750" s="9" t="n"/>
      <c r="H750" s="8" t="n"/>
    </row>
    <row r="751">
      <c r="A751" s="5" t="n"/>
      <c r="D751" s="10" t="n"/>
      <c r="F751" s="9" t="n"/>
      <c r="H751" s="8" t="n"/>
    </row>
    <row r="752">
      <c r="A752" s="5" t="n"/>
      <c r="D752" s="10" t="n"/>
      <c r="F752" s="9" t="n"/>
      <c r="H752" s="8" t="n"/>
    </row>
    <row r="753">
      <c r="A753" s="5" t="n"/>
      <c r="D753" s="10" t="n"/>
      <c r="F753" s="9" t="n"/>
      <c r="H753" s="8" t="n"/>
    </row>
    <row r="754">
      <c r="A754" s="5" t="n"/>
      <c r="D754" s="10" t="n"/>
      <c r="F754" s="9" t="n"/>
      <c r="H754" s="8" t="n"/>
    </row>
    <row r="755">
      <c r="A755" s="5" t="n"/>
      <c r="D755" s="10" t="n"/>
      <c r="F755" s="9" t="n"/>
      <c r="H755" s="8" t="n"/>
    </row>
    <row r="756">
      <c r="A756" s="5" t="n"/>
      <c r="D756" s="10" t="n"/>
      <c r="F756" s="9" t="n"/>
      <c r="H756" s="8" t="n"/>
    </row>
    <row r="757">
      <c r="A757" s="5" t="n"/>
      <c r="D757" s="10" t="n"/>
      <c r="F757" s="9" t="n"/>
      <c r="H757" s="8" t="n"/>
    </row>
    <row r="758">
      <c r="A758" s="5" t="n"/>
      <c r="D758" s="10" t="n"/>
      <c r="F758" s="9" t="n"/>
      <c r="H758" s="8" t="n"/>
    </row>
    <row r="759">
      <c r="A759" s="5" t="n"/>
      <c r="D759" s="10" t="n"/>
      <c r="F759" s="9" t="n"/>
      <c r="H759" s="8" t="n"/>
    </row>
    <row r="760">
      <c r="A760" s="5" t="n"/>
      <c r="D760" s="10" t="n"/>
      <c r="F760" s="9" t="n"/>
      <c r="H760" s="8" t="n"/>
    </row>
    <row r="761">
      <c r="A761" s="5" t="n"/>
      <c r="D761" s="10" t="n"/>
      <c r="F761" s="9" t="n"/>
      <c r="H761" s="8" t="n"/>
    </row>
    <row r="762">
      <c r="A762" s="5" t="n"/>
      <c r="D762" s="10" t="n"/>
      <c r="F762" s="9" t="n"/>
      <c r="H762" s="8" t="n"/>
    </row>
    <row r="763">
      <c r="A763" s="5" t="n"/>
      <c r="D763" s="10" t="n"/>
      <c r="F763" s="9" t="n"/>
      <c r="H763" s="8" t="n"/>
    </row>
    <row r="764">
      <c r="A764" s="5" t="n"/>
      <c r="D764" s="10" t="n"/>
      <c r="F764" s="9" t="n"/>
      <c r="H764" s="8" t="n"/>
    </row>
    <row r="765">
      <c r="A765" s="5" t="n"/>
      <c r="D765" s="10" t="n"/>
      <c r="F765" s="9" t="n"/>
      <c r="H765" s="8" t="n"/>
    </row>
    <row r="766">
      <c r="A766" s="5" t="n"/>
      <c r="D766" s="10" t="n"/>
      <c r="F766" s="9" t="n"/>
      <c r="H766" s="8" t="n"/>
    </row>
    <row r="767">
      <c r="A767" s="5" t="n"/>
      <c r="D767" s="10" t="n"/>
      <c r="F767" s="9" t="n"/>
      <c r="H767" s="8" t="n"/>
    </row>
    <row r="768">
      <c r="A768" s="5" t="n"/>
      <c r="D768" s="10" t="n"/>
      <c r="F768" s="9" t="n"/>
      <c r="H768" s="8" t="n"/>
    </row>
    <row r="769">
      <c r="A769" s="5" t="n"/>
      <c r="D769" s="10" t="n"/>
      <c r="F769" s="9" t="n"/>
      <c r="H769" s="8" t="n"/>
    </row>
    <row r="770">
      <c r="A770" s="5" t="n"/>
      <c r="D770" s="10" t="n"/>
      <c r="F770" s="9" t="n"/>
      <c r="H770" s="8" t="n"/>
    </row>
    <row r="771">
      <c r="A771" s="5" t="n"/>
      <c r="D771" s="10" t="n"/>
      <c r="F771" s="9" t="n"/>
      <c r="H771" s="8" t="n"/>
    </row>
    <row r="772">
      <c r="A772" s="5" t="n"/>
      <c r="D772" s="10" t="n"/>
      <c r="F772" s="9" t="n"/>
      <c r="H772" s="8" t="n"/>
    </row>
    <row r="773">
      <c r="A773" s="5" t="n"/>
      <c r="D773" s="10" t="n"/>
      <c r="F773" s="9" t="n"/>
      <c r="H773" s="8" t="n"/>
    </row>
    <row r="774">
      <c r="A774" s="5" t="n"/>
      <c r="D774" s="10" t="n"/>
      <c r="F774" s="9" t="n"/>
      <c r="H774" s="8" t="n"/>
    </row>
    <row r="775">
      <c r="A775" s="5" t="n"/>
      <c r="D775" s="10" t="n"/>
      <c r="F775" s="9" t="n"/>
      <c r="H775" s="8" t="n"/>
    </row>
    <row r="776">
      <c r="A776" s="5" t="n"/>
      <c r="D776" s="10" t="n"/>
      <c r="F776" s="9" t="n"/>
      <c r="H776" s="8" t="n"/>
    </row>
    <row r="777">
      <c r="A777" s="5" t="n"/>
      <c r="D777" s="10" t="n"/>
      <c r="F777" s="9" t="n"/>
      <c r="H777" s="8" t="n"/>
    </row>
    <row r="778">
      <c r="A778" s="5" t="n"/>
      <c r="D778" s="10" t="n"/>
      <c r="F778" s="9" t="n"/>
      <c r="H778" s="8" t="n"/>
    </row>
    <row r="779">
      <c r="A779" s="5" t="n"/>
      <c r="D779" s="10" t="n"/>
      <c r="F779" s="9" t="n"/>
      <c r="H779" s="8" t="n"/>
    </row>
    <row r="780">
      <c r="A780" s="5" t="n"/>
      <c r="D780" s="10" t="n"/>
      <c r="F780" s="9" t="n"/>
      <c r="H780" s="8" t="n"/>
    </row>
    <row r="781">
      <c r="A781" s="5" t="n"/>
      <c r="D781" s="10" t="n"/>
      <c r="F781" s="9" t="n"/>
      <c r="H781" s="8" t="n"/>
    </row>
    <row r="782">
      <c r="A782" s="5" t="n"/>
      <c r="D782" s="10" t="n"/>
      <c r="F782" s="9" t="n"/>
      <c r="H782" s="8" t="n"/>
    </row>
    <row r="783">
      <c r="A783" s="5" t="n"/>
      <c r="D783" s="10" t="n"/>
      <c r="F783" s="9" t="n"/>
      <c r="H783" s="8" t="n"/>
    </row>
    <row r="784">
      <c r="A784" s="5" t="n"/>
      <c r="D784" s="10" t="n"/>
      <c r="F784" s="9" t="n"/>
      <c r="H784" s="8" t="n"/>
    </row>
    <row r="785">
      <c r="A785" s="5" t="n"/>
      <c r="D785" s="10" t="n"/>
      <c r="F785" s="9" t="n"/>
      <c r="H785" s="8" t="n"/>
    </row>
    <row r="786">
      <c r="A786" s="5" t="n"/>
      <c r="D786" s="10" t="n"/>
      <c r="F786" s="9" t="n"/>
      <c r="H786" s="8" t="n"/>
    </row>
    <row r="787">
      <c r="A787" s="5" t="n"/>
      <c r="D787" s="10" t="n"/>
      <c r="F787" s="9" t="n"/>
      <c r="H787" s="8" t="n"/>
    </row>
    <row r="788">
      <c r="A788" s="5" t="n"/>
      <c r="D788" s="10" t="n"/>
      <c r="F788" s="9" t="n"/>
      <c r="H788" s="8" t="n"/>
    </row>
    <row r="789">
      <c r="A789" s="5" t="n"/>
      <c r="D789" s="10" t="n"/>
      <c r="F789" s="9" t="n"/>
      <c r="H789" s="8" t="n"/>
    </row>
    <row r="790">
      <c r="A790" s="5" t="n"/>
      <c r="D790" s="10" t="n"/>
      <c r="F790" s="9" t="n"/>
      <c r="H790" s="8" t="n"/>
    </row>
    <row r="791">
      <c r="A791" s="5" t="n"/>
      <c r="D791" s="10" t="n"/>
      <c r="F791" s="9" t="n"/>
      <c r="H791" s="8" t="n"/>
    </row>
    <row r="792">
      <c r="A792" s="5" t="n"/>
      <c r="D792" s="10" t="n"/>
      <c r="F792" s="9" t="n"/>
      <c r="H792" s="8" t="n"/>
    </row>
    <row r="793">
      <c r="A793" s="5" t="n"/>
      <c r="D793" s="10" t="n"/>
      <c r="F793" s="9" t="n"/>
      <c r="H793" s="8" t="n"/>
    </row>
    <row r="794">
      <c r="A794" s="5" t="n"/>
      <c r="D794" s="10" t="n"/>
      <c r="F794" s="9" t="n"/>
      <c r="H794" s="8" t="n"/>
    </row>
    <row r="795">
      <c r="A795" s="5" t="n"/>
      <c r="D795" s="10" t="n"/>
      <c r="F795" s="9" t="n"/>
      <c r="H795" s="8" t="n"/>
    </row>
    <row r="796">
      <c r="A796" s="7" t="n"/>
      <c r="D796" s="10" t="n"/>
      <c r="F796" s="9" t="n"/>
      <c r="H796" s="8" t="n"/>
    </row>
    <row r="797">
      <c r="D797" s="10" t="n"/>
      <c r="F797" s="9" t="n"/>
      <c r="H797" s="8" t="n"/>
    </row>
    <row r="798">
      <c r="D798" s="10" t="n"/>
      <c r="F798" s="9" t="n"/>
      <c r="H798" s="8" t="n"/>
    </row>
    <row r="799">
      <c r="D799" s="10" t="n"/>
      <c r="F799" s="9" t="n"/>
      <c r="H799" s="8" t="n"/>
    </row>
    <row r="800">
      <c r="A800" s="3" t="n"/>
      <c r="D800" s="10" t="n"/>
      <c r="F800" s="9" t="n"/>
      <c r="H800" s="8" t="n"/>
    </row>
    <row r="801">
      <c r="A801" s="3" t="n"/>
      <c r="D801" s="10" t="n"/>
      <c r="F801" s="9" t="n"/>
      <c r="H801" s="8" t="n"/>
    </row>
    <row r="802">
      <c r="A802" s="5" t="n"/>
      <c r="D802" s="10" t="n"/>
      <c r="F802" s="9" t="n"/>
      <c r="H802" s="8" t="n"/>
    </row>
    <row r="803">
      <c r="A803" s="5" t="n"/>
      <c r="D803" s="10" t="n"/>
      <c r="F803" s="9" t="n"/>
      <c r="H803" s="8" t="n"/>
    </row>
    <row r="804">
      <c r="A804" s="5" t="n"/>
      <c r="D804" s="10" t="n"/>
      <c r="F804" s="9" t="n"/>
      <c r="H804" s="8" t="n"/>
    </row>
    <row r="805">
      <c r="A805" s="5" t="n"/>
      <c r="D805" s="10" t="n"/>
      <c r="F805" s="9" t="n"/>
      <c r="H805" s="8" t="n"/>
    </row>
    <row r="806">
      <c r="A806" s="5" t="n"/>
      <c r="D806" s="10" t="n"/>
      <c r="F806" s="9" t="n"/>
      <c r="H806" s="8" t="n"/>
    </row>
    <row r="807">
      <c r="A807" s="5" t="n"/>
      <c r="D807" s="10" t="n"/>
      <c r="F807" s="9" t="n"/>
      <c r="H807" s="8" t="n"/>
    </row>
    <row r="808">
      <c r="A808" s="5" t="n"/>
      <c r="D808" s="10" t="n"/>
      <c r="F808" s="9" t="n"/>
      <c r="H808" s="8" t="n"/>
    </row>
    <row r="809">
      <c r="A809" s="5" t="n"/>
      <c r="D809" s="10" t="n"/>
      <c r="F809" s="9" t="n"/>
      <c r="H809" s="8" t="n"/>
    </row>
    <row r="810">
      <c r="A810" s="5" t="n"/>
      <c r="D810" s="10" t="n"/>
      <c r="F810" s="9" t="n"/>
      <c r="H810" s="8" t="n"/>
    </row>
    <row r="811">
      <c r="A811" s="5" t="n"/>
      <c r="D811" s="10" t="n"/>
      <c r="F811" s="9" t="n"/>
      <c r="H811" s="8" t="n"/>
    </row>
    <row r="812">
      <c r="A812" s="5" t="n"/>
      <c r="D812" s="10" t="n"/>
      <c r="F812" s="9" t="n"/>
      <c r="H812" s="8" t="n"/>
    </row>
    <row r="813">
      <c r="A813" s="5" t="n"/>
      <c r="D813" s="10" t="n"/>
      <c r="F813" s="9" t="n"/>
      <c r="H813" s="8" t="n"/>
    </row>
    <row r="814">
      <c r="A814" s="5" t="n"/>
      <c r="D814" s="10" t="n"/>
      <c r="F814" s="9" t="n"/>
      <c r="H814" s="8" t="n"/>
    </row>
    <row r="815">
      <c r="A815" s="5" t="n"/>
      <c r="D815" s="10" t="n"/>
      <c r="F815" s="9" t="n"/>
      <c r="H815" s="8" t="n"/>
    </row>
    <row r="816">
      <c r="A816" s="5" t="n"/>
      <c r="D816" s="10" t="n"/>
      <c r="F816" s="9" t="n"/>
      <c r="H816" s="8" t="n"/>
    </row>
    <row r="817">
      <c r="A817" s="5" t="n"/>
      <c r="D817" s="10" t="n"/>
      <c r="F817" s="9" t="n"/>
      <c r="H817" s="8" t="n"/>
    </row>
    <row r="818">
      <c r="A818" s="5" t="n"/>
      <c r="D818" s="10" t="n"/>
      <c r="F818" s="9" t="n"/>
      <c r="H818" s="8" t="n"/>
    </row>
    <row r="819">
      <c r="A819" s="5" t="n"/>
      <c r="D819" s="10" t="n"/>
      <c r="F819" s="9" t="n"/>
      <c r="H819" s="8" t="n"/>
    </row>
    <row r="820">
      <c r="A820" s="5" t="n"/>
      <c r="D820" s="10" t="n"/>
      <c r="F820" s="9" t="n"/>
      <c r="H820" s="8" t="n"/>
    </row>
    <row r="821">
      <c r="A821" s="5" t="n"/>
      <c r="D821" s="10" t="n"/>
      <c r="F821" s="9" t="n"/>
      <c r="H821" s="8" t="n"/>
    </row>
    <row r="822">
      <c r="A822" s="5" t="n"/>
      <c r="D822" s="10" t="n"/>
      <c r="F822" s="9" t="n"/>
      <c r="H822" s="8" t="n"/>
    </row>
    <row r="823">
      <c r="A823" s="5" t="n"/>
      <c r="D823" s="10" t="n"/>
      <c r="F823" s="9" t="n"/>
      <c r="H823" s="8" t="n"/>
    </row>
    <row r="824">
      <c r="A824" s="5" t="n"/>
      <c r="D824" s="10" t="n"/>
      <c r="F824" s="9" t="n"/>
      <c r="H824" s="8" t="n"/>
    </row>
    <row r="825">
      <c r="A825" s="5" t="n"/>
      <c r="D825" s="10" t="n"/>
      <c r="F825" s="9" t="n"/>
      <c r="H825" s="8" t="n"/>
    </row>
    <row r="826">
      <c r="A826" s="5" t="n"/>
      <c r="D826" s="10" t="n"/>
      <c r="F826" s="9" t="n"/>
      <c r="H826" s="8" t="n"/>
    </row>
    <row r="827">
      <c r="A827" s="5" t="n"/>
      <c r="D827" s="10" t="n"/>
      <c r="F827" s="9" t="n"/>
      <c r="H827" s="8" t="n"/>
    </row>
    <row r="828">
      <c r="A828" s="5" t="n"/>
      <c r="D828" s="10" t="n"/>
      <c r="F828" s="9" t="n"/>
      <c r="H828" s="8" t="n"/>
    </row>
    <row r="829">
      <c r="A829" s="5" t="n"/>
      <c r="D829" s="10" t="n"/>
      <c r="F829" s="9" t="n"/>
      <c r="H829" s="8" t="n"/>
    </row>
    <row r="830">
      <c r="A830" s="5" t="n"/>
      <c r="D830" s="10" t="n"/>
      <c r="F830" s="9" t="n"/>
      <c r="H830" s="8" t="n"/>
    </row>
    <row r="831">
      <c r="A831" s="5" t="n"/>
      <c r="D831" s="10" t="n"/>
      <c r="F831" s="9" t="n"/>
      <c r="H831" s="8" t="n"/>
    </row>
    <row r="832">
      <c r="A832" s="5" t="n"/>
      <c r="D832" s="10" t="n"/>
      <c r="F832" s="9" t="n"/>
      <c r="H832" s="8" t="n"/>
    </row>
    <row r="833">
      <c r="A833" s="5" t="n"/>
      <c r="D833" s="10" t="n"/>
      <c r="F833" s="9" t="n"/>
      <c r="H833" s="8" t="n"/>
    </row>
    <row r="834">
      <c r="A834" s="5" t="n"/>
      <c r="D834" s="10" t="n"/>
      <c r="F834" s="9" t="n"/>
      <c r="H834" s="8" t="n"/>
    </row>
    <row r="835">
      <c r="A835" s="5" t="n"/>
      <c r="D835" s="10" t="n"/>
      <c r="F835" s="9" t="n"/>
      <c r="H835" s="8" t="n"/>
    </row>
    <row r="836">
      <c r="A836" s="5" t="n"/>
      <c r="D836" s="10" t="n"/>
      <c r="F836" s="9" t="n"/>
      <c r="H836" s="8" t="n"/>
    </row>
    <row r="837">
      <c r="A837" s="5" t="n"/>
      <c r="D837" s="10" t="n"/>
      <c r="F837" s="9" t="n"/>
      <c r="H837" s="8" t="n"/>
    </row>
    <row r="838">
      <c r="A838" s="5" t="n"/>
      <c r="D838" s="10" t="n"/>
      <c r="F838" s="9" t="n"/>
      <c r="H838" s="8" t="n"/>
    </row>
    <row r="839">
      <c r="A839" s="5" t="n"/>
      <c r="D839" s="10" t="n"/>
      <c r="F839" s="9" t="n"/>
      <c r="H839" s="8" t="n"/>
    </row>
    <row r="840">
      <c r="A840" s="5" t="n"/>
      <c r="D840" s="10" t="n"/>
      <c r="F840" s="9" t="n"/>
      <c r="H840" s="8" t="n"/>
    </row>
    <row r="841">
      <c r="A841" s="5" t="n"/>
      <c r="D841" s="10" t="n"/>
      <c r="F841" s="9" t="n"/>
      <c r="H841" s="8" t="n"/>
    </row>
    <row r="842">
      <c r="A842" s="5" t="n"/>
      <c r="D842" s="10" t="n"/>
      <c r="F842" s="9" t="n"/>
      <c r="H842" s="8" t="n"/>
    </row>
    <row r="843">
      <c r="A843" s="5" t="n"/>
      <c r="D843" s="10" t="n"/>
      <c r="F843" s="9" t="n"/>
      <c r="H843" s="8" t="n"/>
    </row>
    <row r="844">
      <c r="A844" s="5" t="n"/>
      <c r="D844" s="10" t="n"/>
      <c r="F844" s="9" t="n"/>
      <c r="H844" s="8" t="n"/>
    </row>
    <row r="845">
      <c r="A845" s="5" t="n"/>
      <c r="D845" s="10" t="n"/>
      <c r="F845" s="9" t="n"/>
      <c r="H845" s="8" t="n"/>
    </row>
    <row r="846">
      <c r="A846" s="5" t="n"/>
      <c r="D846" s="10" t="n"/>
      <c r="F846" s="9" t="n"/>
      <c r="H846" s="8" t="n"/>
    </row>
    <row r="847">
      <c r="A847" s="5" t="n"/>
      <c r="D847" s="10" t="n"/>
      <c r="F847" s="9" t="n"/>
      <c r="H847" s="8" t="n"/>
    </row>
    <row r="848">
      <c r="A848" s="5" t="n"/>
      <c r="D848" s="10" t="n"/>
      <c r="F848" s="9" t="n"/>
      <c r="H848" s="8" t="n"/>
    </row>
    <row r="849">
      <c r="A849" s="5" t="n"/>
      <c r="D849" s="10" t="n"/>
      <c r="F849" s="9" t="n"/>
      <c r="H849" s="8" t="n"/>
    </row>
    <row r="850">
      <c r="A850" s="5" t="n"/>
      <c r="D850" s="10" t="n"/>
      <c r="F850" s="9" t="n"/>
      <c r="H850" s="8" t="n"/>
    </row>
    <row r="851">
      <c r="A851" s="5" t="n"/>
      <c r="D851" s="10" t="n"/>
      <c r="F851" s="9" t="n"/>
      <c r="H851" s="8" t="n"/>
    </row>
    <row r="852">
      <c r="A852" s="5" t="n"/>
      <c r="D852" s="10" t="n"/>
      <c r="F852" s="9" t="n"/>
      <c r="H852" s="8" t="n"/>
    </row>
    <row r="853">
      <c r="A853" s="5" t="n"/>
      <c r="D853" s="10" t="n"/>
      <c r="F853" s="9" t="n"/>
      <c r="H853" s="8" t="n"/>
    </row>
    <row r="854">
      <c r="A854" s="5" t="n"/>
      <c r="D854" s="10" t="n"/>
      <c r="F854" s="9" t="n"/>
      <c r="H854" s="8" t="n"/>
    </row>
    <row r="855">
      <c r="A855" s="5" t="n"/>
      <c r="D855" s="10" t="n"/>
      <c r="F855" s="9" t="n"/>
      <c r="H855" s="8" t="n"/>
    </row>
    <row r="856">
      <c r="A856" s="5" t="n"/>
      <c r="D856" s="10" t="n"/>
      <c r="F856" s="9" t="n"/>
      <c r="H856" s="8" t="n"/>
    </row>
    <row r="857">
      <c r="A857" s="5" t="n"/>
      <c r="D857" s="10" t="n"/>
      <c r="F857" s="9" t="n"/>
      <c r="H857" s="8" t="n"/>
    </row>
    <row r="858">
      <c r="A858" s="5" t="n"/>
      <c r="D858" s="10" t="n"/>
      <c r="F858" s="9" t="n"/>
      <c r="H858" s="8" t="n"/>
    </row>
    <row r="859">
      <c r="A859" s="5" t="n"/>
      <c r="D859" s="10" t="n"/>
      <c r="F859" s="9" t="n"/>
      <c r="H859" s="8" t="n"/>
    </row>
    <row r="860">
      <c r="A860" s="5" t="n"/>
      <c r="D860" s="10" t="n"/>
      <c r="F860" s="9" t="n"/>
      <c r="H860" s="8" t="n"/>
    </row>
    <row r="861">
      <c r="A861" s="5" t="n"/>
      <c r="D861" s="10" t="n"/>
      <c r="F861" s="9" t="n"/>
      <c r="H861" s="8" t="n"/>
    </row>
    <row r="862">
      <c r="A862" s="5" t="n"/>
      <c r="D862" s="10" t="n"/>
      <c r="F862" s="9" t="n"/>
      <c r="H862" s="8" t="n"/>
    </row>
    <row r="863">
      <c r="A863" s="5" t="n"/>
      <c r="D863" s="10" t="n"/>
      <c r="F863" s="9" t="n"/>
      <c r="H863" s="8" t="n"/>
    </row>
    <row r="864">
      <c r="A864" s="5" t="n"/>
      <c r="D864" s="10" t="n"/>
      <c r="F864" s="9" t="n"/>
      <c r="H864" s="8" t="n"/>
    </row>
    <row r="865">
      <c r="A865" s="5" t="n"/>
      <c r="D865" s="10" t="n"/>
      <c r="F865" s="9" t="n"/>
      <c r="H865" s="8" t="n"/>
    </row>
    <row r="866">
      <c r="A866" s="5" t="n"/>
      <c r="D866" s="10" t="n"/>
      <c r="F866" s="9" t="n"/>
      <c r="H866" s="8" t="n"/>
    </row>
    <row r="867">
      <c r="A867" s="5" t="n"/>
      <c r="D867" s="10" t="n"/>
      <c r="F867" s="9" t="n"/>
      <c r="H867" s="8" t="n"/>
    </row>
    <row r="868">
      <c r="A868" s="5" t="n"/>
      <c r="D868" s="10" t="n"/>
      <c r="F868" s="9" t="n"/>
      <c r="H868" s="8" t="n"/>
    </row>
    <row r="869">
      <c r="A869" s="7" t="n"/>
      <c r="D869" s="10" t="n"/>
      <c r="F869" s="9" t="n"/>
      <c r="H869" s="8" t="n"/>
    </row>
    <row r="870">
      <c r="D870" s="10" t="n"/>
      <c r="F870" s="9" t="n"/>
      <c r="H870" s="8" t="n"/>
    </row>
    <row r="871">
      <c r="D871" s="10" t="n"/>
      <c r="F871" s="9" t="n"/>
      <c r="H871" s="8" t="n"/>
    </row>
    <row r="872">
      <c r="D872" s="10" t="n"/>
      <c r="F872" s="9" t="n"/>
      <c r="H872" s="8" t="n"/>
    </row>
    <row r="873">
      <c r="A873" s="3" t="n"/>
      <c r="D873" s="10" t="n"/>
      <c r="F873" s="9" t="n"/>
      <c r="H873" s="8" t="n"/>
    </row>
    <row r="874">
      <c r="A874" s="3" t="n"/>
      <c r="D874" s="10" t="n"/>
      <c r="F874" s="9" t="n"/>
      <c r="H874" s="8" t="n"/>
    </row>
    <row r="875">
      <c r="A875" s="5" t="n"/>
      <c r="D875" s="10" t="n"/>
      <c r="F875" s="9" t="n"/>
      <c r="H875" s="8" t="n"/>
    </row>
    <row r="876">
      <c r="A876" s="5" t="n"/>
      <c r="D876" s="10" t="n"/>
      <c r="F876" s="9" t="n"/>
      <c r="H876" s="8" t="n"/>
    </row>
    <row r="877">
      <c r="A877" s="5" t="n"/>
      <c r="D877" s="10" t="n"/>
      <c r="F877" s="9" t="n"/>
      <c r="H877" s="8" t="n"/>
    </row>
    <row r="878">
      <c r="A878" s="5" t="n"/>
      <c r="D878" s="10" t="n"/>
      <c r="F878" s="9" t="n"/>
      <c r="H878" s="8" t="n"/>
    </row>
    <row r="879">
      <c r="A879" s="5" t="n"/>
      <c r="D879" s="10" t="n"/>
      <c r="F879" s="9" t="n"/>
      <c r="H879" s="8" t="n"/>
    </row>
    <row r="880">
      <c r="A880" s="5" t="n"/>
      <c r="D880" s="10" t="n"/>
      <c r="F880" s="9" t="n"/>
      <c r="H880" s="8" t="n"/>
    </row>
    <row r="881">
      <c r="A881" s="5" t="n"/>
      <c r="D881" s="10" t="n"/>
      <c r="F881" s="9" t="n"/>
      <c r="H881" s="8" t="n"/>
    </row>
    <row r="882">
      <c r="A882" s="5" t="n"/>
      <c r="D882" s="10" t="n"/>
      <c r="F882" s="9" t="n"/>
      <c r="H882" s="8" t="n"/>
    </row>
    <row r="883">
      <c r="A883" s="5" t="n"/>
      <c r="D883" s="10" t="n"/>
      <c r="F883" s="9" t="n"/>
      <c r="H883" s="8" t="n"/>
    </row>
    <row r="884">
      <c r="A884" s="5" t="n"/>
      <c r="D884" s="10" t="n"/>
      <c r="F884" s="9" t="n"/>
      <c r="H884" s="8" t="n"/>
    </row>
    <row r="885">
      <c r="A885" s="5" t="n"/>
      <c r="D885" s="10" t="n"/>
      <c r="F885" s="9" t="n"/>
      <c r="H885" s="8" t="n"/>
    </row>
    <row r="886">
      <c r="A886" s="5" t="n"/>
      <c r="D886" s="10" t="n"/>
      <c r="F886" s="9" t="n"/>
      <c r="H886" s="8" t="n"/>
    </row>
    <row r="887">
      <c r="A887" s="5" t="n"/>
      <c r="D887" s="10" t="n"/>
      <c r="F887" s="9" t="n"/>
      <c r="H887" s="8" t="n"/>
    </row>
    <row r="888">
      <c r="A888" s="5" t="n"/>
      <c r="D888" s="10" t="n"/>
      <c r="F888" s="9" t="n"/>
      <c r="H888" s="8" t="n"/>
    </row>
    <row r="889">
      <c r="A889" s="5" t="n"/>
      <c r="D889" s="10" t="n"/>
      <c r="F889" s="9" t="n"/>
      <c r="H889" s="8" t="n"/>
    </row>
    <row r="890">
      <c r="A890" s="5" t="n"/>
      <c r="D890" s="10" t="n"/>
      <c r="F890" s="9" t="n"/>
      <c r="H890" s="8" t="n"/>
    </row>
    <row r="891">
      <c r="A891" s="5" t="n"/>
      <c r="D891" s="10" t="n"/>
      <c r="F891" s="9" t="n"/>
      <c r="H891" s="8" t="n"/>
    </row>
    <row r="892">
      <c r="A892" s="5" t="n"/>
      <c r="D892" s="10" t="n"/>
      <c r="F892" s="9" t="n"/>
      <c r="H892" s="8" t="n"/>
    </row>
    <row r="893">
      <c r="A893" s="5" t="n"/>
      <c r="D893" s="10" t="n"/>
      <c r="F893" s="9" t="n"/>
      <c r="H893" s="8" t="n"/>
    </row>
    <row r="894">
      <c r="A894" s="5" t="n"/>
      <c r="D894" s="10" t="n"/>
      <c r="F894" s="9" t="n"/>
      <c r="H894" s="8" t="n"/>
    </row>
    <row r="895">
      <c r="A895" s="5" t="n"/>
      <c r="D895" s="10" t="n"/>
      <c r="F895" s="9" t="n"/>
      <c r="H895" s="8" t="n"/>
    </row>
    <row r="896">
      <c r="A896" s="5" t="n"/>
      <c r="D896" s="10" t="n"/>
      <c r="F896" s="9" t="n"/>
      <c r="H896" s="8" t="n"/>
    </row>
    <row r="897">
      <c r="A897" s="5" t="n"/>
      <c r="D897" s="10" t="n"/>
      <c r="F897" s="9" t="n"/>
      <c r="H897" s="8" t="n"/>
    </row>
    <row r="898">
      <c r="A898" s="5" t="n"/>
      <c r="D898" s="10" t="n"/>
      <c r="F898" s="9" t="n"/>
      <c r="H898" s="8" t="n"/>
    </row>
    <row r="899">
      <c r="A899" s="5" t="n"/>
      <c r="D899" s="10" t="n"/>
      <c r="F899" s="9" t="n"/>
      <c r="H899" s="8" t="n"/>
    </row>
    <row r="900">
      <c r="A900" s="5" t="n"/>
      <c r="D900" s="10" t="n"/>
      <c r="F900" s="9" t="n"/>
      <c r="H900" s="8" t="n"/>
    </row>
    <row r="901">
      <c r="A901" s="5" t="n"/>
      <c r="D901" s="10" t="n"/>
      <c r="F901" s="9" t="n"/>
      <c r="H901" s="8" t="n"/>
    </row>
    <row r="902">
      <c r="A902" s="5" t="n"/>
      <c r="D902" s="10" t="n"/>
      <c r="F902" s="9" t="n"/>
      <c r="H902" s="8" t="n"/>
    </row>
    <row r="903">
      <c r="A903" s="5" t="n"/>
      <c r="D903" s="10" t="n"/>
      <c r="F903" s="9" t="n"/>
      <c r="H903" s="8" t="n"/>
    </row>
    <row r="904">
      <c r="A904" s="5" t="n"/>
      <c r="D904" s="10" t="n"/>
      <c r="F904" s="9" t="n"/>
      <c r="H904" s="8" t="n"/>
    </row>
    <row r="905">
      <c r="A905" s="5" t="n"/>
      <c r="D905" s="10" t="n"/>
      <c r="F905" s="9" t="n"/>
      <c r="H905" s="8" t="n"/>
    </row>
    <row r="906">
      <c r="A906" s="5" t="n"/>
      <c r="D906" s="10" t="n"/>
      <c r="F906" s="9" t="n"/>
      <c r="H906" s="8" t="n"/>
    </row>
    <row r="907">
      <c r="A907" s="5" t="n"/>
      <c r="D907" s="10" t="n"/>
      <c r="F907" s="9" t="n"/>
      <c r="H907" s="8" t="n"/>
    </row>
    <row r="908">
      <c r="A908" s="5" t="n"/>
      <c r="D908" s="10" t="n"/>
      <c r="F908" s="9" t="n"/>
      <c r="H908" s="8" t="n"/>
    </row>
    <row r="909">
      <c r="A909" s="5" t="n"/>
      <c r="D909" s="10" t="n"/>
      <c r="F909" s="9" t="n"/>
      <c r="H909" s="8" t="n"/>
    </row>
    <row r="910">
      <c r="A910" s="5" t="n"/>
      <c r="D910" s="10" t="n"/>
      <c r="F910" s="9" t="n"/>
      <c r="H910" s="8" t="n"/>
    </row>
    <row r="911">
      <c r="A911" s="5" t="n"/>
      <c r="D911" s="10" t="n"/>
      <c r="F911" s="9" t="n"/>
      <c r="H911" s="8" t="n"/>
    </row>
    <row r="912">
      <c r="A912" s="5" t="n"/>
      <c r="D912" s="10" t="n"/>
      <c r="F912" s="9" t="n"/>
      <c r="H912" s="8" t="n"/>
    </row>
    <row r="913">
      <c r="A913" s="5" t="n"/>
      <c r="D913" s="10" t="n"/>
      <c r="F913" s="9" t="n"/>
      <c r="H913" s="8" t="n"/>
    </row>
    <row r="914">
      <c r="A914" s="5" t="n"/>
      <c r="D914" s="10" t="n"/>
      <c r="F914" s="9" t="n"/>
      <c r="H914" s="8" t="n"/>
    </row>
    <row r="915">
      <c r="A915" s="5" t="n"/>
      <c r="D915" s="10" t="n"/>
      <c r="F915" s="9" t="n"/>
      <c r="H915" s="8" t="n"/>
    </row>
    <row r="916">
      <c r="A916" s="5" t="n"/>
      <c r="D916" s="10" t="n"/>
      <c r="F916" s="9" t="n"/>
      <c r="H916" s="8" t="n"/>
    </row>
    <row r="917">
      <c r="A917" s="5" t="n"/>
      <c r="D917" s="10" t="n"/>
      <c r="F917" s="9" t="n"/>
      <c r="H917" s="8" t="n"/>
    </row>
    <row r="918">
      <c r="A918" s="5" t="n"/>
      <c r="D918" s="10" t="n"/>
      <c r="F918" s="9" t="n"/>
      <c r="H918" s="8" t="n"/>
    </row>
    <row r="919">
      <c r="A919" s="5" t="n"/>
      <c r="D919" s="10" t="n"/>
      <c r="F919" s="9" t="n"/>
      <c r="H919" s="8" t="n"/>
    </row>
    <row r="920">
      <c r="A920" s="5" t="n"/>
      <c r="D920" s="10" t="n"/>
      <c r="F920" s="9" t="n"/>
      <c r="H920" s="8" t="n"/>
    </row>
    <row r="921">
      <c r="A921" s="5" t="n"/>
      <c r="D921" s="10" t="n"/>
      <c r="F921" s="9" t="n"/>
      <c r="H921" s="8" t="n"/>
    </row>
    <row r="922">
      <c r="A922" s="5" t="n"/>
      <c r="D922" s="10" t="n"/>
      <c r="F922" s="9" t="n"/>
      <c r="H922" s="8" t="n"/>
    </row>
    <row r="923">
      <c r="A923" s="5" t="n"/>
      <c r="D923" s="10" t="n"/>
      <c r="F923" s="9" t="n"/>
      <c r="H923" s="8" t="n"/>
    </row>
    <row r="924">
      <c r="A924" s="5" t="n"/>
      <c r="D924" s="10" t="n"/>
      <c r="F924" s="9" t="n"/>
      <c r="H924" s="8" t="n"/>
    </row>
    <row r="925">
      <c r="A925" s="5" t="n"/>
      <c r="D925" s="10" t="n"/>
      <c r="F925" s="9" t="n"/>
      <c r="H925" s="8" t="n"/>
    </row>
    <row r="926">
      <c r="A926" s="5" t="n"/>
      <c r="D926" s="10" t="n"/>
      <c r="F926" s="9" t="n"/>
      <c r="H926" s="8" t="n"/>
    </row>
    <row r="927">
      <c r="A927" s="5" t="n"/>
      <c r="D927" s="10" t="n"/>
      <c r="F927" s="9" t="n"/>
      <c r="H927" s="8" t="n"/>
    </row>
    <row r="928">
      <c r="A928" s="5" t="n"/>
      <c r="D928" s="10" t="n"/>
      <c r="F928" s="9" t="n"/>
      <c r="H928" s="8" t="n"/>
    </row>
    <row r="929">
      <c r="A929" s="5" t="n"/>
      <c r="D929" s="10" t="n"/>
      <c r="F929" s="9" t="n"/>
      <c r="H929" s="8" t="n"/>
    </row>
    <row r="930">
      <c r="A930" s="5" t="n"/>
      <c r="D930" s="10" t="n"/>
      <c r="F930" s="9" t="n"/>
      <c r="H930" s="8" t="n"/>
    </row>
    <row r="931">
      <c r="A931" s="5" t="n"/>
      <c r="D931" s="10" t="n"/>
      <c r="F931" s="9" t="n"/>
      <c r="H931" s="8" t="n"/>
    </row>
    <row r="932">
      <c r="A932" s="5" t="n"/>
      <c r="D932" s="10" t="n"/>
      <c r="F932" s="9" t="n"/>
      <c r="H932" s="8" t="n"/>
    </row>
    <row r="933">
      <c r="A933" s="5" t="n"/>
      <c r="D933" s="10" t="n"/>
      <c r="F933" s="9" t="n"/>
      <c r="H933" s="8" t="n"/>
    </row>
    <row r="934">
      <c r="A934" s="5" t="n"/>
      <c r="D934" s="10" t="n"/>
      <c r="F934" s="9" t="n"/>
      <c r="H934" s="8" t="n"/>
    </row>
    <row r="935">
      <c r="A935" s="5" t="n"/>
      <c r="D935" s="10" t="n"/>
      <c r="F935" s="9" t="n"/>
      <c r="H935" s="8" t="n"/>
    </row>
    <row r="936">
      <c r="A936" s="5" t="n"/>
      <c r="D936" s="10" t="n"/>
      <c r="F936" s="9" t="n"/>
      <c r="H936" s="8" t="n"/>
    </row>
    <row r="937">
      <c r="A937" s="5" t="n"/>
      <c r="D937" s="10" t="n"/>
      <c r="F937" s="9" t="n"/>
      <c r="H937" s="8" t="n"/>
    </row>
    <row r="938">
      <c r="A938" s="5" t="n"/>
      <c r="D938" s="10" t="n"/>
      <c r="F938" s="9" t="n"/>
      <c r="H938" s="8" t="n"/>
    </row>
    <row r="939">
      <c r="A939" s="5" t="n"/>
      <c r="D939" s="10" t="n"/>
      <c r="F939" s="9" t="n"/>
      <c r="H939" s="8" t="n"/>
    </row>
    <row r="940">
      <c r="A940" s="5" t="n"/>
      <c r="D940" s="10" t="n"/>
      <c r="F940" s="9" t="n"/>
      <c r="H940" s="8" t="n"/>
    </row>
    <row r="941">
      <c r="A941" s="5" t="n"/>
      <c r="D941" s="10" t="n"/>
      <c r="F941" s="9" t="n"/>
      <c r="H941" s="8" t="n"/>
    </row>
    <row r="942">
      <c r="A942" s="7" t="n"/>
      <c r="D942" s="10" t="n"/>
      <c r="F942" s="9" t="n"/>
      <c r="H942" s="8" t="n"/>
    </row>
    <row r="943">
      <c r="D943" s="10" t="n"/>
      <c r="F943" s="9" t="n"/>
      <c r="H943" s="8" t="n"/>
    </row>
    <row r="944">
      <c r="D944" s="10" t="n"/>
      <c r="F944" s="9" t="n"/>
      <c r="H944" s="8" t="n"/>
    </row>
    <row r="945">
      <c r="D945" s="10" t="n"/>
      <c r="F945" s="9" t="n"/>
      <c r="H945" s="8" t="n"/>
    </row>
    <row r="946">
      <c r="D946" s="10" t="n"/>
      <c r="F946" s="9" t="n"/>
      <c r="H946" s="8" t="n"/>
    </row>
    <row r="947">
      <c r="D947" s="10" t="n"/>
      <c r="F947" s="9" t="n"/>
      <c r="H947" s="8" t="n"/>
    </row>
    <row r="948">
      <c r="D948" s="10" t="n"/>
      <c r="F948" s="9" t="n"/>
      <c r="H948" s="8" t="n"/>
    </row>
    <row r="949">
      <c r="D949" s="10" t="n"/>
      <c r="F949" s="9" t="n"/>
      <c r="H949" s="8" t="n"/>
    </row>
    <row r="950">
      <c r="D950" s="10" t="n"/>
      <c r="F950" s="9" t="n"/>
      <c r="H950" s="8" t="n"/>
    </row>
    <row r="951">
      <c r="D951" s="10" t="n"/>
      <c r="F951" s="9" t="n"/>
      <c r="H951" s="8" t="n"/>
    </row>
    <row r="952">
      <c r="D952" s="10" t="n"/>
      <c r="F952" s="9" t="n"/>
      <c r="H952" s="8" t="n"/>
    </row>
    <row r="953">
      <c r="D953" s="10" t="n"/>
      <c r="F953" s="9" t="n"/>
      <c r="H953" s="8" t="n"/>
    </row>
    <row r="954">
      <c r="D954" s="10" t="n"/>
      <c r="F954" s="9" t="n"/>
      <c r="H954" s="8" t="n"/>
    </row>
    <row r="955">
      <c r="D955" s="10" t="n"/>
      <c r="F955" s="9" t="n"/>
      <c r="H955" s="8" t="n"/>
    </row>
    <row r="956">
      <c r="D956" s="10" t="n"/>
      <c r="F956" s="9" t="n"/>
      <c r="H956" s="8" t="n"/>
    </row>
    <row r="957">
      <c r="D957" s="10" t="n"/>
      <c r="F957" s="9" t="n"/>
      <c r="H957" s="8" t="n"/>
    </row>
    <row r="958">
      <c r="D958" s="10" t="n"/>
      <c r="F958" s="9" t="n"/>
      <c r="H958" s="8" t="n"/>
    </row>
    <row r="959">
      <c r="D959" s="10" t="n"/>
      <c r="F959" s="9" t="n"/>
      <c r="H959" s="8" t="n"/>
    </row>
    <row r="960">
      <c r="D960" s="10" t="n"/>
      <c r="F960" s="9" t="n"/>
      <c r="H960" s="8" t="n"/>
    </row>
    <row r="961">
      <c r="D961" s="10" t="n"/>
      <c r="F961" s="9" t="n"/>
      <c r="H961" s="8" t="n"/>
    </row>
    <row r="962">
      <c r="D962" s="10" t="n"/>
      <c r="F962" s="9" t="n"/>
      <c r="H962" s="8" t="n"/>
    </row>
    <row r="963">
      <c r="D963" s="10" t="n"/>
      <c r="F963" s="9" t="n"/>
      <c r="H963" s="8" t="n"/>
    </row>
    <row r="964">
      <c r="D964" s="10" t="n"/>
      <c r="F964" s="9" t="n"/>
      <c r="H964" s="8" t="n"/>
    </row>
    <row r="965">
      <c r="D965" s="10" t="n"/>
      <c r="F965" s="9" t="n"/>
      <c r="H965" s="8" t="n"/>
    </row>
    <row r="966">
      <c r="D966" s="10" t="n"/>
      <c r="F966" s="9" t="n"/>
      <c r="H966" s="8" t="n"/>
    </row>
    <row r="967">
      <c r="D967" s="10" t="n"/>
      <c r="F967" s="9" t="n"/>
      <c r="H967" s="8" t="n"/>
    </row>
    <row r="968">
      <c r="D968" s="10" t="n"/>
      <c r="F968" s="9" t="n"/>
      <c r="H968" s="8" t="n"/>
    </row>
    <row r="969">
      <c r="D969" s="10" t="n"/>
      <c r="F969" s="9" t="n"/>
      <c r="H969" s="8" t="n"/>
    </row>
    <row r="970">
      <c r="D970" s="10" t="n"/>
      <c r="F970" s="9" t="n"/>
      <c r="H970" s="8" t="n"/>
    </row>
    <row r="971">
      <c r="D971" s="10" t="n"/>
      <c r="F971" s="9" t="n"/>
      <c r="H971" s="8" t="n"/>
    </row>
    <row r="972">
      <c r="D972" s="10" t="n"/>
      <c r="F972" s="9" t="n"/>
      <c r="H972" s="8" t="n"/>
    </row>
    <row r="973">
      <c r="D973" s="10" t="n"/>
      <c r="F973" s="9" t="n"/>
      <c r="H973" s="8" t="n"/>
    </row>
    <row r="974">
      <c r="D974" s="10" t="n"/>
      <c r="F974" s="9" t="n"/>
      <c r="H974" s="8" t="n"/>
    </row>
    <row r="975">
      <c r="D975" s="10" t="n"/>
      <c r="F975" s="9" t="n"/>
      <c r="H975" s="8" t="n"/>
    </row>
    <row r="976">
      <c r="D976" s="10" t="n"/>
      <c r="F976" s="9" t="n"/>
      <c r="H976" s="8" t="n"/>
    </row>
    <row r="977">
      <c r="D977" s="10" t="n"/>
      <c r="F977" s="9" t="n"/>
      <c r="H977" s="8" t="n"/>
    </row>
    <row r="978">
      <c r="D978" s="10" t="n"/>
      <c r="F978" s="9" t="n"/>
      <c r="H978" s="8" t="n"/>
    </row>
    <row r="979">
      <c r="D979" s="10" t="n"/>
      <c r="F979" s="9" t="n"/>
      <c r="H979" s="8" t="n"/>
    </row>
    <row r="980">
      <c r="D980" s="10" t="n"/>
      <c r="F980" s="9" t="n"/>
      <c r="H980" s="8" t="n"/>
    </row>
    <row r="981">
      <c r="D981" s="10" t="n"/>
      <c r="F981" s="9" t="n"/>
      <c r="H981" s="8" t="n"/>
    </row>
    <row r="982">
      <c r="D982" s="10" t="n"/>
      <c r="F982" s="9" t="n"/>
      <c r="H982" s="8" t="n"/>
    </row>
    <row r="983">
      <c r="D983" s="10" t="n"/>
      <c r="F983" s="9" t="n"/>
      <c r="H983" s="8" t="n"/>
    </row>
    <row r="984">
      <c r="D984" s="10" t="n"/>
      <c r="F984" s="9" t="n"/>
      <c r="H984" s="8" t="n"/>
    </row>
    <row r="985">
      <c r="D985" s="10" t="n"/>
      <c r="F985" s="9" t="n"/>
      <c r="H985" s="8" t="n"/>
    </row>
    <row r="986">
      <c r="D986" s="10" t="n"/>
      <c r="F986" s="9" t="n"/>
      <c r="H986" s="8" t="n"/>
    </row>
    <row r="987">
      <c r="D987" s="10" t="n"/>
      <c r="F987" s="9" t="n"/>
      <c r="H987" s="8" t="n"/>
    </row>
    <row r="988">
      <c r="D988" s="10" t="n"/>
      <c r="F988" s="9" t="n"/>
      <c r="H988" s="8" t="n"/>
    </row>
    <row r="989">
      <c r="D989" s="10" t="n"/>
      <c r="F989" s="9" t="n"/>
      <c r="H989" s="8" t="n"/>
    </row>
    <row r="990">
      <c r="D990" s="10" t="n"/>
      <c r="F990" s="9" t="n"/>
      <c r="H990" s="8" t="n"/>
    </row>
    <row r="991">
      <c r="D991" s="10" t="n"/>
      <c r="F991" s="9" t="n"/>
      <c r="H991" s="8" t="n"/>
    </row>
    <row r="992">
      <c r="D992" s="10" t="n"/>
      <c r="F992" s="9" t="n"/>
      <c r="H992" s="8" t="n"/>
    </row>
    <row r="993">
      <c r="D993" s="10" t="n"/>
      <c r="F993" s="9" t="n"/>
      <c r="H993" s="8" t="n"/>
    </row>
    <row r="994">
      <c r="D994" s="10" t="n"/>
      <c r="F994" s="9" t="n"/>
      <c r="H994" s="8" t="n"/>
    </row>
    <row r="995">
      <c r="D995" s="10" t="n"/>
      <c r="F995" s="9" t="n"/>
      <c r="H995" s="8" t="n"/>
    </row>
    <row r="996">
      <c r="D996" s="10" t="n"/>
      <c r="F996" s="9" t="n"/>
      <c r="H996" s="8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min="1" max="1"/>
    <col width="50.85546875" customWidth="1" min="2" max="2"/>
    <col width="19.42578125" customWidth="1" min="3" max="18"/>
    <col width="53.85546875" customWidth="1" min="19" max="19"/>
    <col width="15.140625" customWidth="1" min="20" max="20"/>
  </cols>
  <sheetData>
    <row r="1" ht="16.5" customHeight="1">
      <c r="A1" s="89" t="n"/>
      <c r="B1" s="89" t="inlineStr">
        <is>
          <t>AUG 2026 EXPENSES</t>
        </is>
      </c>
      <c r="C1" s="117" t="n"/>
      <c r="D1" s="117" t="n"/>
      <c r="E1" s="117" t="n"/>
      <c r="F1" s="117" t="n"/>
      <c r="G1" s="117" t="n"/>
      <c r="H1" s="117" t="n"/>
      <c r="I1" s="117" t="n"/>
      <c r="J1" s="117" t="n"/>
      <c r="K1" s="117" t="n"/>
      <c r="L1" s="117" t="n"/>
      <c r="M1" s="117" t="n"/>
      <c r="N1" s="117" t="n"/>
      <c r="O1" s="117" t="n"/>
      <c r="P1" s="117" t="n"/>
      <c r="Q1" s="117" t="n"/>
      <c r="R1" s="117" t="n"/>
      <c r="S1" s="117" t="n"/>
      <c r="T1" s="118" t="n"/>
    </row>
    <row r="2" ht="58.5" customHeight="1">
      <c r="A2" s="39" t="inlineStr">
        <is>
          <t>FLAT #</t>
        </is>
      </c>
      <c r="B2" s="39" t="n">
        <v>0</v>
      </c>
      <c r="C2" s="39" t="inlineStr">
        <is>
          <t>WATER USED IN LTRS</t>
        </is>
      </c>
      <c r="D2" s="39" t="inlineStr">
        <is>
          <t>COMMON AREA EQUALLY DEVIDED</t>
        </is>
      </c>
      <c r="E2" s="39" t="inlineStr">
        <is>
          <t>TOTAL FRESH WATER CONSUMED</t>
        </is>
      </c>
      <c r="F2" s="39" t="inlineStr">
        <is>
          <t>%OF TOTAL USED</t>
        </is>
      </c>
      <c r="G2" s="39" t="inlineStr">
        <is>
          <t>WATER EXPENSE SHARING BY %</t>
        </is>
      </c>
      <c r="H2" s="39" t="inlineStr">
        <is>
          <t>#METERS</t>
        </is>
      </c>
      <c r="I2" s="39" t="inlineStr">
        <is>
          <t>METER RENT</t>
        </is>
      </c>
      <c r="J2" s="39" t="inlineStr">
        <is>
          <t>COMMON AREA METER RENT + WATER EXPENSE+ FLAT METER RENT</t>
        </is>
      </c>
      <c r="K2" s="39" t="inlineStr">
        <is>
          <t>FIXED EXPENSE SHARE</t>
        </is>
      </c>
      <c r="L2" s="39" t="inlineStr">
        <is>
          <t>PARKING FEE</t>
        </is>
      </c>
      <c r="M2" s="39" t="inlineStr">
        <is>
          <t>CLUB HOUSE BOOKING</t>
        </is>
      </c>
      <c r="N2" s="39" t="inlineStr">
        <is>
          <t>SHIFTING FEE</t>
        </is>
      </c>
      <c r="O2" s="39" t="inlineStr">
        <is>
          <t>GYM USAGE FEE</t>
        </is>
      </c>
      <c r="P2" s="39" t="n"/>
      <c r="Q2" s="39" t="n"/>
      <c r="R2" s="39" t="inlineStr">
        <is>
          <t>TOTAL EXPENSE TO BE PAID</t>
        </is>
      </c>
      <c r="S2" s="39" t="n"/>
      <c r="T2" s="39" t="n"/>
    </row>
    <row r="3" ht="12.75" customHeight="1">
      <c r="A3" s="40" t="inlineStr">
        <is>
          <t>CH</t>
        </is>
      </c>
      <c r="B3" s="40" t="inlineStr">
        <is>
          <t>MPFOWA</t>
        </is>
      </c>
      <c r="C3" s="41" t="n"/>
      <c r="D3" s="41" t="n">
        <v>0</v>
      </c>
      <c r="E3" s="41" t="n"/>
      <c r="F3" s="41" t="n"/>
      <c r="G3" s="41" t="n"/>
      <c r="H3" s="41" t="n">
        <v>1</v>
      </c>
      <c r="I3" s="41">
        <f>T7</f>
        <v/>
      </c>
      <c r="J3" s="41" t="n"/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</row>
    <row r="4" ht="12.75" customHeight="1">
      <c r="A4" s="42" t="inlineStr">
        <is>
          <t>GYM</t>
        </is>
      </c>
      <c r="B4" s="42" t="inlineStr">
        <is>
          <t>MPFOWA</t>
        </is>
      </c>
      <c r="C4" s="43" t="n"/>
      <c r="D4" s="43" t="n">
        <v>0</v>
      </c>
      <c r="E4" s="43" t="n"/>
      <c r="F4" s="43" t="n"/>
      <c r="G4" s="43" t="n"/>
      <c r="H4" s="43" t="n">
        <v>1</v>
      </c>
      <c r="I4" s="43">
        <f>T7</f>
        <v/>
      </c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inlineStr">
        <is>
          <t>TOTAL FIXED EXPENSE</t>
        </is>
      </c>
      <c r="T4" s="43">
        <f>'ANNUAL-EXPENSE-DETAILS'!AB7</f>
        <v/>
      </c>
    </row>
    <row r="5" ht="12.75" customHeight="1">
      <c r="A5" s="40" t="inlineStr">
        <is>
          <t>BSMT</t>
        </is>
      </c>
      <c r="B5" s="40" t="inlineStr">
        <is>
          <t>MPFOWA</t>
        </is>
      </c>
      <c r="C5" s="41" t="n"/>
      <c r="D5" s="41" t="n">
        <v>0</v>
      </c>
      <c r="E5" s="41" t="n"/>
      <c r="F5" s="41" t="n"/>
      <c r="G5" s="41" t="n"/>
      <c r="H5" s="41" t="n">
        <v>1</v>
      </c>
      <c r="I5" s="41">
        <f>T7</f>
        <v/>
      </c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inlineStr">
        <is>
          <t>TOTAL WATER EXPENSE</t>
        </is>
      </c>
      <c r="T5" s="41">
        <f>'ANNUAL-EXPENSE-DETAILS'!AA7</f>
        <v/>
      </c>
    </row>
    <row r="6" ht="12.75" customHeight="1">
      <c r="A6" s="42" t="inlineStr">
        <is>
          <t>F1</t>
        </is>
      </c>
      <c r="B6" s="42">
        <f>VLOOKUP(A6,Members!$A$2:$B$65,2,FALSE)</f>
        <v/>
      </c>
      <c r="C6" s="43" t="n">
        <v>0</v>
      </c>
      <c r="D6" s="43">
        <f>SUM($C$3:$C$5)/64</f>
        <v/>
      </c>
      <c r="E6" s="43">
        <f>C6+D6</f>
        <v/>
      </c>
      <c r="F6" s="43">
        <f>IF($C$70=0, 0, E6/$C$70)</f>
        <v/>
      </c>
      <c r="G6" s="43">
        <f>F6*$T$5</f>
        <v/>
      </c>
      <c r="H6" s="43" t="n">
        <v>3</v>
      </c>
      <c r="I6" s="43">
        <f>$T$7*H6</f>
        <v/>
      </c>
      <c r="J6" s="43">
        <f>G6+$T$9+I6</f>
        <v/>
      </c>
      <c r="K6" s="43">
        <f>$T$11/64</f>
        <v/>
      </c>
      <c r="L6" s="43" t="n">
        <v>0</v>
      </c>
      <c r="M6" s="43" t="n">
        <v>0</v>
      </c>
      <c r="N6" s="43" t="n">
        <v>0</v>
      </c>
      <c r="O6" s="43" t="n">
        <v>0</v>
      </c>
      <c r="P6" s="43" t="n"/>
      <c r="Q6" s="43" t="n"/>
      <c r="R6" s="43">
        <f>(J6+K6+L6+M6+N6+O6)*$B$2</f>
        <v/>
      </c>
      <c r="S6" s="43" t="n"/>
      <c r="T6" s="43" t="n"/>
    </row>
    <row r="7" ht="12.75" customHeight="1">
      <c r="A7" s="40" t="inlineStr">
        <is>
          <t>F2</t>
        </is>
      </c>
      <c r="B7" s="40">
        <f>VLOOKUP(A7,Members!$A$2:$B$65,2,FALSE)</f>
        <v/>
      </c>
      <c r="C7" s="41" t="n">
        <v>0</v>
      </c>
      <c r="D7" s="41">
        <f>SUM($C$3:$C$5)/64</f>
        <v/>
      </c>
      <c r="E7" s="41">
        <f>C7+D7</f>
        <v/>
      </c>
      <c r="F7" s="41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$T$11/64</f>
        <v/>
      </c>
      <c r="L7" s="41" t="n">
        <v>0</v>
      </c>
      <c r="M7" s="41" t="n">
        <v>0</v>
      </c>
      <c r="N7" s="41" t="n">
        <v>0</v>
      </c>
      <c r="O7" s="41" t="n">
        <v>0</v>
      </c>
      <c r="P7" s="41" t="n"/>
      <c r="Q7" s="41" t="n"/>
      <c r="R7" s="41">
        <f>(J7+K7+L7+M7+N7+O7)*$B$2</f>
        <v/>
      </c>
      <c r="S7" s="41" t="inlineStr">
        <is>
          <t>RENT PER METER</t>
        </is>
      </c>
      <c r="T7" s="41" t="n">
        <v>117.811659</v>
      </c>
    </row>
    <row r="8" ht="12.75" customHeight="1">
      <c r="A8" s="42" t="inlineStr">
        <is>
          <t>F3</t>
        </is>
      </c>
      <c r="B8" s="42">
        <f>VLOOKUP(A8,Members!$A$2:$B$65,2,FALSE)</f>
        <v/>
      </c>
      <c r="C8" s="43" t="n">
        <v>0</v>
      </c>
      <c r="D8" s="43">
        <f>SUM($C$3:$C$5)/64</f>
        <v/>
      </c>
      <c r="E8" s="43">
        <f>C8+D8</f>
        <v/>
      </c>
      <c r="F8" s="43">
        <f>IF($C$70=0, 0, E8/$C$70)</f>
        <v/>
      </c>
      <c r="G8" s="43">
        <f>F8*$T$5</f>
        <v/>
      </c>
      <c r="H8" s="43" t="n">
        <v>4</v>
      </c>
      <c r="I8" s="43">
        <f>$T$7*H8</f>
        <v/>
      </c>
      <c r="J8" s="43">
        <f>G8+$T$9+I8</f>
        <v/>
      </c>
      <c r="K8" s="43">
        <f>$T$11/64</f>
        <v/>
      </c>
      <c r="L8" s="43" t="n">
        <v>0</v>
      </c>
      <c r="M8" s="43" t="n">
        <v>0</v>
      </c>
      <c r="N8" s="43" t="n">
        <v>0</v>
      </c>
      <c r="O8" s="43" t="n">
        <v>0</v>
      </c>
      <c r="P8" s="43" t="n"/>
      <c r="Q8" s="43" t="n"/>
      <c r="R8" s="43">
        <f>(J8+K8+L8+M8+N8+O8)*$B$2</f>
        <v/>
      </c>
      <c r="S8" s="43" t="inlineStr">
        <is>
          <t>COMMON AREA METER RENT</t>
        </is>
      </c>
      <c r="T8" s="43">
        <f>$T$7*3</f>
        <v/>
      </c>
    </row>
    <row r="9" ht="12.75" customHeight="1">
      <c r="A9" s="40" t="inlineStr">
        <is>
          <t>F4</t>
        </is>
      </c>
      <c r="B9" s="40">
        <f>VLOOKUP(A9,Members!$A$2:$B$65,2,FALSE)</f>
        <v/>
      </c>
      <c r="C9" s="41" t="n">
        <v>0</v>
      </c>
      <c r="D9" s="41">
        <f>SUM($C$3:$C$5)/64</f>
        <v/>
      </c>
      <c r="E9" s="41">
        <f>C9+D9</f>
        <v/>
      </c>
      <c r="F9" s="41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$T$11/64</f>
        <v/>
      </c>
      <c r="L9" s="41" t="n">
        <v>0</v>
      </c>
      <c r="M9" s="41" t="n">
        <v>0</v>
      </c>
      <c r="N9" s="41" t="n">
        <v>0</v>
      </c>
      <c r="O9" s="41" t="n">
        <v>0</v>
      </c>
      <c r="P9" s="41" t="n"/>
      <c r="Q9" s="41" t="n"/>
      <c r="R9" s="41">
        <f>(J9+K9+L9+M9+N9+O9)*$B$2</f>
        <v/>
      </c>
      <c r="S9" s="41" t="inlineStr">
        <is>
          <t>COMMON AREA METER RENT/FLAT</t>
        </is>
      </c>
      <c r="T9" s="41">
        <f>T8/64</f>
        <v/>
      </c>
    </row>
    <row r="10" ht="12.75" customHeight="1">
      <c r="A10" s="42" t="inlineStr">
        <is>
          <t>F5</t>
        </is>
      </c>
      <c r="B10" s="42">
        <f>VLOOKUP(A10,Members!$A$2:$B$65,2,FALSE)</f>
        <v/>
      </c>
      <c r="C10" s="43" t="n">
        <v>0</v>
      </c>
      <c r="D10" s="43">
        <f>SUM($C$3:$C$5)/64</f>
        <v/>
      </c>
      <c r="E10" s="43">
        <f>C10+D10</f>
        <v/>
      </c>
      <c r="F10" s="43">
        <f>IF($C$70=0, 0, E10/$C$70)</f>
        <v/>
      </c>
      <c r="G10" s="43">
        <f>F10*$T$5</f>
        <v/>
      </c>
      <c r="H10" s="43" t="n">
        <v>3</v>
      </c>
      <c r="I10" s="43">
        <f>$T$7*H10</f>
        <v/>
      </c>
      <c r="J10" s="43">
        <f>G10+$T$9+I10</f>
        <v/>
      </c>
      <c r="K10" s="43">
        <f>$T$11/64</f>
        <v/>
      </c>
      <c r="L10" s="43" t="n">
        <v>0</v>
      </c>
      <c r="M10" s="43" t="n">
        <v>0</v>
      </c>
      <c r="N10" s="43" t="n">
        <v>0</v>
      </c>
      <c r="O10" s="43" t="n">
        <v>0</v>
      </c>
      <c r="P10" s="43" t="n"/>
      <c r="Q10" s="43" t="n"/>
      <c r="R10" s="43">
        <f>(J10+K10+L10+M10+N10+O10)*$B$2</f>
        <v/>
      </c>
      <c r="S10" s="43" t="n"/>
      <c r="T10" s="43" t="n"/>
    </row>
    <row r="11" ht="12.75" customHeight="1">
      <c r="A11" s="40" t="inlineStr">
        <is>
          <t>F6</t>
        </is>
      </c>
      <c r="B11" s="40">
        <f>VLOOKUP(A11,Members!$A$2:$B$65,2,FALSE)</f>
        <v/>
      </c>
      <c r="C11" s="41" t="n">
        <v>0</v>
      </c>
      <c r="D11" s="41">
        <f>SUM($C$3:$C$5)/64</f>
        <v/>
      </c>
      <c r="E11" s="41">
        <f>C11+D11</f>
        <v/>
      </c>
      <c r="F11" s="41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$T$11/64</f>
        <v/>
      </c>
      <c r="L11" s="41" t="n">
        <v>0</v>
      </c>
      <c r="M11" s="41" t="n">
        <v>0</v>
      </c>
      <c r="N11" s="41" t="n">
        <v>0</v>
      </c>
      <c r="O11" s="41" t="n">
        <v>0</v>
      </c>
      <c r="P11" s="41" t="n"/>
      <c r="Q11" s="41" t="n"/>
      <c r="R11" s="41">
        <f>(J11+K11+L11+M11+N11+O11)*$B$2</f>
        <v/>
      </c>
      <c r="S11" s="41" t="inlineStr">
        <is>
          <t>TOTAL FIXED EXPENSE</t>
        </is>
      </c>
      <c r="T11" s="41">
        <f>'ANNUAL-EXPENSE-DETAILS'!AB7</f>
        <v/>
      </c>
    </row>
    <row r="12" ht="12.75" customHeight="1">
      <c r="A12" s="42" t="inlineStr">
        <is>
          <t>F7</t>
        </is>
      </c>
      <c r="B12" s="42">
        <f>VLOOKUP(A12,Members!$A$2:$B$65,2,FALSE)</f>
        <v/>
      </c>
      <c r="C12" s="43" t="n">
        <v>0</v>
      </c>
      <c r="D12" s="43">
        <f>SUM($C$3:$C$5)/64</f>
        <v/>
      </c>
      <c r="E12" s="43">
        <f>C12+D12</f>
        <v/>
      </c>
      <c r="F12" s="43">
        <f>IF($C$70=0, 0, E12/$C$70)</f>
        <v/>
      </c>
      <c r="G12" s="43">
        <f>F12*$T$5</f>
        <v/>
      </c>
      <c r="H12" s="43" t="n">
        <v>3</v>
      </c>
      <c r="I12" s="43">
        <f>$T$7*H12</f>
        <v/>
      </c>
      <c r="J12" s="43">
        <f>G12+$T$9+I12</f>
        <v/>
      </c>
      <c r="K12" s="43">
        <f>$T$11/64</f>
        <v/>
      </c>
      <c r="L12" s="43" t="n">
        <v>0</v>
      </c>
      <c r="M12" s="43" t="n">
        <v>0</v>
      </c>
      <c r="N12" s="43" t="n">
        <v>0</v>
      </c>
      <c r="O12" s="43" t="n">
        <v>0</v>
      </c>
      <c r="P12" s="43" t="n"/>
      <c r="Q12" s="43" t="n"/>
      <c r="R12" s="43">
        <f>(J12+K12+L12+M12+N12+O12)*$B$2</f>
        <v/>
      </c>
      <c r="S12" s="43" t="n"/>
      <c r="T12" s="43" t="n"/>
    </row>
    <row r="13" ht="12.75" customHeight="1">
      <c r="A13" s="40" t="inlineStr">
        <is>
          <t>F8</t>
        </is>
      </c>
      <c r="B13" s="40">
        <f>VLOOKUP(A13,Members!$A$2:$B$65,2,FALSE)</f>
        <v/>
      </c>
      <c r="C13" s="41" t="n">
        <v>0</v>
      </c>
      <c r="D13" s="41">
        <f>SUM($C$3:$C$5)/64</f>
        <v/>
      </c>
      <c r="E13" s="41">
        <f>C13+D13</f>
        <v/>
      </c>
      <c r="F13" s="41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$T$11/64</f>
        <v/>
      </c>
      <c r="L13" s="41" t="n">
        <v>0</v>
      </c>
      <c r="M13" s="41" t="n">
        <v>0</v>
      </c>
      <c r="N13" s="41" t="n">
        <v>0</v>
      </c>
      <c r="O13" s="41" t="n">
        <v>0</v>
      </c>
      <c r="P13" s="41" t="n"/>
      <c r="Q13" s="41" t="n"/>
      <c r="R13" s="41">
        <f>(J13+K13+L13+M13+N13+O13)*$B$2</f>
        <v/>
      </c>
      <c r="S13" s="41" t="inlineStr">
        <is>
          <t>BALANCE IN ACCOUNT ON 31-AUG-2022</t>
        </is>
      </c>
      <c r="T13" s="41" t="n"/>
    </row>
    <row r="14" ht="12.75" customHeight="1">
      <c r="A14" s="42" t="inlineStr">
        <is>
          <t>F9</t>
        </is>
      </c>
      <c r="B14" s="42">
        <f>VLOOKUP(A14,Members!$A$2:$B$65,2,FALSE)</f>
        <v/>
      </c>
      <c r="C14" s="43" t="n">
        <v>0</v>
      </c>
      <c r="D14" s="43">
        <f>SUM($C$3:$C$5)/64</f>
        <v/>
      </c>
      <c r="E14" s="43">
        <f>C14+D14</f>
        <v/>
      </c>
      <c r="F14" s="43">
        <f>IF($C$70=0, 0, E14/$C$70)</f>
        <v/>
      </c>
      <c r="G14" s="43">
        <f>F14*$T$5</f>
        <v/>
      </c>
      <c r="H14" s="43" t="n">
        <v>4</v>
      </c>
      <c r="I14" s="43">
        <f>$T$7*H14</f>
        <v/>
      </c>
      <c r="J14" s="43">
        <f>G14+$T$9+I14</f>
        <v/>
      </c>
      <c r="K14" s="43">
        <f>$T$11/64</f>
        <v/>
      </c>
      <c r="L14" s="43" t="n">
        <v>0</v>
      </c>
      <c r="M14" s="43" t="n">
        <v>0</v>
      </c>
      <c r="N14" s="43" t="n">
        <v>0</v>
      </c>
      <c r="O14" s="43" t="n">
        <v>0</v>
      </c>
      <c r="P14" s="43" t="n"/>
      <c r="Q14" s="43" t="n"/>
      <c r="R14" s="43">
        <f>(J14+K14+L14+M14+N14+O14)*$B$2</f>
        <v/>
      </c>
      <c r="S14" s="43" t="inlineStr">
        <is>
          <t>TOTAL NON MAINTENANCE CORPUS COLLECTION</t>
        </is>
      </c>
      <c r="T14" s="43" t="n"/>
    </row>
    <row r="15" ht="12.75" customHeight="1">
      <c r="A15" s="40" t="inlineStr">
        <is>
          <t>F10</t>
        </is>
      </c>
      <c r="B15" s="40">
        <f>VLOOKUP(A15,Members!$A$2:$B$65,2,FALSE)</f>
        <v/>
      </c>
      <c r="C15" s="41" t="n">
        <v>0</v>
      </c>
      <c r="D15" s="41">
        <f>SUM($C$3:$C$5)/64</f>
        <v/>
      </c>
      <c r="E15" s="41">
        <f>C15+D15</f>
        <v/>
      </c>
      <c r="F15" s="41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$T$11/64</f>
        <v/>
      </c>
      <c r="L15" s="41" t="n">
        <v>0</v>
      </c>
      <c r="M15" s="41" t="n">
        <v>0</v>
      </c>
      <c r="N15" s="41" t="n">
        <v>0</v>
      </c>
      <c r="O15" s="41" t="n">
        <v>0</v>
      </c>
      <c r="P15" s="41" t="n"/>
      <c r="Q15" s="41" t="n"/>
      <c r="R15" s="41">
        <f>(J15+K15+L15+M15+N15+O15)*$B$2</f>
        <v/>
      </c>
      <c r="S15" s="41" t="inlineStr">
        <is>
          <t>TOTAL FD DONE</t>
        </is>
      </c>
      <c r="T15" s="41" t="n"/>
    </row>
    <row r="16" ht="12.75" customHeight="1">
      <c r="A16" s="42" t="inlineStr">
        <is>
          <t>F11</t>
        </is>
      </c>
      <c r="B16" s="42">
        <f>VLOOKUP(A16,Members!$A$2:$B$65,2,FALSE)</f>
        <v/>
      </c>
      <c r="C16" s="43" t="n">
        <v>0</v>
      </c>
      <c r="D16" s="43">
        <f>SUM($C$3:$C$5)/64</f>
        <v/>
      </c>
      <c r="E16" s="43">
        <f>C16+D16</f>
        <v/>
      </c>
      <c r="F16" s="43">
        <f>IF($C$70=0, 0, E16/$C$70)</f>
        <v/>
      </c>
      <c r="G16" s="43">
        <f>F16*$T$5</f>
        <v/>
      </c>
      <c r="H16" s="43" t="n">
        <v>3</v>
      </c>
      <c r="I16" s="43">
        <f>$T$7*H16</f>
        <v/>
      </c>
      <c r="J16" s="43">
        <f>G16+$T$9+I16</f>
        <v/>
      </c>
      <c r="K16" s="43">
        <f>$T$11/64</f>
        <v/>
      </c>
      <c r="L16" s="43" t="n">
        <v>0</v>
      </c>
      <c r="M16" s="43" t="n">
        <v>0</v>
      </c>
      <c r="N16" s="43" t="n">
        <v>0</v>
      </c>
      <c r="O16" s="43" t="n">
        <v>0</v>
      </c>
      <c r="P16" s="43" t="n"/>
      <c r="Q16" s="43" t="n"/>
      <c r="R16" s="43">
        <f>(J16+K16+L16+M16+N16+O16)*$B$2</f>
        <v/>
      </c>
      <c r="S16" s="43" t="inlineStr">
        <is>
          <t>AMOUNT AVAILABLE FOR NON MAINTENANCE CORPUS IN CURRENT AC</t>
        </is>
      </c>
      <c r="T16" s="43">
        <f>T14-T15</f>
        <v/>
      </c>
    </row>
    <row r="17" ht="12.75" customHeight="1">
      <c r="A17" s="40" t="inlineStr">
        <is>
          <t>F12</t>
        </is>
      </c>
      <c r="B17" s="40">
        <f>VLOOKUP(A17,Members!$A$2:$B$65,2,FALSE)</f>
        <v/>
      </c>
      <c r="C17" s="41" t="n">
        <v>0</v>
      </c>
      <c r="D17" s="41">
        <f>SUM($C$3:$C$5)/64</f>
        <v/>
      </c>
      <c r="E17" s="41">
        <f>C17+D17</f>
        <v/>
      </c>
      <c r="F17" s="41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$T$11/64</f>
        <v/>
      </c>
      <c r="L17" s="41" t="n">
        <v>0</v>
      </c>
      <c r="M17" s="41" t="n">
        <v>0</v>
      </c>
      <c r="N17" s="41" t="n">
        <v>0</v>
      </c>
      <c r="O17" s="41" t="n">
        <v>0</v>
      </c>
      <c r="P17" s="41" t="n"/>
      <c r="Q17" s="41" t="n"/>
      <c r="R17" s="41">
        <f>(J17+K17+L17+M17+N17+O17)*$B$2</f>
        <v/>
      </c>
      <c r="S17" s="41" t="inlineStr">
        <is>
          <t>AMOUNT AVAILABLE FOR MAINTENANCE</t>
        </is>
      </c>
      <c r="T17" s="41">
        <f>T13-T16</f>
        <v/>
      </c>
    </row>
    <row r="18" ht="12.75" customHeight="1">
      <c r="A18" s="42" t="inlineStr">
        <is>
          <t>F13</t>
        </is>
      </c>
      <c r="B18" s="42">
        <f>VLOOKUP(A18,Members!$A$2:$B$65,2,FALSE)</f>
        <v/>
      </c>
      <c r="C18" s="43" t="n">
        <v>0</v>
      </c>
      <c r="D18" s="43">
        <f>SUM($C$3:$C$5)/64</f>
        <v/>
      </c>
      <c r="E18" s="43">
        <f>C18+D18</f>
        <v/>
      </c>
      <c r="F18" s="43">
        <f>IF($C$70=0, 0, E18/$C$70)</f>
        <v/>
      </c>
      <c r="G18" s="43">
        <f>F18*$T$5</f>
        <v/>
      </c>
      <c r="H18" s="43" t="n">
        <v>4</v>
      </c>
      <c r="I18" s="43">
        <f>$T$7*H18</f>
        <v/>
      </c>
      <c r="J18" s="43">
        <f>G18+$T$9+I18</f>
        <v/>
      </c>
      <c r="K18" s="43">
        <f>$T$11/64</f>
        <v/>
      </c>
      <c r="L18" s="43" t="n">
        <v>0</v>
      </c>
      <c r="M18" s="43" t="n">
        <v>0</v>
      </c>
      <c r="N18" s="43" t="n">
        <v>0</v>
      </c>
      <c r="O18" s="43" t="n">
        <v>0</v>
      </c>
      <c r="P18" s="43" t="n"/>
      <c r="Q18" s="43" t="n"/>
      <c r="R18" s="43">
        <f>(J18+K18+L18+M18+N18+O18)*$B$2</f>
        <v/>
      </c>
      <c r="S18" s="43" t="n"/>
      <c r="T18" s="43" t="n"/>
    </row>
    <row r="19" ht="12.75" customHeight="1">
      <c r="A19" s="40" t="inlineStr">
        <is>
          <t>F14</t>
        </is>
      </c>
      <c r="B19" s="40">
        <f>VLOOKUP(A19,Members!$A$2:$B$65,2,FALSE)</f>
        <v/>
      </c>
      <c r="C19" s="41" t="n">
        <v>0</v>
      </c>
      <c r="D19" s="41">
        <f>SUM($C$3:$C$5)/64</f>
        <v/>
      </c>
      <c r="E19" s="41">
        <f>C19+D19</f>
        <v/>
      </c>
      <c r="F19" s="41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$T$11/64</f>
        <v/>
      </c>
      <c r="L19" s="41" t="n">
        <v>0</v>
      </c>
      <c r="M19" s="41" t="n">
        <v>0</v>
      </c>
      <c r="N19" s="41" t="n">
        <v>0</v>
      </c>
      <c r="O19" s="41" t="n">
        <v>0</v>
      </c>
      <c r="P19" s="41" t="n"/>
      <c r="Q19" s="41" t="n"/>
      <c r="R19" s="41">
        <f>(J19+K19+L19+M19+N19+O19)*$B$2</f>
        <v/>
      </c>
      <c r="S19" s="41" t="n"/>
      <c r="T19" s="41" t="n"/>
    </row>
    <row r="20" ht="12.75" customHeight="1">
      <c r="A20" s="42" t="inlineStr">
        <is>
          <t>F15</t>
        </is>
      </c>
      <c r="B20" s="42">
        <f>VLOOKUP(A20,Members!$A$2:$B$65,2,FALSE)</f>
        <v/>
      </c>
      <c r="C20" s="43" t="n">
        <v>0</v>
      </c>
      <c r="D20" s="43">
        <f>SUM($C$3:$C$5)/64</f>
        <v/>
      </c>
      <c r="E20" s="43">
        <f>C20+D20</f>
        <v/>
      </c>
      <c r="F20" s="43">
        <f>IF($C$70=0, 0, E20/$C$70)</f>
        <v/>
      </c>
      <c r="G20" s="43">
        <f>F20*$T$5</f>
        <v/>
      </c>
      <c r="H20" s="43" t="n">
        <v>4</v>
      </c>
      <c r="I20" s="43">
        <f>$T$7*H20</f>
        <v/>
      </c>
      <c r="J20" s="43">
        <f>G20+$T$9+I20</f>
        <v/>
      </c>
      <c r="K20" s="43">
        <f>$T$11/64</f>
        <v/>
      </c>
      <c r="L20" s="43" t="n">
        <v>0</v>
      </c>
      <c r="M20" s="43" t="n">
        <v>0</v>
      </c>
      <c r="N20" s="43" t="n">
        <v>0</v>
      </c>
      <c r="O20" s="43" t="n">
        <v>0</v>
      </c>
      <c r="P20" s="43" t="n"/>
      <c r="Q20" s="43" t="n"/>
      <c r="R20" s="43">
        <f>(J20+K20+L20+M20+N20+O20)*$B$2</f>
        <v/>
      </c>
      <c r="S20" s="43" t="inlineStr">
        <is>
          <t>TOTAL WATER METER RENT (INR)</t>
        </is>
      </c>
      <c r="T20" s="43">
        <f>I70</f>
        <v/>
      </c>
    </row>
    <row r="21" ht="12.75" customHeight="1">
      <c r="A21" s="40" t="inlineStr">
        <is>
          <t>F16</t>
        </is>
      </c>
      <c r="B21" s="40">
        <f>VLOOKUP(A21,Members!$A$2:$B$65,2,FALSE)</f>
        <v/>
      </c>
      <c r="C21" s="41" t="n">
        <v>0</v>
      </c>
      <c r="D21" s="41">
        <f>SUM($C$3:$C$5)/64</f>
        <v/>
      </c>
      <c r="E21" s="41">
        <f>C21+D21</f>
        <v/>
      </c>
      <c r="F21" s="41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$T$11/64</f>
        <v/>
      </c>
      <c r="L21" s="41" t="n">
        <v>0</v>
      </c>
      <c r="M21" s="41" t="n">
        <v>0</v>
      </c>
      <c r="N21" s="41" t="n">
        <v>0</v>
      </c>
      <c r="O21" s="41" t="n">
        <v>0</v>
      </c>
      <c r="P21" s="41" t="n"/>
      <c r="Q21" s="41" t="n"/>
      <c r="R21" s="41">
        <f>(J21+K21+L21+M21+N21+O21)*$B$2</f>
        <v/>
      </c>
      <c r="S21" s="41" t="n"/>
      <c r="T21" s="41" t="n"/>
    </row>
    <row r="22" ht="12.75" customHeight="1">
      <c r="A22" s="42" t="inlineStr">
        <is>
          <t>G1</t>
        </is>
      </c>
      <c r="B22" s="42">
        <f>VLOOKUP(A22,Members!$A$2:$B$65,2,FALSE)</f>
        <v/>
      </c>
      <c r="C22" s="43" t="n">
        <v>0</v>
      </c>
      <c r="D22" s="43">
        <f>SUM($C$3:$C$5)/64</f>
        <v/>
      </c>
      <c r="E22" s="43">
        <f>C22+D22</f>
        <v/>
      </c>
      <c r="F22" s="43">
        <f>IF($C$70=0, 0, E22/$C$70)</f>
        <v/>
      </c>
      <c r="G22" s="43">
        <f>F22*$T$5</f>
        <v/>
      </c>
      <c r="H22" s="43" t="n">
        <v>3</v>
      </c>
      <c r="I22" s="43">
        <f>$T$7*H22</f>
        <v/>
      </c>
      <c r="J22" s="43">
        <f>G22+$T$9+I22</f>
        <v/>
      </c>
      <c r="K22" s="43">
        <f>$T$11/64</f>
        <v/>
      </c>
      <c r="L22" s="43" t="n">
        <v>0</v>
      </c>
      <c r="M22" s="43" t="n">
        <v>0</v>
      </c>
      <c r="N22" s="43" t="n">
        <v>0</v>
      </c>
      <c r="O22" s="43" t="n">
        <v>0</v>
      </c>
      <c r="P22" s="43" t="n"/>
      <c r="Q22" s="43" t="n"/>
      <c r="R22" s="43">
        <f>(J22+K22+L22+M22+N22+O22)*$B$2</f>
        <v/>
      </c>
      <c r="S22" s="43" t="n"/>
      <c r="T22" s="43" t="n"/>
    </row>
    <row r="23" ht="12.75" customHeight="1">
      <c r="A23" s="40" t="inlineStr">
        <is>
          <t>G2</t>
        </is>
      </c>
      <c r="B23" s="40">
        <f>VLOOKUP(A23,Members!$A$2:$B$65,2,FALSE)</f>
        <v/>
      </c>
      <c r="C23" s="41" t="n">
        <v>0</v>
      </c>
      <c r="D23" s="41">
        <f>SUM($C$3:$C$5)/64</f>
        <v/>
      </c>
      <c r="E23" s="41">
        <f>C23+D23</f>
        <v/>
      </c>
      <c r="F23" s="41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$T$11/64</f>
        <v/>
      </c>
      <c r="L23" s="41" t="n">
        <v>0</v>
      </c>
      <c r="M23" s="41" t="n">
        <v>0</v>
      </c>
      <c r="N23" s="41" t="n">
        <v>0</v>
      </c>
      <c r="O23" s="41" t="n">
        <v>0</v>
      </c>
      <c r="P23" s="41" t="n"/>
      <c r="Q23" s="41" t="n"/>
      <c r="R23" s="41">
        <f>(J23+K23+L23+M23+N23+O23)*$B$2</f>
        <v/>
      </c>
      <c r="S23" s="41" t="n"/>
      <c r="T23" s="41" t="n"/>
    </row>
    <row r="24" ht="12.75" customHeight="1">
      <c r="A24" s="42" t="inlineStr">
        <is>
          <t>G3</t>
        </is>
      </c>
      <c r="B24" s="42">
        <f>VLOOKUP(A24,Members!$A$2:$B$65,2,FALSE)</f>
        <v/>
      </c>
      <c r="C24" s="43" t="n">
        <v>0</v>
      </c>
      <c r="D24" s="43">
        <f>SUM($C$3:$C$5)/64</f>
        <v/>
      </c>
      <c r="E24" s="43">
        <f>C24+D24</f>
        <v/>
      </c>
      <c r="F24" s="43">
        <f>IF($C$70=0, 0, E24/$C$70)</f>
        <v/>
      </c>
      <c r="G24" s="43">
        <f>F24*$T$5</f>
        <v/>
      </c>
      <c r="H24" s="43" t="n">
        <v>4</v>
      </c>
      <c r="I24" s="43">
        <f>$T$7*H24</f>
        <v/>
      </c>
      <c r="J24" s="43">
        <f>G24+$T$9+I24</f>
        <v/>
      </c>
      <c r="K24" s="43">
        <f>$T$11/64</f>
        <v/>
      </c>
      <c r="L24" s="43" t="n">
        <v>0</v>
      </c>
      <c r="M24" s="43" t="n">
        <v>0</v>
      </c>
      <c r="N24" s="43" t="n">
        <v>0</v>
      </c>
      <c r="O24" s="43" t="n">
        <v>0</v>
      </c>
      <c r="P24" s="43" t="n"/>
      <c r="Q24" s="43" t="n"/>
      <c r="R24" s="43">
        <f>(J24+K24+L24+M24+N24+O24)*$B$2</f>
        <v/>
      </c>
      <c r="S24" s="43" t="n"/>
      <c r="T24" s="43" t="n"/>
    </row>
    <row r="25" ht="12.75" customHeight="1">
      <c r="A25" s="40" t="inlineStr">
        <is>
          <t>G4</t>
        </is>
      </c>
      <c r="B25" s="40">
        <f>VLOOKUP(A25,Members!$A$2:$B$65,2,FALSE)</f>
        <v/>
      </c>
      <c r="C25" s="41" t="n">
        <v>0</v>
      </c>
      <c r="D25" s="41">
        <f>SUM($C$3:$C$5)/64</f>
        <v/>
      </c>
      <c r="E25" s="41">
        <f>C25+D25</f>
        <v/>
      </c>
      <c r="F25" s="41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$T$11/64</f>
        <v/>
      </c>
      <c r="L25" s="41" t="n">
        <v>0</v>
      </c>
      <c r="M25" s="41" t="n">
        <v>0</v>
      </c>
      <c r="N25" s="41" t="n">
        <v>0</v>
      </c>
      <c r="O25" s="41" t="n">
        <v>0</v>
      </c>
      <c r="P25" s="41" t="n"/>
      <c r="Q25" s="41" t="n"/>
      <c r="R25" s="41">
        <f>(J25+K25+L25+M25+N25+O25)*$B$2</f>
        <v/>
      </c>
      <c r="S25" s="41" t="n"/>
      <c r="T25" s="41" t="n"/>
    </row>
    <row r="26" ht="12.75" customHeight="1">
      <c r="A26" s="42" t="inlineStr">
        <is>
          <t>G5</t>
        </is>
      </c>
      <c r="B26" s="42">
        <f>VLOOKUP(A26,Members!$A$2:$B$65,2,FALSE)</f>
        <v/>
      </c>
      <c r="C26" s="43" t="n">
        <v>0</v>
      </c>
      <c r="D26" s="43">
        <f>SUM($C$3:$C$5)/64</f>
        <v/>
      </c>
      <c r="E26" s="43">
        <f>C26+D26</f>
        <v/>
      </c>
      <c r="F26" s="43">
        <f>IF($C$70=0, 0, E26/$C$70)</f>
        <v/>
      </c>
      <c r="G26" s="43">
        <f>F26*$T$5</f>
        <v/>
      </c>
      <c r="H26" s="43" t="n">
        <v>3</v>
      </c>
      <c r="I26" s="43">
        <f>$T$7*H26</f>
        <v/>
      </c>
      <c r="J26" s="43">
        <f>G26+$T$9+I26</f>
        <v/>
      </c>
      <c r="K26" s="43">
        <f>$T$11/64</f>
        <v/>
      </c>
      <c r="L26" s="43" t="n">
        <v>0</v>
      </c>
      <c r="M26" s="43" t="n">
        <v>0</v>
      </c>
      <c r="N26" s="43" t="n">
        <v>0</v>
      </c>
      <c r="O26" s="43" t="n">
        <v>0</v>
      </c>
      <c r="P26" s="43" t="n"/>
      <c r="Q26" s="43" t="n"/>
      <c r="R26" s="43">
        <f>(J26+K26+L26+M26+N26+O26)*$B$2</f>
        <v/>
      </c>
      <c r="S26" s="43" t="n"/>
      <c r="T26" s="43" t="n"/>
    </row>
    <row r="27" ht="12.75" customHeight="1">
      <c r="A27" s="40" t="inlineStr">
        <is>
          <t>G6</t>
        </is>
      </c>
      <c r="B27" s="40">
        <f>VLOOKUP(A27,Members!$A$2:$B$65,2,FALSE)</f>
        <v/>
      </c>
      <c r="C27" s="41" t="n">
        <v>0</v>
      </c>
      <c r="D27" s="41">
        <f>SUM($C$3:$C$5)/64</f>
        <v/>
      </c>
      <c r="E27" s="41">
        <f>C27+D27</f>
        <v/>
      </c>
      <c r="F27" s="41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$T$11/64</f>
        <v/>
      </c>
      <c r="L27" s="41" t="n">
        <v>0</v>
      </c>
      <c r="M27" s="41" t="n">
        <v>0</v>
      </c>
      <c r="N27" s="41" t="n">
        <v>0</v>
      </c>
      <c r="O27" s="41" t="n">
        <v>0</v>
      </c>
      <c r="P27" s="41" t="n"/>
      <c r="Q27" s="41" t="n"/>
      <c r="R27" s="41">
        <f>(J27+K27+L27+M27+N27+O27)*$B$2</f>
        <v/>
      </c>
      <c r="S27" s="41" t="n"/>
      <c r="T27" s="41" t="n"/>
    </row>
    <row r="28" ht="12.75" customHeight="1">
      <c r="A28" s="42" t="inlineStr">
        <is>
          <t>G7</t>
        </is>
      </c>
      <c r="B28" s="42">
        <f>VLOOKUP(A28,Members!$A$2:$B$65,2,FALSE)</f>
        <v/>
      </c>
      <c r="C28" s="43" t="n">
        <v>0</v>
      </c>
      <c r="D28" s="43">
        <f>SUM($C$3:$C$5)/64</f>
        <v/>
      </c>
      <c r="E28" s="43">
        <f>C28+D28</f>
        <v/>
      </c>
      <c r="F28" s="43">
        <f>IF($C$70=0, 0, E28/$C$70)</f>
        <v/>
      </c>
      <c r="G28" s="43">
        <f>F28*$T$5</f>
        <v/>
      </c>
      <c r="H28" s="43" t="n">
        <v>3</v>
      </c>
      <c r="I28" s="43">
        <f>$T$7*H28</f>
        <v/>
      </c>
      <c r="J28" s="43">
        <f>G28+$T$9+I28</f>
        <v/>
      </c>
      <c r="K28" s="43">
        <f>$T$11/64</f>
        <v/>
      </c>
      <c r="L28" s="43" t="n">
        <v>0</v>
      </c>
      <c r="M28" s="43" t="n">
        <v>0</v>
      </c>
      <c r="N28" s="43" t="n">
        <v>0</v>
      </c>
      <c r="O28" s="43" t="n">
        <v>0</v>
      </c>
      <c r="P28" s="43" t="n"/>
      <c r="Q28" s="43" t="n"/>
      <c r="R28" s="43">
        <f>(J28+K28+L28+M28+N28+O28)*$B$2</f>
        <v/>
      </c>
      <c r="S28" s="43" t="n"/>
      <c r="T28" s="43" t="n"/>
    </row>
    <row r="29" ht="12.75" customHeight="1">
      <c r="A29" s="40" t="inlineStr">
        <is>
          <t>G8</t>
        </is>
      </c>
      <c r="B29" s="40">
        <f>VLOOKUP(A29,Members!$A$2:$B$65,2,FALSE)</f>
        <v/>
      </c>
      <c r="C29" s="41" t="n">
        <v>0</v>
      </c>
      <c r="D29" s="41">
        <f>SUM($C$3:$C$5)/64</f>
        <v/>
      </c>
      <c r="E29" s="41">
        <f>C29+D29</f>
        <v/>
      </c>
      <c r="F29" s="41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$T$11/64</f>
        <v/>
      </c>
      <c r="L29" s="41" t="n">
        <v>0</v>
      </c>
      <c r="M29" s="41" t="n">
        <v>0</v>
      </c>
      <c r="N29" s="41" t="n">
        <v>0</v>
      </c>
      <c r="O29" s="41" t="n">
        <v>0</v>
      </c>
      <c r="P29" s="41" t="n"/>
      <c r="Q29" s="41" t="n"/>
      <c r="R29" s="41">
        <f>(J29+K29+L29+M29+N29+O29)*$B$2</f>
        <v/>
      </c>
      <c r="S29" s="41" t="n"/>
      <c r="T29" s="41" t="n"/>
    </row>
    <row r="30" ht="12.75" customHeight="1">
      <c r="A30" s="42" t="inlineStr">
        <is>
          <t>G9</t>
        </is>
      </c>
      <c r="B30" s="42">
        <f>VLOOKUP(A30,Members!$A$2:$B$65,2,FALSE)</f>
        <v/>
      </c>
      <c r="C30" s="43" t="n">
        <v>0</v>
      </c>
      <c r="D30" s="43">
        <f>SUM($C$3:$C$5)/64</f>
        <v/>
      </c>
      <c r="E30" s="43">
        <f>C30+D30</f>
        <v/>
      </c>
      <c r="F30" s="43">
        <f>IF($C$70=0, 0, E30/$C$70)</f>
        <v/>
      </c>
      <c r="G30" s="43">
        <f>F30*$T$5</f>
        <v/>
      </c>
      <c r="H30" s="43" t="n">
        <v>5</v>
      </c>
      <c r="I30" s="43">
        <f>$T$7*H30</f>
        <v/>
      </c>
      <c r="J30" s="43">
        <f>G30+$T$9+I30</f>
        <v/>
      </c>
      <c r="K30" s="43">
        <f>$T$11/64</f>
        <v/>
      </c>
      <c r="L30" s="43" t="n">
        <v>0</v>
      </c>
      <c r="M30" s="43" t="n">
        <v>0</v>
      </c>
      <c r="N30" s="43" t="n">
        <v>0</v>
      </c>
      <c r="O30" s="43" t="n">
        <v>0</v>
      </c>
      <c r="P30" s="43" t="n"/>
      <c r="Q30" s="43" t="n"/>
      <c r="R30" s="43">
        <f>(J30+K30+L30+M30+N30+O30)*$B$2</f>
        <v/>
      </c>
      <c r="S30" s="43" t="n"/>
      <c r="T30" s="43" t="n"/>
    </row>
    <row r="31" ht="12.75" customHeight="1">
      <c r="A31" s="40" t="inlineStr">
        <is>
          <t>G10</t>
        </is>
      </c>
      <c r="B31" s="40">
        <f>VLOOKUP(A31,Members!$A$2:$B$65,2,FALSE)</f>
        <v/>
      </c>
      <c r="C31" s="41" t="n">
        <v>0</v>
      </c>
      <c r="D31" s="41">
        <f>SUM($C$3:$C$5)/64</f>
        <v/>
      </c>
      <c r="E31" s="41">
        <f>C31+D31</f>
        <v/>
      </c>
      <c r="F31" s="41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$T$11/64</f>
        <v/>
      </c>
      <c r="L31" s="41" t="n">
        <v>0</v>
      </c>
      <c r="M31" s="41" t="n">
        <v>0</v>
      </c>
      <c r="N31" s="41" t="n">
        <v>0</v>
      </c>
      <c r="O31" s="41" t="n">
        <v>0</v>
      </c>
      <c r="P31" s="41" t="n"/>
      <c r="Q31" s="41" t="n"/>
      <c r="R31" s="41">
        <f>(J31+K31+L31+M31+N31+O31)*$B$2</f>
        <v/>
      </c>
      <c r="S31" s="41" t="n"/>
      <c r="T31" s="41" t="n"/>
    </row>
    <row r="32" ht="12.75" customHeight="1">
      <c r="A32" s="42" t="inlineStr">
        <is>
          <t>G11</t>
        </is>
      </c>
      <c r="B32" s="42">
        <f>VLOOKUP(A32,Members!$A$2:$B$65,2,FALSE)</f>
        <v/>
      </c>
      <c r="C32" s="43" t="n">
        <v>0</v>
      </c>
      <c r="D32" s="43">
        <f>SUM($C$3:$C$5)/64</f>
        <v/>
      </c>
      <c r="E32" s="43">
        <f>C32+D32</f>
        <v/>
      </c>
      <c r="F32" s="43">
        <f>IF($C$70=0, 0, E32/$C$70)</f>
        <v/>
      </c>
      <c r="G32" s="43">
        <f>F32*$T$5</f>
        <v/>
      </c>
      <c r="H32" s="43" t="n">
        <v>3</v>
      </c>
      <c r="I32" s="43">
        <f>$T$7*H32</f>
        <v/>
      </c>
      <c r="J32" s="43">
        <f>G32+$T$9+I32</f>
        <v/>
      </c>
      <c r="K32" s="43">
        <f>$T$11/64</f>
        <v/>
      </c>
      <c r="L32" s="43" t="n">
        <v>0</v>
      </c>
      <c r="M32" s="43" t="n">
        <v>0</v>
      </c>
      <c r="N32" s="43" t="n">
        <v>0</v>
      </c>
      <c r="O32" s="43" t="n">
        <v>0</v>
      </c>
      <c r="P32" s="43" t="n"/>
      <c r="Q32" s="43" t="n"/>
      <c r="R32" s="43">
        <f>(J32+K32+L32+M32+N32+O32)*$B$2</f>
        <v/>
      </c>
      <c r="S32" s="43" t="n"/>
      <c r="T32" s="43" t="n"/>
    </row>
    <row r="33" ht="12.75" customHeight="1">
      <c r="A33" s="40" t="inlineStr">
        <is>
          <t>G12</t>
        </is>
      </c>
      <c r="B33" s="40">
        <f>VLOOKUP(A33,Members!$A$2:$B$65,2,FALSE)</f>
        <v/>
      </c>
      <c r="C33" s="41" t="n">
        <v>0</v>
      </c>
      <c r="D33" s="41">
        <f>SUM($C$3:$C$5)/64</f>
        <v/>
      </c>
      <c r="E33" s="41">
        <f>C33+D33</f>
        <v/>
      </c>
      <c r="F33" s="41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$T$11/64</f>
        <v/>
      </c>
      <c r="L33" s="41" t="n">
        <v>0</v>
      </c>
      <c r="M33" s="41" t="n">
        <v>0</v>
      </c>
      <c r="N33" s="41" t="n">
        <v>0</v>
      </c>
      <c r="O33" s="41" t="n">
        <v>0</v>
      </c>
      <c r="P33" s="41" t="n"/>
      <c r="Q33" s="41" t="n"/>
      <c r="R33" s="41">
        <f>(J33+K33+L33+M33+N33+O33)*$B$2</f>
        <v/>
      </c>
      <c r="S33" s="41" t="n"/>
      <c r="T33" s="41" t="n"/>
    </row>
    <row r="34" ht="12.75" customHeight="1">
      <c r="A34" s="42" t="inlineStr">
        <is>
          <t>G13</t>
        </is>
      </c>
      <c r="B34" s="42">
        <f>VLOOKUP(A34,Members!$A$2:$B$65,2,FALSE)</f>
        <v/>
      </c>
      <c r="C34" s="43" t="n">
        <v>0</v>
      </c>
      <c r="D34" s="43">
        <f>SUM($C$3:$C$5)/64</f>
        <v/>
      </c>
      <c r="E34" s="43">
        <f>C34+D34</f>
        <v/>
      </c>
      <c r="F34" s="43">
        <f>IF($C$70=0, 0, E34/$C$70)</f>
        <v/>
      </c>
      <c r="G34" s="43">
        <f>F34*$T$5</f>
        <v/>
      </c>
      <c r="H34" s="43" t="n">
        <v>4</v>
      </c>
      <c r="I34" s="43">
        <f>$T$7*H34</f>
        <v/>
      </c>
      <c r="J34" s="43">
        <f>G34+$T$9+I34</f>
        <v/>
      </c>
      <c r="K34" s="43">
        <f>$T$11/64</f>
        <v/>
      </c>
      <c r="L34" s="43" t="n">
        <v>0</v>
      </c>
      <c r="M34" s="43" t="n">
        <v>0</v>
      </c>
      <c r="N34" s="43" t="n">
        <v>0</v>
      </c>
      <c r="O34" s="43" t="n">
        <v>0</v>
      </c>
      <c r="P34" s="43" t="n"/>
      <c r="Q34" s="43" t="n"/>
      <c r="R34" s="43">
        <f>(J34+K34+L34+M34+N34+O34)*$B$2</f>
        <v/>
      </c>
      <c r="S34" s="43" t="n"/>
      <c r="T34" s="43" t="n"/>
    </row>
    <row r="35" ht="12.75" customHeight="1">
      <c r="A35" s="40" t="inlineStr">
        <is>
          <t>G14</t>
        </is>
      </c>
      <c r="B35" s="40">
        <f>VLOOKUP(A35,Members!$A$2:$B$65,2,FALSE)</f>
        <v/>
      </c>
      <c r="C35" s="41" t="n">
        <v>0</v>
      </c>
      <c r="D35" s="41">
        <f>SUM($C$3:$C$5)/64</f>
        <v/>
      </c>
      <c r="E35" s="41">
        <f>C35+D35</f>
        <v/>
      </c>
      <c r="F35" s="41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$T$11/64</f>
        <v/>
      </c>
      <c r="L35" s="41" t="n">
        <v>0</v>
      </c>
      <c r="M35" s="41" t="n">
        <v>0</v>
      </c>
      <c r="N35" s="41" t="n">
        <v>0</v>
      </c>
      <c r="O35" s="41" t="n">
        <v>0</v>
      </c>
      <c r="P35" s="41" t="n"/>
      <c r="Q35" s="41" t="n"/>
      <c r="R35" s="41">
        <f>(J35+K35+L35+M35+N35+O35)*$B$2</f>
        <v/>
      </c>
      <c r="S35" s="41" t="n"/>
      <c r="T35" s="41" t="n"/>
    </row>
    <row r="36" ht="12.75" customHeight="1">
      <c r="A36" s="42" t="inlineStr">
        <is>
          <t>G15</t>
        </is>
      </c>
      <c r="B36" s="42">
        <f>VLOOKUP(A36,Members!$A$2:$B$65,2,FALSE)</f>
        <v/>
      </c>
      <c r="C36" s="43" t="n">
        <v>0</v>
      </c>
      <c r="D36" s="43">
        <f>SUM($C$3:$C$5)/64</f>
        <v/>
      </c>
      <c r="E36" s="43">
        <f>C36+D36</f>
        <v/>
      </c>
      <c r="F36" s="43">
        <f>IF($C$70=0, 0, E36/$C$70)</f>
        <v/>
      </c>
      <c r="G36" s="43">
        <f>F36*$T$5</f>
        <v/>
      </c>
      <c r="H36" s="43" t="n">
        <v>4</v>
      </c>
      <c r="I36" s="43">
        <f>$T$7*H36</f>
        <v/>
      </c>
      <c r="J36" s="43">
        <f>G36+$T$9+I36</f>
        <v/>
      </c>
      <c r="K36" s="43">
        <f>$T$11/64</f>
        <v/>
      </c>
      <c r="L36" s="43" t="n">
        <v>0</v>
      </c>
      <c r="M36" s="43" t="n">
        <v>0</v>
      </c>
      <c r="N36" s="43" t="n">
        <v>0</v>
      </c>
      <c r="O36" s="43" t="n">
        <v>0</v>
      </c>
      <c r="P36" s="43" t="n"/>
      <c r="Q36" s="43" t="n"/>
      <c r="R36" s="43">
        <f>(J36+K36+L36+M36+N36+O36)*$B$2</f>
        <v/>
      </c>
      <c r="S36" s="43" t="n"/>
      <c r="T36" s="43" t="n"/>
    </row>
    <row r="37" ht="12.75" customHeight="1">
      <c r="A37" s="40" t="inlineStr">
        <is>
          <t>G16</t>
        </is>
      </c>
      <c r="B37" s="40">
        <f>VLOOKUP(A37,Members!$A$2:$B$65,2,FALSE)</f>
        <v/>
      </c>
      <c r="C37" s="41" t="n">
        <v>0</v>
      </c>
      <c r="D37" s="41">
        <f>SUM($C$3:$C$5)/64</f>
        <v/>
      </c>
      <c r="E37" s="41">
        <f>C37+D37</f>
        <v/>
      </c>
      <c r="F37" s="41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$T$11/64</f>
        <v/>
      </c>
      <c r="L37" s="41" t="n">
        <v>0</v>
      </c>
      <c r="M37" s="41" t="n">
        <v>0</v>
      </c>
      <c r="N37" s="41" t="n">
        <v>0</v>
      </c>
      <c r="O37" s="41" t="n">
        <v>0</v>
      </c>
      <c r="P37" s="41" t="n"/>
      <c r="Q37" s="41" t="n"/>
      <c r="R37" s="41">
        <f>(J37+K37+L37+M37+N37+O37)*$B$2</f>
        <v/>
      </c>
      <c r="S37" s="41" t="n"/>
      <c r="T37" s="41" t="n"/>
    </row>
    <row r="38" ht="12.75" customHeight="1">
      <c r="A38" s="42" t="inlineStr">
        <is>
          <t>S1</t>
        </is>
      </c>
      <c r="B38" s="42">
        <f>VLOOKUP(A38,Members!$A$2:$B$65,2,FALSE)</f>
        <v/>
      </c>
      <c r="C38" s="43" t="n">
        <v>0</v>
      </c>
      <c r="D38" s="43">
        <f>SUM($C$3:$C$5)/64</f>
        <v/>
      </c>
      <c r="E38" s="43">
        <f>C38+D38</f>
        <v/>
      </c>
      <c r="F38" s="43">
        <f>IF($C$70=0, 0, E38/$C$70)</f>
        <v/>
      </c>
      <c r="G38" s="43">
        <f>F38*$T$5</f>
        <v/>
      </c>
      <c r="H38" s="43" t="n">
        <v>3</v>
      </c>
      <c r="I38" s="43">
        <f>$T$7*H38</f>
        <v/>
      </c>
      <c r="J38" s="43">
        <f>G38+$T$9+I38</f>
        <v/>
      </c>
      <c r="K38" s="43">
        <f>$T$11/64</f>
        <v/>
      </c>
      <c r="L38" s="43" t="n">
        <v>0</v>
      </c>
      <c r="M38" s="43" t="n">
        <v>0</v>
      </c>
      <c r="N38" s="43" t="n">
        <v>0</v>
      </c>
      <c r="O38" s="43" t="n">
        <v>0</v>
      </c>
      <c r="P38" s="43" t="n"/>
      <c r="Q38" s="43" t="n"/>
      <c r="R38" s="43">
        <f>(J38+K38+L38+M38+N38+O38)*$B$2</f>
        <v/>
      </c>
      <c r="S38" s="43" t="n"/>
      <c r="T38" s="43" t="n"/>
    </row>
    <row r="39" ht="12.75" customHeight="1">
      <c r="A39" s="40" t="inlineStr">
        <is>
          <t>S2</t>
        </is>
      </c>
      <c r="B39" s="40">
        <f>VLOOKUP(A39,Members!$A$2:$B$65,2,FALSE)</f>
        <v/>
      </c>
      <c r="C39" s="41" t="n">
        <v>0</v>
      </c>
      <c r="D39" s="41">
        <f>SUM($C$3:$C$5)/64</f>
        <v/>
      </c>
      <c r="E39" s="41">
        <f>C39+D39</f>
        <v/>
      </c>
      <c r="F39" s="41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$T$11/64</f>
        <v/>
      </c>
      <c r="L39" s="41" t="n">
        <v>0</v>
      </c>
      <c r="M39" s="41" t="n">
        <v>0</v>
      </c>
      <c r="N39" s="41" t="n">
        <v>0</v>
      </c>
      <c r="O39" s="41" t="n">
        <v>0</v>
      </c>
      <c r="P39" s="41" t="n"/>
      <c r="Q39" s="41" t="n"/>
      <c r="R39" s="41">
        <f>(J39+K39+L39+M39+N39+O39)*$B$2</f>
        <v/>
      </c>
      <c r="S39" s="41" t="n"/>
      <c r="T39" s="41" t="n"/>
    </row>
    <row r="40" ht="12.75" customHeight="1">
      <c r="A40" s="42" t="inlineStr">
        <is>
          <t>S3</t>
        </is>
      </c>
      <c r="B40" s="42">
        <f>VLOOKUP(A40,Members!$A$2:$B$65,2,FALSE)</f>
        <v/>
      </c>
      <c r="C40" s="43" t="n">
        <v>0</v>
      </c>
      <c r="D40" s="43">
        <f>SUM($C$3:$C$5)/64</f>
        <v/>
      </c>
      <c r="E40" s="43">
        <f>C40+D40</f>
        <v/>
      </c>
      <c r="F40" s="43">
        <f>IF($C$70=0, 0, E40/$C$70)</f>
        <v/>
      </c>
      <c r="G40" s="43">
        <f>F40*$T$5</f>
        <v/>
      </c>
      <c r="H40" s="43" t="n">
        <v>4</v>
      </c>
      <c r="I40" s="43">
        <f>$T$7*H40</f>
        <v/>
      </c>
      <c r="J40" s="43">
        <f>G40+$T$9+I40</f>
        <v/>
      </c>
      <c r="K40" s="43">
        <f>$T$11/64</f>
        <v/>
      </c>
      <c r="L40" s="43" t="n">
        <v>0</v>
      </c>
      <c r="M40" s="43" t="n">
        <v>0</v>
      </c>
      <c r="N40" s="43" t="n">
        <v>0</v>
      </c>
      <c r="O40" s="43" t="n">
        <v>0</v>
      </c>
      <c r="P40" s="43" t="n"/>
      <c r="Q40" s="43" t="n"/>
      <c r="R40" s="43">
        <f>(J40+K40+L40+M40+N40+O40)*$B$2</f>
        <v/>
      </c>
      <c r="S40" s="43" t="n"/>
      <c r="T40" s="43" t="n"/>
    </row>
    <row r="41" ht="12.75" customHeight="1">
      <c r="A41" s="40" t="inlineStr">
        <is>
          <t>S4</t>
        </is>
      </c>
      <c r="B41" s="40">
        <f>VLOOKUP(A41,Members!$A$2:$B$65,2,FALSE)</f>
        <v/>
      </c>
      <c r="C41" s="41" t="n">
        <v>0</v>
      </c>
      <c r="D41" s="41">
        <f>SUM($C$3:$C$5)/64</f>
        <v/>
      </c>
      <c r="E41" s="41">
        <f>C41+D41</f>
        <v/>
      </c>
      <c r="F41" s="41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$T$11/64</f>
        <v/>
      </c>
      <c r="L41" s="41" t="n">
        <v>0</v>
      </c>
      <c r="M41" s="41" t="n">
        <v>0</v>
      </c>
      <c r="N41" s="41" t="n">
        <v>0</v>
      </c>
      <c r="O41" s="41" t="n">
        <v>0</v>
      </c>
      <c r="P41" s="41" t="n"/>
      <c r="Q41" s="41" t="n"/>
      <c r="R41" s="41">
        <f>(J41+K41+L41+M41+N41+O41)*$B$2</f>
        <v/>
      </c>
      <c r="S41" s="41" t="n"/>
      <c r="T41" s="41" t="n"/>
    </row>
    <row r="42" ht="12.75" customHeight="1">
      <c r="A42" s="42" t="inlineStr">
        <is>
          <t>S5</t>
        </is>
      </c>
      <c r="B42" s="42">
        <f>VLOOKUP(A42,Members!$A$2:$B$65,2,FALSE)</f>
        <v/>
      </c>
      <c r="C42" s="43" t="n">
        <v>0</v>
      </c>
      <c r="D42" s="43">
        <f>SUM($C$3:$C$5)/64</f>
        <v/>
      </c>
      <c r="E42" s="43">
        <f>C42+D42</f>
        <v/>
      </c>
      <c r="F42" s="43">
        <f>IF($C$70=0, 0, E42/$C$70)</f>
        <v/>
      </c>
      <c r="G42" s="43">
        <f>F42*$T$5</f>
        <v/>
      </c>
      <c r="H42" s="43" t="n">
        <v>3</v>
      </c>
      <c r="I42" s="43">
        <f>$T$7*H42</f>
        <v/>
      </c>
      <c r="J42" s="43">
        <f>G42+$T$9+I42</f>
        <v/>
      </c>
      <c r="K42" s="43">
        <f>$T$11/64</f>
        <v/>
      </c>
      <c r="L42" s="43" t="n">
        <v>0</v>
      </c>
      <c r="M42" s="43" t="n">
        <v>0</v>
      </c>
      <c r="N42" s="43" t="n">
        <v>0</v>
      </c>
      <c r="O42" s="43" t="n">
        <v>0</v>
      </c>
      <c r="P42" s="43" t="n"/>
      <c r="Q42" s="43" t="n"/>
      <c r="R42" s="43">
        <f>(J42+K42+L42+M42+N42+O42)*$B$2</f>
        <v/>
      </c>
      <c r="S42" s="43" t="n"/>
      <c r="T42" s="43" t="n"/>
    </row>
    <row r="43" ht="12.75" customHeight="1">
      <c r="A43" s="40" t="inlineStr">
        <is>
          <t>S6</t>
        </is>
      </c>
      <c r="B43" s="40">
        <f>VLOOKUP(A43,Members!$A$2:$B$65,2,FALSE)</f>
        <v/>
      </c>
      <c r="C43" s="41" t="n">
        <v>0</v>
      </c>
      <c r="D43" s="41">
        <f>SUM($C$3:$C$5)/64</f>
        <v/>
      </c>
      <c r="E43" s="41">
        <f>C43+D43</f>
        <v/>
      </c>
      <c r="F43" s="41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$T$11/64</f>
        <v/>
      </c>
      <c r="L43" s="41" t="n">
        <v>0</v>
      </c>
      <c r="M43" s="41" t="n">
        <v>0</v>
      </c>
      <c r="N43" s="41" t="n">
        <v>0</v>
      </c>
      <c r="O43" s="41" t="n">
        <v>0</v>
      </c>
      <c r="P43" s="41" t="n"/>
      <c r="Q43" s="41" t="n"/>
      <c r="R43" s="41">
        <f>(J43+K43+L43+M43+N43+O43)*$B$2</f>
        <v/>
      </c>
      <c r="S43" s="41" t="n"/>
      <c r="T43" s="41" t="n"/>
    </row>
    <row r="44" ht="12.75" customHeight="1">
      <c r="A44" s="42" t="inlineStr">
        <is>
          <t>S7</t>
        </is>
      </c>
      <c r="B44" s="42">
        <f>VLOOKUP(A44,Members!$A$2:$B$65,2,FALSE)</f>
        <v/>
      </c>
      <c r="C44" s="43" t="n">
        <v>0</v>
      </c>
      <c r="D44" s="43">
        <f>SUM($C$3:$C$5)/64</f>
        <v/>
      </c>
      <c r="E44" s="43">
        <f>C44+D44</f>
        <v/>
      </c>
      <c r="F44" s="43">
        <f>IF($C$70=0, 0, E44/$C$70)</f>
        <v/>
      </c>
      <c r="G44" s="43">
        <f>F44*$T$5</f>
        <v/>
      </c>
      <c r="H44" s="43" t="n">
        <v>3</v>
      </c>
      <c r="I44" s="43">
        <f>$T$7*H44</f>
        <v/>
      </c>
      <c r="J44" s="43">
        <f>G44+$T$9+I44</f>
        <v/>
      </c>
      <c r="K44" s="43">
        <f>$T$11/64</f>
        <v/>
      </c>
      <c r="L44" s="43" t="n">
        <v>0</v>
      </c>
      <c r="M44" s="43" t="n">
        <v>0</v>
      </c>
      <c r="N44" s="43" t="n">
        <v>0</v>
      </c>
      <c r="O44" s="43" t="n">
        <v>0</v>
      </c>
      <c r="P44" s="43" t="n"/>
      <c r="Q44" s="43" t="n"/>
      <c r="R44" s="43">
        <f>(J44+K44+L44+M44+N44+O44)*$B$2</f>
        <v/>
      </c>
      <c r="S44" s="43" t="n"/>
      <c r="T44" s="43" t="n"/>
    </row>
    <row r="45" ht="12.75" customHeight="1">
      <c r="A45" s="40" t="inlineStr">
        <is>
          <t>S8</t>
        </is>
      </c>
      <c r="B45" s="40">
        <f>VLOOKUP(A45,Members!$A$2:$B$65,2,FALSE)</f>
        <v/>
      </c>
      <c r="C45" s="41" t="n">
        <v>0</v>
      </c>
      <c r="D45" s="41">
        <f>SUM($C$3:$C$5)/64</f>
        <v/>
      </c>
      <c r="E45" s="41">
        <f>C45+D45</f>
        <v/>
      </c>
      <c r="F45" s="41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$T$11/64</f>
        <v/>
      </c>
      <c r="L45" s="41" t="n">
        <v>0</v>
      </c>
      <c r="M45" s="41" t="n">
        <v>0</v>
      </c>
      <c r="N45" s="41" t="n">
        <v>0</v>
      </c>
      <c r="O45" s="41" t="n">
        <v>0</v>
      </c>
      <c r="P45" s="41" t="n"/>
      <c r="Q45" s="41" t="n"/>
      <c r="R45" s="41">
        <f>(J45+K45+L45+M45+N45+O45)*$B$2</f>
        <v/>
      </c>
      <c r="S45" s="41" t="n"/>
      <c r="T45" s="41" t="n"/>
    </row>
    <row r="46" ht="12.75" customHeight="1">
      <c r="A46" s="42" t="inlineStr">
        <is>
          <t>S9</t>
        </is>
      </c>
      <c r="B46" s="42">
        <f>VLOOKUP(A46,Members!$A$2:$B$65,2,FALSE)</f>
        <v/>
      </c>
      <c r="C46" s="43" t="n">
        <v>0</v>
      </c>
      <c r="D46" s="43">
        <f>SUM($C$3:$C$5)/64</f>
        <v/>
      </c>
      <c r="E46" s="43">
        <f>C46+D46</f>
        <v/>
      </c>
      <c r="F46" s="43">
        <f>IF($C$70=0, 0, E46/$C$70)</f>
        <v/>
      </c>
      <c r="G46" s="43">
        <f>F46*$T$5</f>
        <v/>
      </c>
      <c r="H46" s="43" t="n">
        <v>4</v>
      </c>
      <c r="I46" s="43">
        <f>$T$7*H46</f>
        <v/>
      </c>
      <c r="J46" s="43">
        <f>G46+$T$9+I46</f>
        <v/>
      </c>
      <c r="K46" s="43">
        <f>$T$11/64</f>
        <v/>
      </c>
      <c r="L46" s="43" t="n">
        <v>0</v>
      </c>
      <c r="M46" s="43" t="n">
        <v>0</v>
      </c>
      <c r="N46" s="43" t="n">
        <v>0</v>
      </c>
      <c r="O46" s="43" t="n">
        <v>0</v>
      </c>
      <c r="P46" s="43" t="n"/>
      <c r="Q46" s="43" t="n"/>
      <c r="R46" s="43">
        <f>(J46+K46+L46+M46+N46+O46)*$B$2</f>
        <v/>
      </c>
      <c r="S46" s="43" t="n"/>
      <c r="T46" s="43" t="n"/>
    </row>
    <row r="47" ht="12.75" customHeight="1">
      <c r="A47" s="40" t="inlineStr">
        <is>
          <t>S10</t>
        </is>
      </c>
      <c r="B47" s="40">
        <f>VLOOKUP(A47,Members!$A$2:$B$65,2,FALSE)</f>
        <v/>
      </c>
      <c r="C47" s="41" t="n">
        <v>0</v>
      </c>
      <c r="D47" s="41">
        <f>SUM($C$3:$C$5)/64</f>
        <v/>
      </c>
      <c r="E47" s="41">
        <f>C47+D47</f>
        <v/>
      </c>
      <c r="F47" s="41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$T$11/64</f>
        <v/>
      </c>
      <c r="L47" s="41" t="n">
        <v>0</v>
      </c>
      <c r="M47" s="41" t="n">
        <v>0</v>
      </c>
      <c r="N47" s="41" t="n">
        <v>0</v>
      </c>
      <c r="O47" s="41" t="n">
        <v>0</v>
      </c>
      <c r="P47" s="41" t="n"/>
      <c r="Q47" s="41" t="n"/>
      <c r="R47" s="41">
        <f>(J47+K47+L47+M47+N47+O47)*$B$2</f>
        <v/>
      </c>
      <c r="S47" s="41" t="n"/>
      <c r="T47" s="41" t="n"/>
    </row>
    <row r="48" ht="12.75" customHeight="1">
      <c r="A48" s="42" t="inlineStr">
        <is>
          <t>S11</t>
        </is>
      </c>
      <c r="B48" s="42">
        <f>VLOOKUP(A48,Members!$A$2:$B$65,2,FALSE)</f>
        <v/>
      </c>
      <c r="C48" s="43" t="n">
        <v>0</v>
      </c>
      <c r="D48" s="43">
        <f>SUM($C$3:$C$5)/64</f>
        <v/>
      </c>
      <c r="E48" s="43">
        <f>C48+D48</f>
        <v/>
      </c>
      <c r="F48" s="43">
        <f>IF($C$70=0, 0, E48/$C$70)</f>
        <v/>
      </c>
      <c r="G48" s="43">
        <f>F48*$T$5</f>
        <v/>
      </c>
      <c r="H48" s="43" t="n">
        <v>3</v>
      </c>
      <c r="I48" s="43">
        <f>$T$7*H48</f>
        <v/>
      </c>
      <c r="J48" s="43">
        <f>G48+$T$9+I48</f>
        <v/>
      </c>
      <c r="K48" s="43">
        <f>$T$11/64</f>
        <v/>
      </c>
      <c r="L48" s="43" t="n">
        <v>0</v>
      </c>
      <c r="M48" s="43" t="n">
        <v>0</v>
      </c>
      <c r="N48" s="43" t="n">
        <v>0</v>
      </c>
      <c r="O48" s="43" t="n">
        <v>0</v>
      </c>
      <c r="P48" s="43" t="n"/>
      <c r="Q48" s="43" t="n"/>
      <c r="R48" s="43">
        <f>(J48+K48+L48+M48+N48+O48)*$B$2</f>
        <v/>
      </c>
      <c r="S48" s="43" t="n"/>
      <c r="T48" s="43" t="n"/>
    </row>
    <row r="49" ht="12.75" customHeight="1">
      <c r="A49" s="40" t="inlineStr">
        <is>
          <t>S12</t>
        </is>
      </c>
      <c r="B49" s="40">
        <f>VLOOKUP(A49,Members!$A$2:$B$65,2,FALSE)</f>
        <v/>
      </c>
      <c r="C49" s="41" t="n">
        <v>0</v>
      </c>
      <c r="D49" s="41">
        <f>SUM($C$3:$C$5)/64</f>
        <v/>
      </c>
      <c r="E49" s="41">
        <f>C49+D49</f>
        <v/>
      </c>
      <c r="F49" s="41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$T$11/64</f>
        <v/>
      </c>
      <c r="L49" s="41" t="n">
        <v>0</v>
      </c>
      <c r="M49" s="41" t="n">
        <v>0</v>
      </c>
      <c r="N49" s="41" t="n">
        <v>0</v>
      </c>
      <c r="O49" s="41" t="n">
        <v>0</v>
      </c>
      <c r="P49" s="41" t="n"/>
      <c r="Q49" s="41" t="n"/>
      <c r="R49" s="41">
        <f>(J49+K49+L49+M49+N49+O49)*$B$2</f>
        <v/>
      </c>
      <c r="S49" s="41" t="n"/>
      <c r="T49" s="41" t="n"/>
    </row>
    <row r="50" ht="12.75" customHeight="1">
      <c r="A50" s="42" t="inlineStr">
        <is>
          <t>S13</t>
        </is>
      </c>
      <c r="B50" s="42">
        <f>VLOOKUP(A50,Members!$A$2:$B$65,2,FALSE)</f>
        <v/>
      </c>
      <c r="C50" s="43" t="n">
        <v>0</v>
      </c>
      <c r="D50" s="43">
        <f>SUM($C$3:$C$5)/64</f>
        <v/>
      </c>
      <c r="E50" s="43">
        <f>C50+D50</f>
        <v/>
      </c>
      <c r="F50" s="43">
        <f>IF($C$70=0, 0, E50/$C$70)</f>
        <v/>
      </c>
      <c r="G50" s="43">
        <f>F50*$T$5</f>
        <v/>
      </c>
      <c r="H50" s="43" t="n">
        <v>4</v>
      </c>
      <c r="I50" s="43">
        <f>$T$7*H50</f>
        <v/>
      </c>
      <c r="J50" s="43">
        <f>G50+$T$9+I50</f>
        <v/>
      </c>
      <c r="K50" s="43">
        <f>$T$11/64</f>
        <v/>
      </c>
      <c r="L50" s="43" t="n">
        <v>0</v>
      </c>
      <c r="M50" s="43" t="n">
        <v>0</v>
      </c>
      <c r="N50" s="43" t="n">
        <v>0</v>
      </c>
      <c r="O50" s="43" t="n">
        <v>0</v>
      </c>
      <c r="P50" s="43" t="n"/>
      <c r="Q50" s="43" t="n"/>
      <c r="R50" s="43">
        <f>(J50+K50+L50+M50+N50+O50)*$B$2</f>
        <v/>
      </c>
      <c r="S50" s="43" t="n"/>
      <c r="T50" s="43" t="n"/>
    </row>
    <row r="51" ht="12.75" customHeight="1">
      <c r="A51" s="40" t="inlineStr">
        <is>
          <t>S14</t>
        </is>
      </c>
      <c r="B51" s="40">
        <f>VLOOKUP(A51,Members!$A$2:$B$65,2,FALSE)</f>
        <v/>
      </c>
      <c r="C51" s="41" t="n">
        <v>0</v>
      </c>
      <c r="D51" s="41">
        <f>SUM($C$3:$C$5)/64</f>
        <v/>
      </c>
      <c r="E51" s="41">
        <f>C51+D51</f>
        <v/>
      </c>
      <c r="F51" s="41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$T$11/64</f>
        <v/>
      </c>
      <c r="L51" s="41" t="n">
        <v>0</v>
      </c>
      <c r="M51" s="41" t="n">
        <v>0</v>
      </c>
      <c r="N51" s="41" t="n">
        <v>0</v>
      </c>
      <c r="O51" s="41" t="n">
        <v>0</v>
      </c>
      <c r="P51" s="41" t="n"/>
      <c r="Q51" s="41" t="n"/>
      <c r="R51" s="41">
        <f>(J51+K51+L51+M51+N51+O51)*$B$2</f>
        <v/>
      </c>
      <c r="S51" s="41" t="n"/>
      <c r="T51" s="41" t="n"/>
    </row>
    <row r="52" ht="12.75" customHeight="1">
      <c r="A52" s="42" t="inlineStr">
        <is>
          <t>S15</t>
        </is>
      </c>
      <c r="B52" s="42">
        <f>VLOOKUP(A52,Members!$A$2:$B$65,2,FALSE)</f>
        <v/>
      </c>
      <c r="C52" s="43" t="n">
        <v>0</v>
      </c>
      <c r="D52" s="43">
        <f>SUM($C$3:$C$5)/64</f>
        <v/>
      </c>
      <c r="E52" s="43">
        <f>C52+D52</f>
        <v/>
      </c>
      <c r="F52" s="43">
        <f>IF($C$70=0, 0, E52/$C$70)</f>
        <v/>
      </c>
      <c r="G52" s="43">
        <f>F52*$T$5</f>
        <v/>
      </c>
      <c r="H52" s="43" t="n">
        <v>4</v>
      </c>
      <c r="I52" s="43">
        <f>$T$7*H52</f>
        <v/>
      </c>
      <c r="J52" s="43">
        <f>G52+$T$9+I52</f>
        <v/>
      </c>
      <c r="K52" s="43">
        <f>$T$11/64</f>
        <v/>
      </c>
      <c r="L52" s="43" t="n">
        <v>0</v>
      </c>
      <c r="M52" s="43" t="n">
        <v>0</v>
      </c>
      <c r="N52" s="43" t="n">
        <v>0</v>
      </c>
      <c r="O52" s="43" t="n">
        <v>0</v>
      </c>
      <c r="P52" s="43" t="n"/>
      <c r="Q52" s="43" t="n"/>
      <c r="R52" s="43">
        <f>(J52+K52+L52+M52+N52+O52)*$B$2</f>
        <v/>
      </c>
      <c r="S52" s="43" t="n"/>
      <c r="T52" s="43" t="n"/>
    </row>
    <row r="53" ht="12.75" customHeight="1">
      <c r="A53" s="40" t="inlineStr">
        <is>
          <t>S16</t>
        </is>
      </c>
      <c r="B53" s="40">
        <f>VLOOKUP(A53,Members!$A$2:$B$65,2,FALSE)</f>
        <v/>
      </c>
      <c r="C53" s="41" t="n">
        <v>0</v>
      </c>
      <c r="D53" s="41">
        <f>SUM($C$3:$C$5)/64</f>
        <v/>
      </c>
      <c r="E53" s="41">
        <f>C53+D53</f>
        <v/>
      </c>
      <c r="F53" s="41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$T$11/64</f>
        <v/>
      </c>
      <c r="L53" s="41" t="n">
        <v>0</v>
      </c>
      <c r="M53" s="41" t="n">
        <v>0</v>
      </c>
      <c r="N53" s="41" t="n">
        <v>0</v>
      </c>
      <c r="O53" s="41" t="n">
        <v>0</v>
      </c>
      <c r="P53" s="41" t="n"/>
      <c r="Q53" s="41" t="n"/>
      <c r="R53" s="41">
        <f>(J53+K53+L53+M53+N53+O53)*$B$2</f>
        <v/>
      </c>
      <c r="S53" s="41" t="n"/>
      <c r="T53" s="41" t="n"/>
    </row>
    <row r="54" ht="12.75" customHeight="1">
      <c r="A54" s="42" t="inlineStr">
        <is>
          <t>T1</t>
        </is>
      </c>
      <c r="B54" s="42">
        <f>VLOOKUP(A54,Members!$A$2:$B$65,2,FALSE)</f>
        <v/>
      </c>
      <c r="C54" s="43" t="n">
        <v>0</v>
      </c>
      <c r="D54" s="43">
        <f>SUM($C$3:$C$5)/64</f>
        <v/>
      </c>
      <c r="E54" s="43">
        <f>C54+D54</f>
        <v/>
      </c>
      <c r="F54" s="43">
        <f>IF($C$70=0, 0, E54/$C$70)</f>
        <v/>
      </c>
      <c r="G54" s="43">
        <f>F54*$T$5</f>
        <v/>
      </c>
      <c r="H54" s="43" t="n">
        <v>3</v>
      </c>
      <c r="I54" s="43">
        <f>$T$7*H54</f>
        <v/>
      </c>
      <c r="J54" s="43">
        <f>G54+$T$9+I54</f>
        <v/>
      </c>
      <c r="K54" s="43">
        <f>$T$11/64</f>
        <v/>
      </c>
      <c r="L54" s="43" t="n">
        <v>0</v>
      </c>
      <c r="M54" s="43" t="n">
        <v>0</v>
      </c>
      <c r="N54" s="43" t="n">
        <v>0</v>
      </c>
      <c r="O54" s="43" t="n">
        <v>0</v>
      </c>
      <c r="P54" s="43" t="n"/>
      <c r="Q54" s="43" t="n"/>
      <c r="R54" s="43">
        <f>(J54+K54+L54+M54+N54+O54)*$B$2</f>
        <v/>
      </c>
      <c r="S54" s="43" t="n"/>
      <c r="T54" s="43" t="n"/>
    </row>
    <row r="55" ht="12.75" customHeight="1">
      <c r="A55" s="40" t="inlineStr">
        <is>
          <t>T2</t>
        </is>
      </c>
      <c r="B55" s="40">
        <f>VLOOKUP(A55,Members!$A$2:$B$65,2,FALSE)</f>
        <v/>
      </c>
      <c r="C55" s="41" t="n">
        <v>0</v>
      </c>
      <c r="D55" s="41">
        <f>SUM($C$3:$C$5)/64</f>
        <v/>
      </c>
      <c r="E55" s="41">
        <f>C55+D55</f>
        <v/>
      </c>
      <c r="F55" s="41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$T$11/64</f>
        <v/>
      </c>
      <c r="L55" s="41" t="n">
        <v>0</v>
      </c>
      <c r="M55" s="41" t="n">
        <v>0</v>
      </c>
      <c r="N55" s="41" t="n">
        <v>0</v>
      </c>
      <c r="O55" s="41" t="n">
        <v>0</v>
      </c>
      <c r="P55" s="41" t="n"/>
      <c r="Q55" s="41" t="n"/>
      <c r="R55" s="41">
        <f>(J55+K55+L55+M55+N55+O55)*$B$2</f>
        <v/>
      </c>
      <c r="S55" s="41" t="n"/>
      <c r="T55" s="41" t="n"/>
    </row>
    <row r="56" ht="12.75" customHeight="1">
      <c r="A56" s="42" t="inlineStr">
        <is>
          <t>T3</t>
        </is>
      </c>
      <c r="B56" s="42">
        <f>VLOOKUP(A56,Members!$A$2:$B$65,2,FALSE)</f>
        <v/>
      </c>
      <c r="C56" s="43" t="n">
        <v>0</v>
      </c>
      <c r="D56" s="43">
        <f>SUM($C$3:$C$5)/64</f>
        <v/>
      </c>
      <c r="E56" s="43">
        <f>C56+D56</f>
        <v/>
      </c>
      <c r="F56" s="43">
        <f>IF($C$70=0, 0, E56/$C$70)</f>
        <v/>
      </c>
      <c r="G56" s="43">
        <f>F56*$T$5</f>
        <v/>
      </c>
      <c r="H56" s="43" t="n">
        <v>4</v>
      </c>
      <c r="I56" s="43">
        <f>$T$7*H56</f>
        <v/>
      </c>
      <c r="J56" s="43">
        <f>G56+$T$9+I56</f>
        <v/>
      </c>
      <c r="K56" s="43">
        <f>$T$11/64</f>
        <v/>
      </c>
      <c r="L56" s="43" t="n">
        <v>0</v>
      </c>
      <c r="M56" s="43" t="n">
        <v>0</v>
      </c>
      <c r="N56" s="43" t="n">
        <v>0</v>
      </c>
      <c r="O56" s="43" t="n">
        <v>0</v>
      </c>
      <c r="P56" s="43" t="n"/>
      <c r="Q56" s="43" t="n"/>
      <c r="R56" s="43">
        <f>(J56+K56+L56+M56+N56+O56)*$B$2</f>
        <v/>
      </c>
      <c r="S56" s="43" t="n"/>
      <c r="T56" s="43" t="n"/>
    </row>
    <row r="57" ht="12.75" customHeight="1">
      <c r="A57" s="40" t="inlineStr">
        <is>
          <t>T4</t>
        </is>
      </c>
      <c r="B57" s="40">
        <f>VLOOKUP(A57,Members!$A$2:$B$65,2,FALSE)</f>
        <v/>
      </c>
      <c r="C57" s="41" t="n">
        <v>0</v>
      </c>
      <c r="D57" s="41">
        <f>SUM($C$3:$C$5)/64</f>
        <v/>
      </c>
      <c r="E57" s="41">
        <f>C57+D57</f>
        <v/>
      </c>
      <c r="F57" s="41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$T$11/64</f>
        <v/>
      </c>
      <c r="L57" s="41" t="n">
        <v>0</v>
      </c>
      <c r="M57" s="41" t="n">
        <v>0</v>
      </c>
      <c r="N57" s="41" t="n">
        <v>0</v>
      </c>
      <c r="O57" s="41" t="n">
        <v>0</v>
      </c>
      <c r="P57" s="41" t="n"/>
      <c r="Q57" s="41" t="n"/>
      <c r="R57" s="41">
        <f>(J57+K57+L57+M57+N57+O57)*$B$2</f>
        <v/>
      </c>
      <c r="S57" s="41" t="n"/>
      <c r="T57" s="41" t="n"/>
    </row>
    <row r="58" ht="12.75" customHeight="1">
      <c r="A58" s="42" t="inlineStr">
        <is>
          <t>T5</t>
        </is>
      </c>
      <c r="B58" s="42">
        <f>VLOOKUP(A58,Members!$A$2:$B$65,2,FALSE)</f>
        <v/>
      </c>
      <c r="C58" s="43" t="n">
        <v>0</v>
      </c>
      <c r="D58" s="43">
        <f>SUM($C$3:$C$5)/64</f>
        <v/>
      </c>
      <c r="E58" s="43">
        <f>C58+D58</f>
        <v/>
      </c>
      <c r="F58" s="43">
        <f>IF($C$70=0, 0, E58/$C$70)</f>
        <v/>
      </c>
      <c r="G58" s="43">
        <f>F58*$T$5</f>
        <v/>
      </c>
      <c r="H58" s="43" t="n">
        <v>3</v>
      </c>
      <c r="I58" s="43">
        <f>$T$7*H58</f>
        <v/>
      </c>
      <c r="J58" s="43">
        <f>G58+$T$9+I58</f>
        <v/>
      </c>
      <c r="K58" s="43">
        <f>$T$11/64</f>
        <v/>
      </c>
      <c r="L58" s="43" t="n">
        <v>0</v>
      </c>
      <c r="M58" s="43" t="n">
        <v>0</v>
      </c>
      <c r="N58" s="43" t="n">
        <v>0</v>
      </c>
      <c r="O58" s="43" t="n">
        <v>0</v>
      </c>
      <c r="P58" s="43" t="n"/>
      <c r="Q58" s="43" t="n"/>
      <c r="R58" s="43">
        <f>(J58+K58+L58+M58+N58+O58)*$B$2</f>
        <v/>
      </c>
      <c r="S58" s="43" t="n"/>
      <c r="T58" s="43" t="n"/>
    </row>
    <row r="59" ht="12.75" customHeight="1">
      <c r="A59" s="40" t="inlineStr">
        <is>
          <t>T6</t>
        </is>
      </c>
      <c r="B59" s="40">
        <f>VLOOKUP(A59,Members!$A$2:$B$65,2,FALSE)</f>
        <v/>
      </c>
      <c r="C59" s="41" t="n">
        <v>0</v>
      </c>
      <c r="D59" s="41">
        <f>SUM($C$3:$C$5)/64</f>
        <v/>
      </c>
      <c r="E59" s="41">
        <f>C59+D59</f>
        <v/>
      </c>
      <c r="F59" s="41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$T$11/64</f>
        <v/>
      </c>
      <c r="L59" s="41" t="n">
        <v>0</v>
      </c>
      <c r="M59" s="41" t="n">
        <v>0</v>
      </c>
      <c r="N59" s="41" t="n">
        <v>0</v>
      </c>
      <c r="O59" s="41" t="n">
        <v>0</v>
      </c>
      <c r="P59" s="41" t="n"/>
      <c r="Q59" s="41" t="n"/>
      <c r="R59" s="41">
        <f>(J59+K59+L59+M59+N59+O59)*$B$2</f>
        <v/>
      </c>
      <c r="S59" s="41" t="n"/>
      <c r="T59" s="41" t="n"/>
    </row>
    <row r="60" ht="12.75" customHeight="1">
      <c r="A60" s="42" t="inlineStr">
        <is>
          <t>T7</t>
        </is>
      </c>
      <c r="B60" s="42">
        <f>VLOOKUP(A60,Members!$A$2:$B$65,2,FALSE)</f>
        <v/>
      </c>
      <c r="C60" s="43" t="n">
        <v>0</v>
      </c>
      <c r="D60" s="43">
        <f>SUM($C$3:$C$5)/64</f>
        <v/>
      </c>
      <c r="E60" s="43">
        <f>C60+D60</f>
        <v/>
      </c>
      <c r="F60" s="43">
        <f>IF($C$70=0, 0, E60/$C$70)</f>
        <v/>
      </c>
      <c r="G60" s="43">
        <f>F60*$T$5</f>
        <v/>
      </c>
      <c r="H60" s="43" t="n">
        <v>3</v>
      </c>
      <c r="I60" s="43">
        <f>$T$7*H60</f>
        <v/>
      </c>
      <c r="J60" s="43">
        <f>G60+$T$9+I60</f>
        <v/>
      </c>
      <c r="K60" s="43">
        <f>$T$11/64</f>
        <v/>
      </c>
      <c r="L60" s="43" t="n">
        <v>0</v>
      </c>
      <c r="M60" s="43" t="n">
        <v>0</v>
      </c>
      <c r="N60" s="43" t="n">
        <v>0</v>
      </c>
      <c r="O60" s="43" t="n">
        <v>0</v>
      </c>
      <c r="P60" s="43" t="n"/>
      <c r="Q60" s="43" t="n"/>
      <c r="R60" s="43">
        <f>(J60+K60+L60+M60+N60+O60)*$B$2</f>
        <v/>
      </c>
      <c r="S60" s="43" t="n"/>
      <c r="T60" s="43" t="n"/>
    </row>
    <row r="61" ht="12.75" customHeight="1">
      <c r="A61" s="40" t="inlineStr">
        <is>
          <t>T8</t>
        </is>
      </c>
      <c r="B61" s="40">
        <f>VLOOKUP(A61,Members!$A$2:$B$65,2,FALSE)</f>
        <v/>
      </c>
      <c r="C61" s="41" t="n">
        <v>0</v>
      </c>
      <c r="D61" s="41">
        <f>SUM($C$3:$C$5)/64</f>
        <v/>
      </c>
      <c r="E61" s="41">
        <f>C61+D61</f>
        <v/>
      </c>
      <c r="F61" s="41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$T$11/64</f>
        <v/>
      </c>
      <c r="L61" s="41" t="n">
        <v>0</v>
      </c>
      <c r="M61" s="41" t="n">
        <v>0</v>
      </c>
      <c r="N61" s="41" t="n">
        <v>0</v>
      </c>
      <c r="O61" s="41" t="n">
        <v>0</v>
      </c>
      <c r="P61" s="41" t="n"/>
      <c r="Q61" s="41" t="n"/>
      <c r="R61" s="41">
        <f>(J61+K61+L61+M61+N61+O61)*$B$2</f>
        <v/>
      </c>
      <c r="S61" s="41" t="n"/>
      <c r="T61" s="41" t="n"/>
    </row>
    <row r="62" ht="12.75" customHeight="1">
      <c r="A62" s="42" t="inlineStr">
        <is>
          <t>T9</t>
        </is>
      </c>
      <c r="B62" s="42">
        <f>VLOOKUP(A62,Members!$A$2:$B$65,2,FALSE)</f>
        <v/>
      </c>
      <c r="C62" s="43" t="n">
        <v>0</v>
      </c>
      <c r="D62" s="43">
        <f>SUM($C$3:$C$5)/64</f>
        <v/>
      </c>
      <c r="E62" s="43">
        <f>C62+D62</f>
        <v/>
      </c>
      <c r="F62" s="43">
        <f>IF($C$70=0, 0, E62/$C$70)</f>
        <v/>
      </c>
      <c r="G62" s="43">
        <f>F62*$T$5</f>
        <v/>
      </c>
      <c r="H62" s="43" t="n">
        <v>4</v>
      </c>
      <c r="I62" s="43">
        <f>$T$7*H62</f>
        <v/>
      </c>
      <c r="J62" s="43">
        <f>G62+$T$9+I62</f>
        <v/>
      </c>
      <c r="K62" s="43">
        <f>$T$11/64</f>
        <v/>
      </c>
      <c r="L62" s="43" t="n">
        <v>0</v>
      </c>
      <c r="M62" s="43" t="n">
        <v>0</v>
      </c>
      <c r="N62" s="43" t="n">
        <v>0</v>
      </c>
      <c r="O62" s="43" t="n">
        <v>0</v>
      </c>
      <c r="P62" s="43" t="n"/>
      <c r="Q62" s="43" t="n"/>
      <c r="R62" s="43">
        <f>(J62+K62+L62+M62+N62+O62)*$B$2</f>
        <v/>
      </c>
      <c r="S62" s="43" t="n"/>
      <c r="T62" s="43" t="n"/>
    </row>
    <row r="63" ht="12.75" customHeight="1">
      <c r="A63" s="40" t="inlineStr">
        <is>
          <t>T10</t>
        </is>
      </c>
      <c r="B63" s="40">
        <f>VLOOKUP(A63,Members!$A$2:$B$65,2,FALSE)</f>
        <v/>
      </c>
      <c r="C63" s="41" t="n">
        <v>0</v>
      </c>
      <c r="D63" s="41">
        <f>SUM($C$3:$C$5)/64</f>
        <v/>
      </c>
      <c r="E63" s="41">
        <f>C63+D63</f>
        <v/>
      </c>
      <c r="F63" s="41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$T$11/64</f>
        <v/>
      </c>
      <c r="L63" s="41" t="n">
        <v>0</v>
      </c>
      <c r="M63" s="41" t="n">
        <v>0</v>
      </c>
      <c r="N63" s="41" t="n">
        <v>0</v>
      </c>
      <c r="O63" s="41" t="n">
        <v>0</v>
      </c>
      <c r="P63" s="41" t="n"/>
      <c r="Q63" s="41" t="n"/>
      <c r="R63" s="41">
        <f>(J63+K63+L63+M63+N63+O63)*$B$2</f>
        <v/>
      </c>
      <c r="S63" s="41" t="n"/>
      <c r="T63" s="41" t="n"/>
    </row>
    <row r="64" ht="12.75" customHeight="1">
      <c r="A64" s="42" t="inlineStr">
        <is>
          <t>T11</t>
        </is>
      </c>
      <c r="B64" s="42">
        <f>VLOOKUP(A64,Members!$A$2:$B$65,2,FALSE)</f>
        <v/>
      </c>
      <c r="C64" s="43" t="n">
        <v>0</v>
      </c>
      <c r="D64" s="43">
        <f>SUM($C$3:$C$5)/64</f>
        <v/>
      </c>
      <c r="E64" s="43">
        <f>C64+D64</f>
        <v/>
      </c>
      <c r="F64" s="43">
        <f>IF($C$70=0, 0, E64/$C$70)</f>
        <v/>
      </c>
      <c r="G64" s="43">
        <f>F64*$T$5</f>
        <v/>
      </c>
      <c r="H64" s="43" t="n">
        <v>3</v>
      </c>
      <c r="I64" s="43">
        <f>$T$7*H64</f>
        <v/>
      </c>
      <c r="J64" s="43">
        <f>G64+$T$9+I64</f>
        <v/>
      </c>
      <c r="K64" s="43">
        <f>$T$11/64</f>
        <v/>
      </c>
      <c r="L64" s="43" t="n">
        <v>0</v>
      </c>
      <c r="M64" s="43" t="n">
        <v>0</v>
      </c>
      <c r="N64" s="43" t="n">
        <v>0</v>
      </c>
      <c r="O64" s="43" t="n">
        <v>0</v>
      </c>
      <c r="P64" s="43" t="n"/>
      <c r="Q64" s="43" t="n"/>
      <c r="R64" s="43">
        <f>(J64+K64+L64+M64+N64+O64)*$B$2</f>
        <v/>
      </c>
      <c r="S64" s="43" t="n"/>
      <c r="T64" s="43" t="n"/>
    </row>
    <row r="65" ht="12.75" customHeight="1">
      <c r="A65" s="40" t="inlineStr">
        <is>
          <t>T12</t>
        </is>
      </c>
      <c r="B65" s="40">
        <f>VLOOKUP(A65,Members!$A$2:$B$65,2,FALSE)</f>
        <v/>
      </c>
      <c r="C65" s="41" t="n">
        <v>0</v>
      </c>
      <c r="D65" s="41">
        <f>SUM($C$3:$C$5)/64</f>
        <v/>
      </c>
      <c r="E65" s="41">
        <f>C65+D65</f>
        <v/>
      </c>
      <c r="F65" s="41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$T$11/64</f>
        <v/>
      </c>
      <c r="L65" s="41" t="n">
        <v>0</v>
      </c>
      <c r="M65" s="41" t="n">
        <v>0</v>
      </c>
      <c r="N65" s="41" t="n">
        <v>0</v>
      </c>
      <c r="O65" s="41" t="n">
        <v>0</v>
      </c>
      <c r="P65" s="41" t="n"/>
      <c r="Q65" s="41" t="n"/>
      <c r="R65" s="41">
        <f>(J65+K65+L65+M65+N65+O65)*$B$2</f>
        <v/>
      </c>
      <c r="S65" s="41" t="n"/>
      <c r="T65" s="41" t="n"/>
    </row>
    <row r="66" ht="12.75" customHeight="1">
      <c r="A66" s="42" t="inlineStr">
        <is>
          <t>T13</t>
        </is>
      </c>
      <c r="B66" s="42">
        <f>VLOOKUP(A66,Members!$A$2:$B$65,2,FALSE)</f>
        <v/>
      </c>
      <c r="C66" s="43" t="n">
        <v>0</v>
      </c>
      <c r="D66" s="43">
        <f>SUM($C$3:$C$5)/64</f>
        <v/>
      </c>
      <c r="E66" s="43">
        <f>C66+D66</f>
        <v/>
      </c>
      <c r="F66" s="43">
        <f>IF($C$70=0, 0, E66/$C$70)</f>
        <v/>
      </c>
      <c r="G66" s="43">
        <f>F66*$T$5</f>
        <v/>
      </c>
      <c r="H66" s="43" t="n">
        <v>4</v>
      </c>
      <c r="I66" s="43">
        <f>$T$7*H66</f>
        <v/>
      </c>
      <c r="J66" s="43">
        <f>G66+$T$9+I66</f>
        <v/>
      </c>
      <c r="K66" s="43">
        <f>$T$11/64</f>
        <v/>
      </c>
      <c r="L66" s="43" t="n">
        <v>0</v>
      </c>
      <c r="M66" s="43" t="n">
        <v>0</v>
      </c>
      <c r="N66" s="43" t="n">
        <v>0</v>
      </c>
      <c r="O66" s="43" t="n">
        <v>0</v>
      </c>
      <c r="P66" s="43" t="n"/>
      <c r="Q66" s="43" t="n"/>
      <c r="R66" s="43">
        <f>(J66+K66+L66+M66+N66+O66)*$B$2</f>
        <v/>
      </c>
      <c r="S66" s="43" t="n"/>
      <c r="T66" s="43" t="n"/>
    </row>
    <row r="67" ht="12.75" customHeight="1">
      <c r="A67" s="40" t="inlineStr">
        <is>
          <t>T14</t>
        </is>
      </c>
      <c r="B67" s="40">
        <f>VLOOKUP(A67,Members!$A$2:$B$65,2,FALSE)</f>
        <v/>
      </c>
      <c r="C67" s="41" t="n">
        <v>0</v>
      </c>
      <c r="D67" s="41">
        <f>SUM($C$3:$C$5)/64</f>
        <v/>
      </c>
      <c r="E67" s="41">
        <f>C67+D67</f>
        <v/>
      </c>
      <c r="F67" s="41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$T$11/64</f>
        <v/>
      </c>
      <c r="L67" s="41" t="n">
        <v>0</v>
      </c>
      <c r="M67" s="41" t="n">
        <v>0</v>
      </c>
      <c r="N67" s="41" t="n">
        <v>0</v>
      </c>
      <c r="O67" s="41" t="n">
        <v>0</v>
      </c>
      <c r="P67" s="41" t="n"/>
      <c r="Q67" s="41" t="n"/>
      <c r="R67" s="41">
        <f>(J67+K67+L67+M67+N67+O67)*$B$2</f>
        <v/>
      </c>
      <c r="S67" s="41" t="n"/>
      <c r="T67" s="41" t="n"/>
    </row>
    <row r="68" ht="12.75" customHeight="1">
      <c r="A68" s="42" t="inlineStr">
        <is>
          <t>T15</t>
        </is>
      </c>
      <c r="B68" s="42">
        <f>VLOOKUP(A68,Members!$A$2:$B$65,2,FALSE)</f>
        <v/>
      </c>
      <c r="C68" s="43" t="n">
        <v>0</v>
      </c>
      <c r="D68" s="43">
        <f>SUM($C$3:$C$5)/64</f>
        <v/>
      </c>
      <c r="E68" s="43">
        <f>C68+D68</f>
        <v/>
      </c>
      <c r="F68" s="43">
        <f>IF($C$70=0, 0, E68/$C$70)</f>
        <v/>
      </c>
      <c r="G68" s="43">
        <f>F68*$T$5</f>
        <v/>
      </c>
      <c r="H68" s="43" t="n">
        <v>4</v>
      </c>
      <c r="I68" s="43">
        <f>$T$7*H68</f>
        <v/>
      </c>
      <c r="J68" s="43">
        <f>G68+$T$9+I68</f>
        <v/>
      </c>
      <c r="K68" s="43">
        <f>$T$11/64</f>
        <v/>
      </c>
      <c r="L68" s="43" t="n">
        <v>0</v>
      </c>
      <c r="M68" s="43" t="n">
        <v>0</v>
      </c>
      <c r="N68" s="43" t="n">
        <v>0</v>
      </c>
      <c r="O68" s="43" t="n">
        <v>0</v>
      </c>
      <c r="P68" s="43" t="n"/>
      <c r="Q68" s="43" t="n"/>
      <c r="R68" s="43">
        <f>(J68+K68+L68+M68+N68+O68)*$B$2</f>
        <v/>
      </c>
      <c r="S68" s="43" t="n"/>
      <c r="T68" s="43" t="n"/>
    </row>
    <row r="69" ht="12.75" customHeight="1">
      <c r="A69" s="40" t="inlineStr">
        <is>
          <t>T16</t>
        </is>
      </c>
      <c r="B69" s="40">
        <f>VLOOKUP(A69,Members!$A$2:$B$65,2,FALSE)</f>
        <v/>
      </c>
      <c r="C69" s="41" t="n">
        <v>0</v>
      </c>
      <c r="D69" s="41">
        <f>SUM($C$3:$C$5)/64</f>
        <v/>
      </c>
      <c r="E69" s="41">
        <f>C69+D69</f>
        <v/>
      </c>
      <c r="F69" s="41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$T$11/64</f>
        <v/>
      </c>
      <c r="L69" s="41" t="n">
        <v>0</v>
      </c>
      <c r="M69" s="41" t="n">
        <v>0</v>
      </c>
      <c r="N69" s="41" t="n">
        <v>0</v>
      </c>
      <c r="O69" s="41" t="n">
        <v>0</v>
      </c>
      <c r="P69" s="41" t="n"/>
      <c r="Q69" s="41" t="n"/>
      <c r="R69" s="41">
        <f>(J69+K69+L69+M69+N69+O69)*$B$2</f>
        <v/>
      </c>
      <c r="S69" s="41" t="n"/>
      <c r="T69" s="41" t="n"/>
    </row>
    <row r="70" ht="12.75" customHeight="1">
      <c r="A70" s="42" t="n"/>
      <c r="B70" s="42" t="inlineStr">
        <is>
          <t>TOTAL</t>
        </is>
      </c>
      <c r="C70" s="43">
        <f>SUM(C3:C69)</f>
        <v/>
      </c>
      <c r="D70" s="43">
        <f>SUM(D3:D69)</f>
        <v/>
      </c>
      <c r="E70" s="43">
        <f>SUM(E3:E69)</f>
        <v/>
      </c>
      <c r="F70" s="43">
        <f>IF($C$70=0, 0, E70/$C$70)</f>
        <v/>
      </c>
      <c r="G70" s="43">
        <f>SUM(G3:G69)</f>
        <v/>
      </c>
      <c r="H70" s="43">
        <f>SUM(H3:H69)</f>
        <v/>
      </c>
      <c r="I70" s="43">
        <f>SUM(I3:I69)</f>
        <v/>
      </c>
      <c r="J70" s="43">
        <f>SUM(J3:J69)</f>
        <v/>
      </c>
      <c r="K70" s="43">
        <f>SUM(K3:K69)</f>
        <v/>
      </c>
      <c r="L70" s="43">
        <f>SUM(L3:L69)</f>
        <v/>
      </c>
      <c r="M70" s="43">
        <f>SUM(M3:M69)</f>
        <v/>
      </c>
      <c r="N70" s="43">
        <f>SUM(N3:N69)</f>
        <v/>
      </c>
      <c r="O70" s="43">
        <f>SUM(O3:O69)</f>
        <v/>
      </c>
      <c r="P70" s="43" t="n"/>
      <c r="Q70" s="43" t="n"/>
      <c r="R70" s="43">
        <f>SUM(R3:R69)</f>
        <v/>
      </c>
      <c r="S70" s="43" t="n"/>
      <c r="T70" s="43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min="1" max="1"/>
    <col width="64.28515625" customWidth="1" min="2" max="2"/>
  </cols>
  <sheetData>
    <row r="1">
      <c r="A1" s="39" t="inlineStr">
        <is>
          <t>FLAT #</t>
        </is>
      </c>
      <c r="B1" s="39" t="n"/>
      <c r="C1" s="39" t="inlineStr">
        <is>
          <t>Amount</t>
        </is>
      </c>
      <c r="D1" s="66" t="inlineStr">
        <is>
          <t>Date</t>
        </is>
      </c>
      <c r="E1" s="39" t="inlineStr">
        <is>
          <t>Amount</t>
        </is>
      </c>
      <c r="F1" s="66" t="inlineStr">
        <is>
          <t>Date</t>
        </is>
      </c>
      <c r="G1" s="39" t="inlineStr">
        <is>
          <t>Amount</t>
        </is>
      </c>
      <c r="H1" s="57" t="inlineStr">
        <is>
          <t>Date</t>
        </is>
      </c>
      <c r="I1" s="39" t="inlineStr">
        <is>
          <t>Amount</t>
        </is>
      </c>
      <c r="J1" s="100" t="inlineStr">
        <is>
          <t>Date</t>
        </is>
      </c>
      <c r="K1" s="100" t="inlineStr">
        <is>
          <t>Total</t>
        </is>
      </c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  <c r="AA1" s="100" t="n"/>
    </row>
    <row r="2" ht="15" customHeight="1">
      <c r="A2" s="42" t="inlineStr">
        <is>
          <t>F1</t>
        </is>
      </c>
      <c r="B2" s="42">
        <f>VLOOKUP(A2,Members!$A$2:$B$65,2,FALSE)</f>
        <v/>
      </c>
      <c r="C2" s="47" t="n"/>
      <c r="D2" s="50" t="n"/>
      <c r="E2" s="47" t="n"/>
      <c r="F2" s="50" t="n"/>
      <c r="G2" s="47" t="n"/>
      <c r="H2" s="58" t="n"/>
      <c r="I2" s="47" t="n"/>
      <c r="J2" s="47" t="n"/>
      <c r="K2" s="47">
        <f>SUM(C2,E2,G2,I2)</f>
        <v/>
      </c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</row>
    <row r="3" ht="15" customHeight="1">
      <c r="A3" s="40" t="inlineStr">
        <is>
          <t>F2</t>
        </is>
      </c>
      <c r="B3" s="40">
        <f>VLOOKUP(A3,Members!$A$2:$B$65,2,FALSE)</f>
        <v/>
      </c>
      <c r="C3" s="104" t="n"/>
      <c r="D3" s="53" t="n"/>
      <c r="E3" s="104" t="n"/>
      <c r="F3" s="53" t="n"/>
      <c r="G3" s="104" t="n"/>
      <c r="H3" s="59" t="n"/>
      <c r="I3" s="104" t="n"/>
      <c r="J3" s="104" t="n"/>
      <c r="K3" s="104">
        <f>SUM(C3,E3,G3,I3)</f>
        <v/>
      </c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</row>
    <row r="4" ht="15" customHeight="1">
      <c r="A4" s="42" t="inlineStr">
        <is>
          <t>F3</t>
        </is>
      </c>
      <c r="B4" s="42">
        <f>VLOOKUP(A4,Members!$A$2:$B$65,2,FALSE)</f>
        <v/>
      </c>
      <c r="C4" s="47" t="n"/>
      <c r="D4" s="50" t="n"/>
      <c r="E4" s="43" t="n"/>
      <c r="F4" s="50" t="n"/>
      <c r="G4" s="47" t="n"/>
      <c r="H4" s="58" t="n"/>
      <c r="I4" s="47" t="n"/>
      <c r="J4" s="47" t="n"/>
      <c r="K4" s="47">
        <f>SUM(C4,E4,G4,I4)</f>
        <v/>
      </c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</row>
    <row r="5" ht="15" customHeight="1">
      <c r="A5" s="40" t="inlineStr">
        <is>
          <t>F4</t>
        </is>
      </c>
      <c r="B5" s="40">
        <f>VLOOKUP(A5,Members!$A$2:$B$65,2,FALSE)</f>
        <v/>
      </c>
      <c r="C5" s="41" t="n"/>
      <c r="D5" s="53" t="n"/>
      <c r="E5" s="104" t="n"/>
      <c r="F5" s="53" t="n"/>
      <c r="G5" s="104" t="n"/>
      <c r="H5" s="59" t="n"/>
      <c r="I5" s="104" t="n"/>
      <c r="J5" s="104" t="n"/>
      <c r="K5" s="41">
        <f>SUM(C5,E5,G5,I5)</f>
        <v/>
      </c>
      <c r="L5" s="104" t="n"/>
      <c r="M5" s="104" t="n"/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</row>
    <row r="6" ht="15" customHeight="1">
      <c r="A6" s="42" t="inlineStr">
        <is>
          <t>F5</t>
        </is>
      </c>
      <c r="B6" s="42">
        <f>VLOOKUP(A6,Members!$A$2:$B$65,2,FALSE)</f>
        <v/>
      </c>
      <c r="C6" s="47" t="n"/>
      <c r="D6" s="50" t="n"/>
      <c r="E6" s="47" t="n"/>
      <c r="F6" s="50" t="n"/>
      <c r="G6" s="47" t="n"/>
      <c r="H6" s="58" t="n"/>
      <c r="I6" s="47" t="n"/>
      <c r="J6" s="47" t="n"/>
      <c r="K6" s="47">
        <f>SUM(C6,E6,G6,I6)</f>
        <v/>
      </c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  <c r="AA6" s="47" t="n"/>
    </row>
    <row r="7" ht="15" customHeight="1">
      <c r="A7" s="40" t="inlineStr">
        <is>
          <t>F6</t>
        </is>
      </c>
      <c r="B7" s="40">
        <f>VLOOKUP(A7,Members!$A$2:$B$65,2,FALSE)</f>
        <v/>
      </c>
      <c r="C7" s="104" t="n"/>
      <c r="D7" s="53" t="n"/>
      <c r="E7" s="104" t="n"/>
      <c r="F7" s="53" t="n"/>
      <c r="G7" s="104" t="n"/>
      <c r="H7" s="59" t="n"/>
      <c r="I7" s="104" t="n"/>
      <c r="J7" s="104" t="n"/>
      <c r="K7" s="104">
        <f>SUM(C7,E7,G7,I7)</f>
        <v/>
      </c>
      <c r="L7" s="104" t="n"/>
      <c r="M7" s="104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</row>
    <row r="8" ht="15" customHeight="1">
      <c r="A8" s="42" t="inlineStr">
        <is>
          <t>F7</t>
        </is>
      </c>
      <c r="B8" s="42">
        <f>VLOOKUP(A8,Members!$A$2:$B$65,2,FALSE)</f>
        <v/>
      </c>
      <c r="C8" s="47" t="n"/>
      <c r="D8" s="50" t="n"/>
      <c r="E8" s="47" t="n"/>
      <c r="F8" s="50" t="n"/>
      <c r="G8" s="47" t="n"/>
      <c r="H8" s="58" t="n"/>
      <c r="I8" s="47" t="n"/>
      <c r="J8" s="47" t="n"/>
      <c r="K8" s="47">
        <f>SUM(C8,E8,G8,I8)</f>
        <v/>
      </c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  <c r="AA8" s="47" t="n"/>
    </row>
    <row r="9" ht="15" customHeight="1">
      <c r="A9" s="40" t="inlineStr">
        <is>
          <t>F8</t>
        </is>
      </c>
      <c r="B9" s="40">
        <f>VLOOKUP(A9,Members!$A$2:$B$65,2,FALSE)</f>
        <v/>
      </c>
      <c r="C9" s="41" t="n"/>
      <c r="D9" s="53" t="n"/>
      <c r="E9" s="104" t="n"/>
      <c r="F9" s="53" t="n"/>
      <c r="G9" s="104" t="n"/>
      <c r="H9" s="59" t="n"/>
      <c r="I9" s="104" t="n"/>
      <c r="J9" s="104" t="n"/>
      <c r="K9" s="41">
        <f>SUM(C9,E9,G9,I9)</f>
        <v/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</row>
    <row r="10" ht="15" customHeight="1">
      <c r="A10" s="42" t="inlineStr">
        <is>
          <t>F9</t>
        </is>
      </c>
      <c r="B10" s="42">
        <f>VLOOKUP(A10,Members!$A$2:$B$65,2,FALSE)</f>
        <v/>
      </c>
      <c r="C10" s="43" t="n"/>
      <c r="D10" s="50" t="n"/>
      <c r="E10" s="47" t="n"/>
      <c r="F10" s="50" t="n"/>
      <c r="G10" s="47" t="n"/>
      <c r="H10" s="58" t="n"/>
      <c r="I10" s="47" t="n"/>
      <c r="J10" s="47" t="n"/>
      <c r="K10" s="43">
        <f>SUM(C10,E10,G10,I10)</f>
        <v/>
      </c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  <c r="AA10" s="47" t="n"/>
    </row>
    <row r="11" ht="15" customHeight="1">
      <c r="A11" s="40" t="inlineStr">
        <is>
          <t>F10</t>
        </is>
      </c>
      <c r="B11" s="40">
        <f>VLOOKUP(A11,Members!$A$2:$B$65,2,FALSE)</f>
        <v/>
      </c>
      <c r="C11" s="41" t="n"/>
      <c r="D11" s="53" t="n"/>
      <c r="E11" s="104" t="n"/>
      <c r="F11" s="53" t="n"/>
      <c r="G11" s="104" t="n"/>
      <c r="H11" s="59" t="n"/>
      <c r="I11" s="104" t="n"/>
      <c r="J11" s="104" t="n"/>
      <c r="K11" s="41">
        <f>SUM(C11,E11,G11,I11)</f>
        <v/>
      </c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</row>
    <row r="12" ht="15" customHeight="1">
      <c r="A12" s="42" t="inlineStr">
        <is>
          <t>F11</t>
        </is>
      </c>
      <c r="B12" s="42">
        <f>VLOOKUP(A12,Members!$A$2:$B$65,2,FALSE)</f>
        <v/>
      </c>
      <c r="C12" s="43" t="n"/>
      <c r="D12" s="50" t="n"/>
      <c r="E12" s="47" t="n"/>
      <c r="F12" s="50" t="n"/>
      <c r="G12" s="47" t="n"/>
      <c r="H12" s="58" t="n"/>
      <c r="I12" s="47" t="n"/>
      <c r="J12" s="47" t="n"/>
      <c r="K12" s="43">
        <f>SUM(C12,E12,G12,I12)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</row>
    <row r="13" ht="15" customHeight="1">
      <c r="A13" s="40" t="inlineStr">
        <is>
          <t>F12</t>
        </is>
      </c>
      <c r="B13" s="40">
        <f>VLOOKUP(A13,Members!$A$2:$B$65,2,FALSE)</f>
        <v/>
      </c>
      <c r="C13" s="41" t="n"/>
      <c r="D13" s="53" t="n"/>
      <c r="E13" s="104" t="n"/>
      <c r="F13" s="53" t="n"/>
      <c r="G13" s="104" t="n"/>
      <c r="H13" s="59" t="n"/>
      <c r="I13" s="104" t="n"/>
      <c r="J13" s="104" t="n"/>
      <c r="K13" s="41">
        <f>SUM(C13,E13,G13,I13)</f>
        <v/>
      </c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</row>
    <row r="14" ht="15" customHeight="1">
      <c r="A14" s="42" t="inlineStr">
        <is>
          <t>F13</t>
        </is>
      </c>
      <c r="B14" s="42">
        <f>VLOOKUP(A14,Members!$A$2:$B$65,2,FALSE)</f>
        <v/>
      </c>
      <c r="C14" s="47" t="n"/>
      <c r="D14" s="50" t="n"/>
      <c r="E14" s="47" t="n"/>
      <c r="F14" s="50" t="n"/>
      <c r="G14" s="47" t="n"/>
      <c r="H14" s="58" t="n"/>
      <c r="I14" s="47" t="n"/>
      <c r="J14" s="47" t="n"/>
      <c r="K14" s="47">
        <f>SUM(C14,E14,G14,I14)</f>
        <v/>
      </c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  <c r="AA14" s="47" t="n"/>
    </row>
    <row r="15" ht="15" customHeight="1">
      <c r="A15" s="40" t="inlineStr">
        <is>
          <t>F14</t>
        </is>
      </c>
      <c r="B15" s="40">
        <f>VLOOKUP(A15,Members!$A$2:$B$65,2,FALSE)</f>
        <v/>
      </c>
      <c r="C15" s="41" t="n"/>
      <c r="D15" s="53" t="n"/>
      <c r="E15" s="104" t="n"/>
      <c r="F15" s="53" t="n"/>
      <c r="G15" s="104" t="n"/>
      <c r="H15" s="59" t="n"/>
      <c r="I15" s="104" t="n"/>
      <c r="J15" s="104" t="n"/>
      <c r="K15" s="41">
        <f>SUM(C15,E15,G15,I15)</f>
        <v/>
      </c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</row>
    <row r="16" ht="15" customHeight="1">
      <c r="A16" s="42" t="inlineStr">
        <is>
          <t>F15</t>
        </is>
      </c>
      <c r="B16" s="42">
        <f>VLOOKUP(A16,Members!$A$2:$B$65,2,FALSE)</f>
        <v/>
      </c>
      <c r="C16" s="47" t="n"/>
      <c r="D16" s="50" t="n"/>
      <c r="E16" s="47" t="n"/>
      <c r="F16" s="50" t="n"/>
      <c r="G16" s="47" t="n"/>
      <c r="H16" s="58" t="n"/>
      <c r="I16" s="47" t="n"/>
      <c r="J16" s="47" t="n"/>
      <c r="K16" s="47">
        <f>SUM(C16,E16,G16,I16)</f>
        <v/>
      </c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  <c r="AA16" s="47" t="n"/>
    </row>
    <row r="17" ht="15" customHeight="1">
      <c r="A17" s="40" t="inlineStr">
        <is>
          <t>F16</t>
        </is>
      </c>
      <c r="B17" s="40">
        <f>VLOOKUP(A17,Members!$A$2:$B$65,2,FALSE)</f>
        <v/>
      </c>
      <c r="C17" s="104" t="n"/>
      <c r="D17" s="53" t="n"/>
      <c r="E17" s="104" t="n"/>
      <c r="F17" s="53" t="n"/>
      <c r="G17" s="104" t="n"/>
      <c r="H17" s="59" t="n"/>
      <c r="I17" s="104" t="n"/>
      <c r="J17" s="104" t="n"/>
      <c r="K17" s="104">
        <f>SUM(C17,E17,G17,I17)</f>
        <v/>
      </c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</row>
    <row r="18" ht="15" customHeight="1">
      <c r="A18" s="42" t="inlineStr">
        <is>
          <t>G1</t>
        </is>
      </c>
      <c r="B18" s="42">
        <f>VLOOKUP(A18,Members!$A$2:$B$65,2,FALSE)</f>
        <v/>
      </c>
      <c r="C18" s="43" t="n"/>
      <c r="D18" s="50" t="n"/>
      <c r="E18" s="43" t="n"/>
      <c r="F18" s="50" t="n"/>
      <c r="G18" s="47" t="n"/>
      <c r="H18" s="58" t="n"/>
      <c r="I18" s="47" t="n"/>
      <c r="J18" s="47" t="n"/>
      <c r="K18" s="43">
        <f>SUM(C18,E18,G18,I18)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</row>
    <row r="19" ht="15" customHeight="1">
      <c r="A19" s="40" t="inlineStr">
        <is>
          <t>G2</t>
        </is>
      </c>
      <c r="B19" s="40">
        <f>VLOOKUP(A19,Members!$A$2:$B$65,2,FALSE)</f>
        <v/>
      </c>
      <c r="C19" s="41" t="n"/>
      <c r="D19" s="53" t="n"/>
      <c r="E19" s="104" t="n"/>
      <c r="F19" s="53" t="n"/>
      <c r="G19" s="104" t="n"/>
      <c r="H19" s="59" t="n"/>
      <c r="I19" s="104" t="n"/>
      <c r="J19" s="104" t="n"/>
      <c r="K19" s="41">
        <f>SUM(C19,E19,G19,I19)</f>
        <v/>
      </c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</row>
    <row r="20" ht="15" customHeight="1">
      <c r="A20" s="42" t="inlineStr">
        <is>
          <t>G3</t>
        </is>
      </c>
      <c r="B20" s="42">
        <f>VLOOKUP(A20,Members!$A$2:$B$65,2,FALSE)</f>
        <v/>
      </c>
      <c r="C20" s="43" t="n"/>
      <c r="D20" s="50" t="n"/>
      <c r="E20" s="47" t="n"/>
      <c r="F20" s="50" t="n"/>
      <c r="G20" s="47" t="n"/>
      <c r="H20" s="58" t="n"/>
      <c r="I20" s="47" t="n"/>
      <c r="J20" s="47" t="n"/>
      <c r="K20" s="43">
        <f>SUM(C20,E20,G20,I20)</f>
        <v/>
      </c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</row>
    <row r="21" ht="15" customHeight="1">
      <c r="A21" s="40" t="inlineStr">
        <is>
          <t>G4</t>
        </is>
      </c>
      <c r="B21" s="40">
        <f>VLOOKUP(A21,Members!$A$2:$B$65,2,FALSE)</f>
        <v/>
      </c>
      <c r="C21" s="41" t="n"/>
      <c r="D21" s="53" t="n"/>
      <c r="E21" s="104" t="n"/>
      <c r="F21" s="53" t="n"/>
      <c r="G21" s="104" t="n"/>
      <c r="H21" s="59" t="n"/>
      <c r="I21" s="104" t="n"/>
      <c r="J21" s="104" t="n"/>
      <c r="K21" s="41">
        <f>SUM(C21,E21,G21,I21)</f>
        <v/>
      </c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</row>
    <row r="22" ht="15.95" customHeight="1">
      <c r="A22" s="42" t="inlineStr">
        <is>
          <t>G5</t>
        </is>
      </c>
      <c r="B22" s="42">
        <f>VLOOKUP(A22,Members!$A$2:$B$65,2,FALSE)</f>
        <v/>
      </c>
      <c r="C22" s="43" t="n"/>
      <c r="D22" s="50" t="n"/>
      <c r="E22" s="47" t="n"/>
      <c r="F22" s="50" t="n"/>
      <c r="G22" s="47" t="n"/>
      <c r="H22" s="58" t="n"/>
      <c r="I22" s="47" t="n"/>
      <c r="J22" s="47" t="n"/>
      <c r="K22" s="43">
        <f>SUM(C22,E22,G22,I22)</f>
        <v/>
      </c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</row>
    <row r="23" ht="15.95" customHeight="1">
      <c r="A23" s="40" t="inlineStr">
        <is>
          <t>G6</t>
        </is>
      </c>
      <c r="B23" s="40">
        <f>VLOOKUP(A23,Members!$A$2:$B$65,2,FALSE)</f>
        <v/>
      </c>
      <c r="C23" s="104" t="n"/>
      <c r="D23" s="53" t="n"/>
      <c r="E23" s="104" t="n"/>
      <c r="F23" s="53" t="n"/>
      <c r="G23" s="104" t="n"/>
      <c r="H23" s="59" t="n"/>
      <c r="I23" s="104" t="n"/>
      <c r="J23" s="104" t="n"/>
      <c r="K23" s="104">
        <f>SUM(C23,E23,G23,I23)</f>
        <v/>
      </c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</row>
    <row r="24" ht="15.95" customHeight="1">
      <c r="A24" s="42" t="inlineStr">
        <is>
          <t>G7</t>
        </is>
      </c>
      <c r="B24" s="42">
        <f>VLOOKUP(A24,Members!$A$2:$B$65,2,FALSE)</f>
        <v/>
      </c>
      <c r="C24" s="43" t="n"/>
      <c r="D24" s="50" t="n"/>
      <c r="E24" s="47" t="n"/>
      <c r="F24" s="50" t="n"/>
      <c r="G24" s="47" t="n"/>
      <c r="H24" s="58" t="n"/>
      <c r="I24" s="47" t="n"/>
      <c r="J24" s="47" t="n"/>
      <c r="K24" s="43">
        <f>SUM(C24,E24,G24,I24)</f>
        <v/>
      </c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</row>
    <row r="25" ht="15.95" customHeight="1">
      <c r="A25" s="40" t="inlineStr">
        <is>
          <t>G8</t>
        </is>
      </c>
      <c r="B25" s="40">
        <f>VLOOKUP(A25,Members!$A$2:$B$65,2,FALSE)</f>
        <v/>
      </c>
      <c r="C25" s="104" t="n"/>
      <c r="D25" s="53" t="n"/>
      <c r="E25" s="104" t="n"/>
      <c r="F25" s="53" t="n"/>
      <c r="G25" s="104" t="n"/>
      <c r="H25" s="59" t="n"/>
      <c r="I25" s="104" t="n"/>
      <c r="J25" s="104" t="n"/>
      <c r="K25" s="104">
        <f>SUM(C25,E25,G25,I25)</f>
        <v/>
      </c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</row>
    <row r="26" ht="15.95" customHeight="1">
      <c r="A26" s="42" t="inlineStr">
        <is>
          <t>G9</t>
        </is>
      </c>
      <c r="B26" s="42">
        <f>VLOOKUP(A26,Members!$A$2:$B$65,2,FALSE)</f>
        <v/>
      </c>
      <c r="C26" s="43" t="n"/>
      <c r="D26" s="50" t="n"/>
      <c r="E26" s="47" t="n"/>
      <c r="F26" s="50" t="n"/>
      <c r="G26" s="47" t="n"/>
      <c r="H26" s="58" t="n"/>
      <c r="I26" s="47" t="n"/>
      <c r="J26" s="47" t="n"/>
      <c r="K26" s="43">
        <f>SUM(C26,E26,G26,I26)</f>
        <v/>
      </c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</row>
    <row r="27" ht="15.95" customHeight="1">
      <c r="A27" s="40" t="inlineStr">
        <is>
          <t>G10</t>
        </is>
      </c>
      <c r="B27" s="40">
        <f>VLOOKUP(A27,Members!$A$2:$B$65,2,FALSE)</f>
        <v/>
      </c>
      <c r="C27" s="41" t="n"/>
      <c r="D27" s="53" t="n"/>
      <c r="E27" s="104" t="n"/>
      <c r="F27" s="53" t="n"/>
      <c r="G27" s="104" t="n"/>
      <c r="H27" s="59" t="n"/>
      <c r="I27" s="104" t="n"/>
      <c r="J27" s="104" t="n"/>
      <c r="K27" s="41">
        <f>SUM(C27,E27,G27,I27)</f>
        <v/>
      </c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</row>
    <row r="28" ht="15.95" customHeight="1">
      <c r="A28" s="42" t="inlineStr">
        <is>
          <t>G11</t>
        </is>
      </c>
      <c r="B28" s="42">
        <f>VLOOKUP(A28,Members!$A$2:$B$65,2,FALSE)</f>
        <v/>
      </c>
      <c r="C28" s="43" t="n"/>
      <c r="D28" s="50" t="n"/>
      <c r="E28" s="47" t="n"/>
      <c r="F28" s="50" t="n"/>
      <c r="G28" s="47" t="n"/>
      <c r="H28" s="58" t="n"/>
      <c r="I28" s="47" t="n"/>
      <c r="J28" s="47" t="n"/>
      <c r="K28" s="43">
        <f>SUM(C28,E28,G28,I28)</f>
        <v/>
      </c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</row>
    <row r="29" ht="15.95" customHeight="1">
      <c r="A29" s="40" t="inlineStr">
        <is>
          <t>G12</t>
        </is>
      </c>
      <c r="B29" s="40">
        <f>VLOOKUP(A29,Members!$A$2:$B$65,2,FALSE)</f>
        <v/>
      </c>
      <c r="C29" s="41" t="n"/>
      <c r="D29" s="53" t="n"/>
      <c r="E29" s="104" t="n"/>
      <c r="F29" s="53" t="n"/>
      <c r="G29" s="104" t="n"/>
      <c r="H29" s="59" t="n"/>
      <c r="I29" s="104" t="n"/>
      <c r="J29" s="104" t="n"/>
      <c r="K29" s="41">
        <f>SUM(C29,E29,G29,I29)</f>
        <v/>
      </c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</row>
    <row r="30" ht="15.95" customHeight="1">
      <c r="A30" s="42" t="inlineStr">
        <is>
          <t>G13</t>
        </is>
      </c>
      <c r="B30" s="42">
        <f>VLOOKUP(A30,Members!$A$2:$B$65,2,FALSE)</f>
        <v/>
      </c>
      <c r="C30" s="47" t="n"/>
      <c r="D30" s="50" t="n"/>
      <c r="E30" s="47" t="n"/>
      <c r="F30" s="50" t="n"/>
      <c r="G30" s="47" t="n"/>
      <c r="H30" s="58" t="n"/>
      <c r="I30" s="47" t="n"/>
      <c r="J30" s="47" t="n"/>
      <c r="K30" s="47">
        <f>SUM(C30,E30,G30,I30)</f>
        <v/>
      </c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</row>
    <row r="31" ht="15.95" customHeight="1">
      <c r="A31" s="40" t="inlineStr">
        <is>
          <t>G14</t>
        </is>
      </c>
      <c r="B31" s="40">
        <f>VLOOKUP(A31,Members!$A$2:$B$65,2,FALSE)</f>
        <v/>
      </c>
      <c r="C31" s="104" t="n"/>
      <c r="D31" s="53" t="n"/>
      <c r="E31" s="104" t="n"/>
      <c r="F31" s="53" t="n"/>
      <c r="G31" s="104" t="n"/>
      <c r="H31" s="59" t="n"/>
      <c r="I31" s="104" t="n"/>
      <c r="J31" s="104" t="n"/>
      <c r="K31" s="104">
        <f>SUM(C31,E31,G31,I31)</f>
        <v/>
      </c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</row>
    <row r="32" ht="15.95" customHeight="1">
      <c r="A32" s="42" t="inlineStr">
        <is>
          <t>G15</t>
        </is>
      </c>
      <c r="B32" s="42">
        <f>VLOOKUP(A32,Members!$A$2:$B$65,2,FALSE)</f>
        <v/>
      </c>
      <c r="C32" s="43" t="n"/>
      <c r="D32" s="50" t="n"/>
      <c r="E32" s="47" t="n"/>
      <c r="F32" s="50" t="n"/>
      <c r="G32" s="47" t="n"/>
      <c r="H32" s="58" t="n"/>
      <c r="I32" s="47" t="n"/>
      <c r="J32" s="47" t="n"/>
      <c r="K32" s="43">
        <f>SUM(C32,E32,G32,I32)</f>
        <v/>
      </c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</row>
    <row r="33" ht="15.95" customHeight="1">
      <c r="A33" s="40" t="inlineStr">
        <is>
          <t>G16</t>
        </is>
      </c>
      <c r="B33" s="40">
        <f>VLOOKUP(A33,Members!$A$2:$B$65,2,FALSE)</f>
        <v/>
      </c>
      <c r="C33" s="104" t="n"/>
      <c r="D33" s="53" t="n"/>
      <c r="E33" s="104" t="n"/>
      <c r="F33" s="53" t="n"/>
      <c r="G33" s="104" t="n"/>
      <c r="H33" s="59" t="n"/>
      <c r="I33" s="104" t="n"/>
      <c r="J33" s="104" t="n"/>
      <c r="K33" s="104">
        <f>SUM(C33,E33,G33,I33)</f>
        <v/>
      </c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</row>
    <row r="34" ht="15.95" customHeight="1">
      <c r="A34" s="42" t="inlineStr">
        <is>
          <t>S1</t>
        </is>
      </c>
      <c r="B34" s="42">
        <f>VLOOKUP(A34,Members!$A$2:$B$65,2,FALSE)</f>
        <v/>
      </c>
      <c r="C34" s="43" t="n"/>
      <c r="D34" s="50" t="n"/>
      <c r="E34" s="47" t="n"/>
      <c r="F34" s="50" t="n"/>
      <c r="G34" s="47" t="n"/>
      <c r="H34" s="58" t="n"/>
      <c r="I34" s="47" t="n"/>
      <c r="J34" s="47" t="n"/>
      <c r="K34" s="43">
        <f>SUM(C34,E34,G34,I34)</f>
        <v/>
      </c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  <c r="AA34" s="47" t="n"/>
    </row>
    <row r="35" ht="15.95" customHeight="1">
      <c r="A35" s="40" t="inlineStr">
        <is>
          <t>S2</t>
        </is>
      </c>
      <c r="B35" s="40">
        <f>VLOOKUP(A35,Members!$A$2:$B$65,2,FALSE)</f>
        <v/>
      </c>
      <c r="C35" s="41" t="n"/>
      <c r="D35" s="53" t="n"/>
      <c r="E35" s="104" t="n"/>
      <c r="F35" s="53" t="n"/>
      <c r="G35" s="104" t="n"/>
      <c r="H35" s="59" t="n"/>
      <c r="I35" s="104" t="n"/>
      <c r="J35" s="104" t="n"/>
      <c r="K35" s="41">
        <f>SUM(C35,E35,G35,I35)</f>
        <v/>
      </c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</row>
    <row r="36" ht="15.95" customHeight="1">
      <c r="A36" s="42" t="inlineStr">
        <is>
          <t>S3</t>
        </is>
      </c>
      <c r="B36" s="42">
        <f>VLOOKUP(A36,Members!$A$2:$B$65,2,FALSE)</f>
        <v/>
      </c>
      <c r="C36" s="47" t="n"/>
      <c r="D36" s="50" t="n"/>
      <c r="E36" s="47" t="n"/>
      <c r="F36" s="50" t="n"/>
      <c r="G36" s="47" t="n"/>
      <c r="H36" s="58" t="n"/>
      <c r="I36" s="47" t="n"/>
      <c r="J36" s="47" t="n"/>
      <c r="K36" s="47">
        <f>SUM(C36,E36,G36,I36)</f>
        <v/>
      </c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</row>
    <row r="37" ht="15.95" customHeight="1">
      <c r="A37" s="40" t="inlineStr">
        <is>
          <t>S4</t>
        </is>
      </c>
      <c r="B37" s="40">
        <f>VLOOKUP(A37,Members!$A$2:$B$65,2,FALSE)</f>
        <v/>
      </c>
      <c r="C37" s="41" t="n"/>
      <c r="D37" s="53" t="n"/>
      <c r="E37" s="104" t="n"/>
      <c r="F37" s="53" t="n"/>
      <c r="G37" s="104" t="n"/>
      <c r="H37" s="59" t="n"/>
      <c r="I37" s="104" t="n"/>
      <c r="J37" s="104" t="n"/>
      <c r="K37" s="41">
        <f>SUM(C37,E37,G37,I37)</f>
        <v/>
      </c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</row>
    <row r="38" ht="15.95" customHeight="1">
      <c r="A38" s="42" t="inlineStr">
        <is>
          <t>S5</t>
        </is>
      </c>
      <c r="B38" s="42">
        <f>VLOOKUP(A38,Members!$A$2:$B$65,2,FALSE)</f>
        <v/>
      </c>
      <c r="C38" s="47" t="n"/>
      <c r="D38" s="50" t="n"/>
      <c r="E38" s="47" t="n"/>
      <c r="F38" s="50" t="n"/>
      <c r="G38" s="47" t="n"/>
      <c r="H38" s="58" t="n"/>
      <c r="I38" s="47" t="n"/>
      <c r="J38" s="47" t="n"/>
      <c r="K38" s="47">
        <f>SUM(C38,E38,G38,I38)</f>
        <v/>
      </c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</row>
    <row r="39" ht="15.95" customHeight="1">
      <c r="A39" s="40" t="inlineStr">
        <is>
          <t>S6</t>
        </is>
      </c>
      <c r="B39" s="40">
        <f>VLOOKUP(A39,Members!$A$2:$B$65,2,FALSE)</f>
        <v/>
      </c>
      <c r="C39" s="104" t="n"/>
      <c r="D39" s="53" t="n"/>
      <c r="E39" s="104" t="n"/>
      <c r="F39" s="53" t="n"/>
      <c r="G39" s="104" t="n"/>
      <c r="H39" s="59" t="n"/>
      <c r="I39" s="104" t="n"/>
      <c r="J39" s="104" t="n"/>
      <c r="K39" s="104">
        <f>SUM(C39,E39,G39,I39)</f>
        <v/>
      </c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</row>
    <row r="40" ht="15.95" customHeight="1">
      <c r="A40" s="42" t="inlineStr">
        <is>
          <t>S7</t>
        </is>
      </c>
      <c r="B40" s="42">
        <f>VLOOKUP(A40,Members!$A$2:$B$65,2,FALSE)</f>
        <v/>
      </c>
      <c r="C40" s="43" t="n"/>
      <c r="D40" s="50" t="n"/>
      <c r="E40" s="47" t="n"/>
      <c r="F40" s="50" t="n"/>
      <c r="G40" s="47" t="n"/>
      <c r="H40" s="58" t="n"/>
      <c r="I40" s="47" t="n"/>
      <c r="J40" s="47" t="n"/>
      <c r="K40" s="43">
        <f>SUM(C40,E40,G40,I40)</f>
        <v/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  <c r="AA40" s="47" t="n"/>
    </row>
    <row r="41" ht="15.95" customHeight="1">
      <c r="A41" s="40" t="inlineStr">
        <is>
          <t>S8</t>
        </is>
      </c>
      <c r="B41" s="40">
        <f>VLOOKUP(A41,Members!$A$2:$B$65,2,FALSE)</f>
        <v/>
      </c>
      <c r="C41" s="41" t="n"/>
      <c r="D41" s="53" t="n"/>
      <c r="E41" s="104" t="n"/>
      <c r="F41" s="53" t="n"/>
      <c r="G41" s="104" t="n"/>
      <c r="H41" s="59" t="n"/>
      <c r="I41" s="104" t="n"/>
      <c r="J41" s="104" t="n"/>
      <c r="K41" s="41">
        <f>SUM(C41,E41,G41,I41)</f>
        <v/>
      </c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</row>
    <row r="42" ht="15.95" customHeight="1">
      <c r="A42" s="42" t="inlineStr">
        <is>
          <t>S9</t>
        </is>
      </c>
      <c r="B42" s="42">
        <f>VLOOKUP(A42,Members!$A$2:$B$65,2,FALSE)</f>
        <v/>
      </c>
      <c r="C42" s="43" t="n"/>
      <c r="D42" s="50" t="n"/>
      <c r="E42" s="47" t="n"/>
      <c r="F42" s="50" t="n"/>
      <c r="G42" s="47" t="n"/>
      <c r="H42" s="58" t="n"/>
      <c r="I42" s="47" t="n"/>
      <c r="J42" s="47" t="n"/>
      <c r="K42" s="43">
        <f>SUM(C42,E42,G42,I42)</f>
        <v/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</row>
    <row r="43" ht="15.95" customHeight="1">
      <c r="A43" s="40" t="inlineStr">
        <is>
          <t>S10</t>
        </is>
      </c>
      <c r="B43" s="40">
        <f>VLOOKUP(A43,Members!$A$2:$B$65,2,FALSE)</f>
        <v/>
      </c>
      <c r="C43" s="41" t="n"/>
      <c r="D43" s="53" t="n"/>
      <c r="E43" s="104" t="n"/>
      <c r="F43" s="53" t="n"/>
      <c r="G43" s="104" t="n"/>
      <c r="H43" s="59" t="n"/>
      <c r="I43" s="104" t="n"/>
      <c r="J43" s="104" t="n"/>
      <c r="K43" s="41">
        <f>SUM(C43,E43,G43,I43)</f>
        <v/>
      </c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</row>
    <row r="44" ht="15.95" customHeight="1">
      <c r="A44" s="42" t="inlineStr">
        <is>
          <t>S11</t>
        </is>
      </c>
      <c r="B44" s="42">
        <f>VLOOKUP(A44,Members!$A$2:$B$65,2,FALSE)</f>
        <v/>
      </c>
      <c r="C44" s="47" t="n"/>
      <c r="D44" s="50" t="n"/>
      <c r="E44" s="47" t="n"/>
      <c r="F44" s="50" t="n"/>
      <c r="G44" s="47" t="n"/>
      <c r="H44" s="58" t="n"/>
      <c r="I44" s="47" t="n"/>
      <c r="J44" s="47" t="n"/>
      <c r="K44" s="47">
        <f>SUM(C44,E44,G44,I44)</f>
        <v/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</row>
    <row r="45" ht="15.95" customHeight="1">
      <c r="A45" s="40" t="inlineStr">
        <is>
          <t>S12</t>
        </is>
      </c>
      <c r="B45" s="40">
        <f>VLOOKUP(A45,Members!$A$2:$B$65,2,FALSE)</f>
        <v/>
      </c>
      <c r="C45" s="41" t="n"/>
      <c r="D45" s="53" t="n"/>
      <c r="E45" s="104" t="n"/>
      <c r="F45" s="53" t="n"/>
      <c r="G45" s="104" t="n"/>
      <c r="H45" s="59" t="n"/>
      <c r="I45" s="104" t="n"/>
      <c r="J45" s="104" t="n"/>
      <c r="K45" s="41">
        <f>SUM(C45,E45,G45,I45)</f>
        <v/>
      </c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</row>
    <row r="46" ht="15.95" customHeight="1">
      <c r="A46" s="42" t="inlineStr">
        <is>
          <t>S13</t>
        </is>
      </c>
      <c r="B46" s="42">
        <f>VLOOKUP(A46,Members!$A$2:$B$65,2,FALSE)</f>
        <v/>
      </c>
      <c r="C46" s="47" t="n"/>
      <c r="D46" s="50" t="n"/>
      <c r="E46" s="47" t="n"/>
      <c r="F46" s="50" t="n"/>
      <c r="G46" s="47" t="n"/>
      <c r="H46" s="58" t="n"/>
      <c r="I46" s="47" t="n"/>
      <c r="J46" s="47" t="n"/>
      <c r="K46" s="47">
        <f>SUM(C46,E46,G46,I46)</f>
        <v/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</row>
    <row r="47" ht="15.95" customHeight="1">
      <c r="A47" s="40" t="inlineStr">
        <is>
          <t>S14</t>
        </is>
      </c>
      <c r="B47" s="40">
        <f>VLOOKUP(A47,Members!$A$2:$B$65,2,FALSE)</f>
        <v/>
      </c>
      <c r="C47" s="104" t="n"/>
      <c r="D47" s="53" t="n"/>
      <c r="E47" s="104" t="n"/>
      <c r="F47" s="53" t="n"/>
      <c r="G47" s="104" t="n"/>
      <c r="H47" s="59" t="n"/>
      <c r="I47" s="104" t="n"/>
      <c r="J47" s="104" t="n"/>
      <c r="K47" s="104">
        <f>SUM(C47,E47,G47,I47)</f>
        <v/>
      </c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</row>
    <row r="48" ht="15.95" customHeight="1">
      <c r="A48" s="42" t="inlineStr">
        <is>
          <t>S15</t>
        </is>
      </c>
      <c r="B48" s="42">
        <f>VLOOKUP(A48,Members!$A$2:$B$65,2,FALSE)</f>
        <v/>
      </c>
      <c r="C48" s="43" t="n"/>
      <c r="D48" s="50" t="n"/>
      <c r="E48" s="47" t="n"/>
      <c r="F48" s="50" t="n"/>
      <c r="G48" s="47" t="n"/>
      <c r="H48" s="58" t="n"/>
      <c r="I48" s="47" t="n"/>
      <c r="J48" s="47" t="n"/>
      <c r="K48" s="43">
        <f>SUM(C48,E48,G48,I48)</f>
        <v/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</row>
    <row r="49" ht="15.95" customHeight="1">
      <c r="A49" s="40" t="inlineStr">
        <is>
          <t>S16</t>
        </is>
      </c>
      <c r="B49" s="40">
        <f>VLOOKUP(A49,Members!$A$2:$B$65,2,FALSE)</f>
        <v/>
      </c>
      <c r="C49" s="104" t="n"/>
      <c r="D49" s="53" t="n"/>
      <c r="E49" s="104" t="n"/>
      <c r="F49" s="53" t="n"/>
      <c r="G49" s="104" t="n"/>
      <c r="H49" s="59" t="n"/>
      <c r="I49" s="104" t="n"/>
      <c r="J49" s="104" t="n"/>
      <c r="K49" s="104">
        <f>SUM(C49,E49,G49,I49)</f>
        <v/>
      </c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</row>
    <row r="50" ht="15.95" customHeight="1">
      <c r="A50" s="42" t="inlineStr">
        <is>
          <t>T1</t>
        </is>
      </c>
      <c r="B50" s="42">
        <f>VLOOKUP(A50,Members!$A$2:$B$65,2,FALSE)</f>
        <v/>
      </c>
      <c r="C50" s="47" t="n"/>
      <c r="D50" s="50" t="n"/>
      <c r="E50" s="47" t="n"/>
      <c r="F50" s="50" t="n"/>
      <c r="G50" s="47" t="n"/>
      <c r="H50" s="58" t="n"/>
      <c r="I50" s="47" t="n"/>
      <c r="J50" s="47" t="n"/>
      <c r="K50" s="47">
        <f>SUM(C50,E50,G50,I50)</f>
        <v/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</row>
    <row r="51" ht="15.95" customHeight="1">
      <c r="A51" s="40" t="inlineStr">
        <is>
          <t>T2</t>
        </is>
      </c>
      <c r="B51" s="40">
        <f>VLOOKUP(A51,Members!$A$2:$B$65,2,FALSE)</f>
        <v/>
      </c>
      <c r="C51" s="41" t="n"/>
      <c r="D51" s="53" t="n"/>
      <c r="E51" s="104" t="n"/>
      <c r="F51" s="53" t="n"/>
      <c r="G51" s="104" t="n"/>
      <c r="H51" s="59" t="n"/>
      <c r="I51" s="104" t="n"/>
      <c r="J51" s="104" t="n"/>
      <c r="K51" s="41">
        <f>SUM(C51,E51,G51,I51)</f>
        <v/>
      </c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</row>
    <row r="52" ht="15.95" customHeight="1">
      <c r="A52" s="42" t="inlineStr">
        <is>
          <t>T3</t>
        </is>
      </c>
      <c r="B52" s="42">
        <f>VLOOKUP(A52,Members!$A$2:$B$65,2,FALSE)</f>
        <v/>
      </c>
      <c r="C52" s="43" t="n"/>
      <c r="D52" s="50" t="n"/>
      <c r="E52" s="47" t="n"/>
      <c r="F52" s="50" t="n"/>
      <c r="G52" s="47" t="n"/>
      <c r="H52" s="58" t="n"/>
      <c r="I52" s="47" t="n"/>
      <c r="J52" s="47" t="n"/>
      <c r="K52" s="43">
        <f>SUM(C52,E52,G52,I52)</f>
        <v/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</row>
    <row r="53" ht="15.95" customHeight="1">
      <c r="A53" s="40" t="inlineStr">
        <is>
          <t>T4</t>
        </is>
      </c>
      <c r="B53" s="40">
        <f>VLOOKUP(A53,Members!$A$2:$B$65,2,FALSE)</f>
        <v/>
      </c>
      <c r="C53" s="41" t="n"/>
      <c r="D53" s="53" t="n"/>
      <c r="E53" s="104" t="n"/>
      <c r="F53" s="53" t="n"/>
      <c r="G53" s="104" t="n"/>
      <c r="H53" s="59" t="n"/>
      <c r="I53" s="104" t="n"/>
      <c r="J53" s="104" t="n"/>
      <c r="K53" s="41">
        <f>SUM(C53,E53,G53,I53)</f>
        <v/>
      </c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</row>
    <row r="54" ht="15.95" customHeight="1">
      <c r="A54" s="42" t="inlineStr">
        <is>
          <t>T5</t>
        </is>
      </c>
      <c r="B54" s="42">
        <f>VLOOKUP(A54,Members!$A$2:$B$65,2,FALSE)</f>
        <v/>
      </c>
      <c r="C54" s="47" t="n"/>
      <c r="D54" s="50" t="n"/>
      <c r="E54" s="47" t="n"/>
      <c r="F54" s="50" t="n"/>
      <c r="G54" s="47" t="n"/>
      <c r="H54" s="58" t="n"/>
      <c r="I54" s="47" t="n"/>
      <c r="J54" s="47" t="n"/>
      <c r="K54" s="47">
        <f>SUM(C54,E54,G54,I54)</f>
        <v/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</row>
    <row r="55" ht="15.95" customHeight="1">
      <c r="A55" s="40" t="inlineStr">
        <is>
          <t>T6</t>
        </is>
      </c>
      <c r="B55" s="40">
        <f>VLOOKUP(A55,Members!$A$2:$B$65,2,FALSE)</f>
        <v/>
      </c>
      <c r="C55" s="41" t="n"/>
      <c r="D55" s="53" t="n"/>
      <c r="E55" s="104" t="n"/>
      <c r="F55" s="53" t="n"/>
      <c r="G55" s="104" t="n"/>
      <c r="H55" s="59" t="n"/>
      <c r="I55" s="104" t="n"/>
      <c r="J55" s="104" t="n"/>
      <c r="K55" s="41">
        <f>SUM(C55,E55,G55,I55)</f>
        <v/>
      </c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</row>
    <row r="56" ht="15.95" customHeight="1">
      <c r="A56" s="42" t="inlineStr">
        <is>
          <t>T7</t>
        </is>
      </c>
      <c r="B56" s="42">
        <f>VLOOKUP(A56,Members!$A$2:$B$65,2,FALSE)</f>
        <v/>
      </c>
      <c r="C56" s="47" t="n"/>
      <c r="D56" s="50" t="n"/>
      <c r="E56" s="47" t="n"/>
      <c r="F56" s="50" t="n"/>
      <c r="G56" s="47" t="n"/>
      <c r="H56" s="58" t="n"/>
      <c r="I56" s="47" t="n"/>
      <c r="J56" s="47" t="n"/>
      <c r="K56" s="47">
        <f>SUM(C56,E56,G56,I56)</f>
        <v/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</row>
    <row r="57" ht="15.95" customHeight="1">
      <c r="A57" s="40" t="inlineStr">
        <is>
          <t>T8</t>
        </is>
      </c>
      <c r="B57" s="40">
        <f>VLOOKUP(A57,Members!$A$2:$B$65,2,FALSE)</f>
        <v/>
      </c>
      <c r="C57" s="41" t="n"/>
      <c r="D57" s="53" t="n"/>
      <c r="E57" s="104" t="n"/>
      <c r="F57" s="53" t="n"/>
      <c r="G57" s="104" t="n"/>
      <c r="H57" s="59" t="n"/>
      <c r="I57" s="104" t="n"/>
      <c r="J57" s="104" t="n"/>
      <c r="K57" s="41">
        <f>SUM(C57,E57,G57,I57)</f>
        <v/>
      </c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</row>
    <row r="58" ht="15.95" customHeight="1">
      <c r="A58" s="42" t="inlineStr">
        <is>
          <t>T9</t>
        </is>
      </c>
      <c r="B58" s="42">
        <f>VLOOKUP(A58,Members!$A$2:$B$65,2,FALSE)</f>
        <v/>
      </c>
      <c r="C58" s="47" t="n"/>
      <c r="D58" s="50" t="n"/>
      <c r="E58" s="47" t="n"/>
      <c r="F58" s="50" t="n"/>
      <c r="G58" s="47" t="n"/>
      <c r="H58" s="58" t="n"/>
      <c r="I58" s="47" t="n"/>
      <c r="J58" s="47" t="n"/>
      <c r="K58" s="47">
        <f>SUM(C58,E58,G58,I58)</f>
        <v/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</row>
    <row r="59" ht="15.95" customHeight="1">
      <c r="A59" s="40" t="inlineStr">
        <is>
          <t>T10</t>
        </is>
      </c>
      <c r="B59" s="40">
        <f>VLOOKUP(A59,Members!$A$2:$B$65,2,FALSE)</f>
        <v/>
      </c>
      <c r="C59" s="41" t="n"/>
      <c r="D59" s="53" t="n"/>
      <c r="E59" s="104" t="n"/>
      <c r="F59" s="53" t="n"/>
      <c r="G59" s="104" t="n"/>
      <c r="H59" s="59" t="n"/>
      <c r="I59" s="104" t="n"/>
      <c r="J59" s="104" t="n"/>
      <c r="K59" s="41">
        <f>SUM(C59,E59,G59,I59)</f>
        <v/>
      </c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</row>
    <row r="60" ht="15.95" customHeight="1">
      <c r="A60" s="42" t="inlineStr">
        <is>
          <t>T11</t>
        </is>
      </c>
      <c r="B60" s="42">
        <f>VLOOKUP(A60,Members!$A$2:$B$65,2,FALSE)</f>
        <v/>
      </c>
      <c r="C60" s="43" t="n"/>
      <c r="D60" s="50" t="n"/>
      <c r="E60" s="47" t="n"/>
      <c r="F60" s="50" t="n"/>
      <c r="G60" s="47" t="n"/>
      <c r="H60" s="58" t="n"/>
      <c r="I60" s="47" t="n"/>
      <c r="J60" s="47" t="n"/>
      <c r="K60" s="43">
        <f>SUM(C60,E60,G60,I60)</f>
        <v/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</row>
    <row r="61" ht="15.95" customHeight="1">
      <c r="A61" s="40" t="inlineStr">
        <is>
          <t>T12</t>
        </is>
      </c>
      <c r="B61" s="40">
        <f>VLOOKUP(A61,Members!$A$2:$B$65,2,FALSE)</f>
        <v/>
      </c>
      <c r="C61" s="41" t="n"/>
      <c r="D61" s="53" t="n"/>
      <c r="E61" s="104" t="n"/>
      <c r="F61" s="53" t="n"/>
      <c r="G61" s="104" t="n"/>
      <c r="H61" s="59" t="n"/>
      <c r="I61" s="104" t="n"/>
      <c r="J61" s="104" t="n"/>
      <c r="K61" s="41">
        <f>SUM(C61,E61,G61,I61)</f>
        <v/>
      </c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</row>
    <row r="62" ht="15.95" customHeight="1">
      <c r="A62" s="42" t="inlineStr">
        <is>
          <t>T13</t>
        </is>
      </c>
      <c r="B62" s="42">
        <f>VLOOKUP(A62,Members!$A$2:$B$65,2,FALSE)</f>
        <v/>
      </c>
      <c r="C62" s="47" t="n"/>
      <c r="D62" s="49" t="n"/>
      <c r="E62" s="47" t="n"/>
      <c r="F62" s="50" t="n"/>
      <c r="G62" s="47" t="n"/>
      <c r="H62" s="58" t="n"/>
      <c r="I62" s="47" t="n"/>
      <c r="J62" s="47" t="n"/>
      <c r="K62" s="47">
        <f>SUM(C62,E62,G62,I62)</f>
        <v/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</row>
    <row r="63" ht="15.95" customHeight="1">
      <c r="A63" s="40" t="inlineStr">
        <is>
          <t>T14</t>
        </is>
      </c>
      <c r="B63" s="40">
        <f>VLOOKUP(A63,Members!$A$2:$B$65,2,FALSE)</f>
        <v/>
      </c>
      <c r="C63" s="41" t="n"/>
      <c r="D63" s="53" t="n"/>
      <c r="E63" s="104" t="n"/>
      <c r="F63" s="53" t="n"/>
      <c r="G63" s="104" t="n"/>
      <c r="H63" s="59" t="n"/>
      <c r="I63" s="104" t="n"/>
      <c r="J63" s="104" t="n"/>
      <c r="K63" s="41">
        <f>SUM(C63,E63,G63,I63)</f>
        <v/>
      </c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</row>
    <row r="64" ht="15.95" customHeight="1">
      <c r="A64" s="42" t="inlineStr">
        <is>
          <t>T15</t>
        </is>
      </c>
      <c r="B64" s="42">
        <f>VLOOKUP(A64,Members!$A$2:$B$65,2,FALSE)</f>
        <v/>
      </c>
      <c r="C64" s="43" t="n"/>
      <c r="D64" s="50" t="n"/>
      <c r="E64" s="47" t="n"/>
      <c r="F64" s="50" t="n"/>
      <c r="G64" s="47" t="n"/>
      <c r="H64" s="58" t="n"/>
      <c r="I64" s="47" t="n"/>
      <c r="J64" s="47" t="n"/>
      <c r="K64" s="43">
        <f>SUM(C64,E64,G64,I64)</f>
        <v/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</row>
    <row r="65" ht="15.95" customHeight="1">
      <c r="A65" s="40" t="inlineStr">
        <is>
          <t>T16</t>
        </is>
      </c>
      <c r="B65" s="40">
        <f>VLOOKUP(A65,Members!$A$2:$B$65,2,FALSE)</f>
        <v/>
      </c>
      <c r="C65" s="104" t="n"/>
      <c r="D65" s="53" t="n"/>
      <c r="E65" s="104" t="n"/>
      <c r="F65" s="53" t="n"/>
      <c r="G65" s="104" t="n"/>
      <c r="H65" s="59" t="n"/>
      <c r="I65" s="104" t="n"/>
      <c r="J65" s="104" t="n"/>
      <c r="K65" s="104">
        <f>SUM(C65,E65,G65,I65)</f>
        <v/>
      </c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</row>
    <row r="66">
      <c r="A66" s="44" t="inlineStr">
        <is>
          <t>TOTAL</t>
        </is>
      </c>
      <c r="B66" s="55" t="n"/>
      <c r="C66" s="56" t="n"/>
      <c r="D66" s="67" t="n"/>
      <c r="E66" s="56" t="n"/>
      <c r="F66" s="67" t="n"/>
      <c r="G66" s="56" t="n"/>
      <c r="H66" s="62" t="n"/>
      <c r="I66" s="56" t="n"/>
      <c r="J66" s="56" t="n"/>
      <c r="K66" s="56">
        <f>SUM(K2:K65)</f>
        <v/>
      </c>
      <c r="L66" s="56" t="n"/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  <c r="Z66" s="56" t="n"/>
      <c r="AA66" s="56" t="n"/>
    </row>
    <row r="67">
      <c r="D67" s="10" t="n"/>
      <c r="F67" s="9" t="n"/>
      <c r="H67" s="8" t="n"/>
    </row>
    <row r="68">
      <c r="D68" s="10" t="n"/>
      <c r="F68" s="9" t="n"/>
      <c r="H68" s="8" t="n"/>
    </row>
    <row r="69">
      <c r="D69" s="10" t="n"/>
      <c r="F69" s="9" t="n"/>
      <c r="H69" s="8" t="n"/>
    </row>
    <row r="70">
      <c r="A70" s="3" t="n"/>
      <c r="D70" s="10" t="n"/>
      <c r="F70" s="9" t="n"/>
      <c r="H70" s="8" t="n"/>
    </row>
    <row r="71">
      <c r="A71" s="3" t="n"/>
      <c r="D71" s="10" t="n"/>
      <c r="F71" s="9" t="n"/>
      <c r="H71" s="8" t="n"/>
    </row>
    <row r="72">
      <c r="A72" s="5" t="n"/>
      <c r="D72" s="10" t="n"/>
      <c r="F72" s="9" t="n"/>
      <c r="H72" s="8" t="n"/>
    </row>
    <row r="73">
      <c r="A73" s="5" t="n"/>
      <c r="D73" s="10" t="n"/>
      <c r="F73" s="9" t="n"/>
      <c r="H73" s="8" t="n"/>
    </row>
    <row r="74">
      <c r="A74" s="5" t="n"/>
      <c r="D74" s="10" t="n"/>
      <c r="F74" s="9" t="n"/>
      <c r="H74" s="8" t="n"/>
    </row>
    <row r="75">
      <c r="A75" s="5" t="n"/>
      <c r="D75" s="10" t="n"/>
      <c r="F75" s="9" t="n"/>
      <c r="H75" s="8" t="n"/>
    </row>
    <row r="76">
      <c r="A76" s="5" t="n"/>
      <c r="D76" s="10" t="n"/>
      <c r="F76" s="9" t="n"/>
      <c r="H76" s="8" t="n"/>
    </row>
    <row r="77">
      <c r="A77" s="5" t="n"/>
      <c r="D77" s="10" t="n"/>
      <c r="F77" s="9" t="n"/>
      <c r="H77" s="8" t="n"/>
    </row>
    <row r="78">
      <c r="A78" s="5" t="n"/>
      <c r="D78" s="10" t="n"/>
      <c r="F78" s="9" t="n"/>
      <c r="H78" s="8" t="n"/>
    </row>
    <row r="79">
      <c r="A79" s="5" t="n"/>
      <c r="D79" s="10" t="n"/>
      <c r="F79" s="9" t="n"/>
      <c r="H79" s="8" t="n"/>
    </row>
    <row r="80">
      <c r="A80" s="5" t="n"/>
      <c r="D80" s="10" t="n"/>
      <c r="F80" s="9" t="n"/>
      <c r="H80" s="8" t="n"/>
    </row>
    <row r="81">
      <c r="A81" s="5" t="n"/>
      <c r="D81" s="10" t="n"/>
      <c r="F81" s="9" t="n"/>
      <c r="H81" s="8" t="n"/>
    </row>
    <row r="82">
      <c r="A82" s="5" t="n"/>
      <c r="D82" s="10" t="n"/>
      <c r="F82" s="9" t="n"/>
      <c r="H82" s="8" t="n"/>
    </row>
    <row r="83">
      <c r="A83" s="5" t="n"/>
      <c r="D83" s="10" t="n"/>
      <c r="F83" s="9" t="n"/>
      <c r="H83" s="8" t="n"/>
    </row>
    <row r="84">
      <c r="A84" s="5" t="n"/>
      <c r="D84" s="10" t="n"/>
      <c r="F84" s="9" t="n"/>
      <c r="H84" s="8" t="n"/>
    </row>
    <row r="85">
      <c r="A85" s="5" t="n"/>
      <c r="D85" s="10" t="n"/>
      <c r="F85" s="9" t="n"/>
      <c r="H85" s="8" t="n"/>
    </row>
    <row r="86">
      <c r="A86" s="5" t="n"/>
      <c r="D86" s="10" t="n"/>
      <c r="F86" s="9" t="n"/>
      <c r="H86" s="8" t="n"/>
    </row>
    <row r="87">
      <c r="A87" s="5" t="n"/>
      <c r="D87" s="10" t="n"/>
      <c r="F87" s="9" t="n"/>
      <c r="H87" s="8" t="n"/>
    </row>
    <row r="88">
      <c r="A88" s="5" t="n"/>
      <c r="D88" s="10" t="n"/>
      <c r="F88" s="9" t="n"/>
      <c r="H88" s="8" t="n"/>
    </row>
    <row r="89">
      <c r="A89" s="5" t="n"/>
      <c r="D89" s="10" t="n"/>
      <c r="F89" s="9" t="n"/>
      <c r="H89" s="8" t="n"/>
    </row>
    <row r="90">
      <c r="A90" s="5" t="n"/>
      <c r="D90" s="10" t="n"/>
      <c r="F90" s="9" t="n"/>
      <c r="H90" s="8" t="n"/>
    </row>
    <row r="91">
      <c r="A91" s="5" t="n"/>
      <c r="D91" s="10" t="n"/>
      <c r="F91" s="9" t="n"/>
      <c r="H91" s="8" t="n"/>
    </row>
    <row r="92">
      <c r="A92" s="5" t="n"/>
      <c r="D92" s="10" t="n"/>
      <c r="F92" s="9" t="n"/>
      <c r="H92" s="8" t="n"/>
    </row>
    <row r="93">
      <c r="A93" s="5" t="n"/>
      <c r="D93" s="10" t="n"/>
      <c r="F93" s="9" t="n"/>
      <c r="H93" s="8" t="n"/>
    </row>
    <row r="94">
      <c r="A94" s="5" t="n"/>
      <c r="D94" s="10" t="n"/>
      <c r="F94" s="9" t="n"/>
      <c r="H94" s="8" t="n"/>
    </row>
    <row r="95">
      <c r="A95" s="5" t="n"/>
      <c r="D95" s="10" t="n"/>
      <c r="F95" s="9" t="n"/>
      <c r="H95" s="8" t="n"/>
    </row>
    <row r="96">
      <c r="A96" s="5" t="n"/>
      <c r="D96" s="10" t="n"/>
      <c r="F96" s="9" t="n"/>
      <c r="H96" s="8" t="n"/>
    </row>
    <row r="97">
      <c r="A97" s="5" t="n"/>
      <c r="D97" s="10" t="n"/>
      <c r="F97" s="9" t="n"/>
      <c r="H97" s="8" t="n"/>
    </row>
    <row r="98">
      <c r="A98" s="5" t="n"/>
      <c r="D98" s="10" t="n"/>
      <c r="F98" s="9" t="n"/>
      <c r="H98" s="8" t="n"/>
    </row>
    <row r="99">
      <c r="A99" s="5" t="n"/>
      <c r="D99" s="10" t="n"/>
      <c r="F99" s="9" t="n"/>
      <c r="H99" s="8" t="n"/>
    </row>
    <row r="100">
      <c r="A100" s="5" t="n"/>
      <c r="D100" s="10" t="n"/>
      <c r="F100" s="9" t="n"/>
      <c r="H100" s="8" t="n"/>
    </row>
    <row r="101">
      <c r="A101" s="5" t="n"/>
      <c r="D101" s="10" t="n"/>
      <c r="F101" s="9" t="n"/>
      <c r="H101" s="8" t="n"/>
    </row>
    <row r="102">
      <c r="A102" s="5" t="n"/>
      <c r="D102" s="10" t="n"/>
      <c r="F102" s="9" t="n"/>
      <c r="H102" s="8" t="n"/>
    </row>
    <row r="103">
      <c r="A103" s="5" t="n"/>
      <c r="D103" s="10" t="n"/>
      <c r="F103" s="9" t="n"/>
      <c r="H103" s="8" t="n"/>
    </row>
    <row r="104">
      <c r="A104" s="5" t="n"/>
      <c r="D104" s="10" t="n"/>
      <c r="F104" s="9" t="n"/>
      <c r="H104" s="8" t="n"/>
    </row>
    <row r="105">
      <c r="A105" s="5" t="n"/>
      <c r="D105" s="10" t="n"/>
      <c r="F105" s="9" t="n"/>
      <c r="H105" s="8" t="n"/>
    </row>
    <row r="106">
      <c r="A106" s="5" t="n"/>
      <c r="D106" s="10" t="n"/>
      <c r="F106" s="9" t="n"/>
      <c r="H106" s="8" t="n"/>
    </row>
    <row r="107">
      <c r="A107" s="5" t="n"/>
      <c r="D107" s="10" t="n"/>
      <c r="F107" s="9" t="n"/>
      <c r="H107" s="8" t="n"/>
    </row>
    <row r="108">
      <c r="A108" s="5" t="n"/>
      <c r="D108" s="10" t="n"/>
      <c r="F108" s="9" t="n"/>
      <c r="H108" s="8" t="n"/>
    </row>
    <row r="109">
      <c r="A109" s="5" t="n"/>
      <c r="D109" s="10" t="n"/>
      <c r="F109" s="9" t="n"/>
      <c r="H109" s="8" t="n"/>
    </row>
    <row r="110">
      <c r="A110" s="5" t="n"/>
      <c r="D110" s="10" t="n"/>
      <c r="F110" s="9" t="n"/>
      <c r="H110" s="8" t="n"/>
    </row>
    <row r="111">
      <c r="A111" s="5" t="n"/>
      <c r="D111" s="10" t="n"/>
      <c r="F111" s="9" t="n"/>
      <c r="H111" s="8" t="n"/>
    </row>
    <row r="112">
      <c r="A112" s="5" t="n"/>
      <c r="D112" s="10" t="n"/>
      <c r="F112" s="9" t="n"/>
      <c r="H112" s="8" t="n"/>
    </row>
    <row r="113">
      <c r="A113" s="5" t="n"/>
      <c r="D113" s="10" t="n"/>
      <c r="F113" s="9" t="n"/>
      <c r="H113" s="8" t="n"/>
    </row>
    <row r="114">
      <c r="A114" s="5" t="n"/>
      <c r="D114" s="10" t="n"/>
      <c r="F114" s="9" t="n"/>
      <c r="H114" s="8" t="n"/>
    </row>
    <row r="115">
      <c r="A115" s="5" t="n"/>
      <c r="D115" s="10" t="n"/>
      <c r="F115" s="9" t="n"/>
      <c r="H115" s="8" t="n"/>
    </row>
    <row r="116">
      <c r="A116" s="5" t="n"/>
      <c r="D116" s="10" t="n"/>
      <c r="F116" s="9" t="n"/>
      <c r="H116" s="8" t="n"/>
    </row>
    <row r="117">
      <c r="A117" s="5" t="n"/>
      <c r="D117" s="10" t="n"/>
      <c r="F117" s="9" t="n"/>
      <c r="H117" s="8" t="n"/>
    </row>
    <row r="118">
      <c r="A118" s="5" t="n"/>
      <c r="D118" s="10" t="n"/>
      <c r="F118" s="9" t="n"/>
      <c r="H118" s="8" t="n"/>
    </row>
    <row r="119">
      <c r="A119" s="5" t="n"/>
      <c r="D119" s="10" t="n"/>
      <c r="F119" s="9" t="n"/>
      <c r="H119" s="8" t="n"/>
    </row>
    <row r="120">
      <c r="A120" s="5" t="n"/>
      <c r="D120" s="10" t="n"/>
      <c r="F120" s="9" t="n"/>
      <c r="H120" s="8" t="n"/>
    </row>
    <row r="121">
      <c r="A121" s="5" t="n"/>
      <c r="D121" s="10" t="n"/>
      <c r="F121" s="9" t="n"/>
      <c r="H121" s="8" t="n"/>
    </row>
    <row r="122">
      <c r="A122" s="5" t="n"/>
      <c r="D122" s="10" t="n"/>
      <c r="F122" s="9" t="n"/>
      <c r="H122" s="8" t="n"/>
    </row>
    <row r="123">
      <c r="A123" s="5" t="n"/>
      <c r="D123" s="10" t="n"/>
      <c r="F123" s="9" t="n"/>
      <c r="H123" s="8" t="n"/>
    </row>
    <row r="124">
      <c r="A124" s="5" t="n"/>
      <c r="D124" s="10" t="n"/>
      <c r="F124" s="9" t="n"/>
      <c r="H124" s="8" t="n"/>
    </row>
    <row r="125">
      <c r="A125" s="5" t="n"/>
      <c r="D125" s="10" t="n"/>
      <c r="F125" s="9" t="n"/>
      <c r="H125" s="8" t="n"/>
    </row>
    <row r="126">
      <c r="A126" s="5" t="n"/>
      <c r="D126" s="10" t="n"/>
      <c r="F126" s="9" t="n"/>
      <c r="H126" s="8" t="n"/>
    </row>
    <row r="127">
      <c r="A127" s="5" t="n"/>
      <c r="D127" s="10" t="n"/>
      <c r="F127" s="9" t="n"/>
      <c r="H127" s="8" t="n"/>
    </row>
    <row r="128">
      <c r="A128" s="5" t="n"/>
      <c r="D128" s="10" t="n"/>
      <c r="F128" s="9" t="n"/>
      <c r="H128" s="8" t="n"/>
    </row>
    <row r="129">
      <c r="A129" s="5" t="n"/>
      <c r="D129" s="10" t="n"/>
      <c r="F129" s="9" t="n"/>
      <c r="H129" s="8" t="n"/>
    </row>
    <row r="130">
      <c r="A130" s="5" t="n"/>
      <c r="D130" s="10" t="n"/>
      <c r="F130" s="9" t="n"/>
      <c r="H130" s="8" t="n"/>
    </row>
    <row r="131">
      <c r="A131" s="5" t="n"/>
      <c r="D131" s="10" t="n"/>
      <c r="F131" s="9" t="n"/>
      <c r="H131" s="8" t="n"/>
    </row>
    <row r="132">
      <c r="A132" s="5" t="n"/>
      <c r="D132" s="10" t="n"/>
      <c r="F132" s="9" t="n"/>
      <c r="H132" s="8" t="n"/>
    </row>
    <row r="133">
      <c r="A133" s="5" t="n"/>
      <c r="D133" s="10" t="n"/>
      <c r="F133" s="9" t="n"/>
      <c r="H133" s="8" t="n"/>
    </row>
    <row r="134">
      <c r="A134" s="5" t="n"/>
      <c r="D134" s="10" t="n"/>
      <c r="F134" s="9" t="n"/>
      <c r="H134" s="8" t="n"/>
    </row>
    <row r="135">
      <c r="A135" s="5" t="n"/>
      <c r="D135" s="10" t="n"/>
      <c r="F135" s="9" t="n"/>
      <c r="H135" s="8" t="n"/>
    </row>
    <row r="136">
      <c r="A136" s="5" t="n"/>
      <c r="D136" s="10" t="n"/>
      <c r="F136" s="9" t="n"/>
      <c r="H136" s="8" t="n"/>
    </row>
    <row r="137">
      <c r="A137" s="5" t="n"/>
      <c r="D137" s="10" t="n"/>
      <c r="F137" s="9" t="n"/>
      <c r="H137" s="8" t="n"/>
    </row>
    <row r="138">
      <c r="A138" s="5" t="n"/>
      <c r="D138" s="10" t="n"/>
      <c r="F138" s="9" t="n"/>
      <c r="H138" s="8" t="n"/>
    </row>
    <row r="139">
      <c r="A139" s="7" t="n"/>
      <c r="D139" s="10" t="n"/>
      <c r="F139" s="9" t="n"/>
      <c r="H139" s="8" t="n"/>
    </row>
    <row r="140">
      <c r="D140" s="10" t="n"/>
      <c r="F140" s="9" t="n"/>
      <c r="H140" s="8" t="n"/>
    </row>
    <row r="141">
      <c r="D141" s="10" t="n"/>
      <c r="F141" s="9" t="n"/>
      <c r="H141" s="8" t="n"/>
    </row>
    <row r="142">
      <c r="D142" s="10" t="n"/>
      <c r="F142" s="9" t="n"/>
      <c r="H142" s="8" t="n"/>
    </row>
    <row r="143">
      <c r="A143" s="3" t="n"/>
      <c r="D143" s="10" t="n"/>
      <c r="F143" s="9" t="n"/>
      <c r="H143" s="8" t="n"/>
    </row>
    <row r="144">
      <c r="A144" s="3" t="n"/>
      <c r="D144" s="10" t="n"/>
      <c r="F144" s="9" t="n"/>
      <c r="H144" s="8" t="n"/>
    </row>
    <row r="145">
      <c r="A145" s="5" t="n"/>
      <c r="D145" s="10" t="n"/>
      <c r="F145" s="9" t="n"/>
      <c r="H145" s="8" t="n"/>
    </row>
    <row r="146">
      <c r="A146" s="5" t="n"/>
      <c r="D146" s="10" t="n"/>
      <c r="F146" s="9" t="n"/>
      <c r="H146" s="8" t="n"/>
    </row>
    <row r="147">
      <c r="A147" s="5" t="n"/>
      <c r="D147" s="10" t="n"/>
      <c r="F147" s="9" t="n"/>
      <c r="H147" s="8" t="n"/>
    </row>
    <row r="148">
      <c r="A148" s="5" t="n"/>
      <c r="D148" s="10" t="n"/>
      <c r="F148" s="9" t="n"/>
      <c r="H148" s="8" t="n"/>
    </row>
    <row r="149">
      <c r="A149" s="5" t="n"/>
      <c r="D149" s="10" t="n"/>
      <c r="F149" s="9" t="n"/>
      <c r="H149" s="8" t="n"/>
    </row>
    <row r="150">
      <c r="A150" s="5" t="n"/>
      <c r="D150" s="10" t="n"/>
      <c r="F150" s="9" t="n"/>
      <c r="H150" s="8" t="n"/>
    </row>
    <row r="151">
      <c r="A151" s="5" t="n"/>
      <c r="D151" s="10" t="n"/>
      <c r="F151" s="9" t="n"/>
      <c r="H151" s="8" t="n"/>
    </row>
    <row r="152">
      <c r="A152" s="5" t="n"/>
      <c r="D152" s="10" t="n"/>
      <c r="F152" s="9" t="n"/>
      <c r="H152" s="8" t="n"/>
    </row>
    <row r="153">
      <c r="A153" s="5" t="n"/>
      <c r="D153" s="10" t="n"/>
      <c r="F153" s="9" t="n"/>
      <c r="H153" s="8" t="n"/>
    </row>
    <row r="154">
      <c r="A154" s="5" t="n"/>
      <c r="D154" s="10" t="n"/>
      <c r="F154" s="9" t="n"/>
      <c r="H154" s="8" t="n"/>
    </row>
    <row r="155">
      <c r="A155" s="5" t="n"/>
      <c r="D155" s="10" t="n"/>
      <c r="F155" s="9" t="n"/>
      <c r="H155" s="8" t="n"/>
    </row>
    <row r="156">
      <c r="A156" s="5" t="n"/>
      <c r="D156" s="10" t="n"/>
      <c r="F156" s="9" t="n"/>
      <c r="H156" s="8" t="n"/>
    </row>
    <row r="157">
      <c r="A157" s="5" t="n"/>
      <c r="D157" s="10" t="n"/>
      <c r="F157" s="9" t="n"/>
      <c r="H157" s="8" t="n"/>
    </row>
    <row r="158">
      <c r="A158" s="5" t="n"/>
      <c r="D158" s="10" t="n"/>
      <c r="F158" s="9" t="n"/>
      <c r="H158" s="8" t="n"/>
    </row>
    <row r="159">
      <c r="A159" s="5" t="n"/>
      <c r="D159" s="10" t="n"/>
      <c r="F159" s="9" t="n"/>
      <c r="H159" s="8" t="n"/>
    </row>
    <row r="160">
      <c r="A160" s="5" t="n"/>
      <c r="D160" s="10" t="n"/>
      <c r="F160" s="9" t="n"/>
      <c r="H160" s="8" t="n"/>
    </row>
    <row r="161">
      <c r="A161" s="5" t="n"/>
      <c r="D161" s="10" t="n"/>
      <c r="F161" s="9" t="n"/>
      <c r="H161" s="8" t="n"/>
    </row>
    <row r="162">
      <c r="A162" s="5" t="n"/>
      <c r="D162" s="10" t="n"/>
      <c r="F162" s="9" t="n"/>
      <c r="H162" s="8" t="n"/>
    </row>
    <row r="163">
      <c r="A163" s="5" t="n"/>
      <c r="D163" s="10" t="n"/>
      <c r="F163" s="9" t="n"/>
      <c r="H163" s="8" t="n"/>
    </row>
    <row r="164">
      <c r="A164" s="5" t="n"/>
      <c r="D164" s="10" t="n"/>
      <c r="F164" s="9" t="n"/>
      <c r="H164" s="8" t="n"/>
    </row>
    <row r="165">
      <c r="A165" s="5" t="n"/>
      <c r="D165" s="10" t="n"/>
      <c r="F165" s="9" t="n"/>
      <c r="H165" s="8" t="n"/>
    </row>
    <row r="166">
      <c r="A166" s="5" t="n"/>
      <c r="D166" s="10" t="n"/>
      <c r="F166" s="9" t="n"/>
      <c r="H166" s="8" t="n"/>
    </row>
    <row r="167">
      <c r="A167" s="5" t="n"/>
      <c r="D167" s="10" t="n"/>
      <c r="F167" s="9" t="n"/>
      <c r="H167" s="8" t="n"/>
    </row>
    <row r="168">
      <c r="A168" s="5" t="n"/>
      <c r="D168" s="10" t="n"/>
      <c r="F168" s="9" t="n"/>
      <c r="H168" s="8" t="n"/>
    </row>
    <row r="169">
      <c r="A169" s="5" t="n"/>
      <c r="D169" s="10" t="n"/>
      <c r="F169" s="9" t="n"/>
      <c r="H169" s="8" t="n"/>
    </row>
    <row r="170">
      <c r="A170" s="5" t="n"/>
      <c r="D170" s="10" t="n"/>
      <c r="F170" s="9" t="n"/>
      <c r="H170" s="8" t="n"/>
    </row>
    <row r="171">
      <c r="A171" s="5" t="n"/>
      <c r="D171" s="10" t="n"/>
      <c r="F171" s="9" t="n"/>
      <c r="H171" s="8" t="n"/>
    </row>
    <row r="172">
      <c r="A172" s="5" t="n"/>
      <c r="D172" s="10" t="n"/>
      <c r="F172" s="9" t="n"/>
      <c r="H172" s="8" t="n"/>
    </row>
    <row r="173">
      <c r="A173" s="5" t="n"/>
      <c r="D173" s="10" t="n"/>
      <c r="F173" s="9" t="n"/>
      <c r="H173" s="8" t="n"/>
    </row>
    <row r="174">
      <c r="A174" s="5" t="n"/>
      <c r="D174" s="10" t="n"/>
      <c r="F174" s="9" t="n"/>
      <c r="H174" s="8" t="n"/>
    </row>
    <row r="175">
      <c r="A175" s="5" t="n"/>
      <c r="D175" s="10" t="n"/>
      <c r="F175" s="9" t="n"/>
      <c r="H175" s="8" t="n"/>
    </row>
    <row r="176">
      <c r="A176" s="5" t="n"/>
      <c r="D176" s="10" t="n"/>
      <c r="F176" s="9" t="n"/>
      <c r="H176" s="8" t="n"/>
    </row>
    <row r="177">
      <c r="A177" s="5" t="n"/>
      <c r="D177" s="10" t="n"/>
      <c r="F177" s="9" t="n"/>
      <c r="H177" s="8" t="n"/>
    </row>
    <row r="178">
      <c r="A178" s="5" t="n"/>
      <c r="D178" s="10" t="n"/>
      <c r="F178" s="9" t="n"/>
      <c r="H178" s="8" t="n"/>
    </row>
    <row r="179">
      <c r="A179" s="5" t="n"/>
      <c r="D179" s="10" t="n"/>
      <c r="F179" s="9" t="n"/>
      <c r="H179" s="8" t="n"/>
    </row>
    <row r="180">
      <c r="A180" s="5" t="n"/>
      <c r="D180" s="10" t="n"/>
      <c r="F180" s="9" t="n"/>
      <c r="H180" s="8" t="n"/>
    </row>
    <row r="181">
      <c r="A181" s="5" t="n"/>
      <c r="D181" s="10" t="n"/>
      <c r="F181" s="9" t="n"/>
      <c r="H181" s="8" t="n"/>
    </row>
    <row r="182">
      <c r="A182" s="5" t="n"/>
      <c r="D182" s="10" t="n"/>
      <c r="F182" s="9" t="n"/>
      <c r="H182" s="8" t="n"/>
    </row>
    <row r="183">
      <c r="A183" s="5" t="n"/>
      <c r="D183" s="10" t="n"/>
      <c r="F183" s="9" t="n"/>
      <c r="H183" s="8" t="n"/>
    </row>
    <row r="184">
      <c r="A184" s="5" t="n"/>
      <c r="D184" s="10" t="n"/>
      <c r="F184" s="9" t="n"/>
      <c r="H184" s="8" t="n"/>
    </row>
    <row r="185">
      <c r="A185" s="5" t="n"/>
      <c r="D185" s="10" t="n"/>
      <c r="F185" s="9" t="n"/>
      <c r="H185" s="8" t="n"/>
    </row>
    <row r="186">
      <c r="A186" s="5" t="n"/>
      <c r="D186" s="10" t="n"/>
      <c r="F186" s="9" t="n"/>
      <c r="H186" s="8" t="n"/>
    </row>
    <row r="187">
      <c r="A187" s="5" t="n"/>
      <c r="D187" s="10" t="n"/>
      <c r="F187" s="9" t="n"/>
      <c r="H187" s="8" t="n"/>
    </row>
    <row r="188">
      <c r="A188" s="5" t="n"/>
      <c r="D188" s="10" t="n"/>
      <c r="F188" s="9" t="n"/>
      <c r="H188" s="8" t="n"/>
    </row>
    <row r="189">
      <c r="A189" s="5" t="n"/>
      <c r="D189" s="10" t="n"/>
      <c r="F189" s="9" t="n"/>
      <c r="H189" s="8" t="n"/>
    </row>
    <row r="190">
      <c r="A190" s="5" t="n"/>
      <c r="D190" s="10" t="n"/>
      <c r="F190" s="9" t="n"/>
      <c r="H190" s="8" t="n"/>
    </row>
    <row r="191">
      <c r="A191" s="5" t="n"/>
      <c r="D191" s="10" t="n"/>
      <c r="F191" s="9" t="n"/>
      <c r="H191" s="8" t="n"/>
    </row>
    <row r="192">
      <c r="A192" s="5" t="n"/>
      <c r="D192" s="10" t="n"/>
      <c r="F192" s="9" t="n"/>
      <c r="H192" s="8" t="n"/>
    </row>
    <row r="193">
      <c r="A193" s="5" t="n"/>
      <c r="D193" s="10" t="n"/>
      <c r="F193" s="9" t="n"/>
      <c r="H193" s="8" t="n"/>
    </row>
    <row r="194">
      <c r="A194" s="5" t="n"/>
      <c r="D194" s="10" t="n"/>
      <c r="F194" s="9" t="n"/>
      <c r="H194" s="8" t="n"/>
    </row>
    <row r="195">
      <c r="A195" s="5" t="n"/>
      <c r="D195" s="10" t="n"/>
      <c r="F195" s="9" t="n"/>
      <c r="H195" s="8" t="n"/>
    </row>
    <row r="196">
      <c r="A196" s="5" t="n"/>
      <c r="D196" s="10" t="n"/>
      <c r="F196" s="9" t="n"/>
      <c r="H196" s="8" t="n"/>
    </row>
    <row r="197">
      <c r="A197" s="5" t="n"/>
      <c r="D197" s="10" t="n"/>
      <c r="F197" s="9" t="n"/>
      <c r="H197" s="8" t="n"/>
    </row>
    <row r="198">
      <c r="A198" s="5" t="n"/>
      <c r="D198" s="10" t="n"/>
      <c r="F198" s="9" t="n"/>
      <c r="H198" s="8" t="n"/>
    </row>
    <row r="199">
      <c r="A199" s="5" t="n"/>
      <c r="D199" s="10" t="n"/>
      <c r="F199" s="9" t="n"/>
      <c r="H199" s="8" t="n"/>
    </row>
    <row r="200">
      <c r="A200" s="5" t="n"/>
      <c r="D200" s="10" t="n"/>
      <c r="F200" s="9" t="n"/>
      <c r="H200" s="8" t="n"/>
    </row>
    <row r="201">
      <c r="A201" s="5" t="n"/>
      <c r="D201" s="10" t="n"/>
      <c r="F201" s="9" t="n"/>
      <c r="H201" s="8" t="n"/>
    </row>
    <row r="202">
      <c r="A202" s="5" t="n"/>
      <c r="D202" s="10" t="n"/>
      <c r="F202" s="9" t="n"/>
      <c r="H202" s="8" t="n"/>
    </row>
    <row r="203">
      <c r="A203" s="5" t="n"/>
      <c r="D203" s="10" t="n"/>
      <c r="F203" s="9" t="n"/>
      <c r="H203" s="8" t="n"/>
    </row>
    <row r="204">
      <c r="A204" s="5" t="n"/>
      <c r="D204" s="10" t="n"/>
      <c r="F204" s="9" t="n"/>
      <c r="H204" s="8" t="n"/>
    </row>
    <row r="205">
      <c r="A205" s="5" t="n"/>
      <c r="D205" s="10" t="n"/>
      <c r="F205" s="9" t="n"/>
      <c r="H205" s="8" t="n"/>
    </row>
    <row r="206">
      <c r="A206" s="5" t="n"/>
      <c r="D206" s="10" t="n"/>
      <c r="F206" s="9" t="n"/>
      <c r="H206" s="8" t="n"/>
    </row>
    <row r="207">
      <c r="A207" s="5" t="n"/>
      <c r="D207" s="10" t="n"/>
      <c r="F207" s="9" t="n"/>
      <c r="H207" s="8" t="n"/>
    </row>
    <row r="208">
      <c r="A208" s="5" t="n"/>
      <c r="D208" s="10" t="n"/>
      <c r="F208" s="9" t="n"/>
      <c r="H208" s="8" t="n"/>
    </row>
    <row r="209">
      <c r="A209" s="5" t="n"/>
      <c r="D209" s="10" t="n"/>
      <c r="F209" s="9" t="n"/>
      <c r="H209" s="8" t="n"/>
    </row>
    <row r="210">
      <c r="A210" s="5" t="n"/>
      <c r="D210" s="10" t="n"/>
      <c r="F210" s="9" t="n"/>
      <c r="H210" s="8" t="n"/>
    </row>
    <row r="211">
      <c r="A211" s="5" t="n"/>
      <c r="D211" s="10" t="n"/>
      <c r="F211" s="9" t="n"/>
      <c r="H211" s="8" t="n"/>
    </row>
    <row r="212">
      <c r="A212" s="7" t="n"/>
      <c r="D212" s="10" t="n"/>
      <c r="F212" s="9" t="n"/>
      <c r="H212" s="8" t="n"/>
    </row>
    <row r="213">
      <c r="D213" s="10" t="n"/>
      <c r="F213" s="9" t="n"/>
      <c r="H213" s="8" t="n"/>
    </row>
    <row r="214">
      <c r="D214" s="10" t="n"/>
      <c r="F214" s="9" t="n"/>
      <c r="H214" s="8" t="n"/>
    </row>
    <row r="215">
      <c r="D215" s="10" t="n"/>
      <c r="F215" s="9" t="n"/>
      <c r="H215" s="8" t="n"/>
    </row>
    <row r="216">
      <c r="A216" s="3" t="n"/>
      <c r="D216" s="10" t="n"/>
      <c r="F216" s="9" t="n"/>
      <c r="H216" s="8" t="n"/>
    </row>
    <row r="217">
      <c r="A217" s="3" t="n"/>
      <c r="D217" s="10" t="n"/>
      <c r="F217" s="9" t="n"/>
      <c r="H217" s="8" t="n"/>
    </row>
    <row r="218">
      <c r="A218" s="5" t="n"/>
      <c r="D218" s="10" t="n"/>
      <c r="F218" s="9" t="n"/>
      <c r="H218" s="8" t="n"/>
    </row>
    <row r="219">
      <c r="A219" s="5" t="n"/>
      <c r="D219" s="10" t="n"/>
      <c r="F219" s="9" t="n"/>
      <c r="H219" s="8" t="n"/>
    </row>
    <row r="220">
      <c r="A220" s="5" t="n"/>
      <c r="D220" s="10" t="n"/>
      <c r="F220" s="9" t="n"/>
      <c r="H220" s="8" t="n"/>
    </row>
    <row r="221">
      <c r="A221" s="5" t="n"/>
      <c r="D221" s="10" t="n"/>
      <c r="F221" s="9" t="n"/>
      <c r="H221" s="8" t="n"/>
    </row>
    <row r="222">
      <c r="A222" s="5" t="n"/>
      <c r="D222" s="10" t="n"/>
      <c r="F222" s="9" t="n"/>
      <c r="H222" s="8" t="n"/>
    </row>
    <row r="223">
      <c r="A223" s="5" t="n"/>
      <c r="D223" s="10" t="n"/>
      <c r="F223" s="9" t="n"/>
      <c r="H223" s="8" t="n"/>
    </row>
    <row r="224">
      <c r="A224" s="5" t="n"/>
      <c r="D224" s="10" t="n"/>
      <c r="F224" s="9" t="n"/>
      <c r="H224" s="8" t="n"/>
    </row>
    <row r="225">
      <c r="A225" s="5" t="n"/>
      <c r="D225" s="10" t="n"/>
      <c r="F225" s="9" t="n"/>
      <c r="H225" s="8" t="n"/>
    </row>
    <row r="226">
      <c r="A226" s="5" t="n"/>
      <c r="D226" s="10" t="n"/>
      <c r="F226" s="9" t="n"/>
      <c r="H226" s="8" t="n"/>
    </row>
    <row r="227">
      <c r="A227" s="5" t="n"/>
      <c r="D227" s="10" t="n"/>
      <c r="F227" s="9" t="n"/>
      <c r="H227" s="8" t="n"/>
    </row>
    <row r="228">
      <c r="A228" s="5" t="n"/>
      <c r="D228" s="10" t="n"/>
      <c r="F228" s="9" t="n"/>
      <c r="H228" s="8" t="n"/>
    </row>
    <row r="229">
      <c r="A229" s="5" t="n"/>
      <c r="D229" s="10" t="n"/>
      <c r="F229" s="9" t="n"/>
      <c r="H229" s="8" t="n"/>
    </row>
    <row r="230">
      <c r="A230" s="5" t="n"/>
      <c r="D230" s="10" t="n"/>
      <c r="F230" s="9" t="n"/>
      <c r="H230" s="8" t="n"/>
    </row>
    <row r="231">
      <c r="A231" s="5" t="n"/>
      <c r="D231" s="10" t="n"/>
      <c r="F231" s="9" t="n"/>
      <c r="H231" s="8" t="n"/>
    </row>
    <row r="232">
      <c r="A232" s="5" t="n"/>
      <c r="D232" s="10" t="n"/>
      <c r="F232" s="9" t="n"/>
      <c r="H232" s="8" t="n"/>
    </row>
    <row r="233">
      <c r="A233" s="5" t="n"/>
      <c r="D233" s="10" t="n"/>
      <c r="F233" s="9" t="n"/>
      <c r="H233" s="8" t="n"/>
    </row>
    <row r="234">
      <c r="A234" s="5" t="n"/>
      <c r="D234" s="10" t="n"/>
      <c r="F234" s="9" t="n"/>
      <c r="H234" s="8" t="n"/>
    </row>
    <row r="235">
      <c r="A235" s="5" t="n"/>
      <c r="D235" s="10" t="n"/>
      <c r="F235" s="9" t="n"/>
      <c r="H235" s="8" t="n"/>
    </row>
    <row r="236">
      <c r="A236" s="5" t="n"/>
      <c r="D236" s="10" t="n"/>
      <c r="F236" s="9" t="n"/>
      <c r="H236" s="8" t="n"/>
    </row>
    <row r="237">
      <c r="A237" s="5" t="n"/>
      <c r="D237" s="10" t="n"/>
      <c r="F237" s="9" t="n"/>
      <c r="H237" s="8" t="n"/>
    </row>
    <row r="238">
      <c r="A238" s="5" t="n"/>
      <c r="D238" s="10" t="n"/>
      <c r="F238" s="9" t="n"/>
      <c r="H238" s="8" t="n"/>
    </row>
    <row r="239">
      <c r="A239" s="5" t="n"/>
      <c r="D239" s="10" t="n"/>
      <c r="F239" s="9" t="n"/>
      <c r="H239" s="8" t="n"/>
    </row>
    <row r="240">
      <c r="A240" s="5" t="n"/>
      <c r="D240" s="10" t="n"/>
      <c r="F240" s="9" t="n"/>
      <c r="H240" s="8" t="n"/>
    </row>
    <row r="241">
      <c r="A241" s="5" t="n"/>
      <c r="D241" s="10" t="n"/>
      <c r="F241" s="9" t="n"/>
      <c r="H241" s="8" t="n"/>
    </row>
    <row r="242">
      <c r="A242" s="5" t="n"/>
      <c r="D242" s="10" t="n"/>
      <c r="F242" s="9" t="n"/>
      <c r="H242" s="8" t="n"/>
    </row>
    <row r="243">
      <c r="A243" s="5" t="n"/>
      <c r="D243" s="10" t="n"/>
      <c r="F243" s="9" t="n"/>
      <c r="H243" s="8" t="n"/>
    </row>
    <row r="244">
      <c r="A244" s="5" t="n"/>
      <c r="D244" s="10" t="n"/>
      <c r="F244" s="9" t="n"/>
      <c r="H244" s="8" t="n"/>
    </row>
    <row r="245">
      <c r="A245" s="5" t="n"/>
      <c r="D245" s="10" t="n"/>
      <c r="F245" s="9" t="n"/>
      <c r="H245" s="8" t="n"/>
    </row>
    <row r="246">
      <c r="A246" s="5" t="n"/>
      <c r="D246" s="10" t="n"/>
      <c r="F246" s="9" t="n"/>
      <c r="H246" s="8" t="n"/>
    </row>
    <row r="247">
      <c r="A247" s="5" t="n"/>
      <c r="D247" s="10" t="n"/>
      <c r="F247" s="9" t="n"/>
      <c r="H247" s="8" t="n"/>
    </row>
    <row r="248">
      <c r="A248" s="5" t="n"/>
      <c r="D248" s="10" t="n"/>
      <c r="F248" s="9" t="n"/>
      <c r="H248" s="8" t="n"/>
    </row>
    <row r="249">
      <c r="A249" s="5" t="n"/>
      <c r="D249" s="10" t="n"/>
      <c r="F249" s="9" t="n"/>
      <c r="H249" s="8" t="n"/>
    </row>
    <row r="250">
      <c r="A250" s="5" t="n"/>
      <c r="D250" s="10" t="n"/>
      <c r="F250" s="9" t="n"/>
      <c r="H250" s="8" t="n"/>
    </row>
    <row r="251">
      <c r="A251" s="5" t="n"/>
      <c r="D251" s="10" t="n"/>
      <c r="F251" s="9" t="n"/>
      <c r="H251" s="8" t="n"/>
    </row>
    <row r="252">
      <c r="A252" s="5" t="n"/>
      <c r="D252" s="10" t="n"/>
      <c r="F252" s="9" t="n"/>
      <c r="H252" s="8" t="n"/>
    </row>
    <row r="253">
      <c r="A253" s="5" t="n"/>
      <c r="D253" s="10" t="n"/>
      <c r="F253" s="9" t="n"/>
      <c r="H253" s="8" t="n"/>
    </row>
    <row r="254">
      <c r="A254" s="5" t="n"/>
      <c r="D254" s="10" t="n"/>
      <c r="F254" s="9" t="n"/>
      <c r="H254" s="8" t="n"/>
    </row>
    <row r="255">
      <c r="A255" s="5" t="n"/>
      <c r="D255" s="10" t="n"/>
      <c r="F255" s="9" t="n"/>
      <c r="H255" s="8" t="n"/>
    </row>
    <row r="256">
      <c r="A256" s="5" t="n"/>
      <c r="D256" s="10" t="n"/>
      <c r="F256" s="9" t="n"/>
      <c r="H256" s="8" t="n"/>
    </row>
    <row r="257">
      <c r="A257" s="5" t="n"/>
      <c r="D257" s="10" t="n"/>
      <c r="F257" s="9" t="n"/>
      <c r="H257" s="8" t="n"/>
    </row>
    <row r="258">
      <c r="A258" s="5" t="n"/>
      <c r="D258" s="10" t="n"/>
      <c r="F258" s="9" t="n"/>
      <c r="H258" s="8" t="n"/>
    </row>
    <row r="259">
      <c r="A259" s="5" t="n"/>
      <c r="D259" s="10" t="n"/>
      <c r="F259" s="9" t="n"/>
      <c r="H259" s="8" t="n"/>
    </row>
    <row r="260">
      <c r="A260" s="5" t="n"/>
      <c r="D260" s="10" t="n"/>
      <c r="F260" s="9" t="n"/>
      <c r="H260" s="8" t="n"/>
    </row>
    <row r="261">
      <c r="A261" s="5" t="n"/>
      <c r="D261" s="10" t="n"/>
      <c r="F261" s="9" t="n"/>
      <c r="H261" s="8" t="n"/>
    </row>
    <row r="262">
      <c r="A262" s="5" t="n"/>
      <c r="D262" s="10" t="n"/>
      <c r="F262" s="9" t="n"/>
      <c r="H262" s="8" t="n"/>
    </row>
    <row r="263">
      <c r="A263" s="5" t="n"/>
      <c r="D263" s="10" t="n"/>
      <c r="F263" s="9" t="n"/>
      <c r="H263" s="8" t="n"/>
    </row>
    <row r="264">
      <c r="A264" s="5" t="n"/>
      <c r="D264" s="10" t="n"/>
      <c r="F264" s="9" t="n"/>
      <c r="H264" s="8" t="n"/>
    </row>
    <row r="265">
      <c r="A265" s="5" t="n"/>
      <c r="D265" s="10" t="n"/>
      <c r="F265" s="9" t="n"/>
      <c r="H265" s="8" t="n"/>
    </row>
    <row r="266">
      <c r="A266" s="5" t="n"/>
      <c r="D266" s="10" t="n"/>
      <c r="F266" s="9" t="n"/>
      <c r="H266" s="8" t="n"/>
    </row>
    <row r="267">
      <c r="A267" s="5" t="n"/>
      <c r="D267" s="10" t="n"/>
      <c r="F267" s="9" t="n"/>
      <c r="H267" s="8" t="n"/>
    </row>
    <row r="268">
      <c r="A268" s="5" t="n"/>
      <c r="D268" s="10" t="n"/>
      <c r="F268" s="9" t="n"/>
      <c r="H268" s="8" t="n"/>
    </row>
    <row r="269">
      <c r="A269" s="5" t="n"/>
      <c r="D269" s="10" t="n"/>
      <c r="F269" s="9" t="n"/>
      <c r="H269" s="8" t="n"/>
    </row>
    <row r="270">
      <c r="A270" s="5" t="n"/>
      <c r="D270" s="10" t="n"/>
      <c r="F270" s="9" t="n"/>
      <c r="H270" s="8" t="n"/>
    </row>
    <row r="271">
      <c r="A271" s="5" t="n"/>
      <c r="D271" s="10" t="n"/>
      <c r="F271" s="9" t="n"/>
      <c r="H271" s="8" t="n"/>
    </row>
    <row r="272">
      <c r="A272" s="5" t="n"/>
      <c r="D272" s="10" t="n"/>
      <c r="F272" s="9" t="n"/>
      <c r="H272" s="8" t="n"/>
    </row>
    <row r="273">
      <c r="A273" s="5" t="n"/>
      <c r="D273" s="10" t="n"/>
      <c r="F273" s="9" t="n"/>
      <c r="H273" s="8" t="n"/>
    </row>
    <row r="274">
      <c r="A274" s="5" t="n"/>
      <c r="D274" s="10" t="n"/>
      <c r="F274" s="9" t="n"/>
      <c r="H274" s="8" t="n"/>
    </row>
    <row r="275">
      <c r="A275" s="5" t="n"/>
      <c r="D275" s="10" t="n"/>
      <c r="F275" s="9" t="n"/>
      <c r="H275" s="8" t="n"/>
    </row>
    <row r="276">
      <c r="A276" s="5" t="n"/>
      <c r="D276" s="10" t="n"/>
      <c r="F276" s="9" t="n"/>
      <c r="H276" s="8" t="n"/>
    </row>
    <row r="277">
      <c r="A277" s="5" t="n"/>
      <c r="D277" s="10" t="n"/>
      <c r="F277" s="9" t="n"/>
      <c r="H277" s="8" t="n"/>
    </row>
    <row r="278">
      <c r="A278" s="5" t="n"/>
      <c r="D278" s="10" t="n"/>
      <c r="F278" s="9" t="n"/>
      <c r="H278" s="8" t="n"/>
    </row>
    <row r="279">
      <c r="A279" s="5" t="n"/>
      <c r="D279" s="10" t="n"/>
      <c r="F279" s="9" t="n"/>
      <c r="H279" s="8" t="n"/>
    </row>
    <row r="280">
      <c r="A280" s="5" t="n"/>
      <c r="D280" s="10" t="n"/>
      <c r="F280" s="9" t="n"/>
      <c r="H280" s="8" t="n"/>
    </row>
    <row r="281">
      <c r="A281" s="5" t="n"/>
      <c r="D281" s="10" t="n"/>
      <c r="F281" s="9" t="n"/>
      <c r="H281" s="8" t="n"/>
    </row>
    <row r="282">
      <c r="A282" s="5" t="n"/>
      <c r="D282" s="10" t="n"/>
      <c r="F282" s="9" t="n"/>
      <c r="H282" s="8" t="n"/>
    </row>
    <row r="283">
      <c r="A283" s="5" t="n"/>
      <c r="D283" s="10" t="n"/>
      <c r="F283" s="9" t="n"/>
      <c r="H283" s="8" t="n"/>
    </row>
    <row r="284">
      <c r="A284" s="5" t="n"/>
      <c r="D284" s="10" t="n"/>
      <c r="F284" s="9" t="n"/>
      <c r="H284" s="8" t="n"/>
    </row>
    <row r="285">
      <c r="A285" s="7" t="n"/>
      <c r="D285" s="10" t="n"/>
      <c r="F285" s="9" t="n"/>
      <c r="H285" s="8" t="n"/>
    </row>
    <row r="286">
      <c r="D286" s="10" t="n"/>
      <c r="F286" s="9" t="n"/>
      <c r="H286" s="8" t="n"/>
    </row>
    <row r="287">
      <c r="D287" s="10" t="n"/>
      <c r="F287" s="9" t="n"/>
      <c r="H287" s="8" t="n"/>
    </row>
    <row r="288">
      <c r="D288" s="10" t="n"/>
      <c r="F288" s="9" t="n"/>
      <c r="H288" s="8" t="n"/>
    </row>
    <row r="289">
      <c r="A289" s="3" t="n"/>
      <c r="D289" s="10" t="n"/>
      <c r="F289" s="9" t="n"/>
      <c r="H289" s="8" t="n"/>
    </row>
    <row r="290">
      <c r="A290" s="3" t="n"/>
      <c r="D290" s="10" t="n"/>
      <c r="F290" s="9" t="n"/>
      <c r="H290" s="8" t="n"/>
    </row>
    <row r="291">
      <c r="A291" s="5" t="n"/>
      <c r="D291" s="10" t="n"/>
      <c r="F291" s="9" t="n"/>
      <c r="H291" s="8" t="n"/>
    </row>
    <row r="292">
      <c r="A292" s="5" t="n"/>
      <c r="D292" s="10" t="n"/>
      <c r="F292" s="9" t="n"/>
      <c r="H292" s="8" t="n"/>
    </row>
    <row r="293">
      <c r="A293" s="5" t="n"/>
      <c r="D293" s="10" t="n"/>
      <c r="F293" s="9" t="n"/>
      <c r="H293" s="8" t="n"/>
    </row>
    <row r="294">
      <c r="A294" s="5" t="n"/>
      <c r="D294" s="10" t="n"/>
      <c r="F294" s="9" t="n"/>
      <c r="H294" s="8" t="n"/>
    </row>
    <row r="295">
      <c r="A295" s="5" t="n"/>
      <c r="D295" s="10" t="n"/>
      <c r="F295" s="9" t="n"/>
      <c r="H295" s="8" t="n"/>
    </row>
    <row r="296">
      <c r="A296" s="5" t="n"/>
      <c r="D296" s="10" t="n"/>
      <c r="F296" s="9" t="n"/>
      <c r="H296" s="8" t="n"/>
    </row>
    <row r="297">
      <c r="A297" s="5" t="n"/>
      <c r="D297" s="10" t="n"/>
      <c r="F297" s="9" t="n"/>
      <c r="H297" s="8" t="n"/>
    </row>
    <row r="298">
      <c r="A298" s="5" t="n"/>
      <c r="D298" s="10" t="n"/>
      <c r="F298" s="9" t="n"/>
      <c r="H298" s="8" t="n"/>
    </row>
    <row r="299">
      <c r="A299" s="5" t="n"/>
      <c r="D299" s="10" t="n"/>
      <c r="F299" s="9" t="n"/>
      <c r="H299" s="8" t="n"/>
    </row>
    <row r="300">
      <c r="A300" s="5" t="n"/>
      <c r="D300" s="10" t="n"/>
      <c r="F300" s="9" t="n"/>
      <c r="H300" s="8" t="n"/>
    </row>
    <row r="301">
      <c r="A301" s="5" t="n"/>
      <c r="D301" s="10" t="n"/>
      <c r="F301" s="9" t="n"/>
      <c r="H301" s="8" t="n"/>
    </row>
    <row r="302">
      <c r="A302" s="5" t="n"/>
      <c r="D302" s="10" t="n"/>
      <c r="F302" s="9" t="n"/>
      <c r="H302" s="8" t="n"/>
    </row>
    <row r="303">
      <c r="A303" s="5" t="n"/>
      <c r="D303" s="10" t="n"/>
      <c r="F303" s="9" t="n"/>
      <c r="H303" s="8" t="n"/>
    </row>
    <row r="304">
      <c r="A304" s="5" t="n"/>
      <c r="D304" s="10" t="n"/>
      <c r="F304" s="9" t="n"/>
      <c r="H304" s="8" t="n"/>
    </row>
    <row r="305">
      <c r="A305" s="5" t="n"/>
      <c r="D305" s="10" t="n"/>
      <c r="F305" s="9" t="n"/>
      <c r="H305" s="8" t="n"/>
    </row>
    <row r="306">
      <c r="A306" s="5" t="n"/>
      <c r="D306" s="10" t="n"/>
      <c r="F306" s="9" t="n"/>
      <c r="H306" s="8" t="n"/>
    </row>
    <row r="307">
      <c r="A307" s="5" t="n"/>
      <c r="D307" s="10" t="n"/>
      <c r="F307" s="9" t="n"/>
      <c r="H307" s="8" t="n"/>
    </row>
    <row r="308">
      <c r="A308" s="5" t="n"/>
      <c r="D308" s="10" t="n"/>
      <c r="F308" s="9" t="n"/>
      <c r="H308" s="8" t="n"/>
    </row>
    <row r="309">
      <c r="A309" s="5" t="n"/>
      <c r="D309" s="10" t="n"/>
      <c r="F309" s="9" t="n"/>
      <c r="H309" s="8" t="n"/>
    </row>
    <row r="310">
      <c r="A310" s="5" t="n"/>
      <c r="D310" s="10" t="n"/>
      <c r="F310" s="9" t="n"/>
      <c r="H310" s="8" t="n"/>
    </row>
    <row r="311">
      <c r="A311" s="5" t="n"/>
      <c r="D311" s="10" t="n"/>
      <c r="F311" s="9" t="n"/>
      <c r="H311" s="8" t="n"/>
    </row>
    <row r="312">
      <c r="A312" s="5" t="n"/>
      <c r="D312" s="10" t="n"/>
      <c r="F312" s="9" t="n"/>
      <c r="H312" s="8" t="n"/>
    </row>
    <row r="313">
      <c r="A313" s="5" t="n"/>
      <c r="D313" s="10" t="n"/>
      <c r="F313" s="9" t="n"/>
      <c r="H313" s="8" t="n"/>
    </row>
    <row r="314">
      <c r="A314" s="5" t="n"/>
      <c r="D314" s="10" t="n"/>
      <c r="F314" s="9" t="n"/>
      <c r="H314" s="8" t="n"/>
    </row>
    <row r="315">
      <c r="A315" s="5" t="n"/>
      <c r="D315" s="10" t="n"/>
      <c r="F315" s="9" t="n"/>
      <c r="H315" s="8" t="n"/>
    </row>
    <row r="316">
      <c r="A316" s="5" t="n"/>
      <c r="D316" s="10" t="n"/>
      <c r="F316" s="9" t="n"/>
      <c r="H316" s="8" t="n"/>
    </row>
    <row r="317">
      <c r="A317" s="5" t="n"/>
      <c r="D317" s="10" t="n"/>
      <c r="F317" s="9" t="n"/>
      <c r="H317" s="8" t="n"/>
    </row>
    <row r="318">
      <c r="A318" s="5" t="n"/>
      <c r="D318" s="10" t="n"/>
      <c r="F318" s="9" t="n"/>
      <c r="H318" s="8" t="n"/>
    </row>
    <row r="319">
      <c r="A319" s="5" t="n"/>
      <c r="D319" s="10" t="n"/>
      <c r="F319" s="9" t="n"/>
      <c r="H319" s="8" t="n"/>
    </row>
    <row r="320">
      <c r="A320" s="5" t="n"/>
      <c r="D320" s="10" t="n"/>
      <c r="F320" s="9" t="n"/>
      <c r="H320" s="8" t="n"/>
    </row>
    <row r="321">
      <c r="A321" s="5" t="n"/>
      <c r="D321" s="10" t="n"/>
      <c r="F321" s="9" t="n"/>
      <c r="H321" s="8" t="n"/>
    </row>
    <row r="322">
      <c r="A322" s="5" t="n"/>
      <c r="D322" s="10" t="n"/>
      <c r="F322" s="9" t="n"/>
      <c r="H322" s="8" t="n"/>
    </row>
    <row r="323">
      <c r="A323" s="5" t="n"/>
      <c r="D323" s="10" t="n"/>
      <c r="F323" s="9" t="n"/>
      <c r="H323" s="8" t="n"/>
    </row>
    <row r="324">
      <c r="A324" s="5" t="n"/>
      <c r="D324" s="10" t="n"/>
      <c r="F324" s="9" t="n"/>
      <c r="H324" s="8" t="n"/>
    </row>
    <row r="325">
      <c r="A325" s="5" t="n"/>
      <c r="D325" s="10" t="n"/>
      <c r="F325" s="9" t="n"/>
      <c r="H325" s="8" t="n"/>
    </row>
    <row r="326">
      <c r="A326" s="5" t="n"/>
      <c r="D326" s="10" t="n"/>
      <c r="F326" s="9" t="n"/>
      <c r="H326" s="8" t="n"/>
    </row>
    <row r="327">
      <c r="A327" s="5" t="n"/>
      <c r="D327" s="10" t="n"/>
      <c r="F327" s="9" t="n"/>
      <c r="H327" s="8" t="n"/>
    </row>
    <row r="328">
      <c r="A328" s="5" t="n"/>
      <c r="D328" s="10" t="n"/>
      <c r="F328" s="9" t="n"/>
      <c r="H328" s="8" t="n"/>
    </row>
    <row r="329">
      <c r="A329" s="5" t="n"/>
      <c r="D329" s="10" t="n"/>
      <c r="F329" s="9" t="n"/>
      <c r="H329" s="8" t="n"/>
    </row>
    <row r="330">
      <c r="A330" s="5" t="n"/>
      <c r="D330" s="10" t="n"/>
      <c r="F330" s="9" t="n"/>
      <c r="H330" s="8" t="n"/>
    </row>
    <row r="331">
      <c r="A331" s="5" t="n"/>
      <c r="D331" s="10" t="n"/>
      <c r="F331" s="9" t="n"/>
      <c r="H331" s="8" t="n"/>
    </row>
    <row r="332">
      <c r="A332" s="5" t="n"/>
      <c r="D332" s="10" t="n"/>
      <c r="F332" s="9" t="n"/>
      <c r="H332" s="8" t="n"/>
    </row>
    <row r="333">
      <c r="A333" s="5" t="n"/>
      <c r="D333" s="10" t="n"/>
      <c r="F333" s="9" t="n"/>
      <c r="H333" s="8" t="n"/>
    </row>
    <row r="334">
      <c r="A334" s="5" t="n"/>
      <c r="D334" s="10" t="n"/>
      <c r="F334" s="9" t="n"/>
      <c r="H334" s="8" t="n"/>
    </row>
    <row r="335">
      <c r="A335" s="5" t="n"/>
      <c r="D335" s="10" t="n"/>
      <c r="F335" s="9" t="n"/>
      <c r="H335" s="8" t="n"/>
    </row>
    <row r="336">
      <c r="A336" s="5" t="n"/>
      <c r="D336" s="10" t="n"/>
      <c r="F336" s="9" t="n"/>
      <c r="H336" s="8" t="n"/>
    </row>
    <row r="337">
      <c r="A337" s="5" t="n"/>
      <c r="D337" s="10" t="n"/>
      <c r="F337" s="9" t="n"/>
      <c r="H337" s="8" t="n"/>
    </row>
    <row r="338">
      <c r="A338" s="5" t="n"/>
      <c r="D338" s="10" t="n"/>
      <c r="F338" s="9" t="n"/>
      <c r="H338" s="8" t="n"/>
    </row>
    <row r="339">
      <c r="A339" s="5" t="n"/>
      <c r="D339" s="10" t="n"/>
      <c r="F339" s="9" t="n"/>
      <c r="H339" s="8" t="n"/>
    </row>
    <row r="340">
      <c r="A340" s="5" t="n"/>
      <c r="D340" s="10" t="n"/>
      <c r="F340" s="9" t="n"/>
      <c r="H340" s="8" t="n"/>
    </row>
    <row r="341">
      <c r="A341" s="5" t="n"/>
      <c r="D341" s="10" t="n"/>
      <c r="F341" s="9" t="n"/>
      <c r="H341" s="8" t="n"/>
    </row>
    <row r="342">
      <c r="A342" s="5" t="n"/>
      <c r="D342" s="10" t="n"/>
      <c r="F342" s="9" t="n"/>
      <c r="H342" s="8" t="n"/>
    </row>
    <row r="343">
      <c r="A343" s="5" t="n"/>
      <c r="D343" s="10" t="n"/>
      <c r="F343" s="9" t="n"/>
      <c r="H343" s="8" t="n"/>
    </row>
    <row r="344">
      <c r="A344" s="5" t="n"/>
      <c r="D344" s="10" t="n"/>
      <c r="F344" s="9" t="n"/>
      <c r="H344" s="8" t="n"/>
    </row>
    <row r="345">
      <c r="A345" s="5" t="n"/>
      <c r="D345" s="10" t="n"/>
      <c r="F345" s="9" t="n"/>
      <c r="H345" s="8" t="n"/>
    </row>
    <row r="346">
      <c r="A346" s="5" t="n"/>
      <c r="D346" s="10" t="n"/>
      <c r="F346" s="9" t="n"/>
      <c r="H346" s="8" t="n"/>
    </row>
    <row r="347">
      <c r="A347" s="5" t="n"/>
      <c r="D347" s="10" t="n"/>
      <c r="F347" s="9" t="n"/>
      <c r="H347" s="8" t="n"/>
    </row>
    <row r="348">
      <c r="A348" s="5" t="n"/>
      <c r="D348" s="10" t="n"/>
      <c r="F348" s="9" t="n"/>
      <c r="H348" s="8" t="n"/>
    </row>
    <row r="349">
      <c r="A349" s="5" t="n"/>
      <c r="D349" s="10" t="n"/>
      <c r="F349" s="9" t="n"/>
      <c r="H349" s="8" t="n"/>
    </row>
    <row r="350">
      <c r="A350" s="5" t="n"/>
      <c r="D350" s="10" t="n"/>
      <c r="F350" s="9" t="n"/>
      <c r="H350" s="8" t="n"/>
    </row>
    <row r="351">
      <c r="A351" s="5" t="n"/>
      <c r="D351" s="10" t="n"/>
      <c r="F351" s="9" t="n"/>
      <c r="H351" s="8" t="n"/>
    </row>
    <row r="352">
      <c r="A352" s="5" t="n"/>
      <c r="D352" s="10" t="n"/>
      <c r="F352" s="9" t="n"/>
      <c r="H352" s="8" t="n"/>
    </row>
    <row r="353">
      <c r="A353" s="5" t="n"/>
      <c r="D353" s="10" t="n"/>
      <c r="F353" s="9" t="n"/>
      <c r="H353" s="8" t="n"/>
    </row>
    <row r="354">
      <c r="A354" s="5" t="n"/>
      <c r="D354" s="10" t="n"/>
      <c r="F354" s="9" t="n"/>
      <c r="H354" s="8" t="n"/>
    </row>
    <row r="355">
      <c r="A355" s="5" t="n"/>
      <c r="D355" s="10" t="n"/>
      <c r="F355" s="9" t="n"/>
      <c r="H355" s="8" t="n"/>
    </row>
    <row r="356">
      <c r="A356" s="5" t="n"/>
      <c r="D356" s="10" t="n"/>
      <c r="F356" s="9" t="n"/>
      <c r="H356" s="8" t="n"/>
    </row>
    <row r="357">
      <c r="A357" s="5" t="n"/>
      <c r="D357" s="10" t="n"/>
      <c r="F357" s="9" t="n"/>
      <c r="H357" s="8" t="n"/>
    </row>
    <row r="358">
      <c r="A358" s="7" t="n"/>
      <c r="D358" s="10" t="n"/>
      <c r="F358" s="9" t="n"/>
      <c r="H358" s="8" t="n"/>
    </row>
    <row r="359">
      <c r="D359" s="10" t="n"/>
      <c r="F359" s="9" t="n"/>
      <c r="H359" s="8" t="n"/>
    </row>
    <row r="360">
      <c r="D360" s="10" t="n"/>
      <c r="F360" s="9" t="n"/>
      <c r="H360" s="8" t="n"/>
    </row>
    <row r="361">
      <c r="D361" s="10" t="n"/>
      <c r="F361" s="9" t="n"/>
      <c r="H361" s="8" t="n"/>
    </row>
    <row r="362">
      <c r="A362" s="3" t="n"/>
      <c r="D362" s="10" t="n"/>
      <c r="F362" s="9" t="n"/>
      <c r="H362" s="8" t="n"/>
    </row>
    <row r="363">
      <c r="A363" s="3" t="n"/>
      <c r="D363" s="10" t="n"/>
      <c r="F363" s="9" t="n"/>
      <c r="H363" s="8" t="n"/>
    </row>
    <row r="364">
      <c r="A364" s="5" t="n"/>
      <c r="D364" s="10" t="n"/>
      <c r="F364" s="9" t="n"/>
      <c r="H364" s="8" t="n"/>
    </row>
    <row r="365">
      <c r="A365" s="5" t="n"/>
      <c r="D365" s="10" t="n"/>
      <c r="F365" s="9" t="n"/>
      <c r="H365" s="8" t="n"/>
    </row>
    <row r="366">
      <c r="A366" s="5" t="n"/>
      <c r="D366" s="10" t="n"/>
      <c r="F366" s="9" t="n"/>
      <c r="H366" s="8" t="n"/>
    </row>
    <row r="367">
      <c r="A367" s="5" t="n"/>
      <c r="D367" s="10" t="n"/>
      <c r="F367" s="9" t="n"/>
      <c r="H367" s="8" t="n"/>
    </row>
    <row r="368">
      <c r="A368" s="5" t="n"/>
      <c r="D368" s="10" t="n"/>
      <c r="F368" s="9" t="n"/>
      <c r="H368" s="8" t="n"/>
    </row>
    <row r="369">
      <c r="A369" s="5" t="n"/>
      <c r="D369" s="10" t="n"/>
      <c r="F369" s="9" t="n"/>
      <c r="H369" s="8" t="n"/>
    </row>
    <row r="370">
      <c r="A370" s="5" t="n"/>
      <c r="D370" s="10" t="n"/>
      <c r="F370" s="9" t="n"/>
      <c r="H370" s="8" t="n"/>
    </row>
    <row r="371">
      <c r="A371" s="5" t="n"/>
      <c r="D371" s="10" t="n"/>
      <c r="F371" s="9" t="n"/>
      <c r="H371" s="8" t="n"/>
    </row>
    <row r="372">
      <c r="A372" s="5" t="n"/>
      <c r="D372" s="10" t="n"/>
      <c r="F372" s="9" t="n"/>
      <c r="H372" s="8" t="n"/>
    </row>
    <row r="373">
      <c r="A373" s="5" t="n"/>
      <c r="D373" s="10" t="n"/>
      <c r="F373" s="9" t="n"/>
      <c r="H373" s="8" t="n"/>
    </row>
    <row r="374">
      <c r="A374" s="5" t="n"/>
      <c r="D374" s="10" t="n"/>
      <c r="F374" s="9" t="n"/>
      <c r="H374" s="8" t="n"/>
    </row>
    <row r="375">
      <c r="A375" s="5" t="n"/>
      <c r="D375" s="10" t="n"/>
      <c r="F375" s="9" t="n"/>
      <c r="H375" s="8" t="n"/>
    </row>
    <row r="376">
      <c r="A376" s="5" t="n"/>
      <c r="D376" s="10" t="n"/>
      <c r="F376" s="9" t="n"/>
      <c r="H376" s="8" t="n"/>
    </row>
    <row r="377">
      <c r="A377" s="5" t="n"/>
      <c r="D377" s="10" t="n"/>
      <c r="F377" s="9" t="n"/>
      <c r="H377" s="8" t="n"/>
    </row>
    <row r="378">
      <c r="A378" s="5" t="n"/>
      <c r="D378" s="10" t="n"/>
      <c r="F378" s="9" t="n"/>
      <c r="H378" s="8" t="n"/>
    </row>
    <row r="379">
      <c r="A379" s="5" t="n"/>
      <c r="D379" s="10" t="n"/>
      <c r="F379" s="9" t="n"/>
      <c r="H379" s="8" t="n"/>
    </row>
    <row r="380">
      <c r="A380" s="5" t="n"/>
      <c r="D380" s="10" t="n"/>
      <c r="F380" s="9" t="n"/>
      <c r="H380" s="8" t="n"/>
    </row>
    <row r="381">
      <c r="A381" s="5" t="n"/>
      <c r="D381" s="10" t="n"/>
      <c r="F381" s="9" t="n"/>
      <c r="H381" s="8" t="n"/>
    </row>
    <row r="382">
      <c r="A382" s="5" t="n"/>
      <c r="D382" s="10" t="n"/>
      <c r="F382" s="9" t="n"/>
      <c r="H382" s="8" t="n"/>
    </row>
    <row r="383">
      <c r="A383" s="5" t="n"/>
      <c r="D383" s="10" t="n"/>
      <c r="F383" s="9" t="n"/>
      <c r="H383" s="8" t="n"/>
    </row>
    <row r="384">
      <c r="A384" s="5" t="n"/>
      <c r="D384" s="10" t="n"/>
      <c r="F384" s="9" t="n"/>
      <c r="H384" s="8" t="n"/>
    </row>
    <row r="385">
      <c r="A385" s="5" t="n"/>
      <c r="D385" s="10" t="n"/>
      <c r="F385" s="9" t="n"/>
      <c r="H385" s="8" t="n"/>
    </row>
    <row r="386">
      <c r="A386" s="5" t="n"/>
      <c r="D386" s="10" t="n"/>
      <c r="F386" s="9" t="n"/>
      <c r="H386" s="8" t="n"/>
    </row>
    <row r="387">
      <c r="A387" s="5" t="n"/>
      <c r="D387" s="10" t="n"/>
      <c r="F387" s="9" t="n"/>
      <c r="H387" s="8" t="n"/>
    </row>
    <row r="388">
      <c r="A388" s="5" t="n"/>
      <c r="D388" s="10" t="n"/>
      <c r="F388" s="9" t="n"/>
      <c r="H388" s="8" t="n"/>
    </row>
    <row r="389">
      <c r="A389" s="5" t="n"/>
      <c r="D389" s="10" t="n"/>
      <c r="F389" s="9" t="n"/>
      <c r="H389" s="8" t="n"/>
    </row>
    <row r="390">
      <c r="A390" s="5" t="n"/>
      <c r="D390" s="10" t="n"/>
      <c r="F390" s="9" t="n"/>
      <c r="H390" s="8" t="n"/>
    </row>
    <row r="391">
      <c r="A391" s="5" t="n"/>
      <c r="D391" s="10" t="n"/>
      <c r="F391" s="9" t="n"/>
      <c r="H391" s="8" t="n"/>
    </row>
    <row r="392">
      <c r="A392" s="5" t="n"/>
      <c r="D392" s="10" t="n"/>
      <c r="F392" s="9" t="n"/>
      <c r="H392" s="8" t="n"/>
    </row>
    <row r="393">
      <c r="A393" s="5" t="n"/>
      <c r="D393" s="10" t="n"/>
      <c r="F393" s="9" t="n"/>
      <c r="H393" s="8" t="n"/>
    </row>
    <row r="394">
      <c r="A394" s="5" t="n"/>
      <c r="D394" s="10" t="n"/>
      <c r="F394" s="9" t="n"/>
      <c r="H394" s="8" t="n"/>
    </row>
    <row r="395">
      <c r="A395" s="5" t="n"/>
      <c r="D395" s="10" t="n"/>
      <c r="F395" s="9" t="n"/>
      <c r="H395" s="8" t="n"/>
    </row>
    <row r="396">
      <c r="A396" s="5" t="n"/>
      <c r="D396" s="10" t="n"/>
      <c r="F396" s="9" t="n"/>
      <c r="H396" s="8" t="n"/>
    </row>
    <row r="397">
      <c r="A397" s="5" t="n"/>
      <c r="D397" s="10" t="n"/>
      <c r="F397" s="9" t="n"/>
      <c r="H397" s="8" t="n"/>
    </row>
    <row r="398">
      <c r="A398" s="5" t="n"/>
      <c r="D398" s="10" t="n"/>
      <c r="F398" s="9" t="n"/>
      <c r="H398" s="8" t="n"/>
    </row>
    <row r="399">
      <c r="A399" s="5" t="n"/>
      <c r="D399" s="10" t="n"/>
      <c r="F399" s="9" t="n"/>
      <c r="H399" s="8" t="n"/>
    </row>
    <row r="400">
      <c r="A400" s="5" t="n"/>
      <c r="D400" s="10" t="n"/>
      <c r="F400" s="9" t="n"/>
      <c r="H400" s="8" t="n"/>
    </row>
    <row r="401">
      <c r="A401" s="5" t="n"/>
      <c r="D401" s="10" t="n"/>
      <c r="F401" s="9" t="n"/>
      <c r="H401" s="8" t="n"/>
    </row>
    <row r="402">
      <c r="A402" s="5" t="n"/>
      <c r="D402" s="10" t="n"/>
      <c r="F402" s="9" t="n"/>
      <c r="H402" s="8" t="n"/>
    </row>
    <row r="403">
      <c r="A403" s="5" t="n"/>
      <c r="D403" s="10" t="n"/>
      <c r="F403" s="9" t="n"/>
      <c r="H403" s="8" t="n"/>
    </row>
    <row r="404">
      <c r="A404" s="5" t="n"/>
      <c r="D404" s="10" t="n"/>
      <c r="F404" s="9" t="n"/>
      <c r="H404" s="8" t="n"/>
    </row>
    <row r="405">
      <c r="A405" s="5" t="n"/>
      <c r="D405" s="10" t="n"/>
      <c r="F405" s="9" t="n"/>
      <c r="H405" s="8" t="n"/>
    </row>
    <row r="406">
      <c r="A406" s="5" t="n"/>
      <c r="D406" s="10" t="n"/>
      <c r="F406" s="9" t="n"/>
      <c r="H406" s="8" t="n"/>
    </row>
    <row r="407">
      <c r="A407" s="5" t="n"/>
      <c r="D407" s="10" t="n"/>
      <c r="F407" s="9" t="n"/>
      <c r="H407" s="8" t="n"/>
    </row>
    <row r="408">
      <c r="A408" s="5" t="n"/>
      <c r="D408" s="10" t="n"/>
      <c r="F408" s="9" t="n"/>
      <c r="H408" s="8" t="n"/>
    </row>
    <row r="409">
      <c r="A409" s="5" t="n"/>
      <c r="D409" s="10" t="n"/>
      <c r="F409" s="9" t="n"/>
      <c r="H409" s="8" t="n"/>
    </row>
    <row r="410">
      <c r="A410" s="5" t="n"/>
      <c r="D410" s="10" t="n"/>
      <c r="F410" s="9" t="n"/>
      <c r="H410" s="8" t="n"/>
    </row>
    <row r="411">
      <c r="A411" s="5" t="n"/>
      <c r="D411" s="10" t="n"/>
      <c r="F411" s="9" t="n"/>
      <c r="H411" s="8" t="n"/>
    </row>
    <row r="412">
      <c r="A412" s="5" t="n"/>
      <c r="D412" s="10" t="n"/>
      <c r="F412" s="9" t="n"/>
      <c r="H412" s="8" t="n"/>
    </row>
    <row r="413">
      <c r="A413" s="5" t="n"/>
      <c r="D413" s="10" t="n"/>
      <c r="F413" s="9" t="n"/>
      <c r="H413" s="8" t="n"/>
    </row>
    <row r="414">
      <c r="A414" s="5" t="n"/>
      <c r="D414" s="10" t="n"/>
      <c r="F414" s="9" t="n"/>
      <c r="H414" s="8" t="n"/>
    </row>
    <row r="415">
      <c r="A415" s="5" t="n"/>
      <c r="D415" s="10" t="n"/>
      <c r="F415" s="9" t="n"/>
      <c r="H415" s="8" t="n"/>
    </row>
    <row r="416">
      <c r="A416" s="5" t="n"/>
      <c r="D416" s="10" t="n"/>
      <c r="F416" s="9" t="n"/>
      <c r="H416" s="8" t="n"/>
    </row>
    <row r="417">
      <c r="A417" s="5" t="n"/>
      <c r="D417" s="10" t="n"/>
      <c r="F417" s="9" t="n"/>
      <c r="H417" s="8" t="n"/>
    </row>
    <row r="418">
      <c r="A418" s="5" t="n"/>
      <c r="D418" s="10" t="n"/>
      <c r="F418" s="9" t="n"/>
      <c r="H418" s="8" t="n"/>
    </row>
    <row r="419">
      <c r="A419" s="5" t="n"/>
      <c r="D419" s="10" t="n"/>
      <c r="F419" s="9" t="n"/>
      <c r="H419" s="8" t="n"/>
    </row>
    <row r="420">
      <c r="A420" s="5" t="n"/>
      <c r="D420" s="10" t="n"/>
      <c r="F420" s="9" t="n"/>
      <c r="H420" s="8" t="n"/>
    </row>
    <row r="421">
      <c r="A421" s="5" t="n"/>
      <c r="D421" s="10" t="n"/>
      <c r="F421" s="9" t="n"/>
      <c r="H421" s="8" t="n"/>
    </row>
    <row r="422">
      <c r="A422" s="5" t="n"/>
      <c r="D422" s="10" t="n"/>
      <c r="F422" s="9" t="n"/>
      <c r="H422" s="8" t="n"/>
    </row>
    <row r="423">
      <c r="A423" s="5" t="n"/>
      <c r="D423" s="10" t="n"/>
      <c r="F423" s="9" t="n"/>
      <c r="H423" s="8" t="n"/>
    </row>
    <row r="424">
      <c r="A424" s="5" t="n"/>
      <c r="D424" s="10" t="n"/>
      <c r="F424" s="9" t="n"/>
      <c r="H424" s="8" t="n"/>
    </row>
    <row r="425">
      <c r="A425" s="5" t="n"/>
      <c r="D425" s="10" t="n"/>
      <c r="F425" s="9" t="n"/>
      <c r="H425" s="8" t="n"/>
    </row>
    <row r="426">
      <c r="A426" s="5" t="n"/>
      <c r="D426" s="10" t="n"/>
      <c r="F426" s="9" t="n"/>
      <c r="H426" s="8" t="n"/>
    </row>
    <row r="427">
      <c r="A427" s="5" t="n"/>
      <c r="D427" s="10" t="n"/>
      <c r="F427" s="9" t="n"/>
      <c r="H427" s="8" t="n"/>
    </row>
    <row r="428">
      <c r="A428" s="5" t="n"/>
      <c r="D428" s="10" t="n"/>
      <c r="F428" s="9" t="n"/>
      <c r="H428" s="8" t="n"/>
    </row>
    <row r="429">
      <c r="A429" s="5" t="n"/>
      <c r="D429" s="10" t="n"/>
      <c r="F429" s="9" t="n"/>
      <c r="H429" s="8" t="n"/>
    </row>
    <row r="430">
      <c r="A430" s="5" t="n"/>
      <c r="D430" s="10" t="n"/>
      <c r="F430" s="9" t="n"/>
      <c r="H430" s="8" t="n"/>
    </row>
    <row r="431">
      <c r="A431" s="7" t="n"/>
      <c r="D431" s="10" t="n"/>
      <c r="F431" s="9" t="n"/>
      <c r="H431" s="8" t="n"/>
    </row>
    <row r="432">
      <c r="D432" s="10" t="n"/>
      <c r="F432" s="9" t="n"/>
      <c r="H432" s="8" t="n"/>
    </row>
    <row r="433">
      <c r="D433" s="10" t="n"/>
      <c r="F433" s="9" t="n"/>
      <c r="H433" s="8" t="n"/>
    </row>
    <row r="434">
      <c r="D434" s="10" t="n"/>
      <c r="F434" s="9" t="n"/>
      <c r="H434" s="8" t="n"/>
    </row>
    <row r="435">
      <c r="A435" s="3" t="n"/>
      <c r="D435" s="10" t="n"/>
      <c r="F435" s="9" t="n"/>
      <c r="H435" s="8" t="n"/>
    </row>
    <row r="436">
      <c r="A436" s="3" t="n"/>
      <c r="D436" s="10" t="n"/>
      <c r="F436" s="9" t="n"/>
      <c r="H436" s="8" t="n"/>
    </row>
    <row r="437">
      <c r="A437" s="5" t="n"/>
      <c r="D437" s="10" t="n"/>
      <c r="F437" s="9" t="n"/>
      <c r="H437" s="8" t="n"/>
    </row>
    <row r="438">
      <c r="A438" s="5" t="n"/>
      <c r="D438" s="10" t="n"/>
      <c r="F438" s="9" t="n"/>
      <c r="H438" s="8" t="n"/>
    </row>
    <row r="439">
      <c r="A439" s="5" t="n"/>
      <c r="D439" s="10" t="n"/>
      <c r="F439" s="9" t="n"/>
      <c r="H439" s="8" t="n"/>
    </row>
    <row r="440">
      <c r="A440" s="5" t="n"/>
      <c r="D440" s="10" t="n"/>
      <c r="F440" s="9" t="n"/>
      <c r="H440" s="8" t="n"/>
    </row>
    <row r="441">
      <c r="A441" s="5" t="n"/>
      <c r="D441" s="10" t="n"/>
      <c r="F441" s="9" t="n"/>
      <c r="H441" s="8" t="n"/>
    </row>
    <row r="442">
      <c r="A442" s="5" t="n"/>
      <c r="D442" s="10" t="n"/>
      <c r="F442" s="9" t="n"/>
      <c r="H442" s="8" t="n"/>
    </row>
    <row r="443">
      <c r="A443" s="5" t="n"/>
      <c r="D443" s="10" t="n"/>
      <c r="F443" s="9" t="n"/>
      <c r="H443" s="8" t="n"/>
    </row>
    <row r="444">
      <c r="A444" s="5" t="n"/>
      <c r="D444" s="10" t="n"/>
      <c r="F444" s="9" t="n"/>
      <c r="H444" s="8" t="n"/>
    </row>
    <row r="445">
      <c r="A445" s="5" t="n"/>
      <c r="D445" s="10" t="n"/>
      <c r="F445" s="9" t="n"/>
      <c r="H445" s="8" t="n"/>
    </row>
    <row r="446">
      <c r="A446" s="5" t="n"/>
      <c r="D446" s="10" t="n"/>
      <c r="F446" s="9" t="n"/>
      <c r="H446" s="8" t="n"/>
    </row>
    <row r="447">
      <c r="A447" s="5" t="n"/>
      <c r="D447" s="10" t="n"/>
      <c r="F447" s="9" t="n"/>
      <c r="H447" s="8" t="n"/>
    </row>
    <row r="448">
      <c r="A448" s="5" t="n"/>
      <c r="D448" s="10" t="n"/>
      <c r="F448" s="9" t="n"/>
      <c r="H448" s="8" t="n"/>
    </row>
    <row r="449">
      <c r="A449" s="5" t="n"/>
      <c r="D449" s="10" t="n"/>
      <c r="F449" s="9" t="n"/>
      <c r="H449" s="8" t="n"/>
    </row>
    <row r="450">
      <c r="A450" s="5" t="n"/>
      <c r="D450" s="10" t="n"/>
      <c r="F450" s="9" t="n"/>
      <c r="H450" s="8" t="n"/>
    </row>
    <row r="451">
      <c r="A451" s="5" t="n"/>
      <c r="D451" s="10" t="n"/>
      <c r="F451" s="9" t="n"/>
      <c r="H451" s="8" t="n"/>
    </row>
    <row r="452">
      <c r="A452" s="5" t="n"/>
      <c r="D452" s="10" t="n"/>
      <c r="F452" s="9" t="n"/>
      <c r="H452" s="8" t="n"/>
    </row>
    <row r="453">
      <c r="A453" s="5" t="n"/>
      <c r="D453" s="10" t="n"/>
      <c r="F453" s="9" t="n"/>
      <c r="H453" s="8" t="n"/>
    </row>
    <row r="454">
      <c r="A454" s="5" t="n"/>
      <c r="D454" s="10" t="n"/>
      <c r="F454" s="9" t="n"/>
      <c r="H454" s="8" t="n"/>
    </row>
    <row r="455">
      <c r="A455" s="5" t="n"/>
      <c r="D455" s="10" t="n"/>
      <c r="F455" s="9" t="n"/>
      <c r="H455" s="8" t="n"/>
    </row>
    <row r="456">
      <c r="A456" s="5" t="n"/>
      <c r="D456" s="10" t="n"/>
      <c r="F456" s="9" t="n"/>
      <c r="H456" s="8" t="n"/>
    </row>
    <row r="457">
      <c r="A457" s="5" t="n"/>
      <c r="D457" s="10" t="n"/>
      <c r="F457" s="9" t="n"/>
      <c r="H457" s="8" t="n"/>
    </row>
    <row r="458">
      <c r="A458" s="5" t="n"/>
      <c r="D458" s="10" t="n"/>
      <c r="F458" s="9" t="n"/>
      <c r="H458" s="8" t="n"/>
    </row>
    <row r="459">
      <c r="A459" s="5" t="n"/>
      <c r="D459" s="10" t="n"/>
      <c r="F459" s="9" t="n"/>
      <c r="H459" s="8" t="n"/>
    </row>
    <row r="460">
      <c r="A460" s="5" t="n"/>
      <c r="D460" s="10" t="n"/>
      <c r="F460" s="9" t="n"/>
      <c r="H460" s="8" t="n"/>
    </row>
    <row r="461">
      <c r="A461" s="5" t="n"/>
      <c r="D461" s="10" t="n"/>
      <c r="F461" s="9" t="n"/>
      <c r="H461" s="8" t="n"/>
    </row>
    <row r="462">
      <c r="A462" s="5" t="n"/>
      <c r="D462" s="10" t="n"/>
      <c r="F462" s="9" t="n"/>
      <c r="H462" s="8" t="n"/>
    </row>
    <row r="463">
      <c r="A463" s="5" t="n"/>
      <c r="D463" s="10" t="n"/>
      <c r="F463" s="9" t="n"/>
      <c r="H463" s="8" t="n"/>
    </row>
    <row r="464">
      <c r="A464" s="5" t="n"/>
      <c r="D464" s="10" t="n"/>
      <c r="F464" s="9" t="n"/>
      <c r="H464" s="8" t="n"/>
    </row>
    <row r="465">
      <c r="A465" s="5" t="n"/>
      <c r="D465" s="10" t="n"/>
      <c r="F465" s="9" t="n"/>
      <c r="H465" s="8" t="n"/>
    </row>
    <row r="466">
      <c r="A466" s="5" t="n"/>
      <c r="D466" s="10" t="n"/>
      <c r="F466" s="9" t="n"/>
      <c r="H466" s="8" t="n"/>
    </row>
    <row r="467">
      <c r="A467" s="5" t="n"/>
      <c r="D467" s="10" t="n"/>
      <c r="F467" s="9" t="n"/>
      <c r="H467" s="8" t="n"/>
    </row>
    <row r="468">
      <c r="A468" s="5" t="n"/>
      <c r="D468" s="10" t="n"/>
      <c r="F468" s="9" t="n"/>
      <c r="H468" s="8" t="n"/>
    </row>
    <row r="469">
      <c r="A469" s="5" t="n"/>
      <c r="D469" s="10" t="n"/>
      <c r="F469" s="9" t="n"/>
      <c r="H469" s="8" t="n"/>
    </row>
    <row r="470">
      <c r="A470" s="5" t="n"/>
      <c r="D470" s="10" t="n"/>
      <c r="F470" s="9" t="n"/>
      <c r="H470" s="8" t="n"/>
    </row>
    <row r="471">
      <c r="A471" s="5" t="n"/>
      <c r="D471" s="10" t="n"/>
      <c r="F471" s="9" t="n"/>
      <c r="H471" s="8" t="n"/>
    </row>
    <row r="472">
      <c r="A472" s="5" t="n"/>
      <c r="D472" s="10" t="n"/>
      <c r="F472" s="9" t="n"/>
      <c r="H472" s="8" t="n"/>
    </row>
    <row r="473">
      <c r="A473" s="5" t="n"/>
      <c r="D473" s="10" t="n"/>
      <c r="F473" s="9" t="n"/>
      <c r="H473" s="8" t="n"/>
    </row>
    <row r="474">
      <c r="A474" s="5" t="n"/>
      <c r="D474" s="10" t="n"/>
      <c r="F474" s="9" t="n"/>
      <c r="H474" s="8" t="n"/>
    </row>
    <row r="475">
      <c r="A475" s="5" t="n"/>
      <c r="D475" s="10" t="n"/>
      <c r="F475" s="9" t="n"/>
      <c r="H475" s="8" t="n"/>
    </row>
    <row r="476">
      <c r="A476" s="5" t="n"/>
      <c r="D476" s="10" t="n"/>
      <c r="F476" s="9" t="n"/>
      <c r="H476" s="8" t="n"/>
    </row>
    <row r="477">
      <c r="A477" s="5" t="n"/>
      <c r="D477" s="10" t="n"/>
      <c r="F477" s="9" t="n"/>
      <c r="H477" s="8" t="n"/>
    </row>
    <row r="478">
      <c r="A478" s="5" t="n"/>
      <c r="D478" s="10" t="n"/>
      <c r="F478" s="9" t="n"/>
      <c r="H478" s="8" t="n"/>
    </row>
    <row r="479">
      <c r="A479" s="5" t="n"/>
      <c r="D479" s="10" t="n"/>
      <c r="F479" s="9" t="n"/>
      <c r="H479" s="8" t="n"/>
    </row>
    <row r="480">
      <c r="A480" s="5" t="n"/>
      <c r="D480" s="10" t="n"/>
      <c r="F480" s="9" t="n"/>
      <c r="H480" s="8" t="n"/>
    </row>
    <row r="481">
      <c r="A481" s="5" t="n"/>
      <c r="D481" s="10" t="n"/>
      <c r="F481" s="9" t="n"/>
      <c r="H481" s="8" t="n"/>
    </row>
    <row r="482">
      <c r="A482" s="5" t="n"/>
      <c r="D482" s="10" t="n"/>
      <c r="F482" s="9" t="n"/>
      <c r="H482" s="8" t="n"/>
    </row>
    <row r="483">
      <c r="A483" s="5" t="n"/>
      <c r="D483" s="10" t="n"/>
      <c r="F483" s="9" t="n"/>
      <c r="H483" s="8" t="n"/>
    </row>
    <row r="484">
      <c r="A484" s="5" t="n"/>
      <c r="D484" s="10" t="n"/>
      <c r="F484" s="9" t="n"/>
      <c r="H484" s="8" t="n"/>
    </row>
    <row r="485">
      <c r="A485" s="5" t="n"/>
      <c r="D485" s="10" t="n"/>
      <c r="F485" s="9" t="n"/>
      <c r="H485" s="8" t="n"/>
    </row>
    <row r="486">
      <c r="A486" s="5" t="n"/>
      <c r="D486" s="10" t="n"/>
      <c r="F486" s="9" t="n"/>
      <c r="H486" s="8" t="n"/>
    </row>
    <row r="487">
      <c r="A487" s="5" t="n"/>
      <c r="D487" s="10" t="n"/>
      <c r="F487" s="9" t="n"/>
      <c r="H487" s="8" t="n"/>
    </row>
    <row r="488">
      <c r="A488" s="5" t="n"/>
      <c r="D488" s="10" t="n"/>
      <c r="F488" s="9" t="n"/>
      <c r="H488" s="8" t="n"/>
    </row>
    <row r="489">
      <c r="A489" s="5" t="n"/>
      <c r="D489" s="10" t="n"/>
      <c r="F489" s="9" t="n"/>
      <c r="H489" s="8" t="n"/>
    </row>
    <row r="490">
      <c r="A490" s="5" t="n"/>
      <c r="D490" s="10" t="n"/>
      <c r="F490" s="9" t="n"/>
      <c r="H490" s="8" t="n"/>
    </row>
    <row r="491">
      <c r="A491" s="5" t="n"/>
      <c r="D491" s="10" t="n"/>
      <c r="F491" s="9" t="n"/>
      <c r="H491" s="8" t="n"/>
    </row>
    <row r="492">
      <c r="A492" s="5" t="n"/>
      <c r="D492" s="10" t="n"/>
      <c r="F492" s="9" t="n"/>
      <c r="H492" s="8" t="n"/>
    </row>
    <row r="493">
      <c r="A493" s="5" t="n"/>
      <c r="D493" s="10" t="n"/>
      <c r="F493" s="9" t="n"/>
      <c r="H493" s="8" t="n"/>
    </row>
    <row r="494">
      <c r="A494" s="5" t="n"/>
      <c r="D494" s="10" t="n"/>
      <c r="F494" s="9" t="n"/>
      <c r="H494" s="8" t="n"/>
    </row>
    <row r="495">
      <c r="A495" s="5" t="n"/>
      <c r="D495" s="10" t="n"/>
      <c r="F495" s="9" t="n"/>
      <c r="H495" s="8" t="n"/>
    </row>
    <row r="496">
      <c r="A496" s="5" t="n"/>
      <c r="D496" s="10" t="n"/>
      <c r="F496" s="9" t="n"/>
      <c r="H496" s="8" t="n"/>
    </row>
    <row r="497">
      <c r="A497" s="5" t="n"/>
      <c r="D497" s="10" t="n"/>
      <c r="F497" s="9" t="n"/>
      <c r="H497" s="8" t="n"/>
    </row>
    <row r="498">
      <c r="A498" s="5" t="n"/>
      <c r="D498" s="10" t="n"/>
      <c r="F498" s="9" t="n"/>
      <c r="H498" s="8" t="n"/>
    </row>
    <row r="499">
      <c r="A499" s="5" t="n"/>
      <c r="D499" s="10" t="n"/>
      <c r="F499" s="9" t="n"/>
      <c r="H499" s="8" t="n"/>
    </row>
    <row r="500">
      <c r="A500" s="5" t="n"/>
      <c r="D500" s="10" t="n"/>
      <c r="F500" s="9" t="n"/>
      <c r="H500" s="8" t="n"/>
    </row>
    <row r="501">
      <c r="A501" s="5" t="n"/>
      <c r="D501" s="10" t="n"/>
      <c r="F501" s="9" t="n"/>
      <c r="H501" s="8" t="n"/>
    </row>
    <row r="502">
      <c r="A502" s="5" t="n"/>
      <c r="D502" s="10" t="n"/>
      <c r="F502" s="9" t="n"/>
      <c r="H502" s="8" t="n"/>
    </row>
    <row r="503">
      <c r="A503" s="5" t="n"/>
      <c r="D503" s="10" t="n"/>
      <c r="F503" s="9" t="n"/>
      <c r="H503" s="8" t="n"/>
    </row>
    <row r="504">
      <c r="A504" s="7" t="n"/>
      <c r="D504" s="10" t="n"/>
      <c r="F504" s="9" t="n"/>
      <c r="H504" s="8" t="n"/>
    </row>
    <row r="505">
      <c r="D505" s="10" t="n"/>
      <c r="F505" s="9" t="n"/>
      <c r="H505" s="8" t="n"/>
    </row>
    <row r="506">
      <c r="D506" s="10" t="n"/>
      <c r="F506" s="9" t="n"/>
      <c r="H506" s="8" t="n"/>
    </row>
    <row r="507">
      <c r="D507" s="10" t="n"/>
      <c r="F507" s="9" t="n"/>
      <c r="H507" s="8" t="n"/>
    </row>
    <row r="508">
      <c r="A508" s="3" t="n"/>
      <c r="D508" s="10" t="n"/>
      <c r="F508" s="9" t="n"/>
      <c r="H508" s="8" t="n"/>
    </row>
    <row r="509">
      <c r="A509" s="3" t="n"/>
      <c r="D509" s="10" t="n"/>
      <c r="F509" s="9" t="n"/>
      <c r="H509" s="8" t="n"/>
    </row>
    <row r="510">
      <c r="A510" s="5" t="n"/>
      <c r="D510" s="10" t="n"/>
      <c r="F510" s="9" t="n"/>
      <c r="H510" s="8" t="n"/>
    </row>
    <row r="511">
      <c r="A511" s="5" t="n"/>
      <c r="D511" s="10" t="n"/>
      <c r="F511" s="9" t="n"/>
      <c r="H511" s="8" t="n"/>
    </row>
    <row r="512">
      <c r="A512" s="5" t="n"/>
      <c r="D512" s="10" t="n"/>
      <c r="F512" s="9" t="n"/>
      <c r="H512" s="8" t="n"/>
    </row>
    <row r="513">
      <c r="A513" s="5" t="n"/>
      <c r="D513" s="10" t="n"/>
      <c r="F513" s="9" t="n"/>
      <c r="H513" s="8" t="n"/>
    </row>
    <row r="514">
      <c r="A514" s="5" t="n"/>
      <c r="D514" s="10" t="n"/>
      <c r="F514" s="9" t="n"/>
      <c r="H514" s="8" t="n"/>
    </row>
    <row r="515">
      <c r="A515" s="5" t="n"/>
      <c r="D515" s="10" t="n"/>
      <c r="F515" s="9" t="n"/>
      <c r="H515" s="8" t="n"/>
    </row>
    <row r="516">
      <c r="A516" s="5" t="n"/>
      <c r="D516" s="10" t="n"/>
      <c r="F516" s="9" t="n"/>
      <c r="H516" s="8" t="n"/>
    </row>
    <row r="517">
      <c r="A517" s="5" t="n"/>
      <c r="D517" s="10" t="n"/>
      <c r="F517" s="9" t="n"/>
      <c r="H517" s="8" t="n"/>
    </row>
    <row r="518">
      <c r="A518" s="5" t="n"/>
      <c r="D518" s="10" t="n"/>
      <c r="F518" s="9" t="n"/>
      <c r="H518" s="8" t="n"/>
    </row>
    <row r="519">
      <c r="A519" s="5" t="n"/>
      <c r="D519" s="10" t="n"/>
      <c r="F519" s="9" t="n"/>
      <c r="H519" s="8" t="n"/>
    </row>
    <row r="520">
      <c r="A520" s="5" t="n"/>
      <c r="D520" s="10" t="n"/>
      <c r="F520" s="9" t="n"/>
      <c r="H520" s="8" t="n"/>
    </row>
    <row r="521">
      <c r="A521" s="5" t="n"/>
      <c r="D521" s="10" t="n"/>
      <c r="F521" s="9" t="n"/>
      <c r="H521" s="8" t="n"/>
    </row>
    <row r="522">
      <c r="A522" s="5" t="n"/>
      <c r="D522" s="10" t="n"/>
      <c r="F522" s="9" t="n"/>
      <c r="H522" s="8" t="n"/>
    </row>
    <row r="523">
      <c r="A523" s="5" t="n"/>
      <c r="D523" s="10" t="n"/>
      <c r="F523" s="9" t="n"/>
      <c r="H523" s="8" t="n"/>
    </row>
    <row r="524">
      <c r="A524" s="5" t="n"/>
      <c r="D524" s="10" t="n"/>
      <c r="F524" s="9" t="n"/>
      <c r="H524" s="8" t="n"/>
    </row>
    <row r="525">
      <c r="A525" s="5" t="n"/>
      <c r="D525" s="10" t="n"/>
      <c r="F525" s="9" t="n"/>
      <c r="H525" s="8" t="n"/>
    </row>
    <row r="526">
      <c r="A526" s="5" t="n"/>
      <c r="D526" s="10" t="n"/>
      <c r="F526" s="9" t="n"/>
      <c r="H526" s="8" t="n"/>
    </row>
    <row r="527">
      <c r="A527" s="5" t="n"/>
      <c r="D527" s="10" t="n"/>
      <c r="F527" s="9" t="n"/>
      <c r="H527" s="8" t="n"/>
    </row>
    <row r="528">
      <c r="A528" s="5" t="n"/>
      <c r="D528" s="10" t="n"/>
      <c r="F528" s="9" t="n"/>
      <c r="H528" s="8" t="n"/>
    </row>
    <row r="529">
      <c r="A529" s="5" t="n"/>
      <c r="D529" s="10" t="n"/>
      <c r="F529" s="9" t="n"/>
      <c r="H529" s="8" t="n"/>
    </row>
    <row r="530">
      <c r="A530" s="5" t="n"/>
      <c r="D530" s="10" t="n"/>
      <c r="F530" s="9" t="n"/>
      <c r="H530" s="8" t="n"/>
    </row>
    <row r="531">
      <c r="A531" s="5" t="n"/>
      <c r="D531" s="10" t="n"/>
      <c r="F531" s="9" t="n"/>
      <c r="H531" s="8" t="n"/>
    </row>
    <row r="532">
      <c r="A532" s="5" t="n"/>
      <c r="D532" s="10" t="n"/>
      <c r="F532" s="9" t="n"/>
      <c r="H532" s="8" t="n"/>
    </row>
    <row r="533">
      <c r="A533" s="5" t="n"/>
      <c r="D533" s="10" t="n"/>
      <c r="F533" s="9" t="n"/>
      <c r="H533" s="8" t="n"/>
    </row>
    <row r="534">
      <c r="A534" s="5" t="n"/>
      <c r="D534" s="10" t="n"/>
      <c r="F534" s="9" t="n"/>
      <c r="H534" s="8" t="n"/>
    </row>
    <row r="535">
      <c r="A535" s="5" t="n"/>
      <c r="D535" s="10" t="n"/>
      <c r="F535" s="9" t="n"/>
      <c r="H535" s="8" t="n"/>
    </row>
    <row r="536">
      <c r="A536" s="5" t="n"/>
      <c r="D536" s="10" t="n"/>
      <c r="F536" s="9" t="n"/>
      <c r="H536" s="8" t="n"/>
    </row>
    <row r="537">
      <c r="A537" s="5" t="n"/>
      <c r="D537" s="10" t="n"/>
      <c r="F537" s="9" t="n"/>
      <c r="H537" s="8" t="n"/>
    </row>
    <row r="538">
      <c r="A538" s="5" t="n"/>
      <c r="D538" s="10" t="n"/>
      <c r="F538" s="9" t="n"/>
      <c r="H538" s="8" t="n"/>
    </row>
    <row r="539">
      <c r="A539" s="5" t="n"/>
      <c r="D539" s="10" t="n"/>
      <c r="F539" s="9" t="n"/>
      <c r="H539" s="8" t="n"/>
    </row>
    <row r="540">
      <c r="A540" s="5" t="n"/>
      <c r="D540" s="10" t="n"/>
      <c r="F540" s="9" t="n"/>
      <c r="H540" s="8" t="n"/>
    </row>
    <row r="541">
      <c r="A541" s="5" t="n"/>
      <c r="D541" s="10" t="n"/>
      <c r="F541" s="9" t="n"/>
      <c r="H541" s="8" t="n"/>
    </row>
    <row r="542">
      <c r="A542" s="5" t="n"/>
      <c r="D542" s="10" t="n"/>
      <c r="F542" s="9" t="n"/>
      <c r="H542" s="8" t="n"/>
    </row>
    <row r="543">
      <c r="A543" s="5" t="n"/>
      <c r="D543" s="10" t="n"/>
      <c r="F543" s="9" t="n"/>
      <c r="H543" s="8" t="n"/>
    </row>
    <row r="544">
      <c r="A544" s="5" t="n"/>
      <c r="D544" s="10" t="n"/>
      <c r="F544" s="9" t="n"/>
      <c r="H544" s="8" t="n"/>
    </row>
    <row r="545">
      <c r="A545" s="5" t="n"/>
      <c r="D545" s="10" t="n"/>
      <c r="F545" s="9" t="n"/>
      <c r="H545" s="8" t="n"/>
    </row>
    <row r="546">
      <c r="A546" s="5" t="n"/>
      <c r="D546" s="10" t="n"/>
      <c r="F546" s="9" t="n"/>
      <c r="H546" s="8" t="n"/>
    </row>
    <row r="547">
      <c r="A547" s="5" t="n"/>
      <c r="D547" s="10" t="n"/>
      <c r="F547" s="9" t="n"/>
      <c r="H547" s="8" t="n"/>
    </row>
    <row r="548">
      <c r="A548" s="5" t="n"/>
      <c r="D548" s="10" t="n"/>
      <c r="F548" s="9" t="n"/>
      <c r="H548" s="8" t="n"/>
    </row>
    <row r="549">
      <c r="A549" s="5" t="n"/>
      <c r="D549" s="10" t="n"/>
      <c r="F549" s="9" t="n"/>
      <c r="H549" s="8" t="n"/>
    </row>
    <row r="550">
      <c r="A550" s="5" t="n"/>
      <c r="D550" s="10" t="n"/>
      <c r="F550" s="9" t="n"/>
      <c r="H550" s="8" t="n"/>
    </row>
    <row r="551">
      <c r="A551" s="5" t="n"/>
      <c r="D551" s="10" t="n"/>
      <c r="F551" s="9" t="n"/>
      <c r="H551" s="8" t="n"/>
    </row>
    <row r="552">
      <c r="A552" s="5" t="n"/>
      <c r="D552" s="10" t="n"/>
      <c r="F552" s="9" t="n"/>
      <c r="H552" s="8" t="n"/>
    </row>
    <row r="553">
      <c r="A553" s="5" t="n"/>
      <c r="D553" s="10" t="n"/>
      <c r="F553" s="9" t="n"/>
      <c r="H553" s="8" t="n"/>
    </row>
    <row r="554">
      <c r="A554" s="5" t="n"/>
      <c r="D554" s="10" t="n"/>
      <c r="F554" s="9" t="n"/>
      <c r="H554" s="8" t="n"/>
    </row>
    <row r="555">
      <c r="A555" s="5" t="n"/>
      <c r="D555" s="10" t="n"/>
      <c r="F555" s="9" t="n"/>
      <c r="H555" s="8" t="n"/>
    </row>
    <row r="556">
      <c r="A556" s="5" t="n"/>
      <c r="D556" s="10" t="n"/>
      <c r="F556" s="9" t="n"/>
      <c r="H556" s="8" t="n"/>
    </row>
    <row r="557">
      <c r="A557" s="5" t="n"/>
      <c r="D557" s="10" t="n"/>
      <c r="F557" s="9" t="n"/>
      <c r="H557" s="8" t="n"/>
    </row>
    <row r="558">
      <c r="A558" s="5" t="n"/>
      <c r="D558" s="10" t="n"/>
      <c r="F558" s="9" t="n"/>
      <c r="H558" s="8" t="n"/>
    </row>
    <row r="559">
      <c r="A559" s="5" t="n"/>
      <c r="D559" s="10" t="n"/>
      <c r="F559" s="9" t="n"/>
      <c r="H559" s="8" t="n"/>
    </row>
    <row r="560">
      <c r="A560" s="5" t="n"/>
      <c r="D560" s="10" t="n"/>
      <c r="F560" s="9" t="n"/>
      <c r="H560" s="8" t="n"/>
    </row>
    <row r="561">
      <c r="A561" s="5" t="n"/>
      <c r="D561" s="10" t="n"/>
      <c r="F561" s="9" t="n"/>
      <c r="H561" s="8" t="n"/>
    </row>
    <row r="562">
      <c r="A562" s="5" t="n"/>
      <c r="D562" s="10" t="n"/>
      <c r="F562" s="9" t="n"/>
      <c r="H562" s="8" t="n"/>
    </row>
    <row r="563">
      <c r="A563" s="5" t="n"/>
      <c r="D563" s="10" t="n"/>
      <c r="F563" s="9" t="n"/>
      <c r="H563" s="8" t="n"/>
    </row>
    <row r="564">
      <c r="A564" s="5" t="n"/>
      <c r="D564" s="10" t="n"/>
      <c r="F564" s="9" t="n"/>
      <c r="H564" s="8" t="n"/>
    </row>
    <row r="565">
      <c r="A565" s="5" t="n"/>
      <c r="D565" s="10" t="n"/>
      <c r="F565" s="9" t="n"/>
      <c r="H565" s="8" t="n"/>
    </row>
    <row r="566">
      <c r="A566" s="5" t="n"/>
      <c r="D566" s="10" t="n"/>
      <c r="F566" s="9" t="n"/>
      <c r="H566" s="8" t="n"/>
    </row>
    <row r="567">
      <c r="A567" s="5" t="n"/>
      <c r="D567" s="10" t="n"/>
      <c r="F567" s="9" t="n"/>
      <c r="H567" s="8" t="n"/>
    </row>
    <row r="568">
      <c r="A568" s="5" t="n"/>
      <c r="D568" s="10" t="n"/>
      <c r="F568" s="9" t="n"/>
      <c r="H568" s="8" t="n"/>
    </row>
    <row r="569">
      <c r="A569" s="5" t="n"/>
      <c r="D569" s="10" t="n"/>
      <c r="F569" s="9" t="n"/>
      <c r="H569" s="8" t="n"/>
    </row>
    <row r="570">
      <c r="A570" s="5" t="n"/>
      <c r="D570" s="10" t="n"/>
      <c r="F570" s="9" t="n"/>
      <c r="H570" s="8" t="n"/>
    </row>
    <row r="571">
      <c r="A571" s="5" t="n"/>
      <c r="D571" s="10" t="n"/>
      <c r="F571" s="9" t="n"/>
      <c r="H571" s="8" t="n"/>
    </row>
    <row r="572">
      <c r="A572" s="5" t="n"/>
      <c r="D572" s="10" t="n"/>
      <c r="F572" s="9" t="n"/>
      <c r="H572" s="8" t="n"/>
    </row>
    <row r="573">
      <c r="A573" s="5" t="n"/>
      <c r="D573" s="10" t="n"/>
      <c r="F573" s="9" t="n"/>
      <c r="H573" s="8" t="n"/>
    </row>
    <row r="574">
      <c r="A574" s="5" t="n"/>
      <c r="D574" s="10" t="n"/>
      <c r="F574" s="9" t="n"/>
      <c r="H574" s="8" t="n"/>
    </row>
    <row r="575">
      <c r="A575" s="5" t="n"/>
      <c r="D575" s="10" t="n"/>
      <c r="F575" s="9" t="n"/>
      <c r="H575" s="8" t="n"/>
    </row>
    <row r="576">
      <c r="A576" s="5" t="n"/>
      <c r="D576" s="10" t="n"/>
      <c r="F576" s="9" t="n"/>
      <c r="H576" s="8" t="n"/>
    </row>
    <row r="577">
      <c r="A577" s="7" t="n"/>
      <c r="D577" s="10" t="n"/>
      <c r="F577" s="9" t="n"/>
      <c r="H577" s="8" t="n"/>
    </row>
    <row r="578">
      <c r="D578" s="10" t="n"/>
      <c r="F578" s="9" t="n"/>
      <c r="H578" s="8" t="n"/>
    </row>
    <row r="579">
      <c r="D579" s="10" t="n"/>
      <c r="F579" s="9" t="n"/>
      <c r="H579" s="8" t="n"/>
    </row>
    <row r="580">
      <c r="D580" s="10" t="n"/>
      <c r="F580" s="9" t="n"/>
      <c r="H580" s="8" t="n"/>
    </row>
    <row r="581">
      <c r="A581" s="3" t="n"/>
      <c r="D581" s="10" t="n"/>
      <c r="F581" s="9" t="n"/>
      <c r="H581" s="8" t="n"/>
    </row>
    <row r="582">
      <c r="A582" s="3" t="n"/>
      <c r="D582" s="10" t="n"/>
      <c r="F582" s="9" t="n"/>
      <c r="H582" s="8" t="n"/>
    </row>
    <row r="583">
      <c r="A583" s="5" t="n"/>
      <c r="D583" s="10" t="n"/>
      <c r="F583" s="9" t="n"/>
      <c r="H583" s="8" t="n"/>
    </row>
    <row r="584">
      <c r="A584" s="5" t="n"/>
      <c r="D584" s="10" t="n"/>
      <c r="F584" s="9" t="n"/>
      <c r="H584" s="8" t="n"/>
    </row>
    <row r="585">
      <c r="A585" s="5" t="n"/>
      <c r="D585" s="10" t="n"/>
      <c r="F585" s="9" t="n"/>
      <c r="H585" s="8" t="n"/>
    </row>
    <row r="586">
      <c r="A586" s="5" t="n"/>
      <c r="D586" s="10" t="n"/>
      <c r="F586" s="9" t="n"/>
      <c r="H586" s="8" t="n"/>
    </row>
    <row r="587">
      <c r="A587" s="5" t="n"/>
      <c r="D587" s="10" t="n"/>
      <c r="F587" s="9" t="n"/>
      <c r="H587" s="8" t="n"/>
    </row>
    <row r="588">
      <c r="A588" s="5" t="n"/>
      <c r="D588" s="10" t="n"/>
      <c r="F588" s="9" t="n"/>
      <c r="H588" s="8" t="n"/>
    </row>
    <row r="589">
      <c r="A589" s="5" t="n"/>
      <c r="D589" s="10" t="n"/>
      <c r="F589" s="9" t="n"/>
      <c r="H589" s="8" t="n"/>
    </row>
    <row r="590">
      <c r="A590" s="5" t="n"/>
      <c r="D590" s="10" t="n"/>
      <c r="F590" s="9" t="n"/>
      <c r="H590" s="8" t="n"/>
    </row>
    <row r="591">
      <c r="A591" s="5" t="n"/>
      <c r="D591" s="10" t="n"/>
      <c r="F591" s="9" t="n"/>
      <c r="H591" s="8" t="n"/>
    </row>
    <row r="592">
      <c r="A592" s="5" t="n"/>
      <c r="D592" s="10" t="n"/>
      <c r="F592" s="9" t="n"/>
      <c r="H592" s="8" t="n"/>
    </row>
    <row r="593">
      <c r="A593" s="5" t="n"/>
      <c r="D593" s="10" t="n"/>
      <c r="F593" s="9" t="n"/>
      <c r="H593" s="8" t="n"/>
    </row>
    <row r="594">
      <c r="A594" s="5" t="n"/>
      <c r="D594" s="10" t="n"/>
      <c r="F594" s="9" t="n"/>
      <c r="H594" s="8" t="n"/>
    </row>
    <row r="595">
      <c r="A595" s="5" t="n"/>
      <c r="D595" s="10" t="n"/>
      <c r="F595" s="9" t="n"/>
      <c r="H595" s="8" t="n"/>
    </row>
    <row r="596">
      <c r="A596" s="5" t="n"/>
      <c r="D596" s="10" t="n"/>
      <c r="F596" s="9" t="n"/>
      <c r="H596" s="8" t="n"/>
    </row>
    <row r="597">
      <c r="A597" s="5" t="n"/>
      <c r="D597" s="10" t="n"/>
      <c r="F597" s="9" t="n"/>
      <c r="H597" s="8" t="n"/>
    </row>
    <row r="598">
      <c r="A598" s="5" t="n"/>
      <c r="D598" s="10" t="n"/>
      <c r="F598" s="9" t="n"/>
      <c r="H598" s="8" t="n"/>
    </row>
    <row r="599">
      <c r="A599" s="5" t="n"/>
      <c r="D599" s="10" t="n"/>
      <c r="F599" s="9" t="n"/>
      <c r="H599" s="8" t="n"/>
    </row>
    <row r="600">
      <c r="A600" s="5" t="n"/>
      <c r="D600" s="10" t="n"/>
      <c r="F600" s="9" t="n"/>
      <c r="H600" s="8" t="n"/>
    </row>
    <row r="601">
      <c r="A601" s="5" t="n"/>
      <c r="D601" s="10" t="n"/>
      <c r="F601" s="9" t="n"/>
      <c r="H601" s="8" t="n"/>
    </row>
    <row r="602">
      <c r="A602" s="5" t="n"/>
      <c r="D602" s="10" t="n"/>
      <c r="F602" s="9" t="n"/>
      <c r="H602" s="8" t="n"/>
    </row>
    <row r="603">
      <c r="A603" s="5" t="n"/>
      <c r="D603" s="10" t="n"/>
      <c r="F603" s="9" t="n"/>
      <c r="H603" s="8" t="n"/>
    </row>
    <row r="604">
      <c r="A604" s="5" t="n"/>
      <c r="D604" s="10" t="n"/>
      <c r="F604" s="9" t="n"/>
      <c r="H604" s="8" t="n"/>
    </row>
    <row r="605">
      <c r="A605" s="5" t="n"/>
      <c r="D605" s="10" t="n"/>
      <c r="F605" s="9" t="n"/>
      <c r="H605" s="8" t="n"/>
    </row>
    <row r="606">
      <c r="A606" s="5" t="n"/>
      <c r="D606" s="10" t="n"/>
      <c r="F606" s="9" t="n"/>
      <c r="H606" s="8" t="n"/>
    </row>
    <row r="607">
      <c r="A607" s="5" t="n"/>
      <c r="D607" s="10" t="n"/>
      <c r="F607" s="9" t="n"/>
      <c r="H607" s="8" t="n"/>
    </row>
    <row r="608">
      <c r="A608" s="5" t="n"/>
      <c r="D608" s="10" t="n"/>
      <c r="F608" s="9" t="n"/>
      <c r="H608" s="8" t="n"/>
    </row>
    <row r="609">
      <c r="A609" s="5" t="n"/>
      <c r="D609" s="10" t="n"/>
      <c r="F609" s="9" t="n"/>
      <c r="H609" s="8" t="n"/>
    </row>
    <row r="610">
      <c r="A610" s="5" t="n"/>
      <c r="D610" s="10" t="n"/>
      <c r="F610" s="9" t="n"/>
      <c r="H610" s="8" t="n"/>
    </row>
    <row r="611">
      <c r="A611" s="5" t="n"/>
      <c r="D611" s="10" t="n"/>
      <c r="F611" s="9" t="n"/>
      <c r="H611" s="8" t="n"/>
    </row>
    <row r="612">
      <c r="A612" s="5" t="n"/>
      <c r="D612" s="10" t="n"/>
      <c r="F612" s="9" t="n"/>
      <c r="H612" s="8" t="n"/>
    </row>
    <row r="613">
      <c r="A613" s="5" t="n"/>
      <c r="D613" s="10" t="n"/>
      <c r="F613" s="9" t="n"/>
      <c r="H613" s="8" t="n"/>
    </row>
    <row r="614">
      <c r="A614" s="5" t="n"/>
      <c r="D614" s="10" t="n"/>
      <c r="F614" s="9" t="n"/>
      <c r="H614" s="8" t="n"/>
    </row>
    <row r="615">
      <c r="A615" s="5" t="n"/>
      <c r="D615" s="10" t="n"/>
      <c r="F615" s="9" t="n"/>
      <c r="H615" s="8" t="n"/>
    </row>
    <row r="616">
      <c r="A616" s="5" t="n"/>
      <c r="D616" s="10" t="n"/>
      <c r="F616" s="9" t="n"/>
      <c r="H616" s="8" t="n"/>
    </row>
    <row r="617">
      <c r="A617" s="5" t="n"/>
      <c r="D617" s="10" t="n"/>
      <c r="F617" s="9" t="n"/>
      <c r="H617" s="8" t="n"/>
    </row>
    <row r="618">
      <c r="A618" s="5" t="n"/>
      <c r="D618" s="10" t="n"/>
      <c r="F618" s="9" t="n"/>
      <c r="H618" s="8" t="n"/>
    </row>
    <row r="619">
      <c r="A619" s="5" t="n"/>
      <c r="D619" s="10" t="n"/>
      <c r="F619" s="9" t="n"/>
      <c r="H619" s="8" t="n"/>
    </row>
    <row r="620">
      <c r="A620" s="5" t="n"/>
      <c r="D620" s="10" t="n"/>
      <c r="F620" s="9" t="n"/>
      <c r="H620" s="8" t="n"/>
    </row>
    <row r="621">
      <c r="A621" s="5" t="n"/>
      <c r="D621" s="10" t="n"/>
      <c r="F621" s="9" t="n"/>
      <c r="H621" s="8" t="n"/>
    </row>
    <row r="622">
      <c r="A622" s="5" t="n"/>
      <c r="D622" s="10" t="n"/>
      <c r="F622" s="9" t="n"/>
      <c r="H622" s="8" t="n"/>
    </row>
    <row r="623">
      <c r="A623" s="5" t="n"/>
      <c r="D623" s="10" t="n"/>
      <c r="F623" s="9" t="n"/>
      <c r="H623" s="8" t="n"/>
    </row>
    <row r="624">
      <c r="A624" s="5" t="n"/>
      <c r="D624" s="10" t="n"/>
      <c r="F624" s="9" t="n"/>
      <c r="H624" s="8" t="n"/>
    </row>
    <row r="625">
      <c r="A625" s="5" t="n"/>
      <c r="D625" s="10" t="n"/>
      <c r="F625" s="9" t="n"/>
      <c r="H625" s="8" t="n"/>
    </row>
    <row r="626">
      <c r="A626" s="5" t="n"/>
      <c r="D626" s="10" t="n"/>
      <c r="F626" s="9" t="n"/>
      <c r="H626" s="8" t="n"/>
    </row>
    <row r="627">
      <c r="A627" s="5" t="n"/>
      <c r="D627" s="10" t="n"/>
      <c r="F627" s="9" t="n"/>
      <c r="H627" s="8" t="n"/>
    </row>
    <row r="628">
      <c r="A628" s="5" t="n"/>
      <c r="D628" s="10" t="n"/>
      <c r="F628" s="9" t="n"/>
      <c r="H628" s="8" t="n"/>
    </row>
    <row r="629">
      <c r="A629" s="5" t="n"/>
      <c r="D629" s="10" t="n"/>
      <c r="F629" s="9" t="n"/>
      <c r="H629" s="8" t="n"/>
    </row>
    <row r="630">
      <c r="A630" s="5" t="n"/>
      <c r="D630" s="10" t="n"/>
      <c r="F630" s="9" t="n"/>
      <c r="H630" s="8" t="n"/>
    </row>
    <row r="631">
      <c r="A631" s="5" t="n"/>
      <c r="D631" s="10" t="n"/>
      <c r="F631" s="9" t="n"/>
      <c r="H631" s="8" t="n"/>
    </row>
    <row r="632">
      <c r="A632" s="5" t="n"/>
      <c r="D632" s="10" t="n"/>
      <c r="F632" s="9" t="n"/>
      <c r="H632" s="8" t="n"/>
    </row>
    <row r="633">
      <c r="A633" s="5" t="n"/>
      <c r="D633" s="10" t="n"/>
      <c r="F633" s="9" t="n"/>
      <c r="H633" s="8" t="n"/>
    </row>
    <row r="634">
      <c r="A634" s="5" t="n"/>
      <c r="D634" s="10" t="n"/>
      <c r="F634" s="9" t="n"/>
      <c r="H634" s="8" t="n"/>
    </row>
    <row r="635">
      <c r="A635" s="5" t="n"/>
      <c r="D635" s="10" t="n"/>
      <c r="F635" s="9" t="n"/>
      <c r="H635" s="8" t="n"/>
    </row>
    <row r="636">
      <c r="A636" s="5" t="n"/>
      <c r="D636" s="10" t="n"/>
      <c r="F636" s="9" t="n"/>
      <c r="H636" s="8" t="n"/>
    </row>
    <row r="637">
      <c r="A637" s="5" t="n"/>
      <c r="D637" s="10" t="n"/>
      <c r="F637" s="9" t="n"/>
      <c r="H637" s="8" t="n"/>
    </row>
    <row r="638">
      <c r="A638" s="5" t="n"/>
      <c r="D638" s="10" t="n"/>
      <c r="F638" s="9" t="n"/>
      <c r="H638" s="8" t="n"/>
    </row>
    <row r="639">
      <c r="A639" s="5" t="n"/>
      <c r="D639" s="10" t="n"/>
      <c r="F639" s="9" t="n"/>
      <c r="H639" s="8" t="n"/>
    </row>
    <row r="640">
      <c r="A640" s="5" t="n"/>
      <c r="D640" s="10" t="n"/>
      <c r="F640" s="9" t="n"/>
      <c r="H640" s="8" t="n"/>
    </row>
    <row r="641">
      <c r="A641" s="5" t="n"/>
      <c r="D641" s="10" t="n"/>
      <c r="F641" s="9" t="n"/>
      <c r="H641" s="8" t="n"/>
    </row>
    <row r="642">
      <c r="A642" s="5" t="n"/>
      <c r="D642" s="10" t="n"/>
      <c r="F642" s="9" t="n"/>
      <c r="H642" s="8" t="n"/>
    </row>
    <row r="643">
      <c r="A643" s="5" t="n"/>
      <c r="D643" s="10" t="n"/>
      <c r="F643" s="9" t="n"/>
      <c r="H643" s="8" t="n"/>
    </row>
    <row r="644">
      <c r="A644" s="5" t="n"/>
      <c r="D644" s="10" t="n"/>
      <c r="F644" s="9" t="n"/>
      <c r="H644" s="8" t="n"/>
    </row>
    <row r="645">
      <c r="A645" s="5" t="n"/>
      <c r="D645" s="10" t="n"/>
      <c r="F645" s="9" t="n"/>
      <c r="H645" s="8" t="n"/>
    </row>
    <row r="646">
      <c r="A646" s="5" t="n"/>
      <c r="D646" s="10" t="n"/>
      <c r="F646" s="9" t="n"/>
      <c r="H646" s="8" t="n"/>
    </row>
    <row r="647">
      <c r="A647" s="5" t="n"/>
      <c r="D647" s="10" t="n"/>
      <c r="F647" s="9" t="n"/>
      <c r="H647" s="8" t="n"/>
    </row>
    <row r="648">
      <c r="A648" s="5" t="n"/>
      <c r="D648" s="10" t="n"/>
      <c r="F648" s="9" t="n"/>
      <c r="H648" s="8" t="n"/>
    </row>
    <row r="649">
      <c r="A649" s="5" t="n"/>
      <c r="D649" s="10" t="n"/>
      <c r="F649" s="9" t="n"/>
      <c r="H649" s="8" t="n"/>
    </row>
    <row r="650">
      <c r="A650" s="7" t="n"/>
      <c r="D650" s="10" t="n"/>
      <c r="F650" s="9" t="n"/>
      <c r="H650" s="8" t="n"/>
    </row>
    <row r="651">
      <c r="D651" s="10" t="n"/>
      <c r="F651" s="9" t="n"/>
      <c r="H651" s="8" t="n"/>
    </row>
    <row r="652">
      <c r="D652" s="10" t="n"/>
      <c r="F652" s="9" t="n"/>
      <c r="H652" s="8" t="n"/>
    </row>
    <row r="653">
      <c r="D653" s="10" t="n"/>
      <c r="F653" s="9" t="n"/>
      <c r="H653" s="8" t="n"/>
    </row>
    <row r="654">
      <c r="A654" s="3" t="n"/>
      <c r="D654" s="10" t="n"/>
      <c r="F654" s="9" t="n"/>
      <c r="H654" s="8" t="n"/>
    </row>
    <row r="655">
      <c r="A655" s="3" t="n"/>
      <c r="D655" s="10" t="n"/>
      <c r="F655" s="9" t="n"/>
      <c r="H655" s="8" t="n"/>
    </row>
    <row r="656">
      <c r="A656" s="5" t="n"/>
      <c r="D656" s="10" t="n"/>
      <c r="F656" s="9" t="n"/>
      <c r="H656" s="8" t="n"/>
    </row>
    <row r="657">
      <c r="A657" s="5" t="n"/>
      <c r="D657" s="10" t="n"/>
      <c r="F657" s="9" t="n"/>
      <c r="H657" s="8" t="n"/>
    </row>
    <row r="658">
      <c r="A658" s="5" t="n"/>
      <c r="D658" s="10" t="n"/>
      <c r="F658" s="9" t="n"/>
      <c r="H658" s="8" t="n"/>
    </row>
    <row r="659">
      <c r="A659" s="5" t="n"/>
      <c r="D659" s="10" t="n"/>
      <c r="F659" s="9" t="n"/>
      <c r="H659" s="8" t="n"/>
    </row>
    <row r="660">
      <c r="A660" s="5" t="n"/>
      <c r="D660" s="10" t="n"/>
      <c r="F660" s="9" t="n"/>
      <c r="H660" s="8" t="n"/>
    </row>
    <row r="661">
      <c r="A661" s="5" t="n"/>
      <c r="D661" s="10" t="n"/>
      <c r="F661" s="9" t="n"/>
      <c r="H661" s="8" t="n"/>
    </row>
    <row r="662">
      <c r="A662" s="5" t="n"/>
      <c r="D662" s="10" t="n"/>
      <c r="F662" s="9" t="n"/>
      <c r="H662" s="8" t="n"/>
    </row>
    <row r="663">
      <c r="A663" s="5" t="n"/>
      <c r="D663" s="10" t="n"/>
      <c r="F663" s="9" t="n"/>
      <c r="H663" s="8" t="n"/>
    </row>
    <row r="664">
      <c r="A664" s="5" t="n"/>
      <c r="D664" s="10" t="n"/>
      <c r="F664" s="9" t="n"/>
      <c r="H664" s="8" t="n"/>
    </row>
    <row r="665">
      <c r="A665" s="5" t="n"/>
      <c r="D665" s="10" t="n"/>
      <c r="F665" s="9" t="n"/>
      <c r="H665" s="8" t="n"/>
    </row>
    <row r="666">
      <c r="A666" s="5" t="n"/>
      <c r="D666" s="10" t="n"/>
      <c r="F666" s="9" t="n"/>
      <c r="H666" s="8" t="n"/>
    </row>
    <row r="667">
      <c r="A667" s="5" t="n"/>
      <c r="D667" s="10" t="n"/>
      <c r="F667" s="9" t="n"/>
      <c r="H667" s="8" t="n"/>
    </row>
    <row r="668">
      <c r="A668" s="5" t="n"/>
      <c r="D668" s="10" t="n"/>
      <c r="F668" s="9" t="n"/>
      <c r="H668" s="8" t="n"/>
    </row>
    <row r="669">
      <c r="A669" s="5" t="n"/>
      <c r="D669" s="10" t="n"/>
      <c r="F669" s="9" t="n"/>
      <c r="H669" s="8" t="n"/>
    </row>
    <row r="670">
      <c r="A670" s="5" t="n"/>
      <c r="D670" s="10" t="n"/>
      <c r="F670" s="9" t="n"/>
      <c r="H670" s="8" t="n"/>
    </row>
    <row r="671">
      <c r="A671" s="5" t="n"/>
      <c r="D671" s="10" t="n"/>
      <c r="F671" s="9" t="n"/>
      <c r="H671" s="8" t="n"/>
    </row>
    <row r="672">
      <c r="A672" s="5" t="n"/>
      <c r="D672" s="10" t="n"/>
      <c r="F672" s="9" t="n"/>
      <c r="H672" s="8" t="n"/>
    </row>
    <row r="673">
      <c r="A673" s="5" t="n"/>
      <c r="D673" s="10" t="n"/>
      <c r="F673" s="9" t="n"/>
      <c r="H673" s="8" t="n"/>
    </row>
    <row r="674">
      <c r="A674" s="5" t="n"/>
      <c r="D674" s="10" t="n"/>
      <c r="F674" s="9" t="n"/>
      <c r="H674" s="8" t="n"/>
    </row>
    <row r="675">
      <c r="A675" s="5" t="n"/>
      <c r="D675" s="10" t="n"/>
      <c r="F675" s="9" t="n"/>
      <c r="H675" s="8" t="n"/>
    </row>
    <row r="676">
      <c r="A676" s="5" t="n"/>
      <c r="D676" s="10" t="n"/>
      <c r="F676" s="9" t="n"/>
      <c r="H676" s="8" t="n"/>
    </row>
    <row r="677">
      <c r="A677" s="5" t="n"/>
      <c r="D677" s="10" t="n"/>
      <c r="F677" s="9" t="n"/>
      <c r="H677" s="8" t="n"/>
    </row>
    <row r="678">
      <c r="A678" s="5" t="n"/>
      <c r="D678" s="10" t="n"/>
      <c r="F678" s="9" t="n"/>
      <c r="H678" s="8" t="n"/>
    </row>
    <row r="679">
      <c r="A679" s="5" t="n"/>
      <c r="D679" s="10" t="n"/>
      <c r="F679" s="9" t="n"/>
      <c r="H679" s="8" t="n"/>
    </row>
    <row r="680">
      <c r="A680" s="5" t="n"/>
      <c r="D680" s="10" t="n"/>
      <c r="F680" s="9" t="n"/>
      <c r="H680" s="8" t="n"/>
    </row>
    <row r="681">
      <c r="A681" s="5" t="n"/>
      <c r="D681" s="10" t="n"/>
      <c r="F681" s="9" t="n"/>
      <c r="H681" s="8" t="n"/>
    </row>
    <row r="682">
      <c r="A682" s="5" t="n"/>
      <c r="D682" s="10" t="n"/>
      <c r="F682" s="9" t="n"/>
      <c r="H682" s="8" t="n"/>
    </row>
    <row r="683">
      <c r="A683" s="5" t="n"/>
      <c r="D683" s="10" t="n"/>
      <c r="F683" s="9" t="n"/>
      <c r="H683" s="8" t="n"/>
    </row>
    <row r="684">
      <c r="A684" s="5" t="n"/>
      <c r="D684" s="10" t="n"/>
      <c r="F684" s="9" t="n"/>
      <c r="H684" s="8" t="n"/>
    </row>
    <row r="685">
      <c r="A685" s="5" t="n"/>
      <c r="D685" s="10" t="n"/>
      <c r="F685" s="9" t="n"/>
      <c r="H685" s="8" t="n"/>
    </row>
    <row r="686">
      <c r="A686" s="5" t="n"/>
      <c r="D686" s="10" t="n"/>
      <c r="F686" s="9" t="n"/>
      <c r="H686" s="8" t="n"/>
    </row>
    <row r="687">
      <c r="A687" s="5" t="n"/>
      <c r="D687" s="10" t="n"/>
      <c r="F687" s="9" t="n"/>
      <c r="H687" s="8" t="n"/>
    </row>
    <row r="688">
      <c r="A688" s="5" t="n"/>
      <c r="D688" s="10" t="n"/>
      <c r="F688" s="9" t="n"/>
      <c r="H688" s="8" t="n"/>
    </row>
    <row r="689">
      <c r="A689" s="5" t="n"/>
      <c r="D689" s="10" t="n"/>
      <c r="F689" s="9" t="n"/>
      <c r="H689" s="8" t="n"/>
    </row>
    <row r="690">
      <c r="A690" s="5" t="n"/>
      <c r="D690" s="10" t="n"/>
      <c r="F690" s="9" t="n"/>
      <c r="H690" s="8" t="n"/>
    </row>
    <row r="691">
      <c r="A691" s="5" t="n"/>
      <c r="D691" s="10" t="n"/>
      <c r="F691" s="9" t="n"/>
      <c r="H691" s="8" t="n"/>
    </row>
    <row r="692">
      <c r="A692" s="5" t="n"/>
      <c r="D692" s="10" t="n"/>
      <c r="F692" s="9" t="n"/>
      <c r="H692" s="8" t="n"/>
    </row>
    <row r="693">
      <c r="A693" s="5" t="n"/>
      <c r="D693" s="10" t="n"/>
      <c r="F693" s="9" t="n"/>
      <c r="H693" s="8" t="n"/>
    </row>
    <row r="694">
      <c r="A694" s="5" t="n"/>
      <c r="D694" s="10" t="n"/>
      <c r="F694" s="9" t="n"/>
      <c r="H694" s="8" t="n"/>
    </row>
    <row r="695">
      <c r="A695" s="5" t="n"/>
      <c r="D695" s="10" t="n"/>
      <c r="F695" s="9" t="n"/>
      <c r="H695" s="8" t="n"/>
    </row>
    <row r="696">
      <c r="A696" s="5" t="n"/>
      <c r="D696" s="10" t="n"/>
      <c r="F696" s="9" t="n"/>
      <c r="H696" s="8" t="n"/>
    </row>
    <row r="697">
      <c r="A697" s="5" t="n"/>
      <c r="D697" s="10" t="n"/>
      <c r="F697" s="9" t="n"/>
      <c r="H697" s="8" t="n"/>
    </row>
    <row r="698">
      <c r="A698" s="5" t="n"/>
      <c r="D698" s="10" t="n"/>
      <c r="F698" s="9" t="n"/>
      <c r="H698" s="8" t="n"/>
    </row>
    <row r="699">
      <c r="A699" s="5" t="n"/>
      <c r="D699" s="10" t="n"/>
      <c r="F699" s="9" t="n"/>
      <c r="H699" s="8" t="n"/>
    </row>
    <row r="700">
      <c r="A700" s="5" t="n"/>
      <c r="D700" s="10" t="n"/>
      <c r="F700" s="9" t="n"/>
      <c r="H700" s="8" t="n"/>
    </row>
    <row r="701">
      <c r="A701" s="5" t="n"/>
      <c r="D701" s="10" t="n"/>
      <c r="F701" s="9" t="n"/>
      <c r="H701" s="8" t="n"/>
    </row>
    <row r="702">
      <c r="A702" s="5" t="n"/>
      <c r="D702" s="10" t="n"/>
      <c r="F702" s="9" t="n"/>
      <c r="H702" s="8" t="n"/>
    </row>
    <row r="703">
      <c r="A703" s="5" t="n"/>
      <c r="D703" s="10" t="n"/>
      <c r="F703" s="9" t="n"/>
      <c r="H703" s="8" t="n"/>
    </row>
    <row r="704">
      <c r="A704" s="5" t="n"/>
      <c r="D704" s="10" t="n"/>
      <c r="F704" s="9" t="n"/>
      <c r="H704" s="8" t="n"/>
    </row>
    <row r="705">
      <c r="A705" s="5" t="n"/>
      <c r="D705" s="10" t="n"/>
      <c r="F705" s="9" t="n"/>
      <c r="H705" s="8" t="n"/>
    </row>
    <row r="706">
      <c r="A706" s="5" t="n"/>
      <c r="D706" s="10" t="n"/>
      <c r="F706" s="9" t="n"/>
      <c r="H706" s="8" t="n"/>
    </row>
    <row r="707">
      <c r="A707" s="5" t="n"/>
      <c r="D707" s="10" t="n"/>
      <c r="F707" s="9" t="n"/>
      <c r="H707" s="8" t="n"/>
    </row>
    <row r="708">
      <c r="A708" s="5" t="n"/>
      <c r="D708" s="10" t="n"/>
      <c r="F708" s="9" t="n"/>
      <c r="H708" s="8" t="n"/>
    </row>
    <row r="709">
      <c r="A709" s="5" t="n"/>
      <c r="D709" s="10" t="n"/>
      <c r="F709" s="9" t="n"/>
      <c r="H709" s="8" t="n"/>
    </row>
    <row r="710">
      <c r="A710" s="5" t="n"/>
      <c r="D710" s="10" t="n"/>
      <c r="F710" s="9" t="n"/>
      <c r="H710" s="8" t="n"/>
    </row>
    <row r="711">
      <c r="A711" s="5" t="n"/>
      <c r="D711" s="10" t="n"/>
      <c r="F711" s="9" t="n"/>
      <c r="H711" s="8" t="n"/>
    </row>
    <row r="712">
      <c r="A712" s="5" t="n"/>
      <c r="D712" s="10" t="n"/>
      <c r="F712" s="9" t="n"/>
      <c r="H712" s="8" t="n"/>
    </row>
    <row r="713">
      <c r="A713" s="5" t="n"/>
      <c r="D713" s="10" t="n"/>
      <c r="F713" s="9" t="n"/>
      <c r="H713" s="8" t="n"/>
    </row>
    <row r="714">
      <c r="A714" s="5" t="n"/>
      <c r="D714" s="10" t="n"/>
      <c r="F714" s="9" t="n"/>
      <c r="H714" s="8" t="n"/>
    </row>
    <row r="715">
      <c r="A715" s="5" t="n"/>
      <c r="D715" s="10" t="n"/>
      <c r="F715" s="9" t="n"/>
      <c r="H715" s="8" t="n"/>
    </row>
    <row r="716">
      <c r="A716" s="5" t="n"/>
      <c r="D716" s="10" t="n"/>
      <c r="F716" s="9" t="n"/>
      <c r="H716" s="8" t="n"/>
    </row>
    <row r="717">
      <c r="A717" s="5" t="n"/>
      <c r="D717" s="10" t="n"/>
      <c r="F717" s="9" t="n"/>
      <c r="H717" s="8" t="n"/>
    </row>
    <row r="718">
      <c r="A718" s="5" t="n"/>
      <c r="D718" s="10" t="n"/>
      <c r="F718" s="9" t="n"/>
      <c r="H718" s="8" t="n"/>
    </row>
    <row r="719">
      <c r="A719" s="5" t="n"/>
      <c r="D719" s="10" t="n"/>
      <c r="F719" s="9" t="n"/>
      <c r="H719" s="8" t="n"/>
    </row>
    <row r="720">
      <c r="A720" s="5" t="n"/>
      <c r="D720" s="10" t="n"/>
      <c r="F720" s="9" t="n"/>
      <c r="H720" s="8" t="n"/>
    </row>
    <row r="721">
      <c r="A721" s="5" t="n"/>
      <c r="D721" s="10" t="n"/>
      <c r="F721" s="9" t="n"/>
      <c r="H721" s="8" t="n"/>
    </row>
    <row r="722">
      <c r="A722" s="5" t="n"/>
      <c r="D722" s="10" t="n"/>
      <c r="F722" s="9" t="n"/>
      <c r="H722" s="8" t="n"/>
    </row>
    <row r="723">
      <c r="A723" s="7" t="n"/>
      <c r="D723" s="10" t="n"/>
      <c r="F723" s="9" t="n"/>
      <c r="H723" s="8" t="n"/>
    </row>
    <row r="724">
      <c r="D724" s="10" t="n"/>
      <c r="F724" s="9" t="n"/>
      <c r="H724" s="8" t="n"/>
    </row>
    <row r="725">
      <c r="D725" s="10" t="n"/>
      <c r="F725" s="9" t="n"/>
      <c r="H725" s="8" t="n"/>
    </row>
    <row r="726">
      <c r="D726" s="10" t="n"/>
      <c r="F726" s="9" t="n"/>
      <c r="H726" s="8" t="n"/>
    </row>
    <row r="727">
      <c r="A727" s="3" t="n"/>
      <c r="D727" s="10" t="n"/>
      <c r="F727" s="9" t="n"/>
      <c r="H727" s="8" t="n"/>
    </row>
    <row r="728">
      <c r="A728" s="3" t="n"/>
      <c r="D728" s="10" t="n"/>
      <c r="F728" s="9" t="n"/>
      <c r="H728" s="8" t="n"/>
    </row>
    <row r="729">
      <c r="A729" s="5" t="n"/>
      <c r="D729" s="10" t="n"/>
      <c r="F729" s="9" t="n"/>
      <c r="H729" s="8" t="n"/>
    </row>
    <row r="730">
      <c r="A730" s="5" t="n"/>
      <c r="D730" s="10" t="n"/>
      <c r="F730" s="9" t="n"/>
      <c r="H730" s="8" t="n"/>
    </row>
    <row r="731">
      <c r="A731" s="5" t="n"/>
      <c r="D731" s="10" t="n"/>
      <c r="F731" s="9" t="n"/>
      <c r="H731" s="8" t="n"/>
    </row>
    <row r="732">
      <c r="A732" s="5" t="n"/>
      <c r="D732" s="10" t="n"/>
      <c r="F732" s="9" t="n"/>
      <c r="H732" s="8" t="n"/>
    </row>
    <row r="733">
      <c r="A733" s="5" t="n"/>
      <c r="D733" s="10" t="n"/>
      <c r="F733" s="9" t="n"/>
      <c r="H733" s="8" t="n"/>
    </row>
    <row r="734">
      <c r="A734" s="5" t="n"/>
      <c r="D734" s="10" t="n"/>
      <c r="F734" s="9" t="n"/>
      <c r="H734" s="8" t="n"/>
    </row>
    <row r="735">
      <c r="A735" s="5" t="n"/>
      <c r="D735" s="10" t="n"/>
      <c r="F735" s="9" t="n"/>
      <c r="H735" s="8" t="n"/>
    </row>
    <row r="736">
      <c r="A736" s="5" t="n"/>
      <c r="D736" s="10" t="n"/>
      <c r="F736" s="9" t="n"/>
      <c r="H736" s="8" t="n"/>
    </row>
    <row r="737">
      <c r="A737" s="5" t="n"/>
      <c r="D737" s="10" t="n"/>
      <c r="F737" s="9" t="n"/>
      <c r="H737" s="8" t="n"/>
    </row>
    <row r="738">
      <c r="A738" s="5" t="n"/>
      <c r="D738" s="10" t="n"/>
      <c r="F738" s="9" t="n"/>
      <c r="H738" s="8" t="n"/>
    </row>
    <row r="739">
      <c r="A739" s="5" t="n"/>
      <c r="D739" s="10" t="n"/>
      <c r="F739" s="9" t="n"/>
      <c r="H739" s="8" t="n"/>
    </row>
    <row r="740">
      <c r="A740" s="5" t="n"/>
      <c r="D740" s="10" t="n"/>
      <c r="F740" s="9" t="n"/>
      <c r="H740" s="8" t="n"/>
    </row>
    <row r="741">
      <c r="A741" s="5" t="n"/>
      <c r="D741" s="10" t="n"/>
      <c r="F741" s="9" t="n"/>
      <c r="H741" s="8" t="n"/>
    </row>
    <row r="742">
      <c r="A742" s="5" t="n"/>
      <c r="D742" s="10" t="n"/>
      <c r="F742" s="9" t="n"/>
      <c r="H742" s="8" t="n"/>
    </row>
    <row r="743">
      <c r="A743" s="5" t="n"/>
      <c r="D743" s="10" t="n"/>
      <c r="F743" s="9" t="n"/>
      <c r="H743" s="8" t="n"/>
    </row>
    <row r="744">
      <c r="A744" s="5" t="n"/>
      <c r="D744" s="10" t="n"/>
      <c r="F744" s="9" t="n"/>
      <c r="H744" s="8" t="n"/>
    </row>
    <row r="745">
      <c r="A745" s="5" t="n"/>
      <c r="D745" s="10" t="n"/>
      <c r="F745" s="9" t="n"/>
      <c r="H745" s="8" t="n"/>
    </row>
    <row r="746">
      <c r="A746" s="5" t="n"/>
      <c r="D746" s="10" t="n"/>
      <c r="F746" s="9" t="n"/>
      <c r="H746" s="8" t="n"/>
    </row>
    <row r="747">
      <c r="A747" s="5" t="n"/>
      <c r="D747" s="10" t="n"/>
      <c r="F747" s="9" t="n"/>
      <c r="H747" s="8" t="n"/>
    </row>
    <row r="748">
      <c r="A748" s="5" t="n"/>
      <c r="D748" s="10" t="n"/>
      <c r="F748" s="9" t="n"/>
      <c r="H748" s="8" t="n"/>
    </row>
    <row r="749">
      <c r="A749" s="5" t="n"/>
      <c r="D749" s="10" t="n"/>
      <c r="F749" s="9" t="n"/>
      <c r="H749" s="8" t="n"/>
    </row>
    <row r="750">
      <c r="A750" s="5" t="n"/>
      <c r="D750" s="10" t="n"/>
      <c r="F750" s="9" t="n"/>
      <c r="H750" s="8" t="n"/>
    </row>
    <row r="751">
      <c r="A751" s="5" t="n"/>
      <c r="D751" s="10" t="n"/>
      <c r="F751" s="9" t="n"/>
      <c r="H751" s="8" t="n"/>
    </row>
    <row r="752">
      <c r="A752" s="5" t="n"/>
      <c r="D752" s="10" t="n"/>
      <c r="F752" s="9" t="n"/>
      <c r="H752" s="8" t="n"/>
    </row>
    <row r="753">
      <c r="A753" s="5" t="n"/>
      <c r="D753" s="10" t="n"/>
      <c r="F753" s="9" t="n"/>
      <c r="H753" s="8" t="n"/>
    </row>
    <row r="754">
      <c r="A754" s="5" t="n"/>
      <c r="D754" s="10" t="n"/>
      <c r="F754" s="9" t="n"/>
      <c r="H754" s="8" t="n"/>
    </row>
    <row r="755">
      <c r="A755" s="5" t="n"/>
      <c r="D755" s="10" t="n"/>
      <c r="F755" s="9" t="n"/>
      <c r="H755" s="8" t="n"/>
    </row>
    <row r="756">
      <c r="A756" s="5" t="n"/>
      <c r="D756" s="10" t="n"/>
      <c r="F756" s="9" t="n"/>
      <c r="H756" s="8" t="n"/>
    </row>
    <row r="757">
      <c r="A757" s="5" t="n"/>
      <c r="D757" s="10" t="n"/>
      <c r="F757" s="9" t="n"/>
      <c r="H757" s="8" t="n"/>
    </row>
    <row r="758">
      <c r="A758" s="5" t="n"/>
      <c r="D758" s="10" t="n"/>
      <c r="F758" s="9" t="n"/>
      <c r="H758" s="8" t="n"/>
    </row>
    <row r="759">
      <c r="A759" s="5" t="n"/>
      <c r="D759" s="10" t="n"/>
      <c r="F759" s="9" t="n"/>
      <c r="H759" s="8" t="n"/>
    </row>
    <row r="760">
      <c r="A760" s="5" t="n"/>
      <c r="D760" s="10" t="n"/>
      <c r="F760" s="9" t="n"/>
      <c r="H760" s="8" t="n"/>
    </row>
    <row r="761">
      <c r="A761" s="5" t="n"/>
      <c r="D761" s="10" t="n"/>
      <c r="F761" s="9" t="n"/>
      <c r="H761" s="8" t="n"/>
    </row>
    <row r="762">
      <c r="A762" s="5" t="n"/>
      <c r="D762" s="10" t="n"/>
      <c r="F762" s="9" t="n"/>
      <c r="H762" s="8" t="n"/>
    </row>
    <row r="763">
      <c r="A763" s="5" t="n"/>
      <c r="D763" s="10" t="n"/>
      <c r="F763" s="9" t="n"/>
      <c r="H763" s="8" t="n"/>
    </row>
    <row r="764">
      <c r="A764" s="5" t="n"/>
      <c r="D764" s="10" t="n"/>
      <c r="F764" s="9" t="n"/>
      <c r="H764" s="8" t="n"/>
    </row>
    <row r="765">
      <c r="A765" s="5" t="n"/>
      <c r="D765" s="10" t="n"/>
      <c r="F765" s="9" t="n"/>
      <c r="H765" s="8" t="n"/>
    </row>
    <row r="766">
      <c r="A766" s="5" t="n"/>
      <c r="D766" s="10" t="n"/>
      <c r="F766" s="9" t="n"/>
      <c r="H766" s="8" t="n"/>
    </row>
    <row r="767">
      <c r="A767" s="5" t="n"/>
      <c r="D767" s="10" t="n"/>
      <c r="F767" s="9" t="n"/>
      <c r="H767" s="8" t="n"/>
    </row>
    <row r="768">
      <c r="A768" s="5" t="n"/>
      <c r="D768" s="10" t="n"/>
      <c r="F768" s="9" t="n"/>
      <c r="H768" s="8" t="n"/>
    </row>
    <row r="769">
      <c r="A769" s="5" t="n"/>
      <c r="D769" s="10" t="n"/>
      <c r="F769" s="9" t="n"/>
      <c r="H769" s="8" t="n"/>
    </row>
    <row r="770">
      <c r="A770" s="5" t="n"/>
      <c r="D770" s="10" t="n"/>
      <c r="F770" s="9" t="n"/>
      <c r="H770" s="8" t="n"/>
    </row>
    <row r="771">
      <c r="A771" s="5" t="n"/>
      <c r="D771" s="10" t="n"/>
      <c r="F771" s="9" t="n"/>
      <c r="H771" s="8" t="n"/>
    </row>
    <row r="772">
      <c r="A772" s="5" t="n"/>
      <c r="D772" s="10" t="n"/>
      <c r="F772" s="9" t="n"/>
      <c r="H772" s="8" t="n"/>
    </row>
    <row r="773">
      <c r="A773" s="5" t="n"/>
      <c r="D773" s="10" t="n"/>
      <c r="F773" s="9" t="n"/>
      <c r="H773" s="8" t="n"/>
    </row>
    <row r="774">
      <c r="A774" s="5" t="n"/>
      <c r="D774" s="10" t="n"/>
      <c r="F774" s="9" t="n"/>
      <c r="H774" s="8" t="n"/>
    </row>
    <row r="775">
      <c r="A775" s="5" t="n"/>
      <c r="D775" s="10" t="n"/>
      <c r="F775" s="9" t="n"/>
      <c r="H775" s="8" t="n"/>
    </row>
    <row r="776">
      <c r="A776" s="5" t="n"/>
      <c r="D776" s="10" t="n"/>
      <c r="F776" s="9" t="n"/>
      <c r="H776" s="8" t="n"/>
    </row>
    <row r="777">
      <c r="A777" s="5" t="n"/>
      <c r="D777" s="10" t="n"/>
      <c r="F777" s="9" t="n"/>
      <c r="H777" s="8" t="n"/>
    </row>
    <row r="778">
      <c r="A778" s="5" t="n"/>
      <c r="D778" s="10" t="n"/>
      <c r="F778" s="9" t="n"/>
      <c r="H778" s="8" t="n"/>
    </row>
    <row r="779">
      <c r="A779" s="5" t="n"/>
      <c r="D779" s="10" t="n"/>
      <c r="F779" s="9" t="n"/>
      <c r="H779" s="8" t="n"/>
    </row>
    <row r="780">
      <c r="A780" s="5" t="n"/>
      <c r="D780" s="10" t="n"/>
      <c r="F780" s="9" t="n"/>
      <c r="H780" s="8" t="n"/>
    </row>
    <row r="781">
      <c r="A781" s="5" t="n"/>
      <c r="D781" s="10" t="n"/>
      <c r="F781" s="9" t="n"/>
      <c r="H781" s="8" t="n"/>
    </row>
    <row r="782">
      <c r="A782" s="5" t="n"/>
      <c r="D782" s="10" t="n"/>
      <c r="F782" s="9" t="n"/>
      <c r="H782" s="8" t="n"/>
    </row>
    <row r="783">
      <c r="A783" s="5" t="n"/>
      <c r="D783" s="10" t="n"/>
      <c r="F783" s="9" t="n"/>
      <c r="H783" s="8" t="n"/>
    </row>
    <row r="784">
      <c r="A784" s="5" t="n"/>
      <c r="D784" s="10" t="n"/>
      <c r="F784" s="9" t="n"/>
      <c r="H784" s="8" t="n"/>
    </row>
    <row r="785">
      <c r="A785" s="5" t="n"/>
      <c r="D785" s="10" t="n"/>
      <c r="F785" s="9" t="n"/>
      <c r="H785" s="8" t="n"/>
    </row>
    <row r="786">
      <c r="A786" s="5" t="n"/>
      <c r="D786" s="10" t="n"/>
      <c r="F786" s="9" t="n"/>
      <c r="H786" s="8" t="n"/>
    </row>
    <row r="787">
      <c r="A787" s="5" t="n"/>
      <c r="D787" s="10" t="n"/>
      <c r="F787" s="9" t="n"/>
      <c r="H787" s="8" t="n"/>
    </row>
    <row r="788">
      <c r="A788" s="5" t="n"/>
      <c r="D788" s="10" t="n"/>
      <c r="F788" s="9" t="n"/>
      <c r="H788" s="8" t="n"/>
    </row>
    <row r="789">
      <c r="A789" s="5" t="n"/>
      <c r="D789" s="10" t="n"/>
      <c r="F789" s="9" t="n"/>
      <c r="H789" s="8" t="n"/>
    </row>
    <row r="790">
      <c r="A790" s="5" t="n"/>
      <c r="D790" s="10" t="n"/>
      <c r="F790" s="9" t="n"/>
      <c r="H790" s="8" t="n"/>
    </row>
    <row r="791">
      <c r="A791" s="5" t="n"/>
      <c r="D791" s="10" t="n"/>
      <c r="F791" s="9" t="n"/>
      <c r="H791" s="8" t="n"/>
    </row>
    <row r="792">
      <c r="A792" s="5" t="n"/>
      <c r="D792" s="10" t="n"/>
      <c r="F792" s="9" t="n"/>
      <c r="H792" s="8" t="n"/>
    </row>
    <row r="793">
      <c r="A793" s="5" t="n"/>
      <c r="D793" s="10" t="n"/>
      <c r="F793" s="9" t="n"/>
      <c r="H793" s="8" t="n"/>
    </row>
    <row r="794">
      <c r="A794" s="5" t="n"/>
      <c r="D794" s="10" t="n"/>
      <c r="F794" s="9" t="n"/>
      <c r="H794" s="8" t="n"/>
    </row>
    <row r="795">
      <c r="A795" s="5" t="n"/>
      <c r="D795" s="10" t="n"/>
      <c r="F795" s="9" t="n"/>
      <c r="H795" s="8" t="n"/>
    </row>
    <row r="796">
      <c r="A796" s="7" t="n"/>
      <c r="D796" s="10" t="n"/>
      <c r="F796" s="9" t="n"/>
      <c r="H796" s="8" t="n"/>
    </row>
    <row r="797">
      <c r="D797" s="10" t="n"/>
      <c r="F797" s="9" t="n"/>
      <c r="H797" s="8" t="n"/>
    </row>
    <row r="798">
      <c r="D798" s="10" t="n"/>
      <c r="F798" s="9" t="n"/>
      <c r="H798" s="8" t="n"/>
    </row>
    <row r="799">
      <c r="D799" s="10" t="n"/>
      <c r="F799" s="9" t="n"/>
      <c r="H799" s="8" t="n"/>
    </row>
    <row r="800">
      <c r="A800" s="3" t="n"/>
      <c r="D800" s="10" t="n"/>
      <c r="F800" s="9" t="n"/>
      <c r="H800" s="8" t="n"/>
    </row>
    <row r="801">
      <c r="A801" s="3" t="n"/>
      <c r="D801" s="10" t="n"/>
      <c r="F801" s="9" t="n"/>
      <c r="H801" s="8" t="n"/>
    </row>
    <row r="802">
      <c r="A802" s="5" t="n"/>
      <c r="D802" s="10" t="n"/>
      <c r="F802" s="9" t="n"/>
      <c r="H802" s="8" t="n"/>
    </row>
    <row r="803">
      <c r="A803" s="5" t="n"/>
      <c r="D803" s="10" t="n"/>
      <c r="F803" s="9" t="n"/>
      <c r="H803" s="8" t="n"/>
    </row>
    <row r="804">
      <c r="A804" s="5" t="n"/>
      <c r="D804" s="10" t="n"/>
      <c r="F804" s="9" t="n"/>
      <c r="H804" s="8" t="n"/>
    </row>
    <row r="805">
      <c r="A805" s="5" t="n"/>
      <c r="D805" s="10" t="n"/>
      <c r="F805" s="9" t="n"/>
      <c r="H805" s="8" t="n"/>
    </row>
    <row r="806">
      <c r="A806" s="5" t="n"/>
      <c r="D806" s="10" t="n"/>
      <c r="F806" s="9" t="n"/>
      <c r="H806" s="8" t="n"/>
    </row>
    <row r="807">
      <c r="A807" s="5" t="n"/>
      <c r="D807" s="10" t="n"/>
      <c r="F807" s="9" t="n"/>
      <c r="H807" s="8" t="n"/>
    </row>
    <row r="808">
      <c r="A808" s="5" t="n"/>
      <c r="D808" s="10" t="n"/>
      <c r="F808" s="9" t="n"/>
      <c r="H808" s="8" t="n"/>
    </row>
    <row r="809">
      <c r="A809" s="5" t="n"/>
      <c r="D809" s="10" t="n"/>
      <c r="F809" s="9" t="n"/>
      <c r="H809" s="8" t="n"/>
    </row>
    <row r="810">
      <c r="A810" s="5" t="n"/>
      <c r="D810" s="10" t="n"/>
      <c r="F810" s="9" t="n"/>
      <c r="H810" s="8" t="n"/>
    </row>
    <row r="811">
      <c r="A811" s="5" t="n"/>
      <c r="D811" s="10" t="n"/>
      <c r="F811" s="9" t="n"/>
      <c r="H811" s="8" t="n"/>
    </row>
    <row r="812">
      <c r="A812" s="5" t="n"/>
      <c r="D812" s="10" t="n"/>
      <c r="F812" s="9" t="n"/>
      <c r="H812" s="8" t="n"/>
    </row>
    <row r="813">
      <c r="A813" s="5" t="n"/>
      <c r="D813" s="10" t="n"/>
      <c r="F813" s="9" t="n"/>
      <c r="H813" s="8" t="n"/>
    </row>
    <row r="814">
      <c r="A814" s="5" t="n"/>
      <c r="D814" s="10" t="n"/>
      <c r="F814" s="9" t="n"/>
      <c r="H814" s="8" t="n"/>
    </row>
    <row r="815">
      <c r="A815" s="5" t="n"/>
      <c r="D815" s="10" t="n"/>
      <c r="F815" s="9" t="n"/>
      <c r="H815" s="8" t="n"/>
    </row>
    <row r="816">
      <c r="A816" s="5" t="n"/>
      <c r="D816" s="10" t="n"/>
      <c r="F816" s="9" t="n"/>
      <c r="H816" s="8" t="n"/>
    </row>
    <row r="817">
      <c r="A817" s="5" t="n"/>
      <c r="D817" s="10" t="n"/>
      <c r="F817" s="9" t="n"/>
      <c r="H817" s="8" t="n"/>
    </row>
    <row r="818">
      <c r="A818" s="5" t="n"/>
      <c r="D818" s="10" t="n"/>
      <c r="F818" s="9" t="n"/>
      <c r="H818" s="8" t="n"/>
    </row>
    <row r="819">
      <c r="A819" s="5" t="n"/>
      <c r="D819" s="10" t="n"/>
      <c r="F819" s="9" t="n"/>
      <c r="H819" s="8" t="n"/>
    </row>
    <row r="820">
      <c r="A820" s="5" t="n"/>
      <c r="D820" s="10" t="n"/>
      <c r="F820" s="9" t="n"/>
      <c r="H820" s="8" t="n"/>
    </row>
    <row r="821">
      <c r="A821" s="5" t="n"/>
      <c r="D821" s="10" t="n"/>
      <c r="F821" s="9" t="n"/>
      <c r="H821" s="8" t="n"/>
    </row>
    <row r="822">
      <c r="A822" s="5" t="n"/>
      <c r="D822" s="10" t="n"/>
      <c r="F822" s="9" t="n"/>
      <c r="H822" s="8" t="n"/>
    </row>
    <row r="823">
      <c r="A823" s="5" t="n"/>
      <c r="D823" s="10" t="n"/>
      <c r="F823" s="9" t="n"/>
      <c r="H823" s="8" t="n"/>
    </row>
    <row r="824">
      <c r="A824" s="5" t="n"/>
      <c r="D824" s="10" t="n"/>
      <c r="F824" s="9" t="n"/>
      <c r="H824" s="8" t="n"/>
    </row>
    <row r="825">
      <c r="A825" s="5" t="n"/>
      <c r="D825" s="10" t="n"/>
      <c r="F825" s="9" t="n"/>
      <c r="H825" s="8" t="n"/>
    </row>
    <row r="826">
      <c r="A826" s="5" t="n"/>
      <c r="D826" s="10" t="n"/>
      <c r="F826" s="9" t="n"/>
      <c r="H826" s="8" t="n"/>
    </row>
    <row r="827">
      <c r="A827" s="5" t="n"/>
      <c r="D827" s="10" t="n"/>
      <c r="F827" s="9" t="n"/>
      <c r="H827" s="8" t="n"/>
    </row>
    <row r="828">
      <c r="A828" s="5" t="n"/>
      <c r="D828" s="10" t="n"/>
      <c r="F828" s="9" t="n"/>
      <c r="H828" s="8" t="n"/>
    </row>
    <row r="829">
      <c r="A829" s="5" t="n"/>
      <c r="D829" s="10" t="n"/>
      <c r="F829" s="9" t="n"/>
      <c r="H829" s="8" t="n"/>
    </row>
    <row r="830">
      <c r="A830" s="5" t="n"/>
      <c r="D830" s="10" t="n"/>
      <c r="F830" s="9" t="n"/>
      <c r="H830" s="8" t="n"/>
    </row>
    <row r="831">
      <c r="A831" s="5" t="n"/>
      <c r="D831" s="10" t="n"/>
      <c r="F831" s="9" t="n"/>
      <c r="H831" s="8" t="n"/>
    </row>
    <row r="832">
      <c r="A832" s="5" t="n"/>
      <c r="D832" s="10" t="n"/>
      <c r="F832" s="9" t="n"/>
      <c r="H832" s="8" t="n"/>
    </row>
    <row r="833">
      <c r="A833" s="5" t="n"/>
      <c r="D833" s="10" t="n"/>
      <c r="F833" s="9" t="n"/>
      <c r="H833" s="8" t="n"/>
    </row>
    <row r="834">
      <c r="A834" s="5" t="n"/>
      <c r="D834" s="10" t="n"/>
      <c r="F834" s="9" t="n"/>
      <c r="H834" s="8" t="n"/>
    </row>
    <row r="835">
      <c r="A835" s="5" t="n"/>
      <c r="D835" s="10" t="n"/>
      <c r="F835" s="9" t="n"/>
      <c r="H835" s="8" t="n"/>
    </row>
    <row r="836">
      <c r="A836" s="5" t="n"/>
      <c r="D836" s="10" t="n"/>
      <c r="F836" s="9" t="n"/>
      <c r="H836" s="8" t="n"/>
    </row>
    <row r="837">
      <c r="A837" s="5" t="n"/>
      <c r="D837" s="10" t="n"/>
      <c r="F837" s="9" t="n"/>
      <c r="H837" s="8" t="n"/>
    </row>
    <row r="838">
      <c r="A838" s="5" t="n"/>
      <c r="D838" s="10" t="n"/>
      <c r="F838" s="9" t="n"/>
      <c r="H838" s="8" t="n"/>
    </row>
    <row r="839">
      <c r="A839" s="5" t="n"/>
      <c r="D839" s="10" t="n"/>
      <c r="F839" s="9" t="n"/>
      <c r="H839" s="8" t="n"/>
    </row>
    <row r="840">
      <c r="A840" s="5" t="n"/>
      <c r="D840" s="10" t="n"/>
      <c r="F840" s="9" t="n"/>
      <c r="H840" s="8" t="n"/>
    </row>
    <row r="841">
      <c r="A841" s="5" t="n"/>
      <c r="D841" s="10" t="n"/>
      <c r="F841" s="9" t="n"/>
      <c r="H841" s="8" t="n"/>
    </row>
    <row r="842">
      <c r="A842" s="5" t="n"/>
      <c r="D842" s="10" t="n"/>
      <c r="F842" s="9" t="n"/>
      <c r="H842" s="8" t="n"/>
    </row>
    <row r="843">
      <c r="A843" s="5" t="n"/>
      <c r="D843" s="10" t="n"/>
      <c r="F843" s="9" t="n"/>
      <c r="H843" s="8" t="n"/>
    </row>
    <row r="844">
      <c r="A844" s="5" t="n"/>
      <c r="D844" s="10" t="n"/>
      <c r="F844" s="9" t="n"/>
      <c r="H844" s="8" t="n"/>
    </row>
    <row r="845">
      <c r="A845" s="5" t="n"/>
      <c r="D845" s="10" t="n"/>
      <c r="F845" s="9" t="n"/>
      <c r="H845" s="8" t="n"/>
    </row>
    <row r="846">
      <c r="A846" s="5" t="n"/>
      <c r="D846" s="10" t="n"/>
      <c r="F846" s="9" t="n"/>
      <c r="H846" s="8" t="n"/>
    </row>
    <row r="847">
      <c r="A847" s="5" t="n"/>
      <c r="D847" s="10" t="n"/>
      <c r="F847" s="9" t="n"/>
      <c r="H847" s="8" t="n"/>
    </row>
    <row r="848">
      <c r="A848" s="5" t="n"/>
      <c r="D848" s="10" t="n"/>
      <c r="F848" s="9" t="n"/>
      <c r="H848" s="8" t="n"/>
    </row>
    <row r="849">
      <c r="A849" s="5" t="n"/>
      <c r="D849" s="10" t="n"/>
      <c r="F849" s="9" t="n"/>
      <c r="H849" s="8" t="n"/>
    </row>
    <row r="850">
      <c r="A850" s="5" t="n"/>
      <c r="D850" s="10" t="n"/>
      <c r="F850" s="9" t="n"/>
      <c r="H850" s="8" t="n"/>
    </row>
    <row r="851">
      <c r="A851" s="5" t="n"/>
      <c r="D851" s="10" t="n"/>
      <c r="F851" s="9" t="n"/>
      <c r="H851" s="8" t="n"/>
    </row>
    <row r="852">
      <c r="A852" s="5" t="n"/>
      <c r="D852" s="10" t="n"/>
      <c r="F852" s="9" t="n"/>
      <c r="H852" s="8" t="n"/>
    </row>
    <row r="853">
      <c r="A853" s="5" t="n"/>
      <c r="D853" s="10" t="n"/>
      <c r="F853" s="9" t="n"/>
      <c r="H853" s="8" t="n"/>
    </row>
    <row r="854">
      <c r="A854" s="5" t="n"/>
      <c r="D854" s="10" t="n"/>
      <c r="F854" s="9" t="n"/>
      <c r="H854" s="8" t="n"/>
    </row>
    <row r="855">
      <c r="A855" s="5" t="n"/>
      <c r="D855" s="10" t="n"/>
      <c r="F855" s="9" t="n"/>
      <c r="H855" s="8" t="n"/>
    </row>
    <row r="856">
      <c r="A856" s="5" t="n"/>
      <c r="D856" s="10" t="n"/>
      <c r="F856" s="9" t="n"/>
      <c r="H856" s="8" t="n"/>
    </row>
    <row r="857">
      <c r="A857" s="5" t="n"/>
      <c r="D857" s="10" t="n"/>
      <c r="F857" s="9" t="n"/>
      <c r="H857" s="8" t="n"/>
    </row>
    <row r="858">
      <c r="A858" s="5" t="n"/>
      <c r="D858" s="10" t="n"/>
      <c r="F858" s="9" t="n"/>
      <c r="H858" s="8" t="n"/>
    </row>
    <row r="859">
      <c r="A859" s="5" t="n"/>
      <c r="D859" s="10" t="n"/>
      <c r="F859" s="9" t="n"/>
      <c r="H859" s="8" t="n"/>
    </row>
    <row r="860">
      <c r="A860" s="5" t="n"/>
      <c r="D860" s="10" t="n"/>
      <c r="F860" s="9" t="n"/>
      <c r="H860" s="8" t="n"/>
    </row>
    <row r="861">
      <c r="A861" s="5" t="n"/>
      <c r="D861" s="10" t="n"/>
      <c r="F861" s="9" t="n"/>
      <c r="H861" s="8" t="n"/>
    </row>
    <row r="862">
      <c r="A862" s="5" t="n"/>
      <c r="D862" s="10" t="n"/>
      <c r="F862" s="9" t="n"/>
      <c r="H862" s="8" t="n"/>
    </row>
    <row r="863">
      <c r="A863" s="5" t="n"/>
      <c r="D863" s="10" t="n"/>
      <c r="F863" s="9" t="n"/>
      <c r="H863" s="8" t="n"/>
    </row>
    <row r="864">
      <c r="A864" s="5" t="n"/>
      <c r="D864" s="10" t="n"/>
      <c r="F864" s="9" t="n"/>
      <c r="H864" s="8" t="n"/>
    </row>
    <row r="865">
      <c r="A865" s="5" t="n"/>
      <c r="D865" s="10" t="n"/>
      <c r="F865" s="9" t="n"/>
      <c r="H865" s="8" t="n"/>
    </row>
    <row r="866">
      <c r="A866" s="5" t="n"/>
      <c r="D866" s="10" t="n"/>
      <c r="F866" s="9" t="n"/>
      <c r="H866" s="8" t="n"/>
    </row>
    <row r="867">
      <c r="A867" s="5" t="n"/>
      <c r="D867" s="10" t="n"/>
      <c r="F867" s="9" t="n"/>
      <c r="H867" s="8" t="n"/>
    </row>
    <row r="868">
      <c r="A868" s="5" t="n"/>
      <c r="D868" s="10" t="n"/>
      <c r="F868" s="9" t="n"/>
      <c r="H868" s="8" t="n"/>
    </row>
    <row r="869">
      <c r="A869" s="7" t="n"/>
      <c r="D869" s="10" t="n"/>
      <c r="F869" s="9" t="n"/>
      <c r="H869" s="8" t="n"/>
    </row>
    <row r="870">
      <c r="D870" s="10" t="n"/>
      <c r="F870" s="9" t="n"/>
      <c r="H870" s="8" t="n"/>
    </row>
    <row r="871">
      <c r="D871" s="10" t="n"/>
      <c r="F871" s="9" t="n"/>
      <c r="H871" s="8" t="n"/>
    </row>
    <row r="872">
      <c r="D872" s="10" t="n"/>
      <c r="F872" s="9" t="n"/>
      <c r="H872" s="8" t="n"/>
    </row>
    <row r="873">
      <c r="A873" s="3" t="n"/>
      <c r="D873" s="10" t="n"/>
      <c r="F873" s="9" t="n"/>
      <c r="H873" s="8" t="n"/>
    </row>
    <row r="874">
      <c r="A874" s="3" t="n"/>
      <c r="D874" s="10" t="n"/>
      <c r="F874" s="9" t="n"/>
      <c r="H874" s="8" t="n"/>
    </row>
    <row r="875">
      <c r="A875" s="5" t="n"/>
      <c r="D875" s="10" t="n"/>
      <c r="F875" s="9" t="n"/>
      <c r="H875" s="8" t="n"/>
    </row>
    <row r="876">
      <c r="A876" s="5" t="n"/>
      <c r="D876" s="10" t="n"/>
      <c r="F876" s="9" t="n"/>
      <c r="H876" s="8" t="n"/>
    </row>
    <row r="877">
      <c r="A877" s="5" t="n"/>
      <c r="D877" s="10" t="n"/>
      <c r="F877" s="9" t="n"/>
      <c r="H877" s="8" t="n"/>
    </row>
    <row r="878">
      <c r="A878" s="5" t="n"/>
      <c r="D878" s="10" t="n"/>
      <c r="F878" s="9" t="n"/>
      <c r="H878" s="8" t="n"/>
    </row>
    <row r="879">
      <c r="A879" s="5" t="n"/>
      <c r="D879" s="10" t="n"/>
      <c r="F879" s="9" t="n"/>
      <c r="H879" s="8" t="n"/>
    </row>
    <row r="880">
      <c r="A880" s="5" t="n"/>
      <c r="D880" s="10" t="n"/>
      <c r="F880" s="9" t="n"/>
      <c r="H880" s="8" t="n"/>
    </row>
    <row r="881">
      <c r="A881" s="5" t="n"/>
      <c r="D881" s="10" t="n"/>
      <c r="F881" s="9" t="n"/>
      <c r="H881" s="8" t="n"/>
    </row>
    <row r="882">
      <c r="A882" s="5" t="n"/>
      <c r="D882" s="10" t="n"/>
      <c r="F882" s="9" t="n"/>
      <c r="H882" s="8" t="n"/>
    </row>
    <row r="883">
      <c r="A883" s="5" t="n"/>
      <c r="D883" s="10" t="n"/>
      <c r="F883" s="9" t="n"/>
      <c r="H883" s="8" t="n"/>
    </row>
    <row r="884">
      <c r="A884" s="5" t="n"/>
      <c r="D884" s="10" t="n"/>
      <c r="F884" s="9" t="n"/>
      <c r="H884" s="8" t="n"/>
    </row>
    <row r="885">
      <c r="A885" s="5" t="n"/>
      <c r="D885" s="10" t="n"/>
      <c r="F885" s="9" t="n"/>
      <c r="H885" s="8" t="n"/>
    </row>
    <row r="886">
      <c r="A886" s="5" t="n"/>
      <c r="D886" s="10" t="n"/>
      <c r="F886" s="9" t="n"/>
      <c r="H886" s="8" t="n"/>
    </row>
    <row r="887">
      <c r="A887" s="5" t="n"/>
      <c r="D887" s="10" t="n"/>
      <c r="F887" s="9" t="n"/>
      <c r="H887" s="8" t="n"/>
    </row>
    <row r="888">
      <c r="A888" s="5" t="n"/>
      <c r="D888" s="10" t="n"/>
      <c r="F888" s="9" t="n"/>
      <c r="H888" s="8" t="n"/>
    </row>
    <row r="889">
      <c r="A889" s="5" t="n"/>
      <c r="D889" s="10" t="n"/>
      <c r="F889" s="9" t="n"/>
      <c r="H889" s="8" t="n"/>
    </row>
    <row r="890">
      <c r="A890" s="5" t="n"/>
      <c r="D890" s="10" t="n"/>
      <c r="F890" s="9" t="n"/>
      <c r="H890" s="8" t="n"/>
    </row>
    <row r="891">
      <c r="A891" s="5" t="n"/>
      <c r="D891" s="10" t="n"/>
      <c r="F891" s="9" t="n"/>
      <c r="H891" s="8" t="n"/>
    </row>
    <row r="892">
      <c r="A892" s="5" t="n"/>
      <c r="D892" s="10" t="n"/>
      <c r="F892" s="9" t="n"/>
      <c r="H892" s="8" t="n"/>
    </row>
    <row r="893">
      <c r="A893" s="5" t="n"/>
      <c r="D893" s="10" t="n"/>
      <c r="F893" s="9" t="n"/>
      <c r="H893" s="8" t="n"/>
    </row>
    <row r="894">
      <c r="A894" s="5" t="n"/>
      <c r="D894" s="10" t="n"/>
      <c r="F894" s="9" t="n"/>
      <c r="H894" s="8" t="n"/>
    </row>
    <row r="895">
      <c r="A895" s="5" t="n"/>
      <c r="D895" s="10" t="n"/>
      <c r="F895" s="9" t="n"/>
      <c r="H895" s="8" t="n"/>
    </row>
    <row r="896">
      <c r="A896" s="5" t="n"/>
      <c r="D896" s="10" t="n"/>
      <c r="F896" s="9" t="n"/>
      <c r="H896" s="8" t="n"/>
    </row>
    <row r="897">
      <c r="A897" s="5" t="n"/>
      <c r="D897" s="10" t="n"/>
      <c r="F897" s="9" t="n"/>
      <c r="H897" s="8" t="n"/>
    </row>
    <row r="898">
      <c r="A898" s="5" t="n"/>
      <c r="D898" s="10" t="n"/>
      <c r="F898" s="9" t="n"/>
      <c r="H898" s="8" t="n"/>
    </row>
    <row r="899">
      <c r="A899" s="5" t="n"/>
      <c r="D899" s="10" t="n"/>
      <c r="F899" s="9" t="n"/>
      <c r="H899" s="8" t="n"/>
    </row>
    <row r="900">
      <c r="A900" s="5" t="n"/>
      <c r="D900" s="10" t="n"/>
      <c r="F900" s="9" t="n"/>
      <c r="H900" s="8" t="n"/>
    </row>
    <row r="901">
      <c r="A901" s="5" t="n"/>
      <c r="D901" s="10" t="n"/>
      <c r="F901" s="9" t="n"/>
      <c r="H901" s="8" t="n"/>
    </row>
    <row r="902">
      <c r="A902" s="5" t="n"/>
      <c r="D902" s="10" t="n"/>
      <c r="F902" s="9" t="n"/>
      <c r="H902" s="8" t="n"/>
    </row>
    <row r="903">
      <c r="A903" s="5" t="n"/>
      <c r="D903" s="10" t="n"/>
      <c r="F903" s="9" t="n"/>
      <c r="H903" s="8" t="n"/>
    </row>
    <row r="904">
      <c r="A904" s="5" t="n"/>
      <c r="D904" s="10" t="n"/>
      <c r="F904" s="9" t="n"/>
      <c r="H904" s="8" t="n"/>
    </row>
    <row r="905">
      <c r="A905" s="5" t="n"/>
      <c r="D905" s="10" t="n"/>
      <c r="F905" s="9" t="n"/>
      <c r="H905" s="8" t="n"/>
    </row>
    <row r="906">
      <c r="A906" s="5" t="n"/>
      <c r="D906" s="10" t="n"/>
      <c r="F906" s="9" t="n"/>
      <c r="H906" s="8" t="n"/>
    </row>
    <row r="907">
      <c r="A907" s="5" t="n"/>
      <c r="D907" s="10" t="n"/>
      <c r="F907" s="9" t="n"/>
      <c r="H907" s="8" t="n"/>
    </row>
    <row r="908">
      <c r="A908" s="5" t="n"/>
      <c r="D908" s="10" t="n"/>
      <c r="F908" s="9" t="n"/>
      <c r="H908" s="8" t="n"/>
    </row>
    <row r="909">
      <c r="A909" s="5" t="n"/>
      <c r="D909" s="10" t="n"/>
      <c r="F909" s="9" t="n"/>
      <c r="H909" s="8" t="n"/>
    </row>
    <row r="910">
      <c r="A910" s="5" t="n"/>
      <c r="D910" s="10" t="n"/>
      <c r="F910" s="9" t="n"/>
      <c r="H910" s="8" t="n"/>
    </row>
    <row r="911">
      <c r="A911" s="5" t="n"/>
      <c r="D911" s="10" t="n"/>
      <c r="F911" s="9" t="n"/>
      <c r="H911" s="8" t="n"/>
    </row>
    <row r="912">
      <c r="A912" s="5" t="n"/>
      <c r="D912" s="10" t="n"/>
      <c r="F912" s="9" t="n"/>
      <c r="H912" s="8" t="n"/>
    </row>
    <row r="913">
      <c r="A913" s="5" t="n"/>
      <c r="D913" s="10" t="n"/>
      <c r="F913" s="9" t="n"/>
      <c r="H913" s="8" t="n"/>
    </row>
    <row r="914">
      <c r="A914" s="5" t="n"/>
      <c r="D914" s="10" t="n"/>
      <c r="F914" s="9" t="n"/>
      <c r="H914" s="8" t="n"/>
    </row>
    <row r="915">
      <c r="A915" s="5" t="n"/>
      <c r="D915" s="10" t="n"/>
      <c r="F915" s="9" t="n"/>
      <c r="H915" s="8" t="n"/>
    </row>
    <row r="916">
      <c r="A916" s="5" t="n"/>
      <c r="D916" s="10" t="n"/>
      <c r="F916" s="9" t="n"/>
      <c r="H916" s="8" t="n"/>
    </row>
    <row r="917">
      <c r="A917" s="5" t="n"/>
      <c r="D917" s="10" t="n"/>
      <c r="F917" s="9" t="n"/>
      <c r="H917" s="8" t="n"/>
    </row>
    <row r="918">
      <c r="A918" s="5" t="n"/>
      <c r="D918" s="10" t="n"/>
      <c r="F918" s="9" t="n"/>
      <c r="H918" s="8" t="n"/>
    </row>
    <row r="919">
      <c r="A919" s="5" t="n"/>
      <c r="D919" s="10" t="n"/>
      <c r="F919" s="9" t="n"/>
      <c r="H919" s="8" t="n"/>
    </row>
    <row r="920">
      <c r="A920" s="5" t="n"/>
      <c r="D920" s="10" t="n"/>
      <c r="F920" s="9" t="n"/>
      <c r="H920" s="8" t="n"/>
    </row>
    <row r="921">
      <c r="A921" s="5" t="n"/>
      <c r="D921" s="10" t="n"/>
      <c r="F921" s="9" t="n"/>
      <c r="H921" s="8" t="n"/>
    </row>
    <row r="922">
      <c r="A922" s="5" t="n"/>
      <c r="D922" s="10" t="n"/>
      <c r="F922" s="9" t="n"/>
      <c r="H922" s="8" t="n"/>
    </row>
    <row r="923">
      <c r="A923" s="5" t="n"/>
      <c r="D923" s="10" t="n"/>
      <c r="F923" s="9" t="n"/>
      <c r="H923" s="8" t="n"/>
    </row>
    <row r="924">
      <c r="A924" s="5" t="n"/>
      <c r="D924" s="10" t="n"/>
      <c r="F924" s="9" t="n"/>
      <c r="H924" s="8" t="n"/>
    </row>
    <row r="925">
      <c r="A925" s="5" t="n"/>
      <c r="D925" s="10" t="n"/>
      <c r="F925" s="9" t="n"/>
      <c r="H925" s="8" t="n"/>
    </row>
    <row r="926">
      <c r="A926" s="5" t="n"/>
      <c r="D926" s="10" t="n"/>
      <c r="F926" s="9" t="n"/>
      <c r="H926" s="8" t="n"/>
    </row>
    <row r="927">
      <c r="A927" s="5" t="n"/>
      <c r="D927" s="10" t="n"/>
      <c r="F927" s="9" t="n"/>
      <c r="H927" s="8" t="n"/>
    </row>
    <row r="928">
      <c r="A928" s="5" t="n"/>
      <c r="D928" s="10" t="n"/>
      <c r="F928" s="9" t="n"/>
      <c r="H928" s="8" t="n"/>
    </row>
    <row r="929">
      <c r="A929" s="5" t="n"/>
      <c r="D929" s="10" t="n"/>
      <c r="F929" s="9" t="n"/>
      <c r="H929" s="8" t="n"/>
    </row>
    <row r="930">
      <c r="A930" s="5" t="n"/>
      <c r="D930" s="10" t="n"/>
      <c r="F930" s="9" t="n"/>
      <c r="H930" s="8" t="n"/>
    </row>
    <row r="931">
      <c r="A931" s="5" t="n"/>
      <c r="D931" s="10" t="n"/>
      <c r="F931" s="9" t="n"/>
      <c r="H931" s="8" t="n"/>
    </row>
    <row r="932">
      <c r="A932" s="5" t="n"/>
      <c r="D932" s="10" t="n"/>
      <c r="F932" s="9" t="n"/>
      <c r="H932" s="8" t="n"/>
    </row>
    <row r="933">
      <c r="A933" s="5" t="n"/>
      <c r="D933" s="10" t="n"/>
      <c r="F933" s="9" t="n"/>
      <c r="H933" s="8" t="n"/>
    </row>
    <row r="934">
      <c r="A934" s="5" t="n"/>
      <c r="D934" s="10" t="n"/>
      <c r="F934" s="9" t="n"/>
      <c r="H934" s="8" t="n"/>
    </row>
    <row r="935">
      <c r="A935" s="5" t="n"/>
      <c r="D935" s="10" t="n"/>
      <c r="F935" s="9" t="n"/>
      <c r="H935" s="8" t="n"/>
    </row>
    <row r="936">
      <c r="A936" s="5" t="n"/>
      <c r="D936" s="10" t="n"/>
      <c r="F936" s="9" t="n"/>
      <c r="H936" s="8" t="n"/>
    </row>
    <row r="937">
      <c r="A937" s="5" t="n"/>
      <c r="D937" s="10" t="n"/>
      <c r="F937" s="9" t="n"/>
      <c r="H937" s="8" t="n"/>
    </row>
    <row r="938">
      <c r="A938" s="5" t="n"/>
      <c r="D938" s="10" t="n"/>
      <c r="F938" s="9" t="n"/>
      <c r="H938" s="8" t="n"/>
    </row>
    <row r="939">
      <c r="A939" s="5" t="n"/>
      <c r="D939" s="10" t="n"/>
      <c r="F939" s="9" t="n"/>
      <c r="H939" s="8" t="n"/>
    </row>
    <row r="940">
      <c r="A940" s="5" t="n"/>
      <c r="D940" s="10" t="n"/>
      <c r="F940" s="9" t="n"/>
      <c r="H940" s="8" t="n"/>
    </row>
    <row r="941">
      <c r="A941" s="5" t="n"/>
      <c r="D941" s="10" t="n"/>
      <c r="F941" s="9" t="n"/>
      <c r="H941" s="8" t="n"/>
    </row>
    <row r="942">
      <c r="A942" s="7" t="n"/>
      <c r="D942" s="10" t="n"/>
      <c r="F942" s="9" t="n"/>
      <c r="H942" s="8" t="n"/>
    </row>
    <row r="943">
      <c r="D943" s="10" t="n"/>
      <c r="F943" s="9" t="n"/>
      <c r="H943" s="8" t="n"/>
    </row>
    <row r="944">
      <c r="D944" s="10" t="n"/>
      <c r="F944" s="9" t="n"/>
      <c r="H944" s="8" t="n"/>
    </row>
    <row r="945">
      <c r="D945" s="10" t="n"/>
      <c r="F945" s="9" t="n"/>
      <c r="H945" s="8" t="n"/>
    </row>
    <row r="946">
      <c r="D946" s="10" t="n"/>
      <c r="F946" s="9" t="n"/>
      <c r="H946" s="8" t="n"/>
    </row>
    <row r="947">
      <c r="D947" s="10" t="n"/>
      <c r="F947" s="9" t="n"/>
      <c r="H947" s="8" t="n"/>
    </row>
    <row r="948">
      <c r="D948" s="10" t="n"/>
      <c r="F948" s="9" t="n"/>
      <c r="H948" s="8" t="n"/>
    </row>
    <row r="949">
      <c r="D949" s="10" t="n"/>
      <c r="F949" s="9" t="n"/>
      <c r="H949" s="8" t="n"/>
    </row>
    <row r="950">
      <c r="D950" s="10" t="n"/>
      <c r="F950" s="9" t="n"/>
      <c r="H950" s="8" t="n"/>
    </row>
    <row r="951">
      <c r="D951" s="10" t="n"/>
      <c r="F951" s="9" t="n"/>
      <c r="H951" s="8" t="n"/>
    </row>
    <row r="952">
      <c r="D952" s="10" t="n"/>
      <c r="F952" s="9" t="n"/>
      <c r="H952" s="8" t="n"/>
    </row>
    <row r="953">
      <c r="D953" s="10" t="n"/>
      <c r="F953" s="9" t="n"/>
      <c r="H953" s="8" t="n"/>
    </row>
    <row r="954">
      <c r="D954" s="10" t="n"/>
      <c r="F954" s="9" t="n"/>
      <c r="H954" s="8" t="n"/>
    </row>
    <row r="955">
      <c r="D955" s="10" t="n"/>
      <c r="F955" s="9" t="n"/>
      <c r="H955" s="8" t="n"/>
    </row>
    <row r="956">
      <c r="D956" s="10" t="n"/>
      <c r="F956" s="9" t="n"/>
      <c r="H956" s="8" t="n"/>
    </row>
    <row r="957">
      <c r="D957" s="10" t="n"/>
      <c r="F957" s="9" t="n"/>
      <c r="H957" s="8" t="n"/>
    </row>
    <row r="958">
      <c r="D958" s="10" t="n"/>
      <c r="F958" s="9" t="n"/>
      <c r="H958" s="8" t="n"/>
    </row>
    <row r="959">
      <c r="D959" s="10" t="n"/>
      <c r="F959" s="9" t="n"/>
      <c r="H959" s="8" t="n"/>
    </row>
    <row r="960">
      <c r="D960" s="10" t="n"/>
      <c r="F960" s="9" t="n"/>
      <c r="H960" s="8" t="n"/>
    </row>
    <row r="961">
      <c r="D961" s="10" t="n"/>
      <c r="F961" s="9" t="n"/>
      <c r="H961" s="8" t="n"/>
    </row>
    <row r="962">
      <c r="D962" s="10" t="n"/>
      <c r="F962" s="9" t="n"/>
      <c r="H962" s="8" t="n"/>
    </row>
    <row r="963">
      <c r="D963" s="10" t="n"/>
      <c r="F963" s="9" t="n"/>
      <c r="H963" s="8" t="n"/>
    </row>
    <row r="964">
      <c r="D964" s="10" t="n"/>
      <c r="F964" s="9" t="n"/>
      <c r="H964" s="8" t="n"/>
    </row>
    <row r="965">
      <c r="D965" s="10" t="n"/>
      <c r="F965" s="9" t="n"/>
      <c r="H965" s="8" t="n"/>
    </row>
    <row r="966">
      <c r="D966" s="10" t="n"/>
      <c r="F966" s="9" t="n"/>
      <c r="H966" s="8" t="n"/>
    </row>
    <row r="967">
      <c r="D967" s="10" t="n"/>
      <c r="F967" s="9" t="n"/>
      <c r="H967" s="8" t="n"/>
    </row>
    <row r="968">
      <c r="D968" s="10" t="n"/>
      <c r="F968" s="9" t="n"/>
      <c r="H968" s="8" t="n"/>
    </row>
    <row r="969">
      <c r="D969" s="10" t="n"/>
      <c r="F969" s="9" t="n"/>
      <c r="H969" s="8" t="n"/>
    </row>
    <row r="970">
      <c r="D970" s="10" t="n"/>
      <c r="F970" s="9" t="n"/>
      <c r="H970" s="8" t="n"/>
    </row>
    <row r="971">
      <c r="D971" s="10" t="n"/>
      <c r="F971" s="9" t="n"/>
      <c r="H971" s="8" t="n"/>
    </row>
    <row r="972">
      <c r="D972" s="10" t="n"/>
      <c r="F972" s="9" t="n"/>
      <c r="H972" s="8" t="n"/>
    </row>
    <row r="973">
      <c r="D973" s="10" t="n"/>
      <c r="F973" s="9" t="n"/>
      <c r="H973" s="8" t="n"/>
    </row>
    <row r="974">
      <c r="D974" s="10" t="n"/>
      <c r="F974" s="9" t="n"/>
      <c r="H974" s="8" t="n"/>
    </row>
    <row r="975">
      <c r="D975" s="10" t="n"/>
      <c r="F975" s="9" t="n"/>
      <c r="H975" s="8" t="n"/>
    </row>
    <row r="976">
      <c r="D976" s="10" t="n"/>
      <c r="F976" s="9" t="n"/>
      <c r="H976" s="8" t="n"/>
    </row>
    <row r="977">
      <c r="D977" s="10" t="n"/>
      <c r="F977" s="9" t="n"/>
      <c r="H977" s="8" t="n"/>
    </row>
    <row r="978">
      <c r="D978" s="10" t="n"/>
      <c r="F978" s="9" t="n"/>
      <c r="H978" s="8" t="n"/>
    </row>
    <row r="979">
      <c r="D979" s="10" t="n"/>
      <c r="F979" s="9" t="n"/>
      <c r="H979" s="8" t="n"/>
    </row>
    <row r="980">
      <c r="D980" s="10" t="n"/>
      <c r="F980" s="9" t="n"/>
      <c r="H980" s="8" t="n"/>
    </row>
    <row r="981">
      <c r="D981" s="10" t="n"/>
      <c r="F981" s="9" t="n"/>
      <c r="H981" s="8" t="n"/>
    </row>
    <row r="982">
      <c r="D982" s="10" t="n"/>
      <c r="F982" s="9" t="n"/>
      <c r="H982" s="8" t="n"/>
    </row>
    <row r="983">
      <c r="D983" s="10" t="n"/>
      <c r="F983" s="9" t="n"/>
      <c r="H983" s="8" t="n"/>
    </row>
    <row r="984">
      <c r="D984" s="10" t="n"/>
      <c r="F984" s="9" t="n"/>
      <c r="H984" s="8" t="n"/>
    </row>
    <row r="985">
      <c r="D985" s="10" t="n"/>
      <c r="F985" s="9" t="n"/>
      <c r="H985" s="8" t="n"/>
    </row>
    <row r="986">
      <c r="D986" s="10" t="n"/>
      <c r="F986" s="9" t="n"/>
      <c r="H986" s="8" t="n"/>
    </row>
    <row r="987">
      <c r="D987" s="10" t="n"/>
      <c r="F987" s="9" t="n"/>
      <c r="H987" s="8" t="n"/>
    </row>
    <row r="988">
      <c r="D988" s="10" t="n"/>
      <c r="F988" s="9" t="n"/>
      <c r="H988" s="8" t="n"/>
    </row>
    <row r="989">
      <c r="D989" s="10" t="n"/>
      <c r="F989" s="9" t="n"/>
      <c r="H989" s="8" t="n"/>
    </row>
    <row r="990">
      <c r="D990" s="10" t="n"/>
      <c r="F990" s="9" t="n"/>
      <c r="H990" s="8" t="n"/>
    </row>
    <row r="991">
      <c r="D991" s="10" t="n"/>
      <c r="F991" s="9" t="n"/>
      <c r="H991" s="8" t="n"/>
    </row>
    <row r="992">
      <c r="D992" s="10" t="n"/>
      <c r="F992" s="9" t="n"/>
      <c r="H992" s="8" t="n"/>
    </row>
    <row r="993">
      <c r="D993" s="10" t="n"/>
      <c r="F993" s="9" t="n"/>
      <c r="H993" s="8" t="n"/>
    </row>
    <row r="994">
      <c r="D994" s="10" t="n"/>
      <c r="F994" s="9" t="n"/>
      <c r="H994" s="8" t="n"/>
    </row>
    <row r="995">
      <c r="D995" s="10" t="n"/>
      <c r="F995" s="9" t="n"/>
      <c r="H995" s="8" t="n"/>
    </row>
    <row r="996">
      <c r="D996" s="10" t="n"/>
      <c r="F996" s="9" t="n"/>
      <c r="H996" s="8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min="1" max="1"/>
    <col width="43.140625" customWidth="1" min="2" max="2"/>
    <col width="17.42578125" customWidth="1" min="3" max="10"/>
    <col width="12.85546875" customWidth="1" min="11" max="11"/>
    <col width="15" customWidth="1" min="12" max="12"/>
    <col width="14.85546875" customWidth="1" min="13" max="13"/>
    <col width="14.42578125" customWidth="1" min="14" max="14"/>
    <col width="13.7109375" customWidth="1" min="15" max="15"/>
    <col width="14.28515625" customWidth="1" min="16" max="18"/>
    <col width="53.42578125" customWidth="1" min="19" max="19"/>
    <col width="15.140625" customWidth="1" min="20" max="20"/>
  </cols>
  <sheetData>
    <row r="1" ht="16.5" customHeight="1">
      <c r="A1" s="92" t="n"/>
      <c r="B1" s="92" t="inlineStr">
        <is>
          <t>SEPTEMBER 2026 EXPENSES</t>
        </is>
      </c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  <c r="O1" s="119" t="n"/>
      <c r="P1" s="119" t="n"/>
      <c r="Q1" s="119" t="n"/>
      <c r="R1" s="119" t="n"/>
      <c r="S1" s="119" t="n"/>
      <c r="T1" s="120" t="n"/>
    </row>
    <row r="2" ht="58.5" customHeight="1">
      <c r="A2" s="39" t="inlineStr">
        <is>
          <t>FLAT #</t>
        </is>
      </c>
      <c r="B2" s="39" t="n">
        <v>0</v>
      </c>
      <c r="C2" s="39" t="inlineStr">
        <is>
          <t>WATER USED IN LTRS</t>
        </is>
      </c>
      <c r="D2" s="39" t="inlineStr">
        <is>
          <t>COMMON AREA EQUALLY DEVIDED</t>
        </is>
      </c>
      <c r="E2" s="39" t="inlineStr">
        <is>
          <t>TOTAL FRESH WATER CONSUMED</t>
        </is>
      </c>
      <c r="F2" s="39" t="inlineStr">
        <is>
          <t>%OF TOTAL USED</t>
        </is>
      </c>
      <c r="G2" s="39" t="inlineStr">
        <is>
          <t>WATER EXPENSE SHARING BY %</t>
        </is>
      </c>
      <c r="H2" s="39" t="inlineStr">
        <is>
          <t>#METERS</t>
        </is>
      </c>
      <c r="I2" s="39" t="inlineStr">
        <is>
          <t>METER RENT (INR)</t>
        </is>
      </c>
      <c r="J2" s="39" t="inlineStr">
        <is>
          <t>COMMON AREA METER RENT + WATER EXPENSE+ FLAT METER RENT</t>
        </is>
      </c>
      <c r="K2" s="39" t="inlineStr">
        <is>
          <t>FIXED EXPENSE SHARE</t>
        </is>
      </c>
      <c r="L2" s="39" t="inlineStr">
        <is>
          <t>PARKING FEE</t>
        </is>
      </c>
      <c r="M2" s="39" t="inlineStr">
        <is>
          <t>CLUB HOUSE BOOKING</t>
        </is>
      </c>
      <c r="N2" s="39" t="inlineStr">
        <is>
          <t>SHIFTING FEE</t>
        </is>
      </c>
      <c r="O2" s="39" t="inlineStr">
        <is>
          <t>GYM USAGE FEE</t>
        </is>
      </c>
      <c r="P2" s="39" t="n"/>
      <c r="Q2" s="39" t="n"/>
      <c r="R2" s="39" t="inlineStr">
        <is>
          <t>TOTAL EXPENSE TO BE PAID</t>
        </is>
      </c>
      <c r="S2" s="39" t="n"/>
      <c r="T2" s="39" t="n"/>
    </row>
    <row r="3" ht="12.75" customHeight="1">
      <c r="A3" s="40" t="inlineStr">
        <is>
          <t>CH</t>
        </is>
      </c>
      <c r="B3" s="40" t="inlineStr">
        <is>
          <t>MPFOWA</t>
        </is>
      </c>
      <c r="C3" s="41" t="n">
        <v>0</v>
      </c>
      <c r="D3" s="41" t="n">
        <v>0</v>
      </c>
      <c r="E3" s="41" t="n"/>
      <c r="F3" s="41" t="n"/>
      <c r="G3" s="41" t="n"/>
      <c r="H3" s="41" t="n">
        <v>1</v>
      </c>
      <c r="I3" s="41">
        <f>T7</f>
        <v/>
      </c>
      <c r="J3" s="41" t="n"/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</row>
    <row r="4" ht="12.75" customHeight="1">
      <c r="A4" s="42" t="inlineStr">
        <is>
          <t>GYM</t>
        </is>
      </c>
      <c r="B4" s="42" t="inlineStr">
        <is>
          <t>MPFOWA</t>
        </is>
      </c>
      <c r="C4" s="43" t="n">
        <v>0</v>
      </c>
      <c r="D4" s="43" t="n">
        <v>0</v>
      </c>
      <c r="E4" s="43" t="n"/>
      <c r="F4" s="43" t="n"/>
      <c r="G4" s="43" t="n"/>
      <c r="H4" s="43" t="n">
        <v>1</v>
      </c>
      <c r="I4" s="43">
        <f>T7</f>
        <v/>
      </c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inlineStr">
        <is>
          <t>TOTAL FIXED EXPENSE</t>
        </is>
      </c>
      <c r="T4" s="43">
        <f>'ANNUAL-EXPENSE-DETAILS'!AB8</f>
        <v/>
      </c>
    </row>
    <row r="5" ht="12.75" customHeight="1">
      <c r="A5" s="40" t="inlineStr">
        <is>
          <t>BSMT</t>
        </is>
      </c>
      <c r="B5" s="40" t="inlineStr">
        <is>
          <t>MPFOWA</t>
        </is>
      </c>
      <c r="C5" s="41" t="n">
        <v>0</v>
      </c>
      <c r="D5" s="41" t="n">
        <v>0</v>
      </c>
      <c r="E5" s="41" t="n"/>
      <c r="F5" s="41" t="n"/>
      <c r="G5" s="41" t="n"/>
      <c r="H5" s="41" t="n">
        <v>1</v>
      </c>
      <c r="I5" s="41">
        <f>T7</f>
        <v/>
      </c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inlineStr">
        <is>
          <t>TOTAL WATER EXPENSE</t>
        </is>
      </c>
      <c r="T5" s="41">
        <f>'ANNUAL-EXPENSE-DETAILS'!AA8</f>
        <v/>
      </c>
    </row>
    <row r="6" ht="12.75" customHeight="1">
      <c r="A6" s="42" t="inlineStr">
        <is>
          <t>F1</t>
        </is>
      </c>
      <c r="B6" s="42">
        <f>VLOOKUP(A6,Members!$A$2:$B$65,2,FALSE)</f>
        <v/>
      </c>
      <c r="C6" s="43" t="n">
        <v>0</v>
      </c>
      <c r="D6" s="43">
        <f>SUM($C$3:$C$5)/64</f>
        <v/>
      </c>
      <c r="E6" s="43">
        <f>C6+D6</f>
        <v/>
      </c>
      <c r="F6" s="43">
        <f>IF($C$70=0, 0, E6/$C$70)</f>
        <v/>
      </c>
      <c r="G6" s="43">
        <f>F6*$T$5</f>
        <v/>
      </c>
      <c r="H6" s="43" t="n">
        <v>3</v>
      </c>
      <c r="I6" s="43">
        <f>$T$7*H6</f>
        <v/>
      </c>
      <c r="J6" s="43">
        <f>G6+$T$9+I6</f>
        <v/>
      </c>
      <c r="K6" s="43">
        <f>$T$11/64</f>
        <v/>
      </c>
      <c r="L6" s="43" t="n">
        <v>0</v>
      </c>
      <c r="M6" s="43" t="n">
        <v>0</v>
      </c>
      <c r="N6" s="43" t="n">
        <v>0</v>
      </c>
      <c r="O6" s="43" t="n">
        <v>0</v>
      </c>
      <c r="P6" s="43" t="n"/>
      <c r="Q6" s="43" t="n"/>
      <c r="R6" s="43">
        <f>(J6+K6+L6+M6+N6+O6)*$B$2</f>
        <v/>
      </c>
      <c r="S6" s="43" t="n"/>
      <c r="T6" s="43" t="n"/>
    </row>
    <row r="7" ht="12.75" customHeight="1">
      <c r="A7" s="40" t="inlineStr">
        <is>
          <t>F2</t>
        </is>
      </c>
      <c r="B7" s="40">
        <f>VLOOKUP(A7,Members!$A$2:$B$65,2,FALSE)</f>
        <v/>
      </c>
      <c r="C7" s="41" t="n">
        <v>0</v>
      </c>
      <c r="D7" s="41">
        <f>SUM($C$3:$C$5)/64</f>
        <v/>
      </c>
      <c r="E7" s="41">
        <f>C7+D7</f>
        <v/>
      </c>
      <c r="F7" s="41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$T$11/64</f>
        <v/>
      </c>
      <c r="L7" s="41" t="n">
        <v>0</v>
      </c>
      <c r="M7" s="41" t="n">
        <v>0</v>
      </c>
      <c r="N7" s="41" t="n">
        <v>0</v>
      </c>
      <c r="O7" s="41" t="n">
        <v>0</v>
      </c>
      <c r="P7" s="41" t="n"/>
      <c r="Q7" s="41" t="n"/>
      <c r="R7" s="41">
        <f>(J7+K7+L7+M7+N7+O7)*$B$2</f>
        <v/>
      </c>
      <c r="S7" s="41" t="inlineStr">
        <is>
          <t>RENT PER METER</t>
        </is>
      </c>
      <c r="T7" s="41" t="n">
        <v>117.811659</v>
      </c>
    </row>
    <row r="8" ht="12.75" customHeight="1">
      <c r="A8" s="42" t="inlineStr">
        <is>
          <t>F3</t>
        </is>
      </c>
      <c r="B8" s="42">
        <f>VLOOKUP(A8,Members!$A$2:$B$65,2,FALSE)</f>
        <v/>
      </c>
      <c r="C8" s="43" t="n">
        <v>0</v>
      </c>
      <c r="D8" s="43">
        <f>SUM($C$3:$C$5)/64</f>
        <v/>
      </c>
      <c r="E8" s="43">
        <f>C8+D8</f>
        <v/>
      </c>
      <c r="F8" s="43">
        <f>IF($C$70=0, 0, E8/$C$70)</f>
        <v/>
      </c>
      <c r="G8" s="43">
        <f>F8*$T$5</f>
        <v/>
      </c>
      <c r="H8" s="43" t="n">
        <v>4</v>
      </c>
      <c r="I8" s="43">
        <f>$T$7*H8</f>
        <v/>
      </c>
      <c r="J8" s="43">
        <f>G8+$T$9+I8</f>
        <v/>
      </c>
      <c r="K8" s="43">
        <f>$T$11/64</f>
        <v/>
      </c>
      <c r="L8" s="43" t="n">
        <v>0</v>
      </c>
      <c r="M8" s="43" t="n">
        <v>0</v>
      </c>
      <c r="N8" s="43" t="n">
        <v>0</v>
      </c>
      <c r="O8" s="43" t="n">
        <v>0</v>
      </c>
      <c r="P8" s="43" t="n"/>
      <c r="Q8" s="43" t="n"/>
      <c r="R8" s="43">
        <f>(J8+K8+L8+M8+N8+O8)*$B$2</f>
        <v/>
      </c>
      <c r="S8" s="43" t="inlineStr">
        <is>
          <t>COMMON AREA METER RENT (INR)</t>
        </is>
      </c>
      <c r="T8" s="43">
        <f>$T$7*3</f>
        <v/>
      </c>
    </row>
    <row r="9" ht="12.75" customHeight="1">
      <c r="A9" s="40" t="inlineStr">
        <is>
          <t>F4</t>
        </is>
      </c>
      <c r="B9" s="40">
        <f>VLOOKUP(A9,Members!$A$2:$B$65,2,FALSE)</f>
        <v/>
      </c>
      <c r="C9" s="41" t="n">
        <v>0</v>
      </c>
      <c r="D9" s="41">
        <f>SUM($C$3:$C$5)/64</f>
        <v/>
      </c>
      <c r="E9" s="41">
        <f>C9+D9</f>
        <v/>
      </c>
      <c r="F9" s="41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$T$11/64</f>
        <v/>
      </c>
      <c r="L9" s="41" t="n">
        <v>0</v>
      </c>
      <c r="M9" s="41" t="n">
        <v>0</v>
      </c>
      <c r="N9" s="41" t="n">
        <v>0</v>
      </c>
      <c r="O9" s="41" t="n">
        <v>0</v>
      </c>
      <c r="P9" s="41" t="n"/>
      <c r="Q9" s="41" t="n"/>
      <c r="R9" s="41">
        <f>(J9+K9+L9+M9+N9+O9)*$B$2</f>
        <v/>
      </c>
      <c r="S9" s="41" t="inlineStr">
        <is>
          <t>COMMON AREA METER RENT/FLAT</t>
        </is>
      </c>
      <c r="T9" s="41">
        <f>T8/64</f>
        <v/>
      </c>
    </row>
    <row r="10" ht="12.75" customHeight="1">
      <c r="A10" s="42" t="inlineStr">
        <is>
          <t>F5</t>
        </is>
      </c>
      <c r="B10" s="42">
        <f>VLOOKUP(A10,Members!$A$2:$B$65,2,FALSE)</f>
        <v/>
      </c>
      <c r="C10" s="43" t="n">
        <v>0</v>
      </c>
      <c r="D10" s="43">
        <f>SUM($C$3:$C$5)/64</f>
        <v/>
      </c>
      <c r="E10" s="43">
        <f>C10+D10</f>
        <v/>
      </c>
      <c r="F10" s="43">
        <f>IF($C$70=0, 0, E10/$C$70)</f>
        <v/>
      </c>
      <c r="G10" s="43">
        <f>F10*$T$5</f>
        <v/>
      </c>
      <c r="H10" s="43" t="n">
        <v>3</v>
      </c>
      <c r="I10" s="43">
        <f>$T$7*H10</f>
        <v/>
      </c>
      <c r="J10" s="43">
        <f>G10+$T$9+I10</f>
        <v/>
      </c>
      <c r="K10" s="43">
        <f>$T$11/64</f>
        <v/>
      </c>
      <c r="L10" s="43" t="n">
        <v>0</v>
      </c>
      <c r="M10" s="43" t="n">
        <v>0</v>
      </c>
      <c r="N10" s="43" t="n">
        <v>0</v>
      </c>
      <c r="O10" s="43" t="n">
        <v>0</v>
      </c>
      <c r="P10" s="43" t="n"/>
      <c r="Q10" s="43" t="n"/>
      <c r="R10" s="43">
        <f>(J10+K10+L10+M10+N10+O10)*$B$2</f>
        <v/>
      </c>
      <c r="S10" s="43" t="n"/>
      <c r="T10" s="43" t="n"/>
    </row>
    <row r="11" ht="12.75" customHeight="1">
      <c r="A11" s="40" t="inlineStr">
        <is>
          <t>F6</t>
        </is>
      </c>
      <c r="B11" s="40">
        <f>VLOOKUP(A11,Members!$A$2:$B$65,2,FALSE)</f>
        <v/>
      </c>
      <c r="C11" s="41" t="n">
        <v>0</v>
      </c>
      <c r="D11" s="41">
        <f>SUM($C$3:$C$5)/64</f>
        <v/>
      </c>
      <c r="E11" s="41">
        <f>C11+D11</f>
        <v/>
      </c>
      <c r="F11" s="41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$T$11/64</f>
        <v/>
      </c>
      <c r="L11" s="41" t="n">
        <v>0</v>
      </c>
      <c r="M11" s="41" t="n">
        <v>0</v>
      </c>
      <c r="N11" s="41" t="n">
        <v>0</v>
      </c>
      <c r="O11" s="41" t="n">
        <v>0</v>
      </c>
      <c r="P11" s="41" t="n"/>
      <c r="Q11" s="41" t="n"/>
      <c r="R11" s="41">
        <f>(J11+K11+L11+M11+N11+O11)*$B$2</f>
        <v/>
      </c>
      <c r="S11" s="41" t="inlineStr">
        <is>
          <t>TOTAL FIXED EXPENSE</t>
        </is>
      </c>
      <c r="T11" s="41">
        <f>'ANNUAL-EXPENSE-DETAILS'!AB8</f>
        <v/>
      </c>
    </row>
    <row r="12" ht="12.75" customHeight="1">
      <c r="A12" s="42" t="inlineStr">
        <is>
          <t>F7</t>
        </is>
      </c>
      <c r="B12" s="42">
        <f>VLOOKUP(A12,Members!$A$2:$B$65,2,FALSE)</f>
        <v/>
      </c>
      <c r="C12" s="43" t="n">
        <v>0</v>
      </c>
      <c r="D12" s="43">
        <f>SUM($C$3:$C$5)/64</f>
        <v/>
      </c>
      <c r="E12" s="43">
        <f>C12+D12</f>
        <v/>
      </c>
      <c r="F12" s="43">
        <f>IF($C$70=0, 0, E12/$C$70)</f>
        <v/>
      </c>
      <c r="G12" s="43">
        <f>F12*$T$5</f>
        <v/>
      </c>
      <c r="H12" s="43" t="n">
        <v>3</v>
      </c>
      <c r="I12" s="43">
        <f>$T$7*H12</f>
        <v/>
      </c>
      <c r="J12" s="43">
        <f>G12+$T$9+I12</f>
        <v/>
      </c>
      <c r="K12" s="43">
        <f>$T$11/64</f>
        <v/>
      </c>
      <c r="L12" s="43" t="n">
        <v>0</v>
      </c>
      <c r="M12" s="43" t="n">
        <v>0</v>
      </c>
      <c r="N12" s="43" t="n">
        <v>0</v>
      </c>
      <c r="O12" s="43" t="n">
        <v>0</v>
      </c>
      <c r="P12" s="43" t="n"/>
      <c r="Q12" s="43" t="n"/>
      <c r="R12" s="43">
        <f>(J12+K12+L12+M12+N12+O12)*$B$2</f>
        <v/>
      </c>
      <c r="S12" s="43" t="n"/>
      <c r="T12" s="43" t="n"/>
    </row>
    <row r="13" ht="12.75" customHeight="1">
      <c r="A13" s="40" t="inlineStr">
        <is>
          <t>F8</t>
        </is>
      </c>
      <c r="B13" s="40">
        <f>VLOOKUP(A13,Members!$A$2:$B$65,2,FALSE)</f>
        <v/>
      </c>
      <c r="C13" s="41" t="n">
        <v>0</v>
      </c>
      <c r="D13" s="41">
        <f>SUM($C$3:$C$5)/64</f>
        <v/>
      </c>
      <c r="E13" s="41">
        <f>C13+D13</f>
        <v/>
      </c>
      <c r="F13" s="41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$T$11/64</f>
        <v/>
      </c>
      <c r="L13" s="41" t="n">
        <v>0</v>
      </c>
      <c r="M13" s="41" t="n">
        <v>0</v>
      </c>
      <c r="N13" s="41" t="n">
        <v>0</v>
      </c>
      <c r="O13" s="41" t="n">
        <v>0</v>
      </c>
      <c r="P13" s="41" t="n"/>
      <c r="Q13" s="41" t="n"/>
      <c r="R13" s="41">
        <f>(J13+K13+L13+M13+N13+O13)*$B$2</f>
        <v/>
      </c>
      <c r="S13" s="41" t="n"/>
      <c r="T13" s="41" t="n"/>
    </row>
    <row r="14" ht="12.75" customHeight="1">
      <c r="A14" s="42" t="inlineStr">
        <is>
          <t>F9</t>
        </is>
      </c>
      <c r="B14" s="42">
        <f>VLOOKUP(A14,Members!$A$2:$B$65,2,FALSE)</f>
        <v/>
      </c>
      <c r="C14" s="43" t="n">
        <v>0</v>
      </c>
      <c r="D14" s="43">
        <f>SUM($C$3:$C$5)/64</f>
        <v/>
      </c>
      <c r="E14" s="43">
        <f>C14+D14</f>
        <v/>
      </c>
      <c r="F14" s="43">
        <f>IF($C$70=0, 0, E14/$C$70)</f>
        <v/>
      </c>
      <c r="G14" s="43">
        <f>F14*$T$5</f>
        <v/>
      </c>
      <c r="H14" s="43" t="n">
        <v>4</v>
      </c>
      <c r="I14" s="43">
        <f>$T$7*H14</f>
        <v/>
      </c>
      <c r="J14" s="43">
        <f>G14+$T$9+I14</f>
        <v/>
      </c>
      <c r="K14" s="43">
        <f>$T$11/64</f>
        <v/>
      </c>
      <c r="L14" s="43" t="n">
        <v>0</v>
      </c>
      <c r="M14" s="43" t="n">
        <v>0</v>
      </c>
      <c r="N14" s="43" t="n">
        <v>0</v>
      </c>
      <c r="O14" s="43" t="n">
        <v>0</v>
      </c>
      <c r="P14" s="43" t="n"/>
      <c r="Q14" s="43" t="n"/>
      <c r="R14" s="43">
        <f>(J14+K14+L14+M14+N14+O14)*$B$2</f>
        <v/>
      </c>
      <c r="S14" s="43" t="n"/>
      <c r="T14" s="43" t="n"/>
    </row>
    <row r="15" ht="12.75" customHeight="1">
      <c r="A15" s="40" t="inlineStr">
        <is>
          <t>F10</t>
        </is>
      </c>
      <c r="B15" s="40">
        <f>VLOOKUP(A15,Members!$A$2:$B$65,2,FALSE)</f>
        <v/>
      </c>
      <c r="C15" s="41" t="n">
        <v>0</v>
      </c>
      <c r="D15" s="41">
        <f>SUM($C$3:$C$5)/64</f>
        <v/>
      </c>
      <c r="E15" s="41">
        <f>C15+D15</f>
        <v/>
      </c>
      <c r="F15" s="41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$T$11/64</f>
        <v/>
      </c>
      <c r="L15" s="41" t="n">
        <v>0</v>
      </c>
      <c r="M15" s="41" t="n">
        <v>0</v>
      </c>
      <c r="N15" s="41" t="n">
        <v>0</v>
      </c>
      <c r="O15" s="41" t="n">
        <v>0</v>
      </c>
      <c r="P15" s="41" t="n"/>
      <c r="Q15" s="41" t="n"/>
      <c r="R15" s="41">
        <f>(J15+K15+L15+M15+N15+O15)*$B$2</f>
        <v/>
      </c>
      <c r="S15" s="41" t="inlineStr">
        <is>
          <t>BALANCE IN ACCOUNT ON 30-SEP-2022</t>
        </is>
      </c>
      <c r="T15" s="41" t="n"/>
    </row>
    <row r="16" ht="12.75" customHeight="1">
      <c r="A16" s="42" t="inlineStr">
        <is>
          <t>F11</t>
        </is>
      </c>
      <c r="B16" s="42">
        <f>VLOOKUP(A16,Members!$A$2:$B$65,2,FALSE)</f>
        <v/>
      </c>
      <c r="C16" s="43" t="n">
        <v>0</v>
      </c>
      <c r="D16" s="43">
        <f>SUM($C$3:$C$5)/64</f>
        <v/>
      </c>
      <c r="E16" s="43">
        <f>C16+D16</f>
        <v/>
      </c>
      <c r="F16" s="43">
        <f>IF($C$70=0, 0, E16/$C$70)</f>
        <v/>
      </c>
      <c r="G16" s="43">
        <f>F16*$T$5</f>
        <v/>
      </c>
      <c r="H16" s="43" t="n">
        <v>3</v>
      </c>
      <c r="I16" s="43">
        <f>$T$7*H16</f>
        <v/>
      </c>
      <c r="J16" s="43">
        <f>G16+$T$9+I16</f>
        <v/>
      </c>
      <c r="K16" s="43">
        <f>$T$11/64</f>
        <v/>
      </c>
      <c r="L16" s="43" t="n">
        <v>0</v>
      </c>
      <c r="M16" s="43" t="n">
        <v>0</v>
      </c>
      <c r="N16" s="43" t="n">
        <v>0</v>
      </c>
      <c r="O16" s="43" t="n">
        <v>0</v>
      </c>
      <c r="P16" s="43" t="n"/>
      <c r="Q16" s="43" t="n"/>
      <c r="R16" s="43">
        <f>(J16+K16+L16+M16+N16+O16)*$B$2</f>
        <v/>
      </c>
      <c r="S16" s="43" t="inlineStr">
        <is>
          <t>TOTAL NON MAINTENANCE CORPUS COLLECTION</t>
        </is>
      </c>
      <c r="T16" s="43" t="n"/>
    </row>
    <row r="17" ht="12.75" customHeight="1">
      <c r="A17" s="40" t="inlineStr">
        <is>
          <t>F12</t>
        </is>
      </c>
      <c r="B17" s="40">
        <f>VLOOKUP(A17,Members!$A$2:$B$65,2,FALSE)</f>
        <v/>
      </c>
      <c r="C17" s="41" t="n">
        <v>0</v>
      </c>
      <c r="D17" s="41">
        <f>SUM($C$3:$C$5)/64</f>
        <v/>
      </c>
      <c r="E17" s="41">
        <f>C17+D17</f>
        <v/>
      </c>
      <c r="F17" s="41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$T$11/64</f>
        <v/>
      </c>
      <c r="L17" s="41" t="n">
        <v>0</v>
      </c>
      <c r="M17" s="41" t="n">
        <v>0</v>
      </c>
      <c r="N17" s="41" t="n">
        <v>0</v>
      </c>
      <c r="O17" s="41" t="n">
        <v>0</v>
      </c>
      <c r="P17" s="41" t="n"/>
      <c r="Q17" s="41" t="n"/>
      <c r="R17" s="41">
        <f>(J17+K17+L17+M17+N17+O17)*$B$2</f>
        <v/>
      </c>
      <c r="S17" s="41" t="inlineStr">
        <is>
          <t>TOTAL FD DONE</t>
        </is>
      </c>
      <c r="T17" s="41" t="n"/>
    </row>
    <row r="18" ht="12.75" customHeight="1">
      <c r="A18" s="42" t="inlineStr">
        <is>
          <t>F13</t>
        </is>
      </c>
      <c r="B18" s="42">
        <f>VLOOKUP(A18,Members!$A$2:$B$65,2,FALSE)</f>
        <v/>
      </c>
      <c r="C18" s="43" t="n">
        <v>0</v>
      </c>
      <c r="D18" s="43">
        <f>SUM($C$3:$C$5)/64</f>
        <v/>
      </c>
      <c r="E18" s="43">
        <f>C18+D18</f>
        <v/>
      </c>
      <c r="F18" s="43">
        <f>IF($C$70=0, 0, E18/$C$70)</f>
        <v/>
      </c>
      <c r="G18" s="43">
        <f>F18*$T$5</f>
        <v/>
      </c>
      <c r="H18" s="43" t="n">
        <v>4</v>
      </c>
      <c r="I18" s="43">
        <f>$T$7*H18</f>
        <v/>
      </c>
      <c r="J18" s="43">
        <f>G18+$T$9+I18</f>
        <v/>
      </c>
      <c r="K18" s="43">
        <f>$T$11/64</f>
        <v/>
      </c>
      <c r="L18" s="43" t="n">
        <v>0</v>
      </c>
      <c r="M18" s="43" t="n">
        <v>0</v>
      </c>
      <c r="N18" s="43" t="n">
        <v>0</v>
      </c>
      <c r="O18" s="43" t="n">
        <v>0</v>
      </c>
      <c r="P18" s="43" t="n"/>
      <c r="Q18" s="43" t="n"/>
      <c r="R18" s="43">
        <f>(J18+K18+L18+M18+N18+O18)*$B$2</f>
        <v/>
      </c>
      <c r="S18" s="43" t="inlineStr">
        <is>
          <t>AMOUNT AVAILABLE FOR NON MAINTENANCE CORPUS IN CURRENT AC</t>
        </is>
      </c>
      <c r="T18" s="43">
        <f>T16-T17</f>
        <v/>
      </c>
    </row>
    <row r="19" ht="12.75" customHeight="1">
      <c r="A19" s="40" t="inlineStr">
        <is>
          <t>F14</t>
        </is>
      </c>
      <c r="B19" s="40">
        <f>VLOOKUP(A19,Members!$A$2:$B$65,2,FALSE)</f>
        <v/>
      </c>
      <c r="C19" s="41" t="n">
        <v>0</v>
      </c>
      <c r="D19" s="41">
        <f>SUM($C$3:$C$5)/64</f>
        <v/>
      </c>
      <c r="E19" s="41">
        <f>C19+D19</f>
        <v/>
      </c>
      <c r="F19" s="41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$T$11/64</f>
        <v/>
      </c>
      <c r="L19" s="41" t="n">
        <v>0</v>
      </c>
      <c r="M19" s="41" t="n">
        <v>0</v>
      </c>
      <c r="N19" s="41" t="n">
        <v>0</v>
      </c>
      <c r="O19" s="41" t="n">
        <v>0</v>
      </c>
      <c r="P19" s="41" t="n"/>
      <c r="Q19" s="41" t="n"/>
      <c r="R19" s="41">
        <f>(J19+K19+L19+M19+N19+O19)*$B$2</f>
        <v/>
      </c>
      <c r="S19" s="41" t="inlineStr">
        <is>
          <t>AMOUNT AVAILABLE FOR MAINTENANCE</t>
        </is>
      </c>
      <c r="T19" s="41">
        <f>T15-T18</f>
        <v/>
      </c>
    </row>
    <row r="20" ht="12.75" customHeight="1">
      <c r="A20" s="42" t="inlineStr">
        <is>
          <t>F15</t>
        </is>
      </c>
      <c r="B20" s="42">
        <f>VLOOKUP(A20,Members!$A$2:$B$65,2,FALSE)</f>
        <v/>
      </c>
      <c r="C20" s="43" t="n">
        <v>0</v>
      </c>
      <c r="D20" s="43">
        <f>SUM($C$3:$C$5)/64</f>
        <v/>
      </c>
      <c r="E20" s="43">
        <f>C20+D20</f>
        <v/>
      </c>
      <c r="F20" s="43">
        <f>IF($C$70=0, 0, E20/$C$70)</f>
        <v/>
      </c>
      <c r="G20" s="43">
        <f>F20*$T$5</f>
        <v/>
      </c>
      <c r="H20" s="43" t="n">
        <v>4</v>
      </c>
      <c r="I20" s="43">
        <f>$T$7*H20</f>
        <v/>
      </c>
      <c r="J20" s="43">
        <f>G20+$T$9+I20</f>
        <v/>
      </c>
      <c r="K20" s="43">
        <f>$T$11/64</f>
        <v/>
      </c>
      <c r="L20" s="43" t="n">
        <v>0</v>
      </c>
      <c r="M20" s="43" t="n">
        <v>0</v>
      </c>
      <c r="N20" s="43" t="n">
        <v>0</v>
      </c>
      <c r="O20" s="43" t="n">
        <v>0</v>
      </c>
      <c r="P20" s="43" t="n"/>
      <c r="Q20" s="43" t="n"/>
      <c r="R20" s="43">
        <f>(J20+K20+L20+M20+N20+O20)*$B$2</f>
        <v/>
      </c>
      <c r="S20" s="43" t="inlineStr">
        <is>
          <t>TOTAL EXPENSE FOR THE MONTH</t>
        </is>
      </c>
      <c r="T20" s="43">
        <f>'ANNUAL-EXPENSE-DETAILS'!AD8</f>
        <v/>
      </c>
    </row>
    <row r="21" ht="12.75" customHeight="1">
      <c r="A21" s="40" t="inlineStr">
        <is>
          <t>F16</t>
        </is>
      </c>
      <c r="B21" s="40">
        <f>VLOOKUP(A21,Members!$A$2:$B$65,2,FALSE)</f>
        <v/>
      </c>
      <c r="C21" s="41" t="n">
        <v>0</v>
      </c>
      <c r="D21" s="41">
        <f>SUM($C$3:$C$5)/64</f>
        <v/>
      </c>
      <c r="E21" s="41">
        <f>C21+D21</f>
        <v/>
      </c>
      <c r="F21" s="41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$T$11/64</f>
        <v/>
      </c>
      <c r="L21" s="41" t="n">
        <v>0</v>
      </c>
      <c r="M21" s="41" t="n">
        <v>0</v>
      </c>
      <c r="N21" s="41" t="n">
        <v>0</v>
      </c>
      <c r="O21" s="41" t="n">
        <v>0</v>
      </c>
      <c r="P21" s="41" t="n"/>
      <c r="Q21" s="41" t="n"/>
      <c r="R21" s="41">
        <f>(J21+K21+L21+M21+N21+O21)*$B$2</f>
        <v/>
      </c>
      <c r="S21" s="41" t="n"/>
      <c r="T21" s="41" t="n"/>
    </row>
    <row r="22" ht="12.75" customHeight="1">
      <c r="A22" s="42" t="inlineStr">
        <is>
          <t>G1</t>
        </is>
      </c>
      <c r="B22" s="42">
        <f>VLOOKUP(A22,Members!$A$2:$B$65,2,FALSE)</f>
        <v/>
      </c>
      <c r="C22" s="43" t="n">
        <v>0</v>
      </c>
      <c r="D22" s="43">
        <f>SUM($C$3:$C$5)/64</f>
        <v/>
      </c>
      <c r="E22" s="43">
        <f>C22+D22</f>
        <v/>
      </c>
      <c r="F22" s="43">
        <f>IF($C$70=0, 0, E22/$C$70)</f>
        <v/>
      </c>
      <c r="G22" s="43">
        <f>F22*$T$5</f>
        <v/>
      </c>
      <c r="H22" s="43" t="n">
        <v>3</v>
      </c>
      <c r="I22" s="43">
        <f>$T$7*H22</f>
        <v/>
      </c>
      <c r="J22" s="43">
        <f>G22+$T$9+I22</f>
        <v/>
      </c>
      <c r="K22" s="43">
        <f>$T$11/64</f>
        <v/>
      </c>
      <c r="L22" s="43" t="n">
        <v>0</v>
      </c>
      <c r="M22" s="43" t="n">
        <v>0</v>
      </c>
      <c r="N22" s="43" t="n">
        <v>0</v>
      </c>
      <c r="O22" s="43" t="n">
        <v>0</v>
      </c>
      <c r="P22" s="43" t="n"/>
      <c r="Q22" s="43" t="n"/>
      <c r="R22" s="43">
        <f>(J22+K22+L22+M22+N22+O22)*$B$2</f>
        <v/>
      </c>
      <c r="S22" s="43" t="n"/>
      <c r="T22" s="43" t="n"/>
    </row>
    <row r="23" ht="12.75" customHeight="1">
      <c r="A23" s="40" t="inlineStr">
        <is>
          <t>G2</t>
        </is>
      </c>
      <c r="B23" s="40">
        <f>VLOOKUP(A23,Members!$A$2:$B$65,2,FALSE)</f>
        <v/>
      </c>
      <c r="C23" s="41" t="n">
        <v>0</v>
      </c>
      <c r="D23" s="41">
        <f>SUM($C$3:$C$5)/64</f>
        <v/>
      </c>
      <c r="E23" s="41">
        <f>C23+D23</f>
        <v/>
      </c>
      <c r="F23" s="41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$T$11/64</f>
        <v/>
      </c>
      <c r="L23" s="41" t="n">
        <v>0</v>
      </c>
      <c r="M23" s="41" t="n">
        <v>0</v>
      </c>
      <c r="N23" s="41" t="n">
        <v>0</v>
      </c>
      <c r="O23" s="41" t="n">
        <v>0</v>
      </c>
      <c r="P23" s="41" t="n"/>
      <c r="Q23" s="41" t="n"/>
      <c r="R23" s="41">
        <f>(J23+K23+L23+M23+N23+O23)*$B$2</f>
        <v/>
      </c>
      <c r="S23" s="41" t="n"/>
      <c r="T23" s="41" t="n"/>
    </row>
    <row r="24" ht="12.75" customHeight="1">
      <c r="A24" s="42" t="inlineStr">
        <is>
          <t>G3</t>
        </is>
      </c>
      <c r="B24" s="42">
        <f>VLOOKUP(A24,Members!$A$2:$B$65,2,FALSE)</f>
        <v/>
      </c>
      <c r="C24" s="43" t="n">
        <v>0</v>
      </c>
      <c r="D24" s="43">
        <f>SUM($C$3:$C$5)/64</f>
        <v/>
      </c>
      <c r="E24" s="43">
        <f>C24+D24</f>
        <v/>
      </c>
      <c r="F24" s="43">
        <f>IF($C$70=0, 0, E24/$C$70)</f>
        <v/>
      </c>
      <c r="G24" s="43">
        <f>F24*$T$5</f>
        <v/>
      </c>
      <c r="H24" s="43" t="n">
        <v>4</v>
      </c>
      <c r="I24" s="43">
        <f>$T$7*H24</f>
        <v/>
      </c>
      <c r="J24" s="43">
        <f>G24+$T$9+I24</f>
        <v/>
      </c>
      <c r="K24" s="43">
        <f>$T$11/64</f>
        <v/>
      </c>
      <c r="L24" s="43" t="n">
        <v>0</v>
      </c>
      <c r="M24" s="43" t="n">
        <v>0</v>
      </c>
      <c r="N24" s="43" t="n">
        <v>0</v>
      </c>
      <c r="O24" s="43" t="n">
        <v>0</v>
      </c>
      <c r="P24" s="43" t="n"/>
      <c r="Q24" s="43" t="n"/>
      <c r="R24" s="43">
        <f>(J24+K24+L24+M24+N24+O24)*$B$2</f>
        <v/>
      </c>
      <c r="S24" s="43" t="n"/>
      <c r="T24" s="43" t="n"/>
    </row>
    <row r="25" ht="12.75" customHeight="1">
      <c r="A25" s="40" t="inlineStr">
        <is>
          <t>G4</t>
        </is>
      </c>
      <c r="B25" s="40">
        <f>VLOOKUP(A25,Members!$A$2:$B$65,2,FALSE)</f>
        <v/>
      </c>
      <c r="C25" s="41" t="n">
        <v>0</v>
      </c>
      <c r="D25" s="41">
        <f>SUM($C$3:$C$5)/64</f>
        <v/>
      </c>
      <c r="E25" s="41">
        <f>C25+D25</f>
        <v/>
      </c>
      <c r="F25" s="41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$T$11/64</f>
        <v/>
      </c>
      <c r="L25" s="41" t="n">
        <v>0</v>
      </c>
      <c r="M25" s="41" t="n">
        <v>0</v>
      </c>
      <c r="N25" s="41" t="n">
        <v>0</v>
      </c>
      <c r="O25" s="41" t="n">
        <v>0</v>
      </c>
      <c r="P25" s="41" t="n"/>
      <c r="Q25" s="41" t="n"/>
      <c r="R25" s="41">
        <f>(J25+K25+L25+M25+N25+O25)*$B$2</f>
        <v/>
      </c>
      <c r="S25" s="41" t="n"/>
      <c r="T25" s="41" t="n"/>
    </row>
    <row r="26" ht="12.75" customHeight="1">
      <c r="A26" s="42" t="inlineStr">
        <is>
          <t>G5</t>
        </is>
      </c>
      <c r="B26" s="42">
        <f>VLOOKUP(A26,Members!$A$2:$B$65,2,FALSE)</f>
        <v/>
      </c>
      <c r="C26" s="43" t="n">
        <v>0</v>
      </c>
      <c r="D26" s="43">
        <f>SUM($C$3:$C$5)/64</f>
        <v/>
      </c>
      <c r="E26" s="43">
        <f>C26+D26</f>
        <v/>
      </c>
      <c r="F26" s="43">
        <f>IF($C$70=0, 0, E26/$C$70)</f>
        <v/>
      </c>
      <c r="G26" s="43">
        <f>F26*$T$5</f>
        <v/>
      </c>
      <c r="H26" s="43" t="n">
        <v>3</v>
      </c>
      <c r="I26" s="43">
        <f>$T$7*H26</f>
        <v/>
      </c>
      <c r="J26" s="43">
        <f>G26+$T$9+I26</f>
        <v/>
      </c>
      <c r="K26" s="43">
        <f>$T$11/64</f>
        <v/>
      </c>
      <c r="L26" s="43" t="n">
        <v>0</v>
      </c>
      <c r="M26" s="43" t="n">
        <v>0</v>
      </c>
      <c r="N26" s="43" t="n">
        <v>0</v>
      </c>
      <c r="O26" s="43" t="n">
        <v>0</v>
      </c>
      <c r="P26" s="43" t="n"/>
      <c r="Q26" s="43" t="n"/>
      <c r="R26" s="43">
        <f>(J26+K26+L26+M26+N26+O26)*$B$2</f>
        <v/>
      </c>
      <c r="S26" s="43" t="n"/>
      <c r="T26" s="43" t="n"/>
    </row>
    <row r="27" ht="12.75" customHeight="1">
      <c r="A27" s="40" t="inlineStr">
        <is>
          <t>G6</t>
        </is>
      </c>
      <c r="B27" s="40">
        <f>VLOOKUP(A27,Members!$A$2:$B$65,2,FALSE)</f>
        <v/>
      </c>
      <c r="C27" s="41" t="n">
        <v>0</v>
      </c>
      <c r="D27" s="41">
        <f>SUM($C$3:$C$5)/64</f>
        <v/>
      </c>
      <c r="E27" s="41">
        <f>C27+D27</f>
        <v/>
      </c>
      <c r="F27" s="41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$T$11/64</f>
        <v/>
      </c>
      <c r="L27" s="41" t="n">
        <v>0</v>
      </c>
      <c r="M27" s="41" t="n">
        <v>0</v>
      </c>
      <c r="N27" s="41" t="n">
        <v>0</v>
      </c>
      <c r="O27" s="41" t="n">
        <v>0</v>
      </c>
      <c r="P27" s="41" t="n"/>
      <c r="Q27" s="41" t="n"/>
      <c r="R27" s="41">
        <f>(J27+K27+L27+M27+N27+O27)*$B$2</f>
        <v/>
      </c>
      <c r="S27" s="41" t="n"/>
      <c r="T27" s="41" t="n"/>
    </row>
    <row r="28" ht="12.75" customHeight="1">
      <c r="A28" s="42" t="inlineStr">
        <is>
          <t>G7</t>
        </is>
      </c>
      <c r="B28" s="42">
        <f>VLOOKUP(A28,Members!$A$2:$B$65,2,FALSE)</f>
        <v/>
      </c>
      <c r="C28" s="43" t="n">
        <v>0</v>
      </c>
      <c r="D28" s="43">
        <f>SUM($C$3:$C$5)/64</f>
        <v/>
      </c>
      <c r="E28" s="43">
        <f>C28+D28</f>
        <v/>
      </c>
      <c r="F28" s="43">
        <f>IF($C$70=0, 0, E28/$C$70)</f>
        <v/>
      </c>
      <c r="G28" s="43">
        <f>F28*$T$5</f>
        <v/>
      </c>
      <c r="H28" s="43" t="n">
        <v>3</v>
      </c>
      <c r="I28" s="43">
        <f>$T$7*H28</f>
        <v/>
      </c>
      <c r="J28" s="43">
        <f>G28+$T$9+I28</f>
        <v/>
      </c>
      <c r="K28" s="43">
        <f>$T$11/64</f>
        <v/>
      </c>
      <c r="L28" s="43" t="n">
        <v>0</v>
      </c>
      <c r="M28" s="43" t="n">
        <v>0</v>
      </c>
      <c r="N28" s="43" t="n">
        <v>0</v>
      </c>
      <c r="O28" s="43" t="n">
        <v>0</v>
      </c>
      <c r="P28" s="43" t="n"/>
      <c r="Q28" s="43" t="n"/>
      <c r="R28" s="43">
        <f>(J28+K28+L28+M28+N28+O28)*$B$2</f>
        <v/>
      </c>
      <c r="S28" s="43" t="n"/>
      <c r="T28" s="43" t="n"/>
    </row>
    <row r="29" ht="12.75" customHeight="1">
      <c r="A29" s="40" t="inlineStr">
        <is>
          <t>G8</t>
        </is>
      </c>
      <c r="B29" s="40">
        <f>VLOOKUP(A29,Members!$A$2:$B$65,2,FALSE)</f>
        <v/>
      </c>
      <c r="C29" s="41" t="n">
        <v>0</v>
      </c>
      <c r="D29" s="41">
        <f>SUM($C$3:$C$5)/64</f>
        <v/>
      </c>
      <c r="E29" s="41">
        <f>C29+D29</f>
        <v/>
      </c>
      <c r="F29" s="41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$T$11/64</f>
        <v/>
      </c>
      <c r="L29" s="41" t="n">
        <v>0</v>
      </c>
      <c r="M29" s="41" t="n">
        <v>0</v>
      </c>
      <c r="N29" s="41" t="n">
        <v>0</v>
      </c>
      <c r="O29" s="41" t="n">
        <v>0</v>
      </c>
      <c r="P29" s="41" t="n"/>
      <c r="Q29" s="41" t="n"/>
      <c r="R29" s="41">
        <f>(J29+K29+L29+M29+N29+O29)*$B$2</f>
        <v/>
      </c>
      <c r="S29" s="41" t="n"/>
      <c r="T29" s="41" t="n"/>
    </row>
    <row r="30" ht="12.75" customHeight="1">
      <c r="A30" s="42" t="inlineStr">
        <is>
          <t>G9</t>
        </is>
      </c>
      <c r="B30" s="42">
        <f>VLOOKUP(A30,Members!$A$2:$B$65,2,FALSE)</f>
        <v/>
      </c>
      <c r="C30" s="43" t="n">
        <v>0</v>
      </c>
      <c r="D30" s="43">
        <f>SUM($C$3:$C$5)/64</f>
        <v/>
      </c>
      <c r="E30" s="43">
        <f>C30+D30</f>
        <v/>
      </c>
      <c r="F30" s="43">
        <f>IF($C$70=0, 0, E30/$C$70)</f>
        <v/>
      </c>
      <c r="G30" s="43">
        <f>F30*$T$5</f>
        <v/>
      </c>
      <c r="H30" s="43" t="n">
        <v>5</v>
      </c>
      <c r="I30" s="43">
        <f>$T$7*H30</f>
        <v/>
      </c>
      <c r="J30" s="43">
        <f>G30+$T$9+I30</f>
        <v/>
      </c>
      <c r="K30" s="43">
        <f>$T$11/64</f>
        <v/>
      </c>
      <c r="L30" s="43" t="n">
        <v>0</v>
      </c>
      <c r="M30" s="43" t="n">
        <v>0</v>
      </c>
      <c r="N30" s="43" t="n">
        <v>0</v>
      </c>
      <c r="O30" s="43" t="n">
        <v>0</v>
      </c>
      <c r="P30" s="43" t="n"/>
      <c r="Q30" s="43" t="n"/>
      <c r="R30" s="43">
        <f>(J30+K30+L30+M30+N30+O30)*$B$2</f>
        <v/>
      </c>
      <c r="S30" s="43" t="n"/>
      <c r="T30" s="43" t="n"/>
    </row>
    <row r="31" ht="12.75" customHeight="1">
      <c r="A31" s="40" t="inlineStr">
        <is>
          <t>G10</t>
        </is>
      </c>
      <c r="B31" s="40">
        <f>VLOOKUP(A31,Members!$A$2:$B$65,2,FALSE)</f>
        <v/>
      </c>
      <c r="C31" s="41" t="n">
        <v>0</v>
      </c>
      <c r="D31" s="41">
        <f>SUM($C$3:$C$5)/64</f>
        <v/>
      </c>
      <c r="E31" s="41">
        <f>C31+D31</f>
        <v/>
      </c>
      <c r="F31" s="41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$T$11/64</f>
        <v/>
      </c>
      <c r="L31" s="41" t="n">
        <v>0</v>
      </c>
      <c r="M31" s="41" t="n">
        <v>0</v>
      </c>
      <c r="N31" s="41" t="n">
        <v>0</v>
      </c>
      <c r="O31" s="41" t="n">
        <v>0</v>
      </c>
      <c r="P31" s="41" t="n"/>
      <c r="Q31" s="41" t="n"/>
      <c r="R31" s="41">
        <f>(J31+K31+L31+M31+N31+O31)*$B$2</f>
        <v/>
      </c>
      <c r="S31" s="41" t="n"/>
      <c r="T31" s="41" t="n"/>
    </row>
    <row r="32" ht="12.75" customHeight="1">
      <c r="A32" s="42" t="inlineStr">
        <is>
          <t>G11</t>
        </is>
      </c>
      <c r="B32" s="42">
        <f>VLOOKUP(A32,Members!$A$2:$B$65,2,FALSE)</f>
        <v/>
      </c>
      <c r="C32" s="43" t="n">
        <v>0</v>
      </c>
      <c r="D32" s="43">
        <f>SUM($C$3:$C$5)/64</f>
        <v/>
      </c>
      <c r="E32" s="43">
        <f>C32+D32</f>
        <v/>
      </c>
      <c r="F32" s="43">
        <f>IF($C$70=0, 0, E32/$C$70)</f>
        <v/>
      </c>
      <c r="G32" s="43">
        <f>F32*$T$5</f>
        <v/>
      </c>
      <c r="H32" s="43" t="n">
        <v>3</v>
      </c>
      <c r="I32" s="43">
        <f>$T$7*H32</f>
        <v/>
      </c>
      <c r="J32" s="43">
        <f>G32+$T$9+I32</f>
        <v/>
      </c>
      <c r="K32" s="43">
        <f>$T$11/64</f>
        <v/>
      </c>
      <c r="L32" s="43" t="n">
        <v>0</v>
      </c>
      <c r="M32" s="43" t="n">
        <v>0</v>
      </c>
      <c r="N32" s="43" t="n">
        <v>0</v>
      </c>
      <c r="O32" s="43" t="n">
        <v>0</v>
      </c>
      <c r="P32" s="43" t="n"/>
      <c r="Q32" s="43" t="n"/>
      <c r="R32" s="43">
        <f>(J32+K32+L32+M32+N32+O32)*$B$2</f>
        <v/>
      </c>
      <c r="S32" s="43" t="n"/>
      <c r="T32" s="43" t="n"/>
    </row>
    <row r="33" ht="12.75" customHeight="1">
      <c r="A33" s="40" t="inlineStr">
        <is>
          <t>G12</t>
        </is>
      </c>
      <c r="B33" s="40">
        <f>VLOOKUP(A33,Members!$A$2:$B$65,2,FALSE)</f>
        <v/>
      </c>
      <c r="C33" s="41" t="n">
        <v>0</v>
      </c>
      <c r="D33" s="41">
        <f>SUM($C$3:$C$5)/64</f>
        <v/>
      </c>
      <c r="E33" s="41">
        <f>C33+D33</f>
        <v/>
      </c>
      <c r="F33" s="41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$T$11/64</f>
        <v/>
      </c>
      <c r="L33" s="41" t="n">
        <v>0</v>
      </c>
      <c r="M33" s="41" t="n">
        <v>0</v>
      </c>
      <c r="N33" s="41" t="n">
        <v>0</v>
      </c>
      <c r="O33" s="41" t="n">
        <v>0</v>
      </c>
      <c r="P33" s="41" t="n"/>
      <c r="Q33" s="41" t="n"/>
      <c r="R33" s="41">
        <f>(J33+K33+L33+M33+N33+O33)*$B$2</f>
        <v/>
      </c>
      <c r="S33" s="41" t="n"/>
      <c r="T33" s="41" t="n"/>
    </row>
    <row r="34" ht="12.75" customHeight="1">
      <c r="A34" s="42" t="inlineStr">
        <is>
          <t>G13</t>
        </is>
      </c>
      <c r="B34" s="42">
        <f>VLOOKUP(A34,Members!$A$2:$B$65,2,FALSE)</f>
        <v/>
      </c>
      <c r="C34" s="43" t="n">
        <v>0</v>
      </c>
      <c r="D34" s="43">
        <f>SUM($C$3:$C$5)/64</f>
        <v/>
      </c>
      <c r="E34" s="43">
        <f>C34+D34</f>
        <v/>
      </c>
      <c r="F34" s="43">
        <f>IF($C$70=0, 0, E34/$C$70)</f>
        <v/>
      </c>
      <c r="G34" s="43">
        <f>F34*$T$5</f>
        <v/>
      </c>
      <c r="H34" s="43" t="n">
        <v>4</v>
      </c>
      <c r="I34" s="43">
        <f>$T$7*H34</f>
        <v/>
      </c>
      <c r="J34" s="43">
        <f>G34+$T$9+I34</f>
        <v/>
      </c>
      <c r="K34" s="43">
        <f>$T$11/64</f>
        <v/>
      </c>
      <c r="L34" s="43" t="n">
        <v>0</v>
      </c>
      <c r="M34" s="43" t="n">
        <v>0</v>
      </c>
      <c r="N34" s="43" t="n">
        <v>0</v>
      </c>
      <c r="O34" s="43" t="n">
        <v>0</v>
      </c>
      <c r="P34" s="43" t="n"/>
      <c r="Q34" s="43" t="n"/>
      <c r="R34" s="43">
        <f>(J34+K34+L34+M34+N34+O34)*$B$2</f>
        <v/>
      </c>
      <c r="S34" s="43" t="n"/>
      <c r="T34" s="43" t="n"/>
    </row>
    <row r="35" ht="12.75" customHeight="1">
      <c r="A35" s="40" t="inlineStr">
        <is>
          <t>G14</t>
        </is>
      </c>
      <c r="B35" s="40">
        <f>VLOOKUP(A35,Members!$A$2:$B$65,2,FALSE)</f>
        <v/>
      </c>
      <c r="C35" s="41" t="n">
        <v>0</v>
      </c>
      <c r="D35" s="41">
        <f>SUM($C$3:$C$5)/64</f>
        <v/>
      </c>
      <c r="E35" s="41">
        <f>C35+D35</f>
        <v/>
      </c>
      <c r="F35" s="41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$T$11/64</f>
        <v/>
      </c>
      <c r="L35" s="41" t="n">
        <v>0</v>
      </c>
      <c r="M35" s="41" t="n">
        <v>0</v>
      </c>
      <c r="N35" s="41" t="n">
        <v>0</v>
      </c>
      <c r="O35" s="41" t="n">
        <v>0</v>
      </c>
      <c r="P35" s="41" t="n"/>
      <c r="Q35" s="41" t="n"/>
      <c r="R35" s="41">
        <f>(J35+K35+L35+M35+N35+O35)*$B$2</f>
        <v/>
      </c>
      <c r="S35" s="41" t="n"/>
      <c r="T35" s="41" t="n"/>
    </row>
    <row r="36" ht="12.75" customHeight="1">
      <c r="A36" s="42" t="inlineStr">
        <is>
          <t>G15</t>
        </is>
      </c>
      <c r="B36" s="42">
        <f>VLOOKUP(A36,Members!$A$2:$B$65,2,FALSE)</f>
        <v/>
      </c>
      <c r="C36" s="43" t="n">
        <v>0</v>
      </c>
      <c r="D36" s="43">
        <f>SUM($C$3:$C$5)/64</f>
        <v/>
      </c>
      <c r="E36" s="43">
        <f>C36+D36</f>
        <v/>
      </c>
      <c r="F36" s="43">
        <f>IF($C$70=0, 0, E36/$C$70)</f>
        <v/>
      </c>
      <c r="G36" s="43">
        <f>F36*$T$5</f>
        <v/>
      </c>
      <c r="H36" s="43" t="n">
        <v>4</v>
      </c>
      <c r="I36" s="43">
        <f>$T$7*H36</f>
        <v/>
      </c>
      <c r="J36" s="43">
        <f>G36+$T$9+I36</f>
        <v/>
      </c>
      <c r="K36" s="43">
        <f>$T$11/64</f>
        <v/>
      </c>
      <c r="L36" s="43" t="n">
        <v>0</v>
      </c>
      <c r="M36" s="43" t="n">
        <v>0</v>
      </c>
      <c r="N36" s="43" t="n">
        <v>0</v>
      </c>
      <c r="O36" s="43" t="n">
        <v>0</v>
      </c>
      <c r="P36" s="43" t="n"/>
      <c r="Q36" s="43" t="n"/>
      <c r="R36" s="43">
        <f>(J36+K36+L36+M36+N36+O36)*$B$2</f>
        <v/>
      </c>
      <c r="S36" s="43" t="n"/>
      <c r="T36" s="43" t="n"/>
    </row>
    <row r="37" ht="12.75" customHeight="1">
      <c r="A37" s="40" t="inlineStr">
        <is>
          <t>G16</t>
        </is>
      </c>
      <c r="B37" s="40">
        <f>VLOOKUP(A37,Members!$A$2:$B$65,2,FALSE)</f>
        <v/>
      </c>
      <c r="C37" s="41" t="n">
        <v>0</v>
      </c>
      <c r="D37" s="41">
        <f>SUM($C$3:$C$5)/64</f>
        <v/>
      </c>
      <c r="E37" s="41">
        <f>C37+D37</f>
        <v/>
      </c>
      <c r="F37" s="41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$T$11/64</f>
        <v/>
      </c>
      <c r="L37" s="41" t="n">
        <v>0</v>
      </c>
      <c r="M37" s="41" t="n">
        <v>0</v>
      </c>
      <c r="N37" s="41" t="n">
        <v>0</v>
      </c>
      <c r="O37" s="41" t="n">
        <v>0</v>
      </c>
      <c r="P37" s="41" t="n"/>
      <c r="Q37" s="41" t="n"/>
      <c r="R37" s="41">
        <f>(J37+K37+L37+M37+N37+O37)*$B$2</f>
        <v/>
      </c>
      <c r="S37" s="41" t="n"/>
      <c r="T37" s="41" t="n"/>
    </row>
    <row r="38" ht="12.75" customHeight="1">
      <c r="A38" s="42" t="inlineStr">
        <is>
          <t>S1</t>
        </is>
      </c>
      <c r="B38" s="42">
        <f>VLOOKUP(A38,Members!$A$2:$B$65,2,FALSE)</f>
        <v/>
      </c>
      <c r="C38" s="43" t="n">
        <v>0</v>
      </c>
      <c r="D38" s="43">
        <f>SUM($C$3:$C$5)/64</f>
        <v/>
      </c>
      <c r="E38" s="43">
        <f>C38+D38</f>
        <v/>
      </c>
      <c r="F38" s="43">
        <f>IF($C$70=0, 0, E38/$C$70)</f>
        <v/>
      </c>
      <c r="G38" s="43">
        <f>F38*$T$5</f>
        <v/>
      </c>
      <c r="H38" s="43" t="n">
        <v>3</v>
      </c>
      <c r="I38" s="43">
        <f>$T$7*H38</f>
        <v/>
      </c>
      <c r="J38" s="43">
        <f>G38+$T$9+I38</f>
        <v/>
      </c>
      <c r="K38" s="43">
        <f>$T$11/64</f>
        <v/>
      </c>
      <c r="L38" s="43" t="n">
        <v>0</v>
      </c>
      <c r="M38" s="43" t="n">
        <v>0</v>
      </c>
      <c r="N38" s="43" t="n">
        <v>0</v>
      </c>
      <c r="O38" s="43" t="n">
        <v>0</v>
      </c>
      <c r="P38" s="43" t="n"/>
      <c r="Q38" s="43" t="n"/>
      <c r="R38" s="43">
        <f>(J38+K38+L38+M38+N38+O38)*$B$2</f>
        <v/>
      </c>
      <c r="S38" s="43" t="n"/>
      <c r="T38" s="43" t="n"/>
    </row>
    <row r="39" ht="12.75" customHeight="1">
      <c r="A39" s="40" t="inlineStr">
        <is>
          <t>S2</t>
        </is>
      </c>
      <c r="B39" s="40">
        <f>VLOOKUP(A39,Members!$A$2:$B$65,2,FALSE)</f>
        <v/>
      </c>
      <c r="C39" s="41" t="n">
        <v>0</v>
      </c>
      <c r="D39" s="41">
        <f>SUM($C$3:$C$5)/64</f>
        <v/>
      </c>
      <c r="E39" s="41">
        <f>C39+D39</f>
        <v/>
      </c>
      <c r="F39" s="41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$T$11/64</f>
        <v/>
      </c>
      <c r="L39" s="41" t="n">
        <v>0</v>
      </c>
      <c r="M39" s="41" t="n">
        <v>0</v>
      </c>
      <c r="N39" s="41" t="n">
        <v>0</v>
      </c>
      <c r="O39" s="41" t="n">
        <v>0</v>
      </c>
      <c r="P39" s="41" t="n"/>
      <c r="Q39" s="41" t="n"/>
      <c r="R39" s="41">
        <f>(J39+K39+L39+M39+N39+O39)*$B$2</f>
        <v/>
      </c>
      <c r="S39" s="41" t="n"/>
      <c r="T39" s="41" t="n"/>
    </row>
    <row r="40" ht="12.75" customHeight="1">
      <c r="A40" s="42" t="inlineStr">
        <is>
          <t>S3</t>
        </is>
      </c>
      <c r="B40" s="42">
        <f>VLOOKUP(A40,Members!$A$2:$B$65,2,FALSE)</f>
        <v/>
      </c>
      <c r="C40" s="43" t="n">
        <v>0</v>
      </c>
      <c r="D40" s="43">
        <f>SUM($C$3:$C$5)/64</f>
        <v/>
      </c>
      <c r="E40" s="43">
        <f>C40+D40</f>
        <v/>
      </c>
      <c r="F40" s="43">
        <f>IF($C$70=0, 0, E40/$C$70)</f>
        <v/>
      </c>
      <c r="G40" s="43">
        <f>F40*$T$5</f>
        <v/>
      </c>
      <c r="H40" s="43" t="n">
        <v>4</v>
      </c>
      <c r="I40" s="43">
        <f>$T$7*H40</f>
        <v/>
      </c>
      <c r="J40" s="43">
        <f>G40+$T$9+I40</f>
        <v/>
      </c>
      <c r="K40" s="43">
        <f>$T$11/64</f>
        <v/>
      </c>
      <c r="L40" s="43" t="n">
        <v>0</v>
      </c>
      <c r="M40" s="43" t="n">
        <v>0</v>
      </c>
      <c r="N40" s="43" t="n">
        <v>0</v>
      </c>
      <c r="O40" s="43" t="n">
        <v>0</v>
      </c>
      <c r="P40" s="43" t="n"/>
      <c r="Q40" s="43" t="n"/>
      <c r="R40" s="43">
        <f>(J40+K40+L40+M40+N40+O40)*$B$2</f>
        <v/>
      </c>
      <c r="S40" s="43" t="n"/>
      <c r="T40" s="43" t="n"/>
    </row>
    <row r="41" ht="12.75" customHeight="1">
      <c r="A41" s="40" t="inlineStr">
        <is>
          <t>S4</t>
        </is>
      </c>
      <c r="B41" s="40">
        <f>VLOOKUP(A41,Members!$A$2:$B$65,2,FALSE)</f>
        <v/>
      </c>
      <c r="C41" s="41" t="n">
        <v>0</v>
      </c>
      <c r="D41" s="41">
        <f>SUM($C$3:$C$5)/64</f>
        <v/>
      </c>
      <c r="E41" s="41">
        <f>C41+D41</f>
        <v/>
      </c>
      <c r="F41" s="41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$T$11/64</f>
        <v/>
      </c>
      <c r="L41" s="41" t="n">
        <v>0</v>
      </c>
      <c r="M41" s="41" t="n">
        <v>0</v>
      </c>
      <c r="N41" s="41" t="n">
        <v>0</v>
      </c>
      <c r="O41" s="41" t="n">
        <v>0</v>
      </c>
      <c r="P41" s="41" t="n"/>
      <c r="Q41" s="41" t="n"/>
      <c r="R41" s="41">
        <f>(J41+K41+L41+M41+N41+O41)*$B$2</f>
        <v/>
      </c>
      <c r="S41" s="41" t="n"/>
      <c r="T41" s="41" t="n"/>
    </row>
    <row r="42" ht="12.75" customHeight="1">
      <c r="A42" s="42" t="inlineStr">
        <is>
          <t>S5</t>
        </is>
      </c>
      <c r="B42" s="42">
        <f>VLOOKUP(A42,Members!$A$2:$B$65,2,FALSE)</f>
        <v/>
      </c>
      <c r="C42" s="43" t="n">
        <v>0</v>
      </c>
      <c r="D42" s="43">
        <f>SUM($C$3:$C$5)/64</f>
        <v/>
      </c>
      <c r="E42" s="43">
        <f>C42+D42</f>
        <v/>
      </c>
      <c r="F42" s="43">
        <f>IF($C$70=0, 0, E42/$C$70)</f>
        <v/>
      </c>
      <c r="G42" s="43">
        <f>F42*$T$5</f>
        <v/>
      </c>
      <c r="H42" s="43" t="n">
        <v>3</v>
      </c>
      <c r="I42" s="43">
        <f>$T$7*H42</f>
        <v/>
      </c>
      <c r="J42" s="43">
        <f>G42+$T$9+I42</f>
        <v/>
      </c>
      <c r="K42" s="43">
        <f>$T$11/64</f>
        <v/>
      </c>
      <c r="L42" s="43" t="n">
        <v>0</v>
      </c>
      <c r="M42" s="43" t="n">
        <v>0</v>
      </c>
      <c r="N42" s="43" t="n">
        <v>0</v>
      </c>
      <c r="O42" s="43" t="n">
        <v>0</v>
      </c>
      <c r="P42" s="43" t="n"/>
      <c r="Q42" s="43" t="n"/>
      <c r="R42" s="43">
        <f>(J42+K42+L42+M42+N42+O42)*$B$2</f>
        <v/>
      </c>
      <c r="S42" s="43" t="n"/>
      <c r="T42" s="43" t="n"/>
    </row>
    <row r="43" ht="12.75" customHeight="1">
      <c r="A43" s="40" t="inlineStr">
        <is>
          <t>S6</t>
        </is>
      </c>
      <c r="B43" s="40">
        <f>VLOOKUP(A43,Members!$A$2:$B$65,2,FALSE)</f>
        <v/>
      </c>
      <c r="C43" s="41" t="n">
        <v>0</v>
      </c>
      <c r="D43" s="41">
        <f>SUM($C$3:$C$5)/64</f>
        <v/>
      </c>
      <c r="E43" s="41">
        <f>C43+D43</f>
        <v/>
      </c>
      <c r="F43" s="41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$T$11/64</f>
        <v/>
      </c>
      <c r="L43" s="41" t="n">
        <v>0</v>
      </c>
      <c r="M43" s="41" t="n">
        <v>0</v>
      </c>
      <c r="N43" s="41" t="n">
        <v>0</v>
      </c>
      <c r="O43" s="41" t="n">
        <v>0</v>
      </c>
      <c r="P43" s="41" t="n"/>
      <c r="Q43" s="41" t="n"/>
      <c r="R43" s="41">
        <f>(J43+K43+L43+M43+N43+O43)*$B$2</f>
        <v/>
      </c>
      <c r="S43" s="41" t="n"/>
      <c r="T43" s="41" t="n"/>
    </row>
    <row r="44" ht="12.75" customHeight="1">
      <c r="A44" s="42" t="inlineStr">
        <is>
          <t>S7</t>
        </is>
      </c>
      <c r="B44" s="42">
        <f>VLOOKUP(A44,Members!$A$2:$B$65,2,FALSE)</f>
        <v/>
      </c>
      <c r="C44" s="43" t="n">
        <v>0</v>
      </c>
      <c r="D44" s="43">
        <f>SUM($C$3:$C$5)/64</f>
        <v/>
      </c>
      <c r="E44" s="43">
        <f>C44+D44</f>
        <v/>
      </c>
      <c r="F44" s="43">
        <f>IF($C$70=0, 0, E44/$C$70)</f>
        <v/>
      </c>
      <c r="G44" s="43">
        <f>F44*$T$5</f>
        <v/>
      </c>
      <c r="H44" s="43" t="n">
        <v>3</v>
      </c>
      <c r="I44" s="43">
        <f>$T$7*H44</f>
        <v/>
      </c>
      <c r="J44" s="43">
        <f>G44+$T$9+I44</f>
        <v/>
      </c>
      <c r="K44" s="43">
        <f>$T$11/64</f>
        <v/>
      </c>
      <c r="L44" s="43" t="n">
        <v>0</v>
      </c>
      <c r="M44" s="43" t="n">
        <v>0</v>
      </c>
      <c r="N44" s="43" t="n">
        <v>0</v>
      </c>
      <c r="O44" s="43" t="n">
        <v>0</v>
      </c>
      <c r="P44" s="43" t="n"/>
      <c r="Q44" s="43" t="n"/>
      <c r="R44" s="43">
        <f>(J44+K44+L44+M44+N44+O44)*$B$2</f>
        <v/>
      </c>
      <c r="S44" s="43" t="n"/>
      <c r="T44" s="43" t="n"/>
    </row>
    <row r="45" ht="12.75" customHeight="1">
      <c r="A45" s="40" t="inlineStr">
        <is>
          <t>S8</t>
        </is>
      </c>
      <c r="B45" s="40">
        <f>VLOOKUP(A45,Members!$A$2:$B$65,2,FALSE)</f>
        <v/>
      </c>
      <c r="C45" s="41" t="n">
        <v>0</v>
      </c>
      <c r="D45" s="41">
        <f>SUM($C$3:$C$5)/64</f>
        <v/>
      </c>
      <c r="E45" s="41">
        <f>C45+D45</f>
        <v/>
      </c>
      <c r="F45" s="41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$T$11/64</f>
        <v/>
      </c>
      <c r="L45" s="41" t="n">
        <v>0</v>
      </c>
      <c r="M45" s="41" t="n">
        <v>0</v>
      </c>
      <c r="N45" s="41" t="n">
        <v>0</v>
      </c>
      <c r="O45" s="41" t="n">
        <v>0</v>
      </c>
      <c r="P45" s="41" t="n"/>
      <c r="Q45" s="41" t="n"/>
      <c r="R45" s="41">
        <f>(J45+K45+L45+M45+N45+O45)*$B$2</f>
        <v/>
      </c>
      <c r="S45" s="41" t="n"/>
      <c r="T45" s="41" t="n"/>
    </row>
    <row r="46" ht="12.75" customHeight="1">
      <c r="A46" s="42" t="inlineStr">
        <is>
          <t>S9</t>
        </is>
      </c>
      <c r="B46" s="42">
        <f>VLOOKUP(A46,Members!$A$2:$B$65,2,FALSE)</f>
        <v/>
      </c>
      <c r="C46" s="43" t="n">
        <v>0</v>
      </c>
      <c r="D46" s="43">
        <f>SUM($C$3:$C$5)/64</f>
        <v/>
      </c>
      <c r="E46" s="43">
        <f>C46+D46</f>
        <v/>
      </c>
      <c r="F46" s="43">
        <f>IF($C$70=0, 0, E46/$C$70)</f>
        <v/>
      </c>
      <c r="G46" s="43">
        <f>F46*$T$5</f>
        <v/>
      </c>
      <c r="H46" s="43" t="n">
        <v>4</v>
      </c>
      <c r="I46" s="43">
        <f>$T$7*H46</f>
        <v/>
      </c>
      <c r="J46" s="43">
        <f>G46+$T$9+I46</f>
        <v/>
      </c>
      <c r="K46" s="43">
        <f>$T$11/64</f>
        <v/>
      </c>
      <c r="L46" s="43" t="n">
        <v>0</v>
      </c>
      <c r="M46" s="43" t="n">
        <v>0</v>
      </c>
      <c r="N46" s="43" t="n">
        <v>0</v>
      </c>
      <c r="O46" s="43" t="n">
        <v>0</v>
      </c>
      <c r="P46" s="43" t="n"/>
      <c r="Q46" s="43" t="n"/>
      <c r="R46" s="43">
        <f>(J46+K46+L46+M46+N46+O46)*$B$2</f>
        <v/>
      </c>
      <c r="S46" s="43" t="n"/>
      <c r="T46" s="43" t="n"/>
    </row>
    <row r="47" ht="12.75" customHeight="1">
      <c r="A47" s="40" t="inlineStr">
        <is>
          <t>S10</t>
        </is>
      </c>
      <c r="B47" s="40">
        <f>VLOOKUP(A47,Members!$A$2:$B$65,2,FALSE)</f>
        <v/>
      </c>
      <c r="C47" s="41" t="n">
        <v>0</v>
      </c>
      <c r="D47" s="41">
        <f>SUM($C$3:$C$5)/64</f>
        <v/>
      </c>
      <c r="E47" s="41">
        <f>C47+D47</f>
        <v/>
      </c>
      <c r="F47" s="41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$T$11/64</f>
        <v/>
      </c>
      <c r="L47" s="41" t="n">
        <v>0</v>
      </c>
      <c r="M47" s="41" t="n">
        <v>0</v>
      </c>
      <c r="N47" s="41" t="n">
        <v>0</v>
      </c>
      <c r="O47" s="41" t="n">
        <v>0</v>
      </c>
      <c r="P47" s="41" t="n"/>
      <c r="Q47" s="41" t="n"/>
      <c r="R47" s="41">
        <f>(J47+K47+L47+M47+N47+O47)*$B$2</f>
        <v/>
      </c>
      <c r="S47" s="41" t="n"/>
      <c r="T47" s="41" t="n"/>
    </row>
    <row r="48" ht="12.75" customHeight="1">
      <c r="A48" s="42" t="inlineStr">
        <is>
          <t>S11</t>
        </is>
      </c>
      <c r="B48" s="42">
        <f>VLOOKUP(A48,Members!$A$2:$B$65,2,FALSE)</f>
        <v/>
      </c>
      <c r="C48" s="43" t="n">
        <v>0</v>
      </c>
      <c r="D48" s="43">
        <f>SUM($C$3:$C$5)/64</f>
        <v/>
      </c>
      <c r="E48" s="43">
        <f>C48+D48</f>
        <v/>
      </c>
      <c r="F48" s="43">
        <f>IF($C$70=0, 0, E48/$C$70)</f>
        <v/>
      </c>
      <c r="G48" s="43">
        <f>F48*$T$5</f>
        <v/>
      </c>
      <c r="H48" s="43" t="n">
        <v>3</v>
      </c>
      <c r="I48" s="43">
        <f>$T$7*H48</f>
        <v/>
      </c>
      <c r="J48" s="43">
        <f>G48+$T$9+I48</f>
        <v/>
      </c>
      <c r="K48" s="43">
        <f>$T$11/64</f>
        <v/>
      </c>
      <c r="L48" s="43" t="n">
        <v>0</v>
      </c>
      <c r="M48" s="43" t="n">
        <v>0</v>
      </c>
      <c r="N48" s="43" t="n">
        <v>0</v>
      </c>
      <c r="O48" s="43" t="n">
        <v>0</v>
      </c>
      <c r="P48" s="43" t="n"/>
      <c r="Q48" s="43" t="n"/>
      <c r="R48" s="43">
        <f>(J48+K48+L48+M48+N48+O48)*$B$2</f>
        <v/>
      </c>
      <c r="S48" s="43" t="n"/>
      <c r="T48" s="43" t="n"/>
    </row>
    <row r="49" ht="12.75" customHeight="1">
      <c r="A49" s="40" t="inlineStr">
        <is>
          <t>S12</t>
        </is>
      </c>
      <c r="B49" s="40">
        <f>VLOOKUP(A49,Members!$A$2:$B$65,2,FALSE)</f>
        <v/>
      </c>
      <c r="C49" s="41" t="n">
        <v>0</v>
      </c>
      <c r="D49" s="41">
        <f>SUM($C$3:$C$5)/64</f>
        <v/>
      </c>
      <c r="E49" s="41">
        <f>C49+D49</f>
        <v/>
      </c>
      <c r="F49" s="41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$T$11/64</f>
        <v/>
      </c>
      <c r="L49" s="41" t="n">
        <v>0</v>
      </c>
      <c r="M49" s="41" t="n">
        <v>0</v>
      </c>
      <c r="N49" s="41" t="n">
        <v>0</v>
      </c>
      <c r="O49" s="41" t="n">
        <v>0</v>
      </c>
      <c r="P49" s="41" t="n"/>
      <c r="Q49" s="41" t="n"/>
      <c r="R49" s="41">
        <f>(J49+K49+L49+M49+N49+O49)*$B$2</f>
        <v/>
      </c>
      <c r="S49" s="41" t="n"/>
      <c r="T49" s="41" t="n"/>
    </row>
    <row r="50" ht="12.75" customHeight="1">
      <c r="A50" s="42" t="inlineStr">
        <is>
          <t>S13</t>
        </is>
      </c>
      <c r="B50" s="42">
        <f>VLOOKUP(A50,Members!$A$2:$B$65,2,FALSE)</f>
        <v/>
      </c>
      <c r="C50" s="43" t="n">
        <v>0</v>
      </c>
      <c r="D50" s="43">
        <f>SUM($C$3:$C$5)/64</f>
        <v/>
      </c>
      <c r="E50" s="43">
        <f>C50+D50</f>
        <v/>
      </c>
      <c r="F50" s="43">
        <f>IF($C$70=0, 0, E50/$C$70)</f>
        <v/>
      </c>
      <c r="G50" s="43">
        <f>F50*$T$5</f>
        <v/>
      </c>
      <c r="H50" s="43" t="n">
        <v>4</v>
      </c>
      <c r="I50" s="43">
        <f>$T$7*H50</f>
        <v/>
      </c>
      <c r="J50" s="43">
        <f>G50+$T$9+I50</f>
        <v/>
      </c>
      <c r="K50" s="43">
        <f>$T$11/64</f>
        <v/>
      </c>
      <c r="L50" s="43" t="n">
        <v>0</v>
      </c>
      <c r="M50" s="43" t="n">
        <v>0</v>
      </c>
      <c r="N50" s="43" t="n">
        <v>0</v>
      </c>
      <c r="O50" s="43" t="n">
        <v>0</v>
      </c>
      <c r="P50" s="43" t="n"/>
      <c r="Q50" s="43" t="n"/>
      <c r="R50" s="43">
        <f>(J50+K50+L50+M50+N50+O50)*$B$2</f>
        <v/>
      </c>
      <c r="S50" s="43" t="n"/>
      <c r="T50" s="43" t="n"/>
    </row>
    <row r="51" ht="12.75" customHeight="1">
      <c r="A51" s="40" t="inlineStr">
        <is>
          <t>S14</t>
        </is>
      </c>
      <c r="B51" s="40">
        <f>VLOOKUP(A51,Members!$A$2:$B$65,2,FALSE)</f>
        <v/>
      </c>
      <c r="C51" s="41" t="n">
        <v>0</v>
      </c>
      <c r="D51" s="41">
        <f>SUM($C$3:$C$5)/64</f>
        <v/>
      </c>
      <c r="E51" s="41">
        <f>C51+D51</f>
        <v/>
      </c>
      <c r="F51" s="41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$T$11/64</f>
        <v/>
      </c>
      <c r="L51" s="41" t="n">
        <v>0</v>
      </c>
      <c r="M51" s="41" t="n">
        <v>0</v>
      </c>
      <c r="N51" s="41" t="n">
        <v>0</v>
      </c>
      <c r="O51" s="41" t="n">
        <v>0</v>
      </c>
      <c r="P51" s="41" t="n"/>
      <c r="Q51" s="41" t="n"/>
      <c r="R51" s="41">
        <f>(J51+K51+L51+M51+N51+O51)*$B$2</f>
        <v/>
      </c>
      <c r="S51" s="41" t="n"/>
      <c r="T51" s="41" t="n"/>
    </row>
    <row r="52" ht="12.75" customHeight="1">
      <c r="A52" s="42" t="inlineStr">
        <is>
          <t>S15</t>
        </is>
      </c>
      <c r="B52" s="42">
        <f>VLOOKUP(A52,Members!$A$2:$B$65,2,FALSE)</f>
        <v/>
      </c>
      <c r="C52" s="43" t="n">
        <v>0</v>
      </c>
      <c r="D52" s="43">
        <f>SUM($C$3:$C$5)/64</f>
        <v/>
      </c>
      <c r="E52" s="43">
        <f>C52+D52</f>
        <v/>
      </c>
      <c r="F52" s="43">
        <f>IF($C$70=0, 0, E52/$C$70)</f>
        <v/>
      </c>
      <c r="G52" s="43">
        <f>F52*$T$5</f>
        <v/>
      </c>
      <c r="H52" s="43" t="n">
        <v>4</v>
      </c>
      <c r="I52" s="43">
        <f>$T$7*H52</f>
        <v/>
      </c>
      <c r="J52" s="43">
        <f>G52+$T$9+I52</f>
        <v/>
      </c>
      <c r="K52" s="43">
        <f>$T$11/64</f>
        <v/>
      </c>
      <c r="L52" s="43" t="n">
        <v>0</v>
      </c>
      <c r="M52" s="43" t="n">
        <v>0</v>
      </c>
      <c r="N52" s="43" t="n">
        <v>0</v>
      </c>
      <c r="O52" s="43" t="n">
        <v>0</v>
      </c>
      <c r="P52" s="43" t="n"/>
      <c r="Q52" s="43" t="n"/>
      <c r="R52" s="43">
        <f>(J52+K52+L52+M52+N52+O52)*$B$2</f>
        <v/>
      </c>
      <c r="S52" s="43" t="n"/>
      <c r="T52" s="43" t="n"/>
    </row>
    <row r="53" ht="12.75" customHeight="1">
      <c r="A53" s="40" t="inlineStr">
        <is>
          <t>S16</t>
        </is>
      </c>
      <c r="B53" s="40">
        <f>VLOOKUP(A53,Members!$A$2:$B$65,2,FALSE)</f>
        <v/>
      </c>
      <c r="C53" s="41" t="n">
        <v>0</v>
      </c>
      <c r="D53" s="41">
        <f>SUM($C$3:$C$5)/64</f>
        <v/>
      </c>
      <c r="E53" s="41">
        <f>C53+D53</f>
        <v/>
      </c>
      <c r="F53" s="41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$T$11/64</f>
        <v/>
      </c>
      <c r="L53" s="41" t="n">
        <v>0</v>
      </c>
      <c r="M53" s="41" t="n">
        <v>0</v>
      </c>
      <c r="N53" s="41" t="n">
        <v>0</v>
      </c>
      <c r="O53" s="41" t="n">
        <v>0</v>
      </c>
      <c r="P53" s="41" t="n"/>
      <c r="Q53" s="41" t="n"/>
      <c r="R53" s="41">
        <f>(J53+K53+L53+M53+N53+O53)*$B$2</f>
        <v/>
      </c>
      <c r="S53" s="41" t="n"/>
      <c r="T53" s="41" t="n"/>
    </row>
    <row r="54" ht="12.75" customHeight="1">
      <c r="A54" s="42" t="inlineStr">
        <is>
          <t>T1</t>
        </is>
      </c>
      <c r="B54" s="42">
        <f>VLOOKUP(A54,Members!$A$2:$B$65,2,FALSE)</f>
        <v/>
      </c>
      <c r="C54" s="43" t="n">
        <v>0</v>
      </c>
      <c r="D54" s="43">
        <f>SUM($C$3:$C$5)/64</f>
        <v/>
      </c>
      <c r="E54" s="43">
        <f>C54+D54</f>
        <v/>
      </c>
      <c r="F54" s="43">
        <f>IF($C$70=0, 0, E54/$C$70)</f>
        <v/>
      </c>
      <c r="G54" s="43">
        <f>F54*$T$5</f>
        <v/>
      </c>
      <c r="H54" s="43" t="n">
        <v>3</v>
      </c>
      <c r="I54" s="43">
        <f>$T$7*H54</f>
        <v/>
      </c>
      <c r="J54" s="43">
        <f>G54+$T$9+I54</f>
        <v/>
      </c>
      <c r="K54" s="43">
        <f>$T$11/64</f>
        <v/>
      </c>
      <c r="L54" s="43" t="n">
        <v>0</v>
      </c>
      <c r="M54" s="43" t="n">
        <v>0</v>
      </c>
      <c r="N54" s="43" t="n">
        <v>0</v>
      </c>
      <c r="O54" s="43" t="n">
        <v>0</v>
      </c>
      <c r="P54" s="43" t="n"/>
      <c r="Q54" s="43" t="n"/>
      <c r="R54" s="43">
        <f>(J54+K54+L54+M54+N54+O54)*$B$2</f>
        <v/>
      </c>
      <c r="S54" s="43" t="n"/>
      <c r="T54" s="43" t="n"/>
    </row>
    <row r="55" ht="12.75" customHeight="1">
      <c r="A55" s="40" t="inlineStr">
        <is>
          <t>T2</t>
        </is>
      </c>
      <c r="B55" s="40">
        <f>VLOOKUP(A55,Members!$A$2:$B$65,2,FALSE)</f>
        <v/>
      </c>
      <c r="C55" s="41" t="n">
        <v>0</v>
      </c>
      <c r="D55" s="41">
        <f>SUM($C$3:$C$5)/64</f>
        <v/>
      </c>
      <c r="E55" s="41">
        <f>C55+D55</f>
        <v/>
      </c>
      <c r="F55" s="41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$T$11/64</f>
        <v/>
      </c>
      <c r="L55" s="41" t="n">
        <v>0</v>
      </c>
      <c r="M55" s="41" t="n">
        <v>0</v>
      </c>
      <c r="N55" s="41" t="n">
        <v>0</v>
      </c>
      <c r="O55" s="41" t="n">
        <v>0</v>
      </c>
      <c r="P55" s="41" t="n"/>
      <c r="Q55" s="41" t="n"/>
      <c r="R55" s="41">
        <f>(J55+K55+L55+M55+N55+O55)*$B$2</f>
        <v/>
      </c>
      <c r="S55" s="41" t="n"/>
      <c r="T55" s="41" t="n"/>
    </row>
    <row r="56" ht="12.75" customHeight="1">
      <c r="A56" s="42" t="inlineStr">
        <is>
          <t>T3</t>
        </is>
      </c>
      <c r="B56" s="42">
        <f>VLOOKUP(A56,Members!$A$2:$B$65,2,FALSE)</f>
        <v/>
      </c>
      <c r="C56" s="43" t="n">
        <v>0</v>
      </c>
      <c r="D56" s="43">
        <f>SUM($C$3:$C$5)/64</f>
        <v/>
      </c>
      <c r="E56" s="43">
        <f>C56+D56</f>
        <v/>
      </c>
      <c r="F56" s="43">
        <f>IF($C$70=0, 0, E56/$C$70)</f>
        <v/>
      </c>
      <c r="G56" s="43">
        <f>F56*$T$5</f>
        <v/>
      </c>
      <c r="H56" s="43" t="n">
        <v>4</v>
      </c>
      <c r="I56" s="43">
        <f>$T$7*H56</f>
        <v/>
      </c>
      <c r="J56" s="43">
        <f>G56+$T$9+I56</f>
        <v/>
      </c>
      <c r="K56" s="43">
        <f>$T$11/64</f>
        <v/>
      </c>
      <c r="L56" s="43" t="n">
        <v>0</v>
      </c>
      <c r="M56" s="43" t="n">
        <v>0</v>
      </c>
      <c r="N56" s="43" t="n">
        <v>0</v>
      </c>
      <c r="O56" s="43" t="n">
        <v>0</v>
      </c>
      <c r="P56" s="43" t="n"/>
      <c r="Q56" s="43" t="n"/>
      <c r="R56" s="43">
        <f>(J56+K56+L56+M56+N56+O56)*$B$2</f>
        <v/>
      </c>
      <c r="S56" s="43" t="n"/>
      <c r="T56" s="43" t="n"/>
    </row>
    <row r="57" ht="12.75" customHeight="1">
      <c r="A57" s="40" t="inlineStr">
        <is>
          <t>T4</t>
        </is>
      </c>
      <c r="B57" s="40">
        <f>VLOOKUP(A57,Members!$A$2:$B$65,2,FALSE)</f>
        <v/>
      </c>
      <c r="C57" s="41" t="n">
        <v>0</v>
      </c>
      <c r="D57" s="41">
        <f>SUM($C$3:$C$5)/64</f>
        <v/>
      </c>
      <c r="E57" s="41">
        <f>C57+D57</f>
        <v/>
      </c>
      <c r="F57" s="41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$T$11/64</f>
        <v/>
      </c>
      <c r="L57" s="41" t="n">
        <v>0</v>
      </c>
      <c r="M57" s="41" t="n">
        <v>0</v>
      </c>
      <c r="N57" s="41" t="n">
        <v>0</v>
      </c>
      <c r="O57" s="41" t="n">
        <v>0</v>
      </c>
      <c r="P57" s="41" t="n"/>
      <c r="Q57" s="41" t="n"/>
      <c r="R57" s="41">
        <f>(J57+K57+L57+M57+N57+O57)*$B$2</f>
        <v/>
      </c>
      <c r="S57" s="41" t="n"/>
      <c r="T57" s="41" t="n"/>
    </row>
    <row r="58" ht="12.75" customHeight="1">
      <c r="A58" s="42" t="inlineStr">
        <is>
          <t>T5</t>
        </is>
      </c>
      <c r="B58" s="42">
        <f>VLOOKUP(A58,Members!$A$2:$B$65,2,FALSE)</f>
        <v/>
      </c>
      <c r="C58" s="43" t="n">
        <v>0</v>
      </c>
      <c r="D58" s="43">
        <f>SUM($C$3:$C$5)/64</f>
        <v/>
      </c>
      <c r="E58" s="43">
        <f>C58+D58</f>
        <v/>
      </c>
      <c r="F58" s="43">
        <f>IF($C$70=0, 0, E58/$C$70)</f>
        <v/>
      </c>
      <c r="G58" s="43">
        <f>F58*$T$5</f>
        <v/>
      </c>
      <c r="H58" s="43" t="n">
        <v>3</v>
      </c>
      <c r="I58" s="43">
        <f>$T$7*H58</f>
        <v/>
      </c>
      <c r="J58" s="43">
        <f>G58+$T$9+I58</f>
        <v/>
      </c>
      <c r="K58" s="43">
        <f>$T$11/64</f>
        <v/>
      </c>
      <c r="L58" s="43" t="n">
        <v>0</v>
      </c>
      <c r="M58" s="43" t="n">
        <v>0</v>
      </c>
      <c r="N58" s="43" t="n">
        <v>0</v>
      </c>
      <c r="O58" s="43" t="n">
        <v>0</v>
      </c>
      <c r="P58" s="43" t="n"/>
      <c r="Q58" s="43" t="n"/>
      <c r="R58" s="43">
        <f>(J58+K58+L58+M58+N58+O58)*$B$2</f>
        <v/>
      </c>
      <c r="S58" s="43" t="n"/>
      <c r="T58" s="43" t="n"/>
    </row>
    <row r="59" ht="12.75" customHeight="1">
      <c r="A59" s="40" t="inlineStr">
        <is>
          <t>T6</t>
        </is>
      </c>
      <c r="B59" s="40">
        <f>VLOOKUP(A59,Members!$A$2:$B$65,2,FALSE)</f>
        <v/>
      </c>
      <c r="C59" s="41" t="n">
        <v>0</v>
      </c>
      <c r="D59" s="41">
        <f>SUM($C$3:$C$5)/64</f>
        <v/>
      </c>
      <c r="E59" s="41">
        <f>C59+D59</f>
        <v/>
      </c>
      <c r="F59" s="41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$T$11/64</f>
        <v/>
      </c>
      <c r="L59" s="41" t="n">
        <v>0</v>
      </c>
      <c r="M59" s="41" t="n">
        <v>0</v>
      </c>
      <c r="N59" s="41" t="n">
        <v>0</v>
      </c>
      <c r="O59" s="41" t="n">
        <v>0</v>
      </c>
      <c r="P59" s="41" t="n"/>
      <c r="Q59" s="41" t="n"/>
      <c r="R59" s="41">
        <f>(J59+K59+L59+M59+N59+O59)*$B$2</f>
        <v/>
      </c>
      <c r="S59" s="41" t="n"/>
      <c r="T59" s="41" t="n"/>
    </row>
    <row r="60" ht="12.75" customHeight="1">
      <c r="A60" s="42" t="inlineStr">
        <is>
          <t>T7</t>
        </is>
      </c>
      <c r="B60" s="42">
        <f>VLOOKUP(A60,Members!$A$2:$B$65,2,FALSE)</f>
        <v/>
      </c>
      <c r="C60" s="43" t="n">
        <v>0</v>
      </c>
      <c r="D60" s="43">
        <f>SUM($C$3:$C$5)/64</f>
        <v/>
      </c>
      <c r="E60" s="43">
        <f>C60+D60</f>
        <v/>
      </c>
      <c r="F60" s="43">
        <f>IF($C$70=0, 0, E60/$C$70)</f>
        <v/>
      </c>
      <c r="G60" s="43">
        <f>F60*$T$5</f>
        <v/>
      </c>
      <c r="H60" s="43" t="n">
        <v>3</v>
      </c>
      <c r="I60" s="43">
        <f>$T$7*H60</f>
        <v/>
      </c>
      <c r="J60" s="43">
        <f>G60+$T$9+I60</f>
        <v/>
      </c>
      <c r="K60" s="43">
        <f>$T$11/64</f>
        <v/>
      </c>
      <c r="L60" s="43" t="n">
        <v>0</v>
      </c>
      <c r="M60" s="43" t="n">
        <v>0</v>
      </c>
      <c r="N60" s="43" t="n">
        <v>0</v>
      </c>
      <c r="O60" s="43" t="n">
        <v>0</v>
      </c>
      <c r="P60" s="43" t="n"/>
      <c r="Q60" s="43" t="n"/>
      <c r="R60" s="43">
        <f>(J60+K60+L60+M60+N60+O60)*$B$2</f>
        <v/>
      </c>
      <c r="S60" s="43" t="n"/>
      <c r="T60" s="43" t="n"/>
    </row>
    <row r="61" ht="12.75" customHeight="1">
      <c r="A61" s="40" t="inlineStr">
        <is>
          <t>T8</t>
        </is>
      </c>
      <c r="B61" s="40">
        <f>VLOOKUP(A61,Members!$A$2:$B$65,2,FALSE)</f>
        <v/>
      </c>
      <c r="C61" s="41" t="n">
        <v>0</v>
      </c>
      <c r="D61" s="41">
        <f>SUM($C$3:$C$5)/64</f>
        <v/>
      </c>
      <c r="E61" s="41">
        <f>C61+D61</f>
        <v/>
      </c>
      <c r="F61" s="41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$T$11/64</f>
        <v/>
      </c>
      <c r="L61" s="41" t="n">
        <v>0</v>
      </c>
      <c r="M61" s="41" t="n">
        <v>0</v>
      </c>
      <c r="N61" s="41" t="n">
        <v>0</v>
      </c>
      <c r="O61" s="41" t="n">
        <v>0</v>
      </c>
      <c r="P61" s="41" t="n"/>
      <c r="Q61" s="41" t="n"/>
      <c r="R61" s="41">
        <f>(J61+K61+L61+M61+N61+O61)*$B$2</f>
        <v/>
      </c>
      <c r="S61" s="41" t="n"/>
      <c r="T61" s="41" t="n"/>
    </row>
    <row r="62" ht="12.75" customHeight="1">
      <c r="A62" s="42" t="inlineStr">
        <is>
          <t>T9</t>
        </is>
      </c>
      <c r="B62" s="42">
        <f>VLOOKUP(A62,Members!$A$2:$B$65,2,FALSE)</f>
        <v/>
      </c>
      <c r="C62" s="43" t="n">
        <v>0</v>
      </c>
      <c r="D62" s="43">
        <f>SUM($C$3:$C$5)/64</f>
        <v/>
      </c>
      <c r="E62" s="43">
        <f>C62+D62</f>
        <v/>
      </c>
      <c r="F62" s="43">
        <f>IF($C$70=0, 0, E62/$C$70)</f>
        <v/>
      </c>
      <c r="G62" s="43">
        <f>F62*$T$5</f>
        <v/>
      </c>
      <c r="H62" s="43" t="n">
        <v>4</v>
      </c>
      <c r="I62" s="43">
        <f>$T$7*H62</f>
        <v/>
      </c>
      <c r="J62" s="43">
        <f>G62+$T$9+I62</f>
        <v/>
      </c>
      <c r="K62" s="43">
        <f>$T$11/64</f>
        <v/>
      </c>
      <c r="L62" s="43" t="n">
        <v>0</v>
      </c>
      <c r="M62" s="43" t="n">
        <v>0</v>
      </c>
      <c r="N62" s="43" t="n">
        <v>0</v>
      </c>
      <c r="O62" s="43" t="n">
        <v>0</v>
      </c>
      <c r="P62" s="43" t="n"/>
      <c r="Q62" s="43" t="n"/>
      <c r="R62" s="43">
        <f>(J62+K62+L62+M62+N62+O62)*$B$2</f>
        <v/>
      </c>
      <c r="S62" s="43" t="n"/>
      <c r="T62" s="43" t="n"/>
    </row>
    <row r="63" ht="12.75" customHeight="1">
      <c r="A63" s="40" t="inlineStr">
        <is>
          <t>T10</t>
        </is>
      </c>
      <c r="B63" s="40">
        <f>VLOOKUP(A63,Members!$A$2:$B$65,2,FALSE)</f>
        <v/>
      </c>
      <c r="C63" s="41" t="n">
        <v>0</v>
      </c>
      <c r="D63" s="41">
        <f>SUM($C$3:$C$5)/64</f>
        <v/>
      </c>
      <c r="E63" s="41">
        <f>C63+D63</f>
        <v/>
      </c>
      <c r="F63" s="41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$T$11/64</f>
        <v/>
      </c>
      <c r="L63" s="41" t="n">
        <v>0</v>
      </c>
      <c r="M63" s="41" t="n">
        <v>0</v>
      </c>
      <c r="N63" s="41" t="n">
        <v>0</v>
      </c>
      <c r="O63" s="41" t="n">
        <v>0</v>
      </c>
      <c r="P63" s="41" t="n"/>
      <c r="Q63" s="41" t="n"/>
      <c r="R63" s="41">
        <f>(J63+K63+L63+M63+N63+O63)*$B$2</f>
        <v/>
      </c>
      <c r="S63" s="41" t="n"/>
      <c r="T63" s="41" t="n"/>
    </row>
    <row r="64" ht="12.75" customHeight="1">
      <c r="A64" s="42" t="inlineStr">
        <is>
          <t>T11</t>
        </is>
      </c>
      <c r="B64" s="42">
        <f>VLOOKUP(A64,Members!$A$2:$B$65,2,FALSE)</f>
        <v/>
      </c>
      <c r="C64" s="43" t="n">
        <v>0</v>
      </c>
      <c r="D64" s="43">
        <f>SUM($C$3:$C$5)/64</f>
        <v/>
      </c>
      <c r="E64" s="43">
        <f>C64+D64</f>
        <v/>
      </c>
      <c r="F64" s="43">
        <f>IF($C$70=0, 0, E64/$C$70)</f>
        <v/>
      </c>
      <c r="G64" s="43">
        <f>F64*$T$5</f>
        <v/>
      </c>
      <c r="H64" s="43" t="n">
        <v>3</v>
      </c>
      <c r="I64" s="43">
        <f>$T$7*H64</f>
        <v/>
      </c>
      <c r="J64" s="43">
        <f>G64+$T$9+I64</f>
        <v/>
      </c>
      <c r="K64" s="43">
        <f>$T$11/64</f>
        <v/>
      </c>
      <c r="L64" s="43" t="n">
        <v>0</v>
      </c>
      <c r="M64" s="43" t="n">
        <v>0</v>
      </c>
      <c r="N64" s="43" t="n">
        <v>0</v>
      </c>
      <c r="O64" s="43" t="n">
        <v>0</v>
      </c>
      <c r="P64" s="43" t="n"/>
      <c r="Q64" s="43" t="n"/>
      <c r="R64" s="43">
        <f>(J64+K64+L64+M64+N64+O64)*$B$2</f>
        <v/>
      </c>
      <c r="S64" s="43" t="n"/>
      <c r="T64" s="43" t="n"/>
    </row>
    <row r="65" ht="12.75" customHeight="1">
      <c r="A65" s="40" t="inlineStr">
        <is>
          <t>T12</t>
        </is>
      </c>
      <c r="B65" s="40">
        <f>VLOOKUP(A65,Members!$A$2:$B$65,2,FALSE)</f>
        <v/>
      </c>
      <c r="C65" s="41" t="n">
        <v>0</v>
      </c>
      <c r="D65" s="41">
        <f>SUM($C$3:$C$5)/64</f>
        <v/>
      </c>
      <c r="E65" s="41">
        <f>C65+D65</f>
        <v/>
      </c>
      <c r="F65" s="41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$T$11/64</f>
        <v/>
      </c>
      <c r="L65" s="41" t="n">
        <v>0</v>
      </c>
      <c r="M65" s="41" t="n">
        <v>0</v>
      </c>
      <c r="N65" s="41" t="n">
        <v>0</v>
      </c>
      <c r="O65" s="41" t="n">
        <v>0</v>
      </c>
      <c r="P65" s="41" t="n"/>
      <c r="Q65" s="41" t="n"/>
      <c r="R65" s="41">
        <f>(J65+K65+L65+M65+N65+O65)*$B$2</f>
        <v/>
      </c>
      <c r="S65" s="41" t="n"/>
      <c r="T65" s="41" t="n"/>
    </row>
    <row r="66" ht="12.75" customHeight="1">
      <c r="A66" s="42" t="inlineStr">
        <is>
          <t>T13</t>
        </is>
      </c>
      <c r="B66" s="42">
        <f>VLOOKUP(A66,Members!$A$2:$B$65,2,FALSE)</f>
        <v/>
      </c>
      <c r="C66" s="43" t="n">
        <v>0</v>
      </c>
      <c r="D66" s="43">
        <f>SUM($C$3:$C$5)/64</f>
        <v/>
      </c>
      <c r="E66" s="43">
        <f>C66+D66</f>
        <v/>
      </c>
      <c r="F66" s="43">
        <f>IF($C$70=0, 0, E66/$C$70)</f>
        <v/>
      </c>
      <c r="G66" s="43">
        <f>F66*$T$5</f>
        <v/>
      </c>
      <c r="H66" s="43" t="n">
        <v>4</v>
      </c>
      <c r="I66" s="43">
        <f>$T$7*H66</f>
        <v/>
      </c>
      <c r="J66" s="43">
        <f>G66+$T$9+I66</f>
        <v/>
      </c>
      <c r="K66" s="43">
        <f>$T$11/64</f>
        <v/>
      </c>
      <c r="L66" s="43" t="n">
        <v>0</v>
      </c>
      <c r="M66" s="43" t="n">
        <v>0</v>
      </c>
      <c r="N66" s="43" t="n">
        <v>0</v>
      </c>
      <c r="O66" s="43" t="n">
        <v>0</v>
      </c>
      <c r="P66" s="43" t="n"/>
      <c r="Q66" s="43" t="n"/>
      <c r="R66" s="43">
        <f>(J66+K66+L66+M66+N66+O66)*$B$2</f>
        <v/>
      </c>
      <c r="S66" s="43" t="n"/>
      <c r="T66" s="43" t="n"/>
    </row>
    <row r="67" ht="12.75" customHeight="1">
      <c r="A67" s="40" t="inlineStr">
        <is>
          <t>T14</t>
        </is>
      </c>
      <c r="B67" s="40">
        <f>VLOOKUP(A67,Members!$A$2:$B$65,2,FALSE)</f>
        <v/>
      </c>
      <c r="C67" s="41" t="n">
        <v>0</v>
      </c>
      <c r="D67" s="41">
        <f>SUM($C$3:$C$5)/64</f>
        <v/>
      </c>
      <c r="E67" s="41">
        <f>C67+D67</f>
        <v/>
      </c>
      <c r="F67" s="41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$T$11/64</f>
        <v/>
      </c>
      <c r="L67" s="41" t="n">
        <v>0</v>
      </c>
      <c r="M67" s="41" t="n">
        <v>0</v>
      </c>
      <c r="N67" s="41" t="n">
        <v>0</v>
      </c>
      <c r="O67" s="41" t="n">
        <v>0</v>
      </c>
      <c r="P67" s="41" t="n"/>
      <c r="Q67" s="41" t="n"/>
      <c r="R67" s="41">
        <f>(J67+K67+L67+M67+N67+O67)*$B$2</f>
        <v/>
      </c>
      <c r="S67" s="41" t="n"/>
      <c r="T67" s="41" t="n"/>
    </row>
    <row r="68" ht="12.75" customHeight="1">
      <c r="A68" s="42" t="inlineStr">
        <is>
          <t>T15</t>
        </is>
      </c>
      <c r="B68" s="42">
        <f>VLOOKUP(A68,Members!$A$2:$B$65,2,FALSE)</f>
        <v/>
      </c>
      <c r="C68" s="43" t="n">
        <v>0</v>
      </c>
      <c r="D68" s="43">
        <f>SUM($C$3:$C$5)/64</f>
        <v/>
      </c>
      <c r="E68" s="43">
        <f>C68+D68</f>
        <v/>
      </c>
      <c r="F68" s="43">
        <f>IF($C$70=0, 0, E68/$C$70)</f>
        <v/>
      </c>
      <c r="G68" s="43">
        <f>F68*$T$5</f>
        <v/>
      </c>
      <c r="H68" s="43" t="n">
        <v>4</v>
      </c>
      <c r="I68" s="43">
        <f>$T$7*H68</f>
        <v/>
      </c>
      <c r="J68" s="43">
        <f>G68+$T$9+I68</f>
        <v/>
      </c>
      <c r="K68" s="43">
        <f>$T$11/64</f>
        <v/>
      </c>
      <c r="L68" s="43" t="n">
        <v>0</v>
      </c>
      <c r="M68" s="43" t="n">
        <v>0</v>
      </c>
      <c r="N68" s="43" t="n">
        <v>0</v>
      </c>
      <c r="O68" s="43" t="n">
        <v>0</v>
      </c>
      <c r="P68" s="43" t="n"/>
      <c r="Q68" s="43" t="n"/>
      <c r="R68" s="43">
        <f>(J68+K68+L68+M68+N68+O68)*$B$2</f>
        <v/>
      </c>
      <c r="S68" s="43" t="n"/>
      <c r="T68" s="43" t="n"/>
    </row>
    <row r="69" ht="12.75" customHeight="1">
      <c r="A69" s="40" t="inlineStr">
        <is>
          <t>T16</t>
        </is>
      </c>
      <c r="B69" s="40">
        <f>VLOOKUP(A69,Members!$A$2:$B$65,2,FALSE)</f>
        <v/>
      </c>
      <c r="C69" s="41" t="n">
        <v>0</v>
      </c>
      <c r="D69" s="41">
        <f>SUM($C$3:$C$5)/64</f>
        <v/>
      </c>
      <c r="E69" s="41">
        <f>C69+D69</f>
        <v/>
      </c>
      <c r="F69" s="41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$T$11/64</f>
        <v/>
      </c>
      <c r="L69" s="41" t="n">
        <v>0</v>
      </c>
      <c r="M69" s="41" t="n">
        <v>0</v>
      </c>
      <c r="N69" s="41" t="n">
        <v>0</v>
      </c>
      <c r="O69" s="41" t="n">
        <v>0</v>
      </c>
      <c r="P69" s="41" t="n"/>
      <c r="Q69" s="41" t="n"/>
      <c r="R69" s="41">
        <f>(J69+K69+L69+M69+N69+O69)*$B$2</f>
        <v/>
      </c>
      <c r="S69" s="41" t="n"/>
      <c r="T69" s="41" t="n"/>
    </row>
    <row r="70" ht="12.75" customHeight="1">
      <c r="A70" s="42" t="n"/>
      <c r="B70" s="42" t="inlineStr">
        <is>
          <t>TOTAL</t>
        </is>
      </c>
      <c r="C70" s="43">
        <f>SUM(C3:C69)</f>
        <v/>
      </c>
      <c r="D70" s="43">
        <f>SUM(D3:D69)</f>
        <v/>
      </c>
      <c r="E70" s="43">
        <f>SUM(E3:E69)</f>
        <v/>
      </c>
      <c r="F70" s="43">
        <f>IF($C$70=0, 0, E70/$C$70)</f>
        <v/>
      </c>
      <c r="G70" s="43">
        <f>SUM(G3:G69)</f>
        <v/>
      </c>
      <c r="H70" s="43">
        <f>SUM(H3:H69)</f>
        <v/>
      </c>
      <c r="I70" s="43">
        <f>SUM(I3:I69)</f>
        <v/>
      </c>
      <c r="J70" s="43">
        <f>SUM(J3:J69)</f>
        <v/>
      </c>
      <c r="K70" s="43">
        <f>SUM(K3:K69)</f>
        <v/>
      </c>
      <c r="L70" s="43">
        <f>SUM(L3:L69)</f>
        <v/>
      </c>
      <c r="M70" s="43">
        <f>SUM(M3:M69)</f>
        <v/>
      </c>
      <c r="N70" s="43">
        <f>SUM(N3:N69)</f>
        <v/>
      </c>
      <c r="O70" s="43">
        <f>SUM(O3:O69)</f>
        <v/>
      </c>
      <c r="P70" s="43" t="n"/>
      <c r="Q70" s="43" t="n"/>
      <c r="R70" s="43">
        <f>SUM(R3:R69)</f>
        <v/>
      </c>
      <c r="S70" s="43" t="n"/>
      <c r="T70" s="43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min="1" max="1"/>
    <col width="64.28515625" customWidth="1" min="2" max="2"/>
  </cols>
  <sheetData>
    <row r="1">
      <c r="A1" s="39" t="inlineStr">
        <is>
          <t>FLAT #</t>
        </is>
      </c>
      <c r="B1" s="39" t="n"/>
      <c r="C1" s="39" t="inlineStr">
        <is>
          <t>Amount</t>
        </is>
      </c>
      <c r="D1" s="66" t="inlineStr">
        <is>
          <t>Date</t>
        </is>
      </c>
      <c r="E1" s="39" t="inlineStr">
        <is>
          <t>Amount</t>
        </is>
      </c>
      <c r="F1" s="66" t="inlineStr">
        <is>
          <t>Date</t>
        </is>
      </c>
      <c r="G1" s="39" t="inlineStr">
        <is>
          <t>Amount</t>
        </is>
      </c>
      <c r="H1" s="57" t="inlineStr">
        <is>
          <t>Date</t>
        </is>
      </c>
      <c r="I1" s="39" t="inlineStr">
        <is>
          <t>Amount</t>
        </is>
      </c>
      <c r="J1" s="100" t="inlineStr">
        <is>
          <t>Date</t>
        </is>
      </c>
      <c r="K1" s="100" t="inlineStr">
        <is>
          <t>Total</t>
        </is>
      </c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  <c r="AA1" s="100" t="n"/>
    </row>
    <row r="2" ht="15" customHeight="1">
      <c r="A2" s="42" t="inlineStr">
        <is>
          <t>F1</t>
        </is>
      </c>
      <c r="B2" s="42">
        <f>VLOOKUP(A2,Members!$A$2:$B$65,2,FALSE)</f>
        <v/>
      </c>
      <c r="C2" s="47" t="n"/>
      <c r="D2" s="50" t="n"/>
      <c r="E2" s="47" t="n"/>
      <c r="F2" s="50" t="n"/>
      <c r="G2" s="47" t="n"/>
      <c r="H2" s="58" t="n"/>
      <c r="I2" s="47" t="n"/>
      <c r="J2" s="47" t="n"/>
      <c r="K2" s="47">
        <f>SUM(C2,E2,G2,I2)</f>
        <v/>
      </c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</row>
    <row r="3" ht="15" customHeight="1">
      <c r="A3" s="40" t="inlineStr">
        <is>
          <t>F2</t>
        </is>
      </c>
      <c r="B3" s="40">
        <f>VLOOKUP(A3,Members!$A$2:$B$65,2,FALSE)</f>
        <v/>
      </c>
      <c r="C3" s="104" t="n"/>
      <c r="D3" s="53" t="n"/>
      <c r="E3" s="104" t="n"/>
      <c r="F3" s="53" t="n"/>
      <c r="G3" s="104" t="n"/>
      <c r="H3" s="59" t="n"/>
      <c r="I3" s="104" t="n"/>
      <c r="J3" s="104" t="n"/>
      <c r="K3" s="104">
        <f>SUM(C3,E3,G3,I3)</f>
        <v/>
      </c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</row>
    <row r="4" ht="15" customHeight="1">
      <c r="A4" s="42" t="inlineStr">
        <is>
          <t>F3</t>
        </is>
      </c>
      <c r="B4" s="42">
        <f>VLOOKUP(A4,Members!$A$2:$B$65,2,FALSE)</f>
        <v/>
      </c>
      <c r="C4" s="47" t="n"/>
      <c r="D4" s="50" t="n"/>
      <c r="E4" s="43" t="n"/>
      <c r="F4" s="50" t="n"/>
      <c r="G4" s="47" t="n"/>
      <c r="H4" s="58" t="n"/>
      <c r="I4" s="47" t="n"/>
      <c r="J4" s="47" t="n"/>
      <c r="K4" s="47">
        <f>SUM(C4,E4,G4,I4)</f>
        <v/>
      </c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</row>
    <row r="5" ht="15" customHeight="1">
      <c r="A5" s="40" t="inlineStr">
        <is>
          <t>F4</t>
        </is>
      </c>
      <c r="B5" s="40">
        <f>VLOOKUP(A5,Members!$A$2:$B$65,2,FALSE)</f>
        <v/>
      </c>
      <c r="C5" s="41" t="n"/>
      <c r="D5" s="53" t="n"/>
      <c r="E5" s="104" t="n"/>
      <c r="F5" s="53" t="n"/>
      <c r="G5" s="104" t="n"/>
      <c r="H5" s="59" t="n"/>
      <c r="I5" s="104" t="n"/>
      <c r="J5" s="104" t="n"/>
      <c r="K5" s="41">
        <f>SUM(C5,E5,G5,I5)</f>
        <v/>
      </c>
      <c r="L5" s="104" t="n"/>
      <c r="M5" s="104" t="n"/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</row>
    <row r="6" ht="15" customHeight="1">
      <c r="A6" s="42" t="inlineStr">
        <is>
          <t>F5</t>
        </is>
      </c>
      <c r="B6" s="42">
        <f>VLOOKUP(A6,Members!$A$2:$B$65,2,FALSE)</f>
        <v/>
      </c>
      <c r="C6" s="47" t="n"/>
      <c r="D6" s="50" t="n"/>
      <c r="E6" s="47" t="n"/>
      <c r="F6" s="50" t="n"/>
      <c r="G6" s="47" t="n"/>
      <c r="H6" s="58" t="n"/>
      <c r="I6" s="47" t="n"/>
      <c r="J6" s="47" t="n"/>
      <c r="K6" s="47">
        <f>SUM(C6,E6,G6,I6)</f>
        <v/>
      </c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  <c r="AA6" s="47" t="n"/>
    </row>
    <row r="7" ht="15" customHeight="1">
      <c r="A7" s="40" t="inlineStr">
        <is>
          <t>F6</t>
        </is>
      </c>
      <c r="B7" s="40">
        <f>VLOOKUP(A7,Members!$A$2:$B$65,2,FALSE)</f>
        <v/>
      </c>
      <c r="C7" s="104" t="n"/>
      <c r="D7" s="53" t="n"/>
      <c r="E7" s="104" t="n"/>
      <c r="F7" s="53" t="n"/>
      <c r="G7" s="104" t="n"/>
      <c r="H7" s="59" t="n"/>
      <c r="I7" s="104" t="n"/>
      <c r="J7" s="104" t="n"/>
      <c r="K7" s="104">
        <f>SUM(C7,E7,G7,I7)</f>
        <v/>
      </c>
      <c r="L7" s="104" t="n"/>
      <c r="M7" s="104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</row>
    <row r="8" ht="15" customHeight="1">
      <c r="A8" s="42" t="inlineStr">
        <is>
          <t>F7</t>
        </is>
      </c>
      <c r="B8" s="42">
        <f>VLOOKUP(A8,Members!$A$2:$B$65,2,FALSE)</f>
        <v/>
      </c>
      <c r="C8" s="47" t="n"/>
      <c r="D8" s="50" t="n"/>
      <c r="E8" s="47" t="n"/>
      <c r="F8" s="50" t="n"/>
      <c r="G8" s="47" t="n"/>
      <c r="H8" s="58" t="n"/>
      <c r="I8" s="47" t="n"/>
      <c r="J8" s="47" t="n"/>
      <c r="K8" s="47">
        <f>SUM(C8,E8,G8,I8)</f>
        <v/>
      </c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  <c r="AA8" s="47" t="n"/>
    </row>
    <row r="9" ht="15" customHeight="1">
      <c r="A9" s="40" t="inlineStr">
        <is>
          <t>F8</t>
        </is>
      </c>
      <c r="B9" s="40">
        <f>VLOOKUP(A9,Members!$A$2:$B$65,2,FALSE)</f>
        <v/>
      </c>
      <c r="C9" s="41" t="n"/>
      <c r="D9" s="53" t="n"/>
      <c r="E9" s="104" t="n"/>
      <c r="F9" s="53" t="n"/>
      <c r="G9" s="104" t="n"/>
      <c r="H9" s="59" t="n"/>
      <c r="I9" s="104" t="n"/>
      <c r="J9" s="104" t="n"/>
      <c r="K9" s="41">
        <f>SUM(C9,E9,G9,I9)</f>
        <v/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</row>
    <row r="10" ht="15" customHeight="1">
      <c r="A10" s="42" t="inlineStr">
        <is>
          <t>F9</t>
        </is>
      </c>
      <c r="B10" s="42">
        <f>VLOOKUP(A10,Members!$A$2:$B$65,2,FALSE)</f>
        <v/>
      </c>
      <c r="C10" s="43" t="n"/>
      <c r="D10" s="50" t="n"/>
      <c r="E10" s="47" t="n"/>
      <c r="F10" s="50" t="n"/>
      <c r="G10" s="47" t="n"/>
      <c r="H10" s="58" t="n"/>
      <c r="I10" s="47" t="n"/>
      <c r="J10" s="47" t="n"/>
      <c r="K10" s="43">
        <f>SUM(C10,E10,G10,I10)</f>
        <v/>
      </c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  <c r="AA10" s="47" t="n"/>
    </row>
    <row r="11" ht="15" customHeight="1">
      <c r="A11" s="40" t="inlineStr">
        <is>
          <t>F10</t>
        </is>
      </c>
      <c r="B11" s="40">
        <f>VLOOKUP(A11,Members!$A$2:$B$65,2,FALSE)</f>
        <v/>
      </c>
      <c r="C11" s="41" t="n"/>
      <c r="D11" s="53" t="n"/>
      <c r="E11" s="104" t="n"/>
      <c r="F11" s="53" t="n"/>
      <c r="G11" s="104" t="n"/>
      <c r="H11" s="59" t="n"/>
      <c r="I11" s="104" t="n"/>
      <c r="J11" s="104" t="n"/>
      <c r="K11" s="41">
        <f>SUM(C11,E11,G11,I11)</f>
        <v/>
      </c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</row>
    <row r="12" ht="15" customHeight="1">
      <c r="A12" s="42" t="inlineStr">
        <is>
          <t>F11</t>
        </is>
      </c>
      <c r="B12" s="42">
        <f>VLOOKUP(A12,Members!$A$2:$B$65,2,FALSE)</f>
        <v/>
      </c>
      <c r="C12" s="43" t="n"/>
      <c r="D12" s="50" t="n"/>
      <c r="E12" s="47" t="n"/>
      <c r="F12" s="50" t="n"/>
      <c r="G12" s="47" t="n"/>
      <c r="H12" s="58" t="n"/>
      <c r="I12" s="47" t="n"/>
      <c r="J12" s="47" t="n"/>
      <c r="K12" s="43">
        <f>SUM(C12,E12,G12,I12)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</row>
    <row r="13" ht="15" customHeight="1">
      <c r="A13" s="40" t="inlineStr">
        <is>
          <t>F12</t>
        </is>
      </c>
      <c r="B13" s="40">
        <f>VLOOKUP(A13,Members!$A$2:$B$65,2,FALSE)</f>
        <v/>
      </c>
      <c r="C13" s="41" t="n"/>
      <c r="D13" s="53" t="n"/>
      <c r="E13" s="104" t="n"/>
      <c r="F13" s="53" t="n"/>
      <c r="G13" s="104" t="n"/>
      <c r="H13" s="59" t="n"/>
      <c r="I13" s="104" t="n"/>
      <c r="J13" s="104" t="n"/>
      <c r="K13" s="41">
        <f>SUM(C13,E13,G13,I13)</f>
        <v/>
      </c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</row>
    <row r="14" ht="15" customHeight="1">
      <c r="A14" s="42" t="inlineStr">
        <is>
          <t>F13</t>
        </is>
      </c>
      <c r="B14" s="42">
        <f>VLOOKUP(A14,Members!$A$2:$B$65,2,FALSE)</f>
        <v/>
      </c>
      <c r="C14" s="47" t="n"/>
      <c r="D14" s="50" t="n"/>
      <c r="E14" s="47" t="n"/>
      <c r="F14" s="50" t="n"/>
      <c r="G14" s="47" t="n"/>
      <c r="H14" s="58" t="n"/>
      <c r="I14" s="47" t="n"/>
      <c r="J14" s="47" t="n"/>
      <c r="K14" s="47">
        <f>SUM(C14,E14,G14,I14)</f>
        <v/>
      </c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  <c r="AA14" s="47" t="n"/>
    </row>
    <row r="15" ht="15" customHeight="1">
      <c r="A15" s="40" t="inlineStr">
        <is>
          <t>F14</t>
        </is>
      </c>
      <c r="B15" s="40">
        <f>VLOOKUP(A15,Members!$A$2:$B$65,2,FALSE)</f>
        <v/>
      </c>
      <c r="C15" s="41" t="n"/>
      <c r="D15" s="53" t="n"/>
      <c r="E15" s="104" t="n"/>
      <c r="F15" s="53" t="n"/>
      <c r="G15" s="104" t="n"/>
      <c r="H15" s="59" t="n"/>
      <c r="I15" s="104" t="n"/>
      <c r="J15" s="104" t="n"/>
      <c r="K15" s="41">
        <f>SUM(C15,E15,G15,I15)</f>
        <v/>
      </c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</row>
    <row r="16" ht="15" customHeight="1">
      <c r="A16" s="42" t="inlineStr">
        <is>
          <t>F15</t>
        </is>
      </c>
      <c r="B16" s="42">
        <f>VLOOKUP(A16,Members!$A$2:$B$65,2,FALSE)</f>
        <v/>
      </c>
      <c r="C16" s="47" t="n"/>
      <c r="D16" s="50" t="n"/>
      <c r="E16" s="47" t="n"/>
      <c r="F16" s="50" t="n"/>
      <c r="G16" s="47" t="n"/>
      <c r="H16" s="58" t="n"/>
      <c r="I16" s="47" t="n"/>
      <c r="J16" s="47" t="n"/>
      <c r="K16" s="47">
        <f>SUM(C16,E16,G16,I16)</f>
        <v/>
      </c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  <c r="AA16" s="47" t="n"/>
    </row>
    <row r="17" ht="15" customHeight="1">
      <c r="A17" s="40" t="inlineStr">
        <is>
          <t>F16</t>
        </is>
      </c>
      <c r="B17" s="40">
        <f>VLOOKUP(A17,Members!$A$2:$B$65,2,FALSE)</f>
        <v/>
      </c>
      <c r="C17" s="104" t="n"/>
      <c r="D17" s="53" t="n"/>
      <c r="E17" s="104" t="n"/>
      <c r="F17" s="53" t="n"/>
      <c r="G17" s="104" t="n"/>
      <c r="H17" s="59" t="n"/>
      <c r="I17" s="104" t="n"/>
      <c r="J17" s="104" t="n"/>
      <c r="K17" s="104">
        <f>SUM(C17,E17,G17,I17)</f>
        <v/>
      </c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</row>
    <row r="18" ht="15" customHeight="1">
      <c r="A18" s="42" t="inlineStr">
        <is>
          <t>G1</t>
        </is>
      </c>
      <c r="B18" s="42">
        <f>VLOOKUP(A18,Members!$A$2:$B$65,2,FALSE)</f>
        <v/>
      </c>
      <c r="C18" s="43" t="n"/>
      <c r="D18" s="50" t="n"/>
      <c r="E18" s="43" t="n"/>
      <c r="F18" s="50" t="n"/>
      <c r="G18" s="47" t="n"/>
      <c r="H18" s="58" t="n"/>
      <c r="I18" s="47" t="n"/>
      <c r="J18" s="47" t="n"/>
      <c r="K18" s="43">
        <f>SUM(C18,E18,G18,I18)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</row>
    <row r="19" ht="15" customHeight="1">
      <c r="A19" s="40" t="inlineStr">
        <is>
          <t>G2</t>
        </is>
      </c>
      <c r="B19" s="40">
        <f>VLOOKUP(A19,Members!$A$2:$B$65,2,FALSE)</f>
        <v/>
      </c>
      <c r="C19" s="41" t="n"/>
      <c r="D19" s="53" t="n"/>
      <c r="E19" s="104" t="n"/>
      <c r="F19" s="53" t="n"/>
      <c r="G19" s="104" t="n"/>
      <c r="H19" s="59" t="n"/>
      <c r="I19" s="104" t="n"/>
      <c r="J19" s="104" t="n"/>
      <c r="K19" s="41">
        <f>SUM(C19,E19,G19,I19)</f>
        <v/>
      </c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</row>
    <row r="20" ht="15" customHeight="1">
      <c r="A20" s="42" t="inlineStr">
        <is>
          <t>G3</t>
        </is>
      </c>
      <c r="B20" s="42">
        <f>VLOOKUP(A20,Members!$A$2:$B$65,2,FALSE)</f>
        <v/>
      </c>
      <c r="C20" s="43" t="n"/>
      <c r="D20" s="50" t="n"/>
      <c r="E20" s="47" t="n"/>
      <c r="F20" s="50" t="n"/>
      <c r="G20" s="47" t="n"/>
      <c r="H20" s="58" t="n"/>
      <c r="I20" s="47" t="n"/>
      <c r="J20" s="47" t="n"/>
      <c r="K20" s="43">
        <f>SUM(C20,E20,G20,I20)</f>
        <v/>
      </c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</row>
    <row r="21" ht="15" customHeight="1">
      <c r="A21" s="40" t="inlineStr">
        <is>
          <t>G4</t>
        </is>
      </c>
      <c r="B21" s="40">
        <f>VLOOKUP(A21,Members!$A$2:$B$65,2,FALSE)</f>
        <v/>
      </c>
      <c r="C21" s="41" t="n"/>
      <c r="D21" s="53" t="n"/>
      <c r="E21" s="104" t="n"/>
      <c r="F21" s="53" t="n"/>
      <c r="G21" s="104" t="n"/>
      <c r="H21" s="59" t="n"/>
      <c r="I21" s="104" t="n"/>
      <c r="J21" s="104" t="n"/>
      <c r="K21" s="41">
        <f>SUM(C21,E21,G21,I21)</f>
        <v/>
      </c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</row>
    <row r="22" ht="15.95" customHeight="1">
      <c r="A22" s="42" t="inlineStr">
        <is>
          <t>G5</t>
        </is>
      </c>
      <c r="B22" s="42">
        <f>VLOOKUP(A22,Members!$A$2:$B$65,2,FALSE)</f>
        <v/>
      </c>
      <c r="C22" s="43" t="n"/>
      <c r="D22" s="50" t="n"/>
      <c r="E22" s="47" t="n"/>
      <c r="F22" s="50" t="n"/>
      <c r="G22" s="47" t="n"/>
      <c r="H22" s="58" t="n"/>
      <c r="I22" s="47" t="n"/>
      <c r="J22" s="47" t="n"/>
      <c r="K22" s="43">
        <f>SUM(C22,E22,G22,I22)</f>
        <v/>
      </c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</row>
    <row r="23" ht="15.95" customHeight="1">
      <c r="A23" s="40" t="inlineStr">
        <is>
          <t>G6</t>
        </is>
      </c>
      <c r="B23" s="40">
        <f>VLOOKUP(A23,Members!$A$2:$B$65,2,FALSE)</f>
        <v/>
      </c>
      <c r="C23" s="104" t="n"/>
      <c r="D23" s="53" t="n"/>
      <c r="E23" s="104" t="n"/>
      <c r="F23" s="53" t="n"/>
      <c r="G23" s="104" t="n"/>
      <c r="H23" s="59" t="n"/>
      <c r="I23" s="104" t="n"/>
      <c r="J23" s="104" t="n"/>
      <c r="K23" s="104">
        <f>SUM(C23,E23,G23,I23)</f>
        <v/>
      </c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</row>
    <row r="24" ht="15.95" customHeight="1">
      <c r="A24" s="42" t="inlineStr">
        <is>
          <t>G7</t>
        </is>
      </c>
      <c r="B24" s="42">
        <f>VLOOKUP(A24,Members!$A$2:$B$65,2,FALSE)</f>
        <v/>
      </c>
      <c r="C24" s="43" t="n"/>
      <c r="D24" s="50" t="n"/>
      <c r="E24" s="47" t="n"/>
      <c r="F24" s="50" t="n"/>
      <c r="G24" s="47" t="n"/>
      <c r="H24" s="58" t="n"/>
      <c r="I24" s="47" t="n"/>
      <c r="J24" s="47" t="n"/>
      <c r="K24" s="43">
        <f>SUM(C24,E24,G24,I24)</f>
        <v/>
      </c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</row>
    <row r="25" ht="15.95" customHeight="1">
      <c r="A25" s="40" t="inlineStr">
        <is>
          <t>G8</t>
        </is>
      </c>
      <c r="B25" s="40">
        <f>VLOOKUP(A25,Members!$A$2:$B$65,2,FALSE)</f>
        <v/>
      </c>
      <c r="C25" s="104" t="n"/>
      <c r="D25" s="53" t="n"/>
      <c r="E25" s="104" t="n"/>
      <c r="F25" s="53" t="n"/>
      <c r="G25" s="104" t="n"/>
      <c r="H25" s="59" t="n"/>
      <c r="I25" s="104" t="n"/>
      <c r="J25" s="104" t="n"/>
      <c r="K25" s="104">
        <f>SUM(C25,E25,G25,I25)</f>
        <v/>
      </c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</row>
    <row r="26" ht="15.95" customHeight="1">
      <c r="A26" s="42" t="inlineStr">
        <is>
          <t>G9</t>
        </is>
      </c>
      <c r="B26" s="42">
        <f>VLOOKUP(A26,Members!$A$2:$B$65,2,FALSE)</f>
        <v/>
      </c>
      <c r="C26" s="43" t="n"/>
      <c r="D26" s="50" t="n"/>
      <c r="E26" s="47" t="n"/>
      <c r="F26" s="50" t="n"/>
      <c r="G26" s="47" t="n"/>
      <c r="H26" s="58" t="n"/>
      <c r="I26" s="47" t="n"/>
      <c r="J26" s="47" t="n"/>
      <c r="K26" s="43">
        <f>SUM(C26,E26,G26,I26)</f>
        <v/>
      </c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</row>
    <row r="27" ht="15.95" customHeight="1">
      <c r="A27" s="40" t="inlineStr">
        <is>
          <t>G10</t>
        </is>
      </c>
      <c r="B27" s="40">
        <f>VLOOKUP(A27,Members!$A$2:$B$65,2,FALSE)</f>
        <v/>
      </c>
      <c r="C27" s="41" t="n"/>
      <c r="D27" s="53" t="n"/>
      <c r="E27" s="104" t="n"/>
      <c r="F27" s="53" t="n"/>
      <c r="G27" s="104" t="n"/>
      <c r="H27" s="59" t="n"/>
      <c r="I27" s="104" t="n"/>
      <c r="J27" s="104" t="n"/>
      <c r="K27" s="41">
        <f>SUM(C27,E27,G27,I27)</f>
        <v/>
      </c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</row>
    <row r="28" ht="15.95" customHeight="1">
      <c r="A28" s="42" t="inlineStr">
        <is>
          <t>G11</t>
        </is>
      </c>
      <c r="B28" s="42">
        <f>VLOOKUP(A28,Members!$A$2:$B$65,2,FALSE)</f>
        <v/>
      </c>
      <c r="C28" s="43" t="n"/>
      <c r="D28" s="50" t="inlineStr">
        <is>
          <t>9-Sep-0205</t>
        </is>
      </c>
      <c r="E28" s="47" t="n"/>
      <c r="F28" s="50" t="n"/>
      <c r="G28" s="47" t="n"/>
      <c r="H28" s="58" t="n"/>
      <c r="I28" s="47" t="n"/>
      <c r="J28" s="47" t="n"/>
      <c r="K28" s="43">
        <f>SUM(C28,E28,G28,I28)</f>
        <v/>
      </c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</row>
    <row r="29" ht="15.95" customHeight="1">
      <c r="A29" s="40" t="inlineStr">
        <is>
          <t>G12</t>
        </is>
      </c>
      <c r="B29" s="40">
        <f>VLOOKUP(A29,Members!$A$2:$B$65,2,FALSE)</f>
        <v/>
      </c>
      <c r="C29" s="41" t="n"/>
      <c r="D29" s="53" t="n"/>
      <c r="E29" s="104" t="n"/>
      <c r="F29" s="53" t="n"/>
      <c r="G29" s="104" t="n"/>
      <c r="H29" s="59" t="n"/>
      <c r="I29" s="104" t="n"/>
      <c r="J29" s="104" t="n"/>
      <c r="K29" s="41">
        <f>SUM(C29,E29,G29,I29)</f>
        <v/>
      </c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</row>
    <row r="30" ht="15.95" customHeight="1">
      <c r="A30" s="42" t="inlineStr">
        <is>
          <t>G13</t>
        </is>
      </c>
      <c r="B30" s="42">
        <f>VLOOKUP(A30,Members!$A$2:$B$65,2,FALSE)</f>
        <v/>
      </c>
      <c r="C30" s="70" t="n"/>
      <c r="D30" s="50" t="n"/>
      <c r="E30" s="47" t="n"/>
      <c r="F30" s="50" t="n"/>
      <c r="G30" s="47" t="n"/>
      <c r="H30" s="58" t="n"/>
      <c r="I30" s="47" t="n"/>
      <c r="J30" s="47" t="n"/>
      <c r="K30" s="70">
        <f>SUM(C30,E30,G30,I30)</f>
        <v/>
      </c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</row>
    <row r="31" ht="15.95" customHeight="1">
      <c r="A31" s="40" t="inlineStr">
        <is>
          <t>G14</t>
        </is>
      </c>
      <c r="B31" s="40">
        <f>VLOOKUP(A31,Members!$A$2:$B$65,2,FALSE)</f>
        <v/>
      </c>
      <c r="C31" s="104" t="n"/>
      <c r="D31" s="53" t="n"/>
      <c r="E31" s="104" t="n"/>
      <c r="F31" s="53" t="n"/>
      <c r="G31" s="104" t="n"/>
      <c r="H31" s="59" t="n"/>
      <c r="I31" s="104" t="n"/>
      <c r="J31" s="104" t="n"/>
      <c r="K31" s="104">
        <f>SUM(C31,E31,G31,I31)</f>
        <v/>
      </c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</row>
    <row r="32" ht="15.95" customHeight="1">
      <c r="A32" s="42" t="inlineStr">
        <is>
          <t>G15</t>
        </is>
      </c>
      <c r="B32" s="42">
        <f>VLOOKUP(A32,Members!$A$2:$B$65,2,FALSE)</f>
        <v/>
      </c>
      <c r="C32" s="43" t="n"/>
      <c r="D32" s="50" t="n"/>
      <c r="E32" s="47" t="n"/>
      <c r="F32" s="50" t="n"/>
      <c r="G32" s="47" t="n"/>
      <c r="H32" s="58" t="n"/>
      <c r="I32" s="47" t="n"/>
      <c r="J32" s="47" t="n"/>
      <c r="K32" s="43">
        <f>SUM(C32,E32,G32,I32)</f>
        <v/>
      </c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</row>
    <row r="33" ht="15.95" customHeight="1">
      <c r="A33" s="40" t="inlineStr">
        <is>
          <t>G16</t>
        </is>
      </c>
      <c r="B33" s="40">
        <f>VLOOKUP(A33,Members!$A$2:$B$65,2,FALSE)</f>
        <v/>
      </c>
      <c r="C33" s="104" t="n"/>
      <c r="D33" s="53" t="n"/>
      <c r="E33" s="104" t="n"/>
      <c r="F33" s="53" t="n"/>
      <c r="G33" s="104" t="n"/>
      <c r="H33" s="59" t="n"/>
      <c r="I33" s="104" t="n"/>
      <c r="J33" s="104" t="n"/>
      <c r="K33" s="104">
        <f>SUM(C33,E33,G33,I33)</f>
        <v/>
      </c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</row>
    <row r="34" ht="15.95" customHeight="1">
      <c r="A34" s="42" t="inlineStr">
        <is>
          <t>S1</t>
        </is>
      </c>
      <c r="B34" s="42">
        <f>VLOOKUP(A34,Members!$A$2:$B$65,2,FALSE)</f>
        <v/>
      </c>
      <c r="C34" s="43" t="n"/>
      <c r="D34" s="50" t="n"/>
      <c r="E34" s="47" t="n"/>
      <c r="F34" s="50" t="n"/>
      <c r="G34" s="47" t="n"/>
      <c r="H34" s="58" t="n"/>
      <c r="I34" s="47" t="n"/>
      <c r="J34" s="47" t="n"/>
      <c r="K34" s="43">
        <f>SUM(C34,E34,G34,I34)</f>
        <v/>
      </c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  <c r="AA34" s="47" t="n"/>
    </row>
    <row r="35" ht="15.95" customHeight="1">
      <c r="A35" s="40" t="inlineStr">
        <is>
          <t>S2</t>
        </is>
      </c>
      <c r="B35" s="40">
        <f>VLOOKUP(A35,Members!$A$2:$B$65,2,FALSE)</f>
        <v/>
      </c>
      <c r="C35" s="41" t="n"/>
      <c r="D35" s="53" t="n"/>
      <c r="E35" s="104" t="n"/>
      <c r="F35" s="53" t="n"/>
      <c r="G35" s="104" t="n"/>
      <c r="H35" s="59" t="n"/>
      <c r="I35" s="104" t="n"/>
      <c r="J35" s="104" t="n"/>
      <c r="K35" s="41">
        <f>SUM(C35,E35,G35,I35)</f>
        <v/>
      </c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</row>
    <row r="36" ht="15.95" customHeight="1">
      <c r="A36" s="42" t="inlineStr">
        <is>
          <t>S3</t>
        </is>
      </c>
      <c r="B36" s="42">
        <f>VLOOKUP(A36,Members!$A$2:$B$65,2,FALSE)</f>
        <v/>
      </c>
      <c r="C36" s="47" t="n"/>
      <c r="D36" s="50" t="n"/>
      <c r="E36" s="47" t="n"/>
      <c r="F36" s="50" t="n"/>
      <c r="G36" s="47" t="n"/>
      <c r="H36" s="58" t="n"/>
      <c r="I36" s="47" t="n"/>
      <c r="J36" s="47" t="n"/>
      <c r="K36" s="47">
        <f>SUM(C36,E36,G36,I36)</f>
        <v/>
      </c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</row>
    <row r="37" ht="15.95" customHeight="1">
      <c r="A37" s="40" t="inlineStr">
        <is>
          <t>S4</t>
        </is>
      </c>
      <c r="B37" s="40">
        <f>VLOOKUP(A37,Members!$A$2:$B$65,2,FALSE)</f>
        <v/>
      </c>
      <c r="C37" s="41" t="n"/>
      <c r="D37" s="53" t="n"/>
      <c r="E37" s="104" t="n"/>
      <c r="F37" s="53" t="n"/>
      <c r="G37" s="104" t="n"/>
      <c r="H37" s="59" t="n"/>
      <c r="I37" s="104" t="n"/>
      <c r="J37" s="104" t="n"/>
      <c r="K37" s="41">
        <f>SUM(C37,E37,G37,I37)</f>
        <v/>
      </c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</row>
    <row r="38" ht="15.95" customHeight="1">
      <c r="A38" s="42" t="inlineStr">
        <is>
          <t>S5</t>
        </is>
      </c>
      <c r="B38" s="42">
        <f>VLOOKUP(A38,Members!$A$2:$B$65,2,FALSE)</f>
        <v/>
      </c>
      <c r="C38" s="47" t="n"/>
      <c r="D38" s="50" t="n"/>
      <c r="E38" s="47" t="n"/>
      <c r="F38" s="50" t="n"/>
      <c r="G38" s="47" t="n"/>
      <c r="H38" s="58" t="n"/>
      <c r="I38" s="47" t="n"/>
      <c r="J38" s="47" t="n"/>
      <c r="K38" s="47">
        <f>SUM(C38,E38,G38,I38)</f>
        <v/>
      </c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</row>
    <row r="39" ht="15.95" customHeight="1">
      <c r="A39" s="40" t="inlineStr">
        <is>
          <t>S6</t>
        </is>
      </c>
      <c r="B39" s="40">
        <f>VLOOKUP(A39,Members!$A$2:$B$65,2,FALSE)</f>
        <v/>
      </c>
      <c r="C39" s="104" t="n"/>
      <c r="D39" s="53" t="n"/>
      <c r="E39" s="104" t="n"/>
      <c r="F39" s="53" t="n"/>
      <c r="G39" s="104" t="n"/>
      <c r="H39" s="59" t="n"/>
      <c r="I39" s="104" t="n"/>
      <c r="J39" s="104" t="n"/>
      <c r="K39" s="104">
        <f>SUM(C39,E39,G39,I39)</f>
        <v/>
      </c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</row>
    <row r="40" ht="15.95" customHeight="1">
      <c r="A40" s="42" t="inlineStr">
        <is>
          <t>S7</t>
        </is>
      </c>
      <c r="B40" s="42">
        <f>VLOOKUP(A40,Members!$A$2:$B$65,2,FALSE)</f>
        <v/>
      </c>
      <c r="C40" s="43" t="n"/>
      <c r="D40" s="50" t="n"/>
      <c r="E40" s="47" t="n"/>
      <c r="F40" s="50" t="n"/>
      <c r="G40" s="47" t="n"/>
      <c r="H40" s="58" t="n"/>
      <c r="I40" s="47" t="n"/>
      <c r="J40" s="47" t="n"/>
      <c r="K40" s="43">
        <f>SUM(C40,E40,G40,I40)</f>
        <v/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  <c r="AA40" s="47" t="n"/>
    </row>
    <row r="41" ht="15.95" customHeight="1">
      <c r="A41" s="40" t="inlineStr">
        <is>
          <t>S8</t>
        </is>
      </c>
      <c r="B41" s="40">
        <f>VLOOKUP(A41,Members!$A$2:$B$65,2,FALSE)</f>
        <v/>
      </c>
      <c r="C41" s="41" t="n"/>
      <c r="D41" s="53" t="n"/>
      <c r="E41" s="104" t="n"/>
      <c r="F41" s="53" t="n"/>
      <c r="G41" s="104" t="n"/>
      <c r="H41" s="59" t="n"/>
      <c r="I41" s="104" t="n"/>
      <c r="J41" s="104" t="n"/>
      <c r="K41" s="41">
        <f>SUM(C41,E41,G41,I41)</f>
        <v/>
      </c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</row>
    <row r="42" ht="15.95" customHeight="1">
      <c r="A42" s="42" t="inlineStr">
        <is>
          <t>S9</t>
        </is>
      </c>
      <c r="B42" s="42">
        <f>VLOOKUP(A42,Members!$A$2:$B$65,2,FALSE)</f>
        <v/>
      </c>
      <c r="C42" s="43" t="n"/>
      <c r="D42" s="50" t="n"/>
      <c r="E42" s="47" t="n"/>
      <c r="F42" s="50" t="n"/>
      <c r="G42" s="47" t="n"/>
      <c r="H42" s="58" t="n"/>
      <c r="I42" s="47" t="n"/>
      <c r="J42" s="47" t="n"/>
      <c r="K42" s="43">
        <f>SUM(C42,E42,G42,I42)</f>
        <v/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</row>
    <row r="43" ht="15.95" customHeight="1">
      <c r="A43" s="40" t="inlineStr">
        <is>
          <t>S10</t>
        </is>
      </c>
      <c r="B43" s="40">
        <f>VLOOKUP(A43,Members!$A$2:$B$65,2,FALSE)</f>
        <v/>
      </c>
      <c r="C43" s="41" t="n"/>
      <c r="D43" s="53" t="n"/>
      <c r="E43" s="104" t="n"/>
      <c r="F43" s="53" t="n"/>
      <c r="G43" s="104" t="n"/>
      <c r="H43" s="59" t="n"/>
      <c r="I43" s="104" t="n"/>
      <c r="J43" s="104" t="n"/>
      <c r="K43" s="41">
        <f>SUM(C43,E43,G43,I43)</f>
        <v/>
      </c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</row>
    <row r="44" ht="15.95" customHeight="1">
      <c r="A44" s="42" t="inlineStr">
        <is>
          <t>S11</t>
        </is>
      </c>
      <c r="B44" s="42">
        <f>VLOOKUP(A44,Members!$A$2:$B$65,2,FALSE)</f>
        <v/>
      </c>
      <c r="C44" s="47" t="n"/>
      <c r="D44" s="50" t="n"/>
      <c r="E44" s="47" t="n"/>
      <c r="F44" s="50" t="n"/>
      <c r="G44" s="47" t="n"/>
      <c r="H44" s="58" t="n"/>
      <c r="I44" s="47" t="n"/>
      <c r="J44" s="47" t="n"/>
      <c r="K44" s="47">
        <f>SUM(C44,E44,G44,I44)</f>
        <v/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</row>
    <row r="45" ht="15.95" customHeight="1">
      <c r="A45" s="40" t="inlineStr">
        <is>
          <t>S12</t>
        </is>
      </c>
      <c r="B45" s="40">
        <f>VLOOKUP(A45,Members!$A$2:$B$65,2,FALSE)</f>
        <v/>
      </c>
      <c r="C45" s="41" t="n"/>
      <c r="D45" s="53" t="n"/>
      <c r="E45" s="104" t="n"/>
      <c r="F45" s="53" t="n"/>
      <c r="G45" s="104" t="n"/>
      <c r="H45" s="59" t="n"/>
      <c r="I45" s="104" t="n"/>
      <c r="J45" s="104" t="n"/>
      <c r="K45" s="41">
        <f>SUM(C45,E45,G45,I45)</f>
        <v/>
      </c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</row>
    <row r="46" ht="15.95" customHeight="1">
      <c r="A46" s="42" t="inlineStr">
        <is>
          <t>S13</t>
        </is>
      </c>
      <c r="B46" s="42">
        <f>VLOOKUP(A46,Members!$A$2:$B$65,2,FALSE)</f>
        <v/>
      </c>
      <c r="C46" s="47" t="n"/>
      <c r="D46" s="50" t="n"/>
      <c r="E46" s="47" t="n"/>
      <c r="F46" s="50" t="n"/>
      <c r="G46" s="47" t="n"/>
      <c r="H46" s="58" t="n"/>
      <c r="I46" s="47" t="n"/>
      <c r="J46" s="47" t="n"/>
      <c r="K46" s="47">
        <f>SUM(C46,E46,G46,I46)</f>
        <v/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</row>
    <row r="47" ht="15.95" customHeight="1">
      <c r="A47" s="40" t="inlineStr">
        <is>
          <t>S14</t>
        </is>
      </c>
      <c r="B47" s="40">
        <f>VLOOKUP(A47,Members!$A$2:$B$65,2,FALSE)</f>
        <v/>
      </c>
      <c r="C47" s="104" t="n"/>
      <c r="D47" s="53" t="n"/>
      <c r="E47" s="104" t="n"/>
      <c r="F47" s="53" t="n"/>
      <c r="G47" s="104" t="n"/>
      <c r="H47" s="59" t="n"/>
      <c r="I47" s="104" t="n"/>
      <c r="J47" s="104" t="n"/>
      <c r="K47" s="104">
        <f>SUM(C47,E47,G47,I47)</f>
        <v/>
      </c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</row>
    <row r="48" ht="15.95" customHeight="1">
      <c r="A48" s="42" t="inlineStr">
        <is>
          <t>S15</t>
        </is>
      </c>
      <c r="B48" s="42">
        <f>VLOOKUP(A48,Members!$A$2:$B$65,2,FALSE)</f>
        <v/>
      </c>
      <c r="C48" s="43" t="n"/>
      <c r="D48" s="50" t="n"/>
      <c r="E48" s="47" t="n"/>
      <c r="F48" s="50" t="n"/>
      <c r="G48" s="47" t="n"/>
      <c r="H48" s="58" t="n"/>
      <c r="I48" s="47" t="n"/>
      <c r="J48" s="47" t="n"/>
      <c r="K48" s="43">
        <f>SUM(C48,E48,G48,I48)</f>
        <v/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</row>
    <row r="49" ht="15.95" customHeight="1">
      <c r="A49" s="40" t="inlineStr">
        <is>
          <t>S16</t>
        </is>
      </c>
      <c r="B49" s="40">
        <f>VLOOKUP(A49,Members!$A$2:$B$65,2,FALSE)</f>
        <v/>
      </c>
      <c r="C49" s="104" t="n"/>
      <c r="D49" s="53" t="n"/>
      <c r="E49" s="104" t="n"/>
      <c r="F49" s="53" t="n"/>
      <c r="G49" s="104" t="n"/>
      <c r="H49" s="59" t="n"/>
      <c r="I49" s="104" t="n"/>
      <c r="J49" s="104" t="n"/>
      <c r="K49" s="104">
        <f>SUM(C49,E49,G49,I49)</f>
        <v/>
      </c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</row>
    <row r="50" ht="15.95" customHeight="1">
      <c r="A50" s="42" t="inlineStr">
        <is>
          <t>T1</t>
        </is>
      </c>
      <c r="B50" s="42">
        <f>VLOOKUP(A50,Members!$A$2:$B$65,2,FALSE)</f>
        <v/>
      </c>
      <c r="C50" s="47" t="n"/>
      <c r="D50" s="51" t="n"/>
      <c r="E50" s="47" t="n"/>
      <c r="F50" s="50" t="n"/>
      <c r="G50" s="47" t="n"/>
      <c r="H50" s="58" t="n"/>
      <c r="I50" s="47" t="n"/>
      <c r="J50" s="47" t="n"/>
      <c r="K50" s="47">
        <f>SUM(C50,E50,G50,I50)</f>
        <v/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</row>
    <row r="51" ht="15.95" customHeight="1">
      <c r="A51" s="40" t="inlineStr">
        <is>
          <t>T2</t>
        </is>
      </c>
      <c r="B51" s="40">
        <f>VLOOKUP(A51,Members!$A$2:$B$65,2,FALSE)</f>
        <v/>
      </c>
      <c r="C51" s="41" t="n"/>
      <c r="D51" s="53" t="n"/>
      <c r="E51" s="104" t="n"/>
      <c r="F51" s="53" t="n"/>
      <c r="G51" s="104" t="n"/>
      <c r="H51" s="59" t="n"/>
      <c r="I51" s="104" t="n"/>
      <c r="J51" s="104" t="n"/>
      <c r="K51" s="41">
        <f>SUM(C51,E51,G51,I51)</f>
        <v/>
      </c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</row>
    <row r="52" ht="15.95" customHeight="1">
      <c r="A52" s="42" t="inlineStr">
        <is>
          <t>T3</t>
        </is>
      </c>
      <c r="B52" s="42">
        <f>VLOOKUP(A52,Members!$A$2:$B$65,2,FALSE)</f>
        <v/>
      </c>
      <c r="C52" s="43" t="n"/>
      <c r="D52" s="50" t="n"/>
      <c r="E52" s="47" t="n"/>
      <c r="F52" s="50" t="n"/>
      <c r="G52" s="47" t="n"/>
      <c r="H52" s="58" t="n"/>
      <c r="I52" s="47" t="n"/>
      <c r="J52" s="47" t="n"/>
      <c r="K52" s="43">
        <f>SUM(C52,E52,G52,I52)</f>
        <v/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</row>
    <row r="53" ht="15.95" customHeight="1">
      <c r="A53" s="40" t="inlineStr">
        <is>
          <t>T4</t>
        </is>
      </c>
      <c r="B53" s="40">
        <f>VLOOKUP(A53,Members!$A$2:$B$65,2,FALSE)</f>
        <v/>
      </c>
      <c r="C53" s="41" t="n"/>
      <c r="D53" s="53" t="n"/>
      <c r="E53" s="104" t="n"/>
      <c r="F53" s="53" t="n"/>
      <c r="G53" s="104" t="n"/>
      <c r="H53" s="59" t="n"/>
      <c r="I53" s="104" t="n"/>
      <c r="J53" s="104" t="n"/>
      <c r="K53" s="41">
        <f>SUM(C53,E53,G53,I53)</f>
        <v/>
      </c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</row>
    <row r="54" ht="15.95" customHeight="1">
      <c r="A54" s="42" t="inlineStr">
        <is>
          <t>T5</t>
        </is>
      </c>
      <c r="B54" s="42">
        <f>VLOOKUP(A54,Members!$A$2:$B$65,2,FALSE)</f>
        <v/>
      </c>
      <c r="C54" s="47" t="n"/>
      <c r="D54" s="50" t="n"/>
      <c r="E54" s="47" t="n"/>
      <c r="F54" s="50" t="n"/>
      <c r="G54" s="47" t="n"/>
      <c r="H54" s="58" t="n"/>
      <c r="I54" s="47" t="n"/>
      <c r="J54" s="47" t="n"/>
      <c r="K54" s="47">
        <f>SUM(C54,E54,G54,I54)</f>
        <v/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</row>
    <row r="55" ht="15.95" customHeight="1">
      <c r="A55" s="40" t="inlineStr">
        <is>
          <t>T6</t>
        </is>
      </c>
      <c r="B55" s="40">
        <f>VLOOKUP(A55,Members!$A$2:$B$65,2,FALSE)</f>
        <v/>
      </c>
      <c r="C55" s="41" t="n"/>
      <c r="D55" s="53" t="n"/>
      <c r="E55" s="104" t="n"/>
      <c r="F55" s="53" t="n"/>
      <c r="G55" s="104" t="n"/>
      <c r="H55" s="59" t="n"/>
      <c r="I55" s="104" t="n"/>
      <c r="J55" s="104" t="n"/>
      <c r="K55" s="41">
        <f>SUM(C55,E55,G55,I55)</f>
        <v/>
      </c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</row>
    <row r="56" ht="15.95" customHeight="1">
      <c r="A56" s="42" t="inlineStr">
        <is>
          <t>T7</t>
        </is>
      </c>
      <c r="B56" s="42">
        <f>VLOOKUP(A56,Members!$A$2:$B$65,2,FALSE)</f>
        <v/>
      </c>
      <c r="C56" s="47" t="n"/>
      <c r="D56" s="50" t="n"/>
      <c r="E56" s="47" t="n"/>
      <c r="F56" s="50" t="n"/>
      <c r="G56" s="47" t="n"/>
      <c r="H56" s="58" t="n"/>
      <c r="I56" s="47" t="n"/>
      <c r="J56" s="47" t="n"/>
      <c r="K56" s="47">
        <f>SUM(C56,E56,G56,I56)</f>
        <v/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</row>
    <row r="57" ht="15.95" customHeight="1">
      <c r="A57" s="40" t="inlineStr">
        <is>
          <t>T8</t>
        </is>
      </c>
      <c r="B57" s="40">
        <f>VLOOKUP(A57,Members!$A$2:$B$65,2,FALSE)</f>
        <v/>
      </c>
      <c r="C57" s="41" t="n"/>
      <c r="D57" s="53" t="n"/>
      <c r="E57" s="104" t="n"/>
      <c r="F57" s="53" t="n"/>
      <c r="G57" s="104" t="n"/>
      <c r="H57" s="59" t="n"/>
      <c r="I57" s="104" t="n"/>
      <c r="J57" s="104" t="n"/>
      <c r="K57" s="41">
        <f>SUM(C57,E57,G57,I57)</f>
        <v/>
      </c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</row>
    <row r="58" ht="15.95" customHeight="1">
      <c r="A58" s="42" t="inlineStr">
        <is>
          <t>T9</t>
        </is>
      </c>
      <c r="B58" s="42">
        <f>VLOOKUP(A58,Members!$A$2:$B$65,2,FALSE)</f>
        <v/>
      </c>
      <c r="C58" s="47" t="n"/>
      <c r="D58" s="50" t="n"/>
      <c r="E58" s="47" t="n"/>
      <c r="F58" s="50" t="n"/>
      <c r="G58" s="47" t="n"/>
      <c r="H58" s="58" t="n"/>
      <c r="I58" s="47" t="n"/>
      <c r="J58" s="47" t="n"/>
      <c r="K58" s="47">
        <f>SUM(C58,E58,G58,I58)</f>
        <v/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</row>
    <row r="59" ht="15.95" customHeight="1">
      <c r="A59" s="40" t="inlineStr">
        <is>
          <t>T10</t>
        </is>
      </c>
      <c r="B59" s="40">
        <f>VLOOKUP(A59,Members!$A$2:$B$65,2,FALSE)</f>
        <v/>
      </c>
      <c r="C59" s="41" t="n"/>
      <c r="D59" s="53" t="n"/>
      <c r="E59" s="104" t="n"/>
      <c r="F59" s="53" t="n"/>
      <c r="G59" s="104" t="n"/>
      <c r="H59" s="59" t="n"/>
      <c r="I59" s="104" t="n"/>
      <c r="J59" s="104" t="n"/>
      <c r="K59" s="41">
        <f>SUM(C59,E59,G59,I59)</f>
        <v/>
      </c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</row>
    <row r="60" ht="15.95" customHeight="1">
      <c r="A60" s="42" t="inlineStr">
        <is>
          <t>T11</t>
        </is>
      </c>
      <c r="B60" s="42">
        <f>VLOOKUP(A60,Members!$A$2:$B$65,2,FALSE)</f>
        <v/>
      </c>
      <c r="C60" s="43" t="n"/>
      <c r="D60" s="50" t="n"/>
      <c r="E60" s="47" t="n"/>
      <c r="F60" s="50" t="n"/>
      <c r="G60" s="47" t="n"/>
      <c r="H60" s="58" t="n"/>
      <c r="I60" s="47" t="n"/>
      <c r="J60" s="47" t="n"/>
      <c r="K60" s="43">
        <f>SUM(C60,E60,G60,I60)</f>
        <v/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</row>
    <row r="61" ht="15.95" customHeight="1">
      <c r="A61" s="40" t="inlineStr">
        <is>
          <t>T12</t>
        </is>
      </c>
      <c r="B61" s="40">
        <f>VLOOKUP(A61,Members!$A$2:$B$65,2,FALSE)</f>
        <v/>
      </c>
      <c r="C61" s="41" t="n"/>
      <c r="D61" s="53" t="n"/>
      <c r="E61" s="104" t="n"/>
      <c r="F61" s="53" t="n"/>
      <c r="G61" s="104" t="n"/>
      <c r="H61" s="59" t="n"/>
      <c r="I61" s="104" t="n"/>
      <c r="J61" s="104" t="n"/>
      <c r="K61" s="41">
        <f>SUM(C61,E61,G61,I61)</f>
        <v/>
      </c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</row>
    <row r="62" ht="15.95" customHeight="1">
      <c r="A62" s="42" t="inlineStr">
        <is>
          <t>T13</t>
        </is>
      </c>
      <c r="B62" s="42">
        <f>VLOOKUP(A62,Members!$A$2:$B$65,2,FALSE)</f>
        <v/>
      </c>
      <c r="C62" s="47" t="n"/>
      <c r="D62" s="49" t="n"/>
      <c r="E62" s="47" t="n"/>
      <c r="F62" s="50" t="n"/>
      <c r="G62" s="47" t="n"/>
      <c r="H62" s="58" t="n"/>
      <c r="I62" s="47" t="n"/>
      <c r="J62" s="47" t="n"/>
      <c r="K62" s="47">
        <f>SUM(C62,E62,G62,I62)</f>
        <v/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</row>
    <row r="63" ht="15.95" customHeight="1">
      <c r="A63" s="40" t="inlineStr">
        <is>
          <t>T14</t>
        </is>
      </c>
      <c r="B63" s="40">
        <f>VLOOKUP(A63,Members!$A$2:$B$65,2,FALSE)</f>
        <v/>
      </c>
      <c r="C63" s="41" t="n"/>
      <c r="D63" s="53" t="n"/>
      <c r="E63" s="104" t="n"/>
      <c r="F63" s="53" t="n"/>
      <c r="G63" s="104" t="n"/>
      <c r="H63" s="59" t="n"/>
      <c r="I63" s="104" t="n"/>
      <c r="J63" s="104" t="n"/>
      <c r="K63" s="41">
        <f>SUM(C63,E63,G63,I63)</f>
        <v/>
      </c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</row>
    <row r="64" ht="15.95" customHeight="1">
      <c r="A64" s="42" t="inlineStr">
        <is>
          <t>T15</t>
        </is>
      </c>
      <c r="B64" s="42">
        <f>VLOOKUP(A64,Members!$A$2:$B$65,2,FALSE)</f>
        <v/>
      </c>
      <c r="C64" s="43" t="n"/>
      <c r="D64" s="50" t="n"/>
      <c r="E64" s="47" t="n"/>
      <c r="F64" s="50" t="n"/>
      <c r="G64" s="47" t="n"/>
      <c r="H64" s="58" t="n"/>
      <c r="I64" s="47" t="n"/>
      <c r="J64" s="47" t="n"/>
      <c r="K64" s="43">
        <f>SUM(C64,E64,G64,I64)</f>
        <v/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</row>
    <row r="65" ht="15.95" customHeight="1">
      <c r="A65" s="40" t="inlineStr">
        <is>
          <t>T16</t>
        </is>
      </c>
      <c r="B65" s="40">
        <f>VLOOKUP(A65,Members!$A$2:$B$65,2,FALSE)</f>
        <v/>
      </c>
      <c r="C65" s="104" t="n"/>
      <c r="D65" s="53" t="n"/>
      <c r="E65" s="104" t="n"/>
      <c r="F65" s="53" t="n"/>
      <c r="G65" s="104" t="n"/>
      <c r="H65" s="59" t="n"/>
      <c r="I65" s="104" t="n"/>
      <c r="J65" s="104" t="n"/>
      <c r="K65" s="104">
        <f>SUM(C65,E65,G65,I65)</f>
        <v/>
      </c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</row>
    <row r="66">
      <c r="A66" s="44" t="inlineStr">
        <is>
          <t>TOTAL</t>
        </is>
      </c>
      <c r="B66" s="55" t="n"/>
      <c r="C66" s="56" t="n"/>
      <c r="D66" s="67" t="n"/>
      <c r="E66" s="56" t="n"/>
      <c r="F66" s="67" t="n"/>
      <c r="G66" s="56" t="n"/>
      <c r="H66" s="62" t="n"/>
      <c r="I66" s="56" t="n"/>
      <c r="J66" s="56" t="n"/>
      <c r="K66" s="56">
        <f>SUM(K2:K65)</f>
        <v/>
      </c>
      <c r="L66" s="56" t="n"/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  <c r="Z66" s="56" t="n"/>
      <c r="AA66" s="56" t="n"/>
    </row>
    <row r="67">
      <c r="D67" s="10" t="n"/>
      <c r="F67" s="9" t="n"/>
      <c r="H67" s="8" t="n"/>
    </row>
    <row r="68">
      <c r="D68" s="10" t="n"/>
      <c r="F68" s="9" t="n"/>
      <c r="H68" s="8" t="n"/>
    </row>
    <row r="69">
      <c r="D69" s="10" t="n"/>
      <c r="F69" s="9" t="n"/>
      <c r="H69" s="8" t="n"/>
    </row>
    <row r="70">
      <c r="A70" s="3" t="n"/>
      <c r="D70" s="10" t="n"/>
      <c r="F70" s="9" t="n"/>
      <c r="H70" s="8" t="n"/>
    </row>
    <row r="71">
      <c r="A71" s="3" t="n"/>
      <c r="D71" s="10" t="n"/>
      <c r="F71" s="9" t="n"/>
      <c r="H71" s="8" t="n"/>
    </row>
    <row r="72">
      <c r="A72" s="5" t="n"/>
      <c r="D72" s="10" t="n"/>
      <c r="F72" s="9" t="n"/>
      <c r="H72" s="8" t="n"/>
    </row>
    <row r="73">
      <c r="A73" s="5" t="n"/>
      <c r="D73" s="10" t="n"/>
      <c r="F73" s="9" t="n"/>
      <c r="H73" s="8" t="n"/>
    </row>
    <row r="74">
      <c r="A74" s="5" t="n"/>
      <c r="D74" s="10" t="n"/>
      <c r="F74" s="9" t="n"/>
      <c r="H74" s="8" t="n"/>
    </row>
    <row r="75">
      <c r="A75" s="5" t="n"/>
      <c r="D75" s="10" t="n"/>
      <c r="F75" s="9" t="n"/>
      <c r="H75" s="8" t="n"/>
    </row>
    <row r="76">
      <c r="A76" s="5" t="n"/>
      <c r="D76" s="10" t="n"/>
      <c r="F76" s="9" t="n"/>
      <c r="H76" s="8" t="n"/>
    </row>
    <row r="77">
      <c r="A77" s="5" t="n"/>
      <c r="D77" s="10" t="n"/>
      <c r="F77" s="9" t="n"/>
      <c r="H77" s="8" t="n"/>
    </row>
    <row r="78">
      <c r="A78" s="5" t="n"/>
      <c r="D78" s="10" t="n"/>
      <c r="F78" s="9" t="n"/>
      <c r="H78" s="8" t="n"/>
    </row>
    <row r="79">
      <c r="A79" s="5" t="n"/>
      <c r="D79" s="10" t="n"/>
      <c r="F79" s="9" t="n"/>
      <c r="H79" s="8" t="n"/>
    </row>
    <row r="80">
      <c r="A80" s="5" t="n"/>
      <c r="D80" s="10" t="n"/>
      <c r="F80" s="9" t="n"/>
      <c r="H80" s="8" t="n"/>
    </row>
    <row r="81">
      <c r="A81" s="5" t="n"/>
      <c r="D81" s="10" t="n"/>
      <c r="F81" s="9" t="n"/>
      <c r="H81" s="8" t="n"/>
    </row>
    <row r="82">
      <c r="A82" s="5" t="n"/>
      <c r="D82" s="10" t="n"/>
      <c r="F82" s="9" t="n"/>
      <c r="H82" s="8" t="n"/>
    </row>
    <row r="83">
      <c r="A83" s="5" t="n"/>
      <c r="D83" s="10" t="n"/>
      <c r="F83" s="9" t="n"/>
      <c r="H83" s="8" t="n"/>
    </row>
    <row r="84">
      <c r="A84" s="5" t="n"/>
      <c r="D84" s="10" t="n"/>
      <c r="F84" s="9" t="n"/>
      <c r="H84" s="8" t="n"/>
    </row>
    <row r="85">
      <c r="A85" s="5" t="n"/>
      <c r="D85" s="10" t="n"/>
      <c r="F85" s="9" t="n"/>
      <c r="H85" s="8" t="n"/>
    </row>
    <row r="86">
      <c r="A86" s="5" t="n"/>
      <c r="D86" s="10" t="n"/>
      <c r="F86" s="9" t="n"/>
      <c r="H86" s="8" t="n"/>
    </row>
    <row r="87">
      <c r="A87" s="5" t="n"/>
      <c r="D87" s="10" t="n"/>
      <c r="F87" s="9" t="n"/>
      <c r="H87" s="8" t="n"/>
    </row>
    <row r="88">
      <c r="A88" s="5" t="n"/>
      <c r="D88" s="10" t="n"/>
      <c r="F88" s="9" t="n"/>
      <c r="H88" s="8" t="n"/>
    </row>
    <row r="89">
      <c r="A89" s="5" t="n"/>
      <c r="D89" s="10" t="n"/>
      <c r="F89" s="9" t="n"/>
      <c r="H89" s="8" t="n"/>
    </row>
    <row r="90">
      <c r="A90" s="5" t="n"/>
      <c r="D90" s="10" t="n"/>
      <c r="F90" s="9" t="n"/>
      <c r="H90" s="8" t="n"/>
    </row>
    <row r="91">
      <c r="A91" s="5" t="n"/>
      <c r="D91" s="10" t="n"/>
      <c r="F91" s="9" t="n"/>
      <c r="H91" s="8" t="n"/>
    </row>
    <row r="92">
      <c r="A92" s="5" t="n"/>
      <c r="D92" s="10" t="n"/>
      <c r="F92" s="9" t="n"/>
      <c r="H92" s="8" t="n"/>
    </row>
    <row r="93">
      <c r="A93" s="5" t="n"/>
      <c r="D93" s="10" t="n"/>
      <c r="F93" s="9" t="n"/>
      <c r="H93" s="8" t="n"/>
    </row>
    <row r="94">
      <c r="A94" s="5" t="n"/>
      <c r="D94" s="10" t="n"/>
      <c r="F94" s="9" t="n"/>
      <c r="H94" s="8" t="n"/>
    </row>
    <row r="95">
      <c r="A95" s="5" t="n"/>
      <c r="D95" s="10" t="n"/>
      <c r="F95" s="9" t="n"/>
      <c r="H95" s="8" t="n"/>
    </row>
    <row r="96">
      <c r="A96" s="5" t="n"/>
      <c r="D96" s="10" t="n"/>
      <c r="F96" s="9" t="n"/>
      <c r="H96" s="8" t="n"/>
    </row>
    <row r="97">
      <c r="A97" s="5" t="n"/>
      <c r="D97" s="10" t="n"/>
      <c r="F97" s="9" t="n"/>
      <c r="H97" s="8" t="n"/>
    </row>
    <row r="98">
      <c r="A98" s="5" t="n"/>
      <c r="D98" s="10" t="n"/>
      <c r="F98" s="9" t="n"/>
      <c r="H98" s="8" t="n"/>
    </row>
    <row r="99">
      <c r="A99" s="5" t="n"/>
      <c r="D99" s="10" t="n"/>
      <c r="F99" s="9" t="n"/>
      <c r="H99" s="8" t="n"/>
    </row>
    <row r="100">
      <c r="A100" s="5" t="n"/>
      <c r="D100" s="10" t="n"/>
      <c r="F100" s="9" t="n"/>
      <c r="H100" s="8" t="n"/>
    </row>
    <row r="101">
      <c r="A101" s="5" t="n"/>
      <c r="D101" s="10" t="n"/>
      <c r="F101" s="9" t="n"/>
      <c r="H101" s="8" t="n"/>
    </row>
    <row r="102">
      <c r="A102" s="5" t="n"/>
      <c r="D102" s="10" t="n"/>
      <c r="F102" s="9" t="n"/>
      <c r="H102" s="8" t="n"/>
    </row>
    <row r="103">
      <c r="A103" s="5" t="n"/>
      <c r="D103" s="10" t="n"/>
      <c r="F103" s="9" t="n"/>
      <c r="H103" s="8" t="n"/>
    </row>
    <row r="104">
      <c r="A104" s="5" t="n"/>
      <c r="D104" s="10" t="n"/>
      <c r="F104" s="9" t="n"/>
      <c r="H104" s="8" t="n"/>
    </row>
    <row r="105">
      <c r="A105" s="5" t="n"/>
      <c r="D105" s="10" t="n"/>
      <c r="F105" s="9" t="n"/>
      <c r="H105" s="8" t="n"/>
    </row>
    <row r="106">
      <c r="A106" s="5" t="n"/>
      <c r="D106" s="10" t="n"/>
      <c r="F106" s="9" t="n"/>
      <c r="H106" s="8" t="n"/>
    </row>
    <row r="107">
      <c r="A107" s="5" t="n"/>
      <c r="D107" s="10" t="n"/>
      <c r="F107" s="9" t="n"/>
      <c r="H107" s="8" t="n"/>
    </row>
    <row r="108">
      <c r="A108" s="5" t="n"/>
      <c r="D108" s="10" t="n"/>
      <c r="F108" s="9" t="n"/>
      <c r="H108" s="8" t="n"/>
    </row>
    <row r="109">
      <c r="A109" s="5" t="n"/>
      <c r="D109" s="10" t="n"/>
      <c r="F109" s="9" t="n"/>
      <c r="H109" s="8" t="n"/>
    </row>
    <row r="110">
      <c r="A110" s="5" t="n"/>
      <c r="D110" s="10" t="n"/>
      <c r="F110" s="9" t="n"/>
      <c r="H110" s="8" t="n"/>
    </row>
    <row r="111">
      <c r="A111" s="5" t="n"/>
      <c r="D111" s="10" t="n"/>
      <c r="F111" s="9" t="n"/>
      <c r="H111" s="8" t="n"/>
    </row>
    <row r="112">
      <c r="A112" s="5" t="n"/>
      <c r="D112" s="10" t="n"/>
      <c r="F112" s="9" t="n"/>
      <c r="H112" s="8" t="n"/>
    </row>
    <row r="113">
      <c r="A113" s="5" t="n"/>
      <c r="D113" s="10" t="n"/>
      <c r="F113" s="9" t="n"/>
      <c r="H113" s="8" t="n"/>
    </row>
    <row r="114">
      <c r="A114" s="5" t="n"/>
      <c r="D114" s="10" t="n"/>
      <c r="F114" s="9" t="n"/>
      <c r="H114" s="8" t="n"/>
    </row>
    <row r="115">
      <c r="A115" s="5" t="n"/>
      <c r="D115" s="10" t="n"/>
      <c r="F115" s="9" t="n"/>
      <c r="H115" s="8" t="n"/>
    </row>
    <row r="116">
      <c r="A116" s="5" t="n"/>
      <c r="D116" s="10" t="n"/>
      <c r="F116" s="9" t="n"/>
      <c r="H116" s="8" t="n"/>
    </row>
    <row r="117">
      <c r="A117" s="5" t="n"/>
      <c r="D117" s="10" t="n"/>
      <c r="F117" s="9" t="n"/>
      <c r="H117" s="8" t="n"/>
    </row>
    <row r="118">
      <c r="A118" s="5" t="n"/>
      <c r="D118" s="10" t="n"/>
      <c r="F118" s="9" t="n"/>
      <c r="H118" s="8" t="n"/>
    </row>
    <row r="119">
      <c r="A119" s="5" t="n"/>
      <c r="D119" s="10" t="n"/>
      <c r="F119" s="9" t="n"/>
      <c r="H119" s="8" t="n"/>
    </row>
    <row r="120">
      <c r="A120" s="5" t="n"/>
      <c r="D120" s="10" t="n"/>
      <c r="F120" s="9" t="n"/>
      <c r="H120" s="8" t="n"/>
    </row>
    <row r="121">
      <c r="A121" s="5" t="n"/>
      <c r="D121" s="10" t="n"/>
      <c r="F121" s="9" t="n"/>
      <c r="H121" s="8" t="n"/>
    </row>
    <row r="122">
      <c r="A122" s="5" t="n"/>
      <c r="D122" s="10" t="n"/>
      <c r="F122" s="9" t="n"/>
      <c r="H122" s="8" t="n"/>
    </row>
    <row r="123">
      <c r="A123" s="5" t="n"/>
      <c r="D123" s="10" t="n"/>
      <c r="F123" s="9" t="n"/>
      <c r="H123" s="8" t="n"/>
    </row>
    <row r="124">
      <c r="A124" s="5" t="n"/>
      <c r="D124" s="10" t="n"/>
      <c r="F124" s="9" t="n"/>
      <c r="H124" s="8" t="n"/>
    </row>
    <row r="125">
      <c r="A125" s="5" t="n"/>
      <c r="D125" s="10" t="n"/>
      <c r="F125" s="9" t="n"/>
      <c r="H125" s="8" t="n"/>
    </row>
    <row r="126">
      <c r="A126" s="5" t="n"/>
      <c r="D126" s="10" t="n"/>
      <c r="F126" s="9" t="n"/>
      <c r="H126" s="8" t="n"/>
    </row>
    <row r="127">
      <c r="A127" s="5" t="n"/>
      <c r="D127" s="10" t="n"/>
      <c r="F127" s="9" t="n"/>
      <c r="H127" s="8" t="n"/>
    </row>
    <row r="128">
      <c r="A128" s="5" t="n"/>
      <c r="D128" s="10" t="n"/>
      <c r="F128" s="9" t="n"/>
      <c r="H128" s="8" t="n"/>
    </row>
    <row r="129">
      <c r="A129" s="5" t="n"/>
      <c r="D129" s="10" t="n"/>
      <c r="F129" s="9" t="n"/>
      <c r="H129" s="8" t="n"/>
    </row>
    <row r="130">
      <c r="A130" s="5" t="n"/>
      <c r="D130" s="10" t="n"/>
      <c r="F130" s="9" t="n"/>
      <c r="H130" s="8" t="n"/>
    </row>
    <row r="131">
      <c r="A131" s="5" t="n"/>
      <c r="D131" s="10" t="n"/>
      <c r="F131" s="9" t="n"/>
      <c r="H131" s="8" t="n"/>
    </row>
    <row r="132">
      <c r="A132" s="5" t="n"/>
      <c r="D132" s="10" t="n"/>
      <c r="F132" s="9" t="n"/>
      <c r="H132" s="8" t="n"/>
    </row>
    <row r="133">
      <c r="A133" s="5" t="n"/>
      <c r="D133" s="10" t="n"/>
      <c r="F133" s="9" t="n"/>
      <c r="H133" s="8" t="n"/>
    </row>
    <row r="134">
      <c r="A134" s="5" t="n"/>
      <c r="D134" s="10" t="n"/>
      <c r="F134" s="9" t="n"/>
      <c r="H134" s="8" t="n"/>
    </row>
    <row r="135">
      <c r="A135" s="5" t="n"/>
      <c r="D135" s="10" t="n"/>
      <c r="F135" s="9" t="n"/>
      <c r="H135" s="8" t="n"/>
    </row>
    <row r="136">
      <c r="A136" s="5" t="n"/>
      <c r="D136" s="10" t="n"/>
      <c r="F136" s="9" t="n"/>
      <c r="H136" s="8" t="n"/>
    </row>
    <row r="137">
      <c r="A137" s="5" t="n"/>
      <c r="D137" s="10" t="n"/>
      <c r="F137" s="9" t="n"/>
      <c r="H137" s="8" t="n"/>
    </row>
    <row r="138">
      <c r="A138" s="5" t="n"/>
      <c r="D138" s="10" t="n"/>
      <c r="F138" s="9" t="n"/>
      <c r="H138" s="8" t="n"/>
    </row>
    <row r="139">
      <c r="A139" s="7" t="n"/>
      <c r="D139" s="10" t="n"/>
      <c r="F139" s="9" t="n"/>
      <c r="H139" s="8" t="n"/>
    </row>
    <row r="140">
      <c r="D140" s="10" t="n"/>
      <c r="F140" s="9" t="n"/>
      <c r="H140" s="8" t="n"/>
    </row>
    <row r="141">
      <c r="D141" s="10" t="n"/>
      <c r="F141" s="9" t="n"/>
      <c r="H141" s="8" t="n"/>
    </row>
    <row r="142">
      <c r="D142" s="10" t="n"/>
      <c r="F142" s="9" t="n"/>
      <c r="H142" s="8" t="n"/>
    </row>
    <row r="143">
      <c r="A143" s="3" t="n"/>
      <c r="D143" s="10" t="n"/>
      <c r="F143" s="9" t="n"/>
      <c r="H143" s="8" t="n"/>
    </row>
    <row r="144">
      <c r="A144" s="3" t="n"/>
      <c r="D144" s="10" t="n"/>
      <c r="F144" s="9" t="n"/>
      <c r="H144" s="8" t="n"/>
    </row>
    <row r="145">
      <c r="A145" s="5" t="n"/>
      <c r="D145" s="10" t="n"/>
      <c r="F145" s="9" t="n"/>
      <c r="H145" s="8" t="n"/>
    </row>
    <row r="146">
      <c r="A146" s="5" t="n"/>
      <c r="D146" s="10" t="n"/>
      <c r="F146" s="9" t="n"/>
      <c r="H146" s="8" t="n"/>
    </row>
    <row r="147">
      <c r="A147" s="5" t="n"/>
      <c r="D147" s="10" t="n"/>
      <c r="F147" s="9" t="n"/>
      <c r="H147" s="8" t="n"/>
    </row>
    <row r="148">
      <c r="A148" s="5" t="n"/>
      <c r="D148" s="10" t="n"/>
      <c r="F148" s="9" t="n"/>
      <c r="H148" s="8" t="n"/>
    </row>
    <row r="149">
      <c r="A149" s="5" t="n"/>
      <c r="D149" s="10" t="n"/>
      <c r="F149" s="9" t="n"/>
      <c r="H149" s="8" t="n"/>
    </row>
    <row r="150">
      <c r="A150" s="5" t="n"/>
      <c r="D150" s="10" t="n"/>
      <c r="F150" s="9" t="n"/>
      <c r="H150" s="8" t="n"/>
    </row>
    <row r="151">
      <c r="A151" s="5" t="n"/>
      <c r="D151" s="10" t="n"/>
      <c r="F151" s="9" t="n"/>
      <c r="H151" s="8" t="n"/>
    </row>
    <row r="152">
      <c r="A152" s="5" t="n"/>
      <c r="D152" s="10" t="n"/>
      <c r="F152" s="9" t="n"/>
      <c r="H152" s="8" t="n"/>
    </row>
    <row r="153">
      <c r="A153" s="5" t="n"/>
      <c r="D153" s="10" t="n"/>
      <c r="F153" s="9" t="n"/>
      <c r="H153" s="8" t="n"/>
    </row>
    <row r="154">
      <c r="A154" s="5" t="n"/>
      <c r="D154" s="10" t="n"/>
      <c r="F154" s="9" t="n"/>
      <c r="H154" s="8" t="n"/>
    </row>
    <row r="155">
      <c r="A155" s="5" t="n"/>
      <c r="D155" s="10" t="n"/>
      <c r="F155" s="9" t="n"/>
      <c r="H155" s="8" t="n"/>
    </row>
    <row r="156">
      <c r="A156" s="5" t="n"/>
      <c r="D156" s="10" t="n"/>
      <c r="F156" s="9" t="n"/>
      <c r="H156" s="8" t="n"/>
    </row>
    <row r="157">
      <c r="A157" s="5" t="n"/>
      <c r="D157" s="10" t="n"/>
      <c r="F157" s="9" t="n"/>
      <c r="H157" s="8" t="n"/>
    </row>
    <row r="158">
      <c r="A158" s="5" t="n"/>
      <c r="D158" s="10" t="n"/>
      <c r="F158" s="9" t="n"/>
      <c r="H158" s="8" t="n"/>
    </row>
    <row r="159">
      <c r="A159" s="5" t="n"/>
      <c r="D159" s="10" t="n"/>
      <c r="F159" s="9" t="n"/>
      <c r="H159" s="8" t="n"/>
    </row>
    <row r="160">
      <c r="A160" s="5" t="n"/>
      <c r="D160" s="10" t="n"/>
      <c r="F160" s="9" t="n"/>
      <c r="H160" s="8" t="n"/>
    </row>
    <row r="161">
      <c r="A161" s="5" t="n"/>
      <c r="D161" s="10" t="n"/>
      <c r="F161" s="9" t="n"/>
      <c r="H161" s="8" t="n"/>
    </row>
    <row r="162">
      <c r="A162" s="5" t="n"/>
      <c r="D162" s="10" t="n"/>
      <c r="F162" s="9" t="n"/>
      <c r="H162" s="8" t="n"/>
    </row>
    <row r="163">
      <c r="A163" s="5" t="n"/>
      <c r="D163" s="10" t="n"/>
      <c r="F163" s="9" t="n"/>
      <c r="H163" s="8" t="n"/>
    </row>
    <row r="164">
      <c r="A164" s="5" t="n"/>
      <c r="D164" s="10" t="n"/>
      <c r="F164" s="9" t="n"/>
      <c r="H164" s="8" t="n"/>
    </row>
    <row r="165">
      <c r="A165" s="5" t="n"/>
      <c r="D165" s="10" t="n"/>
      <c r="F165" s="9" t="n"/>
      <c r="H165" s="8" t="n"/>
    </row>
    <row r="166">
      <c r="A166" s="5" t="n"/>
      <c r="D166" s="10" t="n"/>
      <c r="F166" s="9" t="n"/>
      <c r="H166" s="8" t="n"/>
    </row>
    <row r="167">
      <c r="A167" s="5" t="n"/>
      <c r="D167" s="10" t="n"/>
      <c r="F167" s="9" t="n"/>
      <c r="H167" s="8" t="n"/>
    </row>
    <row r="168">
      <c r="A168" s="5" t="n"/>
      <c r="D168" s="10" t="n"/>
      <c r="F168" s="9" t="n"/>
      <c r="H168" s="8" t="n"/>
    </row>
    <row r="169">
      <c r="A169" s="5" t="n"/>
      <c r="D169" s="10" t="n"/>
      <c r="F169" s="9" t="n"/>
      <c r="H169" s="8" t="n"/>
    </row>
    <row r="170">
      <c r="A170" s="5" t="n"/>
      <c r="D170" s="10" t="n"/>
      <c r="F170" s="9" t="n"/>
      <c r="H170" s="8" t="n"/>
    </row>
    <row r="171">
      <c r="A171" s="5" t="n"/>
      <c r="D171" s="10" t="n"/>
      <c r="F171" s="9" t="n"/>
      <c r="H171" s="8" t="n"/>
    </row>
    <row r="172">
      <c r="A172" s="5" t="n"/>
      <c r="D172" s="10" t="n"/>
      <c r="F172" s="9" t="n"/>
      <c r="H172" s="8" t="n"/>
    </row>
    <row r="173">
      <c r="A173" s="5" t="n"/>
      <c r="D173" s="10" t="n"/>
      <c r="F173" s="9" t="n"/>
      <c r="H173" s="8" t="n"/>
    </row>
    <row r="174">
      <c r="A174" s="5" t="n"/>
      <c r="D174" s="10" t="n"/>
      <c r="F174" s="9" t="n"/>
      <c r="H174" s="8" t="n"/>
    </row>
    <row r="175">
      <c r="A175" s="5" t="n"/>
      <c r="D175" s="10" t="n"/>
      <c r="F175" s="9" t="n"/>
      <c r="H175" s="8" t="n"/>
    </row>
    <row r="176">
      <c r="A176" s="5" t="n"/>
      <c r="D176" s="10" t="n"/>
      <c r="F176" s="9" t="n"/>
      <c r="H176" s="8" t="n"/>
    </row>
    <row r="177">
      <c r="A177" s="5" t="n"/>
      <c r="D177" s="10" t="n"/>
      <c r="F177" s="9" t="n"/>
      <c r="H177" s="8" t="n"/>
    </row>
    <row r="178">
      <c r="A178" s="5" t="n"/>
      <c r="D178" s="10" t="n"/>
      <c r="F178" s="9" t="n"/>
      <c r="H178" s="8" t="n"/>
    </row>
    <row r="179">
      <c r="A179" s="5" t="n"/>
      <c r="D179" s="10" t="n"/>
      <c r="F179" s="9" t="n"/>
      <c r="H179" s="8" t="n"/>
    </row>
    <row r="180">
      <c r="A180" s="5" t="n"/>
      <c r="D180" s="10" t="n"/>
      <c r="F180" s="9" t="n"/>
      <c r="H180" s="8" t="n"/>
    </row>
    <row r="181">
      <c r="A181" s="5" t="n"/>
      <c r="D181" s="10" t="n"/>
      <c r="F181" s="9" t="n"/>
      <c r="H181" s="8" t="n"/>
    </row>
    <row r="182">
      <c r="A182" s="5" t="n"/>
      <c r="D182" s="10" t="n"/>
      <c r="F182" s="9" t="n"/>
      <c r="H182" s="8" t="n"/>
    </row>
    <row r="183">
      <c r="A183" s="5" t="n"/>
      <c r="D183" s="10" t="n"/>
      <c r="F183" s="9" t="n"/>
      <c r="H183" s="8" t="n"/>
    </row>
    <row r="184">
      <c r="A184" s="5" t="n"/>
      <c r="D184" s="10" t="n"/>
      <c r="F184" s="9" t="n"/>
      <c r="H184" s="8" t="n"/>
    </row>
    <row r="185">
      <c r="A185" s="5" t="n"/>
      <c r="D185" s="10" t="n"/>
      <c r="F185" s="9" t="n"/>
      <c r="H185" s="8" t="n"/>
    </row>
    <row r="186">
      <c r="A186" s="5" t="n"/>
      <c r="D186" s="10" t="n"/>
      <c r="F186" s="9" t="n"/>
      <c r="H186" s="8" t="n"/>
    </row>
    <row r="187">
      <c r="A187" s="5" t="n"/>
      <c r="D187" s="10" t="n"/>
      <c r="F187" s="9" t="n"/>
      <c r="H187" s="8" t="n"/>
    </row>
    <row r="188">
      <c r="A188" s="5" t="n"/>
      <c r="D188" s="10" t="n"/>
      <c r="F188" s="9" t="n"/>
      <c r="H188" s="8" t="n"/>
    </row>
    <row r="189">
      <c r="A189" s="5" t="n"/>
      <c r="D189" s="10" t="n"/>
      <c r="F189" s="9" t="n"/>
      <c r="H189" s="8" t="n"/>
    </row>
    <row r="190">
      <c r="A190" s="5" t="n"/>
      <c r="D190" s="10" t="n"/>
      <c r="F190" s="9" t="n"/>
      <c r="H190" s="8" t="n"/>
    </row>
    <row r="191">
      <c r="A191" s="5" t="n"/>
      <c r="D191" s="10" t="n"/>
      <c r="F191" s="9" t="n"/>
      <c r="H191" s="8" t="n"/>
    </row>
    <row r="192">
      <c r="A192" s="5" t="n"/>
      <c r="D192" s="10" t="n"/>
      <c r="F192" s="9" t="n"/>
      <c r="H192" s="8" t="n"/>
    </row>
    <row r="193">
      <c r="A193" s="5" t="n"/>
      <c r="D193" s="10" t="n"/>
      <c r="F193" s="9" t="n"/>
      <c r="H193" s="8" t="n"/>
    </row>
    <row r="194">
      <c r="A194" s="5" t="n"/>
      <c r="D194" s="10" t="n"/>
      <c r="F194" s="9" t="n"/>
      <c r="H194" s="8" t="n"/>
    </row>
    <row r="195">
      <c r="A195" s="5" t="n"/>
      <c r="D195" s="10" t="n"/>
      <c r="F195" s="9" t="n"/>
      <c r="H195" s="8" t="n"/>
    </row>
    <row r="196">
      <c r="A196" s="5" t="n"/>
      <c r="D196" s="10" t="n"/>
      <c r="F196" s="9" t="n"/>
      <c r="H196" s="8" t="n"/>
    </row>
    <row r="197">
      <c r="A197" s="5" t="n"/>
      <c r="D197" s="10" t="n"/>
      <c r="F197" s="9" t="n"/>
      <c r="H197" s="8" t="n"/>
    </row>
    <row r="198">
      <c r="A198" s="5" t="n"/>
      <c r="D198" s="10" t="n"/>
      <c r="F198" s="9" t="n"/>
      <c r="H198" s="8" t="n"/>
    </row>
    <row r="199">
      <c r="A199" s="5" t="n"/>
      <c r="D199" s="10" t="n"/>
      <c r="F199" s="9" t="n"/>
      <c r="H199" s="8" t="n"/>
    </row>
    <row r="200">
      <c r="A200" s="5" t="n"/>
      <c r="D200" s="10" t="n"/>
      <c r="F200" s="9" t="n"/>
      <c r="H200" s="8" t="n"/>
    </row>
    <row r="201">
      <c r="A201" s="5" t="n"/>
      <c r="D201" s="10" t="n"/>
      <c r="F201" s="9" t="n"/>
      <c r="H201" s="8" t="n"/>
    </row>
    <row r="202">
      <c r="A202" s="5" t="n"/>
      <c r="D202" s="10" t="n"/>
      <c r="F202" s="9" t="n"/>
      <c r="H202" s="8" t="n"/>
    </row>
    <row r="203">
      <c r="A203" s="5" t="n"/>
      <c r="D203" s="10" t="n"/>
      <c r="F203" s="9" t="n"/>
      <c r="H203" s="8" t="n"/>
    </row>
    <row r="204">
      <c r="A204" s="5" t="n"/>
      <c r="D204" s="10" t="n"/>
      <c r="F204" s="9" t="n"/>
      <c r="H204" s="8" t="n"/>
    </row>
    <row r="205">
      <c r="A205" s="5" t="n"/>
      <c r="D205" s="10" t="n"/>
      <c r="F205" s="9" t="n"/>
      <c r="H205" s="8" t="n"/>
    </row>
    <row r="206">
      <c r="A206" s="5" t="n"/>
      <c r="D206" s="10" t="n"/>
      <c r="F206" s="9" t="n"/>
      <c r="H206" s="8" t="n"/>
    </row>
    <row r="207">
      <c r="A207" s="5" t="n"/>
      <c r="D207" s="10" t="n"/>
      <c r="F207" s="9" t="n"/>
      <c r="H207" s="8" t="n"/>
    </row>
    <row r="208">
      <c r="A208" s="5" t="n"/>
      <c r="D208" s="10" t="n"/>
      <c r="F208" s="9" t="n"/>
      <c r="H208" s="8" t="n"/>
    </row>
    <row r="209">
      <c r="A209" s="5" t="n"/>
      <c r="D209" s="10" t="n"/>
      <c r="F209" s="9" t="n"/>
      <c r="H209" s="8" t="n"/>
    </row>
    <row r="210">
      <c r="A210" s="5" t="n"/>
      <c r="D210" s="10" t="n"/>
      <c r="F210" s="9" t="n"/>
      <c r="H210" s="8" t="n"/>
    </row>
    <row r="211">
      <c r="A211" s="5" t="n"/>
      <c r="D211" s="10" t="n"/>
      <c r="F211" s="9" t="n"/>
      <c r="H211" s="8" t="n"/>
    </row>
    <row r="212">
      <c r="A212" s="7" t="n"/>
      <c r="D212" s="10" t="n"/>
      <c r="F212" s="9" t="n"/>
      <c r="H212" s="8" t="n"/>
    </row>
    <row r="213">
      <c r="D213" s="10" t="n"/>
      <c r="F213" s="9" t="n"/>
      <c r="H213" s="8" t="n"/>
    </row>
    <row r="214">
      <c r="D214" s="10" t="n"/>
      <c r="F214" s="9" t="n"/>
      <c r="H214" s="8" t="n"/>
    </row>
    <row r="215">
      <c r="D215" s="10" t="n"/>
      <c r="F215" s="9" t="n"/>
      <c r="H215" s="8" t="n"/>
    </row>
    <row r="216">
      <c r="A216" s="3" t="n"/>
      <c r="D216" s="10" t="n"/>
      <c r="F216" s="9" t="n"/>
      <c r="H216" s="8" t="n"/>
    </row>
    <row r="217">
      <c r="A217" s="3" t="n"/>
      <c r="D217" s="10" t="n"/>
      <c r="F217" s="9" t="n"/>
      <c r="H217" s="8" t="n"/>
    </row>
    <row r="218">
      <c r="A218" s="5" t="n"/>
      <c r="D218" s="10" t="n"/>
      <c r="F218" s="9" t="n"/>
      <c r="H218" s="8" t="n"/>
    </row>
    <row r="219">
      <c r="A219" s="5" t="n"/>
      <c r="D219" s="10" t="n"/>
      <c r="F219" s="9" t="n"/>
      <c r="H219" s="8" t="n"/>
    </row>
    <row r="220">
      <c r="A220" s="5" t="n"/>
      <c r="D220" s="10" t="n"/>
      <c r="F220" s="9" t="n"/>
      <c r="H220" s="8" t="n"/>
    </row>
    <row r="221">
      <c r="A221" s="5" t="n"/>
      <c r="D221" s="10" t="n"/>
      <c r="F221" s="9" t="n"/>
      <c r="H221" s="8" t="n"/>
    </row>
    <row r="222">
      <c r="A222" s="5" t="n"/>
      <c r="D222" s="10" t="n"/>
      <c r="F222" s="9" t="n"/>
      <c r="H222" s="8" t="n"/>
    </row>
    <row r="223">
      <c r="A223" s="5" t="n"/>
      <c r="D223" s="10" t="n"/>
      <c r="F223" s="9" t="n"/>
      <c r="H223" s="8" t="n"/>
    </row>
    <row r="224">
      <c r="A224" s="5" t="n"/>
      <c r="D224" s="10" t="n"/>
      <c r="F224" s="9" t="n"/>
      <c r="H224" s="8" t="n"/>
    </row>
    <row r="225">
      <c r="A225" s="5" t="n"/>
      <c r="D225" s="10" t="n"/>
      <c r="F225" s="9" t="n"/>
      <c r="H225" s="8" t="n"/>
    </row>
    <row r="226">
      <c r="A226" s="5" t="n"/>
      <c r="D226" s="10" t="n"/>
      <c r="F226" s="9" t="n"/>
      <c r="H226" s="8" t="n"/>
    </row>
    <row r="227">
      <c r="A227" s="5" t="n"/>
      <c r="D227" s="10" t="n"/>
      <c r="F227" s="9" t="n"/>
      <c r="H227" s="8" t="n"/>
    </row>
    <row r="228">
      <c r="A228" s="5" t="n"/>
      <c r="D228" s="10" t="n"/>
      <c r="F228" s="9" t="n"/>
      <c r="H228" s="8" t="n"/>
    </row>
    <row r="229">
      <c r="A229" s="5" t="n"/>
      <c r="D229" s="10" t="n"/>
      <c r="F229" s="9" t="n"/>
      <c r="H229" s="8" t="n"/>
    </row>
    <row r="230">
      <c r="A230" s="5" t="n"/>
      <c r="D230" s="10" t="n"/>
      <c r="F230" s="9" t="n"/>
      <c r="H230" s="8" t="n"/>
    </row>
    <row r="231">
      <c r="A231" s="5" t="n"/>
      <c r="D231" s="10" t="n"/>
      <c r="F231" s="9" t="n"/>
      <c r="H231" s="8" t="n"/>
    </row>
    <row r="232">
      <c r="A232" s="5" t="n"/>
      <c r="D232" s="10" t="n"/>
      <c r="F232" s="9" t="n"/>
      <c r="H232" s="8" t="n"/>
    </row>
    <row r="233">
      <c r="A233" s="5" t="n"/>
      <c r="D233" s="10" t="n"/>
      <c r="F233" s="9" t="n"/>
      <c r="H233" s="8" t="n"/>
    </row>
    <row r="234">
      <c r="A234" s="5" t="n"/>
      <c r="D234" s="10" t="n"/>
      <c r="F234" s="9" t="n"/>
      <c r="H234" s="8" t="n"/>
    </row>
    <row r="235">
      <c r="A235" s="5" t="n"/>
      <c r="D235" s="10" t="n"/>
      <c r="F235" s="9" t="n"/>
      <c r="H235" s="8" t="n"/>
    </row>
    <row r="236">
      <c r="A236" s="5" t="n"/>
      <c r="D236" s="10" t="n"/>
      <c r="F236" s="9" t="n"/>
      <c r="H236" s="8" t="n"/>
    </row>
    <row r="237">
      <c r="A237" s="5" t="n"/>
      <c r="D237" s="10" t="n"/>
      <c r="F237" s="9" t="n"/>
      <c r="H237" s="8" t="n"/>
    </row>
    <row r="238">
      <c r="A238" s="5" t="n"/>
      <c r="D238" s="10" t="n"/>
      <c r="F238" s="9" t="n"/>
      <c r="H238" s="8" t="n"/>
    </row>
    <row r="239">
      <c r="A239" s="5" t="n"/>
      <c r="D239" s="10" t="n"/>
      <c r="F239" s="9" t="n"/>
      <c r="H239" s="8" t="n"/>
    </row>
    <row r="240">
      <c r="A240" s="5" t="n"/>
      <c r="D240" s="10" t="n"/>
      <c r="F240" s="9" t="n"/>
      <c r="H240" s="8" t="n"/>
    </row>
    <row r="241">
      <c r="A241" s="5" t="n"/>
      <c r="D241" s="10" t="n"/>
      <c r="F241" s="9" t="n"/>
      <c r="H241" s="8" t="n"/>
    </row>
    <row r="242">
      <c r="A242" s="5" t="n"/>
      <c r="D242" s="10" t="n"/>
      <c r="F242" s="9" t="n"/>
      <c r="H242" s="8" t="n"/>
    </row>
    <row r="243">
      <c r="A243" s="5" t="n"/>
      <c r="D243" s="10" t="n"/>
      <c r="F243" s="9" t="n"/>
      <c r="H243" s="8" t="n"/>
    </row>
    <row r="244">
      <c r="A244" s="5" t="n"/>
      <c r="D244" s="10" t="n"/>
      <c r="F244" s="9" t="n"/>
      <c r="H244" s="8" t="n"/>
    </row>
    <row r="245">
      <c r="A245" s="5" t="n"/>
      <c r="D245" s="10" t="n"/>
      <c r="F245" s="9" t="n"/>
      <c r="H245" s="8" t="n"/>
    </row>
    <row r="246">
      <c r="A246" s="5" t="n"/>
      <c r="D246" s="10" t="n"/>
      <c r="F246" s="9" t="n"/>
      <c r="H246" s="8" t="n"/>
    </row>
    <row r="247">
      <c r="A247" s="5" t="n"/>
      <c r="D247" s="10" t="n"/>
      <c r="F247" s="9" t="n"/>
      <c r="H247" s="8" t="n"/>
    </row>
    <row r="248">
      <c r="A248" s="5" t="n"/>
      <c r="D248" s="10" t="n"/>
      <c r="F248" s="9" t="n"/>
      <c r="H248" s="8" t="n"/>
    </row>
    <row r="249">
      <c r="A249" s="5" t="n"/>
      <c r="D249" s="10" t="n"/>
      <c r="F249" s="9" t="n"/>
      <c r="H249" s="8" t="n"/>
    </row>
    <row r="250">
      <c r="A250" s="5" t="n"/>
      <c r="D250" s="10" t="n"/>
      <c r="F250" s="9" t="n"/>
      <c r="H250" s="8" t="n"/>
    </row>
    <row r="251">
      <c r="A251" s="5" t="n"/>
      <c r="D251" s="10" t="n"/>
      <c r="F251" s="9" t="n"/>
      <c r="H251" s="8" t="n"/>
    </row>
    <row r="252">
      <c r="A252" s="5" t="n"/>
      <c r="D252" s="10" t="n"/>
      <c r="F252" s="9" t="n"/>
      <c r="H252" s="8" t="n"/>
    </row>
    <row r="253">
      <c r="A253" s="5" t="n"/>
      <c r="D253" s="10" t="n"/>
      <c r="F253" s="9" t="n"/>
      <c r="H253" s="8" t="n"/>
    </row>
    <row r="254">
      <c r="A254" s="5" t="n"/>
      <c r="D254" s="10" t="n"/>
      <c r="F254" s="9" t="n"/>
      <c r="H254" s="8" t="n"/>
    </row>
    <row r="255">
      <c r="A255" s="5" t="n"/>
      <c r="D255" s="10" t="n"/>
      <c r="F255" s="9" t="n"/>
      <c r="H255" s="8" t="n"/>
    </row>
    <row r="256">
      <c r="A256" s="5" t="n"/>
      <c r="D256" s="10" t="n"/>
      <c r="F256" s="9" t="n"/>
      <c r="H256" s="8" t="n"/>
    </row>
    <row r="257">
      <c r="A257" s="5" t="n"/>
      <c r="D257" s="10" t="n"/>
      <c r="F257" s="9" t="n"/>
      <c r="H257" s="8" t="n"/>
    </row>
    <row r="258">
      <c r="A258" s="5" t="n"/>
      <c r="D258" s="10" t="n"/>
      <c r="F258" s="9" t="n"/>
      <c r="H258" s="8" t="n"/>
    </row>
    <row r="259">
      <c r="A259" s="5" t="n"/>
      <c r="D259" s="10" t="n"/>
      <c r="F259" s="9" t="n"/>
      <c r="H259" s="8" t="n"/>
    </row>
    <row r="260">
      <c r="A260" s="5" t="n"/>
      <c r="D260" s="10" t="n"/>
      <c r="F260" s="9" t="n"/>
      <c r="H260" s="8" t="n"/>
    </row>
    <row r="261">
      <c r="A261" s="5" t="n"/>
      <c r="D261" s="10" t="n"/>
      <c r="F261" s="9" t="n"/>
      <c r="H261" s="8" t="n"/>
    </row>
    <row r="262">
      <c r="A262" s="5" t="n"/>
      <c r="D262" s="10" t="n"/>
      <c r="F262" s="9" t="n"/>
      <c r="H262" s="8" t="n"/>
    </row>
    <row r="263">
      <c r="A263" s="5" t="n"/>
      <c r="D263" s="10" t="n"/>
      <c r="F263" s="9" t="n"/>
      <c r="H263" s="8" t="n"/>
    </row>
    <row r="264">
      <c r="A264" s="5" t="n"/>
      <c r="D264" s="10" t="n"/>
      <c r="F264" s="9" t="n"/>
      <c r="H264" s="8" t="n"/>
    </row>
    <row r="265">
      <c r="A265" s="5" t="n"/>
      <c r="D265" s="10" t="n"/>
      <c r="F265" s="9" t="n"/>
      <c r="H265" s="8" t="n"/>
    </row>
    <row r="266">
      <c r="A266" s="5" t="n"/>
      <c r="D266" s="10" t="n"/>
      <c r="F266" s="9" t="n"/>
      <c r="H266" s="8" t="n"/>
    </row>
    <row r="267">
      <c r="A267" s="5" t="n"/>
      <c r="D267" s="10" t="n"/>
      <c r="F267" s="9" t="n"/>
      <c r="H267" s="8" t="n"/>
    </row>
    <row r="268">
      <c r="A268" s="5" t="n"/>
      <c r="D268" s="10" t="n"/>
      <c r="F268" s="9" t="n"/>
      <c r="H268" s="8" t="n"/>
    </row>
    <row r="269">
      <c r="A269" s="5" t="n"/>
      <c r="D269" s="10" t="n"/>
      <c r="F269" s="9" t="n"/>
      <c r="H269" s="8" t="n"/>
    </row>
    <row r="270">
      <c r="A270" s="5" t="n"/>
      <c r="D270" s="10" t="n"/>
      <c r="F270" s="9" t="n"/>
      <c r="H270" s="8" t="n"/>
    </row>
    <row r="271">
      <c r="A271" s="5" t="n"/>
      <c r="D271" s="10" t="n"/>
      <c r="F271" s="9" t="n"/>
      <c r="H271" s="8" t="n"/>
    </row>
    <row r="272">
      <c r="A272" s="5" t="n"/>
      <c r="D272" s="10" t="n"/>
      <c r="F272" s="9" t="n"/>
      <c r="H272" s="8" t="n"/>
    </row>
    <row r="273">
      <c r="A273" s="5" t="n"/>
      <c r="D273" s="10" t="n"/>
      <c r="F273" s="9" t="n"/>
      <c r="H273" s="8" t="n"/>
    </row>
    <row r="274">
      <c r="A274" s="5" t="n"/>
      <c r="D274" s="10" t="n"/>
      <c r="F274" s="9" t="n"/>
      <c r="H274" s="8" t="n"/>
    </row>
    <row r="275">
      <c r="A275" s="5" t="n"/>
      <c r="D275" s="10" t="n"/>
      <c r="F275" s="9" t="n"/>
      <c r="H275" s="8" t="n"/>
    </row>
    <row r="276">
      <c r="A276" s="5" t="n"/>
      <c r="D276" s="10" t="n"/>
      <c r="F276" s="9" t="n"/>
      <c r="H276" s="8" t="n"/>
    </row>
    <row r="277">
      <c r="A277" s="5" t="n"/>
      <c r="D277" s="10" t="n"/>
      <c r="F277" s="9" t="n"/>
      <c r="H277" s="8" t="n"/>
    </row>
    <row r="278">
      <c r="A278" s="5" t="n"/>
      <c r="D278" s="10" t="n"/>
      <c r="F278" s="9" t="n"/>
      <c r="H278" s="8" t="n"/>
    </row>
    <row r="279">
      <c r="A279" s="5" t="n"/>
      <c r="D279" s="10" t="n"/>
      <c r="F279" s="9" t="n"/>
      <c r="H279" s="8" t="n"/>
    </row>
    <row r="280">
      <c r="A280" s="5" t="n"/>
      <c r="D280" s="10" t="n"/>
      <c r="F280" s="9" t="n"/>
      <c r="H280" s="8" t="n"/>
    </row>
    <row r="281">
      <c r="A281" s="5" t="n"/>
      <c r="D281" s="10" t="n"/>
      <c r="F281" s="9" t="n"/>
      <c r="H281" s="8" t="n"/>
    </row>
    <row r="282">
      <c r="A282" s="5" t="n"/>
      <c r="D282" s="10" t="n"/>
      <c r="F282" s="9" t="n"/>
      <c r="H282" s="8" t="n"/>
    </row>
    <row r="283">
      <c r="A283" s="5" t="n"/>
      <c r="D283" s="10" t="n"/>
      <c r="F283" s="9" t="n"/>
      <c r="H283" s="8" t="n"/>
    </row>
    <row r="284">
      <c r="A284" s="5" t="n"/>
      <c r="D284" s="10" t="n"/>
      <c r="F284" s="9" t="n"/>
      <c r="H284" s="8" t="n"/>
    </row>
    <row r="285">
      <c r="A285" s="7" t="n"/>
      <c r="D285" s="10" t="n"/>
      <c r="F285" s="9" t="n"/>
      <c r="H285" s="8" t="n"/>
    </row>
    <row r="286">
      <c r="D286" s="10" t="n"/>
      <c r="F286" s="9" t="n"/>
      <c r="H286" s="8" t="n"/>
    </row>
    <row r="287">
      <c r="D287" s="10" t="n"/>
      <c r="F287" s="9" t="n"/>
      <c r="H287" s="8" t="n"/>
    </row>
    <row r="288">
      <c r="D288" s="10" t="n"/>
      <c r="F288" s="9" t="n"/>
      <c r="H288" s="8" t="n"/>
    </row>
    <row r="289">
      <c r="A289" s="3" t="n"/>
      <c r="D289" s="10" t="n"/>
      <c r="F289" s="9" t="n"/>
      <c r="H289" s="8" t="n"/>
    </row>
    <row r="290">
      <c r="A290" s="3" t="n"/>
      <c r="D290" s="10" t="n"/>
      <c r="F290" s="9" t="n"/>
      <c r="H290" s="8" t="n"/>
    </row>
    <row r="291">
      <c r="A291" s="5" t="n"/>
      <c r="D291" s="10" t="n"/>
      <c r="F291" s="9" t="n"/>
      <c r="H291" s="8" t="n"/>
    </row>
    <row r="292">
      <c r="A292" s="5" t="n"/>
      <c r="D292" s="10" t="n"/>
      <c r="F292" s="9" t="n"/>
      <c r="H292" s="8" t="n"/>
    </row>
    <row r="293">
      <c r="A293" s="5" t="n"/>
      <c r="D293" s="10" t="n"/>
      <c r="F293" s="9" t="n"/>
      <c r="H293" s="8" t="n"/>
    </row>
    <row r="294">
      <c r="A294" s="5" t="n"/>
      <c r="D294" s="10" t="n"/>
      <c r="F294" s="9" t="n"/>
      <c r="H294" s="8" t="n"/>
    </row>
    <row r="295">
      <c r="A295" s="5" t="n"/>
      <c r="D295" s="10" t="n"/>
      <c r="F295" s="9" t="n"/>
      <c r="H295" s="8" t="n"/>
    </row>
    <row r="296">
      <c r="A296" s="5" t="n"/>
      <c r="D296" s="10" t="n"/>
      <c r="F296" s="9" t="n"/>
      <c r="H296" s="8" t="n"/>
    </row>
    <row r="297">
      <c r="A297" s="5" t="n"/>
      <c r="D297" s="10" t="n"/>
      <c r="F297" s="9" t="n"/>
      <c r="H297" s="8" t="n"/>
    </row>
    <row r="298">
      <c r="A298" s="5" t="n"/>
      <c r="D298" s="10" t="n"/>
      <c r="F298" s="9" t="n"/>
      <c r="H298" s="8" t="n"/>
    </row>
    <row r="299">
      <c r="A299" s="5" t="n"/>
      <c r="D299" s="10" t="n"/>
      <c r="F299" s="9" t="n"/>
      <c r="H299" s="8" t="n"/>
    </row>
    <row r="300">
      <c r="A300" s="5" t="n"/>
      <c r="D300" s="10" t="n"/>
      <c r="F300" s="9" t="n"/>
      <c r="H300" s="8" t="n"/>
    </row>
    <row r="301">
      <c r="A301" s="5" t="n"/>
      <c r="D301" s="10" t="n"/>
      <c r="F301" s="9" t="n"/>
      <c r="H301" s="8" t="n"/>
    </row>
    <row r="302">
      <c r="A302" s="5" t="n"/>
      <c r="D302" s="10" t="n"/>
      <c r="F302" s="9" t="n"/>
      <c r="H302" s="8" t="n"/>
    </row>
    <row r="303">
      <c r="A303" s="5" t="n"/>
      <c r="D303" s="10" t="n"/>
      <c r="F303" s="9" t="n"/>
      <c r="H303" s="8" t="n"/>
    </row>
    <row r="304">
      <c r="A304" s="5" t="n"/>
      <c r="D304" s="10" t="n"/>
      <c r="F304" s="9" t="n"/>
      <c r="H304" s="8" t="n"/>
    </row>
    <row r="305">
      <c r="A305" s="5" t="n"/>
      <c r="D305" s="10" t="n"/>
      <c r="F305" s="9" t="n"/>
      <c r="H305" s="8" t="n"/>
    </row>
    <row r="306">
      <c r="A306" s="5" t="n"/>
      <c r="D306" s="10" t="n"/>
      <c r="F306" s="9" t="n"/>
      <c r="H306" s="8" t="n"/>
    </row>
    <row r="307">
      <c r="A307" s="5" t="n"/>
      <c r="D307" s="10" t="n"/>
      <c r="F307" s="9" t="n"/>
      <c r="H307" s="8" t="n"/>
    </row>
    <row r="308">
      <c r="A308" s="5" t="n"/>
      <c r="D308" s="10" t="n"/>
      <c r="F308" s="9" t="n"/>
      <c r="H308" s="8" t="n"/>
    </row>
    <row r="309">
      <c r="A309" s="5" t="n"/>
      <c r="D309" s="10" t="n"/>
      <c r="F309" s="9" t="n"/>
      <c r="H309" s="8" t="n"/>
    </row>
    <row r="310">
      <c r="A310" s="5" t="n"/>
      <c r="D310" s="10" t="n"/>
      <c r="F310" s="9" t="n"/>
      <c r="H310" s="8" t="n"/>
    </row>
    <row r="311">
      <c r="A311" s="5" t="n"/>
      <c r="D311" s="10" t="n"/>
      <c r="F311" s="9" t="n"/>
      <c r="H311" s="8" t="n"/>
    </row>
    <row r="312">
      <c r="A312" s="5" t="n"/>
      <c r="D312" s="10" t="n"/>
      <c r="F312" s="9" t="n"/>
      <c r="H312" s="8" t="n"/>
    </row>
    <row r="313">
      <c r="A313" s="5" t="n"/>
      <c r="D313" s="10" t="n"/>
      <c r="F313" s="9" t="n"/>
      <c r="H313" s="8" t="n"/>
    </row>
    <row r="314">
      <c r="A314" s="5" t="n"/>
      <c r="D314" s="10" t="n"/>
      <c r="F314" s="9" t="n"/>
      <c r="H314" s="8" t="n"/>
    </row>
    <row r="315">
      <c r="A315" s="5" t="n"/>
      <c r="D315" s="10" t="n"/>
      <c r="F315" s="9" t="n"/>
      <c r="H315" s="8" t="n"/>
    </row>
    <row r="316">
      <c r="A316" s="5" t="n"/>
      <c r="D316" s="10" t="n"/>
      <c r="F316" s="9" t="n"/>
      <c r="H316" s="8" t="n"/>
    </row>
    <row r="317">
      <c r="A317" s="5" t="n"/>
      <c r="D317" s="10" t="n"/>
      <c r="F317" s="9" t="n"/>
      <c r="H317" s="8" t="n"/>
    </row>
    <row r="318">
      <c r="A318" s="5" t="n"/>
      <c r="D318" s="10" t="n"/>
      <c r="F318" s="9" t="n"/>
      <c r="H318" s="8" t="n"/>
    </row>
    <row r="319">
      <c r="A319" s="5" t="n"/>
      <c r="D319" s="10" t="n"/>
      <c r="F319" s="9" t="n"/>
      <c r="H319" s="8" t="n"/>
    </row>
    <row r="320">
      <c r="A320" s="5" t="n"/>
      <c r="D320" s="10" t="n"/>
      <c r="F320" s="9" t="n"/>
      <c r="H320" s="8" t="n"/>
    </row>
    <row r="321">
      <c r="A321" s="5" t="n"/>
      <c r="D321" s="10" t="n"/>
      <c r="F321" s="9" t="n"/>
      <c r="H321" s="8" t="n"/>
    </row>
    <row r="322">
      <c r="A322" s="5" t="n"/>
      <c r="D322" s="10" t="n"/>
      <c r="F322" s="9" t="n"/>
      <c r="H322" s="8" t="n"/>
    </row>
    <row r="323">
      <c r="A323" s="5" t="n"/>
      <c r="D323" s="10" t="n"/>
      <c r="F323" s="9" t="n"/>
      <c r="H323" s="8" t="n"/>
    </row>
    <row r="324">
      <c r="A324" s="5" t="n"/>
      <c r="D324" s="10" t="n"/>
      <c r="F324" s="9" t="n"/>
      <c r="H324" s="8" t="n"/>
    </row>
    <row r="325">
      <c r="A325" s="5" t="n"/>
      <c r="D325" s="10" t="n"/>
      <c r="F325" s="9" t="n"/>
      <c r="H325" s="8" t="n"/>
    </row>
    <row r="326">
      <c r="A326" s="5" t="n"/>
      <c r="D326" s="10" t="n"/>
      <c r="F326" s="9" t="n"/>
      <c r="H326" s="8" t="n"/>
    </row>
    <row r="327">
      <c r="A327" s="5" t="n"/>
      <c r="D327" s="10" t="n"/>
      <c r="F327" s="9" t="n"/>
      <c r="H327" s="8" t="n"/>
    </row>
    <row r="328">
      <c r="A328" s="5" t="n"/>
      <c r="D328" s="10" t="n"/>
      <c r="F328" s="9" t="n"/>
      <c r="H328" s="8" t="n"/>
    </row>
    <row r="329">
      <c r="A329" s="5" t="n"/>
      <c r="D329" s="10" t="n"/>
      <c r="F329" s="9" t="n"/>
      <c r="H329" s="8" t="n"/>
    </row>
    <row r="330">
      <c r="A330" s="5" t="n"/>
      <c r="D330" s="10" t="n"/>
      <c r="F330" s="9" t="n"/>
      <c r="H330" s="8" t="n"/>
    </row>
    <row r="331">
      <c r="A331" s="5" t="n"/>
      <c r="D331" s="10" t="n"/>
      <c r="F331" s="9" t="n"/>
      <c r="H331" s="8" t="n"/>
    </row>
    <row r="332">
      <c r="A332" s="5" t="n"/>
      <c r="D332" s="10" t="n"/>
      <c r="F332" s="9" t="n"/>
      <c r="H332" s="8" t="n"/>
    </row>
    <row r="333">
      <c r="A333" s="5" t="n"/>
      <c r="D333" s="10" t="n"/>
      <c r="F333" s="9" t="n"/>
      <c r="H333" s="8" t="n"/>
    </row>
    <row r="334">
      <c r="A334" s="5" t="n"/>
      <c r="D334" s="10" t="n"/>
      <c r="F334" s="9" t="n"/>
      <c r="H334" s="8" t="n"/>
    </row>
    <row r="335">
      <c r="A335" s="5" t="n"/>
      <c r="D335" s="10" t="n"/>
      <c r="F335" s="9" t="n"/>
      <c r="H335" s="8" t="n"/>
    </row>
    <row r="336">
      <c r="A336" s="5" t="n"/>
      <c r="D336" s="10" t="n"/>
      <c r="F336" s="9" t="n"/>
      <c r="H336" s="8" t="n"/>
    </row>
    <row r="337">
      <c r="A337" s="5" t="n"/>
      <c r="D337" s="10" t="n"/>
      <c r="F337" s="9" t="n"/>
      <c r="H337" s="8" t="n"/>
    </row>
    <row r="338">
      <c r="A338" s="5" t="n"/>
      <c r="D338" s="10" t="n"/>
      <c r="F338" s="9" t="n"/>
      <c r="H338" s="8" t="n"/>
    </row>
    <row r="339">
      <c r="A339" s="5" t="n"/>
      <c r="D339" s="10" t="n"/>
      <c r="F339" s="9" t="n"/>
      <c r="H339" s="8" t="n"/>
    </row>
    <row r="340">
      <c r="A340" s="5" t="n"/>
      <c r="D340" s="10" t="n"/>
      <c r="F340" s="9" t="n"/>
      <c r="H340" s="8" t="n"/>
    </row>
    <row r="341">
      <c r="A341" s="5" t="n"/>
      <c r="D341" s="10" t="n"/>
      <c r="F341" s="9" t="n"/>
      <c r="H341" s="8" t="n"/>
    </row>
    <row r="342">
      <c r="A342" s="5" t="n"/>
      <c r="D342" s="10" t="n"/>
      <c r="F342" s="9" t="n"/>
      <c r="H342" s="8" t="n"/>
    </row>
    <row r="343">
      <c r="A343" s="5" t="n"/>
      <c r="D343" s="10" t="n"/>
      <c r="F343" s="9" t="n"/>
      <c r="H343" s="8" t="n"/>
    </row>
    <row r="344">
      <c r="A344" s="5" t="n"/>
      <c r="D344" s="10" t="n"/>
      <c r="F344" s="9" t="n"/>
      <c r="H344" s="8" t="n"/>
    </row>
    <row r="345">
      <c r="A345" s="5" t="n"/>
      <c r="D345" s="10" t="n"/>
      <c r="F345" s="9" t="n"/>
      <c r="H345" s="8" t="n"/>
    </row>
    <row r="346">
      <c r="A346" s="5" t="n"/>
      <c r="D346" s="10" t="n"/>
      <c r="F346" s="9" t="n"/>
      <c r="H346" s="8" t="n"/>
    </row>
    <row r="347">
      <c r="A347" s="5" t="n"/>
      <c r="D347" s="10" t="n"/>
      <c r="F347" s="9" t="n"/>
      <c r="H347" s="8" t="n"/>
    </row>
    <row r="348">
      <c r="A348" s="5" t="n"/>
      <c r="D348" s="10" t="n"/>
      <c r="F348" s="9" t="n"/>
      <c r="H348" s="8" t="n"/>
    </row>
    <row r="349">
      <c r="A349" s="5" t="n"/>
      <c r="D349" s="10" t="n"/>
      <c r="F349" s="9" t="n"/>
      <c r="H349" s="8" t="n"/>
    </row>
    <row r="350">
      <c r="A350" s="5" t="n"/>
      <c r="D350" s="10" t="n"/>
      <c r="F350" s="9" t="n"/>
      <c r="H350" s="8" t="n"/>
    </row>
    <row r="351">
      <c r="A351" s="5" t="n"/>
      <c r="D351" s="10" t="n"/>
      <c r="F351" s="9" t="n"/>
      <c r="H351" s="8" t="n"/>
    </row>
    <row r="352">
      <c r="A352" s="5" t="n"/>
      <c r="D352" s="10" t="n"/>
      <c r="F352" s="9" t="n"/>
      <c r="H352" s="8" t="n"/>
    </row>
    <row r="353">
      <c r="A353" s="5" t="n"/>
      <c r="D353" s="10" t="n"/>
      <c r="F353" s="9" t="n"/>
      <c r="H353" s="8" t="n"/>
    </row>
    <row r="354">
      <c r="A354" s="5" t="n"/>
      <c r="D354" s="10" t="n"/>
      <c r="F354" s="9" t="n"/>
      <c r="H354" s="8" t="n"/>
    </row>
    <row r="355">
      <c r="A355" s="5" t="n"/>
      <c r="D355" s="10" t="n"/>
      <c r="F355" s="9" t="n"/>
      <c r="H355" s="8" t="n"/>
    </row>
    <row r="356">
      <c r="A356" s="5" t="n"/>
      <c r="D356" s="10" t="n"/>
      <c r="F356" s="9" t="n"/>
      <c r="H356" s="8" t="n"/>
    </row>
    <row r="357">
      <c r="A357" s="5" t="n"/>
      <c r="D357" s="10" t="n"/>
      <c r="F357" s="9" t="n"/>
      <c r="H357" s="8" t="n"/>
    </row>
    <row r="358">
      <c r="A358" s="7" t="n"/>
      <c r="D358" s="10" t="n"/>
      <c r="F358" s="9" t="n"/>
      <c r="H358" s="8" t="n"/>
    </row>
    <row r="359">
      <c r="D359" s="10" t="n"/>
      <c r="F359" s="9" t="n"/>
      <c r="H359" s="8" t="n"/>
    </row>
    <row r="360">
      <c r="D360" s="10" t="n"/>
      <c r="F360" s="9" t="n"/>
      <c r="H360" s="8" t="n"/>
    </row>
    <row r="361">
      <c r="D361" s="10" t="n"/>
      <c r="F361" s="9" t="n"/>
      <c r="H361" s="8" t="n"/>
    </row>
    <row r="362">
      <c r="A362" s="3" t="n"/>
      <c r="D362" s="10" t="n"/>
      <c r="F362" s="9" t="n"/>
      <c r="H362" s="8" t="n"/>
    </row>
    <row r="363">
      <c r="A363" s="3" t="n"/>
      <c r="D363" s="10" t="n"/>
      <c r="F363" s="9" t="n"/>
      <c r="H363" s="8" t="n"/>
    </row>
    <row r="364">
      <c r="A364" s="5" t="n"/>
      <c r="D364" s="10" t="n"/>
      <c r="F364" s="9" t="n"/>
      <c r="H364" s="8" t="n"/>
    </row>
    <row r="365">
      <c r="A365" s="5" t="n"/>
      <c r="D365" s="10" t="n"/>
      <c r="F365" s="9" t="n"/>
      <c r="H365" s="8" t="n"/>
    </row>
    <row r="366">
      <c r="A366" s="5" t="n"/>
      <c r="D366" s="10" t="n"/>
      <c r="F366" s="9" t="n"/>
      <c r="H366" s="8" t="n"/>
    </row>
    <row r="367">
      <c r="A367" s="5" t="n"/>
      <c r="D367" s="10" t="n"/>
      <c r="F367" s="9" t="n"/>
      <c r="H367" s="8" t="n"/>
    </row>
    <row r="368">
      <c r="A368" s="5" t="n"/>
      <c r="D368" s="10" t="n"/>
      <c r="F368" s="9" t="n"/>
      <c r="H368" s="8" t="n"/>
    </row>
    <row r="369">
      <c r="A369" s="5" t="n"/>
      <c r="D369" s="10" t="n"/>
      <c r="F369" s="9" t="n"/>
      <c r="H369" s="8" t="n"/>
    </row>
    <row r="370">
      <c r="A370" s="5" t="n"/>
      <c r="D370" s="10" t="n"/>
      <c r="F370" s="9" t="n"/>
      <c r="H370" s="8" t="n"/>
    </row>
    <row r="371">
      <c r="A371" s="5" t="n"/>
      <c r="D371" s="10" t="n"/>
      <c r="F371" s="9" t="n"/>
      <c r="H371" s="8" t="n"/>
    </row>
    <row r="372">
      <c r="A372" s="5" t="n"/>
      <c r="D372" s="10" t="n"/>
      <c r="F372" s="9" t="n"/>
      <c r="H372" s="8" t="n"/>
    </row>
    <row r="373">
      <c r="A373" s="5" t="n"/>
      <c r="D373" s="10" t="n"/>
      <c r="F373" s="9" t="n"/>
      <c r="H373" s="8" t="n"/>
    </row>
    <row r="374">
      <c r="A374" s="5" t="n"/>
      <c r="D374" s="10" t="n"/>
      <c r="F374" s="9" t="n"/>
      <c r="H374" s="8" t="n"/>
    </row>
    <row r="375">
      <c r="A375" s="5" t="n"/>
      <c r="D375" s="10" t="n"/>
      <c r="F375" s="9" t="n"/>
      <c r="H375" s="8" t="n"/>
    </row>
    <row r="376">
      <c r="A376" s="5" t="n"/>
      <c r="D376" s="10" t="n"/>
      <c r="F376" s="9" t="n"/>
      <c r="H376" s="8" t="n"/>
    </row>
    <row r="377">
      <c r="A377" s="5" t="n"/>
      <c r="D377" s="10" t="n"/>
      <c r="F377" s="9" t="n"/>
      <c r="H377" s="8" t="n"/>
    </row>
    <row r="378">
      <c r="A378" s="5" t="n"/>
      <c r="D378" s="10" t="n"/>
      <c r="F378" s="9" t="n"/>
      <c r="H378" s="8" t="n"/>
    </row>
    <row r="379">
      <c r="A379" s="5" t="n"/>
      <c r="D379" s="10" t="n"/>
      <c r="F379" s="9" t="n"/>
      <c r="H379" s="8" t="n"/>
    </row>
    <row r="380">
      <c r="A380" s="5" t="n"/>
      <c r="D380" s="10" t="n"/>
      <c r="F380" s="9" t="n"/>
      <c r="H380" s="8" t="n"/>
    </row>
    <row r="381">
      <c r="A381" s="5" t="n"/>
      <c r="D381" s="10" t="n"/>
      <c r="F381" s="9" t="n"/>
      <c r="H381" s="8" t="n"/>
    </row>
    <row r="382">
      <c r="A382" s="5" t="n"/>
      <c r="D382" s="10" t="n"/>
      <c r="F382" s="9" t="n"/>
      <c r="H382" s="8" t="n"/>
    </row>
    <row r="383">
      <c r="A383" s="5" t="n"/>
      <c r="D383" s="10" t="n"/>
      <c r="F383" s="9" t="n"/>
      <c r="H383" s="8" t="n"/>
    </row>
    <row r="384">
      <c r="A384" s="5" t="n"/>
      <c r="D384" s="10" t="n"/>
      <c r="F384" s="9" t="n"/>
      <c r="H384" s="8" t="n"/>
    </row>
    <row r="385">
      <c r="A385" s="5" t="n"/>
      <c r="D385" s="10" t="n"/>
      <c r="F385" s="9" t="n"/>
      <c r="H385" s="8" t="n"/>
    </row>
    <row r="386">
      <c r="A386" s="5" t="n"/>
      <c r="D386" s="10" t="n"/>
      <c r="F386" s="9" t="n"/>
      <c r="H386" s="8" t="n"/>
    </row>
    <row r="387">
      <c r="A387" s="5" t="n"/>
      <c r="D387" s="10" t="n"/>
      <c r="F387" s="9" t="n"/>
      <c r="H387" s="8" t="n"/>
    </row>
    <row r="388">
      <c r="A388" s="5" t="n"/>
      <c r="D388" s="10" t="n"/>
      <c r="F388" s="9" t="n"/>
      <c r="H388" s="8" t="n"/>
    </row>
    <row r="389">
      <c r="A389" s="5" t="n"/>
      <c r="D389" s="10" t="n"/>
      <c r="F389" s="9" t="n"/>
      <c r="H389" s="8" t="n"/>
    </row>
    <row r="390">
      <c r="A390" s="5" t="n"/>
      <c r="D390" s="10" t="n"/>
      <c r="F390" s="9" t="n"/>
      <c r="H390" s="8" t="n"/>
    </row>
    <row r="391">
      <c r="A391" s="5" t="n"/>
      <c r="D391" s="10" t="n"/>
      <c r="F391" s="9" t="n"/>
      <c r="H391" s="8" t="n"/>
    </row>
    <row r="392">
      <c r="A392" s="5" t="n"/>
      <c r="D392" s="10" t="n"/>
      <c r="F392" s="9" t="n"/>
      <c r="H392" s="8" t="n"/>
    </row>
    <row r="393">
      <c r="A393" s="5" t="n"/>
      <c r="D393" s="10" t="n"/>
      <c r="F393" s="9" t="n"/>
      <c r="H393" s="8" t="n"/>
    </row>
    <row r="394">
      <c r="A394" s="5" t="n"/>
      <c r="D394" s="10" t="n"/>
      <c r="F394" s="9" t="n"/>
      <c r="H394" s="8" t="n"/>
    </row>
    <row r="395">
      <c r="A395" s="5" t="n"/>
      <c r="D395" s="10" t="n"/>
      <c r="F395" s="9" t="n"/>
      <c r="H395" s="8" t="n"/>
    </row>
    <row r="396">
      <c r="A396" s="5" t="n"/>
      <c r="D396" s="10" t="n"/>
      <c r="F396" s="9" t="n"/>
      <c r="H396" s="8" t="n"/>
    </row>
    <row r="397">
      <c r="A397" s="5" t="n"/>
      <c r="D397" s="10" t="n"/>
      <c r="F397" s="9" t="n"/>
      <c r="H397" s="8" t="n"/>
    </row>
    <row r="398">
      <c r="A398" s="5" t="n"/>
      <c r="D398" s="10" t="n"/>
      <c r="F398" s="9" t="n"/>
      <c r="H398" s="8" t="n"/>
    </row>
    <row r="399">
      <c r="A399" s="5" t="n"/>
      <c r="D399" s="10" t="n"/>
      <c r="F399" s="9" t="n"/>
      <c r="H399" s="8" t="n"/>
    </row>
    <row r="400">
      <c r="A400" s="5" t="n"/>
      <c r="D400" s="10" t="n"/>
      <c r="F400" s="9" t="n"/>
      <c r="H400" s="8" t="n"/>
    </row>
    <row r="401">
      <c r="A401" s="5" t="n"/>
      <c r="D401" s="10" t="n"/>
      <c r="F401" s="9" t="n"/>
      <c r="H401" s="8" t="n"/>
    </row>
    <row r="402">
      <c r="A402" s="5" t="n"/>
      <c r="D402" s="10" t="n"/>
      <c r="F402" s="9" t="n"/>
      <c r="H402" s="8" t="n"/>
    </row>
    <row r="403">
      <c r="A403" s="5" t="n"/>
      <c r="D403" s="10" t="n"/>
      <c r="F403" s="9" t="n"/>
      <c r="H403" s="8" t="n"/>
    </row>
    <row r="404">
      <c r="A404" s="5" t="n"/>
      <c r="D404" s="10" t="n"/>
      <c r="F404" s="9" t="n"/>
      <c r="H404" s="8" t="n"/>
    </row>
    <row r="405">
      <c r="A405" s="5" t="n"/>
      <c r="D405" s="10" t="n"/>
      <c r="F405" s="9" t="n"/>
      <c r="H405" s="8" t="n"/>
    </row>
    <row r="406">
      <c r="A406" s="5" t="n"/>
      <c r="D406" s="10" t="n"/>
      <c r="F406" s="9" t="n"/>
      <c r="H406" s="8" t="n"/>
    </row>
    <row r="407">
      <c r="A407" s="5" t="n"/>
      <c r="D407" s="10" t="n"/>
      <c r="F407" s="9" t="n"/>
      <c r="H407" s="8" t="n"/>
    </row>
    <row r="408">
      <c r="A408" s="5" t="n"/>
      <c r="D408" s="10" t="n"/>
      <c r="F408" s="9" t="n"/>
      <c r="H408" s="8" t="n"/>
    </row>
    <row r="409">
      <c r="A409" s="5" t="n"/>
      <c r="D409" s="10" t="n"/>
      <c r="F409" s="9" t="n"/>
      <c r="H409" s="8" t="n"/>
    </row>
    <row r="410">
      <c r="A410" s="5" t="n"/>
      <c r="D410" s="10" t="n"/>
      <c r="F410" s="9" t="n"/>
      <c r="H410" s="8" t="n"/>
    </row>
    <row r="411">
      <c r="A411" s="5" t="n"/>
      <c r="D411" s="10" t="n"/>
      <c r="F411" s="9" t="n"/>
      <c r="H411" s="8" t="n"/>
    </row>
    <row r="412">
      <c r="A412" s="5" t="n"/>
      <c r="D412" s="10" t="n"/>
      <c r="F412" s="9" t="n"/>
      <c r="H412" s="8" t="n"/>
    </row>
    <row r="413">
      <c r="A413" s="5" t="n"/>
      <c r="D413" s="10" t="n"/>
      <c r="F413" s="9" t="n"/>
      <c r="H413" s="8" t="n"/>
    </row>
    <row r="414">
      <c r="A414" s="5" t="n"/>
      <c r="D414" s="10" t="n"/>
      <c r="F414" s="9" t="n"/>
      <c r="H414" s="8" t="n"/>
    </row>
    <row r="415">
      <c r="A415" s="5" t="n"/>
      <c r="D415" s="10" t="n"/>
      <c r="F415" s="9" t="n"/>
      <c r="H415" s="8" t="n"/>
    </row>
    <row r="416">
      <c r="A416" s="5" t="n"/>
      <c r="D416" s="10" t="n"/>
      <c r="F416" s="9" t="n"/>
      <c r="H416" s="8" t="n"/>
    </row>
    <row r="417">
      <c r="A417" s="5" t="n"/>
      <c r="D417" s="10" t="n"/>
      <c r="F417" s="9" t="n"/>
      <c r="H417" s="8" t="n"/>
    </row>
    <row r="418">
      <c r="A418" s="5" t="n"/>
      <c r="D418" s="10" t="n"/>
      <c r="F418" s="9" t="n"/>
      <c r="H418" s="8" t="n"/>
    </row>
    <row r="419">
      <c r="A419" s="5" t="n"/>
      <c r="D419" s="10" t="n"/>
      <c r="F419" s="9" t="n"/>
      <c r="H419" s="8" t="n"/>
    </row>
    <row r="420">
      <c r="A420" s="5" t="n"/>
      <c r="D420" s="10" t="n"/>
      <c r="F420" s="9" t="n"/>
      <c r="H420" s="8" t="n"/>
    </row>
    <row r="421">
      <c r="A421" s="5" t="n"/>
      <c r="D421" s="10" t="n"/>
      <c r="F421" s="9" t="n"/>
      <c r="H421" s="8" t="n"/>
    </row>
    <row r="422">
      <c r="A422" s="5" t="n"/>
      <c r="D422" s="10" t="n"/>
      <c r="F422" s="9" t="n"/>
      <c r="H422" s="8" t="n"/>
    </row>
    <row r="423">
      <c r="A423" s="5" t="n"/>
      <c r="D423" s="10" t="n"/>
      <c r="F423" s="9" t="n"/>
      <c r="H423" s="8" t="n"/>
    </row>
    <row r="424">
      <c r="A424" s="5" t="n"/>
      <c r="D424" s="10" t="n"/>
      <c r="F424" s="9" t="n"/>
      <c r="H424" s="8" t="n"/>
    </row>
    <row r="425">
      <c r="A425" s="5" t="n"/>
      <c r="D425" s="10" t="n"/>
      <c r="F425" s="9" t="n"/>
      <c r="H425" s="8" t="n"/>
    </row>
    <row r="426">
      <c r="A426" s="5" t="n"/>
      <c r="D426" s="10" t="n"/>
      <c r="F426" s="9" t="n"/>
      <c r="H426" s="8" t="n"/>
    </row>
    <row r="427">
      <c r="A427" s="5" t="n"/>
      <c r="D427" s="10" t="n"/>
      <c r="F427" s="9" t="n"/>
      <c r="H427" s="8" t="n"/>
    </row>
    <row r="428">
      <c r="A428" s="5" t="n"/>
      <c r="D428" s="10" t="n"/>
      <c r="F428" s="9" t="n"/>
      <c r="H428" s="8" t="n"/>
    </row>
    <row r="429">
      <c r="A429" s="5" t="n"/>
      <c r="D429" s="10" t="n"/>
      <c r="F429" s="9" t="n"/>
      <c r="H429" s="8" t="n"/>
    </row>
    <row r="430">
      <c r="A430" s="5" t="n"/>
      <c r="D430" s="10" t="n"/>
      <c r="F430" s="9" t="n"/>
      <c r="H430" s="8" t="n"/>
    </row>
    <row r="431">
      <c r="A431" s="7" t="n"/>
      <c r="D431" s="10" t="n"/>
      <c r="F431" s="9" t="n"/>
      <c r="H431" s="8" t="n"/>
    </row>
    <row r="432">
      <c r="D432" s="10" t="n"/>
      <c r="F432" s="9" t="n"/>
      <c r="H432" s="8" t="n"/>
    </row>
    <row r="433">
      <c r="D433" s="10" t="n"/>
      <c r="F433" s="9" t="n"/>
      <c r="H433" s="8" t="n"/>
    </row>
    <row r="434">
      <c r="D434" s="10" t="n"/>
      <c r="F434" s="9" t="n"/>
      <c r="H434" s="8" t="n"/>
    </row>
    <row r="435">
      <c r="A435" s="3" t="n"/>
      <c r="D435" s="10" t="n"/>
      <c r="F435" s="9" t="n"/>
      <c r="H435" s="8" t="n"/>
    </row>
    <row r="436">
      <c r="A436" s="3" t="n"/>
      <c r="D436" s="10" t="n"/>
      <c r="F436" s="9" t="n"/>
      <c r="H436" s="8" t="n"/>
    </row>
    <row r="437">
      <c r="A437" s="5" t="n"/>
      <c r="D437" s="10" t="n"/>
      <c r="F437" s="9" t="n"/>
      <c r="H437" s="8" t="n"/>
    </row>
    <row r="438">
      <c r="A438" s="5" t="n"/>
      <c r="D438" s="10" t="n"/>
      <c r="F438" s="9" t="n"/>
      <c r="H438" s="8" t="n"/>
    </row>
    <row r="439">
      <c r="A439" s="5" t="n"/>
      <c r="D439" s="10" t="n"/>
      <c r="F439" s="9" t="n"/>
      <c r="H439" s="8" t="n"/>
    </row>
    <row r="440">
      <c r="A440" s="5" t="n"/>
      <c r="D440" s="10" t="n"/>
      <c r="F440" s="9" t="n"/>
      <c r="H440" s="8" t="n"/>
    </row>
    <row r="441">
      <c r="A441" s="5" t="n"/>
      <c r="D441" s="10" t="n"/>
      <c r="F441" s="9" t="n"/>
      <c r="H441" s="8" t="n"/>
    </row>
    <row r="442">
      <c r="A442" s="5" t="n"/>
      <c r="D442" s="10" t="n"/>
      <c r="F442" s="9" t="n"/>
      <c r="H442" s="8" t="n"/>
    </row>
    <row r="443">
      <c r="A443" s="5" t="n"/>
      <c r="D443" s="10" t="n"/>
      <c r="F443" s="9" t="n"/>
      <c r="H443" s="8" t="n"/>
    </row>
    <row r="444">
      <c r="A444" s="5" t="n"/>
      <c r="D444" s="10" t="n"/>
      <c r="F444" s="9" t="n"/>
      <c r="H444" s="8" t="n"/>
    </row>
    <row r="445">
      <c r="A445" s="5" t="n"/>
      <c r="D445" s="10" t="n"/>
      <c r="F445" s="9" t="n"/>
      <c r="H445" s="8" t="n"/>
    </row>
    <row r="446">
      <c r="A446" s="5" t="n"/>
      <c r="D446" s="10" t="n"/>
      <c r="F446" s="9" t="n"/>
      <c r="H446" s="8" t="n"/>
    </row>
    <row r="447">
      <c r="A447" s="5" t="n"/>
      <c r="D447" s="10" t="n"/>
      <c r="F447" s="9" t="n"/>
      <c r="H447" s="8" t="n"/>
    </row>
    <row r="448">
      <c r="A448" s="5" t="n"/>
      <c r="D448" s="10" t="n"/>
      <c r="F448" s="9" t="n"/>
      <c r="H448" s="8" t="n"/>
    </row>
    <row r="449">
      <c r="A449" s="5" t="n"/>
      <c r="D449" s="10" t="n"/>
      <c r="F449" s="9" t="n"/>
      <c r="H449" s="8" t="n"/>
    </row>
    <row r="450">
      <c r="A450" s="5" t="n"/>
      <c r="D450" s="10" t="n"/>
      <c r="F450" s="9" t="n"/>
      <c r="H450" s="8" t="n"/>
    </row>
    <row r="451">
      <c r="A451" s="5" t="n"/>
      <c r="D451" s="10" t="n"/>
      <c r="F451" s="9" t="n"/>
      <c r="H451" s="8" t="n"/>
    </row>
    <row r="452">
      <c r="A452" s="5" t="n"/>
      <c r="D452" s="10" t="n"/>
      <c r="F452" s="9" t="n"/>
      <c r="H452" s="8" t="n"/>
    </row>
    <row r="453">
      <c r="A453" s="5" t="n"/>
      <c r="D453" s="10" t="n"/>
      <c r="F453" s="9" t="n"/>
      <c r="H453" s="8" t="n"/>
    </row>
    <row r="454">
      <c r="A454" s="5" t="n"/>
      <c r="D454" s="10" t="n"/>
      <c r="F454" s="9" t="n"/>
      <c r="H454" s="8" t="n"/>
    </row>
    <row r="455">
      <c r="A455" s="5" t="n"/>
      <c r="D455" s="10" t="n"/>
      <c r="F455" s="9" t="n"/>
      <c r="H455" s="8" t="n"/>
    </row>
    <row r="456">
      <c r="A456" s="5" t="n"/>
      <c r="D456" s="10" t="n"/>
      <c r="F456" s="9" t="n"/>
      <c r="H456" s="8" t="n"/>
    </row>
    <row r="457">
      <c r="A457" s="5" t="n"/>
      <c r="D457" s="10" t="n"/>
      <c r="F457" s="9" t="n"/>
      <c r="H457" s="8" t="n"/>
    </row>
    <row r="458">
      <c r="A458" s="5" t="n"/>
      <c r="D458" s="10" t="n"/>
      <c r="F458" s="9" t="n"/>
      <c r="H458" s="8" t="n"/>
    </row>
    <row r="459">
      <c r="A459" s="5" t="n"/>
      <c r="D459" s="10" t="n"/>
      <c r="F459" s="9" t="n"/>
      <c r="H459" s="8" t="n"/>
    </row>
    <row r="460">
      <c r="A460" s="5" t="n"/>
      <c r="D460" s="10" t="n"/>
      <c r="F460" s="9" t="n"/>
      <c r="H460" s="8" t="n"/>
    </row>
    <row r="461">
      <c r="A461" s="5" t="n"/>
      <c r="D461" s="10" t="n"/>
      <c r="F461" s="9" t="n"/>
      <c r="H461" s="8" t="n"/>
    </row>
    <row r="462">
      <c r="A462" s="5" t="n"/>
      <c r="D462" s="10" t="n"/>
      <c r="F462" s="9" t="n"/>
      <c r="H462" s="8" t="n"/>
    </row>
    <row r="463">
      <c r="A463" s="5" t="n"/>
      <c r="D463" s="10" t="n"/>
      <c r="F463" s="9" t="n"/>
      <c r="H463" s="8" t="n"/>
    </row>
    <row r="464">
      <c r="A464" s="5" t="n"/>
      <c r="D464" s="10" t="n"/>
      <c r="F464" s="9" t="n"/>
      <c r="H464" s="8" t="n"/>
    </row>
    <row r="465">
      <c r="A465" s="5" t="n"/>
      <c r="D465" s="10" t="n"/>
      <c r="F465" s="9" t="n"/>
      <c r="H465" s="8" t="n"/>
    </row>
    <row r="466">
      <c r="A466" s="5" t="n"/>
      <c r="D466" s="10" t="n"/>
      <c r="F466" s="9" t="n"/>
      <c r="H466" s="8" t="n"/>
    </row>
    <row r="467">
      <c r="A467" s="5" t="n"/>
      <c r="D467" s="10" t="n"/>
      <c r="F467" s="9" t="n"/>
      <c r="H467" s="8" t="n"/>
    </row>
    <row r="468">
      <c r="A468" s="5" t="n"/>
      <c r="D468" s="10" t="n"/>
      <c r="F468" s="9" t="n"/>
      <c r="H468" s="8" t="n"/>
    </row>
    <row r="469">
      <c r="A469" s="5" t="n"/>
      <c r="D469" s="10" t="n"/>
      <c r="F469" s="9" t="n"/>
      <c r="H469" s="8" t="n"/>
    </row>
    <row r="470">
      <c r="A470" s="5" t="n"/>
      <c r="D470" s="10" t="n"/>
      <c r="F470" s="9" t="n"/>
      <c r="H470" s="8" t="n"/>
    </row>
    <row r="471">
      <c r="A471" s="5" t="n"/>
      <c r="D471" s="10" t="n"/>
      <c r="F471" s="9" t="n"/>
      <c r="H471" s="8" t="n"/>
    </row>
    <row r="472">
      <c r="A472" s="5" t="n"/>
      <c r="D472" s="10" t="n"/>
      <c r="F472" s="9" t="n"/>
      <c r="H472" s="8" t="n"/>
    </row>
    <row r="473">
      <c r="A473" s="5" t="n"/>
      <c r="D473" s="10" t="n"/>
      <c r="F473" s="9" t="n"/>
      <c r="H473" s="8" t="n"/>
    </row>
    <row r="474">
      <c r="A474" s="5" t="n"/>
      <c r="D474" s="10" t="n"/>
      <c r="F474" s="9" t="n"/>
      <c r="H474" s="8" t="n"/>
    </row>
    <row r="475">
      <c r="A475" s="5" t="n"/>
      <c r="D475" s="10" t="n"/>
      <c r="F475" s="9" t="n"/>
      <c r="H475" s="8" t="n"/>
    </row>
    <row r="476">
      <c r="A476" s="5" t="n"/>
      <c r="D476" s="10" t="n"/>
      <c r="F476" s="9" t="n"/>
      <c r="H476" s="8" t="n"/>
    </row>
    <row r="477">
      <c r="A477" s="5" t="n"/>
      <c r="D477" s="10" t="n"/>
      <c r="F477" s="9" t="n"/>
      <c r="H477" s="8" t="n"/>
    </row>
    <row r="478">
      <c r="A478" s="5" t="n"/>
      <c r="D478" s="10" t="n"/>
      <c r="F478" s="9" t="n"/>
      <c r="H478" s="8" t="n"/>
    </row>
    <row r="479">
      <c r="A479" s="5" t="n"/>
      <c r="D479" s="10" t="n"/>
      <c r="F479" s="9" t="n"/>
      <c r="H479" s="8" t="n"/>
    </row>
    <row r="480">
      <c r="A480" s="5" t="n"/>
      <c r="D480" s="10" t="n"/>
      <c r="F480" s="9" t="n"/>
      <c r="H480" s="8" t="n"/>
    </row>
    <row r="481">
      <c r="A481" s="5" t="n"/>
      <c r="D481" s="10" t="n"/>
      <c r="F481" s="9" t="n"/>
      <c r="H481" s="8" t="n"/>
    </row>
    <row r="482">
      <c r="A482" s="5" t="n"/>
      <c r="D482" s="10" t="n"/>
      <c r="F482" s="9" t="n"/>
      <c r="H482" s="8" t="n"/>
    </row>
    <row r="483">
      <c r="A483" s="5" t="n"/>
      <c r="D483" s="10" t="n"/>
      <c r="F483" s="9" t="n"/>
      <c r="H483" s="8" t="n"/>
    </row>
    <row r="484">
      <c r="A484" s="5" t="n"/>
      <c r="D484" s="10" t="n"/>
      <c r="F484" s="9" t="n"/>
      <c r="H484" s="8" t="n"/>
    </row>
    <row r="485">
      <c r="A485" s="5" t="n"/>
      <c r="D485" s="10" t="n"/>
      <c r="F485" s="9" t="n"/>
      <c r="H485" s="8" t="n"/>
    </row>
    <row r="486">
      <c r="A486" s="5" t="n"/>
      <c r="D486" s="10" t="n"/>
      <c r="F486" s="9" t="n"/>
      <c r="H486" s="8" t="n"/>
    </row>
    <row r="487">
      <c r="A487" s="5" t="n"/>
      <c r="D487" s="10" t="n"/>
      <c r="F487" s="9" t="n"/>
      <c r="H487" s="8" t="n"/>
    </row>
    <row r="488">
      <c r="A488" s="5" t="n"/>
      <c r="D488" s="10" t="n"/>
      <c r="F488" s="9" t="n"/>
      <c r="H488" s="8" t="n"/>
    </row>
    <row r="489">
      <c r="A489" s="5" t="n"/>
      <c r="D489" s="10" t="n"/>
      <c r="F489" s="9" t="n"/>
      <c r="H489" s="8" t="n"/>
    </row>
    <row r="490">
      <c r="A490" s="5" t="n"/>
      <c r="D490" s="10" t="n"/>
      <c r="F490" s="9" t="n"/>
      <c r="H490" s="8" t="n"/>
    </row>
    <row r="491">
      <c r="A491" s="5" t="n"/>
      <c r="D491" s="10" t="n"/>
      <c r="F491" s="9" t="n"/>
      <c r="H491" s="8" t="n"/>
    </row>
    <row r="492">
      <c r="A492" s="5" t="n"/>
      <c r="D492" s="10" t="n"/>
      <c r="F492" s="9" t="n"/>
      <c r="H492" s="8" t="n"/>
    </row>
    <row r="493">
      <c r="A493" s="5" t="n"/>
      <c r="D493" s="10" t="n"/>
      <c r="F493" s="9" t="n"/>
      <c r="H493" s="8" t="n"/>
    </row>
    <row r="494">
      <c r="A494" s="5" t="n"/>
      <c r="D494" s="10" t="n"/>
      <c r="F494" s="9" t="n"/>
      <c r="H494" s="8" t="n"/>
    </row>
    <row r="495">
      <c r="A495" s="5" t="n"/>
      <c r="D495" s="10" t="n"/>
      <c r="F495" s="9" t="n"/>
      <c r="H495" s="8" t="n"/>
    </row>
    <row r="496">
      <c r="A496" s="5" t="n"/>
      <c r="D496" s="10" t="n"/>
      <c r="F496" s="9" t="n"/>
      <c r="H496" s="8" t="n"/>
    </row>
    <row r="497">
      <c r="A497" s="5" t="n"/>
      <c r="D497" s="10" t="n"/>
      <c r="F497" s="9" t="n"/>
      <c r="H497" s="8" t="n"/>
    </row>
    <row r="498">
      <c r="A498" s="5" t="n"/>
      <c r="D498" s="10" t="n"/>
      <c r="F498" s="9" t="n"/>
      <c r="H498" s="8" t="n"/>
    </row>
    <row r="499">
      <c r="A499" s="5" t="n"/>
      <c r="D499" s="10" t="n"/>
      <c r="F499" s="9" t="n"/>
      <c r="H499" s="8" t="n"/>
    </row>
    <row r="500">
      <c r="A500" s="5" t="n"/>
      <c r="D500" s="10" t="n"/>
      <c r="F500" s="9" t="n"/>
      <c r="H500" s="8" t="n"/>
    </row>
    <row r="501">
      <c r="A501" s="5" t="n"/>
      <c r="D501" s="10" t="n"/>
      <c r="F501" s="9" t="n"/>
      <c r="H501" s="8" t="n"/>
    </row>
    <row r="502">
      <c r="A502" s="5" t="n"/>
      <c r="D502" s="10" t="n"/>
      <c r="F502" s="9" t="n"/>
      <c r="H502" s="8" t="n"/>
    </row>
    <row r="503">
      <c r="A503" s="5" t="n"/>
      <c r="D503" s="10" t="n"/>
      <c r="F503" s="9" t="n"/>
      <c r="H503" s="8" t="n"/>
    </row>
    <row r="504">
      <c r="A504" s="7" t="n"/>
      <c r="D504" s="10" t="n"/>
      <c r="F504" s="9" t="n"/>
      <c r="H504" s="8" t="n"/>
    </row>
    <row r="505">
      <c r="D505" s="10" t="n"/>
      <c r="F505" s="9" t="n"/>
      <c r="H505" s="8" t="n"/>
    </row>
    <row r="506">
      <c r="D506" s="10" t="n"/>
      <c r="F506" s="9" t="n"/>
      <c r="H506" s="8" t="n"/>
    </row>
    <row r="507">
      <c r="D507" s="10" t="n"/>
      <c r="F507" s="9" t="n"/>
      <c r="H507" s="8" t="n"/>
    </row>
    <row r="508">
      <c r="A508" s="3" t="n"/>
      <c r="D508" s="10" t="n"/>
      <c r="F508" s="9" t="n"/>
      <c r="H508" s="8" t="n"/>
    </row>
    <row r="509">
      <c r="A509" s="3" t="n"/>
      <c r="D509" s="10" t="n"/>
      <c r="F509" s="9" t="n"/>
      <c r="H509" s="8" t="n"/>
    </row>
    <row r="510">
      <c r="A510" s="5" t="n"/>
      <c r="D510" s="10" t="n"/>
      <c r="F510" s="9" t="n"/>
      <c r="H510" s="8" t="n"/>
    </row>
    <row r="511">
      <c r="A511" s="5" t="n"/>
      <c r="D511" s="10" t="n"/>
      <c r="F511" s="9" t="n"/>
      <c r="H511" s="8" t="n"/>
    </row>
    <row r="512">
      <c r="A512" s="5" t="n"/>
      <c r="D512" s="10" t="n"/>
      <c r="F512" s="9" t="n"/>
      <c r="H512" s="8" t="n"/>
    </row>
    <row r="513">
      <c r="A513" s="5" t="n"/>
      <c r="D513" s="10" t="n"/>
      <c r="F513" s="9" t="n"/>
      <c r="H513" s="8" t="n"/>
    </row>
    <row r="514">
      <c r="A514" s="5" t="n"/>
      <c r="D514" s="10" t="n"/>
      <c r="F514" s="9" t="n"/>
      <c r="H514" s="8" t="n"/>
    </row>
    <row r="515">
      <c r="A515" s="5" t="n"/>
      <c r="D515" s="10" t="n"/>
      <c r="F515" s="9" t="n"/>
      <c r="H515" s="8" t="n"/>
    </row>
    <row r="516">
      <c r="A516" s="5" t="n"/>
      <c r="D516" s="10" t="n"/>
      <c r="F516" s="9" t="n"/>
      <c r="H516" s="8" t="n"/>
    </row>
    <row r="517">
      <c r="A517" s="5" t="n"/>
      <c r="D517" s="10" t="n"/>
      <c r="F517" s="9" t="n"/>
      <c r="H517" s="8" t="n"/>
    </row>
    <row r="518">
      <c r="A518" s="5" t="n"/>
      <c r="D518" s="10" t="n"/>
      <c r="F518" s="9" t="n"/>
      <c r="H518" s="8" t="n"/>
    </row>
    <row r="519">
      <c r="A519" s="5" t="n"/>
      <c r="D519" s="10" t="n"/>
      <c r="F519" s="9" t="n"/>
      <c r="H519" s="8" t="n"/>
    </row>
    <row r="520">
      <c r="A520" s="5" t="n"/>
      <c r="D520" s="10" t="n"/>
      <c r="F520" s="9" t="n"/>
      <c r="H520" s="8" t="n"/>
    </row>
    <row r="521">
      <c r="A521" s="5" t="n"/>
      <c r="D521" s="10" t="n"/>
      <c r="F521" s="9" t="n"/>
      <c r="H521" s="8" t="n"/>
    </row>
    <row r="522">
      <c r="A522" s="5" t="n"/>
      <c r="D522" s="10" t="n"/>
      <c r="F522" s="9" t="n"/>
      <c r="H522" s="8" t="n"/>
    </row>
    <row r="523">
      <c r="A523" s="5" t="n"/>
      <c r="D523" s="10" t="n"/>
      <c r="F523" s="9" t="n"/>
      <c r="H523" s="8" t="n"/>
    </row>
    <row r="524">
      <c r="A524" s="5" t="n"/>
      <c r="D524" s="10" t="n"/>
      <c r="F524" s="9" t="n"/>
      <c r="H524" s="8" t="n"/>
    </row>
    <row r="525">
      <c r="A525" s="5" t="n"/>
      <c r="D525" s="10" t="n"/>
      <c r="F525" s="9" t="n"/>
      <c r="H525" s="8" t="n"/>
    </row>
    <row r="526">
      <c r="A526" s="5" t="n"/>
      <c r="D526" s="10" t="n"/>
      <c r="F526" s="9" t="n"/>
      <c r="H526" s="8" t="n"/>
    </row>
    <row r="527">
      <c r="A527" s="5" t="n"/>
      <c r="D527" s="10" t="n"/>
      <c r="F527" s="9" t="n"/>
      <c r="H527" s="8" t="n"/>
    </row>
    <row r="528">
      <c r="A528" s="5" t="n"/>
      <c r="D528" s="10" t="n"/>
      <c r="F528" s="9" t="n"/>
      <c r="H528" s="8" t="n"/>
    </row>
    <row r="529">
      <c r="A529" s="5" t="n"/>
      <c r="D529" s="10" t="n"/>
      <c r="F529" s="9" t="n"/>
      <c r="H529" s="8" t="n"/>
    </row>
    <row r="530">
      <c r="A530" s="5" t="n"/>
      <c r="D530" s="10" t="n"/>
      <c r="F530" s="9" t="n"/>
      <c r="H530" s="8" t="n"/>
    </row>
    <row r="531">
      <c r="A531" s="5" t="n"/>
      <c r="D531" s="10" t="n"/>
      <c r="F531" s="9" t="n"/>
      <c r="H531" s="8" t="n"/>
    </row>
    <row r="532">
      <c r="A532" s="5" t="n"/>
      <c r="D532" s="10" t="n"/>
      <c r="F532" s="9" t="n"/>
      <c r="H532" s="8" t="n"/>
    </row>
    <row r="533">
      <c r="A533" s="5" t="n"/>
      <c r="D533" s="10" t="n"/>
      <c r="F533" s="9" t="n"/>
      <c r="H533" s="8" t="n"/>
    </row>
    <row r="534">
      <c r="A534" s="5" t="n"/>
      <c r="D534" s="10" t="n"/>
      <c r="F534" s="9" t="n"/>
      <c r="H534" s="8" t="n"/>
    </row>
    <row r="535">
      <c r="A535" s="5" t="n"/>
      <c r="D535" s="10" t="n"/>
      <c r="F535" s="9" t="n"/>
      <c r="H535" s="8" t="n"/>
    </row>
    <row r="536">
      <c r="A536" s="5" t="n"/>
      <c r="D536" s="10" t="n"/>
      <c r="F536" s="9" t="n"/>
      <c r="H536" s="8" t="n"/>
    </row>
    <row r="537">
      <c r="A537" s="5" t="n"/>
      <c r="D537" s="10" t="n"/>
      <c r="F537" s="9" t="n"/>
      <c r="H537" s="8" t="n"/>
    </row>
    <row r="538">
      <c r="A538" s="5" t="n"/>
      <c r="D538" s="10" t="n"/>
      <c r="F538" s="9" t="n"/>
      <c r="H538" s="8" t="n"/>
    </row>
    <row r="539">
      <c r="A539" s="5" t="n"/>
      <c r="D539" s="10" t="n"/>
      <c r="F539" s="9" t="n"/>
      <c r="H539" s="8" t="n"/>
    </row>
    <row r="540">
      <c r="A540" s="5" t="n"/>
      <c r="D540" s="10" t="n"/>
      <c r="F540" s="9" t="n"/>
      <c r="H540" s="8" t="n"/>
    </row>
    <row r="541">
      <c r="A541" s="5" t="n"/>
      <c r="D541" s="10" t="n"/>
      <c r="F541" s="9" t="n"/>
      <c r="H541" s="8" t="n"/>
    </row>
    <row r="542">
      <c r="A542" s="5" t="n"/>
      <c r="D542" s="10" t="n"/>
      <c r="F542" s="9" t="n"/>
      <c r="H542" s="8" t="n"/>
    </row>
    <row r="543">
      <c r="A543" s="5" t="n"/>
      <c r="D543" s="10" t="n"/>
      <c r="F543" s="9" t="n"/>
      <c r="H543" s="8" t="n"/>
    </row>
    <row r="544">
      <c r="A544" s="5" t="n"/>
      <c r="D544" s="10" t="n"/>
      <c r="F544" s="9" t="n"/>
      <c r="H544" s="8" t="n"/>
    </row>
    <row r="545">
      <c r="A545" s="5" t="n"/>
      <c r="D545" s="10" t="n"/>
      <c r="F545" s="9" t="n"/>
      <c r="H545" s="8" t="n"/>
    </row>
    <row r="546">
      <c r="A546" s="5" t="n"/>
      <c r="D546" s="10" t="n"/>
      <c r="F546" s="9" t="n"/>
      <c r="H546" s="8" t="n"/>
    </row>
    <row r="547">
      <c r="A547" s="5" t="n"/>
      <c r="D547" s="10" t="n"/>
      <c r="F547" s="9" t="n"/>
      <c r="H547" s="8" t="n"/>
    </row>
    <row r="548">
      <c r="A548" s="5" t="n"/>
      <c r="D548" s="10" t="n"/>
      <c r="F548" s="9" t="n"/>
      <c r="H548" s="8" t="n"/>
    </row>
    <row r="549">
      <c r="A549" s="5" t="n"/>
      <c r="D549" s="10" t="n"/>
      <c r="F549" s="9" t="n"/>
      <c r="H549" s="8" t="n"/>
    </row>
    <row r="550">
      <c r="A550" s="5" t="n"/>
      <c r="D550" s="10" t="n"/>
      <c r="F550" s="9" t="n"/>
      <c r="H550" s="8" t="n"/>
    </row>
    <row r="551">
      <c r="A551" s="5" t="n"/>
      <c r="D551" s="10" t="n"/>
      <c r="F551" s="9" t="n"/>
      <c r="H551" s="8" t="n"/>
    </row>
    <row r="552">
      <c r="A552" s="5" t="n"/>
      <c r="D552" s="10" t="n"/>
      <c r="F552" s="9" t="n"/>
      <c r="H552" s="8" t="n"/>
    </row>
    <row r="553">
      <c r="A553" s="5" t="n"/>
      <c r="D553" s="10" t="n"/>
      <c r="F553" s="9" t="n"/>
      <c r="H553" s="8" t="n"/>
    </row>
    <row r="554">
      <c r="A554" s="5" t="n"/>
      <c r="D554" s="10" t="n"/>
      <c r="F554" s="9" t="n"/>
      <c r="H554" s="8" t="n"/>
    </row>
    <row r="555">
      <c r="A555" s="5" t="n"/>
      <c r="D555" s="10" t="n"/>
      <c r="F555" s="9" t="n"/>
      <c r="H555" s="8" t="n"/>
    </row>
    <row r="556">
      <c r="A556" s="5" t="n"/>
      <c r="D556" s="10" t="n"/>
      <c r="F556" s="9" t="n"/>
      <c r="H556" s="8" t="n"/>
    </row>
    <row r="557">
      <c r="A557" s="5" t="n"/>
      <c r="D557" s="10" t="n"/>
      <c r="F557" s="9" t="n"/>
      <c r="H557" s="8" t="n"/>
    </row>
    <row r="558">
      <c r="A558" s="5" t="n"/>
      <c r="D558" s="10" t="n"/>
      <c r="F558" s="9" t="n"/>
      <c r="H558" s="8" t="n"/>
    </row>
    <row r="559">
      <c r="A559" s="5" t="n"/>
      <c r="D559" s="10" t="n"/>
      <c r="F559" s="9" t="n"/>
      <c r="H559" s="8" t="n"/>
    </row>
    <row r="560">
      <c r="A560" s="5" t="n"/>
      <c r="D560" s="10" t="n"/>
      <c r="F560" s="9" t="n"/>
      <c r="H560" s="8" t="n"/>
    </row>
    <row r="561">
      <c r="A561" s="5" t="n"/>
      <c r="D561" s="10" t="n"/>
      <c r="F561" s="9" t="n"/>
      <c r="H561" s="8" t="n"/>
    </row>
    <row r="562">
      <c r="A562" s="5" t="n"/>
      <c r="D562" s="10" t="n"/>
      <c r="F562" s="9" t="n"/>
      <c r="H562" s="8" t="n"/>
    </row>
    <row r="563">
      <c r="A563" s="5" t="n"/>
      <c r="D563" s="10" t="n"/>
      <c r="F563" s="9" t="n"/>
      <c r="H563" s="8" t="n"/>
    </row>
    <row r="564">
      <c r="A564" s="5" t="n"/>
      <c r="D564" s="10" t="n"/>
      <c r="F564" s="9" t="n"/>
      <c r="H564" s="8" t="n"/>
    </row>
    <row r="565">
      <c r="A565" s="5" t="n"/>
      <c r="D565" s="10" t="n"/>
      <c r="F565" s="9" t="n"/>
      <c r="H565" s="8" t="n"/>
    </row>
    <row r="566">
      <c r="A566" s="5" t="n"/>
      <c r="D566" s="10" t="n"/>
      <c r="F566" s="9" t="n"/>
      <c r="H566" s="8" t="n"/>
    </row>
    <row r="567">
      <c r="A567" s="5" t="n"/>
      <c r="D567" s="10" t="n"/>
      <c r="F567" s="9" t="n"/>
      <c r="H567" s="8" t="n"/>
    </row>
    <row r="568">
      <c r="A568" s="5" t="n"/>
      <c r="D568" s="10" t="n"/>
      <c r="F568" s="9" t="n"/>
      <c r="H568" s="8" t="n"/>
    </row>
    <row r="569">
      <c r="A569" s="5" t="n"/>
      <c r="D569" s="10" t="n"/>
      <c r="F569" s="9" t="n"/>
      <c r="H569" s="8" t="n"/>
    </row>
    <row r="570">
      <c r="A570" s="5" t="n"/>
      <c r="D570" s="10" t="n"/>
      <c r="F570" s="9" t="n"/>
      <c r="H570" s="8" t="n"/>
    </row>
    <row r="571">
      <c r="A571" s="5" t="n"/>
      <c r="D571" s="10" t="n"/>
      <c r="F571" s="9" t="n"/>
      <c r="H571" s="8" t="n"/>
    </row>
    <row r="572">
      <c r="A572" s="5" t="n"/>
      <c r="D572" s="10" t="n"/>
      <c r="F572" s="9" t="n"/>
      <c r="H572" s="8" t="n"/>
    </row>
    <row r="573">
      <c r="A573" s="5" t="n"/>
      <c r="D573" s="10" t="n"/>
      <c r="F573" s="9" t="n"/>
      <c r="H573" s="8" t="n"/>
    </row>
    <row r="574">
      <c r="A574" s="5" t="n"/>
      <c r="D574" s="10" t="n"/>
      <c r="F574" s="9" t="n"/>
      <c r="H574" s="8" t="n"/>
    </row>
    <row r="575">
      <c r="A575" s="5" t="n"/>
      <c r="D575" s="10" t="n"/>
      <c r="F575" s="9" t="n"/>
      <c r="H575" s="8" t="n"/>
    </row>
    <row r="576">
      <c r="A576" s="5" t="n"/>
      <c r="D576" s="10" t="n"/>
      <c r="F576" s="9" t="n"/>
      <c r="H576" s="8" t="n"/>
    </row>
    <row r="577">
      <c r="A577" s="7" t="n"/>
      <c r="D577" s="10" t="n"/>
      <c r="F577" s="9" t="n"/>
      <c r="H577" s="8" t="n"/>
    </row>
    <row r="578">
      <c r="D578" s="10" t="n"/>
      <c r="F578" s="9" t="n"/>
      <c r="H578" s="8" t="n"/>
    </row>
    <row r="579">
      <c r="D579" s="10" t="n"/>
      <c r="F579" s="9" t="n"/>
      <c r="H579" s="8" t="n"/>
    </row>
    <row r="580">
      <c r="D580" s="10" t="n"/>
      <c r="F580" s="9" t="n"/>
      <c r="H580" s="8" t="n"/>
    </row>
    <row r="581">
      <c r="A581" s="3" t="n"/>
      <c r="D581" s="10" t="n"/>
      <c r="F581" s="9" t="n"/>
      <c r="H581" s="8" t="n"/>
    </row>
    <row r="582">
      <c r="A582" s="3" t="n"/>
      <c r="D582" s="10" t="n"/>
      <c r="F582" s="9" t="n"/>
      <c r="H582" s="8" t="n"/>
    </row>
    <row r="583">
      <c r="A583" s="5" t="n"/>
      <c r="D583" s="10" t="n"/>
      <c r="F583" s="9" t="n"/>
      <c r="H583" s="8" t="n"/>
    </row>
    <row r="584">
      <c r="A584" s="5" t="n"/>
      <c r="D584" s="10" t="n"/>
      <c r="F584" s="9" t="n"/>
      <c r="H584" s="8" t="n"/>
    </row>
    <row r="585">
      <c r="A585" s="5" t="n"/>
      <c r="D585" s="10" t="n"/>
      <c r="F585" s="9" t="n"/>
      <c r="H585" s="8" t="n"/>
    </row>
    <row r="586">
      <c r="A586" s="5" t="n"/>
      <c r="D586" s="10" t="n"/>
      <c r="F586" s="9" t="n"/>
      <c r="H586" s="8" t="n"/>
    </row>
    <row r="587">
      <c r="A587" s="5" t="n"/>
      <c r="D587" s="10" t="n"/>
      <c r="F587" s="9" t="n"/>
      <c r="H587" s="8" t="n"/>
    </row>
    <row r="588">
      <c r="A588" s="5" t="n"/>
      <c r="D588" s="10" t="n"/>
      <c r="F588" s="9" t="n"/>
      <c r="H588" s="8" t="n"/>
    </row>
    <row r="589">
      <c r="A589" s="5" t="n"/>
      <c r="D589" s="10" t="n"/>
      <c r="F589" s="9" t="n"/>
      <c r="H589" s="8" t="n"/>
    </row>
    <row r="590">
      <c r="A590" s="5" t="n"/>
      <c r="D590" s="10" t="n"/>
      <c r="F590" s="9" t="n"/>
      <c r="H590" s="8" t="n"/>
    </row>
    <row r="591">
      <c r="A591" s="5" t="n"/>
      <c r="D591" s="10" t="n"/>
      <c r="F591" s="9" t="n"/>
      <c r="H591" s="8" t="n"/>
    </row>
    <row r="592">
      <c r="A592" s="5" t="n"/>
      <c r="D592" s="10" t="n"/>
      <c r="F592" s="9" t="n"/>
      <c r="H592" s="8" t="n"/>
    </row>
    <row r="593">
      <c r="A593" s="5" t="n"/>
      <c r="D593" s="10" t="n"/>
      <c r="F593" s="9" t="n"/>
      <c r="H593" s="8" t="n"/>
    </row>
    <row r="594">
      <c r="A594" s="5" t="n"/>
      <c r="D594" s="10" t="n"/>
      <c r="F594" s="9" t="n"/>
      <c r="H594" s="8" t="n"/>
    </row>
    <row r="595">
      <c r="A595" s="5" t="n"/>
      <c r="D595" s="10" t="n"/>
      <c r="F595" s="9" t="n"/>
      <c r="H595" s="8" t="n"/>
    </row>
    <row r="596">
      <c r="A596" s="5" t="n"/>
      <c r="D596" s="10" t="n"/>
      <c r="F596" s="9" t="n"/>
      <c r="H596" s="8" t="n"/>
    </row>
    <row r="597">
      <c r="A597" s="5" t="n"/>
      <c r="D597" s="10" t="n"/>
      <c r="F597" s="9" t="n"/>
      <c r="H597" s="8" t="n"/>
    </row>
    <row r="598">
      <c r="A598" s="5" t="n"/>
      <c r="D598" s="10" t="n"/>
      <c r="F598" s="9" t="n"/>
      <c r="H598" s="8" t="n"/>
    </row>
    <row r="599">
      <c r="A599" s="5" t="n"/>
      <c r="D599" s="10" t="n"/>
      <c r="F599" s="9" t="n"/>
      <c r="H599" s="8" t="n"/>
    </row>
    <row r="600">
      <c r="A600" s="5" t="n"/>
      <c r="D600" s="10" t="n"/>
      <c r="F600" s="9" t="n"/>
      <c r="H600" s="8" t="n"/>
    </row>
    <row r="601">
      <c r="A601" s="5" t="n"/>
      <c r="D601" s="10" t="n"/>
      <c r="F601" s="9" t="n"/>
      <c r="H601" s="8" t="n"/>
    </row>
    <row r="602">
      <c r="A602" s="5" t="n"/>
      <c r="D602" s="10" t="n"/>
      <c r="F602" s="9" t="n"/>
      <c r="H602" s="8" t="n"/>
    </row>
    <row r="603">
      <c r="A603" s="5" t="n"/>
      <c r="D603" s="10" t="n"/>
      <c r="F603" s="9" t="n"/>
      <c r="H603" s="8" t="n"/>
    </row>
    <row r="604">
      <c r="A604" s="5" t="n"/>
      <c r="D604" s="10" t="n"/>
      <c r="F604" s="9" t="n"/>
      <c r="H604" s="8" t="n"/>
    </row>
    <row r="605">
      <c r="A605" s="5" t="n"/>
      <c r="D605" s="10" t="n"/>
      <c r="F605" s="9" t="n"/>
      <c r="H605" s="8" t="n"/>
    </row>
    <row r="606">
      <c r="A606" s="5" t="n"/>
      <c r="D606" s="10" t="n"/>
      <c r="F606" s="9" t="n"/>
      <c r="H606" s="8" t="n"/>
    </row>
    <row r="607">
      <c r="A607" s="5" t="n"/>
      <c r="D607" s="10" t="n"/>
      <c r="F607" s="9" t="n"/>
      <c r="H607" s="8" t="n"/>
    </row>
    <row r="608">
      <c r="A608" s="5" t="n"/>
      <c r="D608" s="10" t="n"/>
      <c r="F608" s="9" t="n"/>
      <c r="H608" s="8" t="n"/>
    </row>
    <row r="609">
      <c r="A609" s="5" t="n"/>
      <c r="D609" s="10" t="n"/>
      <c r="F609" s="9" t="n"/>
      <c r="H609" s="8" t="n"/>
    </row>
    <row r="610">
      <c r="A610" s="5" t="n"/>
      <c r="D610" s="10" t="n"/>
      <c r="F610" s="9" t="n"/>
      <c r="H610" s="8" t="n"/>
    </row>
    <row r="611">
      <c r="A611" s="5" t="n"/>
      <c r="D611" s="10" t="n"/>
      <c r="F611" s="9" t="n"/>
      <c r="H611" s="8" t="n"/>
    </row>
    <row r="612">
      <c r="A612" s="5" t="n"/>
      <c r="D612" s="10" t="n"/>
      <c r="F612" s="9" t="n"/>
      <c r="H612" s="8" t="n"/>
    </row>
    <row r="613">
      <c r="A613" s="5" t="n"/>
      <c r="D613" s="10" t="n"/>
      <c r="F613" s="9" t="n"/>
      <c r="H613" s="8" t="n"/>
    </row>
    <row r="614">
      <c r="A614" s="5" t="n"/>
      <c r="D614" s="10" t="n"/>
      <c r="F614" s="9" t="n"/>
      <c r="H614" s="8" t="n"/>
    </row>
    <row r="615">
      <c r="A615" s="5" t="n"/>
      <c r="D615" s="10" t="n"/>
      <c r="F615" s="9" t="n"/>
      <c r="H615" s="8" t="n"/>
    </row>
    <row r="616">
      <c r="A616" s="5" t="n"/>
      <c r="D616" s="10" t="n"/>
      <c r="F616" s="9" t="n"/>
      <c r="H616" s="8" t="n"/>
    </row>
    <row r="617">
      <c r="A617" s="5" t="n"/>
      <c r="D617" s="10" t="n"/>
      <c r="F617" s="9" t="n"/>
      <c r="H617" s="8" t="n"/>
    </row>
    <row r="618">
      <c r="A618" s="5" t="n"/>
      <c r="D618" s="10" t="n"/>
      <c r="F618" s="9" t="n"/>
      <c r="H618" s="8" t="n"/>
    </row>
    <row r="619">
      <c r="A619" s="5" t="n"/>
      <c r="D619" s="10" t="n"/>
      <c r="F619" s="9" t="n"/>
      <c r="H619" s="8" t="n"/>
    </row>
    <row r="620">
      <c r="A620" s="5" t="n"/>
      <c r="D620" s="10" t="n"/>
      <c r="F620" s="9" t="n"/>
      <c r="H620" s="8" t="n"/>
    </row>
    <row r="621">
      <c r="A621" s="5" t="n"/>
      <c r="D621" s="10" t="n"/>
      <c r="F621" s="9" t="n"/>
      <c r="H621" s="8" t="n"/>
    </row>
    <row r="622">
      <c r="A622" s="5" t="n"/>
      <c r="D622" s="10" t="n"/>
      <c r="F622" s="9" t="n"/>
      <c r="H622" s="8" t="n"/>
    </row>
    <row r="623">
      <c r="A623" s="5" t="n"/>
      <c r="D623" s="10" t="n"/>
      <c r="F623" s="9" t="n"/>
      <c r="H623" s="8" t="n"/>
    </row>
    <row r="624">
      <c r="A624" s="5" t="n"/>
      <c r="D624" s="10" t="n"/>
      <c r="F624" s="9" t="n"/>
      <c r="H624" s="8" t="n"/>
    </row>
    <row r="625">
      <c r="A625" s="5" t="n"/>
      <c r="D625" s="10" t="n"/>
      <c r="F625" s="9" t="n"/>
      <c r="H625" s="8" t="n"/>
    </row>
    <row r="626">
      <c r="A626" s="5" t="n"/>
      <c r="D626" s="10" t="n"/>
      <c r="F626" s="9" t="n"/>
      <c r="H626" s="8" t="n"/>
    </row>
    <row r="627">
      <c r="A627" s="5" t="n"/>
      <c r="D627" s="10" t="n"/>
      <c r="F627" s="9" t="n"/>
      <c r="H627" s="8" t="n"/>
    </row>
    <row r="628">
      <c r="A628" s="5" t="n"/>
      <c r="D628" s="10" t="n"/>
      <c r="F628" s="9" t="n"/>
      <c r="H628" s="8" t="n"/>
    </row>
    <row r="629">
      <c r="A629" s="5" t="n"/>
      <c r="D629" s="10" t="n"/>
      <c r="F629" s="9" t="n"/>
      <c r="H629" s="8" t="n"/>
    </row>
    <row r="630">
      <c r="A630" s="5" t="n"/>
      <c r="D630" s="10" t="n"/>
      <c r="F630" s="9" t="n"/>
      <c r="H630" s="8" t="n"/>
    </row>
    <row r="631">
      <c r="A631" s="5" t="n"/>
      <c r="D631" s="10" t="n"/>
      <c r="F631" s="9" t="n"/>
      <c r="H631" s="8" t="n"/>
    </row>
    <row r="632">
      <c r="A632" s="5" t="n"/>
      <c r="D632" s="10" t="n"/>
      <c r="F632" s="9" t="n"/>
      <c r="H632" s="8" t="n"/>
    </row>
    <row r="633">
      <c r="A633" s="5" t="n"/>
      <c r="D633" s="10" t="n"/>
      <c r="F633" s="9" t="n"/>
      <c r="H633" s="8" t="n"/>
    </row>
    <row r="634">
      <c r="A634" s="5" t="n"/>
      <c r="D634" s="10" t="n"/>
      <c r="F634" s="9" t="n"/>
      <c r="H634" s="8" t="n"/>
    </row>
    <row r="635">
      <c r="A635" s="5" t="n"/>
      <c r="D635" s="10" t="n"/>
      <c r="F635" s="9" t="n"/>
      <c r="H635" s="8" t="n"/>
    </row>
    <row r="636">
      <c r="A636" s="5" t="n"/>
      <c r="D636" s="10" t="n"/>
      <c r="F636" s="9" t="n"/>
      <c r="H636" s="8" t="n"/>
    </row>
    <row r="637">
      <c r="A637" s="5" t="n"/>
      <c r="D637" s="10" t="n"/>
      <c r="F637" s="9" t="n"/>
      <c r="H637" s="8" t="n"/>
    </row>
    <row r="638">
      <c r="A638" s="5" t="n"/>
      <c r="D638" s="10" t="n"/>
      <c r="F638" s="9" t="n"/>
      <c r="H638" s="8" t="n"/>
    </row>
    <row r="639">
      <c r="A639" s="5" t="n"/>
      <c r="D639" s="10" t="n"/>
      <c r="F639" s="9" t="n"/>
      <c r="H639" s="8" t="n"/>
    </row>
    <row r="640">
      <c r="A640" s="5" t="n"/>
      <c r="D640" s="10" t="n"/>
      <c r="F640" s="9" t="n"/>
      <c r="H640" s="8" t="n"/>
    </row>
    <row r="641">
      <c r="A641" s="5" t="n"/>
      <c r="D641" s="10" t="n"/>
      <c r="F641" s="9" t="n"/>
      <c r="H641" s="8" t="n"/>
    </row>
    <row r="642">
      <c r="A642" s="5" t="n"/>
      <c r="D642" s="10" t="n"/>
      <c r="F642" s="9" t="n"/>
      <c r="H642" s="8" t="n"/>
    </row>
    <row r="643">
      <c r="A643" s="5" t="n"/>
      <c r="D643" s="10" t="n"/>
      <c r="F643" s="9" t="n"/>
      <c r="H643" s="8" t="n"/>
    </row>
    <row r="644">
      <c r="A644" s="5" t="n"/>
      <c r="D644" s="10" t="n"/>
      <c r="F644" s="9" t="n"/>
      <c r="H644" s="8" t="n"/>
    </row>
    <row r="645">
      <c r="A645" s="5" t="n"/>
      <c r="D645" s="10" t="n"/>
      <c r="F645" s="9" t="n"/>
      <c r="H645" s="8" t="n"/>
    </row>
    <row r="646">
      <c r="A646" s="5" t="n"/>
      <c r="D646" s="10" t="n"/>
      <c r="F646" s="9" t="n"/>
      <c r="H646" s="8" t="n"/>
    </row>
    <row r="647">
      <c r="A647" s="5" t="n"/>
      <c r="D647" s="10" t="n"/>
      <c r="F647" s="9" t="n"/>
      <c r="H647" s="8" t="n"/>
    </row>
    <row r="648">
      <c r="A648" s="5" t="n"/>
      <c r="D648" s="10" t="n"/>
      <c r="F648" s="9" t="n"/>
      <c r="H648" s="8" t="n"/>
    </row>
    <row r="649">
      <c r="A649" s="5" t="n"/>
      <c r="D649" s="10" t="n"/>
      <c r="F649" s="9" t="n"/>
      <c r="H649" s="8" t="n"/>
    </row>
    <row r="650">
      <c r="A650" s="7" t="n"/>
      <c r="D650" s="10" t="n"/>
      <c r="F650" s="9" t="n"/>
      <c r="H650" s="8" t="n"/>
    </row>
    <row r="651">
      <c r="D651" s="10" t="n"/>
      <c r="F651" s="9" t="n"/>
      <c r="H651" s="8" t="n"/>
    </row>
    <row r="652">
      <c r="D652" s="10" t="n"/>
      <c r="F652" s="9" t="n"/>
      <c r="H652" s="8" t="n"/>
    </row>
    <row r="653">
      <c r="D653" s="10" t="n"/>
      <c r="F653" s="9" t="n"/>
      <c r="H653" s="8" t="n"/>
    </row>
    <row r="654">
      <c r="A654" s="3" t="n"/>
      <c r="D654" s="10" t="n"/>
      <c r="F654" s="9" t="n"/>
      <c r="H654" s="8" t="n"/>
    </row>
    <row r="655">
      <c r="A655" s="3" t="n"/>
      <c r="D655" s="10" t="n"/>
      <c r="F655" s="9" t="n"/>
      <c r="H655" s="8" t="n"/>
    </row>
    <row r="656">
      <c r="A656" s="5" t="n"/>
      <c r="D656" s="10" t="n"/>
      <c r="F656" s="9" t="n"/>
      <c r="H656" s="8" t="n"/>
    </row>
    <row r="657">
      <c r="A657" s="5" t="n"/>
      <c r="D657" s="10" t="n"/>
      <c r="F657" s="9" t="n"/>
      <c r="H657" s="8" t="n"/>
    </row>
    <row r="658">
      <c r="A658" s="5" t="n"/>
      <c r="D658" s="10" t="n"/>
      <c r="F658" s="9" t="n"/>
      <c r="H658" s="8" t="n"/>
    </row>
    <row r="659">
      <c r="A659" s="5" t="n"/>
      <c r="D659" s="10" t="n"/>
      <c r="F659" s="9" t="n"/>
      <c r="H659" s="8" t="n"/>
    </row>
    <row r="660">
      <c r="A660" s="5" t="n"/>
      <c r="D660" s="10" t="n"/>
      <c r="F660" s="9" t="n"/>
      <c r="H660" s="8" t="n"/>
    </row>
    <row r="661">
      <c r="A661" s="5" t="n"/>
      <c r="D661" s="10" t="n"/>
      <c r="F661" s="9" t="n"/>
      <c r="H661" s="8" t="n"/>
    </row>
    <row r="662">
      <c r="A662" s="5" t="n"/>
      <c r="D662" s="10" t="n"/>
      <c r="F662" s="9" t="n"/>
      <c r="H662" s="8" t="n"/>
    </row>
    <row r="663">
      <c r="A663" s="5" t="n"/>
      <c r="D663" s="10" t="n"/>
      <c r="F663" s="9" t="n"/>
      <c r="H663" s="8" t="n"/>
    </row>
    <row r="664">
      <c r="A664" s="5" t="n"/>
      <c r="D664" s="10" t="n"/>
      <c r="F664" s="9" t="n"/>
      <c r="H664" s="8" t="n"/>
    </row>
    <row r="665">
      <c r="A665" s="5" t="n"/>
      <c r="D665" s="10" t="n"/>
      <c r="F665" s="9" t="n"/>
      <c r="H665" s="8" t="n"/>
    </row>
    <row r="666">
      <c r="A666" s="5" t="n"/>
      <c r="D666" s="10" t="n"/>
      <c r="F666" s="9" t="n"/>
      <c r="H666" s="8" t="n"/>
    </row>
    <row r="667">
      <c r="A667" s="5" t="n"/>
      <c r="D667" s="10" t="n"/>
      <c r="F667" s="9" t="n"/>
      <c r="H667" s="8" t="n"/>
    </row>
    <row r="668">
      <c r="A668" s="5" t="n"/>
      <c r="D668" s="10" t="n"/>
      <c r="F668" s="9" t="n"/>
      <c r="H668" s="8" t="n"/>
    </row>
    <row r="669">
      <c r="A669" s="5" t="n"/>
      <c r="D669" s="10" t="n"/>
      <c r="F669" s="9" t="n"/>
      <c r="H669" s="8" t="n"/>
    </row>
    <row r="670">
      <c r="A670" s="5" t="n"/>
      <c r="D670" s="10" t="n"/>
      <c r="F670" s="9" t="n"/>
      <c r="H670" s="8" t="n"/>
    </row>
    <row r="671">
      <c r="A671" s="5" t="n"/>
      <c r="D671" s="10" t="n"/>
      <c r="F671" s="9" t="n"/>
      <c r="H671" s="8" t="n"/>
    </row>
    <row r="672">
      <c r="A672" s="5" t="n"/>
      <c r="D672" s="10" t="n"/>
      <c r="F672" s="9" t="n"/>
      <c r="H672" s="8" t="n"/>
    </row>
    <row r="673">
      <c r="A673" s="5" t="n"/>
      <c r="D673" s="10" t="n"/>
      <c r="F673" s="9" t="n"/>
      <c r="H673" s="8" t="n"/>
    </row>
    <row r="674">
      <c r="A674" s="5" t="n"/>
      <c r="D674" s="10" t="n"/>
      <c r="F674" s="9" t="n"/>
      <c r="H674" s="8" t="n"/>
    </row>
    <row r="675">
      <c r="A675" s="5" t="n"/>
      <c r="D675" s="10" t="n"/>
      <c r="F675" s="9" t="n"/>
      <c r="H675" s="8" t="n"/>
    </row>
    <row r="676">
      <c r="A676" s="5" t="n"/>
      <c r="D676" s="10" t="n"/>
      <c r="F676" s="9" t="n"/>
      <c r="H676" s="8" t="n"/>
    </row>
    <row r="677">
      <c r="A677" s="5" t="n"/>
      <c r="D677" s="10" t="n"/>
      <c r="F677" s="9" t="n"/>
      <c r="H677" s="8" t="n"/>
    </row>
    <row r="678">
      <c r="A678" s="5" t="n"/>
      <c r="D678" s="10" t="n"/>
      <c r="F678" s="9" t="n"/>
      <c r="H678" s="8" t="n"/>
    </row>
    <row r="679">
      <c r="A679" s="5" t="n"/>
      <c r="D679" s="10" t="n"/>
      <c r="F679" s="9" t="n"/>
      <c r="H679" s="8" t="n"/>
    </row>
    <row r="680">
      <c r="A680" s="5" t="n"/>
      <c r="D680" s="10" t="n"/>
      <c r="F680" s="9" t="n"/>
      <c r="H680" s="8" t="n"/>
    </row>
    <row r="681">
      <c r="A681" s="5" t="n"/>
      <c r="D681" s="10" t="n"/>
      <c r="F681" s="9" t="n"/>
      <c r="H681" s="8" t="n"/>
    </row>
    <row r="682">
      <c r="A682" s="5" t="n"/>
      <c r="D682" s="10" t="n"/>
      <c r="F682" s="9" t="n"/>
      <c r="H682" s="8" t="n"/>
    </row>
    <row r="683">
      <c r="A683" s="5" t="n"/>
      <c r="D683" s="10" t="n"/>
      <c r="F683" s="9" t="n"/>
      <c r="H683" s="8" t="n"/>
    </row>
    <row r="684">
      <c r="A684" s="5" t="n"/>
      <c r="D684" s="10" t="n"/>
      <c r="F684" s="9" t="n"/>
      <c r="H684" s="8" t="n"/>
    </row>
    <row r="685">
      <c r="A685" s="5" t="n"/>
      <c r="D685" s="10" t="n"/>
      <c r="F685" s="9" t="n"/>
      <c r="H685" s="8" t="n"/>
    </row>
    <row r="686">
      <c r="A686" s="5" t="n"/>
      <c r="D686" s="10" t="n"/>
      <c r="F686" s="9" t="n"/>
      <c r="H686" s="8" t="n"/>
    </row>
    <row r="687">
      <c r="A687" s="5" t="n"/>
      <c r="D687" s="10" t="n"/>
      <c r="F687" s="9" t="n"/>
      <c r="H687" s="8" t="n"/>
    </row>
    <row r="688">
      <c r="A688" s="5" t="n"/>
      <c r="D688" s="10" t="n"/>
      <c r="F688" s="9" t="n"/>
      <c r="H688" s="8" t="n"/>
    </row>
    <row r="689">
      <c r="A689" s="5" t="n"/>
      <c r="D689" s="10" t="n"/>
      <c r="F689" s="9" t="n"/>
      <c r="H689" s="8" t="n"/>
    </row>
    <row r="690">
      <c r="A690" s="5" t="n"/>
      <c r="D690" s="10" t="n"/>
      <c r="F690" s="9" t="n"/>
      <c r="H690" s="8" t="n"/>
    </row>
    <row r="691">
      <c r="A691" s="5" t="n"/>
      <c r="D691" s="10" t="n"/>
      <c r="F691" s="9" t="n"/>
      <c r="H691" s="8" t="n"/>
    </row>
    <row r="692">
      <c r="A692" s="5" t="n"/>
      <c r="D692" s="10" t="n"/>
      <c r="F692" s="9" t="n"/>
      <c r="H692" s="8" t="n"/>
    </row>
    <row r="693">
      <c r="A693" s="5" t="n"/>
      <c r="D693" s="10" t="n"/>
      <c r="F693" s="9" t="n"/>
      <c r="H693" s="8" t="n"/>
    </row>
    <row r="694">
      <c r="A694" s="5" t="n"/>
      <c r="D694" s="10" t="n"/>
      <c r="F694" s="9" t="n"/>
      <c r="H694" s="8" t="n"/>
    </row>
    <row r="695">
      <c r="A695" s="5" t="n"/>
      <c r="D695" s="10" t="n"/>
      <c r="F695" s="9" t="n"/>
      <c r="H695" s="8" t="n"/>
    </row>
    <row r="696">
      <c r="A696" s="5" t="n"/>
      <c r="D696" s="10" t="n"/>
      <c r="F696" s="9" t="n"/>
      <c r="H696" s="8" t="n"/>
    </row>
    <row r="697">
      <c r="A697" s="5" t="n"/>
      <c r="D697" s="10" t="n"/>
      <c r="F697" s="9" t="n"/>
      <c r="H697" s="8" t="n"/>
    </row>
    <row r="698">
      <c r="A698" s="5" t="n"/>
      <c r="D698" s="10" t="n"/>
      <c r="F698" s="9" t="n"/>
      <c r="H698" s="8" t="n"/>
    </row>
    <row r="699">
      <c r="A699" s="5" t="n"/>
      <c r="D699" s="10" t="n"/>
      <c r="F699" s="9" t="n"/>
      <c r="H699" s="8" t="n"/>
    </row>
    <row r="700">
      <c r="A700" s="5" t="n"/>
      <c r="D700" s="10" t="n"/>
      <c r="F700" s="9" t="n"/>
      <c r="H700" s="8" t="n"/>
    </row>
    <row r="701">
      <c r="A701" s="5" t="n"/>
      <c r="D701" s="10" t="n"/>
      <c r="F701" s="9" t="n"/>
      <c r="H701" s="8" t="n"/>
    </row>
    <row r="702">
      <c r="A702" s="5" t="n"/>
      <c r="D702" s="10" t="n"/>
      <c r="F702" s="9" t="n"/>
      <c r="H702" s="8" t="n"/>
    </row>
    <row r="703">
      <c r="A703" s="5" t="n"/>
      <c r="D703" s="10" t="n"/>
      <c r="F703" s="9" t="n"/>
      <c r="H703" s="8" t="n"/>
    </row>
    <row r="704">
      <c r="A704" s="5" t="n"/>
      <c r="D704" s="10" t="n"/>
      <c r="F704" s="9" t="n"/>
      <c r="H704" s="8" t="n"/>
    </row>
    <row r="705">
      <c r="A705" s="5" t="n"/>
      <c r="D705" s="10" t="n"/>
      <c r="F705" s="9" t="n"/>
      <c r="H705" s="8" t="n"/>
    </row>
    <row r="706">
      <c r="A706" s="5" t="n"/>
      <c r="D706" s="10" t="n"/>
      <c r="F706" s="9" t="n"/>
      <c r="H706" s="8" t="n"/>
    </row>
    <row r="707">
      <c r="A707" s="5" t="n"/>
      <c r="D707" s="10" t="n"/>
      <c r="F707" s="9" t="n"/>
      <c r="H707" s="8" t="n"/>
    </row>
    <row r="708">
      <c r="A708" s="5" t="n"/>
      <c r="D708" s="10" t="n"/>
      <c r="F708" s="9" t="n"/>
      <c r="H708" s="8" t="n"/>
    </row>
    <row r="709">
      <c r="A709" s="5" t="n"/>
      <c r="D709" s="10" t="n"/>
      <c r="F709" s="9" t="n"/>
      <c r="H709" s="8" t="n"/>
    </row>
    <row r="710">
      <c r="A710" s="5" t="n"/>
      <c r="D710" s="10" t="n"/>
      <c r="F710" s="9" t="n"/>
      <c r="H710" s="8" t="n"/>
    </row>
    <row r="711">
      <c r="A711" s="5" t="n"/>
      <c r="D711" s="10" t="n"/>
      <c r="F711" s="9" t="n"/>
      <c r="H711" s="8" t="n"/>
    </row>
    <row r="712">
      <c r="A712" s="5" t="n"/>
      <c r="D712" s="10" t="n"/>
      <c r="F712" s="9" t="n"/>
      <c r="H712" s="8" t="n"/>
    </row>
    <row r="713">
      <c r="A713" s="5" t="n"/>
      <c r="D713" s="10" t="n"/>
      <c r="F713" s="9" t="n"/>
      <c r="H713" s="8" t="n"/>
    </row>
    <row r="714">
      <c r="A714" s="5" t="n"/>
      <c r="D714" s="10" t="n"/>
      <c r="F714" s="9" t="n"/>
      <c r="H714" s="8" t="n"/>
    </row>
    <row r="715">
      <c r="A715" s="5" t="n"/>
      <c r="D715" s="10" t="n"/>
      <c r="F715" s="9" t="n"/>
      <c r="H715" s="8" t="n"/>
    </row>
    <row r="716">
      <c r="A716" s="5" t="n"/>
      <c r="D716" s="10" t="n"/>
      <c r="F716" s="9" t="n"/>
      <c r="H716" s="8" t="n"/>
    </row>
    <row r="717">
      <c r="A717" s="5" t="n"/>
      <c r="D717" s="10" t="n"/>
      <c r="F717" s="9" t="n"/>
      <c r="H717" s="8" t="n"/>
    </row>
    <row r="718">
      <c r="A718" s="5" t="n"/>
      <c r="D718" s="10" t="n"/>
      <c r="F718" s="9" t="n"/>
      <c r="H718" s="8" t="n"/>
    </row>
    <row r="719">
      <c r="A719" s="5" t="n"/>
      <c r="D719" s="10" t="n"/>
      <c r="F719" s="9" t="n"/>
      <c r="H719" s="8" t="n"/>
    </row>
    <row r="720">
      <c r="A720" s="5" t="n"/>
      <c r="D720" s="10" t="n"/>
      <c r="F720" s="9" t="n"/>
      <c r="H720" s="8" t="n"/>
    </row>
    <row r="721">
      <c r="A721" s="5" t="n"/>
      <c r="D721" s="10" t="n"/>
      <c r="F721" s="9" t="n"/>
      <c r="H721" s="8" t="n"/>
    </row>
    <row r="722">
      <c r="A722" s="5" t="n"/>
      <c r="D722" s="10" t="n"/>
      <c r="F722" s="9" t="n"/>
      <c r="H722" s="8" t="n"/>
    </row>
    <row r="723">
      <c r="A723" s="7" t="n"/>
      <c r="D723" s="10" t="n"/>
      <c r="F723" s="9" t="n"/>
      <c r="H723" s="8" t="n"/>
    </row>
    <row r="724">
      <c r="D724" s="10" t="n"/>
      <c r="F724" s="9" t="n"/>
      <c r="H724" s="8" t="n"/>
    </row>
    <row r="725">
      <c r="D725" s="10" t="n"/>
      <c r="F725" s="9" t="n"/>
      <c r="H725" s="8" t="n"/>
    </row>
    <row r="726">
      <c r="D726" s="10" t="n"/>
      <c r="F726" s="9" t="n"/>
      <c r="H726" s="8" t="n"/>
    </row>
    <row r="727">
      <c r="A727" s="3" t="n"/>
      <c r="D727" s="10" t="n"/>
      <c r="F727" s="9" t="n"/>
      <c r="H727" s="8" t="n"/>
    </row>
    <row r="728">
      <c r="A728" s="3" t="n"/>
      <c r="D728" s="10" t="n"/>
      <c r="F728" s="9" t="n"/>
      <c r="H728" s="8" t="n"/>
    </row>
    <row r="729">
      <c r="A729" s="5" t="n"/>
      <c r="D729" s="10" t="n"/>
      <c r="F729" s="9" t="n"/>
      <c r="H729" s="8" t="n"/>
    </row>
    <row r="730">
      <c r="A730" s="5" t="n"/>
      <c r="D730" s="10" t="n"/>
      <c r="F730" s="9" t="n"/>
      <c r="H730" s="8" t="n"/>
    </row>
    <row r="731">
      <c r="A731" s="5" t="n"/>
      <c r="D731" s="10" t="n"/>
      <c r="F731" s="9" t="n"/>
      <c r="H731" s="8" t="n"/>
    </row>
    <row r="732">
      <c r="A732" s="5" t="n"/>
      <c r="D732" s="10" t="n"/>
      <c r="F732" s="9" t="n"/>
      <c r="H732" s="8" t="n"/>
    </row>
    <row r="733">
      <c r="A733" s="5" t="n"/>
      <c r="D733" s="10" t="n"/>
      <c r="F733" s="9" t="n"/>
      <c r="H733" s="8" t="n"/>
    </row>
    <row r="734">
      <c r="A734" s="5" t="n"/>
      <c r="D734" s="10" t="n"/>
      <c r="F734" s="9" t="n"/>
      <c r="H734" s="8" t="n"/>
    </row>
    <row r="735">
      <c r="A735" s="5" t="n"/>
      <c r="D735" s="10" t="n"/>
      <c r="F735" s="9" t="n"/>
      <c r="H735" s="8" t="n"/>
    </row>
    <row r="736">
      <c r="A736" s="5" t="n"/>
      <c r="D736" s="10" t="n"/>
      <c r="F736" s="9" t="n"/>
      <c r="H736" s="8" t="n"/>
    </row>
    <row r="737">
      <c r="A737" s="5" t="n"/>
      <c r="D737" s="10" t="n"/>
      <c r="F737" s="9" t="n"/>
      <c r="H737" s="8" t="n"/>
    </row>
    <row r="738">
      <c r="A738" s="5" t="n"/>
      <c r="D738" s="10" t="n"/>
      <c r="F738" s="9" t="n"/>
      <c r="H738" s="8" t="n"/>
    </row>
    <row r="739">
      <c r="A739" s="5" t="n"/>
      <c r="D739" s="10" t="n"/>
      <c r="F739" s="9" t="n"/>
      <c r="H739" s="8" t="n"/>
    </row>
    <row r="740">
      <c r="A740" s="5" t="n"/>
      <c r="D740" s="10" t="n"/>
      <c r="F740" s="9" t="n"/>
      <c r="H740" s="8" t="n"/>
    </row>
    <row r="741">
      <c r="A741" s="5" t="n"/>
      <c r="D741" s="10" t="n"/>
      <c r="F741" s="9" t="n"/>
      <c r="H741" s="8" t="n"/>
    </row>
    <row r="742">
      <c r="A742" s="5" t="n"/>
      <c r="D742" s="10" t="n"/>
      <c r="F742" s="9" t="n"/>
      <c r="H742" s="8" t="n"/>
    </row>
    <row r="743">
      <c r="A743" s="5" t="n"/>
      <c r="D743" s="10" t="n"/>
      <c r="F743" s="9" t="n"/>
      <c r="H743" s="8" t="n"/>
    </row>
    <row r="744">
      <c r="A744" s="5" t="n"/>
      <c r="D744" s="10" t="n"/>
      <c r="F744" s="9" t="n"/>
      <c r="H744" s="8" t="n"/>
    </row>
    <row r="745">
      <c r="A745" s="5" t="n"/>
      <c r="D745" s="10" t="n"/>
      <c r="F745" s="9" t="n"/>
      <c r="H745" s="8" t="n"/>
    </row>
    <row r="746">
      <c r="A746" s="5" t="n"/>
      <c r="D746" s="10" t="n"/>
      <c r="F746" s="9" t="n"/>
      <c r="H746" s="8" t="n"/>
    </row>
    <row r="747">
      <c r="A747" s="5" t="n"/>
      <c r="D747" s="10" t="n"/>
      <c r="F747" s="9" t="n"/>
      <c r="H747" s="8" t="n"/>
    </row>
    <row r="748">
      <c r="A748" s="5" t="n"/>
      <c r="D748" s="10" t="n"/>
      <c r="F748" s="9" t="n"/>
      <c r="H748" s="8" t="n"/>
    </row>
    <row r="749">
      <c r="A749" s="5" t="n"/>
      <c r="D749" s="10" t="n"/>
      <c r="F749" s="9" t="n"/>
      <c r="H749" s="8" t="n"/>
    </row>
    <row r="750">
      <c r="A750" s="5" t="n"/>
      <c r="D750" s="10" t="n"/>
      <c r="F750" s="9" t="n"/>
      <c r="H750" s="8" t="n"/>
    </row>
    <row r="751">
      <c r="A751" s="5" t="n"/>
      <c r="D751" s="10" t="n"/>
      <c r="F751" s="9" t="n"/>
      <c r="H751" s="8" t="n"/>
    </row>
    <row r="752">
      <c r="A752" s="5" t="n"/>
      <c r="D752" s="10" t="n"/>
      <c r="F752" s="9" t="n"/>
      <c r="H752" s="8" t="n"/>
    </row>
    <row r="753">
      <c r="A753" s="5" t="n"/>
      <c r="D753" s="10" t="n"/>
      <c r="F753" s="9" t="n"/>
      <c r="H753" s="8" t="n"/>
    </row>
    <row r="754">
      <c r="A754" s="5" t="n"/>
      <c r="D754" s="10" t="n"/>
      <c r="F754" s="9" t="n"/>
      <c r="H754" s="8" t="n"/>
    </row>
    <row r="755">
      <c r="A755" s="5" t="n"/>
      <c r="D755" s="10" t="n"/>
      <c r="F755" s="9" t="n"/>
      <c r="H755" s="8" t="n"/>
    </row>
    <row r="756">
      <c r="A756" s="5" t="n"/>
      <c r="D756" s="10" t="n"/>
      <c r="F756" s="9" t="n"/>
      <c r="H756" s="8" t="n"/>
    </row>
    <row r="757">
      <c r="A757" s="5" t="n"/>
      <c r="D757" s="10" t="n"/>
      <c r="F757" s="9" t="n"/>
      <c r="H757" s="8" t="n"/>
    </row>
    <row r="758">
      <c r="A758" s="5" t="n"/>
      <c r="D758" s="10" t="n"/>
      <c r="F758" s="9" t="n"/>
      <c r="H758" s="8" t="n"/>
    </row>
    <row r="759">
      <c r="A759" s="5" t="n"/>
      <c r="D759" s="10" t="n"/>
      <c r="F759" s="9" t="n"/>
      <c r="H759" s="8" t="n"/>
    </row>
    <row r="760">
      <c r="A760" s="5" t="n"/>
      <c r="D760" s="10" t="n"/>
      <c r="F760" s="9" t="n"/>
      <c r="H760" s="8" t="n"/>
    </row>
    <row r="761">
      <c r="A761" s="5" t="n"/>
      <c r="D761" s="10" t="n"/>
      <c r="F761" s="9" t="n"/>
      <c r="H761" s="8" t="n"/>
    </row>
    <row r="762">
      <c r="A762" s="5" t="n"/>
      <c r="D762" s="10" t="n"/>
      <c r="F762" s="9" t="n"/>
      <c r="H762" s="8" t="n"/>
    </row>
    <row r="763">
      <c r="A763" s="5" t="n"/>
      <c r="D763" s="10" t="n"/>
      <c r="F763" s="9" t="n"/>
      <c r="H763" s="8" t="n"/>
    </row>
    <row r="764">
      <c r="A764" s="5" t="n"/>
      <c r="D764" s="10" t="n"/>
      <c r="F764" s="9" t="n"/>
      <c r="H764" s="8" t="n"/>
    </row>
    <row r="765">
      <c r="A765" s="5" t="n"/>
      <c r="D765" s="10" t="n"/>
      <c r="F765" s="9" t="n"/>
      <c r="H765" s="8" t="n"/>
    </row>
    <row r="766">
      <c r="A766" s="5" t="n"/>
      <c r="D766" s="10" t="n"/>
      <c r="F766" s="9" t="n"/>
      <c r="H766" s="8" t="n"/>
    </row>
    <row r="767">
      <c r="A767" s="5" t="n"/>
      <c r="D767" s="10" t="n"/>
      <c r="F767" s="9" t="n"/>
      <c r="H767" s="8" t="n"/>
    </row>
    <row r="768">
      <c r="A768" s="5" t="n"/>
      <c r="D768" s="10" t="n"/>
      <c r="F768" s="9" t="n"/>
      <c r="H768" s="8" t="n"/>
    </row>
    <row r="769">
      <c r="A769" s="5" t="n"/>
      <c r="D769" s="10" t="n"/>
      <c r="F769" s="9" t="n"/>
      <c r="H769" s="8" t="n"/>
    </row>
    <row r="770">
      <c r="A770" s="5" t="n"/>
      <c r="D770" s="10" t="n"/>
      <c r="F770" s="9" t="n"/>
      <c r="H770" s="8" t="n"/>
    </row>
    <row r="771">
      <c r="A771" s="5" t="n"/>
      <c r="D771" s="10" t="n"/>
      <c r="F771" s="9" t="n"/>
      <c r="H771" s="8" t="n"/>
    </row>
    <row r="772">
      <c r="A772" s="5" t="n"/>
      <c r="D772" s="10" t="n"/>
      <c r="F772" s="9" t="n"/>
      <c r="H772" s="8" t="n"/>
    </row>
    <row r="773">
      <c r="A773" s="5" t="n"/>
      <c r="D773" s="10" t="n"/>
      <c r="F773" s="9" t="n"/>
      <c r="H773" s="8" t="n"/>
    </row>
    <row r="774">
      <c r="A774" s="5" t="n"/>
      <c r="D774" s="10" t="n"/>
      <c r="F774" s="9" t="n"/>
      <c r="H774" s="8" t="n"/>
    </row>
    <row r="775">
      <c r="A775" s="5" t="n"/>
      <c r="D775" s="10" t="n"/>
      <c r="F775" s="9" t="n"/>
      <c r="H775" s="8" t="n"/>
    </row>
    <row r="776">
      <c r="A776" s="5" t="n"/>
      <c r="D776" s="10" t="n"/>
      <c r="F776" s="9" t="n"/>
      <c r="H776" s="8" t="n"/>
    </row>
    <row r="777">
      <c r="A777" s="5" t="n"/>
      <c r="D777" s="10" t="n"/>
      <c r="F777" s="9" t="n"/>
      <c r="H777" s="8" t="n"/>
    </row>
    <row r="778">
      <c r="A778" s="5" t="n"/>
      <c r="D778" s="10" t="n"/>
      <c r="F778" s="9" t="n"/>
      <c r="H778" s="8" t="n"/>
    </row>
    <row r="779">
      <c r="A779" s="5" t="n"/>
      <c r="D779" s="10" t="n"/>
      <c r="F779" s="9" t="n"/>
      <c r="H779" s="8" t="n"/>
    </row>
    <row r="780">
      <c r="A780" s="5" t="n"/>
      <c r="D780" s="10" t="n"/>
      <c r="F780" s="9" t="n"/>
      <c r="H780" s="8" t="n"/>
    </row>
    <row r="781">
      <c r="A781" s="5" t="n"/>
      <c r="D781" s="10" t="n"/>
      <c r="F781" s="9" t="n"/>
      <c r="H781" s="8" t="n"/>
    </row>
    <row r="782">
      <c r="A782" s="5" t="n"/>
      <c r="D782" s="10" t="n"/>
      <c r="F782" s="9" t="n"/>
      <c r="H782" s="8" t="n"/>
    </row>
    <row r="783">
      <c r="A783" s="5" t="n"/>
      <c r="D783" s="10" t="n"/>
      <c r="F783" s="9" t="n"/>
      <c r="H783" s="8" t="n"/>
    </row>
    <row r="784">
      <c r="A784" s="5" t="n"/>
      <c r="D784" s="10" t="n"/>
      <c r="F784" s="9" t="n"/>
      <c r="H784" s="8" t="n"/>
    </row>
    <row r="785">
      <c r="A785" s="5" t="n"/>
      <c r="D785" s="10" t="n"/>
      <c r="F785" s="9" t="n"/>
      <c r="H785" s="8" t="n"/>
    </row>
    <row r="786">
      <c r="A786" s="5" t="n"/>
      <c r="D786" s="10" t="n"/>
      <c r="F786" s="9" t="n"/>
      <c r="H786" s="8" t="n"/>
    </row>
    <row r="787">
      <c r="A787" s="5" t="n"/>
      <c r="D787" s="10" t="n"/>
      <c r="F787" s="9" t="n"/>
      <c r="H787" s="8" t="n"/>
    </row>
    <row r="788">
      <c r="A788" s="5" t="n"/>
      <c r="D788" s="10" t="n"/>
      <c r="F788" s="9" t="n"/>
      <c r="H788" s="8" t="n"/>
    </row>
    <row r="789">
      <c r="A789" s="5" t="n"/>
      <c r="D789" s="10" t="n"/>
      <c r="F789" s="9" t="n"/>
      <c r="H789" s="8" t="n"/>
    </row>
    <row r="790">
      <c r="A790" s="5" t="n"/>
      <c r="D790" s="10" t="n"/>
      <c r="F790" s="9" t="n"/>
      <c r="H790" s="8" t="n"/>
    </row>
    <row r="791">
      <c r="A791" s="5" t="n"/>
      <c r="D791" s="10" t="n"/>
      <c r="F791" s="9" t="n"/>
      <c r="H791" s="8" t="n"/>
    </row>
    <row r="792">
      <c r="A792" s="5" t="n"/>
      <c r="D792" s="10" t="n"/>
      <c r="F792" s="9" t="n"/>
      <c r="H792" s="8" t="n"/>
    </row>
    <row r="793">
      <c r="A793" s="5" t="n"/>
      <c r="D793" s="10" t="n"/>
      <c r="F793" s="9" t="n"/>
      <c r="H793" s="8" t="n"/>
    </row>
    <row r="794">
      <c r="A794" s="5" t="n"/>
      <c r="D794" s="10" t="n"/>
      <c r="F794" s="9" t="n"/>
      <c r="H794" s="8" t="n"/>
    </row>
    <row r="795">
      <c r="A795" s="5" t="n"/>
      <c r="D795" s="10" t="n"/>
      <c r="F795" s="9" t="n"/>
      <c r="H795" s="8" t="n"/>
    </row>
    <row r="796">
      <c r="A796" s="7" t="n"/>
      <c r="D796" s="10" t="n"/>
      <c r="F796" s="9" t="n"/>
      <c r="H796" s="8" t="n"/>
    </row>
    <row r="797">
      <c r="D797" s="10" t="n"/>
      <c r="F797" s="9" t="n"/>
      <c r="H797" s="8" t="n"/>
    </row>
    <row r="798">
      <c r="D798" s="10" t="n"/>
      <c r="F798" s="9" t="n"/>
      <c r="H798" s="8" t="n"/>
    </row>
    <row r="799">
      <c r="D799" s="10" t="n"/>
      <c r="F799" s="9" t="n"/>
      <c r="H799" s="8" t="n"/>
    </row>
    <row r="800">
      <c r="A800" s="3" t="n"/>
      <c r="D800" s="10" t="n"/>
      <c r="F800" s="9" t="n"/>
      <c r="H800" s="8" t="n"/>
    </row>
    <row r="801">
      <c r="A801" s="3" t="n"/>
      <c r="D801" s="10" t="n"/>
      <c r="F801" s="9" t="n"/>
      <c r="H801" s="8" t="n"/>
    </row>
    <row r="802">
      <c r="A802" s="5" t="n"/>
      <c r="D802" s="10" t="n"/>
      <c r="F802" s="9" t="n"/>
      <c r="H802" s="8" t="n"/>
    </row>
    <row r="803">
      <c r="A803" s="5" t="n"/>
      <c r="D803" s="10" t="n"/>
      <c r="F803" s="9" t="n"/>
      <c r="H803" s="8" t="n"/>
    </row>
    <row r="804">
      <c r="A804" s="5" t="n"/>
      <c r="D804" s="10" t="n"/>
      <c r="F804" s="9" t="n"/>
      <c r="H804" s="8" t="n"/>
    </row>
    <row r="805">
      <c r="A805" s="5" t="n"/>
      <c r="D805" s="10" t="n"/>
      <c r="F805" s="9" t="n"/>
      <c r="H805" s="8" t="n"/>
    </row>
    <row r="806">
      <c r="A806" s="5" t="n"/>
      <c r="D806" s="10" t="n"/>
      <c r="F806" s="9" t="n"/>
      <c r="H806" s="8" t="n"/>
    </row>
    <row r="807">
      <c r="A807" s="5" t="n"/>
      <c r="D807" s="10" t="n"/>
      <c r="F807" s="9" t="n"/>
      <c r="H807" s="8" t="n"/>
    </row>
    <row r="808">
      <c r="A808" s="5" t="n"/>
      <c r="D808" s="10" t="n"/>
      <c r="F808" s="9" t="n"/>
      <c r="H808" s="8" t="n"/>
    </row>
    <row r="809">
      <c r="A809" s="5" t="n"/>
      <c r="D809" s="10" t="n"/>
      <c r="F809" s="9" t="n"/>
      <c r="H809" s="8" t="n"/>
    </row>
    <row r="810">
      <c r="A810" s="5" t="n"/>
      <c r="D810" s="10" t="n"/>
      <c r="F810" s="9" t="n"/>
      <c r="H810" s="8" t="n"/>
    </row>
    <row r="811">
      <c r="A811" s="5" t="n"/>
      <c r="D811" s="10" t="n"/>
      <c r="F811" s="9" t="n"/>
      <c r="H811" s="8" t="n"/>
    </row>
    <row r="812">
      <c r="A812" s="5" t="n"/>
      <c r="D812" s="10" t="n"/>
      <c r="F812" s="9" t="n"/>
      <c r="H812" s="8" t="n"/>
    </row>
    <row r="813">
      <c r="A813" s="5" t="n"/>
      <c r="D813" s="10" t="n"/>
      <c r="F813" s="9" t="n"/>
      <c r="H813" s="8" t="n"/>
    </row>
    <row r="814">
      <c r="A814" s="5" t="n"/>
      <c r="D814" s="10" t="n"/>
      <c r="F814" s="9" t="n"/>
      <c r="H814" s="8" t="n"/>
    </row>
    <row r="815">
      <c r="A815" s="5" t="n"/>
      <c r="D815" s="10" t="n"/>
      <c r="F815" s="9" t="n"/>
      <c r="H815" s="8" t="n"/>
    </row>
    <row r="816">
      <c r="A816" s="5" t="n"/>
      <c r="D816" s="10" t="n"/>
      <c r="F816" s="9" t="n"/>
      <c r="H816" s="8" t="n"/>
    </row>
    <row r="817">
      <c r="A817" s="5" t="n"/>
      <c r="D817" s="10" t="n"/>
      <c r="F817" s="9" t="n"/>
      <c r="H817" s="8" t="n"/>
    </row>
    <row r="818">
      <c r="A818" s="5" t="n"/>
      <c r="D818" s="10" t="n"/>
      <c r="F818" s="9" t="n"/>
      <c r="H818" s="8" t="n"/>
    </row>
    <row r="819">
      <c r="A819" s="5" t="n"/>
      <c r="D819" s="10" t="n"/>
      <c r="F819" s="9" t="n"/>
      <c r="H819" s="8" t="n"/>
    </row>
    <row r="820">
      <c r="A820" s="5" t="n"/>
      <c r="D820" s="10" t="n"/>
      <c r="F820" s="9" t="n"/>
      <c r="H820" s="8" t="n"/>
    </row>
    <row r="821">
      <c r="A821" s="5" t="n"/>
      <c r="D821" s="10" t="n"/>
      <c r="F821" s="9" t="n"/>
      <c r="H821" s="8" t="n"/>
    </row>
    <row r="822">
      <c r="A822" s="5" t="n"/>
      <c r="D822" s="10" t="n"/>
      <c r="F822" s="9" t="n"/>
      <c r="H822" s="8" t="n"/>
    </row>
    <row r="823">
      <c r="A823" s="5" t="n"/>
      <c r="D823" s="10" t="n"/>
      <c r="F823" s="9" t="n"/>
      <c r="H823" s="8" t="n"/>
    </row>
    <row r="824">
      <c r="A824" s="5" t="n"/>
      <c r="D824" s="10" t="n"/>
      <c r="F824" s="9" t="n"/>
      <c r="H824" s="8" t="n"/>
    </row>
    <row r="825">
      <c r="A825" s="5" t="n"/>
      <c r="D825" s="10" t="n"/>
      <c r="F825" s="9" t="n"/>
      <c r="H825" s="8" t="n"/>
    </row>
    <row r="826">
      <c r="A826" s="5" t="n"/>
      <c r="D826" s="10" t="n"/>
      <c r="F826" s="9" t="n"/>
      <c r="H826" s="8" t="n"/>
    </row>
    <row r="827">
      <c r="A827" s="5" t="n"/>
      <c r="D827" s="10" t="n"/>
      <c r="F827" s="9" t="n"/>
      <c r="H827" s="8" t="n"/>
    </row>
    <row r="828">
      <c r="A828" s="5" t="n"/>
      <c r="D828" s="10" t="n"/>
      <c r="F828" s="9" t="n"/>
      <c r="H828" s="8" t="n"/>
    </row>
    <row r="829">
      <c r="A829" s="5" t="n"/>
      <c r="D829" s="10" t="n"/>
      <c r="F829" s="9" t="n"/>
      <c r="H829" s="8" t="n"/>
    </row>
    <row r="830">
      <c r="A830" s="5" t="n"/>
      <c r="D830" s="10" t="n"/>
      <c r="F830" s="9" t="n"/>
      <c r="H830" s="8" t="n"/>
    </row>
    <row r="831">
      <c r="A831" s="5" t="n"/>
      <c r="D831" s="10" t="n"/>
      <c r="F831" s="9" t="n"/>
      <c r="H831" s="8" t="n"/>
    </row>
    <row r="832">
      <c r="A832" s="5" t="n"/>
      <c r="D832" s="10" t="n"/>
      <c r="F832" s="9" t="n"/>
      <c r="H832" s="8" t="n"/>
    </row>
    <row r="833">
      <c r="A833" s="5" t="n"/>
      <c r="D833" s="10" t="n"/>
      <c r="F833" s="9" t="n"/>
      <c r="H833" s="8" t="n"/>
    </row>
    <row r="834">
      <c r="A834" s="5" t="n"/>
      <c r="D834" s="10" t="n"/>
      <c r="F834" s="9" t="n"/>
      <c r="H834" s="8" t="n"/>
    </row>
    <row r="835">
      <c r="A835" s="5" t="n"/>
      <c r="D835" s="10" t="n"/>
      <c r="F835" s="9" t="n"/>
      <c r="H835" s="8" t="n"/>
    </row>
    <row r="836">
      <c r="A836" s="5" t="n"/>
      <c r="D836" s="10" t="n"/>
      <c r="F836" s="9" t="n"/>
      <c r="H836" s="8" t="n"/>
    </row>
    <row r="837">
      <c r="A837" s="5" t="n"/>
      <c r="D837" s="10" t="n"/>
      <c r="F837" s="9" t="n"/>
      <c r="H837" s="8" t="n"/>
    </row>
    <row r="838">
      <c r="A838" s="5" t="n"/>
      <c r="D838" s="10" t="n"/>
      <c r="F838" s="9" t="n"/>
      <c r="H838" s="8" t="n"/>
    </row>
    <row r="839">
      <c r="A839" s="5" t="n"/>
      <c r="D839" s="10" t="n"/>
      <c r="F839" s="9" t="n"/>
      <c r="H839" s="8" t="n"/>
    </row>
    <row r="840">
      <c r="A840" s="5" t="n"/>
      <c r="D840" s="10" t="n"/>
      <c r="F840" s="9" t="n"/>
      <c r="H840" s="8" t="n"/>
    </row>
    <row r="841">
      <c r="A841" s="5" t="n"/>
      <c r="D841" s="10" t="n"/>
      <c r="F841" s="9" t="n"/>
      <c r="H841" s="8" t="n"/>
    </row>
    <row r="842">
      <c r="A842" s="5" t="n"/>
      <c r="D842" s="10" t="n"/>
      <c r="F842" s="9" t="n"/>
      <c r="H842" s="8" t="n"/>
    </row>
    <row r="843">
      <c r="A843" s="5" t="n"/>
      <c r="D843" s="10" t="n"/>
      <c r="F843" s="9" t="n"/>
      <c r="H843" s="8" t="n"/>
    </row>
    <row r="844">
      <c r="A844" s="5" t="n"/>
      <c r="D844" s="10" t="n"/>
      <c r="F844" s="9" t="n"/>
      <c r="H844" s="8" t="n"/>
    </row>
    <row r="845">
      <c r="A845" s="5" t="n"/>
      <c r="D845" s="10" t="n"/>
      <c r="F845" s="9" t="n"/>
      <c r="H845" s="8" t="n"/>
    </row>
    <row r="846">
      <c r="A846" s="5" t="n"/>
      <c r="D846" s="10" t="n"/>
      <c r="F846" s="9" t="n"/>
      <c r="H846" s="8" t="n"/>
    </row>
    <row r="847">
      <c r="A847" s="5" t="n"/>
      <c r="D847" s="10" t="n"/>
      <c r="F847" s="9" t="n"/>
      <c r="H847" s="8" t="n"/>
    </row>
    <row r="848">
      <c r="A848" s="5" t="n"/>
      <c r="D848" s="10" t="n"/>
      <c r="F848" s="9" t="n"/>
      <c r="H848" s="8" t="n"/>
    </row>
    <row r="849">
      <c r="A849" s="5" t="n"/>
      <c r="D849" s="10" t="n"/>
      <c r="F849" s="9" t="n"/>
      <c r="H849" s="8" t="n"/>
    </row>
    <row r="850">
      <c r="A850" s="5" t="n"/>
      <c r="D850" s="10" t="n"/>
      <c r="F850" s="9" t="n"/>
      <c r="H850" s="8" t="n"/>
    </row>
    <row r="851">
      <c r="A851" s="5" t="n"/>
      <c r="D851" s="10" t="n"/>
      <c r="F851" s="9" t="n"/>
      <c r="H851" s="8" t="n"/>
    </row>
    <row r="852">
      <c r="A852" s="5" t="n"/>
      <c r="D852" s="10" t="n"/>
      <c r="F852" s="9" t="n"/>
      <c r="H852" s="8" t="n"/>
    </row>
    <row r="853">
      <c r="A853" s="5" t="n"/>
      <c r="D853" s="10" t="n"/>
      <c r="F853" s="9" t="n"/>
      <c r="H853" s="8" t="n"/>
    </row>
    <row r="854">
      <c r="A854" s="5" t="n"/>
      <c r="D854" s="10" t="n"/>
      <c r="F854" s="9" t="n"/>
      <c r="H854" s="8" t="n"/>
    </row>
    <row r="855">
      <c r="A855" s="5" t="n"/>
      <c r="D855" s="10" t="n"/>
      <c r="F855" s="9" t="n"/>
      <c r="H855" s="8" t="n"/>
    </row>
    <row r="856">
      <c r="A856" s="5" t="n"/>
      <c r="D856" s="10" t="n"/>
      <c r="F856" s="9" t="n"/>
      <c r="H856" s="8" t="n"/>
    </row>
    <row r="857">
      <c r="A857" s="5" t="n"/>
      <c r="D857" s="10" t="n"/>
      <c r="F857" s="9" t="n"/>
      <c r="H857" s="8" t="n"/>
    </row>
    <row r="858">
      <c r="A858" s="5" t="n"/>
      <c r="D858" s="10" t="n"/>
      <c r="F858" s="9" t="n"/>
      <c r="H858" s="8" t="n"/>
    </row>
    <row r="859">
      <c r="A859" s="5" t="n"/>
      <c r="D859" s="10" t="n"/>
      <c r="F859" s="9" t="n"/>
      <c r="H859" s="8" t="n"/>
    </row>
    <row r="860">
      <c r="A860" s="5" t="n"/>
      <c r="D860" s="10" t="n"/>
      <c r="F860" s="9" t="n"/>
      <c r="H860" s="8" t="n"/>
    </row>
    <row r="861">
      <c r="A861" s="5" t="n"/>
      <c r="D861" s="10" t="n"/>
      <c r="F861" s="9" t="n"/>
      <c r="H861" s="8" t="n"/>
    </row>
    <row r="862">
      <c r="A862" s="5" t="n"/>
      <c r="D862" s="10" t="n"/>
      <c r="F862" s="9" t="n"/>
      <c r="H862" s="8" t="n"/>
    </row>
    <row r="863">
      <c r="A863" s="5" t="n"/>
      <c r="D863" s="10" t="n"/>
      <c r="F863" s="9" t="n"/>
      <c r="H863" s="8" t="n"/>
    </row>
    <row r="864">
      <c r="A864" s="5" t="n"/>
      <c r="D864" s="10" t="n"/>
      <c r="F864" s="9" t="n"/>
      <c r="H864" s="8" t="n"/>
    </row>
    <row r="865">
      <c r="A865" s="5" t="n"/>
      <c r="D865" s="10" t="n"/>
      <c r="F865" s="9" t="n"/>
      <c r="H865" s="8" t="n"/>
    </row>
    <row r="866">
      <c r="A866" s="5" t="n"/>
      <c r="D866" s="10" t="n"/>
      <c r="F866" s="9" t="n"/>
      <c r="H866" s="8" t="n"/>
    </row>
    <row r="867">
      <c r="A867" s="5" t="n"/>
      <c r="D867" s="10" t="n"/>
      <c r="F867" s="9" t="n"/>
      <c r="H867" s="8" t="n"/>
    </row>
    <row r="868">
      <c r="A868" s="5" t="n"/>
      <c r="D868" s="10" t="n"/>
      <c r="F868" s="9" t="n"/>
      <c r="H868" s="8" t="n"/>
    </row>
    <row r="869">
      <c r="A869" s="7" t="n"/>
      <c r="D869" s="10" t="n"/>
      <c r="F869" s="9" t="n"/>
      <c r="H869" s="8" t="n"/>
    </row>
    <row r="870">
      <c r="D870" s="10" t="n"/>
      <c r="F870" s="9" t="n"/>
      <c r="H870" s="8" t="n"/>
    </row>
    <row r="871">
      <c r="D871" s="10" t="n"/>
      <c r="F871" s="9" t="n"/>
      <c r="H871" s="8" t="n"/>
    </row>
    <row r="872">
      <c r="D872" s="10" t="n"/>
      <c r="F872" s="9" t="n"/>
      <c r="H872" s="8" t="n"/>
    </row>
    <row r="873">
      <c r="A873" s="3" t="n"/>
      <c r="D873" s="10" t="n"/>
      <c r="F873" s="9" t="n"/>
      <c r="H873" s="8" t="n"/>
    </row>
    <row r="874">
      <c r="A874" s="3" t="n"/>
      <c r="D874" s="10" t="n"/>
      <c r="F874" s="9" t="n"/>
      <c r="H874" s="8" t="n"/>
    </row>
    <row r="875">
      <c r="A875" s="5" t="n"/>
      <c r="D875" s="10" t="n"/>
      <c r="F875" s="9" t="n"/>
      <c r="H875" s="8" t="n"/>
    </row>
    <row r="876">
      <c r="A876" s="5" t="n"/>
      <c r="D876" s="10" t="n"/>
      <c r="F876" s="9" t="n"/>
      <c r="H876" s="8" t="n"/>
    </row>
    <row r="877">
      <c r="A877" s="5" t="n"/>
      <c r="D877" s="10" t="n"/>
      <c r="F877" s="9" t="n"/>
      <c r="H877" s="8" t="n"/>
    </row>
    <row r="878">
      <c r="A878" s="5" t="n"/>
      <c r="D878" s="10" t="n"/>
      <c r="F878" s="9" t="n"/>
      <c r="H878" s="8" t="n"/>
    </row>
    <row r="879">
      <c r="A879" s="5" t="n"/>
      <c r="D879" s="10" t="n"/>
      <c r="F879" s="9" t="n"/>
      <c r="H879" s="8" t="n"/>
    </row>
    <row r="880">
      <c r="A880" s="5" t="n"/>
      <c r="D880" s="10" t="n"/>
      <c r="F880" s="9" t="n"/>
      <c r="H880" s="8" t="n"/>
    </row>
    <row r="881">
      <c r="A881" s="5" t="n"/>
      <c r="D881" s="10" t="n"/>
      <c r="F881" s="9" t="n"/>
      <c r="H881" s="8" t="n"/>
    </row>
    <row r="882">
      <c r="A882" s="5" t="n"/>
      <c r="D882" s="10" t="n"/>
      <c r="F882" s="9" t="n"/>
      <c r="H882" s="8" t="n"/>
    </row>
    <row r="883">
      <c r="A883" s="5" t="n"/>
      <c r="D883" s="10" t="n"/>
      <c r="F883" s="9" t="n"/>
      <c r="H883" s="8" t="n"/>
    </row>
    <row r="884">
      <c r="A884" s="5" t="n"/>
      <c r="D884" s="10" t="n"/>
      <c r="F884" s="9" t="n"/>
      <c r="H884" s="8" t="n"/>
    </row>
    <row r="885">
      <c r="A885" s="5" t="n"/>
      <c r="D885" s="10" t="n"/>
      <c r="F885" s="9" t="n"/>
      <c r="H885" s="8" t="n"/>
    </row>
    <row r="886">
      <c r="A886" s="5" t="n"/>
      <c r="D886" s="10" t="n"/>
      <c r="F886" s="9" t="n"/>
      <c r="H886" s="8" t="n"/>
    </row>
    <row r="887">
      <c r="A887" s="5" t="n"/>
      <c r="D887" s="10" t="n"/>
      <c r="F887" s="9" t="n"/>
      <c r="H887" s="8" t="n"/>
    </row>
    <row r="888">
      <c r="A888" s="5" t="n"/>
      <c r="D888" s="10" t="n"/>
      <c r="F888" s="9" t="n"/>
      <c r="H888" s="8" t="n"/>
    </row>
    <row r="889">
      <c r="A889" s="5" t="n"/>
      <c r="D889" s="10" t="n"/>
      <c r="F889" s="9" t="n"/>
      <c r="H889" s="8" t="n"/>
    </row>
    <row r="890">
      <c r="A890" s="5" t="n"/>
      <c r="D890" s="10" t="n"/>
      <c r="F890" s="9" t="n"/>
      <c r="H890" s="8" t="n"/>
    </row>
    <row r="891">
      <c r="A891" s="5" t="n"/>
      <c r="D891" s="10" t="n"/>
      <c r="F891" s="9" t="n"/>
      <c r="H891" s="8" t="n"/>
    </row>
    <row r="892">
      <c r="A892" s="5" t="n"/>
      <c r="D892" s="10" t="n"/>
      <c r="F892" s="9" t="n"/>
      <c r="H892" s="8" t="n"/>
    </row>
    <row r="893">
      <c r="A893" s="5" t="n"/>
      <c r="D893" s="10" t="n"/>
      <c r="F893" s="9" t="n"/>
      <c r="H893" s="8" t="n"/>
    </row>
    <row r="894">
      <c r="A894" s="5" t="n"/>
      <c r="D894" s="10" t="n"/>
      <c r="F894" s="9" t="n"/>
      <c r="H894" s="8" t="n"/>
    </row>
    <row r="895">
      <c r="A895" s="5" t="n"/>
      <c r="D895" s="10" t="n"/>
      <c r="F895" s="9" t="n"/>
      <c r="H895" s="8" t="n"/>
    </row>
    <row r="896">
      <c r="A896" s="5" t="n"/>
      <c r="D896" s="10" t="n"/>
      <c r="F896" s="9" t="n"/>
      <c r="H896" s="8" t="n"/>
    </row>
    <row r="897">
      <c r="A897" s="5" t="n"/>
      <c r="D897" s="10" t="n"/>
      <c r="F897" s="9" t="n"/>
      <c r="H897" s="8" t="n"/>
    </row>
    <row r="898">
      <c r="A898" s="5" t="n"/>
      <c r="D898" s="10" t="n"/>
      <c r="F898" s="9" t="n"/>
      <c r="H898" s="8" t="n"/>
    </row>
    <row r="899">
      <c r="A899" s="5" t="n"/>
      <c r="D899" s="10" t="n"/>
      <c r="F899" s="9" t="n"/>
      <c r="H899" s="8" t="n"/>
    </row>
    <row r="900">
      <c r="A900" s="5" t="n"/>
      <c r="D900" s="10" t="n"/>
      <c r="F900" s="9" t="n"/>
      <c r="H900" s="8" t="n"/>
    </row>
    <row r="901">
      <c r="A901" s="5" t="n"/>
      <c r="D901" s="10" t="n"/>
      <c r="F901" s="9" t="n"/>
      <c r="H901" s="8" t="n"/>
    </row>
    <row r="902">
      <c r="A902" s="5" t="n"/>
      <c r="D902" s="10" t="n"/>
      <c r="F902" s="9" t="n"/>
      <c r="H902" s="8" t="n"/>
    </row>
    <row r="903">
      <c r="A903" s="5" t="n"/>
      <c r="D903" s="10" t="n"/>
      <c r="F903" s="9" t="n"/>
      <c r="H903" s="8" t="n"/>
    </row>
    <row r="904">
      <c r="A904" s="5" t="n"/>
      <c r="D904" s="10" t="n"/>
      <c r="F904" s="9" t="n"/>
      <c r="H904" s="8" t="n"/>
    </row>
    <row r="905">
      <c r="A905" s="5" t="n"/>
      <c r="D905" s="10" t="n"/>
      <c r="F905" s="9" t="n"/>
      <c r="H905" s="8" t="n"/>
    </row>
    <row r="906">
      <c r="A906" s="5" t="n"/>
      <c r="D906" s="10" t="n"/>
      <c r="F906" s="9" t="n"/>
      <c r="H906" s="8" t="n"/>
    </row>
    <row r="907">
      <c r="A907" s="5" t="n"/>
      <c r="D907" s="10" t="n"/>
      <c r="F907" s="9" t="n"/>
      <c r="H907" s="8" t="n"/>
    </row>
    <row r="908">
      <c r="A908" s="5" t="n"/>
      <c r="D908" s="10" t="n"/>
      <c r="F908" s="9" t="n"/>
      <c r="H908" s="8" t="n"/>
    </row>
    <row r="909">
      <c r="A909" s="5" t="n"/>
      <c r="D909" s="10" t="n"/>
      <c r="F909" s="9" t="n"/>
      <c r="H909" s="8" t="n"/>
    </row>
    <row r="910">
      <c r="A910" s="5" t="n"/>
      <c r="D910" s="10" t="n"/>
      <c r="F910" s="9" t="n"/>
      <c r="H910" s="8" t="n"/>
    </row>
    <row r="911">
      <c r="A911" s="5" t="n"/>
      <c r="D911" s="10" t="n"/>
      <c r="F911" s="9" t="n"/>
      <c r="H911" s="8" t="n"/>
    </row>
    <row r="912">
      <c r="A912" s="5" t="n"/>
      <c r="D912" s="10" t="n"/>
      <c r="F912" s="9" t="n"/>
      <c r="H912" s="8" t="n"/>
    </row>
    <row r="913">
      <c r="A913" s="5" t="n"/>
      <c r="D913" s="10" t="n"/>
      <c r="F913" s="9" t="n"/>
      <c r="H913" s="8" t="n"/>
    </row>
    <row r="914">
      <c r="A914" s="5" t="n"/>
      <c r="D914" s="10" t="n"/>
      <c r="F914" s="9" t="n"/>
      <c r="H914" s="8" t="n"/>
    </row>
    <row r="915">
      <c r="A915" s="5" t="n"/>
      <c r="D915" s="10" t="n"/>
      <c r="F915" s="9" t="n"/>
      <c r="H915" s="8" t="n"/>
    </row>
    <row r="916">
      <c r="A916" s="5" t="n"/>
      <c r="D916" s="10" t="n"/>
      <c r="F916" s="9" t="n"/>
      <c r="H916" s="8" t="n"/>
    </row>
    <row r="917">
      <c r="A917" s="5" t="n"/>
      <c r="D917" s="10" t="n"/>
      <c r="F917" s="9" t="n"/>
      <c r="H917" s="8" t="n"/>
    </row>
    <row r="918">
      <c r="A918" s="5" t="n"/>
      <c r="D918" s="10" t="n"/>
      <c r="F918" s="9" t="n"/>
      <c r="H918" s="8" t="n"/>
    </row>
    <row r="919">
      <c r="A919" s="5" t="n"/>
      <c r="D919" s="10" t="n"/>
      <c r="F919" s="9" t="n"/>
      <c r="H919" s="8" t="n"/>
    </row>
    <row r="920">
      <c r="A920" s="5" t="n"/>
      <c r="D920" s="10" t="n"/>
      <c r="F920" s="9" t="n"/>
      <c r="H920" s="8" t="n"/>
    </row>
    <row r="921">
      <c r="A921" s="5" t="n"/>
      <c r="D921" s="10" t="n"/>
      <c r="F921" s="9" t="n"/>
      <c r="H921" s="8" t="n"/>
    </row>
    <row r="922">
      <c r="A922" s="5" t="n"/>
      <c r="D922" s="10" t="n"/>
      <c r="F922" s="9" t="n"/>
      <c r="H922" s="8" t="n"/>
    </row>
    <row r="923">
      <c r="A923" s="5" t="n"/>
      <c r="D923" s="10" t="n"/>
      <c r="F923" s="9" t="n"/>
      <c r="H923" s="8" t="n"/>
    </row>
    <row r="924">
      <c r="A924" s="5" t="n"/>
      <c r="D924" s="10" t="n"/>
      <c r="F924" s="9" t="n"/>
      <c r="H924" s="8" t="n"/>
    </row>
    <row r="925">
      <c r="A925" s="5" t="n"/>
      <c r="D925" s="10" t="n"/>
      <c r="F925" s="9" t="n"/>
      <c r="H925" s="8" t="n"/>
    </row>
    <row r="926">
      <c r="A926" s="5" t="n"/>
      <c r="D926" s="10" t="n"/>
      <c r="F926" s="9" t="n"/>
      <c r="H926" s="8" t="n"/>
    </row>
    <row r="927">
      <c r="A927" s="5" t="n"/>
      <c r="D927" s="10" t="n"/>
      <c r="F927" s="9" t="n"/>
      <c r="H927" s="8" t="n"/>
    </row>
    <row r="928">
      <c r="A928" s="5" t="n"/>
      <c r="D928" s="10" t="n"/>
      <c r="F928" s="9" t="n"/>
      <c r="H928" s="8" t="n"/>
    </row>
    <row r="929">
      <c r="A929" s="5" t="n"/>
      <c r="D929" s="10" t="n"/>
      <c r="F929" s="9" t="n"/>
      <c r="H929" s="8" t="n"/>
    </row>
    <row r="930">
      <c r="A930" s="5" t="n"/>
      <c r="D930" s="10" t="n"/>
      <c r="F930" s="9" t="n"/>
      <c r="H930" s="8" t="n"/>
    </row>
    <row r="931">
      <c r="A931" s="5" t="n"/>
      <c r="D931" s="10" t="n"/>
      <c r="F931" s="9" t="n"/>
      <c r="H931" s="8" t="n"/>
    </row>
    <row r="932">
      <c r="A932" s="5" t="n"/>
      <c r="D932" s="10" t="n"/>
      <c r="F932" s="9" t="n"/>
      <c r="H932" s="8" t="n"/>
    </row>
    <row r="933">
      <c r="A933" s="5" t="n"/>
      <c r="D933" s="10" t="n"/>
      <c r="F933" s="9" t="n"/>
      <c r="H933" s="8" t="n"/>
    </row>
    <row r="934">
      <c r="A934" s="5" t="n"/>
      <c r="D934" s="10" t="n"/>
      <c r="F934" s="9" t="n"/>
      <c r="H934" s="8" t="n"/>
    </row>
    <row r="935">
      <c r="A935" s="5" t="n"/>
      <c r="D935" s="10" t="n"/>
      <c r="F935" s="9" t="n"/>
      <c r="H935" s="8" t="n"/>
    </row>
    <row r="936">
      <c r="A936" s="5" t="n"/>
      <c r="D936" s="10" t="n"/>
      <c r="F936" s="9" t="n"/>
      <c r="H936" s="8" t="n"/>
    </row>
    <row r="937">
      <c r="A937" s="5" t="n"/>
      <c r="D937" s="10" t="n"/>
      <c r="F937" s="9" t="n"/>
      <c r="H937" s="8" t="n"/>
    </row>
    <row r="938">
      <c r="A938" s="5" t="n"/>
      <c r="D938" s="10" t="n"/>
      <c r="F938" s="9" t="n"/>
      <c r="H938" s="8" t="n"/>
    </row>
    <row r="939">
      <c r="A939" s="5" t="n"/>
      <c r="D939" s="10" t="n"/>
      <c r="F939" s="9" t="n"/>
      <c r="H939" s="8" t="n"/>
    </row>
    <row r="940">
      <c r="A940" s="5" t="n"/>
      <c r="D940" s="10" t="n"/>
      <c r="F940" s="9" t="n"/>
      <c r="H940" s="8" t="n"/>
    </row>
    <row r="941">
      <c r="A941" s="5" t="n"/>
      <c r="D941" s="10" t="n"/>
      <c r="F941" s="9" t="n"/>
      <c r="H941" s="8" t="n"/>
    </row>
    <row r="942">
      <c r="A942" s="7" t="n"/>
      <c r="D942" s="10" t="n"/>
      <c r="F942" s="9" t="n"/>
      <c r="H942" s="8" t="n"/>
    </row>
    <row r="943">
      <c r="D943" s="10" t="n"/>
      <c r="F943" s="9" t="n"/>
      <c r="H943" s="8" t="n"/>
    </row>
    <row r="944">
      <c r="D944" s="10" t="n"/>
      <c r="F944" s="9" t="n"/>
      <c r="H944" s="8" t="n"/>
    </row>
    <row r="945">
      <c r="D945" s="10" t="n"/>
      <c r="F945" s="9" t="n"/>
      <c r="H945" s="8" t="n"/>
    </row>
    <row r="946">
      <c r="D946" s="10" t="n"/>
      <c r="F946" s="9" t="n"/>
      <c r="H946" s="8" t="n"/>
    </row>
    <row r="947">
      <c r="D947" s="10" t="n"/>
      <c r="F947" s="9" t="n"/>
      <c r="H947" s="8" t="n"/>
    </row>
    <row r="948">
      <c r="D948" s="10" t="n"/>
      <c r="F948" s="9" t="n"/>
      <c r="H948" s="8" t="n"/>
    </row>
    <row r="949">
      <c r="D949" s="10" t="n"/>
      <c r="F949" s="9" t="n"/>
      <c r="H949" s="8" t="n"/>
    </row>
    <row r="950">
      <c r="D950" s="10" t="n"/>
      <c r="F950" s="9" t="n"/>
      <c r="H950" s="8" t="n"/>
    </row>
    <row r="951">
      <c r="D951" s="10" t="n"/>
      <c r="F951" s="9" t="n"/>
      <c r="H951" s="8" t="n"/>
    </row>
    <row r="952">
      <c r="D952" s="10" t="n"/>
      <c r="F952" s="9" t="n"/>
      <c r="H952" s="8" t="n"/>
    </row>
    <row r="953">
      <c r="D953" s="10" t="n"/>
      <c r="F953" s="9" t="n"/>
      <c r="H953" s="8" t="n"/>
    </row>
    <row r="954">
      <c r="D954" s="10" t="n"/>
      <c r="F954" s="9" t="n"/>
      <c r="H954" s="8" t="n"/>
    </row>
    <row r="955">
      <c r="D955" s="10" t="n"/>
      <c r="F955" s="9" t="n"/>
      <c r="H955" s="8" t="n"/>
    </row>
    <row r="956">
      <c r="D956" s="10" t="n"/>
      <c r="F956" s="9" t="n"/>
      <c r="H956" s="8" t="n"/>
    </row>
    <row r="957">
      <c r="D957" s="10" t="n"/>
      <c r="F957" s="9" t="n"/>
      <c r="H957" s="8" t="n"/>
    </row>
    <row r="958">
      <c r="D958" s="10" t="n"/>
      <c r="F958" s="9" t="n"/>
      <c r="H958" s="8" t="n"/>
    </row>
    <row r="959">
      <c r="D959" s="10" t="n"/>
      <c r="F959" s="9" t="n"/>
      <c r="H959" s="8" t="n"/>
    </row>
    <row r="960">
      <c r="D960" s="10" t="n"/>
      <c r="F960" s="9" t="n"/>
      <c r="H960" s="8" t="n"/>
    </row>
    <row r="961">
      <c r="D961" s="10" t="n"/>
      <c r="F961" s="9" t="n"/>
      <c r="H961" s="8" t="n"/>
    </row>
    <row r="962">
      <c r="D962" s="10" t="n"/>
      <c r="F962" s="9" t="n"/>
      <c r="H962" s="8" t="n"/>
    </row>
    <row r="963">
      <c r="D963" s="10" t="n"/>
      <c r="F963" s="9" t="n"/>
      <c r="H963" s="8" t="n"/>
    </row>
    <row r="964">
      <c r="D964" s="10" t="n"/>
      <c r="F964" s="9" t="n"/>
      <c r="H964" s="8" t="n"/>
    </row>
    <row r="965">
      <c r="D965" s="10" t="n"/>
      <c r="F965" s="9" t="n"/>
      <c r="H965" s="8" t="n"/>
    </row>
    <row r="966">
      <c r="D966" s="10" t="n"/>
      <c r="F966" s="9" t="n"/>
      <c r="H966" s="8" t="n"/>
    </row>
    <row r="967">
      <c r="D967" s="10" t="n"/>
      <c r="F967" s="9" t="n"/>
      <c r="H967" s="8" t="n"/>
    </row>
    <row r="968">
      <c r="D968" s="10" t="n"/>
      <c r="F968" s="9" t="n"/>
      <c r="H968" s="8" t="n"/>
    </row>
    <row r="969">
      <c r="D969" s="10" t="n"/>
      <c r="F969" s="9" t="n"/>
      <c r="H969" s="8" t="n"/>
    </row>
    <row r="970">
      <c r="D970" s="10" t="n"/>
      <c r="F970" s="9" t="n"/>
      <c r="H970" s="8" t="n"/>
    </row>
    <row r="971">
      <c r="D971" s="10" t="n"/>
      <c r="F971" s="9" t="n"/>
      <c r="H971" s="8" t="n"/>
    </row>
    <row r="972">
      <c r="D972" s="10" t="n"/>
      <c r="F972" s="9" t="n"/>
      <c r="H972" s="8" t="n"/>
    </row>
    <row r="973">
      <c r="D973" s="10" t="n"/>
      <c r="F973" s="9" t="n"/>
      <c r="H973" s="8" t="n"/>
    </row>
    <row r="974">
      <c r="D974" s="10" t="n"/>
      <c r="F974" s="9" t="n"/>
      <c r="H974" s="8" t="n"/>
    </row>
    <row r="975">
      <c r="D975" s="10" t="n"/>
      <c r="F975" s="9" t="n"/>
      <c r="H975" s="8" t="n"/>
    </row>
    <row r="976">
      <c r="D976" s="10" t="n"/>
      <c r="F976" s="9" t="n"/>
      <c r="H976" s="8" t="n"/>
    </row>
    <row r="977">
      <c r="D977" s="10" t="n"/>
      <c r="F977" s="9" t="n"/>
      <c r="H977" s="8" t="n"/>
    </row>
    <row r="978">
      <c r="D978" s="10" t="n"/>
      <c r="F978" s="9" t="n"/>
      <c r="H978" s="8" t="n"/>
    </row>
    <row r="979">
      <c r="D979" s="10" t="n"/>
      <c r="F979" s="9" t="n"/>
      <c r="H979" s="8" t="n"/>
    </row>
    <row r="980">
      <c r="D980" s="10" t="n"/>
      <c r="F980" s="9" t="n"/>
      <c r="H980" s="8" t="n"/>
    </row>
    <row r="981">
      <c r="D981" s="10" t="n"/>
      <c r="F981" s="9" t="n"/>
      <c r="H981" s="8" t="n"/>
    </row>
    <row r="982">
      <c r="D982" s="10" t="n"/>
      <c r="F982" s="9" t="n"/>
      <c r="H982" s="8" t="n"/>
    </row>
    <row r="983">
      <c r="D983" s="10" t="n"/>
      <c r="F983" s="9" t="n"/>
      <c r="H983" s="8" t="n"/>
    </row>
    <row r="984">
      <c r="D984" s="10" t="n"/>
      <c r="F984" s="9" t="n"/>
      <c r="H984" s="8" t="n"/>
    </row>
    <row r="985">
      <c r="D985" s="10" t="n"/>
      <c r="F985" s="9" t="n"/>
      <c r="H985" s="8" t="n"/>
    </row>
    <row r="986">
      <c r="D986" s="10" t="n"/>
      <c r="F986" s="9" t="n"/>
      <c r="H986" s="8" t="n"/>
    </row>
    <row r="987">
      <c r="D987" s="10" t="n"/>
      <c r="F987" s="9" t="n"/>
      <c r="H987" s="8" t="n"/>
    </row>
    <row r="988">
      <c r="D988" s="10" t="n"/>
      <c r="F988" s="9" t="n"/>
      <c r="H988" s="8" t="n"/>
    </row>
    <row r="989">
      <c r="D989" s="10" t="n"/>
      <c r="F989" s="9" t="n"/>
      <c r="H989" s="8" t="n"/>
    </row>
    <row r="990">
      <c r="D990" s="10" t="n"/>
      <c r="F990" s="9" t="n"/>
      <c r="H990" s="8" t="n"/>
    </row>
    <row r="991">
      <c r="D991" s="10" t="n"/>
      <c r="F991" s="9" t="n"/>
      <c r="H991" s="8" t="n"/>
    </row>
    <row r="992">
      <c r="D992" s="10" t="n"/>
      <c r="F992" s="9" t="n"/>
      <c r="H992" s="8" t="n"/>
    </row>
    <row r="993">
      <c r="D993" s="10" t="n"/>
      <c r="F993" s="9" t="n"/>
      <c r="H993" s="8" t="n"/>
    </row>
    <row r="994">
      <c r="D994" s="10" t="n"/>
      <c r="F994" s="9" t="n"/>
      <c r="H994" s="8" t="n"/>
    </row>
    <row r="995">
      <c r="D995" s="10" t="n"/>
      <c r="F995" s="9" t="n"/>
      <c r="H995" s="8" t="n"/>
    </row>
    <row r="996">
      <c r="D996" s="10" t="n"/>
      <c r="F996" s="9" t="n"/>
      <c r="H996" s="8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min="1" max="1"/>
    <col width="30.42578125" customWidth="1" min="2" max="2"/>
    <col width="20" customWidth="1" min="3" max="18"/>
    <col width="50.85546875" customWidth="1" min="19" max="19"/>
    <col width="10.28515625" customWidth="1" min="20" max="20"/>
  </cols>
  <sheetData>
    <row r="1" ht="16.5" customHeight="1">
      <c r="A1" s="92" t="n"/>
      <c r="B1" s="92" t="inlineStr">
        <is>
          <t>OCTOBER 2026 EXPENSES</t>
        </is>
      </c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  <c r="O1" s="119" t="n"/>
      <c r="P1" s="119" t="n"/>
      <c r="Q1" s="119" t="n"/>
      <c r="R1" s="119" t="n"/>
      <c r="S1" s="119" t="n"/>
      <c r="T1" s="120" t="n"/>
    </row>
    <row r="2" ht="58.5" customHeight="1">
      <c r="A2" s="39" t="inlineStr">
        <is>
          <t>FLAT #</t>
        </is>
      </c>
      <c r="B2" s="39" t="n">
        <v>0</v>
      </c>
      <c r="C2" s="39" t="inlineStr">
        <is>
          <t>WATER USED IN LTRS</t>
        </is>
      </c>
      <c r="D2" s="39" t="inlineStr">
        <is>
          <t>COMMON AREA EQUALLY DEVIDED</t>
        </is>
      </c>
      <c r="E2" s="39" t="inlineStr">
        <is>
          <t>TOTAL FRESH WATER CONSUMED</t>
        </is>
      </c>
      <c r="F2" s="39" t="inlineStr">
        <is>
          <t>%OF TOTAL USED</t>
        </is>
      </c>
      <c r="G2" s="39" t="inlineStr">
        <is>
          <t>WATER EXPENSE SHARING BY %</t>
        </is>
      </c>
      <c r="H2" s="39" t="inlineStr">
        <is>
          <t>#METERS</t>
        </is>
      </c>
      <c r="I2" s="39" t="inlineStr">
        <is>
          <t>METER RENT</t>
        </is>
      </c>
      <c r="J2" s="39" t="inlineStr">
        <is>
          <t>COMMON AREA METER RENT + WATER EXPENSE+ FLAT METER RENT</t>
        </is>
      </c>
      <c r="K2" s="39" t="inlineStr">
        <is>
          <t>FIXED EXPENSE SHARE</t>
        </is>
      </c>
      <c r="L2" s="39" t="inlineStr">
        <is>
          <t>PARKING FEE</t>
        </is>
      </c>
      <c r="M2" s="39" t="inlineStr">
        <is>
          <t>CLUB HOUSE BOOKING FEE</t>
        </is>
      </c>
      <c r="N2" s="39" t="inlineStr">
        <is>
          <t>SHIFTING FEE</t>
        </is>
      </c>
      <c r="O2" s="39" t="inlineStr">
        <is>
          <t>GYM USAGE FEE</t>
        </is>
      </c>
      <c r="P2" s="39" t="n"/>
      <c r="Q2" s="39" t="n"/>
      <c r="R2" s="39" t="inlineStr">
        <is>
          <t>TOTAL EXPENSE TO BE PAID</t>
        </is>
      </c>
      <c r="S2" s="39" t="n"/>
      <c r="T2" s="39" t="n"/>
    </row>
    <row r="3" ht="12.75" customHeight="1">
      <c r="A3" s="40" t="inlineStr">
        <is>
          <t>CH</t>
        </is>
      </c>
      <c r="B3" s="40" t="inlineStr">
        <is>
          <t>MPFOWA</t>
        </is>
      </c>
      <c r="C3" s="41" t="n">
        <v>0</v>
      </c>
      <c r="D3" s="41" t="n">
        <v>0</v>
      </c>
      <c r="E3" s="41" t="n"/>
      <c r="F3" s="41" t="n"/>
      <c r="G3" s="41" t="n"/>
      <c r="H3" s="41" t="n">
        <v>1</v>
      </c>
      <c r="I3" s="41">
        <f>T7</f>
        <v/>
      </c>
      <c r="J3" s="41">
        <f>I3</f>
        <v/>
      </c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</row>
    <row r="4" ht="12.75" customHeight="1">
      <c r="A4" s="42" t="inlineStr">
        <is>
          <t>GYM</t>
        </is>
      </c>
      <c r="B4" s="42" t="inlineStr">
        <is>
          <t>MPFOWA</t>
        </is>
      </c>
      <c r="C4" s="43" t="n">
        <v>0</v>
      </c>
      <c r="D4" s="43" t="n">
        <v>0</v>
      </c>
      <c r="E4" s="43" t="n"/>
      <c r="F4" s="43" t="n"/>
      <c r="G4" s="43" t="n"/>
      <c r="H4" s="43" t="n">
        <v>1</v>
      </c>
      <c r="I4" s="43">
        <f>T7</f>
        <v/>
      </c>
      <c r="J4" s="43">
        <f>I4</f>
        <v/>
      </c>
      <c r="K4" s="43" t="n"/>
      <c r="L4" s="43" t="n"/>
      <c r="M4" s="43" t="n"/>
      <c r="N4" s="43" t="n"/>
      <c r="O4" s="43" t="n"/>
      <c r="P4" s="43" t="n"/>
      <c r="Q4" s="43" t="n"/>
      <c r="R4" s="43" t="n"/>
      <c r="S4" s="43" t="inlineStr">
        <is>
          <t>TOTAL FIXED EXPENSE</t>
        </is>
      </c>
      <c r="T4" s="43">
        <f>'ANNUAL-EXPENSE-DETAILS'!AB9</f>
        <v/>
      </c>
    </row>
    <row r="5" ht="12.75" customHeight="1">
      <c r="A5" s="40" t="inlineStr">
        <is>
          <t>BSMT</t>
        </is>
      </c>
      <c r="B5" s="40" t="inlineStr">
        <is>
          <t>MPFOWA</t>
        </is>
      </c>
      <c r="C5" s="41" t="n">
        <v>0</v>
      </c>
      <c r="D5" s="41" t="n">
        <v>0</v>
      </c>
      <c r="E5" s="41" t="n"/>
      <c r="F5" s="41" t="n"/>
      <c r="G5" s="41" t="n"/>
      <c r="H5" s="41" t="n">
        <v>1</v>
      </c>
      <c r="I5" s="41">
        <f>T7</f>
        <v/>
      </c>
      <c r="J5" s="41">
        <f>I5</f>
        <v/>
      </c>
      <c r="K5" s="41" t="n"/>
      <c r="L5" s="41" t="n"/>
      <c r="M5" s="41" t="n"/>
      <c r="N5" s="41" t="n"/>
      <c r="O5" s="41" t="n"/>
      <c r="P5" s="41" t="n"/>
      <c r="Q5" s="41" t="n"/>
      <c r="R5" s="41" t="n"/>
      <c r="S5" s="41" t="inlineStr">
        <is>
          <t>TOTAL WATER EXPENSE</t>
        </is>
      </c>
      <c r="T5" s="41">
        <f>'ANNUAL-EXPENSE-DETAILS'!AA9</f>
        <v/>
      </c>
    </row>
    <row r="6" ht="12.75" customHeight="1">
      <c r="A6" s="42" t="inlineStr">
        <is>
          <t>F1</t>
        </is>
      </c>
      <c r="B6" s="42">
        <f>VLOOKUP(A6,Members!$A$2:$B$65,2,FALSE)</f>
        <v/>
      </c>
      <c r="C6" s="43" t="n">
        <v>0</v>
      </c>
      <c r="D6" s="43">
        <f>SUM($C$3:$C$4)/64</f>
        <v/>
      </c>
      <c r="E6" s="43">
        <f>C6+D6</f>
        <v/>
      </c>
      <c r="F6" s="43">
        <f>IF($C$70=0, 0, E6/$C$70)</f>
        <v/>
      </c>
      <c r="G6" s="43">
        <f>F6*$T$5</f>
        <v/>
      </c>
      <c r="H6" s="43" t="n">
        <v>3</v>
      </c>
      <c r="I6" s="43">
        <f>$T$7*H6</f>
        <v/>
      </c>
      <c r="J6" s="43">
        <f>G6+$T$9+I6</f>
        <v/>
      </c>
      <c r="K6" s="43">
        <f>$T$11/64</f>
        <v/>
      </c>
      <c r="L6" s="43" t="n">
        <v>0</v>
      </c>
      <c r="M6" s="43" t="n">
        <v>0</v>
      </c>
      <c r="N6" s="43" t="n">
        <v>0</v>
      </c>
      <c r="O6" s="43" t="n">
        <v>0</v>
      </c>
      <c r="P6" s="43" t="n"/>
      <c r="Q6" s="43" t="n"/>
      <c r="R6" s="43">
        <f>(J6+K6+L6+M6+N6+O6)*$B$2</f>
        <v/>
      </c>
      <c r="S6" s="43" t="n"/>
      <c r="T6" s="43" t="n"/>
    </row>
    <row r="7" ht="12.75" customHeight="1">
      <c r="A7" s="40" t="inlineStr">
        <is>
          <t>F2</t>
        </is>
      </c>
      <c r="B7" s="40">
        <f>VLOOKUP(A7,Members!$A$2:$B$65,2,FALSE)</f>
        <v/>
      </c>
      <c r="C7" s="41" t="n">
        <v>0</v>
      </c>
      <c r="D7" s="41">
        <f>SUM($C$3:$C$4)/64</f>
        <v/>
      </c>
      <c r="E7" s="41">
        <f>C7+D7</f>
        <v/>
      </c>
      <c r="F7" s="41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$T$11/64</f>
        <v/>
      </c>
      <c r="L7" s="41" t="n">
        <v>0</v>
      </c>
      <c r="M7" s="41" t="n">
        <v>0</v>
      </c>
      <c r="N7" s="41" t="n">
        <v>0</v>
      </c>
      <c r="O7" s="41" t="n">
        <v>0</v>
      </c>
      <c r="P7" s="41" t="n"/>
      <c r="Q7" s="41" t="n"/>
      <c r="R7" s="41">
        <f>(J7+K7+L7+M7+N7+O7)*$B$2</f>
        <v/>
      </c>
      <c r="S7" s="41" t="inlineStr">
        <is>
          <t>RENT PER METER</t>
        </is>
      </c>
      <c r="T7" s="41" t="n">
        <v>117.811659</v>
      </c>
    </row>
    <row r="8" ht="12.75" customHeight="1">
      <c r="A8" s="42" t="inlineStr">
        <is>
          <t>F3</t>
        </is>
      </c>
      <c r="B8" s="42">
        <f>VLOOKUP(A8,Members!$A$2:$B$65,2,FALSE)</f>
        <v/>
      </c>
      <c r="C8" s="43" t="n">
        <v>0</v>
      </c>
      <c r="D8" s="43">
        <f>SUM($C$3:$C$4)/64</f>
        <v/>
      </c>
      <c r="E8" s="43">
        <f>C8+D8</f>
        <v/>
      </c>
      <c r="F8" s="43">
        <f>IF($C$70=0, 0, E8/$C$70)</f>
        <v/>
      </c>
      <c r="G8" s="43">
        <f>F8*$T$5</f>
        <v/>
      </c>
      <c r="H8" s="43" t="n">
        <v>4</v>
      </c>
      <c r="I8" s="43">
        <f>$T$7*H8</f>
        <v/>
      </c>
      <c r="J8" s="43">
        <f>G8+$T$9+I8</f>
        <v/>
      </c>
      <c r="K8" s="43">
        <f>$T$11/64</f>
        <v/>
      </c>
      <c r="L8" s="43" t="n">
        <v>0</v>
      </c>
      <c r="M8" s="43" t="n">
        <v>0</v>
      </c>
      <c r="N8" s="43" t="n">
        <v>0</v>
      </c>
      <c r="O8" s="43" t="n">
        <v>0</v>
      </c>
      <c r="P8" s="43" t="n"/>
      <c r="Q8" s="43" t="n"/>
      <c r="R8" s="43">
        <f>(J8+K8+L8+M8+N8+O8)*$B$2</f>
        <v/>
      </c>
      <c r="S8" s="43" t="inlineStr">
        <is>
          <t>COMMON AREA METER RENT</t>
        </is>
      </c>
      <c r="T8" s="43">
        <f>$T$7*3</f>
        <v/>
      </c>
    </row>
    <row r="9" ht="12.75" customHeight="1">
      <c r="A9" s="40" t="inlineStr">
        <is>
          <t>F4</t>
        </is>
      </c>
      <c r="B9" s="40">
        <f>VLOOKUP(A9,Members!$A$2:$B$65,2,FALSE)</f>
        <v/>
      </c>
      <c r="C9" s="41" t="n">
        <v>0</v>
      </c>
      <c r="D9" s="41">
        <f>SUM($C$3:$C$4)/64</f>
        <v/>
      </c>
      <c r="E9" s="41">
        <f>C9+D9</f>
        <v/>
      </c>
      <c r="F9" s="41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$T$11/64</f>
        <v/>
      </c>
      <c r="L9" s="41" t="n">
        <v>0</v>
      </c>
      <c r="M9" s="41" t="n">
        <v>0</v>
      </c>
      <c r="N9" s="41" t="n">
        <v>0</v>
      </c>
      <c r="O9" s="41" t="n">
        <v>0</v>
      </c>
      <c r="P9" s="41" t="n"/>
      <c r="Q9" s="41" t="n"/>
      <c r="R9" s="41">
        <f>(J9+K9+L9+M9+N9+O9)*$B$2</f>
        <v/>
      </c>
      <c r="S9" s="41" t="inlineStr">
        <is>
          <t>COMMON AREA METER RENT/FLAT</t>
        </is>
      </c>
      <c r="T9" s="41">
        <f>T8/64</f>
        <v/>
      </c>
    </row>
    <row r="10" ht="12.75" customHeight="1">
      <c r="A10" s="42" t="inlineStr">
        <is>
          <t>F5</t>
        </is>
      </c>
      <c r="B10" s="42">
        <f>VLOOKUP(A10,Members!$A$2:$B$65,2,FALSE)</f>
        <v/>
      </c>
      <c r="C10" s="43" t="n">
        <v>0</v>
      </c>
      <c r="D10" s="43">
        <f>SUM($C$3:$C$4)/64</f>
        <v/>
      </c>
      <c r="E10" s="43">
        <f>C10+D10</f>
        <v/>
      </c>
      <c r="F10" s="43">
        <f>IF($C$70=0, 0, E10/$C$70)</f>
        <v/>
      </c>
      <c r="G10" s="43">
        <f>F10*$T$5</f>
        <v/>
      </c>
      <c r="H10" s="43" t="n">
        <v>3</v>
      </c>
      <c r="I10" s="43">
        <f>$T$7*H10</f>
        <v/>
      </c>
      <c r="J10" s="43">
        <f>G10+$T$9+I10</f>
        <v/>
      </c>
      <c r="K10" s="43">
        <f>$T$11/64</f>
        <v/>
      </c>
      <c r="L10" s="43" t="n">
        <v>0</v>
      </c>
      <c r="M10" s="43" t="n">
        <v>0</v>
      </c>
      <c r="N10" s="43" t="n">
        <v>0</v>
      </c>
      <c r="O10" s="43" t="n">
        <v>0</v>
      </c>
      <c r="P10" s="43" t="n"/>
      <c r="Q10" s="43" t="n"/>
      <c r="R10" s="43">
        <f>(J10+K10+L10+M10+N10+O10)*$B$2</f>
        <v/>
      </c>
      <c r="S10" s="43" t="n"/>
      <c r="T10" s="43" t="n"/>
    </row>
    <row r="11" ht="12.75" customHeight="1">
      <c r="A11" s="40" t="inlineStr">
        <is>
          <t>F6</t>
        </is>
      </c>
      <c r="B11" s="40">
        <f>VLOOKUP(A11,Members!$A$2:$B$65,2,FALSE)</f>
        <v/>
      </c>
      <c r="C11" s="41" t="n">
        <v>0</v>
      </c>
      <c r="D11" s="41">
        <f>SUM($C$3:$C$4)/64</f>
        <v/>
      </c>
      <c r="E11" s="41">
        <f>C11+D11</f>
        <v/>
      </c>
      <c r="F11" s="41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$T$11/64</f>
        <v/>
      </c>
      <c r="L11" s="41" t="n">
        <v>0</v>
      </c>
      <c r="M11" s="41" t="n">
        <v>0</v>
      </c>
      <c r="N11" s="41" t="n">
        <v>0</v>
      </c>
      <c r="O11" s="41" t="n">
        <v>0</v>
      </c>
      <c r="P11" s="41" t="n"/>
      <c r="Q11" s="41" t="n"/>
      <c r="R11" s="41">
        <f>(J11+K11+L11+M11+N11+O11)*$B$2</f>
        <v/>
      </c>
      <c r="S11" s="41" t="inlineStr">
        <is>
          <t>TOTAL FIXED EXPENSE</t>
        </is>
      </c>
      <c r="T11" s="41">
        <f>'ANNUAL-EXPENSE-DETAILS'!AB9</f>
        <v/>
      </c>
    </row>
    <row r="12" ht="12.75" customHeight="1">
      <c r="A12" s="42" t="inlineStr">
        <is>
          <t>F7</t>
        </is>
      </c>
      <c r="B12" s="42">
        <f>VLOOKUP(A12,Members!$A$2:$B$65,2,FALSE)</f>
        <v/>
      </c>
      <c r="C12" s="43" t="n">
        <v>0</v>
      </c>
      <c r="D12" s="43">
        <f>SUM($C$3:$C$4)/64</f>
        <v/>
      </c>
      <c r="E12" s="43">
        <f>C12+D12</f>
        <v/>
      </c>
      <c r="F12" s="43">
        <f>IF($C$70=0, 0, E12/$C$70)</f>
        <v/>
      </c>
      <c r="G12" s="43">
        <f>F12*$T$5</f>
        <v/>
      </c>
      <c r="H12" s="43" t="n">
        <v>3</v>
      </c>
      <c r="I12" s="43">
        <f>$T$7*H12</f>
        <v/>
      </c>
      <c r="J12" s="43">
        <f>G12+$T$9+I12</f>
        <v/>
      </c>
      <c r="K12" s="43">
        <f>$T$11/64</f>
        <v/>
      </c>
      <c r="L12" s="43" t="n">
        <v>0</v>
      </c>
      <c r="M12" s="43" t="n">
        <v>0</v>
      </c>
      <c r="N12" s="43" t="n">
        <v>0</v>
      </c>
      <c r="O12" s="43" t="n">
        <v>0</v>
      </c>
      <c r="P12" s="43" t="n"/>
      <c r="Q12" s="43" t="n"/>
      <c r="R12" s="43">
        <f>(J12+K12+L12+M12+N12+O12)*$B$2</f>
        <v/>
      </c>
      <c r="S12" s="43" t="n"/>
      <c r="T12" s="43" t="n"/>
    </row>
    <row r="13" ht="12.75" customHeight="1">
      <c r="A13" s="40" t="inlineStr">
        <is>
          <t>F8</t>
        </is>
      </c>
      <c r="B13" s="40">
        <f>VLOOKUP(A13,Members!$A$2:$B$65,2,FALSE)</f>
        <v/>
      </c>
      <c r="C13" s="41" t="n">
        <v>0</v>
      </c>
      <c r="D13" s="41">
        <f>SUM($C$3:$C$4)/64</f>
        <v/>
      </c>
      <c r="E13" s="41">
        <f>C13+D13</f>
        <v/>
      </c>
      <c r="F13" s="41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$T$11/64</f>
        <v/>
      </c>
      <c r="L13" s="41" t="n">
        <v>0</v>
      </c>
      <c r="M13" s="41" t="n">
        <v>0</v>
      </c>
      <c r="N13" s="41" t="n">
        <v>0</v>
      </c>
      <c r="O13" s="41" t="n">
        <v>0</v>
      </c>
      <c r="P13" s="41" t="n"/>
      <c r="Q13" s="41" t="n"/>
      <c r="R13" s="41">
        <f>(J13+K13+L13+M13+N13+O13)*$B$2</f>
        <v/>
      </c>
      <c r="S13" s="41" t="inlineStr">
        <is>
          <t>BALANCE IN ACCOUNT ON 31-OCT-2023</t>
        </is>
      </c>
      <c r="T13" s="41" t="n"/>
    </row>
    <row r="14" ht="12.75" customHeight="1">
      <c r="A14" s="42" t="inlineStr">
        <is>
          <t>F9</t>
        </is>
      </c>
      <c r="B14" s="42">
        <f>VLOOKUP(A14,Members!$A$2:$B$65,2,FALSE)</f>
        <v/>
      </c>
      <c r="C14" s="43" t="n">
        <v>0</v>
      </c>
      <c r="D14" s="43">
        <f>SUM($C$3:$C$4)/64</f>
        <v/>
      </c>
      <c r="E14" s="43">
        <f>C14+D14</f>
        <v/>
      </c>
      <c r="F14" s="43">
        <f>IF($C$70=0, 0, E14/$C$70)</f>
        <v/>
      </c>
      <c r="G14" s="43">
        <f>F14*$T$5</f>
        <v/>
      </c>
      <c r="H14" s="43" t="n">
        <v>4</v>
      </c>
      <c r="I14" s="43">
        <f>$T$7*H14</f>
        <v/>
      </c>
      <c r="J14" s="43">
        <f>G14+$T$9+I14</f>
        <v/>
      </c>
      <c r="K14" s="43">
        <f>$T$11/64</f>
        <v/>
      </c>
      <c r="L14" s="43" t="n">
        <v>0</v>
      </c>
      <c r="M14" s="43" t="n">
        <v>0</v>
      </c>
      <c r="N14" s="43" t="n">
        <v>0</v>
      </c>
      <c r="O14" s="43" t="n">
        <v>0</v>
      </c>
      <c r="P14" s="43" t="n"/>
      <c r="Q14" s="43" t="n"/>
      <c r="R14" s="43">
        <f>(J14+K14+L14+M14+N14+O14)*$B$2</f>
        <v/>
      </c>
      <c r="S14" s="43" t="inlineStr">
        <is>
          <t>TOTAL NON MAINTENANCE CORPUS COLLECTION</t>
        </is>
      </c>
      <c r="T14" s="43" t="n"/>
    </row>
    <row r="15" ht="12.75" customHeight="1">
      <c r="A15" s="40" t="inlineStr">
        <is>
          <t>F10</t>
        </is>
      </c>
      <c r="B15" s="40">
        <f>VLOOKUP(A15,Members!$A$2:$B$65,2,FALSE)</f>
        <v/>
      </c>
      <c r="C15" s="41" t="n">
        <v>0</v>
      </c>
      <c r="D15" s="41">
        <f>SUM($C$3:$C$4)/64</f>
        <v/>
      </c>
      <c r="E15" s="41">
        <f>C15+D15</f>
        <v/>
      </c>
      <c r="F15" s="41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$T$11/64</f>
        <v/>
      </c>
      <c r="L15" s="41" t="n">
        <v>0</v>
      </c>
      <c r="M15" s="41" t="n">
        <v>0</v>
      </c>
      <c r="N15" s="41" t="n">
        <v>0</v>
      </c>
      <c r="O15" s="41" t="n">
        <v>0</v>
      </c>
      <c r="P15" s="41" t="n"/>
      <c r="Q15" s="41" t="n"/>
      <c r="R15" s="41">
        <f>(J15+K15+L15+M15+N15+O15)*$B$2</f>
        <v/>
      </c>
      <c r="S15" s="41" t="inlineStr">
        <is>
          <t>TOTAL FD DONE</t>
        </is>
      </c>
      <c r="T15" s="41" t="n"/>
    </row>
    <row r="16" ht="12.75" customHeight="1">
      <c r="A16" s="42" t="inlineStr">
        <is>
          <t>F11</t>
        </is>
      </c>
      <c r="B16" s="42">
        <f>VLOOKUP(A16,Members!$A$2:$B$65,2,FALSE)</f>
        <v/>
      </c>
      <c r="C16" s="43" t="n">
        <v>0</v>
      </c>
      <c r="D16" s="43">
        <f>SUM($C$3:$C$4)/64</f>
        <v/>
      </c>
      <c r="E16" s="43">
        <f>C16+D16</f>
        <v/>
      </c>
      <c r="F16" s="43">
        <f>IF($C$70=0, 0, E16/$C$70)</f>
        <v/>
      </c>
      <c r="G16" s="43">
        <f>F16*$T$5</f>
        <v/>
      </c>
      <c r="H16" s="43" t="n">
        <v>3</v>
      </c>
      <c r="I16" s="43">
        <f>$T$7*H16</f>
        <v/>
      </c>
      <c r="J16" s="43">
        <f>G16+$T$9+I16</f>
        <v/>
      </c>
      <c r="K16" s="43">
        <f>$T$11/64</f>
        <v/>
      </c>
      <c r="L16" s="43" t="n">
        <v>0</v>
      </c>
      <c r="M16" s="43" t="n">
        <v>0</v>
      </c>
      <c r="N16" s="43" t="n">
        <v>0</v>
      </c>
      <c r="O16" s="43" t="n">
        <v>0</v>
      </c>
      <c r="P16" s="43" t="n"/>
      <c r="Q16" s="43" t="n"/>
      <c r="R16" s="43">
        <f>(J16+K16+L16+M16+N16+O16)*$B$2</f>
        <v/>
      </c>
      <c r="S16" s="43" t="inlineStr">
        <is>
          <t>AMOUNT AVAILABLE FOR NON MAINTENANCE CORPUS IN CURRENT AC</t>
        </is>
      </c>
      <c r="T16" s="43">
        <f>T14-T15</f>
        <v/>
      </c>
    </row>
    <row r="17" ht="12.75" customHeight="1">
      <c r="A17" s="40" t="inlineStr">
        <is>
          <t>F12</t>
        </is>
      </c>
      <c r="B17" s="40">
        <f>VLOOKUP(A17,Members!$A$2:$B$65,2,FALSE)</f>
        <v/>
      </c>
      <c r="C17" s="41" t="n">
        <v>0</v>
      </c>
      <c r="D17" s="41">
        <f>SUM($C$3:$C$4)/64</f>
        <v/>
      </c>
      <c r="E17" s="41">
        <f>C17+D17</f>
        <v/>
      </c>
      <c r="F17" s="41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$T$11/64</f>
        <v/>
      </c>
      <c r="L17" s="41" t="n">
        <v>0</v>
      </c>
      <c r="M17" s="41" t="n">
        <v>0</v>
      </c>
      <c r="N17" s="41" t="n">
        <v>0</v>
      </c>
      <c r="O17" s="41" t="n">
        <v>0</v>
      </c>
      <c r="P17" s="41" t="n"/>
      <c r="Q17" s="41" t="n"/>
      <c r="R17" s="41">
        <f>(J17+K17+L17+M17+N17+O17)*$B$2</f>
        <v/>
      </c>
      <c r="S17" s="41" t="inlineStr">
        <is>
          <t>AMOUNT AVAILABLE FOR MAINTENANCE</t>
        </is>
      </c>
      <c r="T17" s="41">
        <f>T13-T16</f>
        <v/>
      </c>
    </row>
    <row r="18" ht="12.75" customHeight="1">
      <c r="A18" s="42" t="inlineStr">
        <is>
          <t>F13</t>
        </is>
      </c>
      <c r="B18" s="42">
        <f>VLOOKUP(A18,Members!$A$2:$B$65,2,FALSE)</f>
        <v/>
      </c>
      <c r="C18" s="43" t="n">
        <v>0</v>
      </c>
      <c r="D18" s="43">
        <f>SUM($C$3:$C$4)/64</f>
        <v/>
      </c>
      <c r="E18" s="43">
        <f>C18+D18</f>
        <v/>
      </c>
      <c r="F18" s="43">
        <f>IF($C$70=0, 0, E18/$C$70)</f>
        <v/>
      </c>
      <c r="G18" s="43">
        <f>F18*$T$5</f>
        <v/>
      </c>
      <c r="H18" s="43" t="n">
        <v>4</v>
      </c>
      <c r="I18" s="43">
        <f>$T$7*H18</f>
        <v/>
      </c>
      <c r="J18" s="43">
        <f>G18+$T$9+I18</f>
        <v/>
      </c>
      <c r="K18" s="43">
        <f>$T$11/64</f>
        <v/>
      </c>
      <c r="L18" s="43" t="n">
        <v>0</v>
      </c>
      <c r="M18" s="43" t="n">
        <v>0</v>
      </c>
      <c r="N18" s="43" t="n">
        <v>0</v>
      </c>
      <c r="O18" s="43" t="n">
        <v>0</v>
      </c>
      <c r="P18" s="43" t="n"/>
      <c r="Q18" s="43" t="n"/>
      <c r="R18" s="43">
        <f>(J18+K18+L18+M18+N18+O18)*$B$2</f>
        <v/>
      </c>
      <c r="S18" s="43" t="inlineStr">
        <is>
          <t>TOTAL EXPENSE FOR THE MONTH</t>
        </is>
      </c>
      <c r="T18" s="43">
        <f>'ANNUAL-EXPENSE-DETAILS'!AD9</f>
        <v/>
      </c>
    </row>
    <row r="19" ht="12.75" customHeight="1">
      <c r="A19" s="40" t="inlineStr">
        <is>
          <t>F14</t>
        </is>
      </c>
      <c r="B19" s="40">
        <f>VLOOKUP(A19,Members!$A$2:$B$65,2,FALSE)</f>
        <v/>
      </c>
      <c r="C19" s="41" t="n">
        <v>0</v>
      </c>
      <c r="D19" s="41">
        <f>SUM($C$3:$C$4)/64</f>
        <v/>
      </c>
      <c r="E19" s="41">
        <f>C19+D19</f>
        <v/>
      </c>
      <c r="F19" s="41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$T$11/64</f>
        <v/>
      </c>
      <c r="L19" s="41" t="n">
        <v>0</v>
      </c>
      <c r="M19" s="41" t="n">
        <v>0</v>
      </c>
      <c r="N19" s="41" t="n">
        <v>0</v>
      </c>
      <c r="O19" s="41" t="n">
        <v>0</v>
      </c>
      <c r="P19" s="41" t="n"/>
      <c r="Q19" s="41" t="n"/>
      <c r="R19" s="41">
        <f>(J19+K19+L19+M19+N19+O19)*$B$2</f>
        <v/>
      </c>
      <c r="S19" s="41" t="n"/>
      <c r="T19" s="41" t="n"/>
    </row>
    <row r="20" ht="12.75" customHeight="1">
      <c r="A20" s="42" t="inlineStr">
        <is>
          <t>F15</t>
        </is>
      </c>
      <c r="B20" s="42">
        <f>VLOOKUP(A20,Members!$A$2:$B$65,2,FALSE)</f>
        <v/>
      </c>
      <c r="C20" s="43" t="n">
        <v>0</v>
      </c>
      <c r="D20" s="43">
        <f>SUM($C$3:$C$4)/64</f>
        <v/>
      </c>
      <c r="E20" s="43">
        <f>C20+D20</f>
        <v/>
      </c>
      <c r="F20" s="43">
        <f>IF($C$70=0, 0, E20/$C$70)</f>
        <v/>
      </c>
      <c r="G20" s="43">
        <f>F20*$T$5</f>
        <v/>
      </c>
      <c r="H20" s="43" t="n">
        <v>4</v>
      </c>
      <c r="I20" s="43">
        <f>$T$7*H20</f>
        <v/>
      </c>
      <c r="J20" s="43">
        <f>G20+$T$9+I20</f>
        <v/>
      </c>
      <c r="K20" s="43">
        <f>$T$11/64</f>
        <v/>
      </c>
      <c r="L20" s="43" t="n">
        <v>0</v>
      </c>
      <c r="M20" s="43" t="n">
        <v>0</v>
      </c>
      <c r="N20" s="43" t="n">
        <v>0</v>
      </c>
      <c r="O20" s="43" t="n">
        <v>0</v>
      </c>
      <c r="P20" s="43" t="n"/>
      <c r="Q20" s="43" t="n"/>
      <c r="R20" s="43">
        <f>(J20+K20+L20+M20+N20+O20)*$B$2</f>
        <v/>
      </c>
      <c r="S20" s="43" t="n"/>
      <c r="T20" s="43" t="n"/>
    </row>
    <row r="21" ht="12.75" customHeight="1">
      <c r="A21" s="40" t="inlineStr">
        <is>
          <t>F16</t>
        </is>
      </c>
      <c r="B21" s="40">
        <f>VLOOKUP(A21,Members!$A$2:$B$65,2,FALSE)</f>
        <v/>
      </c>
      <c r="C21" s="41" t="n">
        <v>0</v>
      </c>
      <c r="D21" s="41">
        <f>SUM($C$3:$C$4)/64</f>
        <v/>
      </c>
      <c r="E21" s="41">
        <f>C21+D21</f>
        <v/>
      </c>
      <c r="F21" s="41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$T$11/64</f>
        <v/>
      </c>
      <c r="L21" s="41" t="n">
        <v>0</v>
      </c>
      <c r="M21" s="41" t="n">
        <v>0</v>
      </c>
      <c r="N21" s="41" t="n">
        <v>0</v>
      </c>
      <c r="O21" s="41" t="n">
        <v>0</v>
      </c>
      <c r="P21" s="41" t="n"/>
      <c r="Q21" s="41" t="n"/>
      <c r="R21" s="41">
        <f>(J21+K21+L21+M21+N21+O21)*$B$2</f>
        <v/>
      </c>
      <c r="S21" s="41" t="n"/>
      <c r="T21" s="41" t="n"/>
    </row>
    <row r="22" ht="12.75" customHeight="1">
      <c r="A22" s="42" t="inlineStr">
        <is>
          <t>G1</t>
        </is>
      </c>
      <c r="B22" s="42">
        <f>VLOOKUP(A22,Members!$A$2:$B$65,2,FALSE)</f>
        <v/>
      </c>
      <c r="C22" s="43" t="n">
        <v>0</v>
      </c>
      <c r="D22" s="43">
        <f>SUM($C$3:$C$4)/64</f>
        <v/>
      </c>
      <c r="E22" s="43">
        <f>C22+D22</f>
        <v/>
      </c>
      <c r="F22" s="43">
        <f>IF($C$70=0, 0, E22/$C$70)</f>
        <v/>
      </c>
      <c r="G22" s="43">
        <f>F22*$T$5</f>
        <v/>
      </c>
      <c r="H22" s="43" t="n">
        <v>3</v>
      </c>
      <c r="I22" s="43">
        <f>$T$7*H22</f>
        <v/>
      </c>
      <c r="J22" s="43">
        <f>G22+$T$9+I22</f>
        <v/>
      </c>
      <c r="K22" s="43">
        <f>$T$11/64</f>
        <v/>
      </c>
      <c r="L22" s="43" t="n">
        <v>0</v>
      </c>
      <c r="M22" s="43" t="n">
        <v>0</v>
      </c>
      <c r="N22" s="43" t="n">
        <v>0</v>
      </c>
      <c r="O22" s="43" t="n">
        <v>0</v>
      </c>
      <c r="P22" s="43" t="n"/>
      <c r="Q22" s="43" t="n"/>
      <c r="R22" s="43">
        <f>(J22+K22+L22+M22+N22+O22)*$B$2</f>
        <v/>
      </c>
      <c r="S22" s="43" t="n"/>
      <c r="T22" s="43" t="n"/>
    </row>
    <row r="23" ht="12.75" customHeight="1">
      <c r="A23" s="40" t="inlineStr">
        <is>
          <t>G2</t>
        </is>
      </c>
      <c r="B23" s="40">
        <f>VLOOKUP(A23,Members!$A$2:$B$65,2,FALSE)</f>
        <v/>
      </c>
      <c r="C23" s="41" t="n">
        <v>0</v>
      </c>
      <c r="D23" s="41">
        <f>SUM($C$3:$C$4)/64</f>
        <v/>
      </c>
      <c r="E23" s="41">
        <f>C23+D23</f>
        <v/>
      </c>
      <c r="F23" s="41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$T$11/64</f>
        <v/>
      </c>
      <c r="L23" s="41" t="n">
        <v>0</v>
      </c>
      <c r="M23" s="41" t="n">
        <v>0</v>
      </c>
      <c r="N23" s="41" t="n">
        <v>0</v>
      </c>
      <c r="O23" s="41" t="n">
        <v>0</v>
      </c>
      <c r="P23" s="41" t="n"/>
      <c r="Q23" s="41" t="n"/>
      <c r="R23" s="41">
        <f>(J23+K23+L23+M23+N23+O23)*$B$2</f>
        <v/>
      </c>
      <c r="S23" s="41" t="n"/>
      <c r="T23" s="41" t="n"/>
    </row>
    <row r="24" ht="12.75" customHeight="1">
      <c r="A24" s="42" t="inlineStr">
        <is>
          <t>G3</t>
        </is>
      </c>
      <c r="B24" s="42">
        <f>VLOOKUP(A24,Members!$A$2:$B$65,2,FALSE)</f>
        <v/>
      </c>
      <c r="C24" s="43" t="n">
        <v>0</v>
      </c>
      <c r="D24" s="43">
        <f>SUM($C$3:$C$4)/64</f>
        <v/>
      </c>
      <c r="E24" s="43">
        <f>C24+D24</f>
        <v/>
      </c>
      <c r="F24" s="43">
        <f>IF($C$70=0, 0, E24/$C$70)</f>
        <v/>
      </c>
      <c r="G24" s="43">
        <f>F24*$T$5</f>
        <v/>
      </c>
      <c r="H24" s="43" t="n">
        <v>4</v>
      </c>
      <c r="I24" s="43">
        <f>$T$7*H24</f>
        <v/>
      </c>
      <c r="J24" s="43">
        <f>G24+$T$9+I24</f>
        <v/>
      </c>
      <c r="K24" s="43">
        <f>$T$11/64</f>
        <v/>
      </c>
      <c r="L24" s="43" t="n">
        <v>0</v>
      </c>
      <c r="M24" s="43" t="n">
        <v>0</v>
      </c>
      <c r="N24" s="43" t="n">
        <v>0</v>
      </c>
      <c r="O24" s="43" t="n">
        <v>0</v>
      </c>
      <c r="P24" s="43" t="n"/>
      <c r="Q24" s="43" t="n"/>
      <c r="R24" s="43">
        <f>(J24+K24+L24+M24+N24+O24)*$B$2</f>
        <v/>
      </c>
      <c r="S24" s="43" t="n"/>
      <c r="T24" s="43" t="n"/>
    </row>
    <row r="25" ht="12.75" customHeight="1">
      <c r="A25" s="40" t="inlineStr">
        <is>
          <t>G4</t>
        </is>
      </c>
      <c r="B25" s="40">
        <f>VLOOKUP(A25,Members!$A$2:$B$65,2,FALSE)</f>
        <v/>
      </c>
      <c r="C25" s="41" t="n">
        <v>0</v>
      </c>
      <c r="D25" s="41">
        <f>SUM($C$3:$C$4)/64</f>
        <v/>
      </c>
      <c r="E25" s="41">
        <f>C25+D25</f>
        <v/>
      </c>
      <c r="F25" s="41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$T$11/64</f>
        <v/>
      </c>
      <c r="L25" s="41" t="n">
        <v>0</v>
      </c>
      <c r="M25" s="41" t="n">
        <v>0</v>
      </c>
      <c r="N25" s="41" t="n">
        <v>0</v>
      </c>
      <c r="O25" s="41" t="n">
        <v>0</v>
      </c>
      <c r="P25" s="41" t="n"/>
      <c r="Q25" s="41" t="n"/>
      <c r="R25" s="41">
        <f>(J25+K25+L25+M25+N25+O25)*$B$2</f>
        <v/>
      </c>
      <c r="S25" s="41" t="n"/>
      <c r="T25" s="41" t="n"/>
    </row>
    <row r="26" ht="12.75" customHeight="1">
      <c r="A26" s="42" t="inlineStr">
        <is>
          <t>G5</t>
        </is>
      </c>
      <c r="B26" s="42">
        <f>VLOOKUP(A26,Members!$A$2:$B$65,2,FALSE)</f>
        <v/>
      </c>
      <c r="C26" s="43" t="n">
        <v>0</v>
      </c>
      <c r="D26" s="43">
        <f>SUM($C$3:$C$4)/64</f>
        <v/>
      </c>
      <c r="E26" s="43">
        <f>C26+D26</f>
        <v/>
      </c>
      <c r="F26" s="43">
        <f>IF($C$70=0, 0, E26/$C$70)</f>
        <v/>
      </c>
      <c r="G26" s="43">
        <f>F26*$T$5</f>
        <v/>
      </c>
      <c r="H26" s="43" t="n">
        <v>3</v>
      </c>
      <c r="I26" s="43">
        <f>$T$7*H26</f>
        <v/>
      </c>
      <c r="J26" s="43">
        <f>G26+$T$9+I26</f>
        <v/>
      </c>
      <c r="K26" s="43">
        <f>$T$11/64</f>
        <v/>
      </c>
      <c r="L26" s="43" t="n">
        <v>0</v>
      </c>
      <c r="M26" s="43" t="n">
        <v>0</v>
      </c>
      <c r="N26" s="43" t="n">
        <v>0</v>
      </c>
      <c r="O26" s="43" t="n">
        <v>0</v>
      </c>
      <c r="P26" s="43" t="n"/>
      <c r="Q26" s="43" t="n"/>
      <c r="R26" s="43">
        <f>(J26+K26+L26+M26+N26+O26)*$B$2</f>
        <v/>
      </c>
      <c r="S26" s="43" t="n"/>
      <c r="T26" s="43" t="n"/>
    </row>
    <row r="27" ht="12.75" customHeight="1">
      <c r="A27" s="40" t="inlineStr">
        <is>
          <t>G6</t>
        </is>
      </c>
      <c r="B27" s="40">
        <f>VLOOKUP(A27,Members!$A$2:$B$65,2,FALSE)</f>
        <v/>
      </c>
      <c r="C27" s="41" t="n">
        <v>0</v>
      </c>
      <c r="D27" s="41">
        <f>SUM($C$3:$C$4)/64</f>
        <v/>
      </c>
      <c r="E27" s="41">
        <f>C27+D27</f>
        <v/>
      </c>
      <c r="F27" s="41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$T$11/64</f>
        <v/>
      </c>
      <c r="L27" s="41" t="n">
        <v>0</v>
      </c>
      <c r="M27" s="41" t="n">
        <v>0</v>
      </c>
      <c r="N27" s="41" t="n">
        <v>0</v>
      </c>
      <c r="O27" s="41" t="n">
        <v>0</v>
      </c>
      <c r="P27" s="41" t="n"/>
      <c r="Q27" s="41" t="n"/>
      <c r="R27" s="41">
        <f>(J27+K27+L27+M27+N27+O27)*$B$2</f>
        <v/>
      </c>
      <c r="S27" s="41" t="n"/>
      <c r="T27" s="41" t="n"/>
    </row>
    <row r="28" ht="12.75" customHeight="1">
      <c r="A28" s="42" t="inlineStr">
        <is>
          <t>G7</t>
        </is>
      </c>
      <c r="B28" s="42">
        <f>VLOOKUP(A28,Members!$A$2:$B$65,2,FALSE)</f>
        <v/>
      </c>
      <c r="C28" s="43" t="n">
        <v>0</v>
      </c>
      <c r="D28" s="43">
        <f>SUM($C$3:$C$4)/64</f>
        <v/>
      </c>
      <c r="E28" s="43">
        <f>C28+D28</f>
        <v/>
      </c>
      <c r="F28" s="43">
        <f>IF($C$70=0, 0, E28/$C$70)</f>
        <v/>
      </c>
      <c r="G28" s="43">
        <f>F28*$T$5</f>
        <v/>
      </c>
      <c r="H28" s="43" t="n">
        <v>3</v>
      </c>
      <c r="I28" s="43">
        <f>$T$7*H28</f>
        <v/>
      </c>
      <c r="J28" s="43">
        <f>G28+$T$9+I28</f>
        <v/>
      </c>
      <c r="K28" s="43">
        <f>$T$11/64</f>
        <v/>
      </c>
      <c r="L28" s="43" t="n">
        <v>0</v>
      </c>
      <c r="M28" s="43" t="n">
        <v>0</v>
      </c>
      <c r="N28" s="43" t="n">
        <v>0</v>
      </c>
      <c r="O28" s="43" t="n">
        <v>0</v>
      </c>
      <c r="P28" s="43" t="n"/>
      <c r="Q28" s="43" t="n"/>
      <c r="R28" s="43">
        <f>(J28+K28+L28+M28+N28+O28)*$B$2</f>
        <v/>
      </c>
      <c r="S28" s="43" t="n"/>
      <c r="T28" s="43" t="n"/>
    </row>
    <row r="29" ht="12.75" customHeight="1">
      <c r="A29" s="40" t="inlineStr">
        <is>
          <t>G8</t>
        </is>
      </c>
      <c r="B29" s="40">
        <f>VLOOKUP(A29,Members!$A$2:$B$65,2,FALSE)</f>
        <v/>
      </c>
      <c r="C29" s="41" t="n">
        <v>0</v>
      </c>
      <c r="D29" s="41">
        <f>SUM($C$3:$C$4)/64</f>
        <v/>
      </c>
      <c r="E29" s="41">
        <f>C29+D29</f>
        <v/>
      </c>
      <c r="F29" s="41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$T$11/64</f>
        <v/>
      </c>
      <c r="L29" s="41" t="n">
        <v>0</v>
      </c>
      <c r="M29" s="41" t="n">
        <v>0</v>
      </c>
      <c r="N29" s="41" t="n">
        <v>0</v>
      </c>
      <c r="O29" s="41" t="n">
        <v>0</v>
      </c>
      <c r="P29" s="41" t="n"/>
      <c r="Q29" s="41" t="n"/>
      <c r="R29" s="41">
        <f>(J29+K29+L29+M29+N29+O29)*$B$2</f>
        <v/>
      </c>
      <c r="S29" s="41" t="n"/>
      <c r="T29" s="41" t="n"/>
    </row>
    <row r="30" ht="12.75" customHeight="1">
      <c r="A30" s="42" t="inlineStr">
        <is>
          <t>G9</t>
        </is>
      </c>
      <c r="B30" s="42">
        <f>VLOOKUP(A30,Members!$A$2:$B$65,2,FALSE)</f>
        <v/>
      </c>
      <c r="C30" s="43" t="n">
        <v>0</v>
      </c>
      <c r="D30" s="43">
        <f>SUM($C$3:$C$4)/64</f>
        <v/>
      </c>
      <c r="E30" s="43">
        <f>C30+D30</f>
        <v/>
      </c>
      <c r="F30" s="43">
        <f>IF($C$70=0, 0, E30/$C$70)</f>
        <v/>
      </c>
      <c r="G30" s="43">
        <f>F30*$T$5</f>
        <v/>
      </c>
      <c r="H30" s="43" t="n">
        <v>5</v>
      </c>
      <c r="I30" s="43">
        <f>$T$7*H30</f>
        <v/>
      </c>
      <c r="J30" s="43">
        <f>G30+$T$9+I30</f>
        <v/>
      </c>
      <c r="K30" s="43">
        <f>$T$11/64</f>
        <v/>
      </c>
      <c r="L30" s="43" t="n">
        <v>0</v>
      </c>
      <c r="M30" s="43" t="n">
        <v>0</v>
      </c>
      <c r="N30" s="43" t="n">
        <v>0</v>
      </c>
      <c r="O30" s="43" t="n">
        <v>0</v>
      </c>
      <c r="P30" s="43" t="n"/>
      <c r="Q30" s="43" t="n"/>
      <c r="R30" s="43">
        <f>(J30+K30+L30+M30+N30+O30)*$B$2</f>
        <v/>
      </c>
      <c r="S30" s="43" t="n"/>
      <c r="T30" s="43" t="n"/>
    </row>
    <row r="31" ht="12.75" customHeight="1">
      <c r="A31" s="40" t="inlineStr">
        <is>
          <t>G10</t>
        </is>
      </c>
      <c r="B31" s="40">
        <f>VLOOKUP(A31,Members!$A$2:$B$65,2,FALSE)</f>
        <v/>
      </c>
      <c r="C31" s="41" t="n">
        <v>0</v>
      </c>
      <c r="D31" s="41">
        <f>SUM($C$3:$C$4)/64</f>
        <v/>
      </c>
      <c r="E31" s="41">
        <f>C31+D31</f>
        <v/>
      </c>
      <c r="F31" s="41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$T$11/64</f>
        <v/>
      </c>
      <c r="L31" s="41" t="n">
        <v>0</v>
      </c>
      <c r="M31" s="41" t="n">
        <v>0</v>
      </c>
      <c r="N31" s="41" t="n">
        <v>0</v>
      </c>
      <c r="O31" s="41" t="n">
        <v>0</v>
      </c>
      <c r="P31" s="41" t="n"/>
      <c r="Q31" s="41" t="n"/>
      <c r="R31" s="41">
        <f>(J31+K31+L31+M31+N31+O31)*$B$2</f>
        <v/>
      </c>
      <c r="S31" s="41" t="n"/>
      <c r="T31" s="41" t="n"/>
    </row>
    <row r="32" ht="12.75" customHeight="1">
      <c r="A32" s="42" t="inlineStr">
        <is>
          <t>G11</t>
        </is>
      </c>
      <c r="B32" s="42">
        <f>VLOOKUP(A32,Members!$A$2:$B$65,2,FALSE)</f>
        <v/>
      </c>
      <c r="C32" s="43" t="n">
        <v>0</v>
      </c>
      <c r="D32" s="43">
        <f>SUM($C$3:$C$4)/64</f>
        <v/>
      </c>
      <c r="E32" s="43">
        <f>C32+D32</f>
        <v/>
      </c>
      <c r="F32" s="43">
        <f>IF($C$70=0, 0, E32/$C$70)</f>
        <v/>
      </c>
      <c r="G32" s="43">
        <f>F32*$T$5</f>
        <v/>
      </c>
      <c r="H32" s="43" t="n">
        <v>3</v>
      </c>
      <c r="I32" s="43">
        <f>$T$7*H32</f>
        <v/>
      </c>
      <c r="J32" s="43">
        <f>G32+$T$9+I32</f>
        <v/>
      </c>
      <c r="K32" s="43">
        <f>$T$11/64</f>
        <v/>
      </c>
      <c r="L32" s="43" t="n">
        <v>0</v>
      </c>
      <c r="M32" s="43" t="n">
        <v>0</v>
      </c>
      <c r="N32" s="43" t="n">
        <v>0</v>
      </c>
      <c r="O32" s="43" t="n">
        <v>0</v>
      </c>
      <c r="P32" s="43" t="n"/>
      <c r="Q32" s="43" t="n"/>
      <c r="R32" s="43">
        <f>(J32+K32+L32+M32+N32+O32)*$B$2</f>
        <v/>
      </c>
      <c r="S32" s="43" t="n"/>
      <c r="T32" s="43" t="n"/>
    </row>
    <row r="33" ht="12.75" customHeight="1">
      <c r="A33" s="40" t="inlineStr">
        <is>
          <t>G12</t>
        </is>
      </c>
      <c r="B33" s="40">
        <f>VLOOKUP(A33,Members!$A$2:$B$65,2,FALSE)</f>
        <v/>
      </c>
      <c r="C33" s="41" t="n">
        <v>0</v>
      </c>
      <c r="D33" s="41">
        <f>SUM($C$3:$C$4)/64</f>
        <v/>
      </c>
      <c r="E33" s="41">
        <f>C33+D33</f>
        <v/>
      </c>
      <c r="F33" s="41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$T$11/64</f>
        <v/>
      </c>
      <c r="L33" s="41" t="n">
        <v>0</v>
      </c>
      <c r="M33" s="41" t="n">
        <v>0</v>
      </c>
      <c r="N33" s="41" t="n">
        <v>0</v>
      </c>
      <c r="O33" s="41" t="n">
        <v>0</v>
      </c>
      <c r="P33" s="41" t="n"/>
      <c r="Q33" s="41" t="n"/>
      <c r="R33" s="41">
        <f>(J33+K33+L33+M33+N33+O33)*$B$2</f>
        <v/>
      </c>
      <c r="S33" s="41" t="n"/>
      <c r="T33" s="41" t="n"/>
    </row>
    <row r="34" ht="12.75" customHeight="1">
      <c r="A34" s="42" t="inlineStr">
        <is>
          <t>G13</t>
        </is>
      </c>
      <c r="B34" s="42">
        <f>VLOOKUP(A34,Members!$A$2:$B$65,2,FALSE)</f>
        <v/>
      </c>
      <c r="C34" s="43" t="n">
        <v>0</v>
      </c>
      <c r="D34" s="43">
        <f>SUM($C$3:$C$4)/64</f>
        <v/>
      </c>
      <c r="E34" s="43">
        <f>C34+D34</f>
        <v/>
      </c>
      <c r="F34" s="43">
        <f>IF($C$70=0, 0, E34/$C$70)</f>
        <v/>
      </c>
      <c r="G34" s="43">
        <f>F34*$T$5</f>
        <v/>
      </c>
      <c r="H34" s="43" t="n">
        <v>4</v>
      </c>
      <c r="I34" s="43">
        <f>$T$7*H34</f>
        <v/>
      </c>
      <c r="J34" s="43">
        <f>G34+$T$9+I34</f>
        <v/>
      </c>
      <c r="K34" s="43">
        <f>$T$11/64</f>
        <v/>
      </c>
      <c r="L34" s="43" t="n">
        <v>0</v>
      </c>
      <c r="M34" s="43" t="n">
        <v>0</v>
      </c>
      <c r="N34" s="43" t="n">
        <v>0</v>
      </c>
      <c r="O34" s="43" t="n">
        <v>0</v>
      </c>
      <c r="P34" s="43" t="n"/>
      <c r="Q34" s="43" t="n"/>
      <c r="R34" s="43">
        <f>(J34+K34+L34+M34+N34+O34)*$B$2</f>
        <v/>
      </c>
      <c r="S34" s="43" t="n"/>
      <c r="T34" s="43" t="n"/>
    </row>
    <row r="35" ht="12.75" customHeight="1">
      <c r="A35" s="40" t="inlineStr">
        <is>
          <t>G14</t>
        </is>
      </c>
      <c r="B35" s="40">
        <f>VLOOKUP(A35,Members!$A$2:$B$65,2,FALSE)</f>
        <v/>
      </c>
      <c r="C35" s="41" t="n">
        <v>0</v>
      </c>
      <c r="D35" s="41">
        <f>SUM($C$3:$C$4)/64</f>
        <v/>
      </c>
      <c r="E35" s="41">
        <f>C35+D35</f>
        <v/>
      </c>
      <c r="F35" s="41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$T$11/64</f>
        <v/>
      </c>
      <c r="L35" s="41" t="n">
        <v>0</v>
      </c>
      <c r="M35" s="41" t="n">
        <v>0</v>
      </c>
      <c r="N35" s="41" t="n">
        <v>0</v>
      </c>
      <c r="O35" s="41" t="n">
        <v>0</v>
      </c>
      <c r="P35" s="41" t="n"/>
      <c r="Q35" s="41" t="n"/>
      <c r="R35" s="41">
        <f>(J35+K35+L35+M35+N35+O35)*$B$2</f>
        <v/>
      </c>
      <c r="S35" s="41" t="n"/>
      <c r="T35" s="41" t="n"/>
    </row>
    <row r="36" ht="12.75" customHeight="1">
      <c r="A36" s="42" t="inlineStr">
        <is>
          <t>G15</t>
        </is>
      </c>
      <c r="B36" s="42">
        <f>VLOOKUP(A36,Members!$A$2:$B$65,2,FALSE)</f>
        <v/>
      </c>
      <c r="C36" s="43" t="n">
        <v>0</v>
      </c>
      <c r="D36" s="43">
        <f>SUM($C$3:$C$4)/64</f>
        <v/>
      </c>
      <c r="E36" s="43">
        <f>C36+D36</f>
        <v/>
      </c>
      <c r="F36" s="43">
        <f>IF($C$70=0, 0, E36/$C$70)</f>
        <v/>
      </c>
      <c r="G36" s="43">
        <f>F36*$T$5</f>
        <v/>
      </c>
      <c r="H36" s="43" t="n">
        <v>4</v>
      </c>
      <c r="I36" s="43">
        <f>$T$7*H36</f>
        <v/>
      </c>
      <c r="J36" s="43">
        <f>G36+$T$9+I36</f>
        <v/>
      </c>
      <c r="K36" s="43">
        <f>$T$11/64</f>
        <v/>
      </c>
      <c r="L36" s="43" t="n">
        <v>0</v>
      </c>
      <c r="M36" s="43" t="n">
        <v>0</v>
      </c>
      <c r="N36" s="43" t="n">
        <v>0</v>
      </c>
      <c r="O36" s="43" t="n">
        <v>0</v>
      </c>
      <c r="P36" s="43" t="n"/>
      <c r="Q36" s="43" t="n"/>
      <c r="R36" s="43">
        <f>(J36+K36+L36+M36+N36+O36)*$B$2</f>
        <v/>
      </c>
      <c r="S36" s="43" t="n"/>
      <c r="T36" s="43" t="n"/>
    </row>
    <row r="37" ht="12.75" customHeight="1">
      <c r="A37" s="40" t="inlineStr">
        <is>
          <t>G16</t>
        </is>
      </c>
      <c r="B37" s="40">
        <f>VLOOKUP(A37,Members!$A$2:$B$65,2,FALSE)</f>
        <v/>
      </c>
      <c r="C37" s="41" t="n">
        <v>0</v>
      </c>
      <c r="D37" s="41">
        <f>SUM($C$3:$C$4)/64</f>
        <v/>
      </c>
      <c r="E37" s="41">
        <f>C37+D37</f>
        <v/>
      </c>
      <c r="F37" s="41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$T$11/64</f>
        <v/>
      </c>
      <c r="L37" s="41" t="n">
        <v>0</v>
      </c>
      <c r="M37" s="41" t="n">
        <v>0</v>
      </c>
      <c r="N37" s="41" t="n">
        <v>0</v>
      </c>
      <c r="O37" s="41" t="n">
        <v>0</v>
      </c>
      <c r="P37" s="41" t="n"/>
      <c r="Q37" s="41" t="n"/>
      <c r="R37" s="41">
        <f>(J37+K37+L37+M37+N37+O37)*$B$2</f>
        <v/>
      </c>
      <c r="S37" s="41" t="n"/>
      <c r="T37" s="41" t="n"/>
    </row>
    <row r="38" ht="12.75" customHeight="1">
      <c r="A38" s="42" t="inlineStr">
        <is>
          <t>S1</t>
        </is>
      </c>
      <c r="B38" s="42">
        <f>VLOOKUP(A38,Members!$A$2:$B$65,2,FALSE)</f>
        <v/>
      </c>
      <c r="C38" s="43" t="n">
        <v>0</v>
      </c>
      <c r="D38" s="43">
        <f>SUM($C$3:$C$4)/64</f>
        <v/>
      </c>
      <c r="E38" s="43">
        <f>C38+D38</f>
        <v/>
      </c>
      <c r="F38" s="43">
        <f>IF($C$70=0, 0, E38/$C$70)</f>
        <v/>
      </c>
      <c r="G38" s="43">
        <f>F38*$T$5</f>
        <v/>
      </c>
      <c r="H38" s="43" t="n">
        <v>3</v>
      </c>
      <c r="I38" s="43">
        <f>$T$7*H38</f>
        <v/>
      </c>
      <c r="J38" s="43">
        <f>G38+$T$9+I38</f>
        <v/>
      </c>
      <c r="K38" s="43">
        <f>$T$11/64</f>
        <v/>
      </c>
      <c r="L38" s="43" t="n">
        <v>0</v>
      </c>
      <c r="M38" s="43" t="n">
        <v>0</v>
      </c>
      <c r="N38" s="43" t="n">
        <v>0</v>
      </c>
      <c r="O38" s="43" t="n">
        <v>0</v>
      </c>
      <c r="P38" s="43" t="n"/>
      <c r="Q38" s="43" t="n"/>
      <c r="R38" s="43">
        <f>(J38+K38+L38+M38+N38+O38)*$B$2</f>
        <v/>
      </c>
      <c r="S38" s="43" t="n"/>
      <c r="T38" s="43" t="n"/>
    </row>
    <row r="39" ht="12.75" customHeight="1">
      <c r="A39" s="40" t="inlineStr">
        <is>
          <t>S2</t>
        </is>
      </c>
      <c r="B39" s="40">
        <f>VLOOKUP(A39,Members!$A$2:$B$65,2,FALSE)</f>
        <v/>
      </c>
      <c r="C39" s="41" t="n">
        <v>0</v>
      </c>
      <c r="D39" s="41">
        <f>SUM($C$3:$C$4)/64</f>
        <v/>
      </c>
      <c r="E39" s="41">
        <f>C39+D39</f>
        <v/>
      </c>
      <c r="F39" s="41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$T$11/64</f>
        <v/>
      </c>
      <c r="L39" s="41" t="n">
        <v>0</v>
      </c>
      <c r="M39" s="41" t="n">
        <v>0</v>
      </c>
      <c r="N39" s="41" t="n">
        <v>0</v>
      </c>
      <c r="O39" s="41" t="n">
        <v>0</v>
      </c>
      <c r="P39" s="41" t="n"/>
      <c r="Q39" s="41" t="n"/>
      <c r="R39" s="41">
        <f>(J39+K39+L39+M39+N39+O39)*$B$2</f>
        <v/>
      </c>
      <c r="S39" s="41" t="n"/>
      <c r="T39" s="41" t="n"/>
    </row>
    <row r="40" ht="12.75" customHeight="1">
      <c r="A40" s="42" t="inlineStr">
        <is>
          <t>S3</t>
        </is>
      </c>
      <c r="B40" s="42">
        <f>VLOOKUP(A40,Members!$A$2:$B$65,2,FALSE)</f>
        <v/>
      </c>
      <c r="C40" s="43" t="n">
        <v>0</v>
      </c>
      <c r="D40" s="43">
        <f>SUM($C$3:$C$4)/64</f>
        <v/>
      </c>
      <c r="E40" s="43">
        <f>C40+D40</f>
        <v/>
      </c>
      <c r="F40" s="43">
        <f>IF($C$70=0, 0, E40/$C$70)</f>
        <v/>
      </c>
      <c r="G40" s="43">
        <f>F40*$T$5</f>
        <v/>
      </c>
      <c r="H40" s="43" t="n">
        <v>4</v>
      </c>
      <c r="I40" s="43">
        <f>$T$7*H40</f>
        <v/>
      </c>
      <c r="J40" s="43">
        <f>G40+$T$9+I40</f>
        <v/>
      </c>
      <c r="K40" s="43">
        <f>$T$11/64</f>
        <v/>
      </c>
      <c r="L40" s="43" t="n">
        <v>0</v>
      </c>
      <c r="M40" s="43" t="n">
        <v>0</v>
      </c>
      <c r="N40" s="43" t="n">
        <v>0</v>
      </c>
      <c r="O40" s="43" t="n">
        <v>0</v>
      </c>
      <c r="P40" s="43" t="n"/>
      <c r="Q40" s="43" t="n"/>
      <c r="R40" s="43">
        <f>(J40+K40+L40+M40+N40+O40)*$B$2</f>
        <v/>
      </c>
      <c r="S40" s="43" t="n"/>
      <c r="T40" s="43" t="n"/>
    </row>
    <row r="41" ht="12.75" customHeight="1">
      <c r="A41" s="40" t="inlineStr">
        <is>
          <t>S4</t>
        </is>
      </c>
      <c r="B41" s="40">
        <f>VLOOKUP(A41,Members!$A$2:$B$65,2,FALSE)</f>
        <v/>
      </c>
      <c r="C41" s="41" t="n">
        <v>0</v>
      </c>
      <c r="D41" s="41">
        <f>SUM($C$3:$C$4)/64</f>
        <v/>
      </c>
      <c r="E41" s="41">
        <f>C41+D41</f>
        <v/>
      </c>
      <c r="F41" s="41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$T$11/64</f>
        <v/>
      </c>
      <c r="L41" s="41" t="n">
        <v>0</v>
      </c>
      <c r="M41" s="41" t="n">
        <v>0</v>
      </c>
      <c r="N41" s="41" t="n">
        <v>0</v>
      </c>
      <c r="O41" s="41" t="n">
        <v>0</v>
      </c>
      <c r="P41" s="41" t="n"/>
      <c r="Q41" s="41" t="n"/>
      <c r="R41" s="41">
        <f>(J41+K41+L41+M41+N41+O41)*$B$2</f>
        <v/>
      </c>
      <c r="S41" s="41" t="n"/>
      <c r="T41" s="41" t="n"/>
    </row>
    <row r="42" ht="12.75" customHeight="1">
      <c r="A42" s="42" t="inlineStr">
        <is>
          <t>S5</t>
        </is>
      </c>
      <c r="B42" s="42">
        <f>VLOOKUP(A42,Members!$A$2:$B$65,2,FALSE)</f>
        <v/>
      </c>
      <c r="C42" s="43" t="n">
        <v>0</v>
      </c>
      <c r="D42" s="43">
        <f>SUM($C$3:$C$4)/64</f>
        <v/>
      </c>
      <c r="E42" s="43">
        <f>C42+D42</f>
        <v/>
      </c>
      <c r="F42" s="43">
        <f>IF($C$70=0, 0, E42/$C$70)</f>
        <v/>
      </c>
      <c r="G42" s="43">
        <f>F42*$T$5</f>
        <v/>
      </c>
      <c r="H42" s="43" t="n">
        <v>3</v>
      </c>
      <c r="I42" s="43">
        <f>$T$7*H42</f>
        <v/>
      </c>
      <c r="J42" s="43">
        <f>G42+$T$9+I42</f>
        <v/>
      </c>
      <c r="K42" s="43">
        <f>$T$11/64</f>
        <v/>
      </c>
      <c r="L42" s="43" t="n">
        <v>0</v>
      </c>
      <c r="M42" s="43" t="n">
        <v>0</v>
      </c>
      <c r="N42" s="43" t="n">
        <v>0</v>
      </c>
      <c r="O42" s="43" t="n">
        <v>0</v>
      </c>
      <c r="P42" s="43" t="n"/>
      <c r="Q42" s="43" t="n"/>
      <c r="R42" s="43">
        <f>(J42+K42+L42+M42+N42+O42)*$B$2</f>
        <v/>
      </c>
      <c r="S42" s="43" t="n"/>
      <c r="T42" s="43" t="n"/>
    </row>
    <row r="43" ht="12.75" customHeight="1">
      <c r="A43" s="40" t="inlineStr">
        <is>
          <t>S6</t>
        </is>
      </c>
      <c r="B43" s="40">
        <f>VLOOKUP(A43,Members!$A$2:$B$65,2,FALSE)</f>
        <v/>
      </c>
      <c r="C43" s="41" t="n">
        <v>0</v>
      </c>
      <c r="D43" s="41">
        <f>SUM($C$3:$C$4)/64</f>
        <v/>
      </c>
      <c r="E43" s="41">
        <f>C43+D43</f>
        <v/>
      </c>
      <c r="F43" s="41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$T$11/64</f>
        <v/>
      </c>
      <c r="L43" s="41" t="n">
        <v>0</v>
      </c>
      <c r="M43" s="41" t="n">
        <v>0</v>
      </c>
      <c r="N43" s="41" t="n">
        <v>0</v>
      </c>
      <c r="O43" s="41" t="n">
        <v>0</v>
      </c>
      <c r="P43" s="41" t="n"/>
      <c r="Q43" s="41" t="n"/>
      <c r="R43" s="41">
        <f>(J43+K43+L43+M43+N43+O43)*$B$2</f>
        <v/>
      </c>
      <c r="S43" s="41" t="n"/>
      <c r="T43" s="41" t="n"/>
    </row>
    <row r="44" ht="12.75" customHeight="1">
      <c r="A44" s="42" t="inlineStr">
        <is>
          <t>S7</t>
        </is>
      </c>
      <c r="B44" s="42">
        <f>VLOOKUP(A44,Members!$A$2:$B$65,2,FALSE)</f>
        <v/>
      </c>
      <c r="C44" s="43" t="n">
        <v>0</v>
      </c>
      <c r="D44" s="43">
        <f>SUM($C$3:$C$4)/64</f>
        <v/>
      </c>
      <c r="E44" s="43">
        <f>C44+D44</f>
        <v/>
      </c>
      <c r="F44" s="43">
        <f>IF($C$70=0, 0, E44/$C$70)</f>
        <v/>
      </c>
      <c r="G44" s="43">
        <f>F44*$T$5</f>
        <v/>
      </c>
      <c r="H44" s="43" t="n">
        <v>3</v>
      </c>
      <c r="I44" s="43">
        <f>$T$7*H44</f>
        <v/>
      </c>
      <c r="J44" s="43">
        <f>G44+$T$9+I44</f>
        <v/>
      </c>
      <c r="K44" s="43">
        <f>$T$11/64</f>
        <v/>
      </c>
      <c r="L44" s="43" t="n">
        <v>0</v>
      </c>
      <c r="M44" s="43" t="n">
        <v>0</v>
      </c>
      <c r="N44" s="43" t="n">
        <v>0</v>
      </c>
      <c r="O44" s="43" t="n">
        <v>0</v>
      </c>
      <c r="P44" s="43" t="n"/>
      <c r="Q44" s="43" t="n"/>
      <c r="R44" s="43">
        <f>(J44+K44+L44+M44+N44+O44)*$B$2</f>
        <v/>
      </c>
      <c r="S44" s="43" t="n"/>
      <c r="T44" s="43" t="n"/>
    </row>
    <row r="45" ht="12.75" customHeight="1">
      <c r="A45" s="40" t="inlineStr">
        <is>
          <t>S8</t>
        </is>
      </c>
      <c r="B45" s="40">
        <f>VLOOKUP(A45,Members!$A$2:$B$65,2,FALSE)</f>
        <v/>
      </c>
      <c r="C45" s="41" t="n">
        <v>0</v>
      </c>
      <c r="D45" s="41">
        <f>SUM($C$3:$C$4)/64</f>
        <v/>
      </c>
      <c r="E45" s="41">
        <f>C45+D45</f>
        <v/>
      </c>
      <c r="F45" s="41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$T$11/64</f>
        <v/>
      </c>
      <c r="L45" s="41" t="n">
        <v>0</v>
      </c>
      <c r="M45" s="41" t="n">
        <v>0</v>
      </c>
      <c r="N45" s="41" t="n">
        <v>0</v>
      </c>
      <c r="O45" s="41" t="n">
        <v>0</v>
      </c>
      <c r="P45" s="41" t="n"/>
      <c r="Q45" s="41" t="n"/>
      <c r="R45" s="41">
        <f>(J45+K45+L45+M45+N45+O45)*$B$2</f>
        <v/>
      </c>
      <c r="S45" s="41" t="n"/>
      <c r="T45" s="41" t="n"/>
    </row>
    <row r="46" ht="12.75" customHeight="1">
      <c r="A46" s="42" t="inlineStr">
        <is>
          <t>S9</t>
        </is>
      </c>
      <c r="B46" s="42">
        <f>VLOOKUP(A46,Members!$A$2:$B$65,2,FALSE)</f>
        <v/>
      </c>
      <c r="C46" s="43" t="n">
        <v>0</v>
      </c>
      <c r="D46" s="43">
        <f>SUM($C$3:$C$4)/64</f>
        <v/>
      </c>
      <c r="E46" s="43">
        <f>C46+D46</f>
        <v/>
      </c>
      <c r="F46" s="43">
        <f>IF($C$70=0, 0, E46/$C$70)</f>
        <v/>
      </c>
      <c r="G46" s="43">
        <f>F46*$T$5</f>
        <v/>
      </c>
      <c r="H46" s="43" t="n">
        <v>4</v>
      </c>
      <c r="I46" s="43">
        <f>$T$7*H46</f>
        <v/>
      </c>
      <c r="J46" s="43">
        <f>G46+$T$9+I46</f>
        <v/>
      </c>
      <c r="K46" s="43">
        <f>$T$11/64</f>
        <v/>
      </c>
      <c r="L46" s="43" t="n">
        <v>0</v>
      </c>
      <c r="M46" s="43" t="n">
        <v>0</v>
      </c>
      <c r="N46" s="43" t="n">
        <v>0</v>
      </c>
      <c r="O46" s="43" t="n">
        <v>0</v>
      </c>
      <c r="P46" s="43" t="n"/>
      <c r="Q46" s="43" t="n"/>
      <c r="R46" s="43">
        <f>(J46+K46+L46+M46+N46+O46)*$B$2</f>
        <v/>
      </c>
      <c r="S46" s="43" t="n"/>
      <c r="T46" s="43" t="n"/>
    </row>
    <row r="47" ht="12.75" customHeight="1">
      <c r="A47" s="40" t="inlineStr">
        <is>
          <t>S10</t>
        </is>
      </c>
      <c r="B47" s="40">
        <f>VLOOKUP(A47,Members!$A$2:$B$65,2,FALSE)</f>
        <v/>
      </c>
      <c r="C47" s="41" t="n">
        <v>0</v>
      </c>
      <c r="D47" s="41">
        <f>SUM($C$3:$C$4)/64</f>
        <v/>
      </c>
      <c r="E47" s="41">
        <f>C47+D47</f>
        <v/>
      </c>
      <c r="F47" s="41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$T$11/64</f>
        <v/>
      </c>
      <c r="L47" s="41" t="n">
        <v>0</v>
      </c>
      <c r="M47" s="41" t="n">
        <v>0</v>
      </c>
      <c r="N47" s="41" t="n">
        <v>0</v>
      </c>
      <c r="O47" s="41" t="n">
        <v>0</v>
      </c>
      <c r="P47" s="41" t="n"/>
      <c r="Q47" s="41" t="n"/>
      <c r="R47" s="41">
        <f>(J47+K47+L47+M47+N47+O47)*$B$2</f>
        <v/>
      </c>
      <c r="S47" s="41" t="n"/>
      <c r="T47" s="41" t="n"/>
    </row>
    <row r="48" ht="12.75" customHeight="1">
      <c r="A48" s="42" t="inlineStr">
        <is>
          <t>S11</t>
        </is>
      </c>
      <c r="B48" s="42">
        <f>VLOOKUP(A48,Members!$A$2:$B$65,2,FALSE)</f>
        <v/>
      </c>
      <c r="C48" s="43" t="n">
        <v>0</v>
      </c>
      <c r="D48" s="43">
        <f>SUM($C$3:$C$4)/64</f>
        <v/>
      </c>
      <c r="E48" s="43">
        <f>C48+D48</f>
        <v/>
      </c>
      <c r="F48" s="43">
        <f>IF($C$70=0, 0, E48/$C$70)</f>
        <v/>
      </c>
      <c r="G48" s="43">
        <f>F48*$T$5</f>
        <v/>
      </c>
      <c r="H48" s="43" t="n">
        <v>3</v>
      </c>
      <c r="I48" s="43">
        <f>$T$7*H48</f>
        <v/>
      </c>
      <c r="J48" s="43">
        <f>G48+$T$9+I48</f>
        <v/>
      </c>
      <c r="K48" s="43">
        <f>$T$11/64</f>
        <v/>
      </c>
      <c r="L48" s="43" t="n">
        <v>0</v>
      </c>
      <c r="M48" s="43" t="n">
        <v>0</v>
      </c>
      <c r="N48" s="43" t="n">
        <v>0</v>
      </c>
      <c r="O48" s="43" t="n">
        <v>0</v>
      </c>
      <c r="P48" s="43" t="n"/>
      <c r="Q48" s="43" t="n"/>
      <c r="R48" s="43">
        <f>(J48+K48+L48+M48+N48+O48)*$B$2</f>
        <v/>
      </c>
      <c r="S48" s="43" t="n"/>
      <c r="T48" s="43" t="n"/>
    </row>
    <row r="49" ht="12.75" customHeight="1">
      <c r="A49" s="40" t="inlineStr">
        <is>
          <t>S12</t>
        </is>
      </c>
      <c r="B49" s="40">
        <f>VLOOKUP(A49,Members!$A$2:$B$65,2,FALSE)</f>
        <v/>
      </c>
      <c r="C49" s="41" t="n">
        <v>0</v>
      </c>
      <c r="D49" s="41">
        <f>SUM($C$3:$C$4)/64</f>
        <v/>
      </c>
      <c r="E49" s="41">
        <f>C49+D49</f>
        <v/>
      </c>
      <c r="F49" s="41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$T$11/64</f>
        <v/>
      </c>
      <c r="L49" s="41" t="n">
        <v>0</v>
      </c>
      <c r="M49" s="41" t="n">
        <v>0</v>
      </c>
      <c r="N49" s="41" t="n">
        <v>0</v>
      </c>
      <c r="O49" s="41" t="n">
        <v>0</v>
      </c>
      <c r="P49" s="41" t="n"/>
      <c r="Q49" s="41" t="n"/>
      <c r="R49" s="41">
        <f>(J49+K49+L49+M49+N49+O49)*$B$2</f>
        <v/>
      </c>
      <c r="S49" s="41" t="n"/>
      <c r="T49" s="41" t="n"/>
    </row>
    <row r="50" ht="12.75" customHeight="1">
      <c r="A50" s="42" t="inlineStr">
        <is>
          <t>S13</t>
        </is>
      </c>
      <c r="B50" s="42">
        <f>VLOOKUP(A50,Members!$A$2:$B$65,2,FALSE)</f>
        <v/>
      </c>
      <c r="C50" s="43" t="n">
        <v>0</v>
      </c>
      <c r="D50" s="43">
        <f>SUM($C$3:$C$4)/64</f>
        <v/>
      </c>
      <c r="E50" s="43">
        <f>C50+D50</f>
        <v/>
      </c>
      <c r="F50" s="43">
        <f>IF($C$70=0, 0, E50/$C$70)</f>
        <v/>
      </c>
      <c r="G50" s="43">
        <f>F50*$T$5</f>
        <v/>
      </c>
      <c r="H50" s="43" t="n">
        <v>4</v>
      </c>
      <c r="I50" s="43">
        <f>$T$7*H50</f>
        <v/>
      </c>
      <c r="J50" s="43">
        <f>G50+$T$9+I50</f>
        <v/>
      </c>
      <c r="K50" s="43">
        <f>$T$11/64</f>
        <v/>
      </c>
      <c r="L50" s="43" t="n">
        <v>0</v>
      </c>
      <c r="M50" s="43" t="n">
        <v>0</v>
      </c>
      <c r="N50" s="43" t="n">
        <v>0</v>
      </c>
      <c r="O50" s="43" t="n">
        <v>0</v>
      </c>
      <c r="P50" s="43" t="n"/>
      <c r="Q50" s="43" t="n"/>
      <c r="R50" s="43">
        <f>(J50+K50+L50+M50+N50+O50)*$B$2</f>
        <v/>
      </c>
      <c r="S50" s="43" t="n"/>
      <c r="T50" s="43" t="n"/>
    </row>
    <row r="51" ht="12.75" customHeight="1">
      <c r="A51" s="40" t="inlineStr">
        <is>
          <t>S14</t>
        </is>
      </c>
      <c r="B51" s="40">
        <f>VLOOKUP(A51,Members!$A$2:$B$65,2,FALSE)</f>
        <v/>
      </c>
      <c r="C51" s="41" t="n">
        <v>0</v>
      </c>
      <c r="D51" s="41">
        <f>SUM($C$3:$C$4)/64</f>
        <v/>
      </c>
      <c r="E51" s="41">
        <f>C51+D51</f>
        <v/>
      </c>
      <c r="F51" s="41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$T$11/64</f>
        <v/>
      </c>
      <c r="L51" s="41" t="n">
        <v>0</v>
      </c>
      <c r="M51" s="41" t="n">
        <v>0</v>
      </c>
      <c r="N51" s="41" t="n">
        <v>0</v>
      </c>
      <c r="O51" s="41" t="n">
        <v>0</v>
      </c>
      <c r="P51" s="41" t="n"/>
      <c r="Q51" s="41" t="n"/>
      <c r="R51" s="41">
        <f>(J51+K51+L51+M51+N51+O51)*$B$2</f>
        <v/>
      </c>
      <c r="S51" s="41" t="n"/>
      <c r="T51" s="41" t="n"/>
    </row>
    <row r="52" ht="12.75" customHeight="1">
      <c r="A52" s="42" t="inlineStr">
        <is>
          <t>S15</t>
        </is>
      </c>
      <c r="B52" s="42">
        <f>VLOOKUP(A52,Members!$A$2:$B$65,2,FALSE)</f>
        <v/>
      </c>
      <c r="C52" s="43" t="n">
        <v>0</v>
      </c>
      <c r="D52" s="43">
        <f>SUM($C$3:$C$4)/64</f>
        <v/>
      </c>
      <c r="E52" s="43">
        <f>C52+D52</f>
        <v/>
      </c>
      <c r="F52" s="43">
        <f>IF($C$70=0, 0, E52/$C$70)</f>
        <v/>
      </c>
      <c r="G52" s="43">
        <f>F52*$T$5</f>
        <v/>
      </c>
      <c r="H52" s="43" t="n">
        <v>4</v>
      </c>
      <c r="I52" s="43">
        <f>$T$7*H52</f>
        <v/>
      </c>
      <c r="J52" s="43">
        <f>G52+$T$9+I52</f>
        <v/>
      </c>
      <c r="K52" s="43">
        <f>$T$11/64</f>
        <v/>
      </c>
      <c r="L52" s="43" t="n">
        <v>0</v>
      </c>
      <c r="M52" s="43" t="n">
        <v>0</v>
      </c>
      <c r="N52" s="43" t="n">
        <v>0</v>
      </c>
      <c r="O52" s="43" t="n">
        <v>0</v>
      </c>
      <c r="P52" s="43" t="n"/>
      <c r="Q52" s="43" t="n"/>
      <c r="R52" s="43">
        <f>(J52+K52+L52+M52+N52+O52)*$B$2</f>
        <v/>
      </c>
      <c r="S52" s="43" t="n"/>
      <c r="T52" s="43" t="n"/>
    </row>
    <row r="53" ht="12.75" customHeight="1">
      <c r="A53" s="40" t="inlineStr">
        <is>
          <t>S16</t>
        </is>
      </c>
      <c r="B53" s="40">
        <f>VLOOKUP(A53,Members!$A$2:$B$65,2,FALSE)</f>
        <v/>
      </c>
      <c r="C53" s="41" t="n">
        <v>0</v>
      </c>
      <c r="D53" s="41">
        <f>SUM($C$3:$C$4)/64</f>
        <v/>
      </c>
      <c r="E53" s="41">
        <f>C53+D53</f>
        <v/>
      </c>
      <c r="F53" s="41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$T$11/64</f>
        <v/>
      </c>
      <c r="L53" s="41" t="n">
        <v>0</v>
      </c>
      <c r="M53" s="41" t="n">
        <v>0</v>
      </c>
      <c r="N53" s="41" t="n">
        <v>0</v>
      </c>
      <c r="O53" s="41" t="n">
        <v>0</v>
      </c>
      <c r="P53" s="41" t="n"/>
      <c r="Q53" s="41" t="n"/>
      <c r="R53" s="41">
        <f>(J53+K53+L53+M53+N53+O53)*$B$2</f>
        <v/>
      </c>
      <c r="S53" s="41" t="n"/>
      <c r="T53" s="41" t="n"/>
    </row>
    <row r="54" ht="12.75" customHeight="1">
      <c r="A54" s="42" t="inlineStr">
        <is>
          <t>T1</t>
        </is>
      </c>
      <c r="B54" s="42">
        <f>VLOOKUP(A54,Members!$A$2:$B$65,2,FALSE)</f>
        <v/>
      </c>
      <c r="C54" s="43" t="n">
        <v>0</v>
      </c>
      <c r="D54" s="43">
        <f>SUM($C$3:$C$4)/64</f>
        <v/>
      </c>
      <c r="E54" s="43">
        <f>C54+D54</f>
        <v/>
      </c>
      <c r="F54" s="43">
        <f>IF($C$70=0, 0, E54/$C$70)</f>
        <v/>
      </c>
      <c r="G54" s="43">
        <f>F54*$T$5</f>
        <v/>
      </c>
      <c r="H54" s="43" t="n">
        <v>3</v>
      </c>
      <c r="I54" s="43">
        <f>$T$7*H54</f>
        <v/>
      </c>
      <c r="J54" s="43">
        <f>G54+$T$9+I54</f>
        <v/>
      </c>
      <c r="K54" s="43">
        <f>$T$11/64</f>
        <v/>
      </c>
      <c r="L54" s="43" t="n">
        <v>0</v>
      </c>
      <c r="M54" s="43" t="n">
        <v>0</v>
      </c>
      <c r="N54" s="43" t="n">
        <v>0</v>
      </c>
      <c r="O54" s="43" t="n">
        <v>0</v>
      </c>
      <c r="P54" s="43" t="n"/>
      <c r="Q54" s="43" t="n"/>
      <c r="R54" s="43">
        <f>(J54+K54+L54+M54+N54+O54)*$B$2</f>
        <v/>
      </c>
      <c r="S54" s="43" t="n"/>
      <c r="T54" s="43" t="n"/>
    </row>
    <row r="55" ht="12.75" customHeight="1">
      <c r="A55" s="40" t="inlineStr">
        <is>
          <t>T2</t>
        </is>
      </c>
      <c r="B55" s="40">
        <f>VLOOKUP(A55,Members!$A$2:$B$65,2,FALSE)</f>
        <v/>
      </c>
      <c r="C55" s="41" t="n">
        <v>0</v>
      </c>
      <c r="D55" s="41">
        <f>SUM($C$3:$C$4)/64</f>
        <v/>
      </c>
      <c r="E55" s="41">
        <f>C55+D55</f>
        <v/>
      </c>
      <c r="F55" s="41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$T$11/64</f>
        <v/>
      </c>
      <c r="L55" s="41" t="n">
        <v>0</v>
      </c>
      <c r="M55" s="41" t="n">
        <v>0</v>
      </c>
      <c r="N55" s="41" t="n">
        <v>0</v>
      </c>
      <c r="O55" s="41" t="n">
        <v>0</v>
      </c>
      <c r="P55" s="41" t="n"/>
      <c r="Q55" s="41" t="n"/>
      <c r="R55" s="41">
        <f>(J55+K55+L55+M55+N55+O55)*$B$2</f>
        <v/>
      </c>
      <c r="S55" s="41" t="n"/>
      <c r="T55" s="41" t="n"/>
    </row>
    <row r="56" ht="12.75" customHeight="1">
      <c r="A56" s="42" t="inlineStr">
        <is>
          <t>T3</t>
        </is>
      </c>
      <c r="B56" s="42">
        <f>VLOOKUP(A56,Members!$A$2:$B$65,2,FALSE)</f>
        <v/>
      </c>
      <c r="C56" s="43" t="n">
        <v>0</v>
      </c>
      <c r="D56" s="43">
        <f>SUM($C$3:$C$4)/64</f>
        <v/>
      </c>
      <c r="E56" s="43">
        <f>C56+D56</f>
        <v/>
      </c>
      <c r="F56" s="43">
        <f>IF($C$70=0, 0, E56/$C$70)</f>
        <v/>
      </c>
      <c r="G56" s="43">
        <f>F56*$T$5</f>
        <v/>
      </c>
      <c r="H56" s="43" t="n">
        <v>4</v>
      </c>
      <c r="I56" s="43">
        <f>$T$7*H56</f>
        <v/>
      </c>
      <c r="J56" s="43">
        <f>G56+$T$9+I56</f>
        <v/>
      </c>
      <c r="K56" s="43">
        <f>$T$11/64</f>
        <v/>
      </c>
      <c r="L56" s="43" t="n">
        <v>0</v>
      </c>
      <c r="M56" s="43" t="n">
        <v>0</v>
      </c>
      <c r="N56" s="43" t="n">
        <v>0</v>
      </c>
      <c r="O56" s="43" t="n">
        <v>0</v>
      </c>
      <c r="P56" s="43" t="n"/>
      <c r="Q56" s="43" t="n"/>
      <c r="R56" s="43">
        <f>(J56+K56+L56+M56+N56+O56)*$B$2</f>
        <v/>
      </c>
      <c r="S56" s="43" t="n"/>
      <c r="T56" s="43" t="n"/>
    </row>
    <row r="57" ht="12.75" customHeight="1">
      <c r="A57" s="40" t="inlineStr">
        <is>
          <t>T4</t>
        </is>
      </c>
      <c r="B57" s="40">
        <f>VLOOKUP(A57,Members!$A$2:$B$65,2,FALSE)</f>
        <v/>
      </c>
      <c r="C57" s="41" t="n">
        <v>0</v>
      </c>
      <c r="D57" s="41">
        <f>SUM($C$3:$C$4)/64</f>
        <v/>
      </c>
      <c r="E57" s="41">
        <f>C57+D57</f>
        <v/>
      </c>
      <c r="F57" s="41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$T$11/64</f>
        <v/>
      </c>
      <c r="L57" s="41" t="n">
        <v>0</v>
      </c>
      <c r="M57" s="41" t="n">
        <v>0</v>
      </c>
      <c r="N57" s="41" t="n">
        <v>0</v>
      </c>
      <c r="O57" s="41" t="n">
        <v>0</v>
      </c>
      <c r="P57" s="41" t="n"/>
      <c r="Q57" s="41" t="n"/>
      <c r="R57" s="41">
        <f>(J57+K57+L57+M57+N57+O57)*$B$2</f>
        <v/>
      </c>
      <c r="S57" s="41" t="n"/>
      <c r="T57" s="41" t="n"/>
    </row>
    <row r="58" ht="12.75" customHeight="1">
      <c r="A58" s="42" t="inlineStr">
        <is>
          <t>T5</t>
        </is>
      </c>
      <c r="B58" s="42">
        <f>VLOOKUP(A58,Members!$A$2:$B$65,2,FALSE)</f>
        <v/>
      </c>
      <c r="C58" s="43" t="n">
        <v>0</v>
      </c>
      <c r="D58" s="43">
        <f>SUM($C$3:$C$4)/64</f>
        <v/>
      </c>
      <c r="E58" s="43">
        <f>C58+D58</f>
        <v/>
      </c>
      <c r="F58" s="43">
        <f>IF($C$70=0, 0, E58/$C$70)</f>
        <v/>
      </c>
      <c r="G58" s="43">
        <f>F58*$T$5</f>
        <v/>
      </c>
      <c r="H58" s="43" t="n">
        <v>3</v>
      </c>
      <c r="I58" s="43">
        <f>$T$7*H58</f>
        <v/>
      </c>
      <c r="J58" s="43">
        <f>G58+$T$9+I58</f>
        <v/>
      </c>
      <c r="K58" s="43">
        <f>$T$11/64</f>
        <v/>
      </c>
      <c r="L58" s="43" t="n">
        <v>0</v>
      </c>
      <c r="M58" s="43" t="n">
        <v>0</v>
      </c>
      <c r="N58" s="43" t="n">
        <v>0</v>
      </c>
      <c r="O58" s="43" t="n">
        <v>0</v>
      </c>
      <c r="P58" s="43" t="n"/>
      <c r="Q58" s="43" t="n"/>
      <c r="R58" s="43">
        <f>(J58+K58+L58+M58+N58+O58)*$B$2</f>
        <v/>
      </c>
      <c r="S58" s="43" t="n"/>
      <c r="T58" s="43" t="n"/>
    </row>
    <row r="59" ht="12.75" customHeight="1">
      <c r="A59" s="40" t="inlineStr">
        <is>
          <t>T6</t>
        </is>
      </c>
      <c r="B59" s="40">
        <f>VLOOKUP(A59,Members!$A$2:$B$65,2,FALSE)</f>
        <v/>
      </c>
      <c r="C59" s="41" t="n">
        <v>0</v>
      </c>
      <c r="D59" s="41">
        <f>SUM($C$3:$C$4)/64</f>
        <v/>
      </c>
      <c r="E59" s="41">
        <f>C59+D59</f>
        <v/>
      </c>
      <c r="F59" s="41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$T$11/64</f>
        <v/>
      </c>
      <c r="L59" s="41" t="n">
        <v>0</v>
      </c>
      <c r="M59" s="41" t="n">
        <v>0</v>
      </c>
      <c r="N59" s="41" t="n">
        <v>0</v>
      </c>
      <c r="O59" s="41" t="n">
        <v>0</v>
      </c>
      <c r="P59" s="41" t="n"/>
      <c r="Q59" s="41" t="n"/>
      <c r="R59" s="41">
        <f>(J59+K59+L59+M59+N59+O59)*$B$2</f>
        <v/>
      </c>
      <c r="S59" s="41" t="n"/>
      <c r="T59" s="41" t="n"/>
    </row>
    <row r="60" ht="12.75" customHeight="1">
      <c r="A60" s="42" t="inlineStr">
        <is>
          <t>T7</t>
        </is>
      </c>
      <c r="B60" s="42">
        <f>VLOOKUP(A60,Members!$A$2:$B$65,2,FALSE)</f>
        <v/>
      </c>
      <c r="C60" s="43" t="n">
        <v>0</v>
      </c>
      <c r="D60" s="43">
        <f>SUM($C$3:$C$4)/64</f>
        <v/>
      </c>
      <c r="E60" s="43">
        <f>C60+D60</f>
        <v/>
      </c>
      <c r="F60" s="43">
        <f>IF($C$70=0, 0, E60/$C$70)</f>
        <v/>
      </c>
      <c r="G60" s="43">
        <f>F60*$T$5</f>
        <v/>
      </c>
      <c r="H60" s="43" t="n">
        <v>3</v>
      </c>
      <c r="I60" s="43">
        <f>$T$7*H60</f>
        <v/>
      </c>
      <c r="J60" s="43">
        <f>G60+$T$9+I60</f>
        <v/>
      </c>
      <c r="K60" s="43">
        <f>$T$11/64</f>
        <v/>
      </c>
      <c r="L60" s="43" t="n">
        <v>0</v>
      </c>
      <c r="M60" s="43" t="n">
        <v>0</v>
      </c>
      <c r="N60" s="43" t="n">
        <v>0</v>
      </c>
      <c r="O60" s="43" t="n">
        <v>0</v>
      </c>
      <c r="P60" s="43" t="n"/>
      <c r="Q60" s="43" t="n"/>
      <c r="R60" s="43">
        <f>(J60+K60+L60+M60+N60+O60)*$B$2</f>
        <v/>
      </c>
      <c r="S60" s="43" t="n"/>
      <c r="T60" s="43" t="n"/>
    </row>
    <row r="61" ht="12.75" customHeight="1">
      <c r="A61" s="40" t="inlineStr">
        <is>
          <t>T8</t>
        </is>
      </c>
      <c r="B61" s="40">
        <f>VLOOKUP(A61,Members!$A$2:$B$65,2,FALSE)</f>
        <v/>
      </c>
      <c r="C61" s="41" t="n">
        <v>0</v>
      </c>
      <c r="D61" s="41">
        <f>SUM($C$3:$C$4)/64</f>
        <v/>
      </c>
      <c r="E61" s="41">
        <f>C61+D61</f>
        <v/>
      </c>
      <c r="F61" s="41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$T$11/64</f>
        <v/>
      </c>
      <c r="L61" s="41" t="n">
        <v>0</v>
      </c>
      <c r="M61" s="41" t="n">
        <v>0</v>
      </c>
      <c r="N61" s="41" t="n">
        <v>0</v>
      </c>
      <c r="O61" s="41" t="n">
        <v>0</v>
      </c>
      <c r="P61" s="41" t="n"/>
      <c r="Q61" s="41" t="n"/>
      <c r="R61" s="41">
        <f>(J61+K61+L61+M61+N61+O61)*$B$2</f>
        <v/>
      </c>
      <c r="S61" s="41" t="n"/>
      <c r="T61" s="41" t="n"/>
    </row>
    <row r="62" ht="12.75" customHeight="1">
      <c r="A62" s="42" t="inlineStr">
        <is>
          <t>T9</t>
        </is>
      </c>
      <c r="B62" s="42">
        <f>VLOOKUP(A62,Members!$A$2:$B$65,2,FALSE)</f>
        <v/>
      </c>
      <c r="C62" s="43" t="n">
        <v>0</v>
      </c>
      <c r="D62" s="43">
        <f>SUM($C$3:$C$4)/64</f>
        <v/>
      </c>
      <c r="E62" s="43">
        <f>C62+D62</f>
        <v/>
      </c>
      <c r="F62" s="43">
        <f>IF($C$70=0, 0, E62/$C$70)</f>
        <v/>
      </c>
      <c r="G62" s="43">
        <f>F62*$T$5</f>
        <v/>
      </c>
      <c r="H62" s="43" t="n">
        <v>4</v>
      </c>
      <c r="I62" s="43">
        <f>$T$7*H62</f>
        <v/>
      </c>
      <c r="J62" s="43">
        <f>G62+$T$9+I62</f>
        <v/>
      </c>
      <c r="K62" s="43">
        <f>$T$11/64</f>
        <v/>
      </c>
      <c r="L62" s="43" t="n">
        <v>0</v>
      </c>
      <c r="M62" s="43" t="n">
        <v>0</v>
      </c>
      <c r="N62" s="43" t="n">
        <v>0</v>
      </c>
      <c r="O62" s="43" t="n">
        <v>0</v>
      </c>
      <c r="P62" s="43" t="n"/>
      <c r="Q62" s="43" t="n"/>
      <c r="R62" s="43">
        <f>(J62+K62+L62+M62+N62+O62)*$B$2</f>
        <v/>
      </c>
      <c r="S62" s="43" t="n"/>
      <c r="T62" s="43" t="n"/>
    </row>
    <row r="63" ht="12.75" customHeight="1">
      <c r="A63" s="40" t="inlineStr">
        <is>
          <t>T10</t>
        </is>
      </c>
      <c r="B63" s="40">
        <f>VLOOKUP(A63,Members!$A$2:$B$65,2,FALSE)</f>
        <v/>
      </c>
      <c r="C63" s="41" t="n">
        <v>0</v>
      </c>
      <c r="D63" s="41">
        <f>SUM($C$3:$C$4)/64</f>
        <v/>
      </c>
      <c r="E63" s="41">
        <f>C63+D63</f>
        <v/>
      </c>
      <c r="F63" s="41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$T$11/64</f>
        <v/>
      </c>
      <c r="L63" s="41" t="n">
        <v>0</v>
      </c>
      <c r="M63" s="41" t="n">
        <v>0</v>
      </c>
      <c r="N63" s="41" t="n">
        <v>0</v>
      </c>
      <c r="O63" s="41" t="n">
        <v>0</v>
      </c>
      <c r="P63" s="41" t="n"/>
      <c r="Q63" s="41" t="n"/>
      <c r="R63" s="41">
        <f>(J63+K63+L63+M63+N63+O63)*$B$2</f>
        <v/>
      </c>
      <c r="S63" s="41" t="n"/>
      <c r="T63" s="41" t="n"/>
    </row>
    <row r="64" ht="12.75" customHeight="1">
      <c r="A64" s="42" t="inlineStr">
        <is>
          <t>T11</t>
        </is>
      </c>
      <c r="B64" s="42">
        <f>VLOOKUP(A64,Members!$A$2:$B$65,2,FALSE)</f>
        <v/>
      </c>
      <c r="C64" s="43" t="n">
        <v>0</v>
      </c>
      <c r="D64" s="43">
        <f>SUM($C$3:$C$4)/64</f>
        <v/>
      </c>
      <c r="E64" s="43">
        <f>C64+D64</f>
        <v/>
      </c>
      <c r="F64" s="43">
        <f>IF($C$70=0, 0, E64/$C$70)</f>
        <v/>
      </c>
      <c r="G64" s="43">
        <f>F64*$T$5</f>
        <v/>
      </c>
      <c r="H64" s="43" t="n">
        <v>3</v>
      </c>
      <c r="I64" s="43">
        <f>$T$7*H64</f>
        <v/>
      </c>
      <c r="J64" s="43">
        <f>G64+$T$9+I64</f>
        <v/>
      </c>
      <c r="K64" s="43">
        <f>$T$11/64</f>
        <v/>
      </c>
      <c r="L64" s="43" t="n">
        <v>0</v>
      </c>
      <c r="M64" s="43" t="n">
        <v>0</v>
      </c>
      <c r="N64" s="43" t="n">
        <v>0</v>
      </c>
      <c r="O64" s="43" t="n">
        <v>0</v>
      </c>
      <c r="P64" s="43" t="n"/>
      <c r="Q64" s="43" t="n"/>
      <c r="R64" s="43">
        <f>(J64+K64+L64+M64+N64+O64)*$B$2</f>
        <v/>
      </c>
      <c r="S64" s="43" t="n"/>
      <c r="T64" s="43" t="n"/>
    </row>
    <row r="65" ht="12.75" customHeight="1">
      <c r="A65" s="40" t="inlineStr">
        <is>
          <t>T12</t>
        </is>
      </c>
      <c r="B65" s="40">
        <f>VLOOKUP(A65,Members!$A$2:$B$65,2,FALSE)</f>
        <v/>
      </c>
      <c r="C65" s="41" t="n">
        <v>0</v>
      </c>
      <c r="D65" s="41">
        <f>SUM($C$3:$C$4)/64</f>
        <v/>
      </c>
      <c r="E65" s="41">
        <f>C65+D65</f>
        <v/>
      </c>
      <c r="F65" s="41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$T$11/64</f>
        <v/>
      </c>
      <c r="L65" s="41" t="n">
        <v>0</v>
      </c>
      <c r="M65" s="41" t="n">
        <v>0</v>
      </c>
      <c r="N65" s="41" t="n">
        <v>0</v>
      </c>
      <c r="O65" s="41" t="n">
        <v>0</v>
      </c>
      <c r="P65" s="41" t="n"/>
      <c r="Q65" s="41" t="n"/>
      <c r="R65" s="41">
        <f>(J65+K65+L65+M65+N65+O65)*$B$2</f>
        <v/>
      </c>
      <c r="S65" s="41" t="n"/>
      <c r="T65" s="41" t="n"/>
    </row>
    <row r="66" ht="12.75" customHeight="1">
      <c r="A66" s="42" t="inlineStr">
        <is>
          <t>T13</t>
        </is>
      </c>
      <c r="B66" s="42">
        <f>VLOOKUP(A66,Members!$A$2:$B$65,2,FALSE)</f>
        <v/>
      </c>
      <c r="C66" s="43" t="n">
        <v>0</v>
      </c>
      <c r="D66" s="43">
        <f>SUM($C$3:$C$4)/64</f>
        <v/>
      </c>
      <c r="E66" s="43">
        <f>C66+D66</f>
        <v/>
      </c>
      <c r="F66" s="43">
        <f>IF($C$70=0, 0, E66/$C$70)</f>
        <v/>
      </c>
      <c r="G66" s="43">
        <f>F66*$T$5</f>
        <v/>
      </c>
      <c r="H66" s="43" t="n">
        <v>4</v>
      </c>
      <c r="I66" s="43">
        <f>$T$7*H66</f>
        <v/>
      </c>
      <c r="J66" s="43">
        <f>G66+$T$9+I66</f>
        <v/>
      </c>
      <c r="K66" s="43">
        <f>$T$11/64</f>
        <v/>
      </c>
      <c r="L66" s="43" t="n">
        <v>0</v>
      </c>
      <c r="M66" s="43" t="n">
        <v>0</v>
      </c>
      <c r="N66" s="43" t="n">
        <v>0</v>
      </c>
      <c r="O66" s="43" t="n">
        <v>0</v>
      </c>
      <c r="P66" s="43" t="n"/>
      <c r="Q66" s="43" t="n"/>
      <c r="R66" s="43">
        <f>(J66+K66+L66+M66+N66+O66)*$B$2</f>
        <v/>
      </c>
      <c r="S66" s="43" t="n"/>
      <c r="T66" s="43" t="n"/>
    </row>
    <row r="67" ht="12.75" customHeight="1">
      <c r="A67" s="40" t="inlineStr">
        <is>
          <t>T14</t>
        </is>
      </c>
      <c r="B67" s="40">
        <f>VLOOKUP(A67,Members!$A$2:$B$65,2,FALSE)</f>
        <v/>
      </c>
      <c r="C67" s="41" t="n">
        <v>0</v>
      </c>
      <c r="D67" s="41">
        <f>SUM($C$3:$C$4)/64</f>
        <v/>
      </c>
      <c r="E67" s="41">
        <f>C67+D67</f>
        <v/>
      </c>
      <c r="F67" s="41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$T$11/64</f>
        <v/>
      </c>
      <c r="L67" s="41" t="n">
        <v>0</v>
      </c>
      <c r="M67" s="41" t="n">
        <v>0</v>
      </c>
      <c r="N67" s="41" t="n">
        <v>0</v>
      </c>
      <c r="O67" s="41" t="n">
        <v>0</v>
      </c>
      <c r="P67" s="41" t="n"/>
      <c r="Q67" s="41" t="n"/>
      <c r="R67" s="41">
        <f>(J67+K67+L67+M67+N67+O67)*$B$2</f>
        <v/>
      </c>
      <c r="S67" s="41" t="n"/>
      <c r="T67" s="41" t="n"/>
    </row>
    <row r="68" ht="12.75" customHeight="1">
      <c r="A68" s="42" t="inlineStr">
        <is>
          <t>T15</t>
        </is>
      </c>
      <c r="B68" s="42">
        <f>VLOOKUP(A68,Members!$A$2:$B$65,2,FALSE)</f>
        <v/>
      </c>
      <c r="C68" s="43" t="n">
        <v>0</v>
      </c>
      <c r="D68" s="43">
        <f>SUM($C$3:$C$4)/64</f>
        <v/>
      </c>
      <c r="E68" s="43">
        <f>C68+D68</f>
        <v/>
      </c>
      <c r="F68" s="43">
        <f>IF($C$70=0, 0, E68/$C$70)</f>
        <v/>
      </c>
      <c r="G68" s="43">
        <f>F68*$T$5</f>
        <v/>
      </c>
      <c r="H68" s="43" t="n">
        <v>4</v>
      </c>
      <c r="I68" s="43">
        <f>$T$7*H68</f>
        <v/>
      </c>
      <c r="J68" s="43">
        <f>G68+$T$9+I68</f>
        <v/>
      </c>
      <c r="K68" s="43">
        <f>$T$11/64</f>
        <v/>
      </c>
      <c r="L68" s="43" t="n">
        <v>0</v>
      </c>
      <c r="M68" s="43" t="n">
        <v>0</v>
      </c>
      <c r="N68" s="43" t="n">
        <v>0</v>
      </c>
      <c r="O68" s="43" t="n">
        <v>0</v>
      </c>
      <c r="P68" s="43" t="n"/>
      <c r="Q68" s="43" t="n"/>
      <c r="R68" s="43">
        <f>(J68+K68+L68+M68+N68+O68)*$B$2</f>
        <v/>
      </c>
      <c r="S68" s="43" t="n"/>
      <c r="T68" s="43" t="n"/>
    </row>
    <row r="69" ht="12.75" customHeight="1">
      <c r="A69" s="40" t="inlineStr">
        <is>
          <t>T16</t>
        </is>
      </c>
      <c r="B69" s="40">
        <f>VLOOKUP(A69,Members!$A$2:$B$65,2,FALSE)</f>
        <v/>
      </c>
      <c r="C69" s="41" t="n">
        <v>0</v>
      </c>
      <c r="D69" s="41">
        <f>SUM($C$3:$C$4)/64</f>
        <v/>
      </c>
      <c r="E69" s="41">
        <f>C69+D69</f>
        <v/>
      </c>
      <c r="F69" s="41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$T$11/64</f>
        <v/>
      </c>
      <c r="L69" s="41" t="n">
        <v>0</v>
      </c>
      <c r="M69" s="41" t="n">
        <v>0</v>
      </c>
      <c r="N69" s="41" t="n">
        <v>0</v>
      </c>
      <c r="O69" s="41" t="n">
        <v>0</v>
      </c>
      <c r="P69" s="41" t="n"/>
      <c r="Q69" s="41" t="n"/>
      <c r="R69" s="41">
        <f>(J69+K69+L69+M69+N69+O69)*$B$2</f>
        <v/>
      </c>
      <c r="S69" s="41" t="n"/>
      <c r="T69" s="41" t="n"/>
    </row>
    <row r="70" ht="12.75" customHeight="1">
      <c r="A70" s="42" t="n"/>
      <c r="B70" s="42" t="inlineStr">
        <is>
          <t>TOTAL</t>
        </is>
      </c>
      <c r="C70" s="43">
        <f>SUM(C3:C69)</f>
        <v/>
      </c>
      <c r="D70" s="43">
        <f>SUM(D3:D69)</f>
        <v/>
      </c>
      <c r="E70" s="43">
        <f>SUM(E3:E69)</f>
        <v/>
      </c>
      <c r="F70" s="43">
        <f>IF($C$70=0, 0, E70/$C$70)</f>
        <v/>
      </c>
      <c r="G70" s="43">
        <f>SUM(G3:G69)</f>
        <v/>
      </c>
      <c r="H70" s="43">
        <f>SUM(H3:H69)</f>
        <v/>
      </c>
      <c r="I70" s="43">
        <f>SUM(I3:I69)</f>
        <v/>
      </c>
      <c r="J70" s="43">
        <f>SUM(J3:J69)</f>
        <v/>
      </c>
      <c r="K70" s="43">
        <f>SUM(K3:K69)</f>
        <v/>
      </c>
      <c r="L70" s="43">
        <f>SUM(L3:L69)</f>
        <v/>
      </c>
      <c r="M70" s="43">
        <f>SUM(M3:M69)</f>
        <v/>
      </c>
      <c r="N70" s="43">
        <f>SUM(N3:N69)</f>
        <v/>
      </c>
      <c r="O70" s="43">
        <f>SUM(O3:O69)</f>
        <v/>
      </c>
      <c r="P70" s="43" t="n"/>
      <c r="Q70" s="43" t="n"/>
      <c r="R70" s="43">
        <f>SUM(R3:R69)</f>
        <v/>
      </c>
      <c r="S70" s="43" t="n"/>
      <c r="T70" s="43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min="1" max="1"/>
    <col width="64.28515625" customWidth="1" min="2" max="2"/>
  </cols>
  <sheetData>
    <row r="1">
      <c r="A1" s="39" t="inlineStr">
        <is>
          <t>FLAT #</t>
        </is>
      </c>
      <c r="B1" s="39" t="n"/>
      <c r="C1" s="39" t="inlineStr">
        <is>
          <t>Amount</t>
        </is>
      </c>
      <c r="D1" s="66" t="inlineStr">
        <is>
          <t>Date</t>
        </is>
      </c>
      <c r="E1" s="39" t="inlineStr">
        <is>
          <t>Amount</t>
        </is>
      </c>
      <c r="F1" s="66" t="inlineStr">
        <is>
          <t>Date</t>
        </is>
      </c>
      <c r="G1" s="39" t="inlineStr">
        <is>
          <t>Amount</t>
        </is>
      </c>
      <c r="H1" s="57" t="inlineStr">
        <is>
          <t>Date</t>
        </is>
      </c>
      <c r="I1" s="39" t="inlineStr">
        <is>
          <t>Amount</t>
        </is>
      </c>
      <c r="J1" s="100" t="inlineStr">
        <is>
          <t>Date</t>
        </is>
      </c>
      <c r="K1" s="100" t="inlineStr">
        <is>
          <t>Total</t>
        </is>
      </c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  <c r="AA1" s="100" t="n"/>
    </row>
    <row r="2" ht="15" customHeight="1">
      <c r="A2" s="42" t="inlineStr">
        <is>
          <t>F1</t>
        </is>
      </c>
      <c r="B2" s="42">
        <f>VLOOKUP(A2,Members!$A$2:$B$65,2,FALSE)</f>
        <v/>
      </c>
      <c r="C2" s="47" t="n"/>
      <c r="D2" s="50" t="n"/>
      <c r="E2" s="47" t="n"/>
      <c r="F2" s="50" t="n"/>
      <c r="G2" s="47" t="n"/>
      <c r="H2" s="58" t="n"/>
      <c r="I2" s="47" t="n"/>
      <c r="J2" s="47" t="n"/>
      <c r="K2" s="47">
        <f>SUM(C2,E2,G2,I2)</f>
        <v/>
      </c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</row>
    <row r="3" ht="15" customHeight="1">
      <c r="A3" s="40" t="inlineStr">
        <is>
          <t>F2</t>
        </is>
      </c>
      <c r="B3" s="40">
        <f>VLOOKUP(A3,Members!$A$2:$B$65,2,FALSE)</f>
        <v/>
      </c>
      <c r="C3" s="104" t="n"/>
      <c r="D3" s="53" t="n"/>
      <c r="E3" s="104" t="n"/>
      <c r="F3" s="53" t="n"/>
      <c r="G3" s="104" t="n"/>
      <c r="H3" s="59" t="n"/>
      <c r="I3" s="104" t="n"/>
      <c r="J3" s="104" t="n"/>
      <c r="K3" s="104">
        <f>SUM(C3,E3,G3,I3)</f>
        <v/>
      </c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</row>
    <row r="4" ht="15" customHeight="1">
      <c r="A4" s="42" t="inlineStr">
        <is>
          <t>F3</t>
        </is>
      </c>
      <c r="B4" s="42">
        <f>VLOOKUP(A4,Members!$A$2:$B$65,2,FALSE)</f>
        <v/>
      </c>
      <c r="C4" s="47" t="n"/>
      <c r="D4" s="50" t="n"/>
      <c r="E4" s="43" t="n"/>
      <c r="F4" s="50" t="n"/>
      <c r="G4" s="47" t="n"/>
      <c r="H4" s="58" t="n"/>
      <c r="I4" s="47" t="n"/>
      <c r="J4" s="47" t="n"/>
      <c r="K4" s="47">
        <f>SUM(C4,E4,G4,I4)</f>
        <v/>
      </c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</row>
    <row r="5" ht="15" customHeight="1">
      <c r="A5" s="40" t="inlineStr">
        <is>
          <t>F4</t>
        </is>
      </c>
      <c r="B5" s="40">
        <f>VLOOKUP(A5,Members!$A$2:$B$65,2,FALSE)</f>
        <v/>
      </c>
      <c r="C5" s="41" t="n"/>
      <c r="D5" s="53" t="n"/>
      <c r="E5" s="104" t="n"/>
      <c r="F5" s="53" t="n"/>
      <c r="G5" s="104" t="n"/>
      <c r="H5" s="59" t="n"/>
      <c r="I5" s="104" t="n"/>
      <c r="J5" s="104" t="n"/>
      <c r="K5" s="41">
        <f>SUM(C5,E5,G5,I5)</f>
        <v/>
      </c>
      <c r="L5" s="104" t="n"/>
      <c r="M5" s="104" t="n"/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</row>
    <row r="6" ht="15" customHeight="1">
      <c r="A6" s="42" t="inlineStr">
        <is>
          <t>F5</t>
        </is>
      </c>
      <c r="B6" s="42">
        <f>VLOOKUP(A6,Members!$A$2:$B$65,2,FALSE)</f>
        <v/>
      </c>
      <c r="C6" s="43" t="n"/>
      <c r="D6" s="50" t="n"/>
      <c r="E6" s="47" t="n"/>
      <c r="F6" s="50" t="n"/>
      <c r="G6" s="47" t="n"/>
      <c r="H6" s="58" t="n"/>
      <c r="I6" s="47" t="n"/>
      <c r="J6" s="47" t="n"/>
      <c r="K6" s="43">
        <f>SUM(C6,E6,G6,I6)</f>
        <v/>
      </c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  <c r="AA6" s="47" t="n"/>
    </row>
    <row r="7" ht="15" customHeight="1">
      <c r="A7" s="40" t="inlineStr">
        <is>
          <t>F6</t>
        </is>
      </c>
      <c r="B7" s="40">
        <f>VLOOKUP(A7,Members!$A$2:$B$65,2,FALSE)</f>
        <v/>
      </c>
      <c r="C7" s="41" t="n"/>
      <c r="D7" s="53" t="n"/>
      <c r="E7" s="104" t="n"/>
      <c r="F7" s="53" t="n"/>
      <c r="G7" s="104" t="n"/>
      <c r="H7" s="59" t="n"/>
      <c r="I7" s="104" t="n"/>
      <c r="J7" s="104" t="n"/>
      <c r="K7" s="41">
        <f>SUM(C7,E7,G7,I7)</f>
        <v/>
      </c>
      <c r="L7" s="104" t="n"/>
      <c r="M7" s="104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</row>
    <row r="8" ht="15" customHeight="1">
      <c r="A8" s="42" t="inlineStr">
        <is>
          <t>F7</t>
        </is>
      </c>
      <c r="B8" s="42">
        <f>VLOOKUP(A8,Members!$A$2:$B$65,2,FALSE)</f>
        <v/>
      </c>
      <c r="C8" s="47" t="n"/>
      <c r="D8" s="50" t="n"/>
      <c r="E8" s="47" t="n"/>
      <c r="F8" s="50" t="n"/>
      <c r="G8" s="47" t="n"/>
      <c r="H8" s="58" t="n"/>
      <c r="I8" s="47" t="n"/>
      <c r="J8" s="47" t="n"/>
      <c r="K8" s="47">
        <f>SUM(C8,E8,G8,I8)</f>
        <v/>
      </c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  <c r="AA8" s="47" t="n"/>
    </row>
    <row r="9" ht="15" customHeight="1">
      <c r="A9" s="40" t="inlineStr">
        <is>
          <t>F8</t>
        </is>
      </c>
      <c r="B9" s="40">
        <f>VLOOKUP(A9,Members!$A$2:$B$65,2,FALSE)</f>
        <v/>
      </c>
      <c r="C9" s="41" t="n"/>
      <c r="D9" s="53" t="n"/>
      <c r="E9" s="104" t="n"/>
      <c r="F9" s="53" t="n"/>
      <c r="G9" s="104" t="n"/>
      <c r="H9" s="59" t="n"/>
      <c r="I9" s="104" t="n"/>
      <c r="J9" s="104" t="n"/>
      <c r="K9" s="41">
        <f>SUM(C9,E9,G9,I9)</f>
        <v/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</row>
    <row r="10" ht="15" customHeight="1">
      <c r="A10" s="42" t="inlineStr">
        <is>
          <t>F9</t>
        </is>
      </c>
      <c r="B10" s="42">
        <f>VLOOKUP(A10,Members!$A$2:$B$65,2,FALSE)</f>
        <v/>
      </c>
      <c r="C10" s="43" t="n"/>
      <c r="D10" s="50" t="n"/>
      <c r="E10" s="47" t="n"/>
      <c r="F10" s="50" t="n"/>
      <c r="G10" s="47" t="n"/>
      <c r="H10" s="58" t="n"/>
      <c r="I10" s="47" t="n"/>
      <c r="J10" s="47" t="n"/>
      <c r="K10" s="43">
        <f>SUM(C10,E10,G10,I10)</f>
        <v/>
      </c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  <c r="AA10" s="47" t="n"/>
    </row>
    <row r="11" ht="15" customHeight="1">
      <c r="A11" s="40" t="inlineStr">
        <is>
          <t>F10</t>
        </is>
      </c>
      <c r="B11" s="40">
        <f>VLOOKUP(A11,Members!$A$2:$B$65,2,FALSE)</f>
        <v/>
      </c>
      <c r="C11" s="41" t="n"/>
      <c r="D11" s="53" t="n"/>
      <c r="E11" s="104" t="n"/>
      <c r="F11" s="53" t="n"/>
      <c r="G11" s="104" t="n"/>
      <c r="H11" s="59" t="n"/>
      <c r="I11" s="104" t="n"/>
      <c r="J11" s="104" t="n"/>
      <c r="K11" s="41">
        <f>SUM(C11,E11,G11,I11)</f>
        <v/>
      </c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</row>
    <row r="12" ht="15" customHeight="1">
      <c r="A12" s="42" t="inlineStr">
        <is>
          <t>F11</t>
        </is>
      </c>
      <c r="B12" s="42">
        <f>VLOOKUP(A12,Members!$A$2:$B$65,2,FALSE)</f>
        <v/>
      </c>
      <c r="C12" s="43" t="n"/>
      <c r="D12" s="50" t="n"/>
      <c r="E12" s="47" t="n"/>
      <c r="F12" s="50" t="n"/>
      <c r="G12" s="47" t="n"/>
      <c r="H12" s="58" t="n"/>
      <c r="I12" s="47" t="n"/>
      <c r="J12" s="47" t="n"/>
      <c r="K12" s="43">
        <f>SUM(C12,E12,G12,I12)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</row>
    <row r="13" ht="15" customHeight="1">
      <c r="A13" s="40" t="inlineStr">
        <is>
          <t>F12</t>
        </is>
      </c>
      <c r="B13" s="40">
        <f>VLOOKUP(A13,Members!$A$2:$B$65,2,FALSE)</f>
        <v/>
      </c>
      <c r="C13" s="41" t="n"/>
      <c r="D13" s="53" t="n"/>
      <c r="E13" s="104" t="n"/>
      <c r="F13" s="53" t="n"/>
      <c r="G13" s="104" t="n"/>
      <c r="H13" s="59" t="n"/>
      <c r="I13" s="104" t="n"/>
      <c r="J13" s="104" t="n"/>
      <c r="K13" s="41">
        <f>SUM(C13,E13,G13,I13)</f>
        <v/>
      </c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</row>
    <row r="14" ht="15" customHeight="1">
      <c r="A14" s="42" t="inlineStr">
        <is>
          <t>F13</t>
        </is>
      </c>
      <c r="B14" s="42">
        <f>VLOOKUP(A14,Members!$A$2:$B$65,2,FALSE)</f>
        <v/>
      </c>
      <c r="C14" s="43" t="n"/>
      <c r="D14" s="50" t="n"/>
      <c r="E14" s="47" t="n"/>
      <c r="F14" s="50" t="n"/>
      <c r="G14" s="47" t="n"/>
      <c r="H14" s="58" t="n"/>
      <c r="I14" s="47" t="n"/>
      <c r="J14" s="47" t="n"/>
      <c r="K14" s="43">
        <f>SUM(C14,E14,G14,I14)</f>
        <v/>
      </c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  <c r="AA14" s="47" t="n"/>
    </row>
    <row r="15" ht="15" customHeight="1">
      <c r="A15" s="40" t="inlineStr">
        <is>
          <t>F14</t>
        </is>
      </c>
      <c r="B15" s="40">
        <f>VLOOKUP(A15,Members!$A$2:$B$65,2,FALSE)</f>
        <v/>
      </c>
      <c r="C15" s="41" t="n"/>
      <c r="D15" s="53" t="n"/>
      <c r="E15" s="104" t="n"/>
      <c r="F15" s="53" t="n"/>
      <c r="G15" s="104" t="n"/>
      <c r="H15" s="59" t="n"/>
      <c r="I15" s="104" t="n"/>
      <c r="J15" s="104" t="n"/>
      <c r="K15" s="41">
        <f>SUM(C15,E15,G15,I15)</f>
        <v/>
      </c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</row>
    <row r="16" ht="15" customHeight="1">
      <c r="A16" s="42" t="inlineStr">
        <is>
          <t>F15</t>
        </is>
      </c>
      <c r="B16" s="42">
        <f>VLOOKUP(A16,Members!$A$2:$B$65,2,FALSE)</f>
        <v/>
      </c>
      <c r="C16" s="43" t="n"/>
      <c r="D16" s="50" t="n"/>
      <c r="E16" s="47" t="n"/>
      <c r="F16" s="50" t="n"/>
      <c r="G16" s="47" t="n"/>
      <c r="H16" s="58" t="n"/>
      <c r="I16" s="47" t="n"/>
      <c r="J16" s="47" t="n"/>
      <c r="K16" s="43">
        <f>SUM(C16,E16,G16,I16)</f>
        <v/>
      </c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  <c r="AA16" s="47" t="n"/>
    </row>
    <row r="17" ht="15" customHeight="1">
      <c r="A17" s="40" t="inlineStr">
        <is>
          <t>F16</t>
        </is>
      </c>
      <c r="B17" s="40">
        <f>VLOOKUP(A17,Members!$A$2:$B$65,2,FALSE)</f>
        <v/>
      </c>
      <c r="C17" s="104" t="n"/>
      <c r="D17" s="53" t="n"/>
      <c r="E17" s="104" t="n"/>
      <c r="F17" s="53" t="n"/>
      <c r="G17" s="104" t="n"/>
      <c r="H17" s="59" t="n"/>
      <c r="I17" s="104" t="n"/>
      <c r="J17" s="104" t="n"/>
      <c r="K17" s="104">
        <f>SUM(C17,E17,G17,I17)</f>
        <v/>
      </c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</row>
    <row r="18" ht="15" customHeight="1">
      <c r="A18" s="42" t="inlineStr">
        <is>
          <t>G1</t>
        </is>
      </c>
      <c r="B18" s="42">
        <f>VLOOKUP(A18,Members!$A$2:$B$65,2,FALSE)</f>
        <v/>
      </c>
      <c r="C18" s="43" t="n"/>
      <c r="D18" s="50" t="n"/>
      <c r="E18" s="43" t="n"/>
      <c r="F18" s="50" t="n"/>
      <c r="G18" s="47" t="n"/>
      <c r="H18" s="58" t="n"/>
      <c r="I18" s="47" t="n"/>
      <c r="J18" s="47" t="n"/>
      <c r="K18" s="43">
        <f>SUM(C18,E18,G18,I18)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</row>
    <row r="19" ht="15" customHeight="1">
      <c r="A19" s="40" t="inlineStr">
        <is>
          <t>G2</t>
        </is>
      </c>
      <c r="B19" s="40">
        <f>VLOOKUP(A19,Members!$A$2:$B$65,2,FALSE)</f>
        <v/>
      </c>
      <c r="C19" s="41" t="n"/>
      <c r="D19" s="53" t="n"/>
      <c r="E19" s="104" t="n"/>
      <c r="F19" s="53" t="n"/>
      <c r="G19" s="104" t="n"/>
      <c r="H19" s="59" t="n"/>
      <c r="I19" s="104" t="n"/>
      <c r="J19" s="104" t="n"/>
      <c r="K19" s="41">
        <f>SUM(C19,E19,G19,I19)</f>
        <v/>
      </c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</row>
    <row r="20" ht="15" customHeight="1">
      <c r="A20" s="42" t="inlineStr">
        <is>
          <t>G3</t>
        </is>
      </c>
      <c r="B20" s="42">
        <f>VLOOKUP(A20,Members!$A$2:$B$65,2,FALSE)</f>
        <v/>
      </c>
      <c r="C20" s="43" t="n"/>
      <c r="D20" s="50" t="n"/>
      <c r="E20" s="47" t="n"/>
      <c r="F20" s="50" t="n"/>
      <c r="G20" s="47" t="n"/>
      <c r="H20" s="58" t="n"/>
      <c r="I20" s="47" t="n"/>
      <c r="J20" s="47" t="n"/>
      <c r="K20" s="43">
        <f>SUM(C20,E20,G20,I20)</f>
        <v/>
      </c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</row>
    <row r="21" ht="15" customHeight="1">
      <c r="A21" s="40" t="inlineStr">
        <is>
          <t>G4</t>
        </is>
      </c>
      <c r="B21" s="40">
        <f>VLOOKUP(A21,Members!$A$2:$B$65,2,FALSE)</f>
        <v/>
      </c>
      <c r="C21" s="41" t="n"/>
      <c r="D21" s="53" t="n"/>
      <c r="E21" s="104" t="n"/>
      <c r="F21" s="53" t="n"/>
      <c r="G21" s="104" t="n"/>
      <c r="H21" s="59" t="n"/>
      <c r="I21" s="104" t="n"/>
      <c r="J21" s="104" t="n"/>
      <c r="K21" s="41">
        <f>SUM(C21,E21,G21,I21)</f>
        <v/>
      </c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</row>
    <row r="22" ht="15.95" customHeight="1">
      <c r="A22" s="42" t="inlineStr">
        <is>
          <t>G5</t>
        </is>
      </c>
      <c r="B22" s="42">
        <f>VLOOKUP(A22,Members!$A$2:$B$65,2,FALSE)</f>
        <v/>
      </c>
      <c r="C22" s="43" t="n"/>
      <c r="D22" s="50" t="n"/>
      <c r="E22" s="47" t="n"/>
      <c r="F22" s="50" t="n"/>
      <c r="G22" s="47" t="n"/>
      <c r="H22" s="58" t="n"/>
      <c r="I22" s="47" t="n"/>
      <c r="J22" s="47" t="n"/>
      <c r="K22" s="43">
        <f>SUM(C22,E22,G22,I22)</f>
        <v/>
      </c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</row>
    <row r="23" ht="15.95" customHeight="1">
      <c r="A23" s="40" t="inlineStr">
        <is>
          <t>G6</t>
        </is>
      </c>
      <c r="B23" s="40">
        <f>VLOOKUP(A23,Members!$A$2:$B$65,2,FALSE)</f>
        <v/>
      </c>
      <c r="C23" s="104" t="n"/>
      <c r="D23" s="53" t="n"/>
      <c r="E23" s="104" t="n"/>
      <c r="F23" s="53" t="n"/>
      <c r="G23" s="104" t="n"/>
      <c r="H23" s="59" t="n"/>
      <c r="I23" s="104" t="n"/>
      <c r="J23" s="104" t="n"/>
      <c r="K23" s="104">
        <f>SUM(C23,E23,G23,I23)</f>
        <v/>
      </c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</row>
    <row r="24" ht="15.95" customHeight="1">
      <c r="A24" s="42" t="inlineStr">
        <is>
          <t>G7</t>
        </is>
      </c>
      <c r="B24" s="42">
        <f>VLOOKUP(A24,Members!$A$2:$B$65,2,FALSE)</f>
        <v/>
      </c>
      <c r="C24" s="43" t="n"/>
      <c r="D24" s="50" t="n"/>
      <c r="E24" s="47" t="n"/>
      <c r="F24" s="50" t="n"/>
      <c r="G24" s="47" t="n"/>
      <c r="H24" s="58" t="n"/>
      <c r="I24" s="47" t="n"/>
      <c r="J24" s="47" t="n"/>
      <c r="K24" s="43">
        <f>SUM(C24,E24,G24,I24)</f>
        <v/>
      </c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</row>
    <row r="25" ht="15.95" customHeight="1">
      <c r="A25" s="40" t="inlineStr">
        <is>
          <t>G8</t>
        </is>
      </c>
      <c r="B25" s="40">
        <f>VLOOKUP(A25,Members!$A$2:$B$65,2,FALSE)</f>
        <v/>
      </c>
      <c r="C25" s="104" t="n"/>
      <c r="D25" s="53" t="n"/>
      <c r="E25" s="104" t="n"/>
      <c r="F25" s="53" t="n"/>
      <c r="G25" s="104" t="n"/>
      <c r="H25" s="59" t="n"/>
      <c r="I25" s="104" t="n"/>
      <c r="J25" s="104" t="n"/>
      <c r="K25" s="104">
        <f>SUM(C25,E25,G25,I25)</f>
        <v/>
      </c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</row>
    <row r="26" ht="15.95" customHeight="1">
      <c r="A26" s="42" t="inlineStr">
        <is>
          <t>G9</t>
        </is>
      </c>
      <c r="B26" s="42">
        <f>VLOOKUP(A26,Members!$A$2:$B$65,2,FALSE)</f>
        <v/>
      </c>
      <c r="C26" s="43" t="n"/>
      <c r="D26" s="50" t="n"/>
      <c r="E26" s="47" t="n"/>
      <c r="F26" s="50" t="n"/>
      <c r="G26" s="47" t="n"/>
      <c r="H26" s="58" t="n"/>
      <c r="I26" s="47" t="n"/>
      <c r="J26" s="47" t="n"/>
      <c r="K26" s="43">
        <f>SUM(C26,E26,G26,I26)</f>
        <v/>
      </c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</row>
    <row r="27" ht="15.95" customHeight="1">
      <c r="A27" s="40" t="inlineStr">
        <is>
          <t>G10</t>
        </is>
      </c>
      <c r="B27" s="40">
        <f>VLOOKUP(A27,Members!$A$2:$B$65,2,FALSE)</f>
        <v/>
      </c>
      <c r="C27" s="41" t="n"/>
      <c r="D27" s="53" t="n"/>
      <c r="E27" s="104" t="n"/>
      <c r="F27" s="53" t="n"/>
      <c r="G27" s="104" t="n"/>
      <c r="H27" s="59" t="n"/>
      <c r="I27" s="104" t="n"/>
      <c r="J27" s="104" t="n"/>
      <c r="K27" s="41">
        <f>SUM(C27,E27,G27,I27)</f>
        <v/>
      </c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</row>
    <row r="28" ht="15.95" customHeight="1">
      <c r="A28" s="42" t="inlineStr">
        <is>
          <t>G11</t>
        </is>
      </c>
      <c r="B28" s="42">
        <f>VLOOKUP(A28,Members!$A$2:$B$65,2,FALSE)</f>
        <v/>
      </c>
      <c r="C28" s="43" t="n"/>
      <c r="D28" s="50" t="n"/>
      <c r="E28" s="47" t="n"/>
      <c r="F28" s="50" t="n"/>
      <c r="G28" s="47" t="n"/>
      <c r="H28" s="58" t="n"/>
      <c r="I28" s="47" t="n"/>
      <c r="J28" s="47" t="n"/>
      <c r="K28" s="43">
        <f>SUM(C28,E28,G28,I28)</f>
        <v/>
      </c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</row>
    <row r="29" ht="15.95" customHeight="1">
      <c r="A29" s="40" t="inlineStr">
        <is>
          <t>G12</t>
        </is>
      </c>
      <c r="B29" s="40">
        <f>VLOOKUP(A29,Members!$A$2:$B$65,2,FALSE)</f>
        <v/>
      </c>
      <c r="C29" s="41" t="n"/>
      <c r="D29" s="53" t="n"/>
      <c r="E29" s="104" t="n"/>
      <c r="F29" s="53" t="n"/>
      <c r="G29" s="104" t="n"/>
      <c r="H29" s="59" t="n"/>
      <c r="I29" s="104" t="n"/>
      <c r="J29" s="104" t="n"/>
      <c r="K29" s="41">
        <f>SUM(C29,E29,G29,I29)</f>
        <v/>
      </c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</row>
    <row r="30" ht="15.95" customHeight="1">
      <c r="A30" s="42" t="inlineStr">
        <is>
          <t>G13</t>
        </is>
      </c>
      <c r="B30" s="42">
        <f>VLOOKUP(A30,Members!$A$2:$B$65,2,FALSE)</f>
        <v/>
      </c>
      <c r="C30" s="47" t="n"/>
      <c r="D30" s="50" t="n"/>
      <c r="E30" s="47" t="n"/>
      <c r="F30" s="50" t="n"/>
      <c r="G30" s="47" t="n"/>
      <c r="H30" s="58" t="n"/>
      <c r="I30" s="47" t="n"/>
      <c r="J30" s="47" t="n"/>
      <c r="K30" s="47">
        <f>SUM(C30,E30,G30,I30)</f>
        <v/>
      </c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</row>
    <row r="31" ht="15.95" customHeight="1">
      <c r="A31" s="40" t="inlineStr">
        <is>
          <t>G14</t>
        </is>
      </c>
      <c r="B31" s="40">
        <f>VLOOKUP(A31,Members!$A$2:$B$65,2,FALSE)</f>
        <v/>
      </c>
      <c r="C31" s="41" t="n"/>
      <c r="D31" s="53" t="n"/>
      <c r="E31" s="104" t="n"/>
      <c r="F31" s="53" t="n"/>
      <c r="G31" s="104" t="n"/>
      <c r="H31" s="59" t="n"/>
      <c r="I31" s="104" t="n"/>
      <c r="J31" s="104" t="n"/>
      <c r="K31" s="41">
        <f>SUM(C31,E31,G31,I31)</f>
        <v/>
      </c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</row>
    <row r="32" ht="15.95" customHeight="1">
      <c r="A32" s="42" t="inlineStr">
        <is>
          <t>G15</t>
        </is>
      </c>
      <c r="B32" s="42">
        <f>VLOOKUP(A32,Members!$A$2:$B$65,2,FALSE)</f>
        <v/>
      </c>
      <c r="C32" s="43" t="n"/>
      <c r="D32" s="50" t="n"/>
      <c r="E32" s="47" t="n"/>
      <c r="F32" s="50" t="n"/>
      <c r="G32" s="47" t="n"/>
      <c r="H32" s="58" t="n"/>
      <c r="I32" s="47" t="n"/>
      <c r="J32" s="47" t="n"/>
      <c r="K32" s="43">
        <f>SUM(C32,E32,G32,I32)</f>
        <v/>
      </c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</row>
    <row r="33" ht="15.95" customHeight="1">
      <c r="A33" s="40" t="inlineStr">
        <is>
          <t>G16</t>
        </is>
      </c>
      <c r="B33" s="40">
        <f>VLOOKUP(A33,Members!$A$2:$B$65,2,FALSE)</f>
        <v/>
      </c>
      <c r="C33" s="41" t="n"/>
      <c r="D33" s="53" t="n"/>
      <c r="E33" s="104" t="n"/>
      <c r="F33" s="53" t="n"/>
      <c r="G33" s="104" t="n"/>
      <c r="H33" s="59" t="n"/>
      <c r="I33" s="104" t="n"/>
      <c r="J33" s="104" t="n"/>
      <c r="K33" s="41">
        <f>SUM(C33,E33,G33,I33)</f>
        <v/>
      </c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</row>
    <row r="34" ht="15.95" customHeight="1">
      <c r="A34" s="42" t="inlineStr">
        <is>
          <t>S1</t>
        </is>
      </c>
      <c r="B34" s="42">
        <f>VLOOKUP(A34,Members!$A$2:$B$65,2,FALSE)</f>
        <v/>
      </c>
      <c r="C34" s="43" t="n"/>
      <c r="D34" s="50" t="n"/>
      <c r="E34" s="47" t="n"/>
      <c r="F34" s="50" t="n"/>
      <c r="G34" s="47" t="n"/>
      <c r="H34" s="58" t="n"/>
      <c r="I34" s="47" t="n"/>
      <c r="J34" s="47" t="n"/>
      <c r="K34" s="43">
        <f>SUM(C34,E34,G34,I34)</f>
        <v/>
      </c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  <c r="AA34" s="47" t="n"/>
    </row>
    <row r="35" ht="15.95" customHeight="1">
      <c r="A35" s="40" t="inlineStr">
        <is>
          <t>S2</t>
        </is>
      </c>
      <c r="B35" s="40">
        <f>VLOOKUP(A35,Members!$A$2:$B$65,2,FALSE)</f>
        <v/>
      </c>
      <c r="C35" s="41" t="n"/>
      <c r="D35" s="53" t="n"/>
      <c r="E35" s="104" t="n"/>
      <c r="F35" s="53" t="n"/>
      <c r="G35" s="104" t="n"/>
      <c r="H35" s="59" t="n"/>
      <c r="I35" s="104" t="n"/>
      <c r="J35" s="104" t="n"/>
      <c r="K35" s="41">
        <f>SUM(C35,E35,G35,I35)</f>
        <v/>
      </c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</row>
    <row r="36" ht="15.95" customHeight="1">
      <c r="A36" s="42" t="inlineStr">
        <is>
          <t>S3</t>
        </is>
      </c>
      <c r="B36" s="42">
        <f>VLOOKUP(A36,Members!$A$2:$B$65,2,FALSE)</f>
        <v/>
      </c>
      <c r="C36" s="43" t="n"/>
      <c r="D36" s="50" t="n"/>
      <c r="E36" s="47" t="n"/>
      <c r="F36" s="50" t="n"/>
      <c r="G36" s="47" t="n"/>
      <c r="H36" s="58" t="n"/>
      <c r="I36" s="47" t="n"/>
      <c r="J36" s="47" t="n"/>
      <c r="K36" s="43">
        <f>SUM(C36,E36,G36,I36)</f>
        <v/>
      </c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</row>
    <row r="37" ht="15.95" customHeight="1">
      <c r="A37" s="40" t="inlineStr">
        <is>
          <t>S4</t>
        </is>
      </c>
      <c r="B37" s="40">
        <f>VLOOKUP(A37,Members!$A$2:$B$65,2,FALSE)</f>
        <v/>
      </c>
      <c r="C37" s="41" t="n"/>
      <c r="D37" s="53" t="n"/>
      <c r="E37" s="104" t="n"/>
      <c r="F37" s="53" t="n"/>
      <c r="G37" s="104" t="n"/>
      <c r="H37" s="59" t="n"/>
      <c r="I37" s="104" t="n"/>
      <c r="J37" s="104" t="n"/>
      <c r="K37" s="41">
        <f>SUM(C37,E37,G37,I37)</f>
        <v/>
      </c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</row>
    <row r="38" ht="15.95" customHeight="1">
      <c r="A38" s="42" t="inlineStr">
        <is>
          <t>S5</t>
        </is>
      </c>
      <c r="B38" s="42">
        <f>VLOOKUP(A38,Members!$A$2:$B$65,2,FALSE)</f>
        <v/>
      </c>
      <c r="C38" s="43" t="n"/>
      <c r="D38" s="50" t="n"/>
      <c r="E38" s="47" t="n"/>
      <c r="F38" s="50" t="n"/>
      <c r="G38" s="47" t="n"/>
      <c r="H38" s="58" t="n"/>
      <c r="I38" s="47" t="n"/>
      <c r="J38" s="47" t="n"/>
      <c r="K38" s="43">
        <f>SUM(C38,E38,G38,I38)</f>
        <v/>
      </c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</row>
    <row r="39" ht="15.95" customHeight="1">
      <c r="A39" s="40" t="inlineStr">
        <is>
          <t>S6</t>
        </is>
      </c>
      <c r="B39" s="40">
        <f>VLOOKUP(A39,Members!$A$2:$B$65,2,FALSE)</f>
        <v/>
      </c>
      <c r="C39" s="104" t="n"/>
      <c r="D39" s="53" t="n"/>
      <c r="E39" s="104" t="n"/>
      <c r="F39" s="53" t="n"/>
      <c r="G39" s="104" t="n"/>
      <c r="H39" s="59" t="n"/>
      <c r="I39" s="104" t="n"/>
      <c r="J39" s="104" t="n"/>
      <c r="K39" s="104">
        <f>SUM(C39,E39,G39,I39)</f>
        <v/>
      </c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</row>
    <row r="40" ht="15.95" customHeight="1">
      <c r="A40" s="42" t="inlineStr">
        <is>
          <t>S7</t>
        </is>
      </c>
      <c r="B40" s="42">
        <f>VLOOKUP(A40,Members!$A$2:$B$65,2,FALSE)</f>
        <v/>
      </c>
      <c r="C40" s="43" t="n"/>
      <c r="D40" s="50" t="n"/>
      <c r="E40" s="47" t="n"/>
      <c r="F40" s="50" t="n"/>
      <c r="G40" s="47" t="n"/>
      <c r="H40" s="58" t="n"/>
      <c r="I40" s="47" t="n"/>
      <c r="J40" s="47" t="n"/>
      <c r="K40" s="43">
        <f>SUM(C40,E40,G40,I40)</f>
        <v/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  <c r="AA40" s="47" t="n"/>
    </row>
    <row r="41" ht="15.95" customHeight="1">
      <c r="A41" s="40" t="inlineStr">
        <is>
          <t>S8</t>
        </is>
      </c>
      <c r="B41" s="40">
        <f>VLOOKUP(A41,Members!$A$2:$B$65,2,FALSE)</f>
        <v/>
      </c>
      <c r="C41" s="41" t="n"/>
      <c r="D41" s="53" t="n"/>
      <c r="E41" s="104" t="n"/>
      <c r="F41" s="53" t="n"/>
      <c r="G41" s="104" t="n"/>
      <c r="H41" s="59" t="n"/>
      <c r="I41" s="104" t="n"/>
      <c r="J41" s="104" t="n"/>
      <c r="K41" s="41">
        <f>SUM(C41,E41,G41,I41)</f>
        <v/>
      </c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</row>
    <row r="42" ht="15.95" customHeight="1">
      <c r="A42" s="42" t="inlineStr">
        <is>
          <t>S9</t>
        </is>
      </c>
      <c r="B42" s="42">
        <f>VLOOKUP(A42,Members!$A$2:$B$65,2,FALSE)</f>
        <v/>
      </c>
      <c r="C42" s="43" t="n"/>
      <c r="D42" s="50" t="n"/>
      <c r="E42" s="47" t="n"/>
      <c r="F42" s="50" t="n"/>
      <c r="G42" s="47" t="n"/>
      <c r="H42" s="58" t="n"/>
      <c r="I42" s="47" t="n"/>
      <c r="J42" s="47" t="n"/>
      <c r="K42" s="43">
        <f>SUM(C42,E42,G42,I42)</f>
        <v/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</row>
    <row r="43" ht="15.95" customHeight="1">
      <c r="A43" s="40" t="inlineStr">
        <is>
          <t>S10</t>
        </is>
      </c>
      <c r="B43" s="40">
        <f>VLOOKUP(A43,Members!$A$2:$B$65,2,FALSE)</f>
        <v/>
      </c>
      <c r="C43" s="41" t="n"/>
      <c r="D43" s="53" t="n"/>
      <c r="E43" s="104" t="n"/>
      <c r="F43" s="53" t="n"/>
      <c r="G43" s="104" t="n"/>
      <c r="H43" s="59" t="n"/>
      <c r="I43" s="104" t="n"/>
      <c r="J43" s="104" t="n"/>
      <c r="K43" s="41">
        <f>SUM(C43,E43,G43,I43)</f>
        <v/>
      </c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</row>
    <row r="44" ht="15.95" customHeight="1">
      <c r="A44" s="42" t="inlineStr">
        <is>
          <t>S11</t>
        </is>
      </c>
      <c r="B44" s="42">
        <f>VLOOKUP(A44,Members!$A$2:$B$65,2,FALSE)</f>
        <v/>
      </c>
      <c r="C44" s="43" t="n"/>
      <c r="D44" s="50" t="n"/>
      <c r="E44" s="47" t="n"/>
      <c r="F44" s="50" t="n"/>
      <c r="G44" s="47" t="n"/>
      <c r="H44" s="58" t="n"/>
      <c r="I44" s="47" t="n"/>
      <c r="J44" s="47" t="n"/>
      <c r="K44" s="43">
        <f>SUM(C44,E44,G44,I44)</f>
        <v/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</row>
    <row r="45" ht="15.95" customHeight="1">
      <c r="A45" s="40" t="inlineStr">
        <is>
          <t>S12</t>
        </is>
      </c>
      <c r="B45" s="40">
        <f>VLOOKUP(A45,Members!$A$2:$B$65,2,FALSE)</f>
        <v/>
      </c>
      <c r="C45" s="41" t="n"/>
      <c r="D45" s="53" t="n"/>
      <c r="E45" s="104" t="n"/>
      <c r="F45" s="53" t="n"/>
      <c r="G45" s="104" t="n"/>
      <c r="H45" s="59" t="n"/>
      <c r="I45" s="104" t="n"/>
      <c r="J45" s="104" t="n"/>
      <c r="K45" s="41">
        <f>SUM(C45,E45,G45,I45)</f>
        <v/>
      </c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</row>
    <row r="46" ht="15.95" customHeight="1">
      <c r="A46" s="42" t="inlineStr">
        <is>
          <t>S13</t>
        </is>
      </c>
      <c r="B46" s="42">
        <f>VLOOKUP(A46,Members!$A$2:$B$65,2,FALSE)</f>
        <v/>
      </c>
      <c r="C46" s="43" t="n"/>
      <c r="D46" s="50" t="n"/>
      <c r="E46" s="47" t="n"/>
      <c r="F46" s="50" t="n"/>
      <c r="G46" s="47" t="n"/>
      <c r="H46" s="58" t="n"/>
      <c r="I46" s="47" t="n"/>
      <c r="J46" s="47" t="n"/>
      <c r="K46" s="43">
        <f>SUM(C46,E46,G46,I46)</f>
        <v/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</row>
    <row r="47" ht="15.95" customHeight="1">
      <c r="A47" s="40" t="inlineStr">
        <is>
          <t>S14</t>
        </is>
      </c>
      <c r="B47" s="40">
        <f>VLOOKUP(A47,Members!$A$2:$B$65,2,FALSE)</f>
        <v/>
      </c>
      <c r="C47" s="104" t="n"/>
      <c r="D47" s="53" t="n"/>
      <c r="E47" s="104" t="n"/>
      <c r="F47" s="53" t="n"/>
      <c r="G47" s="104" t="n"/>
      <c r="H47" s="59" t="n"/>
      <c r="I47" s="104" t="n"/>
      <c r="J47" s="104" t="n"/>
      <c r="K47" s="104">
        <f>SUM(C47,E47,G47,I47)</f>
        <v/>
      </c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</row>
    <row r="48" ht="15.95" customHeight="1">
      <c r="A48" s="42" t="inlineStr">
        <is>
          <t>S15</t>
        </is>
      </c>
      <c r="B48" s="42">
        <f>VLOOKUP(A48,Members!$A$2:$B$65,2,FALSE)</f>
        <v/>
      </c>
      <c r="C48" s="43" t="n"/>
      <c r="D48" s="50" t="n"/>
      <c r="E48" s="47" t="n"/>
      <c r="F48" s="50" t="n"/>
      <c r="G48" s="47" t="n"/>
      <c r="H48" s="58" t="n"/>
      <c r="I48" s="47" t="n"/>
      <c r="J48" s="47" t="n"/>
      <c r="K48" s="43">
        <f>SUM(C48,E48,G48,I48)</f>
        <v/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</row>
    <row r="49" ht="15.95" customHeight="1">
      <c r="A49" s="40" t="inlineStr">
        <is>
          <t>S16</t>
        </is>
      </c>
      <c r="B49" s="40">
        <f>VLOOKUP(A49,Members!$A$2:$B$65,2,FALSE)</f>
        <v/>
      </c>
      <c r="C49" s="41" t="n"/>
      <c r="D49" s="53" t="n"/>
      <c r="E49" s="104" t="n"/>
      <c r="F49" s="53" t="n"/>
      <c r="G49" s="104" t="n"/>
      <c r="H49" s="59" t="n"/>
      <c r="I49" s="104" t="n"/>
      <c r="J49" s="104" t="n"/>
      <c r="K49" s="41">
        <f>SUM(C49,E49,G49,I49)</f>
        <v/>
      </c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</row>
    <row r="50" ht="15.95" customHeight="1">
      <c r="A50" s="42" t="inlineStr">
        <is>
          <t>T1</t>
        </is>
      </c>
      <c r="B50" s="42">
        <f>VLOOKUP(A50,Members!$A$2:$B$65,2,FALSE)</f>
        <v/>
      </c>
      <c r="C50" s="43" t="n"/>
      <c r="D50" s="51" t="n"/>
      <c r="E50" s="47" t="n"/>
      <c r="F50" s="50" t="n"/>
      <c r="G50" s="47" t="n"/>
      <c r="H50" s="58" t="n"/>
      <c r="I50" s="47" t="n"/>
      <c r="J50" s="47" t="n"/>
      <c r="K50" s="43">
        <f>SUM(C50,E50,G50,I50)</f>
        <v/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</row>
    <row r="51" ht="15.95" customHeight="1">
      <c r="A51" s="40" t="inlineStr">
        <is>
          <t>T2</t>
        </is>
      </c>
      <c r="B51" s="40">
        <f>VLOOKUP(A51,Members!$A$2:$B$65,2,FALSE)</f>
        <v/>
      </c>
      <c r="C51" s="41" t="n"/>
      <c r="D51" s="53" t="n"/>
      <c r="E51" s="104" t="n"/>
      <c r="F51" s="53" t="n"/>
      <c r="G51" s="104" t="n"/>
      <c r="H51" s="59" t="n"/>
      <c r="I51" s="104" t="n"/>
      <c r="J51" s="104" t="n"/>
      <c r="K51" s="41">
        <f>SUM(C51,E51,G51,I51)</f>
        <v/>
      </c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</row>
    <row r="52" ht="15.95" customHeight="1">
      <c r="A52" s="42" t="inlineStr">
        <is>
          <t>T3</t>
        </is>
      </c>
      <c r="B52" s="42">
        <f>VLOOKUP(A52,Members!$A$2:$B$65,2,FALSE)</f>
        <v/>
      </c>
      <c r="C52" s="43" t="n"/>
      <c r="D52" s="50" t="n"/>
      <c r="E52" s="47" t="n"/>
      <c r="F52" s="50" t="n"/>
      <c r="G52" s="47" t="n"/>
      <c r="H52" s="58" t="n"/>
      <c r="I52" s="47" t="n"/>
      <c r="J52" s="47" t="n"/>
      <c r="K52" s="43">
        <f>SUM(C52,E52,G52,I52)</f>
        <v/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</row>
    <row r="53" ht="15.95" customHeight="1">
      <c r="A53" s="40" t="inlineStr">
        <is>
          <t>T4</t>
        </is>
      </c>
      <c r="B53" s="40">
        <f>VLOOKUP(A53,Members!$A$2:$B$65,2,FALSE)</f>
        <v/>
      </c>
      <c r="C53" s="41" t="n"/>
      <c r="D53" s="53" t="n"/>
      <c r="E53" s="104" t="n"/>
      <c r="F53" s="53" t="n"/>
      <c r="G53" s="104" t="n"/>
      <c r="H53" s="59" t="n"/>
      <c r="I53" s="104" t="n"/>
      <c r="J53" s="104" t="n"/>
      <c r="K53" s="41">
        <f>SUM(C53,E53,G53,I53)</f>
        <v/>
      </c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</row>
    <row r="54" ht="15.95" customHeight="1">
      <c r="A54" s="42" t="inlineStr">
        <is>
          <t>T5</t>
        </is>
      </c>
      <c r="B54" s="42">
        <f>VLOOKUP(A54,Members!$A$2:$B$65,2,FALSE)</f>
        <v/>
      </c>
      <c r="C54" s="43" t="n"/>
      <c r="D54" s="50" t="n"/>
      <c r="E54" s="47" t="n"/>
      <c r="F54" s="50" t="n"/>
      <c r="G54" s="47" t="n"/>
      <c r="H54" s="58" t="n"/>
      <c r="I54" s="47" t="n"/>
      <c r="J54" s="47" t="n"/>
      <c r="K54" s="43">
        <f>SUM(C54,E54,G54,I54)</f>
        <v/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</row>
    <row r="55" ht="15.95" customHeight="1">
      <c r="A55" s="40" t="inlineStr">
        <is>
          <t>T6</t>
        </is>
      </c>
      <c r="B55" s="40">
        <f>VLOOKUP(A55,Members!$A$2:$B$65,2,FALSE)</f>
        <v/>
      </c>
      <c r="C55" s="41" t="n"/>
      <c r="D55" s="53" t="n"/>
      <c r="E55" s="104" t="n"/>
      <c r="F55" s="53" t="n"/>
      <c r="G55" s="104" t="n"/>
      <c r="H55" s="59" t="n"/>
      <c r="I55" s="104" t="n"/>
      <c r="J55" s="104" t="n"/>
      <c r="K55" s="41">
        <f>SUM(C55,E55,G55,I55)</f>
        <v/>
      </c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</row>
    <row r="56" ht="15.95" customHeight="1">
      <c r="A56" s="42" t="inlineStr">
        <is>
          <t>T7</t>
        </is>
      </c>
      <c r="B56" s="42">
        <f>VLOOKUP(A56,Members!$A$2:$B$65,2,FALSE)</f>
        <v/>
      </c>
      <c r="C56" s="47" t="n"/>
      <c r="D56" s="50" t="n"/>
      <c r="E56" s="47" t="n"/>
      <c r="F56" s="50" t="n"/>
      <c r="G56" s="47" t="n"/>
      <c r="H56" s="58" t="n"/>
      <c r="I56" s="47" t="n"/>
      <c r="J56" s="47" t="n"/>
      <c r="K56" s="47">
        <f>SUM(C56,E56,G56,I56)</f>
        <v/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</row>
    <row r="57" ht="15.95" customHeight="1">
      <c r="A57" s="40" t="inlineStr">
        <is>
          <t>T8</t>
        </is>
      </c>
      <c r="B57" s="40">
        <f>VLOOKUP(A57,Members!$A$2:$B$65,2,FALSE)</f>
        <v/>
      </c>
      <c r="C57" s="41" t="n"/>
      <c r="D57" s="53" t="n"/>
      <c r="E57" s="104" t="n"/>
      <c r="F57" s="53" t="n"/>
      <c r="G57" s="104" t="n"/>
      <c r="H57" s="59" t="n"/>
      <c r="I57" s="104" t="n"/>
      <c r="J57" s="104" t="n"/>
      <c r="K57" s="41">
        <f>SUM(C57,E57,G57,I57)</f>
        <v/>
      </c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</row>
    <row r="58" ht="15.95" customHeight="1">
      <c r="A58" s="42" t="inlineStr">
        <is>
          <t>T9</t>
        </is>
      </c>
      <c r="B58" s="42">
        <f>VLOOKUP(A58,Members!$A$2:$B$65,2,FALSE)</f>
        <v/>
      </c>
      <c r="C58" s="43" t="n"/>
      <c r="D58" s="50" t="n"/>
      <c r="E58" s="47" t="n"/>
      <c r="F58" s="50" t="n"/>
      <c r="G58" s="47" t="n"/>
      <c r="H58" s="58" t="n"/>
      <c r="I58" s="47" t="n"/>
      <c r="J58" s="47" t="n"/>
      <c r="K58" s="43">
        <f>SUM(C58,E58,G58,I58)</f>
        <v/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</row>
    <row r="59" ht="15.95" customHeight="1">
      <c r="A59" s="40" t="inlineStr">
        <is>
          <t>T10</t>
        </is>
      </c>
      <c r="B59" s="40">
        <f>VLOOKUP(A59,Members!$A$2:$B$65,2,FALSE)</f>
        <v/>
      </c>
      <c r="C59" s="41" t="n"/>
      <c r="D59" s="53" t="n"/>
      <c r="E59" s="104" t="n"/>
      <c r="F59" s="53" t="n"/>
      <c r="G59" s="104" t="n"/>
      <c r="H59" s="59" t="n"/>
      <c r="I59" s="104" t="n"/>
      <c r="J59" s="104" t="n"/>
      <c r="K59" s="41">
        <f>SUM(C59,E59,G59,I59)</f>
        <v/>
      </c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</row>
    <row r="60" ht="15.95" customHeight="1">
      <c r="A60" s="42" t="inlineStr">
        <is>
          <t>T11</t>
        </is>
      </c>
      <c r="B60" s="42">
        <f>VLOOKUP(A60,Members!$A$2:$B$65,2,FALSE)</f>
        <v/>
      </c>
      <c r="C60" s="43" t="n"/>
      <c r="D60" s="50" t="n"/>
      <c r="E60" s="47" t="n"/>
      <c r="F60" s="50" t="n"/>
      <c r="G60" s="47" t="n"/>
      <c r="H60" s="58" t="n"/>
      <c r="I60" s="47" t="n"/>
      <c r="J60" s="47" t="n"/>
      <c r="K60" s="43">
        <f>SUM(C60,E60,G60,I60)</f>
        <v/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</row>
    <row r="61" ht="15.95" customHeight="1">
      <c r="A61" s="40" t="inlineStr">
        <is>
          <t>T12</t>
        </is>
      </c>
      <c r="B61" s="40">
        <f>VLOOKUP(A61,Members!$A$2:$B$65,2,FALSE)</f>
        <v/>
      </c>
      <c r="C61" s="41" t="n"/>
      <c r="D61" s="53" t="n"/>
      <c r="E61" s="104" t="n"/>
      <c r="F61" s="53" t="n"/>
      <c r="G61" s="104" t="n"/>
      <c r="H61" s="59" t="n"/>
      <c r="I61" s="104" t="n"/>
      <c r="J61" s="104" t="n"/>
      <c r="K61" s="41">
        <f>SUM(C61,E61,G61,I61)</f>
        <v/>
      </c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</row>
    <row r="62" ht="15.95" customHeight="1">
      <c r="A62" s="42" t="inlineStr">
        <is>
          <t>T13</t>
        </is>
      </c>
      <c r="B62" s="42">
        <f>VLOOKUP(A62,Members!$A$2:$B$65,2,FALSE)</f>
        <v/>
      </c>
      <c r="C62" s="47" t="n"/>
      <c r="D62" s="49" t="n"/>
      <c r="E62" s="47" t="n"/>
      <c r="F62" s="50" t="n"/>
      <c r="G62" s="47" t="n"/>
      <c r="H62" s="58" t="n"/>
      <c r="I62" s="47" t="n"/>
      <c r="J62" s="47" t="n"/>
      <c r="K62" s="47">
        <f>SUM(C62,E62,G62,I62)</f>
        <v/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</row>
    <row r="63" ht="15.95" customHeight="1">
      <c r="A63" s="40" t="inlineStr">
        <is>
          <t>T14</t>
        </is>
      </c>
      <c r="B63" s="40">
        <f>VLOOKUP(A63,Members!$A$2:$B$65,2,FALSE)</f>
        <v/>
      </c>
      <c r="C63" s="41" t="n"/>
      <c r="D63" s="53" t="n"/>
      <c r="E63" s="104" t="n"/>
      <c r="F63" s="53" t="n"/>
      <c r="G63" s="104" t="n"/>
      <c r="H63" s="59" t="n"/>
      <c r="I63" s="104" t="n"/>
      <c r="J63" s="104" t="n"/>
      <c r="K63" s="41">
        <f>SUM(C63,E63,G63,I63)</f>
        <v/>
      </c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</row>
    <row r="64" ht="15.95" customHeight="1">
      <c r="A64" s="42" t="inlineStr">
        <is>
          <t>T15</t>
        </is>
      </c>
      <c r="B64" s="42">
        <f>VLOOKUP(A64,Members!$A$2:$B$65,2,FALSE)</f>
        <v/>
      </c>
      <c r="C64" s="43" t="n"/>
      <c r="D64" s="50" t="n"/>
      <c r="E64" s="47" t="n"/>
      <c r="F64" s="50" t="n"/>
      <c r="G64" s="47" t="n"/>
      <c r="H64" s="58" t="n"/>
      <c r="I64" s="47" t="n"/>
      <c r="J64" s="47" t="n"/>
      <c r="K64" s="43">
        <f>SUM(C64,E64,G64,I64)</f>
        <v/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</row>
    <row r="65" ht="15.95" customHeight="1">
      <c r="A65" s="40" t="inlineStr">
        <is>
          <t>T16</t>
        </is>
      </c>
      <c r="B65" s="40">
        <f>VLOOKUP(A65,Members!$A$2:$B$65,2,FALSE)</f>
        <v/>
      </c>
      <c r="C65" s="41" t="n"/>
      <c r="D65" s="53" t="n"/>
      <c r="E65" s="104" t="n"/>
      <c r="F65" s="53" t="n"/>
      <c r="G65" s="104" t="n"/>
      <c r="H65" s="59" t="n"/>
      <c r="I65" s="104" t="n"/>
      <c r="J65" s="104" t="n"/>
      <c r="K65" s="41">
        <f>SUM(C65,E65,G65,I65)</f>
        <v/>
      </c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</row>
    <row r="66">
      <c r="A66" s="44" t="inlineStr">
        <is>
          <t>TOTAL</t>
        </is>
      </c>
      <c r="B66" s="55" t="n"/>
      <c r="C66" s="56" t="n"/>
      <c r="D66" s="67" t="n"/>
      <c r="E66" s="56" t="n"/>
      <c r="F66" s="67" t="n"/>
      <c r="G66" s="56" t="n"/>
      <c r="H66" s="62" t="n"/>
      <c r="I66" s="56" t="n"/>
      <c r="J66" s="56" t="n"/>
      <c r="K66" s="56">
        <f>SUM(K2:K65)</f>
        <v/>
      </c>
      <c r="L66" s="56" t="n"/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  <c r="Z66" s="56" t="n"/>
      <c r="AA66" s="56" t="n"/>
    </row>
    <row r="67">
      <c r="D67" s="10" t="n"/>
      <c r="F67" s="9" t="n"/>
      <c r="H67" s="8" t="n"/>
    </row>
    <row r="68">
      <c r="D68" s="10" t="n"/>
      <c r="F68" s="9" t="n"/>
      <c r="H68" s="8" t="n"/>
    </row>
    <row r="69">
      <c r="D69" s="10" t="n"/>
      <c r="F69" s="9" t="n"/>
      <c r="H69" s="8" t="n"/>
    </row>
    <row r="70">
      <c r="A70" s="3" t="n"/>
      <c r="D70" s="10" t="n"/>
      <c r="F70" s="9" t="n"/>
      <c r="H70" s="8" t="n"/>
    </row>
    <row r="71">
      <c r="A71" s="3" t="n"/>
      <c r="D71" s="10" t="n"/>
      <c r="F71" s="9" t="n"/>
      <c r="H71" s="8" t="n"/>
    </row>
    <row r="72">
      <c r="A72" s="5" t="n"/>
      <c r="D72" s="10" t="n"/>
      <c r="F72" s="9" t="n"/>
      <c r="H72" s="8" t="n"/>
    </row>
    <row r="73">
      <c r="A73" s="5" t="n"/>
      <c r="D73" s="10" t="n"/>
      <c r="F73" s="9" t="n"/>
      <c r="H73" s="8" t="n"/>
    </row>
    <row r="74">
      <c r="A74" s="5" t="n"/>
      <c r="D74" s="10" t="n"/>
      <c r="F74" s="9" t="n"/>
      <c r="H74" s="8" t="n"/>
    </row>
    <row r="75">
      <c r="A75" s="5" t="n"/>
      <c r="D75" s="10" t="n"/>
      <c r="F75" s="9" t="n"/>
      <c r="H75" s="8" t="n"/>
    </row>
    <row r="76">
      <c r="A76" s="5" t="n"/>
      <c r="D76" s="10" t="n"/>
      <c r="F76" s="9" t="n"/>
      <c r="H76" s="8" t="n"/>
    </row>
    <row r="77">
      <c r="A77" s="5" t="n"/>
      <c r="D77" s="10" t="n"/>
      <c r="F77" s="9" t="n"/>
      <c r="H77" s="8" t="n"/>
    </row>
    <row r="78">
      <c r="A78" s="5" t="n"/>
      <c r="D78" s="10" t="n"/>
      <c r="F78" s="9" t="n"/>
      <c r="H78" s="8" t="n"/>
    </row>
    <row r="79">
      <c r="A79" s="5" t="n"/>
      <c r="D79" s="10" t="n"/>
      <c r="F79" s="9" t="n"/>
      <c r="H79" s="8" t="n"/>
    </row>
    <row r="80">
      <c r="A80" s="5" t="n"/>
      <c r="D80" s="10" t="n"/>
      <c r="F80" s="9" t="n"/>
      <c r="H80" s="8" t="n"/>
    </row>
    <row r="81">
      <c r="A81" s="5" t="n"/>
      <c r="D81" s="10" t="n"/>
      <c r="F81" s="9" t="n"/>
      <c r="H81" s="8" t="n"/>
    </row>
    <row r="82">
      <c r="A82" s="5" t="n"/>
      <c r="D82" s="10" t="n"/>
      <c r="F82" s="9" t="n"/>
      <c r="H82" s="8" t="n"/>
    </row>
    <row r="83">
      <c r="A83" s="5" t="n"/>
      <c r="D83" s="10" t="n"/>
      <c r="F83" s="9" t="n"/>
      <c r="H83" s="8" t="n"/>
    </row>
    <row r="84">
      <c r="A84" s="5" t="n"/>
      <c r="D84" s="10" t="n"/>
      <c r="F84" s="9" t="n"/>
      <c r="H84" s="8" t="n"/>
    </row>
    <row r="85">
      <c r="A85" s="5" t="n"/>
      <c r="D85" s="10" t="n"/>
      <c r="F85" s="9" t="n"/>
      <c r="H85" s="8" t="n"/>
    </row>
    <row r="86">
      <c r="A86" s="5" t="n"/>
      <c r="D86" s="10" t="n"/>
      <c r="F86" s="9" t="n"/>
      <c r="H86" s="8" t="n"/>
    </row>
    <row r="87">
      <c r="A87" s="5" t="n"/>
      <c r="D87" s="10" t="n"/>
      <c r="F87" s="9" t="n"/>
      <c r="H87" s="8" t="n"/>
    </row>
    <row r="88">
      <c r="A88" s="5" t="n"/>
      <c r="D88" s="10" t="n"/>
      <c r="F88" s="9" t="n"/>
      <c r="H88" s="8" t="n"/>
    </row>
    <row r="89">
      <c r="A89" s="5" t="n"/>
      <c r="D89" s="10" t="n"/>
      <c r="F89" s="9" t="n"/>
      <c r="H89" s="8" t="n"/>
    </row>
    <row r="90">
      <c r="A90" s="5" t="n"/>
      <c r="D90" s="10" t="n"/>
      <c r="F90" s="9" t="n"/>
      <c r="H90" s="8" t="n"/>
    </row>
    <row r="91">
      <c r="A91" s="5" t="n"/>
      <c r="D91" s="10" t="n"/>
      <c r="F91" s="9" t="n"/>
      <c r="H91" s="8" t="n"/>
    </row>
    <row r="92">
      <c r="A92" s="5" t="n"/>
      <c r="D92" s="10" t="n"/>
      <c r="F92" s="9" t="n"/>
      <c r="H92" s="8" t="n"/>
    </row>
    <row r="93">
      <c r="A93" s="5" t="n"/>
      <c r="D93" s="10" t="n"/>
      <c r="F93" s="9" t="n"/>
      <c r="H93" s="8" t="n"/>
    </row>
    <row r="94">
      <c r="A94" s="5" t="n"/>
      <c r="D94" s="10" t="n"/>
      <c r="F94" s="9" t="n"/>
      <c r="H94" s="8" t="n"/>
    </row>
    <row r="95">
      <c r="A95" s="5" t="n"/>
      <c r="D95" s="10" t="n"/>
      <c r="F95" s="9" t="n"/>
      <c r="H95" s="8" t="n"/>
    </row>
    <row r="96">
      <c r="A96" s="5" t="n"/>
      <c r="D96" s="10" t="n"/>
      <c r="F96" s="9" t="n"/>
      <c r="H96" s="8" t="n"/>
    </row>
    <row r="97">
      <c r="A97" s="5" t="n"/>
      <c r="D97" s="10" t="n"/>
      <c r="F97" s="9" t="n"/>
      <c r="H97" s="8" t="n"/>
    </row>
    <row r="98">
      <c r="A98" s="5" t="n"/>
      <c r="D98" s="10" t="n"/>
      <c r="F98" s="9" t="n"/>
      <c r="H98" s="8" t="n"/>
    </row>
    <row r="99">
      <c r="A99" s="5" t="n"/>
      <c r="D99" s="10" t="n"/>
      <c r="F99" s="9" t="n"/>
      <c r="H99" s="8" t="n"/>
    </row>
    <row r="100">
      <c r="A100" s="5" t="n"/>
      <c r="D100" s="10" t="n"/>
      <c r="F100" s="9" t="n"/>
      <c r="H100" s="8" t="n"/>
    </row>
    <row r="101">
      <c r="A101" s="5" t="n"/>
      <c r="D101" s="10" t="n"/>
      <c r="F101" s="9" t="n"/>
      <c r="H101" s="8" t="n"/>
    </row>
    <row r="102">
      <c r="A102" s="5" t="n"/>
      <c r="D102" s="10" t="n"/>
      <c r="F102" s="9" t="n"/>
      <c r="H102" s="8" t="n"/>
    </row>
    <row r="103">
      <c r="A103" s="5" t="n"/>
      <c r="D103" s="10" t="n"/>
      <c r="F103" s="9" t="n"/>
      <c r="H103" s="8" t="n"/>
    </row>
    <row r="104">
      <c r="A104" s="5" t="n"/>
      <c r="D104" s="10" t="n"/>
      <c r="F104" s="9" t="n"/>
      <c r="H104" s="8" t="n"/>
    </row>
    <row r="105">
      <c r="A105" s="5" t="n"/>
      <c r="D105" s="10" t="n"/>
      <c r="F105" s="9" t="n"/>
      <c r="H105" s="8" t="n"/>
    </row>
    <row r="106">
      <c r="A106" s="5" t="n"/>
      <c r="D106" s="10" t="n"/>
      <c r="F106" s="9" t="n"/>
      <c r="H106" s="8" t="n"/>
    </row>
    <row r="107">
      <c r="A107" s="5" t="n"/>
      <c r="D107" s="10" t="n"/>
      <c r="F107" s="9" t="n"/>
      <c r="H107" s="8" t="n"/>
    </row>
    <row r="108">
      <c r="A108" s="5" t="n"/>
      <c r="D108" s="10" t="n"/>
      <c r="F108" s="9" t="n"/>
      <c r="H108" s="8" t="n"/>
    </row>
    <row r="109">
      <c r="A109" s="5" t="n"/>
      <c r="D109" s="10" t="n"/>
      <c r="F109" s="9" t="n"/>
      <c r="H109" s="8" t="n"/>
    </row>
    <row r="110">
      <c r="A110" s="5" t="n"/>
      <c r="D110" s="10" t="n"/>
      <c r="F110" s="9" t="n"/>
      <c r="H110" s="8" t="n"/>
    </row>
    <row r="111">
      <c r="A111" s="5" t="n"/>
      <c r="D111" s="10" t="n"/>
      <c r="F111" s="9" t="n"/>
      <c r="H111" s="8" t="n"/>
    </row>
    <row r="112">
      <c r="A112" s="5" t="n"/>
      <c r="D112" s="10" t="n"/>
      <c r="F112" s="9" t="n"/>
      <c r="H112" s="8" t="n"/>
    </row>
    <row r="113">
      <c r="A113" s="5" t="n"/>
      <c r="D113" s="10" t="n"/>
      <c r="F113" s="9" t="n"/>
      <c r="H113" s="8" t="n"/>
    </row>
    <row r="114">
      <c r="A114" s="5" t="n"/>
      <c r="D114" s="10" t="n"/>
      <c r="F114" s="9" t="n"/>
      <c r="H114" s="8" t="n"/>
    </row>
    <row r="115">
      <c r="A115" s="5" t="n"/>
      <c r="D115" s="10" t="n"/>
      <c r="F115" s="9" t="n"/>
      <c r="H115" s="8" t="n"/>
    </row>
    <row r="116">
      <c r="A116" s="5" t="n"/>
      <c r="D116" s="10" t="n"/>
      <c r="F116" s="9" t="n"/>
      <c r="H116" s="8" t="n"/>
    </row>
    <row r="117">
      <c r="A117" s="5" t="n"/>
      <c r="D117" s="10" t="n"/>
      <c r="F117" s="9" t="n"/>
      <c r="H117" s="8" t="n"/>
    </row>
    <row r="118">
      <c r="A118" s="5" t="n"/>
      <c r="D118" s="10" t="n"/>
      <c r="F118" s="9" t="n"/>
      <c r="H118" s="8" t="n"/>
    </row>
    <row r="119">
      <c r="A119" s="5" t="n"/>
      <c r="D119" s="10" t="n"/>
      <c r="F119" s="9" t="n"/>
      <c r="H119" s="8" t="n"/>
    </row>
    <row r="120">
      <c r="A120" s="5" t="n"/>
      <c r="D120" s="10" t="n"/>
      <c r="F120" s="9" t="n"/>
      <c r="H120" s="8" t="n"/>
    </row>
    <row r="121">
      <c r="A121" s="5" t="n"/>
      <c r="D121" s="10" t="n"/>
      <c r="F121" s="9" t="n"/>
      <c r="H121" s="8" t="n"/>
    </row>
    <row r="122">
      <c r="A122" s="5" t="n"/>
      <c r="D122" s="10" t="n"/>
      <c r="F122" s="9" t="n"/>
      <c r="H122" s="8" t="n"/>
    </row>
    <row r="123">
      <c r="A123" s="5" t="n"/>
      <c r="D123" s="10" t="n"/>
      <c r="F123" s="9" t="n"/>
      <c r="H123" s="8" t="n"/>
    </row>
    <row r="124">
      <c r="A124" s="5" t="n"/>
      <c r="D124" s="10" t="n"/>
      <c r="F124" s="9" t="n"/>
      <c r="H124" s="8" t="n"/>
    </row>
    <row r="125">
      <c r="A125" s="5" t="n"/>
      <c r="D125" s="10" t="n"/>
      <c r="F125" s="9" t="n"/>
      <c r="H125" s="8" t="n"/>
    </row>
    <row r="126">
      <c r="A126" s="5" t="n"/>
      <c r="D126" s="10" t="n"/>
      <c r="F126" s="9" t="n"/>
      <c r="H126" s="8" t="n"/>
    </row>
    <row r="127">
      <c r="A127" s="5" t="n"/>
      <c r="D127" s="10" t="n"/>
      <c r="F127" s="9" t="n"/>
      <c r="H127" s="8" t="n"/>
    </row>
    <row r="128">
      <c r="A128" s="5" t="n"/>
      <c r="D128" s="10" t="n"/>
      <c r="F128" s="9" t="n"/>
      <c r="H128" s="8" t="n"/>
    </row>
    <row r="129">
      <c r="A129" s="5" t="n"/>
      <c r="D129" s="10" t="n"/>
      <c r="F129" s="9" t="n"/>
      <c r="H129" s="8" t="n"/>
    </row>
    <row r="130">
      <c r="A130" s="5" t="n"/>
      <c r="D130" s="10" t="n"/>
      <c r="F130" s="9" t="n"/>
      <c r="H130" s="8" t="n"/>
    </row>
    <row r="131">
      <c r="A131" s="5" t="n"/>
      <c r="D131" s="10" t="n"/>
      <c r="F131" s="9" t="n"/>
      <c r="H131" s="8" t="n"/>
    </row>
    <row r="132">
      <c r="A132" s="5" t="n"/>
      <c r="D132" s="10" t="n"/>
      <c r="F132" s="9" t="n"/>
      <c r="H132" s="8" t="n"/>
    </row>
    <row r="133">
      <c r="A133" s="5" t="n"/>
      <c r="D133" s="10" t="n"/>
      <c r="F133" s="9" t="n"/>
      <c r="H133" s="8" t="n"/>
    </row>
    <row r="134">
      <c r="A134" s="5" t="n"/>
      <c r="D134" s="10" t="n"/>
      <c r="F134" s="9" t="n"/>
      <c r="H134" s="8" t="n"/>
    </row>
    <row r="135">
      <c r="A135" s="5" t="n"/>
      <c r="D135" s="10" t="n"/>
      <c r="F135" s="9" t="n"/>
      <c r="H135" s="8" t="n"/>
    </row>
    <row r="136">
      <c r="A136" s="5" t="n"/>
      <c r="D136" s="10" t="n"/>
      <c r="F136" s="9" t="n"/>
      <c r="H136" s="8" t="n"/>
    </row>
    <row r="137">
      <c r="A137" s="5" t="n"/>
      <c r="D137" s="10" t="n"/>
      <c r="F137" s="9" t="n"/>
      <c r="H137" s="8" t="n"/>
    </row>
    <row r="138">
      <c r="A138" s="5" t="n"/>
      <c r="D138" s="10" t="n"/>
      <c r="F138" s="9" t="n"/>
      <c r="H138" s="8" t="n"/>
    </row>
    <row r="139">
      <c r="A139" s="7" t="n"/>
      <c r="D139" s="10" t="n"/>
      <c r="F139" s="9" t="n"/>
      <c r="H139" s="8" t="n"/>
    </row>
    <row r="140">
      <c r="D140" s="10" t="n"/>
      <c r="F140" s="9" t="n"/>
      <c r="H140" s="8" t="n"/>
    </row>
    <row r="141">
      <c r="D141" s="10" t="n"/>
      <c r="F141" s="9" t="n"/>
      <c r="H141" s="8" t="n"/>
    </row>
    <row r="142">
      <c r="D142" s="10" t="n"/>
      <c r="F142" s="9" t="n"/>
      <c r="H142" s="8" t="n"/>
    </row>
    <row r="143">
      <c r="A143" s="3" t="n"/>
      <c r="D143" s="10" t="n"/>
      <c r="F143" s="9" t="n"/>
      <c r="H143" s="8" t="n"/>
    </row>
    <row r="144">
      <c r="A144" s="3" t="n"/>
      <c r="D144" s="10" t="n"/>
      <c r="F144" s="9" t="n"/>
      <c r="H144" s="8" t="n"/>
    </row>
    <row r="145">
      <c r="A145" s="5" t="n"/>
      <c r="D145" s="10" t="n"/>
      <c r="F145" s="9" t="n"/>
      <c r="H145" s="8" t="n"/>
    </row>
    <row r="146">
      <c r="A146" s="5" t="n"/>
      <c r="D146" s="10" t="n"/>
      <c r="F146" s="9" t="n"/>
      <c r="H146" s="8" t="n"/>
    </row>
    <row r="147">
      <c r="A147" s="5" t="n"/>
      <c r="D147" s="10" t="n"/>
      <c r="F147" s="9" t="n"/>
      <c r="H147" s="8" t="n"/>
    </row>
    <row r="148">
      <c r="A148" s="5" t="n"/>
      <c r="D148" s="10" t="n"/>
      <c r="F148" s="9" t="n"/>
      <c r="H148" s="8" t="n"/>
    </row>
    <row r="149">
      <c r="A149" s="5" t="n"/>
      <c r="D149" s="10" t="n"/>
      <c r="F149" s="9" t="n"/>
      <c r="H149" s="8" t="n"/>
    </row>
    <row r="150">
      <c r="A150" s="5" t="n"/>
      <c r="D150" s="10" t="n"/>
      <c r="F150" s="9" t="n"/>
      <c r="H150" s="8" t="n"/>
    </row>
    <row r="151">
      <c r="A151" s="5" t="n"/>
      <c r="D151" s="10" t="n"/>
      <c r="F151" s="9" t="n"/>
      <c r="H151" s="8" t="n"/>
    </row>
    <row r="152">
      <c r="A152" s="5" t="n"/>
      <c r="D152" s="10" t="n"/>
      <c r="F152" s="9" t="n"/>
      <c r="H152" s="8" t="n"/>
    </row>
    <row r="153">
      <c r="A153" s="5" t="n"/>
      <c r="D153" s="10" t="n"/>
      <c r="F153" s="9" t="n"/>
      <c r="H153" s="8" t="n"/>
    </row>
    <row r="154">
      <c r="A154" s="5" t="n"/>
      <c r="D154" s="10" t="n"/>
      <c r="F154" s="9" t="n"/>
      <c r="H154" s="8" t="n"/>
    </row>
    <row r="155">
      <c r="A155" s="5" t="n"/>
      <c r="D155" s="10" t="n"/>
      <c r="F155" s="9" t="n"/>
      <c r="H155" s="8" t="n"/>
    </row>
    <row r="156">
      <c r="A156" s="5" t="n"/>
      <c r="D156" s="10" t="n"/>
      <c r="F156" s="9" t="n"/>
      <c r="H156" s="8" t="n"/>
    </row>
    <row r="157">
      <c r="A157" s="5" t="n"/>
      <c r="D157" s="10" t="n"/>
      <c r="F157" s="9" t="n"/>
      <c r="H157" s="8" t="n"/>
    </row>
    <row r="158">
      <c r="A158" s="5" t="n"/>
      <c r="D158" s="10" t="n"/>
      <c r="F158" s="9" t="n"/>
      <c r="H158" s="8" t="n"/>
    </row>
    <row r="159">
      <c r="A159" s="5" t="n"/>
      <c r="D159" s="10" t="n"/>
      <c r="F159" s="9" t="n"/>
      <c r="H159" s="8" t="n"/>
    </row>
    <row r="160">
      <c r="A160" s="5" t="n"/>
      <c r="D160" s="10" t="n"/>
      <c r="F160" s="9" t="n"/>
      <c r="H160" s="8" t="n"/>
    </row>
    <row r="161">
      <c r="A161" s="5" t="n"/>
      <c r="D161" s="10" t="n"/>
      <c r="F161" s="9" t="n"/>
      <c r="H161" s="8" t="n"/>
    </row>
    <row r="162">
      <c r="A162" s="5" t="n"/>
      <c r="D162" s="10" t="n"/>
      <c r="F162" s="9" t="n"/>
      <c r="H162" s="8" t="n"/>
    </row>
    <row r="163">
      <c r="A163" s="5" t="n"/>
      <c r="D163" s="10" t="n"/>
      <c r="F163" s="9" t="n"/>
      <c r="H163" s="8" t="n"/>
    </row>
    <row r="164">
      <c r="A164" s="5" t="n"/>
      <c r="D164" s="10" t="n"/>
      <c r="F164" s="9" t="n"/>
      <c r="H164" s="8" t="n"/>
    </row>
    <row r="165">
      <c r="A165" s="5" t="n"/>
      <c r="D165" s="10" t="n"/>
      <c r="F165" s="9" t="n"/>
      <c r="H165" s="8" t="n"/>
    </row>
    <row r="166">
      <c r="A166" s="5" t="n"/>
      <c r="D166" s="10" t="n"/>
      <c r="F166" s="9" t="n"/>
      <c r="H166" s="8" t="n"/>
    </row>
    <row r="167">
      <c r="A167" s="5" t="n"/>
      <c r="D167" s="10" t="n"/>
      <c r="F167" s="9" t="n"/>
      <c r="H167" s="8" t="n"/>
    </row>
    <row r="168">
      <c r="A168" s="5" t="n"/>
      <c r="D168" s="10" t="n"/>
      <c r="F168" s="9" t="n"/>
      <c r="H168" s="8" t="n"/>
    </row>
    <row r="169">
      <c r="A169" s="5" t="n"/>
      <c r="D169" s="10" t="n"/>
      <c r="F169" s="9" t="n"/>
      <c r="H169" s="8" t="n"/>
    </row>
    <row r="170">
      <c r="A170" s="5" t="n"/>
      <c r="D170" s="10" t="n"/>
      <c r="F170" s="9" t="n"/>
      <c r="H170" s="8" t="n"/>
    </row>
    <row r="171">
      <c r="A171" s="5" t="n"/>
      <c r="D171" s="10" t="n"/>
      <c r="F171" s="9" t="n"/>
      <c r="H171" s="8" t="n"/>
    </row>
    <row r="172">
      <c r="A172" s="5" t="n"/>
      <c r="D172" s="10" t="n"/>
      <c r="F172" s="9" t="n"/>
      <c r="H172" s="8" t="n"/>
    </row>
    <row r="173">
      <c r="A173" s="5" t="n"/>
      <c r="D173" s="10" t="n"/>
      <c r="F173" s="9" t="n"/>
      <c r="H173" s="8" t="n"/>
    </row>
    <row r="174">
      <c r="A174" s="5" t="n"/>
      <c r="D174" s="10" t="n"/>
      <c r="F174" s="9" t="n"/>
      <c r="H174" s="8" t="n"/>
    </row>
    <row r="175">
      <c r="A175" s="5" t="n"/>
      <c r="D175" s="10" t="n"/>
      <c r="F175" s="9" t="n"/>
      <c r="H175" s="8" t="n"/>
    </row>
    <row r="176">
      <c r="A176" s="5" t="n"/>
      <c r="D176" s="10" t="n"/>
      <c r="F176" s="9" t="n"/>
      <c r="H176" s="8" t="n"/>
    </row>
    <row r="177">
      <c r="A177" s="5" t="n"/>
      <c r="D177" s="10" t="n"/>
      <c r="F177" s="9" t="n"/>
      <c r="H177" s="8" t="n"/>
    </row>
    <row r="178">
      <c r="A178" s="5" t="n"/>
      <c r="D178" s="10" t="n"/>
      <c r="F178" s="9" t="n"/>
      <c r="H178" s="8" t="n"/>
    </row>
    <row r="179">
      <c r="A179" s="5" t="n"/>
      <c r="D179" s="10" t="n"/>
      <c r="F179" s="9" t="n"/>
      <c r="H179" s="8" t="n"/>
    </row>
    <row r="180">
      <c r="A180" s="5" t="n"/>
      <c r="D180" s="10" t="n"/>
      <c r="F180" s="9" t="n"/>
      <c r="H180" s="8" t="n"/>
    </row>
    <row r="181">
      <c r="A181" s="5" t="n"/>
      <c r="D181" s="10" t="n"/>
      <c r="F181" s="9" t="n"/>
      <c r="H181" s="8" t="n"/>
    </row>
    <row r="182">
      <c r="A182" s="5" t="n"/>
      <c r="D182" s="10" t="n"/>
      <c r="F182" s="9" t="n"/>
      <c r="H182" s="8" t="n"/>
    </row>
    <row r="183">
      <c r="A183" s="5" t="n"/>
      <c r="D183" s="10" t="n"/>
      <c r="F183" s="9" t="n"/>
      <c r="H183" s="8" t="n"/>
    </row>
    <row r="184">
      <c r="A184" s="5" t="n"/>
      <c r="D184" s="10" t="n"/>
      <c r="F184" s="9" t="n"/>
      <c r="H184" s="8" t="n"/>
    </row>
    <row r="185">
      <c r="A185" s="5" t="n"/>
      <c r="D185" s="10" t="n"/>
      <c r="F185" s="9" t="n"/>
      <c r="H185" s="8" t="n"/>
    </row>
    <row r="186">
      <c r="A186" s="5" t="n"/>
      <c r="D186" s="10" t="n"/>
      <c r="F186" s="9" t="n"/>
      <c r="H186" s="8" t="n"/>
    </row>
    <row r="187">
      <c r="A187" s="5" t="n"/>
      <c r="D187" s="10" t="n"/>
      <c r="F187" s="9" t="n"/>
      <c r="H187" s="8" t="n"/>
    </row>
    <row r="188">
      <c r="A188" s="5" t="n"/>
      <c r="D188" s="10" t="n"/>
      <c r="F188" s="9" t="n"/>
      <c r="H188" s="8" t="n"/>
    </row>
    <row r="189">
      <c r="A189" s="5" t="n"/>
      <c r="D189" s="10" t="n"/>
      <c r="F189" s="9" t="n"/>
      <c r="H189" s="8" t="n"/>
    </row>
    <row r="190">
      <c r="A190" s="5" t="n"/>
      <c r="D190" s="10" t="n"/>
      <c r="F190" s="9" t="n"/>
      <c r="H190" s="8" t="n"/>
    </row>
    <row r="191">
      <c r="A191" s="5" t="n"/>
      <c r="D191" s="10" t="n"/>
      <c r="F191" s="9" t="n"/>
      <c r="H191" s="8" t="n"/>
    </row>
    <row r="192">
      <c r="A192" s="5" t="n"/>
      <c r="D192" s="10" t="n"/>
      <c r="F192" s="9" t="n"/>
      <c r="H192" s="8" t="n"/>
    </row>
    <row r="193">
      <c r="A193" s="5" t="n"/>
      <c r="D193" s="10" t="n"/>
      <c r="F193" s="9" t="n"/>
      <c r="H193" s="8" t="n"/>
    </row>
    <row r="194">
      <c r="A194" s="5" t="n"/>
      <c r="D194" s="10" t="n"/>
      <c r="F194" s="9" t="n"/>
      <c r="H194" s="8" t="n"/>
    </row>
    <row r="195">
      <c r="A195" s="5" t="n"/>
      <c r="D195" s="10" t="n"/>
      <c r="F195" s="9" t="n"/>
      <c r="H195" s="8" t="n"/>
    </row>
    <row r="196">
      <c r="A196" s="5" t="n"/>
      <c r="D196" s="10" t="n"/>
      <c r="F196" s="9" t="n"/>
      <c r="H196" s="8" t="n"/>
    </row>
    <row r="197">
      <c r="A197" s="5" t="n"/>
      <c r="D197" s="10" t="n"/>
      <c r="F197" s="9" t="n"/>
      <c r="H197" s="8" t="n"/>
    </row>
    <row r="198">
      <c r="A198" s="5" t="n"/>
      <c r="D198" s="10" t="n"/>
      <c r="F198" s="9" t="n"/>
      <c r="H198" s="8" t="n"/>
    </row>
    <row r="199">
      <c r="A199" s="5" t="n"/>
      <c r="D199" s="10" t="n"/>
      <c r="F199" s="9" t="n"/>
      <c r="H199" s="8" t="n"/>
    </row>
    <row r="200">
      <c r="A200" s="5" t="n"/>
      <c r="D200" s="10" t="n"/>
      <c r="F200" s="9" t="n"/>
      <c r="H200" s="8" t="n"/>
    </row>
    <row r="201">
      <c r="A201" s="5" t="n"/>
      <c r="D201" s="10" t="n"/>
      <c r="F201" s="9" t="n"/>
      <c r="H201" s="8" t="n"/>
    </row>
    <row r="202">
      <c r="A202" s="5" t="n"/>
      <c r="D202" s="10" t="n"/>
      <c r="F202" s="9" t="n"/>
      <c r="H202" s="8" t="n"/>
    </row>
    <row r="203">
      <c r="A203" s="5" t="n"/>
      <c r="D203" s="10" t="n"/>
      <c r="F203" s="9" t="n"/>
      <c r="H203" s="8" t="n"/>
    </row>
    <row r="204">
      <c r="A204" s="5" t="n"/>
      <c r="D204" s="10" t="n"/>
      <c r="F204" s="9" t="n"/>
      <c r="H204" s="8" t="n"/>
    </row>
    <row r="205">
      <c r="A205" s="5" t="n"/>
      <c r="D205" s="10" t="n"/>
      <c r="F205" s="9" t="n"/>
      <c r="H205" s="8" t="n"/>
    </row>
    <row r="206">
      <c r="A206" s="5" t="n"/>
      <c r="D206" s="10" t="n"/>
      <c r="F206" s="9" t="n"/>
      <c r="H206" s="8" t="n"/>
    </row>
    <row r="207">
      <c r="A207" s="5" t="n"/>
      <c r="D207" s="10" t="n"/>
      <c r="F207" s="9" t="n"/>
      <c r="H207" s="8" t="n"/>
    </row>
    <row r="208">
      <c r="A208" s="5" t="n"/>
      <c r="D208" s="10" t="n"/>
      <c r="F208" s="9" t="n"/>
      <c r="H208" s="8" t="n"/>
    </row>
    <row r="209">
      <c r="A209" s="5" t="n"/>
      <c r="D209" s="10" t="n"/>
      <c r="F209" s="9" t="n"/>
      <c r="H209" s="8" t="n"/>
    </row>
    <row r="210">
      <c r="A210" s="5" t="n"/>
      <c r="D210" s="10" t="n"/>
      <c r="F210" s="9" t="n"/>
      <c r="H210" s="8" t="n"/>
    </row>
    <row r="211">
      <c r="A211" s="5" t="n"/>
      <c r="D211" s="10" t="n"/>
      <c r="F211" s="9" t="n"/>
      <c r="H211" s="8" t="n"/>
    </row>
    <row r="212">
      <c r="A212" s="7" t="n"/>
      <c r="D212" s="10" t="n"/>
      <c r="F212" s="9" t="n"/>
      <c r="H212" s="8" t="n"/>
    </row>
    <row r="213">
      <c r="D213" s="10" t="n"/>
      <c r="F213" s="9" t="n"/>
      <c r="H213" s="8" t="n"/>
    </row>
    <row r="214">
      <c r="D214" s="10" t="n"/>
      <c r="F214" s="9" t="n"/>
      <c r="H214" s="8" t="n"/>
    </row>
    <row r="215">
      <c r="D215" s="10" t="n"/>
      <c r="F215" s="9" t="n"/>
      <c r="H215" s="8" t="n"/>
    </row>
    <row r="216">
      <c r="A216" s="3" t="n"/>
      <c r="D216" s="10" t="n"/>
      <c r="F216" s="9" t="n"/>
      <c r="H216" s="8" t="n"/>
    </row>
    <row r="217">
      <c r="A217" s="3" t="n"/>
      <c r="D217" s="10" t="n"/>
      <c r="F217" s="9" t="n"/>
      <c r="H217" s="8" t="n"/>
    </row>
    <row r="218">
      <c r="A218" s="5" t="n"/>
      <c r="D218" s="10" t="n"/>
      <c r="F218" s="9" t="n"/>
      <c r="H218" s="8" t="n"/>
    </row>
    <row r="219">
      <c r="A219" s="5" t="n"/>
      <c r="D219" s="10" t="n"/>
      <c r="F219" s="9" t="n"/>
      <c r="H219" s="8" t="n"/>
    </row>
    <row r="220">
      <c r="A220" s="5" t="n"/>
      <c r="D220" s="10" t="n"/>
      <c r="F220" s="9" t="n"/>
      <c r="H220" s="8" t="n"/>
    </row>
    <row r="221">
      <c r="A221" s="5" t="n"/>
      <c r="D221" s="10" t="n"/>
      <c r="F221" s="9" t="n"/>
      <c r="H221" s="8" t="n"/>
    </row>
    <row r="222">
      <c r="A222" s="5" t="n"/>
      <c r="D222" s="10" t="n"/>
      <c r="F222" s="9" t="n"/>
      <c r="H222" s="8" t="n"/>
    </row>
    <row r="223">
      <c r="A223" s="5" t="n"/>
      <c r="D223" s="10" t="n"/>
      <c r="F223" s="9" t="n"/>
      <c r="H223" s="8" t="n"/>
    </row>
    <row r="224">
      <c r="A224" s="5" t="n"/>
      <c r="D224" s="10" t="n"/>
      <c r="F224" s="9" t="n"/>
      <c r="H224" s="8" t="n"/>
    </row>
    <row r="225">
      <c r="A225" s="5" t="n"/>
      <c r="D225" s="10" t="n"/>
      <c r="F225" s="9" t="n"/>
      <c r="H225" s="8" t="n"/>
    </row>
    <row r="226">
      <c r="A226" s="5" t="n"/>
      <c r="D226" s="10" t="n"/>
      <c r="F226" s="9" t="n"/>
      <c r="H226" s="8" t="n"/>
    </row>
    <row r="227">
      <c r="A227" s="5" t="n"/>
      <c r="D227" s="10" t="n"/>
      <c r="F227" s="9" t="n"/>
      <c r="H227" s="8" t="n"/>
    </row>
    <row r="228">
      <c r="A228" s="5" t="n"/>
      <c r="D228" s="10" t="n"/>
      <c r="F228" s="9" t="n"/>
      <c r="H228" s="8" t="n"/>
    </row>
    <row r="229">
      <c r="A229" s="5" t="n"/>
      <c r="D229" s="10" t="n"/>
      <c r="F229" s="9" t="n"/>
      <c r="H229" s="8" t="n"/>
    </row>
    <row r="230">
      <c r="A230" s="5" t="n"/>
      <c r="D230" s="10" t="n"/>
      <c r="F230" s="9" t="n"/>
      <c r="H230" s="8" t="n"/>
    </row>
    <row r="231">
      <c r="A231" s="5" t="n"/>
      <c r="D231" s="10" t="n"/>
      <c r="F231" s="9" t="n"/>
      <c r="H231" s="8" t="n"/>
    </row>
    <row r="232">
      <c r="A232" s="5" t="n"/>
      <c r="D232" s="10" t="n"/>
      <c r="F232" s="9" t="n"/>
      <c r="H232" s="8" t="n"/>
    </row>
    <row r="233">
      <c r="A233" s="5" t="n"/>
      <c r="D233" s="10" t="n"/>
      <c r="F233" s="9" t="n"/>
      <c r="H233" s="8" t="n"/>
    </row>
    <row r="234">
      <c r="A234" s="5" t="n"/>
      <c r="D234" s="10" t="n"/>
      <c r="F234" s="9" t="n"/>
      <c r="H234" s="8" t="n"/>
    </row>
    <row r="235">
      <c r="A235" s="5" t="n"/>
      <c r="D235" s="10" t="n"/>
      <c r="F235" s="9" t="n"/>
      <c r="H235" s="8" t="n"/>
    </row>
    <row r="236">
      <c r="A236" s="5" t="n"/>
      <c r="D236" s="10" t="n"/>
      <c r="F236" s="9" t="n"/>
      <c r="H236" s="8" t="n"/>
    </row>
    <row r="237">
      <c r="A237" s="5" t="n"/>
      <c r="D237" s="10" t="n"/>
      <c r="F237" s="9" t="n"/>
      <c r="H237" s="8" t="n"/>
    </row>
    <row r="238">
      <c r="A238" s="5" t="n"/>
      <c r="D238" s="10" t="n"/>
      <c r="F238" s="9" t="n"/>
      <c r="H238" s="8" t="n"/>
    </row>
    <row r="239">
      <c r="A239" s="5" t="n"/>
      <c r="D239" s="10" t="n"/>
      <c r="F239" s="9" t="n"/>
      <c r="H239" s="8" t="n"/>
    </row>
    <row r="240">
      <c r="A240" s="5" t="n"/>
      <c r="D240" s="10" t="n"/>
      <c r="F240" s="9" t="n"/>
      <c r="H240" s="8" t="n"/>
    </row>
    <row r="241">
      <c r="A241" s="5" t="n"/>
      <c r="D241" s="10" t="n"/>
      <c r="F241" s="9" t="n"/>
      <c r="H241" s="8" t="n"/>
    </row>
    <row r="242">
      <c r="A242" s="5" t="n"/>
      <c r="D242" s="10" t="n"/>
      <c r="F242" s="9" t="n"/>
      <c r="H242" s="8" t="n"/>
    </row>
    <row r="243">
      <c r="A243" s="5" t="n"/>
      <c r="D243" s="10" t="n"/>
      <c r="F243" s="9" t="n"/>
      <c r="H243" s="8" t="n"/>
    </row>
    <row r="244">
      <c r="A244" s="5" t="n"/>
      <c r="D244" s="10" t="n"/>
      <c r="F244" s="9" t="n"/>
      <c r="H244" s="8" t="n"/>
    </row>
    <row r="245">
      <c r="A245" s="5" t="n"/>
      <c r="D245" s="10" t="n"/>
      <c r="F245" s="9" t="n"/>
      <c r="H245" s="8" t="n"/>
    </row>
    <row r="246">
      <c r="A246" s="5" t="n"/>
      <c r="D246" s="10" t="n"/>
      <c r="F246" s="9" t="n"/>
      <c r="H246" s="8" t="n"/>
    </row>
    <row r="247">
      <c r="A247" s="5" t="n"/>
      <c r="D247" s="10" t="n"/>
      <c r="F247" s="9" t="n"/>
      <c r="H247" s="8" t="n"/>
    </row>
    <row r="248">
      <c r="A248" s="5" t="n"/>
      <c r="D248" s="10" t="n"/>
      <c r="F248" s="9" t="n"/>
      <c r="H248" s="8" t="n"/>
    </row>
    <row r="249">
      <c r="A249" s="5" t="n"/>
      <c r="D249" s="10" t="n"/>
      <c r="F249" s="9" t="n"/>
      <c r="H249" s="8" t="n"/>
    </row>
    <row r="250">
      <c r="A250" s="5" t="n"/>
      <c r="D250" s="10" t="n"/>
      <c r="F250" s="9" t="n"/>
      <c r="H250" s="8" t="n"/>
    </row>
    <row r="251">
      <c r="A251" s="5" t="n"/>
      <c r="D251" s="10" t="n"/>
      <c r="F251" s="9" t="n"/>
      <c r="H251" s="8" t="n"/>
    </row>
    <row r="252">
      <c r="A252" s="5" t="n"/>
      <c r="D252" s="10" t="n"/>
      <c r="F252" s="9" t="n"/>
      <c r="H252" s="8" t="n"/>
    </row>
    <row r="253">
      <c r="A253" s="5" t="n"/>
      <c r="D253" s="10" t="n"/>
      <c r="F253" s="9" t="n"/>
      <c r="H253" s="8" t="n"/>
    </row>
    <row r="254">
      <c r="A254" s="5" t="n"/>
      <c r="D254" s="10" t="n"/>
      <c r="F254" s="9" t="n"/>
      <c r="H254" s="8" t="n"/>
    </row>
    <row r="255">
      <c r="A255" s="5" t="n"/>
      <c r="D255" s="10" t="n"/>
      <c r="F255" s="9" t="n"/>
      <c r="H255" s="8" t="n"/>
    </row>
    <row r="256">
      <c r="A256" s="5" t="n"/>
      <c r="D256" s="10" t="n"/>
      <c r="F256" s="9" t="n"/>
      <c r="H256" s="8" t="n"/>
    </row>
    <row r="257">
      <c r="A257" s="5" t="n"/>
      <c r="D257" s="10" t="n"/>
      <c r="F257" s="9" t="n"/>
      <c r="H257" s="8" t="n"/>
    </row>
    <row r="258">
      <c r="A258" s="5" t="n"/>
      <c r="D258" s="10" t="n"/>
      <c r="F258" s="9" t="n"/>
      <c r="H258" s="8" t="n"/>
    </row>
    <row r="259">
      <c r="A259" s="5" t="n"/>
      <c r="D259" s="10" t="n"/>
      <c r="F259" s="9" t="n"/>
      <c r="H259" s="8" t="n"/>
    </row>
    <row r="260">
      <c r="A260" s="5" t="n"/>
      <c r="D260" s="10" t="n"/>
      <c r="F260" s="9" t="n"/>
      <c r="H260" s="8" t="n"/>
    </row>
    <row r="261">
      <c r="A261" s="5" t="n"/>
      <c r="D261" s="10" t="n"/>
      <c r="F261" s="9" t="n"/>
      <c r="H261" s="8" t="n"/>
    </row>
    <row r="262">
      <c r="A262" s="5" t="n"/>
      <c r="D262" s="10" t="n"/>
      <c r="F262" s="9" t="n"/>
      <c r="H262" s="8" t="n"/>
    </row>
    <row r="263">
      <c r="A263" s="5" t="n"/>
      <c r="D263" s="10" t="n"/>
      <c r="F263" s="9" t="n"/>
      <c r="H263" s="8" t="n"/>
    </row>
    <row r="264">
      <c r="A264" s="5" t="n"/>
      <c r="D264" s="10" t="n"/>
      <c r="F264" s="9" t="n"/>
      <c r="H264" s="8" t="n"/>
    </row>
    <row r="265">
      <c r="A265" s="5" t="n"/>
      <c r="D265" s="10" t="n"/>
      <c r="F265" s="9" t="n"/>
      <c r="H265" s="8" t="n"/>
    </row>
    <row r="266">
      <c r="A266" s="5" t="n"/>
      <c r="D266" s="10" t="n"/>
      <c r="F266" s="9" t="n"/>
      <c r="H266" s="8" t="n"/>
    </row>
    <row r="267">
      <c r="A267" s="5" t="n"/>
      <c r="D267" s="10" t="n"/>
      <c r="F267" s="9" t="n"/>
      <c r="H267" s="8" t="n"/>
    </row>
    <row r="268">
      <c r="A268" s="5" t="n"/>
      <c r="D268" s="10" t="n"/>
      <c r="F268" s="9" t="n"/>
      <c r="H268" s="8" t="n"/>
    </row>
    <row r="269">
      <c r="A269" s="5" t="n"/>
      <c r="D269" s="10" t="n"/>
      <c r="F269" s="9" t="n"/>
      <c r="H269" s="8" t="n"/>
    </row>
    <row r="270">
      <c r="A270" s="5" t="n"/>
      <c r="D270" s="10" t="n"/>
      <c r="F270" s="9" t="n"/>
      <c r="H270" s="8" t="n"/>
    </row>
    <row r="271">
      <c r="A271" s="5" t="n"/>
      <c r="D271" s="10" t="n"/>
      <c r="F271" s="9" t="n"/>
      <c r="H271" s="8" t="n"/>
    </row>
    <row r="272">
      <c r="A272" s="5" t="n"/>
      <c r="D272" s="10" t="n"/>
      <c r="F272" s="9" t="n"/>
      <c r="H272" s="8" t="n"/>
    </row>
    <row r="273">
      <c r="A273" s="5" t="n"/>
      <c r="D273" s="10" t="n"/>
      <c r="F273" s="9" t="n"/>
      <c r="H273" s="8" t="n"/>
    </row>
    <row r="274">
      <c r="A274" s="5" t="n"/>
      <c r="D274" s="10" t="n"/>
      <c r="F274" s="9" t="n"/>
      <c r="H274" s="8" t="n"/>
    </row>
    <row r="275">
      <c r="A275" s="5" t="n"/>
      <c r="D275" s="10" t="n"/>
      <c r="F275" s="9" t="n"/>
      <c r="H275" s="8" t="n"/>
    </row>
    <row r="276">
      <c r="A276" s="5" t="n"/>
      <c r="D276" s="10" t="n"/>
      <c r="F276" s="9" t="n"/>
      <c r="H276" s="8" t="n"/>
    </row>
    <row r="277">
      <c r="A277" s="5" t="n"/>
      <c r="D277" s="10" t="n"/>
      <c r="F277" s="9" t="n"/>
      <c r="H277" s="8" t="n"/>
    </row>
    <row r="278">
      <c r="A278" s="5" t="n"/>
      <c r="D278" s="10" t="n"/>
      <c r="F278" s="9" t="n"/>
      <c r="H278" s="8" t="n"/>
    </row>
    <row r="279">
      <c r="A279" s="5" t="n"/>
      <c r="D279" s="10" t="n"/>
      <c r="F279" s="9" t="n"/>
      <c r="H279" s="8" t="n"/>
    </row>
    <row r="280">
      <c r="A280" s="5" t="n"/>
      <c r="D280" s="10" t="n"/>
      <c r="F280" s="9" t="n"/>
      <c r="H280" s="8" t="n"/>
    </row>
    <row r="281">
      <c r="A281" s="5" t="n"/>
      <c r="D281" s="10" t="n"/>
      <c r="F281" s="9" t="n"/>
      <c r="H281" s="8" t="n"/>
    </row>
    <row r="282">
      <c r="A282" s="5" t="n"/>
      <c r="D282" s="10" t="n"/>
      <c r="F282" s="9" t="n"/>
      <c r="H282" s="8" t="n"/>
    </row>
    <row r="283">
      <c r="A283" s="5" t="n"/>
      <c r="D283" s="10" t="n"/>
      <c r="F283" s="9" t="n"/>
      <c r="H283" s="8" t="n"/>
    </row>
    <row r="284">
      <c r="A284" s="5" t="n"/>
      <c r="D284" s="10" t="n"/>
      <c r="F284" s="9" t="n"/>
      <c r="H284" s="8" t="n"/>
    </row>
    <row r="285">
      <c r="A285" s="7" t="n"/>
      <c r="D285" s="10" t="n"/>
      <c r="F285" s="9" t="n"/>
      <c r="H285" s="8" t="n"/>
    </row>
    <row r="286">
      <c r="D286" s="10" t="n"/>
      <c r="F286" s="9" t="n"/>
      <c r="H286" s="8" t="n"/>
    </row>
    <row r="287">
      <c r="D287" s="10" t="n"/>
      <c r="F287" s="9" t="n"/>
      <c r="H287" s="8" t="n"/>
    </row>
    <row r="288">
      <c r="D288" s="10" t="n"/>
      <c r="F288" s="9" t="n"/>
      <c r="H288" s="8" t="n"/>
    </row>
    <row r="289">
      <c r="A289" s="3" t="n"/>
      <c r="D289" s="10" t="n"/>
      <c r="F289" s="9" t="n"/>
      <c r="H289" s="8" t="n"/>
    </row>
    <row r="290">
      <c r="A290" s="3" t="n"/>
      <c r="D290" s="10" t="n"/>
      <c r="F290" s="9" t="n"/>
      <c r="H290" s="8" t="n"/>
    </row>
    <row r="291">
      <c r="A291" s="5" t="n"/>
      <c r="D291" s="10" t="n"/>
      <c r="F291" s="9" t="n"/>
      <c r="H291" s="8" t="n"/>
    </row>
    <row r="292">
      <c r="A292" s="5" t="n"/>
      <c r="D292" s="10" t="n"/>
      <c r="F292" s="9" t="n"/>
      <c r="H292" s="8" t="n"/>
    </row>
    <row r="293">
      <c r="A293" s="5" t="n"/>
      <c r="D293" s="10" t="n"/>
      <c r="F293" s="9" t="n"/>
      <c r="H293" s="8" t="n"/>
    </row>
    <row r="294">
      <c r="A294" s="5" t="n"/>
      <c r="D294" s="10" t="n"/>
      <c r="F294" s="9" t="n"/>
      <c r="H294" s="8" t="n"/>
    </row>
    <row r="295">
      <c r="A295" s="5" t="n"/>
      <c r="D295" s="10" t="n"/>
      <c r="F295" s="9" t="n"/>
      <c r="H295" s="8" t="n"/>
    </row>
    <row r="296">
      <c r="A296" s="5" t="n"/>
      <c r="D296" s="10" t="n"/>
      <c r="F296" s="9" t="n"/>
      <c r="H296" s="8" t="n"/>
    </row>
    <row r="297">
      <c r="A297" s="5" t="n"/>
      <c r="D297" s="10" t="n"/>
      <c r="F297" s="9" t="n"/>
      <c r="H297" s="8" t="n"/>
    </row>
    <row r="298">
      <c r="A298" s="5" t="n"/>
      <c r="D298" s="10" t="n"/>
      <c r="F298" s="9" t="n"/>
      <c r="H298" s="8" t="n"/>
    </row>
    <row r="299">
      <c r="A299" s="5" t="n"/>
      <c r="D299" s="10" t="n"/>
      <c r="F299" s="9" t="n"/>
      <c r="H299" s="8" t="n"/>
    </row>
    <row r="300">
      <c r="A300" s="5" t="n"/>
      <c r="D300" s="10" t="n"/>
      <c r="F300" s="9" t="n"/>
      <c r="H300" s="8" t="n"/>
    </row>
    <row r="301">
      <c r="A301" s="5" t="n"/>
      <c r="D301" s="10" t="n"/>
      <c r="F301" s="9" t="n"/>
      <c r="H301" s="8" t="n"/>
    </row>
    <row r="302">
      <c r="A302" s="5" t="n"/>
      <c r="D302" s="10" t="n"/>
      <c r="F302" s="9" t="n"/>
      <c r="H302" s="8" t="n"/>
    </row>
    <row r="303">
      <c r="A303" s="5" t="n"/>
      <c r="D303" s="10" t="n"/>
      <c r="F303" s="9" t="n"/>
      <c r="H303" s="8" t="n"/>
    </row>
    <row r="304">
      <c r="A304" s="5" t="n"/>
      <c r="D304" s="10" t="n"/>
      <c r="F304" s="9" t="n"/>
      <c r="H304" s="8" t="n"/>
    </row>
    <row r="305">
      <c r="A305" s="5" t="n"/>
      <c r="D305" s="10" t="n"/>
      <c r="F305" s="9" t="n"/>
      <c r="H305" s="8" t="n"/>
    </row>
    <row r="306">
      <c r="A306" s="5" t="n"/>
      <c r="D306" s="10" t="n"/>
      <c r="F306" s="9" t="n"/>
      <c r="H306" s="8" t="n"/>
    </row>
    <row r="307">
      <c r="A307" s="5" t="n"/>
      <c r="D307" s="10" t="n"/>
      <c r="F307" s="9" t="n"/>
      <c r="H307" s="8" t="n"/>
    </row>
    <row r="308">
      <c r="A308" s="5" t="n"/>
      <c r="D308" s="10" t="n"/>
      <c r="F308" s="9" t="n"/>
      <c r="H308" s="8" t="n"/>
    </row>
    <row r="309">
      <c r="A309" s="5" t="n"/>
      <c r="D309" s="10" t="n"/>
      <c r="F309" s="9" t="n"/>
      <c r="H309" s="8" t="n"/>
    </row>
    <row r="310">
      <c r="A310" s="5" t="n"/>
      <c r="D310" s="10" t="n"/>
      <c r="F310" s="9" t="n"/>
      <c r="H310" s="8" t="n"/>
    </row>
    <row r="311">
      <c r="A311" s="5" t="n"/>
      <c r="D311" s="10" t="n"/>
      <c r="F311" s="9" t="n"/>
      <c r="H311" s="8" t="n"/>
    </row>
    <row r="312">
      <c r="A312" s="5" t="n"/>
      <c r="D312" s="10" t="n"/>
      <c r="F312" s="9" t="n"/>
      <c r="H312" s="8" t="n"/>
    </row>
    <row r="313">
      <c r="A313" s="5" t="n"/>
      <c r="D313" s="10" t="n"/>
      <c r="F313" s="9" t="n"/>
      <c r="H313" s="8" t="n"/>
    </row>
    <row r="314">
      <c r="A314" s="5" t="n"/>
      <c r="D314" s="10" t="n"/>
      <c r="F314" s="9" t="n"/>
      <c r="H314" s="8" t="n"/>
    </row>
    <row r="315">
      <c r="A315" s="5" t="n"/>
      <c r="D315" s="10" t="n"/>
      <c r="F315" s="9" t="n"/>
      <c r="H315" s="8" t="n"/>
    </row>
    <row r="316">
      <c r="A316" s="5" t="n"/>
      <c r="D316" s="10" t="n"/>
      <c r="F316" s="9" t="n"/>
      <c r="H316" s="8" t="n"/>
    </row>
    <row r="317">
      <c r="A317" s="5" t="n"/>
      <c r="D317" s="10" t="n"/>
      <c r="F317" s="9" t="n"/>
      <c r="H317" s="8" t="n"/>
    </row>
    <row r="318">
      <c r="A318" s="5" t="n"/>
      <c r="D318" s="10" t="n"/>
      <c r="F318" s="9" t="n"/>
      <c r="H318" s="8" t="n"/>
    </row>
    <row r="319">
      <c r="A319" s="5" t="n"/>
      <c r="D319" s="10" t="n"/>
      <c r="F319" s="9" t="n"/>
      <c r="H319" s="8" t="n"/>
    </row>
    <row r="320">
      <c r="A320" s="5" t="n"/>
      <c r="D320" s="10" t="n"/>
      <c r="F320" s="9" t="n"/>
      <c r="H320" s="8" t="n"/>
    </row>
    <row r="321">
      <c r="A321" s="5" t="n"/>
      <c r="D321" s="10" t="n"/>
      <c r="F321" s="9" t="n"/>
      <c r="H321" s="8" t="n"/>
    </row>
    <row r="322">
      <c r="A322" s="5" t="n"/>
      <c r="D322" s="10" t="n"/>
      <c r="F322" s="9" t="n"/>
      <c r="H322" s="8" t="n"/>
    </row>
    <row r="323">
      <c r="A323" s="5" t="n"/>
      <c r="D323" s="10" t="n"/>
      <c r="F323" s="9" t="n"/>
      <c r="H323" s="8" t="n"/>
    </row>
    <row r="324">
      <c r="A324" s="5" t="n"/>
      <c r="D324" s="10" t="n"/>
      <c r="F324" s="9" t="n"/>
      <c r="H324" s="8" t="n"/>
    </row>
    <row r="325">
      <c r="A325" s="5" t="n"/>
      <c r="D325" s="10" t="n"/>
      <c r="F325" s="9" t="n"/>
      <c r="H325" s="8" t="n"/>
    </row>
    <row r="326">
      <c r="A326" s="5" t="n"/>
      <c r="D326" s="10" t="n"/>
      <c r="F326" s="9" t="n"/>
      <c r="H326" s="8" t="n"/>
    </row>
    <row r="327">
      <c r="A327" s="5" t="n"/>
      <c r="D327" s="10" t="n"/>
      <c r="F327" s="9" t="n"/>
      <c r="H327" s="8" t="n"/>
    </row>
    <row r="328">
      <c r="A328" s="5" t="n"/>
      <c r="D328" s="10" t="n"/>
      <c r="F328" s="9" t="n"/>
      <c r="H328" s="8" t="n"/>
    </row>
    <row r="329">
      <c r="A329" s="5" t="n"/>
      <c r="D329" s="10" t="n"/>
      <c r="F329" s="9" t="n"/>
      <c r="H329" s="8" t="n"/>
    </row>
    <row r="330">
      <c r="A330" s="5" t="n"/>
      <c r="D330" s="10" t="n"/>
      <c r="F330" s="9" t="n"/>
      <c r="H330" s="8" t="n"/>
    </row>
    <row r="331">
      <c r="A331" s="5" t="n"/>
      <c r="D331" s="10" t="n"/>
      <c r="F331" s="9" t="n"/>
      <c r="H331" s="8" t="n"/>
    </row>
    <row r="332">
      <c r="A332" s="5" t="n"/>
      <c r="D332" s="10" t="n"/>
      <c r="F332" s="9" t="n"/>
      <c r="H332" s="8" t="n"/>
    </row>
    <row r="333">
      <c r="A333" s="5" t="n"/>
      <c r="D333" s="10" t="n"/>
      <c r="F333" s="9" t="n"/>
      <c r="H333" s="8" t="n"/>
    </row>
    <row r="334">
      <c r="A334" s="5" t="n"/>
      <c r="D334" s="10" t="n"/>
      <c r="F334" s="9" t="n"/>
      <c r="H334" s="8" t="n"/>
    </row>
    <row r="335">
      <c r="A335" s="5" t="n"/>
      <c r="D335" s="10" t="n"/>
      <c r="F335" s="9" t="n"/>
      <c r="H335" s="8" t="n"/>
    </row>
    <row r="336">
      <c r="A336" s="5" t="n"/>
      <c r="D336" s="10" t="n"/>
      <c r="F336" s="9" t="n"/>
      <c r="H336" s="8" t="n"/>
    </row>
    <row r="337">
      <c r="A337" s="5" t="n"/>
      <c r="D337" s="10" t="n"/>
      <c r="F337" s="9" t="n"/>
      <c r="H337" s="8" t="n"/>
    </row>
    <row r="338">
      <c r="A338" s="5" t="n"/>
      <c r="D338" s="10" t="n"/>
      <c r="F338" s="9" t="n"/>
      <c r="H338" s="8" t="n"/>
    </row>
    <row r="339">
      <c r="A339" s="5" t="n"/>
      <c r="D339" s="10" t="n"/>
      <c r="F339" s="9" t="n"/>
      <c r="H339" s="8" t="n"/>
    </row>
    <row r="340">
      <c r="A340" s="5" t="n"/>
      <c r="D340" s="10" t="n"/>
      <c r="F340" s="9" t="n"/>
      <c r="H340" s="8" t="n"/>
    </row>
    <row r="341">
      <c r="A341" s="5" t="n"/>
      <c r="D341" s="10" t="n"/>
      <c r="F341" s="9" t="n"/>
      <c r="H341" s="8" t="n"/>
    </row>
    <row r="342">
      <c r="A342" s="5" t="n"/>
      <c r="D342" s="10" t="n"/>
      <c r="F342" s="9" t="n"/>
      <c r="H342" s="8" t="n"/>
    </row>
    <row r="343">
      <c r="A343" s="5" t="n"/>
      <c r="D343" s="10" t="n"/>
      <c r="F343" s="9" t="n"/>
      <c r="H343" s="8" t="n"/>
    </row>
    <row r="344">
      <c r="A344" s="5" t="n"/>
      <c r="D344" s="10" t="n"/>
      <c r="F344" s="9" t="n"/>
      <c r="H344" s="8" t="n"/>
    </row>
    <row r="345">
      <c r="A345" s="5" t="n"/>
      <c r="D345" s="10" t="n"/>
      <c r="F345" s="9" t="n"/>
      <c r="H345" s="8" t="n"/>
    </row>
    <row r="346">
      <c r="A346" s="5" t="n"/>
      <c r="D346" s="10" t="n"/>
      <c r="F346" s="9" t="n"/>
      <c r="H346" s="8" t="n"/>
    </row>
    <row r="347">
      <c r="A347" s="5" t="n"/>
      <c r="D347" s="10" t="n"/>
      <c r="F347" s="9" t="n"/>
      <c r="H347" s="8" t="n"/>
    </row>
    <row r="348">
      <c r="A348" s="5" t="n"/>
      <c r="D348" s="10" t="n"/>
      <c r="F348" s="9" t="n"/>
      <c r="H348" s="8" t="n"/>
    </row>
    <row r="349">
      <c r="A349" s="5" t="n"/>
      <c r="D349" s="10" t="n"/>
      <c r="F349" s="9" t="n"/>
      <c r="H349" s="8" t="n"/>
    </row>
    <row r="350">
      <c r="A350" s="5" t="n"/>
      <c r="D350" s="10" t="n"/>
      <c r="F350" s="9" t="n"/>
      <c r="H350" s="8" t="n"/>
    </row>
    <row r="351">
      <c r="A351" s="5" t="n"/>
      <c r="D351" s="10" t="n"/>
      <c r="F351" s="9" t="n"/>
      <c r="H351" s="8" t="n"/>
    </row>
    <row r="352">
      <c r="A352" s="5" t="n"/>
      <c r="D352" s="10" t="n"/>
      <c r="F352" s="9" t="n"/>
      <c r="H352" s="8" t="n"/>
    </row>
    <row r="353">
      <c r="A353" s="5" t="n"/>
      <c r="D353" s="10" t="n"/>
      <c r="F353" s="9" t="n"/>
      <c r="H353" s="8" t="n"/>
    </row>
    <row r="354">
      <c r="A354" s="5" t="n"/>
      <c r="D354" s="10" t="n"/>
      <c r="F354" s="9" t="n"/>
      <c r="H354" s="8" t="n"/>
    </row>
    <row r="355">
      <c r="A355" s="5" t="n"/>
      <c r="D355" s="10" t="n"/>
      <c r="F355" s="9" t="n"/>
      <c r="H355" s="8" t="n"/>
    </row>
    <row r="356">
      <c r="A356" s="5" t="n"/>
      <c r="D356" s="10" t="n"/>
      <c r="F356" s="9" t="n"/>
      <c r="H356" s="8" t="n"/>
    </row>
    <row r="357">
      <c r="A357" s="5" t="n"/>
      <c r="D357" s="10" t="n"/>
      <c r="F357" s="9" t="n"/>
      <c r="H357" s="8" t="n"/>
    </row>
    <row r="358">
      <c r="A358" s="7" t="n"/>
      <c r="D358" s="10" t="n"/>
      <c r="F358" s="9" t="n"/>
      <c r="H358" s="8" t="n"/>
    </row>
    <row r="359">
      <c r="D359" s="10" t="n"/>
      <c r="F359" s="9" t="n"/>
      <c r="H359" s="8" t="n"/>
    </row>
    <row r="360">
      <c r="D360" s="10" t="n"/>
      <c r="F360" s="9" t="n"/>
      <c r="H360" s="8" t="n"/>
    </row>
    <row r="361">
      <c r="D361" s="10" t="n"/>
      <c r="F361" s="9" t="n"/>
      <c r="H361" s="8" t="n"/>
    </row>
    <row r="362">
      <c r="A362" s="3" t="n"/>
      <c r="D362" s="10" t="n"/>
      <c r="F362" s="9" t="n"/>
      <c r="H362" s="8" t="n"/>
    </row>
    <row r="363">
      <c r="A363" s="3" t="n"/>
      <c r="D363" s="10" t="n"/>
      <c r="F363" s="9" t="n"/>
      <c r="H363" s="8" t="n"/>
    </row>
    <row r="364">
      <c r="A364" s="5" t="n"/>
      <c r="D364" s="10" t="n"/>
      <c r="F364" s="9" t="n"/>
      <c r="H364" s="8" t="n"/>
    </row>
    <row r="365">
      <c r="A365" s="5" t="n"/>
      <c r="D365" s="10" t="n"/>
      <c r="F365" s="9" t="n"/>
      <c r="H365" s="8" t="n"/>
    </row>
    <row r="366">
      <c r="A366" s="5" t="n"/>
      <c r="D366" s="10" t="n"/>
      <c r="F366" s="9" t="n"/>
      <c r="H366" s="8" t="n"/>
    </row>
    <row r="367">
      <c r="A367" s="5" t="n"/>
      <c r="D367" s="10" t="n"/>
      <c r="F367" s="9" t="n"/>
      <c r="H367" s="8" t="n"/>
    </row>
    <row r="368">
      <c r="A368" s="5" t="n"/>
      <c r="D368" s="10" t="n"/>
      <c r="F368" s="9" t="n"/>
      <c r="H368" s="8" t="n"/>
    </row>
    <row r="369">
      <c r="A369" s="5" t="n"/>
      <c r="D369" s="10" t="n"/>
      <c r="F369" s="9" t="n"/>
      <c r="H369" s="8" t="n"/>
    </row>
    <row r="370">
      <c r="A370" s="5" t="n"/>
      <c r="D370" s="10" t="n"/>
      <c r="F370" s="9" t="n"/>
      <c r="H370" s="8" t="n"/>
    </row>
    <row r="371">
      <c r="A371" s="5" t="n"/>
      <c r="D371" s="10" t="n"/>
      <c r="F371" s="9" t="n"/>
      <c r="H371" s="8" t="n"/>
    </row>
    <row r="372">
      <c r="A372" s="5" t="n"/>
      <c r="D372" s="10" t="n"/>
      <c r="F372" s="9" t="n"/>
      <c r="H372" s="8" t="n"/>
    </row>
    <row r="373">
      <c r="A373" s="5" t="n"/>
      <c r="D373" s="10" t="n"/>
      <c r="F373" s="9" t="n"/>
      <c r="H373" s="8" t="n"/>
    </row>
    <row r="374">
      <c r="A374" s="5" t="n"/>
      <c r="D374" s="10" t="n"/>
      <c r="F374" s="9" t="n"/>
      <c r="H374" s="8" t="n"/>
    </row>
    <row r="375">
      <c r="A375" s="5" t="n"/>
      <c r="D375" s="10" t="n"/>
      <c r="F375" s="9" t="n"/>
      <c r="H375" s="8" t="n"/>
    </row>
    <row r="376">
      <c r="A376" s="5" t="n"/>
      <c r="D376" s="10" t="n"/>
      <c r="F376" s="9" t="n"/>
      <c r="H376" s="8" t="n"/>
    </row>
    <row r="377">
      <c r="A377" s="5" t="n"/>
      <c r="D377" s="10" t="n"/>
      <c r="F377" s="9" t="n"/>
      <c r="H377" s="8" t="n"/>
    </row>
    <row r="378">
      <c r="A378" s="5" t="n"/>
      <c r="D378" s="10" t="n"/>
      <c r="F378" s="9" t="n"/>
      <c r="H378" s="8" t="n"/>
    </row>
    <row r="379">
      <c r="A379" s="5" t="n"/>
      <c r="D379" s="10" t="n"/>
      <c r="F379" s="9" t="n"/>
      <c r="H379" s="8" t="n"/>
    </row>
    <row r="380">
      <c r="A380" s="5" t="n"/>
      <c r="D380" s="10" t="n"/>
      <c r="F380" s="9" t="n"/>
      <c r="H380" s="8" t="n"/>
    </row>
    <row r="381">
      <c r="A381" s="5" t="n"/>
      <c r="D381" s="10" t="n"/>
      <c r="F381" s="9" t="n"/>
      <c r="H381" s="8" t="n"/>
    </row>
    <row r="382">
      <c r="A382" s="5" t="n"/>
      <c r="D382" s="10" t="n"/>
      <c r="F382" s="9" t="n"/>
      <c r="H382" s="8" t="n"/>
    </row>
    <row r="383">
      <c r="A383" s="5" t="n"/>
      <c r="D383" s="10" t="n"/>
      <c r="F383" s="9" t="n"/>
      <c r="H383" s="8" t="n"/>
    </row>
    <row r="384">
      <c r="A384" s="5" t="n"/>
      <c r="D384" s="10" t="n"/>
      <c r="F384" s="9" t="n"/>
      <c r="H384" s="8" t="n"/>
    </row>
    <row r="385">
      <c r="A385" s="5" t="n"/>
      <c r="D385" s="10" t="n"/>
      <c r="F385" s="9" t="n"/>
      <c r="H385" s="8" t="n"/>
    </row>
    <row r="386">
      <c r="A386" s="5" t="n"/>
      <c r="D386" s="10" t="n"/>
      <c r="F386" s="9" t="n"/>
      <c r="H386" s="8" t="n"/>
    </row>
    <row r="387">
      <c r="A387" s="5" t="n"/>
      <c r="D387" s="10" t="n"/>
      <c r="F387" s="9" t="n"/>
      <c r="H387" s="8" t="n"/>
    </row>
    <row r="388">
      <c r="A388" s="5" t="n"/>
      <c r="D388" s="10" t="n"/>
      <c r="F388" s="9" t="n"/>
      <c r="H388" s="8" t="n"/>
    </row>
    <row r="389">
      <c r="A389" s="5" t="n"/>
      <c r="D389" s="10" t="n"/>
      <c r="F389" s="9" t="n"/>
      <c r="H389" s="8" t="n"/>
    </row>
    <row r="390">
      <c r="A390" s="5" t="n"/>
      <c r="D390" s="10" t="n"/>
      <c r="F390" s="9" t="n"/>
      <c r="H390" s="8" t="n"/>
    </row>
    <row r="391">
      <c r="A391" s="5" t="n"/>
      <c r="D391" s="10" t="n"/>
      <c r="F391" s="9" t="n"/>
      <c r="H391" s="8" t="n"/>
    </row>
    <row r="392">
      <c r="A392" s="5" t="n"/>
      <c r="D392" s="10" t="n"/>
      <c r="F392" s="9" t="n"/>
      <c r="H392" s="8" t="n"/>
    </row>
    <row r="393">
      <c r="A393" s="5" t="n"/>
      <c r="D393" s="10" t="n"/>
      <c r="F393" s="9" t="n"/>
      <c r="H393" s="8" t="n"/>
    </row>
    <row r="394">
      <c r="A394" s="5" t="n"/>
      <c r="D394" s="10" t="n"/>
      <c r="F394" s="9" t="n"/>
      <c r="H394" s="8" t="n"/>
    </row>
    <row r="395">
      <c r="A395" s="5" t="n"/>
      <c r="D395" s="10" t="n"/>
      <c r="F395" s="9" t="n"/>
      <c r="H395" s="8" t="n"/>
    </row>
    <row r="396">
      <c r="A396" s="5" t="n"/>
      <c r="D396" s="10" t="n"/>
      <c r="F396" s="9" t="n"/>
      <c r="H396" s="8" t="n"/>
    </row>
    <row r="397">
      <c r="A397" s="5" t="n"/>
      <c r="D397" s="10" t="n"/>
      <c r="F397" s="9" t="n"/>
      <c r="H397" s="8" t="n"/>
    </row>
    <row r="398">
      <c r="A398" s="5" t="n"/>
      <c r="D398" s="10" t="n"/>
      <c r="F398" s="9" t="n"/>
      <c r="H398" s="8" t="n"/>
    </row>
    <row r="399">
      <c r="A399" s="5" t="n"/>
      <c r="D399" s="10" t="n"/>
      <c r="F399" s="9" t="n"/>
      <c r="H399" s="8" t="n"/>
    </row>
    <row r="400">
      <c r="A400" s="5" t="n"/>
      <c r="D400" s="10" t="n"/>
      <c r="F400" s="9" t="n"/>
      <c r="H400" s="8" t="n"/>
    </row>
    <row r="401">
      <c r="A401" s="5" t="n"/>
      <c r="D401" s="10" t="n"/>
      <c r="F401" s="9" t="n"/>
      <c r="H401" s="8" t="n"/>
    </row>
    <row r="402">
      <c r="A402" s="5" t="n"/>
      <c r="D402" s="10" t="n"/>
      <c r="F402" s="9" t="n"/>
      <c r="H402" s="8" t="n"/>
    </row>
    <row r="403">
      <c r="A403" s="5" t="n"/>
      <c r="D403" s="10" t="n"/>
      <c r="F403" s="9" t="n"/>
      <c r="H403" s="8" t="n"/>
    </row>
    <row r="404">
      <c r="A404" s="5" t="n"/>
      <c r="D404" s="10" t="n"/>
      <c r="F404" s="9" t="n"/>
      <c r="H404" s="8" t="n"/>
    </row>
    <row r="405">
      <c r="A405" s="5" t="n"/>
      <c r="D405" s="10" t="n"/>
      <c r="F405" s="9" t="n"/>
      <c r="H405" s="8" t="n"/>
    </row>
    <row r="406">
      <c r="A406" s="5" t="n"/>
      <c r="D406" s="10" t="n"/>
      <c r="F406" s="9" t="n"/>
      <c r="H406" s="8" t="n"/>
    </row>
    <row r="407">
      <c r="A407" s="5" t="n"/>
      <c r="D407" s="10" t="n"/>
      <c r="F407" s="9" t="n"/>
      <c r="H407" s="8" t="n"/>
    </row>
    <row r="408">
      <c r="A408" s="5" t="n"/>
      <c r="D408" s="10" t="n"/>
      <c r="F408" s="9" t="n"/>
      <c r="H408" s="8" t="n"/>
    </row>
    <row r="409">
      <c r="A409" s="5" t="n"/>
      <c r="D409" s="10" t="n"/>
      <c r="F409" s="9" t="n"/>
      <c r="H409" s="8" t="n"/>
    </row>
    <row r="410">
      <c r="A410" s="5" t="n"/>
      <c r="D410" s="10" t="n"/>
      <c r="F410" s="9" t="n"/>
      <c r="H410" s="8" t="n"/>
    </row>
    <row r="411">
      <c r="A411" s="5" t="n"/>
      <c r="D411" s="10" t="n"/>
      <c r="F411" s="9" t="n"/>
      <c r="H411" s="8" t="n"/>
    </row>
    <row r="412">
      <c r="A412" s="5" t="n"/>
      <c r="D412" s="10" t="n"/>
      <c r="F412" s="9" t="n"/>
      <c r="H412" s="8" t="n"/>
    </row>
    <row r="413">
      <c r="A413" s="5" t="n"/>
      <c r="D413" s="10" t="n"/>
      <c r="F413" s="9" t="n"/>
      <c r="H413" s="8" t="n"/>
    </row>
    <row r="414">
      <c r="A414" s="5" t="n"/>
      <c r="D414" s="10" t="n"/>
      <c r="F414" s="9" t="n"/>
      <c r="H414" s="8" t="n"/>
    </row>
    <row r="415">
      <c r="A415" s="5" t="n"/>
      <c r="D415" s="10" t="n"/>
      <c r="F415" s="9" t="n"/>
      <c r="H415" s="8" t="n"/>
    </row>
    <row r="416">
      <c r="A416" s="5" t="n"/>
      <c r="D416" s="10" t="n"/>
      <c r="F416" s="9" t="n"/>
      <c r="H416" s="8" t="n"/>
    </row>
    <row r="417">
      <c r="A417" s="5" t="n"/>
      <c r="D417" s="10" t="n"/>
      <c r="F417" s="9" t="n"/>
      <c r="H417" s="8" t="n"/>
    </row>
    <row r="418">
      <c r="A418" s="5" t="n"/>
      <c r="D418" s="10" t="n"/>
      <c r="F418" s="9" t="n"/>
      <c r="H418" s="8" t="n"/>
    </row>
    <row r="419">
      <c r="A419" s="5" t="n"/>
      <c r="D419" s="10" t="n"/>
      <c r="F419" s="9" t="n"/>
      <c r="H419" s="8" t="n"/>
    </row>
    <row r="420">
      <c r="A420" s="5" t="n"/>
      <c r="D420" s="10" t="n"/>
      <c r="F420" s="9" t="n"/>
      <c r="H420" s="8" t="n"/>
    </row>
    <row r="421">
      <c r="A421" s="5" t="n"/>
      <c r="D421" s="10" t="n"/>
      <c r="F421" s="9" t="n"/>
      <c r="H421" s="8" t="n"/>
    </row>
    <row r="422">
      <c r="A422" s="5" t="n"/>
      <c r="D422" s="10" t="n"/>
      <c r="F422" s="9" t="n"/>
      <c r="H422" s="8" t="n"/>
    </row>
    <row r="423">
      <c r="A423" s="5" t="n"/>
      <c r="D423" s="10" t="n"/>
      <c r="F423" s="9" t="n"/>
      <c r="H423" s="8" t="n"/>
    </row>
    <row r="424">
      <c r="A424" s="5" t="n"/>
      <c r="D424" s="10" t="n"/>
      <c r="F424" s="9" t="n"/>
      <c r="H424" s="8" t="n"/>
    </row>
    <row r="425">
      <c r="A425" s="5" t="n"/>
      <c r="D425" s="10" t="n"/>
      <c r="F425" s="9" t="n"/>
      <c r="H425" s="8" t="n"/>
    </row>
    <row r="426">
      <c r="A426" s="5" t="n"/>
      <c r="D426" s="10" t="n"/>
      <c r="F426" s="9" t="n"/>
      <c r="H426" s="8" t="n"/>
    </row>
    <row r="427">
      <c r="A427" s="5" t="n"/>
      <c r="D427" s="10" t="n"/>
      <c r="F427" s="9" t="n"/>
      <c r="H427" s="8" t="n"/>
    </row>
    <row r="428">
      <c r="A428" s="5" t="n"/>
      <c r="D428" s="10" t="n"/>
      <c r="F428" s="9" t="n"/>
      <c r="H428" s="8" t="n"/>
    </row>
    <row r="429">
      <c r="A429" s="5" t="n"/>
      <c r="D429" s="10" t="n"/>
      <c r="F429" s="9" t="n"/>
      <c r="H429" s="8" t="n"/>
    </row>
    <row r="430">
      <c r="A430" s="5" t="n"/>
      <c r="D430" s="10" t="n"/>
      <c r="F430" s="9" t="n"/>
      <c r="H430" s="8" t="n"/>
    </row>
    <row r="431">
      <c r="A431" s="7" t="n"/>
      <c r="D431" s="10" t="n"/>
      <c r="F431" s="9" t="n"/>
      <c r="H431" s="8" t="n"/>
    </row>
    <row r="432">
      <c r="D432" s="10" t="n"/>
      <c r="F432" s="9" t="n"/>
      <c r="H432" s="8" t="n"/>
    </row>
    <row r="433">
      <c r="D433" s="10" t="n"/>
      <c r="F433" s="9" t="n"/>
      <c r="H433" s="8" t="n"/>
    </row>
    <row r="434">
      <c r="D434" s="10" t="n"/>
      <c r="F434" s="9" t="n"/>
      <c r="H434" s="8" t="n"/>
    </row>
    <row r="435">
      <c r="A435" s="3" t="n"/>
      <c r="D435" s="10" t="n"/>
      <c r="F435" s="9" t="n"/>
      <c r="H435" s="8" t="n"/>
    </row>
    <row r="436">
      <c r="A436" s="3" t="n"/>
      <c r="D436" s="10" t="n"/>
      <c r="F436" s="9" t="n"/>
      <c r="H436" s="8" t="n"/>
    </row>
    <row r="437">
      <c r="A437" s="5" t="n"/>
      <c r="D437" s="10" t="n"/>
      <c r="F437" s="9" t="n"/>
      <c r="H437" s="8" t="n"/>
    </row>
    <row r="438">
      <c r="A438" s="5" t="n"/>
      <c r="D438" s="10" t="n"/>
      <c r="F438" s="9" t="n"/>
      <c r="H438" s="8" t="n"/>
    </row>
    <row r="439">
      <c r="A439" s="5" t="n"/>
      <c r="D439" s="10" t="n"/>
      <c r="F439" s="9" t="n"/>
      <c r="H439" s="8" t="n"/>
    </row>
    <row r="440">
      <c r="A440" s="5" t="n"/>
      <c r="D440" s="10" t="n"/>
      <c r="F440" s="9" t="n"/>
      <c r="H440" s="8" t="n"/>
    </row>
    <row r="441">
      <c r="A441" s="5" t="n"/>
      <c r="D441" s="10" t="n"/>
      <c r="F441" s="9" t="n"/>
      <c r="H441" s="8" t="n"/>
    </row>
    <row r="442">
      <c r="A442" s="5" t="n"/>
      <c r="D442" s="10" t="n"/>
      <c r="F442" s="9" t="n"/>
      <c r="H442" s="8" t="n"/>
    </row>
    <row r="443">
      <c r="A443" s="5" t="n"/>
      <c r="D443" s="10" t="n"/>
      <c r="F443" s="9" t="n"/>
      <c r="H443" s="8" t="n"/>
    </row>
    <row r="444">
      <c r="A444" s="5" t="n"/>
      <c r="D444" s="10" t="n"/>
      <c r="F444" s="9" t="n"/>
      <c r="H444" s="8" t="n"/>
    </row>
    <row r="445">
      <c r="A445" s="5" t="n"/>
      <c r="D445" s="10" t="n"/>
      <c r="F445" s="9" t="n"/>
      <c r="H445" s="8" t="n"/>
    </row>
    <row r="446">
      <c r="A446" s="5" t="n"/>
      <c r="D446" s="10" t="n"/>
      <c r="F446" s="9" t="n"/>
      <c r="H446" s="8" t="n"/>
    </row>
    <row r="447">
      <c r="A447" s="5" t="n"/>
      <c r="D447" s="10" t="n"/>
      <c r="F447" s="9" t="n"/>
      <c r="H447" s="8" t="n"/>
    </row>
    <row r="448">
      <c r="A448" s="5" t="n"/>
      <c r="D448" s="10" t="n"/>
      <c r="F448" s="9" t="n"/>
      <c r="H448" s="8" t="n"/>
    </row>
    <row r="449">
      <c r="A449" s="5" t="n"/>
      <c r="D449" s="10" t="n"/>
      <c r="F449" s="9" t="n"/>
      <c r="H449" s="8" t="n"/>
    </row>
    <row r="450">
      <c r="A450" s="5" t="n"/>
      <c r="D450" s="10" t="n"/>
      <c r="F450" s="9" t="n"/>
      <c r="H450" s="8" t="n"/>
    </row>
    <row r="451">
      <c r="A451" s="5" t="n"/>
      <c r="D451" s="10" t="n"/>
      <c r="F451" s="9" t="n"/>
      <c r="H451" s="8" t="n"/>
    </row>
    <row r="452">
      <c r="A452" s="5" t="n"/>
      <c r="D452" s="10" t="n"/>
      <c r="F452" s="9" t="n"/>
      <c r="H452" s="8" t="n"/>
    </row>
    <row r="453">
      <c r="A453" s="5" t="n"/>
      <c r="D453" s="10" t="n"/>
      <c r="F453" s="9" t="n"/>
      <c r="H453" s="8" t="n"/>
    </row>
    <row r="454">
      <c r="A454" s="5" t="n"/>
      <c r="D454" s="10" t="n"/>
      <c r="F454" s="9" t="n"/>
      <c r="H454" s="8" t="n"/>
    </row>
    <row r="455">
      <c r="A455" s="5" t="n"/>
      <c r="D455" s="10" t="n"/>
      <c r="F455" s="9" t="n"/>
      <c r="H455" s="8" t="n"/>
    </row>
    <row r="456">
      <c r="A456" s="5" t="n"/>
      <c r="D456" s="10" t="n"/>
      <c r="F456" s="9" t="n"/>
      <c r="H456" s="8" t="n"/>
    </row>
    <row r="457">
      <c r="A457" s="5" t="n"/>
      <c r="D457" s="10" t="n"/>
      <c r="F457" s="9" t="n"/>
      <c r="H457" s="8" t="n"/>
    </row>
    <row r="458">
      <c r="A458" s="5" t="n"/>
      <c r="D458" s="10" t="n"/>
      <c r="F458" s="9" t="n"/>
      <c r="H458" s="8" t="n"/>
    </row>
    <row r="459">
      <c r="A459" s="5" t="n"/>
      <c r="D459" s="10" t="n"/>
      <c r="F459" s="9" t="n"/>
      <c r="H459" s="8" t="n"/>
    </row>
    <row r="460">
      <c r="A460" s="5" t="n"/>
      <c r="D460" s="10" t="n"/>
      <c r="F460" s="9" t="n"/>
      <c r="H460" s="8" t="n"/>
    </row>
    <row r="461">
      <c r="A461" s="5" t="n"/>
      <c r="D461" s="10" t="n"/>
      <c r="F461" s="9" t="n"/>
      <c r="H461" s="8" t="n"/>
    </row>
    <row r="462">
      <c r="A462" s="5" t="n"/>
      <c r="D462" s="10" t="n"/>
      <c r="F462" s="9" t="n"/>
      <c r="H462" s="8" t="n"/>
    </row>
    <row r="463">
      <c r="A463" s="5" t="n"/>
      <c r="D463" s="10" t="n"/>
      <c r="F463" s="9" t="n"/>
      <c r="H463" s="8" t="n"/>
    </row>
    <row r="464">
      <c r="A464" s="5" t="n"/>
      <c r="D464" s="10" t="n"/>
      <c r="F464" s="9" t="n"/>
      <c r="H464" s="8" t="n"/>
    </row>
    <row r="465">
      <c r="A465" s="5" t="n"/>
      <c r="D465" s="10" t="n"/>
      <c r="F465" s="9" t="n"/>
      <c r="H465" s="8" t="n"/>
    </row>
    <row r="466">
      <c r="A466" s="5" t="n"/>
      <c r="D466" s="10" t="n"/>
      <c r="F466" s="9" t="n"/>
      <c r="H466" s="8" t="n"/>
    </row>
    <row r="467">
      <c r="A467" s="5" t="n"/>
      <c r="D467" s="10" t="n"/>
      <c r="F467" s="9" t="n"/>
      <c r="H467" s="8" t="n"/>
    </row>
    <row r="468">
      <c r="A468" s="5" t="n"/>
      <c r="D468" s="10" t="n"/>
      <c r="F468" s="9" t="n"/>
      <c r="H468" s="8" t="n"/>
    </row>
    <row r="469">
      <c r="A469" s="5" t="n"/>
      <c r="D469" s="10" t="n"/>
      <c r="F469" s="9" t="n"/>
      <c r="H469" s="8" t="n"/>
    </row>
    <row r="470">
      <c r="A470" s="5" t="n"/>
      <c r="D470" s="10" t="n"/>
      <c r="F470" s="9" t="n"/>
      <c r="H470" s="8" t="n"/>
    </row>
    <row r="471">
      <c r="A471" s="5" t="n"/>
      <c r="D471" s="10" t="n"/>
      <c r="F471" s="9" t="n"/>
      <c r="H471" s="8" t="n"/>
    </row>
    <row r="472">
      <c r="A472" s="5" t="n"/>
      <c r="D472" s="10" t="n"/>
      <c r="F472" s="9" t="n"/>
      <c r="H472" s="8" t="n"/>
    </row>
    <row r="473">
      <c r="A473" s="5" t="n"/>
      <c r="D473" s="10" t="n"/>
      <c r="F473" s="9" t="n"/>
      <c r="H473" s="8" t="n"/>
    </row>
    <row r="474">
      <c r="A474" s="5" t="n"/>
      <c r="D474" s="10" t="n"/>
      <c r="F474" s="9" t="n"/>
      <c r="H474" s="8" t="n"/>
    </row>
    <row r="475">
      <c r="A475" s="5" t="n"/>
      <c r="D475" s="10" t="n"/>
      <c r="F475" s="9" t="n"/>
      <c r="H475" s="8" t="n"/>
    </row>
    <row r="476">
      <c r="A476" s="5" t="n"/>
      <c r="D476" s="10" t="n"/>
      <c r="F476" s="9" t="n"/>
      <c r="H476" s="8" t="n"/>
    </row>
    <row r="477">
      <c r="A477" s="5" t="n"/>
      <c r="D477" s="10" t="n"/>
      <c r="F477" s="9" t="n"/>
      <c r="H477" s="8" t="n"/>
    </row>
    <row r="478">
      <c r="A478" s="5" t="n"/>
      <c r="D478" s="10" t="n"/>
      <c r="F478" s="9" t="n"/>
      <c r="H478" s="8" t="n"/>
    </row>
    <row r="479">
      <c r="A479" s="5" t="n"/>
      <c r="D479" s="10" t="n"/>
      <c r="F479" s="9" t="n"/>
      <c r="H479" s="8" t="n"/>
    </row>
    <row r="480">
      <c r="A480" s="5" t="n"/>
      <c r="D480" s="10" t="n"/>
      <c r="F480" s="9" t="n"/>
      <c r="H480" s="8" t="n"/>
    </row>
    <row r="481">
      <c r="A481" s="5" t="n"/>
      <c r="D481" s="10" t="n"/>
      <c r="F481" s="9" t="n"/>
      <c r="H481" s="8" t="n"/>
    </row>
    <row r="482">
      <c r="A482" s="5" t="n"/>
      <c r="D482" s="10" t="n"/>
      <c r="F482" s="9" t="n"/>
      <c r="H482" s="8" t="n"/>
    </row>
    <row r="483">
      <c r="A483" s="5" t="n"/>
      <c r="D483" s="10" t="n"/>
      <c r="F483" s="9" t="n"/>
      <c r="H483" s="8" t="n"/>
    </row>
    <row r="484">
      <c r="A484" s="5" t="n"/>
      <c r="D484" s="10" t="n"/>
      <c r="F484" s="9" t="n"/>
      <c r="H484" s="8" t="n"/>
    </row>
    <row r="485">
      <c r="A485" s="5" t="n"/>
      <c r="D485" s="10" t="n"/>
      <c r="F485" s="9" t="n"/>
      <c r="H485" s="8" t="n"/>
    </row>
    <row r="486">
      <c r="A486" s="5" t="n"/>
      <c r="D486" s="10" t="n"/>
      <c r="F486" s="9" t="n"/>
      <c r="H486" s="8" t="n"/>
    </row>
    <row r="487">
      <c r="A487" s="5" t="n"/>
      <c r="D487" s="10" t="n"/>
      <c r="F487" s="9" t="n"/>
      <c r="H487" s="8" t="n"/>
    </row>
    <row r="488">
      <c r="A488" s="5" t="n"/>
      <c r="D488" s="10" t="n"/>
      <c r="F488" s="9" t="n"/>
      <c r="H488" s="8" t="n"/>
    </row>
    <row r="489">
      <c r="A489" s="5" t="n"/>
      <c r="D489" s="10" t="n"/>
      <c r="F489" s="9" t="n"/>
      <c r="H489" s="8" t="n"/>
    </row>
    <row r="490">
      <c r="A490" s="5" t="n"/>
      <c r="D490" s="10" t="n"/>
      <c r="F490" s="9" t="n"/>
      <c r="H490" s="8" t="n"/>
    </row>
    <row r="491">
      <c r="A491" s="5" t="n"/>
      <c r="D491" s="10" t="n"/>
      <c r="F491" s="9" t="n"/>
      <c r="H491" s="8" t="n"/>
    </row>
    <row r="492">
      <c r="A492" s="5" t="n"/>
      <c r="D492" s="10" t="n"/>
      <c r="F492" s="9" t="n"/>
      <c r="H492" s="8" t="n"/>
    </row>
    <row r="493">
      <c r="A493" s="5" t="n"/>
      <c r="D493" s="10" t="n"/>
      <c r="F493" s="9" t="n"/>
      <c r="H493" s="8" t="n"/>
    </row>
    <row r="494">
      <c r="A494" s="5" t="n"/>
      <c r="D494" s="10" t="n"/>
      <c r="F494" s="9" t="n"/>
      <c r="H494" s="8" t="n"/>
    </row>
    <row r="495">
      <c r="A495" s="5" t="n"/>
      <c r="D495" s="10" t="n"/>
      <c r="F495" s="9" t="n"/>
      <c r="H495" s="8" t="n"/>
    </row>
    <row r="496">
      <c r="A496" s="5" t="n"/>
      <c r="D496" s="10" t="n"/>
      <c r="F496" s="9" t="n"/>
      <c r="H496" s="8" t="n"/>
    </row>
    <row r="497">
      <c r="A497" s="5" t="n"/>
      <c r="D497" s="10" t="n"/>
      <c r="F497" s="9" t="n"/>
      <c r="H497" s="8" t="n"/>
    </row>
    <row r="498">
      <c r="A498" s="5" t="n"/>
      <c r="D498" s="10" t="n"/>
      <c r="F498" s="9" t="n"/>
      <c r="H498" s="8" t="n"/>
    </row>
    <row r="499">
      <c r="A499" s="5" t="n"/>
      <c r="D499" s="10" t="n"/>
      <c r="F499" s="9" t="n"/>
      <c r="H499" s="8" t="n"/>
    </row>
    <row r="500">
      <c r="A500" s="5" t="n"/>
      <c r="D500" s="10" t="n"/>
      <c r="F500" s="9" t="n"/>
      <c r="H500" s="8" t="n"/>
    </row>
    <row r="501">
      <c r="A501" s="5" t="n"/>
      <c r="D501" s="10" t="n"/>
      <c r="F501" s="9" t="n"/>
      <c r="H501" s="8" t="n"/>
    </row>
    <row r="502">
      <c r="A502" s="5" t="n"/>
      <c r="D502" s="10" t="n"/>
      <c r="F502" s="9" t="n"/>
      <c r="H502" s="8" t="n"/>
    </row>
    <row r="503">
      <c r="A503" s="5" t="n"/>
      <c r="D503" s="10" t="n"/>
      <c r="F503" s="9" t="n"/>
      <c r="H503" s="8" t="n"/>
    </row>
    <row r="504">
      <c r="A504" s="7" t="n"/>
      <c r="D504" s="10" t="n"/>
      <c r="F504" s="9" t="n"/>
      <c r="H504" s="8" t="n"/>
    </row>
    <row r="505">
      <c r="D505" s="10" t="n"/>
      <c r="F505" s="9" t="n"/>
      <c r="H505" s="8" t="n"/>
    </row>
    <row r="506">
      <c r="D506" s="10" t="n"/>
      <c r="F506" s="9" t="n"/>
      <c r="H506" s="8" t="n"/>
    </row>
    <row r="507">
      <c r="D507" s="10" t="n"/>
      <c r="F507" s="9" t="n"/>
      <c r="H507" s="8" t="n"/>
    </row>
    <row r="508">
      <c r="A508" s="3" t="n"/>
      <c r="D508" s="10" t="n"/>
      <c r="F508" s="9" t="n"/>
      <c r="H508" s="8" t="n"/>
    </row>
    <row r="509">
      <c r="A509" s="3" t="n"/>
      <c r="D509" s="10" t="n"/>
      <c r="F509" s="9" t="n"/>
      <c r="H509" s="8" t="n"/>
    </row>
    <row r="510">
      <c r="A510" s="5" t="n"/>
      <c r="D510" s="10" t="n"/>
      <c r="F510" s="9" t="n"/>
      <c r="H510" s="8" t="n"/>
    </row>
    <row r="511">
      <c r="A511" s="5" t="n"/>
      <c r="D511" s="10" t="n"/>
      <c r="F511" s="9" t="n"/>
      <c r="H511" s="8" t="n"/>
    </row>
    <row r="512">
      <c r="A512" s="5" t="n"/>
      <c r="D512" s="10" t="n"/>
      <c r="F512" s="9" t="n"/>
      <c r="H512" s="8" t="n"/>
    </row>
    <row r="513">
      <c r="A513" s="5" t="n"/>
      <c r="D513" s="10" t="n"/>
      <c r="F513" s="9" t="n"/>
      <c r="H513" s="8" t="n"/>
    </row>
    <row r="514">
      <c r="A514" s="5" t="n"/>
      <c r="D514" s="10" t="n"/>
      <c r="F514" s="9" t="n"/>
      <c r="H514" s="8" t="n"/>
    </row>
    <row r="515">
      <c r="A515" s="5" t="n"/>
      <c r="D515" s="10" t="n"/>
      <c r="F515" s="9" t="n"/>
      <c r="H515" s="8" t="n"/>
    </row>
    <row r="516">
      <c r="A516" s="5" t="n"/>
      <c r="D516" s="10" t="n"/>
      <c r="F516" s="9" t="n"/>
      <c r="H516" s="8" t="n"/>
    </row>
    <row r="517">
      <c r="A517" s="5" t="n"/>
      <c r="D517" s="10" t="n"/>
      <c r="F517" s="9" t="n"/>
      <c r="H517" s="8" t="n"/>
    </row>
    <row r="518">
      <c r="A518" s="5" t="n"/>
      <c r="D518" s="10" t="n"/>
      <c r="F518" s="9" t="n"/>
      <c r="H518" s="8" t="n"/>
    </row>
    <row r="519">
      <c r="A519" s="5" t="n"/>
      <c r="D519" s="10" t="n"/>
      <c r="F519" s="9" t="n"/>
      <c r="H519" s="8" t="n"/>
    </row>
    <row r="520">
      <c r="A520" s="5" t="n"/>
      <c r="D520" s="10" t="n"/>
      <c r="F520" s="9" t="n"/>
      <c r="H520" s="8" t="n"/>
    </row>
    <row r="521">
      <c r="A521" s="5" t="n"/>
      <c r="D521" s="10" t="n"/>
      <c r="F521" s="9" t="n"/>
      <c r="H521" s="8" t="n"/>
    </row>
    <row r="522">
      <c r="A522" s="5" t="n"/>
      <c r="D522" s="10" t="n"/>
      <c r="F522" s="9" t="n"/>
      <c r="H522" s="8" t="n"/>
    </row>
    <row r="523">
      <c r="A523" s="5" t="n"/>
      <c r="D523" s="10" t="n"/>
      <c r="F523" s="9" t="n"/>
      <c r="H523" s="8" t="n"/>
    </row>
    <row r="524">
      <c r="A524" s="5" t="n"/>
      <c r="D524" s="10" t="n"/>
      <c r="F524" s="9" t="n"/>
      <c r="H524" s="8" t="n"/>
    </row>
    <row r="525">
      <c r="A525" s="5" t="n"/>
      <c r="D525" s="10" t="n"/>
      <c r="F525" s="9" t="n"/>
      <c r="H525" s="8" t="n"/>
    </row>
    <row r="526">
      <c r="A526" s="5" t="n"/>
      <c r="D526" s="10" t="n"/>
      <c r="F526" s="9" t="n"/>
      <c r="H526" s="8" t="n"/>
    </row>
    <row r="527">
      <c r="A527" s="5" t="n"/>
      <c r="D527" s="10" t="n"/>
      <c r="F527" s="9" t="n"/>
      <c r="H527" s="8" t="n"/>
    </row>
    <row r="528">
      <c r="A528" s="5" t="n"/>
      <c r="D528" s="10" t="n"/>
      <c r="F528" s="9" t="n"/>
      <c r="H528" s="8" t="n"/>
    </row>
    <row r="529">
      <c r="A529" s="5" t="n"/>
      <c r="D529" s="10" t="n"/>
      <c r="F529" s="9" t="n"/>
      <c r="H529" s="8" t="n"/>
    </row>
    <row r="530">
      <c r="A530" s="5" t="n"/>
      <c r="D530" s="10" t="n"/>
      <c r="F530" s="9" t="n"/>
      <c r="H530" s="8" t="n"/>
    </row>
    <row r="531">
      <c r="A531" s="5" t="n"/>
      <c r="D531" s="10" t="n"/>
      <c r="F531" s="9" t="n"/>
      <c r="H531" s="8" t="n"/>
    </row>
    <row r="532">
      <c r="A532" s="5" t="n"/>
      <c r="D532" s="10" t="n"/>
      <c r="F532" s="9" t="n"/>
      <c r="H532" s="8" t="n"/>
    </row>
    <row r="533">
      <c r="A533" s="5" t="n"/>
      <c r="D533" s="10" t="n"/>
      <c r="F533" s="9" t="n"/>
      <c r="H533" s="8" t="n"/>
    </row>
    <row r="534">
      <c r="A534" s="5" t="n"/>
      <c r="D534" s="10" t="n"/>
      <c r="F534" s="9" t="n"/>
      <c r="H534" s="8" t="n"/>
    </row>
    <row r="535">
      <c r="A535" s="5" t="n"/>
      <c r="D535" s="10" t="n"/>
      <c r="F535" s="9" t="n"/>
      <c r="H535" s="8" t="n"/>
    </row>
    <row r="536">
      <c r="A536" s="5" t="n"/>
      <c r="D536" s="10" t="n"/>
      <c r="F536" s="9" t="n"/>
      <c r="H536" s="8" t="n"/>
    </row>
    <row r="537">
      <c r="A537" s="5" t="n"/>
      <c r="D537" s="10" t="n"/>
      <c r="F537" s="9" t="n"/>
      <c r="H537" s="8" t="n"/>
    </row>
    <row r="538">
      <c r="A538" s="5" t="n"/>
      <c r="D538" s="10" t="n"/>
      <c r="F538" s="9" t="n"/>
      <c r="H538" s="8" t="n"/>
    </row>
    <row r="539">
      <c r="A539" s="5" t="n"/>
      <c r="D539" s="10" t="n"/>
      <c r="F539" s="9" t="n"/>
      <c r="H539" s="8" t="n"/>
    </row>
    <row r="540">
      <c r="A540" s="5" t="n"/>
      <c r="D540" s="10" t="n"/>
      <c r="F540" s="9" t="n"/>
      <c r="H540" s="8" t="n"/>
    </row>
    <row r="541">
      <c r="A541" s="5" t="n"/>
      <c r="D541" s="10" t="n"/>
      <c r="F541" s="9" t="n"/>
      <c r="H541" s="8" t="n"/>
    </row>
    <row r="542">
      <c r="A542" s="5" t="n"/>
      <c r="D542" s="10" t="n"/>
      <c r="F542" s="9" t="n"/>
      <c r="H542" s="8" t="n"/>
    </row>
    <row r="543">
      <c r="A543" s="5" t="n"/>
      <c r="D543" s="10" t="n"/>
      <c r="F543" s="9" t="n"/>
      <c r="H543" s="8" t="n"/>
    </row>
    <row r="544">
      <c r="A544" s="5" t="n"/>
      <c r="D544" s="10" t="n"/>
      <c r="F544" s="9" t="n"/>
      <c r="H544" s="8" t="n"/>
    </row>
    <row r="545">
      <c r="A545" s="5" t="n"/>
      <c r="D545" s="10" t="n"/>
      <c r="F545" s="9" t="n"/>
      <c r="H545" s="8" t="n"/>
    </row>
    <row r="546">
      <c r="A546" s="5" t="n"/>
      <c r="D546" s="10" t="n"/>
      <c r="F546" s="9" t="n"/>
      <c r="H546" s="8" t="n"/>
    </row>
    <row r="547">
      <c r="A547" s="5" t="n"/>
      <c r="D547" s="10" t="n"/>
      <c r="F547" s="9" t="n"/>
      <c r="H547" s="8" t="n"/>
    </row>
    <row r="548">
      <c r="A548" s="5" t="n"/>
      <c r="D548" s="10" t="n"/>
      <c r="F548" s="9" t="n"/>
      <c r="H548" s="8" t="n"/>
    </row>
    <row r="549">
      <c r="A549" s="5" t="n"/>
      <c r="D549" s="10" t="n"/>
      <c r="F549" s="9" t="n"/>
      <c r="H549" s="8" t="n"/>
    </row>
    <row r="550">
      <c r="A550" s="5" t="n"/>
      <c r="D550" s="10" t="n"/>
      <c r="F550" s="9" t="n"/>
      <c r="H550" s="8" t="n"/>
    </row>
    <row r="551">
      <c r="A551" s="5" t="n"/>
      <c r="D551" s="10" t="n"/>
      <c r="F551" s="9" t="n"/>
      <c r="H551" s="8" t="n"/>
    </row>
    <row r="552">
      <c r="A552" s="5" t="n"/>
      <c r="D552" s="10" t="n"/>
      <c r="F552" s="9" t="n"/>
      <c r="H552" s="8" t="n"/>
    </row>
    <row r="553">
      <c r="A553" s="5" t="n"/>
      <c r="D553" s="10" t="n"/>
      <c r="F553" s="9" t="n"/>
      <c r="H553" s="8" t="n"/>
    </row>
    <row r="554">
      <c r="A554" s="5" t="n"/>
      <c r="D554" s="10" t="n"/>
      <c r="F554" s="9" t="n"/>
      <c r="H554" s="8" t="n"/>
    </row>
    <row r="555">
      <c r="A555" s="5" t="n"/>
      <c r="D555" s="10" t="n"/>
      <c r="F555" s="9" t="n"/>
      <c r="H555" s="8" t="n"/>
    </row>
    <row r="556">
      <c r="A556" s="5" t="n"/>
      <c r="D556" s="10" t="n"/>
      <c r="F556" s="9" t="n"/>
      <c r="H556" s="8" t="n"/>
    </row>
    <row r="557">
      <c r="A557" s="5" t="n"/>
      <c r="D557" s="10" t="n"/>
      <c r="F557" s="9" t="n"/>
      <c r="H557" s="8" t="n"/>
    </row>
    <row r="558">
      <c r="A558" s="5" t="n"/>
      <c r="D558" s="10" t="n"/>
      <c r="F558" s="9" t="n"/>
      <c r="H558" s="8" t="n"/>
    </row>
    <row r="559">
      <c r="A559" s="5" t="n"/>
      <c r="D559" s="10" t="n"/>
      <c r="F559" s="9" t="n"/>
      <c r="H559" s="8" t="n"/>
    </row>
    <row r="560">
      <c r="A560" s="5" t="n"/>
      <c r="D560" s="10" t="n"/>
      <c r="F560" s="9" t="n"/>
      <c r="H560" s="8" t="n"/>
    </row>
    <row r="561">
      <c r="A561" s="5" t="n"/>
      <c r="D561" s="10" t="n"/>
      <c r="F561" s="9" t="n"/>
      <c r="H561" s="8" t="n"/>
    </row>
    <row r="562">
      <c r="A562" s="5" t="n"/>
      <c r="D562" s="10" t="n"/>
      <c r="F562" s="9" t="n"/>
      <c r="H562" s="8" t="n"/>
    </row>
    <row r="563">
      <c r="A563" s="5" t="n"/>
      <c r="D563" s="10" t="n"/>
      <c r="F563" s="9" t="n"/>
      <c r="H563" s="8" t="n"/>
    </row>
    <row r="564">
      <c r="A564" s="5" t="n"/>
      <c r="D564" s="10" t="n"/>
      <c r="F564" s="9" t="n"/>
      <c r="H564" s="8" t="n"/>
    </row>
    <row r="565">
      <c r="A565" s="5" t="n"/>
      <c r="D565" s="10" t="n"/>
      <c r="F565" s="9" t="n"/>
      <c r="H565" s="8" t="n"/>
    </row>
    <row r="566">
      <c r="A566" s="5" t="n"/>
      <c r="D566" s="10" t="n"/>
      <c r="F566" s="9" t="n"/>
      <c r="H566" s="8" t="n"/>
    </row>
    <row r="567">
      <c r="A567" s="5" t="n"/>
      <c r="D567" s="10" t="n"/>
      <c r="F567" s="9" t="n"/>
      <c r="H567" s="8" t="n"/>
    </row>
    <row r="568">
      <c r="A568" s="5" t="n"/>
      <c r="D568" s="10" t="n"/>
      <c r="F568" s="9" t="n"/>
      <c r="H568" s="8" t="n"/>
    </row>
    <row r="569">
      <c r="A569" s="5" t="n"/>
      <c r="D569" s="10" t="n"/>
      <c r="F569" s="9" t="n"/>
      <c r="H569" s="8" t="n"/>
    </row>
    <row r="570">
      <c r="A570" s="5" t="n"/>
      <c r="D570" s="10" t="n"/>
      <c r="F570" s="9" t="n"/>
      <c r="H570" s="8" t="n"/>
    </row>
    <row r="571">
      <c r="A571" s="5" t="n"/>
      <c r="D571" s="10" t="n"/>
      <c r="F571" s="9" t="n"/>
      <c r="H571" s="8" t="n"/>
    </row>
    <row r="572">
      <c r="A572" s="5" t="n"/>
      <c r="D572" s="10" t="n"/>
      <c r="F572" s="9" t="n"/>
      <c r="H572" s="8" t="n"/>
    </row>
    <row r="573">
      <c r="A573" s="5" t="n"/>
      <c r="D573" s="10" t="n"/>
      <c r="F573" s="9" t="n"/>
      <c r="H573" s="8" t="n"/>
    </row>
    <row r="574">
      <c r="A574" s="5" t="n"/>
      <c r="D574" s="10" t="n"/>
      <c r="F574" s="9" t="n"/>
      <c r="H574" s="8" t="n"/>
    </row>
    <row r="575">
      <c r="A575" s="5" t="n"/>
      <c r="D575" s="10" t="n"/>
      <c r="F575" s="9" t="n"/>
      <c r="H575" s="8" t="n"/>
    </row>
    <row r="576">
      <c r="A576" s="5" t="n"/>
      <c r="D576" s="10" t="n"/>
      <c r="F576" s="9" t="n"/>
      <c r="H576" s="8" t="n"/>
    </row>
    <row r="577">
      <c r="A577" s="7" t="n"/>
      <c r="D577" s="10" t="n"/>
      <c r="F577" s="9" t="n"/>
      <c r="H577" s="8" t="n"/>
    </row>
    <row r="578">
      <c r="D578" s="10" t="n"/>
      <c r="F578" s="9" t="n"/>
      <c r="H578" s="8" t="n"/>
    </row>
    <row r="579">
      <c r="D579" s="10" t="n"/>
      <c r="F579" s="9" t="n"/>
      <c r="H579" s="8" t="n"/>
    </row>
    <row r="580">
      <c r="D580" s="10" t="n"/>
      <c r="F580" s="9" t="n"/>
      <c r="H580" s="8" t="n"/>
    </row>
    <row r="581">
      <c r="A581" s="3" t="n"/>
      <c r="D581" s="10" t="n"/>
      <c r="F581" s="9" t="n"/>
      <c r="H581" s="8" t="n"/>
    </row>
    <row r="582">
      <c r="A582" s="3" t="n"/>
      <c r="D582" s="10" t="n"/>
      <c r="F582" s="9" t="n"/>
      <c r="H582" s="8" t="n"/>
    </row>
    <row r="583">
      <c r="A583" s="5" t="n"/>
      <c r="D583" s="10" t="n"/>
      <c r="F583" s="9" t="n"/>
      <c r="H583" s="8" t="n"/>
    </row>
    <row r="584">
      <c r="A584" s="5" t="n"/>
      <c r="D584" s="10" t="n"/>
      <c r="F584" s="9" t="n"/>
      <c r="H584" s="8" t="n"/>
    </row>
    <row r="585">
      <c r="A585" s="5" t="n"/>
      <c r="D585" s="10" t="n"/>
      <c r="F585" s="9" t="n"/>
      <c r="H585" s="8" t="n"/>
    </row>
    <row r="586">
      <c r="A586" s="5" t="n"/>
      <c r="D586" s="10" t="n"/>
      <c r="F586" s="9" t="n"/>
      <c r="H586" s="8" t="n"/>
    </row>
    <row r="587">
      <c r="A587" s="5" t="n"/>
      <c r="D587" s="10" t="n"/>
      <c r="F587" s="9" t="n"/>
      <c r="H587" s="8" t="n"/>
    </row>
    <row r="588">
      <c r="A588" s="5" t="n"/>
      <c r="D588" s="10" t="n"/>
      <c r="F588" s="9" t="n"/>
      <c r="H588" s="8" t="n"/>
    </row>
    <row r="589">
      <c r="A589" s="5" t="n"/>
      <c r="D589" s="10" t="n"/>
      <c r="F589" s="9" t="n"/>
      <c r="H589" s="8" t="n"/>
    </row>
    <row r="590">
      <c r="A590" s="5" t="n"/>
      <c r="D590" s="10" t="n"/>
      <c r="F590" s="9" t="n"/>
      <c r="H590" s="8" t="n"/>
    </row>
    <row r="591">
      <c r="A591" s="5" t="n"/>
      <c r="D591" s="10" t="n"/>
      <c r="F591" s="9" t="n"/>
      <c r="H591" s="8" t="n"/>
    </row>
    <row r="592">
      <c r="A592" s="5" t="n"/>
      <c r="D592" s="10" t="n"/>
      <c r="F592" s="9" t="n"/>
      <c r="H592" s="8" t="n"/>
    </row>
    <row r="593">
      <c r="A593" s="5" t="n"/>
      <c r="D593" s="10" t="n"/>
      <c r="F593" s="9" t="n"/>
      <c r="H593" s="8" t="n"/>
    </row>
    <row r="594">
      <c r="A594" s="5" t="n"/>
      <c r="D594" s="10" t="n"/>
      <c r="F594" s="9" t="n"/>
      <c r="H594" s="8" t="n"/>
    </row>
    <row r="595">
      <c r="A595" s="5" t="n"/>
      <c r="D595" s="10" t="n"/>
      <c r="F595" s="9" t="n"/>
      <c r="H595" s="8" t="n"/>
    </row>
    <row r="596">
      <c r="A596" s="5" t="n"/>
      <c r="D596" s="10" t="n"/>
      <c r="F596" s="9" t="n"/>
      <c r="H596" s="8" t="n"/>
    </row>
    <row r="597">
      <c r="A597" s="5" t="n"/>
      <c r="D597" s="10" t="n"/>
      <c r="F597" s="9" t="n"/>
      <c r="H597" s="8" t="n"/>
    </row>
    <row r="598">
      <c r="A598" s="5" t="n"/>
      <c r="D598" s="10" t="n"/>
      <c r="F598" s="9" t="n"/>
      <c r="H598" s="8" t="n"/>
    </row>
    <row r="599">
      <c r="A599" s="5" t="n"/>
      <c r="D599" s="10" t="n"/>
      <c r="F599" s="9" t="n"/>
      <c r="H599" s="8" t="n"/>
    </row>
    <row r="600">
      <c r="A600" s="5" t="n"/>
      <c r="D600" s="10" t="n"/>
      <c r="F600" s="9" t="n"/>
      <c r="H600" s="8" t="n"/>
    </row>
    <row r="601">
      <c r="A601" s="5" t="n"/>
      <c r="D601" s="10" t="n"/>
      <c r="F601" s="9" t="n"/>
      <c r="H601" s="8" t="n"/>
    </row>
    <row r="602">
      <c r="A602" s="5" t="n"/>
      <c r="D602" s="10" t="n"/>
      <c r="F602" s="9" t="n"/>
      <c r="H602" s="8" t="n"/>
    </row>
    <row r="603">
      <c r="A603" s="5" t="n"/>
      <c r="D603" s="10" t="n"/>
      <c r="F603" s="9" t="n"/>
      <c r="H603" s="8" t="n"/>
    </row>
    <row r="604">
      <c r="A604" s="5" t="n"/>
      <c r="D604" s="10" t="n"/>
      <c r="F604" s="9" t="n"/>
      <c r="H604" s="8" t="n"/>
    </row>
    <row r="605">
      <c r="A605" s="5" t="n"/>
      <c r="D605" s="10" t="n"/>
      <c r="F605" s="9" t="n"/>
      <c r="H605" s="8" t="n"/>
    </row>
    <row r="606">
      <c r="A606" s="5" t="n"/>
      <c r="D606" s="10" t="n"/>
      <c r="F606" s="9" t="n"/>
      <c r="H606" s="8" t="n"/>
    </row>
    <row r="607">
      <c r="A607" s="5" t="n"/>
      <c r="D607" s="10" t="n"/>
      <c r="F607" s="9" t="n"/>
      <c r="H607" s="8" t="n"/>
    </row>
    <row r="608">
      <c r="A608" s="5" t="n"/>
      <c r="D608" s="10" t="n"/>
      <c r="F608" s="9" t="n"/>
      <c r="H608" s="8" t="n"/>
    </row>
    <row r="609">
      <c r="A609" s="5" t="n"/>
      <c r="D609" s="10" t="n"/>
      <c r="F609" s="9" t="n"/>
      <c r="H609" s="8" t="n"/>
    </row>
    <row r="610">
      <c r="A610" s="5" t="n"/>
      <c r="D610" s="10" t="n"/>
      <c r="F610" s="9" t="n"/>
      <c r="H610" s="8" t="n"/>
    </row>
    <row r="611">
      <c r="A611" s="5" t="n"/>
      <c r="D611" s="10" t="n"/>
      <c r="F611" s="9" t="n"/>
      <c r="H611" s="8" t="n"/>
    </row>
    <row r="612">
      <c r="A612" s="5" t="n"/>
      <c r="D612" s="10" t="n"/>
      <c r="F612" s="9" t="n"/>
      <c r="H612" s="8" t="n"/>
    </row>
    <row r="613">
      <c r="A613" s="5" t="n"/>
      <c r="D613" s="10" t="n"/>
      <c r="F613" s="9" t="n"/>
      <c r="H613" s="8" t="n"/>
    </row>
    <row r="614">
      <c r="A614" s="5" t="n"/>
      <c r="D614" s="10" t="n"/>
      <c r="F614" s="9" t="n"/>
      <c r="H614" s="8" t="n"/>
    </row>
    <row r="615">
      <c r="A615" s="5" t="n"/>
      <c r="D615" s="10" t="n"/>
      <c r="F615" s="9" t="n"/>
      <c r="H615" s="8" t="n"/>
    </row>
    <row r="616">
      <c r="A616" s="5" t="n"/>
      <c r="D616" s="10" t="n"/>
      <c r="F616" s="9" t="n"/>
      <c r="H616" s="8" t="n"/>
    </row>
    <row r="617">
      <c r="A617" s="5" t="n"/>
      <c r="D617" s="10" t="n"/>
      <c r="F617" s="9" t="n"/>
      <c r="H617" s="8" t="n"/>
    </row>
    <row r="618">
      <c r="A618" s="5" t="n"/>
      <c r="D618" s="10" t="n"/>
      <c r="F618" s="9" t="n"/>
      <c r="H618" s="8" t="n"/>
    </row>
    <row r="619">
      <c r="A619" s="5" t="n"/>
      <c r="D619" s="10" t="n"/>
      <c r="F619" s="9" t="n"/>
      <c r="H619" s="8" t="n"/>
    </row>
    <row r="620">
      <c r="A620" s="5" t="n"/>
      <c r="D620" s="10" t="n"/>
      <c r="F620" s="9" t="n"/>
      <c r="H620" s="8" t="n"/>
    </row>
    <row r="621">
      <c r="A621" s="5" t="n"/>
      <c r="D621" s="10" t="n"/>
      <c r="F621" s="9" t="n"/>
      <c r="H621" s="8" t="n"/>
    </row>
    <row r="622">
      <c r="A622" s="5" t="n"/>
      <c r="D622" s="10" t="n"/>
      <c r="F622" s="9" t="n"/>
      <c r="H622" s="8" t="n"/>
    </row>
    <row r="623">
      <c r="A623" s="5" t="n"/>
      <c r="D623" s="10" t="n"/>
      <c r="F623" s="9" t="n"/>
      <c r="H623" s="8" t="n"/>
    </row>
    <row r="624">
      <c r="A624" s="5" t="n"/>
      <c r="D624" s="10" t="n"/>
      <c r="F624" s="9" t="n"/>
      <c r="H624" s="8" t="n"/>
    </row>
    <row r="625">
      <c r="A625" s="5" t="n"/>
      <c r="D625" s="10" t="n"/>
      <c r="F625" s="9" t="n"/>
      <c r="H625" s="8" t="n"/>
    </row>
    <row r="626">
      <c r="A626" s="5" t="n"/>
      <c r="D626" s="10" t="n"/>
      <c r="F626" s="9" t="n"/>
      <c r="H626" s="8" t="n"/>
    </row>
    <row r="627">
      <c r="A627" s="5" t="n"/>
      <c r="D627" s="10" t="n"/>
      <c r="F627" s="9" t="n"/>
      <c r="H627" s="8" t="n"/>
    </row>
    <row r="628">
      <c r="A628" s="5" t="n"/>
      <c r="D628" s="10" t="n"/>
      <c r="F628" s="9" t="n"/>
      <c r="H628" s="8" t="n"/>
    </row>
    <row r="629">
      <c r="A629" s="5" t="n"/>
      <c r="D629" s="10" t="n"/>
      <c r="F629" s="9" t="n"/>
      <c r="H629" s="8" t="n"/>
    </row>
    <row r="630">
      <c r="A630" s="5" t="n"/>
      <c r="D630" s="10" t="n"/>
      <c r="F630" s="9" t="n"/>
      <c r="H630" s="8" t="n"/>
    </row>
    <row r="631">
      <c r="A631" s="5" t="n"/>
      <c r="D631" s="10" t="n"/>
      <c r="F631" s="9" t="n"/>
      <c r="H631" s="8" t="n"/>
    </row>
    <row r="632">
      <c r="A632" s="5" t="n"/>
      <c r="D632" s="10" t="n"/>
      <c r="F632" s="9" t="n"/>
      <c r="H632" s="8" t="n"/>
    </row>
    <row r="633">
      <c r="A633" s="5" t="n"/>
      <c r="D633" s="10" t="n"/>
      <c r="F633" s="9" t="n"/>
      <c r="H633" s="8" t="n"/>
    </row>
    <row r="634">
      <c r="A634" s="5" t="n"/>
      <c r="D634" s="10" t="n"/>
      <c r="F634" s="9" t="n"/>
      <c r="H634" s="8" t="n"/>
    </row>
    <row r="635">
      <c r="A635" s="5" t="n"/>
      <c r="D635" s="10" t="n"/>
      <c r="F635" s="9" t="n"/>
      <c r="H635" s="8" t="n"/>
    </row>
    <row r="636">
      <c r="A636" s="5" t="n"/>
      <c r="D636" s="10" t="n"/>
      <c r="F636" s="9" t="n"/>
      <c r="H636" s="8" t="n"/>
    </row>
    <row r="637">
      <c r="A637" s="5" t="n"/>
      <c r="D637" s="10" t="n"/>
      <c r="F637" s="9" t="n"/>
      <c r="H637" s="8" t="n"/>
    </row>
    <row r="638">
      <c r="A638" s="5" t="n"/>
      <c r="D638" s="10" t="n"/>
      <c r="F638" s="9" t="n"/>
      <c r="H638" s="8" t="n"/>
    </row>
    <row r="639">
      <c r="A639" s="5" t="n"/>
      <c r="D639" s="10" t="n"/>
      <c r="F639" s="9" t="n"/>
      <c r="H639" s="8" t="n"/>
    </row>
    <row r="640">
      <c r="A640" s="5" t="n"/>
      <c r="D640" s="10" t="n"/>
      <c r="F640" s="9" t="n"/>
      <c r="H640" s="8" t="n"/>
    </row>
    <row r="641">
      <c r="A641" s="5" t="n"/>
      <c r="D641" s="10" t="n"/>
      <c r="F641" s="9" t="n"/>
      <c r="H641" s="8" t="n"/>
    </row>
    <row r="642">
      <c r="A642" s="5" t="n"/>
      <c r="D642" s="10" t="n"/>
      <c r="F642" s="9" t="n"/>
      <c r="H642" s="8" t="n"/>
    </row>
    <row r="643">
      <c r="A643" s="5" t="n"/>
      <c r="D643" s="10" t="n"/>
      <c r="F643" s="9" t="n"/>
      <c r="H643" s="8" t="n"/>
    </row>
    <row r="644">
      <c r="A644" s="5" t="n"/>
      <c r="D644" s="10" t="n"/>
      <c r="F644" s="9" t="n"/>
      <c r="H644" s="8" t="n"/>
    </row>
    <row r="645">
      <c r="A645" s="5" t="n"/>
      <c r="D645" s="10" t="n"/>
      <c r="F645" s="9" t="n"/>
      <c r="H645" s="8" t="n"/>
    </row>
    <row r="646">
      <c r="A646" s="5" t="n"/>
      <c r="D646" s="10" t="n"/>
      <c r="F646" s="9" t="n"/>
      <c r="H646" s="8" t="n"/>
    </row>
    <row r="647">
      <c r="A647" s="5" t="n"/>
      <c r="D647" s="10" t="n"/>
      <c r="F647" s="9" t="n"/>
      <c r="H647" s="8" t="n"/>
    </row>
    <row r="648">
      <c r="A648" s="5" t="n"/>
      <c r="D648" s="10" t="n"/>
      <c r="F648" s="9" t="n"/>
      <c r="H648" s="8" t="n"/>
    </row>
    <row r="649">
      <c r="A649" s="5" t="n"/>
      <c r="D649" s="10" t="n"/>
      <c r="F649" s="9" t="n"/>
      <c r="H649" s="8" t="n"/>
    </row>
    <row r="650">
      <c r="A650" s="7" t="n"/>
      <c r="D650" s="10" t="n"/>
      <c r="F650" s="9" t="n"/>
      <c r="H650" s="8" t="n"/>
    </row>
    <row r="651">
      <c r="D651" s="10" t="n"/>
      <c r="F651" s="9" t="n"/>
      <c r="H651" s="8" t="n"/>
    </row>
    <row r="652">
      <c r="D652" s="10" t="n"/>
      <c r="F652" s="9" t="n"/>
      <c r="H652" s="8" t="n"/>
    </row>
    <row r="653">
      <c r="D653" s="10" t="n"/>
      <c r="F653" s="9" t="n"/>
      <c r="H653" s="8" t="n"/>
    </row>
    <row r="654">
      <c r="A654" s="3" t="n"/>
      <c r="D654" s="10" t="n"/>
      <c r="F654" s="9" t="n"/>
      <c r="H654" s="8" t="n"/>
    </row>
    <row r="655">
      <c r="A655" s="3" t="n"/>
      <c r="D655" s="10" t="n"/>
      <c r="F655" s="9" t="n"/>
      <c r="H655" s="8" t="n"/>
    </row>
    <row r="656">
      <c r="A656" s="5" t="n"/>
      <c r="D656" s="10" t="n"/>
      <c r="F656" s="9" t="n"/>
      <c r="H656" s="8" t="n"/>
    </row>
    <row r="657">
      <c r="A657" s="5" t="n"/>
      <c r="D657" s="10" t="n"/>
      <c r="F657" s="9" t="n"/>
      <c r="H657" s="8" t="n"/>
    </row>
    <row r="658">
      <c r="A658" s="5" t="n"/>
      <c r="D658" s="10" t="n"/>
      <c r="F658" s="9" t="n"/>
      <c r="H658" s="8" t="n"/>
    </row>
    <row r="659">
      <c r="A659" s="5" t="n"/>
      <c r="D659" s="10" t="n"/>
      <c r="F659" s="9" t="n"/>
      <c r="H659" s="8" t="n"/>
    </row>
    <row r="660">
      <c r="A660" s="5" t="n"/>
      <c r="D660" s="10" t="n"/>
      <c r="F660" s="9" t="n"/>
      <c r="H660" s="8" t="n"/>
    </row>
    <row r="661">
      <c r="A661" s="5" t="n"/>
      <c r="D661" s="10" t="n"/>
      <c r="F661" s="9" t="n"/>
      <c r="H661" s="8" t="n"/>
    </row>
    <row r="662">
      <c r="A662" s="5" t="n"/>
      <c r="D662" s="10" t="n"/>
      <c r="F662" s="9" t="n"/>
      <c r="H662" s="8" t="n"/>
    </row>
    <row r="663">
      <c r="A663" s="5" t="n"/>
      <c r="D663" s="10" t="n"/>
      <c r="F663" s="9" t="n"/>
      <c r="H663" s="8" t="n"/>
    </row>
    <row r="664">
      <c r="A664" s="5" t="n"/>
      <c r="D664" s="10" t="n"/>
      <c r="F664" s="9" t="n"/>
      <c r="H664" s="8" t="n"/>
    </row>
    <row r="665">
      <c r="A665" s="5" t="n"/>
      <c r="D665" s="10" t="n"/>
      <c r="F665" s="9" t="n"/>
      <c r="H665" s="8" t="n"/>
    </row>
    <row r="666">
      <c r="A666" s="5" t="n"/>
      <c r="D666" s="10" t="n"/>
      <c r="F666" s="9" t="n"/>
      <c r="H666" s="8" t="n"/>
    </row>
    <row r="667">
      <c r="A667" s="5" t="n"/>
      <c r="D667" s="10" t="n"/>
      <c r="F667" s="9" t="n"/>
      <c r="H667" s="8" t="n"/>
    </row>
    <row r="668">
      <c r="A668" s="5" t="n"/>
      <c r="D668" s="10" t="n"/>
      <c r="F668" s="9" t="n"/>
      <c r="H668" s="8" t="n"/>
    </row>
    <row r="669">
      <c r="A669" s="5" t="n"/>
      <c r="D669" s="10" t="n"/>
      <c r="F669" s="9" t="n"/>
      <c r="H669" s="8" t="n"/>
    </row>
    <row r="670">
      <c r="A670" s="5" t="n"/>
      <c r="D670" s="10" t="n"/>
      <c r="F670" s="9" t="n"/>
      <c r="H670" s="8" t="n"/>
    </row>
    <row r="671">
      <c r="A671" s="5" t="n"/>
      <c r="D671" s="10" t="n"/>
      <c r="F671" s="9" t="n"/>
      <c r="H671" s="8" t="n"/>
    </row>
    <row r="672">
      <c r="A672" s="5" t="n"/>
      <c r="D672" s="10" t="n"/>
      <c r="F672" s="9" t="n"/>
      <c r="H672" s="8" t="n"/>
    </row>
    <row r="673">
      <c r="A673" s="5" t="n"/>
      <c r="D673" s="10" t="n"/>
      <c r="F673" s="9" t="n"/>
      <c r="H673" s="8" t="n"/>
    </row>
    <row r="674">
      <c r="A674" s="5" t="n"/>
      <c r="D674" s="10" t="n"/>
      <c r="F674" s="9" t="n"/>
      <c r="H674" s="8" t="n"/>
    </row>
    <row r="675">
      <c r="A675" s="5" t="n"/>
      <c r="D675" s="10" t="n"/>
      <c r="F675" s="9" t="n"/>
      <c r="H675" s="8" t="n"/>
    </row>
    <row r="676">
      <c r="A676" s="5" t="n"/>
      <c r="D676" s="10" t="n"/>
      <c r="F676" s="9" t="n"/>
      <c r="H676" s="8" t="n"/>
    </row>
    <row r="677">
      <c r="A677" s="5" t="n"/>
      <c r="D677" s="10" t="n"/>
      <c r="F677" s="9" t="n"/>
      <c r="H677" s="8" t="n"/>
    </row>
    <row r="678">
      <c r="A678" s="5" t="n"/>
      <c r="D678" s="10" t="n"/>
      <c r="F678" s="9" t="n"/>
      <c r="H678" s="8" t="n"/>
    </row>
    <row r="679">
      <c r="A679" s="5" t="n"/>
      <c r="D679" s="10" t="n"/>
      <c r="F679" s="9" t="n"/>
      <c r="H679" s="8" t="n"/>
    </row>
    <row r="680">
      <c r="A680" s="5" t="n"/>
      <c r="D680" s="10" t="n"/>
      <c r="F680" s="9" t="n"/>
      <c r="H680" s="8" t="n"/>
    </row>
    <row r="681">
      <c r="A681" s="5" t="n"/>
      <c r="D681" s="10" t="n"/>
      <c r="F681" s="9" t="n"/>
      <c r="H681" s="8" t="n"/>
    </row>
    <row r="682">
      <c r="A682" s="5" t="n"/>
      <c r="D682" s="10" t="n"/>
      <c r="F682" s="9" t="n"/>
      <c r="H682" s="8" t="n"/>
    </row>
    <row r="683">
      <c r="A683" s="5" t="n"/>
      <c r="D683" s="10" t="n"/>
      <c r="F683" s="9" t="n"/>
      <c r="H683" s="8" t="n"/>
    </row>
    <row r="684">
      <c r="A684" s="5" t="n"/>
      <c r="D684" s="10" t="n"/>
      <c r="F684" s="9" t="n"/>
      <c r="H684" s="8" t="n"/>
    </row>
    <row r="685">
      <c r="A685" s="5" t="n"/>
      <c r="D685" s="10" t="n"/>
      <c r="F685" s="9" t="n"/>
      <c r="H685" s="8" t="n"/>
    </row>
    <row r="686">
      <c r="A686" s="5" t="n"/>
      <c r="D686" s="10" t="n"/>
      <c r="F686" s="9" t="n"/>
      <c r="H686" s="8" t="n"/>
    </row>
    <row r="687">
      <c r="A687" s="5" t="n"/>
      <c r="D687" s="10" t="n"/>
      <c r="F687" s="9" t="n"/>
      <c r="H687" s="8" t="n"/>
    </row>
    <row r="688">
      <c r="A688" s="5" t="n"/>
      <c r="D688" s="10" t="n"/>
      <c r="F688" s="9" t="n"/>
      <c r="H688" s="8" t="n"/>
    </row>
    <row r="689">
      <c r="A689" s="5" t="n"/>
      <c r="D689" s="10" t="n"/>
      <c r="F689" s="9" t="n"/>
      <c r="H689" s="8" t="n"/>
    </row>
    <row r="690">
      <c r="A690" s="5" t="n"/>
      <c r="D690" s="10" t="n"/>
      <c r="F690" s="9" t="n"/>
      <c r="H690" s="8" t="n"/>
    </row>
    <row r="691">
      <c r="A691" s="5" t="n"/>
      <c r="D691" s="10" t="n"/>
      <c r="F691" s="9" t="n"/>
      <c r="H691" s="8" t="n"/>
    </row>
    <row r="692">
      <c r="A692" s="5" t="n"/>
      <c r="D692" s="10" t="n"/>
      <c r="F692" s="9" t="n"/>
      <c r="H692" s="8" t="n"/>
    </row>
    <row r="693">
      <c r="A693" s="5" t="n"/>
      <c r="D693" s="10" t="n"/>
      <c r="F693" s="9" t="n"/>
      <c r="H693" s="8" t="n"/>
    </row>
    <row r="694">
      <c r="A694" s="5" t="n"/>
      <c r="D694" s="10" t="n"/>
      <c r="F694" s="9" t="n"/>
      <c r="H694" s="8" t="n"/>
    </row>
    <row r="695">
      <c r="A695" s="5" t="n"/>
      <c r="D695" s="10" t="n"/>
      <c r="F695" s="9" t="n"/>
      <c r="H695" s="8" t="n"/>
    </row>
    <row r="696">
      <c r="A696" s="5" t="n"/>
      <c r="D696" s="10" t="n"/>
      <c r="F696" s="9" t="n"/>
      <c r="H696" s="8" t="n"/>
    </row>
    <row r="697">
      <c r="A697" s="5" t="n"/>
      <c r="D697" s="10" t="n"/>
      <c r="F697" s="9" t="n"/>
      <c r="H697" s="8" t="n"/>
    </row>
    <row r="698">
      <c r="A698" s="5" t="n"/>
      <c r="D698" s="10" t="n"/>
      <c r="F698" s="9" t="n"/>
      <c r="H698" s="8" t="n"/>
    </row>
    <row r="699">
      <c r="A699" s="5" t="n"/>
      <c r="D699" s="10" t="n"/>
      <c r="F699" s="9" t="n"/>
      <c r="H699" s="8" t="n"/>
    </row>
    <row r="700">
      <c r="A700" s="5" t="n"/>
      <c r="D700" s="10" t="n"/>
      <c r="F700" s="9" t="n"/>
      <c r="H700" s="8" t="n"/>
    </row>
    <row r="701">
      <c r="A701" s="5" t="n"/>
      <c r="D701" s="10" t="n"/>
      <c r="F701" s="9" t="n"/>
      <c r="H701" s="8" t="n"/>
    </row>
    <row r="702">
      <c r="A702" s="5" t="n"/>
      <c r="D702" s="10" t="n"/>
      <c r="F702" s="9" t="n"/>
      <c r="H702" s="8" t="n"/>
    </row>
    <row r="703">
      <c r="A703" s="5" t="n"/>
      <c r="D703" s="10" t="n"/>
      <c r="F703" s="9" t="n"/>
      <c r="H703" s="8" t="n"/>
    </row>
    <row r="704">
      <c r="A704" s="5" t="n"/>
      <c r="D704" s="10" t="n"/>
      <c r="F704" s="9" t="n"/>
      <c r="H704" s="8" t="n"/>
    </row>
    <row r="705">
      <c r="A705" s="5" t="n"/>
      <c r="D705" s="10" t="n"/>
      <c r="F705" s="9" t="n"/>
      <c r="H705" s="8" t="n"/>
    </row>
    <row r="706">
      <c r="A706" s="5" t="n"/>
      <c r="D706" s="10" t="n"/>
      <c r="F706" s="9" t="n"/>
      <c r="H706" s="8" t="n"/>
    </row>
    <row r="707">
      <c r="A707" s="5" t="n"/>
      <c r="D707" s="10" t="n"/>
      <c r="F707" s="9" t="n"/>
      <c r="H707" s="8" t="n"/>
    </row>
    <row r="708">
      <c r="A708" s="5" t="n"/>
      <c r="D708" s="10" t="n"/>
      <c r="F708" s="9" t="n"/>
      <c r="H708" s="8" t="n"/>
    </row>
    <row r="709">
      <c r="A709" s="5" t="n"/>
      <c r="D709" s="10" t="n"/>
      <c r="F709" s="9" t="n"/>
      <c r="H709" s="8" t="n"/>
    </row>
    <row r="710">
      <c r="A710" s="5" t="n"/>
      <c r="D710" s="10" t="n"/>
      <c r="F710" s="9" t="n"/>
      <c r="H710" s="8" t="n"/>
    </row>
    <row r="711">
      <c r="A711" s="5" t="n"/>
      <c r="D711" s="10" t="n"/>
      <c r="F711" s="9" t="n"/>
      <c r="H711" s="8" t="n"/>
    </row>
    <row r="712">
      <c r="A712" s="5" t="n"/>
      <c r="D712" s="10" t="n"/>
      <c r="F712" s="9" t="n"/>
      <c r="H712" s="8" t="n"/>
    </row>
    <row r="713">
      <c r="A713" s="5" t="n"/>
      <c r="D713" s="10" t="n"/>
      <c r="F713" s="9" t="n"/>
      <c r="H713" s="8" t="n"/>
    </row>
    <row r="714">
      <c r="A714" s="5" t="n"/>
      <c r="D714" s="10" t="n"/>
      <c r="F714" s="9" t="n"/>
      <c r="H714" s="8" t="n"/>
    </row>
    <row r="715">
      <c r="A715" s="5" t="n"/>
      <c r="D715" s="10" t="n"/>
      <c r="F715" s="9" t="n"/>
      <c r="H715" s="8" t="n"/>
    </row>
    <row r="716">
      <c r="A716" s="5" t="n"/>
      <c r="D716" s="10" t="n"/>
      <c r="F716" s="9" t="n"/>
      <c r="H716" s="8" t="n"/>
    </row>
    <row r="717">
      <c r="A717" s="5" t="n"/>
      <c r="D717" s="10" t="n"/>
      <c r="F717" s="9" t="n"/>
      <c r="H717" s="8" t="n"/>
    </row>
    <row r="718">
      <c r="A718" s="5" t="n"/>
      <c r="D718" s="10" t="n"/>
      <c r="F718" s="9" t="n"/>
      <c r="H718" s="8" t="n"/>
    </row>
    <row r="719">
      <c r="A719" s="5" t="n"/>
      <c r="D719" s="10" t="n"/>
      <c r="F719" s="9" t="n"/>
      <c r="H719" s="8" t="n"/>
    </row>
    <row r="720">
      <c r="A720" s="5" t="n"/>
      <c r="D720" s="10" t="n"/>
      <c r="F720" s="9" t="n"/>
      <c r="H720" s="8" t="n"/>
    </row>
    <row r="721">
      <c r="A721" s="5" t="n"/>
      <c r="D721" s="10" t="n"/>
      <c r="F721" s="9" t="n"/>
      <c r="H721" s="8" t="n"/>
    </row>
    <row r="722">
      <c r="A722" s="5" t="n"/>
      <c r="D722" s="10" t="n"/>
      <c r="F722" s="9" t="n"/>
      <c r="H722" s="8" t="n"/>
    </row>
    <row r="723">
      <c r="A723" s="7" t="n"/>
      <c r="D723" s="10" t="n"/>
      <c r="F723" s="9" t="n"/>
      <c r="H723" s="8" t="n"/>
    </row>
    <row r="724">
      <c r="D724" s="10" t="n"/>
      <c r="F724" s="9" t="n"/>
      <c r="H724" s="8" t="n"/>
    </row>
    <row r="725">
      <c r="D725" s="10" t="n"/>
      <c r="F725" s="9" t="n"/>
      <c r="H725" s="8" t="n"/>
    </row>
    <row r="726">
      <c r="D726" s="10" t="n"/>
      <c r="F726" s="9" t="n"/>
      <c r="H726" s="8" t="n"/>
    </row>
    <row r="727">
      <c r="A727" s="3" t="n"/>
      <c r="D727" s="10" t="n"/>
      <c r="F727" s="9" t="n"/>
      <c r="H727" s="8" t="n"/>
    </row>
    <row r="728">
      <c r="A728" s="3" t="n"/>
      <c r="D728" s="10" t="n"/>
      <c r="F728" s="9" t="n"/>
      <c r="H728" s="8" t="n"/>
    </row>
    <row r="729">
      <c r="A729" s="5" t="n"/>
      <c r="D729" s="10" t="n"/>
      <c r="F729" s="9" t="n"/>
      <c r="H729" s="8" t="n"/>
    </row>
    <row r="730">
      <c r="A730" s="5" t="n"/>
      <c r="D730" s="10" t="n"/>
      <c r="F730" s="9" t="n"/>
      <c r="H730" s="8" t="n"/>
    </row>
    <row r="731">
      <c r="A731" s="5" t="n"/>
      <c r="D731" s="10" t="n"/>
      <c r="F731" s="9" t="n"/>
      <c r="H731" s="8" t="n"/>
    </row>
    <row r="732">
      <c r="A732" s="5" t="n"/>
      <c r="D732" s="10" t="n"/>
      <c r="F732" s="9" t="n"/>
      <c r="H732" s="8" t="n"/>
    </row>
    <row r="733">
      <c r="A733" s="5" t="n"/>
      <c r="D733" s="10" t="n"/>
      <c r="F733" s="9" t="n"/>
      <c r="H733" s="8" t="n"/>
    </row>
    <row r="734">
      <c r="A734" s="5" t="n"/>
      <c r="D734" s="10" t="n"/>
      <c r="F734" s="9" t="n"/>
      <c r="H734" s="8" t="n"/>
    </row>
    <row r="735">
      <c r="A735" s="5" t="n"/>
      <c r="D735" s="10" t="n"/>
      <c r="F735" s="9" t="n"/>
      <c r="H735" s="8" t="n"/>
    </row>
    <row r="736">
      <c r="A736" s="5" t="n"/>
      <c r="D736" s="10" t="n"/>
      <c r="F736" s="9" t="n"/>
      <c r="H736" s="8" t="n"/>
    </row>
    <row r="737">
      <c r="A737" s="5" t="n"/>
      <c r="D737" s="10" t="n"/>
      <c r="F737" s="9" t="n"/>
      <c r="H737" s="8" t="n"/>
    </row>
    <row r="738">
      <c r="A738" s="5" t="n"/>
      <c r="D738" s="10" t="n"/>
      <c r="F738" s="9" t="n"/>
      <c r="H738" s="8" t="n"/>
    </row>
    <row r="739">
      <c r="A739" s="5" t="n"/>
      <c r="D739" s="10" t="n"/>
      <c r="F739" s="9" t="n"/>
      <c r="H739" s="8" t="n"/>
    </row>
    <row r="740">
      <c r="A740" s="5" t="n"/>
      <c r="D740" s="10" t="n"/>
      <c r="F740" s="9" t="n"/>
      <c r="H740" s="8" t="n"/>
    </row>
    <row r="741">
      <c r="A741" s="5" t="n"/>
      <c r="D741" s="10" t="n"/>
      <c r="F741" s="9" t="n"/>
      <c r="H741" s="8" t="n"/>
    </row>
    <row r="742">
      <c r="A742" s="5" t="n"/>
      <c r="D742" s="10" t="n"/>
      <c r="F742" s="9" t="n"/>
      <c r="H742" s="8" t="n"/>
    </row>
    <row r="743">
      <c r="A743" s="5" t="n"/>
      <c r="D743" s="10" t="n"/>
      <c r="F743" s="9" t="n"/>
      <c r="H743" s="8" t="n"/>
    </row>
    <row r="744">
      <c r="A744" s="5" t="n"/>
      <c r="D744" s="10" t="n"/>
      <c r="F744" s="9" t="n"/>
      <c r="H744" s="8" t="n"/>
    </row>
    <row r="745">
      <c r="A745" s="5" t="n"/>
      <c r="D745" s="10" t="n"/>
      <c r="F745" s="9" t="n"/>
      <c r="H745" s="8" t="n"/>
    </row>
    <row r="746">
      <c r="A746" s="5" t="n"/>
      <c r="D746" s="10" t="n"/>
      <c r="F746" s="9" t="n"/>
      <c r="H746" s="8" t="n"/>
    </row>
    <row r="747">
      <c r="A747" s="5" t="n"/>
      <c r="D747" s="10" t="n"/>
      <c r="F747" s="9" t="n"/>
      <c r="H747" s="8" t="n"/>
    </row>
    <row r="748">
      <c r="A748" s="5" t="n"/>
      <c r="D748" s="10" t="n"/>
      <c r="F748" s="9" t="n"/>
      <c r="H748" s="8" t="n"/>
    </row>
    <row r="749">
      <c r="A749" s="5" t="n"/>
      <c r="D749" s="10" t="n"/>
      <c r="F749" s="9" t="n"/>
      <c r="H749" s="8" t="n"/>
    </row>
    <row r="750">
      <c r="A750" s="5" t="n"/>
      <c r="D750" s="10" t="n"/>
      <c r="F750" s="9" t="n"/>
      <c r="H750" s="8" t="n"/>
    </row>
    <row r="751">
      <c r="A751" s="5" t="n"/>
      <c r="D751" s="10" t="n"/>
      <c r="F751" s="9" t="n"/>
      <c r="H751" s="8" t="n"/>
    </row>
    <row r="752">
      <c r="A752" s="5" t="n"/>
      <c r="D752" s="10" t="n"/>
      <c r="F752" s="9" t="n"/>
      <c r="H752" s="8" t="n"/>
    </row>
    <row r="753">
      <c r="A753" s="5" t="n"/>
      <c r="D753" s="10" t="n"/>
      <c r="F753" s="9" t="n"/>
      <c r="H753" s="8" t="n"/>
    </row>
    <row r="754">
      <c r="A754" s="5" t="n"/>
      <c r="D754" s="10" t="n"/>
      <c r="F754" s="9" t="n"/>
      <c r="H754" s="8" t="n"/>
    </row>
    <row r="755">
      <c r="A755" s="5" t="n"/>
      <c r="D755" s="10" t="n"/>
      <c r="F755" s="9" t="n"/>
      <c r="H755" s="8" t="n"/>
    </row>
    <row r="756">
      <c r="A756" s="5" t="n"/>
      <c r="D756" s="10" t="n"/>
      <c r="F756" s="9" t="n"/>
      <c r="H756" s="8" t="n"/>
    </row>
    <row r="757">
      <c r="A757" s="5" t="n"/>
      <c r="D757" s="10" t="n"/>
      <c r="F757" s="9" t="n"/>
      <c r="H757" s="8" t="n"/>
    </row>
    <row r="758">
      <c r="A758" s="5" t="n"/>
      <c r="D758" s="10" t="n"/>
      <c r="F758" s="9" t="n"/>
      <c r="H758" s="8" t="n"/>
    </row>
    <row r="759">
      <c r="A759" s="5" t="n"/>
      <c r="D759" s="10" t="n"/>
      <c r="F759" s="9" t="n"/>
      <c r="H759" s="8" t="n"/>
    </row>
    <row r="760">
      <c r="A760" s="5" t="n"/>
      <c r="D760" s="10" t="n"/>
      <c r="F760" s="9" t="n"/>
      <c r="H760" s="8" t="n"/>
    </row>
    <row r="761">
      <c r="A761" s="5" t="n"/>
      <c r="D761" s="10" t="n"/>
      <c r="F761" s="9" t="n"/>
      <c r="H761" s="8" t="n"/>
    </row>
    <row r="762">
      <c r="A762" s="5" t="n"/>
      <c r="D762" s="10" t="n"/>
      <c r="F762" s="9" t="n"/>
      <c r="H762" s="8" t="n"/>
    </row>
    <row r="763">
      <c r="A763" s="5" t="n"/>
      <c r="D763" s="10" t="n"/>
      <c r="F763" s="9" t="n"/>
      <c r="H763" s="8" t="n"/>
    </row>
    <row r="764">
      <c r="A764" s="5" t="n"/>
      <c r="D764" s="10" t="n"/>
      <c r="F764" s="9" t="n"/>
      <c r="H764" s="8" t="n"/>
    </row>
    <row r="765">
      <c r="A765" s="5" t="n"/>
      <c r="D765" s="10" t="n"/>
      <c r="F765" s="9" t="n"/>
      <c r="H765" s="8" t="n"/>
    </row>
    <row r="766">
      <c r="A766" s="5" t="n"/>
      <c r="D766" s="10" t="n"/>
      <c r="F766" s="9" t="n"/>
      <c r="H766" s="8" t="n"/>
    </row>
    <row r="767">
      <c r="A767" s="5" t="n"/>
      <c r="D767" s="10" t="n"/>
      <c r="F767" s="9" t="n"/>
      <c r="H767" s="8" t="n"/>
    </row>
    <row r="768">
      <c r="A768" s="5" t="n"/>
      <c r="D768" s="10" t="n"/>
      <c r="F768" s="9" t="n"/>
      <c r="H768" s="8" t="n"/>
    </row>
    <row r="769">
      <c r="A769" s="5" t="n"/>
      <c r="D769" s="10" t="n"/>
      <c r="F769" s="9" t="n"/>
      <c r="H769" s="8" t="n"/>
    </row>
    <row r="770">
      <c r="A770" s="5" t="n"/>
      <c r="D770" s="10" t="n"/>
      <c r="F770" s="9" t="n"/>
      <c r="H770" s="8" t="n"/>
    </row>
    <row r="771">
      <c r="A771" s="5" t="n"/>
      <c r="D771" s="10" t="n"/>
      <c r="F771" s="9" t="n"/>
      <c r="H771" s="8" t="n"/>
    </row>
    <row r="772">
      <c r="A772" s="5" t="n"/>
      <c r="D772" s="10" t="n"/>
      <c r="F772" s="9" t="n"/>
      <c r="H772" s="8" t="n"/>
    </row>
    <row r="773">
      <c r="A773" s="5" t="n"/>
      <c r="D773" s="10" t="n"/>
      <c r="F773" s="9" t="n"/>
      <c r="H773" s="8" t="n"/>
    </row>
    <row r="774">
      <c r="A774" s="5" t="n"/>
      <c r="D774" s="10" t="n"/>
      <c r="F774" s="9" t="n"/>
      <c r="H774" s="8" t="n"/>
    </row>
    <row r="775">
      <c r="A775" s="5" t="n"/>
      <c r="D775" s="10" t="n"/>
      <c r="F775" s="9" t="n"/>
      <c r="H775" s="8" t="n"/>
    </row>
    <row r="776">
      <c r="A776" s="5" t="n"/>
      <c r="D776" s="10" t="n"/>
      <c r="F776" s="9" t="n"/>
      <c r="H776" s="8" t="n"/>
    </row>
    <row r="777">
      <c r="A777" s="5" t="n"/>
      <c r="D777" s="10" t="n"/>
      <c r="F777" s="9" t="n"/>
      <c r="H777" s="8" t="n"/>
    </row>
    <row r="778">
      <c r="A778" s="5" t="n"/>
      <c r="D778" s="10" t="n"/>
      <c r="F778" s="9" t="n"/>
      <c r="H778" s="8" t="n"/>
    </row>
    <row r="779">
      <c r="A779" s="5" t="n"/>
      <c r="D779" s="10" t="n"/>
      <c r="F779" s="9" t="n"/>
      <c r="H779" s="8" t="n"/>
    </row>
    <row r="780">
      <c r="A780" s="5" t="n"/>
      <c r="D780" s="10" t="n"/>
      <c r="F780" s="9" t="n"/>
      <c r="H780" s="8" t="n"/>
    </row>
    <row r="781">
      <c r="A781" s="5" t="n"/>
      <c r="D781" s="10" t="n"/>
      <c r="F781" s="9" t="n"/>
      <c r="H781" s="8" t="n"/>
    </row>
    <row r="782">
      <c r="A782" s="5" t="n"/>
      <c r="D782" s="10" t="n"/>
      <c r="F782" s="9" t="n"/>
      <c r="H782" s="8" t="n"/>
    </row>
    <row r="783">
      <c r="A783" s="5" t="n"/>
      <c r="D783" s="10" t="n"/>
      <c r="F783" s="9" t="n"/>
      <c r="H783" s="8" t="n"/>
    </row>
    <row r="784">
      <c r="A784" s="5" t="n"/>
      <c r="D784" s="10" t="n"/>
      <c r="F784" s="9" t="n"/>
      <c r="H784" s="8" t="n"/>
    </row>
    <row r="785">
      <c r="A785" s="5" t="n"/>
      <c r="D785" s="10" t="n"/>
      <c r="F785" s="9" t="n"/>
      <c r="H785" s="8" t="n"/>
    </row>
    <row r="786">
      <c r="A786" s="5" t="n"/>
      <c r="D786" s="10" t="n"/>
      <c r="F786" s="9" t="n"/>
      <c r="H786" s="8" t="n"/>
    </row>
    <row r="787">
      <c r="A787" s="5" t="n"/>
      <c r="D787" s="10" t="n"/>
      <c r="F787" s="9" t="n"/>
      <c r="H787" s="8" t="n"/>
    </row>
    <row r="788">
      <c r="A788" s="5" t="n"/>
      <c r="D788" s="10" t="n"/>
      <c r="F788" s="9" t="n"/>
      <c r="H788" s="8" t="n"/>
    </row>
    <row r="789">
      <c r="A789" s="5" t="n"/>
      <c r="D789" s="10" t="n"/>
      <c r="F789" s="9" t="n"/>
      <c r="H789" s="8" t="n"/>
    </row>
    <row r="790">
      <c r="A790" s="5" t="n"/>
      <c r="D790" s="10" t="n"/>
      <c r="F790" s="9" t="n"/>
      <c r="H790" s="8" t="n"/>
    </row>
    <row r="791">
      <c r="A791" s="5" t="n"/>
      <c r="D791" s="10" t="n"/>
      <c r="F791" s="9" t="n"/>
      <c r="H791" s="8" t="n"/>
    </row>
    <row r="792">
      <c r="A792" s="5" t="n"/>
      <c r="D792" s="10" t="n"/>
      <c r="F792" s="9" t="n"/>
      <c r="H792" s="8" t="n"/>
    </row>
    <row r="793">
      <c r="A793" s="5" t="n"/>
      <c r="D793" s="10" t="n"/>
      <c r="F793" s="9" t="n"/>
      <c r="H793" s="8" t="n"/>
    </row>
    <row r="794">
      <c r="A794" s="5" t="n"/>
      <c r="D794" s="10" t="n"/>
      <c r="F794" s="9" t="n"/>
      <c r="H794" s="8" t="n"/>
    </row>
    <row r="795">
      <c r="A795" s="5" t="n"/>
      <c r="D795" s="10" t="n"/>
      <c r="F795" s="9" t="n"/>
      <c r="H795" s="8" t="n"/>
    </row>
    <row r="796">
      <c r="A796" s="7" t="n"/>
      <c r="D796" s="10" t="n"/>
      <c r="F796" s="9" t="n"/>
      <c r="H796" s="8" t="n"/>
    </row>
    <row r="797">
      <c r="D797" s="10" t="n"/>
      <c r="F797" s="9" t="n"/>
      <c r="H797" s="8" t="n"/>
    </row>
    <row r="798">
      <c r="D798" s="10" t="n"/>
      <c r="F798" s="9" t="n"/>
      <c r="H798" s="8" t="n"/>
    </row>
    <row r="799">
      <c r="D799" s="10" t="n"/>
      <c r="F799" s="9" t="n"/>
      <c r="H799" s="8" t="n"/>
    </row>
    <row r="800">
      <c r="A800" s="3" t="n"/>
      <c r="D800" s="10" t="n"/>
      <c r="F800" s="9" t="n"/>
      <c r="H800" s="8" t="n"/>
    </row>
    <row r="801">
      <c r="A801" s="3" t="n"/>
      <c r="D801" s="10" t="n"/>
      <c r="F801" s="9" t="n"/>
      <c r="H801" s="8" t="n"/>
    </row>
    <row r="802">
      <c r="A802" s="5" t="n"/>
      <c r="D802" s="10" t="n"/>
      <c r="F802" s="9" t="n"/>
      <c r="H802" s="8" t="n"/>
    </row>
    <row r="803">
      <c r="A803" s="5" t="n"/>
      <c r="D803" s="10" t="n"/>
      <c r="F803" s="9" t="n"/>
      <c r="H803" s="8" t="n"/>
    </row>
    <row r="804">
      <c r="A804" s="5" t="n"/>
      <c r="D804" s="10" t="n"/>
      <c r="F804" s="9" t="n"/>
      <c r="H804" s="8" t="n"/>
    </row>
    <row r="805">
      <c r="A805" s="5" t="n"/>
      <c r="D805" s="10" t="n"/>
      <c r="F805" s="9" t="n"/>
      <c r="H805" s="8" t="n"/>
    </row>
    <row r="806">
      <c r="A806" s="5" t="n"/>
      <c r="D806" s="10" t="n"/>
      <c r="F806" s="9" t="n"/>
      <c r="H806" s="8" t="n"/>
    </row>
    <row r="807">
      <c r="A807" s="5" t="n"/>
      <c r="D807" s="10" t="n"/>
      <c r="F807" s="9" t="n"/>
      <c r="H807" s="8" t="n"/>
    </row>
    <row r="808">
      <c r="A808" s="5" t="n"/>
      <c r="D808" s="10" t="n"/>
      <c r="F808" s="9" t="n"/>
      <c r="H808" s="8" t="n"/>
    </row>
    <row r="809">
      <c r="A809" s="5" t="n"/>
      <c r="D809" s="10" t="n"/>
      <c r="F809" s="9" t="n"/>
      <c r="H809" s="8" t="n"/>
    </row>
    <row r="810">
      <c r="A810" s="5" t="n"/>
      <c r="D810" s="10" t="n"/>
      <c r="F810" s="9" t="n"/>
      <c r="H810" s="8" t="n"/>
    </row>
    <row r="811">
      <c r="A811" s="5" t="n"/>
      <c r="D811" s="10" t="n"/>
      <c r="F811" s="9" t="n"/>
      <c r="H811" s="8" t="n"/>
    </row>
    <row r="812">
      <c r="A812" s="5" t="n"/>
      <c r="D812" s="10" t="n"/>
      <c r="F812" s="9" t="n"/>
      <c r="H812" s="8" t="n"/>
    </row>
    <row r="813">
      <c r="A813" s="5" t="n"/>
      <c r="D813" s="10" t="n"/>
      <c r="F813" s="9" t="n"/>
      <c r="H813" s="8" t="n"/>
    </row>
    <row r="814">
      <c r="A814" s="5" t="n"/>
      <c r="D814" s="10" t="n"/>
      <c r="F814" s="9" t="n"/>
      <c r="H814" s="8" t="n"/>
    </row>
    <row r="815">
      <c r="A815" s="5" t="n"/>
      <c r="D815" s="10" t="n"/>
      <c r="F815" s="9" t="n"/>
      <c r="H815" s="8" t="n"/>
    </row>
    <row r="816">
      <c r="A816" s="5" t="n"/>
      <c r="D816" s="10" t="n"/>
      <c r="F816" s="9" t="n"/>
      <c r="H816" s="8" t="n"/>
    </row>
    <row r="817">
      <c r="A817" s="5" t="n"/>
      <c r="D817" s="10" t="n"/>
      <c r="F817" s="9" t="n"/>
      <c r="H817" s="8" t="n"/>
    </row>
    <row r="818">
      <c r="A818" s="5" t="n"/>
      <c r="D818" s="10" t="n"/>
      <c r="F818" s="9" t="n"/>
      <c r="H818" s="8" t="n"/>
    </row>
    <row r="819">
      <c r="A819" s="5" t="n"/>
      <c r="D819" s="10" t="n"/>
      <c r="F819" s="9" t="n"/>
      <c r="H819" s="8" t="n"/>
    </row>
    <row r="820">
      <c r="A820" s="5" t="n"/>
      <c r="D820" s="10" t="n"/>
      <c r="F820" s="9" t="n"/>
      <c r="H820" s="8" t="n"/>
    </row>
    <row r="821">
      <c r="A821" s="5" t="n"/>
      <c r="D821" s="10" t="n"/>
      <c r="F821" s="9" t="n"/>
      <c r="H821" s="8" t="n"/>
    </row>
    <row r="822">
      <c r="A822" s="5" t="n"/>
      <c r="D822" s="10" t="n"/>
      <c r="F822" s="9" t="n"/>
      <c r="H822" s="8" t="n"/>
    </row>
    <row r="823">
      <c r="A823" s="5" t="n"/>
      <c r="D823" s="10" t="n"/>
      <c r="F823" s="9" t="n"/>
      <c r="H823" s="8" t="n"/>
    </row>
    <row r="824">
      <c r="A824" s="5" t="n"/>
      <c r="D824" s="10" t="n"/>
      <c r="F824" s="9" t="n"/>
      <c r="H824" s="8" t="n"/>
    </row>
    <row r="825">
      <c r="A825" s="5" t="n"/>
      <c r="D825" s="10" t="n"/>
      <c r="F825" s="9" t="n"/>
      <c r="H825" s="8" t="n"/>
    </row>
    <row r="826">
      <c r="A826" s="5" t="n"/>
      <c r="D826" s="10" t="n"/>
      <c r="F826" s="9" t="n"/>
      <c r="H826" s="8" t="n"/>
    </row>
    <row r="827">
      <c r="A827" s="5" t="n"/>
      <c r="D827" s="10" t="n"/>
      <c r="F827" s="9" t="n"/>
      <c r="H827" s="8" t="n"/>
    </row>
    <row r="828">
      <c r="A828" s="5" t="n"/>
      <c r="D828" s="10" t="n"/>
      <c r="F828" s="9" t="n"/>
      <c r="H828" s="8" t="n"/>
    </row>
    <row r="829">
      <c r="A829" s="5" t="n"/>
      <c r="D829" s="10" t="n"/>
      <c r="F829" s="9" t="n"/>
      <c r="H829" s="8" t="n"/>
    </row>
    <row r="830">
      <c r="A830" s="5" t="n"/>
      <c r="D830" s="10" t="n"/>
      <c r="F830" s="9" t="n"/>
      <c r="H830" s="8" t="n"/>
    </row>
    <row r="831">
      <c r="A831" s="5" t="n"/>
      <c r="D831" s="10" t="n"/>
      <c r="F831" s="9" t="n"/>
      <c r="H831" s="8" t="n"/>
    </row>
    <row r="832">
      <c r="A832" s="5" t="n"/>
      <c r="D832" s="10" t="n"/>
      <c r="F832" s="9" t="n"/>
      <c r="H832" s="8" t="n"/>
    </row>
    <row r="833">
      <c r="A833" s="5" t="n"/>
      <c r="D833" s="10" t="n"/>
      <c r="F833" s="9" t="n"/>
      <c r="H833" s="8" t="n"/>
    </row>
    <row r="834">
      <c r="A834" s="5" t="n"/>
      <c r="D834" s="10" t="n"/>
      <c r="F834" s="9" t="n"/>
      <c r="H834" s="8" t="n"/>
    </row>
    <row r="835">
      <c r="A835" s="5" t="n"/>
      <c r="D835" s="10" t="n"/>
      <c r="F835" s="9" t="n"/>
      <c r="H835" s="8" t="n"/>
    </row>
    <row r="836">
      <c r="A836" s="5" t="n"/>
      <c r="D836" s="10" t="n"/>
      <c r="F836" s="9" t="n"/>
      <c r="H836" s="8" t="n"/>
    </row>
    <row r="837">
      <c r="A837" s="5" t="n"/>
      <c r="D837" s="10" t="n"/>
      <c r="F837" s="9" t="n"/>
      <c r="H837" s="8" t="n"/>
    </row>
    <row r="838">
      <c r="A838" s="5" t="n"/>
      <c r="D838" s="10" t="n"/>
      <c r="F838" s="9" t="n"/>
      <c r="H838" s="8" t="n"/>
    </row>
    <row r="839">
      <c r="A839" s="5" t="n"/>
      <c r="D839" s="10" t="n"/>
      <c r="F839" s="9" t="n"/>
      <c r="H839" s="8" t="n"/>
    </row>
    <row r="840">
      <c r="A840" s="5" t="n"/>
      <c r="D840" s="10" t="n"/>
      <c r="F840" s="9" t="n"/>
      <c r="H840" s="8" t="n"/>
    </row>
    <row r="841">
      <c r="A841" s="5" t="n"/>
      <c r="D841" s="10" t="n"/>
      <c r="F841" s="9" t="n"/>
      <c r="H841" s="8" t="n"/>
    </row>
    <row r="842">
      <c r="A842" s="5" t="n"/>
      <c r="D842" s="10" t="n"/>
      <c r="F842" s="9" t="n"/>
      <c r="H842" s="8" t="n"/>
    </row>
    <row r="843">
      <c r="A843" s="5" t="n"/>
      <c r="D843" s="10" t="n"/>
      <c r="F843" s="9" t="n"/>
      <c r="H843" s="8" t="n"/>
    </row>
    <row r="844">
      <c r="A844" s="5" t="n"/>
      <c r="D844" s="10" t="n"/>
      <c r="F844" s="9" t="n"/>
      <c r="H844" s="8" t="n"/>
    </row>
    <row r="845">
      <c r="A845" s="5" t="n"/>
      <c r="D845" s="10" t="n"/>
      <c r="F845" s="9" t="n"/>
      <c r="H845" s="8" t="n"/>
    </row>
    <row r="846">
      <c r="A846" s="5" t="n"/>
      <c r="D846" s="10" t="n"/>
      <c r="F846" s="9" t="n"/>
      <c r="H846" s="8" t="n"/>
    </row>
    <row r="847">
      <c r="A847" s="5" t="n"/>
      <c r="D847" s="10" t="n"/>
      <c r="F847" s="9" t="n"/>
      <c r="H847" s="8" t="n"/>
    </row>
    <row r="848">
      <c r="A848" s="5" t="n"/>
      <c r="D848" s="10" t="n"/>
      <c r="F848" s="9" t="n"/>
      <c r="H848" s="8" t="n"/>
    </row>
    <row r="849">
      <c r="A849" s="5" t="n"/>
      <c r="D849" s="10" t="n"/>
      <c r="F849" s="9" t="n"/>
      <c r="H849" s="8" t="n"/>
    </row>
    <row r="850">
      <c r="A850" s="5" t="n"/>
      <c r="D850" s="10" t="n"/>
      <c r="F850" s="9" t="n"/>
      <c r="H850" s="8" t="n"/>
    </row>
    <row r="851">
      <c r="A851" s="5" t="n"/>
      <c r="D851" s="10" t="n"/>
      <c r="F851" s="9" t="n"/>
      <c r="H851" s="8" t="n"/>
    </row>
    <row r="852">
      <c r="A852" s="5" t="n"/>
      <c r="D852" s="10" t="n"/>
      <c r="F852" s="9" t="n"/>
      <c r="H852" s="8" t="n"/>
    </row>
    <row r="853">
      <c r="A853" s="5" t="n"/>
      <c r="D853" s="10" t="n"/>
      <c r="F853" s="9" t="n"/>
      <c r="H853" s="8" t="n"/>
    </row>
    <row r="854">
      <c r="A854" s="5" t="n"/>
      <c r="D854" s="10" t="n"/>
      <c r="F854" s="9" t="n"/>
      <c r="H854" s="8" t="n"/>
    </row>
    <row r="855">
      <c r="A855" s="5" t="n"/>
      <c r="D855" s="10" t="n"/>
      <c r="F855" s="9" t="n"/>
      <c r="H855" s="8" t="n"/>
    </row>
    <row r="856">
      <c r="A856" s="5" t="n"/>
      <c r="D856" s="10" t="n"/>
      <c r="F856" s="9" t="n"/>
      <c r="H856" s="8" t="n"/>
    </row>
    <row r="857">
      <c r="A857" s="5" t="n"/>
      <c r="D857" s="10" t="n"/>
      <c r="F857" s="9" t="n"/>
      <c r="H857" s="8" t="n"/>
    </row>
    <row r="858">
      <c r="A858" s="5" t="n"/>
      <c r="D858" s="10" t="n"/>
      <c r="F858" s="9" t="n"/>
      <c r="H858" s="8" t="n"/>
    </row>
    <row r="859">
      <c r="A859" s="5" t="n"/>
      <c r="D859" s="10" t="n"/>
      <c r="F859" s="9" t="n"/>
      <c r="H859" s="8" t="n"/>
    </row>
    <row r="860">
      <c r="A860" s="5" t="n"/>
      <c r="D860" s="10" t="n"/>
      <c r="F860" s="9" t="n"/>
      <c r="H860" s="8" t="n"/>
    </row>
    <row r="861">
      <c r="A861" s="5" t="n"/>
      <c r="D861" s="10" t="n"/>
      <c r="F861" s="9" t="n"/>
      <c r="H861" s="8" t="n"/>
    </row>
    <row r="862">
      <c r="A862" s="5" t="n"/>
      <c r="D862" s="10" t="n"/>
      <c r="F862" s="9" t="n"/>
      <c r="H862" s="8" t="n"/>
    </row>
    <row r="863">
      <c r="A863" s="5" t="n"/>
      <c r="D863" s="10" t="n"/>
      <c r="F863" s="9" t="n"/>
      <c r="H863" s="8" t="n"/>
    </row>
    <row r="864">
      <c r="A864" s="5" t="n"/>
      <c r="D864" s="10" t="n"/>
      <c r="F864" s="9" t="n"/>
      <c r="H864" s="8" t="n"/>
    </row>
    <row r="865">
      <c r="A865" s="5" t="n"/>
      <c r="D865" s="10" t="n"/>
      <c r="F865" s="9" t="n"/>
      <c r="H865" s="8" t="n"/>
    </row>
    <row r="866">
      <c r="A866" s="5" t="n"/>
      <c r="D866" s="10" t="n"/>
      <c r="F866" s="9" t="n"/>
      <c r="H866" s="8" t="n"/>
    </row>
    <row r="867">
      <c r="A867" s="5" t="n"/>
      <c r="D867" s="10" t="n"/>
      <c r="F867" s="9" t="n"/>
      <c r="H867" s="8" t="n"/>
    </row>
    <row r="868">
      <c r="A868" s="5" t="n"/>
      <c r="D868" s="10" t="n"/>
      <c r="F868" s="9" t="n"/>
      <c r="H868" s="8" t="n"/>
    </row>
    <row r="869">
      <c r="A869" s="7" t="n"/>
      <c r="D869" s="10" t="n"/>
      <c r="F869" s="9" t="n"/>
      <c r="H869" s="8" t="n"/>
    </row>
    <row r="870">
      <c r="D870" s="10" t="n"/>
      <c r="F870" s="9" t="n"/>
      <c r="H870" s="8" t="n"/>
    </row>
    <row r="871">
      <c r="D871" s="10" t="n"/>
      <c r="F871" s="9" t="n"/>
      <c r="H871" s="8" t="n"/>
    </row>
    <row r="872">
      <c r="D872" s="10" t="n"/>
      <c r="F872" s="9" t="n"/>
      <c r="H872" s="8" t="n"/>
    </row>
    <row r="873">
      <c r="A873" s="3" t="n"/>
      <c r="D873" s="10" t="n"/>
      <c r="F873" s="9" t="n"/>
      <c r="H873" s="8" t="n"/>
    </row>
    <row r="874">
      <c r="A874" s="3" t="n"/>
      <c r="D874" s="10" t="n"/>
      <c r="F874" s="9" t="n"/>
      <c r="H874" s="8" t="n"/>
    </row>
    <row r="875">
      <c r="A875" s="5" t="n"/>
      <c r="D875" s="10" t="n"/>
      <c r="F875" s="9" t="n"/>
      <c r="H875" s="8" t="n"/>
    </row>
    <row r="876">
      <c r="A876" s="5" t="n"/>
      <c r="D876" s="10" t="n"/>
      <c r="F876" s="9" t="n"/>
      <c r="H876" s="8" t="n"/>
    </row>
    <row r="877">
      <c r="A877" s="5" t="n"/>
      <c r="D877" s="10" t="n"/>
      <c r="F877" s="9" t="n"/>
      <c r="H877" s="8" t="n"/>
    </row>
    <row r="878">
      <c r="A878" s="5" t="n"/>
      <c r="D878" s="10" t="n"/>
      <c r="F878" s="9" t="n"/>
      <c r="H878" s="8" t="n"/>
    </row>
    <row r="879">
      <c r="A879" s="5" t="n"/>
      <c r="D879" s="10" t="n"/>
      <c r="F879" s="9" t="n"/>
      <c r="H879" s="8" t="n"/>
    </row>
    <row r="880">
      <c r="A880" s="5" t="n"/>
      <c r="D880" s="10" t="n"/>
      <c r="F880" s="9" t="n"/>
      <c r="H880" s="8" t="n"/>
    </row>
    <row r="881">
      <c r="A881" s="5" t="n"/>
      <c r="D881" s="10" t="n"/>
      <c r="F881" s="9" t="n"/>
      <c r="H881" s="8" t="n"/>
    </row>
    <row r="882">
      <c r="A882" s="5" t="n"/>
      <c r="D882" s="10" t="n"/>
      <c r="F882" s="9" t="n"/>
      <c r="H882" s="8" t="n"/>
    </row>
    <row r="883">
      <c r="A883" s="5" t="n"/>
      <c r="D883" s="10" t="n"/>
      <c r="F883" s="9" t="n"/>
      <c r="H883" s="8" t="n"/>
    </row>
    <row r="884">
      <c r="A884" s="5" t="n"/>
      <c r="D884" s="10" t="n"/>
      <c r="F884" s="9" t="n"/>
      <c r="H884" s="8" t="n"/>
    </row>
    <row r="885">
      <c r="A885" s="5" t="n"/>
      <c r="D885" s="10" t="n"/>
      <c r="F885" s="9" t="n"/>
      <c r="H885" s="8" t="n"/>
    </row>
    <row r="886">
      <c r="A886" s="5" t="n"/>
      <c r="D886" s="10" t="n"/>
      <c r="F886" s="9" t="n"/>
      <c r="H886" s="8" t="n"/>
    </row>
    <row r="887">
      <c r="A887" s="5" t="n"/>
      <c r="D887" s="10" t="n"/>
      <c r="F887" s="9" t="n"/>
      <c r="H887" s="8" t="n"/>
    </row>
    <row r="888">
      <c r="A888" s="5" t="n"/>
      <c r="D888" s="10" t="n"/>
      <c r="F888" s="9" t="n"/>
      <c r="H888" s="8" t="n"/>
    </row>
    <row r="889">
      <c r="A889" s="5" t="n"/>
      <c r="D889" s="10" t="n"/>
      <c r="F889" s="9" t="n"/>
      <c r="H889" s="8" t="n"/>
    </row>
    <row r="890">
      <c r="A890" s="5" t="n"/>
      <c r="D890" s="10" t="n"/>
      <c r="F890" s="9" t="n"/>
      <c r="H890" s="8" t="n"/>
    </row>
    <row r="891">
      <c r="A891" s="5" t="n"/>
      <c r="D891" s="10" t="n"/>
      <c r="F891" s="9" t="n"/>
      <c r="H891" s="8" t="n"/>
    </row>
    <row r="892">
      <c r="A892" s="5" t="n"/>
      <c r="D892" s="10" t="n"/>
      <c r="F892" s="9" t="n"/>
      <c r="H892" s="8" t="n"/>
    </row>
    <row r="893">
      <c r="A893" s="5" t="n"/>
      <c r="D893" s="10" t="n"/>
      <c r="F893" s="9" t="n"/>
      <c r="H893" s="8" t="n"/>
    </row>
    <row r="894">
      <c r="A894" s="5" t="n"/>
      <c r="D894" s="10" t="n"/>
      <c r="F894" s="9" t="n"/>
      <c r="H894" s="8" t="n"/>
    </row>
    <row r="895">
      <c r="A895" s="5" t="n"/>
      <c r="D895" s="10" t="n"/>
      <c r="F895" s="9" t="n"/>
      <c r="H895" s="8" t="n"/>
    </row>
    <row r="896">
      <c r="A896" s="5" t="n"/>
      <c r="D896" s="10" t="n"/>
      <c r="F896" s="9" t="n"/>
      <c r="H896" s="8" t="n"/>
    </row>
    <row r="897">
      <c r="A897" s="5" t="n"/>
      <c r="D897" s="10" t="n"/>
      <c r="F897" s="9" t="n"/>
      <c r="H897" s="8" t="n"/>
    </row>
    <row r="898">
      <c r="A898" s="5" t="n"/>
      <c r="D898" s="10" t="n"/>
      <c r="F898" s="9" t="n"/>
      <c r="H898" s="8" t="n"/>
    </row>
    <row r="899">
      <c r="A899" s="5" t="n"/>
      <c r="D899" s="10" t="n"/>
      <c r="F899" s="9" t="n"/>
      <c r="H899" s="8" t="n"/>
    </row>
    <row r="900">
      <c r="A900" s="5" t="n"/>
      <c r="D900" s="10" t="n"/>
      <c r="F900" s="9" t="n"/>
      <c r="H900" s="8" t="n"/>
    </row>
    <row r="901">
      <c r="A901" s="5" t="n"/>
      <c r="D901" s="10" t="n"/>
      <c r="F901" s="9" t="n"/>
      <c r="H901" s="8" t="n"/>
    </row>
    <row r="902">
      <c r="A902" s="5" t="n"/>
      <c r="D902" s="10" t="n"/>
      <c r="F902" s="9" t="n"/>
      <c r="H902" s="8" t="n"/>
    </row>
    <row r="903">
      <c r="A903" s="5" t="n"/>
      <c r="D903" s="10" t="n"/>
      <c r="F903" s="9" t="n"/>
      <c r="H903" s="8" t="n"/>
    </row>
    <row r="904">
      <c r="A904" s="5" t="n"/>
      <c r="D904" s="10" t="n"/>
      <c r="F904" s="9" t="n"/>
      <c r="H904" s="8" t="n"/>
    </row>
    <row r="905">
      <c r="A905" s="5" t="n"/>
      <c r="D905" s="10" t="n"/>
      <c r="F905" s="9" t="n"/>
      <c r="H905" s="8" t="n"/>
    </row>
    <row r="906">
      <c r="A906" s="5" t="n"/>
      <c r="D906" s="10" t="n"/>
      <c r="F906" s="9" t="n"/>
      <c r="H906" s="8" t="n"/>
    </row>
    <row r="907">
      <c r="A907" s="5" t="n"/>
      <c r="D907" s="10" t="n"/>
      <c r="F907" s="9" t="n"/>
      <c r="H907" s="8" t="n"/>
    </row>
    <row r="908">
      <c r="A908" s="5" t="n"/>
      <c r="D908" s="10" t="n"/>
      <c r="F908" s="9" t="n"/>
      <c r="H908" s="8" t="n"/>
    </row>
    <row r="909">
      <c r="A909" s="5" t="n"/>
      <c r="D909" s="10" t="n"/>
      <c r="F909" s="9" t="n"/>
      <c r="H909" s="8" t="n"/>
    </row>
    <row r="910">
      <c r="A910" s="5" t="n"/>
      <c r="D910" s="10" t="n"/>
      <c r="F910" s="9" t="n"/>
      <c r="H910" s="8" t="n"/>
    </row>
    <row r="911">
      <c r="A911" s="5" t="n"/>
      <c r="D911" s="10" t="n"/>
      <c r="F911" s="9" t="n"/>
      <c r="H911" s="8" t="n"/>
    </row>
    <row r="912">
      <c r="A912" s="5" t="n"/>
      <c r="D912" s="10" t="n"/>
      <c r="F912" s="9" t="n"/>
      <c r="H912" s="8" t="n"/>
    </row>
    <row r="913">
      <c r="A913" s="5" t="n"/>
      <c r="D913" s="10" t="n"/>
      <c r="F913" s="9" t="n"/>
      <c r="H913" s="8" t="n"/>
    </row>
    <row r="914">
      <c r="A914" s="5" t="n"/>
      <c r="D914" s="10" t="n"/>
      <c r="F914" s="9" t="n"/>
      <c r="H914" s="8" t="n"/>
    </row>
    <row r="915">
      <c r="A915" s="5" t="n"/>
      <c r="D915" s="10" t="n"/>
      <c r="F915" s="9" t="n"/>
      <c r="H915" s="8" t="n"/>
    </row>
    <row r="916">
      <c r="A916" s="5" t="n"/>
      <c r="D916" s="10" t="n"/>
      <c r="F916" s="9" t="n"/>
      <c r="H916" s="8" t="n"/>
    </row>
    <row r="917">
      <c r="A917" s="5" t="n"/>
      <c r="D917" s="10" t="n"/>
      <c r="F917" s="9" t="n"/>
      <c r="H917" s="8" t="n"/>
    </row>
    <row r="918">
      <c r="A918" s="5" t="n"/>
      <c r="D918" s="10" t="n"/>
      <c r="F918" s="9" t="n"/>
      <c r="H918" s="8" t="n"/>
    </row>
    <row r="919">
      <c r="A919" s="5" t="n"/>
      <c r="D919" s="10" t="n"/>
      <c r="F919" s="9" t="n"/>
      <c r="H919" s="8" t="n"/>
    </row>
    <row r="920">
      <c r="A920" s="5" t="n"/>
      <c r="D920" s="10" t="n"/>
      <c r="F920" s="9" t="n"/>
      <c r="H920" s="8" t="n"/>
    </row>
    <row r="921">
      <c r="A921" s="5" t="n"/>
      <c r="D921" s="10" t="n"/>
      <c r="F921" s="9" t="n"/>
      <c r="H921" s="8" t="n"/>
    </row>
    <row r="922">
      <c r="A922" s="5" t="n"/>
      <c r="D922" s="10" t="n"/>
      <c r="F922" s="9" t="n"/>
      <c r="H922" s="8" t="n"/>
    </row>
    <row r="923">
      <c r="A923" s="5" t="n"/>
      <c r="D923" s="10" t="n"/>
      <c r="F923" s="9" t="n"/>
      <c r="H923" s="8" t="n"/>
    </row>
    <row r="924">
      <c r="A924" s="5" t="n"/>
      <c r="D924" s="10" t="n"/>
      <c r="F924" s="9" t="n"/>
      <c r="H924" s="8" t="n"/>
    </row>
    <row r="925">
      <c r="A925" s="5" t="n"/>
      <c r="D925" s="10" t="n"/>
      <c r="F925" s="9" t="n"/>
      <c r="H925" s="8" t="n"/>
    </row>
    <row r="926">
      <c r="A926" s="5" t="n"/>
      <c r="D926" s="10" t="n"/>
      <c r="F926" s="9" t="n"/>
      <c r="H926" s="8" t="n"/>
    </row>
    <row r="927">
      <c r="A927" s="5" t="n"/>
      <c r="D927" s="10" t="n"/>
      <c r="F927" s="9" t="n"/>
      <c r="H927" s="8" t="n"/>
    </row>
    <row r="928">
      <c r="A928" s="5" t="n"/>
      <c r="D928" s="10" t="n"/>
      <c r="F928" s="9" t="n"/>
      <c r="H928" s="8" t="n"/>
    </row>
    <row r="929">
      <c r="A929" s="5" t="n"/>
      <c r="D929" s="10" t="n"/>
      <c r="F929" s="9" t="n"/>
      <c r="H929" s="8" t="n"/>
    </row>
    <row r="930">
      <c r="A930" s="5" t="n"/>
      <c r="D930" s="10" t="n"/>
      <c r="F930" s="9" t="n"/>
      <c r="H930" s="8" t="n"/>
    </row>
    <row r="931">
      <c r="A931" s="5" t="n"/>
      <c r="D931" s="10" t="n"/>
      <c r="F931" s="9" t="n"/>
      <c r="H931" s="8" t="n"/>
    </row>
    <row r="932">
      <c r="A932" s="5" t="n"/>
      <c r="D932" s="10" t="n"/>
      <c r="F932" s="9" t="n"/>
      <c r="H932" s="8" t="n"/>
    </row>
    <row r="933">
      <c r="A933" s="5" t="n"/>
      <c r="D933" s="10" t="n"/>
      <c r="F933" s="9" t="n"/>
      <c r="H933" s="8" t="n"/>
    </row>
    <row r="934">
      <c r="A934" s="5" t="n"/>
      <c r="D934" s="10" t="n"/>
      <c r="F934" s="9" t="n"/>
      <c r="H934" s="8" t="n"/>
    </row>
    <row r="935">
      <c r="A935" s="5" t="n"/>
      <c r="D935" s="10" t="n"/>
      <c r="F935" s="9" t="n"/>
      <c r="H935" s="8" t="n"/>
    </row>
    <row r="936">
      <c r="A936" s="5" t="n"/>
      <c r="D936" s="10" t="n"/>
      <c r="F936" s="9" t="n"/>
      <c r="H936" s="8" t="n"/>
    </row>
    <row r="937">
      <c r="A937" s="5" t="n"/>
      <c r="D937" s="10" t="n"/>
      <c r="F937" s="9" t="n"/>
      <c r="H937" s="8" t="n"/>
    </row>
    <row r="938">
      <c r="A938" s="5" t="n"/>
      <c r="D938" s="10" t="n"/>
      <c r="F938" s="9" t="n"/>
      <c r="H938" s="8" t="n"/>
    </row>
    <row r="939">
      <c r="A939" s="5" t="n"/>
      <c r="D939" s="10" t="n"/>
      <c r="F939" s="9" t="n"/>
      <c r="H939" s="8" t="n"/>
    </row>
    <row r="940">
      <c r="A940" s="5" t="n"/>
      <c r="D940" s="10" t="n"/>
      <c r="F940" s="9" t="n"/>
      <c r="H940" s="8" t="n"/>
    </row>
    <row r="941">
      <c r="A941" s="5" t="n"/>
      <c r="D941" s="10" t="n"/>
      <c r="F941" s="9" t="n"/>
      <c r="H941" s="8" t="n"/>
    </row>
    <row r="942">
      <c r="A942" s="7" t="n"/>
      <c r="D942" s="10" t="n"/>
      <c r="F942" s="9" t="n"/>
      <c r="H942" s="8" t="n"/>
    </row>
    <row r="943">
      <c r="D943" s="10" t="n"/>
      <c r="F943" s="9" t="n"/>
      <c r="H943" s="8" t="n"/>
    </row>
    <row r="944">
      <c r="D944" s="10" t="n"/>
      <c r="F944" s="9" t="n"/>
      <c r="H944" s="8" t="n"/>
    </row>
    <row r="945">
      <c r="D945" s="10" t="n"/>
      <c r="F945" s="9" t="n"/>
      <c r="H945" s="8" t="n"/>
    </row>
    <row r="946">
      <c r="D946" s="10" t="n"/>
      <c r="F946" s="9" t="n"/>
      <c r="H946" s="8" t="n"/>
    </row>
    <row r="947">
      <c r="D947" s="10" t="n"/>
      <c r="F947" s="9" t="n"/>
      <c r="H947" s="8" t="n"/>
    </row>
    <row r="948">
      <c r="D948" s="10" t="n"/>
      <c r="F948" s="9" t="n"/>
      <c r="H948" s="8" t="n"/>
    </row>
    <row r="949">
      <c r="D949" s="10" t="n"/>
      <c r="F949" s="9" t="n"/>
      <c r="H949" s="8" t="n"/>
    </row>
    <row r="950">
      <c r="D950" s="10" t="n"/>
      <c r="F950" s="9" t="n"/>
      <c r="H950" s="8" t="n"/>
    </row>
    <row r="951">
      <c r="D951" s="10" t="n"/>
      <c r="F951" s="9" t="n"/>
      <c r="H951" s="8" t="n"/>
    </row>
    <row r="952">
      <c r="D952" s="10" t="n"/>
      <c r="F952" s="9" t="n"/>
      <c r="H952" s="8" t="n"/>
    </row>
    <row r="953">
      <c r="D953" s="10" t="n"/>
      <c r="F953" s="9" t="n"/>
      <c r="H953" s="8" t="n"/>
    </row>
    <row r="954">
      <c r="D954" s="10" t="n"/>
      <c r="F954" s="9" t="n"/>
      <c r="H954" s="8" t="n"/>
    </row>
    <row r="955">
      <c r="D955" s="10" t="n"/>
      <c r="F955" s="9" t="n"/>
      <c r="H955" s="8" t="n"/>
    </row>
    <row r="956">
      <c r="D956" s="10" t="n"/>
      <c r="F956" s="9" t="n"/>
      <c r="H956" s="8" t="n"/>
    </row>
    <row r="957">
      <c r="D957" s="10" t="n"/>
      <c r="F957" s="9" t="n"/>
      <c r="H957" s="8" t="n"/>
    </row>
    <row r="958">
      <c r="D958" s="10" t="n"/>
      <c r="F958" s="9" t="n"/>
      <c r="H958" s="8" t="n"/>
    </row>
    <row r="959">
      <c r="D959" s="10" t="n"/>
      <c r="F959" s="9" t="n"/>
      <c r="H959" s="8" t="n"/>
    </row>
    <row r="960">
      <c r="D960" s="10" t="n"/>
      <c r="F960" s="9" t="n"/>
      <c r="H960" s="8" t="n"/>
    </row>
    <row r="961">
      <c r="D961" s="10" t="n"/>
      <c r="F961" s="9" t="n"/>
      <c r="H961" s="8" t="n"/>
    </row>
    <row r="962">
      <c r="D962" s="10" t="n"/>
      <c r="F962" s="9" t="n"/>
      <c r="H962" s="8" t="n"/>
    </row>
    <row r="963">
      <c r="D963" s="10" t="n"/>
      <c r="F963" s="9" t="n"/>
      <c r="H963" s="8" t="n"/>
    </row>
    <row r="964">
      <c r="D964" s="10" t="n"/>
      <c r="F964" s="9" t="n"/>
      <c r="H964" s="8" t="n"/>
    </row>
    <row r="965">
      <c r="D965" s="10" t="n"/>
      <c r="F965" s="9" t="n"/>
      <c r="H965" s="8" t="n"/>
    </row>
    <row r="966">
      <c r="D966" s="10" t="n"/>
      <c r="F966" s="9" t="n"/>
      <c r="H966" s="8" t="n"/>
    </row>
    <row r="967">
      <c r="D967" s="10" t="n"/>
      <c r="F967" s="9" t="n"/>
      <c r="H967" s="8" t="n"/>
    </row>
    <row r="968">
      <c r="D968" s="10" t="n"/>
      <c r="F968" s="9" t="n"/>
      <c r="H968" s="8" t="n"/>
    </row>
    <row r="969">
      <c r="D969" s="10" t="n"/>
      <c r="F969" s="9" t="n"/>
      <c r="H969" s="8" t="n"/>
    </row>
    <row r="970">
      <c r="D970" s="10" t="n"/>
      <c r="F970" s="9" t="n"/>
      <c r="H970" s="8" t="n"/>
    </row>
    <row r="971">
      <c r="D971" s="10" t="n"/>
      <c r="F971" s="9" t="n"/>
      <c r="H971" s="8" t="n"/>
    </row>
    <row r="972">
      <c r="D972" s="10" t="n"/>
      <c r="F972" s="9" t="n"/>
      <c r="H972" s="8" t="n"/>
    </row>
    <row r="973">
      <c r="D973" s="10" t="n"/>
      <c r="F973" s="9" t="n"/>
      <c r="H973" s="8" t="n"/>
    </row>
    <row r="974">
      <c r="D974" s="10" t="n"/>
      <c r="F974" s="9" t="n"/>
      <c r="H974" s="8" t="n"/>
    </row>
    <row r="975">
      <c r="D975" s="10" t="n"/>
      <c r="F975" s="9" t="n"/>
      <c r="H975" s="8" t="n"/>
    </row>
    <row r="976">
      <c r="D976" s="10" t="n"/>
      <c r="F976" s="9" t="n"/>
      <c r="H976" s="8" t="n"/>
    </row>
    <row r="977">
      <c r="D977" s="10" t="n"/>
      <c r="F977" s="9" t="n"/>
      <c r="H977" s="8" t="n"/>
    </row>
    <row r="978">
      <c r="D978" s="10" t="n"/>
      <c r="F978" s="9" t="n"/>
      <c r="H978" s="8" t="n"/>
    </row>
    <row r="979">
      <c r="D979" s="10" t="n"/>
      <c r="F979" s="9" t="n"/>
      <c r="H979" s="8" t="n"/>
    </row>
    <row r="980">
      <c r="D980" s="10" t="n"/>
      <c r="F980" s="9" t="n"/>
      <c r="H980" s="8" t="n"/>
    </row>
    <row r="981">
      <c r="D981" s="10" t="n"/>
      <c r="F981" s="9" t="n"/>
      <c r="H981" s="8" t="n"/>
    </row>
    <row r="982">
      <c r="D982" s="10" t="n"/>
      <c r="F982" s="9" t="n"/>
      <c r="H982" s="8" t="n"/>
    </row>
    <row r="983">
      <c r="D983" s="10" t="n"/>
      <c r="F983" s="9" t="n"/>
      <c r="H983" s="8" t="n"/>
    </row>
    <row r="984">
      <c r="D984" s="10" t="n"/>
      <c r="F984" s="9" t="n"/>
      <c r="H984" s="8" t="n"/>
    </row>
    <row r="985">
      <c r="D985" s="10" t="n"/>
      <c r="F985" s="9" t="n"/>
      <c r="H985" s="8" t="n"/>
    </row>
    <row r="986">
      <c r="D986" s="10" t="n"/>
      <c r="F986" s="9" t="n"/>
      <c r="H986" s="8" t="n"/>
    </row>
    <row r="987">
      <c r="D987" s="10" t="n"/>
      <c r="F987" s="9" t="n"/>
      <c r="H987" s="8" t="n"/>
    </row>
    <row r="988">
      <c r="D988" s="10" t="n"/>
      <c r="F988" s="9" t="n"/>
      <c r="H988" s="8" t="n"/>
    </row>
    <row r="989">
      <c r="D989" s="10" t="n"/>
      <c r="F989" s="9" t="n"/>
      <c r="H989" s="8" t="n"/>
    </row>
    <row r="990">
      <c r="D990" s="10" t="n"/>
      <c r="F990" s="9" t="n"/>
      <c r="H990" s="8" t="n"/>
    </row>
    <row r="991">
      <c r="D991" s="10" t="n"/>
      <c r="F991" s="9" t="n"/>
      <c r="H991" s="8" t="n"/>
    </row>
    <row r="992">
      <c r="D992" s="10" t="n"/>
      <c r="F992" s="9" t="n"/>
      <c r="H992" s="8" t="n"/>
    </row>
    <row r="993">
      <c r="D993" s="10" t="n"/>
      <c r="F993" s="9" t="n"/>
      <c r="H993" s="8" t="n"/>
    </row>
    <row r="994">
      <c r="D994" s="10" t="n"/>
      <c r="F994" s="9" t="n"/>
      <c r="H994" s="8" t="n"/>
    </row>
    <row r="995">
      <c r="D995" s="10" t="n"/>
      <c r="F995" s="9" t="n"/>
      <c r="H995" s="8" t="n"/>
    </row>
    <row r="996">
      <c r="D996" s="10" t="n"/>
      <c r="F996" s="9" t="n"/>
      <c r="H996" s="8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min="1" max="1"/>
    <col width="30.42578125" customWidth="1" min="2" max="2"/>
    <col width="16.85546875" customWidth="1" min="3" max="9"/>
    <col width="28.140625" customWidth="1" min="10" max="10"/>
    <col width="16.85546875" customWidth="1" min="11" max="18"/>
    <col width="44.42578125" customWidth="1" min="19" max="19"/>
    <col width="10.28515625" customWidth="1" min="20" max="20"/>
  </cols>
  <sheetData>
    <row r="1" ht="16.5" customHeight="1">
      <c r="A1" s="92" t="n"/>
      <c r="B1" s="92" t="inlineStr">
        <is>
          <t>NOVEMBER 2026 EXPENSES</t>
        </is>
      </c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  <c r="O1" s="119" t="n"/>
      <c r="P1" s="119" t="n"/>
      <c r="Q1" s="119" t="n"/>
      <c r="R1" s="119" t="n"/>
      <c r="S1" s="119" t="n"/>
      <c r="T1" s="120" t="n"/>
    </row>
    <row r="2" ht="58.5" customHeight="1">
      <c r="A2" s="39" t="inlineStr">
        <is>
          <t>FLAT #</t>
        </is>
      </c>
      <c r="B2" s="39" t="n">
        <v>0</v>
      </c>
      <c r="C2" s="39" t="inlineStr">
        <is>
          <t>WATER USED IN LTRS</t>
        </is>
      </c>
      <c r="D2" s="39" t="inlineStr">
        <is>
          <t>COMMON AREA EQUALLY DEVIDED</t>
        </is>
      </c>
      <c r="E2" s="39" t="inlineStr">
        <is>
          <t>TOTAL FRESH WATER CONSUMED</t>
        </is>
      </c>
      <c r="F2" s="39" t="inlineStr">
        <is>
          <t>%OF TOTAL USED</t>
        </is>
      </c>
      <c r="G2" s="39" t="inlineStr">
        <is>
          <t>WATER EXPENSE SHARING BY %</t>
        </is>
      </c>
      <c r="H2" s="39" t="inlineStr">
        <is>
          <t>#METERS</t>
        </is>
      </c>
      <c r="I2" s="39" t="inlineStr">
        <is>
          <t>METER RENT</t>
        </is>
      </c>
      <c r="J2" s="39" t="inlineStr">
        <is>
          <t>COMMON AREA METER RENT + WATER EXPENSE+ FLAT METER RENT</t>
        </is>
      </c>
      <c r="K2" s="39" t="inlineStr">
        <is>
          <t>FIXED EXPENSE SHARE</t>
        </is>
      </c>
      <c r="L2" s="39" t="inlineStr">
        <is>
          <t>PARKING FEE</t>
        </is>
      </c>
      <c r="M2" s="39" t="inlineStr">
        <is>
          <t>CLUB BOOKING FEE</t>
        </is>
      </c>
      <c r="N2" s="39" t="inlineStr">
        <is>
          <t>SHIFTING FEE</t>
        </is>
      </c>
      <c r="O2" s="39" t="inlineStr">
        <is>
          <t>GYM USAGE FEE</t>
        </is>
      </c>
      <c r="P2" s="39" t="inlineStr">
        <is>
          <t>OWNERSHIP TRANSFER FEE</t>
        </is>
      </c>
      <c r="Q2" s="39" t="n"/>
      <c r="R2" s="39" t="inlineStr">
        <is>
          <t>TOTAL EXPENSE TO BE PAID</t>
        </is>
      </c>
      <c r="S2" s="39" t="n"/>
      <c r="T2" s="39" t="n"/>
    </row>
    <row r="3" ht="12.75" customHeight="1">
      <c r="A3" s="40" t="inlineStr">
        <is>
          <t>CH</t>
        </is>
      </c>
      <c r="B3" s="40" t="inlineStr">
        <is>
          <t>MPFOWA</t>
        </is>
      </c>
      <c r="C3" s="41" t="n">
        <v>0</v>
      </c>
      <c r="D3" s="41" t="n">
        <v>0</v>
      </c>
      <c r="E3" s="41" t="n"/>
      <c r="F3" s="41" t="n"/>
      <c r="G3" s="41" t="n"/>
      <c r="H3" s="41" t="n">
        <v>1</v>
      </c>
      <c r="I3" s="41">
        <f>T7</f>
        <v/>
      </c>
      <c r="J3" s="41" t="n"/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</row>
    <row r="4" ht="12.75" customHeight="1">
      <c r="A4" s="42" t="inlineStr">
        <is>
          <t>GYM</t>
        </is>
      </c>
      <c r="B4" s="42" t="inlineStr">
        <is>
          <t>MPFOWA</t>
        </is>
      </c>
      <c r="C4" s="43" t="n">
        <v>0</v>
      </c>
      <c r="D4" s="43" t="n">
        <v>0</v>
      </c>
      <c r="E4" s="43" t="n"/>
      <c r="F4" s="43" t="n"/>
      <c r="G4" s="43" t="n"/>
      <c r="H4" s="43" t="n">
        <v>1</v>
      </c>
      <c r="I4" s="43">
        <f>T7</f>
        <v/>
      </c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inlineStr">
        <is>
          <t>TOTAL FIXED EXPENSE</t>
        </is>
      </c>
      <c r="T4" s="43">
        <f>'ANNUAL-EXPENSE-DETAILS'!AB10</f>
        <v/>
      </c>
    </row>
    <row r="5" ht="12.75" customHeight="1">
      <c r="A5" s="40" t="inlineStr">
        <is>
          <t>BSMT</t>
        </is>
      </c>
      <c r="B5" s="40" t="inlineStr">
        <is>
          <t>MPFOWA</t>
        </is>
      </c>
      <c r="C5" s="41" t="n"/>
      <c r="D5" s="41" t="n">
        <v>0</v>
      </c>
      <c r="E5" s="41" t="n"/>
      <c r="F5" s="41" t="n"/>
      <c r="G5" s="41" t="n"/>
      <c r="H5" s="41" t="n">
        <v>1</v>
      </c>
      <c r="I5" s="41">
        <f>T7</f>
        <v/>
      </c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inlineStr">
        <is>
          <t>TOTAL WATER EXPENSE</t>
        </is>
      </c>
      <c r="T5" s="41">
        <f>'ANNUAL-EXPENSE-DETAILS'!AA10</f>
        <v/>
      </c>
    </row>
    <row r="6" ht="12.75" customHeight="1">
      <c r="A6" s="42" t="inlineStr">
        <is>
          <t>F1</t>
        </is>
      </c>
      <c r="B6" s="42">
        <f>VLOOKUP(A6,Members!$A$2:$B$65,2,FALSE)</f>
        <v/>
      </c>
      <c r="C6" s="43" t="n">
        <v>0</v>
      </c>
      <c r="D6" s="43">
        <f>SUM($C$3:$C$5)/64</f>
        <v/>
      </c>
      <c r="E6" s="43">
        <f>C6+D6</f>
        <v/>
      </c>
      <c r="F6" s="43">
        <f>IF($C$70=0, 0, E6/$C$70)</f>
        <v/>
      </c>
      <c r="G6" s="43">
        <f>F6*$T$5</f>
        <v/>
      </c>
      <c r="H6" s="43" t="n">
        <v>3</v>
      </c>
      <c r="I6" s="43">
        <f>$T$7*H6</f>
        <v/>
      </c>
      <c r="J6" s="43">
        <f>G6+$T$9+I6</f>
        <v/>
      </c>
      <c r="K6" s="43">
        <f>$T$11/64</f>
        <v/>
      </c>
      <c r="L6" s="43" t="n">
        <v>0</v>
      </c>
      <c r="M6" s="43" t="n">
        <v>0</v>
      </c>
      <c r="N6" s="43" t="n">
        <v>0</v>
      </c>
      <c r="O6" s="43" t="n">
        <v>0</v>
      </c>
      <c r="P6" s="43" t="n"/>
      <c r="Q6" s="43" t="n"/>
      <c r="R6" s="43">
        <f>(J6+K6+L6+M6+N6+O6)*$B$2</f>
        <v/>
      </c>
      <c r="S6" s="43" t="n"/>
      <c r="T6" s="43" t="n"/>
    </row>
    <row r="7" ht="12.75" customHeight="1">
      <c r="A7" s="40" t="inlineStr">
        <is>
          <t>F2</t>
        </is>
      </c>
      <c r="B7" s="40">
        <f>VLOOKUP(A7,Members!$A$2:$B$65,2,FALSE)</f>
        <v/>
      </c>
      <c r="C7" s="41" t="n">
        <v>0</v>
      </c>
      <c r="D7" s="41">
        <f>SUM($C$3:$C$5)/64</f>
        <v/>
      </c>
      <c r="E7" s="41">
        <f>C7+D7</f>
        <v/>
      </c>
      <c r="F7" s="41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$T$11/64</f>
        <v/>
      </c>
      <c r="L7" s="41" t="n">
        <v>0</v>
      </c>
      <c r="M7" s="41" t="n">
        <v>0</v>
      </c>
      <c r="N7" s="41" t="n">
        <v>0</v>
      </c>
      <c r="O7" s="41" t="n">
        <v>0</v>
      </c>
      <c r="P7" s="41" t="n"/>
      <c r="Q7" s="41" t="n"/>
      <c r="R7" s="41">
        <f>(J7+K7+L7+M7+N7+O7)*$B$2</f>
        <v/>
      </c>
      <c r="S7" s="41" t="inlineStr">
        <is>
          <t>RENT PER METER</t>
        </is>
      </c>
      <c r="T7" s="41" t="n">
        <v>117.811659</v>
      </c>
    </row>
    <row r="8" ht="12.75" customHeight="1">
      <c r="A8" s="42" t="inlineStr">
        <is>
          <t>F3</t>
        </is>
      </c>
      <c r="B8" s="42">
        <f>VLOOKUP(A8,Members!$A$2:$B$65,2,FALSE)</f>
        <v/>
      </c>
      <c r="C8" s="43" t="n">
        <v>0</v>
      </c>
      <c r="D8" s="43">
        <f>SUM($C$3:$C$5)/64</f>
        <v/>
      </c>
      <c r="E8" s="43">
        <f>C8+D8</f>
        <v/>
      </c>
      <c r="F8" s="43">
        <f>IF($C$70=0, 0, E8/$C$70)</f>
        <v/>
      </c>
      <c r="G8" s="43">
        <f>F8*$T$5</f>
        <v/>
      </c>
      <c r="H8" s="43" t="n">
        <v>4</v>
      </c>
      <c r="I8" s="43">
        <f>$T$7*H8</f>
        <v/>
      </c>
      <c r="J8" s="43">
        <f>G8+$T$9+I8</f>
        <v/>
      </c>
      <c r="K8" s="43">
        <f>$T$11/64</f>
        <v/>
      </c>
      <c r="L8" s="43" t="n">
        <v>0</v>
      </c>
      <c r="M8" s="43" t="n">
        <v>0</v>
      </c>
      <c r="N8" s="43" t="n">
        <v>0</v>
      </c>
      <c r="O8" s="43" t="n">
        <v>0</v>
      </c>
      <c r="P8" s="43" t="n"/>
      <c r="Q8" s="43" t="n"/>
      <c r="R8" s="43">
        <f>(J8+K8+L8+M8+N8+O8)*$B$2</f>
        <v/>
      </c>
      <c r="S8" s="43" t="inlineStr">
        <is>
          <t>COMMON AREA METER RENT</t>
        </is>
      </c>
      <c r="T8" s="43">
        <f>$T$7*3</f>
        <v/>
      </c>
    </row>
    <row r="9" ht="12.75" customHeight="1">
      <c r="A9" s="40" t="inlineStr">
        <is>
          <t>F4</t>
        </is>
      </c>
      <c r="B9" s="40">
        <f>VLOOKUP(A9,Members!$A$2:$B$65,2,FALSE)</f>
        <v/>
      </c>
      <c r="C9" s="41" t="n">
        <v>0</v>
      </c>
      <c r="D9" s="41">
        <f>SUM($C$3:$C$5)/64</f>
        <v/>
      </c>
      <c r="E9" s="41">
        <f>C9+D9</f>
        <v/>
      </c>
      <c r="F9" s="41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$T$11/64</f>
        <v/>
      </c>
      <c r="L9" s="41" t="n">
        <v>0</v>
      </c>
      <c r="M9" s="41" t="n">
        <v>0</v>
      </c>
      <c r="N9" s="41" t="n">
        <v>0</v>
      </c>
      <c r="O9" s="41" t="n">
        <v>0</v>
      </c>
      <c r="P9" s="41" t="n"/>
      <c r="Q9" s="41" t="n"/>
      <c r="R9" s="41">
        <f>(J9+K9+L9+M9+N9+O9)*$B$2</f>
        <v/>
      </c>
      <c r="S9" s="41" t="inlineStr">
        <is>
          <t>COMMON AREA METER RENT/FLAT</t>
        </is>
      </c>
      <c r="T9" s="41">
        <f>T8/64</f>
        <v/>
      </c>
    </row>
    <row r="10" ht="12.75" customHeight="1">
      <c r="A10" s="42" t="inlineStr">
        <is>
          <t>F5</t>
        </is>
      </c>
      <c r="B10" s="42">
        <f>VLOOKUP(A10,Members!$A$2:$B$65,2,FALSE)</f>
        <v/>
      </c>
      <c r="C10" s="43" t="n">
        <v>0</v>
      </c>
      <c r="D10" s="43">
        <f>SUM($C$3:$C$5)/64</f>
        <v/>
      </c>
      <c r="E10" s="43">
        <f>C10+D10</f>
        <v/>
      </c>
      <c r="F10" s="43">
        <f>IF($C$70=0, 0, E10/$C$70)</f>
        <v/>
      </c>
      <c r="G10" s="43">
        <f>F10*$T$5</f>
        <v/>
      </c>
      <c r="H10" s="43" t="n">
        <v>3</v>
      </c>
      <c r="I10" s="43">
        <f>$T$7*H10</f>
        <v/>
      </c>
      <c r="J10" s="43">
        <f>G10+$T$9+I10</f>
        <v/>
      </c>
      <c r="K10" s="43">
        <f>$T$11/64</f>
        <v/>
      </c>
      <c r="L10" s="43" t="n">
        <v>0</v>
      </c>
      <c r="M10" s="43" t="n">
        <v>0</v>
      </c>
      <c r="N10" s="43" t="n">
        <v>0</v>
      </c>
      <c r="O10" s="43" t="n">
        <v>0</v>
      </c>
      <c r="P10" s="43" t="n"/>
      <c r="Q10" s="43" t="n"/>
      <c r="R10" s="43">
        <f>(J10+K10+L10+M10+N10+O10)*$B$2</f>
        <v/>
      </c>
      <c r="S10" s="43" t="n"/>
      <c r="T10" s="43" t="n"/>
    </row>
    <row r="11" ht="12.75" customHeight="1">
      <c r="A11" s="40" t="inlineStr">
        <is>
          <t>F6</t>
        </is>
      </c>
      <c r="B11" s="40">
        <f>VLOOKUP(A11,Members!$A$2:$B$65,2,FALSE)</f>
        <v/>
      </c>
      <c r="C11" s="41" t="n">
        <v>0</v>
      </c>
      <c r="D11" s="41">
        <f>SUM($C$3:$C$5)/64</f>
        <v/>
      </c>
      <c r="E11" s="41">
        <f>C11+D11</f>
        <v/>
      </c>
      <c r="F11" s="41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$T$11/64</f>
        <v/>
      </c>
      <c r="L11" s="41" t="n">
        <v>0</v>
      </c>
      <c r="M11" s="41" t="n">
        <v>0</v>
      </c>
      <c r="N11" s="41" t="n">
        <v>0</v>
      </c>
      <c r="O11" s="41" t="n">
        <v>0</v>
      </c>
      <c r="P11" s="41" t="n"/>
      <c r="Q11" s="41" t="n"/>
      <c r="R11" s="41">
        <f>(J11+K11+L11+M11+N11+O11)*$B$2</f>
        <v/>
      </c>
      <c r="S11" s="41" t="inlineStr">
        <is>
          <t>TOTAL FIXED EXPENSE</t>
        </is>
      </c>
      <c r="T11" s="41">
        <f>'ANNUAL-EXPENSE-DETAILS'!AB10</f>
        <v/>
      </c>
    </row>
    <row r="12" ht="12.75" customHeight="1">
      <c r="A12" s="42" t="inlineStr">
        <is>
          <t>F7</t>
        </is>
      </c>
      <c r="B12" s="42">
        <f>VLOOKUP(A12,Members!$A$2:$B$65,2,FALSE)</f>
        <v/>
      </c>
      <c r="C12" s="43" t="n">
        <v>0</v>
      </c>
      <c r="D12" s="43">
        <f>SUM($C$3:$C$5)/64</f>
        <v/>
      </c>
      <c r="E12" s="43">
        <f>C12+D12</f>
        <v/>
      </c>
      <c r="F12" s="43">
        <f>IF($C$70=0, 0, E12/$C$70)</f>
        <v/>
      </c>
      <c r="G12" s="43">
        <f>F12*$T$5</f>
        <v/>
      </c>
      <c r="H12" s="43" t="n">
        <v>3</v>
      </c>
      <c r="I12" s="43">
        <f>$T$7*H12</f>
        <v/>
      </c>
      <c r="J12" s="43">
        <f>G12+$T$9+I12</f>
        <v/>
      </c>
      <c r="K12" s="43">
        <f>$T$11/64</f>
        <v/>
      </c>
      <c r="L12" s="43" t="n">
        <v>0</v>
      </c>
      <c r="M12" s="43" t="n">
        <v>0</v>
      </c>
      <c r="N12" s="43" t="n">
        <v>0</v>
      </c>
      <c r="O12" s="43" t="n">
        <v>0</v>
      </c>
      <c r="P12" s="43" t="n"/>
      <c r="Q12" s="43" t="n"/>
      <c r="R12" s="43">
        <f>(J12+K12+L12+M12+N12+O12)*$B$2</f>
        <v/>
      </c>
      <c r="S12" s="43" t="n"/>
      <c r="T12" s="43" t="n"/>
    </row>
    <row r="13" ht="12.75" customHeight="1">
      <c r="A13" s="40" t="inlineStr">
        <is>
          <t>F8</t>
        </is>
      </c>
      <c r="B13" s="40">
        <f>VLOOKUP(A13,Members!$A$2:$B$65,2,FALSE)</f>
        <v/>
      </c>
      <c r="C13" s="41" t="n">
        <v>0</v>
      </c>
      <c r="D13" s="41">
        <f>SUM($C$3:$C$5)/64</f>
        <v/>
      </c>
      <c r="E13" s="41">
        <f>C13+D13</f>
        <v/>
      </c>
      <c r="F13" s="41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$T$11/64</f>
        <v/>
      </c>
      <c r="L13" s="41" t="n">
        <v>0</v>
      </c>
      <c r="M13" s="41" t="n">
        <v>0</v>
      </c>
      <c r="N13" s="41" t="n">
        <v>0</v>
      </c>
      <c r="O13" s="41" t="n">
        <v>0</v>
      </c>
      <c r="P13" s="41" t="n"/>
      <c r="Q13" s="41" t="n"/>
      <c r="R13" s="41">
        <f>(J13+K13+L13+M13+N13+O13)*$B$2</f>
        <v/>
      </c>
      <c r="S13" s="41" t="n"/>
      <c r="T13" s="41" t="n"/>
    </row>
    <row r="14" ht="12.75" customHeight="1">
      <c r="A14" s="42" t="inlineStr">
        <is>
          <t>F9</t>
        </is>
      </c>
      <c r="B14" s="42">
        <f>VLOOKUP(A14,Members!$A$2:$B$65,2,FALSE)</f>
        <v/>
      </c>
      <c r="C14" s="43" t="n">
        <v>0</v>
      </c>
      <c r="D14" s="43">
        <f>SUM($C$3:$C$5)/64</f>
        <v/>
      </c>
      <c r="E14" s="43">
        <f>C14+D14</f>
        <v/>
      </c>
      <c r="F14" s="43">
        <f>IF($C$70=0, 0, E14/$C$70)</f>
        <v/>
      </c>
      <c r="G14" s="43">
        <f>F14*$T$5</f>
        <v/>
      </c>
      <c r="H14" s="43" t="n">
        <v>4</v>
      </c>
      <c r="I14" s="43">
        <f>$T$7*H14</f>
        <v/>
      </c>
      <c r="J14" s="43">
        <f>G14+$T$9+I14</f>
        <v/>
      </c>
      <c r="K14" s="43">
        <f>$T$11/64</f>
        <v/>
      </c>
      <c r="L14" s="43" t="n">
        <v>0</v>
      </c>
      <c r="M14" s="43" t="n">
        <v>0</v>
      </c>
      <c r="N14" s="43" t="n">
        <v>0</v>
      </c>
      <c r="O14" s="43" t="n">
        <v>0</v>
      </c>
      <c r="P14" s="43" t="n"/>
      <c r="Q14" s="43" t="n"/>
      <c r="R14" s="43">
        <f>(J14+K14+L14+M14+N14+O14)*$B$2</f>
        <v/>
      </c>
      <c r="S14" s="43" t="inlineStr">
        <is>
          <t xml:space="preserve">TOTAL WATER METER RENT </t>
        </is>
      </c>
      <c r="T14" s="43">
        <f>CEILING( I70,1)</f>
        <v/>
      </c>
    </row>
    <row r="15" ht="12.75" customHeight="1">
      <c r="A15" s="40" t="inlineStr">
        <is>
          <t>F10</t>
        </is>
      </c>
      <c r="B15" s="40">
        <f>VLOOKUP(A15,Members!$A$2:$B$65,2,FALSE)</f>
        <v/>
      </c>
      <c r="C15" s="41" t="n">
        <v>0</v>
      </c>
      <c r="D15" s="41">
        <f>SUM($C$3:$C$5)/64</f>
        <v/>
      </c>
      <c r="E15" s="41">
        <f>C15+D15</f>
        <v/>
      </c>
      <c r="F15" s="41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$T$11/64</f>
        <v/>
      </c>
      <c r="L15" s="41" t="n">
        <v>0</v>
      </c>
      <c r="M15" s="41" t="n">
        <v>0</v>
      </c>
      <c r="N15" s="41" t="n">
        <v>0</v>
      </c>
      <c r="O15" s="41" t="n">
        <v>0</v>
      </c>
      <c r="P15" s="41" t="n"/>
      <c r="Q15" s="41" t="n"/>
      <c r="R15" s="41">
        <f>(J15+K15+L15+M15+N15+O15)*$B$2</f>
        <v/>
      </c>
      <c r="S15" s="41" t="n"/>
      <c r="T15" s="41" t="n"/>
    </row>
    <row r="16" ht="12.75" customHeight="1">
      <c r="A16" s="42" t="inlineStr">
        <is>
          <t>F11</t>
        </is>
      </c>
      <c r="B16" s="42">
        <f>VLOOKUP(A16,Members!$A$2:$B$65,2,FALSE)</f>
        <v/>
      </c>
      <c r="C16" s="43" t="n">
        <v>0</v>
      </c>
      <c r="D16" s="43">
        <f>SUM($C$3:$C$5)/64</f>
        <v/>
      </c>
      <c r="E16" s="43">
        <f>C16+D16</f>
        <v/>
      </c>
      <c r="F16" s="43">
        <f>IF($C$70=0, 0, E16/$C$70)</f>
        <v/>
      </c>
      <c r="G16" s="43">
        <f>F16*$T$5</f>
        <v/>
      </c>
      <c r="H16" s="43" t="n">
        <v>3</v>
      </c>
      <c r="I16" s="43">
        <f>$T$7*H16</f>
        <v/>
      </c>
      <c r="J16" s="43">
        <f>G16+$T$9+I16</f>
        <v/>
      </c>
      <c r="K16" s="43">
        <f>$T$11/64</f>
        <v/>
      </c>
      <c r="L16" s="43" t="n">
        <v>0</v>
      </c>
      <c r="M16" s="43" t="n">
        <v>0</v>
      </c>
      <c r="N16" s="43" t="n">
        <v>0</v>
      </c>
      <c r="O16" s="43" t="n">
        <v>0</v>
      </c>
      <c r="P16" s="43" t="n"/>
      <c r="Q16" s="43" t="n"/>
      <c r="R16" s="43">
        <f>(J16+K16+L16+M16+N16+O16)*$B$2</f>
        <v/>
      </c>
      <c r="S16" s="43" t="inlineStr">
        <is>
          <t>BALANCE IN ACCOUNT ON 30-NOV-2023</t>
        </is>
      </c>
      <c r="T16" s="43" t="n"/>
    </row>
    <row r="17" ht="12.75" customHeight="1">
      <c r="A17" s="40" t="inlineStr">
        <is>
          <t>F12</t>
        </is>
      </c>
      <c r="B17" s="40">
        <f>VLOOKUP(A17,Members!$A$2:$B$65,2,FALSE)</f>
        <v/>
      </c>
      <c r="C17" s="41" t="n">
        <v>0</v>
      </c>
      <c r="D17" s="41">
        <f>SUM($C$3:$C$5)/64</f>
        <v/>
      </c>
      <c r="E17" s="41">
        <f>C17+D17</f>
        <v/>
      </c>
      <c r="F17" s="41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$T$11/64</f>
        <v/>
      </c>
      <c r="L17" s="41" t="n">
        <v>0</v>
      </c>
      <c r="M17" s="41" t="n">
        <v>0</v>
      </c>
      <c r="N17" s="41" t="n">
        <v>0</v>
      </c>
      <c r="O17" s="41" t="n">
        <v>0</v>
      </c>
      <c r="P17" s="41" t="n"/>
      <c r="Q17" s="41" t="n"/>
      <c r="R17" s="41">
        <f>(J17+K17+L17+M17+N17+O17)*$B$2</f>
        <v/>
      </c>
      <c r="S17" s="41" t="inlineStr">
        <is>
          <t>TOTAL NON MAINTENANCE CORPUS COLLECTION</t>
        </is>
      </c>
      <c r="T17" s="41" t="n"/>
    </row>
    <row r="18" ht="12.75" customHeight="1">
      <c r="A18" s="42" t="inlineStr">
        <is>
          <t>F13</t>
        </is>
      </c>
      <c r="B18" s="42">
        <f>VLOOKUP(A18,Members!$A$2:$B$65,2,FALSE)</f>
        <v/>
      </c>
      <c r="C18" s="43" t="n">
        <v>0</v>
      </c>
      <c r="D18" s="43">
        <f>SUM($C$3:$C$5)/64</f>
        <v/>
      </c>
      <c r="E18" s="43">
        <f>C18+D18</f>
        <v/>
      </c>
      <c r="F18" s="43">
        <f>IF($C$70=0, 0, E18/$C$70)</f>
        <v/>
      </c>
      <c r="G18" s="43">
        <f>F18*$T$5</f>
        <v/>
      </c>
      <c r="H18" s="43" t="n">
        <v>4</v>
      </c>
      <c r="I18" s="43">
        <f>$T$7*H18</f>
        <v/>
      </c>
      <c r="J18" s="43">
        <f>G18+$T$9+I18</f>
        <v/>
      </c>
      <c r="K18" s="43">
        <f>$T$11/64</f>
        <v/>
      </c>
      <c r="L18" s="43" t="n">
        <v>0</v>
      </c>
      <c r="M18" s="43" t="n">
        <v>0</v>
      </c>
      <c r="N18" s="43" t="n">
        <v>0</v>
      </c>
      <c r="O18" s="43" t="n">
        <v>0</v>
      </c>
      <c r="P18" s="43" t="n"/>
      <c r="Q18" s="43" t="n"/>
      <c r="R18" s="43">
        <f>(J18+K18+L18+M18+N18+O18)*$B$2</f>
        <v/>
      </c>
      <c r="S18" s="43" t="inlineStr">
        <is>
          <t>TOTAL FD DONE</t>
        </is>
      </c>
      <c r="T18" s="43" t="n"/>
    </row>
    <row r="19" ht="12.75" customHeight="1">
      <c r="A19" s="40" t="inlineStr">
        <is>
          <t>F14</t>
        </is>
      </c>
      <c r="B19" s="40">
        <f>VLOOKUP(A19,Members!$A$2:$B$65,2,FALSE)</f>
        <v/>
      </c>
      <c r="C19" s="41" t="n">
        <v>0</v>
      </c>
      <c r="D19" s="41">
        <f>SUM($C$3:$C$5)/64</f>
        <v/>
      </c>
      <c r="E19" s="41">
        <f>C19+D19</f>
        <v/>
      </c>
      <c r="F19" s="41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$T$11/64</f>
        <v/>
      </c>
      <c r="L19" s="41" t="n">
        <v>0</v>
      </c>
      <c r="M19" s="41" t="n">
        <v>0</v>
      </c>
      <c r="N19" s="41" t="n">
        <v>0</v>
      </c>
      <c r="O19" s="41" t="n">
        <v>0</v>
      </c>
      <c r="P19" s="41" t="n"/>
      <c r="Q19" s="41" t="n"/>
      <c r="R19" s="41">
        <f>(J19+K19+L19+M19+N19+O19)*$B$2</f>
        <v/>
      </c>
      <c r="S19" s="41" t="inlineStr">
        <is>
          <t>AMOUNT AVAILABLE FOR NON MAINTENANCE CORPUS IN CURRENT AC</t>
        </is>
      </c>
      <c r="T19" s="41">
        <f>T17-T18</f>
        <v/>
      </c>
    </row>
    <row r="20" ht="12.75" customHeight="1">
      <c r="A20" s="42" t="inlineStr">
        <is>
          <t>F15</t>
        </is>
      </c>
      <c r="B20" s="42">
        <f>VLOOKUP(A20,Members!$A$2:$B$65,2,FALSE)</f>
        <v/>
      </c>
      <c r="C20" s="43" t="n">
        <v>0</v>
      </c>
      <c r="D20" s="43">
        <f>SUM($C$3:$C$5)/64</f>
        <v/>
      </c>
      <c r="E20" s="43">
        <f>C20+D20</f>
        <v/>
      </c>
      <c r="F20" s="43">
        <f>IF($C$70=0, 0, E20/$C$70)</f>
        <v/>
      </c>
      <c r="G20" s="43">
        <f>F20*$T$5</f>
        <v/>
      </c>
      <c r="H20" s="43" t="n">
        <v>4</v>
      </c>
      <c r="I20" s="43">
        <f>$T$7*H20</f>
        <v/>
      </c>
      <c r="J20" s="43">
        <f>G20+$T$9+I20</f>
        <v/>
      </c>
      <c r="K20" s="43">
        <f>$T$11/64</f>
        <v/>
      </c>
      <c r="L20" s="43" t="n">
        <v>0</v>
      </c>
      <c r="M20" s="43" t="n">
        <v>0</v>
      </c>
      <c r="N20" s="43" t="n">
        <v>0</v>
      </c>
      <c r="O20" s="43" t="n">
        <v>0</v>
      </c>
      <c r="P20" s="43" t="n"/>
      <c r="Q20" s="43" t="n"/>
      <c r="R20" s="43">
        <f>(J20+K20+L20+M20+N20+O20)*$B$2</f>
        <v/>
      </c>
      <c r="S20" s="43" t="inlineStr">
        <is>
          <t>AMOUNT AVAILABLE FOR MAINTENANCE</t>
        </is>
      </c>
      <c r="T20" s="43">
        <f>T16-T19</f>
        <v/>
      </c>
    </row>
    <row r="21" ht="12.75" customHeight="1">
      <c r="A21" s="40" t="inlineStr">
        <is>
          <t>F16</t>
        </is>
      </c>
      <c r="B21" s="40">
        <f>VLOOKUP(A21,Members!$A$2:$B$65,2,FALSE)</f>
        <v/>
      </c>
      <c r="C21" s="41" t="n">
        <v>0</v>
      </c>
      <c r="D21" s="41">
        <f>SUM($C$3:$C$5)/64</f>
        <v/>
      </c>
      <c r="E21" s="41">
        <f>C21+D21</f>
        <v/>
      </c>
      <c r="F21" s="41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$T$11/64</f>
        <v/>
      </c>
      <c r="L21" s="41" t="n">
        <v>0</v>
      </c>
      <c r="M21" s="41" t="n">
        <v>0</v>
      </c>
      <c r="N21" s="41" t="n">
        <v>0</v>
      </c>
      <c r="O21" s="41" t="n">
        <v>0</v>
      </c>
      <c r="P21" s="41" t="n"/>
      <c r="Q21" s="41" t="n"/>
      <c r="R21" s="41">
        <f>(J21+K21+L21+M21+N21+O21)*$B$2</f>
        <v/>
      </c>
      <c r="S21" s="41" t="inlineStr">
        <is>
          <t>TOTAL EXPENSE FOR THE MONTH</t>
        </is>
      </c>
      <c r="T21" s="41">
        <f>'ANNUAL-EXPENSE-DETAILS'!AD10</f>
        <v/>
      </c>
    </row>
    <row r="22" ht="12.75" customHeight="1">
      <c r="A22" s="42" t="inlineStr">
        <is>
          <t>G1</t>
        </is>
      </c>
      <c r="B22" s="42">
        <f>VLOOKUP(A22,Members!$A$2:$B$65,2,FALSE)</f>
        <v/>
      </c>
      <c r="C22" s="43" t="n">
        <v>0</v>
      </c>
      <c r="D22" s="43">
        <f>SUM($C$3:$C$5)/64</f>
        <v/>
      </c>
      <c r="E22" s="43">
        <f>C22+D22</f>
        <v/>
      </c>
      <c r="F22" s="43">
        <f>IF($C$70=0, 0, E22/$C$70)</f>
        <v/>
      </c>
      <c r="G22" s="43">
        <f>F22*$T$5</f>
        <v/>
      </c>
      <c r="H22" s="43" t="n">
        <v>3</v>
      </c>
      <c r="I22" s="43">
        <f>$T$7*H22</f>
        <v/>
      </c>
      <c r="J22" s="43">
        <f>G22+$T$9+I22</f>
        <v/>
      </c>
      <c r="K22" s="43">
        <f>$T$11/64</f>
        <v/>
      </c>
      <c r="L22" s="43" t="n">
        <v>0</v>
      </c>
      <c r="M22" s="43" t="n">
        <v>0</v>
      </c>
      <c r="N22" s="43" t="n">
        <v>0</v>
      </c>
      <c r="O22" s="43" t="n">
        <v>0</v>
      </c>
      <c r="P22" s="43" t="n"/>
      <c r="Q22" s="43" t="n"/>
      <c r="R22" s="43">
        <f>(J22+K22+L22+M22+N22+O22)*$B$2</f>
        <v/>
      </c>
      <c r="S22" s="43" t="n"/>
      <c r="T22" s="43" t="n"/>
    </row>
    <row r="23" ht="12.75" customHeight="1">
      <c r="A23" s="40" t="inlineStr">
        <is>
          <t>G2</t>
        </is>
      </c>
      <c r="B23" s="40">
        <f>VLOOKUP(A23,Members!$A$2:$B$65,2,FALSE)</f>
        <v/>
      </c>
      <c r="C23" s="41" t="n">
        <v>0</v>
      </c>
      <c r="D23" s="41">
        <f>SUM($C$3:$C$5)/64</f>
        <v/>
      </c>
      <c r="E23" s="41">
        <f>C23+D23</f>
        <v/>
      </c>
      <c r="F23" s="41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$T$11/64</f>
        <v/>
      </c>
      <c r="L23" s="41" t="n">
        <v>0</v>
      </c>
      <c r="M23" s="41" t="n">
        <v>0</v>
      </c>
      <c r="N23" s="41" t="n">
        <v>0</v>
      </c>
      <c r="O23" s="41" t="n">
        <v>0</v>
      </c>
      <c r="P23" s="41" t="n"/>
      <c r="Q23" s="41" t="n"/>
      <c r="R23" s="41">
        <f>(J23+K23+L23+M23+N23+O23)*$B$2</f>
        <v/>
      </c>
      <c r="S23" s="41" t="n"/>
      <c r="T23" s="41" t="n"/>
    </row>
    <row r="24" ht="12.75" customHeight="1">
      <c r="A24" s="42" t="inlineStr">
        <is>
          <t>G3</t>
        </is>
      </c>
      <c r="B24" s="42">
        <f>VLOOKUP(A24,Members!$A$2:$B$65,2,FALSE)</f>
        <v/>
      </c>
      <c r="C24" s="43" t="n">
        <v>0</v>
      </c>
      <c r="D24" s="43">
        <f>SUM($C$3:$C$5)/64</f>
        <v/>
      </c>
      <c r="E24" s="43">
        <f>C24+D24</f>
        <v/>
      </c>
      <c r="F24" s="43">
        <f>IF($C$70=0, 0, E24/$C$70)</f>
        <v/>
      </c>
      <c r="G24" s="43">
        <f>F24*$T$5</f>
        <v/>
      </c>
      <c r="H24" s="43" t="n">
        <v>4</v>
      </c>
      <c r="I24" s="43">
        <f>$T$7*H24</f>
        <v/>
      </c>
      <c r="J24" s="43">
        <f>G24+$T$9+I24</f>
        <v/>
      </c>
      <c r="K24" s="43">
        <f>$T$11/64</f>
        <v/>
      </c>
      <c r="L24" s="43" t="n">
        <v>0</v>
      </c>
      <c r="M24" s="43" t="n">
        <v>0</v>
      </c>
      <c r="N24" s="43" t="n">
        <v>0</v>
      </c>
      <c r="O24" s="43" t="n">
        <v>0</v>
      </c>
      <c r="P24" s="43" t="n"/>
      <c r="Q24" s="43" t="n"/>
      <c r="R24" s="43">
        <f>(J24+K24+L24+M24+N24+O24)*$B$2</f>
        <v/>
      </c>
      <c r="S24" s="43" t="n"/>
      <c r="T24" s="43" t="n"/>
    </row>
    <row r="25" ht="12.75" customHeight="1">
      <c r="A25" s="40" t="inlineStr">
        <is>
          <t>G4</t>
        </is>
      </c>
      <c r="B25" s="40">
        <f>VLOOKUP(A25,Members!$A$2:$B$65,2,FALSE)</f>
        <v/>
      </c>
      <c r="C25" s="41" t="n">
        <v>0</v>
      </c>
      <c r="D25" s="41">
        <f>SUM($C$3:$C$5)/64</f>
        <v/>
      </c>
      <c r="E25" s="41">
        <f>C25+D25</f>
        <v/>
      </c>
      <c r="F25" s="41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$T$11/64</f>
        <v/>
      </c>
      <c r="L25" s="41" t="n">
        <v>0</v>
      </c>
      <c r="M25" s="41" t="n">
        <v>0</v>
      </c>
      <c r="N25" s="41" t="n">
        <v>0</v>
      </c>
      <c r="O25" s="41" t="n">
        <v>0</v>
      </c>
      <c r="P25" s="41" t="n"/>
      <c r="Q25" s="41" t="n"/>
      <c r="R25" s="41">
        <f>(J25+K25+L25+M25+N25+O25)*$B$2</f>
        <v/>
      </c>
      <c r="S25" s="41" t="n"/>
      <c r="T25" s="41" t="n"/>
    </row>
    <row r="26" ht="12.75" customHeight="1">
      <c r="A26" s="42" t="inlineStr">
        <is>
          <t>G5</t>
        </is>
      </c>
      <c r="B26" s="42">
        <f>VLOOKUP(A26,Members!$A$2:$B$65,2,FALSE)</f>
        <v/>
      </c>
      <c r="C26" s="43" t="n">
        <v>0</v>
      </c>
      <c r="D26" s="43">
        <f>SUM($C$3:$C$5)/64</f>
        <v/>
      </c>
      <c r="E26" s="43">
        <f>C26+D26</f>
        <v/>
      </c>
      <c r="F26" s="43">
        <f>IF($C$70=0, 0, E26/$C$70)</f>
        <v/>
      </c>
      <c r="G26" s="43">
        <f>F26*$T$5</f>
        <v/>
      </c>
      <c r="H26" s="43" t="n">
        <v>3</v>
      </c>
      <c r="I26" s="43">
        <f>$T$7*H26</f>
        <v/>
      </c>
      <c r="J26" s="43">
        <f>G26+$T$9+I26</f>
        <v/>
      </c>
      <c r="K26" s="43">
        <f>$T$11/64</f>
        <v/>
      </c>
      <c r="L26" s="43" t="n">
        <v>0</v>
      </c>
      <c r="M26" s="43" t="n">
        <v>0</v>
      </c>
      <c r="N26" s="43" t="n">
        <v>0</v>
      </c>
      <c r="O26" s="43" t="n">
        <v>0</v>
      </c>
      <c r="P26" s="43" t="n"/>
      <c r="Q26" s="43" t="n"/>
      <c r="R26" s="43">
        <f>(J26+K26+L26+M26+N26+O26)*$B$2</f>
        <v/>
      </c>
      <c r="S26" s="43" t="n"/>
      <c r="T26" s="43" t="n"/>
    </row>
    <row r="27" ht="12.75" customHeight="1">
      <c r="A27" s="40" t="inlineStr">
        <is>
          <t>G6</t>
        </is>
      </c>
      <c r="B27" s="40">
        <f>VLOOKUP(A27,Members!$A$2:$B$65,2,FALSE)</f>
        <v/>
      </c>
      <c r="C27" s="41" t="n">
        <v>0</v>
      </c>
      <c r="D27" s="41">
        <f>SUM($C$3:$C$5)/64</f>
        <v/>
      </c>
      <c r="E27" s="41">
        <f>C27+D27</f>
        <v/>
      </c>
      <c r="F27" s="41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$T$11/64</f>
        <v/>
      </c>
      <c r="L27" s="41" t="n">
        <v>0</v>
      </c>
      <c r="M27" s="41" t="n">
        <v>0</v>
      </c>
      <c r="N27" s="41" t="n">
        <v>0</v>
      </c>
      <c r="O27" s="41" t="n">
        <v>0</v>
      </c>
      <c r="P27" s="41" t="n"/>
      <c r="Q27" s="41" t="n"/>
      <c r="R27" s="41">
        <f>(J27+K27+L27+M27+N27+O27)*$B$2</f>
        <v/>
      </c>
      <c r="S27" s="41" t="n"/>
      <c r="T27" s="41" t="n"/>
    </row>
    <row r="28" ht="12.75" customHeight="1">
      <c r="A28" s="42" t="inlineStr">
        <is>
          <t>G7</t>
        </is>
      </c>
      <c r="B28" s="42">
        <f>VLOOKUP(A28,Members!$A$2:$B$65,2,FALSE)</f>
        <v/>
      </c>
      <c r="C28" s="43" t="n">
        <v>0</v>
      </c>
      <c r="D28" s="43">
        <f>SUM($C$3:$C$5)/64</f>
        <v/>
      </c>
      <c r="E28" s="43">
        <f>C28+D28</f>
        <v/>
      </c>
      <c r="F28" s="43">
        <f>IF($C$70=0, 0, E28/$C$70)</f>
        <v/>
      </c>
      <c r="G28" s="43">
        <f>F28*$T$5</f>
        <v/>
      </c>
      <c r="H28" s="43" t="n">
        <v>3</v>
      </c>
      <c r="I28" s="43">
        <f>$T$7*H28</f>
        <v/>
      </c>
      <c r="J28" s="43">
        <f>G28+$T$9+I28</f>
        <v/>
      </c>
      <c r="K28" s="43">
        <f>$T$11/64</f>
        <v/>
      </c>
      <c r="L28" s="43" t="n">
        <v>0</v>
      </c>
      <c r="M28" s="43" t="n">
        <v>0</v>
      </c>
      <c r="N28" s="43" t="n">
        <v>0</v>
      </c>
      <c r="O28" s="43" t="n">
        <v>0</v>
      </c>
      <c r="P28" s="43" t="n"/>
      <c r="Q28" s="43" t="n"/>
      <c r="R28" s="43">
        <f>(J28+K28+L28+M28+N28+O28)*$B$2</f>
        <v/>
      </c>
      <c r="S28" s="43" t="n"/>
      <c r="T28" s="43" t="n"/>
    </row>
    <row r="29" ht="12.75" customHeight="1">
      <c r="A29" s="40" t="inlineStr">
        <is>
          <t>G8</t>
        </is>
      </c>
      <c r="B29" s="40">
        <f>VLOOKUP(A29,Members!$A$2:$B$65,2,FALSE)</f>
        <v/>
      </c>
      <c r="C29" s="41" t="n">
        <v>0</v>
      </c>
      <c r="D29" s="41">
        <f>SUM($C$3:$C$5)/64</f>
        <v/>
      </c>
      <c r="E29" s="41">
        <f>C29+D29</f>
        <v/>
      </c>
      <c r="F29" s="41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$T$11/64</f>
        <v/>
      </c>
      <c r="L29" s="41" t="n">
        <v>0</v>
      </c>
      <c r="M29" s="41" t="n">
        <v>0</v>
      </c>
      <c r="N29" s="41" t="n">
        <v>0</v>
      </c>
      <c r="O29" s="41" t="n">
        <v>0</v>
      </c>
      <c r="P29" s="41" t="n"/>
      <c r="Q29" s="41" t="n"/>
      <c r="R29" s="41">
        <f>(J29+K29+L29+M29+N29+O29)*$B$2</f>
        <v/>
      </c>
      <c r="S29" s="41" t="n"/>
      <c r="T29" s="41" t="n"/>
    </row>
    <row r="30" ht="12.75" customHeight="1">
      <c r="A30" s="42" t="inlineStr">
        <is>
          <t>G9</t>
        </is>
      </c>
      <c r="B30" s="42">
        <f>VLOOKUP(A30,Members!$A$2:$B$65,2,FALSE)</f>
        <v/>
      </c>
      <c r="C30" s="43" t="n">
        <v>0</v>
      </c>
      <c r="D30" s="43">
        <f>SUM($C$3:$C$5)/64</f>
        <v/>
      </c>
      <c r="E30" s="43">
        <f>C30+D30</f>
        <v/>
      </c>
      <c r="F30" s="43">
        <f>IF($C$70=0, 0, E30/$C$70)</f>
        <v/>
      </c>
      <c r="G30" s="43">
        <f>F30*$T$5</f>
        <v/>
      </c>
      <c r="H30" s="43" t="n">
        <v>5</v>
      </c>
      <c r="I30" s="43">
        <f>$T$7*H30</f>
        <v/>
      </c>
      <c r="J30" s="43">
        <f>G30+$T$9+I30</f>
        <v/>
      </c>
      <c r="K30" s="43">
        <f>$T$11/64</f>
        <v/>
      </c>
      <c r="L30" s="43" t="n">
        <v>0</v>
      </c>
      <c r="M30" s="43" t="n">
        <v>0</v>
      </c>
      <c r="N30" s="43" t="n">
        <v>0</v>
      </c>
      <c r="O30" s="43" t="n">
        <v>0</v>
      </c>
      <c r="P30" s="43" t="n"/>
      <c r="Q30" s="43" t="n"/>
      <c r="R30" s="43">
        <f>(J30+K30+L30+M30+N30+O30)*$B$2</f>
        <v/>
      </c>
      <c r="S30" s="43" t="n"/>
      <c r="T30" s="43" t="n"/>
    </row>
    <row r="31" ht="12.75" customHeight="1">
      <c r="A31" s="40" t="inlineStr">
        <is>
          <t>G10</t>
        </is>
      </c>
      <c r="B31" s="40">
        <f>VLOOKUP(A31,Members!$A$2:$B$65,2,FALSE)</f>
        <v/>
      </c>
      <c r="C31" s="41" t="n">
        <v>0</v>
      </c>
      <c r="D31" s="41">
        <f>SUM($C$3:$C$5)/64</f>
        <v/>
      </c>
      <c r="E31" s="41">
        <f>C31+D31</f>
        <v/>
      </c>
      <c r="F31" s="41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$T$11/64</f>
        <v/>
      </c>
      <c r="L31" s="41" t="n">
        <v>0</v>
      </c>
      <c r="M31" s="41" t="n">
        <v>0</v>
      </c>
      <c r="N31" s="41" t="n">
        <v>0</v>
      </c>
      <c r="O31" s="41" t="n">
        <v>0</v>
      </c>
      <c r="P31" s="41" t="n">
        <v>0</v>
      </c>
      <c r="Q31" s="41" t="n"/>
      <c r="R31" s="41">
        <f>(J31+K31+L31+M31+N31+O31+P31)*$B$2</f>
        <v/>
      </c>
      <c r="S31" s="41" t="n"/>
      <c r="T31" s="41" t="n"/>
    </row>
    <row r="32" ht="12.75" customHeight="1">
      <c r="A32" s="42" t="inlineStr">
        <is>
          <t>G11</t>
        </is>
      </c>
      <c r="B32" s="42">
        <f>VLOOKUP(A32,Members!$A$2:$B$65,2,FALSE)</f>
        <v/>
      </c>
      <c r="C32" s="43" t="n">
        <v>0</v>
      </c>
      <c r="D32" s="43">
        <f>SUM($C$3:$C$5)/64</f>
        <v/>
      </c>
      <c r="E32" s="43">
        <f>C32+D32</f>
        <v/>
      </c>
      <c r="F32" s="43">
        <f>IF($C$70=0, 0, E32/$C$70)</f>
        <v/>
      </c>
      <c r="G32" s="43">
        <f>F32*$T$5</f>
        <v/>
      </c>
      <c r="H32" s="43" t="n">
        <v>3</v>
      </c>
      <c r="I32" s="43">
        <f>$T$7*H32</f>
        <v/>
      </c>
      <c r="J32" s="43">
        <f>G32+$T$9+I32</f>
        <v/>
      </c>
      <c r="K32" s="43">
        <f>$T$11/64</f>
        <v/>
      </c>
      <c r="L32" s="43" t="n">
        <v>0</v>
      </c>
      <c r="M32" s="43" t="n">
        <v>0</v>
      </c>
      <c r="N32" s="43" t="n">
        <v>0</v>
      </c>
      <c r="O32" s="43" t="n">
        <v>0</v>
      </c>
      <c r="P32" s="43" t="n"/>
      <c r="Q32" s="43" t="n"/>
      <c r="R32" s="43">
        <f>(J32+K32+L32+M32+N32+O32)*$B$2</f>
        <v/>
      </c>
      <c r="S32" s="43" t="n"/>
      <c r="T32" s="43" t="n"/>
    </row>
    <row r="33" ht="12.75" customHeight="1">
      <c r="A33" s="40" t="inlineStr">
        <is>
          <t>G12</t>
        </is>
      </c>
      <c r="B33" s="40">
        <f>VLOOKUP(A33,Members!$A$2:$B$65,2,FALSE)</f>
        <v/>
      </c>
      <c r="C33" s="41" t="n">
        <v>0</v>
      </c>
      <c r="D33" s="41">
        <f>SUM($C$3:$C$5)/64</f>
        <v/>
      </c>
      <c r="E33" s="41">
        <f>C33+D33</f>
        <v/>
      </c>
      <c r="F33" s="41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$T$11/64</f>
        <v/>
      </c>
      <c r="L33" s="41" t="n">
        <v>0</v>
      </c>
      <c r="M33" s="41" t="n">
        <v>0</v>
      </c>
      <c r="N33" s="41" t="n">
        <v>0</v>
      </c>
      <c r="O33" s="41" t="n">
        <v>0</v>
      </c>
      <c r="P33" s="41" t="n"/>
      <c r="Q33" s="41" t="n"/>
      <c r="R33" s="41">
        <f>(J33+K33+L33+M33+N33+O33)*$B$2</f>
        <v/>
      </c>
      <c r="S33" s="41" t="n"/>
      <c r="T33" s="41" t="n"/>
    </row>
    <row r="34" ht="12.75" customHeight="1">
      <c r="A34" s="42" t="inlineStr">
        <is>
          <t>G13</t>
        </is>
      </c>
      <c r="B34" s="42">
        <f>VLOOKUP(A34,Members!$A$2:$B$65,2,FALSE)</f>
        <v/>
      </c>
      <c r="C34" s="43" t="n">
        <v>0</v>
      </c>
      <c r="D34" s="43">
        <f>SUM($C$3:$C$5)/64</f>
        <v/>
      </c>
      <c r="E34" s="43">
        <f>C34+D34</f>
        <v/>
      </c>
      <c r="F34" s="43">
        <f>IF($C$70=0, 0, E34/$C$70)</f>
        <v/>
      </c>
      <c r="G34" s="43">
        <f>F34*$T$5</f>
        <v/>
      </c>
      <c r="H34" s="43" t="n">
        <v>4</v>
      </c>
      <c r="I34" s="43">
        <f>$T$7*H34</f>
        <v/>
      </c>
      <c r="J34" s="43">
        <f>G34+$T$9+I34</f>
        <v/>
      </c>
      <c r="K34" s="43">
        <f>$T$11/64</f>
        <v/>
      </c>
      <c r="L34" s="43" t="n">
        <v>0</v>
      </c>
      <c r="M34" s="43" t="n">
        <v>0</v>
      </c>
      <c r="N34" s="43" t="n">
        <v>0</v>
      </c>
      <c r="O34" s="43" t="n">
        <v>0</v>
      </c>
      <c r="P34" s="43" t="n"/>
      <c r="Q34" s="43" t="n"/>
      <c r="R34" s="43">
        <f>(J34+K34+L34+M34+N34+O34)*$B$2</f>
        <v/>
      </c>
      <c r="S34" s="43" t="n"/>
      <c r="T34" s="43" t="n"/>
    </row>
    <row r="35" ht="12.75" customHeight="1">
      <c r="A35" s="40" t="inlineStr">
        <is>
          <t>G14</t>
        </is>
      </c>
      <c r="B35" s="40">
        <f>VLOOKUP(A35,Members!$A$2:$B$65,2,FALSE)</f>
        <v/>
      </c>
      <c r="C35" s="41" t="n">
        <v>0</v>
      </c>
      <c r="D35" s="41">
        <f>SUM($C$3:$C$5)/64</f>
        <v/>
      </c>
      <c r="E35" s="41">
        <f>C35+D35</f>
        <v/>
      </c>
      <c r="F35" s="41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$T$11/64</f>
        <v/>
      </c>
      <c r="L35" s="41" t="n">
        <v>0</v>
      </c>
      <c r="M35" s="41" t="n">
        <v>0</v>
      </c>
      <c r="N35" s="41" t="n">
        <v>0</v>
      </c>
      <c r="O35" s="41" t="n">
        <v>0</v>
      </c>
      <c r="P35" s="41" t="n"/>
      <c r="Q35" s="41" t="n"/>
      <c r="R35" s="41">
        <f>(J35+K35+L35+M35+N35+O35)*$B$2</f>
        <v/>
      </c>
      <c r="S35" s="41" t="n"/>
      <c r="T35" s="41" t="n"/>
    </row>
    <row r="36" ht="12.75" customHeight="1">
      <c r="A36" s="42" t="inlineStr">
        <is>
          <t>G15</t>
        </is>
      </c>
      <c r="B36" s="42">
        <f>VLOOKUP(A36,Members!$A$2:$B$65,2,FALSE)</f>
        <v/>
      </c>
      <c r="C36" s="43" t="n">
        <v>0</v>
      </c>
      <c r="D36" s="43">
        <f>SUM($C$3:$C$5)/64</f>
        <v/>
      </c>
      <c r="E36" s="43">
        <f>C36+D36</f>
        <v/>
      </c>
      <c r="F36" s="43">
        <f>IF($C$70=0, 0, E36/$C$70)</f>
        <v/>
      </c>
      <c r="G36" s="43">
        <f>F36*$T$5</f>
        <v/>
      </c>
      <c r="H36" s="43" t="n">
        <v>4</v>
      </c>
      <c r="I36" s="43">
        <f>$T$7*H36</f>
        <v/>
      </c>
      <c r="J36" s="43">
        <f>G36+$T$9+I36</f>
        <v/>
      </c>
      <c r="K36" s="43">
        <f>$T$11/64</f>
        <v/>
      </c>
      <c r="L36" s="43" t="n">
        <v>0</v>
      </c>
      <c r="M36" s="43" t="n">
        <v>0</v>
      </c>
      <c r="N36" s="43" t="n">
        <v>0</v>
      </c>
      <c r="O36" s="43" t="n">
        <v>0</v>
      </c>
      <c r="P36" s="43" t="n"/>
      <c r="Q36" s="43" t="n"/>
      <c r="R36" s="43">
        <f>(J36+K36+L36+M36+N36+O36)*$B$2</f>
        <v/>
      </c>
      <c r="S36" s="43" t="n"/>
      <c r="T36" s="43" t="n"/>
    </row>
    <row r="37" ht="12.75" customHeight="1">
      <c r="A37" s="40" t="inlineStr">
        <is>
          <t>G16</t>
        </is>
      </c>
      <c r="B37" s="40">
        <f>VLOOKUP(A37,Members!$A$2:$B$65,2,FALSE)</f>
        <v/>
      </c>
      <c r="C37" s="41" t="n">
        <v>0</v>
      </c>
      <c r="D37" s="41">
        <f>SUM($C$3:$C$5)/64</f>
        <v/>
      </c>
      <c r="E37" s="41">
        <f>C37+D37</f>
        <v/>
      </c>
      <c r="F37" s="41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$T$11/64</f>
        <v/>
      </c>
      <c r="L37" s="41" t="n">
        <v>0</v>
      </c>
      <c r="M37" s="41" t="n">
        <v>0</v>
      </c>
      <c r="N37" s="41" t="n">
        <v>0</v>
      </c>
      <c r="O37" s="41" t="n">
        <v>0</v>
      </c>
      <c r="P37" s="41" t="n"/>
      <c r="Q37" s="41" t="n"/>
      <c r="R37" s="41">
        <f>(J37+K37+L37+M37+N37+O37)*$B$2</f>
        <v/>
      </c>
      <c r="S37" s="41" t="n"/>
      <c r="T37" s="41" t="n"/>
    </row>
    <row r="38" ht="12.75" customHeight="1">
      <c r="A38" s="42" t="inlineStr">
        <is>
          <t>S1</t>
        </is>
      </c>
      <c r="B38" s="42">
        <f>VLOOKUP(A38,Members!$A$2:$B$65,2,FALSE)</f>
        <v/>
      </c>
      <c r="C38" s="43" t="n">
        <v>0</v>
      </c>
      <c r="D38" s="43">
        <f>SUM($C$3:$C$5)/64</f>
        <v/>
      </c>
      <c r="E38" s="43">
        <f>C38+D38</f>
        <v/>
      </c>
      <c r="F38" s="43">
        <f>IF($C$70=0, 0, E38/$C$70)</f>
        <v/>
      </c>
      <c r="G38" s="43">
        <f>F38*$T$5</f>
        <v/>
      </c>
      <c r="H38" s="43" t="n">
        <v>3</v>
      </c>
      <c r="I38" s="43">
        <f>$T$7*H38</f>
        <v/>
      </c>
      <c r="J38" s="43">
        <f>G38+$T$9+I38</f>
        <v/>
      </c>
      <c r="K38" s="43">
        <f>$T$11/64</f>
        <v/>
      </c>
      <c r="L38" s="43" t="n">
        <v>0</v>
      </c>
      <c r="M38" s="43" t="n">
        <v>0</v>
      </c>
      <c r="N38" s="43" t="n">
        <v>0</v>
      </c>
      <c r="O38" s="43" t="n">
        <v>0</v>
      </c>
      <c r="P38" s="43" t="n"/>
      <c r="Q38" s="43" t="n"/>
      <c r="R38" s="43">
        <f>(J38+K38+L38+M38+N38+O38)*$B$2</f>
        <v/>
      </c>
      <c r="S38" s="43" t="n"/>
      <c r="T38" s="43" t="n"/>
    </row>
    <row r="39" ht="12.75" customHeight="1">
      <c r="A39" s="40" t="inlineStr">
        <is>
          <t>S2</t>
        </is>
      </c>
      <c r="B39" s="40">
        <f>VLOOKUP(A39,Members!$A$2:$B$65,2,FALSE)</f>
        <v/>
      </c>
      <c r="C39" s="41" t="n">
        <v>0</v>
      </c>
      <c r="D39" s="41">
        <f>SUM($C$3:$C$5)/64</f>
        <v/>
      </c>
      <c r="E39" s="41">
        <f>C39+D39</f>
        <v/>
      </c>
      <c r="F39" s="41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$T$11/64</f>
        <v/>
      </c>
      <c r="L39" s="41" t="n">
        <v>0</v>
      </c>
      <c r="M39" s="41" t="n">
        <v>0</v>
      </c>
      <c r="N39" s="41" t="n">
        <v>0</v>
      </c>
      <c r="O39" s="41" t="n">
        <v>0</v>
      </c>
      <c r="P39" s="41" t="n"/>
      <c r="Q39" s="41" t="n"/>
      <c r="R39" s="41">
        <f>(J39+K39+L39+M39+N39+O39)*$B$2</f>
        <v/>
      </c>
      <c r="S39" s="41" t="n"/>
      <c r="T39" s="41" t="n"/>
    </row>
    <row r="40" ht="12.75" customHeight="1">
      <c r="A40" s="42" t="inlineStr">
        <is>
          <t>S3</t>
        </is>
      </c>
      <c r="B40" s="42">
        <f>VLOOKUP(A40,Members!$A$2:$B$65,2,FALSE)</f>
        <v/>
      </c>
      <c r="C40" s="43" t="n">
        <v>0</v>
      </c>
      <c r="D40" s="43">
        <f>SUM($C$3:$C$5)/64</f>
        <v/>
      </c>
      <c r="E40" s="43">
        <f>C40+D40</f>
        <v/>
      </c>
      <c r="F40" s="43">
        <f>IF($C$70=0, 0, E40/$C$70)</f>
        <v/>
      </c>
      <c r="G40" s="43">
        <f>F40*$T$5</f>
        <v/>
      </c>
      <c r="H40" s="43" t="n">
        <v>4</v>
      </c>
      <c r="I40" s="43">
        <f>$T$7*H40</f>
        <v/>
      </c>
      <c r="J40" s="43">
        <f>G40+$T$9+I40</f>
        <v/>
      </c>
      <c r="K40" s="43">
        <f>$T$11/64</f>
        <v/>
      </c>
      <c r="L40" s="43" t="n">
        <v>0</v>
      </c>
      <c r="M40" s="43" t="n">
        <v>0</v>
      </c>
      <c r="N40" s="43" t="n">
        <v>0</v>
      </c>
      <c r="O40" s="43" t="n">
        <v>0</v>
      </c>
      <c r="P40" s="43" t="n"/>
      <c r="Q40" s="43" t="n"/>
      <c r="R40" s="43">
        <f>(J40+K40+L40+M40+N40+O40)*$B$2</f>
        <v/>
      </c>
      <c r="S40" s="43" t="n"/>
      <c r="T40" s="43" t="n"/>
    </row>
    <row r="41" ht="12.75" customHeight="1">
      <c r="A41" s="40" t="inlineStr">
        <is>
          <t>S4</t>
        </is>
      </c>
      <c r="B41" s="40">
        <f>VLOOKUP(A41,Members!$A$2:$B$65,2,FALSE)</f>
        <v/>
      </c>
      <c r="C41" s="41" t="n">
        <v>0</v>
      </c>
      <c r="D41" s="41">
        <f>SUM($C$3:$C$5)/64</f>
        <v/>
      </c>
      <c r="E41" s="41">
        <f>C41+D41</f>
        <v/>
      </c>
      <c r="F41" s="41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$T$11/64</f>
        <v/>
      </c>
      <c r="L41" s="41" t="n">
        <v>0</v>
      </c>
      <c r="M41" s="41" t="n">
        <v>0</v>
      </c>
      <c r="N41" s="41" t="n">
        <v>0</v>
      </c>
      <c r="O41" s="41" t="n">
        <v>0</v>
      </c>
      <c r="P41" s="41" t="n"/>
      <c r="Q41" s="41" t="n"/>
      <c r="R41" s="41">
        <f>(J41+K41+L41+M41+N41+O41)*$B$2</f>
        <v/>
      </c>
      <c r="S41" s="41" t="n"/>
      <c r="T41" s="41" t="n"/>
    </row>
    <row r="42" ht="12.75" customHeight="1">
      <c r="A42" s="42" t="inlineStr">
        <is>
          <t>S5</t>
        </is>
      </c>
      <c r="B42" s="42">
        <f>VLOOKUP(A42,Members!$A$2:$B$65,2,FALSE)</f>
        <v/>
      </c>
      <c r="C42" s="43" t="n">
        <v>0</v>
      </c>
      <c r="D42" s="43">
        <f>SUM($C$3:$C$5)/64</f>
        <v/>
      </c>
      <c r="E42" s="43">
        <f>C42+D42</f>
        <v/>
      </c>
      <c r="F42" s="43">
        <f>IF($C$70=0, 0, E42/$C$70)</f>
        <v/>
      </c>
      <c r="G42" s="43">
        <f>F42*$T$5</f>
        <v/>
      </c>
      <c r="H42" s="43" t="n">
        <v>3</v>
      </c>
      <c r="I42" s="43">
        <f>$T$7*H42</f>
        <v/>
      </c>
      <c r="J42" s="43">
        <f>G42+$T$9+I42</f>
        <v/>
      </c>
      <c r="K42" s="43">
        <f>$T$11/64</f>
        <v/>
      </c>
      <c r="L42" s="43" t="n">
        <v>0</v>
      </c>
      <c r="M42" s="43" t="n">
        <v>0</v>
      </c>
      <c r="N42" s="43" t="n">
        <v>0</v>
      </c>
      <c r="O42" s="43" t="n">
        <v>0</v>
      </c>
      <c r="P42" s="43" t="n"/>
      <c r="Q42" s="43" t="n"/>
      <c r="R42" s="43">
        <f>(J42+K42+L42+M42+N42+O42)*$B$2</f>
        <v/>
      </c>
      <c r="S42" s="43" t="n"/>
      <c r="T42" s="43" t="n"/>
    </row>
    <row r="43" ht="12.75" customHeight="1">
      <c r="A43" s="40" t="inlineStr">
        <is>
          <t>S6</t>
        </is>
      </c>
      <c r="B43" s="40">
        <f>VLOOKUP(A43,Members!$A$2:$B$65,2,FALSE)</f>
        <v/>
      </c>
      <c r="C43" s="41" t="n">
        <v>0</v>
      </c>
      <c r="D43" s="41">
        <f>SUM($C$3:$C$5)/64</f>
        <v/>
      </c>
      <c r="E43" s="41">
        <f>C43+D43</f>
        <v/>
      </c>
      <c r="F43" s="41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$T$11/64</f>
        <v/>
      </c>
      <c r="L43" s="41" t="n">
        <v>0</v>
      </c>
      <c r="M43" s="41" t="n">
        <v>0</v>
      </c>
      <c r="N43" s="41" t="n">
        <v>0</v>
      </c>
      <c r="O43" s="41" t="n">
        <v>0</v>
      </c>
      <c r="P43" s="41" t="n"/>
      <c r="Q43" s="41" t="n"/>
      <c r="R43" s="41">
        <f>(J43+K43+L43+M43+N43+O43)*$B$2</f>
        <v/>
      </c>
      <c r="S43" s="41" t="n"/>
      <c r="T43" s="41" t="n"/>
    </row>
    <row r="44" ht="12.75" customHeight="1">
      <c r="A44" s="42" t="inlineStr">
        <is>
          <t>S7</t>
        </is>
      </c>
      <c r="B44" s="42">
        <f>VLOOKUP(A44,Members!$A$2:$B$65,2,FALSE)</f>
        <v/>
      </c>
      <c r="C44" s="43" t="n">
        <v>0</v>
      </c>
      <c r="D44" s="43">
        <f>SUM($C$3:$C$5)/64</f>
        <v/>
      </c>
      <c r="E44" s="43">
        <f>C44+D44</f>
        <v/>
      </c>
      <c r="F44" s="43">
        <f>IF($C$70=0, 0, E44/$C$70)</f>
        <v/>
      </c>
      <c r="G44" s="43">
        <f>F44*$T$5</f>
        <v/>
      </c>
      <c r="H44" s="43" t="n">
        <v>3</v>
      </c>
      <c r="I44" s="43">
        <f>$T$7*H44</f>
        <v/>
      </c>
      <c r="J44" s="43">
        <f>G44+$T$9+I44</f>
        <v/>
      </c>
      <c r="K44" s="43">
        <f>$T$11/64</f>
        <v/>
      </c>
      <c r="L44" s="43" t="n">
        <v>0</v>
      </c>
      <c r="M44" s="43" t="n">
        <v>0</v>
      </c>
      <c r="N44" s="43" t="n">
        <v>0</v>
      </c>
      <c r="O44" s="43" t="n">
        <v>0</v>
      </c>
      <c r="P44" s="43" t="n"/>
      <c r="Q44" s="43" t="n"/>
      <c r="R44" s="43">
        <f>(J44+K44+L44+M44+N44+O44)*$B$2</f>
        <v/>
      </c>
      <c r="S44" s="43" t="n"/>
      <c r="T44" s="43" t="n"/>
    </row>
    <row r="45" ht="12.75" customHeight="1">
      <c r="A45" s="40" t="inlineStr">
        <is>
          <t>S8</t>
        </is>
      </c>
      <c r="B45" s="40">
        <f>VLOOKUP(A45,Members!$A$2:$B$65,2,FALSE)</f>
        <v/>
      </c>
      <c r="C45" s="41" t="n">
        <v>0</v>
      </c>
      <c r="D45" s="41">
        <f>SUM($C$3:$C$5)/64</f>
        <v/>
      </c>
      <c r="E45" s="41">
        <f>C45+D45</f>
        <v/>
      </c>
      <c r="F45" s="41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$T$11/64</f>
        <v/>
      </c>
      <c r="L45" s="41" t="n">
        <v>0</v>
      </c>
      <c r="M45" s="41" t="n">
        <v>0</v>
      </c>
      <c r="N45" s="41" t="n">
        <v>0</v>
      </c>
      <c r="O45" s="41" t="n">
        <v>0</v>
      </c>
      <c r="P45" s="41" t="n"/>
      <c r="Q45" s="41" t="n"/>
      <c r="R45" s="41">
        <f>(J45+K45+L45+M45+N45+O45)*$B$2</f>
        <v/>
      </c>
      <c r="S45" s="41" t="n"/>
      <c r="T45" s="41" t="n"/>
    </row>
    <row r="46" ht="12.75" customHeight="1">
      <c r="A46" s="42" t="inlineStr">
        <is>
          <t>S9</t>
        </is>
      </c>
      <c r="B46" s="42">
        <f>VLOOKUP(A46,Members!$A$2:$B$65,2,FALSE)</f>
        <v/>
      </c>
      <c r="C46" s="43" t="n">
        <v>0</v>
      </c>
      <c r="D46" s="43">
        <f>SUM($C$3:$C$5)/64</f>
        <v/>
      </c>
      <c r="E46" s="43">
        <f>C46+D46</f>
        <v/>
      </c>
      <c r="F46" s="43">
        <f>IF($C$70=0, 0, E46/$C$70)</f>
        <v/>
      </c>
      <c r="G46" s="43">
        <f>F46*$T$5</f>
        <v/>
      </c>
      <c r="H46" s="43" t="n">
        <v>4</v>
      </c>
      <c r="I46" s="43">
        <f>$T$7*H46</f>
        <v/>
      </c>
      <c r="J46" s="43">
        <f>G46+$T$9+I46</f>
        <v/>
      </c>
      <c r="K46" s="43">
        <f>$T$11/64</f>
        <v/>
      </c>
      <c r="L46" s="43" t="n">
        <v>0</v>
      </c>
      <c r="M46" s="43" t="n">
        <v>0</v>
      </c>
      <c r="N46" s="43" t="n">
        <v>0</v>
      </c>
      <c r="O46" s="43" t="n">
        <v>0</v>
      </c>
      <c r="P46" s="43" t="n"/>
      <c r="Q46" s="43" t="n"/>
      <c r="R46" s="43">
        <f>(J46+K46+L46+M46+N46+O46)*$B$2</f>
        <v/>
      </c>
      <c r="S46" s="43" t="n"/>
      <c r="T46" s="43" t="n"/>
    </row>
    <row r="47" ht="12.75" customHeight="1">
      <c r="A47" s="40" t="inlineStr">
        <is>
          <t>S10</t>
        </is>
      </c>
      <c r="B47" s="40">
        <f>VLOOKUP(A47,Members!$A$2:$B$65,2,FALSE)</f>
        <v/>
      </c>
      <c r="C47" s="41" t="n">
        <v>0</v>
      </c>
      <c r="D47" s="41">
        <f>SUM($C$3:$C$5)/64</f>
        <v/>
      </c>
      <c r="E47" s="41">
        <f>C47+D47</f>
        <v/>
      </c>
      <c r="F47" s="41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$T$11/64</f>
        <v/>
      </c>
      <c r="L47" s="41" t="n">
        <v>0</v>
      </c>
      <c r="M47" s="41" t="n">
        <v>0</v>
      </c>
      <c r="N47" s="41" t="n">
        <v>0</v>
      </c>
      <c r="O47" s="41" t="n">
        <v>0</v>
      </c>
      <c r="P47" s="41" t="n"/>
      <c r="Q47" s="41" t="n"/>
      <c r="R47" s="41">
        <f>(J47+K47+L47+M47+N47+O47)*$B$2</f>
        <v/>
      </c>
      <c r="S47" s="41" t="n"/>
      <c r="T47" s="41" t="n"/>
    </row>
    <row r="48" ht="12.75" customHeight="1">
      <c r="A48" s="42" t="inlineStr">
        <is>
          <t>S11</t>
        </is>
      </c>
      <c r="B48" s="42">
        <f>VLOOKUP(A48,Members!$A$2:$B$65,2,FALSE)</f>
        <v/>
      </c>
      <c r="C48" s="43" t="n">
        <v>0</v>
      </c>
      <c r="D48" s="43">
        <f>SUM($C$3:$C$5)/64</f>
        <v/>
      </c>
      <c r="E48" s="43">
        <f>C48+D48</f>
        <v/>
      </c>
      <c r="F48" s="43">
        <f>IF($C$70=0, 0, E48/$C$70)</f>
        <v/>
      </c>
      <c r="G48" s="43">
        <f>F48*$T$5</f>
        <v/>
      </c>
      <c r="H48" s="43" t="n">
        <v>3</v>
      </c>
      <c r="I48" s="43">
        <f>$T$7*H48</f>
        <v/>
      </c>
      <c r="J48" s="43">
        <f>G48+$T$9+I48</f>
        <v/>
      </c>
      <c r="K48" s="43">
        <f>$T$11/64</f>
        <v/>
      </c>
      <c r="L48" s="43" t="n">
        <v>0</v>
      </c>
      <c r="M48" s="43" t="n">
        <v>0</v>
      </c>
      <c r="N48" s="43" t="n">
        <v>0</v>
      </c>
      <c r="O48" s="43" t="n">
        <v>0</v>
      </c>
      <c r="P48" s="43" t="n"/>
      <c r="Q48" s="43" t="n"/>
      <c r="R48" s="43">
        <f>(J48+K48+L48+M48+N48+O48)*$B$2</f>
        <v/>
      </c>
      <c r="S48" s="43" t="n"/>
      <c r="T48" s="43" t="n"/>
    </row>
    <row r="49" ht="12.75" customHeight="1">
      <c r="A49" s="40" t="inlineStr">
        <is>
          <t>S12</t>
        </is>
      </c>
      <c r="B49" s="40">
        <f>VLOOKUP(A49,Members!$A$2:$B$65,2,FALSE)</f>
        <v/>
      </c>
      <c r="C49" s="41" t="n">
        <v>0</v>
      </c>
      <c r="D49" s="41">
        <f>SUM($C$3:$C$5)/64</f>
        <v/>
      </c>
      <c r="E49" s="41">
        <f>C49+D49</f>
        <v/>
      </c>
      <c r="F49" s="41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$T$11/64</f>
        <v/>
      </c>
      <c r="L49" s="41" t="n">
        <v>0</v>
      </c>
      <c r="M49" s="41" t="n">
        <v>0</v>
      </c>
      <c r="N49" s="41" t="n">
        <v>0</v>
      </c>
      <c r="O49" s="41" t="n">
        <v>0</v>
      </c>
      <c r="P49" s="41" t="n"/>
      <c r="Q49" s="41" t="n"/>
      <c r="R49" s="41">
        <f>(J49+K49+L49+M49+N49+O49)*$B$2</f>
        <v/>
      </c>
      <c r="S49" s="41" t="n"/>
      <c r="T49" s="41" t="n"/>
    </row>
    <row r="50" ht="12.75" customHeight="1">
      <c r="A50" s="42" t="inlineStr">
        <is>
          <t>S13</t>
        </is>
      </c>
      <c r="B50" s="42">
        <f>VLOOKUP(A50,Members!$A$2:$B$65,2,FALSE)</f>
        <v/>
      </c>
      <c r="C50" s="43" t="n">
        <v>0</v>
      </c>
      <c r="D50" s="43">
        <f>SUM($C$3:$C$5)/64</f>
        <v/>
      </c>
      <c r="E50" s="43">
        <f>C50+D50</f>
        <v/>
      </c>
      <c r="F50" s="43">
        <f>IF($C$70=0, 0, E50/$C$70)</f>
        <v/>
      </c>
      <c r="G50" s="43">
        <f>F50*$T$5</f>
        <v/>
      </c>
      <c r="H50" s="43" t="n">
        <v>4</v>
      </c>
      <c r="I50" s="43">
        <f>$T$7*H50</f>
        <v/>
      </c>
      <c r="J50" s="43">
        <f>G50+$T$9+I50</f>
        <v/>
      </c>
      <c r="K50" s="43">
        <f>$T$11/64</f>
        <v/>
      </c>
      <c r="L50" s="43" t="n">
        <v>0</v>
      </c>
      <c r="M50" s="43" t="n">
        <v>0</v>
      </c>
      <c r="N50" s="43" t="n">
        <v>0</v>
      </c>
      <c r="O50" s="43" t="n">
        <v>0</v>
      </c>
      <c r="P50" s="43" t="n"/>
      <c r="Q50" s="43" t="n"/>
      <c r="R50" s="43">
        <f>(J50+K50+L50+M50+N50+O50)*$B$2</f>
        <v/>
      </c>
      <c r="S50" s="43" t="n"/>
      <c r="T50" s="43" t="n"/>
    </row>
    <row r="51" ht="12.75" customHeight="1">
      <c r="A51" s="40" t="inlineStr">
        <is>
          <t>S14</t>
        </is>
      </c>
      <c r="B51" s="40">
        <f>VLOOKUP(A51,Members!$A$2:$B$65,2,FALSE)</f>
        <v/>
      </c>
      <c r="C51" s="41" t="n">
        <v>0</v>
      </c>
      <c r="D51" s="41">
        <f>SUM($C$3:$C$5)/64</f>
        <v/>
      </c>
      <c r="E51" s="41">
        <f>C51+D51</f>
        <v/>
      </c>
      <c r="F51" s="41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$T$11/64</f>
        <v/>
      </c>
      <c r="L51" s="41" t="n">
        <v>0</v>
      </c>
      <c r="M51" s="41" t="n">
        <v>0</v>
      </c>
      <c r="N51" s="41" t="n">
        <v>0</v>
      </c>
      <c r="O51" s="41" t="n">
        <v>0</v>
      </c>
      <c r="P51" s="41" t="n"/>
      <c r="Q51" s="41" t="n"/>
      <c r="R51" s="41">
        <f>(J51+K51+L51+M51+N51+O51)*$B$2</f>
        <v/>
      </c>
      <c r="S51" s="41" t="n"/>
      <c r="T51" s="41" t="n"/>
    </row>
    <row r="52" ht="12.75" customHeight="1">
      <c r="A52" s="42" t="inlineStr">
        <is>
          <t>S15</t>
        </is>
      </c>
      <c r="B52" s="42">
        <f>VLOOKUP(A52,Members!$A$2:$B$65,2,FALSE)</f>
        <v/>
      </c>
      <c r="C52" s="43" t="n">
        <v>0</v>
      </c>
      <c r="D52" s="43">
        <f>SUM($C$3:$C$5)/64</f>
        <v/>
      </c>
      <c r="E52" s="43">
        <f>C52+D52</f>
        <v/>
      </c>
      <c r="F52" s="43">
        <f>IF($C$70=0, 0, E52/$C$70)</f>
        <v/>
      </c>
      <c r="G52" s="43">
        <f>F52*$T$5</f>
        <v/>
      </c>
      <c r="H52" s="43" t="n">
        <v>4</v>
      </c>
      <c r="I52" s="43">
        <f>$T$7*H52</f>
        <v/>
      </c>
      <c r="J52" s="43">
        <f>G52+$T$9+I52</f>
        <v/>
      </c>
      <c r="K52" s="43">
        <f>$T$11/64</f>
        <v/>
      </c>
      <c r="L52" s="43" t="n">
        <v>0</v>
      </c>
      <c r="M52" s="43" t="n">
        <v>0</v>
      </c>
      <c r="N52" s="43" t="n">
        <v>0</v>
      </c>
      <c r="O52" s="43" t="n">
        <v>0</v>
      </c>
      <c r="P52" s="43" t="n"/>
      <c r="Q52" s="43" t="n"/>
      <c r="R52" s="43">
        <f>(J52+K52+L52+M52+N52+O52)*$B$2</f>
        <v/>
      </c>
      <c r="S52" s="43" t="n"/>
      <c r="T52" s="43" t="n"/>
    </row>
    <row r="53" ht="12.75" customHeight="1">
      <c r="A53" s="40" t="inlineStr">
        <is>
          <t>S16</t>
        </is>
      </c>
      <c r="B53" s="40">
        <f>VLOOKUP(A53,Members!$A$2:$B$65,2,FALSE)</f>
        <v/>
      </c>
      <c r="C53" s="41" t="n">
        <v>0</v>
      </c>
      <c r="D53" s="41">
        <f>SUM($C$3:$C$5)/64</f>
        <v/>
      </c>
      <c r="E53" s="41">
        <f>C53+D53</f>
        <v/>
      </c>
      <c r="F53" s="41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$T$11/64</f>
        <v/>
      </c>
      <c r="L53" s="41" t="n">
        <v>0</v>
      </c>
      <c r="M53" s="41" t="n">
        <v>0</v>
      </c>
      <c r="N53" s="41" t="n">
        <v>0</v>
      </c>
      <c r="O53" s="41" t="n">
        <v>0</v>
      </c>
      <c r="P53" s="41" t="n"/>
      <c r="Q53" s="41" t="n"/>
      <c r="R53" s="41">
        <f>(J53+K53+L53+M53+N53+O53)*$B$2</f>
        <v/>
      </c>
      <c r="S53" s="41" t="n"/>
      <c r="T53" s="41" t="n"/>
    </row>
    <row r="54" ht="12.75" customHeight="1">
      <c r="A54" s="42" t="inlineStr">
        <is>
          <t>T1</t>
        </is>
      </c>
      <c r="B54" s="42">
        <f>VLOOKUP(A54,Members!$A$2:$B$65,2,FALSE)</f>
        <v/>
      </c>
      <c r="C54" s="43" t="n">
        <v>0</v>
      </c>
      <c r="D54" s="43">
        <f>SUM($C$3:$C$5)/64</f>
        <v/>
      </c>
      <c r="E54" s="43">
        <f>C54+D54</f>
        <v/>
      </c>
      <c r="F54" s="43">
        <f>IF($C$70=0, 0, E54/$C$70)</f>
        <v/>
      </c>
      <c r="G54" s="43">
        <f>F54*$T$5</f>
        <v/>
      </c>
      <c r="H54" s="43" t="n">
        <v>3</v>
      </c>
      <c r="I54" s="43">
        <f>$T$7*H54</f>
        <v/>
      </c>
      <c r="J54" s="43">
        <f>G54+$T$9+I54</f>
        <v/>
      </c>
      <c r="K54" s="43">
        <f>$T$11/64</f>
        <v/>
      </c>
      <c r="L54" s="43" t="n">
        <v>0</v>
      </c>
      <c r="M54" s="43" t="n">
        <v>0</v>
      </c>
      <c r="N54" s="43" t="n">
        <v>0</v>
      </c>
      <c r="O54" s="43" t="n">
        <v>0</v>
      </c>
      <c r="P54" s="43" t="n"/>
      <c r="Q54" s="43" t="n"/>
      <c r="R54" s="43">
        <f>(J54+K54+L54+M54+N54+O54)*$B$2</f>
        <v/>
      </c>
      <c r="S54" s="43" t="n"/>
      <c r="T54" s="43" t="n"/>
    </row>
    <row r="55" ht="12.75" customHeight="1">
      <c r="A55" s="40" t="inlineStr">
        <is>
          <t>T2</t>
        </is>
      </c>
      <c r="B55" s="40">
        <f>VLOOKUP(A55,Members!$A$2:$B$65,2,FALSE)</f>
        <v/>
      </c>
      <c r="C55" s="41" t="n">
        <v>0</v>
      </c>
      <c r="D55" s="41">
        <f>SUM($C$3:$C$5)/64</f>
        <v/>
      </c>
      <c r="E55" s="41">
        <f>C55+D55</f>
        <v/>
      </c>
      <c r="F55" s="41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$T$11/64</f>
        <v/>
      </c>
      <c r="L55" s="41" t="n">
        <v>0</v>
      </c>
      <c r="M55" s="41" t="n">
        <v>0</v>
      </c>
      <c r="N55" s="41" t="n">
        <v>0</v>
      </c>
      <c r="O55" s="41" t="n">
        <v>0</v>
      </c>
      <c r="P55" s="41" t="n"/>
      <c r="Q55" s="41" t="n"/>
      <c r="R55" s="41">
        <f>(J55+K55+L55+M55+N55+O55)*$B$2</f>
        <v/>
      </c>
      <c r="S55" s="41" t="n"/>
      <c r="T55" s="41" t="n"/>
    </row>
    <row r="56" ht="12.75" customHeight="1">
      <c r="A56" s="42" t="inlineStr">
        <is>
          <t>T3</t>
        </is>
      </c>
      <c r="B56" s="42">
        <f>VLOOKUP(A56,Members!$A$2:$B$65,2,FALSE)</f>
        <v/>
      </c>
      <c r="C56" s="43" t="n">
        <v>0</v>
      </c>
      <c r="D56" s="43">
        <f>SUM($C$3:$C$5)/64</f>
        <v/>
      </c>
      <c r="E56" s="43">
        <f>C56+D56</f>
        <v/>
      </c>
      <c r="F56" s="43">
        <f>IF($C$70=0, 0, E56/$C$70)</f>
        <v/>
      </c>
      <c r="G56" s="43">
        <f>F56*$T$5</f>
        <v/>
      </c>
      <c r="H56" s="43" t="n">
        <v>4</v>
      </c>
      <c r="I56" s="43">
        <f>$T$7*H56</f>
        <v/>
      </c>
      <c r="J56" s="43">
        <f>G56+$T$9+I56</f>
        <v/>
      </c>
      <c r="K56" s="43">
        <f>$T$11/64</f>
        <v/>
      </c>
      <c r="L56" s="43" t="n">
        <v>0</v>
      </c>
      <c r="M56" s="43" t="n">
        <v>0</v>
      </c>
      <c r="N56" s="43" t="n">
        <v>0</v>
      </c>
      <c r="O56" s="43" t="n">
        <v>0</v>
      </c>
      <c r="P56" s="43" t="n"/>
      <c r="Q56" s="43" t="n"/>
      <c r="R56" s="43">
        <f>(J56+K56+L56+M56+N56+O56)*$B$2</f>
        <v/>
      </c>
      <c r="S56" s="43" t="n"/>
      <c r="T56" s="43" t="n"/>
    </row>
    <row r="57" ht="12.75" customHeight="1">
      <c r="A57" s="40" t="inlineStr">
        <is>
          <t>T4</t>
        </is>
      </c>
      <c r="B57" s="40">
        <f>VLOOKUP(A57,Members!$A$2:$B$65,2,FALSE)</f>
        <v/>
      </c>
      <c r="C57" s="41" t="n">
        <v>0</v>
      </c>
      <c r="D57" s="41">
        <f>SUM($C$3:$C$5)/64</f>
        <v/>
      </c>
      <c r="E57" s="41">
        <f>C57+D57</f>
        <v/>
      </c>
      <c r="F57" s="41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$T$11/64</f>
        <v/>
      </c>
      <c r="L57" s="41" t="n">
        <v>0</v>
      </c>
      <c r="M57" s="41" t="n">
        <v>0</v>
      </c>
      <c r="N57" s="41" t="n">
        <v>0</v>
      </c>
      <c r="O57" s="41" t="n">
        <v>0</v>
      </c>
      <c r="P57" s="41" t="n"/>
      <c r="Q57" s="41" t="n"/>
      <c r="R57" s="41">
        <f>(J57+K57+L57+M57+N57+O57)*$B$2</f>
        <v/>
      </c>
      <c r="S57" s="41" t="n"/>
      <c r="T57" s="41" t="n"/>
    </row>
    <row r="58" ht="12.75" customHeight="1">
      <c r="A58" s="42" t="inlineStr">
        <is>
          <t>T5</t>
        </is>
      </c>
      <c r="B58" s="42">
        <f>VLOOKUP(A58,Members!$A$2:$B$65,2,FALSE)</f>
        <v/>
      </c>
      <c r="C58" s="43" t="n">
        <v>0</v>
      </c>
      <c r="D58" s="43">
        <f>SUM($C$3:$C$5)/64</f>
        <v/>
      </c>
      <c r="E58" s="43">
        <f>C58+D58</f>
        <v/>
      </c>
      <c r="F58" s="43">
        <f>IF($C$70=0, 0, E58/$C$70)</f>
        <v/>
      </c>
      <c r="G58" s="43">
        <f>F58*$T$5</f>
        <v/>
      </c>
      <c r="H58" s="43" t="n">
        <v>3</v>
      </c>
      <c r="I58" s="43">
        <f>$T$7*H58</f>
        <v/>
      </c>
      <c r="J58" s="43">
        <f>G58+$T$9+I58</f>
        <v/>
      </c>
      <c r="K58" s="43">
        <f>$T$11/64</f>
        <v/>
      </c>
      <c r="L58" s="43" t="n">
        <v>0</v>
      </c>
      <c r="M58" s="43" t="n">
        <v>0</v>
      </c>
      <c r="N58" s="43" t="n">
        <v>0</v>
      </c>
      <c r="O58" s="43" t="n">
        <v>0</v>
      </c>
      <c r="P58" s="43" t="n"/>
      <c r="Q58" s="43" t="n"/>
      <c r="R58" s="43">
        <f>(J58+K58+L58+M58+N58+O58)*$B$2</f>
        <v/>
      </c>
      <c r="S58" s="43" t="n"/>
      <c r="T58" s="43" t="n"/>
    </row>
    <row r="59" ht="12.75" customHeight="1">
      <c r="A59" s="40" t="inlineStr">
        <is>
          <t>T6</t>
        </is>
      </c>
      <c r="B59" s="40">
        <f>VLOOKUP(A59,Members!$A$2:$B$65,2,FALSE)</f>
        <v/>
      </c>
      <c r="C59" s="41" t="n">
        <v>0</v>
      </c>
      <c r="D59" s="41">
        <f>SUM($C$3:$C$5)/64</f>
        <v/>
      </c>
      <c r="E59" s="41">
        <f>C59+D59</f>
        <v/>
      </c>
      <c r="F59" s="41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$T$11/64</f>
        <v/>
      </c>
      <c r="L59" s="41" t="n">
        <v>0</v>
      </c>
      <c r="M59" s="41" t="n">
        <v>0</v>
      </c>
      <c r="N59" s="41" t="n">
        <v>0</v>
      </c>
      <c r="O59" s="41" t="n">
        <v>0</v>
      </c>
      <c r="P59" s="41" t="n"/>
      <c r="Q59" s="41" t="n"/>
      <c r="R59" s="41">
        <f>(J59+K59+L59+M59+N59+O59)*$B$2</f>
        <v/>
      </c>
      <c r="S59" s="41" t="n"/>
      <c r="T59" s="41" t="n"/>
    </row>
    <row r="60" ht="12.75" customHeight="1">
      <c r="A60" s="42" t="inlineStr">
        <is>
          <t>T7</t>
        </is>
      </c>
      <c r="B60" s="42">
        <f>VLOOKUP(A60,Members!$A$2:$B$65,2,FALSE)</f>
        <v/>
      </c>
      <c r="C60" s="43" t="n">
        <v>0</v>
      </c>
      <c r="D60" s="43">
        <f>SUM($C$3:$C$5)/64</f>
        <v/>
      </c>
      <c r="E60" s="43">
        <f>C60+D60</f>
        <v/>
      </c>
      <c r="F60" s="43">
        <f>IF($C$70=0, 0, E60/$C$70)</f>
        <v/>
      </c>
      <c r="G60" s="43">
        <f>F60*$T$5</f>
        <v/>
      </c>
      <c r="H60" s="43" t="n">
        <v>3</v>
      </c>
      <c r="I60" s="43">
        <f>$T$7*H60</f>
        <v/>
      </c>
      <c r="J60" s="43">
        <f>G60+$T$9+I60</f>
        <v/>
      </c>
      <c r="K60" s="43">
        <f>$T$11/64</f>
        <v/>
      </c>
      <c r="L60" s="43" t="n">
        <v>0</v>
      </c>
      <c r="M60" s="43" t="n">
        <v>0</v>
      </c>
      <c r="N60" s="43" t="n">
        <v>0</v>
      </c>
      <c r="O60" s="43" t="n">
        <v>0</v>
      </c>
      <c r="P60" s="43" t="n"/>
      <c r="Q60" s="43" t="n"/>
      <c r="R60" s="43">
        <f>(J60+K60+L60+M60+N60+O60)*$B$2</f>
        <v/>
      </c>
      <c r="S60" s="43" t="n"/>
      <c r="T60" s="43" t="n"/>
    </row>
    <row r="61" ht="12.75" customHeight="1">
      <c r="A61" s="40" t="inlineStr">
        <is>
          <t>T8</t>
        </is>
      </c>
      <c r="B61" s="40">
        <f>VLOOKUP(A61,Members!$A$2:$B$65,2,FALSE)</f>
        <v/>
      </c>
      <c r="C61" s="41" t="n">
        <v>0</v>
      </c>
      <c r="D61" s="41">
        <f>SUM($C$3:$C$5)/64</f>
        <v/>
      </c>
      <c r="E61" s="41">
        <f>C61+D61</f>
        <v/>
      </c>
      <c r="F61" s="41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$T$11/64</f>
        <v/>
      </c>
      <c r="L61" s="41" t="n">
        <v>0</v>
      </c>
      <c r="M61" s="41" t="n">
        <v>0</v>
      </c>
      <c r="N61" s="41" t="n">
        <v>0</v>
      </c>
      <c r="O61" s="41" t="n">
        <v>0</v>
      </c>
      <c r="P61" s="41" t="n"/>
      <c r="Q61" s="41" t="n"/>
      <c r="R61" s="41">
        <f>(J61+K61+L61+M61+N61+O61)*$B$2</f>
        <v/>
      </c>
      <c r="S61" s="41" t="n"/>
      <c r="T61" s="41" t="n"/>
    </row>
    <row r="62" ht="12.75" customHeight="1">
      <c r="A62" s="42" t="inlineStr">
        <is>
          <t>T9</t>
        </is>
      </c>
      <c r="B62" s="42">
        <f>VLOOKUP(A62,Members!$A$2:$B$65,2,FALSE)</f>
        <v/>
      </c>
      <c r="C62" s="43" t="n">
        <v>0</v>
      </c>
      <c r="D62" s="43">
        <f>SUM($C$3:$C$5)/64</f>
        <v/>
      </c>
      <c r="E62" s="43">
        <f>C62+D62</f>
        <v/>
      </c>
      <c r="F62" s="43">
        <f>IF($C$70=0, 0, E62/$C$70)</f>
        <v/>
      </c>
      <c r="G62" s="43">
        <f>F62*$T$5</f>
        <v/>
      </c>
      <c r="H62" s="43" t="n">
        <v>4</v>
      </c>
      <c r="I62" s="43">
        <f>$T$7*H62</f>
        <v/>
      </c>
      <c r="J62" s="43">
        <f>G62+$T$9+I62</f>
        <v/>
      </c>
      <c r="K62" s="43">
        <f>$T$11/64</f>
        <v/>
      </c>
      <c r="L62" s="43" t="n">
        <v>0</v>
      </c>
      <c r="M62" s="43" t="n">
        <v>0</v>
      </c>
      <c r="N62" s="43" t="n">
        <v>0</v>
      </c>
      <c r="O62" s="43" t="n">
        <v>0</v>
      </c>
      <c r="P62" s="43" t="n"/>
      <c r="Q62" s="43" t="n"/>
      <c r="R62" s="43">
        <f>(J62+K62+L62+M62+N62+O62)*$B$2</f>
        <v/>
      </c>
      <c r="S62" s="43" t="n"/>
      <c r="T62" s="43" t="n"/>
    </row>
    <row r="63" ht="12.75" customHeight="1">
      <c r="A63" s="40" t="inlineStr">
        <is>
          <t>T10</t>
        </is>
      </c>
      <c r="B63" s="40">
        <f>VLOOKUP(A63,Members!$A$2:$B$65,2,FALSE)</f>
        <v/>
      </c>
      <c r="C63" s="41" t="n">
        <v>0</v>
      </c>
      <c r="D63" s="41">
        <f>SUM($C$3:$C$5)/64</f>
        <v/>
      </c>
      <c r="E63" s="41">
        <f>C63+D63</f>
        <v/>
      </c>
      <c r="F63" s="41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$T$11/64</f>
        <v/>
      </c>
      <c r="L63" s="41" t="n">
        <v>0</v>
      </c>
      <c r="M63" s="41" t="n">
        <v>0</v>
      </c>
      <c r="N63" s="41" t="n">
        <v>0</v>
      </c>
      <c r="O63" s="41" t="n">
        <v>0</v>
      </c>
      <c r="P63" s="41" t="n"/>
      <c r="Q63" s="41" t="n"/>
      <c r="R63" s="41">
        <f>(J63+K63+L63+M63+N63+O63)*$B$2</f>
        <v/>
      </c>
      <c r="S63" s="41" t="n"/>
      <c r="T63" s="41" t="n"/>
    </row>
    <row r="64" ht="12.75" customHeight="1">
      <c r="A64" s="42" t="inlineStr">
        <is>
          <t>T11</t>
        </is>
      </c>
      <c r="B64" s="42">
        <f>VLOOKUP(A64,Members!$A$2:$B$65,2,FALSE)</f>
        <v/>
      </c>
      <c r="C64" s="43" t="n">
        <v>0</v>
      </c>
      <c r="D64" s="43">
        <f>SUM($C$3:$C$5)/64</f>
        <v/>
      </c>
      <c r="E64" s="43">
        <f>C64+D64</f>
        <v/>
      </c>
      <c r="F64" s="43">
        <f>IF($C$70=0, 0, E64/$C$70)</f>
        <v/>
      </c>
      <c r="G64" s="43">
        <f>F64*$T$5</f>
        <v/>
      </c>
      <c r="H64" s="43" t="n">
        <v>3</v>
      </c>
      <c r="I64" s="43">
        <f>$T$7*H64</f>
        <v/>
      </c>
      <c r="J64" s="43">
        <f>G64+$T$9+I64</f>
        <v/>
      </c>
      <c r="K64" s="43">
        <f>$T$11/64</f>
        <v/>
      </c>
      <c r="L64" s="43" t="n">
        <v>0</v>
      </c>
      <c r="M64" s="43" t="n">
        <v>0</v>
      </c>
      <c r="N64" s="43" t="n">
        <v>0</v>
      </c>
      <c r="O64" s="43" t="n">
        <v>0</v>
      </c>
      <c r="P64" s="43" t="n"/>
      <c r="Q64" s="43" t="n"/>
      <c r="R64" s="43">
        <f>(J64+K64+L64+M64+N64+O64)*$B$2</f>
        <v/>
      </c>
      <c r="S64" s="43" t="n"/>
      <c r="T64" s="43" t="n"/>
    </row>
    <row r="65" ht="12.75" customHeight="1">
      <c r="A65" s="40" t="inlineStr">
        <is>
          <t>T12</t>
        </is>
      </c>
      <c r="B65" s="40">
        <f>VLOOKUP(A65,Members!$A$2:$B$65,2,FALSE)</f>
        <v/>
      </c>
      <c r="C65" s="41" t="n">
        <v>0</v>
      </c>
      <c r="D65" s="41">
        <f>SUM($C$3:$C$5)/64</f>
        <v/>
      </c>
      <c r="E65" s="41">
        <f>C65+D65</f>
        <v/>
      </c>
      <c r="F65" s="41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$T$11/64</f>
        <v/>
      </c>
      <c r="L65" s="41" t="n">
        <v>0</v>
      </c>
      <c r="M65" s="41" t="n">
        <v>0</v>
      </c>
      <c r="N65" s="41" t="n">
        <v>0</v>
      </c>
      <c r="O65" s="41" t="n">
        <v>0</v>
      </c>
      <c r="P65" s="41" t="n"/>
      <c r="Q65" s="41" t="n"/>
      <c r="R65" s="41">
        <f>(J65+K65+L65+M65+N65+O65)*$B$2</f>
        <v/>
      </c>
      <c r="S65" s="41" t="n"/>
      <c r="T65" s="41" t="n"/>
    </row>
    <row r="66" ht="12.75" customHeight="1">
      <c r="A66" s="42" t="inlineStr">
        <is>
          <t>T13</t>
        </is>
      </c>
      <c r="B66" s="42">
        <f>VLOOKUP(A66,Members!$A$2:$B$65,2,FALSE)</f>
        <v/>
      </c>
      <c r="C66" s="43" t="n">
        <v>0</v>
      </c>
      <c r="D66" s="43">
        <f>SUM($C$3:$C$5)/64</f>
        <v/>
      </c>
      <c r="E66" s="43">
        <f>C66+D66</f>
        <v/>
      </c>
      <c r="F66" s="43">
        <f>IF($C$70=0, 0, E66/$C$70)</f>
        <v/>
      </c>
      <c r="G66" s="43">
        <f>F66*$T$5</f>
        <v/>
      </c>
      <c r="H66" s="43" t="n">
        <v>4</v>
      </c>
      <c r="I66" s="43">
        <f>$T$7*H66</f>
        <v/>
      </c>
      <c r="J66" s="43">
        <f>G66+$T$9+I66</f>
        <v/>
      </c>
      <c r="K66" s="43">
        <f>$T$11/64</f>
        <v/>
      </c>
      <c r="L66" s="43" t="n">
        <v>0</v>
      </c>
      <c r="M66" s="43" t="n">
        <v>0</v>
      </c>
      <c r="N66" s="43" t="n">
        <v>0</v>
      </c>
      <c r="O66" s="43" t="n">
        <v>0</v>
      </c>
      <c r="P66" s="43" t="n"/>
      <c r="Q66" s="43" t="n"/>
      <c r="R66" s="43">
        <f>(J66+K66+L66+M66+N66+O66)*$B$2</f>
        <v/>
      </c>
      <c r="S66" s="43" t="n"/>
      <c r="T66" s="43" t="n"/>
    </row>
    <row r="67" ht="12.75" customHeight="1">
      <c r="A67" s="40" t="inlineStr">
        <is>
          <t>T14</t>
        </is>
      </c>
      <c r="B67" s="40">
        <f>VLOOKUP(A67,Members!$A$2:$B$65,2,FALSE)</f>
        <v/>
      </c>
      <c r="C67" s="41" t="n">
        <v>0</v>
      </c>
      <c r="D67" s="41">
        <f>SUM($C$3:$C$5)/64</f>
        <v/>
      </c>
      <c r="E67" s="41">
        <f>C67+D67</f>
        <v/>
      </c>
      <c r="F67" s="41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$T$11/64</f>
        <v/>
      </c>
      <c r="L67" s="41" t="n">
        <v>0</v>
      </c>
      <c r="M67" s="41" t="n">
        <v>0</v>
      </c>
      <c r="N67" s="41" t="n">
        <v>0</v>
      </c>
      <c r="O67" s="41" t="n">
        <v>0</v>
      </c>
      <c r="P67" s="41" t="n"/>
      <c r="Q67" s="41" t="n"/>
      <c r="R67" s="41">
        <f>(J67+K67+L67+M67+N67+O67)*$B$2</f>
        <v/>
      </c>
      <c r="S67" s="41" t="n"/>
      <c r="T67" s="41" t="n"/>
    </row>
    <row r="68" ht="12.75" customHeight="1">
      <c r="A68" s="42" t="inlineStr">
        <is>
          <t>T15</t>
        </is>
      </c>
      <c r="B68" s="42">
        <f>VLOOKUP(A68,Members!$A$2:$B$65,2,FALSE)</f>
        <v/>
      </c>
      <c r="C68" s="43" t="n">
        <v>0</v>
      </c>
      <c r="D68" s="43">
        <f>SUM($C$3:$C$5)/64</f>
        <v/>
      </c>
      <c r="E68" s="43">
        <f>C68+D68</f>
        <v/>
      </c>
      <c r="F68" s="43">
        <f>IF($C$70=0, 0, E68/$C$70)</f>
        <v/>
      </c>
      <c r="G68" s="43">
        <f>F68*$T$5</f>
        <v/>
      </c>
      <c r="H68" s="43" t="n">
        <v>4</v>
      </c>
      <c r="I68" s="43">
        <f>$T$7*H68</f>
        <v/>
      </c>
      <c r="J68" s="43">
        <f>G68+$T$9+I68</f>
        <v/>
      </c>
      <c r="K68" s="43">
        <f>$T$11/64</f>
        <v/>
      </c>
      <c r="L68" s="43" t="n">
        <v>0</v>
      </c>
      <c r="M68" s="43" t="n">
        <v>0</v>
      </c>
      <c r="N68" s="43" t="n">
        <v>0</v>
      </c>
      <c r="O68" s="43" t="n">
        <v>0</v>
      </c>
      <c r="P68" s="43" t="n"/>
      <c r="Q68" s="43" t="n"/>
      <c r="R68" s="43">
        <f>(J68+K68+L68+M68+N68+O68)*$B$2</f>
        <v/>
      </c>
      <c r="S68" s="43" t="n"/>
      <c r="T68" s="43" t="n"/>
    </row>
    <row r="69" ht="12.75" customHeight="1">
      <c r="A69" s="40" t="inlineStr">
        <is>
          <t>T16</t>
        </is>
      </c>
      <c r="B69" s="40">
        <f>VLOOKUP(A69,Members!$A$2:$B$65,2,FALSE)</f>
        <v/>
      </c>
      <c r="C69" s="41" t="n">
        <v>0</v>
      </c>
      <c r="D69" s="41">
        <f>SUM($C$3:$C$5)/64</f>
        <v/>
      </c>
      <c r="E69" s="41">
        <f>C69+D69</f>
        <v/>
      </c>
      <c r="F69" s="41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$T$11/64</f>
        <v/>
      </c>
      <c r="L69" s="41" t="n">
        <v>0</v>
      </c>
      <c r="M69" s="41" t="n">
        <v>0</v>
      </c>
      <c r="N69" s="41" t="n">
        <v>0</v>
      </c>
      <c r="O69" s="41" t="n">
        <v>0</v>
      </c>
      <c r="P69" s="41" t="n"/>
      <c r="Q69" s="41" t="n"/>
      <c r="R69" s="41">
        <f>(J69+K69+L69+M69+N69+O69)*$B$2</f>
        <v/>
      </c>
      <c r="S69" s="41" t="n"/>
      <c r="T69" s="41" t="n"/>
    </row>
    <row r="70" ht="12.75" customHeight="1">
      <c r="A70" s="42" t="n"/>
      <c r="B70" s="42" t="inlineStr">
        <is>
          <t>TOTAL</t>
        </is>
      </c>
      <c r="C70" s="43">
        <f>SUM(C3:C69)</f>
        <v/>
      </c>
      <c r="D70" s="43">
        <f>SUM(D3:D69)</f>
        <v/>
      </c>
      <c r="E70" s="43">
        <f>SUM(E3:E69)</f>
        <v/>
      </c>
      <c r="F70" s="43">
        <f>IF($C$70=0, 0, E70/$C$70)</f>
        <v/>
      </c>
      <c r="G70" s="43">
        <f>SUM(G3:G69)</f>
        <v/>
      </c>
      <c r="H70" s="43">
        <f>SUM(H3:H69)</f>
        <v/>
      </c>
      <c r="I70" s="43">
        <f>SUM(I3:I69)</f>
        <v/>
      </c>
      <c r="J70" s="43">
        <f>SUM(J3:J69)</f>
        <v/>
      </c>
      <c r="K70" s="43">
        <f>SUM(K3:K69)</f>
        <v/>
      </c>
      <c r="L70" s="43">
        <f>SUM(L3:L69)</f>
        <v/>
      </c>
      <c r="M70" s="43">
        <f>SUM(M3:M69)</f>
        <v/>
      </c>
      <c r="N70" s="43">
        <f>SUM(N3:N69)</f>
        <v/>
      </c>
      <c r="O70" s="43">
        <f>SUM(O3:O69)</f>
        <v/>
      </c>
      <c r="P70" s="43" t="n"/>
      <c r="Q70" s="43" t="n"/>
      <c r="R70" s="43">
        <f>SUM(R3:R69)</f>
        <v/>
      </c>
      <c r="S70" s="43" t="n"/>
      <c r="T70" s="43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min="1" max="1"/>
    <col width="64.28515625" customWidth="1" min="2" max="2"/>
  </cols>
  <sheetData>
    <row r="1">
      <c r="A1" s="39" t="inlineStr">
        <is>
          <t>FLAT #</t>
        </is>
      </c>
      <c r="B1" s="39" t="n"/>
      <c r="C1" s="39" t="inlineStr">
        <is>
          <t>Amount</t>
        </is>
      </c>
      <c r="D1" s="66" t="inlineStr">
        <is>
          <t>Date</t>
        </is>
      </c>
      <c r="E1" s="39" t="inlineStr">
        <is>
          <t>Amount</t>
        </is>
      </c>
      <c r="F1" s="66" t="inlineStr">
        <is>
          <t>Date</t>
        </is>
      </c>
      <c r="G1" s="39" t="inlineStr">
        <is>
          <t>Amount</t>
        </is>
      </c>
      <c r="H1" s="57" t="inlineStr">
        <is>
          <t>Date</t>
        </is>
      </c>
      <c r="I1" s="39" t="inlineStr">
        <is>
          <t>Amount</t>
        </is>
      </c>
      <c r="J1" s="100" t="inlineStr">
        <is>
          <t>Date</t>
        </is>
      </c>
      <c r="K1" s="100" t="inlineStr">
        <is>
          <t>Total</t>
        </is>
      </c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  <c r="AA1" s="100" t="n"/>
    </row>
    <row r="2" ht="15" customHeight="1">
      <c r="A2" s="42" t="inlineStr">
        <is>
          <t>F1</t>
        </is>
      </c>
      <c r="B2" s="42">
        <f>VLOOKUP(A2,Members!$A$2:$B$65,2,FALSE)</f>
        <v/>
      </c>
      <c r="C2" s="47" t="n"/>
      <c r="D2" s="50" t="n"/>
      <c r="E2" s="47" t="n"/>
      <c r="F2" s="50" t="n"/>
      <c r="G2" s="47" t="n"/>
      <c r="H2" s="58" t="n"/>
      <c r="I2" s="47" t="n"/>
      <c r="J2" s="47" t="n"/>
      <c r="K2" s="47">
        <f>SUM(C2,E2,G2,I2)</f>
        <v/>
      </c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</row>
    <row r="3" ht="15" customHeight="1">
      <c r="A3" s="40" t="inlineStr">
        <is>
          <t>F2</t>
        </is>
      </c>
      <c r="B3" s="40">
        <f>VLOOKUP(A3,Members!$A$2:$B$65,2,FALSE)</f>
        <v/>
      </c>
      <c r="C3" s="104" t="n"/>
      <c r="D3" s="53" t="n"/>
      <c r="E3" s="104" t="n"/>
      <c r="F3" s="53" t="n"/>
      <c r="G3" s="104" t="n"/>
      <c r="H3" s="59" t="n"/>
      <c r="I3" s="104" t="n"/>
      <c r="J3" s="104" t="n"/>
      <c r="K3" s="104">
        <f>SUM(C3,E3,G3,I3)</f>
        <v/>
      </c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</row>
    <row r="4" ht="15" customHeight="1">
      <c r="A4" s="42" t="inlineStr">
        <is>
          <t>F3</t>
        </is>
      </c>
      <c r="B4" s="42">
        <f>VLOOKUP(A4,Members!$A$2:$B$65,2,FALSE)</f>
        <v/>
      </c>
      <c r="C4" s="43" t="n"/>
      <c r="D4" s="50" t="n"/>
      <c r="E4" s="43" t="n"/>
      <c r="F4" s="50" t="n"/>
      <c r="G4" s="47" t="n"/>
      <c r="H4" s="58" t="n"/>
      <c r="I4" s="47" t="n"/>
      <c r="J4" s="47" t="n"/>
      <c r="K4" s="43">
        <f>SUM(C4,E4,G4,I4)</f>
        <v/>
      </c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</row>
    <row r="5" ht="15" customHeight="1">
      <c r="A5" s="40" t="inlineStr">
        <is>
          <t>F4</t>
        </is>
      </c>
      <c r="B5" s="40">
        <f>VLOOKUP(A5,Members!$A$2:$B$65,2,FALSE)</f>
        <v/>
      </c>
      <c r="C5" s="41" t="n"/>
      <c r="D5" s="53" t="n"/>
      <c r="E5" s="104" t="n"/>
      <c r="F5" s="53" t="n"/>
      <c r="G5" s="104" t="n"/>
      <c r="H5" s="59" t="n"/>
      <c r="I5" s="104" t="n"/>
      <c r="J5" s="104" t="n"/>
      <c r="K5" s="41">
        <f>SUM(C5,E5,G5,I5)</f>
        <v/>
      </c>
      <c r="L5" s="104" t="n"/>
      <c r="M5" s="104" t="n"/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</row>
    <row r="6" ht="15" customHeight="1">
      <c r="A6" s="42" t="inlineStr">
        <is>
          <t>F5</t>
        </is>
      </c>
      <c r="B6" s="42">
        <f>VLOOKUP(A6,Members!$A$2:$B$65,2,FALSE)</f>
        <v/>
      </c>
      <c r="C6" s="47" t="n"/>
      <c r="D6" s="50" t="n"/>
      <c r="E6" s="47" t="n"/>
      <c r="F6" s="50" t="n"/>
      <c r="G6" s="47" t="n"/>
      <c r="H6" s="58" t="n"/>
      <c r="I6" s="47" t="n"/>
      <c r="J6" s="47" t="n"/>
      <c r="K6" s="47">
        <f>SUM(C6,E6,G6,I6)</f>
        <v/>
      </c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  <c r="AA6" s="47" t="n"/>
    </row>
    <row r="7" ht="15" customHeight="1">
      <c r="A7" s="40" t="inlineStr">
        <is>
          <t>F6</t>
        </is>
      </c>
      <c r="B7" s="40">
        <f>VLOOKUP(A7,Members!$A$2:$B$65,2,FALSE)</f>
        <v/>
      </c>
      <c r="C7" s="104" t="n"/>
      <c r="D7" s="104" t="n"/>
      <c r="E7" s="104" t="n"/>
      <c r="F7" s="53" t="n"/>
      <c r="G7" s="104" t="n"/>
      <c r="H7" s="59" t="n"/>
      <c r="I7" s="104" t="n"/>
      <c r="J7" s="104" t="n"/>
      <c r="K7" s="104">
        <f>SUM(C7,E7,G7,I7)</f>
        <v/>
      </c>
      <c r="L7" s="104" t="n"/>
      <c r="M7" s="104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</row>
    <row r="8" ht="15" customHeight="1">
      <c r="A8" s="42" t="inlineStr">
        <is>
          <t>F7</t>
        </is>
      </c>
      <c r="B8" s="42">
        <f>VLOOKUP(A8,Members!$A$2:$B$65,2,FALSE)</f>
        <v/>
      </c>
      <c r="C8" s="43" t="n"/>
      <c r="D8" s="50" t="n"/>
      <c r="E8" s="47" t="n"/>
      <c r="F8" s="50" t="n"/>
      <c r="G8" s="47" t="n"/>
      <c r="H8" s="58" t="n"/>
      <c r="I8" s="47" t="n"/>
      <c r="J8" s="47" t="n"/>
      <c r="K8" s="43">
        <f>SUM(C8,E8,G8,I8)</f>
        <v/>
      </c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  <c r="AA8" s="47" t="n"/>
    </row>
    <row r="9" ht="15" customHeight="1">
      <c r="A9" s="40" t="inlineStr">
        <is>
          <t>F8</t>
        </is>
      </c>
      <c r="B9" s="40">
        <f>VLOOKUP(A9,Members!$A$2:$B$65,2,FALSE)</f>
        <v/>
      </c>
      <c r="C9" s="104" t="n"/>
      <c r="D9" s="52" t="n"/>
      <c r="E9" s="104" t="n"/>
      <c r="F9" s="53" t="n"/>
      <c r="G9" s="104" t="n"/>
      <c r="H9" s="59" t="n"/>
      <c r="I9" s="104" t="n"/>
      <c r="J9" s="104" t="n"/>
      <c r="K9" s="104">
        <f>SUM(C9,E9,G9,I9)</f>
        <v/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</row>
    <row r="10" ht="15" customHeight="1">
      <c r="A10" s="42" t="inlineStr">
        <is>
          <t>F9</t>
        </is>
      </c>
      <c r="B10" s="42">
        <f>VLOOKUP(A10,Members!$A$2:$B$65,2,FALSE)</f>
        <v/>
      </c>
      <c r="C10" s="47" t="n"/>
      <c r="D10" s="51" t="n"/>
      <c r="E10" s="47" t="n"/>
      <c r="F10" s="50" t="n"/>
      <c r="G10" s="47" t="n"/>
      <c r="H10" s="58" t="n"/>
      <c r="I10" s="47" t="n"/>
      <c r="J10" s="47" t="n"/>
      <c r="K10" s="47">
        <f>SUM(C10,E10,G10,I10)</f>
        <v/>
      </c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  <c r="AA10" s="47" t="n"/>
    </row>
    <row r="11" ht="15" customHeight="1">
      <c r="A11" s="40" t="inlineStr">
        <is>
          <t>F10</t>
        </is>
      </c>
      <c r="B11" s="40">
        <f>VLOOKUP(A11,Members!$A$2:$B$65,2,FALSE)</f>
        <v/>
      </c>
      <c r="C11" s="104" t="n"/>
      <c r="D11" s="104" t="n"/>
      <c r="E11" s="104" t="n"/>
      <c r="F11" s="53" t="n"/>
      <c r="G11" s="104" t="n"/>
      <c r="H11" s="59" t="n"/>
      <c r="I11" s="104" t="n"/>
      <c r="J11" s="104" t="n"/>
      <c r="K11" s="104">
        <f>SUM(C11,E11,G11,I11)</f>
        <v/>
      </c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</row>
    <row r="12" ht="15" customHeight="1">
      <c r="A12" s="42" t="inlineStr">
        <is>
          <t>F11</t>
        </is>
      </c>
      <c r="B12" s="42">
        <f>VLOOKUP(A12,Members!$A$2:$B$65,2,FALSE)</f>
        <v/>
      </c>
      <c r="C12" s="43" t="n"/>
      <c r="D12" s="50" t="n"/>
      <c r="E12" s="47" t="n"/>
      <c r="F12" s="50" t="n"/>
      <c r="G12" s="47" t="n"/>
      <c r="H12" s="58" t="n"/>
      <c r="I12" s="47" t="n"/>
      <c r="J12" s="47" t="n"/>
      <c r="K12" s="43">
        <f>SUM(C12,E12,G12,I12)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</row>
    <row r="13" ht="15" customHeight="1">
      <c r="A13" s="40" t="inlineStr">
        <is>
          <t>F12</t>
        </is>
      </c>
      <c r="B13" s="40">
        <f>VLOOKUP(A13,Members!$A$2:$B$65,2,FALSE)</f>
        <v/>
      </c>
      <c r="C13" s="41" t="n"/>
      <c r="D13" s="53" t="n"/>
      <c r="E13" s="104" t="n"/>
      <c r="F13" s="53" t="n"/>
      <c r="G13" s="104" t="n"/>
      <c r="H13" s="59" t="n"/>
      <c r="I13" s="104" t="n"/>
      <c r="J13" s="104" t="n"/>
      <c r="K13" s="41">
        <f>SUM(C13,E13,G13,I13)</f>
        <v/>
      </c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</row>
    <row r="14" ht="15" customHeight="1">
      <c r="A14" s="42" t="inlineStr">
        <is>
          <t>F13</t>
        </is>
      </c>
      <c r="B14" s="42">
        <f>VLOOKUP(A14,Members!$A$2:$B$65,2,FALSE)</f>
        <v/>
      </c>
      <c r="C14" s="47" t="n"/>
      <c r="D14" s="50" t="n"/>
      <c r="E14" s="47" t="n"/>
      <c r="F14" s="50" t="n"/>
      <c r="G14" s="47" t="n"/>
      <c r="H14" s="58" t="n"/>
      <c r="I14" s="47" t="n"/>
      <c r="J14" s="47" t="n"/>
      <c r="K14" s="47">
        <f>SUM(C14,E14,G14,I14)</f>
        <v/>
      </c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  <c r="AA14" s="47" t="n"/>
    </row>
    <row r="15" ht="15" customHeight="1">
      <c r="A15" s="40" t="inlineStr">
        <is>
          <t>F14</t>
        </is>
      </c>
      <c r="B15" s="40">
        <f>VLOOKUP(A15,Members!$A$2:$B$65,2,FALSE)</f>
        <v/>
      </c>
      <c r="C15" s="104" t="n"/>
      <c r="D15" s="52" t="n"/>
      <c r="E15" s="104" t="n"/>
      <c r="F15" s="53" t="n"/>
      <c r="G15" s="104" t="n"/>
      <c r="H15" s="59" t="n"/>
      <c r="I15" s="104" t="n"/>
      <c r="J15" s="104" t="n"/>
      <c r="K15" s="104">
        <f>SUM(C15,E15,G15,I15)</f>
        <v/>
      </c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</row>
    <row r="16" ht="15" customHeight="1">
      <c r="A16" s="42" t="inlineStr">
        <is>
          <t>F15</t>
        </is>
      </c>
      <c r="B16" s="42">
        <f>VLOOKUP(A16,Members!$A$2:$B$65,2,FALSE)</f>
        <v/>
      </c>
      <c r="C16" s="47" t="n"/>
      <c r="D16" s="51" t="n"/>
      <c r="E16" s="47" t="n"/>
      <c r="F16" s="50" t="n"/>
      <c r="G16" s="47" t="n"/>
      <c r="H16" s="58" t="n"/>
      <c r="I16" s="47" t="n"/>
      <c r="J16" s="47" t="n"/>
      <c r="K16" s="47">
        <f>SUM(C16,E16,G16,I16)</f>
        <v/>
      </c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  <c r="AA16" s="47" t="n"/>
    </row>
    <row r="17" ht="15" customHeight="1">
      <c r="A17" s="40" t="inlineStr">
        <is>
          <t>F16</t>
        </is>
      </c>
      <c r="B17" s="40">
        <f>VLOOKUP(A17,Members!$A$2:$B$65,2,FALSE)</f>
        <v/>
      </c>
      <c r="C17" s="104" t="n"/>
      <c r="D17" s="53" t="n"/>
      <c r="E17" s="104" t="n"/>
      <c r="F17" s="53" t="n"/>
      <c r="G17" s="104" t="n"/>
      <c r="H17" s="59" t="n"/>
      <c r="I17" s="104" t="n"/>
      <c r="J17" s="104" t="n"/>
      <c r="K17" s="104">
        <f>SUM(C17,E17,G17,I17)</f>
        <v/>
      </c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</row>
    <row r="18" ht="15" customHeight="1">
      <c r="A18" s="42" t="inlineStr">
        <is>
          <t>G1</t>
        </is>
      </c>
      <c r="B18" s="42">
        <f>VLOOKUP(A18,Members!$A$2:$B$65,2,FALSE)</f>
        <v/>
      </c>
      <c r="C18" s="47" t="n"/>
      <c r="D18" s="47" t="n"/>
      <c r="E18" s="43" t="n"/>
      <c r="F18" s="50" t="n"/>
      <c r="G18" s="47" t="n"/>
      <c r="H18" s="58" t="n"/>
      <c r="I18" s="47" t="n"/>
      <c r="J18" s="47" t="n"/>
      <c r="K18" s="47">
        <f>SUM(C18,E18,G18,I18)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</row>
    <row r="19" ht="15" customHeight="1">
      <c r="A19" s="40" t="inlineStr">
        <is>
          <t>G2</t>
        </is>
      </c>
      <c r="B19" s="40">
        <f>VLOOKUP(A19,Members!$A$2:$B$65,2,FALSE)</f>
        <v/>
      </c>
      <c r="C19" s="41" t="n"/>
      <c r="D19" s="53" t="n"/>
      <c r="E19" s="104" t="n"/>
      <c r="F19" s="53" t="n"/>
      <c r="G19" s="104" t="n"/>
      <c r="H19" s="59" t="n"/>
      <c r="I19" s="104" t="n"/>
      <c r="J19" s="104" t="n"/>
      <c r="K19" s="41">
        <f>SUM(C19,E19,G19,I19)</f>
        <v/>
      </c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</row>
    <row r="20" ht="15" customHeight="1">
      <c r="A20" s="42" t="inlineStr">
        <is>
          <t>G3</t>
        </is>
      </c>
      <c r="B20" s="42">
        <f>VLOOKUP(A20,Members!$A$2:$B$65,2,FALSE)</f>
        <v/>
      </c>
      <c r="C20" s="43" t="n"/>
      <c r="D20" s="50" t="n"/>
      <c r="E20" s="47" t="n"/>
      <c r="F20" s="50" t="n"/>
      <c r="G20" s="47" t="n"/>
      <c r="H20" s="58" t="n"/>
      <c r="I20" s="47" t="n"/>
      <c r="J20" s="47" t="n"/>
      <c r="K20" s="43">
        <f>SUM(C20,E20,G20,I20)</f>
        <v/>
      </c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</row>
    <row r="21" ht="15" customHeight="1">
      <c r="A21" s="40" t="inlineStr">
        <is>
          <t>G4</t>
        </is>
      </c>
      <c r="B21" s="40">
        <f>VLOOKUP(A21,Members!$A$2:$B$65,2,FALSE)</f>
        <v/>
      </c>
      <c r="C21" s="41" t="n"/>
      <c r="D21" s="53" t="n"/>
      <c r="E21" s="104" t="n"/>
      <c r="F21" s="53" t="n"/>
      <c r="G21" s="104" t="n"/>
      <c r="H21" s="59" t="n"/>
      <c r="I21" s="104" t="n"/>
      <c r="J21" s="104" t="n"/>
      <c r="K21" s="41">
        <f>SUM(C21,E21,G21,I21)</f>
        <v/>
      </c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</row>
    <row r="22" ht="15.95" customHeight="1">
      <c r="A22" s="42" t="inlineStr">
        <is>
          <t>G5</t>
        </is>
      </c>
      <c r="B22" s="42">
        <f>VLOOKUP(A22,Members!$A$2:$B$65,2,FALSE)</f>
        <v/>
      </c>
      <c r="C22" s="43" t="n"/>
      <c r="D22" s="50" t="n"/>
      <c r="E22" s="47" t="n"/>
      <c r="F22" s="50" t="n"/>
      <c r="G22" s="47" t="n"/>
      <c r="H22" s="58" t="n"/>
      <c r="I22" s="47" t="n"/>
      <c r="J22" s="47" t="n"/>
      <c r="K22" s="43">
        <f>SUM(C22,E22,G22,I22)</f>
        <v/>
      </c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</row>
    <row r="23" ht="15.95" customHeight="1">
      <c r="A23" s="40" t="inlineStr">
        <is>
          <t>G6</t>
        </is>
      </c>
      <c r="B23" s="40">
        <f>VLOOKUP(A23,Members!$A$2:$B$65,2,FALSE)</f>
        <v/>
      </c>
      <c r="C23" s="104" t="n"/>
      <c r="D23" s="53" t="n"/>
      <c r="E23" s="104" t="n"/>
      <c r="F23" s="53" t="n"/>
      <c r="G23" s="104" t="n"/>
      <c r="H23" s="59" t="n"/>
      <c r="I23" s="104" t="n"/>
      <c r="J23" s="104" t="n"/>
      <c r="K23" s="104">
        <f>SUM(C23,E23,G23,I23)</f>
        <v/>
      </c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</row>
    <row r="24" ht="15.95" customHeight="1">
      <c r="A24" s="42" t="inlineStr">
        <is>
          <t>G7</t>
        </is>
      </c>
      <c r="B24" s="42">
        <f>VLOOKUP(A24,Members!$A$2:$B$65,2,FALSE)</f>
        <v/>
      </c>
      <c r="C24" s="47" t="n"/>
      <c r="D24" s="51" t="n"/>
      <c r="E24" s="47" t="n"/>
      <c r="F24" s="50" t="n"/>
      <c r="G24" s="47" t="n"/>
      <c r="H24" s="58" t="n"/>
      <c r="I24" s="47" t="n"/>
      <c r="J24" s="47" t="n"/>
      <c r="K24" s="47">
        <f>SUM(C24,E24,G24,I24)</f>
        <v/>
      </c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</row>
    <row r="25" ht="15.95" customHeight="1">
      <c r="A25" s="40" t="inlineStr">
        <is>
          <t>G8</t>
        </is>
      </c>
      <c r="B25" s="40">
        <f>VLOOKUP(A25,Members!$A$2:$B$65,2,FALSE)</f>
        <v/>
      </c>
      <c r="C25" s="104" t="n"/>
      <c r="D25" s="53" t="n"/>
      <c r="E25" s="104" t="n"/>
      <c r="F25" s="53" t="n"/>
      <c r="G25" s="104" t="n"/>
      <c r="H25" s="59" t="n"/>
      <c r="I25" s="104" t="n"/>
      <c r="J25" s="104" t="n"/>
      <c r="K25" s="104">
        <f>SUM(C25,E25,G25,I25)</f>
        <v/>
      </c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</row>
    <row r="26" ht="15.95" customHeight="1">
      <c r="A26" s="42" t="inlineStr">
        <is>
          <t>G9</t>
        </is>
      </c>
      <c r="B26" s="42">
        <f>VLOOKUP(A26,Members!$A$2:$B$65,2,FALSE)</f>
        <v/>
      </c>
      <c r="C26" s="43" t="n"/>
      <c r="D26" s="50" t="n"/>
      <c r="E26" s="47" t="n"/>
      <c r="F26" s="50" t="n"/>
      <c r="G26" s="47" t="n"/>
      <c r="H26" s="58" t="n"/>
      <c r="I26" s="47" t="n"/>
      <c r="J26" s="47" t="n"/>
      <c r="K26" s="43">
        <f>SUM(C26,E26,G26,I26)</f>
        <v/>
      </c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</row>
    <row r="27" ht="15.95" customHeight="1">
      <c r="A27" s="40" t="inlineStr">
        <is>
          <t>G10</t>
        </is>
      </c>
      <c r="B27" s="40">
        <f>VLOOKUP(A27,Members!$A$2:$B$65,2,FALSE)</f>
        <v/>
      </c>
      <c r="C27" s="41" t="n"/>
      <c r="D27" s="53" t="n"/>
      <c r="E27" s="104" t="n"/>
      <c r="F27" s="53" t="n"/>
      <c r="G27" s="104" t="n"/>
      <c r="H27" s="59" t="n"/>
      <c r="I27" s="104" t="n"/>
      <c r="J27" s="104" t="n"/>
      <c r="K27" s="41">
        <f>SUM(C27,E27,G27,I27)</f>
        <v/>
      </c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</row>
    <row r="28" ht="15.95" customHeight="1">
      <c r="A28" s="42" t="inlineStr">
        <is>
          <t>G11</t>
        </is>
      </c>
      <c r="B28" s="42">
        <f>VLOOKUP(A28,Members!$A$2:$B$65,2,FALSE)</f>
        <v/>
      </c>
      <c r="C28" s="47" t="n"/>
      <c r="D28" s="51" t="n"/>
      <c r="E28" s="47" t="n"/>
      <c r="F28" s="50" t="n"/>
      <c r="G28" s="47" t="n"/>
      <c r="H28" s="58" t="n"/>
      <c r="I28" s="47" t="n"/>
      <c r="J28" s="47" t="n"/>
      <c r="K28" s="47">
        <f>SUM(C28,E28,G28,I28)</f>
        <v/>
      </c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</row>
    <row r="29" ht="15.95" customHeight="1">
      <c r="A29" s="40" t="inlineStr">
        <is>
          <t>G12</t>
        </is>
      </c>
      <c r="B29" s="40">
        <f>VLOOKUP(A29,Members!$A$2:$B$65,2,FALSE)</f>
        <v/>
      </c>
      <c r="C29" s="41" t="n"/>
      <c r="D29" s="52" t="n"/>
      <c r="E29" s="104" t="n"/>
      <c r="F29" s="53" t="n"/>
      <c r="G29" s="104" t="n"/>
      <c r="H29" s="59" t="n"/>
      <c r="I29" s="104" t="n"/>
      <c r="J29" s="104" t="n"/>
      <c r="K29" s="41">
        <f>SUM(C29,E29,G29,I29)</f>
        <v/>
      </c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</row>
    <row r="30" ht="15.95" customHeight="1">
      <c r="A30" s="42" t="inlineStr">
        <is>
          <t>G13</t>
        </is>
      </c>
      <c r="B30" s="42">
        <f>VLOOKUP(A30,Members!$A$2:$B$65,2,FALSE)</f>
        <v/>
      </c>
      <c r="C30" s="47" t="n"/>
      <c r="D30" s="50" t="n"/>
      <c r="E30" s="47" t="n"/>
      <c r="F30" s="50" t="n"/>
      <c r="G30" s="47" t="n"/>
      <c r="H30" s="58" t="n"/>
      <c r="I30" s="47" t="n"/>
      <c r="J30" s="47" t="n"/>
      <c r="K30" s="47">
        <f>SUM(C30,E30,G30,I30)</f>
        <v/>
      </c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</row>
    <row r="31" ht="15.95" customHeight="1">
      <c r="A31" s="40" t="inlineStr">
        <is>
          <t>G14</t>
        </is>
      </c>
      <c r="B31" s="40">
        <f>VLOOKUP(A31,Members!$A$2:$B$65,2,FALSE)</f>
        <v/>
      </c>
      <c r="C31" s="104" t="n"/>
      <c r="D31" s="52" t="n"/>
      <c r="E31" s="104" t="n"/>
      <c r="F31" s="53" t="n"/>
      <c r="G31" s="104" t="n"/>
      <c r="H31" s="59" t="n"/>
      <c r="I31" s="104" t="n"/>
      <c r="J31" s="104" t="n"/>
      <c r="K31" s="104">
        <f>SUM(C31,E31,G31,I31)</f>
        <v/>
      </c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</row>
    <row r="32" ht="15.95" customHeight="1">
      <c r="A32" s="42" t="inlineStr">
        <is>
          <t>G15</t>
        </is>
      </c>
      <c r="B32" s="42">
        <f>VLOOKUP(A32,Members!$A$2:$B$65,2,FALSE)</f>
        <v/>
      </c>
      <c r="C32" s="43" t="n"/>
      <c r="D32" s="50" t="n"/>
      <c r="E32" s="47" t="n"/>
      <c r="F32" s="50" t="n"/>
      <c r="G32" s="47" t="n"/>
      <c r="H32" s="58" t="n"/>
      <c r="I32" s="47" t="n"/>
      <c r="J32" s="47" t="n"/>
      <c r="K32" s="43">
        <f>SUM(C32,E32,G32,I32)</f>
        <v/>
      </c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</row>
    <row r="33" ht="15.95" customHeight="1">
      <c r="A33" s="40" t="inlineStr">
        <is>
          <t>G16</t>
        </is>
      </c>
      <c r="B33" s="40">
        <f>VLOOKUP(A33,Members!$A$2:$B$65,2,FALSE)</f>
        <v/>
      </c>
      <c r="C33" s="104" t="n"/>
      <c r="D33" s="53" t="n"/>
      <c r="E33" s="104" t="n"/>
      <c r="F33" s="53" t="n"/>
      <c r="G33" s="104" t="n"/>
      <c r="H33" s="59" t="n"/>
      <c r="I33" s="104" t="n"/>
      <c r="J33" s="104" t="n"/>
      <c r="K33" s="104">
        <f>SUM(C33,E33,G33,I33)</f>
        <v/>
      </c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</row>
    <row r="34" ht="15.95" customHeight="1">
      <c r="A34" s="42" t="inlineStr">
        <is>
          <t>S1</t>
        </is>
      </c>
      <c r="B34" s="42">
        <f>VLOOKUP(A34,Members!$A$2:$B$65,2,FALSE)</f>
        <v/>
      </c>
      <c r="C34" s="43" t="n"/>
      <c r="D34" s="50" t="n"/>
      <c r="E34" s="47" t="n"/>
      <c r="F34" s="50" t="n"/>
      <c r="G34" s="47" t="n"/>
      <c r="H34" s="58" t="n"/>
      <c r="I34" s="47" t="n"/>
      <c r="J34" s="47" t="n"/>
      <c r="K34" s="43">
        <f>SUM(C34,E34,G34,I34)</f>
        <v/>
      </c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  <c r="AA34" s="47" t="n"/>
    </row>
    <row r="35" ht="15.95" customHeight="1">
      <c r="A35" s="40" t="inlineStr">
        <is>
          <t>S2</t>
        </is>
      </c>
      <c r="B35" s="40">
        <f>VLOOKUP(A35,Members!$A$2:$B$65,2,FALSE)</f>
        <v/>
      </c>
      <c r="C35" s="41" t="n"/>
      <c r="D35" s="53" t="n"/>
      <c r="E35" s="104" t="n"/>
      <c r="F35" s="53" t="n"/>
      <c r="G35" s="104" t="n"/>
      <c r="H35" s="59" t="n"/>
      <c r="I35" s="104" t="n"/>
      <c r="J35" s="104" t="n"/>
      <c r="K35" s="41">
        <f>SUM(C35,E35,G35,I35)</f>
        <v/>
      </c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</row>
    <row r="36" ht="15.95" customHeight="1">
      <c r="A36" s="42" t="inlineStr">
        <is>
          <t>S3</t>
        </is>
      </c>
      <c r="B36" s="42">
        <f>VLOOKUP(A36,Members!$A$2:$B$65,2,FALSE)</f>
        <v/>
      </c>
      <c r="C36" s="47" t="n"/>
      <c r="D36" s="51" t="n"/>
      <c r="E36" s="47" t="n"/>
      <c r="F36" s="50" t="n"/>
      <c r="G36" s="47" t="n"/>
      <c r="H36" s="58" t="n"/>
      <c r="I36" s="47" t="n"/>
      <c r="J36" s="47" t="n"/>
      <c r="K36" s="47">
        <f>SUM(C36,E36,G36,I36)</f>
        <v/>
      </c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</row>
    <row r="37" ht="15.95" customHeight="1">
      <c r="A37" s="40" t="inlineStr">
        <is>
          <t>S4</t>
        </is>
      </c>
      <c r="B37" s="40">
        <f>VLOOKUP(A37,Members!$A$2:$B$65,2,FALSE)</f>
        <v/>
      </c>
      <c r="C37" s="41" t="n"/>
      <c r="D37" s="53" t="n"/>
      <c r="E37" s="104" t="n"/>
      <c r="F37" s="53" t="n"/>
      <c r="G37" s="104" t="n"/>
      <c r="H37" s="59" t="n"/>
      <c r="I37" s="104" t="n"/>
      <c r="J37" s="104" t="n"/>
      <c r="K37" s="41">
        <f>SUM(C37,E37,G37,I37)</f>
        <v/>
      </c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</row>
    <row r="38" ht="15.95" customHeight="1">
      <c r="A38" s="42" t="inlineStr">
        <is>
          <t>S5</t>
        </is>
      </c>
      <c r="B38" s="42">
        <f>VLOOKUP(A38,Members!$A$2:$B$65,2,FALSE)</f>
        <v/>
      </c>
      <c r="C38" s="47" t="n"/>
      <c r="D38" s="47" t="n"/>
      <c r="E38" s="47" t="n"/>
      <c r="F38" s="50" t="n"/>
      <c r="G38" s="47" t="n"/>
      <c r="H38" s="58" t="n"/>
      <c r="I38" s="47" t="n"/>
      <c r="J38" s="47" t="n"/>
      <c r="K38" s="47">
        <f>SUM(C38,E38,G38,I38)</f>
        <v/>
      </c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</row>
    <row r="39" ht="15.95" customHeight="1">
      <c r="A39" s="40" t="inlineStr">
        <is>
          <t>S6</t>
        </is>
      </c>
      <c r="B39" s="40">
        <f>VLOOKUP(A39,Members!$A$2:$B$65,2,FALSE)</f>
        <v/>
      </c>
      <c r="C39" s="104" t="n"/>
      <c r="D39" s="53" t="n"/>
      <c r="E39" s="104" t="n"/>
      <c r="F39" s="53" t="n"/>
      <c r="G39" s="104" t="n"/>
      <c r="H39" s="59" t="n"/>
      <c r="I39" s="104" t="n"/>
      <c r="J39" s="104" t="n"/>
      <c r="K39" s="104">
        <f>SUM(C39,E39,G39,I39)</f>
        <v/>
      </c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</row>
    <row r="40" ht="15.95" customHeight="1">
      <c r="A40" s="42" t="inlineStr">
        <is>
          <t>S7</t>
        </is>
      </c>
      <c r="B40" s="42">
        <f>VLOOKUP(A40,Members!$A$2:$B$65,2,FALSE)</f>
        <v/>
      </c>
      <c r="C40" s="47" t="n"/>
      <c r="D40" s="51" t="n"/>
      <c r="E40" s="47" t="n"/>
      <c r="F40" s="50" t="n"/>
      <c r="G40" s="47" t="n"/>
      <c r="H40" s="58" t="n"/>
      <c r="I40" s="47" t="n"/>
      <c r="J40" s="47" t="n"/>
      <c r="K40" s="47">
        <f>SUM(C40,E40,G40,I40)</f>
        <v/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  <c r="AA40" s="47" t="n"/>
    </row>
    <row r="41" ht="15.95" customHeight="1">
      <c r="A41" s="40" t="inlineStr">
        <is>
          <t>S8</t>
        </is>
      </c>
      <c r="B41" s="40">
        <f>VLOOKUP(A41,Members!$A$2:$B$65,2,FALSE)</f>
        <v/>
      </c>
      <c r="C41" s="41" t="n"/>
      <c r="D41" s="53" t="n"/>
      <c r="E41" s="104" t="n"/>
      <c r="F41" s="53" t="n"/>
      <c r="G41" s="104" t="n"/>
      <c r="H41" s="59" t="n"/>
      <c r="I41" s="104" t="n"/>
      <c r="J41" s="104" t="n"/>
      <c r="K41" s="41">
        <f>SUM(C41,E41,G41,I41)</f>
        <v/>
      </c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</row>
    <row r="42" ht="15.95" customHeight="1">
      <c r="A42" s="42" t="inlineStr">
        <is>
          <t>S9</t>
        </is>
      </c>
      <c r="B42" s="42">
        <f>VLOOKUP(A42,Members!$A$2:$B$65,2,FALSE)</f>
        <v/>
      </c>
      <c r="C42" s="43" t="n"/>
      <c r="D42" s="50" t="n"/>
      <c r="E42" s="47" t="n"/>
      <c r="F42" s="50" t="n"/>
      <c r="G42" s="47" t="n"/>
      <c r="H42" s="58" t="n"/>
      <c r="I42" s="47" t="n"/>
      <c r="J42" s="47" t="n"/>
      <c r="K42" s="43">
        <f>SUM(C42,E42,G42,I42)</f>
        <v/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</row>
    <row r="43" ht="15.95" customHeight="1">
      <c r="A43" s="40" t="inlineStr">
        <is>
          <t>S10</t>
        </is>
      </c>
      <c r="B43" s="40">
        <f>VLOOKUP(A43,Members!$A$2:$B$65,2,FALSE)</f>
        <v/>
      </c>
      <c r="C43" s="41" t="n"/>
      <c r="D43" s="53" t="n"/>
      <c r="E43" s="104" t="n"/>
      <c r="F43" s="53" t="n"/>
      <c r="G43" s="104" t="n"/>
      <c r="H43" s="59" t="n"/>
      <c r="I43" s="104" t="n"/>
      <c r="J43" s="104" t="n"/>
      <c r="K43" s="41">
        <f>SUM(C43,E43,G43,I43)</f>
        <v/>
      </c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</row>
    <row r="44" ht="15.95" customHeight="1">
      <c r="A44" s="42" t="inlineStr">
        <is>
          <t>S11</t>
        </is>
      </c>
      <c r="B44" s="42">
        <f>VLOOKUP(A44,Members!$A$2:$B$65,2,FALSE)</f>
        <v/>
      </c>
      <c r="C44" s="47" t="n"/>
      <c r="D44" s="51" t="n"/>
      <c r="E44" s="47" t="n"/>
      <c r="F44" s="50" t="n"/>
      <c r="G44" s="47" t="n"/>
      <c r="H44" s="58" t="n"/>
      <c r="I44" s="47" t="n"/>
      <c r="J44" s="47" t="n"/>
      <c r="K44" s="47">
        <f>SUM(C44,E44,G44,I44)</f>
        <v/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</row>
    <row r="45" ht="15.95" customHeight="1">
      <c r="A45" s="40" t="inlineStr">
        <is>
          <t>S12</t>
        </is>
      </c>
      <c r="B45" s="40">
        <f>VLOOKUP(A45,Members!$A$2:$B$65,2,FALSE)</f>
        <v/>
      </c>
      <c r="C45" s="41" t="n"/>
      <c r="D45" s="53" t="n"/>
      <c r="E45" s="104" t="n"/>
      <c r="F45" s="53" t="n"/>
      <c r="G45" s="104" t="n"/>
      <c r="H45" s="59" t="n"/>
      <c r="I45" s="104" t="n"/>
      <c r="J45" s="104" t="n"/>
      <c r="K45" s="41">
        <f>SUM(C45,E45,G45,I45)</f>
        <v/>
      </c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</row>
    <row r="46" ht="15.95" customHeight="1">
      <c r="A46" s="42" t="inlineStr">
        <is>
          <t>S13</t>
        </is>
      </c>
      <c r="B46" s="42">
        <f>VLOOKUP(A46,Members!$A$2:$B$65,2,FALSE)</f>
        <v/>
      </c>
      <c r="C46" s="47" t="n"/>
      <c r="D46" s="50" t="n"/>
      <c r="E46" s="47" t="n"/>
      <c r="F46" s="50" t="n"/>
      <c r="G46" s="47" t="n"/>
      <c r="H46" s="58" t="n"/>
      <c r="I46" s="47" t="n"/>
      <c r="J46" s="47" t="n"/>
      <c r="K46" s="47">
        <f>SUM(C46,E46,G46,I46)</f>
        <v/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</row>
    <row r="47" ht="15.95" customHeight="1">
      <c r="A47" s="40" t="inlineStr">
        <is>
          <t>S14</t>
        </is>
      </c>
      <c r="B47" s="40">
        <f>VLOOKUP(A47,Members!$A$2:$B$65,2,FALSE)</f>
        <v/>
      </c>
      <c r="C47" s="104" t="n"/>
      <c r="D47" s="53" t="n"/>
      <c r="E47" s="104" t="n"/>
      <c r="F47" s="53" t="n"/>
      <c r="G47" s="104" t="n"/>
      <c r="H47" s="59" t="n"/>
      <c r="I47" s="104" t="n"/>
      <c r="J47" s="104" t="n"/>
      <c r="K47" s="104">
        <f>SUM(C47,E47,G47,I47)</f>
        <v/>
      </c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</row>
    <row r="48" ht="15.95" customHeight="1">
      <c r="A48" s="42" t="inlineStr">
        <is>
          <t>S15</t>
        </is>
      </c>
      <c r="B48" s="42">
        <f>VLOOKUP(A48,Members!$A$2:$B$65,2,FALSE)</f>
        <v/>
      </c>
      <c r="C48" s="47" t="n"/>
      <c r="D48" s="47" t="n"/>
      <c r="E48" s="47" t="n"/>
      <c r="F48" s="50" t="n"/>
      <c r="G48" s="47" t="n"/>
      <c r="H48" s="58" t="n"/>
      <c r="I48" s="47" t="n"/>
      <c r="J48" s="47" t="n"/>
      <c r="K48" s="47">
        <f>SUM(C48,E48,G48,I48)</f>
        <v/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</row>
    <row r="49" ht="15.95" customHeight="1">
      <c r="A49" s="40" t="inlineStr">
        <is>
          <t>S16</t>
        </is>
      </c>
      <c r="B49" s="40">
        <f>VLOOKUP(A49,Members!$A$2:$B$65,2,FALSE)</f>
        <v/>
      </c>
      <c r="C49" s="104" t="n"/>
      <c r="D49" s="53" t="n"/>
      <c r="E49" s="104" t="n"/>
      <c r="F49" s="53" t="n"/>
      <c r="G49" s="104" t="n"/>
      <c r="H49" s="59" t="n"/>
      <c r="I49" s="104" t="n"/>
      <c r="J49" s="104" t="n"/>
      <c r="K49" s="104">
        <f>SUM(C49,E49,G49,I49)</f>
        <v/>
      </c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</row>
    <row r="50" ht="15.95" customHeight="1">
      <c r="A50" s="42" t="inlineStr">
        <is>
          <t>T1</t>
        </is>
      </c>
      <c r="B50" s="42">
        <f>VLOOKUP(A50,Members!$A$2:$B$65,2,FALSE)</f>
        <v/>
      </c>
      <c r="C50" s="47" t="n"/>
      <c r="D50" s="51" t="n"/>
      <c r="E50" s="47" t="n"/>
      <c r="F50" s="50" t="n"/>
      <c r="G50" s="47" t="n"/>
      <c r="H50" s="58" t="n"/>
      <c r="I50" s="47" t="n"/>
      <c r="J50" s="47" t="n"/>
      <c r="K50" s="47">
        <f>SUM(C50,E50,G50,I50)</f>
        <v/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</row>
    <row r="51" ht="15.95" customHeight="1">
      <c r="A51" s="40" t="inlineStr">
        <is>
          <t>T2</t>
        </is>
      </c>
      <c r="B51" s="40">
        <f>VLOOKUP(A51,Members!$A$2:$B$65,2,FALSE)</f>
        <v/>
      </c>
      <c r="C51" s="104" t="n"/>
      <c r="D51" s="104" t="n"/>
      <c r="E51" s="104" t="n"/>
      <c r="F51" s="53" t="n"/>
      <c r="G51" s="104" t="n"/>
      <c r="H51" s="59" t="n"/>
      <c r="I51" s="104" t="n"/>
      <c r="J51" s="104" t="n"/>
      <c r="K51" s="104">
        <f>SUM(C51,E51,G51,I51)</f>
        <v/>
      </c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</row>
    <row r="52" ht="15.95" customHeight="1">
      <c r="A52" s="42" t="inlineStr">
        <is>
          <t>T3</t>
        </is>
      </c>
      <c r="B52" s="42">
        <f>VLOOKUP(A52,Members!$A$2:$B$65,2,FALSE)</f>
        <v/>
      </c>
      <c r="C52" s="47" t="n"/>
      <c r="D52" s="51" t="n"/>
      <c r="E52" s="47" t="n"/>
      <c r="F52" s="50" t="n"/>
      <c r="G52" s="47" t="n"/>
      <c r="H52" s="58" t="n"/>
      <c r="I52" s="47" t="n"/>
      <c r="J52" s="47" t="n"/>
      <c r="K52" s="47">
        <f>SUM(C52,E52,G52,I52)</f>
        <v/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</row>
    <row r="53" ht="15.95" customHeight="1">
      <c r="A53" s="40" t="inlineStr">
        <is>
          <t>T4</t>
        </is>
      </c>
      <c r="B53" s="40">
        <f>VLOOKUP(A53,Members!$A$2:$B$65,2,FALSE)</f>
        <v/>
      </c>
      <c r="C53" s="41" t="n"/>
      <c r="D53" s="53" t="n"/>
      <c r="E53" s="104" t="n"/>
      <c r="F53" s="53" t="n"/>
      <c r="G53" s="104" t="n"/>
      <c r="H53" s="59" t="n"/>
      <c r="I53" s="104" t="n"/>
      <c r="J53" s="104" t="n"/>
      <c r="K53" s="41">
        <f>SUM(C53,E53,G53,I53)</f>
        <v/>
      </c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</row>
    <row r="54" ht="15.95" customHeight="1">
      <c r="A54" s="42" t="inlineStr">
        <is>
          <t>T5</t>
        </is>
      </c>
      <c r="B54" s="42">
        <f>VLOOKUP(A54,Members!$A$2:$B$65,2,FALSE)</f>
        <v/>
      </c>
      <c r="C54" s="47" t="n"/>
      <c r="D54" s="50" t="n"/>
      <c r="E54" s="47" t="n"/>
      <c r="F54" s="50" t="n"/>
      <c r="G54" s="47" t="n"/>
      <c r="H54" s="58" t="n"/>
      <c r="I54" s="47" t="n"/>
      <c r="J54" s="47" t="n"/>
      <c r="K54" s="47">
        <f>SUM(C54,E54,G54,I54)</f>
        <v/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</row>
    <row r="55" ht="15.95" customHeight="1">
      <c r="A55" s="40" t="inlineStr">
        <is>
          <t>T6</t>
        </is>
      </c>
      <c r="B55" s="40">
        <f>VLOOKUP(A55,Members!$A$2:$B$65,2,FALSE)</f>
        <v/>
      </c>
      <c r="C55" s="41" t="n"/>
      <c r="D55" s="53" t="n"/>
      <c r="E55" s="104" t="n"/>
      <c r="F55" s="104" t="n"/>
      <c r="G55" s="104" t="n"/>
      <c r="H55" s="59" t="n"/>
      <c r="I55" s="104" t="n"/>
      <c r="J55" s="104" t="n"/>
      <c r="K55" s="41">
        <f>SUM(C55,E55,G55,I55)</f>
        <v/>
      </c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</row>
    <row r="56" ht="15.95" customHeight="1">
      <c r="A56" s="42" t="inlineStr">
        <is>
          <t>T7</t>
        </is>
      </c>
      <c r="B56" s="42">
        <f>VLOOKUP(A56,Members!$A$2:$B$65,2,FALSE)</f>
        <v/>
      </c>
      <c r="C56" s="47" t="n"/>
      <c r="D56" s="50" t="n"/>
      <c r="E56" s="47" t="n"/>
      <c r="F56" s="50" t="n"/>
      <c r="G56" s="47" t="n"/>
      <c r="H56" s="58" t="n"/>
      <c r="I56" s="47" t="n"/>
      <c r="J56" s="47" t="n"/>
      <c r="K56" s="47">
        <f>SUM(C56,E56,G56,I56)</f>
        <v/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</row>
    <row r="57" ht="15.95" customHeight="1">
      <c r="A57" s="40" t="inlineStr">
        <is>
          <t>T8</t>
        </is>
      </c>
      <c r="B57" s="40">
        <f>VLOOKUP(A57,Members!$A$2:$B$65,2,FALSE)</f>
        <v/>
      </c>
      <c r="C57" s="104" t="n"/>
      <c r="D57" s="52" t="n"/>
      <c r="E57" s="104" t="n"/>
      <c r="F57" s="53" t="n"/>
      <c r="G57" s="104" t="n"/>
      <c r="H57" s="59" t="n"/>
      <c r="I57" s="104" t="n"/>
      <c r="J57" s="104" t="n"/>
      <c r="K57" s="104">
        <f>SUM(C57,E57,G57,I57)</f>
        <v/>
      </c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</row>
    <row r="58" ht="15.95" customHeight="1">
      <c r="A58" s="42" t="inlineStr">
        <is>
          <t>T9</t>
        </is>
      </c>
      <c r="B58" s="42">
        <f>VLOOKUP(A58,Members!$A$2:$B$65,2,FALSE)</f>
        <v/>
      </c>
      <c r="C58" s="47" t="n"/>
      <c r="D58" s="51" t="n"/>
      <c r="E58" s="47" t="n"/>
      <c r="F58" s="50" t="n"/>
      <c r="G58" s="47" t="n"/>
      <c r="H58" s="58" t="n"/>
      <c r="I58" s="47" t="n"/>
      <c r="J58" s="47" t="n"/>
      <c r="K58" s="47">
        <f>SUM(C58,E58,G58,I58)</f>
        <v/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</row>
    <row r="59" ht="15.95" customHeight="1">
      <c r="A59" s="40" t="inlineStr">
        <is>
          <t>T10</t>
        </is>
      </c>
      <c r="B59" s="40">
        <f>VLOOKUP(A59,Members!$A$2:$B$65,2,FALSE)</f>
        <v/>
      </c>
      <c r="C59" s="41" t="n"/>
      <c r="D59" s="53" t="n"/>
      <c r="E59" s="104" t="n"/>
      <c r="F59" s="53" t="n"/>
      <c r="G59" s="104" t="n"/>
      <c r="H59" s="59" t="n"/>
      <c r="I59" s="104" t="n"/>
      <c r="J59" s="104" t="n"/>
      <c r="K59" s="41">
        <f>SUM(C59,E59,G59,I59)</f>
        <v/>
      </c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</row>
    <row r="60" ht="15.95" customHeight="1">
      <c r="A60" s="42" t="inlineStr">
        <is>
          <t>T11</t>
        </is>
      </c>
      <c r="B60" s="42">
        <f>VLOOKUP(A60,Members!$A$2:$B$65,2,FALSE)</f>
        <v/>
      </c>
      <c r="C60" s="43" t="n"/>
      <c r="D60" s="50" t="n"/>
      <c r="E60" s="47" t="n"/>
      <c r="F60" s="47" t="n"/>
      <c r="G60" s="47" t="n"/>
      <c r="H60" s="58" t="n"/>
      <c r="I60" s="47" t="n"/>
      <c r="J60" s="47" t="n"/>
      <c r="K60" s="43">
        <f>SUM(C60,E60,G60,I60)</f>
        <v/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</row>
    <row r="61" ht="15.95" customHeight="1">
      <c r="A61" s="40" t="inlineStr">
        <is>
          <t>T12</t>
        </is>
      </c>
      <c r="B61" s="40">
        <f>VLOOKUP(A61,Members!$A$2:$B$65,2,FALSE)</f>
        <v/>
      </c>
      <c r="C61" s="41" t="n"/>
      <c r="D61" s="53" t="n"/>
      <c r="E61" s="104" t="n"/>
      <c r="F61" s="53" t="n"/>
      <c r="G61" s="104" t="n"/>
      <c r="H61" s="59" t="n"/>
      <c r="I61" s="104" t="n"/>
      <c r="J61" s="104" t="n"/>
      <c r="K61" s="41">
        <f>SUM(C61,E61,G61,I61)</f>
        <v/>
      </c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</row>
    <row r="62" ht="15.95" customHeight="1">
      <c r="A62" s="42" t="inlineStr">
        <is>
          <t>T13</t>
        </is>
      </c>
      <c r="B62" s="42">
        <f>VLOOKUP(A62,Members!$A$2:$B$65,2,FALSE)</f>
        <v/>
      </c>
      <c r="C62" s="43" t="n"/>
      <c r="D62" s="49" t="n"/>
      <c r="E62" s="47" t="n"/>
      <c r="F62" s="50" t="n"/>
      <c r="G62" s="47" t="n"/>
      <c r="H62" s="58" t="n"/>
      <c r="I62" s="47" t="n"/>
      <c r="J62" s="47" t="n"/>
      <c r="K62" s="43">
        <f>SUM(C62,E62,G62,I62)</f>
        <v/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</row>
    <row r="63" ht="15.95" customHeight="1">
      <c r="A63" s="40" t="inlineStr">
        <is>
          <t>T14</t>
        </is>
      </c>
      <c r="B63" s="40">
        <f>VLOOKUP(A63,Members!$A$2:$B$65,2,FALSE)</f>
        <v/>
      </c>
      <c r="C63" s="41" t="n"/>
      <c r="D63" s="53" t="n"/>
      <c r="E63" s="104" t="n"/>
      <c r="F63" s="53" t="n"/>
      <c r="G63" s="104" t="n"/>
      <c r="H63" s="59" t="n"/>
      <c r="I63" s="104" t="n"/>
      <c r="J63" s="104" t="n"/>
      <c r="K63" s="41">
        <f>SUM(C63,E63,G63,I63)</f>
        <v/>
      </c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</row>
    <row r="64" ht="15.95" customHeight="1">
      <c r="A64" s="42" t="inlineStr">
        <is>
          <t>T15</t>
        </is>
      </c>
      <c r="B64" s="42">
        <f>VLOOKUP(A64,Members!$A$2:$B$65,2,FALSE)</f>
        <v/>
      </c>
      <c r="C64" s="43" t="n"/>
      <c r="D64" s="50" t="n"/>
      <c r="E64" s="47" t="n"/>
      <c r="F64" s="50" t="n"/>
      <c r="G64" s="47" t="n"/>
      <c r="H64" s="58" t="n"/>
      <c r="I64" s="47" t="n"/>
      <c r="J64" s="47" t="n"/>
      <c r="K64" s="43">
        <f>SUM(C64,E64,G64,I64)</f>
        <v/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</row>
    <row r="65" ht="15.95" customHeight="1">
      <c r="A65" s="40" t="inlineStr">
        <is>
          <t>T16</t>
        </is>
      </c>
      <c r="B65" s="40">
        <f>VLOOKUP(A65,Members!$A$2:$B$65,2,FALSE)</f>
        <v/>
      </c>
      <c r="C65" s="41" t="n"/>
      <c r="D65" s="53" t="n"/>
      <c r="E65" s="104" t="n"/>
      <c r="F65" s="53" t="n"/>
      <c r="G65" s="104" t="n"/>
      <c r="H65" s="59" t="n"/>
      <c r="I65" s="104" t="n"/>
      <c r="J65" s="104" t="n"/>
      <c r="K65" s="41">
        <f>SUM(C65,E65,G65,I65)</f>
        <v/>
      </c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</row>
    <row r="66">
      <c r="A66" s="44" t="inlineStr">
        <is>
          <t>TOTAL</t>
        </is>
      </c>
      <c r="B66" s="55" t="n"/>
      <c r="C66" s="56" t="n"/>
      <c r="D66" s="67" t="n"/>
      <c r="E66" s="56" t="n"/>
      <c r="F66" s="56" t="n"/>
      <c r="G66" s="56" t="n"/>
      <c r="H66" s="62" t="n"/>
      <c r="I66" s="56" t="n"/>
      <c r="J66" s="56" t="n"/>
      <c r="K66" s="56">
        <f>SUM(K2:K65)</f>
        <v/>
      </c>
      <c r="L66" s="56" t="n"/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  <c r="Z66" s="56" t="n"/>
      <c r="AA66" s="56" t="n"/>
    </row>
    <row r="67">
      <c r="D67" s="10" t="n"/>
      <c r="F67" s="9" t="n"/>
      <c r="H67" s="8" t="n"/>
    </row>
    <row r="68">
      <c r="D68" s="10" t="n"/>
      <c r="F68" s="9" t="n"/>
      <c r="H68" s="8" t="n"/>
    </row>
    <row r="69">
      <c r="D69" s="10" t="n"/>
      <c r="F69" s="9" t="n"/>
      <c r="H69" s="8" t="n"/>
    </row>
    <row r="70">
      <c r="A70" s="3" t="n"/>
      <c r="D70" s="10" t="n"/>
      <c r="F70" s="9" t="n"/>
      <c r="H70" s="8" t="n"/>
    </row>
    <row r="71">
      <c r="A71" s="3" t="n"/>
      <c r="D71" s="10" t="n"/>
      <c r="F71" s="9" t="n"/>
      <c r="H71" s="8" t="n"/>
    </row>
    <row r="72">
      <c r="A72" s="5" t="n"/>
      <c r="D72" s="10" t="n"/>
      <c r="F72" s="9" t="n"/>
      <c r="H72" s="8" t="n"/>
    </row>
    <row r="73">
      <c r="A73" s="5" t="n"/>
      <c r="D73" s="10" t="n"/>
      <c r="F73" s="9" t="n"/>
      <c r="H73" s="8" t="n"/>
    </row>
    <row r="74">
      <c r="A74" s="5" t="n"/>
      <c r="D74" s="10" t="n"/>
      <c r="F74" s="9" t="n"/>
      <c r="H74" s="8" t="n"/>
    </row>
    <row r="75">
      <c r="A75" s="5" t="n"/>
      <c r="D75" s="10" t="n"/>
      <c r="F75" s="9" t="n"/>
      <c r="H75" s="8" t="n"/>
    </row>
    <row r="76">
      <c r="A76" s="5" t="n"/>
      <c r="D76" s="10" t="n"/>
      <c r="F76" s="9" t="n"/>
      <c r="H76" s="8" t="n"/>
    </row>
    <row r="77">
      <c r="A77" s="5" t="n"/>
      <c r="D77" s="10" t="n"/>
      <c r="F77" s="9" t="n"/>
      <c r="H77" s="8" t="n"/>
    </row>
    <row r="78">
      <c r="A78" s="5" t="n"/>
      <c r="D78" s="10" t="n"/>
      <c r="F78" s="9" t="n"/>
      <c r="H78" s="8" t="n"/>
    </row>
    <row r="79">
      <c r="A79" s="5" t="n"/>
      <c r="D79" s="10" t="n"/>
      <c r="F79" s="9" t="n"/>
      <c r="H79" s="8" t="n"/>
    </row>
    <row r="80">
      <c r="A80" s="5" t="n"/>
      <c r="D80" s="10" t="n"/>
      <c r="F80" s="9" t="n"/>
      <c r="H80" s="8" t="n"/>
    </row>
    <row r="81">
      <c r="A81" s="5" t="n"/>
      <c r="D81" s="10" t="n"/>
      <c r="F81" s="9" t="n"/>
      <c r="H81" s="8" t="n"/>
    </row>
    <row r="82">
      <c r="A82" s="5" t="n"/>
      <c r="D82" s="10" t="n"/>
      <c r="F82" s="9" t="n"/>
      <c r="H82" s="8" t="n"/>
    </row>
    <row r="83">
      <c r="A83" s="5" t="n"/>
      <c r="D83" s="10" t="n"/>
      <c r="F83" s="9" t="n"/>
      <c r="H83" s="8" t="n"/>
    </row>
    <row r="84">
      <c r="A84" s="5" t="n"/>
      <c r="D84" s="10" t="n"/>
      <c r="F84" s="9" t="n"/>
      <c r="H84" s="8" t="n"/>
    </row>
    <row r="85">
      <c r="A85" s="5" t="n"/>
      <c r="D85" s="10" t="n"/>
      <c r="F85" s="9" t="n"/>
      <c r="H85" s="8" t="n"/>
    </row>
    <row r="86">
      <c r="A86" s="5" t="n"/>
      <c r="D86" s="10" t="n"/>
      <c r="F86" s="9" t="n"/>
      <c r="H86" s="8" t="n"/>
    </row>
    <row r="87">
      <c r="A87" s="5" t="n"/>
      <c r="D87" s="10" t="n"/>
      <c r="F87" s="9" t="n"/>
      <c r="H87" s="8" t="n"/>
    </row>
    <row r="88">
      <c r="A88" s="5" t="n"/>
      <c r="D88" s="10" t="n"/>
      <c r="F88" s="9" t="n"/>
      <c r="H88" s="8" t="n"/>
    </row>
    <row r="89">
      <c r="A89" s="5" t="n"/>
      <c r="D89" s="10" t="n"/>
      <c r="F89" s="9" t="n"/>
      <c r="H89" s="8" t="n"/>
    </row>
    <row r="90">
      <c r="A90" s="5" t="n"/>
      <c r="D90" s="10" t="n"/>
      <c r="F90" s="9" t="n"/>
      <c r="H90" s="8" t="n"/>
    </row>
    <row r="91">
      <c r="A91" s="5" t="n"/>
      <c r="D91" s="10" t="n"/>
      <c r="F91" s="9" t="n"/>
      <c r="H91" s="8" t="n"/>
    </row>
    <row r="92">
      <c r="A92" s="5" t="n"/>
      <c r="D92" s="10" t="n"/>
      <c r="F92" s="9" t="n"/>
      <c r="H92" s="8" t="n"/>
    </row>
    <row r="93">
      <c r="A93" s="5" t="n"/>
      <c r="D93" s="10" t="n"/>
      <c r="F93" s="9" t="n"/>
      <c r="H93" s="8" t="n"/>
    </row>
    <row r="94">
      <c r="A94" s="5" t="n"/>
      <c r="D94" s="10" t="n"/>
      <c r="F94" s="9" t="n"/>
      <c r="H94" s="8" t="n"/>
    </row>
    <row r="95">
      <c r="A95" s="5" t="n"/>
      <c r="D95" s="10" t="n"/>
      <c r="F95" s="9" t="n"/>
      <c r="H95" s="8" t="n"/>
    </row>
    <row r="96">
      <c r="A96" s="5" t="n"/>
      <c r="D96" s="10" t="n"/>
      <c r="F96" s="9" t="n"/>
      <c r="H96" s="8" t="n"/>
    </row>
    <row r="97">
      <c r="A97" s="5" t="n"/>
      <c r="D97" s="10" t="n"/>
      <c r="F97" s="9" t="n"/>
      <c r="H97" s="8" t="n"/>
    </row>
    <row r="98">
      <c r="A98" s="5" t="n"/>
      <c r="D98" s="10" t="n"/>
      <c r="F98" s="9" t="n"/>
      <c r="H98" s="8" t="n"/>
    </row>
    <row r="99">
      <c r="A99" s="5" t="n"/>
      <c r="D99" s="10" t="n"/>
      <c r="F99" s="9" t="n"/>
      <c r="H99" s="8" t="n"/>
    </row>
    <row r="100">
      <c r="A100" s="5" t="n"/>
      <c r="D100" s="10" t="n"/>
      <c r="F100" s="9" t="n"/>
      <c r="H100" s="8" t="n"/>
    </row>
    <row r="101">
      <c r="A101" s="5" t="n"/>
      <c r="D101" s="10" t="n"/>
      <c r="F101" s="9" t="n"/>
      <c r="H101" s="8" t="n"/>
    </row>
    <row r="102">
      <c r="A102" s="5" t="n"/>
      <c r="D102" s="10" t="n"/>
      <c r="F102" s="9" t="n"/>
      <c r="H102" s="8" t="n"/>
    </row>
    <row r="103">
      <c r="A103" s="5" t="n"/>
      <c r="D103" s="10" t="n"/>
      <c r="F103" s="9" t="n"/>
      <c r="H103" s="8" t="n"/>
    </row>
    <row r="104">
      <c r="A104" s="5" t="n"/>
      <c r="D104" s="10" t="n"/>
      <c r="F104" s="9" t="n"/>
      <c r="H104" s="8" t="n"/>
    </row>
    <row r="105">
      <c r="A105" s="5" t="n"/>
      <c r="D105" s="10" t="n"/>
      <c r="F105" s="9" t="n"/>
      <c r="H105" s="8" t="n"/>
    </row>
    <row r="106">
      <c r="A106" s="5" t="n"/>
      <c r="D106" s="10" t="n"/>
      <c r="F106" s="9" t="n"/>
      <c r="H106" s="8" t="n"/>
    </row>
    <row r="107">
      <c r="A107" s="5" t="n"/>
      <c r="D107" s="10" t="n"/>
      <c r="F107" s="9" t="n"/>
      <c r="H107" s="8" t="n"/>
    </row>
    <row r="108">
      <c r="A108" s="5" t="n"/>
      <c r="D108" s="10" t="n"/>
      <c r="F108" s="9" t="n"/>
      <c r="H108" s="8" t="n"/>
    </row>
    <row r="109">
      <c r="A109" s="5" t="n"/>
      <c r="D109" s="10" t="n"/>
      <c r="F109" s="9" t="n"/>
      <c r="H109" s="8" t="n"/>
    </row>
    <row r="110">
      <c r="A110" s="5" t="n"/>
      <c r="D110" s="10" t="n"/>
      <c r="F110" s="9" t="n"/>
      <c r="H110" s="8" t="n"/>
    </row>
    <row r="111">
      <c r="A111" s="5" t="n"/>
      <c r="D111" s="10" t="n"/>
      <c r="F111" s="9" t="n"/>
      <c r="H111" s="8" t="n"/>
    </row>
    <row r="112">
      <c r="A112" s="5" t="n"/>
      <c r="D112" s="10" t="n"/>
      <c r="F112" s="9" t="n"/>
      <c r="H112" s="8" t="n"/>
    </row>
    <row r="113">
      <c r="A113" s="5" t="n"/>
      <c r="D113" s="10" t="n"/>
      <c r="F113" s="9" t="n"/>
      <c r="H113" s="8" t="n"/>
    </row>
    <row r="114">
      <c r="A114" s="5" t="n"/>
      <c r="D114" s="10" t="n"/>
      <c r="F114" s="9" t="n"/>
      <c r="H114" s="8" t="n"/>
    </row>
    <row r="115">
      <c r="A115" s="5" t="n"/>
      <c r="D115" s="10" t="n"/>
      <c r="F115" s="9" t="n"/>
      <c r="H115" s="8" t="n"/>
    </row>
    <row r="116">
      <c r="A116" s="5" t="n"/>
      <c r="D116" s="10" t="n"/>
      <c r="F116" s="9" t="n"/>
      <c r="H116" s="8" t="n"/>
    </row>
    <row r="117">
      <c r="A117" s="5" t="n"/>
      <c r="D117" s="10" t="n"/>
      <c r="F117" s="9" t="n"/>
      <c r="H117" s="8" t="n"/>
    </row>
    <row r="118">
      <c r="A118" s="5" t="n"/>
      <c r="D118" s="10" t="n"/>
      <c r="F118" s="9" t="n"/>
      <c r="H118" s="8" t="n"/>
    </row>
    <row r="119">
      <c r="A119" s="5" t="n"/>
      <c r="D119" s="10" t="n"/>
      <c r="F119" s="9" t="n"/>
      <c r="H119" s="8" t="n"/>
    </row>
    <row r="120">
      <c r="A120" s="5" t="n"/>
      <c r="D120" s="10" t="n"/>
      <c r="F120" s="9" t="n"/>
      <c r="H120" s="8" t="n"/>
    </row>
    <row r="121">
      <c r="A121" s="5" t="n"/>
      <c r="D121" s="10" t="n"/>
      <c r="F121" s="9" t="n"/>
      <c r="H121" s="8" t="n"/>
    </row>
    <row r="122">
      <c r="A122" s="5" t="n"/>
      <c r="D122" s="10" t="n"/>
      <c r="F122" s="9" t="n"/>
      <c r="H122" s="8" t="n"/>
    </row>
    <row r="123">
      <c r="A123" s="5" t="n"/>
      <c r="D123" s="10" t="n"/>
      <c r="F123" s="9" t="n"/>
      <c r="H123" s="8" t="n"/>
    </row>
    <row r="124">
      <c r="A124" s="5" t="n"/>
      <c r="D124" s="10" t="n"/>
      <c r="F124" s="9" t="n"/>
      <c r="H124" s="8" t="n"/>
    </row>
    <row r="125">
      <c r="A125" s="5" t="n"/>
      <c r="D125" s="10" t="n"/>
      <c r="F125" s="9" t="n"/>
      <c r="H125" s="8" t="n"/>
    </row>
    <row r="126">
      <c r="A126" s="5" t="n"/>
      <c r="D126" s="10" t="n"/>
      <c r="F126" s="9" t="n"/>
      <c r="H126" s="8" t="n"/>
    </row>
    <row r="127">
      <c r="A127" s="5" t="n"/>
      <c r="D127" s="10" t="n"/>
      <c r="F127" s="9" t="n"/>
      <c r="H127" s="8" t="n"/>
    </row>
    <row r="128">
      <c r="A128" s="5" t="n"/>
      <c r="D128" s="10" t="n"/>
      <c r="F128" s="9" t="n"/>
      <c r="H128" s="8" t="n"/>
    </row>
    <row r="129">
      <c r="A129" s="5" t="n"/>
      <c r="D129" s="10" t="n"/>
      <c r="F129" s="9" t="n"/>
      <c r="H129" s="8" t="n"/>
    </row>
    <row r="130">
      <c r="A130" s="5" t="n"/>
      <c r="D130" s="10" t="n"/>
      <c r="F130" s="9" t="n"/>
      <c r="H130" s="8" t="n"/>
    </row>
    <row r="131">
      <c r="A131" s="5" t="n"/>
      <c r="D131" s="10" t="n"/>
      <c r="F131" s="9" t="n"/>
      <c r="H131" s="8" t="n"/>
    </row>
    <row r="132">
      <c r="A132" s="5" t="n"/>
      <c r="D132" s="10" t="n"/>
      <c r="F132" s="9" t="n"/>
      <c r="H132" s="8" t="n"/>
    </row>
    <row r="133">
      <c r="A133" s="5" t="n"/>
      <c r="D133" s="10" t="n"/>
      <c r="F133" s="9" t="n"/>
      <c r="H133" s="8" t="n"/>
    </row>
    <row r="134">
      <c r="A134" s="5" t="n"/>
      <c r="D134" s="10" t="n"/>
      <c r="F134" s="9" t="n"/>
      <c r="H134" s="8" t="n"/>
    </row>
    <row r="135">
      <c r="A135" s="5" t="n"/>
      <c r="D135" s="10" t="n"/>
      <c r="F135" s="9" t="n"/>
      <c r="H135" s="8" t="n"/>
    </row>
    <row r="136">
      <c r="A136" s="5" t="n"/>
      <c r="D136" s="10" t="n"/>
      <c r="F136" s="9" t="n"/>
      <c r="H136" s="8" t="n"/>
    </row>
    <row r="137">
      <c r="A137" s="5" t="n"/>
      <c r="D137" s="10" t="n"/>
      <c r="F137" s="9" t="n"/>
      <c r="H137" s="8" t="n"/>
    </row>
    <row r="138">
      <c r="A138" s="5" t="n"/>
      <c r="D138" s="10" t="n"/>
      <c r="F138" s="9" t="n"/>
      <c r="H138" s="8" t="n"/>
    </row>
    <row r="139">
      <c r="A139" s="7" t="n"/>
      <c r="D139" s="10" t="n"/>
      <c r="F139" s="9" t="n"/>
      <c r="H139" s="8" t="n"/>
    </row>
    <row r="140">
      <c r="D140" s="10" t="n"/>
      <c r="F140" s="9" t="n"/>
      <c r="H140" s="8" t="n"/>
    </row>
    <row r="141">
      <c r="D141" s="10" t="n"/>
      <c r="F141" s="9" t="n"/>
      <c r="H141" s="8" t="n"/>
    </row>
    <row r="142">
      <c r="D142" s="10" t="n"/>
      <c r="F142" s="9" t="n"/>
      <c r="H142" s="8" t="n"/>
    </row>
    <row r="143">
      <c r="A143" s="3" t="n"/>
      <c r="D143" s="10" t="n"/>
      <c r="F143" s="9" t="n"/>
      <c r="H143" s="8" t="n"/>
    </row>
    <row r="144">
      <c r="A144" s="3" t="n"/>
      <c r="D144" s="10" t="n"/>
      <c r="F144" s="9" t="n"/>
      <c r="H144" s="8" t="n"/>
    </row>
    <row r="145">
      <c r="A145" s="5" t="n"/>
      <c r="D145" s="10" t="n"/>
      <c r="F145" s="9" t="n"/>
      <c r="H145" s="8" t="n"/>
    </row>
    <row r="146">
      <c r="A146" s="5" t="n"/>
      <c r="D146" s="10" t="n"/>
      <c r="F146" s="9" t="n"/>
      <c r="H146" s="8" t="n"/>
    </row>
    <row r="147">
      <c r="A147" s="5" t="n"/>
      <c r="D147" s="10" t="n"/>
      <c r="F147" s="9" t="n"/>
      <c r="H147" s="8" t="n"/>
    </row>
    <row r="148">
      <c r="A148" s="5" t="n"/>
      <c r="D148" s="10" t="n"/>
      <c r="F148" s="9" t="n"/>
      <c r="H148" s="8" t="n"/>
    </row>
    <row r="149">
      <c r="A149" s="5" t="n"/>
      <c r="D149" s="10" t="n"/>
      <c r="F149" s="9" t="n"/>
      <c r="H149" s="8" t="n"/>
    </row>
    <row r="150">
      <c r="A150" s="5" t="n"/>
      <c r="D150" s="10" t="n"/>
      <c r="F150" s="9" t="n"/>
      <c r="H150" s="8" t="n"/>
    </row>
    <row r="151">
      <c r="A151" s="5" t="n"/>
      <c r="D151" s="10" t="n"/>
      <c r="F151" s="9" t="n"/>
      <c r="H151" s="8" t="n"/>
    </row>
    <row r="152">
      <c r="A152" s="5" t="n"/>
      <c r="D152" s="10" t="n"/>
      <c r="F152" s="9" t="n"/>
      <c r="H152" s="8" t="n"/>
    </row>
    <row r="153">
      <c r="A153" s="5" t="n"/>
      <c r="D153" s="10" t="n"/>
      <c r="F153" s="9" t="n"/>
      <c r="H153" s="8" t="n"/>
    </row>
    <row r="154">
      <c r="A154" s="5" t="n"/>
      <c r="D154" s="10" t="n"/>
      <c r="F154" s="9" t="n"/>
      <c r="H154" s="8" t="n"/>
    </row>
    <row r="155">
      <c r="A155" s="5" t="n"/>
      <c r="D155" s="10" t="n"/>
      <c r="F155" s="9" t="n"/>
      <c r="H155" s="8" t="n"/>
    </row>
    <row r="156">
      <c r="A156" s="5" t="n"/>
      <c r="D156" s="10" t="n"/>
      <c r="F156" s="9" t="n"/>
      <c r="H156" s="8" t="n"/>
    </row>
    <row r="157">
      <c r="A157" s="5" t="n"/>
      <c r="D157" s="10" t="n"/>
      <c r="F157" s="9" t="n"/>
      <c r="H157" s="8" t="n"/>
    </row>
    <row r="158">
      <c r="A158" s="5" t="n"/>
      <c r="D158" s="10" t="n"/>
      <c r="F158" s="9" t="n"/>
      <c r="H158" s="8" t="n"/>
    </row>
    <row r="159">
      <c r="A159" s="5" t="n"/>
      <c r="D159" s="10" t="n"/>
      <c r="F159" s="9" t="n"/>
      <c r="H159" s="8" t="n"/>
    </row>
    <row r="160">
      <c r="A160" s="5" t="n"/>
      <c r="D160" s="10" t="n"/>
      <c r="F160" s="9" t="n"/>
      <c r="H160" s="8" t="n"/>
    </row>
    <row r="161">
      <c r="A161" s="5" t="n"/>
      <c r="D161" s="10" t="n"/>
      <c r="F161" s="9" t="n"/>
      <c r="H161" s="8" t="n"/>
    </row>
    <row r="162">
      <c r="A162" s="5" t="n"/>
      <c r="D162" s="10" t="n"/>
      <c r="F162" s="9" t="n"/>
      <c r="H162" s="8" t="n"/>
    </row>
    <row r="163">
      <c r="A163" s="5" t="n"/>
      <c r="D163" s="10" t="n"/>
      <c r="F163" s="9" t="n"/>
      <c r="H163" s="8" t="n"/>
    </row>
    <row r="164">
      <c r="A164" s="5" t="n"/>
      <c r="D164" s="10" t="n"/>
      <c r="F164" s="9" t="n"/>
      <c r="H164" s="8" t="n"/>
    </row>
    <row r="165">
      <c r="A165" s="5" t="n"/>
      <c r="D165" s="10" t="n"/>
      <c r="F165" s="9" t="n"/>
      <c r="H165" s="8" t="n"/>
    </row>
    <row r="166">
      <c r="A166" s="5" t="n"/>
      <c r="D166" s="10" t="n"/>
      <c r="F166" s="9" t="n"/>
      <c r="H166" s="8" t="n"/>
    </row>
    <row r="167">
      <c r="A167" s="5" t="n"/>
      <c r="D167" s="10" t="n"/>
      <c r="F167" s="9" t="n"/>
      <c r="H167" s="8" t="n"/>
    </row>
    <row r="168">
      <c r="A168" s="5" t="n"/>
      <c r="D168" s="10" t="n"/>
      <c r="F168" s="9" t="n"/>
      <c r="H168" s="8" t="n"/>
    </row>
    <row r="169">
      <c r="A169" s="5" t="n"/>
      <c r="D169" s="10" t="n"/>
      <c r="F169" s="9" t="n"/>
      <c r="H169" s="8" t="n"/>
    </row>
    <row r="170">
      <c r="A170" s="5" t="n"/>
      <c r="D170" s="10" t="n"/>
      <c r="F170" s="9" t="n"/>
      <c r="H170" s="8" t="n"/>
    </row>
    <row r="171">
      <c r="A171" s="5" t="n"/>
      <c r="D171" s="10" t="n"/>
      <c r="F171" s="9" t="n"/>
      <c r="H171" s="8" t="n"/>
    </row>
    <row r="172">
      <c r="A172" s="5" t="n"/>
      <c r="D172" s="10" t="n"/>
      <c r="F172" s="9" t="n"/>
      <c r="H172" s="8" t="n"/>
    </row>
    <row r="173">
      <c r="A173" s="5" t="n"/>
      <c r="D173" s="10" t="n"/>
      <c r="F173" s="9" t="n"/>
      <c r="H173" s="8" t="n"/>
    </row>
    <row r="174">
      <c r="A174" s="5" t="n"/>
      <c r="D174" s="10" t="n"/>
      <c r="F174" s="9" t="n"/>
      <c r="H174" s="8" t="n"/>
    </row>
    <row r="175">
      <c r="A175" s="5" t="n"/>
      <c r="D175" s="10" t="n"/>
      <c r="F175" s="9" t="n"/>
      <c r="H175" s="8" t="n"/>
    </row>
    <row r="176">
      <c r="A176" s="5" t="n"/>
      <c r="D176" s="10" t="n"/>
      <c r="F176" s="9" t="n"/>
      <c r="H176" s="8" t="n"/>
    </row>
    <row r="177">
      <c r="A177" s="5" t="n"/>
      <c r="D177" s="10" t="n"/>
      <c r="F177" s="9" t="n"/>
      <c r="H177" s="8" t="n"/>
    </row>
    <row r="178">
      <c r="A178" s="5" t="n"/>
      <c r="D178" s="10" t="n"/>
      <c r="F178" s="9" t="n"/>
      <c r="H178" s="8" t="n"/>
    </row>
    <row r="179">
      <c r="A179" s="5" t="n"/>
      <c r="D179" s="10" t="n"/>
      <c r="F179" s="9" t="n"/>
      <c r="H179" s="8" t="n"/>
    </row>
    <row r="180">
      <c r="A180" s="5" t="n"/>
      <c r="D180" s="10" t="n"/>
      <c r="F180" s="9" t="n"/>
      <c r="H180" s="8" t="n"/>
    </row>
    <row r="181">
      <c r="A181" s="5" t="n"/>
      <c r="D181" s="10" t="n"/>
      <c r="F181" s="9" t="n"/>
      <c r="H181" s="8" t="n"/>
    </row>
    <row r="182">
      <c r="A182" s="5" t="n"/>
      <c r="D182" s="10" t="n"/>
      <c r="F182" s="9" t="n"/>
      <c r="H182" s="8" t="n"/>
    </row>
    <row r="183">
      <c r="A183" s="5" t="n"/>
      <c r="D183" s="10" t="n"/>
      <c r="F183" s="9" t="n"/>
      <c r="H183" s="8" t="n"/>
    </row>
    <row r="184">
      <c r="A184" s="5" t="n"/>
      <c r="D184" s="10" t="n"/>
      <c r="F184" s="9" t="n"/>
      <c r="H184" s="8" t="n"/>
    </row>
    <row r="185">
      <c r="A185" s="5" t="n"/>
      <c r="D185" s="10" t="n"/>
      <c r="F185" s="9" t="n"/>
      <c r="H185" s="8" t="n"/>
    </row>
    <row r="186">
      <c r="A186" s="5" t="n"/>
      <c r="D186" s="10" t="n"/>
      <c r="F186" s="9" t="n"/>
      <c r="H186" s="8" t="n"/>
    </row>
    <row r="187">
      <c r="A187" s="5" t="n"/>
      <c r="D187" s="10" t="n"/>
      <c r="F187" s="9" t="n"/>
      <c r="H187" s="8" t="n"/>
    </row>
    <row r="188">
      <c r="A188" s="5" t="n"/>
      <c r="D188" s="10" t="n"/>
      <c r="F188" s="9" t="n"/>
      <c r="H188" s="8" t="n"/>
    </row>
    <row r="189">
      <c r="A189" s="5" t="n"/>
      <c r="D189" s="10" t="n"/>
      <c r="F189" s="9" t="n"/>
      <c r="H189" s="8" t="n"/>
    </row>
    <row r="190">
      <c r="A190" s="5" t="n"/>
      <c r="D190" s="10" t="n"/>
      <c r="F190" s="9" t="n"/>
      <c r="H190" s="8" t="n"/>
    </row>
    <row r="191">
      <c r="A191" s="5" t="n"/>
      <c r="D191" s="10" t="n"/>
      <c r="F191" s="9" t="n"/>
      <c r="H191" s="8" t="n"/>
    </row>
    <row r="192">
      <c r="A192" s="5" t="n"/>
      <c r="D192" s="10" t="n"/>
      <c r="F192" s="9" t="n"/>
      <c r="H192" s="8" t="n"/>
    </row>
    <row r="193">
      <c r="A193" s="5" t="n"/>
      <c r="D193" s="10" t="n"/>
      <c r="F193" s="9" t="n"/>
      <c r="H193" s="8" t="n"/>
    </row>
    <row r="194">
      <c r="A194" s="5" t="n"/>
      <c r="D194" s="10" t="n"/>
      <c r="F194" s="9" t="n"/>
      <c r="H194" s="8" t="n"/>
    </row>
    <row r="195">
      <c r="A195" s="5" t="n"/>
      <c r="D195" s="10" t="n"/>
      <c r="F195" s="9" t="n"/>
      <c r="H195" s="8" t="n"/>
    </row>
    <row r="196">
      <c r="A196" s="5" t="n"/>
      <c r="D196" s="10" t="n"/>
      <c r="F196" s="9" t="n"/>
      <c r="H196" s="8" t="n"/>
    </row>
    <row r="197">
      <c r="A197" s="5" t="n"/>
      <c r="D197" s="10" t="n"/>
      <c r="F197" s="9" t="n"/>
      <c r="H197" s="8" t="n"/>
    </row>
    <row r="198">
      <c r="A198" s="5" t="n"/>
      <c r="D198" s="10" t="n"/>
      <c r="F198" s="9" t="n"/>
      <c r="H198" s="8" t="n"/>
    </row>
    <row r="199">
      <c r="A199" s="5" t="n"/>
      <c r="D199" s="10" t="n"/>
      <c r="F199" s="9" t="n"/>
      <c r="H199" s="8" t="n"/>
    </row>
    <row r="200">
      <c r="A200" s="5" t="n"/>
      <c r="D200" s="10" t="n"/>
      <c r="F200" s="9" t="n"/>
      <c r="H200" s="8" t="n"/>
    </row>
    <row r="201">
      <c r="A201" s="5" t="n"/>
      <c r="D201" s="10" t="n"/>
      <c r="F201" s="9" t="n"/>
      <c r="H201" s="8" t="n"/>
    </row>
    <row r="202">
      <c r="A202" s="5" t="n"/>
      <c r="D202" s="10" t="n"/>
      <c r="F202" s="9" t="n"/>
      <c r="H202" s="8" t="n"/>
    </row>
    <row r="203">
      <c r="A203" s="5" t="n"/>
      <c r="D203" s="10" t="n"/>
      <c r="F203" s="9" t="n"/>
      <c r="H203" s="8" t="n"/>
    </row>
    <row r="204">
      <c r="A204" s="5" t="n"/>
      <c r="D204" s="10" t="n"/>
      <c r="F204" s="9" t="n"/>
      <c r="H204" s="8" t="n"/>
    </row>
    <row r="205">
      <c r="A205" s="5" t="n"/>
      <c r="D205" s="10" t="n"/>
      <c r="F205" s="9" t="n"/>
      <c r="H205" s="8" t="n"/>
    </row>
    <row r="206">
      <c r="A206" s="5" t="n"/>
      <c r="D206" s="10" t="n"/>
      <c r="F206" s="9" t="n"/>
      <c r="H206" s="8" t="n"/>
    </row>
    <row r="207">
      <c r="A207" s="5" t="n"/>
      <c r="D207" s="10" t="n"/>
      <c r="F207" s="9" t="n"/>
      <c r="H207" s="8" t="n"/>
    </row>
    <row r="208">
      <c r="A208" s="5" t="n"/>
      <c r="D208" s="10" t="n"/>
      <c r="F208" s="9" t="n"/>
      <c r="H208" s="8" t="n"/>
    </row>
    <row r="209">
      <c r="A209" s="5" t="n"/>
      <c r="D209" s="10" t="n"/>
      <c r="F209" s="9" t="n"/>
      <c r="H209" s="8" t="n"/>
    </row>
    <row r="210">
      <c r="A210" s="5" t="n"/>
      <c r="D210" s="10" t="n"/>
      <c r="F210" s="9" t="n"/>
      <c r="H210" s="8" t="n"/>
    </row>
    <row r="211">
      <c r="A211" s="5" t="n"/>
      <c r="D211" s="10" t="n"/>
      <c r="F211" s="9" t="n"/>
      <c r="H211" s="8" t="n"/>
    </row>
    <row r="212">
      <c r="A212" s="7" t="n"/>
      <c r="D212" s="10" t="n"/>
      <c r="F212" s="9" t="n"/>
      <c r="H212" s="8" t="n"/>
    </row>
    <row r="213">
      <c r="D213" s="10" t="n"/>
      <c r="F213" s="9" t="n"/>
      <c r="H213" s="8" t="n"/>
    </row>
    <row r="214">
      <c r="D214" s="10" t="n"/>
      <c r="F214" s="9" t="n"/>
      <c r="H214" s="8" t="n"/>
    </row>
    <row r="215">
      <c r="D215" s="10" t="n"/>
      <c r="F215" s="9" t="n"/>
      <c r="H215" s="8" t="n"/>
    </row>
    <row r="216">
      <c r="A216" s="3" t="n"/>
      <c r="D216" s="10" t="n"/>
      <c r="F216" s="9" t="n"/>
      <c r="H216" s="8" t="n"/>
    </row>
    <row r="217">
      <c r="A217" s="3" t="n"/>
      <c r="D217" s="10" t="n"/>
      <c r="F217" s="9" t="n"/>
      <c r="H217" s="8" t="n"/>
    </row>
    <row r="218">
      <c r="A218" s="5" t="n"/>
      <c r="D218" s="10" t="n"/>
      <c r="F218" s="9" t="n"/>
      <c r="H218" s="8" t="n"/>
    </row>
    <row r="219">
      <c r="A219" s="5" t="n"/>
      <c r="D219" s="10" t="n"/>
      <c r="F219" s="9" t="n"/>
      <c r="H219" s="8" t="n"/>
    </row>
    <row r="220">
      <c r="A220" s="5" t="n"/>
      <c r="D220" s="10" t="n"/>
      <c r="F220" s="9" t="n"/>
      <c r="H220" s="8" t="n"/>
    </row>
    <row r="221">
      <c r="A221" s="5" t="n"/>
      <c r="D221" s="10" t="n"/>
      <c r="F221" s="9" t="n"/>
      <c r="H221" s="8" t="n"/>
    </row>
    <row r="222">
      <c r="A222" s="5" t="n"/>
      <c r="D222" s="10" t="n"/>
      <c r="F222" s="9" t="n"/>
      <c r="H222" s="8" t="n"/>
    </row>
    <row r="223">
      <c r="A223" s="5" t="n"/>
      <c r="D223" s="10" t="n"/>
      <c r="F223" s="9" t="n"/>
      <c r="H223" s="8" t="n"/>
    </row>
    <row r="224">
      <c r="A224" s="5" t="n"/>
      <c r="D224" s="10" t="n"/>
      <c r="F224" s="9" t="n"/>
      <c r="H224" s="8" t="n"/>
    </row>
    <row r="225">
      <c r="A225" s="5" t="n"/>
      <c r="D225" s="10" t="n"/>
      <c r="F225" s="9" t="n"/>
      <c r="H225" s="8" t="n"/>
    </row>
    <row r="226">
      <c r="A226" s="5" t="n"/>
      <c r="D226" s="10" t="n"/>
      <c r="F226" s="9" t="n"/>
      <c r="H226" s="8" t="n"/>
    </row>
    <row r="227">
      <c r="A227" s="5" t="n"/>
      <c r="D227" s="10" t="n"/>
      <c r="F227" s="9" t="n"/>
      <c r="H227" s="8" t="n"/>
    </row>
    <row r="228">
      <c r="A228" s="5" t="n"/>
      <c r="D228" s="10" t="n"/>
      <c r="F228" s="9" t="n"/>
      <c r="H228" s="8" t="n"/>
    </row>
    <row r="229">
      <c r="A229" s="5" t="n"/>
      <c r="D229" s="10" t="n"/>
      <c r="F229" s="9" t="n"/>
      <c r="H229" s="8" t="n"/>
    </row>
    <row r="230">
      <c r="A230" s="5" t="n"/>
      <c r="D230" s="10" t="n"/>
      <c r="F230" s="9" t="n"/>
      <c r="H230" s="8" t="n"/>
    </row>
    <row r="231">
      <c r="A231" s="5" t="n"/>
      <c r="D231" s="10" t="n"/>
      <c r="F231" s="9" t="n"/>
      <c r="H231" s="8" t="n"/>
    </row>
    <row r="232">
      <c r="A232" s="5" t="n"/>
      <c r="D232" s="10" t="n"/>
      <c r="F232" s="9" t="n"/>
      <c r="H232" s="8" t="n"/>
    </row>
    <row r="233">
      <c r="A233" s="5" t="n"/>
      <c r="D233" s="10" t="n"/>
      <c r="F233" s="9" t="n"/>
      <c r="H233" s="8" t="n"/>
    </row>
    <row r="234">
      <c r="A234" s="5" t="n"/>
      <c r="D234" s="10" t="n"/>
      <c r="F234" s="9" t="n"/>
      <c r="H234" s="8" t="n"/>
    </row>
    <row r="235">
      <c r="A235" s="5" t="n"/>
      <c r="D235" s="10" t="n"/>
      <c r="F235" s="9" t="n"/>
      <c r="H235" s="8" t="n"/>
    </row>
    <row r="236">
      <c r="A236" s="5" t="n"/>
      <c r="D236" s="10" t="n"/>
      <c r="F236" s="9" t="n"/>
      <c r="H236" s="8" t="n"/>
    </row>
    <row r="237">
      <c r="A237" s="5" t="n"/>
      <c r="D237" s="10" t="n"/>
      <c r="F237" s="9" t="n"/>
      <c r="H237" s="8" t="n"/>
    </row>
    <row r="238">
      <c r="A238" s="5" t="n"/>
      <c r="D238" s="10" t="n"/>
      <c r="F238" s="9" t="n"/>
      <c r="H238" s="8" t="n"/>
    </row>
    <row r="239">
      <c r="A239" s="5" t="n"/>
      <c r="D239" s="10" t="n"/>
      <c r="F239" s="9" t="n"/>
      <c r="H239" s="8" t="n"/>
    </row>
    <row r="240">
      <c r="A240" s="5" t="n"/>
      <c r="D240" s="10" t="n"/>
      <c r="F240" s="9" t="n"/>
      <c r="H240" s="8" t="n"/>
    </row>
    <row r="241">
      <c r="A241" s="5" t="n"/>
      <c r="D241" s="10" t="n"/>
      <c r="F241" s="9" t="n"/>
      <c r="H241" s="8" t="n"/>
    </row>
    <row r="242">
      <c r="A242" s="5" t="n"/>
      <c r="D242" s="10" t="n"/>
      <c r="F242" s="9" t="n"/>
      <c r="H242" s="8" t="n"/>
    </row>
    <row r="243">
      <c r="A243" s="5" t="n"/>
      <c r="D243" s="10" t="n"/>
      <c r="F243" s="9" t="n"/>
      <c r="H243" s="8" t="n"/>
    </row>
    <row r="244">
      <c r="A244" s="5" t="n"/>
      <c r="D244" s="10" t="n"/>
      <c r="F244" s="9" t="n"/>
      <c r="H244" s="8" t="n"/>
    </row>
    <row r="245">
      <c r="A245" s="5" t="n"/>
      <c r="D245" s="10" t="n"/>
      <c r="F245" s="9" t="n"/>
      <c r="H245" s="8" t="n"/>
    </row>
    <row r="246">
      <c r="A246" s="5" t="n"/>
      <c r="D246" s="10" t="n"/>
      <c r="F246" s="9" t="n"/>
      <c r="H246" s="8" t="n"/>
    </row>
    <row r="247">
      <c r="A247" s="5" t="n"/>
      <c r="D247" s="10" t="n"/>
      <c r="F247" s="9" t="n"/>
      <c r="H247" s="8" t="n"/>
    </row>
    <row r="248">
      <c r="A248" s="5" t="n"/>
      <c r="D248" s="10" t="n"/>
      <c r="F248" s="9" t="n"/>
      <c r="H248" s="8" t="n"/>
    </row>
    <row r="249">
      <c r="A249" s="5" t="n"/>
      <c r="D249" s="10" t="n"/>
      <c r="F249" s="9" t="n"/>
      <c r="H249" s="8" t="n"/>
    </row>
    <row r="250">
      <c r="A250" s="5" t="n"/>
      <c r="D250" s="10" t="n"/>
      <c r="F250" s="9" t="n"/>
      <c r="H250" s="8" t="n"/>
    </row>
    <row r="251">
      <c r="A251" s="5" t="n"/>
      <c r="D251" s="10" t="n"/>
      <c r="F251" s="9" t="n"/>
      <c r="H251" s="8" t="n"/>
    </row>
    <row r="252">
      <c r="A252" s="5" t="n"/>
      <c r="D252" s="10" t="n"/>
      <c r="F252" s="9" t="n"/>
      <c r="H252" s="8" t="n"/>
    </row>
    <row r="253">
      <c r="A253" s="5" t="n"/>
      <c r="D253" s="10" t="n"/>
      <c r="F253" s="9" t="n"/>
      <c r="H253" s="8" t="n"/>
    </row>
    <row r="254">
      <c r="A254" s="5" t="n"/>
      <c r="D254" s="10" t="n"/>
      <c r="F254" s="9" t="n"/>
      <c r="H254" s="8" t="n"/>
    </row>
    <row r="255">
      <c r="A255" s="5" t="n"/>
      <c r="D255" s="10" t="n"/>
      <c r="F255" s="9" t="n"/>
      <c r="H255" s="8" t="n"/>
    </row>
    <row r="256">
      <c r="A256" s="5" t="n"/>
      <c r="D256" s="10" t="n"/>
      <c r="F256" s="9" t="n"/>
      <c r="H256" s="8" t="n"/>
    </row>
    <row r="257">
      <c r="A257" s="5" t="n"/>
      <c r="D257" s="10" t="n"/>
      <c r="F257" s="9" t="n"/>
      <c r="H257" s="8" t="n"/>
    </row>
    <row r="258">
      <c r="A258" s="5" t="n"/>
      <c r="D258" s="10" t="n"/>
      <c r="F258" s="9" t="n"/>
      <c r="H258" s="8" t="n"/>
    </row>
    <row r="259">
      <c r="A259" s="5" t="n"/>
      <c r="D259" s="10" t="n"/>
      <c r="F259" s="9" t="n"/>
      <c r="H259" s="8" t="n"/>
    </row>
    <row r="260">
      <c r="A260" s="5" t="n"/>
      <c r="D260" s="10" t="n"/>
      <c r="F260" s="9" t="n"/>
      <c r="H260" s="8" t="n"/>
    </row>
    <row r="261">
      <c r="A261" s="5" t="n"/>
      <c r="D261" s="10" t="n"/>
      <c r="F261" s="9" t="n"/>
      <c r="H261" s="8" t="n"/>
    </row>
    <row r="262">
      <c r="A262" s="5" t="n"/>
      <c r="D262" s="10" t="n"/>
      <c r="F262" s="9" t="n"/>
      <c r="H262" s="8" t="n"/>
    </row>
    <row r="263">
      <c r="A263" s="5" t="n"/>
      <c r="D263" s="10" t="n"/>
      <c r="F263" s="9" t="n"/>
      <c r="H263" s="8" t="n"/>
    </row>
    <row r="264">
      <c r="A264" s="5" t="n"/>
      <c r="D264" s="10" t="n"/>
      <c r="F264" s="9" t="n"/>
      <c r="H264" s="8" t="n"/>
    </row>
    <row r="265">
      <c r="A265" s="5" t="n"/>
      <c r="D265" s="10" t="n"/>
      <c r="F265" s="9" t="n"/>
      <c r="H265" s="8" t="n"/>
    </row>
    <row r="266">
      <c r="A266" s="5" t="n"/>
      <c r="D266" s="10" t="n"/>
      <c r="F266" s="9" t="n"/>
      <c r="H266" s="8" t="n"/>
    </row>
    <row r="267">
      <c r="A267" s="5" t="n"/>
      <c r="D267" s="10" t="n"/>
      <c r="F267" s="9" t="n"/>
      <c r="H267" s="8" t="n"/>
    </row>
    <row r="268">
      <c r="A268" s="5" t="n"/>
      <c r="D268" s="10" t="n"/>
      <c r="F268" s="9" t="n"/>
      <c r="H268" s="8" t="n"/>
    </row>
    <row r="269">
      <c r="A269" s="5" t="n"/>
      <c r="D269" s="10" t="n"/>
      <c r="F269" s="9" t="n"/>
      <c r="H269" s="8" t="n"/>
    </row>
    <row r="270">
      <c r="A270" s="5" t="n"/>
      <c r="D270" s="10" t="n"/>
      <c r="F270" s="9" t="n"/>
      <c r="H270" s="8" t="n"/>
    </row>
    <row r="271">
      <c r="A271" s="5" t="n"/>
      <c r="D271" s="10" t="n"/>
      <c r="F271" s="9" t="n"/>
      <c r="H271" s="8" t="n"/>
    </row>
    <row r="272">
      <c r="A272" s="5" t="n"/>
      <c r="D272" s="10" t="n"/>
      <c r="F272" s="9" t="n"/>
      <c r="H272" s="8" t="n"/>
    </row>
    <row r="273">
      <c r="A273" s="5" t="n"/>
      <c r="D273" s="10" t="n"/>
      <c r="F273" s="9" t="n"/>
      <c r="H273" s="8" t="n"/>
    </row>
    <row r="274">
      <c r="A274" s="5" t="n"/>
      <c r="D274" s="10" t="n"/>
      <c r="F274" s="9" t="n"/>
      <c r="H274" s="8" t="n"/>
    </row>
    <row r="275">
      <c r="A275" s="5" t="n"/>
      <c r="D275" s="10" t="n"/>
      <c r="F275" s="9" t="n"/>
      <c r="H275" s="8" t="n"/>
    </row>
    <row r="276">
      <c r="A276" s="5" t="n"/>
      <c r="D276" s="10" t="n"/>
      <c r="F276" s="9" t="n"/>
      <c r="H276" s="8" t="n"/>
    </row>
    <row r="277">
      <c r="A277" s="5" t="n"/>
      <c r="D277" s="10" t="n"/>
      <c r="F277" s="9" t="n"/>
      <c r="H277" s="8" t="n"/>
    </row>
    <row r="278">
      <c r="A278" s="5" t="n"/>
      <c r="D278" s="10" t="n"/>
      <c r="F278" s="9" t="n"/>
      <c r="H278" s="8" t="n"/>
    </row>
    <row r="279">
      <c r="A279" s="5" t="n"/>
      <c r="D279" s="10" t="n"/>
      <c r="F279" s="9" t="n"/>
      <c r="H279" s="8" t="n"/>
    </row>
    <row r="280">
      <c r="A280" s="5" t="n"/>
      <c r="D280" s="10" t="n"/>
      <c r="F280" s="9" t="n"/>
      <c r="H280" s="8" t="n"/>
    </row>
    <row r="281">
      <c r="A281" s="5" t="n"/>
      <c r="D281" s="10" t="n"/>
      <c r="F281" s="9" t="n"/>
      <c r="H281" s="8" t="n"/>
    </row>
    <row r="282">
      <c r="A282" s="5" t="n"/>
      <c r="D282" s="10" t="n"/>
      <c r="F282" s="9" t="n"/>
      <c r="H282" s="8" t="n"/>
    </row>
    <row r="283">
      <c r="A283" s="5" t="n"/>
      <c r="D283" s="10" t="n"/>
      <c r="F283" s="9" t="n"/>
      <c r="H283" s="8" t="n"/>
    </row>
    <row r="284">
      <c r="A284" s="5" t="n"/>
      <c r="D284" s="10" t="n"/>
      <c r="F284" s="9" t="n"/>
      <c r="H284" s="8" t="n"/>
    </row>
    <row r="285">
      <c r="A285" s="7" t="n"/>
      <c r="D285" s="10" t="n"/>
      <c r="F285" s="9" t="n"/>
      <c r="H285" s="8" t="n"/>
    </row>
    <row r="286">
      <c r="D286" s="10" t="n"/>
      <c r="F286" s="9" t="n"/>
      <c r="H286" s="8" t="n"/>
    </row>
    <row r="287">
      <c r="D287" s="10" t="n"/>
      <c r="F287" s="9" t="n"/>
      <c r="H287" s="8" t="n"/>
    </row>
    <row r="288">
      <c r="D288" s="10" t="n"/>
      <c r="F288" s="9" t="n"/>
      <c r="H288" s="8" t="n"/>
    </row>
    <row r="289">
      <c r="A289" s="3" t="n"/>
      <c r="D289" s="10" t="n"/>
      <c r="F289" s="9" t="n"/>
      <c r="H289" s="8" t="n"/>
    </row>
    <row r="290">
      <c r="A290" s="3" t="n"/>
      <c r="D290" s="10" t="n"/>
      <c r="F290" s="9" t="n"/>
      <c r="H290" s="8" t="n"/>
    </row>
    <row r="291">
      <c r="A291" s="5" t="n"/>
      <c r="D291" s="10" t="n"/>
      <c r="F291" s="9" t="n"/>
      <c r="H291" s="8" t="n"/>
    </row>
    <row r="292">
      <c r="A292" s="5" t="n"/>
      <c r="D292" s="10" t="n"/>
      <c r="F292" s="9" t="n"/>
      <c r="H292" s="8" t="n"/>
    </row>
    <row r="293">
      <c r="A293" s="5" t="n"/>
      <c r="D293" s="10" t="n"/>
      <c r="F293" s="9" t="n"/>
      <c r="H293" s="8" t="n"/>
    </row>
    <row r="294">
      <c r="A294" s="5" t="n"/>
      <c r="D294" s="10" t="n"/>
      <c r="F294" s="9" t="n"/>
      <c r="H294" s="8" t="n"/>
    </row>
    <row r="295">
      <c r="A295" s="5" t="n"/>
      <c r="D295" s="10" t="n"/>
      <c r="F295" s="9" t="n"/>
      <c r="H295" s="8" t="n"/>
    </row>
    <row r="296">
      <c r="A296" s="5" t="n"/>
      <c r="D296" s="10" t="n"/>
      <c r="F296" s="9" t="n"/>
      <c r="H296" s="8" t="n"/>
    </row>
    <row r="297">
      <c r="A297" s="5" t="n"/>
      <c r="D297" s="10" t="n"/>
      <c r="F297" s="9" t="n"/>
      <c r="H297" s="8" t="n"/>
    </row>
    <row r="298">
      <c r="A298" s="5" t="n"/>
      <c r="D298" s="10" t="n"/>
      <c r="F298" s="9" t="n"/>
      <c r="H298" s="8" t="n"/>
    </row>
    <row r="299">
      <c r="A299" s="5" t="n"/>
      <c r="D299" s="10" t="n"/>
      <c r="F299" s="9" t="n"/>
      <c r="H299" s="8" t="n"/>
    </row>
    <row r="300">
      <c r="A300" s="5" t="n"/>
      <c r="D300" s="10" t="n"/>
      <c r="F300" s="9" t="n"/>
      <c r="H300" s="8" t="n"/>
    </row>
    <row r="301">
      <c r="A301" s="5" t="n"/>
      <c r="D301" s="10" t="n"/>
      <c r="F301" s="9" t="n"/>
      <c r="H301" s="8" t="n"/>
    </row>
    <row r="302">
      <c r="A302" s="5" t="n"/>
      <c r="D302" s="10" t="n"/>
      <c r="F302" s="9" t="n"/>
      <c r="H302" s="8" t="n"/>
    </row>
    <row r="303">
      <c r="A303" s="5" t="n"/>
      <c r="D303" s="10" t="n"/>
      <c r="F303" s="9" t="n"/>
      <c r="H303" s="8" t="n"/>
    </row>
    <row r="304">
      <c r="A304" s="5" t="n"/>
      <c r="D304" s="10" t="n"/>
      <c r="F304" s="9" t="n"/>
      <c r="H304" s="8" t="n"/>
    </row>
    <row r="305">
      <c r="A305" s="5" t="n"/>
      <c r="D305" s="10" t="n"/>
      <c r="F305" s="9" t="n"/>
      <c r="H305" s="8" t="n"/>
    </row>
    <row r="306">
      <c r="A306" s="5" t="n"/>
      <c r="D306" s="10" t="n"/>
      <c r="F306" s="9" t="n"/>
      <c r="H306" s="8" t="n"/>
    </row>
    <row r="307">
      <c r="A307" s="5" t="n"/>
      <c r="D307" s="10" t="n"/>
      <c r="F307" s="9" t="n"/>
      <c r="H307" s="8" t="n"/>
    </row>
    <row r="308">
      <c r="A308" s="5" t="n"/>
      <c r="D308" s="10" t="n"/>
      <c r="F308" s="9" t="n"/>
      <c r="H308" s="8" t="n"/>
    </row>
    <row r="309">
      <c r="A309" s="5" t="n"/>
      <c r="D309" s="10" t="n"/>
      <c r="F309" s="9" t="n"/>
      <c r="H309" s="8" t="n"/>
    </row>
    <row r="310">
      <c r="A310" s="5" t="n"/>
      <c r="D310" s="10" t="n"/>
      <c r="F310" s="9" t="n"/>
      <c r="H310" s="8" t="n"/>
    </row>
    <row r="311">
      <c r="A311" s="5" t="n"/>
      <c r="D311" s="10" t="n"/>
      <c r="F311" s="9" t="n"/>
      <c r="H311" s="8" t="n"/>
    </row>
    <row r="312">
      <c r="A312" s="5" t="n"/>
      <c r="D312" s="10" t="n"/>
      <c r="F312" s="9" t="n"/>
      <c r="H312" s="8" t="n"/>
    </row>
    <row r="313">
      <c r="A313" s="5" t="n"/>
      <c r="D313" s="10" t="n"/>
      <c r="F313" s="9" t="n"/>
      <c r="H313" s="8" t="n"/>
    </row>
    <row r="314">
      <c r="A314" s="5" t="n"/>
      <c r="D314" s="10" t="n"/>
      <c r="F314" s="9" t="n"/>
      <c r="H314" s="8" t="n"/>
    </row>
    <row r="315">
      <c r="A315" s="5" t="n"/>
      <c r="D315" s="10" t="n"/>
      <c r="F315" s="9" t="n"/>
      <c r="H315" s="8" t="n"/>
    </row>
    <row r="316">
      <c r="A316" s="5" t="n"/>
      <c r="D316" s="10" t="n"/>
      <c r="F316" s="9" t="n"/>
      <c r="H316" s="8" t="n"/>
    </row>
    <row r="317">
      <c r="A317" s="5" t="n"/>
      <c r="D317" s="10" t="n"/>
      <c r="F317" s="9" t="n"/>
      <c r="H317" s="8" t="n"/>
    </row>
    <row r="318">
      <c r="A318" s="5" t="n"/>
      <c r="D318" s="10" t="n"/>
      <c r="F318" s="9" t="n"/>
      <c r="H318" s="8" t="n"/>
    </row>
    <row r="319">
      <c r="A319" s="5" t="n"/>
      <c r="D319" s="10" t="n"/>
      <c r="F319" s="9" t="n"/>
      <c r="H319" s="8" t="n"/>
    </row>
    <row r="320">
      <c r="A320" s="5" t="n"/>
      <c r="D320" s="10" t="n"/>
      <c r="F320" s="9" t="n"/>
      <c r="H320" s="8" t="n"/>
    </row>
    <row r="321">
      <c r="A321" s="5" t="n"/>
      <c r="D321" s="10" t="n"/>
      <c r="F321" s="9" t="n"/>
      <c r="H321" s="8" t="n"/>
    </row>
    <row r="322">
      <c r="A322" s="5" t="n"/>
      <c r="D322" s="10" t="n"/>
      <c r="F322" s="9" t="n"/>
      <c r="H322" s="8" t="n"/>
    </row>
    <row r="323">
      <c r="A323" s="5" t="n"/>
      <c r="D323" s="10" t="n"/>
      <c r="F323" s="9" t="n"/>
      <c r="H323" s="8" t="n"/>
    </row>
    <row r="324">
      <c r="A324" s="5" t="n"/>
      <c r="D324" s="10" t="n"/>
      <c r="F324" s="9" t="n"/>
      <c r="H324" s="8" t="n"/>
    </row>
    <row r="325">
      <c r="A325" s="5" t="n"/>
      <c r="D325" s="10" t="n"/>
      <c r="F325" s="9" t="n"/>
      <c r="H325" s="8" t="n"/>
    </row>
    <row r="326">
      <c r="A326" s="5" t="n"/>
      <c r="D326" s="10" t="n"/>
      <c r="F326" s="9" t="n"/>
      <c r="H326" s="8" t="n"/>
    </row>
    <row r="327">
      <c r="A327" s="5" t="n"/>
      <c r="D327" s="10" t="n"/>
      <c r="F327" s="9" t="n"/>
      <c r="H327" s="8" t="n"/>
    </row>
    <row r="328">
      <c r="A328" s="5" t="n"/>
      <c r="D328" s="10" t="n"/>
      <c r="F328" s="9" t="n"/>
      <c r="H328" s="8" t="n"/>
    </row>
    <row r="329">
      <c r="A329" s="5" t="n"/>
      <c r="D329" s="10" t="n"/>
      <c r="F329" s="9" t="n"/>
      <c r="H329" s="8" t="n"/>
    </row>
    <row r="330">
      <c r="A330" s="5" t="n"/>
      <c r="D330" s="10" t="n"/>
      <c r="F330" s="9" t="n"/>
      <c r="H330" s="8" t="n"/>
    </row>
    <row r="331">
      <c r="A331" s="5" t="n"/>
      <c r="D331" s="10" t="n"/>
      <c r="F331" s="9" t="n"/>
      <c r="H331" s="8" t="n"/>
    </row>
    <row r="332">
      <c r="A332" s="5" t="n"/>
      <c r="D332" s="10" t="n"/>
      <c r="F332" s="9" t="n"/>
      <c r="H332" s="8" t="n"/>
    </row>
    <row r="333">
      <c r="A333" s="5" t="n"/>
      <c r="D333" s="10" t="n"/>
      <c r="F333" s="9" t="n"/>
      <c r="H333" s="8" t="n"/>
    </row>
    <row r="334">
      <c r="A334" s="5" t="n"/>
      <c r="D334" s="10" t="n"/>
      <c r="F334" s="9" t="n"/>
      <c r="H334" s="8" t="n"/>
    </row>
    <row r="335">
      <c r="A335" s="5" t="n"/>
      <c r="D335" s="10" t="n"/>
      <c r="F335" s="9" t="n"/>
      <c r="H335" s="8" t="n"/>
    </row>
    <row r="336">
      <c r="A336" s="5" t="n"/>
      <c r="D336" s="10" t="n"/>
      <c r="F336" s="9" t="n"/>
      <c r="H336" s="8" t="n"/>
    </row>
    <row r="337">
      <c r="A337" s="5" t="n"/>
      <c r="D337" s="10" t="n"/>
      <c r="F337" s="9" t="n"/>
      <c r="H337" s="8" t="n"/>
    </row>
    <row r="338">
      <c r="A338" s="5" t="n"/>
      <c r="D338" s="10" t="n"/>
      <c r="F338" s="9" t="n"/>
      <c r="H338" s="8" t="n"/>
    </row>
    <row r="339">
      <c r="A339" s="5" t="n"/>
      <c r="D339" s="10" t="n"/>
      <c r="F339" s="9" t="n"/>
      <c r="H339" s="8" t="n"/>
    </row>
    <row r="340">
      <c r="A340" s="5" t="n"/>
      <c r="D340" s="10" t="n"/>
      <c r="F340" s="9" t="n"/>
      <c r="H340" s="8" t="n"/>
    </row>
    <row r="341">
      <c r="A341" s="5" t="n"/>
      <c r="D341" s="10" t="n"/>
      <c r="F341" s="9" t="n"/>
      <c r="H341" s="8" t="n"/>
    </row>
    <row r="342">
      <c r="A342" s="5" t="n"/>
      <c r="D342" s="10" t="n"/>
      <c r="F342" s="9" t="n"/>
      <c r="H342" s="8" t="n"/>
    </row>
    <row r="343">
      <c r="A343" s="5" t="n"/>
      <c r="D343" s="10" t="n"/>
      <c r="F343" s="9" t="n"/>
      <c r="H343" s="8" t="n"/>
    </row>
    <row r="344">
      <c r="A344" s="5" t="n"/>
      <c r="D344" s="10" t="n"/>
      <c r="F344" s="9" t="n"/>
      <c r="H344" s="8" t="n"/>
    </row>
    <row r="345">
      <c r="A345" s="5" t="n"/>
      <c r="D345" s="10" t="n"/>
      <c r="F345" s="9" t="n"/>
      <c r="H345" s="8" t="n"/>
    </row>
    <row r="346">
      <c r="A346" s="5" t="n"/>
      <c r="D346" s="10" t="n"/>
      <c r="F346" s="9" t="n"/>
      <c r="H346" s="8" t="n"/>
    </row>
    <row r="347">
      <c r="A347" s="5" t="n"/>
      <c r="D347" s="10" t="n"/>
      <c r="F347" s="9" t="n"/>
      <c r="H347" s="8" t="n"/>
    </row>
    <row r="348">
      <c r="A348" s="5" t="n"/>
      <c r="D348" s="10" t="n"/>
      <c r="F348" s="9" t="n"/>
      <c r="H348" s="8" t="n"/>
    </row>
    <row r="349">
      <c r="A349" s="5" t="n"/>
      <c r="D349" s="10" t="n"/>
      <c r="F349" s="9" t="n"/>
      <c r="H349" s="8" t="n"/>
    </row>
    <row r="350">
      <c r="A350" s="5" t="n"/>
      <c r="D350" s="10" t="n"/>
      <c r="F350" s="9" t="n"/>
      <c r="H350" s="8" t="n"/>
    </row>
    <row r="351">
      <c r="A351" s="5" t="n"/>
      <c r="D351" s="10" t="n"/>
      <c r="F351" s="9" t="n"/>
      <c r="H351" s="8" t="n"/>
    </row>
    <row r="352">
      <c r="A352" s="5" t="n"/>
      <c r="D352" s="10" t="n"/>
      <c r="F352" s="9" t="n"/>
      <c r="H352" s="8" t="n"/>
    </row>
    <row r="353">
      <c r="A353" s="5" t="n"/>
      <c r="D353" s="10" t="n"/>
      <c r="F353" s="9" t="n"/>
      <c r="H353" s="8" t="n"/>
    </row>
    <row r="354">
      <c r="A354" s="5" t="n"/>
      <c r="D354" s="10" t="n"/>
      <c r="F354" s="9" t="n"/>
      <c r="H354" s="8" t="n"/>
    </row>
    <row r="355">
      <c r="A355" s="5" t="n"/>
      <c r="D355" s="10" t="n"/>
      <c r="F355" s="9" t="n"/>
      <c r="H355" s="8" t="n"/>
    </row>
    <row r="356">
      <c r="A356" s="5" t="n"/>
      <c r="D356" s="10" t="n"/>
      <c r="F356" s="9" t="n"/>
      <c r="H356" s="8" t="n"/>
    </row>
    <row r="357">
      <c r="A357" s="5" t="n"/>
      <c r="D357" s="10" t="n"/>
      <c r="F357" s="9" t="n"/>
      <c r="H357" s="8" t="n"/>
    </row>
    <row r="358">
      <c r="A358" s="7" t="n"/>
      <c r="D358" s="10" t="n"/>
      <c r="F358" s="9" t="n"/>
      <c r="H358" s="8" t="n"/>
    </row>
    <row r="359">
      <c r="D359" s="10" t="n"/>
      <c r="F359" s="9" t="n"/>
      <c r="H359" s="8" t="n"/>
    </row>
    <row r="360">
      <c r="D360" s="10" t="n"/>
      <c r="F360" s="9" t="n"/>
      <c r="H360" s="8" t="n"/>
    </row>
    <row r="361">
      <c r="D361" s="10" t="n"/>
      <c r="F361" s="9" t="n"/>
      <c r="H361" s="8" t="n"/>
    </row>
    <row r="362">
      <c r="A362" s="3" t="n"/>
      <c r="D362" s="10" t="n"/>
      <c r="F362" s="9" t="n"/>
      <c r="H362" s="8" t="n"/>
    </row>
    <row r="363">
      <c r="A363" s="3" t="n"/>
      <c r="D363" s="10" t="n"/>
      <c r="F363" s="9" t="n"/>
      <c r="H363" s="8" t="n"/>
    </row>
    <row r="364">
      <c r="A364" s="5" t="n"/>
      <c r="D364" s="10" t="n"/>
      <c r="F364" s="9" t="n"/>
      <c r="H364" s="8" t="n"/>
    </row>
    <row r="365">
      <c r="A365" s="5" t="n"/>
      <c r="D365" s="10" t="n"/>
      <c r="F365" s="9" t="n"/>
      <c r="H365" s="8" t="n"/>
    </row>
    <row r="366">
      <c r="A366" s="5" t="n"/>
      <c r="D366" s="10" t="n"/>
      <c r="F366" s="9" t="n"/>
      <c r="H366" s="8" t="n"/>
    </row>
    <row r="367">
      <c r="A367" s="5" t="n"/>
      <c r="D367" s="10" t="n"/>
      <c r="F367" s="9" t="n"/>
      <c r="H367" s="8" t="n"/>
    </row>
    <row r="368">
      <c r="A368" s="5" t="n"/>
      <c r="D368" s="10" t="n"/>
      <c r="F368" s="9" t="n"/>
      <c r="H368" s="8" t="n"/>
    </row>
    <row r="369">
      <c r="A369" s="5" t="n"/>
      <c r="D369" s="10" t="n"/>
      <c r="F369" s="9" t="n"/>
      <c r="H369" s="8" t="n"/>
    </row>
    <row r="370">
      <c r="A370" s="5" t="n"/>
      <c r="D370" s="10" t="n"/>
      <c r="F370" s="9" t="n"/>
      <c r="H370" s="8" t="n"/>
    </row>
    <row r="371">
      <c r="A371" s="5" t="n"/>
      <c r="D371" s="10" t="n"/>
      <c r="F371" s="9" t="n"/>
      <c r="H371" s="8" t="n"/>
    </row>
    <row r="372">
      <c r="A372" s="5" t="n"/>
      <c r="D372" s="10" t="n"/>
      <c r="F372" s="9" t="n"/>
      <c r="H372" s="8" t="n"/>
    </row>
    <row r="373">
      <c r="A373" s="5" t="n"/>
      <c r="D373" s="10" t="n"/>
      <c r="F373" s="9" t="n"/>
      <c r="H373" s="8" t="n"/>
    </row>
    <row r="374">
      <c r="A374" s="5" t="n"/>
      <c r="D374" s="10" t="n"/>
      <c r="F374" s="9" t="n"/>
      <c r="H374" s="8" t="n"/>
    </row>
    <row r="375">
      <c r="A375" s="5" t="n"/>
      <c r="D375" s="10" t="n"/>
      <c r="F375" s="9" t="n"/>
      <c r="H375" s="8" t="n"/>
    </row>
    <row r="376">
      <c r="A376" s="5" t="n"/>
      <c r="D376" s="10" t="n"/>
      <c r="F376" s="9" t="n"/>
      <c r="H376" s="8" t="n"/>
    </row>
    <row r="377">
      <c r="A377" s="5" t="n"/>
      <c r="D377" s="10" t="n"/>
      <c r="F377" s="9" t="n"/>
      <c r="H377" s="8" t="n"/>
    </row>
    <row r="378">
      <c r="A378" s="5" t="n"/>
      <c r="D378" s="10" t="n"/>
      <c r="F378" s="9" t="n"/>
      <c r="H378" s="8" t="n"/>
    </row>
    <row r="379">
      <c r="A379" s="5" t="n"/>
      <c r="D379" s="10" t="n"/>
      <c r="F379" s="9" t="n"/>
      <c r="H379" s="8" t="n"/>
    </row>
    <row r="380">
      <c r="A380" s="5" t="n"/>
      <c r="D380" s="10" t="n"/>
      <c r="F380" s="9" t="n"/>
      <c r="H380" s="8" t="n"/>
    </row>
    <row r="381">
      <c r="A381" s="5" t="n"/>
      <c r="D381" s="10" t="n"/>
      <c r="F381" s="9" t="n"/>
      <c r="H381" s="8" t="n"/>
    </row>
    <row r="382">
      <c r="A382" s="5" t="n"/>
      <c r="D382" s="10" t="n"/>
      <c r="F382" s="9" t="n"/>
      <c r="H382" s="8" t="n"/>
    </row>
    <row r="383">
      <c r="A383" s="5" t="n"/>
      <c r="D383" s="10" t="n"/>
      <c r="F383" s="9" t="n"/>
      <c r="H383" s="8" t="n"/>
    </row>
    <row r="384">
      <c r="A384" s="5" t="n"/>
      <c r="D384" s="10" t="n"/>
      <c r="F384" s="9" t="n"/>
      <c r="H384" s="8" t="n"/>
    </row>
    <row r="385">
      <c r="A385" s="5" t="n"/>
      <c r="D385" s="10" t="n"/>
      <c r="F385" s="9" t="n"/>
      <c r="H385" s="8" t="n"/>
    </row>
    <row r="386">
      <c r="A386" s="5" t="n"/>
      <c r="D386" s="10" t="n"/>
      <c r="F386" s="9" t="n"/>
      <c r="H386" s="8" t="n"/>
    </row>
    <row r="387">
      <c r="A387" s="5" t="n"/>
      <c r="D387" s="10" t="n"/>
      <c r="F387" s="9" t="n"/>
      <c r="H387" s="8" t="n"/>
    </row>
    <row r="388">
      <c r="A388" s="5" t="n"/>
      <c r="D388" s="10" t="n"/>
      <c r="F388" s="9" t="n"/>
      <c r="H388" s="8" t="n"/>
    </row>
    <row r="389">
      <c r="A389" s="5" t="n"/>
      <c r="D389" s="10" t="n"/>
      <c r="F389" s="9" t="n"/>
      <c r="H389" s="8" t="n"/>
    </row>
    <row r="390">
      <c r="A390" s="5" t="n"/>
      <c r="D390" s="10" t="n"/>
      <c r="F390" s="9" t="n"/>
      <c r="H390" s="8" t="n"/>
    </row>
    <row r="391">
      <c r="A391" s="5" t="n"/>
      <c r="D391" s="10" t="n"/>
      <c r="F391" s="9" t="n"/>
      <c r="H391" s="8" t="n"/>
    </row>
    <row r="392">
      <c r="A392" s="5" t="n"/>
      <c r="D392" s="10" t="n"/>
      <c r="F392" s="9" t="n"/>
      <c r="H392" s="8" t="n"/>
    </row>
    <row r="393">
      <c r="A393" s="5" t="n"/>
      <c r="D393" s="10" t="n"/>
      <c r="F393" s="9" t="n"/>
      <c r="H393" s="8" t="n"/>
    </row>
    <row r="394">
      <c r="A394" s="5" t="n"/>
      <c r="D394" s="10" t="n"/>
      <c r="F394" s="9" t="n"/>
      <c r="H394" s="8" t="n"/>
    </row>
    <row r="395">
      <c r="A395" s="5" t="n"/>
      <c r="D395" s="10" t="n"/>
      <c r="F395" s="9" t="n"/>
      <c r="H395" s="8" t="n"/>
    </row>
    <row r="396">
      <c r="A396" s="5" t="n"/>
      <c r="D396" s="10" t="n"/>
      <c r="F396" s="9" t="n"/>
      <c r="H396" s="8" t="n"/>
    </row>
    <row r="397">
      <c r="A397" s="5" t="n"/>
      <c r="D397" s="10" t="n"/>
      <c r="F397" s="9" t="n"/>
      <c r="H397" s="8" t="n"/>
    </row>
    <row r="398">
      <c r="A398" s="5" t="n"/>
      <c r="D398" s="10" t="n"/>
      <c r="F398" s="9" t="n"/>
      <c r="H398" s="8" t="n"/>
    </row>
    <row r="399">
      <c r="A399" s="5" t="n"/>
      <c r="D399" s="10" t="n"/>
      <c r="F399" s="9" t="n"/>
      <c r="H399" s="8" t="n"/>
    </row>
    <row r="400">
      <c r="A400" s="5" t="n"/>
      <c r="D400" s="10" t="n"/>
      <c r="F400" s="9" t="n"/>
      <c r="H400" s="8" t="n"/>
    </row>
    <row r="401">
      <c r="A401" s="5" t="n"/>
      <c r="D401" s="10" t="n"/>
      <c r="F401" s="9" t="n"/>
      <c r="H401" s="8" t="n"/>
    </row>
    <row r="402">
      <c r="A402" s="5" t="n"/>
      <c r="D402" s="10" t="n"/>
      <c r="F402" s="9" t="n"/>
      <c r="H402" s="8" t="n"/>
    </row>
    <row r="403">
      <c r="A403" s="5" t="n"/>
      <c r="D403" s="10" t="n"/>
      <c r="F403" s="9" t="n"/>
      <c r="H403" s="8" t="n"/>
    </row>
    <row r="404">
      <c r="A404" s="5" t="n"/>
      <c r="D404" s="10" t="n"/>
      <c r="F404" s="9" t="n"/>
      <c r="H404" s="8" t="n"/>
    </row>
    <row r="405">
      <c r="A405" s="5" t="n"/>
      <c r="D405" s="10" t="n"/>
      <c r="F405" s="9" t="n"/>
      <c r="H405" s="8" t="n"/>
    </row>
    <row r="406">
      <c r="A406" s="5" t="n"/>
      <c r="D406" s="10" t="n"/>
      <c r="F406" s="9" t="n"/>
      <c r="H406" s="8" t="n"/>
    </row>
    <row r="407">
      <c r="A407" s="5" t="n"/>
      <c r="D407" s="10" t="n"/>
      <c r="F407" s="9" t="n"/>
      <c r="H407" s="8" t="n"/>
    </row>
    <row r="408">
      <c r="A408" s="5" t="n"/>
      <c r="D408" s="10" t="n"/>
      <c r="F408" s="9" t="n"/>
      <c r="H408" s="8" t="n"/>
    </row>
    <row r="409">
      <c r="A409" s="5" t="n"/>
      <c r="D409" s="10" t="n"/>
      <c r="F409" s="9" t="n"/>
      <c r="H409" s="8" t="n"/>
    </row>
    <row r="410">
      <c r="A410" s="5" t="n"/>
      <c r="D410" s="10" t="n"/>
      <c r="F410" s="9" t="n"/>
      <c r="H410" s="8" t="n"/>
    </row>
    <row r="411">
      <c r="A411" s="5" t="n"/>
      <c r="D411" s="10" t="n"/>
      <c r="F411" s="9" t="n"/>
      <c r="H411" s="8" t="n"/>
    </row>
    <row r="412">
      <c r="A412" s="5" t="n"/>
      <c r="D412" s="10" t="n"/>
      <c r="F412" s="9" t="n"/>
      <c r="H412" s="8" t="n"/>
    </row>
    <row r="413">
      <c r="A413" s="5" t="n"/>
      <c r="D413" s="10" t="n"/>
      <c r="F413" s="9" t="n"/>
      <c r="H413" s="8" t="n"/>
    </row>
    <row r="414">
      <c r="A414" s="5" t="n"/>
      <c r="D414" s="10" t="n"/>
      <c r="F414" s="9" t="n"/>
      <c r="H414" s="8" t="n"/>
    </row>
    <row r="415">
      <c r="A415" s="5" t="n"/>
      <c r="D415" s="10" t="n"/>
      <c r="F415" s="9" t="n"/>
      <c r="H415" s="8" t="n"/>
    </row>
    <row r="416">
      <c r="A416" s="5" t="n"/>
      <c r="D416" s="10" t="n"/>
      <c r="F416" s="9" t="n"/>
      <c r="H416" s="8" t="n"/>
    </row>
    <row r="417">
      <c r="A417" s="5" t="n"/>
      <c r="D417" s="10" t="n"/>
      <c r="F417" s="9" t="n"/>
      <c r="H417" s="8" t="n"/>
    </row>
    <row r="418">
      <c r="A418" s="5" t="n"/>
      <c r="D418" s="10" t="n"/>
      <c r="F418" s="9" t="n"/>
      <c r="H418" s="8" t="n"/>
    </row>
    <row r="419">
      <c r="A419" s="5" t="n"/>
      <c r="D419" s="10" t="n"/>
      <c r="F419" s="9" t="n"/>
      <c r="H419" s="8" t="n"/>
    </row>
    <row r="420">
      <c r="A420" s="5" t="n"/>
      <c r="D420" s="10" t="n"/>
      <c r="F420" s="9" t="n"/>
      <c r="H420" s="8" t="n"/>
    </row>
    <row r="421">
      <c r="A421" s="5" t="n"/>
      <c r="D421" s="10" t="n"/>
      <c r="F421" s="9" t="n"/>
      <c r="H421" s="8" t="n"/>
    </row>
    <row r="422">
      <c r="A422" s="5" t="n"/>
      <c r="D422" s="10" t="n"/>
      <c r="F422" s="9" t="n"/>
      <c r="H422" s="8" t="n"/>
    </row>
    <row r="423">
      <c r="A423" s="5" t="n"/>
      <c r="D423" s="10" t="n"/>
      <c r="F423" s="9" t="n"/>
      <c r="H423" s="8" t="n"/>
    </row>
    <row r="424">
      <c r="A424" s="5" t="n"/>
      <c r="D424" s="10" t="n"/>
      <c r="F424" s="9" t="n"/>
      <c r="H424" s="8" t="n"/>
    </row>
    <row r="425">
      <c r="A425" s="5" t="n"/>
      <c r="D425" s="10" t="n"/>
      <c r="F425" s="9" t="n"/>
      <c r="H425" s="8" t="n"/>
    </row>
    <row r="426">
      <c r="A426" s="5" t="n"/>
      <c r="D426" s="10" t="n"/>
      <c r="F426" s="9" t="n"/>
      <c r="H426" s="8" t="n"/>
    </row>
    <row r="427">
      <c r="A427" s="5" t="n"/>
      <c r="D427" s="10" t="n"/>
      <c r="F427" s="9" t="n"/>
      <c r="H427" s="8" t="n"/>
    </row>
    <row r="428">
      <c r="A428" s="5" t="n"/>
      <c r="D428" s="10" t="n"/>
      <c r="F428" s="9" t="n"/>
      <c r="H428" s="8" t="n"/>
    </row>
    <row r="429">
      <c r="A429" s="5" t="n"/>
      <c r="D429" s="10" t="n"/>
      <c r="F429" s="9" t="n"/>
      <c r="H429" s="8" t="n"/>
    </row>
    <row r="430">
      <c r="A430" s="5" t="n"/>
      <c r="D430" s="10" t="n"/>
      <c r="F430" s="9" t="n"/>
      <c r="H430" s="8" t="n"/>
    </row>
    <row r="431">
      <c r="A431" s="7" t="n"/>
      <c r="D431" s="10" t="n"/>
      <c r="F431" s="9" t="n"/>
      <c r="H431" s="8" t="n"/>
    </row>
    <row r="432">
      <c r="D432" s="10" t="n"/>
      <c r="F432" s="9" t="n"/>
      <c r="H432" s="8" t="n"/>
    </row>
    <row r="433">
      <c r="D433" s="10" t="n"/>
      <c r="F433" s="9" t="n"/>
      <c r="H433" s="8" t="n"/>
    </row>
    <row r="434">
      <c r="D434" s="10" t="n"/>
      <c r="F434" s="9" t="n"/>
      <c r="H434" s="8" t="n"/>
    </row>
    <row r="435">
      <c r="A435" s="3" t="n"/>
      <c r="D435" s="10" t="n"/>
      <c r="F435" s="9" t="n"/>
      <c r="H435" s="8" t="n"/>
    </row>
    <row r="436">
      <c r="A436" s="3" t="n"/>
      <c r="D436" s="10" t="n"/>
      <c r="F436" s="9" t="n"/>
      <c r="H436" s="8" t="n"/>
    </row>
    <row r="437">
      <c r="A437" s="5" t="n"/>
      <c r="D437" s="10" t="n"/>
      <c r="F437" s="9" t="n"/>
      <c r="H437" s="8" t="n"/>
    </row>
    <row r="438">
      <c r="A438" s="5" t="n"/>
      <c r="D438" s="10" t="n"/>
      <c r="F438" s="9" t="n"/>
      <c r="H438" s="8" t="n"/>
    </row>
    <row r="439">
      <c r="A439" s="5" t="n"/>
      <c r="D439" s="10" t="n"/>
      <c r="F439" s="9" t="n"/>
      <c r="H439" s="8" t="n"/>
    </row>
    <row r="440">
      <c r="A440" s="5" t="n"/>
      <c r="D440" s="10" t="n"/>
      <c r="F440" s="9" t="n"/>
      <c r="H440" s="8" t="n"/>
    </row>
    <row r="441">
      <c r="A441" s="5" t="n"/>
      <c r="D441" s="10" t="n"/>
      <c r="F441" s="9" t="n"/>
      <c r="H441" s="8" t="n"/>
    </row>
    <row r="442">
      <c r="A442" s="5" t="n"/>
      <c r="D442" s="10" t="n"/>
      <c r="F442" s="9" t="n"/>
      <c r="H442" s="8" t="n"/>
    </row>
    <row r="443">
      <c r="A443" s="5" t="n"/>
      <c r="D443" s="10" t="n"/>
      <c r="F443" s="9" t="n"/>
      <c r="H443" s="8" t="n"/>
    </row>
    <row r="444">
      <c r="A444" s="5" t="n"/>
      <c r="D444" s="10" t="n"/>
      <c r="F444" s="9" t="n"/>
      <c r="H444" s="8" t="n"/>
    </row>
    <row r="445">
      <c r="A445" s="5" t="n"/>
      <c r="D445" s="10" t="n"/>
      <c r="F445" s="9" t="n"/>
      <c r="H445" s="8" t="n"/>
    </row>
    <row r="446">
      <c r="A446" s="5" t="n"/>
      <c r="D446" s="10" t="n"/>
      <c r="F446" s="9" t="n"/>
      <c r="H446" s="8" t="n"/>
    </row>
    <row r="447">
      <c r="A447" s="5" t="n"/>
      <c r="D447" s="10" t="n"/>
      <c r="F447" s="9" t="n"/>
      <c r="H447" s="8" t="n"/>
    </row>
    <row r="448">
      <c r="A448" s="5" t="n"/>
      <c r="D448" s="10" t="n"/>
      <c r="F448" s="9" t="n"/>
      <c r="H448" s="8" t="n"/>
    </row>
    <row r="449">
      <c r="A449" s="5" t="n"/>
      <c r="D449" s="10" t="n"/>
      <c r="F449" s="9" t="n"/>
      <c r="H449" s="8" t="n"/>
    </row>
    <row r="450">
      <c r="A450" s="5" t="n"/>
      <c r="D450" s="10" t="n"/>
      <c r="F450" s="9" t="n"/>
      <c r="H450" s="8" t="n"/>
    </row>
    <row r="451">
      <c r="A451" s="5" t="n"/>
      <c r="D451" s="10" t="n"/>
      <c r="F451" s="9" t="n"/>
      <c r="H451" s="8" t="n"/>
    </row>
    <row r="452">
      <c r="A452" s="5" t="n"/>
      <c r="D452" s="10" t="n"/>
      <c r="F452" s="9" t="n"/>
      <c r="H452" s="8" t="n"/>
    </row>
    <row r="453">
      <c r="A453" s="5" t="n"/>
      <c r="D453" s="10" t="n"/>
      <c r="F453" s="9" t="n"/>
      <c r="H453" s="8" t="n"/>
    </row>
    <row r="454">
      <c r="A454" s="5" t="n"/>
      <c r="D454" s="10" t="n"/>
      <c r="F454" s="9" t="n"/>
      <c r="H454" s="8" t="n"/>
    </row>
    <row r="455">
      <c r="A455" s="5" t="n"/>
      <c r="D455" s="10" t="n"/>
      <c r="F455" s="9" t="n"/>
      <c r="H455" s="8" t="n"/>
    </row>
    <row r="456">
      <c r="A456" s="5" t="n"/>
      <c r="D456" s="10" t="n"/>
      <c r="F456" s="9" t="n"/>
      <c r="H456" s="8" t="n"/>
    </row>
    <row r="457">
      <c r="A457" s="5" t="n"/>
      <c r="D457" s="10" t="n"/>
      <c r="F457" s="9" t="n"/>
      <c r="H457" s="8" t="n"/>
    </row>
    <row r="458">
      <c r="A458" s="5" t="n"/>
      <c r="D458" s="10" t="n"/>
      <c r="F458" s="9" t="n"/>
      <c r="H458" s="8" t="n"/>
    </row>
    <row r="459">
      <c r="A459" s="5" t="n"/>
      <c r="D459" s="10" t="n"/>
      <c r="F459" s="9" t="n"/>
      <c r="H459" s="8" t="n"/>
    </row>
    <row r="460">
      <c r="A460" s="5" t="n"/>
      <c r="D460" s="10" t="n"/>
      <c r="F460" s="9" t="n"/>
      <c r="H460" s="8" t="n"/>
    </row>
    <row r="461">
      <c r="A461" s="5" t="n"/>
      <c r="D461" s="10" t="n"/>
      <c r="F461" s="9" t="n"/>
      <c r="H461" s="8" t="n"/>
    </row>
    <row r="462">
      <c r="A462" s="5" t="n"/>
      <c r="D462" s="10" t="n"/>
      <c r="F462" s="9" t="n"/>
      <c r="H462" s="8" t="n"/>
    </row>
    <row r="463">
      <c r="A463" s="5" t="n"/>
      <c r="D463" s="10" t="n"/>
      <c r="F463" s="9" t="n"/>
      <c r="H463" s="8" t="n"/>
    </row>
    <row r="464">
      <c r="A464" s="5" t="n"/>
      <c r="D464" s="10" t="n"/>
      <c r="F464" s="9" t="n"/>
      <c r="H464" s="8" t="n"/>
    </row>
    <row r="465">
      <c r="A465" s="5" t="n"/>
      <c r="D465" s="10" t="n"/>
      <c r="F465" s="9" t="n"/>
      <c r="H465" s="8" t="n"/>
    </row>
    <row r="466">
      <c r="A466" s="5" t="n"/>
      <c r="D466" s="10" t="n"/>
      <c r="F466" s="9" t="n"/>
      <c r="H466" s="8" t="n"/>
    </row>
    <row r="467">
      <c r="A467" s="5" t="n"/>
      <c r="D467" s="10" t="n"/>
      <c r="F467" s="9" t="n"/>
      <c r="H467" s="8" t="n"/>
    </row>
    <row r="468">
      <c r="A468" s="5" t="n"/>
      <c r="D468" s="10" t="n"/>
      <c r="F468" s="9" t="n"/>
      <c r="H468" s="8" t="n"/>
    </row>
    <row r="469">
      <c r="A469" s="5" t="n"/>
      <c r="D469" s="10" t="n"/>
      <c r="F469" s="9" t="n"/>
      <c r="H469" s="8" t="n"/>
    </row>
    <row r="470">
      <c r="A470" s="5" t="n"/>
      <c r="D470" s="10" t="n"/>
      <c r="F470" s="9" t="n"/>
      <c r="H470" s="8" t="n"/>
    </row>
    <row r="471">
      <c r="A471" s="5" t="n"/>
      <c r="D471" s="10" t="n"/>
      <c r="F471" s="9" t="n"/>
      <c r="H471" s="8" t="n"/>
    </row>
    <row r="472">
      <c r="A472" s="5" t="n"/>
      <c r="D472" s="10" t="n"/>
      <c r="F472" s="9" t="n"/>
      <c r="H472" s="8" t="n"/>
    </row>
    <row r="473">
      <c r="A473" s="5" t="n"/>
      <c r="D473" s="10" t="n"/>
      <c r="F473" s="9" t="n"/>
      <c r="H473" s="8" t="n"/>
    </row>
    <row r="474">
      <c r="A474" s="5" t="n"/>
      <c r="D474" s="10" t="n"/>
      <c r="F474" s="9" t="n"/>
      <c r="H474" s="8" t="n"/>
    </row>
    <row r="475">
      <c r="A475" s="5" t="n"/>
      <c r="D475" s="10" t="n"/>
      <c r="F475" s="9" t="n"/>
      <c r="H475" s="8" t="n"/>
    </row>
    <row r="476">
      <c r="A476" s="5" t="n"/>
      <c r="D476" s="10" t="n"/>
      <c r="F476" s="9" t="n"/>
      <c r="H476" s="8" t="n"/>
    </row>
    <row r="477">
      <c r="A477" s="5" t="n"/>
      <c r="D477" s="10" t="n"/>
      <c r="F477" s="9" t="n"/>
      <c r="H477" s="8" t="n"/>
    </row>
    <row r="478">
      <c r="A478" s="5" t="n"/>
      <c r="D478" s="10" t="n"/>
      <c r="F478" s="9" t="n"/>
      <c r="H478" s="8" t="n"/>
    </row>
    <row r="479">
      <c r="A479" s="5" t="n"/>
      <c r="D479" s="10" t="n"/>
      <c r="F479" s="9" t="n"/>
      <c r="H479" s="8" t="n"/>
    </row>
    <row r="480">
      <c r="A480" s="5" t="n"/>
      <c r="D480" s="10" t="n"/>
      <c r="F480" s="9" t="n"/>
      <c r="H480" s="8" t="n"/>
    </row>
    <row r="481">
      <c r="A481" s="5" t="n"/>
      <c r="D481" s="10" t="n"/>
      <c r="F481" s="9" t="n"/>
      <c r="H481" s="8" t="n"/>
    </row>
    <row r="482">
      <c r="A482" s="5" t="n"/>
      <c r="D482" s="10" t="n"/>
      <c r="F482" s="9" t="n"/>
      <c r="H482" s="8" t="n"/>
    </row>
    <row r="483">
      <c r="A483" s="5" t="n"/>
      <c r="D483" s="10" t="n"/>
      <c r="F483" s="9" t="n"/>
      <c r="H483" s="8" t="n"/>
    </row>
    <row r="484">
      <c r="A484" s="5" t="n"/>
      <c r="D484" s="10" t="n"/>
      <c r="F484" s="9" t="n"/>
      <c r="H484" s="8" t="n"/>
    </row>
    <row r="485">
      <c r="A485" s="5" t="n"/>
      <c r="D485" s="10" t="n"/>
      <c r="F485" s="9" t="n"/>
      <c r="H485" s="8" t="n"/>
    </row>
    <row r="486">
      <c r="A486" s="5" t="n"/>
      <c r="D486" s="10" t="n"/>
      <c r="F486" s="9" t="n"/>
      <c r="H486" s="8" t="n"/>
    </row>
    <row r="487">
      <c r="A487" s="5" t="n"/>
      <c r="D487" s="10" t="n"/>
      <c r="F487" s="9" t="n"/>
      <c r="H487" s="8" t="n"/>
    </row>
    <row r="488">
      <c r="A488" s="5" t="n"/>
      <c r="D488" s="10" t="n"/>
      <c r="F488" s="9" t="n"/>
      <c r="H488" s="8" t="n"/>
    </row>
    <row r="489">
      <c r="A489" s="5" t="n"/>
      <c r="D489" s="10" t="n"/>
      <c r="F489" s="9" t="n"/>
      <c r="H489" s="8" t="n"/>
    </row>
    <row r="490">
      <c r="A490" s="5" t="n"/>
      <c r="D490" s="10" t="n"/>
      <c r="F490" s="9" t="n"/>
      <c r="H490" s="8" t="n"/>
    </row>
    <row r="491">
      <c r="A491" s="5" t="n"/>
      <c r="D491" s="10" t="n"/>
      <c r="F491" s="9" t="n"/>
      <c r="H491" s="8" t="n"/>
    </row>
    <row r="492">
      <c r="A492" s="5" t="n"/>
      <c r="D492" s="10" t="n"/>
      <c r="F492" s="9" t="n"/>
      <c r="H492" s="8" t="n"/>
    </row>
    <row r="493">
      <c r="A493" s="5" t="n"/>
      <c r="D493" s="10" t="n"/>
      <c r="F493" s="9" t="n"/>
      <c r="H493" s="8" t="n"/>
    </row>
    <row r="494">
      <c r="A494" s="5" t="n"/>
      <c r="D494" s="10" t="n"/>
      <c r="F494" s="9" t="n"/>
      <c r="H494" s="8" t="n"/>
    </row>
    <row r="495">
      <c r="A495" s="5" t="n"/>
      <c r="D495" s="10" t="n"/>
      <c r="F495" s="9" t="n"/>
      <c r="H495" s="8" t="n"/>
    </row>
    <row r="496">
      <c r="A496" s="5" t="n"/>
      <c r="D496" s="10" t="n"/>
      <c r="F496" s="9" t="n"/>
      <c r="H496" s="8" t="n"/>
    </row>
    <row r="497">
      <c r="A497" s="5" t="n"/>
      <c r="D497" s="10" t="n"/>
      <c r="F497" s="9" t="n"/>
      <c r="H497" s="8" t="n"/>
    </row>
    <row r="498">
      <c r="A498" s="5" t="n"/>
      <c r="D498" s="10" t="n"/>
      <c r="F498" s="9" t="n"/>
      <c r="H498" s="8" t="n"/>
    </row>
    <row r="499">
      <c r="A499" s="5" t="n"/>
      <c r="D499" s="10" t="n"/>
      <c r="F499" s="9" t="n"/>
      <c r="H499" s="8" t="n"/>
    </row>
    <row r="500">
      <c r="A500" s="5" t="n"/>
      <c r="D500" s="10" t="n"/>
      <c r="F500" s="9" t="n"/>
      <c r="H500" s="8" t="n"/>
    </row>
    <row r="501">
      <c r="A501" s="5" t="n"/>
      <c r="D501" s="10" t="n"/>
      <c r="F501" s="9" t="n"/>
      <c r="H501" s="8" t="n"/>
    </row>
    <row r="502">
      <c r="A502" s="5" t="n"/>
      <c r="D502" s="10" t="n"/>
      <c r="F502" s="9" t="n"/>
      <c r="H502" s="8" t="n"/>
    </row>
    <row r="503">
      <c r="A503" s="5" t="n"/>
      <c r="D503" s="10" t="n"/>
      <c r="F503" s="9" t="n"/>
      <c r="H503" s="8" t="n"/>
    </row>
    <row r="504">
      <c r="A504" s="7" t="n"/>
      <c r="D504" s="10" t="n"/>
      <c r="F504" s="9" t="n"/>
      <c r="H504" s="8" t="n"/>
    </row>
    <row r="505">
      <c r="D505" s="10" t="n"/>
      <c r="F505" s="9" t="n"/>
      <c r="H505" s="8" t="n"/>
    </row>
    <row r="506">
      <c r="D506" s="10" t="n"/>
      <c r="F506" s="9" t="n"/>
      <c r="H506" s="8" t="n"/>
    </row>
    <row r="507">
      <c r="D507" s="10" t="n"/>
      <c r="F507" s="9" t="n"/>
      <c r="H507" s="8" t="n"/>
    </row>
    <row r="508">
      <c r="A508" s="3" t="n"/>
      <c r="D508" s="10" t="n"/>
      <c r="F508" s="9" t="n"/>
      <c r="H508" s="8" t="n"/>
    </row>
    <row r="509">
      <c r="A509" s="3" t="n"/>
      <c r="D509" s="10" t="n"/>
      <c r="F509" s="9" t="n"/>
      <c r="H509" s="8" t="n"/>
    </row>
    <row r="510">
      <c r="A510" s="5" t="n"/>
      <c r="D510" s="10" t="n"/>
      <c r="F510" s="9" t="n"/>
      <c r="H510" s="8" t="n"/>
    </row>
    <row r="511">
      <c r="A511" s="5" t="n"/>
      <c r="D511" s="10" t="n"/>
      <c r="F511" s="9" t="n"/>
      <c r="H511" s="8" t="n"/>
    </row>
    <row r="512">
      <c r="A512" s="5" t="n"/>
      <c r="D512" s="10" t="n"/>
      <c r="F512" s="9" t="n"/>
      <c r="H512" s="8" t="n"/>
    </row>
    <row r="513">
      <c r="A513" s="5" t="n"/>
      <c r="D513" s="10" t="n"/>
      <c r="F513" s="9" t="n"/>
      <c r="H513" s="8" t="n"/>
    </row>
    <row r="514">
      <c r="A514" s="5" t="n"/>
      <c r="D514" s="10" t="n"/>
      <c r="F514" s="9" t="n"/>
      <c r="H514" s="8" t="n"/>
    </row>
    <row r="515">
      <c r="A515" s="5" t="n"/>
      <c r="D515" s="10" t="n"/>
      <c r="F515" s="9" t="n"/>
      <c r="H515" s="8" t="n"/>
    </row>
    <row r="516">
      <c r="A516" s="5" t="n"/>
      <c r="D516" s="10" t="n"/>
      <c r="F516" s="9" t="n"/>
      <c r="H516" s="8" t="n"/>
    </row>
    <row r="517">
      <c r="A517" s="5" t="n"/>
      <c r="D517" s="10" t="n"/>
      <c r="F517" s="9" t="n"/>
      <c r="H517" s="8" t="n"/>
    </row>
    <row r="518">
      <c r="A518" s="5" t="n"/>
      <c r="D518" s="10" t="n"/>
      <c r="F518" s="9" t="n"/>
      <c r="H518" s="8" t="n"/>
    </row>
    <row r="519">
      <c r="A519" s="5" t="n"/>
      <c r="D519" s="10" t="n"/>
      <c r="F519" s="9" t="n"/>
      <c r="H519" s="8" t="n"/>
    </row>
    <row r="520">
      <c r="A520" s="5" t="n"/>
      <c r="D520" s="10" t="n"/>
      <c r="F520" s="9" t="n"/>
      <c r="H520" s="8" t="n"/>
    </row>
    <row r="521">
      <c r="A521" s="5" t="n"/>
      <c r="D521" s="10" t="n"/>
      <c r="F521" s="9" t="n"/>
      <c r="H521" s="8" t="n"/>
    </row>
    <row r="522">
      <c r="A522" s="5" t="n"/>
      <c r="D522" s="10" t="n"/>
      <c r="F522" s="9" t="n"/>
      <c r="H522" s="8" t="n"/>
    </row>
    <row r="523">
      <c r="A523" s="5" t="n"/>
      <c r="D523" s="10" t="n"/>
      <c r="F523" s="9" t="n"/>
      <c r="H523" s="8" t="n"/>
    </row>
    <row r="524">
      <c r="A524" s="5" t="n"/>
      <c r="D524" s="10" t="n"/>
      <c r="F524" s="9" t="n"/>
      <c r="H524" s="8" t="n"/>
    </row>
    <row r="525">
      <c r="A525" s="5" t="n"/>
      <c r="D525" s="10" t="n"/>
      <c r="F525" s="9" t="n"/>
      <c r="H525" s="8" t="n"/>
    </row>
    <row r="526">
      <c r="A526" s="5" t="n"/>
      <c r="D526" s="10" t="n"/>
      <c r="F526" s="9" t="n"/>
      <c r="H526" s="8" t="n"/>
    </row>
    <row r="527">
      <c r="A527" s="5" t="n"/>
      <c r="D527" s="10" t="n"/>
      <c r="F527" s="9" t="n"/>
      <c r="H527" s="8" t="n"/>
    </row>
    <row r="528">
      <c r="A528" s="5" t="n"/>
      <c r="D528" s="10" t="n"/>
      <c r="F528" s="9" t="n"/>
      <c r="H528" s="8" t="n"/>
    </row>
    <row r="529">
      <c r="A529" s="5" t="n"/>
      <c r="D529" s="10" t="n"/>
      <c r="F529" s="9" t="n"/>
      <c r="H529" s="8" t="n"/>
    </row>
    <row r="530">
      <c r="A530" s="5" t="n"/>
      <c r="D530" s="10" t="n"/>
      <c r="F530" s="9" t="n"/>
      <c r="H530" s="8" t="n"/>
    </row>
    <row r="531">
      <c r="A531" s="5" t="n"/>
      <c r="D531" s="10" t="n"/>
      <c r="F531" s="9" t="n"/>
      <c r="H531" s="8" t="n"/>
    </row>
    <row r="532">
      <c r="A532" s="5" t="n"/>
      <c r="D532" s="10" t="n"/>
      <c r="F532" s="9" t="n"/>
      <c r="H532" s="8" t="n"/>
    </row>
    <row r="533">
      <c r="A533" s="5" t="n"/>
      <c r="D533" s="10" t="n"/>
      <c r="F533" s="9" t="n"/>
      <c r="H533" s="8" t="n"/>
    </row>
    <row r="534">
      <c r="A534" s="5" t="n"/>
      <c r="D534" s="10" t="n"/>
      <c r="F534" s="9" t="n"/>
      <c r="H534" s="8" t="n"/>
    </row>
    <row r="535">
      <c r="A535" s="5" t="n"/>
      <c r="D535" s="10" t="n"/>
      <c r="F535" s="9" t="n"/>
      <c r="H535" s="8" t="n"/>
    </row>
    <row r="536">
      <c r="A536" s="5" t="n"/>
      <c r="D536" s="10" t="n"/>
      <c r="F536" s="9" t="n"/>
      <c r="H536" s="8" t="n"/>
    </row>
    <row r="537">
      <c r="A537" s="5" t="n"/>
      <c r="D537" s="10" t="n"/>
      <c r="F537" s="9" t="n"/>
      <c r="H537" s="8" t="n"/>
    </row>
    <row r="538">
      <c r="A538" s="5" t="n"/>
      <c r="D538" s="10" t="n"/>
      <c r="F538" s="9" t="n"/>
      <c r="H538" s="8" t="n"/>
    </row>
    <row r="539">
      <c r="A539" s="5" t="n"/>
      <c r="D539" s="10" t="n"/>
      <c r="F539" s="9" t="n"/>
      <c r="H539" s="8" t="n"/>
    </row>
    <row r="540">
      <c r="A540" s="5" t="n"/>
      <c r="D540" s="10" t="n"/>
      <c r="F540" s="9" t="n"/>
      <c r="H540" s="8" t="n"/>
    </row>
    <row r="541">
      <c r="A541" s="5" t="n"/>
      <c r="D541" s="10" t="n"/>
      <c r="F541" s="9" t="n"/>
      <c r="H541" s="8" t="n"/>
    </row>
    <row r="542">
      <c r="A542" s="5" t="n"/>
      <c r="D542" s="10" t="n"/>
      <c r="F542" s="9" t="n"/>
      <c r="H542" s="8" t="n"/>
    </row>
    <row r="543">
      <c r="A543" s="5" t="n"/>
      <c r="D543" s="10" t="n"/>
      <c r="F543" s="9" t="n"/>
      <c r="H543" s="8" t="n"/>
    </row>
    <row r="544">
      <c r="A544" s="5" t="n"/>
      <c r="D544" s="10" t="n"/>
      <c r="F544" s="9" t="n"/>
      <c r="H544" s="8" t="n"/>
    </row>
    <row r="545">
      <c r="A545" s="5" t="n"/>
      <c r="D545" s="10" t="n"/>
      <c r="F545" s="9" t="n"/>
      <c r="H545" s="8" t="n"/>
    </row>
    <row r="546">
      <c r="A546" s="5" t="n"/>
      <c r="D546" s="10" t="n"/>
      <c r="F546" s="9" t="n"/>
      <c r="H546" s="8" t="n"/>
    </row>
    <row r="547">
      <c r="A547" s="5" t="n"/>
      <c r="D547" s="10" t="n"/>
      <c r="F547" s="9" t="n"/>
      <c r="H547" s="8" t="n"/>
    </row>
    <row r="548">
      <c r="A548" s="5" t="n"/>
      <c r="D548" s="10" t="n"/>
      <c r="F548" s="9" t="n"/>
      <c r="H548" s="8" t="n"/>
    </row>
    <row r="549">
      <c r="A549" s="5" t="n"/>
      <c r="D549" s="10" t="n"/>
      <c r="F549" s="9" t="n"/>
      <c r="H549" s="8" t="n"/>
    </row>
    <row r="550">
      <c r="A550" s="5" t="n"/>
      <c r="D550" s="10" t="n"/>
      <c r="F550" s="9" t="n"/>
      <c r="H550" s="8" t="n"/>
    </row>
    <row r="551">
      <c r="A551" s="5" t="n"/>
      <c r="D551" s="10" t="n"/>
      <c r="F551" s="9" t="n"/>
      <c r="H551" s="8" t="n"/>
    </row>
    <row r="552">
      <c r="A552" s="5" t="n"/>
      <c r="D552" s="10" t="n"/>
      <c r="F552" s="9" t="n"/>
      <c r="H552" s="8" t="n"/>
    </row>
    <row r="553">
      <c r="A553" s="5" t="n"/>
      <c r="D553" s="10" t="n"/>
      <c r="F553" s="9" t="n"/>
      <c r="H553" s="8" t="n"/>
    </row>
    <row r="554">
      <c r="A554" s="5" t="n"/>
      <c r="D554" s="10" t="n"/>
      <c r="F554" s="9" t="n"/>
      <c r="H554" s="8" t="n"/>
    </row>
    <row r="555">
      <c r="A555" s="5" t="n"/>
      <c r="D555" s="10" t="n"/>
      <c r="F555" s="9" t="n"/>
      <c r="H555" s="8" t="n"/>
    </row>
    <row r="556">
      <c r="A556" s="5" t="n"/>
      <c r="D556" s="10" t="n"/>
      <c r="F556" s="9" t="n"/>
      <c r="H556" s="8" t="n"/>
    </row>
    <row r="557">
      <c r="A557" s="5" t="n"/>
      <c r="D557" s="10" t="n"/>
      <c r="F557" s="9" t="n"/>
      <c r="H557" s="8" t="n"/>
    </row>
    <row r="558">
      <c r="A558" s="5" t="n"/>
      <c r="D558" s="10" t="n"/>
      <c r="F558" s="9" t="n"/>
      <c r="H558" s="8" t="n"/>
    </row>
    <row r="559">
      <c r="A559" s="5" t="n"/>
      <c r="D559" s="10" t="n"/>
      <c r="F559" s="9" t="n"/>
      <c r="H559" s="8" t="n"/>
    </row>
    <row r="560">
      <c r="A560" s="5" t="n"/>
      <c r="D560" s="10" t="n"/>
      <c r="F560" s="9" t="n"/>
      <c r="H560" s="8" t="n"/>
    </row>
    <row r="561">
      <c r="A561" s="5" t="n"/>
      <c r="D561" s="10" t="n"/>
      <c r="F561" s="9" t="n"/>
      <c r="H561" s="8" t="n"/>
    </row>
    <row r="562">
      <c r="A562" s="5" t="n"/>
      <c r="D562" s="10" t="n"/>
      <c r="F562" s="9" t="n"/>
      <c r="H562" s="8" t="n"/>
    </row>
    <row r="563">
      <c r="A563" s="5" t="n"/>
      <c r="D563" s="10" t="n"/>
      <c r="F563" s="9" t="n"/>
      <c r="H563" s="8" t="n"/>
    </row>
    <row r="564">
      <c r="A564" s="5" t="n"/>
      <c r="D564" s="10" t="n"/>
      <c r="F564" s="9" t="n"/>
      <c r="H564" s="8" t="n"/>
    </row>
    <row r="565">
      <c r="A565" s="5" t="n"/>
      <c r="D565" s="10" t="n"/>
      <c r="F565" s="9" t="n"/>
      <c r="H565" s="8" t="n"/>
    </row>
    <row r="566">
      <c r="A566" s="5" t="n"/>
      <c r="D566" s="10" t="n"/>
      <c r="F566" s="9" t="n"/>
      <c r="H566" s="8" t="n"/>
    </row>
    <row r="567">
      <c r="A567" s="5" t="n"/>
      <c r="D567" s="10" t="n"/>
      <c r="F567" s="9" t="n"/>
      <c r="H567" s="8" t="n"/>
    </row>
    <row r="568">
      <c r="A568" s="5" t="n"/>
      <c r="D568" s="10" t="n"/>
      <c r="F568" s="9" t="n"/>
      <c r="H568" s="8" t="n"/>
    </row>
    <row r="569">
      <c r="A569" s="5" t="n"/>
      <c r="D569" s="10" t="n"/>
      <c r="F569" s="9" t="n"/>
      <c r="H569" s="8" t="n"/>
    </row>
    <row r="570">
      <c r="A570" s="5" t="n"/>
      <c r="D570" s="10" t="n"/>
      <c r="F570" s="9" t="n"/>
      <c r="H570" s="8" t="n"/>
    </row>
    <row r="571">
      <c r="A571" s="5" t="n"/>
      <c r="D571" s="10" t="n"/>
      <c r="F571" s="9" t="n"/>
      <c r="H571" s="8" t="n"/>
    </row>
    <row r="572">
      <c r="A572" s="5" t="n"/>
      <c r="D572" s="10" t="n"/>
      <c r="F572" s="9" t="n"/>
      <c r="H572" s="8" t="n"/>
    </row>
    <row r="573">
      <c r="A573" s="5" t="n"/>
      <c r="D573" s="10" t="n"/>
      <c r="F573" s="9" t="n"/>
      <c r="H573" s="8" t="n"/>
    </row>
    <row r="574">
      <c r="A574" s="5" t="n"/>
      <c r="D574" s="10" t="n"/>
      <c r="F574" s="9" t="n"/>
      <c r="H574" s="8" t="n"/>
    </row>
    <row r="575">
      <c r="A575" s="5" t="n"/>
      <c r="D575" s="10" t="n"/>
      <c r="F575" s="9" t="n"/>
      <c r="H575" s="8" t="n"/>
    </row>
    <row r="576">
      <c r="A576" s="5" t="n"/>
      <c r="D576" s="10" t="n"/>
      <c r="F576" s="9" t="n"/>
      <c r="H576" s="8" t="n"/>
    </row>
    <row r="577">
      <c r="A577" s="7" t="n"/>
      <c r="D577" s="10" t="n"/>
      <c r="F577" s="9" t="n"/>
      <c r="H577" s="8" t="n"/>
    </row>
    <row r="578">
      <c r="D578" s="10" t="n"/>
      <c r="F578" s="9" t="n"/>
      <c r="H578" s="8" t="n"/>
    </row>
    <row r="579">
      <c r="D579" s="10" t="n"/>
      <c r="F579" s="9" t="n"/>
      <c r="H579" s="8" t="n"/>
    </row>
    <row r="580">
      <c r="D580" s="10" t="n"/>
      <c r="F580" s="9" t="n"/>
      <c r="H580" s="8" t="n"/>
    </row>
    <row r="581">
      <c r="A581" s="3" t="n"/>
      <c r="D581" s="10" t="n"/>
      <c r="F581" s="9" t="n"/>
      <c r="H581" s="8" t="n"/>
    </row>
    <row r="582">
      <c r="A582" s="3" t="n"/>
      <c r="D582" s="10" t="n"/>
      <c r="F582" s="9" t="n"/>
      <c r="H582" s="8" t="n"/>
    </row>
    <row r="583">
      <c r="A583" s="5" t="n"/>
      <c r="D583" s="10" t="n"/>
      <c r="F583" s="9" t="n"/>
      <c r="H583" s="8" t="n"/>
    </row>
    <row r="584">
      <c r="A584" s="5" t="n"/>
      <c r="D584" s="10" t="n"/>
      <c r="F584" s="9" t="n"/>
      <c r="H584" s="8" t="n"/>
    </row>
    <row r="585">
      <c r="A585" s="5" t="n"/>
      <c r="D585" s="10" t="n"/>
      <c r="F585" s="9" t="n"/>
      <c r="H585" s="8" t="n"/>
    </row>
    <row r="586">
      <c r="A586" s="5" t="n"/>
      <c r="D586" s="10" t="n"/>
      <c r="F586" s="9" t="n"/>
      <c r="H586" s="8" t="n"/>
    </row>
    <row r="587">
      <c r="A587" s="5" t="n"/>
      <c r="D587" s="10" t="n"/>
      <c r="F587" s="9" t="n"/>
      <c r="H587" s="8" t="n"/>
    </row>
    <row r="588">
      <c r="A588" s="5" t="n"/>
      <c r="D588" s="10" t="n"/>
      <c r="F588" s="9" t="n"/>
      <c r="H588" s="8" t="n"/>
    </row>
    <row r="589">
      <c r="A589" s="5" t="n"/>
      <c r="D589" s="10" t="n"/>
      <c r="F589" s="9" t="n"/>
      <c r="H589" s="8" t="n"/>
    </row>
    <row r="590">
      <c r="A590" s="5" t="n"/>
      <c r="D590" s="10" t="n"/>
      <c r="F590" s="9" t="n"/>
      <c r="H590" s="8" t="n"/>
    </row>
    <row r="591">
      <c r="A591" s="5" t="n"/>
      <c r="D591" s="10" t="n"/>
      <c r="F591" s="9" t="n"/>
      <c r="H591" s="8" t="n"/>
    </row>
    <row r="592">
      <c r="A592" s="5" t="n"/>
      <c r="D592" s="10" t="n"/>
      <c r="F592" s="9" t="n"/>
      <c r="H592" s="8" t="n"/>
    </row>
    <row r="593">
      <c r="A593" s="5" t="n"/>
      <c r="D593" s="10" t="n"/>
      <c r="F593" s="9" t="n"/>
      <c r="H593" s="8" t="n"/>
    </row>
    <row r="594">
      <c r="A594" s="5" t="n"/>
      <c r="D594" s="10" t="n"/>
      <c r="F594" s="9" t="n"/>
      <c r="H594" s="8" t="n"/>
    </row>
    <row r="595">
      <c r="A595" s="5" t="n"/>
      <c r="D595" s="10" t="n"/>
      <c r="F595" s="9" t="n"/>
      <c r="H595" s="8" t="n"/>
    </row>
    <row r="596">
      <c r="A596" s="5" t="n"/>
      <c r="D596" s="10" t="n"/>
      <c r="F596" s="9" t="n"/>
      <c r="H596" s="8" t="n"/>
    </row>
    <row r="597">
      <c r="A597" s="5" t="n"/>
      <c r="D597" s="10" t="n"/>
      <c r="F597" s="9" t="n"/>
      <c r="H597" s="8" t="n"/>
    </row>
    <row r="598">
      <c r="A598" s="5" t="n"/>
      <c r="D598" s="10" t="n"/>
      <c r="F598" s="9" t="n"/>
      <c r="H598" s="8" t="n"/>
    </row>
    <row r="599">
      <c r="A599" s="5" t="n"/>
      <c r="D599" s="10" t="n"/>
      <c r="F599" s="9" t="n"/>
      <c r="H599" s="8" t="n"/>
    </row>
    <row r="600">
      <c r="A600" s="5" t="n"/>
      <c r="D600" s="10" t="n"/>
      <c r="F600" s="9" t="n"/>
      <c r="H600" s="8" t="n"/>
    </row>
    <row r="601">
      <c r="A601" s="5" t="n"/>
      <c r="D601" s="10" t="n"/>
      <c r="F601" s="9" t="n"/>
      <c r="H601" s="8" t="n"/>
    </row>
    <row r="602">
      <c r="A602" s="5" t="n"/>
      <c r="D602" s="10" t="n"/>
      <c r="F602" s="9" t="n"/>
      <c r="H602" s="8" t="n"/>
    </row>
    <row r="603">
      <c r="A603" s="5" t="n"/>
      <c r="D603" s="10" t="n"/>
      <c r="F603" s="9" t="n"/>
      <c r="H603" s="8" t="n"/>
    </row>
    <row r="604">
      <c r="A604" s="5" t="n"/>
      <c r="D604" s="10" t="n"/>
      <c r="F604" s="9" t="n"/>
      <c r="H604" s="8" t="n"/>
    </row>
    <row r="605">
      <c r="A605" s="5" t="n"/>
      <c r="D605" s="10" t="n"/>
      <c r="F605" s="9" t="n"/>
      <c r="H605" s="8" t="n"/>
    </row>
    <row r="606">
      <c r="A606" s="5" t="n"/>
      <c r="D606" s="10" t="n"/>
      <c r="F606" s="9" t="n"/>
      <c r="H606" s="8" t="n"/>
    </row>
    <row r="607">
      <c r="A607" s="5" t="n"/>
      <c r="D607" s="10" t="n"/>
      <c r="F607" s="9" t="n"/>
      <c r="H607" s="8" t="n"/>
    </row>
    <row r="608">
      <c r="A608" s="5" t="n"/>
      <c r="D608" s="10" t="n"/>
      <c r="F608" s="9" t="n"/>
      <c r="H608" s="8" t="n"/>
    </row>
    <row r="609">
      <c r="A609" s="5" t="n"/>
      <c r="D609" s="10" t="n"/>
      <c r="F609" s="9" t="n"/>
      <c r="H609" s="8" t="n"/>
    </row>
    <row r="610">
      <c r="A610" s="5" t="n"/>
      <c r="D610" s="10" t="n"/>
      <c r="F610" s="9" t="n"/>
      <c r="H610" s="8" t="n"/>
    </row>
    <row r="611">
      <c r="A611" s="5" t="n"/>
      <c r="D611" s="10" t="n"/>
      <c r="F611" s="9" t="n"/>
      <c r="H611" s="8" t="n"/>
    </row>
    <row r="612">
      <c r="A612" s="5" t="n"/>
      <c r="D612" s="10" t="n"/>
      <c r="F612" s="9" t="n"/>
      <c r="H612" s="8" t="n"/>
    </row>
    <row r="613">
      <c r="A613" s="5" t="n"/>
      <c r="D613" s="10" t="n"/>
      <c r="F613" s="9" t="n"/>
      <c r="H613" s="8" t="n"/>
    </row>
    <row r="614">
      <c r="A614" s="5" t="n"/>
      <c r="D614" s="10" t="n"/>
      <c r="F614" s="9" t="n"/>
      <c r="H614" s="8" t="n"/>
    </row>
    <row r="615">
      <c r="A615" s="5" t="n"/>
      <c r="D615" s="10" t="n"/>
      <c r="F615" s="9" t="n"/>
      <c r="H615" s="8" t="n"/>
    </row>
    <row r="616">
      <c r="A616" s="5" t="n"/>
      <c r="D616" s="10" t="n"/>
      <c r="F616" s="9" t="n"/>
      <c r="H616" s="8" t="n"/>
    </row>
    <row r="617">
      <c r="A617" s="5" t="n"/>
      <c r="D617" s="10" t="n"/>
      <c r="F617" s="9" t="n"/>
      <c r="H617" s="8" t="n"/>
    </row>
    <row r="618">
      <c r="A618" s="5" t="n"/>
      <c r="D618" s="10" t="n"/>
      <c r="F618" s="9" t="n"/>
      <c r="H618" s="8" t="n"/>
    </row>
    <row r="619">
      <c r="A619" s="5" t="n"/>
      <c r="D619" s="10" t="n"/>
      <c r="F619" s="9" t="n"/>
      <c r="H619" s="8" t="n"/>
    </row>
    <row r="620">
      <c r="A620" s="5" t="n"/>
      <c r="D620" s="10" t="n"/>
      <c r="F620" s="9" t="n"/>
      <c r="H620" s="8" t="n"/>
    </row>
    <row r="621">
      <c r="A621" s="5" t="n"/>
      <c r="D621" s="10" t="n"/>
      <c r="F621" s="9" t="n"/>
      <c r="H621" s="8" t="n"/>
    </row>
    <row r="622">
      <c r="A622" s="5" t="n"/>
      <c r="D622" s="10" t="n"/>
      <c r="F622" s="9" t="n"/>
      <c r="H622" s="8" t="n"/>
    </row>
    <row r="623">
      <c r="A623" s="5" t="n"/>
      <c r="D623" s="10" t="n"/>
      <c r="F623" s="9" t="n"/>
      <c r="H623" s="8" t="n"/>
    </row>
    <row r="624">
      <c r="A624" s="5" t="n"/>
      <c r="D624" s="10" t="n"/>
      <c r="F624" s="9" t="n"/>
      <c r="H624" s="8" t="n"/>
    </row>
    <row r="625">
      <c r="A625" s="5" t="n"/>
      <c r="D625" s="10" t="n"/>
      <c r="F625" s="9" t="n"/>
      <c r="H625" s="8" t="n"/>
    </row>
    <row r="626">
      <c r="A626" s="5" t="n"/>
      <c r="D626" s="10" t="n"/>
      <c r="F626" s="9" t="n"/>
      <c r="H626" s="8" t="n"/>
    </row>
    <row r="627">
      <c r="A627" s="5" t="n"/>
      <c r="D627" s="10" t="n"/>
      <c r="F627" s="9" t="n"/>
      <c r="H627" s="8" t="n"/>
    </row>
    <row r="628">
      <c r="A628" s="5" t="n"/>
      <c r="D628" s="10" t="n"/>
      <c r="F628" s="9" t="n"/>
      <c r="H628" s="8" t="n"/>
    </row>
    <row r="629">
      <c r="A629" s="5" t="n"/>
      <c r="D629" s="10" t="n"/>
      <c r="F629" s="9" t="n"/>
      <c r="H629" s="8" t="n"/>
    </row>
    <row r="630">
      <c r="A630" s="5" t="n"/>
      <c r="D630" s="10" t="n"/>
      <c r="F630" s="9" t="n"/>
      <c r="H630" s="8" t="n"/>
    </row>
    <row r="631">
      <c r="A631" s="5" t="n"/>
      <c r="D631" s="10" t="n"/>
      <c r="F631" s="9" t="n"/>
      <c r="H631" s="8" t="n"/>
    </row>
    <row r="632">
      <c r="A632" s="5" t="n"/>
      <c r="D632" s="10" t="n"/>
      <c r="F632" s="9" t="n"/>
      <c r="H632" s="8" t="n"/>
    </row>
    <row r="633">
      <c r="A633" s="5" t="n"/>
      <c r="D633" s="10" t="n"/>
      <c r="F633" s="9" t="n"/>
      <c r="H633" s="8" t="n"/>
    </row>
    <row r="634">
      <c r="A634" s="5" t="n"/>
      <c r="D634" s="10" t="n"/>
      <c r="F634" s="9" t="n"/>
      <c r="H634" s="8" t="n"/>
    </row>
    <row r="635">
      <c r="A635" s="5" t="n"/>
      <c r="D635" s="10" t="n"/>
      <c r="F635" s="9" t="n"/>
      <c r="H635" s="8" t="n"/>
    </row>
    <row r="636">
      <c r="A636" s="5" t="n"/>
      <c r="D636" s="10" t="n"/>
      <c r="F636" s="9" t="n"/>
      <c r="H636" s="8" t="n"/>
    </row>
    <row r="637">
      <c r="A637" s="5" t="n"/>
      <c r="D637" s="10" t="n"/>
      <c r="F637" s="9" t="n"/>
      <c r="H637" s="8" t="n"/>
    </row>
    <row r="638">
      <c r="A638" s="5" t="n"/>
      <c r="D638" s="10" t="n"/>
      <c r="F638" s="9" t="n"/>
      <c r="H638" s="8" t="n"/>
    </row>
    <row r="639">
      <c r="A639" s="5" t="n"/>
      <c r="D639" s="10" t="n"/>
      <c r="F639" s="9" t="n"/>
      <c r="H639" s="8" t="n"/>
    </row>
    <row r="640">
      <c r="A640" s="5" t="n"/>
      <c r="D640" s="10" t="n"/>
      <c r="F640" s="9" t="n"/>
      <c r="H640" s="8" t="n"/>
    </row>
    <row r="641">
      <c r="A641" s="5" t="n"/>
      <c r="D641" s="10" t="n"/>
      <c r="F641" s="9" t="n"/>
      <c r="H641" s="8" t="n"/>
    </row>
    <row r="642">
      <c r="A642" s="5" t="n"/>
      <c r="D642" s="10" t="n"/>
      <c r="F642" s="9" t="n"/>
      <c r="H642" s="8" t="n"/>
    </row>
    <row r="643">
      <c r="A643" s="5" t="n"/>
      <c r="D643" s="10" t="n"/>
      <c r="F643" s="9" t="n"/>
      <c r="H643" s="8" t="n"/>
    </row>
    <row r="644">
      <c r="A644" s="5" t="n"/>
      <c r="D644" s="10" t="n"/>
      <c r="F644" s="9" t="n"/>
      <c r="H644" s="8" t="n"/>
    </row>
    <row r="645">
      <c r="A645" s="5" t="n"/>
      <c r="D645" s="10" t="n"/>
      <c r="F645" s="9" t="n"/>
      <c r="H645" s="8" t="n"/>
    </row>
    <row r="646">
      <c r="A646" s="5" t="n"/>
      <c r="D646" s="10" t="n"/>
      <c r="F646" s="9" t="n"/>
      <c r="H646" s="8" t="n"/>
    </row>
    <row r="647">
      <c r="A647" s="5" t="n"/>
      <c r="D647" s="10" t="n"/>
      <c r="F647" s="9" t="n"/>
      <c r="H647" s="8" t="n"/>
    </row>
    <row r="648">
      <c r="A648" s="5" t="n"/>
      <c r="D648" s="10" t="n"/>
      <c r="F648" s="9" t="n"/>
      <c r="H648" s="8" t="n"/>
    </row>
    <row r="649">
      <c r="A649" s="5" t="n"/>
      <c r="D649" s="10" t="n"/>
      <c r="F649" s="9" t="n"/>
      <c r="H649" s="8" t="n"/>
    </row>
    <row r="650">
      <c r="A650" s="7" t="n"/>
      <c r="D650" s="10" t="n"/>
      <c r="F650" s="9" t="n"/>
      <c r="H650" s="8" t="n"/>
    </row>
    <row r="651">
      <c r="D651" s="10" t="n"/>
      <c r="F651" s="9" t="n"/>
      <c r="H651" s="8" t="n"/>
    </row>
    <row r="652">
      <c r="D652" s="10" t="n"/>
      <c r="F652" s="9" t="n"/>
      <c r="H652" s="8" t="n"/>
    </row>
    <row r="653">
      <c r="D653" s="10" t="n"/>
      <c r="F653" s="9" t="n"/>
      <c r="H653" s="8" t="n"/>
    </row>
    <row r="654">
      <c r="A654" s="3" t="n"/>
      <c r="D654" s="10" t="n"/>
      <c r="F654" s="9" t="n"/>
      <c r="H654" s="8" t="n"/>
    </row>
    <row r="655">
      <c r="A655" s="3" t="n"/>
      <c r="D655" s="10" t="n"/>
      <c r="F655" s="9" t="n"/>
      <c r="H655" s="8" t="n"/>
    </row>
    <row r="656">
      <c r="A656" s="5" t="n"/>
      <c r="D656" s="10" t="n"/>
      <c r="F656" s="9" t="n"/>
      <c r="H656" s="8" t="n"/>
    </row>
    <row r="657">
      <c r="A657" s="5" t="n"/>
      <c r="D657" s="10" t="n"/>
      <c r="F657" s="9" t="n"/>
      <c r="H657" s="8" t="n"/>
    </row>
    <row r="658">
      <c r="A658" s="5" t="n"/>
      <c r="D658" s="10" t="n"/>
      <c r="F658" s="9" t="n"/>
      <c r="H658" s="8" t="n"/>
    </row>
    <row r="659">
      <c r="A659" s="5" t="n"/>
      <c r="D659" s="10" t="n"/>
      <c r="F659" s="9" t="n"/>
      <c r="H659" s="8" t="n"/>
    </row>
    <row r="660">
      <c r="A660" s="5" t="n"/>
      <c r="D660" s="10" t="n"/>
      <c r="F660" s="9" t="n"/>
      <c r="H660" s="8" t="n"/>
    </row>
    <row r="661">
      <c r="A661" s="5" t="n"/>
      <c r="D661" s="10" t="n"/>
      <c r="F661" s="9" t="n"/>
      <c r="H661" s="8" t="n"/>
    </row>
    <row r="662">
      <c r="A662" s="5" t="n"/>
      <c r="D662" s="10" t="n"/>
      <c r="F662" s="9" t="n"/>
      <c r="H662" s="8" t="n"/>
    </row>
    <row r="663">
      <c r="A663" s="5" t="n"/>
      <c r="D663" s="10" t="n"/>
      <c r="F663" s="9" t="n"/>
      <c r="H663" s="8" t="n"/>
    </row>
    <row r="664">
      <c r="A664" s="5" t="n"/>
      <c r="D664" s="10" t="n"/>
      <c r="F664" s="9" t="n"/>
      <c r="H664" s="8" t="n"/>
    </row>
    <row r="665">
      <c r="A665" s="5" t="n"/>
      <c r="D665" s="10" t="n"/>
      <c r="F665" s="9" t="n"/>
      <c r="H665" s="8" t="n"/>
    </row>
    <row r="666">
      <c r="A666" s="5" t="n"/>
      <c r="D666" s="10" t="n"/>
      <c r="F666" s="9" t="n"/>
      <c r="H666" s="8" t="n"/>
    </row>
    <row r="667">
      <c r="A667" s="5" t="n"/>
      <c r="D667" s="10" t="n"/>
      <c r="F667" s="9" t="n"/>
      <c r="H667" s="8" t="n"/>
    </row>
    <row r="668">
      <c r="A668" s="5" t="n"/>
      <c r="D668" s="10" t="n"/>
      <c r="F668" s="9" t="n"/>
      <c r="H668" s="8" t="n"/>
    </row>
    <row r="669">
      <c r="A669" s="5" t="n"/>
      <c r="D669" s="10" t="n"/>
      <c r="F669" s="9" t="n"/>
      <c r="H669" s="8" t="n"/>
    </row>
    <row r="670">
      <c r="A670" s="5" t="n"/>
      <c r="D670" s="10" t="n"/>
      <c r="F670" s="9" t="n"/>
      <c r="H670" s="8" t="n"/>
    </row>
    <row r="671">
      <c r="A671" s="5" t="n"/>
      <c r="D671" s="10" t="n"/>
      <c r="F671" s="9" t="n"/>
      <c r="H671" s="8" t="n"/>
    </row>
    <row r="672">
      <c r="A672" s="5" t="n"/>
      <c r="D672" s="10" t="n"/>
      <c r="F672" s="9" t="n"/>
      <c r="H672" s="8" t="n"/>
    </row>
    <row r="673">
      <c r="A673" s="5" t="n"/>
      <c r="D673" s="10" t="n"/>
      <c r="F673" s="9" t="n"/>
      <c r="H673" s="8" t="n"/>
    </row>
    <row r="674">
      <c r="A674" s="5" t="n"/>
      <c r="D674" s="10" t="n"/>
      <c r="F674" s="9" t="n"/>
      <c r="H674" s="8" t="n"/>
    </row>
    <row r="675">
      <c r="A675" s="5" t="n"/>
      <c r="D675" s="10" t="n"/>
      <c r="F675" s="9" t="n"/>
      <c r="H675" s="8" t="n"/>
    </row>
    <row r="676">
      <c r="A676" s="5" t="n"/>
      <c r="D676" s="10" t="n"/>
      <c r="F676" s="9" t="n"/>
      <c r="H676" s="8" t="n"/>
    </row>
    <row r="677">
      <c r="A677" s="5" t="n"/>
      <c r="D677" s="10" t="n"/>
      <c r="F677" s="9" t="n"/>
      <c r="H677" s="8" t="n"/>
    </row>
    <row r="678">
      <c r="A678" s="5" t="n"/>
      <c r="D678" s="10" t="n"/>
      <c r="F678" s="9" t="n"/>
      <c r="H678" s="8" t="n"/>
    </row>
    <row r="679">
      <c r="A679" s="5" t="n"/>
      <c r="D679" s="10" t="n"/>
      <c r="F679" s="9" t="n"/>
      <c r="H679" s="8" t="n"/>
    </row>
    <row r="680">
      <c r="A680" s="5" t="n"/>
      <c r="D680" s="10" t="n"/>
      <c r="F680" s="9" t="n"/>
      <c r="H680" s="8" t="n"/>
    </row>
    <row r="681">
      <c r="A681" s="5" t="n"/>
      <c r="D681" s="10" t="n"/>
      <c r="F681" s="9" t="n"/>
      <c r="H681" s="8" t="n"/>
    </row>
    <row r="682">
      <c r="A682" s="5" t="n"/>
      <c r="D682" s="10" t="n"/>
      <c r="F682" s="9" t="n"/>
      <c r="H682" s="8" t="n"/>
    </row>
    <row r="683">
      <c r="A683" s="5" t="n"/>
      <c r="D683" s="10" t="n"/>
      <c r="F683" s="9" t="n"/>
      <c r="H683" s="8" t="n"/>
    </row>
    <row r="684">
      <c r="A684" s="5" t="n"/>
      <c r="D684" s="10" t="n"/>
      <c r="F684" s="9" t="n"/>
      <c r="H684" s="8" t="n"/>
    </row>
    <row r="685">
      <c r="A685" s="5" t="n"/>
      <c r="D685" s="10" t="n"/>
      <c r="F685" s="9" t="n"/>
      <c r="H685" s="8" t="n"/>
    </row>
    <row r="686">
      <c r="A686" s="5" t="n"/>
      <c r="D686" s="10" t="n"/>
      <c r="F686" s="9" t="n"/>
      <c r="H686" s="8" t="n"/>
    </row>
    <row r="687">
      <c r="A687" s="5" t="n"/>
      <c r="D687" s="10" t="n"/>
      <c r="F687" s="9" t="n"/>
      <c r="H687" s="8" t="n"/>
    </row>
    <row r="688">
      <c r="A688" s="5" t="n"/>
      <c r="D688" s="10" t="n"/>
      <c r="F688" s="9" t="n"/>
      <c r="H688" s="8" t="n"/>
    </row>
    <row r="689">
      <c r="A689" s="5" t="n"/>
      <c r="D689" s="10" t="n"/>
      <c r="F689" s="9" t="n"/>
      <c r="H689" s="8" t="n"/>
    </row>
    <row r="690">
      <c r="A690" s="5" t="n"/>
      <c r="D690" s="10" t="n"/>
      <c r="F690" s="9" t="n"/>
      <c r="H690" s="8" t="n"/>
    </row>
    <row r="691">
      <c r="A691" s="5" t="n"/>
      <c r="D691" s="10" t="n"/>
      <c r="F691" s="9" t="n"/>
      <c r="H691" s="8" t="n"/>
    </row>
    <row r="692">
      <c r="A692" s="5" t="n"/>
      <c r="D692" s="10" t="n"/>
      <c r="F692" s="9" t="n"/>
      <c r="H692" s="8" t="n"/>
    </row>
    <row r="693">
      <c r="A693" s="5" t="n"/>
      <c r="D693" s="10" t="n"/>
      <c r="F693" s="9" t="n"/>
      <c r="H693" s="8" t="n"/>
    </row>
    <row r="694">
      <c r="A694" s="5" t="n"/>
      <c r="D694" s="10" t="n"/>
      <c r="F694" s="9" t="n"/>
      <c r="H694" s="8" t="n"/>
    </row>
    <row r="695">
      <c r="A695" s="5" t="n"/>
      <c r="D695" s="10" t="n"/>
      <c r="F695" s="9" t="n"/>
      <c r="H695" s="8" t="n"/>
    </row>
    <row r="696">
      <c r="A696" s="5" t="n"/>
      <c r="D696" s="10" t="n"/>
      <c r="F696" s="9" t="n"/>
      <c r="H696" s="8" t="n"/>
    </row>
    <row r="697">
      <c r="A697" s="5" t="n"/>
      <c r="D697" s="10" t="n"/>
      <c r="F697" s="9" t="n"/>
      <c r="H697" s="8" t="n"/>
    </row>
    <row r="698">
      <c r="A698" s="5" t="n"/>
      <c r="D698" s="10" t="n"/>
      <c r="F698" s="9" t="n"/>
      <c r="H698" s="8" t="n"/>
    </row>
    <row r="699">
      <c r="A699" s="5" t="n"/>
      <c r="D699" s="10" t="n"/>
      <c r="F699" s="9" t="n"/>
      <c r="H699" s="8" t="n"/>
    </row>
    <row r="700">
      <c r="A700" s="5" t="n"/>
      <c r="D700" s="10" t="n"/>
      <c r="F700" s="9" t="n"/>
      <c r="H700" s="8" t="n"/>
    </row>
    <row r="701">
      <c r="A701" s="5" t="n"/>
      <c r="D701" s="10" t="n"/>
      <c r="F701" s="9" t="n"/>
      <c r="H701" s="8" t="n"/>
    </row>
    <row r="702">
      <c r="A702" s="5" t="n"/>
      <c r="D702" s="10" t="n"/>
      <c r="F702" s="9" t="n"/>
      <c r="H702" s="8" t="n"/>
    </row>
    <row r="703">
      <c r="A703" s="5" t="n"/>
      <c r="D703" s="10" t="n"/>
      <c r="F703" s="9" t="n"/>
      <c r="H703" s="8" t="n"/>
    </row>
    <row r="704">
      <c r="A704" s="5" t="n"/>
      <c r="D704" s="10" t="n"/>
      <c r="F704" s="9" t="n"/>
      <c r="H704" s="8" t="n"/>
    </row>
    <row r="705">
      <c r="A705" s="5" t="n"/>
      <c r="D705" s="10" t="n"/>
      <c r="F705" s="9" t="n"/>
      <c r="H705" s="8" t="n"/>
    </row>
    <row r="706">
      <c r="A706" s="5" t="n"/>
      <c r="D706" s="10" t="n"/>
      <c r="F706" s="9" t="n"/>
      <c r="H706" s="8" t="n"/>
    </row>
    <row r="707">
      <c r="A707" s="5" t="n"/>
      <c r="D707" s="10" t="n"/>
      <c r="F707" s="9" t="n"/>
      <c r="H707" s="8" t="n"/>
    </row>
    <row r="708">
      <c r="A708" s="5" t="n"/>
      <c r="D708" s="10" t="n"/>
      <c r="F708" s="9" t="n"/>
      <c r="H708" s="8" t="n"/>
    </row>
    <row r="709">
      <c r="A709" s="5" t="n"/>
      <c r="D709" s="10" t="n"/>
      <c r="F709" s="9" t="n"/>
      <c r="H709" s="8" t="n"/>
    </row>
    <row r="710">
      <c r="A710" s="5" t="n"/>
      <c r="D710" s="10" t="n"/>
      <c r="F710" s="9" t="n"/>
      <c r="H710" s="8" t="n"/>
    </row>
    <row r="711">
      <c r="A711" s="5" t="n"/>
      <c r="D711" s="10" t="n"/>
      <c r="F711" s="9" t="n"/>
      <c r="H711" s="8" t="n"/>
    </row>
    <row r="712">
      <c r="A712" s="5" t="n"/>
      <c r="D712" s="10" t="n"/>
      <c r="F712" s="9" t="n"/>
      <c r="H712" s="8" t="n"/>
    </row>
    <row r="713">
      <c r="A713" s="5" t="n"/>
      <c r="D713" s="10" t="n"/>
      <c r="F713" s="9" t="n"/>
      <c r="H713" s="8" t="n"/>
    </row>
    <row r="714">
      <c r="A714" s="5" t="n"/>
      <c r="D714" s="10" t="n"/>
      <c r="F714" s="9" t="n"/>
      <c r="H714" s="8" t="n"/>
    </row>
    <row r="715">
      <c r="A715" s="5" t="n"/>
      <c r="D715" s="10" t="n"/>
      <c r="F715" s="9" t="n"/>
      <c r="H715" s="8" t="n"/>
    </row>
    <row r="716">
      <c r="A716" s="5" t="n"/>
      <c r="D716" s="10" t="n"/>
      <c r="F716" s="9" t="n"/>
      <c r="H716" s="8" t="n"/>
    </row>
    <row r="717">
      <c r="A717" s="5" t="n"/>
      <c r="D717" s="10" t="n"/>
      <c r="F717" s="9" t="n"/>
      <c r="H717" s="8" t="n"/>
    </row>
    <row r="718">
      <c r="A718" s="5" t="n"/>
      <c r="D718" s="10" t="n"/>
      <c r="F718" s="9" t="n"/>
      <c r="H718" s="8" t="n"/>
    </row>
    <row r="719">
      <c r="A719" s="5" t="n"/>
      <c r="D719" s="10" t="n"/>
      <c r="F719" s="9" t="n"/>
      <c r="H719" s="8" t="n"/>
    </row>
    <row r="720">
      <c r="A720" s="5" t="n"/>
      <c r="D720" s="10" t="n"/>
      <c r="F720" s="9" t="n"/>
      <c r="H720" s="8" t="n"/>
    </row>
    <row r="721">
      <c r="A721" s="5" t="n"/>
      <c r="D721" s="10" t="n"/>
      <c r="F721" s="9" t="n"/>
      <c r="H721" s="8" t="n"/>
    </row>
    <row r="722">
      <c r="A722" s="5" t="n"/>
      <c r="D722" s="10" t="n"/>
      <c r="F722" s="9" t="n"/>
      <c r="H722" s="8" t="n"/>
    </row>
    <row r="723">
      <c r="A723" s="7" t="n"/>
      <c r="D723" s="10" t="n"/>
      <c r="F723" s="9" t="n"/>
      <c r="H723" s="8" t="n"/>
    </row>
    <row r="724">
      <c r="D724" s="10" t="n"/>
      <c r="F724" s="9" t="n"/>
      <c r="H724" s="8" t="n"/>
    </row>
    <row r="725">
      <c r="D725" s="10" t="n"/>
      <c r="F725" s="9" t="n"/>
      <c r="H725" s="8" t="n"/>
    </row>
    <row r="726">
      <c r="D726" s="10" t="n"/>
      <c r="F726" s="9" t="n"/>
      <c r="H726" s="8" t="n"/>
    </row>
    <row r="727">
      <c r="A727" s="3" t="n"/>
      <c r="D727" s="10" t="n"/>
      <c r="F727" s="9" t="n"/>
      <c r="H727" s="8" t="n"/>
    </row>
    <row r="728">
      <c r="A728" s="3" t="n"/>
      <c r="D728" s="10" t="n"/>
      <c r="F728" s="9" t="n"/>
      <c r="H728" s="8" t="n"/>
    </row>
    <row r="729">
      <c r="A729" s="5" t="n"/>
      <c r="D729" s="10" t="n"/>
      <c r="F729" s="9" t="n"/>
      <c r="H729" s="8" t="n"/>
    </row>
    <row r="730">
      <c r="A730" s="5" t="n"/>
      <c r="D730" s="10" t="n"/>
      <c r="F730" s="9" t="n"/>
      <c r="H730" s="8" t="n"/>
    </row>
    <row r="731">
      <c r="A731" s="5" t="n"/>
      <c r="D731" s="10" t="n"/>
      <c r="F731" s="9" t="n"/>
      <c r="H731" s="8" t="n"/>
    </row>
    <row r="732">
      <c r="A732" s="5" t="n"/>
      <c r="D732" s="10" t="n"/>
      <c r="F732" s="9" t="n"/>
      <c r="H732" s="8" t="n"/>
    </row>
    <row r="733">
      <c r="A733" s="5" t="n"/>
      <c r="D733" s="10" t="n"/>
      <c r="F733" s="9" t="n"/>
      <c r="H733" s="8" t="n"/>
    </row>
    <row r="734">
      <c r="A734" s="5" t="n"/>
      <c r="D734" s="10" t="n"/>
      <c r="F734" s="9" t="n"/>
      <c r="H734" s="8" t="n"/>
    </row>
    <row r="735">
      <c r="A735" s="5" t="n"/>
      <c r="D735" s="10" t="n"/>
      <c r="F735" s="9" t="n"/>
      <c r="H735" s="8" t="n"/>
    </row>
    <row r="736">
      <c r="A736" s="5" t="n"/>
      <c r="D736" s="10" t="n"/>
      <c r="F736" s="9" t="n"/>
      <c r="H736" s="8" t="n"/>
    </row>
    <row r="737">
      <c r="A737" s="5" t="n"/>
      <c r="D737" s="10" t="n"/>
      <c r="F737" s="9" t="n"/>
      <c r="H737" s="8" t="n"/>
    </row>
    <row r="738">
      <c r="A738" s="5" t="n"/>
      <c r="D738" s="10" t="n"/>
      <c r="F738" s="9" t="n"/>
      <c r="H738" s="8" t="n"/>
    </row>
    <row r="739">
      <c r="A739" s="5" t="n"/>
      <c r="D739" s="10" t="n"/>
      <c r="F739" s="9" t="n"/>
      <c r="H739" s="8" t="n"/>
    </row>
    <row r="740">
      <c r="A740" s="5" t="n"/>
      <c r="D740" s="10" t="n"/>
      <c r="F740" s="9" t="n"/>
      <c r="H740" s="8" t="n"/>
    </row>
    <row r="741">
      <c r="A741" s="5" t="n"/>
      <c r="D741" s="10" t="n"/>
      <c r="F741" s="9" t="n"/>
      <c r="H741" s="8" t="n"/>
    </row>
    <row r="742">
      <c r="A742" s="5" t="n"/>
      <c r="D742" s="10" t="n"/>
      <c r="F742" s="9" t="n"/>
      <c r="H742" s="8" t="n"/>
    </row>
    <row r="743">
      <c r="A743" s="5" t="n"/>
      <c r="D743" s="10" t="n"/>
      <c r="F743" s="9" t="n"/>
      <c r="H743" s="8" t="n"/>
    </row>
    <row r="744">
      <c r="A744" s="5" t="n"/>
      <c r="D744" s="10" t="n"/>
      <c r="F744" s="9" t="n"/>
      <c r="H744" s="8" t="n"/>
    </row>
    <row r="745">
      <c r="A745" s="5" t="n"/>
      <c r="D745" s="10" t="n"/>
      <c r="F745" s="9" t="n"/>
      <c r="H745" s="8" t="n"/>
    </row>
    <row r="746">
      <c r="A746" s="5" t="n"/>
      <c r="D746" s="10" t="n"/>
      <c r="F746" s="9" t="n"/>
      <c r="H746" s="8" t="n"/>
    </row>
    <row r="747">
      <c r="A747" s="5" t="n"/>
      <c r="D747" s="10" t="n"/>
      <c r="F747" s="9" t="n"/>
      <c r="H747" s="8" t="n"/>
    </row>
    <row r="748">
      <c r="A748" s="5" t="n"/>
      <c r="D748" s="10" t="n"/>
      <c r="F748" s="9" t="n"/>
      <c r="H748" s="8" t="n"/>
    </row>
    <row r="749">
      <c r="A749" s="5" t="n"/>
      <c r="D749" s="10" t="n"/>
      <c r="F749" s="9" t="n"/>
      <c r="H749" s="8" t="n"/>
    </row>
    <row r="750">
      <c r="A750" s="5" t="n"/>
      <c r="D750" s="10" t="n"/>
      <c r="F750" s="9" t="n"/>
      <c r="H750" s="8" t="n"/>
    </row>
    <row r="751">
      <c r="A751" s="5" t="n"/>
      <c r="D751" s="10" t="n"/>
      <c r="F751" s="9" t="n"/>
      <c r="H751" s="8" t="n"/>
    </row>
    <row r="752">
      <c r="A752" s="5" t="n"/>
      <c r="D752" s="10" t="n"/>
      <c r="F752" s="9" t="n"/>
      <c r="H752" s="8" t="n"/>
    </row>
    <row r="753">
      <c r="A753" s="5" t="n"/>
      <c r="D753" s="10" t="n"/>
      <c r="F753" s="9" t="n"/>
      <c r="H753" s="8" t="n"/>
    </row>
    <row r="754">
      <c r="A754" s="5" t="n"/>
      <c r="D754" s="10" t="n"/>
      <c r="F754" s="9" t="n"/>
      <c r="H754" s="8" t="n"/>
    </row>
    <row r="755">
      <c r="A755" s="5" t="n"/>
      <c r="D755" s="10" t="n"/>
      <c r="F755" s="9" t="n"/>
      <c r="H755" s="8" t="n"/>
    </row>
    <row r="756">
      <c r="A756" s="5" t="n"/>
      <c r="D756" s="10" t="n"/>
      <c r="F756" s="9" t="n"/>
      <c r="H756" s="8" t="n"/>
    </row>
    <row r="757">
      <c r="A757" s="5" t="n"/>
      <c r="D757" s="10" t="n"/>
      <c r="F757" s="9" t="n"/>
      <c r="H757" s="8" t="n"/>
    </row>
    <row r="758">
      <c r="A758" s="5" t="n"/>
      <c r="D758" s="10" t="n"/>
      <c r="F758" s="9" t="n"/>
      <c r="H758" s="8" t="n"/>
    </row>
    <row r="759">
      <c r="A759" s="5" t="n"/>
      <c r="D759" s="10" t="n"/>
      <c r="F759" s="9" t="n"/>
      <c r="H759" s="8" t="n"/>
    </row>
    <row r="760">
      <c r="A760" s="5" t="n"/>
      <c r="D760" s="10" t="n"/>
      <c r="F760" s="9" t="n"/>
      <c r="H760" s="8" t="n"/>
    </row>
    <row r="761">
      <c r="A761" s="5" t="n"/>
      <c r="D761" s="10" t="n"/>
      <c r="F761" s="9" t="n"/>
      <c r="H761" s="8" t="n"/>
    </row>
    <row r="762">
      <c r="A762" s="5" t="n"/>
      <c r="D762" s="10" t="n"/>
      <c r="F762" s="9" t="n"/>
      <c r="H762" s="8" t="n"/>
    </row>
    <row r="763">
      <c r="A763" s="5" t="n"/>
      <c r="D763" s="10" t="n"/>
      <c r="F763" s="9" t="n"/>
      <c r="H763" s="8" t="n"/>
    </row>
    <row r="764">
      <c r="A764" s="5" t="n"/>
      <c r="D764" s="10" t="n"/>
      <c r="F764" s="9" t="n"/>
      <c r="H764" s="8" t="n"/>
    </row>
    <row r="765">
      <c r="A765" s="5" t="n"/>
      <c r="D765" s="10" t="n"/>
      <c r="F765" s="9" t="n"/>
      <c r="H765" s="8" t="n"/>
    </row>
    <row r="766">
      <c r="A766" s="5" t="n"/>
      <c r="D766" s="10" t="n"/>
      <c r="F766" s="9" t="n"/>
      <c r="H766" s="8" t="n"/>
    </row>
    <row r="767">
      <c r="A767" s="5" t="n"/>
      <c r="D767" s="10" t="n"/>
      <c r="F767" s="9" t="n"/>
      <c r="H767" s="8" t="n"/>
    </row>
    <row r="768">
      <c r="A768" s="5" t="n"/>
      <c r="D768" s="10" t="n"/>
      <c r="F768" s="9" t="n"/>
      <c r="H768" s="8" t="n"/>
    </row>
    <row r="769">
      <c r="A769" s="5" t="n"/>
      <c r="D769" s="10" t="n"/>
      <c r="F769" s="9" t="n"/>
      <c r="H769" s="8" t="n"/>
    </row>
    <row r="770">
      <c r="A770" s="5" t="n"/>
      <c r="D770" s="10" t="n"/>
      <c r="F770" s="9" t="n"/>
      <c r="H770" s="8" t="n"/>
    </row>
    <row r="771">
      <c r="A771" s="5" t="n"/>
      <c r="D771" s="10" t="n"/>
      <c r="F771" s="9" t="n"/>
      <c r="H771" s="8" t="n"/>
    </row>
    <row r="772">
      <c r="A772" s="5" t="n"/>
      <c r="D772" s="10" t="n"/>
      <c r="F772" s="9" t="n"/>
      <c r="H772" s="8" t="n"/>
    </row>
    <row r="773">
      <c r="A773" s="5" t="n"/>
      <c r="D773" s="10" t="n"/>
      <c r="F773" s="9" t="n"/>
      <c r="H773" s="8" t="n"/>
    </row>
    <row r="774">
      <c r="A774" s="5" t="n"/>
      <c r="D774" s="10" t="n"/>
      <c r="F774" s="9" t="n"/>
      <c r="H774" s="8" t="n"/>
    </row>
    <row r="775">
      <c r="A775" s="5" t="n"/>
      <c r="D775" s="10" t="n"/>
      <c r="F775" s="9" t="n"/>
      <c r="H775" s="8" t="n"/>
    </row>
    <row r="776">
      <c r="A776" s="5" t="n"/>
      <c r="D776" s="10" t="n"/>
      <c r="F776" s="9" t="n"/>
      <c r="H776" s="8" t="n"/>
    </row>
    <row r="777">
      <c r="A777" s="5" t="n"/>
      <c r="D777" s="10" t="n"/>
      <c r="F777" s="9" t="n"/>
      <c r="H777" s="8" t="n"/>
    </row>
    <row r="778">
      <c r="A778" s="5" t="n"/>
      <c r="D778" s="10" t="n"/>
      <c r="F778" s="9" t="n"/>
      <c r="H778" s="8" t="n"/>
    </row>
    <row r="779">
      <c r="A779" s="5" t="n"/>
      <c r="D779" s="10" t="n"/>
      <c r="F779" s="9" t="n"/>
      <c r="H779" s="8" t="n"/>
    </row>
    <row r="780">
      <c r="A780" s="5" t="n"/>
      <c r="D780" s="10" t="n"/>
      <c r="F780" s="9" t="n"/>
      <c r="H780" s="8" t="n"/>
    </row>
    <row r="781">
      <c r="A781" s="5" t="n"/>
      <c r="D781" s="10" t="n"/>
      <c r="F781" s="9" t="n"/>
      <c r="H781" s="8" t="n"/>
    </row>
    <row r="782">
      <c r="A782" s="5" t="n"/>
      <c r="D782" s="10" t="n"/>
      <c r="F782" s="9" t="n"/>
      <c r="H782" s="8" t="n"/>
    </row>
    <row r="783">
      <c r="A783" s="5" t="n"/>
      <c r="D783" s="10" t="n"/>
      <c r="F783" s="9" t="n"/>
      <c r="H783" s="8" t="n"/>
    </row>
    <row r="784">
      <c r="A784" s="5" t="n"/>
      <c r="D784" s="10" t="n"/>
      <c r="F784" s="9" t="n"/>
      <c r="H784" s="8" t="n"/>
    </row>
    <row r="785">
      <c r="A785" s="5" t="n"/>
      <c r="D785" s="10" t="n"/>
      <c r="F785" s="9" t="n"/>
      <c r="H785" s="8" t="n"/>
    </row>
    <row r="786">
      <c r="A786" s="5" t="n"/>
      <c r="D786" s="10" t="n"/>
      <c r="F786" s="9" t="n"/>
      <c r="H786" s="8" t="n"/>
    </row>
    <row r="787">
      <c r="A787" s="5" t="n"/>
      <c r="D787" s="10" t="n"/>
      <c r="F787" s="9" t="n"/>
      <c r="H787" s="8" t="n"/>
    </row>
    <row r="788">
      <c r="A788" s="5" t="n"/>
      <c r="D788" s="10" t="n"/>
      <c r="F788" s="9" t="n"/>
      <c r="H788" s="8" t="n"/>
    </row>
    <row r="789">
      <c r="A789" s="5" t="n"/>
      <c r="D789" s="10" t="n"/>
      <c r="F789" s="9" t="n"/>
      <c r="H789" s="8" t="n"/>
    </row>
    <row r="790">
      <c r="A790" s="5" t="n"/>
      <c r="D790" s="10" t="n"/>
      <c r="F790" s="9" t="n"/>
      <c r="H790" s="8" t="n"/>
    </row>
    <row r="791">
      <c r="A791" s="5" t="n"/>
      <c r="D791" s="10" t="n"/>
      <c r="F791" s="9" t="n"/>
      <c r="H791" s="8" t="n"/>
    </row>
    <row r="792">
      <c r="A792" s="5" t="n"/>
      <c r="D792" s="10" t="n"/>
      <c r="F792" s="9" t="n"/>
      <c r="H792" s="8" t="n"/>
    </row>
    <row r="793">
      <c r="A793" s="5" t="n"/>
      <c r="D793" s="10" t="n"/>
      <c r="F793" s="9" t="n"/>
      <c r="H793" s="8" t="n"/>
    </row>
    <row r="794">
      <c r="A794" s="5" t="n"/>
      <c r="D794" s="10" t="n"/>
      <c r="F794" s="9" t="n"/>
      <c r="H794" s="8" t="n"/>
    </row>
    <row r="795">
      <c r="A795" s="5" t="n"/>
      <c r="D795" s="10" t="n"/>
      <c r="F795" s="9" t="n"/>
      <c r="H795" s="8" t="n"/>
    </row>
    <row r="796">
      <c r="A796" s="7" t="n"/>
      <c r="D796" s="10" t="n"/>
      <c r="F796" s="9" t="n"/>
      <c r="H796" s="8" t="n"/>
    </row>
    <row r="797">
      <c r="D797" s="10" t="n"/>
      <c r="F797" s="9" t="n"/>
      <c r="H797" s="8" t="n"/>
    </row>
    <row r="798">
      <c r="D798" s="10" t="n"/>
      <c r="F798" s="9" t="n"/>
      <c r="H798" s="8" t="n"/>
    </row>
    <row r="799">
      <c r="D799" s="10" t="n"/>
      <c r="F799" s="9" t="n"/>
      <c r="H799" s="8" t="n"/>
    </row>
    <row r="800">
      <c r="A800" s="3" t="n"/>
      <c r="D800" s="10" t="n"/>
      <c r="F800" s="9" t="n"/>
      <c r="H800" s="8" t="n"/>
    </row>
    <row r="801">
      <c r="A801" s="3" t="n"/>
      <c r="D801" s="10" t="n"/>
      <c r="F801" s="9" t="n"/>
      <c r="H801" s="8" t="n"/>
    </row>
    <row r="802">
      <c r="A802" s="5" t="n"/>
      <c r="D802" s="10" t="n"/>
      <c r="F802" s="9" t="n"/>
      <c r="H802" s="8" t="n"/>
    </row>
    <row r="803">
      <c r="A803" s="5" t="n"/>
      <c r="D803" s="10" t="n"/>
      <c r="F803" s="9" t="n"/>
      <c r="H803" s="8" t="n"/>
    </row>
    <row r="804">
      <c r="A804" s="5" t="n"/>
      <c r="D804" s="10" t="n"/>
      <c r="F804" s="9" t="n"/>
      <c r="H804" s="8" t="n"/>
    </row>
    <row r="805">
      <c r="A805" s="5" t="n"/>
      <c r="D805" s="10" t="n"/>
      <c r="F805" s="9" t="n"/>
      <c r="H805" s="8" t="n"/>
    </row>
    <row r="806">
      <c r="A806" s="5" t="n"/>
      <c r="D806" s="10" t="n"/>
      <c r="F806" s="9" t="n"/>
      <c r="H806" s="8" t="n"/>
    </row>
    <row r="807">
      <c r="A807" s="5" t="n"/>
      <c r="D807" s="10" t="n"/>
      <c r="F807" s="9" t="n"/>
      <c r="H807" s="8" t="n"/>
    </row>
    <row r="808">
      <c r="A808" s="5" t="n"/>
      <c r="D808" s="10" t="n"/>
      <c r="F808" s="9" t="n"/>
      <c r="H808" s="8" t="n"/>
    </row>
    <row r="809">
      <c r="A809" s="5" t="n"/>
      <c r="D809" s="10" t="n"/>
      <c r="F809" s="9" t="n"/>
      <c r="H809" s="8" t="n"/>
    </row>
    <row r="810">
      <c r="A810" s="5" t="n"/>
      <c r="D810" s="10" t="n"/>
      <c r="F810" s="9" t="n"/>
      <c r="H810" s="8" t="n"/>
    </row>
    <row r="811">
      <c r="A811" s="5" t="n"/>
      <c r="D811" s="10" t="n"/>
      <c r="F811" s="9" t="n"/>
      <c r="H811" s="8" t="n"/>
    </row>
    <row r="812">
      <c r="A812" s="5" t="n"/>
      <c r="D812" s="10" t="n"/>
      <c r="F812" s="9" t="n"/>
      <c r="H812" s="8" t="n"/>
    </row>
    <row r="813">
      <c r="A813" s="5" t="n"/>
      <c r="D813" s="10" t="n"/>
      <c r="F813" s="9" t="n"/>
      <c r="H813" s="8" t="n"/>
    </row>
    <row r="814">
      <c r="A814" s="5" t="n"/>
      <c r="D814" s="10" t="n"/>
      <c r="F814" s="9" t="n"/>
      <c r="H814" s="8" t="n"/>
    </row>
    <row r="815">
      <c r="A815" s="5" t="n"/>
      <c r="D815" s="10" t="n"/>
      <c r="F815" s="9" t="n"/>
      <c r="H815" s="8" t="n"/>
    </row>
    <row r="816">
      <c r="A816" s="5" t="n"/>
      <c r="D816" s="10" t="n"/>
      <c r="F816" s="9" t="n"/>
      <c r="H816" s="8" t="n"/>
    </row>
    <row r="817">
      <c r="A817" s="5" t="n"/>
      <c r="D817" s="10" t="n"/>
      <c r="F817" s="9" t="n"/>
      <c r="H817" s="8" t="n"/>
    </row>
    <row r="818">
      <c r="A818" s="5" t="n"/>
      <c r="D818" s="10" t="n"/>
      <c r="F818" s="9" t="n"/>
      <c r="H818" s="8" t="n"/>
    </row>
    <row r="819">
      <c r="A819" s="5" t="n"/>
      <c r="D819" s="10" t="n"/>
      <c r="F819" s="9" t="n"/>
      <c r="H819" s="8" t="n"/>
    </row>
    <row r="820">
      <c r="A820" s="5" t="n"/>
      <c r="D820" s="10" t="n"/>
      <c r="F820" s="9" t="n"/>
      <c r="H820" s="8" t="n"/>
    </row>
    <row r="821">
      <c r="A821" s="5" t="n"/>
      <c r="D821" s="10" t="n"/>
      <c r="F821" s="9" t="n"/>
      <c r="H821" s="8" t="n"/>
    </row>
    <row r="822">
      <c r="A822" s="5" t="n"/>
      <c r="D822" s="10" t="n"/>
      <c r="F822" s="9" t="n"/>
      <c r="H822" s="8" t="n"/>
    </row>
    <row r="823">
      <c r="A823" s="5" t="n"/>
      <c r="D823" s="10" t="n"/>
      <c r="F823" s="9" t="n"/>
      <c r="H823" s="8" t="n"/>
    </row>
    <row r="824">
      <c r="A824" s="5" t="n"/>
      <c r="D824" s="10" t="n"/>
      <c r="F824" s="9" t="n"/>
      <c r="H824" s="8" t="n"/>
    </row>
    <row r="825">
      <c r="A825" s="5" t="n"/>
      <c r="D825" s="10" t="n"/>
      <c r="F825" s="9" t="n"/>
      <c r="H825" s="8" t="n"/>
    </row>
    <row r="826">
      <c r="A826" s="5" t="n"/>
      <c r="D826" s="10" t="n"/>
      <c r="F826" s="9" t="n"/>
      <c r="H826" s="8" t="n"/>
    </row>
    <row r="827">
      <c r="A827" s="5" t="n"/>
      <c r="D827" s="10" t="n"/>
      <c r="F827" s="9" t="n"/>
      <c r="H827" s="8" t="n"/>
    </row>
    <row r="828">
      <c r="A828" s="5" t="n"/>
      <c r="D828" s="10" t="n"/>
      <c r="F828" s="9" t="n"/>
      <c r="H828" s="8" t="n"/>
    </row>
    <row r="829">
      <c r="A829" s="5" t="n"/>
      <c r="D829" s="10" t="n"/>
      <c r="F829" s="9" t="n"/>
      <c r="H829" s="8" t="n"/>
    </row>
    <row r="830">
      <c r="A830" s="5" t="n"/>
      <c r="D830" s="10" t="n"/>
      <c r="F830" s="9" t="n"/>
      <c r="H830" s="8" t="n"/>
    </row>
    <row r="831">
      <c r="A831" s="5" t="n"/>
      <c r="D831" s="10" t="n"/>
      <c r="F831" s="9" t="n"/>
      <c r="H831" s="8" t="n"/>
    </row>
    <row r="832">
      <c r="A832" s="5" t="n"/>
      <c r="D832" s="10" t="n"/>
      <c r="F832" s="9" t="n"/>
      <c r="H832" s="8" t="n"/>
    </row>
    <row r="833">
      <c r="A833" s="5" t="n"/>
      <c r="D833" s="10" t="n"/>
      <c r="F833" s="9" t="n"/>
      <c r="H833" s="8" t="n"/>
    </row>
    <row r="834">
      <c r="A834" s="5" t="n"/>
      <c r="D834" s="10" t="n"/>
      <c r="F834" s="9" t="n"/>
      <c r="H834" s="8" t="n"/>
    </row>
    <row r="835">
      <c r="A835" s="5" t="n"/>
      <c r="D835" s="10" t="n"/>
      <c r="F835" s="9" t="n"/>
      <c r="H835" s="8" t="n"/>
    </row>
    <row r="836">
      <c r="A836" s="5" t="n"/>
      <c r="D836" s="10" t="n"/>
      <c r="F836" s="9" t="n"/>
      <c r="H836" s="8" t="n"/>
    </row>
    <row r="837">
      <c r="A837" s="5" t="n"/>
      <c r="D837" s="10" t="n"/>
      <c r="F837" s="9" t="n"/>
      <c r="H837" s="8" t="n"/>
    </row>
    <row r="838">
      <c r="A838" s="5" t="n"/>
      <c r="D838" s="10" t="n"/>
      <c r="F838" s="9" t="n"/>
      <c r="H838" s="8" t="n"/>
    </row>
    <row r="839">
      <c r="A839" s="5" t="n"/>
      <c r="D839" s="10" t="n"/>
      <c r="F839" s="9" t="n"/>
      <c r="H839" s="8" t="n"/>
    </row>
    <row r="840">
      <c r="A840" s="5" t="n"/>
      <c r="D840" s="10" t="n"/>
      <c r="F840" s="9" t="n"/>
      <c r="H840" s="8" t="n"/>
    </row>
    <row r="841">
      <c r="A841" s="5" t="n"/>
      <c r="D841" s="10" t="n"/>
      <c r="F841" s="9" t="n"/>
      <c r="H841" s="8" t="n"/>
    </row>
    <row r="842">
      <c r="A842" s="5" t="n"/>
      <c r="D842" s="10" t="n"/>
      <c r="F842" s="9" t="n"/>
      <c r="H842" s="8" t="n"/>
    </row>
    <row r="843">
      <c r="A843" s="5" t="n"/>
      <c r="D843" s="10" t="n"/>
      <c r="F843" s="9" t="n"/>
      <c r="H843" s="8" t="n"/>
    </row>
    <row r="844">
      <c r="A844" s="5" t="n"/>
      <c r="D844" s="10" t="n"/>
      <c r="F844" s="9" t="n"/>
      <c r="H844" s="8" t="n"/>
    </row>
    <row r="845">
      <c r="A845" s="5" t="n"/>
      <c r="D845" s="10" t="n"/>
      <c r="F845" s="9" t="n"/>
      <c r="H845" s="8" t="n"/>
    </row>
    <row r="846">
      <c r="A846" s="5" t="n"/>
      <c r="D846" s="10" t="n"/>
      <c r="F846" s="9" t="n"/>
      <c r="H846" s="8" t="n"/>
    </row>
    <row r="847">
      <c r="A847" s="5" t="n"/>
      <c r="D847" s="10" t="n"/>
      <c r="F847" s="9" t="n"/>
      <c r="H847" s="8" t="n"/>
    </row>
    <row r="848">
      <c r="A848" s="5" t="n"/>
      <c r="D848" s="10" t="n"/>
      <c r="F848" s="9" t="n"/>
      <c r="H848" s="8" t="n"/>
    </row>
    <row r="849">
      <c r="A849" s="5" t="n"/>
      <c r="D849" s="10" t="n"/>
      <c r="F849" s="9" t="n"/>
      <c r="H849" s="8" t="n"/>
    </row>
    <row r="850">
      <c r="A850" s="5" t="n"/>
      <c r="D850" s="10" t="n"/>
      <c r="F850" s="9" t="n"/>
      <c r="H850" s="8" t="n"/>
    </row>
    <row r="851">
      <c r="A851" s="5" t="n"/>
      <c r="D851" s="10" t="n"/>
      <c r="F851" s="9" t="n"/>
      <c r="H851" s="8" t="n"/>
    </row>
    <row r="852">
      <c r="A852" s="5" t="n"/>
      <c r="D852" s="10" t="n"/>
      <c r="F852" s="9" t="n"/>
      <c r="H852" s="8" t="n"/>
    </row>
    <row r="853">
      <c r="A853" s="5" t="n"/>
      <c r="D853" s="10" t="n"/>
      <c r="F853" s="9" t="n"/>
      <c r="H853" s="8" t="n"/>
    </row>
    <row r="854">
      <c r="A854" s="5" t="n"/>
      <c r="D854" s="10" t="n"/>
      <c r="F854" s="9" t="n"/>
      <c r="H854" s="8" t="n"/>
    </row>
    <row r="855">
      <c r="A855" s="5" t="n"/>
      <c r="D855" s="10" t="n"/>
      <c r="F855" s="9" t="n"/>
      <c r="H855" s="8" t="n"/>
    </row>
    <row r="856">
      <c r="A856" s="5" t="n"/>
      <c r="D856" s="10" t="n"/>
      <c r="F856" s="9" t="n"/>
      <c r="H856" s="8" t="n"/>
    </row>
    <row r="857">
      <c r="A857" s="5" t="n"/>
      <c r="D857" s="10" t="n"/>
      <c r="F857" s="9" t="n"/>
      <c r="H857" s="8" t="n"/>
    </row>
    <row r="858">
      <c r="A858" s="5" t="n"/>
      <c r="D858" s="10" t="n"/>
      <c r="F858" s="9" t="n"/>
      <c r="H858" s="8" t="n"/>
    </row>
    <row r="859">
      <c r="A859" s="5" t="n"/>
      <c r="D859" s="10" t="n"/>
      <c r="F859" s="9" t="n"/>
      <c r="H859" s="8" t="n"/>
    </row>
    <row r="860">
      <c r="A860" s="5" t="n"/>
      <c r="D860" s="10" t="n"/>
      <c r="F860" s="9" t="n"/>
      <c r="H860" s="8" t="n"/>
    </row>
    <row r="861">
      <c r="A861" s="5" t="n"/>
      <c r="D861" s="10" t="n"/>
      <c r="F861" s="9" t="n"/>
      <c r="H861" s="8" t="n"/>
    </row>
    <row r="862">
      <c r="A862" s="5" t="n"/>
      <c r="D862" s="10" t="n"/>
      <c r="F862" s="9" t="n"/>
      <c r="H862" s="8" t="n"/>
    </row>
    <row r="863">
      <c r="A863" s="5" t="n"/>
      <c r="D863" s="10" t="n"/>
      <c r="F863" s="9" t="n"/>
      <c r="H863" s="8" t="n"/>
    </row>
    <row r="864">
      <c r="A864" s="5" t="n"/>
      <c r="D864" s="10" t="n"/>
      <c r="F864" s="9" t="n"/>
      <c r="H864" s="8" t="n"/>
    </row>
    <row r="865">
      <c r="A865" s="5" t="n"/>
      <c r="D865" s="10" t="n"/>
      <c r="F865" s="9" t="n"/>
      <c r="H865" s="8" t="n"/>
    </row>
    <row r="866">
      <c r="A866" s="5" t="n"/>
      <c r="D866" s="10" t="n"/>
      <c r="F866" s="9" t="n"/>
      <c r="H866" s="8" t="n"/>
    </row>
    <row r="867">
      <c r="A867" s="5" t="n"/>
      <c r="D867" s="10" t="n"/>
      <c r="F867" s="9" t="n"/>
      <c r="H867" s="8" t="n"/>
    </row>
    <row r="868">
      <c r="A868" s="5" t="n"/>
      <c r="D868" s="10" t="n"/>
      <c r="F868" s="9" t="n"/>
      <c r="H868" s="8" t="n"/>
    </row>
    <row r="869">
      <c r="A869" s="7" t="n"/>
      <c r="D869" s="10" t="n"/>
      <c r="F869" s="9" t="n"/>
      <c r="H869" s="8" t="n"/>
    </row>
    <row r="870">
      <c r="D870" s="10" t="n"/>
      <c r="F870" s="9" t="n"/>
      <c r="H870" s="8" t="n"/>
    </row>
    <row r="871">
      <c r="D871" s="10" t="n"/>
      <c r="F871" s="9" t="n"/>
      <c r="H871" s="8" t="n"/>
    </row>
    <row r="872">
      <c r="D872" s="10" t="n"/>
      <c r="F872" s="9" t="n"/>
      <c r="H872" s="8" t="n"/>
    </row>
    <row r="873">
      <c r="A873" s="3" t="n"/>
      <c r="D873" s="10" t="n"/>
      <c r="F873" s="9" t="n"/>
      <c r="H873" s="8" t="n"/>
    </row>
    <row r="874">
      <c r="A874" s="3" t="n"/>
      <c r="D874" s="10" t="n"/>
      <c r="F874" s="9" t="n"/>
      <c r="H874" s="8" t="n"/>
    </row>
    <row r="875">
      <c r="A875" s="5" t="n"/>
      <c r="D875" s="10" t="n"/>
      <c r="F875" s="9" t="n"/>
      <c r="H875" s="8" t="n"/>
    </row>
    <row r="876">
      <c r="A876" s="5" t="n"/>
      <c r="D876" s="10" t="n"/>
      <c r="F876" s="9" t="n"/>
      <c r="H876" s="8" t="n"/>
    </row>
    <row r="877">
      <c r="A877" s="5" t="n"/>
      <c r="D877" s="10" t="n"/>
      <c r="F877" s="9" t="n"/>
      <c r="H877" s="8" t="n"/>
    </row>
    <row r="878">
      <c r="A878" s="5" t="n"/>
      <c r="D878" s="10" t="n"/>
      <c r="F878" s="9" t="n"/>
      <c r="H878" s="8" t="n"/>
    </row>
    <row r="879">
      <c r="A879" s="5" t="n"/>
      <c r="D879" s="10" t="n"/>
      <c r="F879" s="9" t="n"/>
      <c r="H879" s="8" t="n"/>
    </row>
    <row r="880">
      <c r="A880" s="5" t="n"/>
      <c r="D880" s="10" t="n"/>
      <c r="F880" s="9" t="n"/>
      <c r="H880" s="8" t="n"/>
    </row>
    <row r="881">
      <c r="A881" s="5" t="n"/>
      <c r="D881" s="10" t="n"/>
      <c r="F881" s="9" t="n"/>
      <c r="H881" s="8" t="n"/>
    </row>
    <row r="882">
      <c r="A882" s="5" t="n"/>
      <c r="D882" s="10" t="n"/>
      <c r="F882" s="9" t="n"/>
      <c r="H882" s="8" t="n"/>
    </row>
    <row r="883">
      <c r="A883" s="5" t="n"/>
      <c r="D883" s="10" t="n"/>
      <c r="F883" s="9" t="n"/>
      <c r="H883" s="8" t="n"/>
    </row>
    <row r="884">
      <c r="A884" s="5" t="n"/>
      <c r="D884" s="10" t="n"/>
      <c r="F884" s="9" t="n"/>
      <c r="H884" s="8" t="n"/>
    </row>
    <row r="885">
      <c r="A885" s="5" t="n"/>
      <c r="D885" s="10" t="n"/>
      <c r="F885" s="9" t="n"/>
      <c r="H885" s="8" t="n"/>
    </row>
    <row r="886">
      <c r="A886" s="5" t="n"/>
      <c r="D886" s="10" t="n"/>
      <c r="F886" s="9" t="n"/>
      <c r="H886" s="8" t="n"/>
    </row>
    <row r="887">
      <c r="A887" s="5" t="n"/>
      <c r="D887" s="10" t="n"/>
      <c r="F887" s="9" t="n"/>
      <c r="H887" s="8" t="n"/>
    </row>
    <row r="888">
      <c r="A888" s="5" t="n"/>
      <c r="D888" s="10" t="n"/>
      <c r="F888" s="9" t="n"/>
      <c r="H888" s="8" t="n"/>
    </row>
    <row r="889">
      <c r="A889" s="5" t="n"/>
      <c r="D889" s="10" t="n"/>
      <c r="F889" s="9" t="n"/>
      <c r="H889" s="8" t="n"/>
    </row>
    <row r="890">
      <c r="A890" s="5" t="n"/>
      <c r="D890" s="10" t="n"/>
      <c r="F890" s="9" t="n"/>
      <c r="H890" s="8" t="n"/>
    </row>
    <row r="891">
      <c r="A891" s="5" t="n"/>
      <c r="D891" s="10" t="n"/>
      <c r="F891" s="9" t="n"/>
      <c r="H891" s="8" t="n"/>
    </row>
    <row r="892">
      <c r="A892" s="5" t="n"/>
      <c r="D892" s="10" t="n"/>
      <c r="F892" s="9" t="n"/>
      <c r="H892" s="8" t="n"/>
    </row>
    <row r="893">
      <c r="A893" s="5" t="n"/>
      <c r="D893" s="10" t="n"/>
      <c r="F893" s="9" t="n"/>
      <c r="H893" s="8" t="n"/>
    </row>
    <row r="894">
      <c r="A894" s="5" t="n"/>
      <c r="D894" s="10" t="n"/>
      <c r="F894" s="9" t="n"/>
      <c r="H894" s="8" t="n"/>
    </row>
    <row r="895">
      <c r="A895" s="5" t="n"/>
      <c r="D895" s="10" t="n"/>
      <c r="F895" s="9" t="n"/>
      <c r="H895" s="8" t="n"/>
    </row>
    <row r="896">
      <c r="A896" s="5" t="n"/>
      <c r="D896" s="10" t="n"/>
      <c r="F896" s="9" t="n"/>
      <c r="H896" s="8" t="n"/>
    </row>
    <row r="897">
      <c r="A897" s="5" t="n"/>
      <c r="D897" s="10" t="n"/>
      <c r="F897" s="9" t="n"/>
      <c r="H897" s="8" t="n"/>
    </row>
    <row r="898">
      <c r="A898" s="5" t="n"/>
      <c r="D898" s="10" t="n"/>
      <c r="F898" s="9" t="n"/>
      <c r="H898" s="8" t="n"/>
    </row>
    <row r="899">
      <c r="A899" s="5" t="n"/>
      <c r="D899" s="10" t="n"/>
      <c r="F899" s="9" t="n"/>
      <c r="H899" s="8" t="n"/>
    </row>
    <row r="900">
      <c r="A900" s="5" t="n"/>
      <c r="D900" s="10" t="n"/>
      <c r="F900" s="9" t="n"/>
      <c r="H900" s="8" t="n"/>
    </row>
    <row r="901">
      <c r="A901" s="5" t="n"/>
      <c r="D901" s="10" t="n"/>
      <c r="F901" s="9" t="n"/>
      <c r="H901" s="8" t="n"/>
    </row>
    <row r="902">
      <c r="A902" s="5" t="n"/>
      <c r="D902" s="10" t="n"/>
      <c r="F902" s="9" t="n"/>
      <c r="H902" s="8" t="n"/>
    </row>
    <row r="903">
      <c r="A903" s="5" t="n"/>
      <c r="D903" s="10" t="n"/>
      <c r="F903" s="9" t="n"/>
      <c r="H903" s="8" t="n"/>
    </row>
    <row r="904">
      <c r="A904" s="5" t="n"/>
      <c r="D904" s="10" t="n"/>
      <c r="F904" s="9" t="n"/>
      <c r="H904" s="8" t="n"/>
    </row>
    <row r="905">
      <c r="A905" s="5" t="n"/>
      <c r="D905" s="10" t="n"/>
      <c r="F905" s="9" t="n"/>
      <c r="H905" s="8" t="n"/>
    </row>
    <row r="906">
      <c r="A906" s="5" t="n"/>
      <c r="D906" s="10" t="n"/>
      <c r="F906" s="9" t="n"/>
      <c r="H906" s="8" t="n"/>
    </row>
    <row r="907">
      <c r="A907" s="5" t="n"/>
      <c r="D907" s="10" t="n"/>
      <c r="F907" s="9" t="n"/>
      <c r="H907" s="8" t="n"/>
    </row>
    <row r="908">
      <c r="A908" s="5" t="n"/>
      <c r="D908" s="10" t="n"/>
      <c r="F908" s="9" t="n"/>
      <c r="H908" s="8" t="n"/>
    </row>
    <row r="909">
      <c r="A909" s="5" t="n"/>
      <c r="D909" s="10" t="n"/>
      <c r="F909" s="9" t="n"/>
      <c r="H909" s="8" t="n"/>
    </row>
    <row r="910">
      <c r="A910" s="5" t="n"/>
      <c r="D910" s="10" t="n"/>
      <c r="F910" s="9" t="n"/>
      <c r="H910" s="8" t="n"/>
    </row>
    <row r="911">
      <c r="A911" s="5" t="n"/>
      <c r="D911" s="10" t="n"/>
      <c r="F911" s="9" t="n"/>
      <c r="H911" s="8" t="n"/>
    </row>
    <row r="912">
      <c r="A912" s="5" t="n"/>
      <c r="D912" s="10" t="n"/>
      <c r="F912" s="9" t="n"/>
      <c r="H912" s="8" t="n"/>
    </row>
    <row r="913">
      <c r="A913" s="5" t="n"/>
      <c r="D913" s="10" t="n"/>
      <c r="F913" s="9" t="n"/>
      <c r="H913" s="8" t="n"/>
    </row>
    <row r="914">
      <c r="A914" s="5" t="n"/>
      <c r="D914" s="10" t="n"/>
      <c r="F914" s="9" t="n"/>
      <c r="H914" s="8" t="n"/>
    </row>
    <row r="915">
      <c r="A915" s="5" t="n"/>
      <c r="D915" s="10" t="n"/>
      <c r="F915" s="9" t="n"/>
      <c r="H915" s="8" t="n"/>
    </row>
    <row r="916">
      <c r="A916" s="5" t="n"/>
      <c r="D916" s="10" t="n"/>
      <c r="F916" s="9" t="n"/>
      <c r="H916" s="8" t="n"/>
    </row>
    <row r="917">
      <c r="A917" s="5" t="n"/>
      <c r="D917" s="10" t="n"/>
      <c r="F917" s="9" t="n"/>
      <c r="H917" s="8" t="n"/>
    </row>
    <row r="918">
      <c r="A918" s="5" t="n"/>
      <c r="D918" s="10" t="n"/>
      <c r="F918" s="9" t="n"/>
      <c r="H918" s="8" t="n"/>
    </row>
    <row r="919">
      <c r="A919" s="5" t="n"/>
      <c r="D919" s="10" t="n"/>
      <c r="F919" s="9" t="n"/>
      <c r="H919" s="8" t="n"/>
    </row>
    <row r="920">
      <c r="A920" s="5" t="n"/>
      <c r="D920" s="10" t="n"/>
      <c r="F920" s="9" t="n"/>
      <c r="H920" s="8" t="n"/>
    </row>
    <row r="921">
      <c r="A921" s="5" t="n"/>
      <c r="D921" s="10" t="n"/>
      <c r="F921" s="9" t="n"/>
      <c r="H921" s="8" t="n"/>
    </row>
    <row r="922">
      <c r="A922" s="5" t="n"/>
      <c r="D922" s="10" t="n"/>
      <c r="F922" s="9" t="n"/>
      <c r="H922" s="8" t="n"/>
    </row>
    <row r="923">
      <c r="A923" s="5" t="n"/>
      <c r="D923" s="10" t="n"/>
      <c r="F923" s="9" t="n"/>
      <c r="H923" s="8" t="n"/>
    </row>
    <row r="924">
      <c r="A924" s="5" t="n"/>
      <c r="D924" s="10" t="n"/>
      <c r="F924" s="9" t="n"/>
      <c r="H924" s="8" t="n"/>
    </row>
    <row r="925">
      <c r="A925" s="5" t="n"/>
      <c r="D925" s="10" t="n"/>
      <c r="F925" s="9" t="n"/>
      <c r="H925" s="8" t="n"/>
    </row>
    <row r="926">
      <c r="A926" s="5" t="n"/>
      <c r="D926" s="10" t="n"/>
      <c r="F926" s="9" t="n"/>
      <c r="H926" s="8" t="n"/>
    </row>
    <row r="927">
      <c r="A927" s="5" t="n"/>
      <c r="D927" s="10" t="n"/>
      <c r="F927" s="9" t="n"/>
      <c r="H927" s="8" t="n"/>
    </row>
    <row r="928">
      <c r="A928" s="5" t="n"/>
      <c r="D928" s="10" t="n"/>
      <c r="F928" s="9" t="n"/>
      <c r="H928" s="8" t="n"/>
    </row>
    <row r="929">
      <c r="A929" s="5" t="n"/>
      <c r="D929" s="10" t="n"/>
      <c r="F929" s="9" t="n"/>
      <c r="H929" s="8" t="n"/>
    </row>
    <row r="930">
      <c r="A930" s="5" t="n"/>
      <c r="D930" s="10" t="n"/>
      <c r="F930" s="9" t="n"/>
      <c r="H930" s="8" t="n"/>
    </row>
    <row r="931">
      <c r="A931" s="5" t="n"/>
      <c r="D931" s="10" t="n"/>
      <c r="F931" s="9" t="n"/>
      <c r="H931" s="8" t="n"/>
    </row>
    <row r="932">
      <c r="A932" s="5" t="n"/>
      <c r="D932" s="10" t="n"/>
      <c r="F932" s="9" t="n"/>
      <c r="H932" s="8" t="n"/>
    </row>
    <row r="933">
      <c r="A933" s="5" t="n"/>
      <c r="D933" s="10" t="n"/>
      <c r="F933" s="9" t="n"/>
      <c r="H933" s="8" t="n"/>
    </row>
    <row r="934">
      <c r="A934" s="5" t="n"/>
      <c r="D934" s="10" t="n"/>
      <c r="F934" s="9" t="n"/>
      <c r="H934" s="8" t="n"/>
    </row>
    <row r="935">
      <c r="A935" s="5" t="n"/>
      <c r="D935" s="10" t="n"/>
      <c r="F935" s="9" t="n"/>
      <c r="H935" s="8" t="n"/>
    </row>
    <row r="936">
      <c r="A936" s="5" t="n"/>
      <c r="D936" s="10" t="n"/>
      <c r="F936" s="9" t="n"/>
      <c r="H936" s="8" t="n"/>
    </row>
    <row r="937">
      <c r="A937" s="5" t="n"/>
      <c r="D937" s="10" t="n"/>
      <c r="F937" s="9" t="n"/>
      <c r="H937" s="8" t="n"/>
    </row>
    <row r="938">
      <c r="A938" s="5" t="n"/>
      <c r="D938" s="10" t="n"/>
      <c r="F938" s="9" t="n"/>
      <c r="H938" s="8" t="n"/>
    </row>
    <row r="939">
      <c r="A939" s="5" t="n"/>
      <c r="D939" s="10" t="n"/>
      <c r="F939" s="9" t="n"/>
      <c r="H939" s="8" t="n"/>
    </row>
    <row r="940">
      <c r="A940" s="5" t="n"/>
      <c r="D940" s="10" t="n"/>
      <c r="F940" s="9" t="n"/>
      <c r="H940" s="8" t="n"/>
    </row>
    <row r="941">
      <c r="A941" s="5" t="n"/>
      <c r="D941" s="10" t="n"/>
      <c r="F941" s="9" t="n"/>
      <c r="H941" s="8" t="n"/>
    </row>
    <row r="942">
      <c r="A942" s="7" t="n"/>
      <c r="D942" s="10" t="n"/>
      <c r="F942" s="9" t="n"/>
      <c r="H942" s="8" t="n"/>
    </row>
    <row r="943">
      <c r="D943" s="10" t="n"/>
      <c r="F943" s="9" t="n"/>
      <c r="H943" s="8" t="n"/>
    </row>
    <row r="944">
      <c r="D944" s="10" t="n"/>
      <c r="F944" s="9" t="n"/>
      <c r="H944" s="8" t="n"/>
    </row>
    <row r="945">
      <c r="D945" s="10" t="n"/>
      <c r="F945" s="9" t="n"/>
      <c r="H945" s="8" t="n"/>
    </row>
    <row r="946">
      <c r="D946" s="10" t="n"/>
      <c r="F946" s="9" t="n"/>
      <c r="H946" s="8" t="n"/>
    </row>
    <row r="947">
      <c r="D947" s="10" t="n"/>
      <c r="F947" s="9" t="n"/>
      <c r="H947" s="8" t="n"/>
    </row>
    <row r="948">
      <c r="D948" s="10" t="n"/>
      <c r="F948" s="9" t="n"/>
      <c r="H948" s="8" t="n"/>
    </row>
    <row r="949">
      <c r="D949" s="10" t="n"/>
      <c r="F949" s="9" t="n"/>
      <c r="H949" s="8" t="n"/>
    </row>
    <row r="950">
      <c r="D950" s="10" t="n"/>
      <c r="F950" s="9" t="n"/>
      <c r="H950" s="8" t="n"/>
    </row>
    <row r="951">
      <c r="D951" s="10" t="n"/>
      <c r="F951" s="9" t="n"/>
      <c r="H951" s="8" t="n"/>
    </row>
    <row r="952">
      <c r="D952" s="10" t="n"/>
      <c r="F952" s="9" t="n"/>
      <c r="H952" s="8" t="n"/>
    </row>
    <row r="953">
      <c r="D953" s="10" t="n"/>
      <c r="F953" s="9" t="n"/>
      <c r="H953" s="8" t="n"/>
    </row>
    <row r="954">
      <c r="D954" s="10" t="n"/>
      <c r="F954" s="9" t="n"/>
      <c r="H954" s="8" t="n"/>
    </row>
    <row r="955">
      <c r="D955" s="10" t="n"/>
      <c r="F955" s="9" t="n"/>
      <c r="H955" s="8" t="n"/>
    </row>
    <row r="956">
      <c r="D956" s="10" t="n"/>
      <c r="F956" s="9" t="n"/>
      <c r="H956" s="8" t="n"/>
    </row>
    <row r="957">
      <c r="D957" s="10" t="n"/>
      <c r="F957" s="9" t="n"/>
      <c r="H957" s="8" t="n"/>
    </row>
    <row r="958">
      <c r="D958" s="10" t="n"/>
      <c r="F958" s="9" t="n"/>
      <c r="H958" s="8" t="n"/>
    </row>
    <row r="959">
      <c r="D959" s="10" t="n"/>
      <c r="F959" s="9" t="n"/>
      <c r="H959" s="8" t="n"/>
    </row>
    <row r="960">
      <c r="D960" s="10" t="n"/>
      <c r="F960" s="9" t="n"/>
      <c r="H960" s="8" t="n"/>
    </row>
    <row r="961">
      <c r="D961" s="10" t="n"/>
      <c r="F961" s="9" t="n"/>
      <c r="H961" s="8" t="n"/>
    </row>
    <row r="962">
      <c r="D962" s="10" t="n"/>
      <c r="F962" s="9" t="n"/>
      <c r="H962" s="8" t="n"/>
    </row>
    <row r="963">
      <c r="D963" s="10" t="n"/>
      <c r="F963" s="9" t="n"/>
      <c r="H963" s="8" t="n"/>
    </row>
    <row r="964">
      <c r="D964" s="10" t="n"/>
      <c r="F964" s="9" t="n"/>
      <c r="H964" s="8" t="n"/>
    </row>
    <row r="965">
      <c r="D965" s="10" t="n"/>
      <c r="F965" s="9" t="n"/>
      <c r="H965" s="8" t="n"/>
    </row>
    <row r="966">
      <c r="D966" s="10" t="n"/>
      <c r="F966" s="9" t="n"/>
      <c r="H966" s="8" t="n"/>
    </row>
    <row r="967">
      <c r="D967" s="10" t="n"/>
      <c r="F967" s="9" t="n"/>
      <c r="H967" s="8" t="n"/>
    </row>
    <row r="968">
      <c r="D968" s="10" t="n"/>
      <c r="F968" s="9" t="n"/>
      <c r="H968" s="8" t="n"/>
    </row>
    <row r="969">
      <c r="D969" s="10" t="n"/>
      <c r="F969" s="9" t="n"/>
      <c r="H969" s="8" t="n"/>
    </row>
    <row r="970">
      <c r="D970" s="10" t="n"/>
      <c r="F970" s="9" t="n"/>
      <c r="H970" s="8" t="n"/>
    </row>
    <row r="971">
      <c r="D971" s="10" t="n"/>
      <c r="F971" s="9" t="n"/>
      <c r="H971" s="8" t="n"/>
    </row>
    <row r="972">
      <c r="D972" s="10" t="n"/>
      <c r="F972" s="9" t="n"/>
      <c r="H972" s="8" t="n"/>
    </row>
    <row r="973">
      <c r="D973" s="10" t="n"/>
      <c r="F973" s="9" t="n"/>
      <c r="H973" s="8" t="n"/>
    </row>
    <row r="974">
      <c r="D974" s="10" t="n"/>
      <c r="F974" s="9" t="n"/>
      <c r="H974" s="8" t="n"/>
    </row>
    <row r="975">
      <c r="D975" s="10" t="n"/>
      <c r="F975" s="9" t="n"/>
      <c r="H975" s="8" t="n"/>
    </row>
    <row r="976">
      <c r="D976" s="10" t="n"/>
      <c r="F976" s="9" t="n"/>
      <c r="H976" s="8" t="n"/>
    </row>
    <row r="977">
      <c r="D977" s="10" t="n"/>
      <c r="F977" s="9" t="n"/>
      <c r="H977" s="8" t="n"/>
    </row>
    <row r="978">
      <c r="D978" s="10" t="n"/>
      <c r="F978" s="9" t="n"/>
      <c r="H978" s="8" t="n"/>
    </row>
    <row r="979">
      <c r="D979" s="10" t="n"/>
      <c r="F979" s="9" t="n"/>
      <c r="H979" s="8" t="n"/>
    </row>
    <row r="980">
      <c r="D980" s="10" t="n"/>
      <c r="F980" s="9" t="n"/>
      <c r="H980" s="8" t="n"/>
    </row>
    <row r="981">
      <c r="D981" s="10" t="n"/>
      <c r="F981" s="9" t="n"/>
      <c r="H981" s="8" t="n"/>
    </row>
    <row r="982">
      <c r="D982" s="10" t="n"/>
      <c r="F982" s="9" t="n"/>
      <c r="H982" s="8" t="n"/>
    </row>
    <row r="983">
      <c r="D983" s="10" t="n"/>
      <c r="F983" s="9" t="n"/>
      <c r="H983" s="8" t="n"/>
    </row>
    <row r="984">
      <c r="D984" s="10" t="n"/>
      <c r="F984" s="9" t="n"/>
      <c r="H984" s="8" t="n"/>
    </row>
    <row r="985">
      <c r="D985" s="10" t="n"/>
      <c r="F985" s="9" t="n"/>
      <c r="H985" s="8" t="n"/>
    </row>
    <row r="986">
      <c r="D986" s="10" t="n"/>
      <c r="F986" s="9" t="n"/>
      <c r="H986" s="8" t="n"/>
    </row>
    <row r="987">
      <c r="D987" s="10" t="n"/>
      <c r="F987" s="9" t="n"/>
      <c r="H987" s="8" t="n"/>
    </row>
    <row r="988">
      <c r="D988" s="10" t="n"/>
      <c r="F988" s="9" t="n"/>
      <c r="H988" s="8" t="n"/>
    </row>
    <row r="989">
      <c r="D989" s="10" t="n"/>
      <c r="F989" s="9" t="n"/>
      <c r="H989" s="8" t="n"/>
    </row>
    <row r="990">
      <c r="D990" s="10" t="n"/>
      <c r="F990" s="9" t="n"/>
      <c r="H990" s="8" t="n"/>
    </row>
    <row r="991">
      <c r="D991" s="10" t="n"/>
      <c r="F991" s="9" t="n"/>
      <c r="H991" s="8" t="n"/>
    </row>
    <row r="992">
      <c r="D992" s="10" t="n"/>
      <c r="F992" s="9" t="n"/>
      <c r="H992" s="8" t="n"/>
    </row>
    <row r="993">
      <c r="D993" s="10" t="n"/>
      <c r="F993" s="9" t="n"/>
      <c r="H993" s="8" t="n"/>
    </row>
    <row r="994">
      <c r="D994" s="10" t="n"/>
      <c r="F994" s="9" t="n"/>
      <c r="H994" s="8" t="n"/>
    </row>
    <row r="995">
      <c r="D995" s="10" t="n"/>
      <c r="F995" s="9" t="n"/>
      <c r="H995" s="8" t="n"/>
    </row>
    <row r="996">
      <c r="D996" s="10" t="n"/>
      <c r="F996" s="9" t="n"/>
      <c r="H996" s="8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min="1" max="1"/>
    <col width="30.42578125" customWidth="1" min="2" max="2"/>
    <col width="17.28515625" customWidth="1" min="3" max="9"/>
    <col width="28.42578125" customWidth="1" min="10" max="10"/>
    <col width="17.28515625" customWidth="1" min="11" max="18"/>
    <col width="42.7109375" customWidth="1" min="19" max="19"/>
    <col width="10.28515625" customWidth="1" min="20" max="20"/>
  </cols>
  <sheetData>
    <row r="1" ht="16.5" customHeight="1">
      <c r="A1" s="92" t="n"/>
      <c r="B1" s="92" t="inlineStr">
        <is>
          <t>DECEMBER 2026 EXPENSES</t>
        </is>
      </c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  <c r="O1" s="119" t="n"/>
      <c r="P1" s="119" t="n"/>
      <c r="Q1" s="119" t="n"/>
      <c r="R1" s="119" t="n"/>
      <c r="S1" s="119" t="n"/>
      <c r="T1" s="120" t="n"/>
    </row>
    <row r="2" ht="58.5" customHeight="1">
      <c r="A2" s="39" t="inlineStr">
        <is>
          <t>FLAT #</t>
        </is>
      </c>
      <c r="B2" s="39" t="n">
        <v>0</v>
      </c>
      <c r="C2" s="39" t="inlineStr">
        <is>
          <t>WATER USED IN LTRS</t>
        </is>
      </c>
      <c r="D2" s="39" t="inlineStr">
        <is>
          <t>COMMON AREA EQUALLY DEVIDED</t>
        </is>
      </c>
      <c r="E2" s="39" t="inlineStr">
        <is>
          <t>TOTAL FRESH WATER CONSUMED</t>
        </is>
      </c>
      <c r="F2" s="39" t="inlineStr">
        <is>
          <t>%OF TOTAL USED</t>
        </is>
      </c>
      <c r="G2" s="39" t="inlineStr">
        <is>
          <t>WATER EXPENSE SHARING BY %</t>
        </is>
      </c>
      <c r="H2" s="39" t="inlineStr">
        <is>
          <t>#METERS</t>
        </is>
      </c>
      <c r="I2" s="39" t="inlineStr">
        <is>
          <t>METER RENT</t>
        </is>
      </c>
      <c r="J2" s="39" t="inlineStr">
        <is>
          <t>COMMON AREA METER RENT + WATER EXPENSE+ FLAT METER RENT</t>
        </is>
      </c>
      <c r="K2" s="39" t="inlineStr">
        <is>
          <t>FIXED EXPENSE SHARE</t>
        </is>
      </c>
      <c r="L2" s="39" t="inlineStr">
        <is>
          <t>PARKING FEE</t>
        </is>
      </c>
      <c r="M2" s="39" t="inlineStr">
        <is>
          <t>CLUB BOOKING FEE</t>
        </is>
      </c>
      <c r="N2" s="39" t="inlineStr">
        <is>
          <t>SHIFTING FEE</t>
        </is>
      </c>
      <c r="O2" s="39" t="inlineStr">
        <is>
          <t>GYM USAGE FEE</t>
        </is>
      </c>
      <c r="P2" s="39" t="n"/>
      <c r="Q2" s="39" t="n"/>
      <c r="R2" s="39" t="inlineStr">
        <is>
          <t>TOTAL EXPENSE TO BE PAID</t>
        </is>
      </c>
      <c r="S2" s="39" t="n"/>
      <c r="T2" s="39" t="n"/>
    </row>
    <row r="3" ht="12.75" customHeight="1">
      <c r="A3" s="40" t="inlineStr">
        <is>
          <t>CH</t>
        </is>
      </c>
      <c r="B3" s="40" t="inlineStr">
        <is>
          <t>MPFOWA</t>
        </is>
      </c>
      <c r="C3" s="41" t="n">
        <v>0</v>
      </c>
      <c r="D3" s="41" t="n">
        <v>0</v>
      </c>
      <c r="E3" s="41" t="n"/>
      <c r="F3" s="41" t="n"/>
      <c r="G3" s="41" t="n"/>
      <c r="H3" s="41" t="n">
        <v>1</v>
      </c>
      <c r="I3" s="41">
        <f>T7</f>
        <v/>
      </c>
      <c r="J3" s="41" t="n"/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</row>
    <row r="4" ht="12.75" customHeight="1">
      <c r="A4" s="42" t="inlineStr">
        <is>
          <t>GYM</t>
        </is>
      </c>
      <c r="B4" s="42" t="inlineStr">
        <is>
          <t>MPFOWA</t>
        </is>
      </c>
      <c r="C4" s="43" t="n">
        <v>0</v>
      </c>
      <c r="D4" s="43" t="n">
        <v>0</v>
      </c>
      <c r="E4" s="43" t="n"/>
      <c r="F4" s="43" t="n"/>
      <c r="G4" s="43" t="n"/>
      <c r="H4" s="43" t="n">
        <v>1</v>
      </c>
      <c r="I4" s="43">
        <f>T7</f>
        <v/>
      </c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inlineStr">
        <is>
          <t>TOTAL FIXED EXPENSE</t>
        </is>
      </c>
      <c r="T4" s="43">
        <f>'ANNUAL-EXPENSE-DETAILS'!AB11</f>
        <v/>
      </c>
    </row>
    <row r="5" ht="12.75" customHeight="1">
      <c r="A5" s="40" t="inlineStr">
        <is>
          <t>BSMT</t>
        </is>
      </c>
      <c r="B5" s="40" t="inlineStr">
        <is>
          <t>MPFOWA</t>
        </is>
      </c>
      <c r="C5" s="41" t="n">
        <v>0</v>
      </c>
      <c r="D5" s="41" t="n">
        <v>0</v>
      </c>
      <c r="E5" s="41" t="n"/>
      <c r="F5" s="41" t="n"/>
      <c r="G5" s="41" t="n"/>
      <c r="H5" s="41" t="n">
        <v>1</v>
      </c>
      <c r="I5" s="41">
        <f>T7</f>
        <v/>
      </c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inlineStr">
        <is>
          <t>TOTAL WATER EXPENSE</t>
        </is>
      </c>
      <c r="T5" s="41">
        <f>'ANNUAL-EXPENSE-DETAILS'!AA11</f>
        <v/>
      </c>
    </row>
    <row r="6" ht="12.75" customHeight="1">
      <c r="A6" s="42" t="inlineStr">
        <is>
          <t>F1</t>
        </is>
      </c>
      <c r="B6" s="42">
        <f>VLOOKUP(A6,Members!$A$2:$B$65,2,FALSE)</f>
        <v/>
      </c>
      <c r="C6" s="43" t="n">
        <v>0</v>
      </c>
      <c r="D6" s="43">
        <f>SUM($C$3:$C$5)/64</f>
        <v/>
      </c>
      <c r="E6" s="43">
        <f>C6+D6</f>
        <v/>
      </c>
      <c r="F6" s="43">
        <f>IF($C$70=0, 0, E6/$C$70)</f>
        <v/>
      </c>
      <c r="G6" s="43">
        <f>F6*$T$5</f>
        <v/>
      </c>
      <c r="H6" s="43" t="n">
        <v>3</v>
      </c>
      <c r="I6" s="43">
        <f>$T$7*H6</f>
        <v/>
      </c>
      <c r="J6" s="43">
        <f>G6+$T$9+I6</f>
        <v/>
      </c>
      <c r="K6" s="43">
        <f>$T$11/64</f>
        <v/>
      </c>
      <c r="L6" s="43" t="n">
        <v>0</v>
      </c>
      <c r="M6" s="43" t="n">
        <v>0</v>
      </c>
      <c r="N6" s="43" t="n">
        <v>0</v>
      </c>
      <c r="O6" s="43" t="n">
        <v>0</v>
      </c>
      <c r="P6" s="43" t="n"/>
      <c r="Q6" s="43" t="n"/>
      <c r="R6" s="43">
        <f>(J6+K6+L6+M6+N6+O6)*$B$2</f>
        <v/>
      </c>
      <c r="S6" s="43" t="n"/>
      <c r="T6" s="43" t="n"/>
    </row>
    <row r="7" ht="12.75" customHeight="1">
      <c r="A7" s="40" t="inlineStr">
        <is>
          <t>F2</t>
        </is>
      </c>
      <c r="B7" s="40">
        <f>VLOOKUP(A7,Members!$A$2:$B$65,2,FALSE)</f>
        <v/>
      </c>
      <c r="C7" s="41" t="n">
        <v>0</v>
      </c>
      <c r="D7" s="41">
        <f>SUM($C$3:$C$5)/64</f>
        <v/>
      </c>
      <c r="E7" s="41">
        <f>C7+D7</f>
        <v/>
      </c>
      <c r="F7" s="41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$T$11/64</f>
        <v/>
      </c>
      <c r="L7" s="41" t="n">
        <v>0</v>
      </c>
      <c r="M7" s="41" t="n">
        <v>0</v>
      </c>
      <c r="N7" s="41" t="n">
        <v>0</v>
      </c>
      <c r="O7" s="41" t="n">
        <v>0</v>
      </c>
      <c r="P7" s="41" t="n"/>
      <c r="Q7" s="41" t="n"/>
      <c r="R7" s="41">
        <f>(J7+K7+L7+M7+N7+O7)*$B$2</f>
        <v/>
      </c>
      <c r="S7" s="41" t="inlineStr">
        <is>
          <t>RENT PER METER</t>
        </is>
      </c>
      <c r="T7" s="41" t="n">
        <v>117.811659</v>
      </c>
    </row>
    <row r="8" ht="12.75" customHeight="1">
      <c r="A8" s="42" t="inlineStr">
        <is>
          <t>F3</t>
        </is>
      </c>
      <c r="B8" s="42">
        <f>VLOOKUP(A8,Members!$A$2:$B$65,2,FALSE)</f>
        <v/>
      </c>
      <c r="C8" s="43" t="n">
        <v>0</v>
      </c>
      <c r="D8" s="43">
        <f>SUM($C$3:$C$5)/64</f>
        <v/>
      </c>
      <c r="E8" s="43">
        <f>C8+D8</f>
        <v/>
      </c>
      <c r="F8" s="43">
        <f>IF($C$70=0, 0, E8/$C$70)</f>
        <v/>
      </c>
      <c r="G8" s="43">
        <f>F8*$T$5</f>
        <v/>
      </c>
      <c r="H8" s="43" t="n">
        <v>4</v>
      </c>
      <c r="I8" s="43">
        <f>$T$7*H8</f>
        <v/>
      </c>
      <c r="J8" s="43">
        <f>G8+$T$9+I8</f>
        <v/>
      </c>
      <c r="K8" s="43">
        <f>$T$11/64</f>
        <v/>
      </c>
      <c r="L8" s="43" t="n">
        <v>0</v>
      </c>
      <c r="M8" s="43" t="n">
        <v>0</v>
      </c>
      <c r="N8" s="43" t="n">
        <v>0</v>
      </c>
      <c r="O8" s="43" t="n">
        <v>0</v>
      </c>
      <c r="P8" s="43" t="n"/>
      <c r="Q8" s="43" t="n"/>
      <c r="R8" s="43">
        <f>(J8+K8+L8+M8+N8+O8)*$B$2</f>
        <v/>
      </c>
      <c r="S8" s="43" t="inlineStr">
        <is>
          <t>COMMON AREA METER RENT</t>
        </is>
      </c>
      <c r="T8" s="43">
        <f>$T$7*3</f>
        <v/>
      </c>
    </row>
    <row r="9" ht="12.75" customHeight="1">
      <c r="A9" s="40" t="inlineStr">
        <is>
          <t>F4</t>
        </is>
      </c>
      <c r="B9" s="40">
        <f>VLOOKUP(A9,Members!$A$2:$B$65,2,FALSE)</f>
        <v/>
      </c>
      <c r="C9" s="41" t="n">
        <v>0</v>
      </c>
      <c r="D9" s="41">
        <f>SUM($C$3:$C$5)/64</f>
        <v/>
      </c>
      <c r="E9" s="41">
        <f>C9+D9</f>
        <v/>
      </c>
      <c r="F9" s="41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$T$11/64</f>
        <v/>
      </c>
      <c r="L9" s="41" t="n">
        <v>0</v>
      </c>
      <c r="M9" s="41" t="n">
        <v>0</v>
      </c>
      <c r="N9" s="41" t="n">
        <v>0</v>
      </c>
      <c r="O9" s="41" t="n">
        <v>0</v>
      </c>
      <c r="P9" s="41" t="n"/>
      <c r="Q9" s="41" t="n"/>
      <c r="R9" s="41">
        <f>(J9+K9+L9+M9+N9+O9)*$B$2</f>
        <v/>
      </c>
      <c r="S9" s="41" t="inlineStr">
        <is>
          <t>COMMON AREA METER RENT/FLAT</t>
        </is>
      </c>
      <c r="T9" s="41">
        <f>T8/64</f>
        <v/>
      </c>
    </row>
    <row r="10" ht="12.75" customHeight="1">
      <c r="A10" s="42" t="inlineStr">
        <is>
          <t>F5</t>
        </is>
      </c>
      <c r="B10" s="42">
        <f>VLOOKUP(A10,Members!$A$2:$B$65,2,FALSE)</f>
        <v/>
      </c>
      <c r="C10" s="43" t="n">
        <v>0</v>
      </c>
      <c r="D10" s="43">
        <f>SUM($C$3:$C$5)/64</f>
        <v/>
      </c>
      <c r="E10" s="43">
        <f>C10+D10</f>
        <v/>
      </c>
      <c r="F10" s="43">
        <f>IF($C$70=0, 0, E10/$C$70)</f>
        <v/>
      </c>
      <c r="G10" s="43">
        <f>F10*$T$5</f>
        <v/>
      </c>
      <c r="H10" s="43" t="n">
        <v>3</v>
      </c>
      <c r="I10" s="43">
        <f>$T$7*H10</f>
        <v/>
      </c>
      <c r="J10" s="43">
        <f>G10+$T$9+I10</f>
        <v/>
      </c>
      <c r="K10" s="43">
        <f>$T$11/64</f>
        <v/>
      </c>
      <c r="L10" s="43" t="n">
        <v>0</v>
      </c>
      <c r="M10" s="43" t="n">
        <v>0</v>
      </c>
      <c r="N10" s="43" t="n">
        <v>0</v>
      </c>
      <c r="O10" s="43" t="n">
        <v>0</v>
      </c>
      <c r="P10" s="43" t="n"/>
      <c r="Q10" s="43" t="n"/>
      <c r="R10" s="43">
        <f>(J10+K10+L10+M10+N10+O10)*$B$2</f>
        <v/>
      </c>
      <c r="S10" s="43" t="n"/>
      <c r="T10" s="43" t="n"/>
    </row>
    <row r="11" ht="12.75" customHeight="1">
      <c r="A11" s="40" t="inlineStr">
        <is>
          <t>F6</t>
        </is>
      </c>
      <c r="B11" s="40">
        <f>VLOOKUP(A11,Members!$A$2:$B$65,2,FALSE)</f>
        <v/>
      </c>
      <c r="C11" s="41" t="n">
        <v>0</v>
      </c>
      <c r="D11" s="41">
        <f>SUM($C$3:$C$5)/64</f>
        <v/>
      </c>
      <c r="E11" s="41">
        <f>C11+D11</f>
        <v/>
      </c>
      <c r="F11" s="41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$T$11/64</f>
        <v/>
      </c>
      <c r="L11" s="41" t="n">
        <v>0</v>
      </c>
      <c r="M11" s="41" t="n">
        <v>0</v>
      </c>
      <c r="N11" s="41" t="n">
        <v>0</v>
      </c>
      <c r="O11" s="41" t="n">
        <v>0</v>
      </c>
      <c r="P11" s="41" t="n"/>
      <c r="Q11" s="41" t="n"/>
      <c r="R11" s="41">
        <f>(J11+K11+L11+M11+N11+O11)*$B$2</f>
        <v/>
      </c>
      <c r="S11" s="41" t="inlineStr">
        <is>
          <t>TOTAL FIXED EXPENSE</t>
        </is>
      </c>
      <c r="T11" s="41">
        <f>'ANNUAL-EXPENSE-DETAILS'!AB11</f>
        <v/>
      </c>
    </row>
    <row r="12" ht="12.75" customHeight="1">
      <c r="A12" s="42" t="inlineStr">
        <is>
          <t>F7</t>
        </is>
      </c>
      <c r="B12" s="42">
        <f>VLOOKUP(A12,Members!$A$2:$B$65,2,FALSE)</f>
        <v/>
      </c>
      <c r="C12" s="43" t="n">
        <v>0</v>
      </c>
      <c r="D12" s="43">
        <f>SUM($C$3:$C$5)/64</f>
        <v/>
      </c>
      <c r="E12" s="43">
        <f>C12+D12</f>
        <v/>
      </c>
      <c r="F12" s="43">
        <f>IF($C$70=0, 0, E12/$C$70)</f>
        <v/>
      </c>
      <c r="G12" s="43">
        <f>F12*$T$5</f>
        <v/>
      </c>
      <c r="H12" s="43" t="n">
        <v>3</v>
      </c>
      <c r="I12" s="43">
        <f>$T$7*H12</f>
        <v/>
      </c>
      <c r="J12" s="43">
        <f>G12+$T$9+I12</f>
        <v/>
      </c>
      <c r="K12" s="43">
        <f>$T$11/64</f>
        <v/>
      </c>
      <c r="L12" s="43" t="n">
        <v>0</v>
      </c>
      <c r="M12" s="43" t="n">
        <v>0</v>
      </c>
      <c r="N12" s="43" t="n">
        <v>0</v>
      </c>
      <c r="O12" s="43" t="n">
        <v>0</v>
      </c>
      <c r="P12" s="43" t="n"/>
      <c r="Q12" s="43" t="n"/>
      <c r="R12" s="43">
        <f>(J12+K12+L12+M12+N12+O12)*$B$2</f>
        <v/>
      </c>
      <c r="S12" s="43" t="n"/>
      <c r="T12" s="43" t="n"/>
    </row>
    <row r="13" ht="12.75" customHeight="1">
      <c r="A13" s="40" t="inlineStr">
        <is>
          <t>F8</t>
        </is>
      </c>
      <c r="B13" s="40">
        <f>VLOOKUP(A13,Members!$A$2:$B$65,2,FALSE)</f>
        <v/>
      </c>
      <c r="C13" s="41" t="n">
        <v>0</v>
      </c>
      <c r="D13" s="41">
        <f>SUM($C$3:$C$5)/64</f>
        <v/>
      </c>
      <c r="E13" s="41">
        <f>C13+D13</f>
        <v/>
      </c>
      <c r="F13" s="41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$T$11/64</f>
        <v/>
      </c>
      <c r="L13" s="41" t="n">
        <v>0</v>
      </c>
      <c r="M13" s="41" t="n">
        <v>0</v>
      </c>
      <c r="N13" s="41" t="n">
        <v>0</v>
      </c>
      <c r="O13" s="41" t="n">
        <v>0</v>
      </c>
      <c r="P13" s="41" t="n"/>
      <c r="Q13" s="41" t="n"/>
      <c r="R13" s="41">
        <f>(J13+K13+L13+M13+N13+O13)*$B$2</f>
        <v/>
      </c>
      <c r="S13" s="41" t="inlineStr">
        <is>
          <t>TOTAL WATER METER RENT</t>
        </is>
      </c>
      <c r="T13" s="41">
        <f>I70</f>
        <v/>
      </c>
    </row>
    <row r="14" ht="12.75" customHeight="1">
      <c r="A14" s="42" t="inlineStr">
        <is>
          <t>F9</t>
        </is>
      </c>
      <c r="B14" s="42">
        <f>VLOOKUP(A14,Members!$A$2:$B$65,2,FALSE)</f>
        <v/>
      </c>
      <c r="C14" s="43" t="n">
        <v>0</v>
      </c>
      <c r="D14" s="43">
        <f>SUM($C$3:$C$5)/64</f>
        <v/>
      </c>
      <c r="E14" s="43">
        <f>C14+D14</f>
        <v/>
      </c>
      <c r="F14" s="43">
        <f>IF($C$70=0, 0, E14/$C$70)</f>
        <v/>
      </c>
      <c r="G14" s="43">
        <f>F14*$T$5</f>
        <v/>
      </c>
      <c r="H14" s="43" t="n">
        <v>4</v>
      </c>
      <c r="I14" s="43">
        <f>$T$7*H14</f>
        <v/>
      </c>
      <c r="J14" s="43">
        <f>G14+$T$9+I14</f>
        <v/>
      </c>
      <c r="K14" s="43">
        <f>$T$11/64</f>
        <v/>
      </c>
      <c r="L14" s="43" t="n">
        <v>0</v>
      </c>
      <c r="M14" s="43" t="n">
        <v>0</v>
      </c>
      <c r="N14" s="43" t="n">
        <v>0</v>
      </c>
      <c r="O14" s="43" t="n">
        <v>0</v>
      </c>
      <c r="P14" s="43" t="n"/>
      <c r="Q14" s="43" t="n"/>
      <c r="R14" s="43">
        <f>(J14+K14+L14+M14+N14+O14)*$B$2</f>
        <v/>
      </c>
      <c r="S14" s="43" t="n"/>
      <c r="T14" s="43" t="n"/>
    </row>
    <row r="15" ht="12.75" customHeight="1">
      <c r="A15" s="40" t="inlineStr">
        <is>
          <t>F10</t>
        </is>
      </c>
      <c r="B15" s="40">
        <f>VLOOKUP(A15,Members!$A$2:$B$65,2,FALSE)</f>
        <v/>
      </c>
      <c r="C15" s="41" t="n">
        <v>0</v>
      </c>
      <c r="D15" s="41">
        <f>SUM($C$3:$C$5)/64</f>
        <v/>
      </c>
      <c r="E15" s="41">
        <f>C15+D15</f>
        <v/>
      </c>
      <c r="F15" s="41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$T$11/64</f>
        <v/>
      </c>
      <c r="L15" s="41" t="n">
        <v>0</v>
      </c>
      <c r="M15" s="41" t="n">
        <v>0</v>
      </c>
      <c r="N15" s="41" t="n">
        <v>0</v>
      </c>
      <c r="O15" s="41" t="n">
        <v>0</v>
      </c>
      <c r="P15" s="41" t="n"/>
      <c r="Q15" s="41" t="n"/>
      <c r="R15" s="41">
        <f>(J15+K15+L15+M15+N15+O15)*$B$2</f>
        <v/>
      </c>
      <c r="S15" s="41" t="inlineStr">
        <is>
          <t>BALANCE IN ACCOUNT ON 31-DEC-2023</t>
        </is>
      </c>
      <c r="T15" s="41" t="n"/>
    </row>
    <row r="16" ht="12.75" customHeight="1">
      <c r="A16" s="42" t="inlineStr">
        <is>
          <t>F11</t>
        </is>
      </c>
      <c r="B16" s="42">
        <f>VLOOKUP(A16,Members!$A$2:$B$65,2,FALSE)</f>
        <v/>
      </c>
      <c r="C16" s="43" t="n">
        <v>0</v>
      </c>
      <c r="D16" s="43">
        <f>SUM($C$3:$C$5)/64</f>
        <v/>
      </c>
      <c r="E16" s="43">
        <f>C16+D16</f>
        <v/>
      </c>
      <c r="F16" s="43">
        <f>IF($C$70=0, 0, E16/$C$70)</f>
        <v/>
      </c>
      <c r="G16" s="43">
        <f>F16*$T$5</f>
        <v/>
      </c>
      <c r="H16" s="43" t="n">
        <v>3</v>
      </c>
      <c r="I16" s="43">
        <f>$T$7*H16</f>
        <v/>
      </c>
      <c r="J16" s="43">
        <f>G16+$T$9+I16</f>
        <v/>
      </c>
      <c r="K16" s="43">
        <f>$T$11/64</f>
        <v/>
      </c>
      <c r="L16" s="43" t="n">
        <v>0</v>
      </c>
      <c r="M16" s="43" t="n">
        <v>0</v>
      </c>
      <c r="N16" s="43" t="n">
        <v>0</v>
      </c>
      <c r="O16" s="43" t="n">
        <v>0</v>
      </c>
      <c r="P16" s="43" t="n"/>
      <c r="Q16" s="43" t="n"/>
      <c r="R16" s="43">
        <f>(J16+K16+L16+M16+N16+O16)*$B$2</f>
        <v/>
      </c>
      <c r="S16" s="43" t="inlineStr">
        <is>
          <t>TOTAL NON MAINTENANCE CORPUS COLLECTION</t>
        </is>
      </c>
      <c r="T16" s="43" t="n"/>
    </row>
    <row r="17" ht="12.75" customHeight="1">
      <c r="A17" s="40" t="inlineStr">
        <is>
          <t>F12</t>
        </is>
      </c>
      <c r="B17" s="40">
        <f>VLOOKUP(A17,Members!$A$2:$B$65,2,FALSE)</f>
        <v/>
      </c>
      <c r="C17" s="41" t="n">
        <v>0</v>
      </c>
      <c r="D17" s="41">
        <f>SUM($C$3:$C$5)/64</f>
        <v/>
      </c>
      <c r="E17" s="41">
        <f>C17+D17</f>
        <v/>
      </c>
      <c r="F17" s="41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$T$11/64</f>
        <v/>
      </c>
      <c r="L17" s="41" t="n">
        <v>0</v>
      </c>
      <c r="M17" s="41" t="n">
        <v>0</v>
      </c>
      <c r="N17" s="41" t="n">
        <v>0</v>
      </c>
      <c r="O17" s="41" t="n">
        <v>0</v>
      </c>
      <c r="P17" s="41" t="n"/>
      <c r="Q17" s="41" t="n"/>
      <c r="R17" s="41">
        <f>(J17+K17+L17+M17+N17+O17)*$B$2</f>
        <v/>
      </c>
      <c r="S17" s="41" t="inlineStr">
        <is>
          <t>TOTAL FD DONE</t>
        </is>
      </c>
      <c r="T17" s="41" t="n"/>
    </row>
    <row r="18" ht="12.75" customHeight="1">
      <c r="A18" s="42" t="inlineStr">
        <is>
          <t>F13</t>
        </is>
      </c>
      <c r="B18" s="42">
        <f>VLOOKUP(A18,Members!$A$2:$B$65,2,FALSE)</f>
        <v/>
      </c>
      <c r="C18" s="43" t="n">
        <v>0</v>
      </c>
      <c r="D18" s="43">
        <f>SUM($C$3:$C$5)/64</f>
        <v/>
      </c>
      <c r="E18" s="43">
        <f>C18+D18</f>
        <v/>
      </c>
      <c r="F18" s="43">
        <f>IF($C$70=0, 0, E18/$C$70)</f>
        <v/>
      </c>
      <c r="G18" s="43">
        <f>F18*$T$5</f>
        <v/>
      </c>
      <c r="H18" s="43" t="n">
        <v>4</v>
      </c>
      <c r="I18" s="43">
        <f>$T$7*H18</f>
        <v/>
      </c>
      <c r="J18" s="43">
        <f>G18+$T$9+I18</f>
        <v/>
      </c>
      <c r="K18" s="43">
        <f>$T$11/64</f>
        <v/>
      </c>
      <c r="L18" s="43" t="n">
        <v>0</v>
      </c>
      <c r="M18" s="43" t="n">
        <v>0</v>
      </c>
      <c r="N18" s="43" t="n">
        <v>0</v>
      </c>
      <c r="O18" s="43" t="n">
        <v>0</v>
      </c>
      <c r="P18" s="43" t="n"/>
      <c r="Q18" s="43" t="n"/>
      <c r="R18" s="43">
        <f>(J18+K18+L18+M18+N18+O18)*$B$2</f>
        <v/>
      </c>
      <c r="S18" s="43" t="inlineStr">
        <is>
          <t>AMOUNT AVAILABLE FOR NON MAINTENANCE CORPUS IN CURRENT AC</t>
        </is>
      </c>
      <c r="T18" s="43">
        <f>T16-T17</f>
        <v/>
      </c>
    </row>
    <row r="19" ht="12.75" customHeight="1">
      <c r="A19" s="40" t="inlineStr">
        <is>
          <t>F14</t>
        </is>
      </c>
      <c r="B19" s="40">
        <f>VLOOKUP(A19,Members!$A$2:$B$65,2,FALSE)</f>
        <v/>
      </c>
      <c r="C19" s="41" t="n">
        <v>0</v>
      </c>
      <c r="D19" s="41">
        <f>SUM($C$3:$C$5)/64</f>
        <v/>
      </c>
      <c r="E19" s="41">
        <f>C19+D19</f>
        <v/>
      </c>
      <c r="F19" s="41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$T$11/64</f>
        <v/>
      </c>
      <c r="L19" s="41" t="n">
        <v>0</v>
      </c>
      <c r="M19" s="41" t="n">
        <v>0</v>
      </c>
      <c r="N19" s="41" t="n">
        <v>0</v>
      </c>
      <c r="O19" s="41" t="n">
        <v>0</v>
      </c>
      <c r="P19" s="41" t="n"/>
      <c r="Q19" s="41" t="n"/>
      <c r="R19" s="41">
        <f>(J19+K19+L19+M19+N19+O19)*$B$2</f>
        <v/>
      </c>
      <c r="S19" s="41" t="inlineStr">
        <is>
          <t>AMOUNT AVAILABLE FOR MAINTENANCE</t>
        </is>
      </c>
      <c r="T19" s="41">
        <f>T15-T18</f>
        <v/>
      </c>
    </row>
    <row r="20" ht="12.75" customHeight="1">
      <c r="A20" s="42" t="inlineStr">
        <is>
          <t>F15</t>
        </is>
      </c>
      <c r="B20" s="42">
        <f>VLOOKUP(A20,Members!$A$2:$B$65,2,FALSE)</f>
        <v/>
      </c>
      <c r="C20" s="43" t="n">
        <v>0</v>
      </c>
      <c r="D20" s="43">
        <f>SUM($C$3:$C$5)/64</f>
        <v/>
      </c>
      <c r="E20" s="43">
        <f>C20+D20</f>
        <v/>
      </c>
      <c r="F20" s="43">
        <f>IF($C$70=0, 0, E20/$C$70)</f>
        <v/>
      </c>
      <c r="G20" s="43">
        <f>F20*$T$5</f>
        <v/>
      </c>
      <c r="H20" s="43" t="n">
        <v>4</v>
      </c>
      <c r="I20" s="43">
        <f>$T$7*H20</f>
        <v/>
      </c>
      <c r="J20" s="43">
        <f>G20+$T$9+I20</f>
        <v/>
      </c>
      <c r="K20" s="43">
        <f>$T$11/64</f>
        <v/>
      </c>
      <c r="L20" s="43" t="n">
        <v>0</v>
      </c>
      <c r="M20" s="43" t="n">
        <v>0</v>
      </c>
      <c r="N20" s="43" t="n">
        <v>0</v>
      </c>
      <c r="O20" s="43" t="n">
        <v>0</v>
      </c>
      <c r="P20" s="43" t="n"/>
      <c r="Q20" s="43" t="n"/>
      <c r="R20" s="43">
        <f>(J20+K20+L20+M20+N20+O20)*$B$2</f>
        <v/>
      </c>
      <c r="S20" s="43" t="inlineStr">
        <is>
          <t>TOTAL EXPENSE FOR THE MONTH</t>
        </is>
      </c>
      <c r="T20" s="43">
        <f>'ANNUAL-EXPENSE-DETAILS'!AD11</f>
        <v/>
      </c>
    </row>
    <row r="21" ht="12.75" customHeight="1">
      <c r="A21" s="40" t="inlineStr">
        <is>
          <t>F16</t>
        </is>
      </c>
      <c r="B21" s="40">
        <f>VLOOKUP(A21,Members!$A$2:$B$65,2,FALSE)</f>
        <v/>
      </c>
      <c r="C21" s="41" t="n">
        <v>0</v>
      </c>
      <c r="D21" s="41">
        <f>SUM($C$3:$C$5)/64</f>
        <v/>
      </c>
      <c r="E21" s="41">
        <f>C21+D21</f>
        <v/>
      </c>
      <c r="F21" s="41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$T$11/64</f>
        <v/>
      </c>
      <c r="L21" s="41" t="n">
        <v>0</v>
      </c>
      <c r="M21" s="41" t="n">
        <v>0</v>
      </c>
      <c r="N21" s="41" t="n">
        <v>0</v>
      </c>
      <c r="O21" s="41" t="n">
        <v>0</v>
      </c>
      <c r="P21" s="41" t="n"/>
      <c r="Q21" s="41" t="n"/>
      <c r="R21" s="41">
        <f>(J21+K21+L21+M21+N21+O21)*$B$2</f>
        <v/>
      </c>
      <c r="S21" s="41" t="n"/>
      <c r="T21" s="41" t="n"/>
    </row>
    <row r="22" ht="12.75" customHeight="1">
      <c r="A22" s="42" t="inlineStr">
        <is>
          <t>G1</t>
        </is>
      </c>
      <c r="B22" s="42">
        <f>VLOOKUP(A22,Members!$A$2:$B$65,2,FALSE)</f>
        <v/>
      </c>
      <c r="C22" s="43" t="n">
        <v>0</v>
      </c>
      <c r="D22" s="43">
        <f>SUM($C$3:$C$5)/64</f>
        <v/>
      </c>
      <c r="E22" s="43">
        <f>C22+D22</f>
        <v/>
      </c>
      <c r="F22" s="43">
        <f>IF($C$70=0, 0, E22/$C$70)</f>
        <v/>
      </c>
      <c r="G22" s="43">
        <f>F22*$T$5</f>
        <v/>
      </c>
      <c r="H22" s="43" t="n">
        <v>3</v>
      </c>
      <c r="I22" s="43">
        <f>$T$7*H22</f>
        <v/>
      </c>
      <c r="J22" s="43">
        <f>G22+$T$9+I22</f>
        <v/>
      </c>
      <c r="K22" s="43">
        <f>$T$11/64</f>
        <v/>
      </c>
      <c r="L22" s="43" t="n">
        <v>0</v>
      </c>
      <c r="M22" s="43" t="n">
        <v>0</v>
      </c>
      <c r="N22" s="43" t="n">
        <v>0</v>
      </c>
      <c r="O22" s="43" t="n">
        <v>0</v>
      </c>
      <c r="P22" s="43" t="n"/>
      <c r="Q22" s="43" t="n"/>
      <c r="R22" s="43">
        <f>(J22+K22+L22+M22+N22+O22)*$B$2</f>
        <v/>
      </c>
      <c r="S22" s="43" t="n"/>
      <c r="T22" s="43" t="n"/>
    </row>
    <row r="23" ht="12.75" customHeight="1">
      <c r="A23" s="40" t="inlineStr">
        <is>
          <t>G2</t>
        </is>
      </c>
      <c r="B23" s="40">
        <f>VLOOKUP(A23,Members!$A$2:$B$65,2,FALSE)</f>
        <v/>
      </c>
      <c r="C23" s="41" t="n">
        <v>0</v>
      </c>
      <c r="D23" s="41">
        <f>SUM($C$3:$C$5)/64</f>
        <v/>
      </c>
      <c r="E23" s="41">
        <f>C23+D23</f>
        <v/>
      </c>
      <c r="F23" s="41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$T$11/64</f>
        <v/>
      </c>
      <c r="L23" s="41" t="n">
        <v>0</v>
      </c>
      <c r="M23" s="41" t="n">
        <v>0</v>
      </c>
      <c r="N23" s="41" t="n">
        <v>0</v>
      </c>
      <c r="O23" s="41" t="n">
        <v>0</v>
      </c>
      <c r="P23" s="41" t="n"/>
      <c r="Q23" s="41" t="n"/>
      <c r="R23" s="41">
        <f>(J23+K23+L23+M23+N23+O23)*$B$2</f>
        <v/>
      </c>
      <c r="S23" s="41" t="n"/>
      <c r="T23" s="41" t="n"/>
    </row>
    <row r="24" ht="12.75" customHeight="1">
      <c r="A24" s="42" t="inlineStr">
        <is>
          <t>G3</t>
        </is>
      </c>
      <c r="B24" s="42">
        <f>VLOOKUP(A24,Members!$A$2:$B$65,2,FALSE)</f>
        <v/>
      </c>
      <c r="C24" s="43" t="n">
        <v>0</v>
      </c>
      <c r="D24" s="43">
        <f>SUM($C$3:$C$5)/64</f>
        <v/>
      </c>
      <c r="E24" s="43">
        <f>C24+D24</f>
        <v/>
      </c>
      <c r="F24" s="43">
        <f>IF($C$70=0, 0, E24/$C$70)</f>
        <v/>
      </c>
      <c r="G24" s="43">
        <f>F24*$T$5</f>
        <v/>
      </c>
      <c r="H24" s="43" t="n">
        <v>4</v>
      </c>
      <c r="I24" s="43">
        <f>$T$7*H24</f>
        <v/>
      </c>
      <c r="J24" s="43">
        <f>G24+$T$9+I24</f>
        <v/>
      </c>
      <c r="K24" s="43">
        <f>$T$11/64</f>
        <v/>
      </c>
      <c r="L24" s="43" t="n">
        <v>0</v>
      </c>
      <c r="M24" s="43" t="n">
        <v>0</v>
      </c>
      <c r="N24" s="43" t="n">
        <v>0</v>
      </c>
      <c r="O24" s="43" t="n">
        <v>0</v>
      </c>
      <c r="P24" s="43" t="n"/>
      <c r="Q24" s="43" t="n"/>
      <c r="R24" s="43">
        <f>(J24+K24+L24+M24+N24+O24)*$B$2</f>
        <v/>
      </c>
      <c r="S24" s="43" t="n"/>
      <c r="T24" s="43" t="n"/>
    </row>
    <row r="25" ht="12.75" customHeight="1">
      <c r="A25" s="40" t="inlineStr">
        <is>
          <t>G4</t>
        </is>
      </c>
      <c r="B25" s="40">
        <f>VLOOKUP(A25,Members!$A$2:$B$65,2,FALSE)</f>
        <v/>
      </c>
      <c r="C25" s="41" t="n">
        <v>0</v>
      </c>
      <c r="D25" s="41">
        <f>SUM($C$3:$C$5)/64</f>
        <v/>
      </c>
      <c r="E25" s="41">
        <f>C25+D25</f>
        <v/>
      </c>
      <c r="F25" s="41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$T$11/64</f>
        <v/>
      </c>
      <c r="L25" s="41" t="n">
        <v>0</v>
      </c>
      <c r="M25" s="41" t="n">
        <v>0</v>
      </c>
      <c r="N25" s="41" t="n">
        <v>0</v>
      </c>
      <c r="O25" s="41" t="n">
        <v>0</v>
      </c>
      <c r="P25" s="41" t="n"/>
      <c r="Q25" s="41" t="n"/>
      <c r="R25" s="41">
        <f>(J25+K25+L25+M25+N25+O25)*$B$2</f>
        <v/>
      </c>
      <c r="S25" s="41" t="n"/>
      <c r="T25" s="41" t="n"/>
    </row>
    <row r="26" ht="12.75" customHeight="1">
      <c r="A26" s="42" t="inlineStr">
        <is>
          <t>G5</t>
        </is>
      </c>
      <c r="B26" s="42">
        <f>VLOOKUP(A26,Members!$A$2:$B$65,2,FALSE)</f>
        <v/>
      </c>
      <c r="C26" s="43" t="n">
        <v>0</v>
      </c>
      <c r="D26" s="43">
        <f>SUM($C$3:$C$5)/64</f>
        <v/>
      </c>
      <c r="E26" s="43">
        <f>C26+D26</f>
        <v/>
      </c>
      <c r="F26" s="43">
        <f>IF($C$70=0, 0, E26/$C$70)</f>
        <v/>
      </c>
      <c r="G26" s="43">
        <f>F26*$T$5</f>
        <v/>
      </c>
      <c r="H26" s="43" t="n">
        <v>3</v>
      </c>
      <c r="I26" s="43">
        <f>$T$7*H26</f>
        <v/>
      </c>
      <c r="J26" s="43">
        <f>G26+$T$9+I26</f>
        <v/>
      </c>
      <c r="K26" s="43">
        <f>$T$11/64</f>
        <v/>
      </c>
      <c r="L26" s="43" t="n">
        <v>0</v>
      </c>
      <c r="M26" s="43" t="n">
        <v>0</v>
      </c>
      <c r="N26" s="43" t="n">
        <v>0</v>
      </c>
      <c r="O26" s="43" t="n">
        <v>0</v>
      </c>
      <c r="P26" s="43" t="n"/>
      <c r="Q26" s="43" t="n"/>
      <c r="R26" s="43">
        <f>(J26+K26+L26+M26+N26+O26)*$B$2</f>
        <v/>
      </c>
      <c r="S26" s="43" t="n"/>
      <c r="T26" s="43" t="n"/>
    </row>
    <row r="27" ht="12.75" customHeight="1">
      <c r="A27" s="40" t="inlineStr">
        <is>
          <t>G6</t>
        </is>
      </c>
      <c r="B27" s="40">
        <f>VLOOKUP(A27,Members!$A$2:$B$65,2,FALSE)</f>
        <v/>
      </c>
      <c r="C27" s="41" t="n">
        <v>0</v>
      </c>
      <c r="D27" s="41">
        <f>SUM($C$3:$C$5)/64</f>
        <v/>
      </c>
      <c r="E27" s="41">
        <f>C27+D27</f>
        <v/>
      </c>
      <c r="F27" s="41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$T$11/64</f>
        <v/>
      </c>
      <c r="L27" s="41" t="n">
        <v>0</v>
      </c>
      <c r="M27" s="41" t="n">
        <v>0</v>
      </c>
      <c r="N27" s="41" t="n">
        <v>0</v>
      </c>
      <c r="O27" s="41" t="n">
        <v>0</v>
      </c>
      <c r="P27" s="41" t="n"/>
      <c r="Q27" s="41" t="n"/>
      <c r="R27" s="41">
        <f>(J27+K27+L27+M27+N27+O27)*$B$2</f>
        <v/>
      </c>
      <c r="S27" s="41" t="n"/>
      <c r="T27" s="41" t="n"/>
    </row>
    <row r="28" ht="12.75" customHeight="1">
      <c r="A28" s="42" t="inlineStr">
        <is>
          <t>G7</t>
        </is>
      </c>
      <c r="B28" s="42">
        <f>VLOOKUP(A28,Members!$A$2:$B$65,2,FALSE)</f>
        <v/>
      </c>
      <c r="C28" s="43" t="n">
        <v>0</v>
      </c>
      <c r="D28" s="43">
        <f>SUM($C$3:$C$5)/64</f>
        <v/>
      </c>
      <c r="E28" s="43">
        <f>C28+D28</f>
        <v/>
      </c>
      <c r="F28" s="43">
        <f>IF($C$70=0, 0, E28/$C$70)</f>
        <v/>
      </c>
      <c r="G28" s="43">
        <f>F28*$T$5</f>
        <v/>
      </c>
      <c r="H28" s="43" t="n">
        <v>3</v>
      </c>
      <c r="I28" s="43">
        <f>$T$7*H28</f>
        <v/>
      </c>
      <c r="J28" s="43">
        <f>G28+$T$9+I28</f>
        <v/>
      </c>
      <c r="K28" s="43">
        <f>$T$11/64</f>
        <v/>
      </c>
      <c r="L28" s="43" t="n">
        <v>0</v>
      </c>
      <c r="M28" s="43" t="n">
        <v>0</v>
      </c>
      <c r="N28" s="43" t="n">
        <v>0</v>
      </c>
      <c r="O28" s="43" t="n">
        <v>0</v>
      </c>
      <c r="P28" s="43" t="n"/>
      <c r="Q28" s="43" t="n"/>
      <c r="R28" s="43">
        <f>(J28+K28+L28+M28+N28+O28)*$B$2</f>
        <v/>
      </c>
      <c r="S28" s="43" t="n"/>
      <c r="T28" s="43" t="n"/>
    </row>
    <row r="29" ht="12.75" customHeight="1">
      <c r="A29" s="40" t="inlineStr">
        <is>
          <t>G8</t>
        </is>
      </c>
      <c r="B29" s="40">
        <f>VLOOKUP(A29,Members!$A$2:$B$65,2,FALSE)</f>
        <v/>
      </c>
      <c r="C29" s="41" t="n">
        <v>0</v>
      </c>
      <c r="D29" s="41">
        <f>SUM($C$3:$C$5)/64</f>
        <v/>
      </c>
      <c r="E29" s="41">
        <f>C29+D29</f>
        <v/>
      </c>
      <c r="F29" s="41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$T$11/64</f>
        <v/>
      </c>
      <c r="L29" s="41" t="n">
        <v>0</v>
      </c>
      <c r="M29" s="41" t="n">
        <v>0</v>
      </c>
      <c r="N29" s="41" t="n">
        <v>0</v>
      </c>
      <c r="O29" s="41" t="n">
        <v>0</v>
      </c>
      <c r="P29" s="41" t="n"/>
      <c r="Q29" s="41" t="n"/>
      <c r="R29" s="41">
        <f>(J29+K29+L29+M29+N29+O29)*$B$2</f>
        <v/>
      </c>
      <c r="S29" s="41" t="n"/>
      <c r="T29" s="41" t="n"/>
    </row>
    <row r="30" ht="12.75" customHeight="1">
      <c r="A30" s="42" t="inlineStr">
        <is>
          <t>G9</t>
        </is>
      </c>
      <c r="B30" s="42">
        <f>VLOOKUP(A30,Members!$A$2:$B$65,2,FALSE)</f>
        <v/>
      </c>
      <c r="C30" s="43" t="n">
        <v>0</v>
      </c>
      <c r="D30" s="43">
        <f>SUM($C$3:$C$5)/64</f>
        <v/>
      </c>
      <c r="E30" s="43">
        <f>C30+D30</f>
        <v/>
      </c>
      <c r="F30" s="43">
        <f>IF($C$70=0, 0, E30/$C$70)</f>
        <v/>
      </c>
      <c r="G30" s="43">
        <f>F30*$T$5</f>
        <v/>
      </c>
      <c r="H30" s="43" t="n">
        <v>5</v>
      </c>
      <c r="I30" s="43">
        <f>$T$7*H30</f>
        <v/>
      </c>
      <c r="J30" s="43">
        <f>G30+$T$9+I30</f>
        <v/>
      </c>
      <c r="K30" s="43">
        <f>$T$11/64</f>
        <v/>
      </c>
      <c r="L30" s="43" t="n">
        <v>0</v>
      </c>
      <c r="M30" s="43" t="n">
        <v>0</v>
      </c>
      <c r="N30" s="43" t="n">
        <v>0</v>
      </c>
      <c r="O30" s="43" t="n">
        <v>0</v>
      </c>
      <c r="P30" s="43" t="n"/>
      <c r="Q30" s="43" t="n"/>
      <c r="R30" s="43">
        <f>(J30+K30+L30+M30+N30+O30)*$B$2</f>
        <v/>
      </c>
      <c r="S30" s="43" t="n"/>
      <c r="T30" s="43" t="n"/>
    </row>
    <row r="31" ht="12.75" customHeight="1">
      <c r="A31" s="40" t="inlineStr">
        <is>
          <t>G10</t>
        </is>
      </c>
      <c r="B31" s="40">
        <f>VLOOKUP(A31,Members!$A$2:$B$65,2,FALSE)</f>
        <v/>
      </c>
      <c r="C31" s="41" t="n">
        <v>0</v>
      </c>
      <c r="D31" s="41">
        <f>SUM($C$3:$C$5)/64</f>
        <v/>
      </c>
      <c r="E31" s="41">
        <f>C31+D31</f>
        <v/>
      </c>
      <c r="F31" s="41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$T$11/64</f>
        <v/>
      </c>
      <c r="L31" s="41" t="n">
        <v>0</v>
      </c>
      <c r="M31" s="41" t="n">
        <v>0</v>
      </c>
      <c r="N31" s="41" t="n">
        <v>0</v>
      </c>
      <c r="O31" s="41" t="n">
        <v>0</v>
      </c>
      <c r="P31" s="41" t="n"/>
      <c r="Q31" s="41" t="n"/>
      <c r="R31" s="41">
        <f>(J31+K31+L31+M31+N31+O31)*$B$2</f>
        <v/>
      </c>
      <c r="S31" s="41" t="n"/>
      <c r="T31" s="41" t="n"/>
    </row>
    <row r="32" ht="12.75" customHeight="1">
      <c r="A32" s="42" t="inlineStr">
        <is>
          <t>G11</t>
        </is>
      </c>
      <c r="B32" s="42">
        <f>VLOOKUP(A32,Members!$A$2:$B$65,2,FALSE)</f>
        <v/>
      </c>
      <c r="C32" s="43" t="n">
        <v>0</v>
      </c>
      <c r="D32" s="43">
        <f>SUM($C$3:$C$5)/64</f>
        <v/>
      </c>
      <c r="E32" s="43">
        <f>C32+D32</f>
        <v/>
      </c>
      <c r="F32" s="43">
        <f>IF($C$70=0, 0, E32/$C$70)</f>
        <v/>
      </c>
      <c r="G32" s="43">
        <f>F32*$T$5</f>
        <v/>
      </c>
      <c r="H32" s="43" t="n">
        <v>3</v>
      </c>
      <c r="I32" s="43">
        <f>$T$7*H32</f>
        <v/>
      </c>
      <c r="J32" s="43">
        <f>G32+$T$9+I32</f>
        <v/>
      </c>
      <c r="K32" s="43">
        <f>$T$11/64</f>
        <v/>
      </c>
      <c r="L32" s="43" t="n">
        <v>0</v>
      </c>
      <c r="M32" s="43" t="n">
        <v>0</v>
      </c>
      <c r="N32" s="43" t="n">
        <v>0</v>
      </c>
      <c r="O32" s="43" t="n">
        <v>0</v>
      </c>
      <c r="P32" s="43" t="n"/>
      <c r="Q32" s="43" t="n"/>
      <c r="R32" s="43">
        <f>(J32+K32+L32+M32+N32+O32)*$B$2</f>
        <v/>
      </c>
      <c r="S32" s="43" t="n"/>
      <c r="T32" s="43" t="n"/>
    </row>
    <row r="33" ht="12.75" customHeight="1">
      <c r="A33" s="40" t="inlineStr">
        <is>
          <t>G12</t>
        </is>
      </c>
      <c r="B33" s="40">
        <f>VLOOKUP(A33,Members!$A$2:$B$65,2,FALSE)</f>
        <v/>
      </c>
      <c r="C33" s="41" t="n">
        <v>0</v>
      </c>
      <c r="D33" s="41">
        <f>SUM($C$3:$C$5)/64</f>
        <v/>
      </c>
      <c r="E33" s="41">
        <f>C33+D33</f>
        <v/>
      </c>
      <c r="F33" s="41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$T$11/64</f>
        <v/>
      </c>
      <c r="L33" s="41" t="n">
        <v>0</v>
      </c>
      <c r="M33" s="41" t="n">
        <v>0</v>
      </c>
      <c r="N33" s="41" t="n">
        <v>0</v>
      </c>
      <c r="O33" s="41" t="n">
        <v>0</v>
      </c>
      <c r="P33" s="41" t="n"/>
      <c r="Q33" s="41" t="n"/>
      <c r="R33" s="41">
        <f>(J33+K33+L33+M33+N33+O33)*$B$2</f>
        <v/>
      </c>
      <c r="S33" s="41" t="n"/>
      <c r="T33" s="41" t="n"/>
    </row>
    <row r="34" ht="12.75" customHeight="1">
      <c r="A34" s="42" t="inlineStr">
        <is>
          <t>G13</t>
        </is>
      </c>
      <c r="B34" s="42">
        <f>VLOOKUP(A34,Members!$A$2:$B$65,2,FALSE)</f>
        <v/>
      </c>
      <c r="C34" s="43" t="n">
        <v>0</v>
      </c>
      <c r="D34" s="43">
        <f>SUM($C$3:$C$5)/64</f>
        <v/>
      </c>
      <c r="E34" s="43">
        <f>C34+D34</f>
        <v/>
      </c>
      <c r="F34" s="43">
        <f>IF($C$70=0, 0, E34/$C$70)</f>
        <v/>
      </c>
      <c r="G34" s="43">
        <f>F34*$T$5</f>
        <v/>
      </c>
      <c r="H34" s="43" t="n">
        <v>4</v>
      </c>
      <c r="I34" s="43">
        <f>$T$7*H34</f>
        <v/>
      </c>
      <c r="J34" s="43">
        <f>G34+$T$9+I34</f>
        <v/>
      </c>
      <c r="K34" s="43">
        <f>$T$11/64</f>
        <v/>
      </c>
      <c r="L34" s="43" t="n">
        <v>0</v>
      </c>
      <c r="M34" s="43" t="n">
        <v>0</v>
      </c>
      <c r="N34" s="43" t="n">
        <v>0</v>
      </c>
      <c r="O34" s="43" t="n">
        <v>0</v>
      </c>
      <c r="P34" s="43" t="n"/>
      <c r="Q34" s="43" t="n"/>
      <c r="R34" s="43">
        <f>(J34+K34+L34+M34+N34+O34)*$B$2</f>
        <v/>
      </c>
      <c r="S34" s="43" t="n"/>
      <c r="T34" s="43" t="n"/>
    </row>
    <row r="35" ht="12.75" customHeight="1">
      <c r="A35" s="40" t="inlineStr">
        <is>
          <t>G14</t>
        </is>
      </c>
      <c r="B35" s="40">
        <f>VLOOKUP(A35,Members!$A$2:$B$65,2,FALSE)</f>
        <v/>
      </c>
      <c r="C35" s="41" t="n">
        <v>0</v>
      </c>
      <c r="D35" s="41">
        <f>SUM($C$3:$C$5)/64</f>
        <v/>
      </c>
      <c r="E35" s="41">
        <f>C35+D35</f>
        <v/>
      </c>
      <c r="F35" s="41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$T$11/64</f>
        <v/>
      </c>
      <c r="L35" s="41" t="n">
        <v>0</v>
      </c>
      <c r="M35" s="41" t="n">
        <v>0</v>
      </c>
      <c r="N35" s="41" t="n">
        <v>0</v>
      </c>
      <c r="O35" s="41" t="n">
        <v>0</v>
      </c>
      <c r="P35" s="41" t="n"/>
      <c r="Q35" s="41" t="n"/>
      <c r="R35" s="41">
        <f>(J35+K35+L35+M35+N35+O35)*$B$2</f>
        <v/>
      </c>
      <c r="S35" s="41" t="n"/>
      <c r="T35" s="41" t="n"/>
    </row>
    <row r="36" ht="12.75" customHeight="1">
      <c r="A36" s="42" t="inlineStr">
        <is>
          <t>G15</t>
        </is>
      </c>
      <c r="B36" s="42">
        <f>VLOOKUP(A36,Members!$A$2:$B$65,2,FALSE)</f>
        <v/>
      </c>
      <c r="C36" s="43" t="n">
        <v>0</v>
      </c>
      <c r="D36" s="43">
        <f>SUM($C$3:$C$5)/64</f>
        <v/>
      </c>
      <c r="E36" s="43">
        <f>C36+D36</f>
        <v/>
      </c>
      <c r="F36" s="43">
        <f>IF($C$70=0, 0, E36/$C$70)</f>
        <v/>
      </c>
      <c r="G36" s="43">
        <f>F36*$T$5</f>
        <v/>
      </c>
      <c r="H36" s="43" t="n">
        <v>4</v>
      </c>
      <c r="I36" s="43">
        <f>$T$7*H36</f>
        <v/>
      </c>
      <c r="J36" s="43">
        <f>G36+$T$9+I36</f>
        <v/>
      </c>
      <c r="K36" s="43">
        <f>$T$11/64</f>
        <v/>
      </c>
      <c r="L36" s="43" t="n">
        <v>0</v>
      </c>
      <c r="M36" s="43" t="n">
        <v>0</v>
      </c>
      <c r="N36" s="43" t="n">
        <v>0</v>
      </c>
      <c r="O36" s="43" t="n">
        <v>0</v>
      </c>
      <c r="P36" s="43" t="n"/>
      <c r="Q36" s="43" t="n"/>
      <c r="R36" s="43">
        <f>(J36+K36+L36+M36+N36+O36)*$B$2</f>
        <v/>
      </c>
      <c r="S36" s="43" t="n"/>
      <c r="T36" s="43" t="n"/>
    </row>
    <row r="37" ht="12.75" customHeight="1">
      <c r="A37" s="40" t="inlineStr">
        <is>
          <t>G16</t>
        </is>
      </c>
      <c r="B37" s="40">
        <f>VLOOKUP(A37,Members!$A$2:$B$65,2,FALSE)</f>
        <v/>
      </c>
      <c r="C37" s="41" t="n">
        <v>0</v>
      </c>
      <c r="D37" s="41">
        <f>SUM($C$3:$C$5)/64</f>
        <v/>
      </c>
      <c r="E37" s="41">
        <f>C37+D37</f>
        <v/>
      </c>
      <c r="F37" s="41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$T$11/64</f>
        <v/>
      </c>
      <c r="L37" s="41" t="n">
        <v>0</v>
      </c>
      <c r="M37" s="41" t="n">
        <v>0</v>
      </c>
      <c r="N37" s="41" t="n">
        <v>0</v>
      </c>
      <c r="O37" s="41" t="n">
        <v>0</v>
      </c>
      <c r="P37" s="41" t="n"/>
      <c r="Q37" s="41" t="n"/>
      <c r="R37" s="41">
        <f>(J37+K37+L37+M37+N37+O37)*$B$2</f>
        <v/>
      </c>
      <c r="S37" s="41" t="n"/>
      <c r="T37" s="41" t="n"/>
    </row>
    <row r="38" ht="12.75" customHeight="1">
      <c r="A38" s="42" t="inlineStr">
        <is>
          <t>S1</t>
        </is>
      </c>
      <c r="B38" s="42">
        <f>VLOOKUP(A38,Members!$A$2:$B$65,2,FALSE)</f>
        <v/>
      </c>
      <c r="C38" s="43" t="n">
        <v>0</v>
      </c>
      <c r="D38" s="43">
        <f>SUM($C$3:$C$5)/64</f>
        <v/>
      </c>
      <c r="E38" s="43">
        <f>C38+D38</f>
        <v/>
      </c>
      <c r="F38" s="43">
        <f>IF($C$70=0, 0, E38/$C$70)</f>
        <v/>
      </c>
      <c r="G38" s="43">
        <f>F38*$T$5</f>
        <v/>
      </c>
      <c r="H38" s="43" t="n">
        <v>3</v>
      </c>
      <c r="I38" s="43">
        <f>$T$7*H38</f>
        <v/>
      </c>
      <c r="J38" s="43">
        <f>G38+$T$9+I38</f>
        <v/>
      </c>
      <c r="K38" s="43">
        <f>$T$11/64</f>
        <v/>
      </c>
      <c r="L38" s="43" t="n">
        <v>0</v>
      </c>
      <c r="M38" s="43" t="n">
        <v>0</v>
      </c>
      <c r="N38" s="43" t="n">
        <v>0</v>
      </c>
      <c r="O38" s="43" t="n">
        <v>0</v>
      </c>
      <c r="P38" s="43" t="n"/>
      <c r="Q38" s="43" t="n"/>
      <c r="R38" s="43">
        <f>(J38+K38+L38+M38+N38+O38)*$B$2</f>
        <v/>
      </c>
      <c r="S38" s="43" t="n"/>
      <c r="T38" s="43" t="n"/>
    </row>
    <row r="39" ht="12.75" customHeight="1">
      <c r="A39" s="40" t="inlineStr">
        <is>
          <t>S2</t>
        </is>
      </c>
      <c r="B39" s="40">
        <f>VLOOKUP(A39,Members!$A$2:$B$65,2,FALSE)</f>
        <v/>
      </c>
      <c r="C39" s="41" t="n">
        <v>0</v>
      </c>
      <c r="D39" s="41">
        <f>SUM($C$3:$C$5)/64</f>
        <v/>
      </c>
      <c r="E39" s="41">
        <f>C39+D39</f>
        <v/>
      </c>
      <c r="F39" s="41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$T$11/64</f>
        <v/>
      </c>
      <c r="L39" s="41" t="n">
        <v>0</v>
      </c>
      <c r="M39" s="41" t="n">
        <v>0</v>
      </c>
      <c r="N39" s="41" t="n">
        <v>0</v>
      </c>
      <c r="O39" s="41" t="n">
        <v>0</v>
      </c>
      <c r="P39" s="41" t="n"/>
      <c r="Q39" s="41" t="n"/>
      <c r="R39" s="41">
        <f>(J39+K39+L39+M39+N39+O39)*$B$2</f>
        <v/>
      </c>
      <c r="S39" s="41" t="n"/>
      <c r="T39" s="41" t="n"/>
    </row>
    <row r="40" ht="12.75" customHeight="1">
      <c r="A40" s="42" t="inlineStr">
        <is>
          <t>S3</t>
        </is>
      </c>
      <c r="B40" s="42">
        <f>VLOOKUP(A40,Members!$A$2:$B$65,2,FALSE)</f>
        <v/>
      </c>
      <c r="C40" s="43" t="n">
        <v>0</v>
      </c>
      <c r="D40" s="43">
        <f>SUM($C$3:$C$5)/64</f>
        <v/>
      </c>
      <c r="E40" s="43">
        <f>C40+D40</f>
        <v/>
      </c>
      <c r="F40" s="43">
        <f>IF($C$70=0, 0, E40/$C$70)</f>
        <v/>
      </c>
      <c r="G40" s="43">
        <f>F40*$T$5</f>
        <v/>
      </c>
      <c r="H40" s="43" t="n">
        <v>4</v>
      </c>
      <c r="I40" s="43">
        <f>$T$7*H40</f>
        <v/>
      </c>
      <c r="J40" s="43">
        <f>G40+$T$9+I40</f>
        <v/>
      </c>
      <c r="K40" s="43">
        <f>$T$11/64</f>
        <v/>
      </c>
      <c r="L40" s="43" t="n">
        <v>0</v>
      </c>
      <c r="M40" s="43" t="n">
        <v>0</v>
      </c>
      <c r="N40" s="43" t="n">
        <v>0</v>
      </c>
      <c r="O40" s="43" t="n">
        <v>0</v>
      </c>
      <c r="P40" s="43" t="n"/>
      <c r="Q40" s="43" t="n"/>
      <c r="R40" s="43">
        <f>(J40+K40+L40+M40+N40+O40)*$B$2</f>
        <v/>
      </c>
      <c r="S40" s="43" t="n"/>
      <c r="T40" s="43" t="n"/>
    </row>
    <row r="41" ht="12.75" customHeight="1">
      <c r="A41" s="40" t="inlineStr">
        <is>
          <t>S4</t>
        </is>
      </c>
      <c r="B41" s="40">
        <f>VLOOKUP(A41,Members!$A$2:$B$65,2,FALSE)</f>
        <v/>
      </c>
      <c r="C41" s="41" t="n">
        <v>0</v>
      </c>
      <c r="D41" s="41">
        <f>SUM($C$3:$C$5)/64</f>
        <v/>
      </c>
      <c r="E41" s="41">
        <f>C41+D41</f>
        <v/>
      </c>
      <c r="F41" s="41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$T$11/64</f>
        <v/>
      </c>
      <c r="L41" s="41" t="n">
        <v>0</v>
      </c>
      <c r="M41" s="41" t="n">
        <v>0</v>
      </c>
      <c r="N41" s="41" t="n">
        <v>0</v>
      </c>
      <c r="O41" s="41" t="n">
        <v>0</v>
      </c>
      <c r="P41" s="41" t="n"/>
      <c r="Q41" s="41" t="n"/>
      <c r="R41" s="41">
        <f>(J41+K41+L41+M41+N41+O41)*$B$2</f>
        <v/>
      </c>
      <c r="S41" s="41" t="n"/>
      <c r="T41" s="41" t="n"/>
    </row>
    <row r="42" ht="12.75" customHeight="1">
      <c r="A42" s="42" t="inlineStr">
        <is>
          <t>S5</t>
        </is>
      </c>
      <c r="B42" s="42">
        <f>VLOOKUP(A42,Members!$A$2:$B$65,2,FALSE)</f>
        <v/>
      </c>
      <c r="C42" s="43" t="n">
        <v>0</v>
      </c>
      <c r="D42" s="43">
        <f>SUM($C$3:$C$5)/64</f>
        <v/>
      </c>
      <c r="E42" s="43">
        <f>C42+D42</f>
        <v/>
      </c>
      <c r="F42" s="43">
        <f>IF($C$70=0, 0, E42/$C$70)</f>
        <v/>
      </c>
      <c r="G42" s="43">
        <f>F42*$T$5</f>
        <v/>
      </c>
      <c r="H42" s="43" t="n">
        <v>3</v>
      </c>
      <c r="I42" s="43">
        <f>$T$7*H42</f>
        <v/>
      </c>
      <c r="J42" s="43">
        <f>G42+$T$9+I42</f>
        <v/>
      </c>
      <c r="K42" s="43">
        <f>$T$11/64</f>
        <v/>
      </c>
      <c r="L42" s="43" t="n">
        <v>0</v>
      </c>
      <c r="M42" s="43" t="n">
        <v>0</v>
      </c>
      <c r="N42" s="43" t="n">
        <v>0</v>
      </c>
      <c r="O42" s="43" t="n">
        <v>0</v>
      </c>
      <c r="P42" s="43" t="n"/>
      <c r="Q42" s="43" t="n"/>
      <c r="R42" s="43">
        <f>(J42+K42+L42+M42+N42+O42)*$B$2</f>
        <v/>
      </c>
      <c r="S42" s="43" t="n"/>
      <c r="T42" s="43" t="n"/>
    </row>
    <row r="43" ht="12.75" customHeight="1">
      <c r="A43" s="40" t="inlineStr">
        <is>
          <t>S6</t>
        </is>
      </c>
      <c r="B43" s="40">
        <f>VLOOKUP(A43,Members!$A$2:$B$65,2,FALSE)</f>
        <v/>
      </c>
      <c r="C43" s="41" t="n">
        <v>0</v>
      </c>
      <c r="D43" s="41">
        <f>SUM($C$3:$C$5)/64</f>
        <v/>
      </c>
      <c r="E43" s="41">
        <f>C43+D43</f>
        <v/>
      </c>
      <c r="F43" s="41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$T$11/64</f>
        <v/>
      </c>
      <c r="L43" s="41" t="n">
        <v>0</v>
      </c>
      <c r="M43" s="41" t="n">
        <v>0</v>
      </c>
      <c r="N43" s="41" t="n">
        <v>0</v>
      </c>
      <c r="O43" s="41" t="n">
        <v>0</v>
      </c>
      <c r="P43" s="41" t="n"/>
      <c r="Q43" s="41" t="n"/>
      <c r="R43" s="41">
        <f>(J43+K43+L43+M43+N43+O43)*$B$2</f>
        <v/>
      </c>
      <c r="S43" s="41" t="n"/>
      <c r="T43" s="41" t="n"/>
    </row>
    <row r="44" ht="12.75" customHeight="1">
      <c r="A44" s="42" t="inlineStr">
        <is>
          <t>S7</t>
        </is>
      </c>
      <c r="B44" s="42">
        <f>VLOOKUP(A44,Members!$A$2:$B$65,2,FALSE)</f>
        <v/>
      </c>
      <c r="C44" s="43" t="n">
        <v>0</v>
      </c>
      <c r="D44" s="43">
        <f>SUM($C$3:$C$5)/64</f>
        <v/>
      </c>
      <c r="E44" s="43">
        <f>C44+D44</f>
        <v/>
      </c>
      <c r="F44" s="43">
        <f>IF($C$70=0, 0, E44/$C$70)</f>
        <v/>
      </c>
      <c r="G44" s="43">
        <f>F44*$T$5</f>
        <v/>
      </c>
      <c r="H44" s="43" t="n">
        <v>3</v>
      </c>
      <c r="I44" s="43">
        <f>$T$7*H44</f>
        <v/>
      </c>
      <c r="J44" s="43">
        <f>G44+$T$9+I44</f>
        <v/>
      </c>
      <c r="K44" s="43">
        <f>$T$11/64</f>
        <v/>
      </c>
      <c r="L44" s="43" t="n">
        <v>0</v>
      </c>
      <c r="M44" s="43" t="n">
        <v>0</v>
      </c>
      <c r="N44" s="43" t="n">
        <v>0</v>
      </c>
      <c r="O44" s="43" t="n">
        <v>0</v>
      </c>
      <c r="P44" s="43" t="n"/>
      <c r="Q44" s="43" t="n"/>
      <c r="R44" s="43">
        <f>(J44+K44+L44+M44+N44+O44)*$B$2</f>
        <v/>
      </c>
      <c r="S44" s="43" t="n"/>
      <c r="T44" s="43" t="n"/>
    </row>
    <row r="45" ht="12.75" customHeight="1">
      <c r="A45" s="40" t="inlineStr">
        <is>
          <t>S8</t>
        </is>
      </c>
      <c r="B45" s="40">
        <f>VLOOKUP(A45,Members!$A$2:$B$65,2,FALSE)</f>
        <v/>
      </c>
      <c r="C45" s="41" t="n">
        <v>0</v>
      </c>
      <c r="D45" s="41">
        <f>SUM($C$3:$C$5)/64</f>
        <v/>
      </c>
      <c r="E45" s="41">
        <f>C45+D45</f>
        <v/>
      </c>
      <c r="F45" s="41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$T$11/64</f>
        <v/>
      </c>
      <c r="L45" s="41" t="n">
        <v>0</v>
      </c>
      <c r="M45" s="41" t="n">
        <v>0</v>
      </c>
      <c r="N45" s="41" t="n">
        <v>0</v>
      </c>
      <c r="O45" s="41" t="n">
        <v>0</v>
      </c>
      <c r="P45" s="41" t="n"/>
      <c r="Q45" s="41" t="n"/>
      <c r="R45" s="41">
        <f>(J45+K45+L45+M45+N45+O45)*$B$2</f>
        <v/>
      </c>
      <c r="S45" s="41" t="n"/>
      <c r="T45" s="41" t="n"/>
    </row>
    <row r="46" ht="12.75" customHeight="1">
      <c r="A46" s="42" t="inlineStr">
        <is>
          <t>S9</t>
        </is>
      </c>
      <c r="B46" s="42">
        <f>VLOOKUP(A46,Members!$A$2:$B$65,2,FALSE)</f>
        <v/>
      </c>
      <c r="C46" s="43" t="n">
        <v>0</v>
      </c>
      <c r="D46" s="43">
        <f>SUM($C$3:$C$5)/64</f>
        <v/>
      </c>
      <c r="E46" s="43">
        <f>C46+D46</f>
        <v/>
      </c>
      <c r="F46" s="43">
        <f>IF($C$70=0, 0, E46/$C$70)</f>
        <v/>
      </c>
      <c r="G46" s="43">
        <f>F46*$T$5</f>
        <v/>
      </c>
      <c r="H46" s="43" t="n">
        <v>4</v>
      </c>
      <c r="I46" s="43">
        <f>$T$7*H46</f>
        <v/>
      </c>
      <c r="J46" s="43">
        <f>G46+$T$9+I46</f>
        <v/>
      </c>
      <c r="K46" s="43">
        <f>$T$11/64</f>
        <v/>
      </c>
      <c r="L46" s="43" t="n">
        <v>0</v>
      </c>
      <c r="M46" s="43" t="n">
        <v>0</v>
      </c>
      <c r="N46" s="43" t="n">
        <v>0</v>
      </c>
      <c r="O46" s="43" t="n">
        <v>0</v>
      </c>
      <c r="P46" s="43" t="n"/>
      <c r="Q46" s="43" t="n"/>
      <c r="R46" s="43">
        <f>(J46+K46+L46+M46+N46+O46)*$B$2</f>
        <v/>
      </c>
      <c r="S46" s="43" t="n"/>
      <c r="T46" s="43" t="n"/>
    </row>
    <row r="47" ht="12.75" customHeight="1">
      <c r="A47" s="40" t="inlineStr">
        <is>
          <t>S10</t>
        </is>
      </c>
      <c r="B47" s="40">
        <f>VLOOKUP(A47,Members!$A$2:$B$65,2,FALSE)</f>
        <v/>
      </c>
      <c r="C47" s="41" t="n">
        <v>0</v>
      </c>
      <c r="D47" s="41">
        <f>SUM($C$3:$C$5)/64</f>
        <v/>
      </c>
      <c r="E47" s="41">
        <f>C47+D47</f>
        <v/>
      </c>
      <c r="F47" s="41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$T$11/64</f>
        <v/>
      </c>
      <c r="L47" s="41" t="n">
        <v>0</v>
      </c>
      <c r="M47" s="41" t="n">
        <v>0</v>
      </c>
      <c r="N47" s="41" t="n">
        <v>0</v>
      </c>
      <c r="O47" s="41" t="n">
        <v>0</v>
      </c>
      <c r="P47" s="41" t="n"/>
      <c r="Q47" s="41" t="n"/>
      <c r="R47" s="41">
        <f>(J47+K47+L47+M47+N47+O47)*$B$2</f>
        <v/>
      </c>
      <c r="S47" s="41" t="n"/>
      <c r="T47" s="41" t="n"/>
    </row>
    <row r="48" ht="12.75" customHeight="1">
      <c r="A48" s="42" t="inlineStr">
        <is>
          <t>S11</t>
        </is>
      </c>
      <c r="B48" s="42">
        <f>VLOOKUP(A48,Members!$A$2:$B$65,2,FALSE)</f>
        <v/>
      </c>
      <c r="C48" s="43" t="n">
        <v>0</v>
      </c>
      <c r="D48" s="43">
        <f>SUM($C$3:$C$5)/64</f>
        <v/>
      </c>
      <c r="E48" s="43">
        <f>C48+D48</f>
        <v/>
      </c>
      <c r="F48" s="43">
        <f>IF($C$70=0, 0, E48/$C$70)</f>
        <v/>
      </c>
      <c r="G48" s="43">
        <f>F48*$T$5</f>
        <v/>
      </c>
      <c r="H48" s="43" t="n">
        <v>3</v>
      </c>
      <c r="I48" s="43">
        <f>$T$7*H48</f>
        <v/>
      </c>
      <c r="J48" s="43">
        <f>G48+$T$9+I48</f>
        <v/>
      </c>
      <c r="K48" s="43">
        <f>$T$11/64</f>
        <v/>
      </c>
      <c r="L48" s="43" t="n">
        <v>0</v>
      </c>
      <c r="M48" s="43" t="n">
        <v>0</v>
      </c>
      <c r="N48" s="43" t="n">
        <v>0</v>
      </c>
      <c r="O48" s="43" t="n">
        <v>0</v>
      </c>
      <c r="P48" s="43" t="n"/>
      <c r="Q48" s="43" t="n"/>
      <c r="R48" s="43">
        <f>(J48+K48+L48+M48+N48+O48)*$B$2</f>
        <v/>
      </c>
      <c r="S48" s="43" t="n"/>
      <c r="T48" s="43" t="n"/>
    </row>
    <row r="49" ht="12.75" customHeight="1">
      <c r="A49" s="40" t="inlineStr">
        <is>
          <t>S12</t>
        </is>
      </c>
      <c r="B49" s="40">
        <f>VLOOKUP(A49,Members!$A$2:$B$65,2,FALSE)</f>
        <v/>
      </c>
      <c r="C49" s="41" t="n">
        <v>0</v>
      </c>
      <c r="D49" s="41">
        <f>SUM($C$3:$C$5)/64</f>
        <v/>
      </c>
      <c r="E49" s="41">
        <f>C49+D49</f>
        <v/>
      </c>
      <c r="F49" s="41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$T$11/64</f>
        <v/>
      </c>
      <c r="L49" s="41" t="n">
        <v>0</v>
      </c>
      <c r="M49" s="41" t="n">
        <v>0</v>
      </c>
      <c r="N49" s="41" t="n">
        <v>0</v>
      </c>
      <c r="O49" s="41" t="n">
        <v>0</v>
      </c>
      <c r="P49" s="41" t="n"/>
      <c r="Q49" s="41" t="n"/>
      <c r="R49" s="41">
        <f>(J49+K49+L49+M49+N49+O49)*$B$2</f>
        <v/>
      </c>
      <c r="S49" s="41" t="n"/>
      <c r="T49" s="41" t="n"/>
    </row>
    <row r="50" ht="12.75" customHeight="1">
      <c r="A50" s="42" t="inlineStr">
        <is>
          <t>S13</t>
        </is>
      </c>
      <c r="B50" s="42">
        <f>VLOOKUP(A50,Members!$A$2:$B$65,2,FALSE)</f>
        <v/>
      </c>
      <c r="C50" s="43" t="n">
        <v>0</v>
      </c>
      <c r="D50" s="43">
        <f>SUM($C$3:$C$5)/64</f>
        <v/>
      </c>
      <c r="E50" s="43">
        <f>C50+D50</f>
        <v/>
      </c>
      <c r="F50" s="43">
        <f>IF($C$70=0, 0, E50/$C$70)</f>
        <v/>
      </c>
      <c r="G50" s="43">
        <f>F50*$T$5</f>
        <v/>
      </c>
      <c r="H50" s="43" t="n">
        <v>4</v>
      </c>
      <c r="I50" s="43">
        <f>$T$7*H50</f>
        <v/>
      </c>
      <c r="J50" s="43">
        <f>G50+$T$9+I50</f>
        <v/>
      </c>
      <c r="K50" s="43">
        <f>$T$11/64</f>
        <v/>
      </c>
      <c r="L50" s="43" t="n">
        <v>0</v>
      </c>
      <c r="M50" s="43" t="n">
        <v>0</v>
      </c>
      <c r="N50" s="43" t="n">
        <v>0</v>
      </c>
      <c r="O50" s="43" t="n">
        <v>0</v>
      </c>
      <c r="P50" s="43" t="n"/>
      <c r="Q50" s="43" t="n"/>
      <c r="R50" s="43">
        <f>(J50+K50+L50+M50+N50+O50)*$B$2</f>
        <v/>
      </c>
      <c r="S50" s="43" t="n"/>
      <c r="T50" s="43" t="n"/>
    </row>
    <row r="51" ht="12.75" customHeight="1">
      <c r="A51" s="40" t="inlineStr">
        <is>
          <t>S14</t>
        </is>
      </c>
      <c r="B51" s="40">
        <f>VLOOKUP(A51,Members!$A$2:$B$65,2,FALSE)</f>
        <v/>
      </c>
      <c r="C51" s="41" t="n">
        <v>0</v>
      </c>
      <c r="D51" s="41">
        <f>SUM($C$3:$C$5)/64</f>
        <v/>
      </c>
      <c r="E51" s="41">
        <f>C51+D51</f>
        <v/>
      </c>
      <c r="F51" s="41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$T$11/64</f>
        <v/>
      </c>
      <c r="L51" s="41" t="n">
        <v>0</v>
      </c>
      <c r="M51" s="41" t="n">
        <v>0</v>
      </c>
      <c r="N51" s="41" t="n">
        <v>0</v>
      </c>
      <c r="O51" s="41" t="n">
        <v>0</v>
      </c>
      <c r="P51" s="41" t="n"/>
      <c r="Q51" s="41" t="n"/>
      <c r="R51" s="41">
        <f>(J51+K51+L51+M51+N51+O51)*$B$2</f>
        <v/>
      </c>
      <c r="S51" s="41" t="n"/>
      <c r="T51" s="41" t="n"/>
    </row>
    <row r="52" ht="12.75" customHeight="1">
      <c r="A52" s="42" t="inlineStr">
        <is>
          <t>S15</t>
        </is>
      </c>
      <c r="B52" s="42">
        <f>VLOOKUP(A52,Members!$A$2:$B$65,2,FALSE)</f>
        <v/>
      </c>
      <c r="C52" s="43" t="n">
        <v>0</v>
      </c>
      <c r="D52" s="43">
        <f>SUM($C$3:$C$5)/64</f>
        <v/>
      </c>
      <c r="E52" s="43">
        <f>C52+D52</f>
        <v/>
      </c>
      <c r="F52" s="43">
        <f>IF($C$70=0, 0, E52/$C$70)</f>
        <v/>
      </c>
      <c r="G52" s="43">
        <f>F52*$T$5</f>
        <v/>
      </c>
      <c r="H52" s="43" t="n">
        <v>4</v>
      </c>
      <c r="I52" s="43">
        <f>$T$7*H52</f>
        <v/>
      </c>
      <c r="J52" s="43">
        <f>G52+$T$9+I52</f>
        <v/>
      </c>
      <c r="K52" s="43">
        <f>$T$11/64</f>
        <v/>
      </c>
      <c r="L52" s="43" t="n">
        <v>0</v>
      </c>
      <c r="M52" s="43" t="n">
        <v>0</v>
      </c>
      <c r="N52" s="43" t="n">
        <v>0</v>
      </c>
      <c r="O52" s="43" t="n">
        <v>0</v>
      </c>
      <c r="P52" s="43" t="n"/>
      <c r="Q52" s="43" t="n"/>
      <c r="R52" s="43">
        <f>(J52+K52+L52+M52+N52+O52)*$B$2</f>
        <v/>
      </c>
      <c r="S52" s="43" t="n"/>
      <c r="T52" s="43" t="n"/>
    </row>
    <row r="53" ht="12.75" customHeight="1">
      <c r="A53" s="40" t="inlineStr">
        <is>
          <t>S16</t>
        </is>
      </c>
      <c r="B53" s="40">
        <f>VLOOKUP(A53,Members!$A$2:$B$65,2,FALSE)</f>
        <v/>
      </c>
      <c r="C53" s="41" t="n">
        <v>0</v>
      </c>
      <c r="D53" s="41">
        <f>SUM($C$3:$C$5)/64</f>
        <v/>
      </c>
      <c r="E53" s="41">
        <f>C53+D53</f>
        <v/>
      </c>
      <c r="F53" s="41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$T$11/64</f>
        <v/>
      </c>
      <c r="L53" s="41" t="n">
        <v>0</v>
      </c>
      <c r="M53" s="41" t="n">
        <v>0</v>
      </c>
      <c r="N53" s="41" t="n">
        <v>0</v>
      </c>
      <c r="O53" s="41" t="n">
        <v>0</v>
      </c>
      <c r="P53" s="41" t="n"/>
      <c r="Q53" s="41" t="n"/>
      <c r="R53" s="41">
        <f>(J53+K53+L53+M53+N53+O53)*$B$2</f>
        <v/>
      </c>
      <c r="S53" s="41" t="n"/>
      <c r="T53" s="41" t="n"/>
    </row>
    <row r="54" ht="12.75" customHeight="1">
      <c r="A54" s="42" t="inlineStr">
        <is>
          <t>T1</t>
        </is>
      </c>
      <c r="B54" s="42">
        <f>VLOOKUP(A54,Members!$A$2:$B$65,2,FALSE)</f>
        <v/>
      </c>
      <c r="C54" s="43" t="n">
        <v>0</v>
      </c>
      <c r="D54" s="43">
        <f>SUM($C$3:$C$5)/64</f>
        <v/>
      </c>
      <c r="E54" s="43">
        <f>C54+D54</f>
        <v/>
      </c>
      <c r="F54" s="43">
        <f>IF($C$70=0, 0, E54/$C$70)</f>
        <v/>
      </c>
      <c r="G54" s="43">
        <f>F54*$T$5</f>
        <v/>
      </c>
      <c r="H54" s="43" t="n">
        <v>3</v>
      </c>
      <c r="I54" s="43">
        <f>$T$7*H54</f>
        <v/>
      </c>
      <c r="J54" s="43">
        <f>G54+$T$9+I54</f>
        <v/>
      </c>
      <c r="K54" s="43">
        <f>$T$11/64</f>
        <v/>
      </c>
      <c r="L54" s="43" t="n">
        <v>0</v>
      </c>
      <c r="M54" s="43" t="n">
        <v>0</v>
      </c>
      <c r="N54" s="43" t="n">
        <v>0</v>
      </c>
      <c r="O54" s="43" t="n">
        <v>0</v>
      </c>
      <c r="P54" s="43" t="n"/>
      <c r="Q54" s="43" t="n"/>
      <c r="R54" s="43">
        <f>(J54+K54+L54+M54+N54+O54)*$B$2</f>
        <v/>
      </c>
      <c r="S54" s="43" t="n"/>
      <c r="T54" s="43" t="n"/>
    </row>
    <row r="55" ht="12.75" customHeight="1">
      <c r="A55" s="40" t="inlineStr">
        <is>
          <t>T2</t>
        </is>
      </c>
      <c r="B55" s="40">
        <f>VLOOKUP(A55,Members!$A$2:$B$65,2,FALSE)</f>
        <v/>
      </c>
      <c r="C55" s="41" t="n">
        <v>0</v>
      </c>
      <c r="D55" s="41">
        <f>SUM($C$3:$C$5)/64</f>
        <v/>
      </c>
      <c r="E55" s="41">
        <f>C55+D55</f>
        <v/>
      </c>
      <c r="F55" s="41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$T$11/64</f>
        <v/>
      </c>
      <c r="L55" s="41" t="n">
        <v>0</v>
      </c>
      <c r="M55" s="41" t="n">
        <v>0</v>
      </c>
      <c r="N55" s="41" t="n">
        <v>0</v>
      </c>
      <c r="O55" s="41" t="n">
        <v>0</v>
      </c>
      <c r="P55" s="41" t="n"/>
      <c r="Q55" s="41" t="n"/>
      <c r="R55" s="41">
        <f>(J55+K55+L55+M55+N55+O55)*$B$2</f>
        <v/>
      </c>
      <c r="S55" s="41" t="n"/>
      <c r="T55" s="41" t="n"/>
    </row>
    <row r="56" ht="12.75" customHeight="1">
      <c r="A56" s="42" t="inlineStr">
        <is>
          <t>T3</t>
        </is>
      </c>
      <c r="B56" s="42">
        <f>VLOOKUP(A56,Members!$A$2:$B$65,2,FALSE)</f>
        <v/>
      </c>
      <c r="C56" s="43" t="n">
        <v>0</v>
      </c>
      <c r="D56" s="43">
        <f>SUM($C$3:$C$5)/64</f>
        <v/>
      </c>
      <c r="E56" s="43">
        <f>C56+D56</f>
        <v/>
      </c>
      <c r="F56" s="43">
        <f>IF($C$70=0, 0, E56/$C$70)</f>
        <v/>
      </c>
      <c r="G56" s="43">
        <f>F56*$T$5</f>
        <v/>
      </c>
      <c r="H56" s="43" t="n">
        <v>4</v>
      </c>
      <c r="I56" s="43">
        <f>$T$7*H56</f>
        <v/>
      </c>
      <c r="J56" s="43">
        <f>G56+$T$9+I56</f>
        <v/>
      </c>
      <c r="K56" s="43">
        <f>$T$11/64</f>
        <v/>
      </c>
      <c r="L56" s="43" t="n">
        <v>0</v>
      </c>
      <c r="M56" s="43" t="n">
        <v>0</v>
      </c>
      <c r="N56" s="43" t="n">
        <v>0</v>
      </c>
      <c r="O56" s="43" t="n">
        <v>0</v>
      </c>
      <c r="P56" s="43" t="n"/>
      <c r="Q56" s="43" t="n"/>
      <c r="R56" s="43">
        <f>(J56+K56+L56+M56+N56+O56)*$B$2</f>
        <v/>
      </c>
      <c r="S56" s="43" t="n"/>
      <c r="T56" s="43" t="n"/>
    </row>
    <row r="57" ht="12.75" customHeight="1">
      <c r="A57" s="40" t="inlineStr">
        <is>
          <t>T4</t>
        </is>
      </c>
      <c r="B57" s="40">
        <f>VLOOKUP(A57,Members!$A$2:$B$65,2,FALSE)</f>
        <v/>
      </c>
      <c r="C57" s="41" t="n">
        <v>0</v>
      </c>
      <c r="D57" s="41">
        <f>SUM($C$3:$C$5)/64</f>
        <v/>
      </c>
      <c r="E57" s="41">
        <f>C57+D57</f>
        <v/>
      </c>
      <c r="F57" s="41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$T$11/64</f>
        <v/>
      </c>
      <c r="L57" s="41" t="n">
        <v>0</v>
      </c>
      <c r="M57" s="41" t="n">
        <v>0</v>
      </c>
      <c r="N57" s="41" t="n">
        <v>0</v>
      </c>
      <c r="O57" s="41" t="n">
        <v>0</v>
      </c>
      <c r="P57" s="41" t="n"/>
      <c r="Q57" s="41" t="n"/>
      <c r="R57" s="41">
        <f>(J57+K57+L57+M57+N57+O57)*$B$2</f>
        <v/>
      </c>
      <c r="S57" s="41" t="n"/>
      <c r="T57" s="41" t="n"/>
    </row>
    <row r="58" ht="12.75" customHeight="1">
      <c r="A58" s="42" t="inlineStr">
        <is>
          <t>T5</t>
        </is>
      </c>
      <c r="B58" s="42">
        <f>VLOOKUP(A58,Members!$A$2:$B$65,2,FALSE)</f>
        <v/>
      </c>
      <c r="C58" s="43" t="n">
        <v>0</v>
      </c>
      <c r="D58" s="43">
        <f>SUM($C$3:$C$5)/64</f>
        <v/>
      </c>
      <c r="E58" s="43">
        <f>C58+D58</f>
        <v/>
      </c>
      <c r="F58" s="43">
        <f>IF($C$70=0, 0, E58/$C$70)</f>
        <v/>
      </c>
      <c r="G58" s="43">
        <f>F58*$T$5</f>
        <v/>
      </c>
      <c r="H58" s="43" t="n">
        <v>3</v>
      </c>
      <c r="I58" s="43">
        <f>$T$7*H58</f>
        <v/>
      </c>
      <c r="J58" s="43">
        <f>G58+$T$9+I58</f>
        <v/>
      </c>
      <c r="K58" s="43">
        <f>$T$11/64</f>
        <v/>
      </c>
      <c r="L58" s="43" t="n">
        <v>0</v>
      </c>
      <c r="M58" s="43" t="n">
        <v>0</v>
      </c>
      <c r="N58" s="43" t="n">
        <v>0</v>
      </c>
      <c r="O58" s="43" t="n">
        <v>0</v>
      </c>
      <c r="P58" s="43" t="n"/>
      <c r="Q58" s="43" t="n"/>
      <c r="R58" s="43">
        <f>(J58+K58+L58+M58+N58+O58)*$B$2</f>
        <v/>
      </c>
      <c r="S58" s="43" t="n"/>
      <c r="T58" s="43" t="n"/>
    </row>
    <row r="59" ht="12.75" customHeight="1">
      <c r="A59" s="40" t="inlineStr">
        <is>
          <t>T6</t>
        </is>
      </c>
      <c r="B59" s="40">
        <f>VLOOKUP(A59,Members!$A$2:$B$65,2,FALSE)</f>
        <v/>
      </c>
      <c r="C59" s="41" t="n">
        <v>0</v>
      </c>
      <c r="D59" s="41">
        <f>SUM($C$3:$C$5)/64</f>
        <v/>
      </c>
      <c r="E59" s="41">
        <f>C59+D59</f>
        <v/>
      </c>
      <c r="F59" s="41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$T$11/64</f>
        <v/>
      </c>
      <c r="L59" s="41" t="n">
        <v>0</v>
      </c>
      <c r="M59" s="41" t="n">
        <v>0</v>
      </c>
      <c r="N59" s="41" t="n">
        <v>0</v>
      </c>
      <c r="O59" s="41" t="n">
        <v>0</v>
      </c>
      <c r="P59" s="41" t="n"/>
      <c r="Q59" s="41" t="n"/>
      <c r="R59" s="41">
        <f>(J59+K59+L59+M59+N59+O59)*$B$2</f>
        <v/>
      </c>
      <c r="S59" s="41" t="n"/>
      <c r="T59" s="41" t="n"/>
    </row>
    <row r="60" ht="12.75" customHeight="1">
      <c r="A60" s="42" t="inlineStr">
        <is>
          <t>T7</t>
        </is>
      </c>
      <c r="B60" s="42">
        <f>VLOOKUP(A60,Members!$A$2:$B$65,2,FALSE)</f>
        <v/>
      </c>
      <c r="C60" s="43" t="n">
        <v>0</v>
      </c>
      <c r="D60" s="43">
        <f>SUM($C$3:$C$5)/64</f>
        <v/>
      </c>
      <c r="E60" s="43">
        <f>C60+D60</f>
        <v/>
      </c>
      <c r="F60" s="43">
        <f>IF($C$70=0, 0, E60/$C$70)</f>
        <v/>
      </c>
      <c r="G60" s="43">
        <f>F60*$T$5</f>
        <v/>
      </c>
      <c r="H60" s="43" t="n">
        <v>3</v>
      </c>
      <c r="I60" s="43">
        <f>$T$7*H60</f>
        <v/>
      </c>
      <c r="J60" s="43">
        <f>G60+$T$9+I60</f>
        <v/>
      </c>
      <c r="K60" s="43">
        <f>$T$11/64</f>
        <v/>
      </c>
      <c r="L60" s="43" t="n">
        <v>0</v>
      </c>
      <c r="M60" s="43" t="n">
        <v>0</v>
      </c>
      <c r="N60" s="43" t="n">
        <v>0</v>
      </c>
      <c r="O60" s="43" t="n">
        <v>0</v>
      </c>
      <c r="P60" s="43" t="n"/>
      <c r="Q60" s="43" t="n"/>
      <c r="R60" s="43">
        <f>(J60+K60+L60+M60+N60+O60)*$B$2</f>
        <v/>
      </c>
      <c r="S60" s="43" t="n"/>
      <c r="T60" s="43" t="n"/>
    </row>
    <row r="61" ht="12.75" customHeight="1">
      <c r="A61" s="40" t="inlineStr">
        <is>
          <t>T8</t>
        </is>
      </c>
      <c r="B61" s="40">
        <f>VLOOKUP(A61,Members!$A$2:$B$65,2,FALSE)</f>
        <v/>
      </c>
      <c r="C61" s="41" t="n">
        <v>0</v>
      </c>
      <c r="D61" s="41">
        <f>SUM($C$3:$C$5)/64</f>
        <v/>
      </c>
      <c r="E61" s="41">
        <f>C61+D61</f>
        <v/>
      </c>
      <c r="F61" s="41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$T$11/64</f>
        <v/>
      </c>
      <c r="L61" s="41" t="n">
        <v>0</v>
      </c>
      <c r="M61" s="41" t="n">
        <v>0</v>
      </c>
      <c r="N61" s="41" t="n">
        <v>0</v>
      </c>
      <c r="O61" s="41" t="n">
        <v>0</v>
      </c>
      <c r="P61" s="41" t="n"/>
      <c r="Q61" s="41" t="n"/>
      <c r="R61" s="41">
        <f>(J61+K61+L61+M61+N61+O61)*$B$2</f>
        <v/>
      </c>
      <c r="S61" s="41" t="n"/>
      <c r="T61" s="41" t="n"/>
    </row>
    <row r="62" ht="12.75" customHeight="1">
      <c r="A62" s="42" t="inlineStr">
        <is>
          <t>T9</t>
        </is>
      </c>
      <c r="B62" s="42">
        <f>VLOOKUP(A62,Members!$A$2:$B$65,2,FALSE)</f>
        <v/>
      </c>
      <c r="C62" s="43" t="n">
        <v>0</v>
      </c>
      <c r="D62" s="43">
        <f>SUM($C$3:$C$5)/64</f>
        <v/>
      </c>
      <c r="E62" s="43">
        <f>C62+D62</f>
        <v/>
      </c>
      <c r="F62" s="43">
        <f>IF($C$70=0, 0, E62/$C$70)</f>
        <v/>
      </c>
      <c r="G62" s="43">
        <f>F62*$T$5</f>
        <v/>
      </c>
      <c r="H62" s="43" t="n">
        <v>4</v>
      </c>
      <c r="I62" s="43">
        <f>$T$7*H62</f>
        <v/>
      </c>
      <c r="J62" s="43">
        <f>G62+$T$9+I62</f>
        <v/>
      </c>
      <c r="K62" s="43">
        <f>$T$11/64</f>
        <v/>
      </c>
      <c r="L62" s="43" t="n">
        <v>0</v>
      </c>
      <c r="M62" s="43" t="n">
        <v>0</v>
      </c>
      <c r="N62" s="43" t="n">
        <v>0</v>
      </c>
      <c r="O62" s="43" t="n">
        <v>0</v>
      </c>
      <c r="P62" s="43" t="n"/>
      <c r="Q62" s="43" t="n"/>
      <c r="R62" s="43">
        <f>(J62+K62+L62+M62+N62+O62)*$B$2</f>
        <v/>
      </c>
      <c r="S62" s="43" t="n"/>
      <c r="T62" s="43" t="n"/>
    </row>
    <row r="63" ht="12.75" customHeight="1">
      <c r="A63" s="40" t="inlineStr">
        <is>
          <t>T10</t>
        </is>
      </c>
      <c r="B63" s="40">
        <f>VLOOKUP(A63,Members!$A$2:$B$65,2,FALSE)</f>
        <v/>
      </c>
      <c r="C63" s="41" t="n">
        <v>0</v>
      </c>
      <c r="D63" s="41">
        <f>SUM($C$3:$C$5)/64</f>
        <v/>
      </c>
      <c r="E63" s="41">
        <f>C63+D63</f>
        <v/>
      </c>
      <c r="F63" s="41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$T$11/64</f>
        <v/>
      </c>
      <c r="L63" s="41" t="n">
        <v>0</v>
      </c>
      <c r="M63" s="41" t="n">
        <v>0</v>
      </c>
      <c r="N63" s="41" t="n">
        <v>0</v>
      </c>
      <c r="O63" s="41" t="n">
        <v>0</v>
      </c>
      <c r="P63" s="41" t="n"/>
      <c r="Q63" s="41" t="n"/>
      <c r="R63" s="41">
        <f>(J63+K63+L63+M63+N63+O63)*$B$2</f>
        <v/>
      </c>
      <c r="S63" s="41" t="n"/>
      <c r="T63" s="41" t="n"/>
    </row>
    <row r="64" ht="12.75" customHeight="1">
      <c r="A64" s="42" t="inlineStr">
        <is>
          <t>T11</t>
        </is>
      </c>
      <c r="B64" s="42">
        <f>VLOOKUP(A64,Members!$A$2:$B$65,2,FALSE)</f>
        <v/>
      </c>
      <c r="C64" s="43" t="n">
        <v>0</v>
      </c>
      <c r="D64" s="43">
        <f>SUM($C$3:$C$5)/64</f>
        <v/>
      </c>
      <c r="E64" s="43">
        <f>C64+D64</f>
        <v/>
      </c>
      <c r="F64" s="43">
        <f>IF($C$70=0, 0, E64/$C$70)</f>
        <v/>
      </c>
      <c r="G64" s="43">
        <f>F64*$T$5</f>
        <v/>
      </c>
      <c r="H64" s="43" t="n">
        <v>3</v>
      </c>
      <c r="I64" s="43">
        <f>$T$7*H64</f>
        <v/>
      </c>
      <c r="J64" s="43">
        <f>G64+$T$9+I64</f>
        <v/>
      </c>
      <c r="K64" s="43">
        <f>$T$11/64</f>
        <v/>
      </c>
      <c r="L64" s="43" t="n">
        <v>0</v>
      </c>
      <c r="M64" s="43" t="n">
        <v>0</v>
      </c>
      <c r="N64" s="43" t="n">
        <v>0</v>
      </c>
      <c r="O64" s="43" t="n">
        <v>0</v>
      </c>
      <c r="P64" s="43" t="n"/>
      <c r="Q64" s="43" t="n"/>
      <c r="R64" s="43">
        <f>(J64+K64+L64+M64+N64+O64)*$B$2</f>
        <v/>
      </c>
      <c r="S64" s="43" t="n"/>
      <c r="T64" s="43" t="n"/>
    </row>
    <row r="65" ht="12.75" customHeight="1">
      <c r="A65" s="40" t="inlineStr">
        <is>
          <t>T12</t>
        </is>
      </c>
      <c r="B65" s="40">
        <f>VLOOKUP(A65,Members!$A$2:$B$65,2,FALSE)</f>
        <v/>
      </c>
      <c r="C65" s="41" t="n">
        <v>0</v>
      </c>
      <c r="D65" s="41">
        <f>SUM($C$3:$C$5)/64</f>
        <v/>
      </c>
      <c r="E65" s="41">
        <f>C65+D65</f>
        <v/>
      </c>
      <c r="F65" s="41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$T$11/64</f>
        <v/>
      </c>
      <c r="L65" s="41" t="n">
        <v>0</v>
      </c>
      <c r="M65" s="41" t="n">
        <v>0</v>
      </c>
      <c r="N65" s="41" t="n">
        <v>0</v>
      </c>
      <c r="O65" s="41" t="n">
        <v>0</v>
      </c>
      <c r="P65" s="41" t="n"/>
      <c r="Q65" s="41" t="n"/>
      <c r="R65" s="41">
        <f>(J65+K65+L65+M65+N65+O65)*$B$2</f>
        <v/>
      </c>
      <c r="S65" s="41" t="n"/>
      <c r="T65" s="41" t="n"/>
    </row>
    <row r="66" ht="12.75" customHeight="1">
      <c r="A66" s="42" t="inlineStr">
        <is>
          <t>T13</t>
        </is>
      </c>
      <c r="B66" s="42">
        <f>VLOOKUP(A66,Members!$A$2:$B$65,2,FALSE)</f>
        <v/>
      </c>
      <c r="C66" s="43" t="n">
        <v>0</v>
      </c>
      <c r="D66" s="43">
        <f>SUM($C$3:$C$5)/64</f>
        <v/>
      </c>
      <c r="E66" s="43">
        <f>C66+D66</f>
        <v/>
      </c>
      <c r="F66" s="43">
        <f>IF($C$70=0, 0, E66/$C$70)</f>
        <v/>
      </c>
      <c r="G66" s="43">
        <f>F66*$T$5</f>
        <v/>
      </c>
      <c r="H66" s="43" t="n">
        <v>4</v>
      </c>
      <c r="I66" s="43">
        <f>$T$7*H66</f>
        <v/>
      </c>
      <c r="J66" s="43">
        <f>G66+$T$9+I66</f>
        <v/>
      </c>
      <c r="K66" s="43">
        <f>$T$11/64</f>
        <v/>
      </c>
      <c r="L66" s="43" t="n">
        <v>0</v>
      </c>
      <c r="M66" s="43" t="n">
        <v>0</v>
      </c>
      <c r="N66" s="43" t="n">
        <v>0</v>
      </c>
      <c r="O66" s="43" t="n">
        <v>0</v>
      </c>
      <c r="P66" s="43" t="n"/>
      <c r="Q66" s="43" t="n"/>
      <c r="R66" s="43">
        <f>(J66+K66+L66+M66+N66+O66)*$B$2</f>
        <v/>
      </c>
      <c r="S66" s="43" t="n"/>
      <c r="T66" s="43" t="n"/>
    </row>
    <row r="67" ht="12.75" customHeight="1">
      <c r="A67" s="40" t="inlineStr">
        <is>
          <t>T14</t>
        </is>
      </c>
      <c r="B67" s="40">
        <f>VLOOKUP(A67,Members!$A$2:$B$65,2,FALSE)</f>
        <v/>
      </c>
      <c r="C67" s="41" t="n">
        <v>0</v>
      </c>
      <c r="D67" s="41">
        <f>SUM($C$3:$C$5)/64</f>
        <v/>
      </c>
      <c r="E67" s="41">
        <f>C67+D67</f>
        <v/>
      </c>
      <c r="F67" s="41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$T$11/64</f>
        <v/>
      </c>
      <c r="L67" s="41" t="n">
        <v>0</v>
      </c>
      <c r="M67" s="41" t="n">
        <v>0</v>
      </c>
      <c r="N67" s="41" t="n">
        <v>0</v>
      </c>
      <c r="O67" s="41" t="n">
        <v>0</v>
      </c>
      <c r="P67" s="41" t="n"/>
      <c r="Q67" s="41" t="n"/>
      <c r="R67" s="41">
        <f>(J67+K67+L67+M67+N67+O67)*$B$2</f>
        <v/>
      </c>
      <c r="S67" s="41" t="n"/>
      <c r="T67" s="41" t="n"/>
    </row>
    <row r="68" ht="12.75" customHeight="1">
      <c r="A68" s="42" t="inlineStr">
        <is>
          <t>T15</t>
        </is>
      </c>
      <c r="B68" s="42">
        <f>VLOOKUP(A68,Members!$A$2:$B$65,2,FALSE)</f>
        <v/>
      </c>
      <c r="C68" s="43" t="n">
        <v>0</v>
      </c>
      <c r="D68" s="43">
        <f>SUM($C$3:$C$5)/64</f>
        <v/>
      </c>
      <c r="E68" s="43">
        <f>C68+D68</f>
        <v/>
      </c>
      <c r="F68" s="43">
        <f>IF($C$70=0, 0, E68/$C$70)</f>
        <v/>
      </c>
      <c r="G68" s="43">
        <f>F68*$T$5</f>
        <v/>
      </c>
      <c r="H68" s="43" t="n">
        <v>4</v>
      </c>
      <c r="I68" s="43">
        <f>$T$7*H68</f>
        <v/>
      </c>
      <c r="J68" s="43">
        <f>G68+$T$9+I68</f>
        <v/>
      </c>
      <c r="K68" s="43">
        <f>$T$11/64</f>
        <v/>
      </c>
      <c r="L68" s="43" t="n">
        <v>0</v>
      </c>
      <c r="M68" s="43" t="n">
        <v>0</v>
      </c>
      <c r="N68" s="43" t="n">
        <v>0</v>
      </c>
      <c r="O68" s="43" t="n">
        <v>0</v>
      </c>
      <c r="P68" s="43" t="n"/>
      <c r="Q68" s="43" t="n"/>
      <c r="R68" s="43">
        <f>(J68+K68+L68+M68+N68+O68)*$B$2</f>
        <v/>
      </c>
      <c r="S68" s="43" t="n"/>
      <c r="T68" s="43" t="n"/>
    </row>
    <row r="69" ht="12.75" customHeight="1">
      <c r="A69" s="40" t="inlineStr">
        <is>
          <t>T16</t>
        </is>
      </c>
      <c r="B69" s="40">
        <f>VLOOKUP(A69,Members!$A$2:$B$65,2,FALSE)</f>
        <v/>
      </c>
      <c r="C69" s="41" t="n">
        <v>0</v>
      </c>
      <c r="D69" s="41">
        <f>SUM($C$3:$C$5)/64</f>
        <v/>
      </c>
      <c r="E69" s="41">
        <f>C69+D69</f>
        <v/>
      </c>
      <c r="F69" s="41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$T$11/64</f>
        <v/>
      </c>
      <c r="L69" s="41" t="n">
        <v>0</v>
      </c>
      <c r="M69" s="41" t="n">
        <v>0</v>
      </c>
      <c r="N69" s="41" t="n">
        <v>0</v>
      </c>
      <c r="O69" s="41" t="n">
        <v>0</v>
      </c>
      <c r="P69" s="41" t="n"/>
      <c r="Q69" s="41" t="n"/>
      <c r="R69" s="41">
        <f>(J69+K69+L69+M69+N69+O69)*$B$2</f>
        <v/>
      </c>
      <c r="S69" s="41" t="n"/>
      <c r="T69" s="41" t="n"/>
    </row>
    <row r="70" ht="12.75" customHeight="1">
      <c r="A70" s="42" t="n"/>
      <c r="B70" s="42" t="inlineStr">
        <is>
          <t>TOTAL</t>
        </is>
      </c>
      <c r="C70" s="43">
        <f>SUM(C3:C69)</f>
        <v/>
      </c>
      <c r="D70" s="43">
        <f>SUM(D3:D69)</f>
        <v/>
      </c>
      <c r="E70" s="43">
        <f>SUM(E3:E69)</f>
        <v/>
      </c>
      <c r="F70" s="43">
        <f>IF($C$70=0, 0, E70/$C$70)</f>
        <v/>
      </c>
      <c r="G70" s="43">
        <f>SUM(G3:G69)</f>
        <v/>
      </c>
      <c r="H70" s="43">
        <f>SUM(H3:H69)</f>
        <v/>
      </c>
      <c r="I70" s="43">
        <f>SUM(I3:I69)</f>
        <v/>
      </c>
      <c r="J70" s="43">
        <f>SUM(J3:J69)</f>
        <v/>
      </c>
      <c r="K70" s="43">
        <f>SUM(K3:K69)</f>
        <v/>
      </c>
      <c r="L70" s="43">
        <f>SUM(L3:L69)</f>
        <v/>
      </c>
      <c r="M70" s="43">
        <f>SUM(M3:M69)</f>
        <v/>
      </c>
      <c r="N70" s="43">
        <f>SUM(N3:N69)</f>
        <v/>
      </c>
      <c r="O70" s="43">
        <f>SUM(O3:O69)</f>
        <v/>
      </c>
      <c r="P70" s="43" t="n"/>
      <c r="Q70" s="43" t="n"/>
      <c r="R70" s="43">
        <f>SUM(R3:R69)</f>
        <v/>
      </c>
      <c r="S70" s="43" t="n"/>
      <c r="T70" s="43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min="1" max="1"/>
    <col width="64.28515625" customWidth="1" min="2" max="2"/>
  </cols>
  <sheetData>
    <row r="1">
      <c r="A1" s="39" t="inlineStr">
        <is>
          <t>FLAT #</t>
        </is>
      </c>
      <c r="B1" s="39" t="n"/>
      <c r="C1" s="39" t="inlineStr">
        <is>
          <t>Amount</t>
        </is>
      </c>
      <c r="D1" s="66" t="inlineStr">
        <is>
          <t>Date</t>
        </is>
      </c>
      <c r="E1" s="39" t="inlineStr">
        <is>
          <t>Amount</t>
        </is>
      </c>
      <c r="F1" s="66" t="inlineStr">
        <is>
          <t>Date</t>
        </is>
      </c>
      <c r="G1" s="39" t="inlineStr">
        <is>
          <t>Amount</t>
        </is>
      </c>
      <c r="H1" s="57" t="inlineStr">
        <is>
          <t>Date</t>
        </is>
      </c>
      <c r="I1" s="39" t="inlineStr">
        <is>
          <t>Amount</t>
        </is>
      </c>
      <c r="J1" s="100" t="inlineStr">
        <is>
          <t>Date</t>
        </is>
      </c>
      <c r="K1" s="100" t="inlineStr">
        <is>
          <t>Total</t>
        </is>
      </c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  <c r="AA1" s="100" t="n"/>
    </row>
    <row r="2" ht="15" customHeight="1">
      <c r="A2" s="42" t="inlineStr">
        <is>
          <t>F1</t>
        </is>
      </c>
      <c r="B2" s="42">
        <f>VLOOKUP(A2,Members!$A$2:$B$65,2,FALSE)</f>
        <v/>
      </c>
      <c r="C2" s="47" t="n"/>
      <c r="D2" s="50" t="n"/>
      <c r="E2" s="47" t="n"/>
      <c r="F2" s="50" t="n"/>
      <c r="G2" s="47" t="n"/>
      <c r="H2" s="58" t="n"/>
      <c r="I2" s="47" t="n"/>
      <c r="J2" s="47" t="n"/>
      <c r="K2" s="47">
        <f>SUM(C2,E2,G2,I2)</f>
        <v/>
      </c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</row>
    <row r="3" ht="15" customHeight="1">
      <c r="A3" s="40" t="inlineStr">
        <is>
          <t>F2</t>
        </is>
      </c>
      <c r="B3" s="40">
        <f>VLOOKUP(A3,Members!$A$2:$B$65,2,FALSE)</f>
        <v/>
      </c>
      <c r="C3" s="104" t="n"/>
      <c r="D3" s="53" t="n"/>
      <c r="E3" s="104" t="n"/>
      <c r="F3" s="53" t="n"/>
      <c r="G3" s="104" t="n"/>
      <c r="H3" s="59" t="n"/>
      <c r="I3" s="104" t="n"/>
      <c r="J3" s="104" t="n"/>
      <c r="K3" s="104">
        <f>SUM(C3,E3,G3,I3)</f>
        <v/>
      </c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</row>
    <row r="4" ht="15" customHeight="1">
      <c r="A4" s="42" t="inlineStr">
        <is>
          <t>F3</t>
        </is>
      </c>
      <c r="B4" s="42">
        <f>VLOOKUP(A4,Members!$A$2:$B$65,2,FALSE)</f>
        <v/>
      </c>
      <c r="C4" s="47" t="n"/>
      <c r="D4" s="50" t="n"/>
      <c r="E4" s="43" t="n"/>
      <c r="F4" s="50" t="n"/>
      <c r="G4" s="47" t="n"/>
      <c r="H4" s="58" t="n"/>
      <c r="I4" s="47" t="n"/>
      <c r="J4" s="47" t="n"/>
      <c r="K4" s="47">
        <f>SUM(C4,E4,G4,I4)</f>
        <v/>
      </c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</row>
    <row r="5" ht="15" customHeight="1">
      <c r="A5" s="40" t="inlineStr">
        <is>
          <t>F4</t>
        </is>
      </c>
      <c r="B5" s="40">
        <f>VLOOKUP(A5,Members!$A$2:$B$65,2,FALSE)</f>
        <v/>
      </c>
      <c r="C5" s="41" t="n"/>
      <c r="D5" s="53" t="n"/>
      <c r="E5" s="104" t="n"/>
      <c r="F5" s="53" t="n"/>
      <c r="G5" s="104" t="n"/>
      <c r="H5" s="59" t="n"/>
      <c r="I5" s="104" t="n"/>
      <c r="J5" s="104" t="n"/>
      <c r="K5" s="41">
        <f>SUM(C5,E5,G5,I5)</f>
        <v/>
      </c>
      <c r="L5" s="104" t="n"/>
      <c r="M5" s="104" t="n"/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</row>
    <row r="6" ht="15" customHeight="1">
      <c r="A6" s="42" t="inlineStr">
        <is>
          <t>F5</t>
        </is>
      </c>
      <c r="B6" s="42">
        <f>VLOOKUP(A6,Members!$A$2:$B$65,2,FALSE)</f>
        <v/>
      </c>
      <c r="C6" s="47" t="n"/>
      <c r="D6" s="50" t="n"/>
      <c r="E6" s="47" t="n"/>
      <c r="F6" s="50" t="n"/>
      <c r="G6" s="47" t="n"/>
      <c r="H6" s="58" t="n"/>
      <c r="I6" s="47" t="n"/>
      <c r="J6" s="47" t="n"/>
      <c r="K6" s="47">
        <f>SUM(C6,E6,G6,I6)</f>
        <v/>
      </c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  <c r="AA6" s="47" t="n"/>
    </row>
    <row r="7" ht="15" customHeight="1">
      <c r="A7" s="40" t="inlineStr">
        <is>
          <t>F6</t>
        </is>
      </c>
      <c r="B7" s="40">
        <f>VLOOKUP(A7,Members!$A$2:$B$65,2,FALSE)</f>
        <v/>
      </c>
      <c r="C7" s="104" t="n"/>
      <c r="D7" s="53" t="n"/>
      <c r="E7" s="104" t="n"/>
      <c r="F7" s="53" t="n"/>
      <c r="G7" s="104" t="n"/>
      <c r="H7" s="59" t="n"/>
      <c r="I7" s="104" t="n"/>
      <c r="J7" s="104" t="n"/>
      <c r="K7" s="104">
        <f>SUM(C7,E7,G7,I7)</f>
        <v/>
      </c>
      <c r="L7" s="104" t="n"/>
      <c r="M7" s="104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</row>
    <row r="8" ht="15" customHeight="1">
      <c r="A8" s="42" t="inlineStr">
        <is>
          <t>F7</t>
        </is>
      </c>
      <c r="B8" s="42">
        <f>VLOOKUP(A8,Members!$A$2:$B$65,2,FALSE)</f>
        <v/>
      </c>
      <c r="C8" s="47" t="n"/>
      <c r="D8" s="50" t="n"/>
      <c r="E8" s="47" t="n"/>
      <c r="F8" s="50" t="n"/>
      <c r="G8" s="47" t="n"/>
      <c r="H8" s="58" t="n"/>
      <c r="I8" s="47" t="n"/>
      <c r="J8" s="47" t="n"/>
      <c r="K8" s="47">
        <f>SUM(C8,E8,G8,I8)</f>
        <v/>
      </c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  <c r="AA8" s="47" t="n"/>
    </row>
    <row r="9" ht="15" customHeight="1">
      <c r="A9" s="40" t="inlineStr">
        <is>
          <t>F8</t>
        </is>
      </c>
      <c r="B9" s="40">
        <f>VLOOKUP(A9,Members!$A$2:$B$65,2,FALSE)</f>
        <v/>
      </c>
      <c r="C9" s="41" t="n"/>
      <c r="D9" s="53" t="n"/>
      <c r="E9" s="104" t="n"/>
      <c r="F9" s="53" t="n"/>
      <c r="G9" s="104" t="n"/>
      <c r="H9" s="59" t="n"/>
      <c r="I9" s="104" t="n"/>
      <c r="J9" s="104" t="n"/>
      <c r="K9" s="41">
        <f>SUM(C9,E9,G9,I9)</f>
        <v/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</row>
    <row r="10" ht="15" customHeight="1">
      <c r="A10" s="42" t="inlineStr">
        <is>
          <t>F9</t>
        </is>
      </c>
      <c r="B10" s="42">
        <f>VLOOKUP(A10,Members!$A$2:$B$65,2,FALSE)</f>
        <v/>
      </c>
      <c r="C10" s="43" t="n"/>
      <c r="D10" s="50" t="n"/>
      <c r="E10" s="47" t="n"/>
      <c r="F10" s="50" t="n"/>
      <c r="G10" s="47" t="n"/>
      <c r="H10" s="58" t="n"/>
      <c r="I10" s="47" t="n"/>
      <c r="J10" s="47" t="n"/>
      <c r="K10" s="43">
        <f>SUM(C10,E10,G10,I10)</f>
        <v/>
      </c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  <c r="AA10" s="47" t="n"/>
    </row>
    <row r="11" ht="15" customHeight="1">
      <c r="A11" s="40" t="inlineStr">
        <is>
          <t>F10</t>
        </is>
      </c>
      <c r="B11" s="40">
        <f>VLOOKUP(A11,Members!$A$2:$B$65,2,FALSE)</f>
        <v/>
      </c>
      <c r="C11" s="41" t="n"/>
      <c r="D11" s="53" t="n"/>
      <c r="E11" s="104" t="n"/>
      <c r="F11" s="53" t="n"/>
      <c r="G11" s="104" t="n"/>
      <c r="H11" s="59" t="n"/>
      <c r="I11" s="104" t="n"/>
      <c r="J11" s="104" t="n"/>
      <c r="K11" s="41">
        <f>SUM(C11,E11,G11,I11)</f>
        <v/>
      </c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</row>
    <row r="12" ht="15" customHeight="1">
      <c r="A12" s="42" t="inlineStr">
        <is>
          <t>F11</t>
        </is>
      </c>
      <c r="B12" s="42">
        <f>VLOOKUP(A12,Members!$A$2:$B$65,2,FALSE)</f>
        <v/>
      </c>
      <c r="C12" s="43" t="n"/>
      <c r="D12" s="50" t="n"/>
      <c r="E12" s="47" t="n"/>
      <c r="F12" s="50" t="n"/>
      <c r="G12" s="47" t="n"/>
      <c r="H12" s="58" t="n"/>
      <c r="I12" s="47" t="n"/>
      <c r="J12" s="47" t="n"/>
      <c r="K12" s="43">
        <f>SUM(C12,E12,G12,I12)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</row>
    <row r="13" ht="15" customHeight="1">
      <c r="A13" s="40" t="inlineStr">
        <is>
          <t>F12</t>
        </is>
      </c>
      <c r="B13" s="40">
        <f>VLOOKUP(A13,Members!$A$2:$B$65,2,FALSE)</f>
        <v/>
      </c>
      <c r="C13" s="41" t="n"/>
      <c r="D13" s="53" t="n"/>
      <c r="E13" s="104" t="n"/>
      <c r="F13" s="53" t="n"/>
      <c r="G13" s="104" t="n"/>
      <c r="H13" s="59" t="n"/>
      <c r="I13" s="104" t="n"/>
      <c r="J13" s="104" t="n"/>
      <c r="K13" s="41">
        <f>SUM(C13,E13,G13,I13)</f>
        <v/>
      </c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</row>
    <row r="14" ht="15" customHeight="1">
      <c r="A14" s="42" t="inlineStr">
        <is>
          <t>F13</t>
        </is>
      </c>
      <c r="B14" s="42">
        <f>VLOOKUP(A14,Members!$A$2:$B$65,2,FALSE)</f>
        <v/>
      </c>
      <c r="C14" s="47" t="n"/>
      <c r="D14" s="50" t="n"/>
      <c r="E14" s="47" t="n"/>
      <c r="F14" s="50" t="n"/>
      <c r="G14" s="47" t="n"/>
      <c r="H14" s="58" t="n"/>
      <c r="I14" s="47" t="n"/>
      <c r="J14" s="47" t="n"/>
      <c r="K14" s="47">
        <f>SUM(C14,E14,G14,I14)</f>
        <v/>
      </c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  <c r="AA14" s="47" t="n"/>
    </row>
    <row r="15" ht="15" customHeight="1">
      <c r="A15" s="40" t="inlineStr">
        <is>
          <t>F14</t>
        </is>
      </c>
      <c r="B15" s="40">
        <f>VLOOKUP(A15,Members!$A$2:$B$65,2,FALSE)</f>
        <v/>
      </c>
      <c r="C15" s="41" t="n"/>
      <c r="D15" s="53" t="n"/>
      <c r="E15" s="104" t="n"/>
      <c r="F15" s="53" t="n"/>
      <c r="G15" s="104" t="n"/>
      <c r="H15" s="59" t="n"/>
      <c r="I15" s="104" t="n"/>
      <c r="J15" s="104" t="n"/>
      <c r="K15" s="41">
        <f>SUM(C15,E15,G15,I15)</f>
        <v/>
      </c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</row>
    <row r="16" ht="15" customHeight="1">
      <c r="A16" s="42" t="inlineStr">
        <is>
          <t>F15</t>
        </is>
      </c>
      <c r="B16" s="42">
        <f>VLOOKUP(A16,Members!$A$2:$B$65,2,FALSE)</f>
        <v/>
      </c>
      <c r="C16" s="47" t="n"/>
      <c r="D16" s="50" t="n"/>
      <c r="E16" s="47" t="n"/>
      <c r="F16" s="50" t="n"/>
      <c r="G16" s="47" t="n"/>
      <c r="H16" s="58" t="n"/>
      <c r="I16" s="47" t="n"/>
      <c r="J16" s="47" t="n"/>
      <c r="K16" s="47">
        <f>SUM(C16,E16,G16,I16)</f>
        <v/>
      </c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  <c r="AA16" s="47" t="n"/>
    </row>
    <row r="17" ht="15" customHeight="1">
      <c r="A17" s="40" t="inlineStr">
        <is>
          <t>F16</t>
        </is>
      </c>
      <c r="B17" s="40">
        <f>VLOOKUP(A17,Members!$A$2:$B$65,2,FALSE)</f>
        <v/>
      </c>
      <c r="C17" s="104" t="n"/>
      <c r="D17" s="53" t="n"/>
      <c r="E17" s="104" t="n"/>
      <c r="F17" s="53" t="n"/>
      <c r="G17" s="104" t="n"/>
      <c r="H17" s="59" t="n"/>
      <c r="I17" s="104" t="n"/>
      <c r="J17" s="104" t="n"/>
      <c r="K17" s="104">
        <f>SUM(C17,E17,G17,I17)</f>
        <v/>
      </c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</row>
    <row r="18" ht="15" customHeight="1">
      <c r="A18" s="42" t="inlineStr">
        <is>
          <t>G1</t>
        </is>
      </c>
      <c r="B18" s="42">
        <f>VLOOKUP(A18,Members!$A$2:$B$65,2,FALSE)</f>
        <v/>
      </c>
      <c r="C18" s="43" t="n"/>
      <c r="D18" s="50" t="n"/>
      <c r="E18" s="43" t="n"/>
      <c r="F18" s="50" t="n"/>
      <c r="G18" s="47" t="n"/>
      <c r="H18" s="58" t="n"/>
      <c r="I18" s="47" t="n"/>
      <c r="J18" s="47" t="n"/>
      <c r="K18" s="43">
        <f>SUM(C18,E18,G18,I18)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</row>
    <row r="19" ht="15" customHeight="1">
      <c r="A19" s="40" t="inlineStr">
        <is>
          <t>G2</t>
        </is>
      </c>
      <c r="B19" s="40">
        <f>VLOOKUP(A19,Members!$A$2:$B$65,2,FALSE)</f>
        <v/>
      </c>
      <c r="C19" s="41" t="n"/>
      <c r="D19" s="53" t="n"/>
      <c r="E19" s="104" t="n"/>
      <c r="F19" s="53" t="n"/>
      <c r="G19" s="104" t="n"/>
      <c r="H19" s="59" t="n"/>
      <c r="I19" s="104" t="n"/>
      <c r="J19" s="104" t="n"/>
      <c r="K19" s="41">
        <f>SUM(C19,E19,G19,I19)</f>
        <v/>
      </c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</row>
    <row r="20" ht="15" customHeight="1">
      <c r="A20" s="42" t="inlineStr">
        <is>
          <t>G3</t>
        </is>
      </c>
      <c r="B20" s="42">
        <f>VLOOKUP(A20,Members!$A$2:$B$65,2,FALSE)</f>
        <v/>
      </c>
      <c r="C20" s="43" t="n"/>
      <c r="D20" s="50" t="n"/>
      <c r="E20" s="47" t="n"/>
      <c r="F20" s="50" t="n"/>
      <c r="G20" s="47" t="n"/>
      <c r="H20" s="58" t="n"/>
      <c r="I20" s="47" t="n"/>
      <c r="J20" s="47" t="n"/>
      <c r="K20" s="43">
        <f>SUM(C20,E20,G20,I20)</f>
        <v/>
      </c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</row>
    <row r="21" ht="15" customHeight="1">
      <c r="A21" s="40" t="inlineStr">
        <is>
          <t>G4</t>
        </is>
      </c>
      <c r="B21" s="40">
        <f>VLOOKUP(A21,Members!$A$2:$B$65,2,FALSE)</f>
        <v/>
      </c>
      <c r="C21" s="41" t="n"/>
      <c r="D21" s="53" t="n"/>
      <c r="E21" s="104" t="n"/>
      <c r="F21" s="53" t="n"/>
      <c r="G21" s="104" t="n"/>
      <c r="H21" s="59" t="n"/>
      <c r="I21" s="104" t="n"/>
      <c r="J21" s="104" t="n"/>
      <c r="K21" s="41">
        <f>SUM(C21,E21,G21,I21)</f>
        <v/>
      </c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</row>
    <row r="22" ht="15.95" customHeight="1">
      <c r="A22" s="42" t="inlineStr">
        <is>
          <t>G5</t>
        </is>
      </c>
      <c r="B22" s="42">
        <f>VLOOKUP(A22,Members!$A$2:$B$65,2,FALSE)</f>
        <v/>
      </c>
      <c r="C22" s="43" t="n"/>
      <c r="D22" s="50" t="n"/>
      <c r="E22" s="47" t="n"/>
      <c r="F22" s="50" t="n"/>
      <c r="G22" s="47" t="n"/>
      <c r="H22" s="58" t="n"/>
      <c r="I22" s="47" t="n"/>
      <c r="J22" s="47" t="n"/>
      <c r="K22" s="43">
        <f>SUM(C22,E22,G22,I22)</f>
        <v/>
      </c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</row>
    <row r="23" ht="15.95" customHeight="1">
      <c r="A23" s="40" t="inlineStr">
        <is>
          <t>G6</t>
        </is>
      </c>
      <c r="B23" s="40">
        <f>VLOOKUP(A23,Members!$A$2:$B$65,2,FALSE)</f>
        <v/>
      </c>
      <c r="C23" s="104" t="n"/>
      <c r="D23" s="53" t="n"/>
      <c r="E23" s="104" t="n"/>
      <c r="F23" s="53" t="n"/>
      <c r="G23" s="104" t="n"/>
      <c r="H23" s="59" t="n"/>
      <c r="I23" s="104" t="n"/>
      <c r="J23" s="104" t="n"/>
      <c r="K23" s="104">
        <f>SUM(C23,E23,G23,I23)</f>
        <v/>
      </c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</row>
    <row r="24" ht="15.95" customHeight="1">
      <c r="A24" s="42" t="inlineStr">
        <is>
          <t>G7</t>
        </is>
      </c>
      <c r="B24" s="42">
        <f>VLOOKUP(A24,Members!$A$2:$B$65,2,FALSE)</f>
        <v/>
      </c>
      <c r="C24" s="43" t="n"/>
      <c r="D24" s="50" t="n"/>
      <c r="E24" s="47" t="n"/>
      <c r="F24" s="50" t="n"/>
      <c r="G24" s="47" t="n"/>
      <c r="H24" s="58" t="n"/>
      <c r="I24" s="47" t="n"/>
      <c r="J24" s="47" t="n"/>
      <c r="K24" s="43">
        <f>SUM(C24,E24,G24,I24)</f>
        <v/>
      </c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</row>
    <row r="25" ht="15.95" customHeight="1">
      <c r="A25" s="40" t="inlineStr">
        <is>
          <t>G8</t>
        </is>
      </c>
      <c r="B25" s="40">
        <f>VLOOKUP(A25,Members!$A$2:$B$65,2,FALSE)</f>
        <v/>
      </c>
      <c r="C25" s="104" t="n"/>
      <c r="D25" s="53" t="n"/>
      <c r="E25" s="104" t="n"/>
      <c r="F25" s="53" t="n"/>
      <c r="G25" s="104" t="n"/>
      <c r="H25" s="59" t="n"/>
      <c r="I25" s="104" t="n"/>
      <c r="J25" s="104" t="n"/>
      <c r="K25" s="104">
        <f>SUM(C25,E25,G25,I25)</f>
        <v/>
      </c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</row>
    <row r="26" ht="15.95" customHeight="1">
      <c r="A26" s="42" t="inlineStr">
        <is>
          <t>G9</t>
        </is>
      </c>
      <c r="B26" s="42">
        <f>VLOOKUP(A26,Members!$A$2:$B$65,2,FALSE)</f>
        <v/>
      </c>
      <c r="C26" s="43" t="n"/>
      <c r="D26" s="50" t="n"/>
      <c r="E26" s="47" t="n"/>
      <c r="F26" s="50" t="n"/>
      <c r="G26" s="47" t="n"/>
      <c r="H26" s="58" t="n"/>
      <c r="I26" s="47" t="n"/>
      <c r="J26" s="47" t="n"/>
      <c r="K26" s="43">
        <f>SUM(C26,E26,G26,I26)</f>
        <v/>
      </c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</row>
    <row r="27" ht="15.95" customHeight="1">
      <c r="A27" s="40" t="inlineStr">
        <is>
          <t>G10</t>
        </is>
      </c>
      <c r="B27" s="40">
        <f>VLOOKUP(A27,Members!$A$2:$B$65,2,FALSE)</f>
        <v/>
      </c>
      <c r="C27" s="41" t="n"/>
      <c r="D27" s="53" t="n"/>
      <c r="E27" s="104" t="n"/>
      <c r="F27" s="53" t="n"/>
      <c r="G27" s="104" t="n"/>
      <c r="H27" s="59" t="n"/>
      <c r="I27" s="104" t="n"/>
      <c r="J27" s="104" t="n"/>
      <c r="K27" s="41">
        <f>SUM(C27,E27,G27,I27)</f>
        <v/>
      </c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</row>
    <row r="28" ht="15.95" customHeight="1">
      <c r="A28" s="42" t="inlineStr">
        <is>
          <t>G11</t>
        </is>
      </c>
      <c r="B28" s="42">
        <f>VLOOKUP(A28,Members!$A$2:$B$65,2,FALSE)</f>
        <v/>
      </c>
      <c r="C28" s="43" t="n"/>
      <c r="D28" s="50" t="n"/>
      <c r="E28" s="47" t="n"/>
      <c r="F28" s="50" t="n"/>
      <c r="G28" s="47" t="n"/>
      <c r="H28" s="58" t="n"/>
      <c r="I28" s="47" t="n"/>
      <c r="J28" s="47" t="n"/>
      <c r="K28" s="43">
        <f>SUM(C28,E28,G28,I28)</f>
        <v/>
      </c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</row>
    <row r="29" ht="15.95" customHeight="1">
      <c r="A29" s="40" t="inlineStr">
        <is>
          <t>G12</t>
        </is>
      </c>
      <c r="B29" s="40">
        <f>VLOOKUP(A29,Members!$A$2:$B$65,2,FALSE)</f>
        <v/>
      </c>
      <c r="C29" s="41" t="n"/>
      <c r="D29" s="53" t="n"/>
      <c r="E29" s="104" t="n"/>
      <c r="F29" s="53" t="n"/>
      <c r="G29" s="104" t="n"/>
      <c r="H29" s="59" t="n"/>
      <c r="I29" s="104" t="n"/>
      <c r="J29" s="104" t="n"/>
      <c r="K29" s="41">
        <f>SUM(C29,E29,G29,I29)</f>
        <v/>
      </c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</row>
    <row r="30" ht="15.95" customHeight="1">
      <c r="A30" s="42" t="inlineStr">
        <is>
          <t>G13</t>
        </is>
      </c>
      <c r="B30" s="42">
        <f>VLOOKUP(A30,Members!$A$2:$B$65,2,FALSE)</f>
        <v/>
      </c>
      <c r="C30" s="47" t="n"/>
      <c r="D30" s="50" t="n"/>
      <c r="E30" s="47" t="n"/>
      <c r="F30" s="50" t="n"/>
      <c r="G30" s="47" t="n"/>
      <c r="H30" s="58" t="n"/>
      <c r="I30" s="47" t="n"/>
      <c r="J30" s="47" t="n"/>
      <c r="K30" s="47">
        <f>SUM(C30,E30,G30,I30)</f>
        <v/>
      </c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</row>
    <row r="31" ht="15.95" customHeight="1">
      <c r="A31" s="40" t="inlineStr">
        <is>
          <t>G14</t>
        </is>
      </c>
      <c r="B31" s="40">
        <f>VLOOKUP(A31,Members!$A$2:$B$65,2,FALSE)</f>
        <v/>
      </c>
      <c r="C31" s="104" t="n"/>
      <c r="D31" s="53" t="n"/>
      <c r="E31" s="104" t="n"/>
      <c r="F31" s="53" t="n"/>
      <c r="G31" s="104" t="n"/>
      <c r="H31" s="59" t="n"/>
      <c r="I31" s="104" t="n"/>
      <c r="J31" s="104" t="n"/>
      <c r="K31" s="104">
        <f>SUM(C31,E31,G31,I31)</f>
        <v/>
      </c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</row>
    <row r="32" ht="15.95" customHeight="1">
      <c r="A32" s="42" t="inlineStr">
        <is>
          <t>G15</t>
        </is>
      </c>
      <c r="B32" s="42">
        <f>VLOOKUP(A32,Members!$A$2:$B$65,2,FALSE)</f>
        <v/>
      </c>
      <c r="C32" s="43" t="n"/>
      <c r="D32" s="50" t="n"/>
      <c r="E32" s="47" t="n"/>
      <c r="F32" s="50" t="n"/>
      <c r="G32" s="47" t="n"/>
      <c r="H32" s="58" t="n"/>
      <c r="I32" s="47" t="n"/>
      <c r="J32" s="47" t="n"/>
      <c r="K32" s="43">
        <f>SUM(C32,E32,G32,I32)</f>
        <v/>
      </c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</row>
    <row r="33" ht="15.95" customHeight="1">
      <c r="A33" s="40" t="inlineStr">
        <is>
          <t>G16</t>
        </is>
      </c>
      <c r="B33" s="40">
        <f>VLOOKUP(A33,Members!$A$2:$B$65,2,FALSE)</f>
        <v/>
      </c>
      <c r="C33" s="104" t="n"/>
      <c r="D33" s="53" t="n"/>
      <c r="E33" s="104" t="n"/>
      <c r="F33" s="53" t="n"/>
      <c r="G33" s="104" t="n"/>
      <c r="H33" s="59" t="n"/>
      <c r="I33" s="104" t="n"/>
      <c r="J33" s="104" t="n"/>
      <c r="K33" s="104">
        <f>SUM(C33,E33,G33,I33)</f>
        <v/>
      </c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</row>
    <row r="34" ht="15.95" customHeight="1">
      <c r="A34" s="42" t="inlineStr">
        <is>
          <t>S1</t>
        </is>
      </c>
      <c r="B34" s="42">
        <f>VLOOKUP(A34,Members!$A$2:$B$65,2,FALSE)</f>
        <v/>
      </c>
      <c r="C34" s="43" t="n"/>
      <c r="D34" s="50" t="n"/>
      <c r="E34" s="47" t="n"/>
      <c r="F34" s="50" t="n"/>
      <c r="G34" s="47" t="n"/>
      <c r="H34" s="58" t="n"/>
      <c r="I34" s="47" t="n"/>
      <c r="J34" s="47" t="n"/>
      <c r="K34" s="43">
        <f>SUM(C34,E34,G34,I34)</f>
        <v/>
      </c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  <c r="AA34" s="47" t="n"/>
    </row>
    <row r="35" ht="15.95" customHeight="1">
      <c r="A35" s="40" t="inlineStr">
        <is>
          <t>S2</t>
        </is>
      </c>
      <c r="B35" s="40">
        <f>VLOOKUP(A35,Members!$A$2:$B$65,2,FALSE)</f>
        <v/>
      </c>
      <c r="C35" s="41" t="n"/>
      <c r="D35" s="53" t="n"/>
      <c r="E35" s="104" t="n"/>
      <c r="F35" s="53" t="n"/>
      <c r="G35" s="104" t="n"/>
      <c r="H35" s="59" t="n"/>
      <c r="I35" s="104" t="n"/>
      <c r="J35" s="104" t="n"/>
      <c r="K35" s="41">
        <f>SUM(C35,E35,G35,I35)</f>
        <v/>
      </c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</row>
    <row r="36" ht="15.95" customHeight="1">
      <c r="A36" s="42" t="inlineStr">
        <is>
          <t>S3</t>
        </is>
      </c>
      <c r="B36" s="42">
        <f>VLOOKUP(A36,Members!$A$2:$B$65,2,FALSE)</f>
        <v/>
      </c>
      <c r="C36" s="47" t="n"/>
      <c r="D36" s="50" t="n"/>
      <c r="E36" s="47" t="n"/>
      <c r="F36" s="50" t="n"/>
      <c r="G36" s="47" t="n"/>
      <c r="H36" s="58" t="n"/>
      <c r="I36" s="47" t="n"/>
      <c r="J36" s="47" t="n"/>
      <c r="K36" s="47">
        <f>SUM(C36,E36,G36,I36)</f>
        <v/>
      </c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</row>
    <row r="37" ht="15.95" customHeight="1">
      <c r="A37" s="40" t="inlineStr">
        <is>
          <t>S4</t>
        </is>
      </c>
      <c r="B37" s="40">
        <f>VLOOKUP(A37,Members!$A$2:$B$65,2,FALSE)</f>
        <v/>
      </c>
      <c r="C37" s="41" t="n"/>
      <c r="D37" s="53" t="n"/>
      <c r="E37" s="104" t="n"/>
      <c r="F37" s="53" t="n"/>
      <c r="G37" s="104" t="n"/>
      <c r="H37" s="59" t="n"/>
      <c r="I37" s="104" t="n"/>
      <c r="J37" s="104" t="n"/>
      <c r="K37" s="41">
        <f>SUM(C37,E37,G37,I37)</f>
        <v/>
      </c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</row>
    <row r="38" ht="15.95" customHeight="1">
      <c r="A38" s="42" t="inlineStr">
        <is>
          <t>S5</t>
        </is>
      </c>
      <c r="B38" s="42">
        <f>VLOOKUP(A38,Members!$A$2:$B$65,2,FALSE)</f>
        <v/>
      </c>
      <c r="C38" s="47" t="n"/>
      <c r="D38" s="50" t="n"/>
      <c r="E38" s="47" t="n"/>
      <c r="F38" s="50" t="n"/>
      <c r="G38" s="47" t="n"/>
      <c r="H38" s="58" t="n"/>
      <c r="I38" s="47" t="n"/>
      <c r="J38" s="47" t="n"/>
      <c r="K38" s="47">
        <f>SUM(C38,E38,G38,I38)</f>
        <v/>
      </c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</row>
    <row r="39" ht="15.95" customHeight="1">
      <c r="A39" s="40" t="inlineStr">
        <is>
          <t>S6</t>
        </is>
      </c>
      <c r="B39" s="40">
        <f>VLOOKUP(A39,Members!$A$2:$B$65,2,FALSE)</f>
        <v/>
      </c>
      <c r="C39" s="104" t="n"/>
      <c r="D39" s="53" t="n"/>
      <c r="E39" s="104" t="n"/>
      <c r="F39" s="53" t="n"/>
      <c r="G39" s="104" t="n"/>
      <c r="H39" s="59" t="n"/>
      <c r="I39" s="104" t="n"/>
      <c r="J39" s="104" t="n"/>
      <c r="K39" s="104">
        <f>SUM(C39,E39,G39,I39)</f>
        <v/>
      </c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</row>
    <row r="40" ht="15.95" customHeight="1">
      <c r="A40" s="42" t="inlineStr">
        <is>
          <t>S7</t>
        </is>
      </c>
      <c r="B40" s="42">
        <f>VLOOKUP(A40,Members!$A$2:$B$65,2,FALSE)</f>
        <v/>
      </c>
      <c r="C40" s="43" t="n"/>
      <c r="D40" s="50" t="n"/>
      <c r="E40" s="47" t="n"/>
      <c r="F40" s="50" t="n"/>
      <c r="G40" s="47" t="n"/>
      <c r="H40" s="58" t="n"/>
      <c r="I40" s="47" t="n"/>
      <c r="J40" s="47" t="n"/>
      <c r="K40" s="43">
        <f>SUM(C40,E40,G40,I40)</f>
        <v/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  <c r="AA40" s="47" t="n"/>
    </row>
    <row r="41" ht="15.95" customHeight="1">
      <c r="A41" s="40" t="inlineStr">
        <is>
          <t>S8</t>
        </is>
      </c>
      <c r="B41" s="40">
        <f>VLOOKUP(A41,Members!$A$2:$B$65,2,FALSE)</f>
        <v/>
      </c>
      <c r="C41" s="41" t="n"/>
      <c r="D41" s="53" t="n"/>
      <c r="E41" s="104" t="n"/>
      <c r="F41" s="53" t="n"/>
      <c r="G41" s="104" t="n"/>
      <c r="H41" s="59" t="n"/>
      <c r="I41" s="104" t="n"/>
      <c r="J41" s="104" t="n"/>
      <c r="K41" s="41">
        <f>SUM(C41,E41,G41,I41)</f>
        <v/>
      </c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</row>
    <row r="42" ht="15.95" customHeight="1">
      <c r="A42" s="42" t="inlineStr">
        <is>
          <t>S9</t>
        </is>
      </c>
      <c r="B42" s="42">
        <f>VLOOKUP(A42,Members!$A$2:$B$65,2,FALSE)</f>
        <v/>
      </c>
      <c r="C42" s="43" t="n"/>
      <c r="D42" s="50" t="n"/>
      <c r="E42" s="47" t="n"/>
      <c r="F42" s="50" t="n"/>
      <c r="G42" s="47" t="n"/>
      <c r="H42" s="58" t="n"/>
      <c r="I42" s="47" t="n"/>
      <c r="J42" s="47" t="n"/>
      <c r="K42" s="43">
        <f>SUM(C42,E42,G42,I42)</f>
        <v/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</row>
    <row r="43" ht="15.95" customHeight="1">
      <c r="A43" s="40" t="inlineStr">
        <is>
          <t>S10</t>
        </is>
      </c>
      <c r="B43" s="40">
        <f>VLOOKUP(A43,Members!$A$2:$B$65,2,FALSE)</f>
        <v/>
      </c>
      <c r="C43" s="41" t="n"/>
      <c r="D43" s="53" t="n"/>
      <c r="E43" s="104" t="n"/>
      <c r="F43" s="53" t="n"/>
      <c r="G43" s="104" t="n"/>
      <c r="H43" s="59" t="n"/>
      <c r="I43" s="104" t="n"/>
      <c r="J43" s="104" t="n"/>
      <c r="K43" s="41">
        <f>SUM(C43,E43,G43,I43)</f>
        <v/>
      </c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</row>
    <row r="44" ht="15.95" customHeight="1">
      <c r="A44" s="42" t="inlineStr">
        <is>
          <t>S11</t>
        </is>
      </c>
      <c r="B44" s="42">
        <f>VLOOKUP(A44,Members!$A$2:$B$65,2,FALSE)</f>
        <v/>
      </c>
      <c r="C44" s="47" t="n"/>
      <c r="D44" s="50" t="n"/>
      <c r="E44" s="47" t="n"/>
      <c r="F44" s="50" t="n"/>
      <c r="G44" s="47" t="n"/>
      <c r="H44" s="58" t="n"/>
      <c r="I44" s="47" t="n"/>
      <c r="J44" s="47" t="n"/>
      <c r="K44" s="47">
        <f>SUM(C44,E44,G44,I44)</f>
        <v/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</row>
    <row r="45" ht="15.95" customHeight="1">
      <c r="A45" s="40" t="inlineStr">
        <is>
          <t>S12</t>
        </is>
      </c>
      <c r="B45" s="40">
        <f>VLOOKUP(A45,Members!$A$2:$B$65,2,FALSE)</f>
        <v/>
      </c>
      <c r="C45" s="41" t="n"/>
      <c r="D45" s="53" t="n"/>
      <c r="E45" s="104" t="n"/>
      <c r="F45" s="53" t="n"/>
      <c r="G45" s="104" t="n"/>
      <c r="H45" s="59" t="n"/>
      <c r="I45" s="104" t="n"/>
      <c r="J45" s="104" t="n"/>
      <c r="K45" s="41">
        <f>SUM(C45,E45,G45,I45)</f>
        <v/>
      </c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</row>
    <row r="46" ht="15.95" customHeight="1">
      <c r="A46" s="42" t="inlineStr">
        <is>
          <t>S13</t>
        </is>
      </c>
      <c r="B46" s="42">
        <f>VLOOKUP(A46,Members!$A$2:$B$65,2,FALSE)</f>
        <v/>
      </c>
      <c r="C46" s="47" t="n"/>
      <c r="D46" s="50" t="n"/>
      <c r="E46" s="47" t="n"/>
      <c r="F46" s="50" t="n"/>
      <c r="G46" s="47" t="n"/>
      <c r="H46" s="58" t="n"/>
      <c r="I46" s="47" t="n"/>
      <c r="J46" s="47" t="n"/>
      <c r="K46" s="47">
        <f>SUM(C46,E46,G46,I46)</f>
        <v/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</row>
    <row r="47" ht="15.95" customHeight="1">
      <c r="A47" s="40" t="inlineStr">
        <is>
          <t>S14</t>
        </is>
      </c>
      <c r="B47" s="40">
        <f>VLOOKUP(A47,Members!$A$2:$B$65,2,FALSE)</f>
        <v/>
      </c>
      <c r="C47" s="104" t="n"/>
      <c r="D47" s="53" t="n"/>
      <c r="E47" s="104" t="n"/>
      <c r="F47" s="53" t="n"/>
      <c r="G47" s="104" t="n"/>
      <c r="H47" s="59" t="n"/>
      <c r="I47" s="104" t="n"/>
      <c r="J47" s="104" t="n"/>
      <c r="K47" s="104">
        <f>SUM(C47,E47,G47,I47)</f>
        <v/>
      </c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</row>
    <row r="48" ht="15.95" customHeight="1">
      <c r="A48" s="42" t="inlineStr">
        <is>
          <t>S15</t>
        </is>
      </c>
      <c r="B48" s="42">
        <f>VLOOKUP(A48,Members!$A$2:$B$65,2,FALSE)</f>
        <v/>
      </c>
      <c r="C48" s="43" t="n"/>
      <c r="D48" s="50" t="n"/>
      <c r="E48" s="47" t="n"/>
      <c r="F48" s="50" t="n"/>
      <c r="G48" s="47" t="n"/>
      <c r="H48" s="58" t="n"/>
      <c r="I48" s="47" t="n"/>
      <c r="J48" s="47" t="n"/>
      <c r="K48" s="43">
        <f>SUM(C48,E48,G48,I48)</f>
        <v/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</row>
    <row r="49" ht="15.95" customHeight="1">
      <c r="A49" s="40" t="inlineStr">
        <is>
          <t>S16</t>
        </is>
      </c>
      <c r="B49" s="40">
        <f>VLOOKUP(A49,Members!$A$2:$B$65,2,FALSE)</f>
        <v/>
      </c>
      <c r="C49" s="104" t="n"/>
      <c r="D49" s="53" t="n"/>
      <c r="E49" s="104" t="n"/>
      <c r="F49" s="53" t="n"/>
      <c r="G49" s="104" t="n"/>
      <c r="H49" s="59" t="n"/>
      <c r="I49" s="104" t="n"/>
      <c r="J49" s="104" t="n"/>
      <c r="K49" s="104">
        <f>SUM(C49,E49,G49,I49)</f>
        <v/>
      </c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</row>
    <row r="50" ht="15.95" customHeight="1">
      <c r="A50" s="42" t="inlineStr">
        <is>
          <t>T1</t>
        </is>
      </c>
      <c r="B50" s="42">
        <f>VLOOKUP(A50,Members!$A$2:$B$65,2,FALSE)</f>
        <v/>
      </c>
      <c r="C50" s="47" t="n"/>
      <c r="D50" s="51" t="n"/>
      <c r="E50" s="47" t="n"/>
      <c r="F50" s="50" t="n"/>
      <c r="G50" s="47" t="n"/>
      <c r="H50" s="58" t="n"/>
      <c r="I50" s="47" t="n"/>
      <c r="J50" s="47" t="n"/>
      <c r="K50" s="47">
        <f>SUM(C50,E50,G50,I50)</f>
        <v/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</row>
    <row r="51" ht="15.95" customHeight="1">
      <c r="A51" s="40" t="inlineStr">
        <is>
          <t>T2</t>
        </is>
      </c>
      <c r="B51" s="40">
        <f>VLOOKUP(A51,Members!$A$2:$B$65,2,FALSE)</f>
        <v/>
      </c>
      <c r="C51" s="41" t="n"/>
      <c r="D51" s="53" t="n"/>
      <c r="E51" s="104" t="n"/>
      <c r="F51" s="53" t="n"/>
      <c r="G51" s="104" t="n"/>
      <c r="H51" s="59" t="n"/>
      <c r="I51" s="104" t="n"/>
      <c r="J51" s="104" t="n"/>
      <c r="K51" s="41">
        <f>SUM(C51,E51,G51,I51)</f>
        <v/>
      </c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</row>
    <row r="52" ht="15.95" customHeight="1">
      <c r="A52" s="42" t="inlineStr">
        <is>
          <t>T3</t>
        </is>
      </c>
      <c r="B52" s="42">
        <f>VLOOKUP(A52,Members!$A$2:$B$65,2,FALSE)</f>
        <v/>
      </c>
      <c r="C52" s="43" t="n"/>
      <c r="D52" s="50" t="n"/>
      <c r="E52" s="47" t="n"/>
      <c r="F52" s="50" t="n"/>
      <c r="G52" s="47" t="n"/>
      <c r="H52" s="58" t="n"/>
      <c r="I52" s="47" t="n"/>
      <c r="J52" s="47" t="n"/>
      <c r="K52" s="43">
        <f>SUM(C52,E52,G52,I52)</f>
        <v/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</row>
    <row r="53" ht="15.95" customHeight="1">
      <c r="A53" s="40" t="inlineStr">
        <is>
          <t>T4</t>
        </is>
      </c>
      <c r="B53" s="40">
        <f>VLOOKUP(A53,Members!$A$2:$B$65,2,FALSE)</f>
        <v/>
      </c>
      <c r="C53" s="41" t="n"/>
      <c r="D53" s="53" t="n"/>
      <c r="E53" s="104" t="n"/>
      <c r="F53" s="53" t="n"/>
      <c r="G53" s="104" t="n"/>
      <c r="H53" s="59" t="n"/>
      <c r="I53" s="104" t="n"/>
      <c r="J53" s="104" t="n"/>
      <c r="K53" s="41">
        <f>SUM(C53,E53,G53,I53)</f>
        <v/>
      </c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</row>
    <row r="54" ht="15.95" customHeight="1">
      <c r="A54" s="42" t="inlineStr">
        <is>
          <t>T5</t>
        </is>
      </c>
      <c r="B54" s="42">
        <f>VLOOKUP(A54,Members!$A$2:$B$65,2,FALSE)</f>
        <v/>
      </c>
      <c r="C54" s="47" t="n"/>
      <c r="D54" s="50" t="n"/>
      <c r="E54" s="47" t="n"/>
      <c r="F54" s="50" t="n"/>
      <c r="G54" s="47" t="n"/>
      <c r="H54" s="58" t="n"/>
      <c r="I54" s="47" t="n"/>
      <c r="J54" s="47" t="n"/>
      <c r="K54" s="47">
        <f>SUM(C54,E54,G54,I54)</f>
        <v/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</row>
    <row r="55" ht="15.95" customHeight="1">
      <c r="A55" s="40" t="inlineStr">
        <is>
          <t>T6</t>
        </is>
      </c>
      <c r="B55" s="40">
        <f>VLOOKUP(A55,Members!$A$2:$B$65,2,FALSE)</f>
        <v/>
      </c>
      <c r="C55" s="41" t="n"/>
      <c r="D55" s="53" t="n"/>
      <c r="E55" s="104" t="n"/>
      <c r="F55" s="53" t="n"/>
      <c r="G55" s="104" t="n"/>
      <c r="H55" s="59" t="n"/>
      <c r="I55" s="104" t="n"/>
      <c r="J55" s="104" t="n"/>
      <c r="K55" s="41">
        <f>SUM(C55,E55,G55,I55)</f>
        <v/>
      </c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</row>
    <row r="56" ht="15.95" customHeight="1">
      <c r="A56" s="42" t="inlineStr">
        <is>
          <t>T7</t>
        </is>
      </c>
      <c r="B56" s="42">
        <f>VLOOKUP(A56,Members!$A$2:$B$65,2,FALSE)</f>
        <v/>
      </c>
      <c r="C56" s="47" t="n"/>
      <c r="D56" s="50" t="n"/>
      <c r="E56" s="47" t="n"/>
      <c r="F56" s="50" t="n"/>
      <c r="G56" s="47" t="n"/>
      <c r="H56" s="58" t="n"/>
      <c r="I56" s="47" t="n"/>
      <c r="J56" s="47" t="n"/>
      <c r="K56" s="47">
        <f>SUM(C56,E56,G56,I56)</f>
        <v/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</row>
    <row r="57" ht="15.95" customHeight="1">
      <c r="A57" s="40" t="inlineStr">
        <is>
          <t>T8</t>
        </is>
      </c>
      <c r="B57" s="40">
        <f>VLOOKUP(A57,Members!$A$2:$B$65,2,FALSE)</f>
        <v/>
      </c>
      <c r="C57" s="41" t="n"/>
      <c r="D57" s="53" t="n"/>
      <c r="E57" s="104" t="n"/>
      <c r="F57" s="53" t="n"/>
      <c r="G57" s="104" t="n"/>
      <c r="H57" s="59" t="n"/>
      <c r="I57" s="104" t="n"/>
      <c r="J57" s="104" t="n"/>
      <c r="K57" s="41">
        <f>SUM(C57,E57,G57,I57)</f>
        <v/>
      </c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</row>
    <row r="58" ht="15.95" customHeight="1">
      <c r="A58" s="42" t="inlineStr">
        <is>
          <t>T9</t>
        </is>
      </c>
      <c r="B58" s="42">
        <f>VLOOKUP(A58,Members!$A$2:$B$65,2,FALSE)</f>
        <v/>
      </c>
      <c r="C58" s="47" t="n"/>
      <c r="D58" s="50" t="n"/>
      <c r="E58" s="47" t="n"/>
      <c r="F58" s="50" t="n"/>
      <c r="G58" s="47" t="n"/>
      <c r="H58" s="58" t="n"/>
      <c r="I58" s="47" t="n"/>
      <c r="J58" s="47" t="n"/>
      <c r="K58" s="47">
        <f>SUM(C58,E58,G58,I58)</f>
        <v/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</row>
    <row r="59" ht="15.95" customHeight="1">
      <c r="A59" s="40" t="inlineStr">
        <is>
          <t>T10</t>
        </is>
      </c>
      <c r="B59" s="40">
        <f>VLOOKUP(A59,Members!$A$2:$B$65,2,FALSE)</f>
        <v/>
      </c>
      <c r="C59" s="41" t="n"/>
      <c r="D59" s="53" t="n"/>
      <c r="E59" s="104" t="n"/>
      <c r="F59" s="53" t="n"/>
      <c r="G59" s="104" t="n"/>
      <c r="H59" s="59" t="n"/>
      <c r="I59" s="104" t="n"/>
      <c r="J59" s="104" t="n"/>
      <c r="K59" s="41">
        <f>SUM(C59,E59,G59,I59)</f>
        <v/>
      </c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</row>
    <row r="60" ht="15.95" customHeight="1">
      <c r="A60" s="42" t="inlineStr">
        <is>
          <t>T11</t>
        </is>
      </c>
      <c r="B60" s="42">
        <f>VLOOKUP(A60,Members!$A$2:$B$65,2,FALSE)</f>
        <v/>
      </c>
      <c r="C60" s="43" t="n"/>
      <c r="D60" s="50" t="n"/>
      <c r="E60" s="47" t="n"/>
      <c r="F60" s="50" t="n"/>
      <c r="G60" s="47" t="n"/>
      <c r="H60" s="58" t="n"/>
      <c r="I60" s="47" t="n"/>
      <c r="J60" s="47" t="n"/>
      <c r="K60" s="43">
        <f>SUM(C60,E60,G60,I60)</f>
        <v/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</row>
    <row r="61" ht="15.95" customHeight="1">
      <c r="A61" s="40" t="inlineStr">
        <is>
          <t>T12</t>
        </is>
      </c>
      <c r="B61" s="40">
        <f>VLOOKUP(A61,Members!$A$2:$B$65,2,FALSE)</f>
        <v/>
      </c>
      <c r="C61" s="41" t="n"/>
      <c r="D61" s="53" t="n"/>
      <c r="E61" s="104" t="n"/>
      <c r="F61" s="53" t="n"/>
      <c r="G61" s="104" t="n"/>
      <c r="H61" s="59" t="n"/>
      <c r="I61" s="104" t="n"/>
      <c r="J61" s="104" t="n"/>
      <c r="K61" s="41">
        <f>SUM(C61,E61,G61,I61)</f>
        <v/>
      </c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</row>
    <row r="62" ht="15.95" customHeight="1">
      <c r="A62" s="42" t="inlineStr">
        <is>
          <t>T13</t>
        </is>
      </c>
      <c r="B62" s="42">
        <f>VLOOKUP(A62,Members!$A$2:$B$65,2,FALSE)</f>
        <v/>
      </c>
      <c r="C62" s="47" t="n"/>
      <c r="D62" s="51" t="n"/>
      <c r="E62" s="47" t="n"/>
      <c r="F62" s="50" t="n"/>
      <c r="G62" s="47" t="n"/>
      <c r="H62" s="58" t="n"/>
      <c r="I62" s="47" t="n"/>
      <c r="J62" s="47" t="n"/>
      <c r="K62" s="47">
        <f>SUM(C62,E62,G62,I62)</f>
        <v/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</row>
    <row r="63" ht="15.95" customHeight="1">
      <c r="A63" s="40" t="inlineStr">
        <is>
          <t>T14</t>
        </is>
      </c>
      <c r="B63" s="40">
        <f>VLOOKUP(A63,Members!$A$2:$B$65,2,FALSE)</f>
        <v/>
      </c>
      <c r="C63" s="41" t="n"/>
      <c r="D63" s="53" t="n"/>
      <c r="E63" s="104" t="n"/>
      <c r="F63" s="53" t="n"/>
      <c r="G63" s="104" t="n"/>
      <c r="H63" s="59" t="n"/>
      <c r="I63" s="104" t="n"/>
      <c r="J63" s="104" t="n"/>
      <c r="K63" s="41">
        <f>SUM(C63,E63,G63,I63)</f>
        <v/>
      </c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</row>
    <row r="64" ht="15.95" customHeight="1">
      <c r="A64" s="42" t="inlineStr">
        <is>
          <t>T15</t>
        </is>
      </c>
      <c r="B64" s="42">
        <f>VLOOKUP(A64,Members!$A$2:$B$65,2,FALSE)</f>
        <v/>
      </c>
      <c r="C64" s="43" t="n"/>
      <c r="D64" s="50" t="n"/>
      <c r="E64" s="47" t="n"/>
      <c r="F64" s="50" t="n"/>
      <c r="G64" s="47" t="n"/>
      <c r="H64" s="58" t="n"/>
      <c r="I64" s="47" t="n"/>
      <c r="J64" s="47" t="n"/>
      <c r="K64" s="43">
        <f>SUM(C64,E64,G64,I64)</f>
        <v/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</row>
    <row r="65" ht="15.95" customHeight="1">
      <c r="A65" s="40" t="inlineStr">
        <is>
          <t>T16</t>
        </is>
      </c>
      <c r="B65" s="40">
        <f>VLOOKUP(A65,Members!$A$2:$B$65,2,FALSE)</f>
        <v/>
      </c>
      <c r="C65" s="104" t="n"/>
      <c r="D65" s="53" t="n"/>
      <c r="E65" s="104" t="n"/>
      <c r="F65" s="53" t="n"/>
      <c r="G65" s="104" t="n"/>
      <c r="H65" s="59" t="n"/>
      <c r="I65" s="104" t="n"/>
      <c r="J65" s="104" t="n"/>
      <c r="K65" s="104">
        <f>SUM(C65,E65,G65,I65)</f>
        <v/>
      </c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</row>
    <row r="66">
      <c r="A66" s="44" t="inlineStr">
        <is>
          <t>TOTAL</t>
        </is>
      </c>
      <c r="B66" s="55" t="n"/>
      <c r="C66" s="56" t="n"/>
      <c r="D66" s="67" t="n"/>
      <c r="E66" s="56" t="n"/>
      <c r="F66" s="56" t="n"/>
      <c r="G66" s="56" t="n"/>
      <c r="H66" s="62" t="n"/>
      <c r="I66" s="56" t="n"/>
      <c r="J66" s="56" t="n"/>
      <c r="K66" s="56">
        <f>SUM(K2:K65)</f>
        <v/>
      </c>
      <c r="L66" s="56" t="n"/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  <c r="Z66" s="56" t="n"/>
      <c r="AA66" s="56" t="n"/>
    </row>
    <row r="67">
      <c r="D67" s="10" t="n"/>
      <c r="F67" s="9" t="n"/>
      <c r="H67" s="8" t="n"/>
    </row>
    <row r="68">
      <c r="D68" s="10" t="n"/>
      <c r="F68" s="9" t="n"/>
      <c r="H68" s="8" t="n"/>
    </row>
    <row r="69">
      <c r="D69" s="10" t="n"/>
      <c r="F69" s="9" t="n"/>
      <c r="H69" s="8" t="n"/>
    </row>
    <row r="70">
      <c r="A70" s="3" t="n"/>
      <c r="D70" s="10" t="n"/>
      <c r="F70" s="9" t="n"/>
      <c r="H70" s="8" t="n"/>
    </row>
    <row r="71">
      <c r="A71" s="3" t="n"/>
      <c r="D71" s="10" t="n"/>
      <c r="F71" s="9" t="n"/>
      <c r="H71" s="8" t="n"/>
    </row>
    <row r="72">
      <c r="A72" s="5" t="n"/>
      <c r="D72" s="10" t="n"/>
      <c r="F72" s="9" t="n"/>
      <c r="H72" s="8" t="n"/>
    </row>
    <row r="73">
      <c r="A73" s="5" t="n"/>
      <c r="D73" s="10" t="n"/>
      <c r="F73" s="9" t="n"/>
      <c r="H73" s="8" t="n"/>
    </row>
    <row r="74">
      <c r="A74" s="5" t="n"/>
      <c r="D74" s="10" t="n"/>
      <c r="F74" s="9" t="n"/>
      <c r="H74" s="8" t="n"/>
    </row>
    <row r="75">
      <c r="A75" s="5" t="n"/>
      <c r="D75" s="10" t="n"/>
      <c r="F75" s="9" t="n"/>
      <c r="H75" s="8" t="n"/>
    </row>
    <row r="76">
      <c r="A76" s="5" t="n"/>
      <c r="D76" s="10" t="n"/>
      <c r="F76" s="9" t="n"/>
      <c r="H76" s="8" t="n"/>
    </row>
    <row r="77">
      <c r="A77" s="5" t="n"/>
      <c r="D77" s="10" t="n"/>
      <c r="F77" s="9" t="n"/>
      <c r="H77" s="8" t="n"/>
    </row>
    <row r="78">
      <c r="A78" s="5" t="n"/>
      <c r="D78" s="10" t="n"/>
      <c r="F78" s="9" t="n"/>
      <c r="H78" s="8" t="n"/>
    </row>
    <row r="79">
      <c r="A79" s="5" t="n"/>
      <c r="D79" s="10" t="n"/>
      <c r="F79" s="9" t="n"/>
      <c r="H79" s="8" t="n"/>
    </row>
    <row r="80">
      <c r="A80" s="5" t="n"/>
      <c r="D80" s="10" t="n"/>
      <c r="F80" s="9" t="n"/>
      <c r="H80" s="8" t="n"/>
    </row>
    <row r="81">
      <c r="A81" s="5" t="n"/>
      <c r="D81" s="10" t="n"/>
      <c r="F81" s="9" t="n"/>
      <c r="H81" s="8" t="n"/>
    </row>
    <row r="82">
      <c r="A82" s="5" t="n"/>
      <c r="D82" s="10" t="n"/>
      <c r="F82" s="9" t="n"/>
      <c r="H82" s="8" t="n"/>
    </row>
    <row r="83">
      <c r="A83" s="5" t="n"/>
      <c r="D83" s="10" t="n"/>
      <c r="F83" s="9" t="n"/>
      <c r="H83" s="8" t="n"/>
    </row>
    <row r="84">
      <c r="A84" s="5" t="n"/>
      <c r="D84" s="10" t="n"/>
      <c r="F84" s="9" t="n"/>
      <c r="H84" s="8" t="n"/>
    </row>
    <row r="85">
      <c r="A85" s="5" t="n"/>
      <c r="D85" s="10" t="n"/>
      <c r="F85" s="9" t="n"/>
      <c r="H85" s="8" t="n"/>
    </row>
    <row r="86">
      <c r="A86" s="5" t="n"/>
      <c r="D86" s="10" t="n"/>
      <c r="F86" s="9" t="n"/>
      <c r="H86" s="8" t="n"/>
    </row>
    <row r="87">
      <c r="A87" s="5" t="n"/>
      <c r="D87" s="10" t="n"/>
      <c r="F87" s="9" t="n"/>
      <c r="H87" s="8" t="n"/>
    </row>
    <row r="88">
      <c r="A88" s="5" t="n"/>
      <c r="D88" s="10" t="n"/>
      <c r="F88" s="9" t="n"/>
      <c r="H88" s="8" t="n"/>
    </row>
    <row r="89">
      <c r="A89" s="5" t="n"/>
      <c r="D89" s="10" t="n"/>
      <c r="F89" s="9" t="n"/>
      <c r="H89" s="8" t="n"/>
    </row>
    <row r="90">
      <c r="A90" s="5" t="n"/>
      <c r="D90" s="10" t="n"/>
      <c r="F90" s="9" t="n"/>
      <c r="H90" s="8" t="n"/>
    </row>
    <row r="91">
      <c r="A91" s="5" t="n"/>
      <c r="D91" s="10" t="n"/>
      <c r="F91" s="9" t="n"/>
      <c r="H91" s="8" t="n"/>
    </row>
    <row r="92">
      <c r="A92" s="5" t="n"/>
      <c r="D92" s="10" t="n"/>
      <c r="F92" s="9" t="n"/>
      <c r="H92" s="8" t="n"/>
    </row>
    <row r="93">
      <c r="A93" s="5" t="n"/>
      <c r="D93" s="10" t="n"/>
      <c r="F93" s="9" t="n"/>
      <c r="H93" s="8" t="n"/>
    </row>
    <row r="94">
      <c r="A94" s="5" t="n"/>
      <c r="D94" s="10" t="n"/>
      <c r="F94" s="9" t="n"/>
      <c r="H94" s="8" t="n"/>
    </row>
    <row r="95">
      <c r="A95" s="5" t="n"/>
      <c r="D95" s="10" t="n"/>
      <c r="F95" s="9" t="n"/>
      <c r="H95" s="8" t="n"/>
    </row>
    <row r="96">
      <c r="A96" s="5" t="n"/>
      <c r="D96" s="10" t="n"/>
      <c r="F96" s="9" t="n"/>
      <c r="H96" s="8" t="n"/>
    </row>
    <row r="97">
      <c r="A97" s="5" t="n"/>
      <c r="D97" s="10" t="n"/>
      <c r="F97" s="9" t="n"/>
      <c r="H97" s="8" t="n"/>
    </row>
    <row r="98">
      <c r="A98" s="5" t="n"/>
      <c r="D98" s="10" t="n"/>
      <c r="F98" s="9" t="n"/>
      <c r="H98" s="8" t="n"/>
    </row>
    <row r="99">
      <c r="A99" s="5" t="n"/>
      <c r="D99" s="10" t="n"/>
      <c r="F99" s="9" t="n"/>
      <c r="H99" s="8" t="n"/>
    </row>
    <row r="100">
      <c r="A100" s="5" t="n"/>
      <c r="D100" s="10" t="n"/>
      <c r="F100" s="9" t="n"/>
      <c r="H100" s="8" t="n"/>
    </row>
    <row r="101">
      <c r="A101" s="5" t="n"/>
      <c r="D101" s="10" t="n"/>
      <c r="F101" s="9" t="n"/>
      <c r="H101" s="8" t="n"/>
    </row>
    <row r="102">
      <c r="A102" s="5" t="n"/>
      <c r="D102" s="10" t="n"/>
      <c r="F102" s="9" t="n"/>
      <c r="H102" s="8" t="n"/>
    </row>
    <row r="103">
      <c r="A103" s="5" t="n"/>
      <c r="D103" s="10" t="n"/>
      <c r="F103" s="9" t="n"/>
      <c r="H103" s="8" t="n"/>
    </row>
    <row r="104">
      <c r="A104" s="5" t="n"/>
      <c r="D104" s="10" t="n"/>
      <c r="F104" s="9" t="n"/>
      <c r="H104" s="8" t="n"/>
    </row>
    <row r="105">
      <c r="A105" s="5" t="n"/>
      <c r="D105" s="10" t="n"/>
      <c r="F105" s="9" t="n"/>
      <c r="H105" s="8" t="n"/>
    </row>
    <row r="106">
      <c r="A106" s="5" t="n"/>
      <c r="D106" s="10" t="n"/>
      <c r="F106" s="9" t="n"/>
      <c r="H106" s="8" t="n"/>
    </row>
    <row r="107">
      <c r="A107" s="5" t="n"/>
      <c r="D107" s="10" t="n"/>
      <c r="F107" s="9" t="n"/>
      <c r="H107" s="8" t="n"/>
    </row>
    <row r="108">
      <c r="A108" s="5" t="n"/>
      <c r="D108" s="10" t="n"/>
      <c r="F108" s="9" t="n"/>
      <c r="H108" s="8" t="n"/>
    </row>
    <row r="109">
      <c r="A109" s="5" t="n"/>
      <c r="D109" s="10" t="n"/>
      <c r="F109" s="9" t="n"/>
      <c r="H109" s="8" t="n"/>
    </row>
    <row r="110">
      <c r="A110" s="5" t="n"/>
      <c r="D110" s="10" t="n"/>
      <c r="F110" s="9" t="n"/>
      <c r="H110" s="8" t="n"/>
    </row>
    <row r="111">
      <c r="A111" s="5" t="n"/>
      <c r="D111" s="10" t="n"/>
      <c r="F111" s="9" t="n"/>
      <c r="H111" s="8" t="n"/>
    </row>
    <row r="112">
      <c r="A112" s="5" t="n"/>
      <c r="D112" s="10" t="n"/>
      <c r="F112" s="9" t="n"/>
      <c r="H112" s="8" t="n"/>
    </row>
    <row r="113">
      <c r="A113" s="5" t="n"/>
      <c r="D113" s="10" t="n"/>
      <c r="F113" s="9" t="n"/>
      <c r="H113" s="8" t="n"/>
    </row>
    <row r="114">
      <c r="A114" s="5" t="n"/>
      <c r="D114" s="10" t="n"/>
      <c r="F114" s="9" t="n"/>
      <c r="H114" s="8" t="n"/>
    </row>
    <row r="115">
      <c r="A115" s="5" t="n"/>
      <c r="D115" s="10" t="n"/>
      <c r="F115" s="9" t="n"/>
      <c r="H115" s="8" t="n"/>
    </row>
    <row r="116">
      <c r="A116" s="5" t="n"/>
      <c r="D116" s="10" t="n"/>
      <c r="F116" s="9" t="n"/>
      <c r="H116" s="8" t="n"/>
    </row>
    <row r="117">
      <c r="A117" s="5" t="n"/>
      <c r="D117" s="10" t="n"/>
      <c r="F117" s="9" t="n"/>
      <c r="H117" s="8" t="n"/>
    </row>
    <row r="118">
      <c r="A118" s="5" t="n"/>
      <c r="D118" s="10" t="n"/>
      <c r="F118" s="9" t="n"/>
      <c r="H118" s="8" t="n"/>
    </row>
    <row r="119">
      <c r="A119" s="5" t="n"/>
      <c r="D119" s="10" t="n"/>
      <c r="F119" s="9" t="n"/>
      <c r="H119" s="8" t="n"/>
    </row>
    <row r="120">
      <c r="A120" s="5" t="n"/>
      <c r="D120" s="10" t="n"/>
      <c r="F120" s="9" t="n"/>
      <c r="H120" s="8" t="n"/>
    </row>
    <row r="121">
      <c r="A121" s="5" t="n"/>
      <c r="D121" s="10" t="n"/>
      <c r="F121" s="9" t="n"/>
      <c r="H121" s="8" t="n"/>
    </row>
    <row r="122">
      <c r="A122" s="5" t="n"/>
      <c r="D122" s="10" t="n"/>
      <c r="F122" s="9" t="n"/>
      <c r="H122" s="8" t="n"/>
    </row>
    <row r="123">
      <c r="A123" s="5" t="n"/>
      <c r="D123" s="10" t="n"/>
      <c r="F123" s="9" t="n"/>
      <c r="H123" s="8" t="n"/>
    </row>
    <row r="124">
      <c r="A124" s="5" t="n"/>
      <c r="D124" s="10" t="n"/>
      <c r="F124" s="9" t="n"/>
      <c r="H124" s="8" t="n"/>
    </row>
    <row r="125">
      <c r="A125" s="5" t="n"/>
      <c r="D125" s="10" t="n"/>
      <c r="F125" s="9" t="n"/>
      <c r="H125" s="8" t="n"/>
    </row>
    <row r="126">
      <c r="A126" s="5" t="n"/>
      <c r="D126" s="10" t="n"/>
      <c r="F126" s="9" t="n"/>
      <c r="H126" s="8" t="n"/>
    </row>
    <row r="127">
      <c r="A127" s="5" t="n"/>
      <c r="D127" s="10" t="n"/>
      <c r="F127" s="9" t="n"/>
      <c r="H127" s="8" t="n"/>
    </row>
    <row r="128">
      <c r="A128" s="5" t="n"/>
      <c r="D128" s="10" t="n"/>
      <c r="F128" s="9" t="n"/>
      <c r="H128" s="8" t="n"/>
    </row>
    <row r="129">
      <c r="A129" s="5" t="n"/>
      <c r="D129" s="10" t="n"/>
      <c r="F129" s="9" t="n"/>
      <c r="H129" s="8" t="n"/>
    </row>
    <row r="130">
      <c r="A130" s="5" t="n"/>
      <c r="D130" s="10" t="n"/>
      <c r="F130" s="9" t="n"/>
      <c r="H130" s="8" t="n"/>
    </row>
    <row r="131">
      <c r="A131" s="5" t="n"/>
      <c r="D131" s="10" t="n"/>
      <c r="F131" s="9" t="n"/>
      <c r="H131" s="8" t="n"/>
    </row>
    <row r="132">
      <c r="A132" s="5" t="n"/>
      <c r="D132" s="10" t="n"/>
      <c r="F132" s="9" t="n"/>
      <c r="H132" s="8" t="n"/>
    </row>
    <row r="133">
      <c r="A133" s="5" t="n"/>
      <c r="D133" s="10" t="n"/>
      <c r="F133" s="9" t="n"/>
      <c r="H133" s="8" t="n"/>
    </row>
    <row r="134">
      <c r="A134" s="5" t="n"/>
      <c r="D134" s="10" t="n"/>
      <c r="F134" s="9" t="n"/>
      <c r="H134" s="8" t="n"/>
    </row>
    <row r="135">
      <c r="A135" s="5" t="n"/>
      <c r="D135" s="10" t="n"/>
      <c r="F135" s="9" t="n"/>
      <c r="H135" s="8" t="n"/>
    </row>
    <row r="136">
      <c r="A136" s="5" t="n"/>
      <c r="D136" s="10" t="n"/>
      <c r="F136" s="9" t="n"/>
      <c r="H136" s="8" t="n"/>
    </row>
    <row r="137">
      <c r="A137" s="5" t="n"/>
      <c r="D137" s="10" t="n"/>
      <c r="F137" s="9" t="n"/>
      <c r="H137" s="8" t="n"/>
    </row>
    <row r="138">
      <c r="A138" s="5" t="n"/>
      <c r="D138" s="10" t="n"/>
      <c r="F138" s="9" t="n"/>
      <c r="H138" s="8" t="n"/>
    </row>
    <row r="139">
      <c r="A139" s="7" t="n"/>
      <c r="D139" s="10" t="n"/>
      <c r="F139" s="9" t="n"/>
      <c r="H139" s="8" t="n"/>
    </row>
    <row r="140">
      <c r="D140" s="10" t="n"/>
      <c r="F140" s="9" t="n"/>
      <c r="H140" s="8" t="n"/>
    </row>
    <row r="141">
      <c r="D141" s="10" t="n"/>
      <c r="F141" s="9" t="n"/>
      <c r="H141" s="8" t="n"/>
    </row>
    <row r="142">
      <c r="D142" s="10" t="n"/>
      <c r="F142" s="9" t="n"/>
      <c r="H142" s="8" t="n"/>
    </row>
    <row r="143">
      <c r="A143" s="3" t="n"/>
      <c r="D143" s="10" t="n"/>
      <c r="F143" s="9" t="n"/>
      <c r="H143" s="8" t="n"/>
    </row>
    <row r="144">
      <c r="A144" s="3" t="n"/>
      <c r="D144" s="10" t="n"/>
      <c r="F144" s="9" t="n"/>
      <c r="H144" s="8" t="n"/>
    </row>
    <row r="145">
      <c r="A145" s="5" t="n"/>
      <c r="D145" s="10" t="n"/>
      <c r="F145" s="9" t="n"/>
      <c r="H145" s="8" t="n"/>
    </row>
    <row r="146">
      <c r="A146" s="5" t="n"/>
      <c r="D146" s="10" t="n"/>
      <c r="F146" s="9" t="n"/>
      <c r="H146" s="8" t="n"/>
    </row>
    <row r="147">
      <c r="A147" s="5" t="n"/>
      <c r="D147" s="10" t="n"/>
      <c r="F147" s="9" t="n"/>
      <c r="H147" s="8" t="n"/>
    </row>
    <row r="148">
      <c r="A148" s="5" t="n"/>
      <c r="D148" s="10" t="n"/>
      <c r="F148" s="9" t="n"/>
      <c r="H148" s="8" t="n"/>
    </row>
    <row r="149">
      <c r="A149" s="5" t="n"/>
      <c r="D149" s="10" t="n"/>
      <c r="F149" s="9" t="n"/>
      <c r="H149" s="8" t="n"/>
    </row>
    <row r="150">
      <c r="A150" s="5" t="n"/>
      <c r="D150" s="10" t="n"/>
      <c r="F150" s="9" t="n"/>
      <c r="H150" s="8" t="n"/>
    </row>
    <row r="151">
      <c r="A151" s="5" t="n"/>
      <c r="D151" s="10" t="n"/>
      <c r="F151" s="9" t="n"/>
      <c r="H151" s="8" t="n"/>
    </row>
    <row r="152">
      <c r="A152" s="5" t="n"/>
      <c r="D152" s="10" t="n"/>
      <c r="F152" s="9" t="n"/>
      <c r="H152" s="8" t="n"/>
    </row>
    <row r="153">
      <c r="A153" s="5" t="n"/>
      <c r="D153" s="10" t="n"/>
      <c r="F153" s="9" t="n"/>
      <c r="H153" s="8" t="n"/>
    </row>
    <row r="154">
      <c r="A154" s="5" t="n"/>
      <c r="D154" s="10" t="n"/>
      <c r="F154" s="9" t="n"/>
      <c r="H154" s="8" t="n"/>
    </row>
    <row r="155">
      <c r="A155" s="5" t="n"/>
      <c r="D155" s="10" t="n"/>
      <c r="F155" s="9" t="n"/>
      <c r="H155" s="8" t="n"/>
    </row>
    <row r="156">
      <c r="A156" s="5" t="n"/>
      <c r="D156" s="10" t="n"/>
      <c r="F156" s="9" t="n"/>
      <c r="H156" s="8" t="n"/>
    </row>
    <row r="157">
      <c r="A157" s="5" t="n"/>
      <c r="D157" s="10" t="n"/>
      <c r="F157" s="9" t="n"/>
      <c r="H157" s="8" t="n"/>
    </row>
    <row r="158">
      <c r="A158" s="5" t="n"/>
      <c r="D158" s="10" t="n"/>
      <c r="F158" s="9" t="n"/>
      <c r="H158" s="8" t="n"/>
    </row>
    <row r="159">
      <c r="A159" s="5" t="n"/>
      <c r="D159" s="10" t="n"/>
      <c r="F159" s="9" t="n"/>
      <c r="H159" s="8" t="n"/>
    </row>
    <row r="160">
      <c r="A160" s="5" t="n"/>
      <c r="D160" s="10" t="n"/>
      <c r="F160" s="9" t="n"/>
      <c r="H160" s="8" t="n"/>
    </row>
    <row r="161">
      <c r="A161" s="5" t="n"/>
      <c r="D161" s="10" t="n"/>
      <c r="F161" s="9" t="n"/>
      <c r="H161" s="8" t="n"/>
    </row>
    <row r="162">
      <c r="A162" s="5" t="n"/>
      <c r="D162" s="10" t="n"/>
      <c r="F162" s="9" t="n"/>
      <c r="H162" s="8" t="n"/>
    </row>
    <row r="163">
      <c r="A163" s="5" t="n"/>
      <c r="D163" s="10" t="n"/>
      <c r="F163" s="9" t="n"/>
      <c r="H163" s="8" t="n"/>
    </row>
    <row r="164">
      <c r="A164" s="5" t="n"/>
      <c r="D164" s="10" t="n"/>
      <c r="F164" s="9" t="n"/>
      <c r="H164" s="8" t="n"/>
    </row>
    <row r="165">
      <c r="A165" s="5" t="n"/>
      <c r="D165" s="10" t="n"/>
      <c r="F165" s="9" t="n"/>
      <c r="H165" s="8" t="n"/>
    </row>
    <row r="166">
      <c r="A166" s="5" t="n"/>
      <c r="D166" s="10" t="n"/>
      <c r="F166" s="9" t="n"/>
      <c r="H166" s="8" t="n"/>
    </row>
    <row r="167">
      <c r="A167" s="5" t="n"/>
      <c r="D167" s="10" t="n"/>
      <c r="F167" s="9" t="n"/>
      <c r="H167" s="8" t="n"/>
    </row>
    <row r="168">
      <c r="A168" s="5" t="n"/>
      <c r="D168" s="10" t="n"/>
      <c r="F168" s="9" t="n"/>
      <c r="H168" s="8" t="n"/>
    </row>
    <row r="169">
      <c r="A169" s="5" t="n"/>
      <c r="D169" s="10" t="n"/>
      <c r="F169" s="9" t="n"/>
      <c r="H169" s="8" t="n"/>
    </row>
    <row r="170">
      <c r="A170" s="5" t="n"/>
      <c r="D170" s="10" t="n"/>
      <c r="F170" s="9" t="n"/>
      <c r="H170" s="8" t="n"/>
    </row>
    <row r="171">
      <c r="A171" s="5" t="n"/>
      <c r="D171" s="10" t="n"/>
      <c r="F171" s="9" t="n"/>
      <c r="H171" s="8" t="n"/>
    </row>
    <row r="172">
      <c r="A172" s="5" t="n"/>
      <c r="D172" s="10" t="n"/>
      <c r="F172" s="9" t="n"/>
      <c r="H172" s="8" t="n"/>
    </row>
    <row r="173">
      <c r="A173" s="5" t="n"/>
      <c r="D173" s="10" t="n"/>
      <c r="F173" s="9" t="n"/>
      <c r="H173" s="8" t="n"/>
    </row>
    <row r="174">
      <c r="A174" s="5" t="n"/>
      <c r="D174" s="10" t="n"/>
      <c r="F174" s="9" t="n"/>
      <c r="H174" s="8" t="n"/>
    </row>
    <row r="175">
      <c r="A175" s="5" t="n"/>
      <c r="D175" s="10" t="n"/>
      <c r="F175" s="9" t="n"/>
      <c r="H175" s="8" t="n"/>
    </row>
    <row r="176">
      <c r="A176" s="5" t="n"/>
      <c r="D176" s="10" t="n"/>
      <c r="F176" s="9" t="n"/>
      <c r="H176" s="8" t="n"/>
    </row>
    <row r="177">
      <c r="A177" s="5" t="n"/>
      <c r="D177" s="10" t="n"/>
      <c r="F177" s="9" t="n"/>
      <c r="H177" s="8" t="n"/>
    </row>
    <row r="178">
      <c r="A178" s="5" t="n"/>
      <c r="D178" s="10" t="n"/>
      <c r="F178" s="9" t="n"/>
      <c r="H178" s="8" t="n"/>
    </row>
    <row r="179">
      <c r="A179" s="5" t="n"/>
      <c r="D179" s="10" t="n"/>
      <c r="F179" s="9" t="n"/>
      <c r="H179" s="8" t="n"/>
    </row>
    <row r="180">
      <c r="A180" s="5" t="n"/>
      <c r="D180" s="10" t="n"/>
      <c r="F180" s="9" t="n"/>
      <c r="H180" s="8" t="n"/>
    </row>
    <row r="181">
      <c r="A181" s="5" t="n"/>
      <c r="D181" s="10" t="n"/>
      <c r="F181" s="9" t="n"/>
      <c r="H181" s="8" t="n"/>
    </row>
    <row r="182">
      <c r="A182" s="5" t="n"/>
      <c r="D182" s="10" t="n"/>
      <c r="F182" s="9" t="n"/>
      <c r="H182" s="8" t="n"/>
    </row>
    <row r="183">
      <c r="A183" s="5" t="n"/>
      <c r="D183" s="10" t="n"/>
      <c r="F183" s="9" t="n"/>
      <c r="H183" s="8" t="n"/>
    </row>
    <row r="184">
      <c r="A184" s="5" t="n"/>
      <c r="D184" s="10" t="n"/>
      <c r="F184" s="9" t="n"/>
      <c r="H184" s="8" t="n"/>
    </row>
    <row r="185">
      <c r="A185" s="5" t="n"/>
      <c r="D185" s="10" t="n"/>
      <c r="F185" s="9" t="n"/>
      <c r="H185" s="8" t="n"/>
    </row>
    <row r="186">
      <c r="A186" s="5" t="n"/>
      <c r="D186" s="10" t="n"/>
      <c r="F186" s="9" t="n"/>
      <c r="H186" s="8" t="n"/>
    </row>
    <row r="187">
      <c r="A187" s="5" t="n"/>
      <c r="D187" s="10" t="n"/>
      <c r="F187" s="9" t="n"/>
      <c r="H187" s="8" t="n"/>
    </row>
    <row r="188">
      <c r="A188" s="5" t="n"/>
      <c r="D188" s="10" t="n"/>
      <c r="F188" s="9" t="n"/>
      <c r="H188" s="8" t="n"/>
    </row>
    <row r="189">
      <c r="A189" s="5" t="n"/>
      <c r="D189" s="10" t="n"/>
      <c r="F189" s="9" t="n"/>
      <c r="H189" s="8" t="n"/>
    </row>
    <row r="190">
      <c r="A190" s="5" t="n"/>
      <c r="D190" s="10" t="n"/>
      <c r="F190" s="9" t="n"/>
      <c r="H190" s="8" t="n"/>
    </row>
    <row r="191">
      <c r="A191" s="5" t="n"/>
      <c r="D191" s="10" t="n"/>
      <c r="F191" s="9" t="n"/>
      <c r="H191" s="8" t="n"/>
    </row>
    <row r="192">
      <c r="A192" s="5" t="n"/>
      <c r="D192" s="10" t="n"/>
      <c r="F192" s="9" t="n"/>
      <c r="H192" s="8" t="n"/>
    </row>
    <row r="193">
      <c r="A193" s="5" t="n"/>
      <c r="D193" s="10" t="n"/>
      <c r="F193" s="9" t="n"/>
      <c r="H193" s="8" t="n"/>
    </row>
    <row r="194">
      <c r="A194" s="5" t="n"/>
      <c r="D194" s="10" t="n"/>
      <c r="F194" s="9" t="n"/>
      <c r="H194" s="8" t="n"/>
    </row>
    <row r="195">
      <c r="A195" s="5" t="n"/>
      <c r="D195" s="10" t="n"/>
      <c r="F195" s="9" t="n"/>
      <c r="H195" s="8" t="n"/>
    </row>
    <row r="196">
      <c r="A196" s="5" t="n"/>
      <c r="D196" s="10" t="n"/>
      <c r="F196" s="9" t="n"/>
      <c r="H196" s="8" t="n"/>
    </row>
    <row r="197">
      <c r="A197" s="5" t="n"/>
      <c r="D197" s="10" t="n"/>
      <c r="F197" s="9" t="n"/>
      <c r="H197" s="8" t="n"/>
    </row>
    <row r="198">
      <c r="A198" s="5" t="n"/>
      <c r="D198" s="10" t="n"/>
      <c r="F198" s="9" t="n"/>
      <c r="H198" s="8" t="n"/>
    </row>
    <row r="199">
      <c r="A199" s="5" t="n"/>
      <c r="D199" s="10" t="n"/>
      <c r="F199" s="9" t="n"/>
      <c r="H199" s="8" t="n"/>
    </row>
    <row r="200">
      <c r="A200" s="5" t="n"/>
      <c r="D200" s="10" t="n"/>
      <c r="F200" s="9" t="n"/>
      <c r="H200" s="8" t="n"/>
    </row>
    <row r="201">
      <c r="A201" s="5" t="n"/>
      <c r="D201" s="10" t="n"/>
      <c r="F201" s="9" t="n"/>
      <c r="H201" s="8" t="n"/>
    </row>
    <row r="202">
      <c r="A202" s="5" t="n"/>
      <c r="D202" s="10" t="n"/>
      <c r="F202" s="9" t="n"/>
      <c r="H202" s="8" t="n"/>
    </row>
    <row r="203">
      <c r="A203" s="5" t="n"/>
      <c r="D203" s="10" t="n"/>
      <c r="F203" s="9" t="n"/>
      <c r="H203" s="8" t="n"/>
    </row>
    <row r="204">
      <c r="A204" s="5" t="n"/>
      <c r="D204" s="10" t="n"/>
      <c r="F204" s="9" t="n"/>
      <c r="H204" s="8" t="n"/>
    </row>
    <row r="205">
      <c r="A205" s="5" t="n"/>
      <c r="D205" s="10" t="n"/>
      <c r="F205" s="9" t="n"/>
      <c r="H205" s="8" t="n"/>
    </row>
    <row r="206">
      <c r="A206" s="5" t="n"/>
      <c r="D206" s="10" t="n"/>
      <c r="F206" s="9" t="n"/>
      <c r="H206" s="8" t="n"/>
    </row>
    <row r="207">
      <c r="A207" s="5" t="n"/>
      <c r="D207" s="10" t="n"/>
      <c r="F207" s="9" t="n"/>
      <c r="H207" s="8" t="n"/>
    </row>
    <row r="208">
      <c r="A208" s="5" t="n"/>
      <c r="D208" s="10" t="n"/>
      <c r="F208" s="9" t="n"/>
      <c r="H208" s="8" t="n"/>
    </row>
    <row r="209">
      <c r="A209" s="5" t="n"/>
      <c r="D209" s="10" t="n"/>
      <c r="F209" s="9" t="n"/>
      <c r="H209" s="8" t="n"/>
    </row>
    <row r="210">
      <c r="A210" s="5" t="n"/>
      <c r="D210" s="10" t="n"/>
      <c r="F210" s="9" t="n"/>
      <c r="H210" s="8" t="n"/>
    </row>
    <row r="211">
      <c r="A211" s="5" t="n"/>
      <c r="D211" s="10" t="n"/>
      <c r="F211" s="9" t="n"/>
      <c r="H211" s="8" t="n"/>
    </row>
    <row r="212">
      <c r="A212" s="7" t="n"/>
      <c r="D212" s="10" t="n"/>
      <c r="F212" s="9" t="n"/>
      <c r="H212" s="8" t="n"/>
    </row>
    <row r="213">
      <c r="D213" s="10" t="n"/>
      <c r="F213" s="9" t="n"/>
      <c r="H213" s="8" t="n"/>
    </row>
    <row r="214">
      <c r="D214" s="10" t="n"/>
      <c r="F214" s="9" t="n"/>
      <c r="H214" s="8" t="n"/>
    </row>
    <row r="215">
      <c r="D215" s="10" t="n"/>
      <c r="F215" s="9" t="n"/>
      <c r="H215" s="8" t="n"/>
    </row>
    <row r="216">
      <c r="A216" s="3" t="n"/>
      <c r="D216" s="10" t="n"/>
      <c r="F216" s="9" t="n"/>
      <c r="H216" s="8" t="n"/>
    </row>
    <row r="217">
      <c r="A217" s="3" t="n"/>
      <c r="D217" s="10" t="n"/>
      <c r="F217" s="9" t="n"/>
      <c r="H217" s="8" t="n"/>
    </row>
    <row r="218">
      <c r="A218" s="5" t="n"/>
      <c r="D218" s="10" t="n"/>
      <c r="F218" s="9" t="n"/>
      <c r="H218" s="8" t="n"/>
    </row>
    <row r="219">
      <c r="A219" s="5" t="n"/>
      <c r="D219" s="10" t="n"/>
      <c r="F219" s="9" t="n"/>
      <c r="H219" s="8" t="n"/>
    </row>
    <row r="220">
      <c r="A220" s="5" t="n"/>
      <c r="D220" s="10" t="n"/>
      <c r="F220" s="9" t="n"/>
      <c r="H220" s="8" t="n"/>
    </row>
    <row r="221">
      <c r="A221" s="5" t="n"/>
      <c r="D221" s="10" t="n"/>
      <c r="F221" s="9" t="n"/>
      <c r="H221" s="8" t="n"/>
    </row>
    <row r="222">
      <c r="A222" s="5" t="n"/>
      <c r="D222" s="10" t="n"/>
      <c r="F222" s="9" t="n"/>
      <c r="H222" s="8" t="n"/>
    </row>
    <row r="223">
      <c r="A223" s="5" t="n"/>
      <c r="D223" s="10" t="n"/>
      <c r="F223" s="9" t="n"/>
      <c r="H223" s="8" t="n"/>
    </row>
    <row r="224">
      <c r="A224" s="5" t="n"/>
      <c r="D224" s="10" t="n"/>
      <c r="F224" s="9" t="n"/>
      <c r="H224" s="8" t="n"/>
    </row>
    <row r="225">
      <c r="A225" s="5" t="n"/>
      <c r="D225" s="10" t="n"/>
      <c r="F225" s="9" t="n"/>
      <c r="H225" s="8" t="n"/>
    </row>
    <row r="226">
      <c r="A226" s="5" t="n"/>
      <c r="D226" s="10" t="n"/>
      <c r="F226" s="9" t="n"/>
      <c r="H226" s="8" t="n"/>
    </row>
    <row r="227">
      <c r="A227" s="5" t="n"/>
      <c r="D227" s="10" t="n"/>
      <c r="F227" s="9" t="n"/>
      <c r="H227" s="8" t="n"/>
    </row>
    <row r="228">
      <c r="A228" s="5" t="n"/>
      <c r="D228" s="10" t="n"/>
      <c r="F228" s="9" t="n"/>
      <c r="H228" s="8" t="n"/>
    </row>
    <row r="229">
      <c r="A229" s="5" t="n"/>
      <c r="D229" s="10" t="n"/>
      <c r="F229" s="9" t="n"/>
      <c r="H229" s="8" t="n"/>
    </row>
    <row r="230">
      <c r="A230" s="5" t="n"/>
      <c r="D230" s="10" t="n"/>
      <c r="F230" s="9" t="n"/>
      <c r="H230" s="8" t="n"/>
    </row>
    <row r="231">
      <c r="A231" s="5" t="n"/>
      <c r="D231" s="10" t="n"/>
      <c r="F231" s="9" t="n"/>
      <c r="H231" s="8" t="n"/>
    </row>
    <row r="232">
      <c r="A232" s="5" t="n"/>
      <c r="D232" s="10" t="n"/>
      <c r="F232" s="9" t="n"/>
      <c r="H232" s="8" t="n"/>
    </row>
    <row r="233">
      <c r="A233" s="5" t="n"/>
      <c r="D233" s="10" t="n"/>
      <c r="F233" s="9" t="n"/>
      <c r="H233" s="8" t="n"/>
    </row>
    <row r="234">
      <c r="A234" s="5" t="n"/>
      <c r="D234" s="10" t="n"/>
      <c r="F234" s="9" t="n"/>
      <c r="H234" s="8" t="n"/>
    </row>
    <row r="235">
      <c r="A235" s="5" t="n"/>
      <c r="D235" s="10" t="n"/>
      <c r="F235" s="9" t="n"/>
      <c r="H235" s="8" t="n"/>
    </row>
    <row r="236">
      <c r="A236" s="5" t="n"/>
      <c r="D236" s="10" t="n"/>
      <c r="F236" s="9" t="n"/>
      <c r="H236" s="8" t="n"/>
    </row>
    <row r="237">
      <c r="A237" s="5" t="n"/>
      <c r="D237" s="10" t="n"/>
      <c r="F237" s="9" t="n"/>
      <c r="H237" s="8" t="n"/>
    </row>
    <row r="238">
      <c r="A238" s="5" t="n"/>
      <c r="D238" s="10" t="n"/>
      <c r="F238" s="9" t="n"/>
      <c r="H238" s="8" t="n"/>
    </row>
    <row r="239">
      <c r="A239" s="5" t="n"/>
      <c r="D239" s="10" t="n"/>
      <c r="F239" s="9" t="n"/>
      <c r="H239" s="8" t="n"/>
    </row>
    <row r="240">
      <c r="A240" s="5" t="n"/>
      <c r="D240" s="10" t="n"/>
      <c r="F240" s="9" t="n"/>
      <c r="H240" s="8" t="n"/>
    </row>
    <row r="241">
      <c r="A241" s="5" t="n"/>
      <c r="D241" s="10" t="n"/>
      <c r="F241" s="9" t="n"/>
      <c r="H241" s="8" t="n"/>
    </row>
    <row r="242">
      <c r="A242" s="5" t="n"/>
      <c r="D242" s="10" t="n"/>
      <c r="F242" s="9" t="n"/>
      <c r="H242" s="8" t="n"/>
    </row>
    <row r="243">
      <c r="A243" s="5" t="n"/>
      <c r="D243" s="10" t="n"/>
      <c r="F243" s="9" t="n"/>
      <c r="H243" s="8" t="n"/>
    </row>
    <row r="244">
      <c r="A244" s="5" t="n"/>
      <c r="D244" s="10" t="n"/>
      <c r="F244" s="9" t="n"/>
      <c r="H244" s="8" t="n"/>
    </row>
    <row r="245">
      <c r="A245" s="5" t="n"/>
      <c r="D245" s="10" t="n"/>
      <c r="F245" s="9" t="n"/>
      <c r="H245" s="8" t="n"/>
    </row>
    <row r="246">
      <c r="A246" s="5" t="n"/>
      <c r="D246" s="10" t="n"/>
      <c r="F246" s="9" t="n"/>
      <c r="H246" s="8" t="n"/>
    </row>
    <row r="247">
      <c r="A247" s="5" t="n"/>
      <c r="D247" s="10" t="n"/>
      <c r="F247" s="9" t="n"/>
      <c r="H247" s="8" t="n"/>
    </row>
    <row r="248">
      <c r="A248" s="5" t="n"/>
      <c r="D248" s="10" t="n"/>
      <c r="F248" s="9" t="n"/>
      <c r="H248" s="8" t="n"/>
    </row>
    <row r="249">
      <c r="A249" s="5" t="n"/>
      <c r="D249" s="10" t="n"/>
      <c r="F249" s="9" t="n"/>
      <c r="H249" s="8" t="n"/>
    </row>
    <row r="250">
      <c r="A250" s="5" t="n"/>
      <c r="D250" s="10" t="n"/>
      <c r="F250" s="9" t="n"/>
      <c r="H250" s="8" t="n"/>
    </row>
    <row r="251">
      <c r="A251" s="5" t="n"/>
      <c r="D251" s="10" t="n"/>
      <c r="F251" s="9" t="n"/>
      <c r="H251" s="8" t="n"/>
    </row>
    <row r="252">
      <c r="A252" s="5" t="n"/>
      <c r="D252" s="10" t="n"/>
      <c r="F252" s="9" t="n"/>
      <c r="H252" s="8" t="n"/>
    </row>
    <row r="253">
      <c r="A253" s="5" t="n"/>
      <c r="D253" s="10" t="n"/>
      <c r="F253" s="9" t="n"/>
      <c r="H253" s="8" t="n"/>
    </row>
    <row r="254">
      <c r="A254" s="5" t="n"/>
      <c r="D254" s="10" t="n"/>
      <c r="F254" s="9" t="n"/>
      <c r="H254" s="8" t="n"/>
    </row>
    <row r="255">
      <c r="A255" s="5" t="n"/>
      <c r="D255" s="10" t="n"/>
      <c r="F255" s="9" t="n"/>
      <c r="H255" s="8" t="n"/>
    </row>
    <row r="256">
      <c r="A256" s="5" t="n"/>
      <c r="D256" s="10" t="n"/>
      <c r="F256" s="9" t="n"/>
      <c r="H256" s="8" t="n"/>
    </row>
    <row r="257">
      <c r="A257" s="5" t="n"/>
      <c r="D257" s="10" t="n"/>
      <c r="F257" s="9" t="n"/>
      <c r="H257" s="8" t="n"/>
    </row>
    <row r="258">
      <c r="A258" s="5" t="n"/>
      <c r="D258" s="10" t="n"/>
      <c r="F258" s="9" t="n"/>
      <c r="H258" s="8" t="n"/>
    </row>
    <row r="259">
      <c r="A259" s="5" t="n"/>
      <c r="D259" s="10" t="n"/>
      <c r="F259" s="9" t="n"/>
      <c r="H259" s="8" t="n"/>
    </row>
    <row r="260">
      <c r="A260" s="5" t="n"/>
      <c r="D260" s="10" t="n"/>
      <c r="F260" s="9" t="n"/>
      <c r="H260" s="8" t="n"/>
    </row>
    <row r="261">
      <c r="A261" s="5" t="n"/>
      <c r="D261" s="10" t="n"/>
      <c r="F261" s="9" t="n"/>
      <c r="H261" s="8" t="n"/>
    </row>
    <row r="262">
      <c r="A262" s="5" t="n"/>
      <c r="D262" s="10" t="n"/>
      <c r="F262" s="9" t="n"/>
      <c r="H262" s="8" t="n"/>
    </row>
    <row r="263">
      <c r="A263" s="5" t="n"/>
      <c r="D263" s="10" t="n"/>
      <c r="F263" s="9" t="n"/>
      <c r="H263" s="8" t="n"/>
    </row>
    <row r="264">
      <c r="A264" s="5" t="n"/>
      <c r="D264" s="10" t="n"/>
      <c r="F264" s="9" t="n"/>
      <c r="H264" s="8" t="n"/>
    </row>
    <row r="265">
      <c r="A265" s="5" t="n"/>
      <c r="D265" s="10" t="n"/>
      <c r="F265" s="9" t="n"/>
      <c r="H265" s="8" t="n"/>
    </row>
    <row r="266">
      <c r="A266" s="5" t="n"/>
      <c r="D266" s="10" t="n"/>
      <c r="F266" s="9" t="n"/>
      <c r="H266" s="8" t="n"/>
    </row>
    <row r="267">
      <c r="A267" s="5" t="n"/>
      <c r="D267" s="10" t="n"/>
      <c r="F267" s="9" t="n"/>
      <c r="H267" s="8" t="n"/>
    </row>
    <row r="268">
      <c r="A268" s="5" t="n"/>
      <c r="D268" s="10" t="n"/>
      <c r="F268" s="9" t="n"/>
      <c r="H268" s="8" t="n"/>
    </row>
    <row r="269">
      <c r="A269" s="5" t="n"/>
      <c r="D269" s="10" t="n"/>
      <c r="F269" s="9" t="n"/>
      <c r="H269" s="8" t="n"/>
    </row>
    <row r="270">
      <c r="A270" s="5" t="n"/>
      <c r="D270" s="10" t="n"/>
      <c r="F270" s="9" t="n"/>
      <c r="H270" s="8" t="n"/>
    </row>
    <row r="271">
      <c r="A271" s="5" t="n"/>
      <c r="D271" s="10" t="n"/>
      <c r="F271" s="9" t="n"/>
      <c r="H271" s="8" t="n"/>
    </row>
    <row r="272">
      <c r="A272" s="5" t="n"/>
      <c r="D272" s="10" t="n"/>
      <c r="F272" s="9" t="n"/>
      <c r="H272" s="8" t="n"/>
    </row>
    <row r="273">
      <c r="A273" s="5" t="n"/>
      <c r="D273" s="10" t="n"/>
      <c r="F273" s="9" t="n"/>
      <c r="H273" s="8" t="n"/>
    </row>
    <row r="274">
      <c r="A274" s="5" t="n"/>
      <c r="D274" s="10" t="n"/>
      <c r="F274" s="9" t="n"/>
      <c r="H274" s="8" t="n"/>
    </row>
    <row r="275">
      <c r="A275" s="5" t="n"/>
      <c r="D275" s="10" t="n"/>
      <c r="F275" s="9" t="n"/>
      <c r="H275" s="8" t="n"/>
    </row>
    <row r="276">
      <c r="A276" s="5" t="n"/>
      <c r="D276" s="10" t="n"/>
      <c r="F276" s="9" t="n"/>
      <c r="H276" s="8" t="n"/>
    </row>
    <row r="277">
      <c r="A277" s="5" t="n"/>
      <c r="D277" s="10" t="n"/>
      <c r="F277" s="9" t="n"/>
      <c r="H277" s="8" t="n"/>
    </row>
    <row r="278">
      <c r="A278" s="5" t="n"/>
      <c r="D278" s="10" t="n"/>
      <c r="F278" s="9" t="n"/>
      <c r="H278" s="8" t="n"/>
    </row>
    <row r="279">
      <c r="A279" s="5" t="n"/>
      <c r="D279" s="10" t="n"/>
      <c r="F279" s="9" t="n"/>
      <c r="H279" s="8" t="n"/>
    </row>
    <row r="280">
      <c r="A280" s="5" t="n"/>
      <c r="D280" s="10" t="n"/>
      <c r="F280" s="9" t="n"/>
      <c r="H280" s="8" t="n"/>
    </row>
    <row r="281">
      <c r="A281" s="5" t="n"/>
      <c r="D281" s="10" t="n"/>
      <c r="F281" s="9" t="n"/>
      <c r="H281" s="8" t="n"/>
    </row>
    <row r="282">
      <c r="A282" s="5" t="n"/>
      <c r="D282" s="10" t="n"/>
      <c r="F282" s="9" t="n"/>
      <c r="H282" s="8" t="n"/>
    </row>
    <row r="283">
      <c r="A283" s="5" t="n"/>
      <c r="D283" s="10" t="n"/>
      <c r="F283" s="9" t="n"/>
      <c r="H283" s="8" t="n"/>
    </row>
    <row r="284">
      <c r="A284" s="5" t="n"/>
      <c r="D284" s="10" t="n"/>
      <c r="F284" s="9" t="n"/>
      <c r="H284" s="8" t="n"/>
    </row>
    <row r="285">
      <c r="A285" s="7" t="n"/>
      <c r="D285" s="10" t="n"/>
      <c r="F285" s="9" t="n"/>
      <c r="H285" s="8" t="n"/>
    </row>
    <row r="286">
      <c r="D286" s="10" t="n"/>
      <c r="F286" s="9" t="n"/>
      <c r="H286" s="8" t="n"/>
    </row>
    <row r="287">
      <c r="D287" s="10" t="n"/>
      <c r="F287" s="9" t="n"/>
      <c r="H287" s="8" t="n"/>
    </row>
    <row r="288">
      <c r="D288" s="10" t="n"/>
      <c r="F288" s="9" t="n"/>
      <c r="H288" s="8" t="n"/>
    </row>
    <row r="289">
      <c r="A289" s="3" t="n"/>
      <c r="D289" s="10" t="n"/>
      <c r="F289" s="9" t="n"/>
      <c r="H289" s="8" t="n"/>
    </row>
    <row r="290">
      <c r="A290" s="3" t="n"/>
      <c r="D290" s="10" t="n"/>
      <c r="F290" s="9" t="n"/>
      <c r="H290" s="8" t="n"/>
    </row>
    <row r="291">
      <c r="A291" s="5" t="n"/>
      <c r="D291" s="10" t="n"/>
      <c r="F291" s="9" t="n"/>
      <c r="H291" s="8" t="n"/>
    </row>
    <row r="292">
      <c r="A292" s="5" t="n"/>
      <c r="D292" s="10" t="n"/>
      <c r="F292" s="9" t="n"/>
      <c r="H292" s="8" t="n"/>
    </row>
    <row r="293">
      <c r="A293" s="5" t="n"/>
      <c r="D293" s="10" t="n"/>
      <c r="F293" s="9" t="n"/>
      <c r="H293" s="8" t="n"/>
    </row>
    <row r="294">
      <c r="A294" s="5" t="n"/>
      <c r="D294" s="10" t="n"/>
      <c r="F294" s="9" t="n"/>
      <c r="H294" s="8" t="n"/>
    </row>
    <row r="295">
      <c r="A295" s="5" t="n"/>
      <c r="D295" s="10" t="n"/>
      <c r="F295" s="9" t="n"/>
      <c r="H295" s="8" t="n"/>
    </row>
    <row r="296">
      <c r="A296" s="5" t="n"/>
      <c r="D296" s="10" t="n"/>
      <c r="F296" s="9" t="n"/>
      <c r="H296" s="8" t="n"/>
    </row>
    <row r="297">
      <c r="A297" s="5" t="n"/>
      <c r="D297" s="10" t="n"/>
      <c r="F297" s="9" t="n"/>
      <c r="H297" s="8" t="n"/>
    </row>
    <row r="298">
      <c r="A298" s="5" t="n"/>
      <c r="D298" s="10" t="n"/>
      <c r="F298" s="9" t="n"/>
      <c r="H298" s="8" t="n"/>
    </row>
    <row r="299">
      <c r="A299" s="5" t="n"/>
      <c r="D299" s="10" t="n"/>
      <c r="F299" s="9" t="n"/>
      <c r="H299" s="8" t="n"/>
    </row>
    <row r="300">
      <c r="A300" s="5" t="n"/>
      <c r="D300" s="10" t="n"/>
      <c r="F300" s="9" t="n"/>
      <c r="H300" s="8" t="n"/>
    </row>
    <row r="301">
      <c r="A301" s="5" t="n"/>
      <c r="D301" s="10" t="n"/>
      <c r="F301" s="9" t="n"/>
      <c r="H301" s="8" t="n"/>
    </row>
    <row r="302">
      <c r="A302" s="5" t="n"/>
      <c r="D302" s="10" t="n"/>
      <c r="F302" s="9" t="n"/>
      <c r="H302" s="8" t="n"/>
    </row>
    <row r="303">
      <c r="A303" s="5" t="n"/>
      <c r="D303" s="10" t="n"/>
      <c r="F303" s="9" t="n"/>
      <c r="H303" s="8" t="n"/>
    </row>
    <row r="304">
      <c r="A304" s="5" t="n"/>
      <c r="D304" s="10" t="n"/>
      <c r="F304" s="9" t="n"/>
      <c r="H304" s="8" t="n"/>
    </row>
    <row r="305">
      <c r="A305" s="5" t="n"/>
      <c r="D305" s="10" t="n"/>
      <c r="F305" s="9" t="n"/>
      <c r="H305" s="8" t="n"/>
    </row>
    <row r="306">
      <c r="A306" s="5" t="n"/>
      <c r="D306" s="10" t="n"/>
      <c r="F306" s="9" t="n"/>
      <c r="H306" s="8" t="n"/>
    </row>
    <row r="307">
      <c r="A307" s="5" t="n"/>
      <c r="D307" s="10" t="n"/>
      <c r="F307" s="9" t="n"/>
      <c r="H307" s="8" t="n"/>
    </row>
    <row r="308">
      <c r="A308" s="5" t="n"/>
      <c r="D308" s="10" t="n"/>
      <c r="F308" s="9" t="n"/>
      <c r="H308" s="8" t="n"/>
    </row>
    <row r="309">
      <c r="A309" s="5" t="n"/>
      <c r="D309" s="10" t="n"/>
      <c r="F309" s="9" t="n"/>
      <c r="H309" s="8" t="n"/>
    </row>
    <row r="310">
      <c r="A310" s="5" t="n"/>
      <c r="D310" s="10" t="n"/>
      <c r="F310" s="9" t="n"/>
      <c r="H310" s="8" t="n"/>
    </row>
    <row r="311">
      <c r="A311" s="5" t="n"/>
      <c r="D311" s="10" t="n"/>
      <c r="F311" s="9" t="n"/>
      <c r="H311" s="8" t="n"/>
    </row>
    <row r="312">
      <c r="A312" s="5" t="n"/>
      <c r="D312" s="10" t="n"/>
      <c r="F312" s="9" t="n"/>
      <c r="H312" s="8" t="n"/>
    </row>
    <row r="313">
      <c r="A313" s="5" t="n"/>
      <c r="D313" s="10" t="n"/>
      <c r="F313" s="9" t="n"/>
      <c r="H313" s="8" t="n"/>
    </row>
    <row r="314">
      <c r="A314" s="5" t="n"/>
      <c r="D314" s="10" t="n"/>
      <c r="F314" s="9" t="n"/>
      <c r="H314" s="8" t="n"/>
    </row>
    <row r="315">
      <c r="A315" s="5" t="n"/>
      <c r="D315" s="10" t="n"/>
      <c r="F315" s="9" t="n"/>
      <c r="H315" s="8" t="n"/>
    </row>
    <row r="316">
      <c r="A316" s="5" t="n"/>
      <c r="D316" s="10" t="n"/>
      <c r="F316" s="9" t="n"/>
      <c r="H316" s="8" t="n"/>
    </row>
    <row r="317">
      <c r="A317" s="5" t="n"/>
      <c r="D317" s="10" t="n"/>
      <c r="F317" s="9" t="n"/>
      <c r="H317" s="8" t="n"/>
    </row>
    <row r="318">
      <c r="A318" s="5" t="n"/>
      <c r="D318" s="10" t="n"/>
      <c r="F318" s="9" t="n"/>
      <c r="H318" s="8" t="n"/>
    </row>
    <row r="319">
      <c r="A319" s="5" t="n"/>
      <c r="D319" s="10" t="n"/>
      <c r="F319" s="9" t="n"/>
      <c r="H319" s="8" t="n"/>
    </row>
    <row r="320">
      <c r="A320" s="5" t="n"/>
      <c r="D320" s="10" t="n"/>
      <c r="F320" s="9" t="n"/>
      <c r="H320" s="8" t="n"/>
    </row>
    <row r="321">
      <c r="A321" s="5" t="n"/>
      <c r="D321" s="10" t="n"/>
      <c r="F321" s="9" t="n"/>
      <c r="H321" s="8" t="n"/>
    </row>
    <row r="322">
      <c r="A322" s="5" t="n"/>
      <c r="D322" s="10" t="n"/>
      <c r="F322" s="9" t="n"/>
      <c r="H322" s="8" t="n"/>
    </row>
    <row r="323">
      <c r="A323" s="5" t="n"/>
      <c r="D323" s="10" t="n"/>
      <c r="F323" s="9" t="n"/>
      <c r="H323" s="8" t="n"/>
    </row>
    <row r="324">
      <c r="A324" s="5" t="n"/>
      <c r="D324" s="10" t="n"/>
      <c r="F324" s="9" t="n"/>
      <c r="H324" s="8" t="n"/>
    </row>
    <row r="325">
      <c r="A325" s="5" t="n"/>
      <c r="D325" s="10" t="n"/>
      <c r="F325" s="9" t="n"/>
      <c r="H325" s="8" t="n"/>
    </row>
    <row r="326">
      <c r="A326" s="5" t="n"/>
      <c r="D326" s="10" t="n"/>
      <c r="F326" s="9" t="n"/>
      <c r="H326" s="8" t="n"/>
    </row>
    <row r="327">
      <c r="A327" s="5" t="n"/>
      <c r="D327" s="10" t="n"/>
      <c r="F327" s="9" t="n"/>
      <c r="H327" s="8" t="n"/>
    </row>
    <row r="328">
      <c r="A328" s="5" t="n"/>
      <c r="D328" s="10" t="n"/>
      <c r="F328" s="9" t="n"/>
      <c r="H328" s="8" t="n"/>
    </row>
    <row r="329">
      <c r="A329" s="5" t="n"/>
      <c r="D329" s="10" t="n"/>
      <c r="F329" s="9" t="n"/>
      <c r="H329" s="8" t="n"/>
    </row>
    <row r="330">
      <c r="A330" s="5" t="n"/>
      <c r="D330" s="10" t="n"/>
      <c r="F330" s="9" t="n"/>
      <c r="H330" s="8" t="n"/>
    </row>
    <row r="331">
      <c r="A331" s="5" t="n"/>
      <c r="D331" s="10" t="n"/>
      <c r="F331" s="9" t="n"/>
      <c r="H331" s="8" t="n"/>
    </row>
    <row r="332">
      <c r="A332" s="5" t="n"/>
      <c r="D332" s="10" t="n"/>
      <c r="F332" s="9" t="n"/>
      <c r="H332" s="8" t="n"/>
    </row>
    <row r="333">
      <c r="A333" s="5" t="n"/>
      <c r="D333" s="10" t="n"/>
      <c r="F333" s="9" t="n"/>
      <c r="H333" s="8" t="n"/>
    </row>
    <row r="334">
      <c r="A334" s="5" t="n"/>
      <c r="D334" s="10" t="n"/>
      <c r="F334" s="9" t="n"/>
      <c r="H334" s="8" t="n"/>
    </row>
    <row r="335">
      <c r="A335" s="5" t="n"/>
      <c r="D335" s="10" t="n"/>
      <c r="F335" s="9" t="n"/>
      <c r="H335" s="8" t="n"/>
    </row>
    <row r="336">
      <c r="A336" s="5" t="n"/>
      <c r="D336" s="10" t="n"/>
      <c r="F336" s="9" t="n"/>
      <c r="H336" s="8" t="n"/>
    </row>
    <row r="337">
      <c r="A337" s="5" t="n"/>
      <c r="D337" s="10" t="n"/>
      <c r="F337" s="9" t="n"/>
      <c r="H337" s="8" t="n"/>
    </row>
    <row r="338">
      <c r="A338" s="5" t="n"/>
      <c r="D338" s="10" t="n"/>
      <c r="F338" s="9" t="n"/>
      <c r="H338" s="8" t="n"/>
    </row>
    <row r="339">
      <c r="A339" s="5" t="n"/>
      <c r="D339" s="10" t="n"/>
      <c r="F339" s="9" t="n"/>
      <c r="H339" s="8" t="n"/>
    </row>
    <row r="340">
      <c r="A340" s="5" t="n"/>
      <c r="D340" s="10" t="n"/>
      <c r="F340" s="9" t="n"/>
      <c r="H340" s="8" t="n"/>
    </row>
    <row r="341">
      <c r="A341" s="5" t="n"/>
      <c r="D341" s="10" t="n"/>
      <c r="F341" s="9" t="n"/>
      <c r="H341" s="8" t="n"/>
    </row>
    <row r="342">
      <c r="A342" s="5" t="n"/>
      <c r="D342" s="10" t="n"/>
      <c r="F342" s="9" t="n"/>
      <c r="H342" s="8" t="n"/>
    </row>
    <row r="343">
      <c r="A343" s="5" t="n"/>
      <c r="D343" s="10" t="n"/>
      <c r="F343" s="9" t="n"/>
      <c r="H343" s="8" t="n"/>
    </row>
    <row r="344">
      <c r="A344" s="5" t="n"/>
      <c r="D344" s="10" t="n"/>
      <c r="F344" s="9" t="n"/>
      <c r="H344" s="8" t="n"/>
    </row>
    <row r="345">
      <c r="A345" s="5" t="n"/>
      <c r="D345" s="10" t="n"/>
      <c r="F345" s="9" t="n"/>
      <c r="H345" s="8" t="n"/>
    </row>
    <row r="346">
      <c r="A346" s="5" t="n"/>
      <c r="D346" s="10" t="n"/>
      <c r="F346" s="9" t="n"/>
      <c r="H346" s="8" t="n"/>
    </row>
    <row r="347">
      <c r="A347" s="5" t="n"/>
      <c r="D347" s="10" t="n"/>
      <c r="F347" s="9" t="n"/>
      <c r="H347" s="8" t="n"/>
    </row>
    <row r="348">
      <c r="A348" s="5" t="n"/>
      <c r="D348" s="10" t="n"/>
      <c r="F348" s="9" t="n"/>
      <c r="H348" s="8" t="n"/>
    </row>
    <row r="349">
      <c r="A349" s="5" t="n"/>
      <c r="D349" s="10" t="n"/>
      <c r="F349" s="9" t="n"/>
      <c r="H349" s="8" t="n"/>
    </row>
    <row r="350">
      <c r="A350" s="5" t="n"/>
      <c r="D350" s="10" t="n"/>
      <c r="F350" s="9" t="n"/>
      <c r="H350" s="8" t="n"/>
    </row>
    <row r="351">
      <c r="A351" s="5" t="n"/>
      <c r="D351" s="10" t="n"/>
      <c r="F351" s="9" t="n"/>
      <c r="H351" s="8" t="n"/>
    </row>
    <row r="352">
      <c r="A352" s="5" t="n"/>
      <c r="D352" s="10" t="n"/>
      <c r="F352" s="9" t="n"/>
      <c r="H352" s="8" t="n"/>
    </row>
    <row r="353">
      <c r="A353" s="5" t="n"/>
      <c r="D353" s="10" t="n"/>
      <c r="F353" s="9" t="n"/>
      <c r="H353" s="8" t="n"/>
    </row>
    <row r="354">
      <c r="A354" s="5" t="n"/>
      <c r="D354" s="10" t="n"/>
      <c r="F354" s="9" t="n"/>
      <c r="H354" s="8" t="n"/>
    </row>
    <row r="355">
      <c r="A355" s="5" t="n"/>
      <c r="D355" s="10" t="n"/>
      <c r="F355" s="9" t="n"/>
      <c r="H355" s="8" t="n"/>
    </row>
    <row r="356">
      <c r="A356" s="5" t="n"/>
      <c r="D356" s="10" t="n"/>
      <c r="F356" s="9" t="n"/>
      <c r="H356" s="8" t="n"/>
    </row>
    <row r="357">
      <c r="A357" s="5" t="n"/>
      <c r="D357" s="10" t="n"/>
      <c r="F357" s="9" t="n"/>
      <c r="H357" s="8" t="n"/>
    </row>
    <row r="358">
      <c r="A358" s="7" t="n"/>
      <c r="D358" s="10" t="n"/>
      <c r="F358" s="9" t="n"/>
      <c r="H358" s="8" t="n"/>
    </row>
    <row r="359">
      <c r="D359" s="10" t="n"/>
      <c r="F359" s="9" t="n"/>
      <c r="H359" s="8" t="n"/>
    </row>
    <row r="360">
      <c r="D360" s="10" t="n"/>
      <c r="F360" s="9" t="n"/>
      <c r="H360" s="8" t="n"/>
    </row>
    <row r="361">
      <c r="D361" s="10" t="n"/>
      <c r="F361" s="9" t="n"/>
      <c r="H361" s="8" t="n"/>
    </row>
    <row r="362">
      <c r="A362" s="3" t="n"/>
      <c r="D362" s="10" t="n"/>
      <c r="F362" s="9" t="n"/>
      <c r="H362" s="8" t="n"/>
    </row>
    <row r="363">
      <c r="A363" s="3" t="n"/>
      <c r="D363" s="10" t="n"/>
      <c r="F363" s="9" t="n"/>
      <c r="H363" s="8" t="n"/>
    </row>
    <row r="364">
      <c r="A364" s="5" t="n"/>
      <c r="D364" s="10" t="n"/>
      <c r="F364" s="9" t="n"/>
      <c r="H364" s="8" t="n"/>
    </row>
    <row r="365">
      <c r="A365" s="5" t="n"/>
      <c r="D365" s="10" t="n"/>
      <c r="F365" s="9" t="n"/>
      <c r="H365" s="8" t="n"/>
    </row>
    <row r="366">
      <c r="A366" s="5" t="n"/>
      <c r="D366" s="10" t="n"/>
      <c r="F366" s="9" t="n"/>
      <c r="H366" s="8" t="n"/>
    </row>
    <row r="367">
      <c r="A367" s="5" t="n"/>
      <c r="D367" s="10" t="n"/>
      <c r="F367" s="9" t="n"/>
      <c r="H367" s="8" t="n"/>
    </row>
    <row r="368">
      <c r="A368" s="5" t="n"/>
      <c r="D368" s="10" t="n"/>
      <c r="F368" s="9" t="n"/>
      <c r="H368" s="8" t="n"/>
    </row>
    <row r="369">
      <c r="A369" s="5" t="n"/>
      <c r="D369" s="10" t="n"/>
      <c r="F369" s="9" t="n"/>
      <c r="H369" s="8" t="n"/>
    </row>
    <row r="370">
      <c r="A370" s="5" t="n"/>
      <c r="D370" s="10" t="n"/>
      <c r="F370" s="9" t="n"/>
      <c r="H370" s="8" t="n"/>
    </row>
    <row r="371">
      <c r="A371" s="5" t="n"/>
      <c r="D371" s="10" t="n"/>
      <c r="F371" s="9" t="n"/>
      <c r="H371" s="8" t="n"/>
    </row>
    <row r="372">
      <c r="A372" s="5" t="n"/>
      <c r="D372" s="10" t="n"/>
      <c r="F372" s="9" t="n"/>
      <c r="H372" s="8" t="n"/>
    </row>
    <row r="373">
      <c r="A373" s="5" t="n"/>
      <c r="D373" s="10" t="n"/>
      <c r="F373" s="9" t="n"/>
      <c r="H373" s="8" t="n"/>
    </row>
    <row r="374">
      <c r="A374" s="5" t="n"/>
      <c r="D374" s="10" t="n"/>
      <c r="F374" s="9" t="n"/>
      <c r="H374" s="8" t="n"/>
    </row>
    <row r="375">
      <c r="A375" s="5" t="n"/>
      <c r="D375" s="10" t="n"/>
      <c r="F375" s="9" t="n"/>
      <c r="H375" s="8" t="n"/>
    </row>
    <row r="376">
      <c r="A376" s="5" t="n"/>
      <c r="D376" s="10" t="n"/>
      <c r="F376" s="9" t="n"/>
      <c r="H376" s="8" t="n"/>
    </row>
    <row r="377">
      <c r="A377" s="5" t="n"/>
      <c r="D377" s="10" t="n"/>
      <c r="F377" s="9" t="n"/>
      <c r="H377" s="8" t="n"/>
    </row>
    <row r="378">
      <c r="A378" s="5" t="n"/>
      <c r="D378" s="10" t="n"/>
      <c r="F378" s="9" t="n"/>
      <c r="H378" s="8" t="n"/>
    </row>
    <row r="379">
      <c r="A379" s="5" t="n"/>
      <c r="D379" s="10" t="n"/>
      <c r="F379" s="9" t="n"/>
      <c r="H379" s="8" t="n"/>
    </row>
    <row r="380">
      <c r="A380" s="5" t="n"/>
      <c r="D380" s="10" t="n"/>
      <c r="F380" s="9" t="n"/>
      <c r="H380" s="8" t="n"/>
    </row>
    <row r="381">
      <c r="A381" s="5" t="n"/>
      <c r="D381" s="10" t="n"/>
      <c r="F381" s="9" t="n"/>
      <c r="H381" s="8" t="n"/>
    </row>
    <row r="382">
      <c r="A382" s="5" t="n"/>
      <c r="D382" s="10" t="n"/>
      <c r="F382" s="9" t="n"/>
      <c r="H382" s="8" t="n"/>
    </row>
    <row r="383">
      <c r="A383" s="5" t="n"/>
      <c r="D383" s="10" t="n"/>
      <c r="F383" s="9" t="n"/>
      <c r="H383" s="8" t="n"/>
    </row>
    <row r="384">
      <c r="A384" s="5" t="n"/>
      <c r="D384" s="10" t="n"/>
      <c r="F384" s="9" t="n"/>
      <c r="H384" s="8" t="n"/>
    </row>
    <row r="385">
      <c r="A385" s="5" t="n"/>
      <c r="D385" s="10" t="n"/>
      <c r="F385" s="9" t="n"/>
      <c r="H385" s="8" t="n"/>
    </row>
    <row r="386">
      <c r="A386" s="5" t="n"/>
      <c r="D386" s="10" t="n"/>
      <c r="F386" s="9" t="n"/>
      <c r="H386" s="8" t="n"/>
    </row>
    <row r="387">
      <c r="A387" s="5" t="n"/>
      <c r="D387" s="10" t="n"/>
      <c r="F387" s="9" t="n"/>
      <c r="H387" s="8" t="n"/>
    </row>
    <row r="388">
      <c r="A388" s="5" t="n"/>
      <c r="D388" s="10" t="n"/>
      <c r="F388" s="9" t="n"/>
      <c r="H388" s="8" t="n"/>
    </row>
    <row r="389">
      <c r="A389" s="5" t="n"/>
      <c r="D389" s="10" t="n"/>
      <c r="F389" s="9" t="n"/>
      <c r="H389" s="8" t="n"/>
    </row>
    <row r="390">
      <c r="A390" s="5" t="n"/>
      <c r="D390" s="10" t="n"/>
      <c r="F390" s="9" t="n"/>
      <c r="H390" s="8" t="n"/>
    </row>
    <row r="391">
      <c r="A391" s="5" t="n"/>
      <c r="D391" s="10" t="n"/>
      <c r="F391" s="9" t="n"/>
      <c r="H391" s="8" t="n"/>
    </row>
    <row r="392">
      <c r="A392" s="5" t="n"/>
      <c r="D392" s="10" t="n"/>
      <c r="F392" s="9" t="n"/>
      <c r="H392" s="8" t="n"/>
    </row>
    <row r="393">
      <c r="A393" s="5" t="n"/>
      <c r="D393" s="10" t="n"/>
      <c r="F393" s="9" t="n"/>
      <c r="H393" s="8" t="n"/>
    </row>
    <row r="394">
      <c r="A394" s="5" t="n"/>
      <c r="D394" s="10" t="n"/>
      <c r="F394" s="9" t="n"/>
      <c r="H394" s="8" t="n"/>
    </row>
    <row r="395">
      <c r="A395" s="5" t="n"/>
      <c r="D395" s="10" t="n"/>
      <c r="F395" s="9" t="n"/>
      <c r="H395" s="8" t="n"/>
    </row>
    <row r="396">
      <c r="A396" s="5" t="n"/>
      <c r="D396" s="10" t="n"/>
      <c r="F396" s="9" t="n"/>
      <c r="H396" s="8" t="n"/>
    </row>
    <row r="397">
      <c r="A397" s="5" t="n"/>
      <c r="D397" s="10" t="n"/>
      <c r="F397" s="9" t="n"/>
      <c r="H397" s="8" t="n"/>
    </row>
    <row r="398">
      <c r="A398" s="5" t="n"/>
      <c r="D398" s="10" t="n"/>
      <c r="F398" s="9" t="n"/>
      <c r="H398" s="8" t="n"/>
    </row>
    <row r="399">
      <c r="A399" s="5" t="n"/>
      <c r="D399" s="10" t="n"/>
      <c r="F399" s="9" t="n"/>
      <c r="H399" s="8" t="n"/>
    </row>
    <row r="400">
      <c r="A400" s="5" t="n"/>
      <c r="D400" s="10" t="n"/>
      <c r="F400" s="9" t="n"/>
      <c r="H400" s="8" t="n"/>
    </row>
    <row r="401">
      <c r="A401" s="5" t="n"/>
      <c r="D401" s="10" t="n"/>
      <c r="F401" s="9" t="n"/>
      <c r="H401" s="8" t="n"/>
    </row>
    <row r="402">
      <c r="A402" s="5" t="n"/>
      <c r="D402" s="10" t="n"/>
      <c r="F402" s="9" t="n"/>
      <c r="H402" s="8" t="n"/>
    </row>
    <row r="403">
      <c r="A403" s="5" t="n"/>
      <c r="D403" s="10" t="n"/>
      <c r="F403" s="9" t="n"/>
      <c r="H403" s="8" t="n"/>
    </row>
    <row r="404">
      <c r="A404" s="5" t="n"/>
      <c r="D404" s="10" t="n"/>
      <c r="F404" s="9" t="n"/>
      <c r="H404" s="8" t="n"/>
    </row>
    <row r="405">
      <c r="A405" s="5" t="n"/>
      <c r="D405" s="10" t="n"/>
      <c r="F405" s="9" t="n"/>
      <c r="H405" s="8" t="n"/>
    </row>
    <row r="406">
      <c r="A406" s="5" t="n"/>
      <c r="D406" s="10" t="n"/>
      <c r="F406" s="9" t="n"/>
      <c r="H406" s="8" t="n"/>
    </row>
    <row r="407">
      <c r="A407" s="5" t="n"/>
      <c r="D407" s="10" t="n"/>
      <c r="F407" s="9" t="n"/>
      <c r="H407" s="8" t="n"/>
    </row>
    <row r="408">
      <c r="A408" s="5" t="n"/>
      <c r="D408" s="10" t="n"/>
      <c r="F408" s="9" t="n"/>
      <c r="H408" s="8" t="n"/>
    </row>
    <row r="409">
      <c r="A409" s="5" t="n"/>
      <c r="D409" s="10" t="n"/>
      <c r="F409" s="9" t="n"/>
      <c r="H409" s="8" t="n"/>
    </row>
    <row r="410">
      <c r="A410" s="5" t="n"/>
      <c r="D410" s="10" t="n"/>
      <c r="F410" s="9" t="n"/>
      <c r="H410" s="8" t="n"/>
    </row>
    <row r="411">
      <c r="A411" s="5" t="n"/>
      <c r="D411" s="10" t="n"/>
      <c r="F411" s="9" t="n"/>
      <c r="H411" s="8" t="n"/>
    </row>
    <row r="412">
      <c r="A412" s="5" t="n"/>
      <c r="D412" s="10" t="n"/>
      <c r="F412" s="9" t="n"/>
      <c r="H412" s="8" t="n"/>
    </row>
    <row r="413">
      <c r="A413" s="5" t="n"/>
      <c r="D413" s="10" t="n"/>
      <c r="F413" s="9" t="n"/>
      <c r="H413" s="8" t="n"/>
    </row>
    <row r="414">
      <c r="A414" s="5" t="n"/>
      <c r="D414" s="10" t="n"/>
      <c r="F414" s="9" t="n"/>
      <c r="H414" s="8" t="n"/>
    </row>
    <row r="415">
      <c r="A415" s="5" t="n"/>
      <c r="D415" s="10" t="n"/>
      <c r="F415" s="9" t="n"/>
      <c r="H415" s="8" t="n"/>
    </row>
    <row r="416">
      <c r="A416" s="5" t="n"/>
      <c r="D416" s="10" t="n"/>
      <c r="F416" s="9" t="n"/>
      <c r="H416" s="8" t="n"/>
    </row>
    <row r="417">
      <c r="A417" s="5" t="n"/>
      <c r="D417" s="10" t="n"/>
      <c r="F417" s="9" t="n"/>
      <c r="H417" s="8" t="n"/>
    </row>
    <row r="418">
      <c r="A418" s="5" t="n"/>
      <c r="D418" s="10" t="n"/>
      <c r="F418" s="9" t="n"/>
      <c r="H418" s="8" t="n"/>
    </row>
    <row r="419">
      <c r="A419" s="5" t="n"/>
      <c r="D419" s="10" t="n"/>
      <c r="F419" s="9" t="n"/>
      <c r="H419" s="8" t="n"/>
    </row>
    <row r="420">
      <c r="A420" s="5" t="n"/>
      <c r="D420" s="10" t="n"/>
      <c r="F420" s="9" t="n"/>
      <c r="H420" s="8" t="n"/>
    </row>
    <row r="421">
      <c r="A421" s="5" t="n"/>
      <c r="D421" s="10" t="n"/>
      <c r="F421" s="9" t="n"/>
      <c r="H421" s="8" t="n"/>
    </row>
    <row r="422">
      <c r="A422" s="5" t="n"/>
      <c r="D422" s="10" t="n"/>
      <c r="F422" s="9" t="n"/>
      <c r="H422" s="8" t="n"/>
    </row>
    <row r="423">
      <c r="A423" s="5" t="n"/>
      <c r="D423" s="10" t="n"/>
      <c r="F423" s="9" t="n"/>
      <c r="H423" s="8" t="n"/>
    </row>
    <row r="424">
      <c r="A424" s="5" t="n"/>
      <c r="D424" s="10" t="n"/>
      <c r="F424" s="9" t="n"/>
      <c r="H424" s="8" t="n"/>
    </row>
    <row r="425">
      <c r="A425" s="5" t="n"/>
      <c r="D425" s="10" t="n"/>
      <c r="F425" s="9" t="n"/>
      <c r="H425" s="8" t="n"/>
    </row>
    <row r="426">
      <c r="A426" s="5" t="n"/>
      <c r="D426" s="10" t="n"/>
      <c r="F426" s="9" t="n"/>
      <c r="H426" s="8" t="n"/>
    </row>
    <row r="427">
      <c r="A427" s="5" t="n"/>
      <c r="D427" s="10" t="n"/>
      <c r="F427" s="9" t="n"/>
      <c r="H427" s="8" t="n"/>
    </row>
    <row r="428">
      <c r="A428" s="5" t="n"/>
      <c r="D428" s="10" t="n"/>
      <c r="F428" s="9" t="n"/>
      <c r="H428" s="8" t="n"/>
    </row>
    <row r="429">
      <c r="A429" s="5" t="n"/>
      <c r="D429" s="10" t="n"/>
      <c r="F429" s="9" t="n"/>
      <c r="H429" s="8" t="n"/>
    </row>
    <row r="430">
      <c r="A430" s="5" t="n"/>
      <c r="D430" s="10" t="n"/>
      <c r="F430" s="9" t="n"/>
      <c r="H430" s="8" t="n"/>
    </row>
    <row r="431">
      <c r="A431" s="7" t="n"/>
      <c r="D431" s="10" t="n"/>
      <c r="F431" s="9" t="n"/>
      <c r="H431" s="8" t="n"/>
    </row>
    <row r="432">
      <c r="D432" s="10" t="n"/>
      <c r="F432" s="9" t="n"/>
      <c r="H432" s="8" t="n"/>
    </row>
    <row r="433">
      <c r="D433" s="10" t="n"/>
      <c r="F433" s="9" t="n"/>
      <c r="H433" s="8" t="n"/>
    </row>
    <row r="434">
      <c r="D434" s="10" t="n"/>
      <c r="F434" s="9" t="n"/>
      <c r="H434" s="8" t="n"/>
    </row>
    <row r="435">
      <c r="A435" s="3" t="n"/>
      <c r="D435" s="10" t="n"/>
      <c r="F435" s="9" t="n"/>
      <c r="H435" s="8" t="n"/>
    </row>
    <row r="436">
      <c r="A436" s="3" t="n"/>
      <c r="D436" s="10" t="n"/>
      <c r="F436" s="9" t="n"/>
      <c r="H436" s="8" t="n"/>
    </row>
    <row r="437">
      <c r="A437" s="5" t="n"/>
      <c r="D437" s="10" t="n"/>
      <c r="F437" s="9" t="n"/>
      <c r="H437" s="8" t="n"/>
    </row>
    <row r="438">
      <c r="A438" s="5" t="n"/>
      <c r="D438" s="10" t="n"/>
      <c r="F438" s="9" t="n"/>
      <c r="H438" s="8" t="n"/>
    </row>
    <row r="439">
      <c r="A439" s="5" t="n"/>
      <c r="D439" s="10" t="n"/>
      <c r="F439" s="9" t="n"/>
      <c r="H439" s="8" t="n"/>
    </row>
    <row r="440">
      <c r="A440" s="5" t="n"/>
      <c r="D440" s="10" t="n"/>
      <c r="F440" s="9" t="n"/>
      <c r="H440" s="8" t="n"/>
    </row>
    <row r="441">
      <c r="A441" s="5" t="n"/>
      <c r="D441" s="10" t="n"/>
      <c r="F441" s="9" t="n"/>
      <c r="H441" s="8" t="n"/>
    </row>
    <row r="442">
      <c r="A442" s="5" t="n"/>
      <c r="D442" s="10" t="n"/>
      <c r="F442" s="9" t="n"/>
      <c r="H442" s="8" t="n"/>
    </row>
    <row r="443">
      <c r="A443" s="5" t="n"/>
      <c r="D443" s="10" t="n"/>
      <c r="F443" s="9" t="n"/>
      <c r="H443" s="8" t="n"/>
    </row>
    <row r="444">
      <c r="A444" s="5" t="n"/>
      <c r="D444" s="10" t="n"/>
      <c r="F444" s="9" t="n"/>
      <c r="H444" s="8" t="n"/>
    </row>
    <row r="445">
      <c r="A445" s="5" t="n"/>
      <c r="D445" s="10" t="n"/>
      <c r="F445" s="9" t="n"/>
      <c r="H445" s="8" t="n"/>
    </row>
    <row r="446">
      <c r="A446" s="5" t="n"/>
      <c r="D446" s="10" t="n"/>
      <c r="F446" s="9" t="n"/>
      <c r="H446" s="8" t="n"/>
    </row>
    <row r="447">
      <c r="A447" s="5" t="n"/>
      <c r="D447" s="10" t="n"/>
      <c r="F447" s="9" t="n"/>
      <c r="H447" s="8" t="n"/>
    </row>
    <row r="448">
      <c r="A448" s="5" t="n"/>
      <c r="D448" s="10" t="n"/>
      <c r="F448" s="9" t="n"/>
      <c r="H448" s="8" t="n"/>
    </row>
    <row r="449">
      <c r="A449" s="5" t="n"/>
      <c r="D449" s="10" t="n"/>
      <c r="F449" s="9" t="n"/>
      <c r="H449" s="8" t="n"/>
    </row>
    <row r="450">
      <c r="A450" s="5" t="n"/>
      <c r="D450" s="10" t="n"/>
      <c r="F450" s="9" t="n"/>
      <c r="H450" s="8" t="n"/>
    </row>
    <row r="451">
      <c r="A451" s="5" t="n"/>
      <c r="D451" s="10" t="n"/>
      <c r="F451" s="9" t="n"/>
      <c r="H451" s="8" t="n"/>
    </row>
    <row r="452">
      <c r="A452" s="5" t="n"/>
      <c r="D452" s="10" t="n"/>
      <c r="F452" s="9" t="n"/>
      <c r="H452" s="8" t="n"/>
    </row>
    <row r="453">
      <c r="A453" s="5" t="n"/>
      <c r="D453" s="10" t="n"/>
      <c r="F453" s="9" t="n"/>
      <c r="H453" s="8" t="n"/>
    </row>
    <row r="454">
      <c r="A454" s="5" t="n"/>
      <c r="D454" s="10" t="n"/>
      <c r="F454" s="9" t="n"/>
      <c r="H454" s="8" t="n"/>
    </row>
    <row r="455">
      <c r="A455" s="5" t="n"/>
      <c r="D455" s="10" t="n"/>
      <c r="F455" s="9" t="n"/>
      <c r="H455" s="8" t="n"/>
    </row>
    <row r="456">
      <c r="A456" s="5" t="n"/>
      <c r="D456" s="10" t="n"/>
      <c r="F456" s="9" t="n"/>
      <c r="H456" s="8" t="n"/>
    </row>
    <row r="457">
      <c r="A457" s="5" t="n"/>
      <c r="D457" s="10" t="n"/>
      <c r="F457" s="9" t="n"/>
      <c r="H457" s="8" t="n"/>
    </row>
    <row r="458">
      <c r="A458" s="5" t="n"/>
      <c r="D458" s="10" t="n"/>
      <c r="F458" s="9" t="n"/>
      <c r="H458" s="8" t="n"/>
    </row>
    <row r="459">
      <c r="A459" s="5" t="n"/>
      <c r="D459" s="10" t="n"/>
      <c r="F459" s="9" t="n"/>
      <c r="H459" s="8" t="n"/>
    </row>
    <row r="460">
      <c r="A460" s="5" t="n"/>
      <c r="D460" s="10" t="n"/>
      <c r="F460" s="9" t="n"/>
      <c r="H460" s="8" t="n"/>
    </row>
    <row r="461">
      <c r="A461" s="5" t="n"/>
      <c r="D461" s="10" t="n"/>
      <c r="F461" s="9" t="n"/>
      <c r="H461" s="8" t="n"/>
    </row>
    <row r="462">
      <c r="A462" s="5" t="n"/>
      <c r="D462" s="10" t="n"/>
      <c r="F462" s="9" t="n"/>
      <c r="H462" s="8" t="n"/>
    </row>
    <row r="463">
      <c r="A463" s="5" t="n"/>
      <c r="D463" s="10" t="n"/>
      <c r="F463" s="9" t="n"/>
      <c r="H463" s="8" t="n"/>
    </row>
    <row r="464">
      <c r="A464" s="5" t="n"/>
      <c r="D464" s="10" t="n"/>
      <c r="F464" s="9" t="n"/>
      <c r="H464" s="8" t="n"/>
    </row>
    <row r="465">
      <c r="A465" s="5" t="n"/>
      <c r="D465" s="10" t="n"/>
      <c r="F465" s="9" t="n"/>
      <c r="H465" s="8" t="n"/>
    </row>
    <row r="466">
      <c r="A466" s="5" t="n"/>
      <c r="D466" s="10" t="n"/>
      <c r="F466" s="9" t="n"/>
      <c r="H466" s="8" t="n"/>
    </row>
    <row r="467">
      <c r="A467" s="5" t="n"/>
      <c r="D467" s="10" t="n"/>
      <c r="F467" s="9" t="n"/>
      <c r="H467" s="8" t="n"/>
    </row>
    <row r="468">
      <c r="A468" s="5" t="n"/>
      <c r="D468" s="10" t="n"/>
      <c r="F468" s="9" t="n"/>
      <c r="H468" s="8" t="n"/>
    </row>
    <row r="469">
      <c r="A469" s="5" t="n"/>
      <c r="D469" s="10" t="n"/>
      <c r="F469" s="9" t="n"/>
      <c r="H469" s="8" t="n"/>
    </row>
    <row r="470">
      <c r="A470" s="5" t="n"/>
      <c r="D470" s="10" t="n"/>
      <c r="F470" s="9" t="n"/>
      <c r="H470" s="8" t="n"/>
    </row>
    <row r="471">
      <c r="A471" s="5" t="n"/>
      <c r="D471" s="10" t="n"/>
      <c r="F471" s="9" t="n"/>
      <c r="H471" s="8" t="n"/>
    </row>
    <row r="472">
      <c r="A472" s="5" t="n"/>
      <c r="D472" s="10" t="n"/>
      <c r="F472" s="9" t="n"/>
      <c r="H472" s="8" t="n"/>
    </row>
    <row r="473">
      <c r="A473" s="5" t="n"/>
      <c r="D473" s="10" t="n"/>
      <c r="F473" s="9" t="n"/>
      <c r="H473" s="8" t="n"/>
    </row>
    <row r="474">
      <c r="A474" s="5" t="n"/>
      <c r="D474" s="10" t="n"/>
      <c r="F474" s="9" t="n"/>
      <c r="H474" s="8" t="n"/>
    </row>
    <row r="475">
      <c r="A475" s="5" t="n"/>
      <c r="D475" s="10" t="n"/>
      <c r="F475" s="9" t="n"/>
      <c r="H475" s="8" t="n"/>
    </row>
    <row r="476">
      <c r="A476" s="5" t="n"/>
      <c r="D476" s="10" t="n"/>
      <c r="F476" s="9" t="n"/>
      <c r="H476" s="8" t="n"/>
    </row>
    <row r="477">
      <c r="A477" s="5" t="n"/>
      <c r="D477" s="10" t="n"/>
      <c r="F477" s="9" t="n"/>
      <c r="H477" s="8" t="n"/>
    </row>
    <row r="478">
      <c r="A478" s="5" t="n"/>
      <c r="D478" s="10" t="n"/>
      <c r="F478" s="9" t="n"/>
      <c r="H478" s="8" t="n"/>
    </row>
    <row r="479">
      <c r="A479" s="5" t="n"/>
      <c r="D479" s="10" t="n"/>
      <c r="F479" s="9" t="n"/>
      <c r="H479" s="8" t="n"/>
    </row>
    <row r="480">
      <c r="A480" s="5" t="n"/>
      <c r="D480" s="10" t="n"/>
      <c r="F480" s="9" t="n"/>
      <c r="H480" s="8" t="n"/>
    </row>
    <row r="481">
      <c r="A481" s="5" t="n"/>
      <c r="D481" s="10" t="n"/>
      <c r="F481" s="9" t="n"/>
      <c r="H481" s="8" t="n"/>
    </row>
    <row r="482">
      <c r="A482" s="5" t="n"/>
      <c r="D482" s="10" t="n"/>
      <c r="F482" s="9" t="n"/>
      <c r="H482" s="8" t="n"/>
    </row>
    <row r="483">
      <c r="A483" s="5" t="n"/>
      <c r="D483" s="10" t="n"/>
      <c r="F483" s="9" t="n"/>
      <c r="H483" s="8" t="n"/>
    </row>
    <row r="484">
      <c r="A484" s="5" t="n"/>
      <c r="D484" s="10" t="n"/>
      <c r="F484" s="9" t="n"/>
      <c r="H484" s="8" t="n"/>
    </row>
    <row r="485">
      <c r="A485" s="5" t="n"/>
      <c r="D485" s="10" t="n"/>
      <c r="F485" s="9" t="n"/>
      <c r="H485" s="8" t="n"/>
    </row>
    <row r="486">
      <c r="A486" s="5" t="n"/>
      <c r="D486" s="10" t="n"/>
      <c r="F486" s="9" t="n"/>
      <c r="H486" s="8" t="n"/>
    </row>
    <row r="487">
      <c r="A487" s="5" t="n"/>
      <c r="D487" s="10" t="n"/>
      <c r="F487" s="9" t="n"/>
      <c r="H487" s="8" t="n"/>
    </row>
    <row r="488">
      <c r="A488" s="5" t="n"/>
      <c r="D488" s="10" t="n"/>
      <c r="F488" s="9" t="n"/>
      <c r="H488" s="8" t="n"/>
    </row>
    <row r="489">
      <c r="A489" s="5" t="n"/>
      <c r="D489" s="10" t="n"/>
      <c r="F489" s="9" t="n"/>
      <c r="H489" s="8" t="n"/>
    </row>
    <row r="490">
      <c r="A490" s="5" t="n"/>
      <c r="D490" s="10" t="n"/>
      <c r="F490" s="9" t="n"/>
      <c r="H490" s="8" t="n"/>
    </row>
    <row r="491">
      <c r="A491" s="5" t="n"/>
      <c r="D491" s="10" t="n"/>
      <c r="F491" s="9" t="n"/>
      <c r="H491" s="8" t="n"/>
    </row>
    <row r="492">
      <c r="A492" s="5" t="n"/>
      <c r="D492" s="10" t="n"/>
      <c r="F492" s="9" t="n"/>
      <c r="H492" s="8" t="n"/>
    </row>
    <row r="493">
      <c r="A493" s="5" t="n"/>
      <c r="D493" s="10" t="n"/>
      <c r="F493" s="9" t="n"/>
      <c r="H493" s="8" t="n"/>
    </row>
    <row r="494">
      <c r="A494" s="5" t="n"/>
      <c r="D494" s="10" t="n"/>
      <c r="F494" s="9" t="n"/>
      <c r="H494" s="8" t="n"/>
    </row>
    <row r="495">
      <c r="A495" s="5" t="n"/>
      <c r="D495" s="10" t="n"/>
      <c r="F495" s="9" t="n"/>
      <c r="H495" s="8" t="n"/>
    </row>
    <row r="496">
      <c r="A496" s="5" t="n"/>
      <c r="D496" s="10" t="n"/>
      <c r="F496" s="9" t="n"/>
      <c r="H496" s="8" t="n"/>
    </row>
    <row r="497">
      <c r="A497" s="5" t="n"/>
      <c r="D497" s="10" t="n"/>
      <c r="F497" s="9" t="n"/>
      <c r="H497" s="8" t="n"/>
    </row>
    <row r="498">
      <c r="A498" s="5" t="n"/>
      <c r="D498" s="10" t="n"/>
      <c r="F498" s="9" t="n"/>
      <c r="H498" s="8" t="n"/>
    </row>
    <row r="499">
      <c r="A499" s="5" t="n"/>
      <c r="D499" s="10" t="n"/>
      <c r="F499" s="9" t="n"/>
      <c r="H499" s="8" t="n"/>
    </row>
    <row r="500">
      <c r="A500" s="5" t="n"/>
      <c r="D500" s="10" t="n"/>
      <c r="F500" s="9" t="n"/>
      <c r="H500" s="8" t="n"/>
    </row>
    <row r="501">
      <c r="A501" s="5" t="n"/>
      <c r="D501" s="10" t="n"/>
      <c r="F501" s="9" t="n"/>
      <c r="H501" s="8" t="n"/>
    </row>
    <row r="502">
      <c r="A502" s="5" t="n"/>
      <c r="D502" s="10" t="n"/>
      <c r="F502" s="9" t="n"/>
      <c r="H502" s="8" t="n"/>
    </row>
    <row r="503">
      <c r="A503" s="5" t="n"/>
      <c r="D503" s="10" t="n"/>
      <c r="F503" s="9" t="n"/>
      <c r="H503" s="8" t="n"/>
    </row>
    <row r="504">
      <c r="A504" s="7" t="n"/>
      <c r="D504" s="10" t="n"/>
      <c r="F504" s="9" t="n"/>
      <c r="H504" s="8" t="n"/>
    </row>
    <row r="505">
      <c r="D505" s="10" t="n"/>
      <c r="F505" s="9" t="n"/>
      <c r="H505" s="8" t="n"/>
    </row>
    <row r="506">
      <c r="D506" s="10" t="n"/>
      <c r="F506" s="9" t="n"/>
      <c r="H506" s="8" t="n"/>
    </row>
    <row r="507">
      <c r="D507" s="10" t="n"/>
      <c r="F507" s="9" t="n"/>
      <c r="H507" s="8" t="n"/>
    </row>
    <row r="508">
      <c r="A508" s="3" t="n"/>
      <c r="D508" s="10" t="n"/>
      <c r="F508" s="9" t="n"/>
      <c r="H508" s="8" t="n"/>
    </row>
    <row r="509">
      <c r="A509" s="3" t="n"/>
      <c r="D509" s="10" t="n"/>
      <c r="F509" s="9" t="n"/>
      <c r="H509" s="8" t="n"/>
    </row>
    <row r="510">
      <c r="A510" s="5" t="n"/>
      <c r="D510" s="10" t="n"/>
      <c r="F510" s="9" t="n"/>
      <c r="H510" s="8" t="n"/>
    </row>
    <row r="511">
      <c r="A511" s="5" t="n"/>
      <c r="D511" s="10" t="n"/>
      <c r="F511" s="9" t="n"/>
      <c r="H511" s="8" t="n"/>
    </row>
    <row r="512">
      <c r="A512" s="5" t="n"/>
      <c r="D512" s="10" t="n"/>
      <c r="F512" s="9" t="n"/>
      <c r="H512" s="8" t="n"/>
    </row>
    <row r="513">
      <c r="A513" s="5" t="n"/>
      <c r="D513" s="10" t="n"/>
      <c r="F513" s="9" t="n"/>
      <c r="H513" s="8" t="n"/>
    </row>
    <row r="514">
      <c r="A514" s="5" t="n"/>
      <c r="D514" s="10" t="n"/>
      <c r="F514" s="9" t="n"/>
      <c r="H514" s="8" t="n"/>
    </row>
    <row r="515">
      <c r="A515" s="5" t="n"/>
      <c r="D515" s="10" t="n"/>
      <c r="F515" s="9" t="n"/>
      <c r="H515" s="8" t="n"/>
    </row>
    <row r="516">
      <c r="A516" s="5" t="n"/>
      <c r="D516" s="10" t="n"/>
      <c r="F516" s="9" t="n"/>
      <c r="H516" s="8" t="n"/>
    </row>
    <row r="517">
      <c r="A517" s="5" t="n"/>
      <c r="D517" s="10" t="n"/>
      <c r="F517" s="9" t="n"/>
      <c r="H517" s="8" t="n"/>
    </row>
    <row r="518">
      <c r="A518" s="5" t="n"/>
      <c r="D518" s="10" t="n"/>
      <c r="F518" s="9" t="n"/>
      <c r="H518" s="8" t="n"/>
    </row>
    <row r="519">
      <c r="A519" s="5" t="n"/>
      <c r="D519" s="10" t="n"/>
      <c r="F519" s="9" t="n"/>
      <c r="H519" s="8" t="n"/>
    </row>
    <row r="520">
      <c r="A520" s="5" t="n"/>
      <c r="D520" s="10" t="n"/>
      <c r="F520" s="9" t="n"/>
      <c r="H520" s="8" t="n"/>
    </row>
    <row r="521">
      <c r="A521" s="5" t="n"/>
      <c r="D521" s="10" t="n"/>
      <c r="F521" s="9" t="n"/>
      <c r="H521" s="8" t="n"/>
    </row>
    <row r="522">
      <c r="A522" s="5" t="n"/>
      <c r="D522" s="10" t="n"/>
      <c r="F522" s="9" t="n"/>
      <c r="H522" s="8" t="n"/>
    </row>
    <row r="523">
      <c r="A523" s="5" t="n"/>
      <c r="D523" s="10" t="n"/>
      <c r="F523" s="9" t="n"/>
      <c r="H523" s="8" t="n"/>
    </row>
    <row r="524">
      <c r="A524" s="5" t="n"/>
      <c r="D524" s="10" t="n"/>
      <c r="F524" s="9" t="n"/>
      <c r="H524" s="8" t="n"/>
    </row>
    <row r="525">
      <c r="A525" s="5" t="n"/>
      <c r="D525" s="10" t="n"/>
      <c r="F525" s="9" t="n"/>
      <c r="H525" s="8" t="n"/>
    </row>
    <row r="526">
      <c r="A526" s="5" t="n"/>
      <c r="D526" s="10" t="n"/>
      <c r="F526" s="9" t="n"/>
      <c r="H526" s="8" t="n"/>
    </row>
    <row r="527">
      <c r="A527" s="5" t="n"/>
      <c r="D527" s="10" t="n"/>
      <c r="F527" s="9" t="n"/>
      <c r="H527" s="8" t="n"/>
    </row>
    <row r="528">
      <c r="A528" s="5" t="n"/>
      <c r="D528" s="10" t="n"/>
      <c r="F528" s="9" t="n"/>
      <c r="H528" s="8" t="n"/>
    </row>
    <row r="529">
      <c r="A529" s="5" t="n"/>
      <c r="D529" s="10" t="n"/>
      <c r="F529" s="9" t="n"/>
      <c r="H529" s="8" t="n"/>
    </row>
    <row r="530">
      <c r="A530" s="5" t="n"/>
      <c r="D530" s="10" t="n"/>
      <c r="F530" s="9" t="n"/>
      <c r="H530" s="8" t="n"/>
    </row>
    <row r="531">
      <c r="A531" s="5" t="n"/>
      <c r="D531" s="10" t="n"/>
      <c r="F531" s="9" t="n"/>
      <c r="H531" s="8" t="n"/>
    </row>
    <row r="532">
      <c r="A532" s="5" t="n"/>
      <c r="D532" s="10" t="n"/>
      <c r="F532" s="9" t="n"/>
      <c r="H532" s="8" t="n"/>
    </row>
    <row r="533">
      <c r="A533" s="5" t="n"/>
      <c r="D533" s="10" t="n"/>
      <c r="F533" s="9" t="n"/>
      <c r="H533" s="8" t="n"/>
    </row>
    <row r="534">
      <c r="A534" s="5" t="n"/>
      <c r="D534" s="10" t="n"/>
      <c r="F534" s="9" t="n"/>
      <c r="H534" s="8" t="n"/>
    </row>
    <row r="535">
      <c r="A535" s="5" t="n"/>
      <c r="D535" s="10" t="n"/>
      <c r="F535" s="9" t="n"/>
      <c r="H535" s="8" t="n"/>
    </row>
    <row r="536">
      <c r="A536" s="5" t="n"/>
      <c r="D536" s="10" t="n"/>
      <c r="F536" s="9" t="n"/>
      <c r="H536" s="8" t="n"/>
    </row>
    <row r="537">
      <c r="A537" s="5" t="n"/>
      <c r="D537" s="10" t="n"/>
      <c r="F537" s="9" t="n"/>
      <c r="H537" s="8" t="n"/>
    </row>
    <row r="538">
      <c r="A538" s="5" t="n"/>
      <c r="D538" s="10" t="n"/>
      <c r="F538" s="9" t="n"/>
      <c r="H538" s="8" t="n"/>
    </row>
    <row r="539">
      <c r="A539" s="5" t="n"/>
      <c r="D539" s="10" t="n"/>
      <c r="F539" s="9" t="n"/>
      <c r="H539" s="8" t="n"/>
    </row>
    <row r="540">
      <c r="A540" s="5" t="n"/>
      <c r="D540" s="10" t="n"/>
      <c r="F540" s="9" t="n"/>
      <c r="H540" s="8" t="n"/>
    </row>
    <row r="541">
      <c r="A541" s="5" t="n"/>
      <c r="D541" s="10" t="n"/>
      <c r="F541" s="9" t="n"/>
      <c r="H541" s="8" t="n"/>
    </row>
    <row r="542">
      <c r="A542" s="5" t="n"/>
      <c r="D542" s="10" t="n"/>
      <c r="F542" s="9" t="n"/>
      <c r="H542" s="8" t="n"/>
    </row>
    <row r="543">
      <c r="A543" s="5" t="n"/>
      <c r="D543" s="10" t="n"/>
      <c r="F543" s="9" t="n"/>
      <c r="H543" s="8" t="n"/>
    </row>
    <row r="544">
      <c r="A544" s="5" t="n"/>
      <c r="D544" s="10" t="n"/>
      <c r="F544" s="9" t="n"/>
      <c r="H544" s="8" t="n"/>
    </row>
    <row r="545">
      <c r="A545" s="5" t="n"/>
      <c r="D545" s="10" t="n"/>
      <c r="F545" s="9" t="n"/>
      <c r="H545" s="8" t="n"/>
    </row>
    <row r="546">
      <c r="A546" s="5" t="n"/>
      <c r="D546" s="10" t="n"/>
      <c r="F546" s="9" t="n"/>
      <c r="H546" s="8" t="n"/>
    </row>
    <row r="547">
      <c r="A547" s="5" t="n"/>
      <c r="D547" s="10" t="n"/>
      <c r="F547" s="9" t="n"/>
      <c r="H547" s="8" t="n"/>
    </row>
    <row r="548">
      <c r="A548" s="5" t="n"/>
      <c r="D548" s="10" t="n"/>
      <c r="F548" s="9" t="n"/>
      <c r="H548" s="8" t="n"/>
    </row>
    <row r="549">
      <c r="A549" s="5" t="n"/>
      <c r="D549" s="10" t="n"/>
      <c r="F549" s="9" t="n"/>
      <c r="H549" s="8" t="n"/>
    </row>
    <row r="550">
      <c r="A550" s="5" t="n"/>
      <c r="D550" s="10" t="n"/>
      <c r="F550" s="9" t="n"/>
      <c r="H550" s="8" t="n"/>
    </row>
    <row r="551">
      <c r="A551" s="5" t="n"/>
      <c r="D551" s="10" t="n"/>
      <c r="F551" s="9" t="n"/>
      <c r="H551" s="8" t="n"/>
    </row>
    <row r="552">
      <c r="A552" s="5" t="n"/>
      <c r="D552" s="10" t="n"/>
      <c r="F552" s="9" t="n"/>
      <c r="H552" s="8" t="n"/>
    </row>
    <row r="553">
      <c r="A553" s="5" t="n"/>
      <c r="D553" s="10" t="n"/>
      <c r="F553" s="9" t="n"/>
      <c r="H553" s="8" t="n"/>
    </row>
    <row r="554">
      <c r="A554" s="5" t="n"/>
      <c r="D554" s="10" t="n"/>
      <c r="F554" s="9" t="n"/>
      <c r="H554" s="8" t="n"/>
    </row>
    <row r="555">
      <c r="A555" s="5" t="n"/>
      <c r="D555" s="10" t="n"/>
      <c r="F555" s="9" t="n"/>
      <c r="H555" s="8" t="n"/>
    </row>
    <row r="556">
      <c r="A556" s="5" t="n"/>
      <c r="D556" s="10" t="n"/>
      <c r="F556" s="9" t="n"/>
      <c r="H556" s="8" t="n"/>
    </row>
    <row r="557">
      <c r="A557" s="5" t="n"/>
      <c r="D557" s="10" t="n"/>
      <c r="F557" s="9" t="n"/>
      <c r="H557" s="8" t="n"/>
    </row>
    <row r="558">
      <c r="A558" s="5" t="n"/>
      <c r="D558" s="10" t="n"/>
      <c r="F558" s="9" t="n"/>
      <c r="H558" s="8" t="n"/>
    </row>
    <row r="559">
      <c r="A559" s="5" t="n"/>
      <c r="D559" s="10" t="n"/>
      <c r="F559" s="9" t="n"/>
      <c r="H559" s="8" t="n"/>
    </row>
    <row r="560">
      <c r="A560" s="5" t="n"/>
      <c r="D560" s="10" t="n"/>
      <c r="F560" s="9" t="n"/>
      <c r="H560" s="8" t="n"/>
    </row>
    <row r="561">
      <c r="A561" s="5" t="n"/>
      <c r="D561" s="10" t="n"/>
      <c r="F561" s="9" t="n"/>
      <c r="H561" s="8" t="n"/>
    </row>
    <row r="562">
      <c r="A562" s="5" t="n"/>
      <c r="D562" s="10" t="n"/>
      <c r="F562" s="9" t="n"/>
      <c r="H562" s="8" t="n"/>
    </row>
    <row r="563">
      <c r="A563" s="5" t="n"/>
      <c r="D563" s="10" t="n"/>
      <c r="F563" s="9" t="n"/>
      <c r="H563" s="8" t="n"/>
    </row>
    <row r="564">
      <c r="A564" s="5" t="n"/>
      <c r="D564" s="10" t="n"/>
      <c r="F564" s="9" t="n"/>
      <c r="H564" s="8" t="n"/>
    </row>
    <row r="565">
      <c r="A565" s="5" t="n"/>
      <c r="D565" s="10" t="n"/>
      <c r="F565" s="9" t="n"/>
      <c r="H565" s="8" t="n"/>
    </row>
    <row r="566">
      <c r="A566" s="5" t="n"/>
      <c r="D566" s="10" t="n"/>
      <c r="F566" s="9" t="n"/>
      <c r="H566" s="8" t="n"/>
    </row>
    <row r="567">
      <c r="A567" s="5" t="n"/>
      <c r="D567" s="10" t="n"/>
      <c r="F567" s="9" t="n"/>
      <c r="H567" s="8" t="n"/>
    </row>
    <row r="568">
      <c r="A568" s="5" t="n"/>
      <c r="D568" s="10" t="n"/>
      <c r="F568" s="9" t="n"/>
      <c r="H568" s="8" t="n"/>
    </row>
    <row r="569">
      <c r="A569" s="5" t="n"/>
      <c r="D569" s="10" t="n"/>
      <c r="F569" s="9" t="n"/>
      <c r="H569" s="8" t="n"/>
    </row>
    <row r="570">
      <c r="A570" s="5" t="n"/>
      <c r="D570" s="10" t="n"/>
      <c r="F570" s="9" t="n"/>
      <c r="H570" s="8" t="n"/>
    </row>
    <row r="571">
      <c r="A571" s="5" t="n"/>
      <c r="D571" s="10" t="n"/>
      <c r="F571" s="9" t="n"/>
      <c r="H571" s="8" t="n"/>
    </row>
    <row r="572">
      <c r="A572" s="5" t="n"/>
      <c r="D572" s="10" t="n"/>
      <c r="F572" s="9" t="n"/>
      <c r="H572" s="8" t="n"/>
    </row>
    <row r="573">
      <c r="A573" s="5" t="n"/>
      <c r="D573" s="10" t="n"/>
      <c r="F573" s="9" t="n"/>
      <c r="H573" s="8" t="n"/>
    </row>
    <row r="574">
      <c r="A574" s="5" t="n"/>
      <c r="D574" s="10" t="n"/>
      <c r="F574" s="9" t="n"/>
      <c r="H574" s="8" t="n"/>
    </row>
    <row r="575">
      <c r="A575" s="5" t="n"/>
      <c r="D575" s="10" t="n"/>
      <c r="F575" s="9" t="n"/>
      <c r="H575" s="8" t="n"/>
    </row>
    <row r="576">
      <c r="A576" s="5" t="n"/>
      <c r="D576" s="10" t="n"/>
      <c r="F576" s="9" t="n"/>
      <c r="H576" s="8" t="n"/>
    </row>
    <row r="577">
      <c r="A577" s="7" t="n"/>
      <c r="D577" s="10" t="n"/>
      <c r="F577" s="9" t="n"/>
      <c r="H577" s="8" t="n"/>
    </row>
    <row r="578">
      <c r="D578" s="10" t="n"/>
      <c r="F578" s="9" t="n"/>
      <c r="H578" s="8" t="n"/>
    </row>
    <row r="579">
      <c r="D579" s="10" t="n"/>
      <c r="F579" s="9" t="n"/>
      <c r="H579" s="8" t="n"/>
    </row>
    <row r="580">
      <c r="D580" s="10" t="n"/>
      <c r="F580" s="9" t="n"/>
      <c r="H580" s="8" t="n"/>
    </row>
    <row r="581">
      <c r="A581" s="3" t="n"/>
      <c r="D581" s="10" t="n"/>
      <c r="F581" s="9" t="n"/>
      <c r="H581" s="8" t="n"/>
    </row>
    <row r="582">
      <c r="A582" s="3" t="n"/>
      <c r="D582" s="10" t="n"/>
      <c r="F582" s="9" t="n"/>
      <c r="H582" s="8" t="n"/>
    </row>
    <row r="583">
      <c r="A583" s="5" t="n"/>
      <c r="D583" s="10" t="n"/>
      <c r="F583" s="9" t="n"/>
      <c r="H583" s="8" t="n"/>
    </row>
    <row r="584">
      <c r="A584" s="5" t="n"/>
      <c r="D584" s="10" t="n"/>
      <c r="F584" s="9" t="n"/>
      <c r="H584" s="8" t="n"/>
    </row>
    <row r="585">
      <c r="A585" s="5" t="n"/>
      <c r="D585" s="10" t="n"/>
      <c r="F585" s="9" t="n"/>
      <c r="H585" s="8" t="n"/>
    </row>
    <row r="586">
      <c r="A586" s="5" t="n"/>
      <c r="D586" s="10" t="n"/>
      <c r="F586" s="9" t="n"/>
      <c r="H586" s="8" t="n"/>
    </row>
    <row r="587">
      <c r="A587" s="5" t="n"/>
      <c r="D587" s="10" t="n"/>
      <c r="F587" s="9" t="n"/>
      <c r="H587" s="8" t="n"/>
    </row>
    <row r="588">
      <c r="A588" s="5" t="n"/>
      <c r="D588" s="10" t="n"/>
      <c r="F588" s="9" t="n"/>
      <c r="H588" s="8" t="n"/>
    </row>
    <row r="589">
      <c r="A589" s="5" t="n"/>
      <c r="D589" s="10" t="n"/>
      <c r="F589" s="9" t="n"/>
      <c r="H589" s="8" t="n"/>
    </row>
    <row r="590">
      <c r="A590" s="5" t="n"/>
      <c r="D590" s="10" t="n"/>
      <c r="F590" s="9" t="n"/>
      <c r="H590" s="8" t="n"/>
    </row>
    <row r="591">
      <c r="A591" s="5" t="n"/>
      <c r="D591" s="10" t="n"/>
      <c r="F591" s="9" t="n"/>
      <c r="H591" s="8" t="n"/>
    </row>
    <row r="592">
      <c r="A592" s="5" t="n"/>
      <c r="D592" s="10" t="n"/>
      <c r="F592" s="9" t="n"/>
      <c r="H592" s="8" t="n"/>
    </row>
    <row r="593">
      <c r="A593" s="5" t="n"/>
      <c r="D593" s="10" t="n"/>
      <c r="F593" s="9" t="n"/>
      <c r="H593" s="8" t="n"/>
    </row>
    <row r="594">
      <c r="A594" s="5" t="n"/>
      <c r="D594" s="10" t="n"/>
      <c r="F594" s="9" t="n"/>
      <c r="H594" s="8" t="n"/>
    </row>
    <row r="595">
      <c r="A595" s="5" t="n"/>
      <c r="D595" s="10" t="n"/>
      <c r="F595" s="9" t="n"/>
      <c r="H595" s="8" t="n"/>
    </row>
    <row r="596">
      <c r="A596" s="5" t="n"/>
      <c r="D596" s="10" t="n"/>
      <c r="F596" s="9" t="n"/>
      <c r="H596" s="8" t="n"/>
    </row>
    <row r="597">
      <c r="A597" s="5" t="n"/>
      <c r="D597" s="10" t="n"/>
      <c r="F597" s="9" t="n"/>
      <c r="H597" s="8" t="n"/>
    </row>
    <row r="598">
      <c r="A598" s="5" t="n"/>
      <c r="D598" s="10" t="n"/>
      <c r="F598" s="9" t="n"/>
      <c r="H598" s="8" t="n"/>
    </row>
    <row r="599">
      <c r="A599" s="5" t="n"/>
      <c r="D599" s="10" t="n"/>
      <c r="F599" s="9" t="n"/>
      <c r="H599" s="8" t="n"/>
    </row>
    <row r="600">
      <c r="A600" s="5" t="n"/>
      <c r="D600" s="10" t="n"/>
      <c r="F600" s="9" t="n"/>
      <c r="H600" s="8" t="n"/>
    </row>
    <row r="601">
      <c r="A601" s="5" t="n"/>
      <c r="D601" s="10" t="n"/>
      <c r="F601" s="9" t="n"/>
      <c r="H601" s="8" t="n"/>
    </row>
    <row r="602">
      <c r="A602" s="5" t="n"/>
      <c r="D602" s="10" t="n"/>
      <c r="F602" s="9" t="n"/>
      <c r="H602" s="8" t="n"/>
    </row>
    <row r="603">
      <c r="A603" s="5" t="n"/>
      <c r="D603" s="10" t="n"/>
      <c r="F603" s="9" t="n"/>
      <c r="H603" s="8" t="n"/>
    </row>
    <row r="604">
      <c r="A604" s="5" t="n"/>
      <c r="D604" s="10" t="n"/>
      <c r="F604" s="9" t="n"/>
      <c r="H604" s="8" t="n"/>
    </row>
    <row r="605">
      <c r="A605" s="5" t="n"/>
      <c r="D605" s="10" t="n"/>
      <c r="F605" s="9" t="n"/>
      <c r="H605" s="8" t="n"/>
    </row>
    <row r="606">
      <c r="A606" s="5" t="n"/>
      <c r="D606" s="10" t="n"/>
      <c r="F606" s="9" t="n"/>
      <c r="H606" s="8" t="n"/>
    </row>
    <row r="607">
      <c r="A607" s="5" t="n"/>
      <c r="D607" s="10" t="n"/>
      <c r="F607" s="9" t="n"/>
      <c r="H607" s="8" t="n"/>
    </row>
    <row r="608">
      <c r="A608" s="5" t="n"/>
      <c r="D608" s="10" t="n"/>
      <c r="F608" s="9" t="n"/>
      <c r="H608" s="8" t="n"/>
    </row>
    <row r="609">
      <c r="A609" s="5" t="n"/>
      <c r="D609" s="10" t="n"/>
      <c r="F609" s="9" t="n"/>
      <c r="H609" s="8" t="n"/>
    </row>
    <row r="610">
      <c r="A610" s="5" t="n"/>
      <c r="D610" s="10" t="n"/>
      <c r="F610" s="9" t="n"/>
      <c r="H610" s="8" t="n"/>
    </row>
    <row r="611">
      <c r="A611" s="5" t="n"/>
      <c r="D611" s="10" t="n"/>
      <c r="F611" s="9" t="n"/>
      <c r="H611" s="8" t="n"/>
    </row>
    <row r="612">
      <c r="A612" s="5" t="n"/>
      <c r="D612" s="10" t="n"/>
      <c r="F612" s="9" t="n"/>
      <c r="H612" s="8" t="n"/>
    </row>
    <row r="613">
      <c r="A613" s="5" t="n"/>
      <c r="D613" s="10" t="n"/>
      <c r="F613" s="9" t="n"/>
      <c r="H613" s="8" t="n"/>
    </row>
    <row r="614">
      <c r="A614" s="5" t="n"/>
      <c r="D614" s="10" t="n"/>
      <c r="F614" s="9" t="n"/>
      <c r="H614" s="8" t="n"/>
    </row>
    <row r="615">
      <c r="A615" s="5" t="n"/>
      <c r="D615" s="10" t="n"/>
      <c r="F615" s="9" t="n"/>
      <c r="H615" s="8" t="n"/>
    </row>
    <row r="616">
      <c r="A616" s="5" t="n"/>
      <c r="D616" s="10" t="n"/>
      <c r="F616" s="9" t="n"/>
      <c r="H616" s="8" t="n"/>
    </row>
    <row r="617">
      <c r="A617" s="5" t="n"/>
      <c r="D617" s="10" t="n"/>
      <c r="F617" s="9" t="n"/>
      <c r="H617" s="8" t="n"/>
    </row>
    <row r="618">
      <c r="A618" s="5" t="n"/>
      <c r="D618" s="10" t="n"/>
      <c r="F618" s="9" t="n"/>
      <c r="H618" s="8" t="n"/>
    </row>
    <row r="619">
      <c r="A619" s="5" t="n"/>
      <c r="D619" s="10" t="n"/>
      <c r="F619" s="9" t="n"/>
      <c r="H619" s="8" t="n"/>
    </row>
    <row r="620">
      <c r="A620" s="5" t="n"/>
      <c r="D620" s="10" t="n"/>
      <c r="F620" s="9" t="n"/>
      <c r="H620" s="8" t="n"/>
    </row>
    <row r="621">
      <c r="A621" s="5" t="n"/>
      <c r="D621" s="10" t="n"/>
      <c r="F621" s="9" t="n"/>
      <c r="H621" s="8" t="n"/>
    </row>
    <row r="622">
      <c r="A622" s="5" t="n"/>
      <c r="D622" s="10" t="n"/>
      <c r="F622" s="9" t="n"/>
      <c r="H622" s="8" t="n"/>
    </row>
    <row r="623">
      <c r="A623" s="5" t="n"/>
      <c r="D623" s="10" t="n"/>
      <c r="F623" s="9" t="n"/>
      <c r="H623" s="8" t="n"/>
    </row>
    <row r="624">
      <c r="A624" s="5" t="n"/>
      <c r="D624" s="10" t="n"/>
      <c r="F624" s="9" t="n"/>
      <c r="H624" s="8" t="n"/>
    </row>
    <row r="625">
      <c r="A625" s="5" t="n"/>
      <c r="D625" s="10" t="n"/>
      <c r="F625" s="9" t="n"/>
      <c r="H625" s="8" t="n"/>
    </row>
    <row r="626">
      <c r="A626" s="5" t="n"/>
      <c r="D626" s="10" t="n"/>
      <c r="F626" s="9" t="n"/>
      <c r="H626" s="8" t="n"/>
    </row>
    <row r="627">
      <c r="A627" s="5" t="n"/>
      <c r="D627" s="10" t="n"/>
      <c r="F627" s="9" t="n"/>
      <c r="H627" s="8" t="n"/>
    </row>
    <row r="628">
      <c r="A628" s="5" t="n"/>
      <c r="D628" s="10" t="n"/>
      <c r="F628" s="9" t="n"/>
      <c r="H628" s="8" t="n"/>
    </row>
    <row r="629">
      <c r="A629" s="5" t="n"/>
      <c r="D629" s="10" t="n"/>
      <c r="F629" s="9" t="n"/>
      <c r="H629" s="8" t="n"/>
    </row>
    <row r="630">
      <c r="A630" s="5" t="n"/>
      <c r="D630" s="10" t="n"/>
      <c r="F630" s="9" t="n"/>
      <c r="H630" s="8" t="n"/>
    </row>
    <row r="631">
      <c r="A631" s="5" t="n"/>
      <c r="D631" s="10" t="n"/>
      <c r="F631" s="9" t="n"/>
      <c r="H631" s="8" t="n"/>
    </row>
    <row r="632">
      <c r="A632" s="5" t="n"/>
      <c r="D632" s="10" t="n"/>
      <c r="F632" s="9" t="n"/>
      <c r="H632" s="8" t="n"/>
    </row>
    <row r="633">
      <c r="A633" s="5" t="n"/>
      <c r="D633" s="10" t="n"/>
      <c r="F633" s="9" t="n"/>
      <c r="H633" s="8" t="n"/>
    </row>
    <row r="634">
      <c r="A634" s="5" t="n"/>
      <c r="D634" s="10" t="n"/>
      <c r="F634" s="9" t="n"/>
      <c r="H634" s="8" t="n"/>
    </row>
    <row r="635">
      <c r="A635" s="5" t="n"/>
      <c r="D635" s="10" t="n"/>
      <c r="F635" s="9" t="n"/>
      <c r="H635" s="8" t="n"/>
    </row>
    <row r="636">
      <c r="A636" s="5" t="n"/>
      <c r="D636" s="10" t="n"/>
      <c r="F636" s="9" t="n"/>
      <c r="H636" s="8" t="n"/>
    </row>
    <row r="637">
      <c r="A637" s="5" t="n"/>
      <c r="D637" s="10" t="n"/>
      <c r="F637" s="9" t="n"/>
      <c r="H637" s="8" t="n"/>
    </row>
    <row r="638">
      <c r="A638" s="5" t="n"/>
      <c r="D638" s="10" t="n"/>
      <c r="F638" s="9" t="n"/>
      <c r="H638" s="8" t="n"/>
    </row>
    <row r="639">
      <c r="A639" s="5" t="n"/>
      <c r="D639" s="10" t="n"/>
      <c r="F639" s="9" t="n"/>
      <c r="H639" s="8" t="n"/>
    </row>
    <row r="640">
      <c r="A640" s="5" t="n"/>
      <c r="D640" s="10" t="n"/>
      <c r="F640" s="9" t="n"/>
      <c r="H640" s="8" t="n"/>
    </row>
    <row r="641">
      <c r="A641" s="5" t="n"/>
      <c r="D641" s="10" t="n"/>
      <c r="F641" s="9" t="n"/>
      <c r="H641" s="8" t="n"/>
    </row>
    <row r="642">
      <c r="A642" s="5" t="n"/>
      <c r="D642" s="10" t="n"/>
      <c r="F642" s="9" t="n"/>
      <c r="H642" s="8" t="n"/>
    </row>
    <row r="643">
      <c r="A643" s="5" t="n"/>
      <c r="D643" s="10" t="n"/>
      <c r="F643" s="9" t="n"/>
      <c r="H643" s="8" t="n"/>
    </row>
    <row r="644">
      <c r="A644" s="5" t="n"/>
      <c r="D644" s="10" t="n"/>
      <c r="F644" s="9" t="n"/>
      <c r="H644" s="8" t="n"/>
    </row>
    <row r="645">
      <c r="A645" s="5" t="n"/>
      <c r="D645" s="10" t="n"/>
      <c r="F645" s="9" t="n"/>
      <c r="H645" s="8" t="n"/>
    </row>
    <row r="646">
      <c r="A646" s="5" t="n"/>
      <c r="D646" s="10" t="n"/>
      <c r="F646" s="9" t="n"/>
      <c r="H646" s="8" t="n"/>
    </row>
    <row r="647">
      <c r="A647" s="5" t="n"/>
      <c r="D647" s="10" t="n"/>
      <c r="F647" s="9" t="n"/>
      <c r="H647" s="8" t="n"/>
    </row>
    <row r="648">
      <c r="A648" s="5" t="n"/>
      <c r="D648" s="10" t="n"/>
      <c r="F648" s="9" t="n"/>
      <c r="H648" s="8" t="n"/>
    </row>
    <row r="649">
      <c r="A649" s="5" t="n"/>
      <c r="D649" s="10" t="n"/>
      <c r="F649" s="9" t="n"/>
      <c r="H649" s="8" t="n"/>
    </row>
    <row r="650">
      <c r="A650" s="7" t="n"/>
      <c r="D650" s="10" t="n"/>
      <c r="F650" s="9" t="n"/>
      <c r="H650" s="8" t="n"/>
    </row>
    <row r="651">
      <c r="D651" s="10" t="n"/>
      <c r="F651" s="9" t="n"/>
      <c r="H651" s="8" t="n"/>
    </row>
    <row r="652">
      <c r="D652" s="10" t="n"/>
      <c r="F652" s="9" t="n"/>
      <c r="H652" s="8" t="n"/>
    </row>
    <row r="653">
      <c r="D653" s="10" t="n"/>
      <c r="F653" s="9" t="n"/>
      <c r="H653" s="8" t="n"/>
    </row>
    <row r="654">
      <c r="A654" s="3" t="n"/>
      <c r="D654" s="10" t="n"/>
      <c r="F654" s="9" t="n"/>
      <c r="H654" s="8" t="n"/>
    </row>
    <row r="655">
      <c r="A655" s="3" t="n"/>
      <c r="D655" s="10" t="n"/>
      <c r="F655" s="9" t="n"/>
      <c r="H655" s="8" t="n"/>
    </row>
    <row r="656">
      <c r="A656" s="5" t="n"/>
      <c r="D656" s="10" t="n"/>
      <c r="F656" s="9" t="n"/>
      <c r="H656" s="8" t="n"/>
    </row>
    <row r="657">
      <c r="A657" s="5" t="n"/>
      <c r="D657" s="10" t="n"/>
      <c r="F657" s="9" t="n"/>
      <c r="H657" s="8" t="n"/>
    </row>
    <row r="658">
      <c r="A658" s="5" t="n"/>
      <c r="D658" s="10" t="n"/>
      <c r="F658" s="9" t="n"/>
      <c r="H658" s="8" t="n"/>
    </row>
    <row r="659">
      <c r="A659" s="5" t="n"/>
      <c r="D659" s="10" t="n"/>
      <c r="F659" s="9" t="n"/>
      <c r="H659" s="8" t="n"/>
    </row>
    <row r="660">
      <c r="A660" s="5" t="n"/>
      <c r="D660" s="10" t="n"/>
      <c r="F660" s="9" t="n"/>
      <c r="H660" s="8" t="n"/>
    </row>
    <row r="661">
      <c r="A661" s="5" t="n"/>
      <c r="D661" s="10" t="n"/>
      <c r="F661" s="9" t="n"/>
      <c r="H661" s="8" t="n"/>
    </row>
    <row r="662">
      <c r="A662" s="5" t="n"/>
      <c r="D662" s="10" t="n"/>
      <c r="F662" s="9" t="n"/>
      <c r="H662" s="8" t="n"/>
    </row>
    <row r="663">
      <c r="A663" s="5" t="n"/>
      <c r="D663" s="10" t="n"/>
      <c r="F663" s="9" t="n"/>
      <c r="H663" s="8" t="n"/>
    </row>
    <row r="664">
      <c r="A664" s="5" t="n"/>
      <c r="D664" s="10" t="n"/>
      <c r="F664" s="9" t="n"/>
      <c r="H664" s="8" t="n"/>
    </row>
    <row r="665">
      <c r="A665" s="5" t="n"/>
      <c r="D665" s="10" t="n"/>
      <c r="F665" s="9" t="n"/>
      <c r="H665" s="8" t="n"/>
    </row>
    <row r="666">
      <c r="A666" s="5" t="n"/>
      <c r="D666" s="10" t="n"/>
      <c r="F666" s="9" t="n"/>
      <c r="H666" s="8" t="n"/>
    </row>
    <row r="667">
      <c r="A667" s="5" t="n"/>
      <c r="D667" s="10" t="n"/>
      <c r="F667" s="9" t="n"/>
      <c r="H667" s="8" t="n"/>
    </row>
    <row r="668">
      <c r="A668" s="5" t="n"/>
      <c r="D668" s="10" t="n"/>
      <c r="F668" s="9" t="n"/>
      <c r="H668" s="8" t="n"/>
    </row>
    <row r="669">
      <c r="A669" s="5" t="n"/>
      <c r="D669" s="10" t="n"/>
      <c r="F669" s="9" t="n"/>
      <c r="H669" s="8" t="n"/>
    </row>
    <row r="670">
      <c r="A670" s="5" t="n"/>
      <c r="D670" s="10" t="n"/>
      <c r="F670" s="9" t="n"/>
      <c r="H670" s="8" t="n"/>
    </row>
    <row r="671">
      <c r="A671" s="5" t="n"/>
      <c r="D671" s="10" t="n"/>
      <c r="F671" s="9" t="n"/>
      <c r="H671" s="8" t="n"/>
    </row>
    <row r="672">
      <c r="A672" s="5" t="n"/>
      <c r="D672" s="10" t="n"/>
      <c r="F672" s="9" t="n"/>
      <c r="H672" s="8" t="n"/>
    </row>
    <row r="673">
      <c r="A673" s="5" t="n"/>
      <c r="D673" s="10" t="n"/>
      <c r="F673" s="9" t="n"/>
      <c r="H673" s="8" t="n"/>
    </row>
    <row r="674">
      <c r="A674" s="5" t="n"/>
      <c r="D674" s="10" t="n"/>
      <c r="F674" s="9" t="n"/>
      <c r="H674" s="8" t="n"/>
    </row>
    <row r="675">
      <c r="A675" s="5" t="n"/>
      <c r="D675" s="10" t="n"/>
      <c r="F675" s="9" t="n"/>
      <c r="H675" s="8" t="n"/>
    </row>
    <row r="676">
      <c r="A676" s="5" t="n"/>
      <c r="D676" s="10" t="n"/>
      <c r="F676" s="9" t="n"/>
      <c r="H676" s="8" t="n"/>
    </row>
    <row r="677">
      <c r="A677" s="5" t="n"/>
      <c r="D677" s="10" t="n"/>
      <c r="F677" s="9" t="n"/>
      <c r="H677" s="8" t="n"/>
    </row>
    <row r="678">
      <c r="A678" s="5" t="n"/>
      <c r="D678" s="10" t="n"/>
      <c r="F678" s="9" t="n"/>
      <c r="H678" s="8" t="n"/>
    </row>
    <row r="679">
      <c r="A679" s="5" t="n"/>
      <c r="D679" s="10" t="n"/>
      <c r="F679" s="9" t="n"/>
      <c r="H679" s="8" t="n"/>
    </row>
    <row r="680">
      <c r="A680" s="5" t="n"/>
      <c r="D680" s="10" t="n"/>
      <c r="F680" s="9" t="n"/>
      <c r="H680" s="8" t="n"/>
    </row>
    <row r="681">
      <c r="A681" s="5" t="n"/>
      <c r="D681" s="10" t="n"/>
      <c r="F681" s="9" t="n"/>
      <c r="H681" s="8" t="n"/>
    </row>
    <row r="682">
      <c r="A682" s="5" t="n"/>
      <c r="D682" s="10" t="n"/>
      <c r="F682" s="9" t="n"/>
      <c r="H682" s="8" t="n"/>
    </row>
    <row r="683">
      <c r="A683" s="5" t="n"/>
      <c r="D683" s="10" t="n"/>
      <c r="F683" s="9" t="n"/>
      <c r="H683" s="8" t="n"/>
    </row>
    <row r="684">
      <c r="A684" s="5" t="n"/>
      <c r="D684" s="10" t="n"/>
      <c r="F684" s="9" t="n"/>
      <c r="H684" s="8" t="n"/>
    </row>
    <row r="685">
      <c r="A685" s="5" t="n"/>
      <c r="D685" s="10" t="n"/>
      <c r="F685" s="9" t="n"/>
      <c r="H685" s="8" t="n"/>
    </row>
    <row r="686">
      <c r="A686" s="5" t="n"/>
      <c r="D686" s="10" t="n"/>
      <c r="F686" s="9" t="n"/>
      <c r="H686" s="8" t="n"/>
    </row>
    <row r="687">
      <c r="A687" s="5" t="n"/>
      <c r="D687" s="10" t="n"/>
      <c r="F687" s="9" t="n"/>
      <c r="H687" s="8" t="n"/>
    </row>
    <row r="688">
      <c r="A688" s="5" t="n"/>
      <c r="D688" s="10" t="n"/>
      <c r="F688" s="9" t="n"/>
      <c r="H688" s="8" t="n"/>
    </row>
    <row r="689">
      <c r="A689" s="5" t="n"/>
      <c r="D689" s="10" t="n"/>
      <c r="F689" s="9" t="n"/>
      <c r="H689" s="8" t="n"/>
    </row>
    <row r="690">
      <c r="A690" s="5" t="n"/>
      <c r="D690" s="10" t="n"/>
      <c r="F690" s="9" t="n"/>
      <c r="H690" s="8" t="n"/>
    </row>
    <row r="691">
      <c r="A691" s="5" t="n"/>
      <c r="D691" s="10" t="n"/>
      <c r="F691" s="9" t="n"/>
      <c r="H691" s="8" t="n"/>
    </row>
    <row r="692">
      <c r="A692" s="5" t="n"/>
      <c r="D692" s="10" t="n"/>
      <c r="F692" s="9" t="n"/>
      <c r="H692" s="8" t="n"/>
    </row>
    <row r="693">
      <c r="A693" s="5" t="n"/>
      <c r="D693" s="10" t="n"/>
      <c r="F693" s="9" t="n"/>
      <c r="H693" s="8" t="n"/>
    </row>
    <row r="694">
      <c r="A694" s="5" t="n"/>
      <c r="D694" s="10" t="n"/>
      <c r="F694" s="9" t="n"/>
      <c r="H694" s="8" t="n"/>
    </row>
    <row r="695">
      <c r="A695" s="5" t="n"/>
      <c r="D695" s="10" t="n"/>
      <c r="F695" s="9" t="n"/>
      <c r="H695" s="8" t="n"/>
    </row>
    <row r="696">
      <c r="A696" s="5" t="n"/>
      <c r="D696" s="10" t="n"/>
      <c r="F696" s="9" t="n"/>
      <c r="H696" s="8" t="n"/>
    </row>
    <row r="697">
      <c r="A697" s="5" t="n"/>
      <c r="D697" s="10" t="n"/>
      <c r="F697" s="9" t="n"/>
      <c r="H697" s="8" t="n"/>
    </row>
    <row r="698">
      <c r="A698" s="5" t="n"/>
      <c r="D698" s="10" t="n"/>
      <c r="F698" s="9" t="n"/>
      <c r="H698" s="8" t="n"/>
    </row>
    <row r="699">
      <c r="A699" s="5" t="n"/>
      <c r="D699" s="10" t="n"/>
      <c r="F699" s="9" t="n"/>
      <c r="H699" s="8" t="n"/>
    </row>
    <row r="700">
      <c r="A700" s="5" t="n"/>
      <c r="D700" s="10" t="n"/>
      <c r="F700" s="9" t="n"/>
      <c r="H700" s="8" t="n"/>
    </row>
    <row r="701">
      <c r="A701" s="5" t="n"/>
      <c r="D701" s="10" t="n"/>
      <c r="F701" s="9" t="n"/>
      <c r="H701" s="8" t="n"/>
    </row>
    <row r="702">
      <c r="A702" s="5" t="n"/>
      <c r="D702" s="10" t="n"/>
      <c r="F702" s="9" t="n"/>
      <c r="H702" s="8" t="n"/>
    </row>
    <row r="703">
      <c r="A703" s="5" t="n"/>
      <c r="D703" s="10" t="n"/>
      <c r="F703" s="9" t="n"/>
      <c r="H703" s="8" t="n"/>
    </row>
    <row r="704">
      <c r="A704" s="5" t="n"/>
      <c r="D704" s="10" t="n"/>
      <c r="F704" s="9" t="n"/>
      <c r="H704" s="8" t="n"/>
    </row>
    <row r="705">
      <c r="A705" s="5" t="n"/>
      <c r="D705" s="10" t="n"/>
      <c r="F705" s="9" t="n"/>
      <c r="H705" s="8" t="n"/>
    </row>
    <row r="706">
      <c r="A706" s="5" t="n"/>
      <c r="D706" s="10" t="n"/>
      <c r="F706" s="9" t="n"/>
      <c r="H706" s="8" t="n"/>
    </row>
    <row r="707">
      <c r="A707" s="5" t="n"/>
      <c r="D707" s="10" t="n"/>
      <c r="F707" s="9" t="n"/>
      <c r="H707" s="8" t="n"/>
    </row>
    <row r="708">
      <c r="A708" s="5" t="n"/>
      <c r="D708" s="10" t="n"/>
      <c r="F708" s="9" t="n"/>
      <c r="H708" s="8" t="n"/>
    </row>
    <row r="709">
      <c r="A709" s="5" t="n"/>
      <c r="D709" s="10" t="n"/>
      <c r="F709" s="9" t="n"/>
      <c r="H709" s="8" t="n"/>
    </row>
    <row r="710">
      <c r="A710" s="5" t="n"/>
      <c r="D710" s="10" t="n"/>
      <c r="F710" s="9" t="n"/>
      <c r="H710" s="8" t="n"/>
    </row>
    <row r="711">
      <c r="A711" s="5" t="n"/>
      <c r="D711" s="10" t="n"/>
      <c r="F711" s="9" t="n"/>
      <c r="H711" s="8" t="n"/>
    </row>
    <row r="712">
      <c r="A712" s="5" t="n"/>
      <c r="D712" s="10" t="n"/>
      <c r="F712" s="9" t="n"/>
      <c r="H712" s="8" t="n"/>
    </row>
    <row r="713">
      <c r="A713" s="5" t="n"/>
      <c r="D713" s="10" t="n"/>
      <c r="F713" s="9" t="n"/>
      <c r="H713" s="8" t="n"/>
    </row>
    <row r="714">
      <c r="A714" s="5" t="n"/>
      <c r="D714" s="10" t="n"/>
      <c r="F714" s="9" t="n"/>
      <c r="H714" s="8" t="n"/>
    </row>
    <row r="715">
      <c r="A715" s="5" t="n"/>
      <c r="D715" s="10" t="n"/>
      <c r="F715" s="9" t="n"/>
      <c r="H715" s="8" t="n"/>
    </row>
    <row r="716">
      <c r="A716" s="5" t="n"/>
      <c r="D716" s="10" t="n"/>
      <c r="F716" s="9" t="n"/>
      <c r="H716" s="8" t="n"/>
    </row>
    <row r="717">
      <c r="A717" s="5" t="n"/>
      <c r="D717" s="10" t="n"/>
      <c r="F717" s="9" t="n"/>
      <c r="H717" s="8" t="n"/>
    </row>
    <row r="718">
      <c r="A718" s="5" t="n"/>
      <c r="D718" s="10" t="n"/>
      <c r="F718" s="9" t="n"/>
      <c r="H718" s="8" t="n"/>
    </row>
    <row r="719">
      <c r="A719" s="5" t="n"/>
      <c r="D719" s="10" t="n"/>
      <c r="F719" s="9" t="n"/>
      <c r="H719" s="8" t="n"/>
    </row>
    <row r="720">
      <c r="A720" s="5" t="n"/>
      <c r="D720" s="10" t="n"/>
      <c r="F720" s="9" t="n"/>
      <c r="H720" s="8" t="n"/>
    </row>
    <row r="721">
      <c r="A721" s="5" t="n"/>
      <c r="D721" s="10" t="n"/>
      <c r="F721" s="9" t="n"/>
      <c r="H721" s="8" t="n"/>
    </row>
    <row r="722">
      <c r="A722" s="5" t="n"/>
      <c r="D722" s="10" t="n"/>
      <c r="F722" s="9" t="n"/>
      <c r="H722" s="8" t="n"/>
    </row>
    <row r="723">
      <c r="A723" s="7" t="n"/>
      <c r="D723" s="10" t="n"/>
      <c r="F723" s="9" t="n"/>
      <c r="H723" s="8" t="n"/>
    </row>
    <row r="724">
      <c r="D724" s="10" t="n"/>
      <c r="F724" s="9" t="n"/>
      <c r="H724" s="8" t="n"/>
    </row>
    <row r="725">
      <c r="D725" s="10" t="n"/>
      <c r="F725" s="9" t="n"/>
      <c r="H725" s="8" t="n"/>
    </row>
    <row r="726">
      <c r="D726" s="10" t="n"/>
      <c r="F726" s="9" t="n"/>
      <c r="H726" s="8" t="n"/>
    </row>
    <row r="727">
      <c r="A727" s="3" t="n"/>
      <c r="D727" s="10" t="n"/>
      <c r="F727" s="9" t="n"/>
      <c r="H727" s="8" t="n"/>
    </row>
    <row r="728">
      <c r="A728" s="3" t="n"/>
      <c r="D728" s="10" t="n"/>
      <c r="F728" s="9" t="n"/>
      <c r="H728" s="8" t="n"/>
    </row>
    <row r="729">
      <c r="A729" s="5" t="n"/>
      <c r="D729" s="10" t="n"/>
      <c r="F729" s="9" t="n"/>
      <c r="H729" s="8" t="n"/>
    </row>
    <row r="730">
      <c r="A730" s="5" t="n"/>
      <c r="D730" s="10" t="n"/>
      <c r="F730" s="9" t="n"/>
      <c r="H730" s="8" t="n"/>
    </row>
    <row r="731">
      <c r="A731" s="5" t="n"/>
      <c r="D731" s="10" t="n"/>
      <c r="F731" s="9" t="n"/>
      <c r="H731" s="8" t="n"/>
    </row>
    <row r="732">
      <c r="A732" s="5" t="n"/>
      <c r="D732" s="10" t="n"/>
      <c r="F732" s="9" t="n"/>
      <c r="H732" s="8" t="n"/>
    </row>
    <row r="733">
      <c r="A733" s="5" t="n"/>
      <c r="D733" s="10" t="n"/>
      <c r="F733" s="9" t="n"/>
      <c r="H733" s="8" t="n"/>
    </row>
    <row r="734">
      <c r="A734" s="5" t="n"/>
      <c r="D734" s="10" t="n"/>
      <c r="F734" s="9" t="n"/>
      <c r="H734" s="8" t="n"/>
    </row>
    <row r="735">
      <c r="A735" s="5" t="n"/>
      <c r="D735" s="10" t="n"/>
      <c r="F735" s="9" t="n"/>
      <c r="H735" s="8" t="n"/>
    </row>
    <row r="736">
      <c r="A736" s="5" t="n"/>
      <c r="D736" s="10" t="n"/>
      <c r="F736" s="9" t="n"/>
      <c r="H736" s="8" t="n"/>
    </row>
    <row r="737">
      <c r="A737" s="5" t="n"/>
      <c r="D737" s="10" t="n"/>
      <c r="F737" s="9" t="n"/>
      <c r="H737" s="8" t="n"/>
    </row>
    <row r="738">
      <c r="A738" s="5" t="n"/>
      <c r="D738" s="10" t="n"/>
      <c r="F738" s="9" t="n"/>
      <c r="H738" s="8" t="n"/>
    </row>
    <row r="739">
      <c r="A739" s="5" t="n"/>
      <c r="D739" s="10" t="n"/>
      <c r="F739" s="9" t="n"/>
      <c r="H739" s="8" t="n"/>
    </row>
    <row r="740">
      <c r="A740" s="5" t="n"/>
      <c r="D740" s="10" t="n"/>
      <c r="F740" s="9" t="n"/>
      <c r="H740" s="8" t="n"/>
    </row>
    <row r="741">
      <c r="A741" s="5" t="n"/>
      <c r="D741" s="10" t="n"/>
      <c r="F741" s="9" t="n"/>
      <c r="H741" s="8" t="n"/>
    </row>
    <row r="742">
      <c r="A742" s="5" t="n"/>
      <c r="D742" s="10" t="n"/>
      <c r="F742" s="9" t="n"/>
      <c r="H742" s="8" t="n"/>
    </row>
    <row r="743">
      <c r="A743" s="5" t="n"/>
      <c r="D743" s="10" t="n"/>
      <c r="F743" s="9" t="n"/>
      <c r="H743" s="8" t="n"/>
    </row>
    <row r="744">
      <c r="A744" s="5" t="n"/>
      <c r="D744" s="10" t="n"/>
      <c r="F744" s="9" t="n"/>
      <c r="H744" s="8" t="n"/>
    </row>
    <row r="745">
      <c r="A745" s="5" t="n"/>
      <c r="D745" s="10" t="n"/>
      <c r="F745" s="9" t="n"/>
      <c r="H745" s="8" t="n"/>
    </row>
    <row r="746">
      <c r="A746" s="5" t="n"/>
      <c r="D746" s="10" t="n"/>
      <c r="F746" s="9" t="n"/>
      <c r="H746" s="8" t="n"/>
    </row>
    <row r="747">
      <c r="A747" s="5" t="n"/>
      <c r="D747" s="10" t="n"/>
      <c r="F747" s="9" t="n"/>
      <c r="H747" s="8" t="n"/>
    </row>
    <row r="748">
      <c r="A748" s="5" t="n"/>
      <c r="D748" s="10" t="n"/>
      <c r="F748" s="9" t="n"/>
      <c r="H748" s="8" t="n"/>
    </row>
    <row r="749">
      <c r="A749" s="5" t="n"/>
      <c r="D749" s="10" t="n"/>
      <c r="F749" s="9" t="n"/>
      <c r="H749" s="8" t="n"/>
    </row>
    <row r="750">
      <c r="A750" s="5" t="n"/>
      <c r="D750" s="10" t="n"/>
      <c r="F750" s="9" t="n"/>
      <c r="H750" s="8" t="n"/>
    </row>
    <row r="751">
      <c r="A751" s="5" t="n"/>
      <c r="D751" s="10" t="n"/>
      <c r="F751" s="9" t="n"/>
      <c r="H751" s="8" t="n"/>
    </row>
    <row r="752">
      <c r="A752" s="5" t="n"/>
      <c r="D752" s="10" t="n"/>
      <c r="F752" s="9" t="n"/>
      <c r="H752" s="8" t="n"/>
    </row>
    <row r="753">
      <c r="A753" s="5" t="n"/>
      <c r="D753" s="10" t="n"/>
      <c r="F753" s="9" t="n"/>
      <c r="H753" s="8" t="n"/>
    </row>
    <row r="754">
      <c r="A754" s="5" t="n"/>
      <c r="D754" s="10" t="n"/>
      <c r="F754" s="9" t="n"/>
      <c r="H754" s="8" t="n"/>
    </row>
    <row r="755">
      <c r="A755" s="5" t="n"/>
      <c r="D755" s="10" t="n"/>
      <c r="F755" s="9" t="n"/>
      <c r="H755" s="8" t="n"/>
    </row>
    <row r="756">
      <c r="A756" s="5" t="n"/>
      <c r="D756" s="10" t="n"/>
      <c r="F756" s="9" t="n"/>
      <c r="H756" s="8" t="n"/>
    </row>
    <row r="757">
      <c r="A757" s="5" t="n"/>
      <c r="D757" s="10" t="n"/>
      <c r="F757" s="9" t="n"/>
      <c r="H757" s="8" t="n"/>
    </row>
    <row r="758">
      <c r="A758" s="5" t="n"/>
      <c r="D758" s="10" t="n"/>
      <c r="F758" s="9" t="n"/>
      <c r="H758" s="8" t="n"/>
    </row>
    <row r="759">
      <c r="A759" s="5" t="n"/>
      <c r="D759" s="10" t="n"/>
      <c r="F759" s="9" t="n"/>
      <c r="H759" s="8" t="n"/>
    </row>
    <row r="760">
      <c r="A760" s="5" t="n"/>
      <c r="D760" s="10" t="n"/>
      <c r="F760" s="9" t="n"/>
      <c r="H760" s="8" t="n"/>
    </row>
    <row r="761">
      <c r="A761" s="5" t="n"/>
      <c r="D761" s="10" t="n"/>
      <c r="F761" s="9" t="n"/>
      <c r="H761" s="8" t="n"/>
    </row>
    <row r="762">
      <c r="A762" s="5" t="n"/>
      <c r="D762" s="10" t="n"/>
      <c r="F762" s="9" t="n"/>
      <c r="H762" s="8" t="n"/>
    </row>
    <row r="763">
      <c r="A763" s="5" t="n"/>
      <c r="D763" s="10" t="n"/>
      <c r="F763" s="9" t="n"/>
      <c r="H763" s="8" t="n"/>
    </row>
    <row r="764">
      <c r="A764" s="5" t="n"/>
      <c r="D764" s="10" t="n"/>
      <c r="F764" s="9" t="n"/>
      <c r="H764" s="8" t="n"/>
    </row>
    <row r="765">
      <c r="A765" s="5" t="n"/>
      <c r="D765" s="10" t="n"/>
      <c r="F765" s="9" t="n"/>
      <c r="H765" s="8" t="n"/>
    </row>
    <row r="766">
      <c r="A766" s="5" t="n"/>
      <c r="D766" s="10" t="n"/>
      <c r="F766" s="9" t="n"/>
      <c r="H766" s="8" t="n"/>
    </row>
    <row r="767">
      <c r="A767" s="5" t="n"/>
      <c r="D767" s="10" t="n"/>
      <c r="F767" s="9" t="n"/>
      <c r="H767" s="8" t="n"/>
    </row>
    <row r="768">
      <c r="A768" s="5" t="n"/>
      <c r="D768" s="10" t="n"/>
      <c r="F768" s="9" t="n"/>
      <c r="H768" s="8" t="n"/>
    </row>
    <row r="769">
      <c r="A769" s="5" t="n"/>
      <c r="D769" s="10" t="n"/>
      <c r="F769" s="9" t="n"/>
      <c r="H769" s="8" t="n"/>
    </row>
    <row r="770">
      <c r="A770" s="5" t="n"/>
      <c r="D770" s="10" t="n"/>
      <c r="F770" s="9" t="n"/>
      <c r="H770" s="8" t="n"/>
    </row>
    <row r="771">
      <c r="A771" s="5" t="n"/>
      <c r="D771" s="10" t="n"/>
      <c r="F771" s="9" t="n"/>
      <c r="H771" s="8" t="n"/>
    </row>
    <row r="772">
      <c r="A772" s="5" t="n"/>
      <c r="D772" s="10" t="n"/>
      <c r="F772" s="9" t="n"/>
      <c r="H772" s="8" t="n"/>
    </row>
    <row r="773">
      <c r="A773" s="5" t="n"/>
      <c r="D773" s="10" t="n"/>
      <c r="F773" s="9" t="n"/>
      <c r="H773" s="8" t="n"/>
    </row>
    <row r="774">
      <c r="A774" s="5" t="n"/>
      <c r="D774" s="10" t="n"/>
      <c r="F774" s="9" t="n"/>
      <c r="H774" s="8" t="n"/>
    </row>
    <row r="775">
      <c r="A775" s="5" t="n"/>
      <c r="D775" s="10" t="n"/>
      <c r="F775" s="9" t="n"/>
      <c r="H775" s="8" t="n"/>
    </row>
    <row r="776">
      <c r="A776" s="5" t="n"/>
      <c r="D776" s="10" t="n"/>
      <c r="F776" s="9" t="n"/>
      <c r="H776" s="8" t="n"/>
    </row>
    <row r="777">
      <c r="A777" s="5" t="n"/>
      <c r="D777" s="10" t="n"/>
      <c r="F777" s="9" t="n"/>
      <c r="H777" s="8" t="n"/>
    </row>
    <row r="778">
      <c r="A778" s="5" t="n"/>
      <c r="D778" s="10" t="n"/>
      <c r="F778" s="9" t="n"/>
      <c r="H778" s="8" t="n"/>
    </row>
    <row r="779">
      <c r="A779" s="5" t="n"/>
      <c r="D779" s="10" t="n"/>
      <c r="F779" s="9" t="n"/>
      <c r="H779" s="8" t="n"/>
    </row>
    <row r="780">
      <c r="A780" s="5" t="n"/>
      <c r="D780" s="10" t="n"/>
      <c r="F780" s="9" t="n"/>
      <c r="H780" s="8" t="n"/>
    </row>
    <row r="781">
      <c r="A781" s="5" t="n"/>
      <c r="D781" s="10" t="n"/>
      <c r="F781" s="9" t="n"/>
      <c r="H781" s="8" t="n"/>
    </row>
    <row r="782">
      <c r="A782" s="5" t="n"/>
      <c r="D782" s="10" t="n"/>
      <c r="F782" s="9" t="n"/>
      <c r="H782" s="8" t="n"/>
    </row>
    <row r="783">
      <c r="A783" s="5" t="n"/>
      <c r="D783" s="10" t="n"/>
      <c r="F783" s="9" t="n"/>
      <c r="H783" s="8" t="n"/>
    </row>
    <row r="784">
      <c r="A784" s="5" t="n"/>
      <c r="D784" s="10" t="n"/>
      <c r="F784" s="9" t="n"/>
      <c r="H784" s="8" t="n"/>
    </row>
    <row r="785">
      <c r="A785" s="5" t="n"/>
      <c r="D785" s="10" t="n"/>
      <c r="F785" s="9" t="n"/>
      <c r="H785" s="8" t="n"/>
    </row>
    <row r="786">
      <c r="A786" s="5" t="n"/>
      <c r="D786" s="10" t="n"/>
      <c r="F786" s="9" t="n"/>
      <c r="H786" s="8" t="n"/>
    </row>
    <row r="787">
      <c r="A787" s="5" t="n"/>
      <c r="D787" s="10" t="n"/>
      <c r="F787" s="9" t="n"/>
      <c r="H787" s="8" t="n"/>
    </row>
    <row r="788">
      <c r="A788" s="5" t="n"/>
      <c r="D788" s="10" t="n"/>
      <c r="F788" s="9" t="n"/>
      <c r="H788" s="8" t="n"/>
    </row>
    <row r="789">
      <c r="A789" s="5" t="n"/>
      <c r="D789" s="10" t="n"/>
      <c r="F789" s="9" t="n"/>
      <c r="H789" s="8" t="n"/>
    </row>
    <row r="790">
      <c r="A790" s="5" t="n"/>
      <c r="D790" s="10" t="n"/>
      <c r="F790" s="9" t="n"/>
      <c r="H790" s="8" t="n"/>
    </row>
    <row r="791">
      <c r="A791" s="5" t="n"/>
      <c r="D791" s="10" t="n"/>
      <c r="F791" s="9" t="n"/>
      <c r="H791" s="8" t="n"/>
    </row>
    <row r="792">
      <c r="A792" s="5" t="n"/>
      <c r="D792" s="10" t="n"/>
      <c r="F792" s="9" t="n"/>
      <c r="H792" s="8" t="n"/>
    </row>
    <row r="793">
      <c r="A793" s="5" t="n"/>
      <c r="D793" s="10" t="n"/>
      <c r="F793" s="9" t="n"/>
      <c r="H793" s="8" t="n"/>
    </row>
    <row r="794">
      <c r="A794" s="5" t="n"/>
      <c r="D794" s="10" t="n"/>
      <c r="F794" s="9" t="n"/>
      <c r="H794" s="8" t="n"/>
    </row>
    <row r="795">
      <c r="A795" s="5" t="n"/>
      <c r="D795" s="10" t="n"/>
      <c r="F795" s="9" t="n"/>
      <c r="H795" s="8" t="n"/>
    </row>
    <row r="796">
      <c r="A796" s="7" t="n"/>
      <c r="D796" s="10" t="n"/>
      <c r="F796" s="9" t="n"/>
      <c r="H796" s="8" t="n"/>
    </row>
    <row r="797">
      <c r="D797" s="10" t="n"/>
      <c r="F797" s="9" t="n"/>
      <c r="H797" s="8" t="n"/>
    </row>
    <row r="798">
      <c r="D798" s="10" t="n"/>
      <c r="F798" s="9" t="n"/>
      <c r="H798" s="8" t="n"/>
    </row>
    <row r="799">
      <c r="D799" s="10" t="n"/>
      <c r="F799" s="9" t="n"/>
      <c r="H799" s="8" t="n"/>
    </row>
    <row r="800">
      <c r="A800" s="3" t="n"/>
      <c r="D800" s="10" t="n"/>
      <c r="F800" s="9" t="n"/>
      <c r="H800" s="8" t="n"/>
    </row>
    <row r="801">
      <c r="A801" s="3" t="n"/>
      <c r="D801" s="10" t="n"/>
      <c r="F801" s="9" t="n"/>
      <c r="H801" s="8" t="n"/>
    </row>
    <row r="802">
      <c r="A802" s="5" t="n"/>
      <c r="D802" s="10" t="n"/>
      <c r="F802" s="9" t="n"/>
      <c r="H802" s="8" t="n"/>
    </row>
    <row r="803">
      <c r="A803" s="5" t="n"/>
      <c r="D803" s="10" t="n"/>
      <c r="F803" s="9" t="n"/>
      <c r="H803" s="8" t="n"/>
    </row>
    <row r="804">
      <c r="A804" s="5" t="n"/>
      <c r="D804" s="10" t="n"/>
      <c r="F804" s="9" t="n"/>
      <c r="H804" s="8" t="n"/>
    </row>
    <row r="805">
      <c r="A805" s="5" t="n"/>
      <c r="D805" s="10" t="n"/>
      <c r="F805" s="9" t="n"/>
      <c r="H805" s="8" t="n"/>
    </row>
    <row r="806">
      <c r="A806" s="5" t="n"/>
      <c r="D806" s="10" t="n"/>
      <c r="F806" s="9" t="n"/>
      <c r="H806" s="8" t="n"/>
    </row>
    <row r="807">
      <c r="A807" s="5" t="n"/>
      <c r="D807" s="10" t="n"/>
      <c r="F807" s="9" t="n"/>
      <c r="H807" s="8" t="n"/>
    </row>
    <row r="808">
      <c r="A808" s="5" t="n"/>
      <c r="D808" s="10" t="n"/>
      <c r="F808" s="9" t="n"/>
      <c r="H808" s="8" t="n"/>
    </row>
    <row r="809">
      <c r="A809" s="5" t="n"/>
      <c r="D809" s="10" t="n"/>
      <c r="F809" s="9" t="n"/>
      <c r="H809" s="8" t="n"/>
    </row>
    <row r="810">
      <c r="A810" s="5" t="n"/>
      <c r="D810" s="10" t="n"/>
      <c r="F810" s="9" t="n"/>
      <c r="H810" s="8" t="n"/>
    </row>
    <row r="811">
      <c r="A811" s="5" t="n"/>
      <c r="D811" s="10" t="n"/>
      <c r="F811" s="9" t="n"/>
      <c r="H811" s="8" t="n"/>
    </row>
    <row r="812">
      <c r="A812" s="5" t="n"/>
      <c r="D812" s="10" t="n"/>
      <c r="F812" s="9" t="n"/>
      <c r="H812" s="8" t="n"/>
    </row>
    <row r="813">
      <c r="A813" s="5" t="n"/>
      <c r="D813" s="10" t="n"/>
      <c r="F813" s="9" t="n"/>
      <c r="H813" s="8" t="n"/>
    </row>
    <row r="814">
      <c r="A814" s="5" t="n"/>
      <c r="D814" s="10" t="n"/>
      <c r="F814" s="9" t="n"/>
      <c r="H814" s="8" t="n"/>
    </row>
    <row r="815">
      <c r="A815" s="5" t="n"/>
      <c r="D815" s="10" t="n"/>
      <c r="F815" s="9" t="n"/>
      <c r="H815" s="8" t="n"/>
    </row>
    <row r="816">
      <c r="A816" s="5" t="n"/>
      <c r="D816" s="10" t="n"/>
      <c r="F816" s="9" t="n"/>
      <c r="H816" s="8" t="n"/>
    </row>
    <row r="817">
      <c r="A817" s="5" t="n"/>
      <c r="D817" s="10" t="n"/>
      <c r="F817" s="9" t="n"/>
      <c r="H817" s="8" t="n"/>
    </row>
    <row r="818">
      <c r="A818" s="5" t="n"/>
      <c r="D818" s="10" t="n"/>
      <c r="F818" s="9" t="n"/>
      <c r="H818" s="8" t="n"/>
    </row>
    <row r="819">
      <c r="A819" s="5" t="n"/>
      <c r="D819" s="10" t="n"/>
      <c r="F819" s="9" t="n"/>
      <c r="H819" s="8" t="n"/>
    </row>
    <row r="820">
      <c r="A820" s="5" t="n"/>
      <c r="D820" s="10" t="n"/>
      <c r="F820" s="9" t="n"/>
      <c r="H820" s="8" t="n"/>
    </row>
    <row r="821">
      <c r="A821" s="5" t="n"/>
      <c r="D821" s="10" t="n"/>
      <c r="F821" s="9" t="n"/>
      <c r="H821" s="8" t="n"/>
    </row>
    <row r="822">
      <c r="A822" s="5" t="n"/>
      <c r="D822" s="10" t="n"/>
      <c r="F822" s="9" t="n"/>
      <c r="H822" s="8" t="n"/>
    </row>
    <row r="823">
      <c r="A823" s="5" t="n"/>
      <c r="D823" s="10" t="n"/>
      <c r="F823" s="9" t="n"/>
      <c r="H823" s="8" t="n"/>
    </row>
    <row r="824">
      <c r="A824" s="5" t="n"/>
      <c r="D824" s="10" t="n"/>
      <c r="F824" s="9" t="n"/>
      <c r="H824" s="8" t="n"/>
    </row>
    <row r="825">
      <c r="A825" s="5" t="n"/>
      <c r="D825" s="10" t="n"/>
      <c r="F825" s="9" t="n"/>
      <c r="H825" s="8" t="n"/>
    </row>
    <row r="826">
      <c r="A826" s="5" t="n"/>
      <c r="D826" s="10" t="n"/>
      <c r="F826" s="9" t="n"/>
      <c r="H826" s="8" t="n"/>
    </row>
    <row r="827">
      <c r="A827" s="5" t="n"/>
      <c r="D827" s="10" t="n"/>
      <c r="F827" s="9" t="n"/>
      <c r="H827" s="8" t="n"/>
    </row>
    <row r="828">
      <c r="A828" s="5" t="n"/>
      <c r="D828" s="10" t="n"/>
      <c r="F828" s="9" t="n"/>
      <c r="H828" s="8" t="n"/>
    </row>
    <row r="829">
      <c r="A829" s="5" t="n"/>
      <c r="D829" s="10" t="n"/>
      <c r="F829" s="9" t="n"/>
      <c r="H829" s="8" t="n"/>
    </row>
    <row r="830">
      <c r="A830" s="5" t="n"/>
      <c r="D830" s="10" t="n"/>
      <c r="F830" s="9" t="n"/>
      <c r="H830" s="8" t="n"/>
    </row>
    <row r="831">
      <c r="A831" s="5" t="n"/>
      <c r="D831" s="10" t="n"/>
      <c r="F831" s="9" t="n"/>
      <c r="H831" s="8" t="n"/>
    </row>
    <row r="832">
      <c r="A832" s="5" t="n"/>
      <c r="D832" s="10" t="n"/>
      <c r="F832" s="9" t="n"/>
      <c r="H832" s="8" t="n"/>
    </row>
    <row r="833">
      <c r="A833" s="5" t="n"/>
      <c r="D833" s="10" t="n"/>
      <c r="F833" s="9" t="n"/>
      <c r="H833" s="8" t="n"/>
    </row>
    <row r="834">
      <c r="A834" s="5" t="n"/>
      <c r="D834" s="10" t="n"/>
      <c r="F834" s="9" t="n"/>
      <c r="H834" s="8" t="n"/>
    </row>
    <row r="835">
      <c r="A835" s="5" t="n"/>
      <c r="D835" s="10" t="n"/>
      <c r="F835" s="9" t="n"/>
      <c r="H835" s="8" t="n"/>
    </row>
    <row r="836">
      <c r="A836" s="5" t="n"/>
      <c r="D836" s="10" t="n"/>
      <c r="F836" s="9" t="n"/>
      <c r="H836" s="8" t="n"/>
    </row>
    <row r="837">
      <c r="A837" s="5" t="n"/>
      <c r="D837" s="10" t="n"/>
      <c r="F837" s="9" t="n"/>
      <c r="H837" s="8" t="n"/>
    </row>
    <row r="838">
      <c r="A838" s="5" t="n"/>
      <c r="D838" s="10" t="n"/>
      <c r="F838" s="9" t="n"/>
      <c r="H838" s="8" t="n"/>
    </row>
    <row r="839">
      <c r="A839" s="5" t="n"/>
      <c r="D839" s="10" t="n"/>
      <c r="F839" s="9" t="n"/>
      <c r="H839" s="8" t="n"/>
    </row>
    <row r="840">
      <c r="A840" s="5" t="n"/>
      <c r="D840" s="10" t="n"/>
      <c r="F840" s="9" t="n"/>
      <c r="H840" s="8" t="n"/>
    </row>
    <row r="841">
      <c r="A841" s="5" t="n"/>
      <c r="D841" s="10" t="n"/>
      <c r="F841" s="9" t="n"/>
      <c r="H841" s="8" t="n"/>
    </row>
    <row r="842">
      <c r="A842" s="5" t="n"/>
      <c r="D842" s="10" t="n"/>
      <c r="F842" s="9" t="n"/>
      <c r="H842" s="8" t="n"/>
    </row>
    <row r="843">
      <c r="A843" s="5" t="n"/>
      <c r="D843" s="10" t="n"/>
      <c r="F843" s="9" t="n"/>
      <c r="H843" s="8" t="n"/>
    </row>
    <row r="844">
      <c r="A844" s="5" t="n"/>
      <c r="D844" s="10" t="n"/>
      <c r="F844" s="9" t="n"/>
      <c r="H844" s="8" t="n"/>
    </row>
    <row r="845">
      <c r="A845" s="5" t="n"/>
      <c r="D845" s="10" t="n"/>
      <c r="F845" s="9" t="n"/>
      <c r="H845" s="8" t="n"/>
    </row>
    <row r="846">
      <c r="A846" s="5" t="n"/>
      <c r="D846" s="10" t="n"/>
      <c r="F846" s="9" t="n"/>
      <c r="H846" s="8" t="n"/>
    </row>
    <row r="847">
      <c r="A847" s="5" t="n"/>
      <c r="D847" s="10" t="n"/>
      <c r="F847" s="9" t="n"/>
      <c r="H847" s="8" t="n"/>
    </row>
    <row r="848">
      <c r="A848" s="5" t="n"/>
      <c r="D848" s="10" t="n"/>
      <c r="F848" s="9" t="n"/>
      <c r="H848" s="8" t="n"/>
    </row>
    <row r="849">
      <c r="A849" s="5" t="n"/>
      <c r="D849" s="10" t="n"/>
      <c r="F849" s="9" t="n"/>
      <c r="H849" s="8" t="n"/>
    </row>
    <row r="850">
      <c r="A850" s="5" t="n"/>
      <c r="D850" s="10" t="n"/>
      <c r="F850" s="9" t="n"/>
      <c r="H850" s="8" t="n"/>
    </row>
    <row r="851">
      <c r="A851" s="5" t="n"/>
      <c r="D851" s="10" t="n"/>
      <c r="F851" s="9" t="n"/>
      <c r="H851" s="8" t="n"/>
    </row>
    <row r="852">
      <c r="A852" s="5" t="n"/>
      <c r="D852" s="10" t="n"/>
      <c r="F852" s="9" t="n"/>
      <c r="H852" s="8" t="n"/>
    </row>
    <row r="853">
      <c r="A853" s="5" t="n"/>
      <c r="D853" s="10" t="n"/>
      <c r="F853" s="9" t="n"/>
      <c r="H853" s="8" t="n"/>
    </row>
    <row r="854">
      <c r="A854" s="5" t="n"/>
      <c r="D854" s="10" t="n"/>
      <c r="F854" s="9" t="n"/>
      <c r="H854" s="8" t="n"/>
    </row>
    <row r="855">
      <c r="A855" s="5" t="n"/>
      <c r="D855" s="10" t="n"/>
      <c r="F855" s="9" t="n"/>
      <c r="H855" s="8" t="n"/>
    </row>
    <row r="856">
      <c r="A856" s="5" t="n"/>
      <c r="D856" s="10" t="n"/>
      <c r="F856" s="9" t="n"/>
      <c r="H856" s="8" t="n"/>
    </row>
    <row r="857">
      <c r="A857" s="5" t="n"/>
      <c r="D857" s="10" t="n"/>
      <c r="F857" s="9" t="n"/>
      <c r="H857" s="8" t="n"/>
    </row>
    <row r="858">
      <c r="A858" s="5" t="n"/>
      <c r="D858" s="10" t="n"/>
      <c r="F858" s="9" t="n"/>
      <c r="H858" s="8" t="n"/>
    </row>
    <row r="859">
      <c r="A859" s="5" t="n"/>
      <c r="D859" s="10" t="n"/>
      <c r="F859" s="9" t="n"/>
      <c r="H859" s="8" t="n"/>
    </row>
    <row r="860">
      <c r="A860" s="5" t="n"/>
      <c r="D860" s="10" t="n"/>
      <c r="F860" s="9" t="n"/>
      <c r="H860" s="8" t="n"/>
    </row>
    <row r="861">
      <c r="A861" s="5" t="n"/>
      <c r="D861" s="10" t="n"/>
      <c r="F861" s="9" t="n"/>
      <c r="H861" s="8" t="n"/>
    </row>
    <row r="862">
      <c r="A862" s="5" t="n"/>
      <c r="D862" s="10" t="n"/>
      <c r="F862" s="9" t="n"/>
      <c r="H862" s="8" t="n"/>
    </row>
    <row r="863">
      <c r="A863" s="5" t="n"/>
      <c r="D863" s="10" t="n"/>
      <c r="F863" s="9" t="n"/>
      <c r="H863" s="8" t="n"/>
    </row>
    <row r="864">
      <c r="A864" s="5" t="n"/>
      <c r="D864" s="10" t="n"/>
      <c r="F864" s="9" t="n"/>
      <c r="H864" s="8" t="n"/>
    </row>
    <row r="865">
      <c r="A865" s="5" t="n"/>
      <c r="D865" s="10" t="n"/>
      <c r="F865" s="9" t="n"/>
      <c r="H865" s="8" t="n"/>
    </row>
    <row r="866">
      <c r="A866" s="5" t="n"/>
      <c r="D866" s="10" t="n"/>
      <c r="F866" s="9" t="n"/>
      <c r="H866" s="8" t="n"/>
    </row>
    <row r="867">
      <c r="A867" s="5" t="n"/>
      <c r="D867" s="10" t="n"/>
      <c r="F867" s="9" t="n"/>
      <c r="H867" s="8" t="n"/>
    </row>
    <row r="868">
      <c r="A868" s="5" t="n"/>
      <c r="D868" s="10" t="n"/>
      <c r="F868" s="9" t="n"/>
      <c r="H868" s="8" t="n"/>
    </row>
    <row r="869">
      <c r="A869" s="7" t="n"/>
      <c r="D869" s="10" t="n"/>
      <c r="F869" s="9" t="n"/>
      <c r="H869" s="8" t="n"/>
    </row>
    <row r="870">
      <c r="D870" s="10" t="n"/>
      <c r="F870" s="9" t="n"/>
      <c r="H870" s="8" t="n"/>
    </row>
    <row r="871">
      <c r="D871" s="10" t="n"/>
      <c r="F871" s="9" t="n"/>
      <c r="H871" s="8" t="n"/>
    </row>
    <row r="872">
      <c r="D872" s="10" t="n"/>
      <c r="F872" s="9" t="n"/>
      <c r="H872" s="8" t="n"/>
    </row>
    <row r="873">
      <c r="A873" s="3" t="n"/>
      <c r="D873" s="10" t="n"/>
      <c r="F873" s="9" t="n"/>
      <c r="H873" s="8" t="n"/>
    </row>
    <row r="874">
      <c r="A874" s="3" t="n"/>
      <c r="D874" s="10" t="n"/>
      <c r="F874" s="9" t="n"/>
      <c r="H874" s="8" t="n"/>
    </row>
    <row r="875">
      <c r="A875" s="5" t="n"/>
      <c r="D875" s="10" t="n"/>
      <c r="F875" s="9" t="n"/>
      <c r="H875" s="8" t="n"/>
    </row>
    <row r="876">
      <c r="A876" s="5" t="n"/>
      <c r="D876" s="10" t="n"/>
      <c r="F876" s="9" t="n"/>
      <c r="H876" s="8" t="n"/>
    </row>
    <row r="877">
      <c r="A877" s="5" t="n"/>
      <c r="D877" s="10" t="n"/>
      <c r="F877" s="9" t="n"/>
      <c r="H877" s="8" t="n"/>
    </row>
    <row r="878">
      <c r="A878" s="5" t="n"/>
      <c r="D878" s="10" t="n"/>
      <c r="F878" s="9" t="n"/>
      <c r="H878" s="8" t="n"/>
    </row>
    <row r="879">
      <c r="A879" s="5" t="n"/>
      <c r="D879" s="10" t="n"/>
      <c r="F879" s="9" t="n"/>
      <c r="H879" s="8" t="n"/>
    </row>
    <row r="880">
      <c r="A880" s="5" t="n"/>
      <c r="D880" s="10" t="n"/>
      <c r="F880" s="9" t="n"/>
      <c r="H880" s="8" t="n"/>
    </row>
    <row r="881">
      <c r="A881" s="5" t="n"/>
      <c r="D881" s="10" t="n"/>
      <c r="F881" s="9" t="n"/>
      <c r="H881" s="8" t="n"/>
    </row>
    <row r="882">
      <c r="A882" s="5" t="n"/>
      <c r="D882" s="10" t="n"/>
      <c r="F882" s="9" t="n"/>
      <c r="H882" s="8" t="n"/>
    </row>
    <row r="883">
      <c r="A883" s="5" t="n"/>
      <c r="D883" s="10" t="n"/>
      <c r="F883" s="9" t="n"/>
      <c r="H883" s="8" t="n"/>
    </row>
    <row r="884">
      <c r="A884" s="5" t="n"/>
      <c r="D884" s="10" t="n"/>
      <c r="F884" s="9" t="n"/>
      <c r="H884" s="8" t="n"/>
    </row>
    <row r="885">
      <c r="A885" s="5" t="n"/>
      <c r="D885" s="10" t="n"/>
      <c r="F885" s="9" t="n"/>
      <c r="H885" s="8" t="n"/>
    </row>
    <row r="886">
      <c r="A886" s="5" t="n"/>
      <c r="D886" s="10" t="n"/>
      <c r="F886" s="9" t="n"/>
      <c r="H886" s="8" t="n"/>
    </row>
    <row r="887">
      <c r="A887" s="5" t="n"/>
      <c r="D887" s="10" t="n"/>
      <c r="F887" s="9" t="n"/>
      <c r="H887" s="8" t="n"/>
    </row>
    <row r="888">
      <c r="A888" s="5" t="n"/>
      <c r="D888" s="10" t="n"/>
      <c r="F888" s="9" t="n"/>
      <c r="H888" s="8" t="n"/>
    </row>
    <row r="889">
      <c r="A889" s="5" t="n"/>
      <c r="D889" s="10" t="n"/>
      <c r="F889" s="9" t="n"/>
      <c r="H889" s="8" t="n"/>
    </row>
    <row r="890">
      <c r="A890" s="5" t="n"/>
      <c r="D890" s="10" t="n"/>
      <c r="F890" s="9" t="n"/>
      <c r="H890" s="8" t="n"/>
    </row>
    <row r="891">
      <c r="A891" s="5" t="n"/>
      <c r="D891" s="10" t="n"/>
      <c r="F891" s="9" t="n"/>
      <c r="H891" s="8" t="n"/>
    </row>
    <row r="892">
      <c r="A892" s="5" t="n"/>
      <c r="D892" s="10" t="n"/>
      <c r="F892" s="9" t="n"/>
      <c r="H892" s="8" t="n"/>
    </row>
    <row r="893">
      <c r="A893" s="5" t="n"/>
      <c r="D893" s="10" t="n"/>
      <c r="F893" s="9" t="n"/>
      <c r="H893" s="8" t="n"/>
    </row>
    <row r="894">
      <c r="A894" s="5" t="n"/>
      <c r="D894" s="10" t="n"/>
      <c r="F894" s="9" t="n"/>
      <c r="H894" s="8" t="n"/>
    </row>
    <row r="895">
      <c r="A895" s="5" t="n"/>
      <c r="D895" s="10" t="n"/>
      <c r="F895" s="9" t="n"/>
      <c r="H895" s="8" t="n"/>
    </row>
    <row r="896">
      <c r="A896" s="5" t="n"/>
      <c r="D896" s="10" t="n"/>
      <c r="F896" s="9" t="n"/>
      <c r="H896" s="8" t="n"/>
    </row>
    <row r="897">
      <c r="A897" s="5" t="n"/>
      <c r="D897" s="10" t="n"/>
      <c r="F897" s="9" t="n"/>
      <c r="H897" s="8" t="n"/>
    </row>
    <row r="898">
      <c r="A898" s="5" t="n"/>
      <c r="D898" s="10" t="n"/>
      <c r="F898" s="9" t="n"/>
      <c r="H898" s="8" t="n"/>
    </row>
    <row r="899">
      <c r="A899" s="5" t="n"/>
      <c r="D899" s="10" t="n"/>
      <c r="F899" s="9" t="n"/>
      <c r="H899" s="8" t="n"/>
    </row>
    <row r="900">
      <c r="A900" s="5" t="n"/>
      <c r="D900" s="10" t="n"/>
      <c r="F900" s="9" t="n"/>
      <c r="H900" s="8" t="n"/>
    </row>
    <row r="901">
      <c r="A901" s="5" t="n"/>
      <c r="D901" s="10" t="n"/>
      <c r="F901" s="9" t="n"/>
      <c r="H901" s="8" t="n"/>
    </row>
    <row r="902">
      <c r="A902" s="5" t="n"/>
      <c r="D902" s="10" t="n"/>
      <c r="F902" s="9" t="n"/>
      <c r="H902" s="8" t="n"/>
    </row>
    <row r="903">
      <c r="A903" s="5" t="n"/>
      <c r="D903" s="10" t="n"/>
      <c r="F903" s="9" t="n"/>
      <c r="H903" s="8" t="n"/>
    </row>
    <row r="904">
      <c r="A904" s="5" t="n"/>
      <c r="D904" s="10" t="n"/>
      <c r="F904" s="9" t="n"/>
      <c r="H904" s="8" t="n"/>
    </row>
    <row r="905">
      <c r="A905" s="5" t="n"/>
      <c r="D905" s="10" t="n"/>
      <c r="F905" s="9" t="n"/>
      <c r="H905" s="8" t="n"/>
    </row>
    <row r="906">
      <c r="A906" s="5" t="n"/>
      <c r="D906" s="10" t="n"/>
      <c r="F906" s="9" t="n"/>
      <c r="H906" s="8" t="n"/>
    </row>
    <row r="907">
      <c r="A907" s="5" t="n"/>
      <c r="D907" s="10" t="n"/>
      <c r="F907" s="9" t="n"/>
      <c r="H907" s="8" t="n"/>
    </row>
    <row r="908">
      <c r="A908" s="5" t="n"/>
      <c r="D908" s="10" t="n"/>
      <c r="F908" s="9" t="n"/>
      <c r="H908" s="8" t="n"/>
    </row>
    <row r="909">
      <c r="A909" s="5" t="n"/>
      <c r="D909" s="10" t="n"/>
      <c r="F909" s="9" t="n"/>
      <c r="H909" s="8" t="n"/>
    </row>
    <row r="910">
      <c r="A910" s="5" t="n"/>
      <c r="D910" s="10" t="n"/>
      <c r="F910" s="9" t="n"/>
      <c r="H910" s="8" t="n"/>
    </row>
    <row r="911">
      <c r="A911" s="5" t="n"/>
      <c r="D911" s="10" t="n"/>
      <c r="F911" s="9" t="n"/>
      <c r="H911" s="8" t="n"/>
    </row>
    <row r="912">
      <c r="A912" s="5" t="n"/>
      <c r="D912" s="10" t="n"/>
      <c r="F912" s="9" t="n"/>
      <c r="H912" s="8" t="n"/>
    </row>
    <row r="913">
      <c r="A913" s="5" t="n"/>
      <c r="D913" s="10" t="n"/>
      <c r="F913" s="9" t="n"/>
      <c r="H913" s="8" t="n"/>
    </row>
    <row r="914">
      <c r="A914" s="5" t="n"/>
      <c r="D914" s="10" t="n"/>
      <c r="F914" s="9" t="n"/>
      <c r="H914" s="8" t="n"/>
    </row>
    <row r="915">
      <c r="A915" s="5" t="n"/>
      <c r="D915" s="10" t="n"/>
      <c r="F915" s="9" t="n"/>
      <c r="H915" s="8" t="n"/>
    </row>
    <row r="916">
      <c r="A916" s="5" t="n"/>
      <c r="D916" s="10" t="n"/>
      <c r="F916" s="9" t="n"/>
      <c r="H916" s="8" t="n"/>
    </row>
    <row r="917">
      <c r="A917" s="5" t="n"/>
      <c r="D917" s="10" t="n"/>
      <c r="F917" s="9" t="n"/>
      <c r="H917" s="8" t="n"/>
    </row>
    <row r="918">
      <c r="A918" s="5" t="n"/>
      <c r="D918" s="10" t="n"/>
      <c r="F918" s="9" t="n"/>
      <c r="H918" s="8" t="n"/>
    </row>
    <row r="919">
      <c r="A919" s="5" t="n"/>
      <c r="D919" s="10" t="n"/>
      <c r="F919" s="9" t="n"/>
      <c r="H919" s="8" t="n"/>
    </row>
    <row r="920">
      <c r="A920" s="5" t="n"/>
      <c r="D920" s="10" t="n"/>
      <c r="F920" s="9" t="n"/>
      <c r="H920" s="8" t="n"/>
    </row>
    <row r="921">
      <c r="A921" s="5" t="n"/>
      <c r="D921" s="10" t="n"/>
      <c r="F921" s="9" t="n"/>
      <c r="H921" s="8" t="n"/>
    </row>
    <row r="922">
      <c r="A922" s="5" t="n"/>
      <c r="D922" s="10" t="n"/>
      <c r="F922" s="9" t="n"/>
      <c r="H922" s="8" t="n"/>
    </row>
    <row r="923">
      <c r="A923" s="5" t="n"/>
      <c r="D923" s="10" t="n"/>
      <c r="F923" s="9" t="n"/>
      <c r="H923" s="8" t="n"/>
    </row>
    <row r="924">
      <c r="A924" s="5" t="n"/>
      <c r="D924" s="10" t="n"/>
      <c r="F924" s="9" t="n"/>
      <c r="H924" s="8" t="n"/>
    </row>
    <row r="925">
      <c r="A925" s="5" t="n"/>
      <c r="D925" s="10" t="n"/>
      <c r="F925" s="9" t="n"/>
      <c r="H925" s="8" t="n"/>
    </row>
    <row r="926">
      <c r="A926" s="5" t="n"/>
      <c r="D926" s="10" t="n"/>
      <c r="F926" s="9" t="n"/>
      <c r="H926" s="8" t="n"/>
    </row>
    <row r="927">
      <c r="A927" s="5" t="n"/>
      <c r="D927" s="10" t="n"/>
      <c r="F927" s="9" t="n"/>
      <c r="H927" s="8" t="n"/>
    </row>
    <row r="928">
      <c r="A928" s="5" t="n"/>
      <c r="D928" s="10" t="n"/>
      <c r="F928" s="9" t="n"/>
      <c r="H928" s="8" t="n"/>
    </row>
    <row r="929">
      <c r="A929" s="5" t="n"/>
      <c r="D929" s="10" t="n"/>
      <c r="F929" s="9" t="n"/>
      <c r="H929" s="8" t="n"/>
    </row>
    <row r="930">
      <c r="A930" s="5" t="n"/>
      <c r="D930" s="10" t="n"/>
      <c r="F930" s="9" t="n"/>
      <c r="H930" s="8" t="n"/>
    </row>
    <row r="931">
      <c r="A931" s="5" t="n"/>
      <c r="D931" s="10" t="n"/>
      <c r="F931" s="9" t="n"/>
      <c r="H931" s="8" t="n"/>
    </row>
    <row r="932">
      <c r="A932" s="5" t="n"/>
      <c r="D932" s="10" t="n"/>
      <c r="F932" s="9" t="n"/>
      <c r="H932" s="8" t="n"/>
    </row>
    <row r="933">
      <c r="A933" s="5" t="n"/>
      <c r="D933" s="10" t="n"/>
      <c r="F933" s="9" t="n"/>
      <c r="H933" s="8" t="n"/>
    </row>
    <row r="934">
      <c r="A934" s="5" t="n"/>
      <c r="D934" s="10" t="n"/>
      <c r="F934" s="9" t="n"/>
      <c r="H934" s="8" t="n"/>
    </row>
    <row r="935">
      <c r="A935" s="5" t="n"/>
      <c r="D935" s="10" t="n"/>
      <c r="F935" s="9" t="n"/>
      <c r="H935" s="8" t="n"/>
    </row>
    <row r="936">
      <c r="A936" s="5" t="n"/>
      <c r="D936" s="10" t="n"/>
      <c r="F936" s="9" t="n"/>
      <c r="H936" s="8" t="n"/>
    </row>
    <row r="937">
      <c r="A937" s="5" t="n"/>
      <c r="D937" s="10" t="n"/>
      <c r="F937" s="9" t="n"/>
      <c r="H937" s="8" t="n"/>
    </row>
    <row r="938">
      <c r="A938" s="5" t="n"/>
      <c r="D938" s="10" t="n"/>
      <c r="F938" s="9" t="n"/>
      <c r="H938" s="8" t="n"/>
    </row>
    <row r="939">
      <c r="A939" s="5" t="n"/>
      <c r="D939" s="10" t="n"/>
      <c r="F939" s="9" t="n"/>
      <c r="H939" s="8" t="n"/>
    </row>
    <row r="940">
      <c r="A940" s="5" t="n"/>
      <c r="D940" s="10" t="n"/>
      <c r="F940" s="9" t="n"/>
      <c r="H940" s="8" t="n"/>
    </row>
    <row r="941">
      <c r="A941" s="5" t="n"/>
      <c r="D941" s="10" t="n"/>
      <c r="F941" s="9" t="n"/>
      <c r="H941" s="8" t="n"/>
    </row>
    <row r="942">
      <c r="A942" s="7" t="n"/>
      <c r="D942" s="10" t="n"/>
      <c r="F942" s="9" t="n"/>
      <c r="H942" s="8" t="n"/>
    </row>
    <row r="943">
      <c r="D943" s="10" t="n"/>
      <c r="F943" s="9" t="n"/>
      <c r="H943" s="8" t="n"/>
    </row>
    <row r="944">
      <c r="D944" s="10" t="n"/>
      <c r="F944" s="9" t="n"/>
      <c r="H944" s="8" t="n"/>
    </row>
    <row r="945">
      <c r="D945" s="10" t="n"/>
      <c r="F945" s="9" t="n"/>
      <c r="H945" s="8" t="n"/>
    </row>
    <row r="946">
      <c r="D946" s="10" t="n"/>
      <c r="F946" s="9" t="n"/>
      <c r="H946" s="8" t="n"/>
    </row>
    <row r="947">
      <c r="D947" s="10" t="n"/>
      <c r="F947" s="9" t="n"/>
      <c r="H947" s="8" t="n"/>
    </row>
    <row r="948">
      <c r="D948" s="10" t="n"/>
      <c r="F948" s="9" t="n"/>
      <c r="H948" s="8" t="n"/>
    </row>
    <row r="949">
      <c r="D949" s="10" t="n"/>
      <c r="F949" s="9" t="n"/>
      <c r="H949" s="8" t="n"/>
    </row>
    <row r="950">
      <c r="D950" s="10" t="n"/>
      <c r="F950" s="9" t="n"/>
      <c r="H950" s="8" t="n"/>
    </row>
    <row r="951">
      <c r="D951" s="10" t="n"/>
      <c r="F951" s="9" t="n"/>
      <c r="H951" s="8" t="n"/>
    </row>
    <row r="952">
      <c r="D952" s="10" t="n"/>
      <c r="F952" s="9" t="n"/>
      <c r="H952" s="8" t="n"/>
    </row>
    <row r="953">
      <c r="D953" s="10" t="n"/>
      <c r="F953" s="9" t="n"/>
      <c r="H953" s="8" t="n"/>
    </row>
    <row r="954">
      <c r="D954" s="10" t="n"/>
      <c r="F954" s="9" t="n"/>
      <c r="H954" s="8" t="n"/>
    </row>
    <row r="955">
      <c r="D955" s="10" t="n"/>
      <c r="F955" s="9" t="n"/>
      <c r="H955" s="8" t="n"/>
    </row>
    <row r="956">
      <c r="D956" s="10" t="n"/>
      <c r="F956" s="9" t="n"/>
      <c r="H956" s="8" t="n"/>
    </row>
    <row r="957">
      <c r="D957" s="10" t="n"/>
      <c r="F957" s="9" t="n"/>
      <c r="H957" s="8" t="n"/>
    </row>
    <row r="958">
      <c r="D958" s="10" t="n"/>
      <c r="F958" s="9" t="n"/>
      <c r="H958" s="8" t="n"/>
    </row>
    <row r="959">
      <c r="D959" s="10" t="n"/>
      <c r="F959" s="9" t="n"/>
      <c r="H959" s="8" t="n"/>
    </row>
    <row r="960">
      <c r="D960" s="10" t="n"/>
      <c r="F960" s="9" t="n"/>
      <c r="H960" s="8" t="n"/>
    </row>
    <row r="961">
      <c r="D961" s="10" t="n"/>
      <c r="F961" s="9" t="n"/>
      <c r="H961" s="8" t="n"/>
    </row>
    <row r="962">
      <c r="D962" s="10" t="n"/>
      <c r="F962" s="9" t="n"/>
      <c r="H962" s="8" t="n"/>
    </row>
    <row r="963">
      <c r="D963" s="10" t="n"/>
      <c r="F963" s="9" t="n"/>
      <c r="H963" s="8" t="n"/>
    </row>
    <row r="964">
      <c r="D964" s="10" t="n"/>
      <c r="F964" s="9" t="n"/>
      <c r="H964" s="8" t="n"/>
    </row>
    <row r="965">
      <c r="D965" s="10" t="n"/>
      <c r="F965" s="9" t="n"/>
      <c r="H965" s="8" t="n"/>
    </row>
    <row r="966">
      <c r="D966" s="10" t="n"/>
      <c r="F966" s="9" t="n"/>
      <c r="H966" s="8" t="n"/>
    </row>
    <row r="967">
      <c r="D967" s="10" t="n"/>
      <c r="F967" s="9" t="n"/>
      <c r="H967" s="8" t="n"/>
    </row>
    <row r="968">
      <c r="D968" s="10" t="n"/>
      <c r="F968" s="9" t="n"/>
      <c r="H968" s="8" t="n"/>
    </row>
    <row r="969">
      <c r="D969" s="10" t="n"/>
      <c r="F969" s="9" t="n"/>
      <c r="H969" s="8" t="n"/>
    </row>
    <row r="970">
      <c r="D970" s="10" t="n"/>
      <c r="F970" s="9" t="n"/>
      <c r="H970" s="8" t="n"/>
    </row>
    <row r="971">
      <c r="D971" s="10" t="n"/>
      <c r="F971" s="9" t="n"/>
      <c r="H971" s="8" t="n"/>
    </row>
    <row r="972">
      <c r="D972" s="10" t="n"/>
      <c r="F972" s="9" t="n"/>
      <c r="H972" s="8" t="n"/>
    </row>
    <row r="973">
      <c r="D973" s="10" t="n"/>
      <c r="F973" s="9" t="n"/>
      <c r="H973" s="8" t="n"/>
    </row>
    <row r="974">
      <c r="D974" s="10" t="n"/>
      <c r="F974" s="9" t="n"/>
      <c r="H974" s="8" t="n"/>
    </row>
    <row r="975">
      <c r="D975" s="10" t="n"/>
      <c r="F975" s="9" t="n"/>
      <c r="H975" s="8" t="n"/>
    </row>
    <row r="976">
      <c r="D976" s="10" t="n"/>
      <c r="F976" s="9" t="n"/>
      <c r="H976" s="8" t="n"/>
    </row>
    <row r="977">
      <c r="D977" s="10" t="n"/>
      <c r="F977" s="9" t="n"/>
      <c r="H977" s="8" t="n"/>
    </row>
    <row r="978">
      <c r="D978" s="10" t="n"/>
      <c r="F978" s="9" t="n"/>
      <c r="H978" s="8" t="n"/>
    </row>
    <row r="979">
      <c r="D979" s="10" t="n"/>
      <c r="F979" s="9" t="n"/>
      <c r="H979" s="8" t="n"/>
    </row>
    <row r="980">
      <c r="D980" s="10" t="n"/>
      <c r="F980" s="9" t="n"/>
      <c r="H980" s="8" t="n"/>
    </row>
    <row r="981">
      <c r="D981" s="10" t="n"/>
      <c r="F981" s="9" t="n"/>
      <c r="H981" s="8" t="n"/>
    </row>
    <row r="982">
      <c r="D982" s="10" t="n"/>
      <c r="F982" s="9" t="n"/>
      <c r="H982" s="8" t="n"/>
    </row>
    <row r="983">
      <c r="D983" s="10" t="n"/>
      <c r="F983" s="9" t="n"/>
      <c r="H983" s="8" t="n"/>
    </row>
    <row r="984">
      <c r="D984" s="10" t="n"/>
      <c r="F984" s="9" t="n"/>
      <c r="H984" s="8" t="n"/>
    </row>
    <row r="985">
      <c r="D985" s="10" t="n"/>
      <c r="F985" s="9" t="n"/>
      <c r="H985" s="8" t="n"/>
    </row>
    <row r="986">
      <c r="D986" s="10" t="n"/>
      <c r="F986" s="9" t="n"/>
      <c r="H986" s="8" t="n"/>
    </row>
    <row r="987">
      <c r="D987" s="10" t="n"/>
      <c r="F987" s="9" t="n"/>
      <c r="H987" s="8" t="n"/>
    </row>
    <row r="988">
      <c r="D988" s="10" t="n"/>
      <c r="F988" s="9" t="n"/>
      <c r="H988" s="8" t="n"/>
    </row>
    <row r="989">
      <c r="D989" s="10" t="n"/>
      <c r="F989" s="9" t="n"/>
      <c r="H989" s="8" t="n"/>
    </row>
    <row r="990">
      <c r="D990" s="10" t="n"/>
      <c r="F990" s="9" t="n"/>
      <c r="H990" s="8" t="n"/>
    </row>
    <row r="991">
      <c r="D991" s="10" t="n"/>
      <c r="F991" s="9" t="n"/>
      <c r="H991" s="8" t="n"/>
    </row>
    <row r="992">
      <c r="D992" s="10" t="n"/>
      <c r="F992" s="9" t="n"/>
      <c r="H992" s="8" t="n"/>
    </row>
    <row r="993">
      <c r="D993" s="10" t="n"/>
      <c r="F993" s="9" t="n"/>
      <c r="H993" s="8" t="n"/>
    </row>
    <row r="994">
      <c r="D994" s="10" t="n"/>
      <c r="F994" s="9" t="n"/>
      <c r="H994" s="8" t="n"/>
    </row>
    <row r="995">
      <c r="D995" s="10" t="n"/>
      <c r="F995" s="9" t="n"/>
      <c r="H995" s="8" t="n"/>
    </row>
    <row r="996">
      <c r="D996" s="10" t="n"/>
      <c r="F996" s="9" t="n"/>
      <c r="H996" s="8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min="1" max="1"/>
    <col width="30.42578125" customWidth="1" min="2" max="2"/>
    <col width="22" customWidth="1" min="3" max="18"/>
    <col width="35.85546875" customWidth="1" min="19" max="19"/>
    <col width="10.28515625" customWidth="1" min="20" max="20"/>
  </cols>
  <sheetData>
    <row r="1" ht="16.5" customHeight="1">
      <c r="A1" s="92" t="n"/>
      <c r="B1" s="92" t="inlineStr">
        <is>
          <t>JANUARY 2027 EXPENSES</t>
        </is>
      </c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  <c r="O1" s="119" t="n"/>
      <c r="P1" s="119" t="n"/>
      <c r="Q1" s="119" t="n"/>
      <c r="R1" s="119" t="n"/>
      <c r="S1" s="119" t="n"/>
      <c r="T1" s="120" t="n"/>
    </row>
    <row r="2" ht="58.5" customHeight="1">
      <c r="A2" s="39" t="inlineStr">
        <is>
          <t>FLAT #</t>
        </is>
      </c>
      <c r="B2" s="39" t="n">
        <v>0</v>
      </c>
      <c r="C2" s="39" t="inlineStr">
        <is>
          <t>WATER USED IN LTRS</t>
        </is>
      </c>
      <c r="D2" s="39" t="inlineStr">
        <is>
          <t>COMMON AREA EQUALLY DEVIDED</t>
        </is>
      </c>
      <c r="E2" s="39" t="inlineStr">
        <is>
          <t>TOTAL FRESH WATER CONSUMED</t>
        </is>
      </c>
      <c r="F2" s="39" t="inlineStr">
        <is>
          <t>%OF TOTAL USED</t>
        </is>
      </c>
      <c r="G2" s="39" t="inlineStr">
        <is>
          <t>WATER EXPENSE SHARING BY %</t>
        </is>
      </c>
      <c r="H2" s="39" t="inlineStr">
        <is>
          <t>#METERS</t>
        </is>
      </c>
      <c r="I2" s="39" t="inlineStr">
        <is>
          <t>METER RENT</t>
        </is>
      </c>
      <c r="J2" s="39" t="inlineStr">
        <is>
          <t>COMMON AREA METER RENT + WATER EXPENSE+ FLAT METER RENT</t>
        </is>
      </c>
      <c r="K2" s="39" t="inlineStr">
        <is>
          <t>FIXED EXPENSE SHARE</t>
        </is>
      </c>
      <c r="L2" s="39" t="inlineStr">
        <is>
          <t>PARKING FEE</t>
        </is>
      </c>
      <c r="M2" s="39" t="inlineStr">
        <is>
          <t>CLUB BOOKING FEE</t>
        </is>
      </c>
      <c r="N2" s="39" t="inlineStr">
        <is>
          <t>SHIFTING FEE</t>
        </is>
      </c>
      <c r="O2" s="39" t="inlineStr">
        <is>
          <t>GYM USAGE FEE</t>
        </is>
      </c>
      <c r="P2" s="39" t="n"/>
      <c r="Q2" s="39" t="n"/>
      <c r="R2" s="39" t="inlineStr">
        <is>
          <t>TOTAL EXPENSE TO BE PAID</t>
        </is>
      </c>
      <c r="S2" s="39" t="n"/>
      <c r="T2" s="39" t="n"/>
    </row>
    <row r="3" ht="12.75" customHeight="1">
      <c r="A3" s="40" t="inlineStr">
        <is>
          <t>CH</t>
        </is>
      </c>
      <c r="B3" s="40" t="inlineStr">
        <is>
          <t>MPFOWA</t>
        </is>
      </c>
      <c r="C3" s="41" t="n">
        <v>0</v>
      </c>
      <c r="D3" s="41" t="n">
        <v>0</v>
      </c>
      <c r="E3" s="41" t="n"/>
      <c r="F3" s="41" t="n"/>
      <c r="G3" s="41" t="n"/>
      <c r="H3" s="41" t="n">
        <v>1</v>
      </c>
      <c r="I3" s="41">
        <f>T7</f>
        <v/>
      </c>
      <c r="J3" s="41" t="n"/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</row>
    <row r="4" ht="12.75" customHeight="1">
      <c r="A4" s="42" t="inlineStr">
        <is>
          <t>GYM</t>
        </is>
      </c>
      <c r="B4" s="42" t="inlineStr">
        <is>
          <t>MPFOWA</t>
        </is>
      </c>
      <c r="C4" s="43" t="n">
        <v>0</v>
      </c>
      <c r="D4" s="43" t="n">
        <v>0</v>
      </c>
      <c r="E4" s="43" t="n"/>
      <c r="F4" s="43" t="n"/>
      <c r="G4" s="43" t="n"/>
      <c r="H4" s="43" t="n">
        <v>1</v>
      </c>
      <c r="I4" s="43">
        <f>T7</f>
        <v/>
      </c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inlineStr">
        <is>
          <t>TOTAL FIXED EXPENSE</t>
        </is>
      </c>
      <c r="T4" s="43">
        <f>'ANNUAL-EXPENSE-DETAILS'!AB12</f>
        <v/>
      </c>
    </row>
    <row r="5" ht="12.75" customHeight="1">
      <c r="A5" s="40" t="inlineStr">
        <is>
          <t>BSMT</t>
        </is>
      </c>
      <c r="B5" s="40" t="inlineStr">
        <is>
          <t>MPFOWA</t>
        </is>
      </c>
      <c r="C5" s="41" t="n">
        <v>0</v>
      </c>
      <c r="D5" s="41" t="n">
        <v>0</v>
      </c>
      <c r="E5" s="41" t="n"/>
      <c r="F5" s="41" t="n"/>
      <c r="G5" s="41" t="n"/>
      <c r="H5" s="41" t="n">
        <v>1</v>
      </c>
      <c r="I5" s="41">
        <f>T7</f>
        <v/>
      </c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inlineStr">
        <is>
          <t>TOTAL WATER EXPENSE</t>
        </is>
      </c>
      <c r="T5" s="41">
        <f>'ANNUAL-EXPENSE-DETAILS'!AA12</f>
        <v/>
      </c>
    </row>
    <row r="6" ht="12.75" customHeight="1">
      <c r="A6" s="42" t="inlineStr">
        <is>
          <t>F1</t>
        </is>
      </c>
      <c r="B6" s="42">
        <f>VLOOKUP(A6,Members!$A$2:$B$65,2,FALSE)</f>
        <v/>
      </c>
      <c r="C6" s="43" t="n">
        <v>0</v>
      </c>
      <c r="D6" s="43">
        <f>SUM($C$3:$C$5)/64</f>
        <v/>
      </c>
      <c r="E6" s="43">
        <f>C6+D6</f>
        <v/>
      </c>
      <c r="F6" s="43">
        <f>IF($C$70=0, 0, E6/$C$70)</f>
        <v/>
      </c>
      <c r="G6" s="43">
        <f>F6*$T$5</f>
        <v/>
      </c>
      <c r="H6" s="43" t="n">
        <v>3</v>
      </c>
      <c r="I6" s="43">
        <f>$T$7*H6</f>
        <v/>
      </c>
      <c r="J6" s="43">
        <f>G6+$T$9+I6</f>
        <v/>
      </c>
      <c r="K6" s="43">
        <f>$T$11/64</f>
        <v/>
      </c>
      <c r="L6" s="43" t="n">
        <v>0</v>
      </c>
      <c r="M6" s="43" t="n">
        <v>0</v>
      </c>
      <c r="N6" s="43" t="n">
        <v>0</v>
      </c>
      <c r="O6" s="43" t="n">
        <v>0</v>
      </c>
      <c r="P6" s="43" t="n"/>
      <c r="Q6" s="43" t="n"/>
      <c r="R6" s="43">
        <f>(J6+K6+L6+M6+N6+O6)*$B$2</f>
        <v/>
      </c>
      <c r="S6" s="43" t="n"/>
      <c r="T6" s="43" t="n"/>
    </row>
    <row r="7" ht="12.75" customHeight="1">
      <c r="A7" s="40" t="inlineStr">
        <is>
          <t>F2</t>
        </is>
      </c>
      <c r="B7" s="40">
        <f>VLOOKUP(A7,Members!$A$2:$B$65,2,FALSE)</f>
        <v/>
      </c>
      <c r="C7" s="41" t="n">
        <v>0</v>
      </c>
      <c r="D7" s="41">
        <f>SUM($C$3:$C$5)/64</f>
        <v/>
      </c>
      <c r="E7" s="41">
        <f>C7+D7</f>
        <v/>
      </c>
      <c r="F7" s="41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$T$11/64</f>
        <v/>
      </c>
      <c r="L7" s="41" t="n">
        <v>0</v>
      </c>
      <c r="M7" s="41" t="n">
        <v>0</v>
      </c>
      <c r="N7" s="41" t="n">
        <v>0</v>
      </c>
      <c r="O7" s="41" t="n">
        <v>0</v>
      </c>
      <c r="P7" s="41" t="n"/>
      <c r="Q7" s="41" t="n"/>
      <c r="R7" s="41">
        <f>(J7+K7+L7+M7+N7+O7)*$B$2</f>
        <v/>
      </c>
      <c r="S7" s="41" t="inlineStr">
        <is>
          <t>RENT PER METER</t>
        </is>
      </c>
      <c r="T7" s="41" t="n">
        <v>117.811659</v>
      </c>
    </row>
    <row r="8" ht="12.75" customHeight="1">
      <c r="A8" s="42" t="inlineStr">
        <is>
          <t>F3</t>
        </is>
      </c>
      <c r="B8" s="42">
        <f>VLOOKUP(A8,Members!$A$2:$B$65,2,FALSE)</f>
        <v/>
      </c>
      <c r="C8" s="43" t="n">
        <v>0</v>
      </c>
      <c r="D8" s="43">
        <f>SUM($C$3:$C$5)/64</f>
        <v/>
      </c>
      <c r="E8" s="43">
        <f>C8+D8</f>
        <v/>
      </c>
      <c r="F8" s="43">
        <f>IF($C$70=0, 0, E8/$C$70)</f>
        <v/>
      </c>
      <c r="G8" s="43">
        <f>F8*$T$5</f>
        <v/>
      </c>
      <c r="H8" s="43" t="n">
        <v>4</v>
      </c>
      <c r="I8" s="43">
        <f>$T$7*H8</f>
        <v/>
      </c>
      <c r="J8" s="43">
        <f>G8+$T$9+I8</f>
        <v/>
      </c>
      <c r="K8" s="43">
        <f>$T$11/64</f>
        <v/>
      </c>
      <c r="L8" s="43" t="n">
        <v>0</v>
      </c>
      <c r="M8" s="43" t="n">
        <v>0</v>
      </c>
      <c r="N8" s="43" t="n">
        <v>0</v>
      </c>
      <c r="O8" s="43" t="n">
        <v>0</v>
      </c>
      <c r="P8" s="43" t="n"/>
      <c r="Q8" s="43" t="n"/>
      <c r="R8" s="43">
        <f>(J8+K8+L8+M8+N8+O8)*$B$2</f>
        <v/>
      </c>
      <c r="S8" s="43" t="inlineStr">
        <is>
          <t>COMMON AREA METER RENT</t>
        </is>
      </c>
      <c r="T8" s="43">
        <f>$T$7*3</f>
        <v/>
      </c>
    </row>
    <row r="9" ht="12.75" customHeight="1">
      <c r="A9" s="40" t="inlineStr">
        <is>
          <t>F4</t>
        </is>
      </c>
      <c r="B9" s="40">
        <f>VLOOKUP(A9,Members!$A$2:$B$65,2,FALSE)</f>
        <v/>
      </c>
      <c r="C9" s="41" t="n">
        <v>0</v>
      </c>
      <c r="D9" s="41">
        <f>SUM($C$3:$C$5)/64</f>
        <v/>
      </c>
      <c r="E9" s="41">
        <f>C9+D9</f>
        <v/>
      </c>
      <c r="F9" s="41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$T$11/64</f>
        <v/>
      </c>
      <c r="L9" s="41" t="n">
        <v>0</v>
      </c>
      <c r="M9" s="41" t="n">
        <v>0</v>
      </c>
      <c r="N9" s="41" t="n">
        <v>0</v>
      </c>
      <c r="O9" s="41" t="n">
        <v>0</v>
      </c>
      <c r="P9" s="41" t="n"/>
      <c r="Q9" s="41" t="n"/>
      <c r="R9" s="41">
        <f>(J9+K9+L9+M9+N9+O9)*$B$2</f>
        <v/>
      </c>
      <c r="S9" s="41" t="inlineStr">
        <is>
          <t>COMMON AREA METER RENT/FLAT</t>
        </is>
      </c>
      <c r="T9" s="41">
        <f>T8/64</f>
        <v/>
      </c>
    </row>
    <row r="10" ht="12.75" customHeight="1">
      <c r="A10" s="42" t="inlineStr">
        <is>
          <t>F5</t>
        </is>
      </c>
      <c r="B10" s="42">
        <f>VLOOKUP(A10,Members!$A$2:$B$65,2,FALSE)</f>
        <v/>
      </c>
      <c r="C10" s="43" t="n">
        <v>0</v>
      </c>
      <c r="D10" s="43">
        <f>SUM($C$3:$C$5)/64</f>
        <v/>
      </c>
      <c r="E10" s="43">
        <f>C10+D10</f>
        <v/>
      </c>
      <c r="F10" s="43">
        <f>IF($C$70=0, 0, E10/$C$70)</f>
        <v/>
      </c>
      <c r="G10" s="43">
        <f>F10*$T$5</f>
        <v/>
      </c>
      <c r="H10" s="43" t="n">
        <v>3</v>
      </c>
      <c r="I10" s="43">
        <f>$T$7*H10</f>
        <v/>
      </c>
      <c r="J10" s="43">
        <f>G10+$T$9+I10</f>
        <v/>
      </c>
      <c r="K10" s="43">
        <f>$T$11/64</f>
        <v/>
      </c>
      <c r="L10" s="43" t="n">
        <v>0</v>
      </c>
      <c r="M10" s="43" t="n">
        <v>0</v>
      </c>
      <c r="N10" s="43" t="n">
        <v>0</v>
      </c>
      <c r="O10" s="43" t="n">
        <v>0</v>
      </c>
      <c r="P10" s="43" t="n"/>
      <c r="Q10" s="43" t="n"/>
      <c r="R10" s="43">
        <f>(J10+K10+L10+M10+N10+O10)*$B$2</f>
        <v/>
      </c>
      <c r="S10" s="43" t="n"/>
      <c r="T10" s="43" t="n"/>
    </row>
    <row r="11" ht="12.75" customHeight="1">
      <c r="A11" s="40" t="inlineStr">
        <is>
          <t>F6</t>
        </is>
      </c>
      <c r="B11" s="40">
        <f>VLOOKUP(A11,Members!$A$2:$B$65,2,FALSE)</f>
        <v/>
      </c>
      <c r="C11" s="41" t="n">
        <v>0</v>
      </c>
      <c r="D11" s="41">
        <f>SUM($C$3:$C$5)/64</f>
        <v/>
      </c>
      <c r="E11" s="41">
        <f>C11+D11</f>
        <v/>
      </c>
      <c r="F11" s="41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$T$11/64</f>
        <v/>
      </c>
      <c r="L11" s="41" t="n">
        <v>0</v>
      </c>
      <c r="M11" s="41" t="n">
        <v>0</v>
      </c>
      <c r="N11" s="41" t="n">
        <v>0</v>
      </c>
      <c r="O11" s="41" t="n">
        <v>0</v>
      </c>
      <c r="P11" s="41" t="n"/>
      <c r="Q11" s="41" t="n"/>
      <c r="R11" s="41">
        <f>(J11+K11+L11+M11+N11+O11)*$B$2</f>
        <v/>
      </c>
      <c r="S11" s="41" t="inlineStr">
        <is>
          <t>TOTAL FIXED EXPENSE</t>
        </is>
      </c>
      <c r="T11" s="41">
        <f>'ANNUAL-EXPENSE-DETAILS'!AB12</f>
        <v/>
      </c>
    </row>
    <row r="12" ht="12.75" customHeight="1">
      <c r="A12" s="42" t="inlineStr">
        <is>
          <t>F7</t>
        </is>
      </c>
      <c r="B12" s="42">
        <f>VLOOKUP(A12,Members!$A$2:$B$65,2,FALSE)</f>
        <v/>
      </c>
      <c r="C12" s="43" t="n">
        <v>0</v>
      </c>
      <c r="D12" s="43">
        <f>SUM($C$3:$C$5)/64</f>
        <v/>
      </c>
      <c r="E12" s="43">
        <f>C12+D12</f>
        <v/>
      </c>
      <c r="F12" s="43">
        <f>IF($C$70=0, 0, E12/$C$70)</f>
        <v/>
      </c>
      <c r="G12" s="43">
        <f>F12*$T$5</f>
        <v/>
      </c>
      <c r="H12" s="43" t="n">
        <v>3</v>
      </c>
      <c r="I12" s="43">
        <f>$T$7*H12</f>
        <v/>
      </c>
      <c r="J12" s="43">
        <f>G12+$T$9+I12</f>
        <v/>
      </c>
      <c r="K12" s="43">
        <f>$T$11/64</f>
        <v/>
      </c>
      <c r="L12" s="43" t="n">
        <v>0</v>
      </c>
      <c r="M12" s="43" t="n">
        <v>0</v>
      </c>
      <c r="N12" s="43" t="n">
        <v>0</v>
      </c>
      <c r="O12" s="43" t="n">
        <v>0</v>
      </c>
      <c r="P12" s="43" t="n"/>
      <c r="Q12" s="43" t="n"/>
      <c r="R12" s="43">
        <f>(J12+K12+L12+M12+N12+O12)*$B$2</f>
        <v/>
      </c>
      <c r="S12" s="43" t="n"/>
      <c r="T12" s="43" t="n"/>
    </row>
    <row r="13" ht="12.75" customHeight="1">
      <c r="A13" s="40" t="inlineStr">
        <is>
          <t>F8</t>
        </is>
      </c>
      <c r="B13" s="40">
        <f>VLOOKUP(A13,Members!$A$2:$B$65,2,FALSE)</f>
        <v/>
      </c>
      <c r="C13" s="41" t="n">
        <v>0</v>
      </c>
      <c r="D13" s="41">
        <f>SUM($C$3:$C$5)/64</f>
        <v/>
      </c>
      <c r="E13" s="41">
        <f>C13+D13</f>
        <v/>
      </c>
      <c r="F13" s="41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$T$11/64</f>
        <v/>
      </c>
      <c r="L13" s="41" t="n">
        <v>0</v>
      </c>
      <c r="M13" s="41" t="n">
        <v>0</v>
      </c>
      <c r="N13" s="41" t="n">
        <v>0</v>
      </c>
      <c r="O13" s="41" t="n">
        <v>0</v>
      </c>
      <c r="P13" s="41" t="n"/>
      <c r="Q13" s="41" t="n"/>
      <c r="R13" s="41">
        <f>(J13+K13+L13+M13+N13+O13)*$B$2</f>
        <v/>
      </c>
      <c r="S13" s="41" t="inlineStr">
        <is>
          <t>TOTAL WATER METER RENT</t>
        </is>
      </c>
      <c r="T13" s="41">
        <f>I70</f>
        <v/>
      </c>
    </row>
    <row r="14" ht="12.75" customHeight="1">
      <c r="A14" s="42" t="inlineStr">
        <is>
          <t>F9</t>
        </is>
      </c>
      <c r="B14" s="42">
        <f>VLOOKUP(A14,Members!$A$2:$B$65,2,FALSE)</f>
        <v/>
      </c>
      <c r="C14" s="43" t="n">
        <v>0</v>
      </c>
      <c r="D14" s="43">
        <f>SUM($C$3:$C$5)/64</f>
        <v/>
      </c>
      <c r="E14" s="43">
        <f>C14+D14</f>
        <v/>
      </c>
      <c r="F14" s="43">
        <f>IF($C$70=0, 0, E14/$C$70)</f>
        <v/>
      </c>
      <c r="G14" s="43">
        <f>F14*$T$5</f>
        <v/>
      </c>
      <c r="H14" s="43" t="n">
        <v>4</v>
      </c>
      <c r="I14" s="43">
        <f>$T$7*H14</f>
        <v/>
      </c>
      <c r="J14" s="43">
        <f>G14+$T$9+I14</f>
        <v/>
      </c>
      <c r="K14" s="43">
        <f>$T$11/64</f>
        <v/>
      </c>
      <c r="L14" s="43" t="n">
        <v>0</v>
      </c>
      <c r="M14" s="43" t="n">
        <v>0</v>
      </c>
      <c r="N14" s="43" t="n">
        <v>0</v>
      </c>
      <c r="O14" s="43" t="n">
        <v>0</v>
      </c>
      <c r="P14" s="43" t="n"/>
      <c r="Q14" s="43" t="n"/>
      <c r="R14" s="43">
        <f>(J14+K14+L14+M14+N14+O14)*$B$2</f>
        <v/>
      </c>
      <c r="S14" s="43" t="n"/>
      <c r="T14" s="43" t="n"/>
    </row>
    <row r="15" ht="12.75" customHeight="1">
      <c r="A15" s="40" t="inlineStr">
        <is>
          <t>F10</t>
        </is>
      </c>
      <c r="B15" s="40">
        <f>VLOOKUP(A15,Members!$A$2:$B$65,2,FALSE)</f>
        <v/>
      </c>
      <c r="C15" s="41" t="n">
        <v>0</v>
      </c>
      <c r="D15" s="41">
        <f>SUM($C$3:$C$5)/64</f>
        <v/>
      </c>
      <c r="E15" s="41">
        <f>C15+D15</f>
        <v/>
      </c>
      <c r="F15" s="41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$T$11/64</f>
        <v/>
      </c>
      <c r="L15" s="41" t="n">
        <v>0</v>
      </c>
      <c r="M15" s="41" t="n">
        <v>0</v>
      </c>
      <c r="N15" s="41" t="n">
        <v>0</v>
      </c>
      <c r="O15" s="41" t="n">
        <v>0</v>
      </c>
      <c r="P15" s="41" t="n"/>
      <c r="Q15" s="41" t="n"/>
      <c r="R15" s="41">
        <f>(J15+K15+L15+M15+N15+O15)*$B$2</f>
        <v/>
      </c>
      <c r="S15" s="41" t="inlineStr">
        <is>
          <t>BALANCE IN ACCOUNT ON 31-Jan-2023</t>
        </is>
      </c>
      <c r="T15" s="41" t="n"/>
    </row>
    <row r="16" ht="12.75" customHeight="1">
      <c r="A16" s="42" t="inlineStr">
        <is>
          <t>F11</t>
        </is>
      </c>
      <c r="B16" s="42">
        <f>VLOOKUP(A16,Members!$A$2:$B$65,2,FALSE)</f>
        <v/>
      </c>
      <c r="C16" s="43" t="n">
        <v>0</v>
      </c>
      <c r="D16" s="43">
        <f>SUM($C$3:$C$5)/64</f>
        <v/>
      </c>
      <c r="E16" s="43">
        <f>C16+D16</f>
        <v/>
      </c>
      <c r="F16" s="43">
        <f>IF($C$70=0, 0, E16/$C$70)</f>
        <v/>
      </c>
      <c r="G16" s="43">
        <f>F16*$T$5</f>
        <v/>
      </c>
      <c r="H16" s="43" t="n">
        <v>3</v>
      </c>
      <c r="I16" s="43">
        <f>$T$7*H16</f>
        <v/>
      </c>
      <c r="J16" s="43">
        <f>G16+$T$9+I16</f>
        <v/>
      </c>
      <c r="K16" s="43">
        <f>$T$11/64</f>
        <v/>
      </c>
      <c r="L16" s="43" t="n">
        <v>0</v>
      </c>
      <c r="M16" s="43" t="n">
        <v>0</v>
      </c>
      <c r="N16" s="43" t="n">
        <v>0</v>
      </c>
      <c r="O16" s="43" t="n">
        <v>0</v>
      </c>
      <c r="P16" s="43" t="n"/>
      <c r="Q16" s="43" t="n"/>
      <c r="R16" s="43">
        <f>(J16+K16+L16+M16+N16+O16)*$B$2</f>
        <v/>
      </c>
      <c r="S16" s="43" t="inlineStr">
        <is>
          <t>TOTAL NON MAINTENANCE CORPUS COLLECTION</t>
        </is>
      </c>
      <c r="T16" s="43" t="n"/>
    </row>
    <row r="17" ht="12.75" customHeight="1">
      <c r="A17" s="40" t="inlineStr">
        <is>
          <t>F12</t>
        </is>
      </c>
      <c r="B17" s="40">
        <f>VLOOKUP(A17,Members!$A$2:$B$65,2,FALSE)</f>
        <v/>
      </c>
      <c r="C17" s="41" t="n">
        <v>0</v>
      </c>
      <c r="D17" s="41">
        <f>SUM($C$3:$C$5)/64</f>
        <v/>
      </c>
      <c r="E17" s="41">
        <f>C17+D17</f>
        <v/>
      </c>
      <c r="F17" s="41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$T$11/64</f>
        <v/>
      </c>
      <c r="L17" s="41" t="n">
        <v>0</v>
      </c>
      <c r="M17" s="41" t="n">
        <v>0</v>
      </c>
      <c r="N17" s="41" t="n">
        <v>0</v>
      </c>
      <c r="O17" s="41" t="n">
        <v>0</v>
      </c>
      <c r="P17" s="41" t="n"/>
      <c r="Q17" s="41" t="n"/>
      <c r="R17" s="41">
        <f>(J17+K17+L17+M17+N17+O17)*$B$2</f>
        <v/>
      </c>
      <c r="S17" s="41" t="inlineStr">
        <is>
          <t>TOTAL FD DONE</t>
        </is>
      </c>
      <c r="T17" s="41" t="n"/>
    </row>
    <row r="18" ht="12.75" customHeight="1">
      <c r="A18" s="42" t="inlineStr">
        <is>
          <t>F13</t>
        </is>
      </c>
      <c r="B18" s="42">
        <f>VLOOKUP(A18,Members!$A$2:$B$65,2,FALSE)</f>
        <v/>
      </c>
      <c r="C18" s="43" t="n">
        <v>0</v>
      </c>
      <c r="D18" s="43">
        <f>SUM($C$3:$C$5)/64</f>
        <v/>
      </c>
      <c r="E18" s="43">
        <f>C18+D18</f>
        <v/>
      </c>
      <c r="F18" s="43">
        <f>IF($C$70=0, 0, E18/$C$70)</f>
        <v/>
      </c>
      <c r="G18" s="43">
        <f>F18*$T$5</f>
        <v/>
      </c>
      <c r="H18" s="43" t="n">
        <v>4</v>
      </c>
      <c r="I18" s="43">
        <f>$T$7*H18</f>
        <v/>
      </c>
      <c r="J18" s="43">
        <f>G18+$T$9+I18</f>
        <v/>
      </c>
      <c r="K18" s="43">
        <f>$T$11/64</f>
        <v/>
      </c>
      <c r="L18" s="43" t="n">
        <v>0</v>
      </c>
      <c r="M18" s="43" t="n">
        <v>0</v>
      </c>
      <c r="N18" s="43" t="n">
        <v>0</v>
      </c>
      <c r="O18" s="43" t="n">
        <v>0</v>
      </c>
      <c r="P18" s="43" t="n"/>
      <c r="Q18" s="43" t="n"/>
      <c r="R18" s="43">
        <f>(J18+K18+L18+M18+N18+O18)*$B$2</f>
        <v/>
      </c>
      <c r="S18" s="43" t="inlineStr">
        <is>
          <t>AMOUNT AVAILABLE FOR NON MAINTENANCE CORPUS IN CURRENT AC</t>
        </is>
      </c>
      <c r="T18" s="43">
        <f>T16-T17</f>
        <v/>
      </c>
    </row>
    <row r="19" ht="12.75" customHeight="1">
      <c r="A19" s="40" t="inlineStr">
        <is>
          <t>F14</t>
        </is>
      </c>
      <c r="B19" s="40">
        <f>VLOOKUP(A19,Members!$A$2:$B$65,2,FALSE)</f>
        <v/>
      </c>
      <c r="C19" s="41" t="n">
        <v>0</v>
      </c>
      <c r="D19" s="41">
        <f>SUM($C$3:$C$5)/64</f>
        <v/>
      </c>
      <c r="E19" s="41">
        <f>C19+D19</f>
        <v/>
      </c>
      <c r="F19" s="41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$T$11/64</f>
        <v/>
      </c>
      <c r="L19" s="41" t="n">
        <v>0</v>
      </c>
      <c r="M19" s="41" t="n">
        <v>0</v>
      </c>
      <c r="N19" s="41" t="n">
        <v>0</v>
      </c>
      <c r="O19" s="41" t="n">
        <v>0</v>
      </c>
      <c r="P19" s="41" t="n"/>
      <c r="Q19" s="41" t="n"/>
      <c r="R19" s="41">
        <f>(J19+K19+L19+M19+N19+O19)*$B$2</f>
        <v/>
      </c>
      <c r="S19" s="41" t="inlineStr">
        <is>
          <t>AMOUNT AVAILABLE FOR MAINTENANCE</t>
        </is>
      </c>
      <c r="T19" s="41">
        <f>T15-T18</f>
        <v/>
      </c>
    </row>
    <row r="20" ht="12.75" customHeight="1">
      <c r="A20" s="42" t="inlineStr">
        <is>
          <t>F15</t>
        </is>
      </c>
      <c r="B20" s="42">
        <f>VLOOKUP(A20,Members!$A$2:$B$65,2,FALSE)</f>
        <v/>
      </c>
      <c r="C20" s="43" t="n">
        <v>0</v>
      </c>
      <c r="D20" s="43">
        <f>SUM($C$3:$C$5)/64</f>
        <v/>
      </c>
      <c r="E20" s="43">
        <f>C20+D20</f>
        <v/>
      </c>
      <c r="F20" s="43">
        <f>IF($C$70=0, 0, E20/$C$70)</f>
        <v/>
      </c>
      <c r="G20" s="43">
        <f>F20*$T$5</f>
        <v/>
      </c>
      <c r="H20" s="43" t="n">
        <v>4</v>
      </c>
      <c r="I20" s="43">
        <f>$T$7*H20</f>
        <v/>
      </c>
      <c r="J20" s="43">
        <f>G20+$T$9+I20</f>
        <v/>
      </c>
      <c r="K20" s="43">
        <f>$T$11/64</f>
        <v/>
      </c>
      <c r="L20" s="43" t="n">
        <v>0</v>
      </c>
      <c r="M20" s="43" t="n">
        <v>0</v>
      </c>
      <c r="N20" s="43" t="n">
        <v>0</v>
      </c>
      <c r="O20" s="43" t="n">
        <v>0</v>
      </c>
      <c r="P20" s="43" t="n"/>
      <c r="Q20" s="43" t="n"/>
      <c r="R20" s="43">
        <f>(J20+K20+L20+M20+N20+O20)*$B$2</f>
        <v/>
      </c>
      <c r="S20" s="43" t="inlineStr">
        <is>
          <t>TOTAL EXPENSE FOR THE MONTH</t>
        </is>
      </c>
      <c r="T20" s="43">
        <f>'ANNUAL-EXPENSE-DETAILS'!AD12</f>
        <v/>
      </c>
    </row>
    <row r="21" ht="12.75" customHeight="1">
      <c r="A21" s="40" t="inlineStr">
        <is>
          <t>F16</t>
        </is>
      </c>
      <c r="B21" s="40">
        <f>VLOOKUP(A21,Members!$A$2:$B$65,2,FALSE)</f>
        <v/>
      </c>
      <c r="C21" s="41" t="n">
        <v>0</v>
      </c>
      <c r="D21" s="41">
        <f>SUM($C$3:$C$5)/64</f>
        <v/>
      </c>
      <c r="E21" s="41">
        <f>C21+D21</f>
        <v/>
      </c>
      <c r="F21" s="41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$T$11/64</f>
        <v/>
      </c>
      <c r="L21" s="41" t="n">
        <v>0</v>
      </c>
      <c r="M21" s="41" t="n">
        <v>0</v>
      </c>
      <c r="N21" s="41" t="n">
        <v>0</v>
      </c>
      <c r="O21" s="41" t="n">
        <v>0</v>
      </c>
      <c r="P21" s="41" t="n"/>
      <c r="Q21" s="41" t="n"/>
      <c r="R21" s="41">
        <f>(J21+K21+L21+M21+N21+O21)*$B$2</f>
        <v/>
      </c>
      <c r="S21" s="41" t="n"/>
      <c r="T21" s="41" t="n"/>
    </row>
    <row r="22" ht="12.75" customHeight="1">
      <c r="A22" s="42" t="inlineStr">
        <is>
          <t>G1</t>
        </is>
      </c>
      <c r="B22" s="42">
        <f>VLOOKUP(A22,Members!$A$2:$B$65,2,FALSE)</f>
        <v/>
      </c>
      <c r="C22" s="43" t="n">
        <v>0</v>
      </c>
      <c r="D22" s="43">
        <f>SUM($C$3:$C$5)/64</f>
        <v/>
      </c>
      <c r="E22" s="43">
        <f>C22+D22</f>
        <v/>
      </c>
      <c r="F22" s="43">
        <f>IF($C$70=0, 0, E22/$C$70)</f>
        <v/>
      </c>
      <c r="G22" s="43">
        <f>F22*$T$5</f>
        <v/>
      </c>
      <c r="H22" s="43" t="n">
        <v>3</v>
      </c>
      <c r="I22" s="43">
        <f>$T$7*H22</f>
        <v/>
      </c>
      <c r="J22" s="43">
        <f>G22+$T$9+I22</f>
        <v/>
      </c>
      <c r="K22" s="43">
        <f>$T$11/64</f>
        <v/>
      </c>
      <c r="L22" s="43" t="n">
        <v>0</v>
      </c>
      <c r="M22" s="43" t="n">
        <v>0</v>
      </c>
      <c r="N22" s="43" t="n">
        <v>0</v>
      </c>
      <c r="O22" s="43" t="n">
        <v>0</v>
      </c>
      <c r="P22" s="43" t="n"/>
      <c r="Q22" s="43" t="n"/>
      <c r="R22" s="43">
        <f>(J22+K22+L22+M22+N22+O22)*$B$2</f>
        <v/>
      </c>
      <c r="S22" s="43" t="n"/>
      <c r="T22" s="43" t="n"/>
    </row>
    <row r="23" ht="12.75" customHeight="1">
      <c r="A23" s="40" t="inlineStr">
        <is>
          <t>G2</t>
        </is>
      </c>
      <c r="B23" s="40">
        <f>VLOOKUP(A23,Members!$A$2:$B$65,2,FALSE)</f>
        <v/>
      </c>
      <c r="C23" s="41" t="n">
        <v>0</v>
      </c>
      <c r="D23" s="41">
        <f>SUM($C$3:$C$5)/64</f>
        <v/>
      </c>
      <c r="E23" s="41">
        <f>C23+D23</f>
        <v/>
      </c>
      <c r="F23" s="41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$T$11/64</f>
        <v/>
      </c>
      <c r="L23" s="41" t="n">
        <v>0</v>
      </c>
      <c r="M23" s="41" t="n">
        <v>0</v>
      </c>
      <c r="N23" s="41" t="n">
        <v>0</v>
      </c>
      <c r="O23" s="41" t="n">
        <v>0</v>
      </c>
      <c r="P23" s="41" t="n"/>
      <c r="Q23" s="41" t="n"/>
      <c r="R23" s="41">
        <f>(J23+K23+L23+M23+N23+O23)*$B$2</f>
        <v/>
      </c>
      <c r="S23" s="41" t="n"/>
      <c r="T23" s="41" t="n"/>
    </row>
    <row r="24" ht="12.75" customHeight="1">
      <c r="A24" s="42" t="inlineStr">
        <is>
          <t>G3</t>
        </is>
      </c>
      <c r="B24" s="42">
        <f>VLOOKUP(A24,Members!$A$2:$B$65,2,FALSE)</f>
        <v/>
      </c>
      <c r="C24" s="43" t="n">
        <v>0</v>
      </c>
      <c r="D24" s="43">
        <f>SUM($C$3:$C$5)/64</f>
        <v/>
      </c>
      <c r="E24" s="43">
        <f>C24+D24</f>
        <v/>
      </c>
      <c r="F24" s="43">
        <f>IF($C$70=0, 0, E24/$C$70)</f>
        <v/>
      </c>
      <c r="G24" s="43">
        <f>F24*$T$5</f>
        <v/>
      </c>
      <c r="H24" s="43" t="n">
        <v>4</v>
      </c>
      <c r="I24" s="43">
        <f>$T$7*H24</f>
        <v/>
      </c>
      <c r="J24" s="43">
        <f>G24+$T$9+I24</f>
        <v/>
      </c>
      <c r="K24" s="43">
        <f>$T$11/64</f>
        <v/>
      </c>
      <c r="L24" s="43" t="n">
        <v>0</v>
      </c>
      <c r="M24" s="43" t="n">
        <v>0</v>
      </c>
      <c r="N24" s="43" t="n">
        <v>0</v>
      </c>
      <c r="O24" s="43" t="n">
        <v>0</v>
      </c>
      <c r="P24" s="43" t="n"/>
      <c r="Q24" s="43" t="n"/>
      <c r="R24" s="43">
        <f>(J24+K24+L24+M24+N24+O24)*$B$2</f>
        <v/>
      </c>
      <c r="S24" s="43" t="n"/>
      <c r="T24" s="43" t="n"/>
    </row>
    <row r="25" ht="12.75" customHeight="1">
      <c r="A25" s="40" t="inlineStr">
        <is>
          <t>G4</t>
        </is>
      </c>
      <c r="B25" s="40">
        <f>VLOOKUP(A25,Members!$A$2:$B$65,2,FALSE)</f>
        <v/>
      </c>
      <c r="C25" s="41" t="n">
        <v>0</v>
      </c>
      <c r="D25" s="41">
        <f>SUM($C$3:$C$5)/64</f>
        <v/>
      </c>
      <c r="E25" s="41">
        <f>C25+D25</f>
        <v/>
      </c>
      <c r="F25" s="41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$T$11/64</f>
        <v/>
      </c>
      <c r="L25" s="41" t="n">
        <v>0</v>
      </c>
      <c r="M25" s="41" t="n">
        <v>0</v>
      </c>
      <c r="N25" s="41" t="n">
        <v>0</v>
      </c>
      <c r="O25" s="41" t="n">
        <v>0</v>
      </c>
      <c r="P25" s="41" t="n"/>
      <c r="Q25" s="41" t="n"/>
      <c r="R25" s="41">
        <f>(J25+K25+L25+M25+N25+O25)*$B$2</f>
        <v/>
      </c>
      <c r="S25" s="41" t="n"/>
      <c r="T25" s="41" t="n"/>
    </row>
    <row r="26" ht="12.75" customHeight="1">
      <c r="A26" s="42" t="inlineStr">
        <is>
          <t>G5</t>
        </is>
      </c>
      <c r="B26" s="42">
        <f>VLOOKUP(A26,Members!$A$2:$B$65,2,FALSE)</f>
        <v/>
      </c>
      <c r="C26" s="43" t="n">
        <v>0</v>
      </c>
      <c r="D26" s="43">
        <f>SUM($C$3:$C$5)/64</f>
        <v/>
      </c>
      <c r="E26" s="43">
        <f>C26+D26</f>
        <v/>
      </c>
      <c r="F26" s="43">
        <f>IF($C$70=0, 0, E26/$C$70)</f>
        <v/>
      </c>
      <c r="G26" s="43">
        <f>F26*$T$5</f>
        <v/>
      </c>
      <c r="H26" s="43" t="n">
        <v>3</v>
      </c>
      <c r="I26" s="43">
        <f>$T$7*H26</f>
        <v/>
      </c>
      <c r="J26" s="43">
        <f>G26+$T$9+I26</f>
        <v/>
      </c>
      <c r="K26" s="43">
        <f>$T$11/64</f>
        <v/>
      </c>
      <c r="L26" s="43" t="n">
        <v>0</v>
      </c>
      <c r="M26" s="43" t="n">
        <v>0</v>
      </c>
      <c r="N26" s="43" t="n">
        <v>0</v>
      </c>
      <c r="O26" s="43" t="n">
        <v>0</v>
      </c>
      <c r="P26" s="43" t="n"/>
      <c r="Q26" s="43" t="n"/>
      <c r="R26" s="43">
        <f>(J26+K26+L26+M26+N26+O26)*$B$2</f>
        <v/>
      </c>
      <c r="S26" s="43" t="n"/>
      <c r="T26" s="43" t="n"/>
    </row>
    <row r="27" ht="12.75" customHeight="1">
      <c r="A27" s="40" t="inlineStr">
        <is>
          <t>G6</t>
        </is>
      </c>
      <c r="B27" s="40">
        <f>VLOOKUP(A27,Members!$A$2:$B$65,2,FALSE)</f>
        <v/>
      </c>
      <c r="C27" s="41" t="n">
        <v>0</v>
      </c>
      <c r="D27" s="41">
        <f>SUM($C$3:$C$5)/64</f>
        <v/>
      </c>
      <c r="E27" s="41">
        <f>C27+D27</f>
        <v/>
      </c>
      <c r="F27" s="41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$T$11/64</f>
        <v/>
      </c>
      <c r="L27" s="41" t="n">
        <v>0</v>
      </c>
      <c r="M27" s="41" t="n">
        <v>0</v>
      </c>
      <c r="N27" s="41" t="n">
        <v>0</v>
      </c>
      <c r="O27" s="41" t="n">
        <v>0</v>
      </c>
      <c r="P27" s="41" t="n"/>
      <c r="Q27" s="41" t="n"/>
      <c r="R27" s="41">
        <f>(J27+K27+L27+M27+N27+O27)*$B$2</f>
        <v/>
      </c>
      <c r="S27" s="41" t="n"/>
      <c r="T27" s="41" t="n"/>
    </row>
    <row r="28" ht="12.75" customHeight="1">
      <c r="A28" s="42" t="inlineStr">
        <is>
          <t>G7</t>
        </is>
      </c>
      <c r="B28" s="42">
        <f>VLOOKUP(A28,Members!$A$2:$B$65,2,FALSE)</f>
        <v/>
      </c>
      <c r="C28" s="43" t="n">
        <v>0</v>
      </c>
      <c r="D28" s="43">
        <f>SUM($C$3:$C$5)/64</f>
        <v/>
      </c>
      <c r="E28" s="43">
        <f>C28+D28</f>
        <v/>
      </c>
      <c r="F28" s="43">
        <f>IF($C$70=0, 0, E28/$C$70)</f>
        <v/>
      </c>
      <c r="G28" s="43">
        <f>F28*$T$5</f>
        <v/>
      </c>
      <c r="H28" s="43" t="n">
        <v>3</v>
      </c>
      <c r="I28" s="43">
        <f>$T$7*H28</f>
        <v/>
      </c>
      <c r="J28" s="43">
        <f>G28+$T$9+I28</f>
        <v/>
      </c>
      <c r="K28" s="43">
        <f>$T$11/64</f>
        <v/>
      </c>
      <c r="L28" s="43" t="n">
        <v>0</v>
      </c>
      <c r="M28" s="43" t="n">
        <v>0</v>
      </c>
      <c r="N28" s="43" t="n">
        <v>0</v>
      </c>
      <c r="O28" s="43" t="n">
        <v>0</v>
      </c>
      <c r="P28" s="43" t="n"/>
      <c r="Q28" s="43" t="n"/>
      <c r="R28" s="43">
        <f>(J28+K28+L28+M28+N28+O28)*$B$2</f>
        <v/>
      </c>
      <c r="S28" s="43" t="n"/>
      <c r="T28" s="43" t="n"/>
    </row>
    <row r="29" ht="12.75" customHeight="1">
      <c r="A29" s="40" t="inlineStr">
        <is>
          <t>G8</t>
        </is>
      </c>
      <c r="B29" s="40">
        <f>VLOOKUP(A29,Members!$A$2:$B$65,2,FALSE)</f>
        <v/>
      </c>
      <c r="C29" s="41" t="n">
        <v>0</v>
      </c>
      <c r="D29" s="41">
        <f>SUM($C$3:$C$5)/64</f>
        <v/>
      </c>
      <c r="E29" s="41">
        <f>C29+D29</f>
        <v/>
      </c>
      <c r="F29" s="41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$T$11/64</f>
        <v/>
      </c>
      <c r="L29" s="41" t="n">
        <v>0</v>
      </c>
      <c r="M29" s="41" t="n">
        <v>0</v>
      </c>
      <c r="N29" s="41" t="n">
        <v>0</v>
      </c>
      <c r="O29" s="41" t="n">
        <v>0</v>
      </c>
      <c r="P29" s="41" t="n"/>
      <c r="Q29" s="41" t="n"/>
      <c r="R29" s="41">
        <f>(J29+K29+L29+M29+N29+O29)*$B$2</f>
        <v/>
      </c>
      <c r="S29" s="41" t="n"/>
      <c r="T29" s="41" t="n"/>
    </row>
    <row r="30" ht="12.75" customHeight="1">
      <c r="A30" s="42" t="inlineStr">
        <is>
          <t>G9</t>
        </is>
      </c>
      <c r="B30" s="42">
        <f>VLOOKUP(A30,Members!$A$2:$B$65,2,FALSE)</f>
        <v/>
      </c>
      <c r="C30" s="43" t="n">
        <v>0</v>
      </c>
      <c r="D30" s="43">
        <f>SUM($C$3:$C$5)/64</f>
        <v/>
      </c>
      <c r="E30" s="43">
        <f>C30+D30</f>
        <v/>
      </c>
      <c r="F30" s="43">
        <f>IF($C$70=0, 0, E30/$C$70)</f>
        <v/>
      </c>
      <c r="G30" s="43">
        <f>F30*$T$5</f>
        <v/>
      </c>
      <c r="H30" s="43" t="n">
        <v>5</v>
      </c>
      <c r="I30" s="43">
        <f>$T$7*H30</f>
        <v/>
      </c>
      <c r="J30" s="43">
        <f>G30+$T$9+I30</f>
        <v/>
      </c>
      <c r="K30" s="43">
        <f>$T$11/64</f>
        <v/>
      </c>
      <c r="L30" s="43" t="n">
        <v>0</v>
      </c>
      <c r="M30" s="43" t="n">
        <v>0</v>
      </c>
      <c r="N30" s="43" t="n">
        <v>0</v>
      </c>
      <c r="O30" s="43" t="n">
        <v>0</v>
      </c>
      <c r="P30" s="43" t="n"/>
      <c r="Q30" s="43" t="n"/>
      <c r="R30" s="43">
        <f>(J30+K30+L30+M30+N30+O30)*$B$2</f>
        <v/>
      </c>
      <c r="S30" s="43" t="n"/>
      <c r="T30" s="43" t="n"/>
    </row>
    <row r="31" ht="12.75" customHeight="1">
      <c r="A31" s="40" t="inlineStr">
        <is>
          <t>G10</t>
        </is>
      </c>
      <c r="B31" s="40">
        <f>VLOOKUP(A31,Members!$A$2:$B$65,2,FALSE)</f>
        <v/>
      </c>
      <c r="C31" s="41" t="n">
        <v>0</v>
      </c>
      <c r="D31" s="41">
        <f>SUM($C$3:$C$5)/64</f>
        <v/>
      </c>
      <c r="E31" s="41">
        <f>C31+D31</f>
        <v/>
      </c>
      <c r="F31" s="41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$T$11/64</f>
        <v/>
      </c>
      <c r="L31" s="41" t="n">
        <v>0</v>
      </c>
      <c r="M31" s="41" t="n">
        <v>0</v>
      </c>
      <c r="N31" s="41" t="n">
        <v>0</v>
      </c>
      <c r="O31" s="41" t="n">
        <v>0</v>
      </c>
      <c r="P31" s="41" t="n"/>
      <c r="Q31" s="41" t="n"/>
      <c r="R31" s="41">
        <f>(J31+K31+L31+M31+N31+O31)*$B$2</f>
        <v/>
      </c>
      <c r="S31" s="41" t="n"/>
      <c r="T31" s="41" t="n"/>
    </row>
    <row r="32" ht="12.75" customHeight="1">
      <c r="A32" s="42" t="inlineStr">
        <is>
          <t>G11</t>
        </is>
      </c>
      <c r="B32" s="42">
        <f>VLOOKUP(A32,Members!$A$2:$B$65,2,FALSE)</f>
        <v/>
      </c>
      <c r="C32" s="43" t="n">
        <v>0</v>
      </c>
      <c r="D32" s="43">
        <f>SUM($C$3:$C$5)/64</f>
        <v/>
      </c>
      <c r="E32" s="43">
        <f>C32+D32</f>
        <v/>
      </c>
      <c r="F32" s="43">
        <f>IF($C$70=0, 0, E32/$C$70)</f>
        <v/>
      </c>
      <c r="G32" s="43">
        <f>F32*$T$5</f>
        <v/>
      </c>
      <c r="H32" s="43" t="n">
        <v>3</v>
      </c>
      <c r="I32" s="43">
        <f>$T$7*H32</f>
        <v/>
      </c>
      <c r="J32" s="43">
        <f>G32+$T$9+I32</f>
        <v/>
      </c>
      <c r="K32" s="43">
        <f>$T$11/64</f>
        <v/>
      </c>
      <c r="L32" s="43" t="n">
        <v>0</v>
      </c>
      <c r="M32" s="43" t="n">
        <v>0</v>
      </c>
      <c r="N32" s="43" t="n">
        <v>0</v>
      </c>
      <c r="O32" s="43" t="n">
        <v>0</v>
      </c>
      <c r="P32" s="43" t="n"/>
      <c r="Q32" s="43" t="n"/>
      <c r="R32" s="43">
        <f>(J32+K32+L32+M32+N32+O32)*$B$2</f>
        <v/>
      </c>
      <c r="S32" s="43" t="n"/>
      <c r="T32" s="43" t="n"/>
    </row>
    <row r="33" ht="12.75" customHeight="1">
      <c r="A33" s="40" t="inlineStr">
        <is>
          <t>G12</t>
        </is>
      </c>
      <c r="B33" s="40">
        <f>VLOOKUP(A33,Members!$A$2:$B$65,2,FALSE)</f>
        <v/>
      </c>
      <c r="C33" s="41" t="n">
        <v>0</v>
      </c>
      <c r="D33" s="41">
        <f>SUM($C$3:$C$5)/64</f>
        <v/>
      </c>
      <c r="E33" s="41">
        <f>C33+D33</f>
        <v/>
      </c>
      <c r="F33" s="41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$T$11/64</f>
        <v/>
      </c>
      <c r="L33" s="41" t="n">
        <v>0</v>
      </c>
      <c r="M33" s="41" t="n">
        <v>0</v>
      </c>
      <c r="N33" s="41" t="n">
        <v>0</v>
      </c>
      <c r="O33" s="41" t="n">
        <v>0</v>
      </c>
      <c r="P33" s="41" t="n"/>
      <c r="Q33" s="41" t="n"/>
      <c r="R33" s="41">
        <f>(J33+K33+L33+M33+N33+O33)*$B$2</f>
        <v/>
      </c>
      <c r="S33" s="41" t="n"/>
      <c r="T33" s="41" t="n"/>
    </row>
    <row r="34" ht="12.75" customHeight="1">
      <c r="A34" s="42" t="inlineStr">
        <is>
          <t>G13</t>
        </is>
      </c>
      <c r="B34" s="42">
        <f>VLOOKUP(A34,Members!$A$2:$B$65,2,FALSE)</f>
        <v/>
      </c>
      <c r="C34" s="43" t="n">
        <v>0</v>
      </c>
      <c r="D34" s="43">
        <f>SUM($C$3:$C$5)/64</f>
        <v/>
      </c>
      <c r="E34" s="43">
        <f>C34+D34</f>
        <v/>
      </c>
      <c r="F34" s="43">
        <f>IF($C$70=0, 0, E34/$C$70)</f>
        <v/>
      </c>
      <c r="G34" s="43">
        <f>F34*$T$5</f>
        <v/>
      </c>
      <c r="H34" s="43" t="n">
        <v>4</v>
      </c>
      <c r="I34" s="43">
        <f>$T$7*H34</f>
        <v/>
      </c>
      <c r="J34" s="43">
        <f>G34+$T$9+I34</f>
        <v/>
      </c>
      <c r="K34" s="43">
        <f>$T$11/64</f>
        <v/>
      </c>
      <c r="L34" s="43" t="n">
        <v>0</v>
      </c>
      <c r="M34" s="43" t="n">
        <v>0</v>
      </c>
      <c r="N34" s="43" t="n">
        <v>0</v>
      </c>
      <c r="O34" s="43" t="n">
        <v>0</v>
      </c>
      <c r="P34" s="43" t="n"/>
      <c r="Q34" s="43" t="n"/>
      <c r="R34" s="43">
        <f>(J34+K34+L34+M34+N34+O34)*$B$2</f>
        <v/>
      </c>
      <c r="S34" s="43" t="n"/>
      <c r="T34" s="43" t="n"/>
    </row>
    <row r="35" ht="12.75" customHeight="1">
      <c r="A35" s="40" t="inlineStr">
        <is>
          <t>G14</t>
        </is>
      </c>
      <c r="B35" s="40">
        <f>VLOOKUP(A35,Members!$A$2:$B$65,2,FALSE)</f>
        <v/>
      </c>
      <c r="C35" s="41" t="n">
        <v>0</v>
      </c>
      <c r="D35" s="41">
        <f>SUM($C$3:$C$5)/64</f>
        <v/>
      </c>
      <c r="E35" s="41">
        <f>C35+D35</f>
        <v/>
      </c>
      <c r="F35" s="41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$T$11/64</f>
        <v/>
      </c>
      <c r="L35" s="41" t="n">
        <v>0</v>
      </c>
      <c r="M35" s="41" t="n">
        <v>0</v>
      </c>
      <c r="N35" s="41" t="n">
        <v>0</v>
      </c>
      <c r="O35" s="41" t="n">
        <v>0</v>
      </c>
      <c r="P35" s="41" t="n"/>
      <c r="Q35" s="41" t="n"/>
      <c r="R35" s="41">
        <f>(J35+K35+L35+M35+N35+O35)*$B$2</f>
        <v/>
      </c>
      <c r="S35" s="41" t="n"/>
      <c r="T35" s="41" t="n"/>
    </row>
    <row r="36" ht="12.75" customHeight="1">
      <c r="A36" s="42" t="inlineStr">
        <is>
          <t>G15</t>
        </is>
      </c>
      <c r="B36" s="42">
        <f>VLOOKUP(A36,Members!$A$2:$B$65,2,FALSE)</f>
        <v/>
      </c>
      <c r="C36" s="43" t="n">
        <v>0</v>
      </c>
      <c r="D36" s="43">
        <f>SUM($C$3:$C$5)/64</f>
        <v/>
      </c>
      <c r="E36" s="43">
        <f>C36+D36</f>
        <v/>
      </c>
      <c r="F36" s="43">
        <f>IF($C$70=0, 0, E36/$C$70)</f>
        <v/>
      </c>
      <c r="G36" s="43">
        <f>F36*$T$5</f>
        <v/>
      </c>
      <c r="H36" s="43" t="n">
        <v>4</v>
      </c>
      <c r="I36" s="43">
        <f>$T$7*H36</f>
        <v/>
      </c>
      <c r="J36" s="43">
        <f>G36+$T$9+I36</f>
        <v/>
      </c>
      <c r="K36" s="43">
        <f>$T$11/64</f>
        <v/>
      </c>
      <c r="L36" s="43" t="n">
        <v>0</v>
      </c>
      <c r="M36" s="43" t="n">
        <v>0</v>
      </c>
      <c r="N36" s="43" t="n">
        <v>0</v>
      </c>
      <c r="O36" s="43" t="n">
        <v>0</v>
      </c>
      <c r="P36" s="43" t="n"/>
      <c r="Q36" s="43" t="n"/>
      <c r="R36" s="43">
        <f>(J36+K36+L36+M36+N36+O36)*$B$2</f>
        <v/>
      </c>
      <c r="S36" s="43" t="n"/>
      <c r="T36" s="43" t="n"/>
    </row>
    <row r="37" ht="12.75" customHeight="1">
      <c r="A37" s="40" t="inlineStr">
        <is>
          <t>G16</t>
        </is>
      </c>
      <c r="B37" s="40">
        <f>VLOOKUP(A37,Members!$A$2:$B$65,2,FALSE)</f>
        <v/>
      </c>
      <c r="C37" s="41" t="n">
        <v>0</v>
      </c>
      <c r="D37" s="41">
        <f>SUM($C$3:$C$5)/64</f>
        <v/>
      </c>
      <c r="E37" s="41">
        <f>C37+D37</f>
        <v/>
      </c>
      <c r="F37" s="41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$T$11/64</f>
        <v/>
      </c>
      <c r="L37" s="41" t="n">
        <v>0</v>
      </c>
      <c r="M37" s="41" t="n">
        <v>0</v>
      </c>
      <c r="N37" s="41" t="n">
        <v>0</v>
      </c>
      <c r="O37" s="41" t="n">
        <v>0</v>
      </c>
      <c r="P37" s="41" t="n"/>
      <c r="Q37" s="41" t="n"/>
      <c r="R37" s="41">
        <f>(J37+K37+L37+M37+N37+O37)*$B$2</f>
        <v/>
      </c>
      <c r="S37" s="41" t="n"/>
      <c r="T37" s="41" t="n"/>
    </row>
    <row r="38" ht="12.75" customHeight="1">
      <c r="A38" s="42" t="inlineStr">
        <is>
          <t>S1</t>
        </is>
      </c>
      <c r="B38" s="42">
        <f>VLOOKUP(A38,Members!$A$2:$B$65,2,FALSE)</f>
        <v/>
      </c>
      <c r="C38" s="43" t="n">
        <v>0</v>
      </c>
      <c r="D38" s="43">
        <f>SUM($C$3:$C$5)/64</f>
        <v/>
      </c>
      <c r="E38" s="43">
        <f>C38+D38</f>
        <v/>
      </c>
      <c r="F38" s="43">
        <f>IF($C$70=0, 0, E38/$C$70)</f>
        <v/>
      </c>
      <c r="G38" s="43">
        <f>F38*$T$5</f>
        <v/>
      </c>
      <c r="H38" s="43" t="n">
        <v>3</v>
      </c>
      <c r="I38" s="43">
        <f>$T$7*H38</f>
        <v/>
      </c>
      <c r="J38" s="43">
        <f>G38+$T$9+I38</f>
        <v/>
      </c>
      <c r="K38" s="43">
        <f>$T$11/64</f>
        <v/>
      </c>
      <c r="L38" s="43" t="n">
        <v>0</v>
      </c>
      <c r="M38" s="43" t="n">
        <v>0</v>
      </c>
      <c r="N38" s="43" t="n">
        <v>0</v>
      </c>
      <c r="O38" s="43" t="n">
        <v>0</v>
      </c>
      <c r="P38" s="43" t="n"/>
      <c r="Q38" s="43" t="n"/>
      <c r="R38" s="43">
        <f>(J38+K38+L38+M38+N38+O38)*$B$2</f>
        <v/>
      </c>
      <c r="S38" s="43" t="n"/>
      <c r="T38" s="43" t="n"/>
    </row>
    <row r="39" ht="12.75" customHeight="1">
      <c r="A39" s="40" t="inlineStr">
        <is>
          <t>S2</t>
        </is>
      </c>
      <c r="B39" s="40">
        <f>VLOOKUP(A39,Members!$A$2:$B$65,2,FALSE)</f>
        <v/>
      </c>
      <c r="C39" s="41" t="n">
        <v>0</v>
      </c>
      <c r="D39" s="41">
        <f>SUM($C$3:$C$5)/64</f>
        <v/>
      </c>
      <c r="E39" s="41">
        <f>C39+D39</f>
        <v/>
      </c>
      <c r="F39" s="41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$T$11/64</f>
        <v/>
      </c>
      <c r="L39" s="41" t="n">
        <v>0</v>
      </c>
      <c r="M39" s="41" t="n">
        <v>0</v>
      </c>
      <c r="N39" s="41" t="n">
        <v>0</v>
      </c>
      <c r="O39" s="41" t="n">
        <v>0</v>
      </c>
      <c r="P39" s="41" t="n"/>
      <c r="Q39" s="41" t="n"/>
      <c r="R39" s="41">
        <f>(J39+K39+L39+M39+N39+O39)*$B$2</f>
        <v/>
      </c>
      <c r="S39" s="41" t="n"/>
      <c r="T39" s="41" t="n"/>
    </row>
    <row r="40" ht="12.75" customHeight="1">
      <c r="A40" s="42" t="inlineStr">
        <is>
          <t>S3</t>
        </is>
      </c>
      <c r="B40" s="42">
        <f>VLOOKUP(A40,Members!$A$2:$B$65,2,FALSE)</f>
        <v/>
      </c>
      <c r="C40" s="43" t="n">
        <v>0</v>
      </c>
      <c r="D40" s="43">
        <f>SUM($C$3:$C$5)/64</f>
        <v/>
      </c>
      <c r="E40" s="43">
        <f>C40+D40</f>
        <v/>
      </c>
      <c r="F40" s="43">
        <f>IF($C$70=0, 0, E40/$C$70)</f>
        <v/>
      </c>
      <c r="G40" s="43">
        <f>F40*$T$5</f>
        <v/>
      </c>
      <c r="H40" s="43" t="n">
        <v>4</v>
      </c>
      <c r="I40" s="43">
        <f>$T$7*H40</f>
        <v/>
      </c>
      <c r="J40" s="43">
        <f>G40+$T$9+I40</f>
        <v/>
      </c>
      <c r="K40" s="43">
        <f>$T$11/64</f>
        <v/>
      </c>
      <c r="L40" s="43" t="n">
        <v>0</v>
      </c>
      <c r="M40" s="43" t="n">
        <v>0</v>
      </c>
      <c r="N40" s="43" t="n">
        <v>0</v>
      </c>
      <c r="O40" s="43" t="n">
        <v>0</v>
      </c>
      <c r="P40" s="43" t="n"/>
      <c r="Q40" s="43" t="n"/>
      <c r="R40" s="43">
        <f>(J40+K40+L40+M40+N40+O40)*$B$2</f>
        <v/>
      </c>
      <c r="S40" s="43" t="n"/>
      <c r="T40" s="43" t="n"/>
    </row>
    <row r="41" ht="12.75" customHeight="1">
      <c r="A41" s="40" t="inlineStr">
        <is>
          <t>S4</t>
        </is>
      </c>
      <c r="B41" s="40">
        <f>VLOOKUP(A41,Members!$A$2:$B$65,2,FALSE)</f>
        <v/>
      </c>
      <c r="C41" s="41" t="n">
        <v>0</v>
      </c>
      <c r="D41" s="41">
        <f>SUM($C$3:$C$5)/64</f>
        <v/>
      </c>
      <c r="E41" s="41">
        <f>C41+D41</f>
        <v/>
      </c>
      <c r="F41" s="41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$T$11/64</f>
        <v/>
      </c>
      <c r="L41" s="41" t="n">
        <v>0</v>
      </c>
      <c r="M41" s="41" t="n">
        <v>0</v>
      </c>
      <c r="N41" s="41" t="n">
        <v>0</v>
      </c>
      <c r="O41" s="41" t="n">
        <v>0</v>
      </c>
      <c r="P41" s="41" t="n"/>
      <c r="Q41" s="41" t="n"/>
      <c r="R41" s="41">
        <f>(J41+K41+L41+M41+N41+O41)*$B$2</f>
        <v/>
      </c>
      <c r="S41" s="41" t="n"/>
      <c r="T41" s="41" t="n"/>
    </row>
    <row r="42" ht="12.75" customHeight="1">
      <c r="A42" s="42" t="inlineStr">
        <is>
          <t>S5</t>
        </is>
      </c>
      <c r="B42" s="42">
        <f>VLOOKUP(A42,Members!$A$2:$B$65,2,FALSE)</f>
        <v/>
      </c>
      <c r="C42" s="43" t="n">
        <v>0</v>
      </c>
      <c r="D42" s="43">
        <f>SUM($C$3:$C$5)/64</f>
        <v/>
      </c>
      <c r="E42" s="43">
        <f>C42+D42</f>
        <v/>
      </c>
      <c r="F42" s="43">
        <f>IF($C$70=0, 0, E42/$C$70)</f>
        <v/>
      </c>
      <c r="G42" s="43">
        <f>F42*$T$5</f>
        <v/>
      </c>
      <c r="H42" s="43" t="n">
        <v>3</v>
      </c>
      <c r="I42" s="43">
        <f>$T$7*H42</f>
        <v/>
      </c>
      <c r="J42" s="43">
        <f>G42+$T$9+I42</f>
        <v/>
      </c>
      <c r="K42" s="43">
        <f>$T$11/64</f>
        <v/>
      </c>
      <c r="L42" s="43" t="n">
        <v>0</v>
      </c>
      <c r="M42" s="43" t="n">
        <v>0</v>
      </c>
      <c r="N42" s="43" t="n">
        <v>0</v>
      </c>
      <c r="O42" s="43" t="n">
        <v>0</v>
      </c>
      <c r="P42" s="43" t="n"/>
      <c r="Q42" s="43" t="n"/>
      <c r="R42" s="43">
        <f>(J42+K42+L42+M42+N42+O42)*$B$2</f>
        <v/>
      </c>
      <c r="S42" s="43" t="n"/>
      <c r="T42" s="43" t="n"/>
    </row>
    <row r="43" ht="12.75" customHeight="1">
      <c r="A43" s="40" t="inlineStr">
        <is>
          <t>S6</t>
        </is>
      </c>
      <c r="B43" s="40">
        <f>VLOOKUP(A43,Members!$A$2:$B$65,2,FALSE)</f>
        <v/>
      </c>
      <c r="C43" s="41" t="n">
        <v>0</v>
      </c>
      <c r="D43" s="41">
        <f>SUM($C$3:$C$5)/64</f>
        <v/>
      </c>
      <c r="E43" s="41">
        <f>C43+D43</f>
        <v/>
      </c>
      <c r="F43" s="41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$T$11/64</f>
        <v/>
      </c>
      <c r="L43" s="41" t="n">
        <v>0</v>
      </c>
      <c r="M43" s="41" t="n">
        <v>0</v>
      </c>
      <c r="N43" s="41" t="n">
        <v>0</v>
      </c>
      <c r="O43" s="41" t="n">
        <v>0</v>
      </c>
      <c r="P43" s="41" t="n"/>
      <c r="Q43" s="41" t="n"/>
      <c r="R43" s="41">
        <f>(J43+K43+L43+M43+N43+O43)*$B$2</f>
        <v/>
      </c>
      <c r="S43" s="41" t="n"/>
      <c r="T43" s="41" t="n"/>
    </row>
    <row r="44" ht="12.75" customHeight="1">
      <c r="A44" s="42" t="inlineStr">
        <is>
          <t>S7</t>
        </is>
      </c>
      <c r="B44" s="42">
        <f>VLOOKUP(A44,Members!$A$2:$B$65,2,FALSE)</f>
        <v/>
      </c>
      <c r="C44" s="43" t="n">
        <v>0</v>
      </c>
      <c r="D44" s="43">
        <f>SUM($C$3:$C$5)/64</f>
        <v/>
      </c>
      <c r="E44" s="43">
        <f>C44+D44</f>
        <v/>
      </c>
      <c r="F44" s="43">
        <f>IF($C$70=0, 0, E44/$C$70)</f>
        <v/>
      </c>
      <c r="G44" s="43">
        <f>F44*$T$5</f>
        <v/>
      </c>
      <c r="H44" s="43" t="n">
        <v>3</v>
      </c>
      <c r="I44" s="43">
        <f>$T$7*H44</f>
        <v/>
      </c>
      <c r="J44" s="43">
        <f>G44+$T$9+I44</f>
        <v/>
      </c>
      <c r="K44" s="43">
        <f>$T$11/64</f>
        <v/>
      </c>
      <c r="L44" s="43" t="n">
        <v>0</v>
      </c>
      <c r="M44" s="43" t="n">
        <v>0</v>
      </c>
      <c r="N44" s="43" t="n">
        <v>0</v>
      </c>
      <c r="O44" s="43" t="n">
        <v>0</v>
      </c>
      <c r="P44" s="43" t="n"/>
      <c r="Q44" s="43" t="n"/>
      <c r="R44" s="43">
        <f>(J44+K44+L44+M44+N44+O44)*$B$2</f>
        <v/>
      </c>
      <c r="S44" s="43" t="n"/>
      <c r="T44" s="43" t="n"/>
    </row>
    <row r="45" ht="12.75" customHeight="1">
      <c r="A45" s="40" t="inlineStr">
        <is>
          <t>S8</t>
        </is>
      </c>
      <c r="B45" s="40">
        <f>VLOOKUP(A45,Members!$A$2:$B$65,2,FALSE)</f>
        <v/>
      </c>
      <c r="C45" s="41" t="n">
        <v>0</v>
      </c>
      <c r="D45" s="41">
        <f>SUM($C$3:$C$5)/64</f>
        <v/>
      </c>
      <c r="E45" s="41">
        <f>C45+D45</f>
        <v/>
      </c>
      <c r="F45" s="41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$T$11/64</f>
        <v/>
      </c>
      <c r="L45" s="41" t="n">
        <v>0</v>
      </c>
      <c r="M45" s="41" t="n">
        <v>0</v>
      </c>
      <c r="N45" s="41" t="n">
        <v>0</v>
      </c>
      <c r="O45" s="41" t="n">
        <v>0</v>
      </c>
      <c r="P45" s="41" t="n"/>
      <c r="Q45" s="41" t="n"/>
      <c r="R45" s="41">
        <f>(J45+K45+L45+M45+N45+O45)*$B$2</f>
        <v/>
      </c>
      <c r="S45" s="41" t="n"/>
      <c r="T45" s="41" t="n"/>
    </row>
    <row r="46" ht="12.75" customHeight="1">
      <c r="A46" s="42" t="inlineStr">
        <is>
          <t>S9</t>
        </is>
      </c>
      <c r="B46" s="42">
        <f>VLOOKUP(A46,Members!$A$2:$B$65,2,FALSE)</f>
        <v/>
      </c>
      <c r="C46" s="43" t="n">
        <v>0</v>
      </c>
      <c r="D46" s="43">
        <f>SUM($C$3:$C$5)/64</f>
        <v/>
      </c>
      <c r="E46" s="43">
        <f>C46+D46</f>
        <v/>
      </c>
      <c r="F46" s="43">
        <f>IF($C$70=0, 0, E46/$C$70)</f>
        <v/>
      </c>
      <c r="G46" s="43">
        <f>F46*$T$5</f>
        <v/>
      </c>
      <c r="H46" s="43" t="n">
        <v>4</v>
      </c>
      <c r="I46" s="43">
        <f>$T$7*H46</f>
        <v/>
      </c>
      <c r="J46" s="43">
        <f>G46+$T$9+I46</f>
        <v/>
      </c>
      <c r="K46" s="43">
        <f>$T$11/64</f>
        <v/>
      </c>
      <c r="L46" s="43" t="n">
        <v>0</v>
      </c>
      <c r="M46" s="43" t="n">
        <v>0</v>
      </c>
      <c r="N46" s="43" t="n">
        <v>0</v>
      </c>
      <c r="O46" s="43" t="n">
        <v>0</v>
      </c>
      <c r="P46" s="43" t="n"/>
      <c r="Q46" s="43" t="n"/>
      <c r="R46" s="43">
        <f>(J46+K46+L46+M46+N46+O46)*$B$2</f>
        <v/>
      </c>
      <c r="S46" s="43" t="n"/>
      <c r="T46" s="43" t="n"/>
    </row>
    <row r="47" ht="12.75" customHeight="1">
      <c r="A47" s="40" t="inlineStr">
        <is>
          <t>S10</t>
        </is>
      </c>
      <c r="B47" s="40">
        <f>VLOOKUP(A47,Members!$A$2:$B$65,2,FALSE)</f>
        <v/>
      </c>
      <c r="C47" s="41" t="n">
        <v>0</v>
      </c>
      <c r="D47" s="41">
        <f>SUM($C$3:$C$5)/64</f>
        <v/>
      </c>
      <c r="E47" s="41">
        <f>C47+D47</f>
        <v/>
      </c>
      <c r="F47" s="41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$T$11/64</f>
        <v/>
      </c>
      <c r="L47" s="41" t="n">
        <v>0</v>
      </c>
      <c r="M47" s="41" t="n">
        <v>0</v>
      </c>
      <c r="N47" s="41" t="n">
        <v>0</v>
      </c>
      <c r="O47" s="41" t="n">
        <v>0</v>
      </c>
      <c r="P47" s="41" t="n"/>
      <c r="Q47" s="41" t="n"/>
      <c r="R47" s="41">
        <f>(J47+K47+L47+M47+N47+O47)*$B$2</f>
        <v/>
      </c>
      <c r="S47" s="41" t="n"/>
      <c r="T47" s="41" t="n"/>
    </row>
    <row r="48" ht="12.75" customHeight="1">
      <c r="A48" s="42" t="inlineStr">
        <is>
          <t>S11</t>
        </is>
      </c>
      <c r="B48" s="42">
        <f>VLOOKUP(A48,Members!$A$2:$B$65,2,FALSE)</f>
        <v/>
      </c>
      <c r="C48" s="43" t="n">
        <v>0</v>
      </c>
      <c r="D48" s="43">
        <f>SUM($C$3:$C$5)/64</f>
        <v/>
      </c>
      <c r="E48" s="43">
        <f>C48+D48</f>
        <v/>
      </c>
      <c r="F48" s="43">
        <f>IF($C$70=0, 0, E48/$C$70)</f>
        <v/>
      </c>
      <c r="G48" s="43">
        <f>F48*$T$5</f>
        <v/>
      </c>
      <c r="H48" s="43" t="n">
        <v>3</v>
      </c>
      <c r="I48" s="43">
        <f>$T$7*H48</f>
        <v/>
      </c>
      <c r="J48" s="43">
        <f>G48+$T$9+I48</f>
        <v/>
      </c>
      <c r="K48" s="43">
        <f>$T$11/64</f>
        <v/>
      </c>
      <c r="L48" s="43" t="n">
        <v>0</v>
      </c>
      <c r="M48" s="43" t="n">
        <v>0</v>
      </c>
      <c r="N48" s="43" t="n">
        <v>0</v>
      </c>
      <c r="O48" s="43" t="n">
        <v>0</v>
      </c>
      <c r="P48" s="43" t="n"/>
      <c r="Q48" s="43" t="n"/>
      <c r="R48" s="43">
        <f>(J48+K48+L48+M48+N48+O48)*$B$2</f>
        <v/>
      </c>
      <c r="S48" s="43" t="n"/>
      <c r="T48" s="43" t="n"/>
    </row>
    <row r="49" ht="12.75" customHeight="1">
      <c r="A49" s="40" t="inlineStr">
        <is>
          <t>S12</t>
        </is>
      </c>
      <c r="B49" s="40">
        <f>VLOOKUP(A49,Members!$A$2:$B$65,2,FALSE)</f>
        <v/>
      </c>
      <c r="C49" s="41" t="n">
        <v>0</v>
      </c>
      <c r="D49" s="41">
        <f>SUM($C$3:$C$5)/64</f>
        <v/>
      </c>
      <c r="E49" s="41">
        <f>C49+D49</f>
        <v/>
      </c>
      <c r="F49" s="41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$T$11/64</f>
        <v/>
      </c>
      <c r="L49" s="41" t="n">
        <v>0</v>
      </c>
      <c r="M49" s="41" t="n">
        <v>0</v>
      </c>
      <c r="N49" s="41" t="n">
        <v>0</v>
      </c>
      <c r="O49" s="41" t="n">
        <v>0</v>
      </c>
      <c r="P49" s="41" t="n"/>
      <c r="Q49" s="41" t="n"/>
      <c r="R49" s="41">
        <f>(J49+K49+L49+M49+N49+O49)*$B$2</f>
        <v/>
      </c>
      <c r="S49" s="41" t="n"/>
      <c r="T49" s="41" t="n"/>
    </row>
    <row r="50" ht="12.75" customHeight="1">
      <c r="A50" s="42" t="inlineStr">
        <is>
          <t>S13</t>
        </is>
      </c>
      <c r="B50" s="42">
        <f>VLOOKUP(A50,Members!$A$2:$B$65,2,FALSE)</f>
        <v/>
      </c>
      <c r="C50" s="43" t="n">
        <v>0</v>
      </c>
      <c r="D50" s="43">
        <f>SUM($C$3:$C$5)/64</f>
        <v/>
      </c>
      <c r="E50" s="43">
        <f>C50+D50</f>
        <v/>
      </c>
      <c r="F50" s="43">
        <f>IF($C$70=0, 0, E50/$C$70)</f>
        <v/>
      </c>
      <c r="G50" s="43">
        <f>F50*$T$5</f>
        <v/>
      </c>
      <c r="H50" s="43" t="n">
        <v>4</v>
      </c>
      <c r="I50" s="43">
        <f>$T$7*H50</f>
        <v/>
      </c>
      <c r="J50" s="43">
        <f>G50+$T$9+I50</f>
        <v/>
      </c>
      <c r="K50" s="43">
        <f>$T$11/64</f>
        <v/>
      </c>
      <c r="L50" s="43" t="n">
        <v>0</v>
      </c>
      <c r="M50" s="43" t="n">
        <v>0</v>
      </c>
      <c r="N50" s="43" t="n">
        <v>0</v>
      </c>
      <c r="O50" s="43" t="n">
        <v>0</v>
      </c>
      <c r="P50" s="43" t="n"/>
      <c r="Q50" s="43" t="n"/>
      <c r="R50" s="43">
        <f>(J50+K50+L50+M50+N50+O50)*$B$2</f>
        <v/>
      </c>
      <c r="S50" s="43" t="n"/>
      <c r="T50" s="43" t="n"/>
    </row>
    <row r="51" ht="12.75" customHeight="1">
      <c r="A51" s="40" t="inlineStr">
        <is>
          <t>S14</t>
        </is>
      </c>
      <c r="B51" s="40">
        <f>VLOOKUP(A51,Members!$A$2:$B$65,2,FALSE)</f>
        <v/>
      </c>
      <c r="C51" s="41" t="n">
        <v>0</v>
      </c>
      <c r="D51" s="41">
        <f>SUM($C$3:$C$5)/64</f>
        <v/>
      </c>
      <c r="E51" s="41">
        <f>C51+D51</f>
        <v/>
      </c>
      <c r="F51" s="41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$T$11/64</f>
        <v/>
      </c>
      <c r="L51" s="41" t="n">
        <v>0</v>
      </c>
      <c r="M51" s="41" t="n">
        <v>0</v>
      </c>
      <c r="N51" s="41" t="n">
        <v>0</v>
      </c>
      <c r="O51" s="41" t="n">
        <v>0</v>
      </c>
      <c r="P51" s="41" t="n"/>
      <c r="Q51" s="41" t="n"/>
      <c r="R51" s="41">
        <f>(J51+K51+L51+M51+N51+O51)*$B$2</f>
        <v/>
      </c>
      <c r="S51" s="41" t="n"/>
      <c r="T51" s="41" t="n"/>
    </row>
    <row r="52" ht="12.75" customHeight="1">
      <c r="A52" s="42" t="inlineStr">
        <is>
          <t>S15</t>
        </is>
      </c>
      <c r="B52" s="42">
        <f>VLOOKUP(A52,Members!$A$2:$B$65,2,FALSE)</f>
        <v/>
      </c>
      <c r="C52" s="43" t="n">
        <v>0</v>
      </c>
      <c r="D52" s="43">
        <f>SUM($C$3:$C$5)/64</f>
        <v/>
      </c>
      <c r="E52" s="43">
        <f>C52+D52</f>
        <v/>
      </c>
      <c r="F52" s="43">
        <f>IF($C$70=0, 0, E52/$C$70)</f>
        <v/>
      </c>
      <c r="G52" s="43">
        <f>F52*$T$5</f>
        <v/>
      </c>
      <c r="H52" s="43" t="n">
        <v>4</v>
      </c>
      <c r="I52" s="43">
        <f>$T$7*H52</f>
        <v/>
      </c>
      <c r="J52" s="43">
        <f>G52+$T$9+I52</f>
        <v/>
      </c>
      <c r="K52" s="43">
        <f>$T$11/64</f>
        <v/>
      </c>
      <c r="L52" s="43" t="n">
        <v>0</v>
      </c>
      <c r="M52" s="43" t="n">
        <v>0</v>
      </c>
      <c r="N52" s="43" t="n">
        <v>0</v>
      </c>
      <c r="O52" s="43" t="n">
        <v>0</v>
      </c>
      <c r="P52" s="43" t="n"/>
      <c r="Q52" s="43" t="n"/>
      <c r="R52" s="43">
        <f>(J52+K52+L52+M52+N52+O52)*$B$2</f>
        <v/>
      </c>
      <c r="S52" s="43" t="n"/>
      <c r="T52" s="43" t="n"/>
    </row>
    <row r="53" ht="12.75" customHeight="1">
      <c r="A53" s="40" t="inlineStr">
        <is>
          <t>S16</t>
        </is>
      </c>
      <c r="B53" s="40">
        <f>VLOOKUP(A53,Members!$A$2:$B$65,2,FALSE)</f>
        <v/>
      </c>
      <c r="C53" s="41" t="n">
        <v>0</v>
      </c>
      <c r="D53" s="41">
        <f>SUM($C$3:$C$5)/64</f>
        <v/>
      </c>
      <c r="E53" s="41">
        <f>C53+D53</f>
        <v/>
      </c>
      <c r="F53" s="41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$T$11/64</f>
        <v/>
      </c>
      <c r="L53" s="41" t="n">
        <v>0</v>
      </c>
      <c r="M53" s="41" t="n">
        <v>0</v>
      </c>
      <c r="N53" s="41" t="n">
        <v>0</v>
      </c>
      <c r="O53" s="41" t="n">
        <v>0</v>
      </c>
      <c r="P53" s="41" t="n"/>
      <c r="Q53" s="41" t="n"/>
      <c r="R53" s="41">
        <f>(J53+K53+L53+M53+N53+O53)*$B$2</f>
        <v/>
      </c>
      <c r="S53" s="41" t="n"/>
      <c r="T53" s="41" t="n"/>
    </row>
    <row r="54" ht="12.75" customHeight="1">
      <c r="A54" s="42" t="inlineStr">
        <is>
          <t>T1</t>
        </is>
      </c>
      <c r="B54" s="42">
        <f>VLOOKUP(A54,Members!$A$2:$B$65,2,FALSE)</f>
        <v/>
      </c>
      <c r="C54" s="43" t="n">
        <v>0</v>
      </c>
      <c r="D54" s="43">
        <f>SUM($C$3:$C$5)/64</f>
        <v/>
      </c>
      <c r="E54" s="43">
        <f>C54+D54</f>
        <v/>
      </c>
      <c r="F54" s="43">
        <f>IF($C$70=0, 0, E54/$C$70)</f>
        <v/>
      </c>
      <c r="G54" s="43">
        <f>F54*$T$5</f>
        <v/>
      </c>
      <c r="H54" s="43" t="n">
        <v>3</v>
      </c>
      <c r="I54" s="43">
        <f>$T$7*H54</f>
        <v/>
      </c>
      <c r="J54" s="43">
        <f>G54+$T$9+I54</f>
        <v/>
      </c>
      <c r="K54" s="43">
        <f>$T$11/64</f>
        <v/>
      </c>
      <c r="L54" s="43" t="n">
        <v>0</v>
      </c>
      <c r="M54" s="43" t="n">
        <v>0</v>
      </c>
      <c r="N54" s="43" t="n">
        <v>0</v>
      </c>
      <c r="O54" s="43" t="n">
        <v>0</v>
      </c>
      <c r="P54" s="43" t="n"/>
      <c r="Q54" s="43" t="n"/>
      <c r="R54" s="43">
        <f>(J54+K54+L54+M54+N54+O54)*$B$2</f>
        <v/>
      </c>
      <c r="S54" s="43" t="n"/>
      <c r="T54" s="43" t="n"/>
    </row>
    <row r="55" ht="12.75" customHeight="1">
      <c r="A55" s="40" t="inlineStr">
        <is>
          <t>T2</t>
        </is>
      </c>
      <c r="B55" s="40">
        <f>VLOOKUP(A55,Members!$A$2:$B$65,2,FALSE)</f>
        <v/>
      </c>
      <c r="C55" s="41" t="n">
        <v>0</v>
      </c>
      <c r="D55" s="41">
        <f>SUM($C$3:$C$5)/64</f>
        <v/>
      </c>
      <c r="E55" s="41">
        <f>C55+D55</f>
        <v/>
      </c>
      <c r="F55" s="41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$T$11/64</f>
        <v/>
      </c>
      <c r="L55" s="41" t="n">
        <v>0</v>
      </c>
      <c r="M55" s="41" t="n">
        <v>0</v>
      </c>
      <c r="N55" s="41" t="n">
        <v>0</v>
      </c>
      <c r="O55" s="41" t="n">
        <v>0</v>
      </c>
      <c r="P55" s="41" t="n"/>
      <c r="Q55" s="41" t="n"/>
      <c r="R55" s="41">
        <f>(J55+K55+L55+M55+N55+O55)*$B$2</f>
        <v/>
      </c>
      <c r="S55" s="41" t="n"/>
      <c r="T55" s="41" t="n"/>
    </row>
    <row r="56" ht="12.75" customHeight="1">
      <c r="A56" s="42" t="inlineStr">
        <is>
          <t>T3</t>
        </is>
      </c>
      <c r="B56" s="42">
        <f>VLOOKUP(A56,Members!$A$2:$B$65,2,FALSE)</f>
        <v/>
      </c>
      <c r="C56" s="43" t="n">
        <v>0</v>
      </c>
      <c r="D56" s="43">
        <f>SUM($C$3:$C$5)/64</f>
        <v/>
      </c>
      <c r="E56" s="43">
        <f>C56+D56</f>
        <v/>
      </c>
      <c r="F56" s="43">
        <f>IF($C$70=0, 0, E56/$C$70)</f>
        <v/>
      </c>
      <c r="G56" s="43">
        <f>F56*$T$5</f>
        <v/>
      </c>
      <c r="H56" s="43" t="n">
        <v>4</v>
      </c>
      <c r="I56" s="43">
        <f>$T$7*H56</f>
        <v/>
      </c>
      <c r="J56" s="43">
        <f>G56+$T$9+I56</f>
        <v/>
      </c>
      <c r="K56" s="43">
        <f>$T$11/64</f>
        <v/>
      </c>
      <c r="L56" s="43" t="n">
        <v>0</v>
      </c>
      <c r="M56" s="43" t="n">
        <v>0</v>
      </c>
      <c r="N56" s="43" t="n">
        <v>0</v>
      </c>
      <c r="O56" s="43" t="n">
        <v>0</v>
      </c>
      <c r="P56" s="43" t="n"/>
      <c r="Q56" s="43" t="n"/>
      <c r="R56" s="43">
        <f>(J56+K56+L56+M56+N56+O56)*$B$2</f>
        <v/>
      </c>
      <c r="S56" s="43" t="n"/>
      <c r="T56" s="43" t="n"/>
    </row>
    <row r="57" ht="12.75" customHeight="1">
      <c r="A57" s="40" t="inlineStr">
        <is>
          <t>T4</t>
        </is>
      </c>
      <c r="B57" s="40">
        <f>VLOOKUP(A57,Members!$A$2:$B$65,2,FALSE)</f>
        <v/>
      </c>
      <c r="C57" s="41" t="n">
        <v>0</v>
      </c>
      <c r="D57" s="41">
        <f>SUM($C$3:$C$5)/64</f>
        <v/>
      </c>
      <c r="E57" s="41">
        <f>C57+D57</f>
        <v/>
      </c>
      <c r="F57" s="41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$T$11/64</f>
        <v/>
      </c>
      <c r="L57" s="41" t="n">
        <v>0</v>
      </c>
      <c r="M57" s="41" t="n">
        <v>0</v>
      </c>
      <c r="N57" s="41" t="n">
        <v>0</v>
      </c>
      <c r="O57" s="41" t="n">
        <v>0</v>
      </c>
      <c r="P57" s="41" t="n"/>
      <c r="Q57" s="41" t="n"/>
      <c r="R57" s="41">
        <f>(J57+K57+L57+M57+N57+O57)*$B$2</f>
        <v/>
      </c>
      <c r="S57" s="41" t="n"/>
      <c r="T57" s="41" t="n"/>
    </row>
    <row r="58" ht="12.75" customHeight="1">
      <c r="A58" s="42" t="inlineStr">
        <is>
          <t>T5</t>
        </is>
      </c>
      <c r="B58" s="42">
        <f>VLOOKUP(A58,Members!$A$2:$B$65,2,FALSE)</f>
        <v/>
      </c>
      <c r="C58" s="43" t="n">
        <v>0</v>
      </c>
      <c r="D58" s="43">
        <f>SUM($C$3:$C$5)/64</f>
        <v/>
      </c>
      <c r="E58" s="43">
        <f>C58+D58</f>
        <v/>
      </c>
      <c r="F58" s="43">
        <f>IF($C$70=0, 0, E58/$C$70)</f>
        <v/>
      </c>
      <c r="G58" s="43">
        <f>F58*$T$5</f>
        <v/>
      </c>
      <c r="H58" s="43" t="n">
        <v>3</v>
      </c>
      <c r="I58" s="43">
        <f>$T$7*H58</f>
        <v/>
      </c>
      <c r="J58" s="43">
        <f>G58+$T$9+I58</f>
        <v/>
      </c>
      <c r="K58" s="43">
        <f>$T$11/64</f>
        <v/>
      </c>
      <c r="L58" s="43" t="n">
        <v>0</v>
      </c>
      <c r="M58" s="43" t="n">
        <v>0</v>
      </c>
      <c r="N58" s="43" t="n">
        <v>0</v>
      </c>
      <c r="O58" s="43" t="n">
        <v>0</v>
      </c>
      <c r="P58" s="43" t="n"/>
      <c r="Q58" s="43" t="n"/>
      <c r="R58" s="43">
        <f>(J58+K58+L58+M58+N58+O58)*$B$2</f>
        <v/>
      </c>
      <c r="S58" s="43" t="n"/>
      <c r="T58" s="43" t="n"/>
    </row>
    <row r="59" ht="12.75" customHeight="1">
      <c r="A59" s="40" t="inlineStr">
        <is>
          <t>T6</t>
        </is>
      </c>
      <c r="B59" s="40">
        <f>VLOOKUP(A59,Members!$A$2:$B$65,2,FALSE)</f>
        <v/>
      </c>
      <c r="C59" s="41" t="n">
        <v>0</v>
      </c>
      <c r="D59" s="41">
        <f>SUM($C$3:$C$5)/64</f>
        <v/>
      </c>
      <c r="E59" s="41">
        <f>C59+D59</f>
        <v/>
      </c>
      <c r="F59" s="41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$T$11/64</f>
        <v/>
      </c>
      <c r="L59" s="41" t="n">
        <v>0</v>
      </c>
      <c r="M59" s="41" t="n">
        <v>0</v>
      </c>
      <c r="N59" s="41" t="n">
        <v>0</v>
      </c>
      <c r="O59" s="41" t="n">
        <v>0</v>
      </c>
      <c r="P59" s="41" t="n"/>
      <c r="Q59" s="41" t="n"/>
      <c r="R59" s="41">
        <f>(J59+K59+L59+M59+N59+O59)*$B$2</f>
        <v/>
      </c>
      <c r="S59" s="41" t="n"/>
      <c r="T59" s="41" t="n"/>
    </row>
    <row r="60" ht="12.75" customHeight="1">
      <c r="A60" s="42" t="inlineStr">
        <is>
          <t>T7</t>
        </is>
      </c>
      <c r="B60" s="42">
        <f>VLOOKUP(A60,Members!$A$2:$B$65,2,FALSE)</f>
        <v/>
      </c>
      <c r="C60" s="43" t="n">
        <v>0</v>
      </c>
      <c r="D60" s="43">
        <f>SUM($C$3:$C$5)/64</f>
        <v/>
      </c>
      <c r="E60" s="43">
        <f>C60+D60</f>
        <v/>
      </c>
      <c r="F60" s="43">
        <f>IF($C$70=0, 0, E60/$C$70)</f>
        <v/>
      </c>
      <c r="G60" s="43">
        <f>F60*$T$5</f>
        <v/>
      </c>
      <c r="H60" s="43" t="n">
        <v>3</v>
      </c>
      <c r="I60" s="43">
        <f>$T$7*H60</f>
        <v/>
      </c>
      <c r="J60" s="43">
        <f>G60+$T$9+I60</f>
        <v/>
      </c>
      <c r="K60" s="43">
        <f>$T$11/64</f>
        <v/>
      </c>
      <c r="L60" s="43" t="n">
        <v>0</v>
      </c>
      <c r="M60" s="43" t="n">
        <v>0</v>
      </c>
      <c r="N60" s="43" t="n">
        <v>0</v>
      </c>
      <c r="O60" s="43" t="n">
        <v>0</v>
      </c>
      <c r="P60" s="43" t="n"/>
      <c r="Q60" s="43" t="n"/>
      <c r="R60" s="43">
        <f>(J60+K60+L60+M60+N60+O60)*$B$2</f>
        <v/>
      </c>
      <c r="S60" s="43" t="n"/>
      <c r="T60" s="43" t="n"/>
    </row>
    <row r="61" ht="12.75" customHeight="1">
      <c r="A61" s="40" t="inlineStr">
        <is>
          <t>T8</t>
        </is>
      </c>
      <c r="B61" s="40">
        <f>VLOOKUP(A61,Members!$A$2:$B$65,2,FALSE)</f>
        <v/>
      </c>
      <c r="C61" s="41" t="n">
        <v>0</v>
      </c>
      <c r="D61" s="41">
        <f>SUM($C$3:$C$5)/64</f>
        <v/>
      </c>
      <c r="E61" s="41">
        <f>C61+D61</f>
        <v/>
      </c>
      <c r="F61" s="41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$T$11/64</f>
        <v/>
      </c>
      <c r="L61" s="41" t="n">
        <v>0</v>
      </c>
      <c r="M61" s="41" t="n">
        <v>0</v>
      </c>
      <c r="N61" s="41" t="n">
        <v>0</v>
      </c>
      <c r="O61" s="41" t="n">
        <v>0</v>
      </c>
      <c r="P61" s="41" t="n"/>
      <c r="Q61" s="41" t="n"/>
      <c r="R61" s="41">
        <f>(J61+K61+L61+M61+N61+O61)*$B$2</f>
        <v/>
      </c>
      <c r="S61" s="41" t="n"/>
      <c r="T61" s="41" t="n"/>
    </row>
    <row r="62" ht="12.75" customHeight="1">
      <c r="A62" s="42" t="inlineStr">
        <is>
          <t>T9</t>
        </is>
      </c>
      <c r="B62" s="42">
        <f>VLOOKUP(A62,Members!$A$2:$B$65,2,FALSE)</f>
        <v/>
      </c>
      <c r="C62" s="43" t="n">
        <v>0</v>
      </c>
      <c r="D62" s="43">
        <f>SUM($C$3:$C$5)/64</f>
        <v/>
      </c>
      <c r="E62" s="43">
        <f>C62+D62</f>
        <v/>
      </c>
      <c r="F62" s="43">
        <f>IF($C$70=0, 0, E62/$C$70)</f>
        <v/>
      </c>
      <c r="G62" s="43">
        <f>F62*$T$5</f>
        <v/>
      </c>
      <c r="H62" s="43" t="n">
        <v>4</v>
      </c>
      <c r="I62" s="43">
        <f>$T$7*H62</f>
        <v/>
      </c>
      <c r="J62" s="43">
        <f>G62+$T$9+I62</f>
        <v/>
      </c>
      <c r="K62" s="43">
        <f>$T$11/64</f>
        <v/>
      </c>
      <c r="L62" s="43" t="n">
        <v>0</v>
      </c>
      <c r="M62" s="43" t="n">
        <v>0</v>
      </c>
      <c r="N62" s="43" t="n">
        <v>0</v>
      </c>
      <c r="O62" s="43" t="n">
        <v>0</v>
      </c>
      <c r="P62" s="43" t="n"/>
      <c r="Q62" s="43" t="n"/>
      <c r="R62" s="43">
        <f>(J62+K62+L62+M62+N62+O62)*$B$2</f>
        <v/>
      </c>
      <c r="S62" s="43" t="n"/>
      <c r="T62" s="43" t="n"/>
    </row>
    <row r="63" ht="12.75" customHeight="1">
      <c r="A63" s="40" t="inlineStr">
        <is>
          <t>T10</t>
        </is>
      </c>
      <c r="B63" s="40">
        <f>VLOOKUP(A63,Members!$A$2:$B$65,2,FALSE)</f>
        <v/>
      </c>
      <c r="C63" s="41" t="n">
        <v>0</v>
      </c>
      <c r="D63" s="41">
        <f>SUM($C$3:$C$5)/64</f>
        <v/>
      </c>
      <c r="E63" s="41">
        <f>C63+D63</f>
        <v/>
      </c>
      <c r="F63" s="41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$T$11/64</f>
        <v/>
      </c>
      <c r="L63" s="41" t="n">
        <v>0</v>
      </c>
      <c r="M63" s="41" t="n">
        <v>0</v>
      </c>
      <c r="N63" s="41" t="n">
        <v>0</v>
      </c>
      <c r="O63" s="41" t="n">
        <v>0</v>
      </c>
      <c r="P63" s="41" t="n"/>
      <c r="Q63" s="41" t="n"/>
      <c r="R63" s="41">
        <f>(J63+K63+L63+M63+N63+O63)*$B$2</f>
        <v/>
      </c>
      <c r="S63" s="41" t="n"/>
      <c r="T63" s="41" t="n"/>
    </row>
    <row r="64" ht="12.75" customHeight="1">
      <c r="A64" s="42" t="inlineStr">
        <is>
          <t>T11</t>
        </is>
      </c>
      <c r="B64" s="42">
        <f>VLOOKUP(A64,Members!$A$2:$B$65,2,FALSE)</f>
        <v/>
      </c>
      <c r="C64" s="43" t="n">
        <v>0</v>
      </c>
      <c r="D64" s="43">
        <f>SUM($C$3:$C$5)/64</f>
        <v/>
      </c>
      <c r="E64" s="43">
        <f>C64+D64</f>
        <v/>
      </c>
      <c r="F64" s="43">
        <f>IF($C$70=0, 0, E64/$C$70)</f>
        <v/>
      </c>
      <c r="G64" s="43">
        <f>F64*$T$5</f>
        <v/>
      </c>
      <c r="H64" s="43" t="n">
        <v>3</v>
      </c>
      <c r="I64" s="43">
        <f>$T$7*H64</f>
        <v/>
      </c>
      <c r="J64" s="43">
        <f>G64+$T$9+I64</f>
        <v/>
      </c>
      <c r="K64" s="43">
        <f>$T$11/64</f>
        <v/>
      </c>
      <c r="L64" s="43" t="n">
        <v>0</v>
      </c>
      <c r="M64" s="43" t="n">
        <v>0</v>
      </c>
      <c r="N64" s="43" t="n">
        <v>0</v>
      </c>
      <c r="O64" s="43" t="n">
        <v>0</v>
      </c>
      <c r="P64" s="43" t="n"/>
      <c r="Q64" s="43" t="n"/>
      <c r="R64" s="43">
        <f>(J64+K64+L64+M64+N64+O64)*$B$2</f>
        <v/>
      </c>
      <c r="S64" s="43" t="n"/>
      <c r="T64" s="43" t="n"/>
    </row>
    <row r="65" ht="12.75" customHeight="1">
      <c r="A65" s="40" t="inlineStr">
        <is>
          <t>T12</t>
        </is>
      </c>
      <c r="B65" s="40">
        <f>VLOOKUP(A65,Members!$A$2:$B$65,2,FALSE)</f>
        <v/>
      </c>
      <c r="C65" s="41" t="n">
        <v>0</v>
      </c>
      <c r="D65" s="41">
        <f>SUM($C$3:$C$5)/64</f>
        <v/>
      </c>
      <c r="E65" s="41">
        <f>C65+D65</f>
        <v/>
      </c>
      <c r="F65" s="41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$T$11/64</f>
        <v/>
      </c>
      <c r="L65" s="41" t="n">
        <v>0</v>
      </c>
      <c r="M65" s="41" t="n">
        <v>0</v>
      </c>
      <c r="N65" s="41" t="n">
        <v>0</v>
      </c>
      <c r="O65" s="41" t="n">
        <v>0</v>
      </c>
      <c r="P65" s="41" t="n"/>
      <c r="Q65" s="41" t="n"/>
      <c r="R65" s="41">
        <f>(J65+K65+L65+M65+N65+O65)*$B$2</f>
        <v/>
      </c>
      <c r="S65" s="41" t="n"/>
      <c r="T65" s="41" t="n"/>
    </row>
    <row r="66" ht="12.75" customHeight="1">
      <c r="A66" s="42" t="inlineStr">
        <is>
          <t>T13</t>
        </is>
      </c>
      <c r="B66" s="42">
        <f>VLOOKUP(A66,Members!$A$2:$B$65,2,FALSE)</f>
        <v/>
      </c>
      <c r="C66" s="43" t="n">
        <v>0</v>
      </c>
      <c r="D66" s="43">
        <f>SUM($C$3:$C$5)/64</f>
        <v/>
      </c>
      <c r="E66" s="43">
        <f>C66+D66</f>
        <v/>
      </c>
      <c r="F66" s="43">
        <f>IF($C$70=0, 0, E66/$C$70)</f>
        <v/>
      </c>
      <c r="G66" s="43">
        <f>F66*$T$5</f>
        <v/>
      </c>
      <c r="H66" s="43" t="n">
        <v>4</v>
      </c>
      <c r="I66" s="43">
        <f>$T$7*H66</f>
        <v/>
      </c>
      <c r="J66" s="43">
        <f>G66+$T$9+I66</f>
        <v/>
      </c>
      <c r="K66" s="43">
        <f>$T$11/64</f>
        <v/>
      </c>
      <c r="L66" s="43" t="n">
        <v>0</v>
      </c>
      <c r="M66" s="43" t="n">
        <v>0</v>
      </c>
      <c r="N66" s="43" t="n">
        <v>0</v>
      </c>
      <c r="O66" s="43" t="n">
        <v>0</v>
      </c>
      <c r="P66" s="43" t="n"/>
      <c r="Q66" s="43" t="n"/>
      <c r="R66" s="43">
        <f>(J66+K66+L66+M66+N66+O66)*$B$2</f>
        <v/>
      </c>
      <c r="S66" s="43" t="n"/>
      <c r="T66" s="43" t="n"/>
    </row>
    <row r="67" ht="12.75" customHeight="1">
      <c r="A67" s="40" t="inlineStr">
        <is>
          <t>T14</t>
        </is>
      </c>
      <c r="B67" s="40">
        <f>VLOOKUP(A67,Members!$A$2:$B$65,2,FALSE)</f>
        <v/>
      </c>
      <c r="C67" s="41" t="n">
        <v>0</v>
      </c>
      <c r="D67" s="41">
        <f>SUM($C$3:$C$5)/64</f>
        <v/>
      </c>
      <c r="E67" s="41">
        <f>C67+D67</f>
        <v/>
      </c>
      <c r="F67" s="41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$T$11/64</f>
        <v/>
      </c>
      <c r="L67" s="41" t="n">
        <v>0</v>
      </c>
      <c r="M67" s="41" t="n">
        <v>0</v>
      </c>
      <c r="N67" s="41" t="n">
        <v>0</v>
      </c>
      <c r="O67" s="41" t="n">
        <v>0</v>
      </c>
      <c r="P67" s="41" t="n"/>
      <c r="Q67" s="41" t="n"/>
      <c r="R67" s="41">
        <f>(J67+K67+L67+M67+N67+O67)*$B$2</f>
        <v/>
      </c>
      <c r="S67" s="41" t="n"/>
      <c r="T67" s="41" t="n"/>
    </row>
    <row r="68" ht="12.75" customHeight="1">
      <c r="A68" s="42" t="inlineStr">
        <is>
          <t>T15</t>
        </is>
      </c>
      <c r="B68" s="42">
        <f>VLOOKUP(A68,Members!$A$2:$B$65,2,FALSE)</f>
        <v/>
      </c>
      <c r="C68" s="43" t="n">
        <v>0</v>
      </c>
      <c r="D68" s="43">
        <f>SUM($C$3:$C$5)/64</f>
        <v/>
      </c>
      <c r="E68" s="43">
        <f>C68+D68</f>
        <v/>
      </c>
      <c r="F68" s="43">
        <f>IF($C$70=0, 0, E68/$C$70)</f>
        <v/>
      </c>
      <c r="G68" s="43">
        <f>F68*$T$5</f>
        <v/>
      </c>
      <c r="H68" s="43" t="n">
        <v>4</v>
      </c>
      <c r="I68" s="43">
        <f>$T$7*H68</f>
        <v/>
      </c>
      <c r="J68" s="43">
        <f>G68+$T$9+I68</f>
        <v/>
      </c>
      <c r="K68" s="43">
        <f>$T$11/64</f>
        <v/>
      </c>
      <c r="L68" s="43" t="n">
        <v>0</v>
      </c>
      <c r="M68" s="43" t="n">
        <v>0</v>
      </c>
      <c r="N68" s="43" t="n">
        <v>0</v>
      </c>
      <c r="O68" s="43" t="n">
        <v>0</v>
      </c>
      <c r="P68" s="43" t="n"/>
      <c r="Q68" s="43" t="n"/>
      <c r="R68" s="43">
        <f>(J68+K68+L68+M68+N68+O68)*$B$2</f>
        <v/>
      </c>
      <c r="S68" s="43" t="n"/>
      <c r="T68" s="43" t="n"/>
    </row>
    <row r="69" ht="12.75" customHeight="1">
      <c r="A69" s="40" t="inlineStr">
        <is>
          <t>T16</t>
        </is>
      </c>
      <c r="B69" s="40">
        <f>VLOOKUP(A69,Members!$A$2:$B$65,2,FALSE)</f>
        <v/>
      </c>
      <c r="C69" s="41" t="n">
        <v>0</v>
      </c>
      <c r="D69" s="41">
        <f>SUM($C$3:$C$5)/64</f>
        <v/>
      </c>
      <c r="E69" s="41">
        <f>C69+D69</f>
        <v/>
      </c>
      <c r="F69" s="41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$T$11/64</f>
        <v/>
      </c>
      <c r="L69" s="41" t="n">
        <v>0</v>
      </c>
      <c r="M69" s="41" t="n">
        <v>0</v>
      </c>
      <c r="N69" s="41" t="n">
        <v>0</v>
      </c>
      <c r="O69" s="41" t="n">
        <v>0</v>
      </c>
      <c r="P69" s="41" t="n"/>
      <c r="Q69" s="41" t="n"/>
      <c r="R69" s="41">
        <f>(J69+K69+L69+M69+N69+O69)*$B$2</f>
        <v/>
      </c>
      <c r="S69" s="41" t="n"/>
      <c r="T69" s="41" t="n"/>
    </row>
    <row r="70" ht="12.75" customHeight="1">
      <c r="A70" s="42" t="n"/>
      <c r="B70" s="42" t="inlineStr">
        <is>
          <t>TOTAL</t>
        </is>
      </c>
      <c r="C70" s="43">
        <f>SUM(C3:C69)</f>
        <v/>
      </c>
      <c r="D70" s="43">
        <f>SUM(D3:D69)</f>
        <v/>
      </c>
      <c r="E70" s="43">
        <f>SUM(E3:E69)</f>
        <v/>
      </c>
      <c r="F70" s="43">
        <f>IF($C$70=0, 0, E70/$C$70)</f>
        <v/>
      </c>
      <c r="G70" s="43">
        <f>SUM(G3:G69)</f>
        <v/>
      </c>
      <c r="H70" s="43">
        <f>SUM(H3:H69)</f>
        <v/>
      </c>
      <c r="I70" s="43">
        <f>SUM(I3:I69)</f>
        <v/>
      </c>
      <c r="J70" s="43">
        <f>SUM(J3:J69)</f>
        <v/>
      </c>
      <c r="K70" s="43">
        <f>SUM(K3:K69)</f>
        <v/>
      </c>
      <c r="L70" s="43">
        <f>SUM(L3:L69)</f>
        <v/>
      </c>
      <c r="M70" s="43">
        <f>SUM(M3:M69)</f>
        <v/>
      </c>
      <c r="N70" s="43">
        <f>SUM(N3:N69)</f>
        <v/>
      </c>
      <c r="O70" s="43">
        <f>SUM(O3:O69)</f>
        <v/>
      </c>
      <c r="P70" s="43" t="n"/>
      <c r="Q70" s="43" t="n"/>
      <c r="R70" s="43">
        <f>SUM(R3:R69)</f>
        <v/>
      </c>
      <c r="S70" s="43" t="n"/>
      <c r="T70" s="43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min="1" max="1"/>
    <col width="64.28515625" customWidth="1" min="2" max="2"/>
  </cols>
  <sheetData>
    <row r="1">
      <c r="A1" s="39" t="inlineStr">
        <is>
          <t>FLAT #</t>
        </is>
      </c>
      <c r="B1" s="39" t="n"/>
      <c r="C1" s="39" t="inlineStr">
        <is>
          <t>Amount</t>
        </is>
      </c>
      <c r="D1" s="66" t="inlineStr">
        <is>
          <t>Date</t>
        </is>
      </c>
      <c r="E1" s="39" t="inlineStr">
        <is>
          <t>Amount</t>
        </is>
      </c>
      <c r="F1" s="66" t="inlineStr">
        <is>
          <t>Date</t>
        </is>
      </c>
      <c r="G1" s="39" t="inlineStr">
        <is>
          <t>Amount</t>
        </is>
      </c>
      <c r="H1" s="57" t="inlineStr">
        <is>
          <t>Date</t>
        </is>
      </c>
      <c r="I1" s="39" t="inlineStr">
        <is>
          <t>Amount</t>
        </is>
      </c>
      <c r="J1" s="100" t="inlineStr">
        <is>
          <t>Date</t>
        </is>
      </c>
      <c r="K1" s="100" t="inlineStr">
        <is>
          <t>Total</t>
        </is>
      </c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  <c r="AA1" s="100" t="n"/>
    </row>
    <row r="2" ht="15" customHeight="1">
      <c r="A2" s="42" t="inlineStr">
        <is>
          <t>F1</t>
        </is>
      </c>
      <c r="B2" s="42">
        <f>VLOOKUP(A2,Members!$A$2:$B$65,2,FALSE)</f>
        <v/>
      </c>
      <c r="C2" s="47" t="n"/>
      <c r="D2" s="50" t="n"/>
      <c r="E2" s="47" t="n"/>
      <c r="F2" s="50" t="n"/>
      <c r="G2" s="47" t="n"/>
      <c r="H2" s="58" t="n"/>
      <c r="I2" s="47" t="n"/>
      <c r="J2" s="47" t="n"/>
      <c r="K2" s="47">
        <f>SUM(C2,E2,G2,I2)</f>
        <v/>
      </c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</row>
    <row r="3" ht="15" customHeight="1">
      <c r="A3" s="40" t="inlineStr">
        <is>
          <t>F2</t>
        </is>
      </c>
      <c r="B3" s="40">
        <f>VLOOKUP(A3,Members!$A$2:$B$65,2,FALSE)</f>
        <v/>
      </c>
      <c r="C3" s="104" t="n"/>
      <c r="D3" s="53" t="n"/>
      <c r="E3" s="104" t="n"/>
      <c r="F3" s="53" t="n"/>
      <c r="G3" s="104" t="n"/>
      <c r="H3" s="59" t="n"/>
      <c r="I3" s="104" t="n"/>
      <c r="J3" s="104" t="n"/>
      <c r="K3" s="104">
        <f>SUM(C3,E3,G3,I3)</f>
        <v/>
      </c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</row>
    <row r="4" ht="15" customHeight="1">
      <c r="A4" s="42" t="inlineStr">
        <is>
          <t>F3</t>
        </is>
      </c>
      <c r="B4" s="42">
        <f>VLOOKUP(A4,Members!$A$2:$B$65,2,FALSE)</f>
        <v/>
      </c>
      <c r="C4" s="47" t="n"/>
      <c r="D4" s="50" t="n"/>
      <c r="E4" s="43" t="n"/>
      <c r="F4" s="50" t="n"/>
      <c r="G4" s="47" t="n"/>
      <c r="H4" s="58" t="n"/>
      <c r="I4" s="47" t="n"/>
      <c r="J4" s="47" t="n"/>
      <c r="K4" s="47">
        <f>SUM(C4,E4,G4,I4)</f>
        <v/>
      </c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</row>
    <row r="5" ht="15" customHeight="1">
      <c r="A5" s="40" t="inlineStr">
        <is>
          <t>F4</t>
        </is>
      </c>
      <c r="B5" s="40">
        <f>VLOOKUP(A5,Members!$A$2:$B$65,2,FALSE)</f>
        <v/>
      </c>
      <c r="C5" s="41" t="n"/>
      <c r="D5" s="53" t="n"/>
      <c r="E5" s="104" t="n"/>
      <c r="F5" s="53" t="n"/>
      <c r="G5" s="104" t="n"/>
      <c r="H5" s="59" t="n"/>
      <c r="I5" s="104" t="n"/>
      <c r="J5" s="104" t="n"/>
      <c r="K5" s="41">
        <f>SUM(C5,E5,G5,I5)</f>
        <v/>
      </c>
      <c r="L5" s="104" t="n"/>
      <c r="M5" s="104" t="n"/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</row>
    <row r="6" ht="15" customHeight="1">
      <c r="A6" s="42" t="inlineStr">
        <is>
          <t>F5</t>
        </is>
      </c>
      <c r="B6" s="42">
        <f>VLOOKUP(A6,Members!$A$2:$B$65,2,FALSE)</f>
        <v/>
      </c>
      <c r="C6" s="47" t="n"/>
      <c r="D6" s="50" t="n"/>
      <c r="E6" s="47" t="n"/>
      <c r="F6" s="50" t="n"/>
      <c r="G6" s="47" t="n"/>
      <c r="H6" s="58" t="n"/>
      <c r="I6" s="47" t="n"/>
      <c r="J6" s="47" t="n"/>
      <c r="K6" s="47">
        <f>SUM(C6,E6,G6,I6)</f>
        <v/>
      </c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  <c r="AA6" s="47" t="n"/>
    </row>
    <row r="7" ht="15" customHeight="1">
      <c r="A7" s="40" t="inlineStr">
        <is>
          <t>F6</t>
        </is>
      </c>
      <c r="B7" s="40">
        <f>VLOOKUP(A7,Members!$A$2:$B$65,2,FALSE)</f>
        <v/>
      </c>
      <c r="C7" s="104" t="n"/>
      <c r="D7" s="53" t="n"/>
      <c r="E7" s="104" t="n"/>
      <c r="F7" s="53" t="n"/>
      <c r="G7" s="104" t="n"/>
      <c r="H7" s="59" t="n"/>
      <c r="I7" s="104" t="n"/>
      <c r="J7" s="104" t="n"/>
      <c r="K7" s="104">
        <f>SUM(C7,E7,G7,I7)</f>
        <v/>
      </c>
      <c r="L7" s="104" t="n"/>
      <c r="M7" s="104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</row>
    <row r="8" ht="15" customHeight="1">
      <c r="A8" s="42" t="inlineStr">
        <is>
          <t>F7</t>
        </is>
      </c>
      <c r="B8" s="42">
        <f>VLOOKUP(A8,Members!$A$2:$B$65,2,FALSE)</f>
        <v/>
      </c>
      <c r="C8" s="47" t="n"/>
      <c r="D8" s="50" t="n"/>
      <c r="E8" s="47" t="n"/>
      <c r="F8" s="50" t="n"/>
      <c r="G8" s="47" t="n"/>
      <c r="H8" s="58" t="n"/>
      <c r="I8" s="47" t="n"/>
      <c r="J8" s="47" t="n"/>
      <c r="K8" s="47">
        <f>SUM(C8,E8,G8,I8)</f>
        <v/>
      </c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  <c r="AA8" s="47" t="n"/>
    </row>
    <row r="9" ht="15" customHeight="1">
      <c r="A9" s="40" t="inlineStr">
        <is>
          <t>F8</t>
        </is>
      </c>
      <c r="B9" s="40">
        <f>VLOOKUP(A9,Members!$A$2:$B$65,2,FALSE)</f>
        <v/>
      </c>
      <c r="C9" s="41" t="n"/>
      <c r="D9" s="53" t="n"/>
      <c r="E9" s="104" t="n"/>
      <c r="F9" s="53" t="n"/>
      <c r="G9" s="104" t="n"/>
      <c r="H9" s="59" t="n"/>
      <c r="I9" s="104" t="n"/>
      <c r="J9" s="104" t="n"/>
      <c r="K9" s="41">
        <f>SUM(C9,E9,G9,I9)</f>
        <v/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</row>
    <row r="10" ht="15" customHeight="1">
      <c r="A10" s="42" t="inlineStr">
        <is>
          <t>F9</t>
        </is>
      </c>
      <c r="B10" s="42">
        <f>VLOOKUP(A10,Members!$A$2:$B$65,2,FALSE)</f>
        <v/>
      </c>
      <c r="C10" s="43" t="n"/>
      <c r="D10" s="50" t="n"/>
      <c r="E10" s="47" t="n"/>
      <c r="F10" s="50" t="n"/>
      <c r="G10" s="47" t="n"/>
      <c r="H10" s="58" t="n"/>
      <c r="I10" s="47" t="n"/>
      <c r="J10" s="47" t="n"/>
      <c r="K10" s="43">
        <f>SUM(C10,E10,G10,I10)</f>
        <v/>
      </c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  <c r="AA10" s="47" t="n"/>
    </row>
    <row r="11" ht="15" customHeight="1">
      <c r="A11" s="40" t="inlineStr">
        <is>
          <t>F10</t>
        </is>
      </c>
      <c r="B11" s="40">
        <f>VLOOKUP(A11,Members!$A$2:$B$65,2,FALSE)</f>
        <v/>
      </c>
      <c r="C11" s="41" t="n"/>
      <c r="D11" s="53" t="n"/>
      <c r="E11" s="104" t="n"/>
      <c r="F11" s="53" t="n"/>
      <c r="G11" s="104" t="n"/>
      <c r="H11" s="59" t="n"/>
      <c r="I11" s="104" t="n"/>
      <c r="J11" s="104" t="n"/>
      <c r="K11" s="41">
        <f>SUM(C11,E11,G11,I11)</f>
        <v/>
      </c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</row>
    <row r="12" ht="15" customHeight="1">
      <c r="A12" s="42" t="inlineStr">
        <is>
          <t>F11</t>
        </is>
      </c>
      <c r="B12" s="42">
        <f>VLOOKUP(A12,Members!$A$2:$B$65,2,FALSE)</f>
        <v/>
      </c>
      <c r="C12" s="43" t="n"/>
      <c r="D12" s="50" t="n"/>
      <c r="E12" s="47" t="n"/>
      <c r="F12" s="50" t="n"/>
      <c r="G12" s="47" t="n"/>
      <c r="H12" s="58" t="n"/>
      <c r="I12" s="47" t="n"/>
      <c r="J12" s="47" t="n"/>
      <c r="K12" s="43">
        <f>SUM(C12,E12,G12,I12)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</row>
    <row r="13" ht="15" customHeight="1">
      <c r="A13" s="40" t="inlineStr">
        <is>
          <t>F12</t>
        </is>
      </c>
      <c r="B13" s="40">
        <f>VLOOKUP(A13,Members!$A$2:$B$65,2,FALSE)</f>
        <v/>
      </c>
      <c r="C13" s="41" t="n"/>
      <c r="D13" s="53" t="n"/>
      <c r="E13" s="104" t="n"/>
      <c r="F13" s="53" t="n"/>
      <c r="G13" s="104" t="n"/>
      <c r="H13" s="59" t="n"/>
      <c r="I13" s="104" t="n"/>
      <c r="J13" s="104" t="n"/>
      <c r="K13" s="41">
        <f>SUM(C13,E13,G13,I13)</f>
        <v/>
      </c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</row>
    <row r="14" ht="15" customHeight="1">
      <c r="A14" s="42" t="inlineStr">
        <is>
          <t>F13</t>
        </is>
      </c>
      <c r="B14" s="42">
        <f>VLOOKUP(A14,Members!$A$2:$B$65,2,FALSE)</f>
        <v/>
      </c>
      <c r="C14" s="47" t="n"/>
      <c r="D14" s="50" t="n"/>
      <c r="E14" s="47" t="n"/>
      <c r="F14" s="50" t="n"/>
      <c r="G14" s="47" t="n"/>
      <c r="H14" s="58" t="n"/>
      <c r="I14" s="47" t="n"/>
      <c r="J14" s="47" t="n"/>
      <c r="K14" s="47">
        <f>SUM(C14,E14,G14,I14)</f>
        <v/>
      </c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  <c r="AA14" s="47" t="n"/>
    </row>
    <row r="15" ht="15" customHeight="1">
      <c r="A15" s="40" t="inlineStr">
        <is>
          <t>F14</t>
        </is>
      </c>
      <c r="B15" s="40">
        <f>VLOOKUP(A15,Members!$A$2:$B$65,2,FALSE)</f>
        <v/>
      </c>
      <c r="C15" s="41" t="n"/>
      <c r="D15" s="53" t="n"/>
      <c r="E15" s="104" t="n"/>
      <c r="F15" s="53" t="n"/>
      <c r="G15" s="104" t="n"/>
      <c r="H15" s="59" t="n"/>
      <c r="I15" s="104" t="n"/>
      <c r="J15" s="104" t="n"/>
      <c r="K15" s="41">
        <f>SUM(C15,E15,G15,I15)</f>
        <v/>
      </c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</row>
    <row r="16" ht="15" customHeight="1">
      <c r="A16" s="42" t="inlineStr">
        <is>
          <t>F15</t>
        </is>
      </c>
      <c r="B16" s="42">
        <f>VLOOKUP(A16,Members!$A$2:$B$65,2,FALSE)</f>
        <v/>
      </c>
      <c r="C16" s="47" t="n"/>
      <c r="D16" s="50" t="n"/>
      <c r="E16" s="47" t="n"/>
      <c r="F16" s="50" t="n"/>
      <c r="G16" s="47" t="n"/>
      <c r="H16" s="58" t="n"/>
      <c r="I16" s="47" t="n"/>
      <c r="J16" s="47" t="n"/>
      <c r="K16" s="47">
        <f>SUM(C16,E16,G16,I16)</f>
        <v/>
      </c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  <c r="AA16" s="47" t="n"/>
    </row>
    <row r="17" ht="15" customHeight="1">
      <c r="A17" s="40" t="inlineStr">
        <is>
          <t>F16</t>
        </is>
      </c>
      <c r="B17" s="40">
        <f>VLOOKUP(A17,Members!$A$2:$B$65,2,FALSE)</f>
        <v/>
      </c>
      <c r="C17" s="104" t="n"/>
      <c r="D17" s="53" t="n"/>
      <c r="E17" s="104" t="n"/>
      <c r="F17" s="53" t="n"/>
      <c r="G17" s="104" t="n"/>
      <c r="H17" s="59" t="n"/>
      <c r="I17" s="104" t="n"/>
      <c r="J17" s="104" t="n"/>
      <c r="K17" s="104">
        <f>SUM(C17,E17,G17,I17)</f>
        <v/>
      </c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</row>
    <row r="18" ht="15" customHeight="1">
      <c r="A18" s="42" t="inlineStr">
        <is>
          <t>G1</t>
        </is>
      </c>
      <c r="B18" s="42">
        <f>VLOOKUP(A18,Members!$A$2:$B$65,2,FALSE)</f>
        <v/>
      </c>
      <c r="C18" s="43" t="n"/>
      <c r="D18" s="50" t="n"/>
      <c r="E18" s="43" t="n"/>
      <c r="F18" s="50" t="n"/>
      <c r="G18" s="47" t="n"/>
      <c r="H18" s="58" t="n"/>
      <c r="I18" s="47" t="n"/>
      <c r="J18" s="47" t="n"/>
      <c r="K18" s="43">
        <f>SUM(C18,E18,G18,I18)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</row>
    <row r="19" ht="15" customHeight="1">
      <c r="A19" s="40" t="inlineStr">
        <is>
          <t>G2</t>
        </is>
      </c>
      <c r="B19" s="40">
        <f>VLOOKUP(A19,Members!$A$2:$B$65,2,FALSE)</f>
        <v/>
      </c>
      <c r="C19" s="41" t="n"/>
      <c r="D19" s="53" t="n"/>
      <c r="E19" s="104" t="n"/>
      <c r="F19" s="53" t="n"/>
      <c r="G19" s="104" t="n"/>
      <c r="H19" s="59" t="n"/>
      <c r="I19" s="104" t="n"/>
      <c r="J19" s="104" t="n"/>
      <c r="K19" s="41">
        <f>SUM(C19,E19,G19,I19)</f>
        <v/>
      </c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</row>
    <row r="20" ht="15" customHeight="1">
      <c r="A20" s="42" t="inlineStr">
        <is>
          <t>G3</t>
        </is>
      </c>
      <c r="B20" s="42">
        <f>VLOOKUP(A20,Members!$A$2:$B$65,2,FALSE)</f>
        <v/>
      </c>
      <c r="C20" s="43" t="n"/>
      <c r="D20" s="50" t="n"/>
      <c r="E20" s="47" t="n"/>
      <c r="F20" s="50" t="n"/>
      <c r="G20" s="47" t="n"/>
      <c r="H20" s="58" t="n"/>
      <c r="I20" s="47" t="n"/>
      <c r="J20" s="47" t="n"/>
      <c r="K20" s="43">
        <f>SUM(C20,E20,G20,I20)</f>
        <v/>
      </c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</row>
    <row r="21" ht="15" customHeight="1">
      <c r="A21" s="40" t="inlineStr">
        <is>
          <t>G4</t>
        </is>
      </c>
      <c r="B21" s="40">
        <f>VLOOKUP(A21,Members!$A$2:$B$65,2,FALSE)</f>
        <v/>
      </c>
      <c r="C21" s="41" t="n"/>
      <c r="D21" s="53" t="n"/>
      <c r="E21" s="104" t="n"/>
      <c r="F21" s="53" t="n"/>
      <c r="G21" s="104" t="n"/>
      <c r="H21" s="59" t="n"/>
      <c r="I21" s="104" t="n"/>
      <c r="J21" s="104" t="n"/>
      <c r="K21" s="41">
        <f>SUM(C21,E21,G21,I21)</f>
        <v/>
      </c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</row>
    <row r="22" ht="15.95" customHeight="1">
      <c r="A22" s="42" t="inlineStr">
        <is>
          <t>G5</t>
        </is>
      </c>
      <c r="B22" s="42">
        <f>VLOOKUP(A22,Members!$A$2:$B$65,2,FALSE)</f>
        <v/>
      </c>
      <c r="C22" s="43" t="n"/>
      <c r="D22" s="50" t="n"/>
      <c r="E22" s="47" t="n"/>
      <c r="F22" s="50" t="n"/>
      <c r="G22" s="47" t="n"/>
      <c r="H22" s="58" t="n"/>
      <c r="I22" s="47" t="n"/>
      <c r="J22" s="47" t="n"/>
      <c r="K22" s="43">
        <f>SUM(C22,E22,G22,I22)</f>
        <v/>
      </c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</row>
    <row r="23" ht="15.95" customHeight="1">
      <c r="A23" s="40" t="inlineStr">
        <is>
          <t>G6</t>
        </is>
      </c>
      <c r="B23" s="40">
        <f>VLOOKUP(A23,Members!$A$2:$B$65,2,FALSE)</f>
        <v/>
      </c>
      <c r="C23" s="104" t="n"/>
      <c r="D23" s="53" t="n"/>
      <c r="E23" s="104" t="n"/>
      <c r="F23" s="53" t="n"/>
      <c r="G23" s="104" t="n"/>
      <c r="H23" s="59" t="n"/>
      <c r="I23" s="104" t="n"/>
      <c r="J23" s="104" t="n"/>
      <c r="K23" s="104">
        <f>SUM(C23,E23,G23,I23)</f>
        <v/>
      </c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</row>
    <row r="24" ht="15.95" customHeight="1">
      <c r="A24" s="42" t="inlineStr">
        <is>
          <t>G7</t>
        </is>
      </c>
      <c r="B24" s="42">
        <f>VLOOKUP(A24,Members!$A$2:$B$65,2,FALSE)</f>
        <v/>
      </c>
      <c r="C24" s="43" t="n"/>
      <c r="D24" s="50" t="n"/>
      <c r="E24" s="47" t="n"/>
      <c r="F24" s="50" t="n"/>
      <c r="G24" s="47" t="n"/>
      <c r="H24" s="58" t="n"/>
      <c r="I24" s="47" t="n"/>
      <c r="J24" s="47" t="n"/>
      <c r="K24" s="43">
        <f>SUM(C24,E24,G24,I24)</f>
        <v/>
      </c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</row>
    <row r="25" ht="15.95" customHeight="1">
      <c r="A25" s="40" t="inlineStr">
        <is>
          <t>G8</t>
        </is>
      </c>
      <c r="B25" s="40">
        <f>VLOOKUP(A25,Members!$A$2:$B$65,2,FALSE)</f>
        <v/>
      </c>
      <c r="C25" s="104" t="n"/>
      <c r="D25" s="53" t="n"/>
      <c r="E25" s="104" t="n"/>
      <c r="F25" s="53" t="n"/>
      <c r="G25" s="104" t="n"/>
      <c r="H25" s="59" t="n"/>
      <c r="I25" s="104" t="n"/>
      <c r="J25" s="104" t="n"/>
      <c r="K25" s="104">
        <f>SUM(C25,E25,G25,I25)</f>
        <v/>
      </c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</row>
    <row r="26" ht="15.95" customHeight="1">
      <c r="A26" s="42" t="inlineStr">
        <is>
          <t>G9</t>
        </is>
      </c>
      <c r="B26" s="42">
        <f>VLOOKUP(A26,Members!$A$2:$B$65,2,FALSE)</f>
        <v/>
      </c>
      <c r="C26" s="43" t="n"/>
      <c r="D26" s="50" t="n"/>
      <c r="E26" s="47" t="n"/>
      <c r="F26" s="50" t="n"/>
      <c r="G26" s="47" t="n"/>
      <c r="H26" s="58" t="n"/>
      <c r="I26" s="47" t="n"/>
      <c r="J26" s="47" t="n"/>
      <c r="K26" s="43">
        <f>SUM(C26,E26,G26,I26)</f>
        <v/>
      </c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</row>
    <row r="27" ht="15.95" customHeight="1">
      <c r="A27" s="40" t="inlineStr">
        <is>
          <t>G10</t>
        </is>
      </c>
      <c r="B27" s="40">
        <f>VLOOKUP(A27,Members!$A$2:$B$65,2,FALSE)</f>
        <v/>
      </c>
      <c r="C27" s="41" t="n"/>
      <c r="D27" s="53" t="n"/>
      <c r="E27" s="104" t="n"/>
      <c r="F27" s="53" t="n"/>
      <c r="G27" s="104" t="n"/>
      <c r="H27" s="59" t="n"/>
      <c r="I27" s="104" t="n"/>
      <c r="J27" s="104" t="n"/>
      <c r="K27" s="41">
        <f>SUM(C27,E27,G27,I27)</f>
        <v/>
      </c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</row>
    <row r="28" ht="15.95" customHeight="1">
      <c r="A28" s="42" t="inlineStr">
        <is>
          <t>G11</t>
        </is>
      </c>
      <c r="B28" s="42">
        <f>VLOOKUP(A28,Members!$A$2:$B$65,2,FALSE)</f>
        <v/>
      </c>
      <c r="C28" s="43" t="n"/>
      <c r="D28" s="50" t="n"/>
      <c r="E28" s="47" t="n"/>
      <c r="F28" s="50" t="n"/>
      <c r="G28" s="47" t="n"/>
      <c r="H28" s="58" t="n"/>
      <c r="I28" s="47" t="n"/>
      <c r="J28" s="47" t="n"/>
      <c r="K28" s="43">
        <f>SUM(C28,E28,G28,I28)</f>
        <v/>
      </c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</row>
    <row r="29" ht="15.95" customHeight="1">
      <c r="A29" s="40" t="inlineStr">
        <is>
          <t>G12</t>
        </is>
      </c>
      <c r="B29" s="40">
        <f>VLOOKUP(A29,Members!$A$2:$B$65,2,FALSE)</f>
        <v/>
      </c>
      <c r="C29" s="41" t="n"/>
      <c r="D29" s="53" t="n"/>
      <c r="E29" s="104" t="n"/>
      <c r="F29" s="53" t="n"/>
      <c r="G29" s="104" t="n"/>
      <c r="H29" s="59" t="n"/>
      <c r="I29" s="104" t="n"/>
      <c r="J29" s="104" t="n"/>
      <c r="K29" s="41">
        <f>SUM(C29,E29,G29,I29)</f>
        <v/>
      </c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</row>
    <row r="30" ht="15.95" customHeight="1">
      <c r="A30" s="42" t="inlineStr">
        <is>
          <t>G13</t>
        </is>
      </c>
      <c r="B30" s="42">
        <f>VLOOKUP(A30,Members!$A$2:$B$65,2,FALSE)</f>
        <v/>
      </c>
      <c r="C30" s="47" t="n"/>
      <c r="D30" s="50" t="n"/>
      <c r="E30" s="47" t="n"/>
      <c r="F30" s="50" t="n"/>
      <c r="G30" s="47" t="n"/>
      <c r="H30" s="58" t="n"/>
      <c r="I30" s="47" t="n"/>
      <c r="J30" s="47" t="n"/>
      <c r="K30" s="47">
        <f>SUM(C30,E30,G30,I30)</f>
        <v/>
      </c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</row>
    <row r="31" ht="15.95" customHeight="1">
      <c r="A31" s="40" t="inlineStr">
        <is>
          <t>G14</t>
        </is>
      </c>
      <c r="B31" s="40">
        <f>VLOOKUP(A31,Members!$A$2:$B$65,2,FALSE)</f>
        <v/>
      </c>
      <c r="C31" s="104" t="n"/>
      <c r="D31" s="53" t="n"/>
      <c r="E31" s="104" t="n"/>
      <c r="F31" s="53" t="n"/>
      <c r="G31" s="104" t="n"/>
      <c r="H31" s="59" t="n"/>
      <c r="I31" s="104" t="n"/>
      <c r="J31" s="104" t="n"/>
      <c r="K31" s="104">
        <f>SUM(C31,E31,G31,I31)</f>
        <v/>
      </c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</row>
    <row r="32" ht="15.95" customHeight="1">
      <c r="A32" s="42" t="inlineStr">
        <is>
          <t>G15</t>
        </is>
      </c>
      <c r="B32" s="42">
        <f>VLOOKUP(A32,Members!$A$2:$B$65,2,FALSE)</f>
        <v/>
      </c>
      <c r="C32" s="43" t="n"/>
      <c r="D32" s="50" t="n"/>
      <c r="E32" s="47" t="n"/>
      <c r="F32" s="50" t="n"/>
      <c r="G32" s="47" t="n"/>
      <c r="H32" s="58" t="n"/>
      <c r="I32" s="47" t="n"/>
      <c r="J32" s="47" t="n"/>
      <c r="K32" s="43">
        <f>SUM(C32,E32,G32,I32)</f>
        <v/>
      </c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</row>
    <row r="33" ht="15.95" customHeight="1">
      <c r="A33" s="40" t="inlineStr">
        <is>
          <t>G16</t>
        </is>
      </c>
      <c r="B33" s="40">
        <f>VLOOKUP(A33,Members!$A$2:$B$65,2,FALSE)</f>
        <v/>
      </c>
      <c r="C33" s="104" t="n"/>
      <c r="D33" s="53" t="n"/>
      <c r="E33" s="104" t="n"/>
      <c r="F33" s="53" t="n"/>
      <c r="G33" s="104" t="n"/>
      <c r="H33" s="59" t="n"/>
      <c r="I33" s="104" t="n"/>
      <c r="J33" s="104" t="n"/>
      <c r="K33" s="104">
        <f>SUM(C33,E33,G33,I33)</f>
        <v/>
      </c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</row>
    <row r="34" ht="15.95" customHeight="1">
      <c r="A34" s="42" t="inlineStr">
        <is>
          <t>S1</t>
        </is>
      </c>
      <c r="B34" s="42">
        <f>VLOOKUP(A34,Members!$A$2:$B$65,2,FALSE)</f>
        <v/>
      </c>
      <c r="C34" s="43" t="n"/>
      <c r="D34" s="50" t="n"/>
      <c r="E34" s="47" t="n"/>
      <c r="F34" s="50" t="n"/>
      <c r="G34" s="47" t="n"/>
      <c r="H34" s="58" t="n"/>
      <c r="I34" s="47" t="n"/>
      <c r="J34" s="47" t="n"/>
      <c r="K34" s="43">
        <f>SUM(C34,E34,G34,I34)</f>
        <v/>
      </c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  <c r="AA34" s="47" t="n"/>
    </row>
    <row r="35" ht="15.95" customHeight="1">
      <c r="A35" s="40" t="inlineStr">
        <is>
          <t>S2</t>
        </is>
      </c>
      <c r="B35" s="40">
        <f>VLOOKUP(A35,Members!$A$2:$B$65,2,FALSE)</f>
        <v/>
      </c>
      <c r="C35" s="41" t="n"/>
      <c r="D35" s="53" t="n"/>
      <c r="E35" s="104" t="n"/>
      <c r="F35" s="53" t="n"/>
      <c r="G35" s="104" t="n"/>
      <c r="H35" s="59" t="n"/>
      <c r="I35" s="104" t="n"/>
      <c r="J35" s="104" t="n"/>
      <c r="K35" s="41">
        <f>SUM(C35,E35,G35,I35)</f>
        <v/>
      </c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</row>
    <row r="36" ht="15.95" customHeight="1">
      <c r="A36" s="42" t="inlineStr">
        <is>
          <t>S3</t>
        </is>
      </c>
      <c r="B36" s="42">
        <f>VLOOKUP(A36,Members!$A$2:$B$65,2,FALSE)</f>
        <v/>
      </c>
      <c r="C36" s="47" t="n"/>
      <c r="D36" s="50" t="n"/>
      <c r="E36" s="47" t="n"/>
      <c r="F36" s="50" t="n"/>
      <c r="G36" s="47" t="n"/>
      <c r="H36" s="58" t="n"/>
      <c r="I36" s="47" t="n"/>
      <c r="J36" s="47" t="n"/>
      <c r="K36" s="47">
        <f>SUM(C36,E36,G36,I36)</f>
        <v/>
      </c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</row>
    <row r="37" ht="15.95" customHeight="1">
      <c r="A37" s="40" t="inlineStr">
        <is>
          <t>S4</t>
        </is>
      </c>
      <c r="B37" s="40">
        <f>VLOOKUP(A37,Members!$A$2:$B$65,2,FALSE)</f>
        <v/>
      </c>
      <c r="C37" s="41" t="n"/>
      <c r="D37" s="53" t="n"/>
      <c r="E37" s="104" t="n"/>
      <c r="F37" s="53" t="n"/>
      <c r="G37" s="104" t="n"/>
      <c r="H37" s="59" t="n"/>
      <c r="I37" s="104" t="n"/>
      <c r="J37" s="104" t="n"/>
      <c r="K37" s="41">
        <f>SUM(C37,E37,G37,I37)</f>
        <v/>
      </c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</row>
    <row r="38" ht="15.95" customHeight="1">
      <c r="A38" s="42" t="inlineStr">
        <is>
          <t>S5</t>
        </is>
      </c>
      <c r="B38" s="42">
        <f>VLOOKUP(A38,Members!$A$2:$B$65,2,FALSE)</f>
        <v/>
      </c>
      <c r="C38" s="47" t="n"/>
      <c r="D38" s="50" t="n"/>
      <c r="E38" s="47" t="n"/>
      <c r="F38" s="50" t="n"/>
      <c r="G38" s="47" t="n"/>
      <c r="H38" s="58" t="n"/>
      <c r="I38" s="47" t="n"/>
      <c r="J38" s="47" t="n"/>
      <c r="K38" s="47">
        <f>SUM(C38,E38,G38,I38)</f>
        <v/>
      </c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</row>
    <row r="39" ht="15.95" customHeight="1">
      <c r="A39" s="40" t="inlineStr">
        <is>
          <t>S6</t>
        </is>
      </c>
      <c r="B39" s="40">
        <f>VLOOKUP(A39,Members!$A$2:$B$65,2,FALSE)</f>
        <v/>
      </c>
      <c r="C39" s="104" t="n"/>
      <c r="D39" s="53" t="n"/>
      <c r="E39" s="104" t="n"/>
      <c r="F39" s="53" t="n"/>
      <c r="G39" s="104" t="n"/>
      <c r="H39" s="59" t="n"/>
      <c r="I39" s="104" t="n"/>
      <c r="J39" s="104" t="n"/>
      <c r="K39" s="104">
        <f>SUM(C39,E39,G39,I39)</f>
        <v/>
      </c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</row>
    <row r="40" ht="15.95" customHeight="1">
      <c r="A40" s="42" t="inlineStr">
        <is>
          <t>S7</t>
        </is>
      </c>
      <c r="B40" s="42">
        <f>VLOOKUP(A40,Members!$A$2:$B$65,2,FALSE)</f>
        <v/>
      </c>
      <c r="C40" s="43" t="n"/>
      <c r="D40" s="50" t="n"/>
      <c r="E40" s="47" t="n"/>
      <c r="F40" s="50" t="n"/>
      <c r="G40" s="47" t="n"/>
      <c r="H40" s="58" t="n"/>
      <c r="I40" s="47" t="n"/>
      <c r="J40" s="47" t="n"/>
      <c r="K40" s="43">
        <f>SUM(C40,E40,G40,I40)</f>
        <v/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  <c r="AA40" s="47" t="n"/>
    </row>
    <row r="41" ht="15.95" customHeight="1">
      <c r="A41" s="40" t="inlineStr">
        <is>
          <t>S8</t>
        </is>
      </c>
      <c r="B41" s="40">
        <f>VLOOKUP(A41,Members!$A$2:$B$65,2,FALSE)</f>
        <v/>
      </c>
      <c r="C41" s="41" t="n"/>
      <c r="D41" s="53" t="n"/>
      <c r="E41" s="104" t="n"/>
      <c r="F41" s="53" t="n"/>
      <c r="G41" s="104" t="n"/>
      <c r="H41" s="59" t="n"/>
      <c r="I41" s="104" t="n"/>
      <c r="J41" s="104" t="n"/>
      <c r="K41" s="41">
        <f>SUM(C41,E41,G41,I41)</f>
        <v/>
      </c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</row>
    <row r="42" ht="15.95" customHeight="1">
      <c r="A42" s="42" t="inlineStr">
        <is>
          <t>S9</t>
        </is>
      </c>
      <c r="B42" s="42">
        <f>VLOOKUP(A42,Members!$A$2:$B$65,2,FALSE)</f>
        <v/>
      </c>
      <c r="C42" s="43" t="n"/>
      <c r="D42" s="50" t="n"/>
      <c r="E42" s="47" t="n"/>
      <c r="F42" s="50" t="n"/>
      <c r="G42" s="47" t="n"/>
      <c r="H42" s="58" t="n"/>
      <c r="I42" s="47" t="n"/>
      <c r="J42" s="47" t="n"/>
      <c r="K42" s="43">
        <f>SUM(C42,E42,G42,I42)</f>
        <v/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</row>
    <row r="43" ht="15.95" customHeight="1">
      <c r="A43" s="40" t="inlineStr">
        <is>
          <t>S10</t>
        </is>
      </c>
      <c r="B43" s="40">
        <f>VLOOKUP(A43,Members!$A$2:$B$65,2,FALSE)</f>
        <v/>
      </c>
      <c r="C43" s="41" t="n"/>
      <c r="D43" s="53" t="n"/>
      <c r="E43" s="104" t="n"/>
      <c r="F43" s="53" t="n"/>
      <c r="G43" s="104" t="n"/>
      <c r="H43" s="59" t="n"/>
      <c r="I43" s="104" t="n"/>
      <c r="J43" s="104" t="n"/>
      <c r="K43" s="41">
        <f>SUM(C43,E43,G43,I43)</f>
        <v/>
      </c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</row>
    <row r="44" ht="15.95" customHeight="1">
      <c r="A44" s="42" t="inlineStr">
        <is>
          <t>S11</t>
        </is>
      </c>
      <c r="B44" s="42">
        <f>VLOOKUP(A44,Members!$A$2:$B$65,2,FALSE)</f>
        <v/>
      </c>
      <c r="C44" s="47" t="n"/>
      <c r="D44" s="50" t="n"/>
      <c r="E44" s="47" t="n"/>
      <c r="F44" s="50" t="n"/>
      <c r="G44" s="47" t="n"/>
      <c r="H44" s="58" t="n"/>
      <c r="I44" s="47" t="n"/>
      <c r="J44" s="47" t="n"/>
      <c r="K44" s="47">
        <f>SUM(C44,E44,G44,I44)</f>
        <v/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</row>
    <row r="45" ht="15.95" customHeight="1">
      <c r="A45" s="40" t="inlineStr">
        <is>
          <t>S12</t>
        </is>
      </c>
      <c r="B45" s="40">
        <f>VLOOKUP(A45,Members!$A$2:$B$65,2,FALSE)</f>
        <v/>
      </c>
      <c r="C45" s="41" t="n"/>
      <c r="D45" s="53" t="n"/>
      <c r="E45" s="104" t="n"/>
      <c r="F45" s="53" t="n"/>
      <c r="G45" s="104" t="n"/>
      <c r="H45" s="59" t="n"/>
      <c r="I45" s="104" t="n"/>
      <c r="J45" s="104" t="n"/>
      <c r="K45" s="41">
        <f>SUM(C45,E45,G45,I45)</f>
        <v/>
      </c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</row>
    <row r="46" ht="15.95" customHeight="1">
      <c r="A46" s="42" t="inlineStr">
        <is>
          <t>S13</t>
        </is>
      </c>
      <c r="B46" s="42">
        <f>VLOOKUP(A46,Members!$A$2:$B$65,2,FALSE)</f>
        <v/>
      </c>
      <c r="C46" s="47" t="n"/>
      <c r="D46" s="50" t="n"/>
      <c r="E46" s="47" t="n"/>
      <c r="F46" s="50" t="n"/>
      <c r="G46" s="47" t="n"/>
      <c r="H46" s="58" t="n"/>
      <c r="I46" s="47" t="n"/>
      <c r="J46" s="47" t="n"/>
      <c r="K46" s="47">
        <f>SUM(C46,E46,G46,I46)</f>
        <v/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</row>
    <row r="47" ht="15.95" customHeight="1">
      <c r="A47" s="40" t="inlineStr">
        <is>
          <t>S14</t>
        </is>
      </c>
      <c r="B47" s="40">
        <f>VLOOKUP(A47,Members!$A$2:$B$65,2,FALSE)</f>
        <v/>
      </c>
      <c r="C47" s="104" t="n"/>
      <c r="D47" s="53" t="n"/>
      <c r="E47" s="104" t="n"/>
      <c r="F47" s="53" t="n"/>
      <c r="G47" s="104" t="n"/>
      <c r="H47" s="59" t="n"/>
      <c r="I47" s="104" t="n"/>
      <c r="J47" s="104" t="n"/>
      <c r="K47" s="104">
        <f>SUM(C47,E47,G47,I47)</f>
        <v/>
      </c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</row>
    <row r="48" ht="15.95" customHeight="1">
      <c r="A48" s="42" t="inlineStr">
        <is>
          <t>S15</t>
        </is>
      </c>
      <c r="B48" s="42">
        <f>VLOOKUP(A48,Members!$A$2:$B$65,2,FALSE)</f>
        <v/>
      </c>
      <c r="C48" s="43" t="n"/>
      <c r="D48" s="50" t="n"/>
      <c r="E48" s="47" t="n"/>
      <c r="F48" s="50" t="n"/>
      <c r="G48" s="47" t="n"/>
      <c r="H48" s="58" t="n"/>
      <c r="I48" s="47" t="n"/>
      <c r="J48" s="47" t="n"/>
      <c r="K48" s="43">
        <f>SUM(C48,E48,G48,I48)</f>
        <v/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</row>
    <row r="49" ht="15.95" customHeight="1">
      <c r="A49" s="40" t="inlineStr">
        <is>
          <t>S16</t>
        </is>
      </c>
      <c r="B49" s="40">
        <f>VLOOKUP(A49,Members!$A$2:$B$65,2,FALSE)</f>
        <v/>
      </c>
      <c r="C49" s="104" t="n"/>
      <c r="D49" s="53" t="n"/>
      <c r="E49" s="104" t="n"/>
      <c r="F49" s="53" t="n"/>
      <c r="G49" s="104" t="n"/>
      <c r="H49" s="59" t="n"/>
      <c r="I49" s="104" t="n"/>
      <c r="J49" s="104" t="n"/>
      <c r="K49" s="104">
        <f>SUM(C49,E49,G49,I49)</f>
        <v/>
      </c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</row>
    <row r="50" ht="15.95" customHeight="1">
      <c r="A50" s="42" t="inlineStr">
        <is>
          <t>T1</t>
        </is>
      </c>
      <c r="B50" s="42">
        <f>VLOOKUP(A50,Members!$A$2:$B$65,2,FALSE)</f>
        <v/>
      </c>
      <c r="C50" s="47" t="n"/>
      <c r="D50" s="51" t="n"/>
      <c r="E50" s="47" t="n"/>
      <c r="F50" s="50" t="n"/>
      <c r="G50" s="47" t="n"/>
      <c r="H50" s="58" t="n"/>
      <c r="I50" s="47" t="n"/>
      <c r="J50" s="47" t="n"/>
      <c r="K50" s="47">
        <f>SUM(C50,E50,G50,I50)</f>
        <v/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</row>
    <row r="51" ht="15.95" customHeight="1">
      <c r="A51" s="40" t="inlineStr">
        <is>
          <t>T2</t>
        </is>
      </c>
      <c r="B51" s="40">
        <f>VLOOKUP(A51,Members!$A$2:$B$65,2,FALSE)</f>
        <v/>
      </c>
      <c r="C51" s="41" t="n"/>
      <c r="D51" s="53" t="n"/>
      <c r="E51" s="104" t="n"/>
      <c r="F51" s="53" t="n"/>
      <c r="G51" s="104" t="n"/>
      <c r="H51" s="59" t="n"/>
      <c r="I51" s="104" t="n"/>
      <c r="J51" s="104" t="n"/>
      <c r="K51" s="41">
        <f>SUM(C51,E51,G51,I51)</f>
        <v/>
      </c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</row>
    <row r="52" ht="15.95" customHeight="1">
      <c r="A52" s="42" t="inlineStr">
        <is>
          <t>T3</t>
        </is>
      </c>
      <c r="B52" s="42">
        <f>VLOOKUP(A52,Members!$A$2:$B$65,2,FALSE)</f>
        <v/>
      </c>
      <c r="C52" s="43" t="n"/>
      <c r="D52" s="50" t="n"/>
      <c r="E52" s="47" t="n"/>
      <c r="F52" s="50" t="n"/>
      <c r="G52" s="47" t="n"/>
      <c r="H52" s="58" t="n"/>
      <c r="I52" s="47" t="n"/>
      <c r="J52" s="47" t="n"/>
      <c r="K52" s="43">
        <f>SUM(C52,E52,G52,I52)</f>
        <v/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</row>
    <row r="53" ht="15.95" customHeight="1">
      <c r="A53" s="40" t="inlineStr">
        <is>
          <t>T4</t>
        </is>
      </c>
      <c r="B53" s="40">
        <f>VLOOKUP(A53,Members!$A$2:$B$65,2,FALSE)</f>
        <v/>
      </c>
      <c r="C53" s="41" t="n"/>
      <c r="D53" s="53" t="n"/>
      <c r="E53" s="104" t="n"/>
      <c r="F53" s="53" t="n"/>
      <c r="G53" s="104" t="n"/>
      <c r="H53" s="59" t="n"/>
      <c r="I53" s="104" t="n"/>
      <c r="J53" s="104" t="n"/>
      <c r="K53" s="41">
        <f>SUM(C53,E53,G53,I53)</f>
        <v/>
      </c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</row>
    <row r="54" ht="15.95" customHeight="1">
      <c r="A54" s="42" t="inlineStr">
        <is>
          <t>T5</t>
        </is>
      </c>
      <c r="B54" s="42">
        <f>VLOOKUP(A54,Members!$A$2:$B$65,2,FALSE)</f>
        <v/>
      </c>
      <c r="C54" s="47" t="n"/>
      <c r="D54" s="50" t="n"/>
      <c r="E54" s="47" t="n"/>
      <c r="F54" s="50" t="n"/>
      <c r="G54" s="47" t="n"/>
      <c r="H54" s="58" t="n"/>
      <c r="I54" s="47" t="n"/>
      <c r="J54" s="47" t="n"/>
      <c r="K54" s="47">
        <f>SUM(C54,E54,G54,I54)</f>
        <v/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</row>
    <row r="55" ht="15.95" customHeight="1">
      <c r="A55" s="40" t="inlineStr">
        <is>
          <t>T6</t>
        </is>
      </c>
      <c r="B55" s="40">
        <f>VLOOKUP(A55,Members!$A$2:$B$65,2,FALSE)</f>
        <v/>
      </c>
      <c r="C55" s="41" t="n"/>
      <c r="D55" s="53" t="n"/>
      <c r="E55" s="104" t="n"/>
      <c r="F55" s="53" t="n"/>
      <c r="G55" s="104" t="n"/>
      <c r="H55" s="59" t="n"/>
      <c r="I55" s="104" t="n"/>
      <c r="J55" s="104" t="n"/>
      <c r="K55" s="41">
        <f>SUM(C55,E55,G55,I55)</f>
        <v/>
      </c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</row>
    <row r="56" ht="15.95" customHeight="1">
      <c r="A56" s="42" t="inlineStr">
        <is>
          <t>T7</t>
        </is>
      </c>
      <c r="B56" s="42">
        <f>VLOOKUP(A56,Members!$A$2:$B$65,2,FALSE)</f>
        <v/>
      </c>
      <c r="C56" s="47" t="n"/>
      <c r="D56" s="50" t="n"/>
      <c r="E56" s="47" t="n"/>
      <c r="F56" s="50" t="n"/>
      <c r="G56" s="47" t="n"/>
      <c r="H56" s="58" t="n"/>
      <c r="I56" s="47" t="n"/>
      <c r="J56" s="47" t="n"/>
      <c r="K56" s="47">
        <f>SUM(C56,E56,G56,I56)</f>
        <v/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</row>
    <row r="57" ht="15.95" customHeight="1">
      <c r="A57" s="40" t="inlineStr">
        <is>
          <t>T8</t>
        </is>
      </c>
      <c r="B57" s="40">
        <f>VLOOKUP(A57,Members!$A$2:$B$65,2,FALSE)</f>
        <v/>
      </c>
      <c r="C57" s="41" t="n"/>
      <c r="D57" s="53" t="n"/>
      <c r="E57" s="104" t="n"/>
      <c r="F57" s="53" t="n"/>
      <c r="G57" s="104" t="n"/>
      <c r="H57" s="59" t="n"/>
      <c r="I57" s="104" t="n"/>
      <c r="J57" s="104" t="n"/>
      <c r="K57" s="41">
        <f>SUM(C57,E57,G57,I57)</f>
        <v/>
      </c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</row>
    <row r="58" ht="15.95" customHeight="1">
      <c r="A58" s="42" t="inlineStr">
        <is>
          <t>T9</t>
        </is>
      </c>
      <c r="B58" s="42">
        <f>VLOOKUP(A58,Members!$A$2:$B$65,2,FALSE)</f>
        <v/>
      </c>
      <c r="C58" s="47" t="n"/>
      <c r="D58" s="50" t="n"/>
      <c r="E58" s="47" t="n"/>
      <c r="F58" s="50" t="n"/>
      <c r="G58" s="47" t="n"/>
      <c r="H58" s="58" t="n"/>
      <c r="I58" s="47" t="n"/>
      <c r="J58" s="47" t="n"/>
      <c r="K58" s="47">
        <f>SUM(C58,E58,G58,I58)</f>
        <v/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</row>
    <row r="59" ht="15.95" customHeight="1">
      <c r="A59" s="40" t="inlineStr">
        <is>
          <t>T10</t>
        </is>
      </c>
      <c r="B59" s="40">
        <f>VLOOKUP(A59,Members!$A$2:$B$65,2,FALSE)</f>
        <v/>
      </c>
      <c r="C59" s="41" t="n"/>
      <c r="D59" s="53" t="n"/>
      <c r="E59" s="104" t="n"/>
      <c r="F59" s="53" t="n"/>
      <c r="G59" s="104" t="n"/>
      <c r="H59" s="59" t="n"/>
      <c r="I59" s="104" t="n"/>
      <c r="J59" s="104" t="n"/>
      <c r="K59" s="41">
        <f>SUM(C59,E59,G59,I59)</f>
        <v/>
      </c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</row>
    <row r="60" ht="15.95" customHeight="1">
      <c r="A60" s="42" t="inlineStr">
        <is>
          <t>T11</t>
        </is>
      </c>
      <c r="B60" s="42">
        <f>VLOOKUP(A60,Members!$A$2:$B$65,2,FALSE)</f>
        <v/>
      </c>
      <c r="C60" s="43" t="n"/>
      <c r="D60" s="50" t="n"/>
      <c r="E60" s="47" t="n"/>
      <c r="F60" s="50" t="n"/>
      <c r="G60" s="47" t="n"/>
      <c r="H60" s="58" t="n"/>
      <c r="I60" s="47" t="n"/>
      <c r="J60" s="47" t="n"/>
      <c r="K60" s="43">
        <f>SUM(C60,E60,G60,I60)</f>
        <v/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</row>
    <row r="61" ht="15.95" customHeight="1">
      <c r="A61" s="40" t="inlineStr">
        <is>
          <t>T12</t>
        </is>
      </c>
      <c r="B61" s="40">
        <f>VLOOKUP(A61,Members!$A$2:$B$65,2,FALSE)</f>
        <v/>
      </c>
      <c r="C61" s="41" t="n"/>
      <c r="D61" s="53" t="n"/>
      <c r="E61" s="104" t="n"/>
      <c r="F61" s="53" t="n"/>
      <c r="G61" s="104" t="n"/>
      <c r="H61" s="59" t="n"/>
      <c r="I61" s="104" t="n"/>
      <c r="J61" s="104" t="n"/>
      <c r="K61" s="41">
        <f>SUM(C61,E61,G61,I61)</f>
        <v/>
      </c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</row>
    <row r="62" ht="15.95" customHeight="1">
      <c r="A62" s="42" t="inlineStr">
        <is>
          <t>T13</t>
        </is>
      </c>
      <c r="B62" s="42">
        <f>VLOOKUP(A62,Members!$A$2:$B$65,2,FALSE)</f>
        <v/>
      </c>
      <c r="C62" s="47" t="n"/>
      <c r="D62" s="51" t="n"/>
      <c r="E62" s="47" t="n"/>
      <c r="F62" s="50" t="n"/>
      <c r="G62" s="47" t="n"/>
      <c r="H62" s="58" t="n"/>
      <c r="I62" s="47" t="n"/>
      <c r="J62" s="47" t="n"/>
      <c r="K62" s="47">
        <f>SUM(C62,E62,G62,I62)</f>
        <v/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</row>
    <row r="63" ht="15.95" customHeight="1">
      <c r="A63" s="40" t="inlineStr">
        <is>
          <t>T14</t>
        </is>
      </c>
      <c r="B63" s="40">
        <f>VLOOKUP(A63,Members!$A$2:$B$65,2,FALSE)</f>
        <v/>
      </c>
      <c r="C63" s="41" t="n"/>
      <c r="D63" s="53" t="n"/>
      <c r="E63" s="104" t="n"/>
      <c r="F63" s="53" t="n"/>
      <c r="G63" s="104" t="n"/>
      <c r="H63" s="59" t="n"/>
      <c r="I63" s="104" t="n"/>
      <c r="J63" s="104" t="n"/>
      <c r="K63" s="41">
        <f>SUM(C63,E63,G63,I63)</f>
        <v/>
      </c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</row>
    <row r="64" ht="15.95" customHeight="1">
      <c r="A64" s="42" t="inlineStr">
        <is>
          <t>T15</t>
        </is>
      </c>
      <c r="B64" s="42">
        <f>VLOOKUP(A64,Members!$A$2:$B$65,2,FALSE)</f>
        <v/>
      </c>
      <c r="C64" s="43" t="n"/>
      <c r="D64" s="50" t="n"/>
      <c r="E64" s="47" t="n"/>
      <c r="F64" s="50" t="n"/>
      <c r="G64" s="47" t="n"/>
      <c r="H64" s="58" t="n"/>
      <c r="I64" s="47" t="n"/>
      <c r="J64" s="47" t="n"/>
      <c r="K64" s="43">
        <f>SUM(C64,E64,G64,I64)</f>
        <v/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</row>
    <row r="65" ht="15.95" customHeight="1">
      <c r="A65" s="40" t="inlineStr">
        <is>
          <t>T16</t>
        </is>
      </c>
      <c r="B65" s="40">
        <f>VLOOKUP(A65,Members!$A$2:$B$65,2,FALSE)</f>
        <v/>
      </c>
      <c r="C65" s="104" t="n"/>
      <c r="D65" s="53" t="n"/>
      <c r="E65" s="104" t="n"/>
      <c r="F65" s="53" t="n"/>
      <c r="G65" s="104" t="n"/>
      <c r="H65" s="59" t="n"/>
      <c r="I65" s="104" t="n"/>
      <c r="J65" s="104" t="n"/>
      <c r="K65" s="104">
        <f>SUM(C65,E65,G65,I65)</f>
        <v/>
      </c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</row>
    <row r="66">
      <c r="A66" s="44" t="inlineStr">
        <is>
          <t>TOTAL</t>
        </is>
      </c>
      <c r="B66" s="55" t="n"/>
      <c r="C66" s="56" t="n"/>
      <c r="D66" s="67" t="n"/>
      <c r="E66" s="56" t="n"/>
      <c r="F66" s="56" t="n"/>
      <c r="G66" s="56" t="n"/>
      <c r="H66" s="62" t="n"/>
      <c r="I66" s="56" t="n"/>
      <c r="J66" s="56" t="n"/>
      <c r="K66" s="56">
        <f>SUM(K2:K65)</f>
        <v/>
      </c>
      <c r="L66" s="56" t="n"/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  <c r="Z66" s="56" t="n"/>
      <c r="AA66" s="56" t="n"/>
    </row>
    <row r="67">
      <c r="D67" s="10" t="n"/>
      <c r="F67" s="9" t="n"/>
      <c r="H67" s="8" t="n"/>
    </row>
    <row r="68">
      <c r="D68" s="10" t="n"/>
      <c r="F68" s="9" t="n"/>
      <c r="H68" s="8" t="n"/>
    </row>
    <row r="69">
      <c r="D69" s="10" t="n"/>
      <c r="F69" s="9" t="n"/>
      <c r="H69" s="8" t="n"/>
    </row>
    <row r="70">
      <c r="A70" s="3" t="n"/>
      <c r="D70" s="10" t="n"/>
      <c r="F70" s="9" t="n"/>
      <c r="H70" s="8" t="n"/>
    </row>
    <row r="71">
      <c r="A71" s="3" t="n"/>
      <c r="D71" s="10" t="n"/>
      <c r="F71" s="9" t="n"/>
      <c r="H71" s="8" t="n"/>
    </row>
    <row r="72">
      <c r="A72" s="5" t="n"/>
      <c r="D72" s="10" t="n"/>
      <c r="F72" s="9" t="n"/>
      <c r="H72" s="8" t="n"/>
    </row>
    <row r="73">
      <c r="A73" s="5" t="n"/>
      <c r="D73" s="10" t="n"/>
      <c r="F73" s="9" t="n"/>
      <c r="H73" s="8" t="n"/>
    </row>
    <row r="74">
      <c r="A74" s="5" t="n"/>
      <c r="D74" s="10" t="n"/>
      <c r="F74" s="9" t="n"/>
      <c r="H74" s="8" t="n"/>
    </row>
    <row r="75">
      <c r="A75" s="5" t="n"/>
      <c r="D75" s="10" t="n"/>
      <c r="F75" s="9" t="n"/>
      <c r="H75" s="8" t="n"/>
    </row>
    <row r="76">
      <c r="A76" s="5" t="n"/>
      <c r="D76" s="10" t="n"/>
      <c r="F76" s="9" t="n"/>
      <c r="H76" s="8" t="n"/>
    </row>
    <row r="77">
      <c r="A77" s="5" t="n"/>
      <c r="D77" s="10" t="n"/>
      <c r="F77" s="9" t="n"/>
      <c r="H77" s="8" t="n"/>
    </row>
    <row r="78">
      <c r="A78" s="5" t="n"/>
      <c r="D78" s="10" t="n"/>
      <c r="F78" s="9" t="n"/>
      <c r="H78" s="8" t="n"/>
    </row>
    <row r="79">
      <c r="A79" s="5" t="n"/>
      <c r="D79" s="10" t="n"/>
      <c r="F79" s="9" t="n"/>
      <c r="H79" s="8" t="n"/>
    </row>
    <row r="80">
      <c r="A80" s="5" t="n"/>
      <c r="D80" s="10" t="n"/>
      <c r="F80" s="9" t="n"/>
      <c r="H80" s="8" t="n"/>
    </row>
    <row r="81">
      <c r="A81" s="5" t="n"/>
      <c r="D81" s="10" t="n"/>
      <c r="F81" s="9" t="n"/>
      <c r="H81" s="8" t="n"/>
    </row>
    <row r="82">
      <c r="A82" s="5" t="n"/>
      <c r="D82" s="10" t="n"/>
      <c r="F82" s="9" t="n"/>
      <c r="H82" s="8" t="n"/>
    </row>
    <row r="83">
      <c r="A83" s="5" t="n"/>
      <c r="D83" s="10" t="n"/>
      <c r="F83" s="9" t="n"/>
      <c r="H83" s="8" t="n"/>
    </row>
    <row r="84">
      <c r="A84" s="5" t="n"/>
      <c r="D84" s="10" t="n"/>
      <c r="F84" s="9" t="n"/>
      <c r="H84" s="8" t="n"/>
    </row>
    <row r="85">
      <c r="A85" s="5" t="n"/>
      <c r="D85" s="10" t="n"/>
      <c r="F85" s="9" t="n"/>
      <c r="H85" s="8" t="n"/>
    </row>
    <row r="86">
      <c r="A86" s="5" t="n"/>
      <c r="D86" s="10" t="n"/>
      <c r="F86" s="9" t="n"/>
      <c r="H86" s="8" t="n"/>
    </row>
    <row r="87">
      <c r="A87" s="5" t="n"/>
      <c r="D87" s="10" t="n"/>
      <c r="F87" s="9" t="n"/>
      <c r="H87" s="8" t="n"/>
    </row>
    <row r="88">
      <c r="A88" s="5" t="n"/>
      <c r="D88" s="10" t="n"/>
      <c r="F88" s="9" t="n"/>
      <c r="H88" s="8" t="n"/>
    </row>
    <row r="89">
      <c r="A89" s="5" t="n"/>
      <c r="D89" s="10" t="n"/>
      <c r="F89" s="9" t="n"/>
      <c r="H89" s="8" t="n"/>
    </row>
    <row r="90">
      <c r="A90" s="5" t="n"/>
      <c r="D90" s="10" t="n"/>
      <c r="F90" s="9" t="n"/>
      <c r="H90" s="8" t="n"/>
    </row>
    <row r="91">
      <c r="A91" s="5" t="n"/>
      <c r="D91" s="10" t="n"/>
      <c r="F91" s="9" t="n"/>
      <c r="H91" s="8" t="n"/>
    </row>
    <row r="92">
      <c r="A92" s="5" t="n"/>
      <c r="D92" s="10" t="n"/>
      <c r="F92" s="9" t="n"/>
      <c r="H92" s="8" t="n"/>
    </row>
    <row r="93">
      <c r="A93" s="5" t="n"/>
      <c r="D93" s="10" t="n"/>
      <c r="F93" s="9" t="n"/>
      <c r="H93" s="8" t="n"/>
    </row>
    <row r="94">
      <c r="A94" s="5" t="n"/>
      <c r="D94" s="10" t="n"/>
      <c r="F94" s="9" t="n"/>
      <c r="H94" s="8" t="n"/>
    </row>
    <row r="95">
      <c r="A95" s="5" t="n"/>
      <c r="D95" s="10" t="n"/>
      <c r="F95" s="9" t="n"/>
      <c r="H95" s="8" t="n"/>
    </row>
    <row r="96">
      <c r="A96" s="5" t="n"/>
      <c r="D96" s="10" t="n"/>
      <c r="F96" s="9" t="n"/>
      <c r="H96" s="8" t="n"/>
    </row>
    <row r="97">
      <c r="A97" s="5" t="n"/>
      <c r="D97" s="10" t="n"/>
      <c r="F97" s="9" t="n"/>
      <c r="H97" s="8" t="n"/>
    </row>
    <row r="98">
      <c r="A98" s="5" t="n"/>
      <c r="D98" s="10" t="n"/>
      <c r="F98" s="9" t="n"/>
      <c r="H98" s="8" t="n"/>
    </row>
    <row r="99">
      <c r="A99" s="5" t="n"/>
      <c r="D99" s="10" t="n"/>
      <c r="F99" s="9" t="n"/>
      <c r="H99" s="8" t="n"/>
    </row>
    <row r="100">
      <c r="A100" s="5" t="n"/>
      <c r="D100" s="10" t="n"/>
      <c r="F100" s="9" t="n"/>
      <c r="H100" s="8" t="n"/>
    </row>
    <row r="101">
      <c r="A101" s="5" t="n"/>
      <c r="D101" s="10" t="n"/>
      <c r="F101" s="9" t="n"/>
      <c r="H101" s="8" t="n"/>
    </row>
    <row r="102">
      <c r="A102" s="5" t="n"/>
      <c r="D102" s="10" t="n"/>
      <c r="F102" s="9" t="n"/>
      <c r="H102" s="8" t="n"/>
    </row>
    <row r="103">
      <c r="A103" s="5" t="n"/>
      <c r="D103" s="10" t="n"/>
      <c r="F103" s="9" t="n"/>
      <c r="H103" s="8" t="n"/>
    </row>
    <row r="104">
      <c r="A104" s="5" t="n"/>
      <c r="D104" s="10" t="n"/>
      <c r="F104" s="9" t="n"/>
      <c r="H104" s="8" t="n"/>
    </row>
    <row r="105">
      <c r="A105" s="5" t="n"/>
      <c r="D105" s="10" t="n"/>
      <c r="F105" s="9" t="n"/>
      <c r="H105" s="8" t="n"/>
    </row>
    <row r="106">
      <c r="A106" s="5" t="n"/>
      <c r="D106" s="10" t="n"/>
      <c r="F106" s="9" t="n"/>
      <c r="H106" s="8" t="n"/>
    </row>
    <row r="107">
      <c r="A107" s="5" t="n"/>
      <c r="D107" s="10" t="n"/>
      <c r="F107" s="9" t="n"/>
      <c r="H107" s="8" t="n"/>
    </row>
    <row r="108">
      <c r="A108" s="5" t="n"/>
      <c r="D108" s="10" t="n"/>
      <c r="F108" s="9" t="n"/>
      <c r="H108" s="8" t="n"/>
    </row>
    <row r="109">
      <c r="A109" s="5" t="n"/>
      <c r="D109" s="10" t="n"/>
      <c r="F109" s="9" t="n"/>
      <c r="H109" s="8" t="n"/>
    </row>
    <row r="110">
      <c r="A110" s="5" t="n"/>
      <c r="D110" s="10" t="n"/>
      <c r="F110" s="9" t="n"/>
      <c r="H110" s="8" t="n"/>
    </row>
    <row r="111">
      <c r="A111" s="5" t="n"/>
      <c r="D111" s="10" t="n"/>
      <c r="F111" s="9" t="n"/>
      <c r="H111" s="8" t="n"/>
    </row>
    <row r="112">
      <c r="A112" s="5" t="n"/>
      <c r="D112" s="10" t="n"/>
      <c r="F112" s="9" t="n"/>
      <c r="H112" s="8" t="n"/>
    </row>
    <row r="113">
      <c r="A113" s="5" t="n"/>
      <c r="D113" s="10" t="n"/>
      <c r="F113" s="9" t="n"/>
      <c r="H113" s="8" t="n"/>
    </row>
    <row r="114">
      <c r="A114" s="5" t="n"/>
      <c r="D114" s="10" t="n"/>
      <c r="F114" s="9" t="n"/>
      <c r="H114" s="8" t="n"/>
    </row>
    <row r="115">
      <c r="A115" s="5" t="n"/>
      <c r="D115" s="10" t="n"/>
      <c r="F115" s="9" t="n"/>
      <c r="H115" s="8" t="n"/>
    </row>
    <row r="116">
      <c r="A116" s="5" t="n"/>
      <c r="D116" s="10" t="n"/>
      <c r="F116" s="9" t="n"/>
      <c r="H116" s="8" t="n"/>
    </row>
    <row r="117">
      <c r="A117" s="5" t="n"/>
      <c r="D117" s="10" t="n"/>
      <c r="F117" s="9" t="n"/>
      <c r="H117" s="8" t="n"/>
    </row>
    <row r="118">
      <c r="A118" s="5" t="n"/>
      <c r="D118" s="10" t="n"/>
      <c r="F118" s="9" t="n"/>
      <c r="H118" s="8" t="n"/>
    </row>
    <row r="119">
      <c r="A119" s="5" t="n"/>
      <c r="D119" s="10" t="n"/>
      <c r="F119" s="9" t="n"/>
      <c r="H119" s="8" t="n"/>
    </row>
    <row r="120">
      <c r="A120" s="5" t="n"/>
      <c r="D120" s="10" t="n"/>
      <c r="F120" s="9" t="n"/>
      <c r="H120" s="8" t="n"/>
    </row>
    <row r="121">
      <c r="A121" s="5" t="n"/>
      <c r="D121" s="10" t="n"/>
      <c r="F121" s="9" t="n"/>
      <c r="H121" s="8" t="n"/>
    </row>
    <row r="122">
      <c r="A122" s="5" t="n"/>
      <c r="D122" s="10" t="n"/>
      <c r="F122" s="9" t="n"/>
      <c r="H122" s="8" t="n"/>
    </row>
    <row r="123">
      <c r="A123" s="5" t="n"/>
      <c r="D123" s="10" t="n"/>
      <c r="F123" s="9" t="n"/>
      <c r="H123" s="8" t="n"/>
    </row>
    <row r="124">
      <c r="A124" s="5" t="n"/>
      <c r="D124" s="10" t="n"/>
      <c r="F124" s="9" t="n"/>
      <c r="H124" s="8" t="n"/>
    </row>
    <row r="125">
      <c r="A125" s="5" t="n"/>
      <c r="D125" s="10" t="n"/>
      <c r="F125" s="9" t="n"/>
      <c r="H125" s="8" t="n"/>
    </row>
    <row r="126">
      <c r="A126" s="5" t="n"/>
      <c r="D126" s="10" t="n"/>
      <c r="F126" s="9" t="n"/>
      <c r="H126" s="8" t="n"/>
    </row>
    <row r="127">
      <c r="A127" s="5" t="n"/>
      <c r="D127" s="10" t="n"/>
      <c r="F127" s="9" t="n"/>
      <c r="H127" s="8" t="n"/>
    </row>
    <row r="128">
      <c r="A128" s="5" t="n"/>
      <c r="D128" s="10" t="n"/>
      <c r="F128" s="9" t="n"/>
      <c r="H128" s="8" t="n"/>
    </row>
    <row r="129">
      <c r="A129" s="5" t="n"/>
      <c r="D129" s="10" t="n"/>
      <c r="F129" s="9" t="n"/>
      <c r="H129" s="8" t="n"/>
    </row>
    <row r="130">
      <c r="A130" s="5" t="n"/>
      <c r="D130" s="10" t="n"/>
      <c r="F130" s="9" t="n"/>
      <c r="H130" s="8" t="n"/>
    </row>
    <row r="131">
      <c r="A131" s="5" t="n"/>
      <c r="D131" s="10" t="n"/>
      <c r="F131" s="9" t="n"/>
      <c r="H131" s="8" t="n"/>
    </row>
    <row r="132">
      <c r="A132" s="5" t="n"/>
      <c r="D132" s="10" t="n"/>
      <c r="F132" s="9" t="n"/>
      <c r="H132" s="8" t="n"/>
    </row>
    <row r="133">
      <c r="A133" s="5" t="n"/>
      <c r="D133" s="10" t="n"/>
      <c r="F133" s="9" t="n"/>
      <c r="H133" s="8" t="n"/>
    </row>
    <row r="134">
      <c r="A134" s="5" t="n"/>
      <c r="D134" s="10" t="n"/>
      <c r="F134" s="9" t="n"/>
      <c r="H134" s="8" t="n"/>
    </row>
    <row r="135">
      <c r="A135" s="5" t="n"/>
      <c r="D135" s="10" t="n"/>
      <c r="F135" s="9" t="n"/>
      <c r="H135" s="8" t="n"/>
    </row>
    <row r="136">
      <c r="A136" s="5" t="n"/>
      <c r="D136" s="10" t="n"/>
      <c r="F136" s="9" t="n"/>
      <c r="H136" s="8" t="n"/>
    </row>
    <row r="137">
      <c r="A137" s="5" t="n"/>
      <c r="D137" s="10" t="n"/>
      <c r="F137" s="9" t="n"/>
      <c r="H137" s="8" t="n"/>
    </row>
    <row r="138">
      <c r="A138" s="5" t="n"/>
      <c r="D138" s="10" t="n"/>
      <c r="F138" s="9" t="n"/>
      <c r="H138" s="8" t="n"/>
    </row>
    <row r="139">
      <c r="A139" s="7" t="n"/>
      <c r="D139" s="10" t="n"/>
      <c r="F139" s="9" t="n"/>
      <c r="H139" s="8" t="n"/>
    </row>
    <row r="140">
      <c r="D140" s="10" t="n"/>
      <c r="F140" s="9" t="n"/>
      <c r="H140" s="8" t="n"/>
    </row>
    <row r="141">
      <c r="D141" s="10" t="n"/>
      <c r="F141" s="9" t="n"/>
      <c r="H141" s="8" t="n"/>
    </row>
    <row r="142">
      <c r="D142" s="10" t="n"/>
      <c r="F142" s="9" t="n"/>
      <c r="H142" s="8" t="n"/>
    </row>
    <row r="143">
      <c r="A143" s="3" t="n"/>
      <c r="D143" s="10" t="n"/>
      <c r="F143" s="9" t="n"/>
      <c r="H143" s="8" t="n"/>
    </row>
    <row r="144">
      <c r="A144" s="3" t="n"/>
      <c r="D144" s="10" t="n"/>
      <c r="F144" s="9" t="n"/>
      <c r="H144" s="8" t="n"/>
    </row>
    <row r="145">
      <c r="A145" s="5" t="n"/>
      <c r="D145" s="10" t="n"/>
      <c r="F145" s="9" t="n"/>
      <c r="H145" s="8" t="n"/>
    </row>
    <row r="146">
      <c r="A146" s="5" t="n"/>
      <c r="D146" s="10" t="n"/>
      <c r="F146" s="9" t="n"/>
      <c r="H146" s="8" t="n"/>
    </row>
    <row r="147">
      <c r="A147" s="5" t="n"/>
      <c r="D147" s="10" t="n"/>
      <c r="F147" s="9" t="n"/>
      <c r="H147" s="8" t="n"/>
    </row>
    <row r="148">
      <c r="A148" s="5" t="n"/>
      <c r="D148" s="10" t="n"/>
      <c r="F148" s="9" t="n"/>
      <c r="H148" s="8" t="n"/>
    </row>
    <row r="149">
      <c r="A149" s="5" t="n"/>
      <c r="D149" s="10" t="n"/>
      <c r="F149" s="9" t="n"/>
      <c r="H149" s="8" t="n"/>
    </row>
    <row r="150">
      <c r="A150" s="5" t="n"/>
      <c r="D150" s="10" t="n"/>
      <c r="F150" s="9" t="n"/>
      <c r="H150" s="8" t="n"/>
    </row>
    <row r="151">
      <c r="A151" s="5" t="n"/>
      <c r="D151" s="10" t="n"/>
      <c r="F151" s="9" t="n"/>
      <c r="H151" s="8" t="n"/>
    </row>
    <row r="152">
      <c r="A152" s="5" t="n"/>
      <c r="D152" s="10" t="n"/>
      <c r="F152" s="9" t="n"/>
      <c r="H152" s="8" t="n"/>
    </row>
    <row r="153">
      <c r="A153" s="5" t="n"/>
      <c r="D153" s="10" t="n"/>
      <c r="F153" s="9" t="n"/>
      <c r="H153" s="8" t="n"/>
    </row>
    <row r="154">
      <c r="A154" s="5" t="n"/>
      <c r="D154" s="10" t="n"/>
      <c r="F154" s="9" t="n"/>
      <c r="H154" s="8" t="n"/>
    </row>
    <row r="155">
      <c r="A155" s="5" t="n"/>
      <c r="D155" s="10" t="n"/>
      <c r="F155" s="9" t="n"/>
      <c r="H155" s="8" t="n"/>
    </row>
    <row r="156">
      <c r="A156" s="5" t="n"/>
      <c r="D156" s="10" t="n"/>
      <c r="F156" s="9" t="n"/>
      <c r="H156" s="8" t="n"/>
    </row>
    <row r="157">
      <c r="A157" s="5" t="n"/>
      <c r="D157" s="10" t="n"/>
      <c r="F157" s="9" t="n"/>
      <c r="H157" s="8" t="n"/>
    </row>
    <row r="158">
      <c r="A158" s="5" t="n"/>
      <c r="D158" s="10" t="n"/>
      <c r="F158" s="9" t="n"/>
      <c r="H158" s="8" t="n"/>
    </row>
    <row r="159">
      <c r="A159" s="5" t="n"/>
      <c r="D159" s="10" t="n"/>
      <c r="F159" s="9" t="n"/>
      <c r="H159" s="8" t="n"/>
    </row>
    <row r="160">
      <c r="A160" s="5" t="n"/>
      <c r="D160" s="10" t="n"/>
      <c r="F160" s="9" t="n"/>
      <c r="H160" s="8" t="n"/>
    </row>
    <row r="161">
      <c r="A161" s="5" t="n"/>
      <c r="D161" s="10" t="n"/>
      <c r="F161" s="9" t="n"/>
      <c r="H161" s="8" t="n"/>
    </row>
    <row r="162">
      <c r="A162" s="5" t="n"/>
      <c r="D162" s="10" t="n"/>
      <c r="F162" s="9" t="n"/>
      <c r="H162" s="8" t="n"/>
    </row>
    <row r="163">
      <c r="A163" s="5" t="n"/>
      <c r="D163" s="10" t="n"/>
      <c r="F163" s="9" t="n"/>
      <c r="H163" s="8" t="n"/>
    </row>
    <row r="164">
      <c r="A164" s="5" t="n"/>
      <c r="D164" s="10" t="n"/>
      <c r="F164" s="9" t="n"/>
      <c r="H164" s="8" t="n"/>
    </row>
    <row r="165">
      <c r="A165" s="5" t="n"/>
      <c r="D165" s="10" t="n"/>
      <c r="F165" s="9" t="n"/>
      <c r="H165" s="8" t="n"/>
    </row>
    <row r="166">
      <c r="A166" s="5" t="n"/>
      <c r="D166" s="10" t="n"/>
      <c r="F166" s="9" t="n"/>
      <c r="H166" s="8" t="n"/>
    </row>
    <row r="167">
      <c r="A167" s="5" t="n"/>
      <c r="D167" s="10" t="n"/>
      <c r="F167" s="9" t="n"/>
      <c r="H167" s="8" t="n"/>
    </row>
    <row r="168">
      <c r="A168" s="5" t="n"/>
      <c r="D168" s="10" t="n"/>
      <c r="F168" s="9" t="n"/>
      <c r="H168" s="8" t="n"/>
    </row>
    <row r="169">
      <c r="A169" s="5" t="n"/>
      <c r="D169" s="10" t="n"/>
      <c r="F169" s="9" t="n"/>
      <c r="H169" s="8" t="n"/>
    </row>
    <row r="170">
      <c r="A170" s="5" t="n"/>
      <c r="D170" s="10" t="n"/>
      <c r="F170" s="9" t="n"/>
      <c r="H170" s="8" t="n"/>
    </row>
    <row r="171">
      <c r="A171" s="5" t="n"/>
      <c r="D171" s="10" t="n"/>
      <c r="F171" s="9" t="n"/>
      <c r="H171" s="8" t="n"/>
    </row>
    <row r="172">
      <c r="A172" s="5" t="n"/>
      <c r="D172" s="10" t="n"/>
      <c r="F172" s="9" t="n"/>
      <c r="H172" s="8" t="n"/>
    </row>
    <row r="173">
      <c r="A173" s="5" t="n"/>
      <c r="D173" s="10" t="n"/>
      <c r="F173" s="9" t="n"/>
      <c r="H173" s="8" t="n"/>
    </row>
    <row r="174">
      <c r="A174" s="5" t="n"/>
      <c r="D174" s="10" t="n"/>
      <c r="F174" s="9" t="n"/>
      <c r="H174" s="8" t="n"/>
    </row>
    <row r="175">
      <c r="A175" s="5" t="n"/>
      <c r="D175" s="10" t="n"/>
      <c r="F175" s="9" t="n"/>
      <c r="H175" s="8" t="n"/>
    </row>
    <row r="176">
      <c r="A176" s="5" t="n"/>
      <c r="D176" s="10" t="n"/>
      <c r="F176" s="9" t="n"/>
      <c r="H176" s="8" t="n"/>
    </row>
    <row r="177">
      <c r="A177" s="5" t="n"/>
      <c r="D177" s="10" t="n"/>
      <c r="F177" s="9" t="n"/>
      <c r="H177" s="8" t="n"/>
    </row>
    <row r="178">
      <c r="A178" s="5" t="n"/>
      <c r="D178" s="10" t="n"/>
      <c r="F178" s="9" t="n"/>
      <c r="H178" s="8" t="n"/>
    </row>
    <row r="179">
      <c r="A179" s="5" t="n"/>
      <c r="D179" s="10" t="n"/>
      <c r="F179" s="9" t="n"/>
      <c r="H179" s="8" t="n"/>
    </row>
    <row r="180">
      <c r="A180" s="5" t="n"/>
      <c r="D180" s="10" t="n"/>
      <c r="F180" s="9" t="n"/>
      <c r="H180" s="8" t="n"/>
    </row>
    <row r="181">
      <c r="A181" s="5" t="n"/>
      <c r="D181" s="10" t="n"/>
      <c r="F181" s="9" t="n"/>
      <c r="H181" s="8" t="n"/>
    </row>
    <row r="182">
      <c r="A182" s="5" t="n"/>
      <c r="D182" s="10" t="n"/>
      <c r="F182" s="9" t="n"/>
      <c r="H182" s="8" t="n"/>
    </row>
    <row r="183">
      <c r="A183" s="5" t="n"/>
      <c r="D183" s="10" t="n"/>
      <c r="F183" s="9" t="n"/>
      <c r="H183" s="8" t="n"/>
    </row>
    <row r="184">
      <c r="A184" s="5" t="n"/>
      <c r="D184" s="10" t="n"/>
      <c r="F184" s="9" t="n"/>
      <c r="H184" s="8" t="n"/>
    </row>
    <row r="185">
      <c r="A185" s="5" t="n"/>
      <c r="D185" s="10" t="n"/>
      <c r="F185" s="9" t="n"/>
      <c r="H185" s="8" t="n"/>
    </row>
    <row r="186">
      <c r="A186" s="5" t="n"/>
      <c r="D186" s="10" t="n"/>
      <c r="F186" s="9" t="n"/>
      <c r="H186" s="8" t="n"/>
    </row>
    <row r="187">
      <c r="A187" s="5" t="n"/>
      <c r="D187" s="10" t="n"/>
      <c r="F187" s="9" t="n"/>
      <c r="H187" s="8" t="n"/>
    </row>
    <row r="188">
      <c r="A188" s="5" t="n"/>
      <c r="D188" s="10" t="n"/>
      <c r="F188" s="9" t="n"/>
      <c r="H188" s="8" t="n"/>
    </row>
    <row r="189">
      <c r="A189" s="5" t="n"/>
      <c r="D189" s="10" t="n"/>
      <c r="F189" s="9" t="n"/>
      <c r="H189" s="8" t="n"/>
    </row>
    <row r="190">
      <c r="A190" s="5" t="n"/>
      <c r="D190" s="10" t="n"/>
      <c r="F190" s="9" t="n"/>
      <c r="H190" s="8" t="n"/>
    </row>
    <row r="191">
      <c r="A191" s="5" t="n"/>
      <c r="D191" s="10" t="n"/>
      <c r="F191" s="9" t="n"/>
      <c r="H191" s="8" t="n"/>
    </row>
    <row r="192">
      <c r="A192" s="5" t="n"/>
      <c r="D192" s="10" t="n"/>
      <c r="F192" s="9" t="n"/>
      <c r="H192" s="8" t="n"/>
    </row>
    <row r="193">
      <c r="A193" s="5" t="n"/>
      <c r="D193" s="10" t="n"/>
      <c r="F193" s="9" t="n"/>
      <c r="H193" s="8" t="n"/>
    </row>
    <row r="194">
      <c r="A194" s="5" t="n"/>
      <c r="D194" s="10" t="n"/>
      <c r="F194" s="9" t="n"/>
      <c r="H194" s="8" t="n"/>
    </row>
    <row r="195">
      <c r="A195" s="5" t="n"/>
      <c r="D195" s="10" t="n"/>
      <c r="F195" s="9" t="n"/>
      <c r="H195" s="8" t="n"/>
    </row>
    <row r="196">
      <c r="A196" s="5" t="n"/>
      <c r="D196" s="10" t="n"/>
      <c r="F196" s="9" t="n"/>
      <c r="H196" s="8" t="n"/>
    </row>
    <row r="197">
      <c r="A197" s="5" t="n"/>
      <c r="D197" s="10" t="n"/>
      <c r="F197" s="9" t="n"/>
      <c r="H197" s="8" t="n"/>
    </row>
    <row r="198">
      <c r="A198" s="5" t="n"/>
      <c r="D198" s="10" t="n"/>
      <c r="F198" s="9" t="n"/>
      <c r="H198" s="8" t="n"/>
    </row>
    <row r="199">
      <c r="A199" s="5" t="n"/>
      <c r="D199" s="10" t="n"/>
      <c r="F199" s="9" t="n"/>
      <c r="H199" s="8" t="n"/>
    </row>
    <row r="200">
      <c r="A200" s="5" t="n"/>
      <c r="D200" s="10" t="n"/>
      <c r="F200" s="9" t="n"/>
      <c r="H200" s="8" t="n"/>
    </row>
    <row r="201">
      <c r="A201" s="5" t="n"/>
      <c r="D201" s="10" t="n"/>
      <c r="F201" s="9" t="n"/>
      <c r="H201" s="8" t="n"/>
    </row>
    <row r="202">
      <c r="A202" s="5" t="n"/>
      <c r="D202" s="10" t="n"/>
      <c r="F202" s="9" t="n"/>
      <c r="H202" s="8" t="n"/>
    </row>
    <row r="203">
      <c r="A203" s="5" t="n"/>
      <c r="D203" s="10" t="n"/>
      <c r="F203" s="9" t="n"/>
      <c r="H203" s="8" t="n"/>
    </row>
    <row r="204">
      <c r="A204" s="5" t="n"/>
      <c r="D204" s="10" t="n"/>
      <c r="F204" s="9" t="n"/>
      <c r="H204" s="8" t="n"/>
    </row>
    <row r="205">
      <c r="A205" s="5" t="n"/>
      <c r="D205" s="10" t="n"/>
      <c r="F205" s="9" t="n"/>
      <c r="H205" s="8" t="n"/>
    </row>
    <row r="206">
      <c r="A206" s="5" t="n"/>
      <c r="D206" s="10" t="n"/>
      <c r="F206" s="9" t="n"/>
      <c r="H206" s="8" t="n"/>
    </row>
    <row r="207">
      <c r="A207" s="5" t="n"/>
      <c r="D207" s="10" t="n"/>
      <c r="F207" s="9" t="n"/>
      <c r="H207" s="8" t="n"/>
    </row>
    <row r="208">
      <c r="A208" s="5" t="n"/>
      <c r="D208" s="10" t="n"/>
      <c r="F208" s="9" t="n"/>
      <c r="H208" s="8" t="n"/>
    </row>
    <row r="209">
      <c r="A209" s="5" t="n"/>
      <c r="D209" s="10" t="n"/>
      <c r="F209" s="9" t="n"/>
      <c r="H209" s="8" t="n"/>
    </row>
    <row r="210">
      <c r="A210" s="5" t="n"/>
      <c r="D210" s="10" t="n"/>
      <c r="F210" s="9" t="n"/>
      <c r="H210" s="8" t="n"/>
    </row>
    <row r="211">
      <c r="A211" s="5" t="n"/>
      <c r="D211" s="10" t="n"/>
      <c r="F211" s="9" t="n"/>
      <c r="H211" s="8" t="n"/>
    </row>
    <row r="212">
      <c r="A212" s="7" t="n"/>
      <c r="D212" s="10" t="n"/>
      <c r="F212" s="9" t="n"/>
      <c r="H212" s="8" t="n"/>
    </row>
    <row r="213">
      <c r="D213" s="10" t="n"/>
      <c r="F213" s="9" t="n"/>
      <c r="H213" s="8" t="n"/>
    </row>
    <row r="214">
      <c r="D214" s="10" t="n"/>
      <c r="F214" s="9" t="n"/>
      <c r="H214" s="8" t="n"/>
    </row>
    <row r="215">
      <c r="D215" s="10" t="n"/>
      <c r="F215" s="9" t="n"/>
      <c r="H215" s="8" t="n"/>
    </row>
    <row r="216">
      <c r="A216" s="3" t="n"/>
      <c r="D216" s="10" t="n"/>
      <c r="F216" s="9" t="n"/>
      <c r="H216" s="8" t="n"/>
    </row>
    <row r="217">
      <c r="A217" s="3" t="n"/>
      <c r="D217" s="10" t="n"/>
      <c r="F217" s="9" t="n"/>
      <c r="H217" s="8" t="n"/>
    </row>
    <row r="218">
      <c r="A218" s="5" t="n"/>
      <c r="D218" s="10" t="n"/>
      <c r="F218" s="9" t="n"/>
      <c r="H218" s="8" t="n"/>
    </row>
    <row r="219">
      <c r="A219" s="5" t="n"/>
      <c r="D219" s="10" t="n"/>
      <c r="F219" s="9" t="n"/>
      <c r="H219" s="8" t="n"/>
    </row>
    <row r="220">
      <c r="A220" s="5" t="n"/>
      <c r="D220" s="10" t="n"/>
      <c r="F220" s="9" t="n"/>
      <c r="H220" s="8" t="n"/>
    </row>
    <row r="221">
      <c r="A221" s="5" t="n"/>
      <c r="D221" s="10" t="n"/>
      <c r="F221" s="9" t="n"/>
      <c r="H221" s="8" t="n"/>
    </row>
    <row r="222">
      <c r="A222" s="5" t="n"/>
      <c r="D222" s="10" t="n"/>
      <c r="F222" s="9" t="n"/>
      <c r="H222" s="8" t="n"/>
    </row>
    <row r="223">
      <c r="A223" s="5" t="n"/>
      <c r="D223" s="10" t="n"/>
      <c r="F223" s="9" t="n"/>
      <c r="H223" s="8" t="n"/>
    </row>
    <row r="224">
      <c r="A224" s="5" t="n"/>
      <c r="D224" s="10" t="n"/>
      <c r="F224" s="9" t="n"/>
      <c r="H224" s="8" t="n"/>
    </row>
    <row r="225">
      <c r="A225" s="5" t="n"/>
      <c r="D225" s="10" t="n"/>
      <c r="F225" s="9" t="n"/>
      <c r="H225" s="8" t="n"/>
    </row>
    <row r="226">
      <c r="A226" s="5" t="n"/>
      <c r="D226" s="10" t="n"/>
      <c r="F226" s="9" t="n"/>
      <c r="H226" s="8" t="n"/>
    </row>
    <row r="227">
      <c r="A227" s="5" t="n"/>
      <c r="D227" s="10" t="n"/>
      <c r="F227" s="9" t="n"/>
      <c r="H227" s="8" t="n"/>
    </row>
    <row r="228">
      <c r="A228" s="5" t="n"/>
      <c r="D228" s="10" t="n"/>
      <c r="F228" s="9" t="n"/>
      <c r="H228" s="8" t="n"/>
    </row>
    <row r="229">
      <c r="A229" s="5" t="n"/>
      <c r="D229" s="10" t="n"/>
      <c r="F229" s="9" t="n"/>
      <c r="H229" s="8" t="n"/>
    </row>
    <row r="230">
      <c r="A230" s="5" t="n"/>
      <c r="D230" s="10" t="n"/>
      <c r="F230" s="9" t="n"/>
      <c r="H230" s="8" t="n"/>
    </row>
    <row r="231">
      <c r="A231" s="5" t="n"/>
      <c r="D231" s="10" t="n"/>
      <c r="F231" s="9" t="n"/>
      <c r="H231" s="8" t="n"/>
    </row>
    <row r="232">
      <c r="A232" s="5" t="n"/>
      <c r="D232" s="10" t="n"/>
      <c r="F232" s="9" t="n"/>
      <c r="H232" s="8" t="n"/>
    </row>
    <row r="233">
      <c r="A233" s="5" t="n"/>
      <c r="D233" s="10" t="n"/>
      <c r="F233" s="9" t="n"/>
      <c r="H233" s="8" t="n"/>
    </row>
    <row r="234">
      <c r="A234" s="5" t="n"/>
      <c r="D234" s="10" t="n"/>
      <c r="F234" s="9" t="n"/>
      <c r="H234" s="8" t="n"/>
    </row>
    <row r="235">
      <c r="A235" s="5" t="n"/>
      <c r="D235" s="10" t="n"/>
      <c r="F235" s="9" t="n"/>
      <c r="H235" s="8" t="n"/>
    </row>
    <row r="236">
      <c r="A236" s="5" t="n"/>
      <c r="D236" s="10" t="n"/>
      <c r="F236" s="9" t="n"/>
      <c r="H236" s="8" t="n"/>
    </row>
    <row r="237">
      <c r="A237" s="5" t="n"/>
      <c r="D237" s="10" t="n"/>
      <c r="F237" s="9" t="n"/>
      <c r="H237" s="8" t="n"/>
    </row>
    <row r="238">
      <c r="A238" s="5" t="n"/>
      <c r="D238" s="10" t="n"/>
      <c r="F238" s="9" t="n"/>
      <c r="H238" s="8" t="n"/>
    </row>
    <row r="239">
      <c r="A239" s="5" t="n"/>
      <c r="D239" s="10" t="n"/>
      <c r="F239" s="9" t="n"/>
      <c r="H239" s="8" t="n"/>
    </row>
    <row r="240">
      <c r="A240" s="5" t="n"/>
      <c r="D240" s="10" t="n"/>
      <c r="F240" s="9" t="n"/>
      <c r="H240" s="8" t="n"/>
    </row>
    <row r="241">
      <c r="A241" s="5" t="n"/>
      <c r="D241" s="10" t="n"/>
      <c r="F241" s="9" t="n"/>
      <c r="H241" s="8" t="n"/>
    </row>
    <row r="242">
      <c r="A242" s="5" t="n"/>
      <c r="D242" s="10" t="n"/>
      <c r="F242" s="9" t="n"/>
      <c r="H242" s="8" t="n"/>
    </row>
    <row r="243">
      <c r="A243" s="5" t="n"/>
      <c r="D243" s="10" t="n"/>
      <c r="F243" s="9" t="n"/>
      <c r="H243" s="8" t="n"/>
    </row>
    <row r="244">
      <c r="A244" s="5" t="n"/>
      <c r="D244" s="10" t="n"/>
      <c r="F244" s="9" t="n"/>
      <c r="H244" s="8" t="n"/>
    </row>
    <row r="245">
      <c r="A245" s="5" t="n"/>
      <c r="D245" s="10" t="n"/>
      <c r="F245" s="9" t="n"/>
      <c r="H245" s="8" t="n"/>
    </row>
    <row r="246">
      <c r="A246" s="5" t="n"/>
      <c r="D246" s="10" t="n"/>
      <c r="F246" s="9" t="n"/>
      <c r="H246" s="8" t="n"/>
    </row>
    <row r="247">
      <c r="A247" s="5" t="n"/>
      <c r="D247" s="10" t="n"/>
      <c r="F247" s="9" t="n"/>
      <c r="H247" s="8" t="n"/>
    </row>
    <row r="248">
      <c r="A248" s="5" t="n"/>
      <c r="D248" s="10" t="n"/>
      <c r="F248" s="9" t="n"/>
      <c r="H248" s="8" t="n"/>
    </row>
    <row r="249">
      <c r="A249" s="5" t="n"/>
      <c r="D249" s="10" t="n"/>
      <c r="F249" s="9" t="n"/>
      <c r="H249" s="8" t="n"/>
    </row>
    <row r="250">
      <c r="A250" s="5" t="n"/>
      <c r="D250" s="10" t="n"/>
      <c r="F250" s="9" t="n"/>
      <c r="H250" s="8" t="n"/>
    </row>
    <row r="251">
      <c r="A251" s="5" t="n"/>
      <c r="D251" s="10" t="n"/>
      <c r="F251" s="9" t="n"/>
      <c r="H251" s="8" t="n"/>
    </row>
    <row r="252">
      <c r="A252" s="5" t="n"/>
      <c r="D252" s="10" t="n"/>
      <c r="F252" s="9" t="n"/>
      <c r="H252" s="8" t="n"/>
    </row>
    <row r="253">
      <c r="A253" s="5" t="n"/>
      <c r="D253" s="10" t="n"/>
      <c r="F253" s="9" t="n"/>
      <c r="H253" s="8" t="n"/>
    </row>
    <row r="254">
      <c r="A254" s="5" t="n"/>
      <c r="D254" s="10" t="n"/>
      <c r="F254" s="9" t="n"/>
      <c r="H254" s="8" t="n"/>
    </row>
    <row r="255">
      <c r="A255" s="5" t="n"/>
      <c r="D255" s="10" t="n"/>
      <c r="F255" s="9" t="n"/>
      <c r="H255" s="8" t="n"/>
    </row>
    <row r="256">
      <c r="A256" s="5" t="n"/>
      <c r="D256" s="10" t="n"/>
      <c r="F256" s="9" t="n"/>
      <c r="H256" s="8" t="n"/>
    </row>
    <row r="257">
      <c r="A257" s="5" t="n"/>
      <c r="D257" s="10" t="n"/>
      <c r="F257" s="9" t="n"/>
      <c r="H257" s="8" t="n"/>
    </row>
    <row r="258">
      <c r="A258" s="5" t="n"/>
      <c r="D258" s="10" t="n"/>
      <c r="F258" s="9" t="n"/>
      <c r="H258" s="8" t="n"/>
    </row>
    <row r="259">
      <c r="A259" s="5" t="n"/>
      <c r="D259" s="10" t="n"/>
      <c r="F259" s="9" t="n"/>
      <c r="H259" s="8" t="n"/>
    </row>
    <row r="260">
      <c r="A260" s="5" t="n"/>
      <c r="D260" s="10" t="n"/>
      <c r="F260" s="9" t="n"/>
      <c r="H260" s="8" t="n"/>
    </row>
    <row r="261">
      <c r="A261" s="5" t="n"/>
      <c r="D261" s="10" t="n"/>
      <c r="F261" s="9" t="n"/>
      <c r="H261" s="8" t="n"/>
    </row>
    <row r="262">
      <c r="A262" s="5" t="n"/>
      <c r="D262" s="10" t="n"/>
      <c r="F262" s="9" t="n"/>
      <c r="H262" s="8" t="n"/>
    </row>
    <row r="263">
      <c r="A263" s="5" t="n"/>
      <c r="D263" s="10" t="n"/>
      <c r="F263" s="9" t="n"/>
      <c r="H263" s="8" t="n"/>
    </row>
    <row r="264">
      <c r="A264" s="5" t="n"/>
      <c r="D264" s="10" t="n"/>
      <c r="F264" s="9" t="n"/>
      <c r="H264" s="8" t="n"/>
    </row>
    <row r="265">
      <c r="A265" s="5" t="n"/>
      <c r="D265" s="10" t="n"/>
      <c r="F265" s="9" t="n"/>
      <c r="H265" s="8" t="n"/>
    </row>
    <row r="266">
      <c r="A266" s="5" t="n"/>
      <c r="D266" s="10" t="n"/>
      <c r="F266" s="9" t="n"/>
      <c r="H266" s="8" t="n"/>
    </row>
    <row r="267">
      <c r="A267" s="5" t="n"/>
      <c r="D267" s="10" t="n"/>
      <c r="F267" s="9" t="n"/>
      <c r="H267" s="8" t="n"/>
    </row>
    <row r="268">
      <c r="A268" s="5" t="n"/>
      <c r="D268" s="10" t="n"/>
      <c r="F268" s="9" t="n"/>
      <c r="H268" s="8" t="n"/>
    </row>
    <row r="269">
      <c r="A269" s="5" t="n"/>
      <c r="D269" s="10" t="n"/>
      <c r="F269" s="9" t="n"/>
      <c r="H269" s="8" t="n"/>
    </row>
    <row r="270">
      <c r="A270" s="5" t="n"/>
      <c r="D270" s="10" t="n"/>
      <c r="F270" s="9" t="n"/>
      <c r="H270" s="8" t="n"/>
    </row>
    <row r="271">
      <c r="A271" s="5" t="n"/>
      <c r="D271" s="10" t="n"/>
      <c r="F271" s="9" t="n"/>
      <c r="H271" s="8" t="n"/>
    </row>
    <row r="272">
      <c r="A272" s="5" t="n"/>
      <c r="D272" s="10" t="n"/>
      <c r="F272" s="9" t="n"/>
      <c r="H272" s="8" t="n"/>
    </row>
    <row r="273">
      <c r="A273" s="5" t="n"/>
      <c r="D273" s="10" t="n"/>
      <c r="F273" s="9" t="n"/>
      <c r="H273" s="8" t="n"/>
    </row>
    <row r="274">
      <c r="A274" s="5" t="n"/>
      <c r="D274" s="10" t="n"/>
      <c r="F274" s="9" t="n"/>
      <c r="H274" s="8" t="n"/>
    </row>
    <row r="275">
      <c r="A275" s="5" t="n"/>
      <c r="D275" s="10" t="n"/>
      <c r="F275" s="9" t="n"/>
      <c r="H275" s="8" t="n"/>
    </row>
    <row r="276">
      <c r="A276" s="5" t="n"/>
      <c r="D276" s="10" t="n"/>
      <c r="F276" s="9" t="n"/>
      <c r="H276" s="8" t="n"/>
    </row>
    <row r="277">
      <c r="A277" s="5" t="n"/>
      <c r="D277" s="10" t="n"/>
      <c r="F277" s="9" t="n"/>
      <c r="H277" s="8" t="n"/>
    </row>
    <row r="278">
      <c r="A278" s="5" t="n"/>
      <c r="D278" s="10" t="n"/>
      <c r="F278" s="9" t="n"/>
      <c r="H278" s="8" t="n"/>
    </row>
    <row r="279">
      <c r="A279" s="5" t="n"/>
      <c r="D279" s="10" t="n"/>
      <c r="F279" s="9" t="n"/>
      <c r="H279" s="8" t="n"/>
    </row>
    <row r="280">
      <c r="A280" s="5" t="n"/>
      <c r="D280" s="10" t="n"/>
      <c r="F280" s="9" t="n"/>
      <c r="H280" s="8" t="n"/>
    </row>
    <row r="281">
      <c r="A281" s="5" t="n"/>
      <c r="D281" s="10" t="n"/>
      <c r="F281" s="9" t="n"/>
      <c r="H281" s="8" t="n"/>
    </row>
    <row r="282">
      <c r="A282" s="5" t="n"/>
      <c r="D282" s="10" t="n"/>
      <c r="F282" s="9" t="n"/>
      <c r="H282" s="8" t="n"/>
    </row>
    <row r="283">
      <c r="A283" s="5" t="n"/>
      <c r="D283" s="10" t="n"/>
      <c r="F283" s="9" t="n"/>
      <c r="H283" s="8" t="n"/>
    </row>
    <row r="284">
      <c r="A284" s="5" t="n"/>
      <c r="D284" s="10" t="n"/>
      <c r="F284" s="9" t="n"/>
      <c r="H284" s="8" t="n"/>
    </row>
    <row r="285">
      <c r="A285" s="7" t="n"/>
      <c r="D285" s="10" t="n"/>
      <c r="F285" s="9" t="n"/>
      <c r="H285" s="8" t="n"/>
    </row>
    <row r="286">
      <c r="D286" s="10" t="n"/>
      <c r="F286" s="9" t="n"/>
      <c r="H286" s="8" t="n"/>
    </row>
    <row r="287">
      <c r="D287" s="10" t="n"/>
      <c r="F287" s="9" t="n"/>
      <c r="H287" s="8" t="n"/>
    </row>
    <row r="288">
      <c r="D288" s="10" t="n"/>
      <c r="F288" s="9" t="n"/>
      <c r="H288" s="8" t="n"/>
    </row>
    <row r="289">
      <c r="A289" s="3" t="n"/>
      <c r="D289" s="10" t="n"/>
      <c r="F289" s="9" t="n"/>
      <c r="H289" s="8" t="n"/>
    </row>
    <row r="290">
      <c r="A290" s="3" t="n"/>
      <c r="D290" s="10" t="n"/>
      <c r="F290" s="9" t="n"/>
      <c r="H290" s="8" t="n"/>
    </row>
    <row r="291">
      <c r="A291" s="5" t="n"/>
      <c r="D291" s="10" t="n"/>
      <c r="F291" s="9" t="n"/>
      <c r="H291" s="8" t="n"/>
    </row>
    <row r="292">
      <c r="A292" s="5" t="n"/>
      <c r="D292" s="10" t="n"/>
      <c r="F292" s="9" t="n"/>
      <c r="H292" s="8" t="n"/>
    </row>
    <row r="293">
      <c r="A293" s="5" t="n"/>
      <c r="D293" s="10" t="n"/>
      <c r="F293" s="9" t="n"/>
      <c r="H293" s="8" t="n"/>
    </row>
    <row r="294">
      <c r="A294" s="5" t="n"/>
      <c r="D294" s="10" t="n"/>
      <c r="F294" s="9" t="n"/>
      <c r="H294" s="8" t="n"/>
    </row>
    <row r="295">
      <c r="A295" s="5" t="n"/>
      <c r="D295" s="10" t="n"/>
      <c r="F295" s="9" t="n"/>
      <c r="H295" s="8" t="n"/>
    </row>
    <row r="296">
      <c r="A296" s="5" t="n"/>
      <c r="D296" s="10" t="n"/>
      <c r="F296" s="9" t="n"/>
      <c r="H296" s="8" t="n"/>
    </row>
    <row r="297">
      <c r="A297" s="5" t="n"/>
      <c r="D297" s="10" t="n"/>
      <c r="F297" s="9" t="n"/>
      <c r="H297" s="8" t="n"/>
    </row>
    <row r="298">
      <c r="A298" s="5" t="n"/>
      <c r="D298" s="10" t="n"/>
      <c r="F298" s="9" t="n"/>
      <c r="H298" s="8" t="n"/>
    </row>
    <row r="299">
      <c r="A299" s="5" t="n"/>
      <c r="D299" s="10" t="n"/>
      <c r="F299" s="9" t="n"/>
      <c r="H299" s="8" t="n"/>
    </row>
    <row r="300">
      <c r="A300" s="5" t="n"/>
      <c r="D300" s="10" t="n"/>
      <c r="F300" s="9" t="n"/>
      <c r="H300" s="8" t="n"/>
    </row>
    <row r="301">
      <c r="A301" s="5" t="n"/>
      <c r="D301" s="10" t="n"/>
      <c r="F301" s="9" t="n"/>
      <c r="H301" s="8" t="n"/>
    </row>
    <row r="302">
      <c r="A302" s="5" t="n"/>
      <c r="D302" s="10" t="n"/>
      <c r="F302" s="9" t="n"/>
      <c r="H302" s="8" t="n"/>
    </row>
    <row r="303">
      <c r="A303" s="5" t="n"/>
      <c r="D303" s="10" t="n"/>
      <c r="F303" s="9" t="n"/>
      <c r="H303" s="8" t="n"/>
    </row>
    <row r="304">
      <c r="A304" s="5" t="n"/>
      <c r="D304" s="10" t="n"/>
      <c r="F304" s="9" t="n"/>
      <c r="H304" s="8" t="n"/>
    </row>
    <row r="305">
      <c r="A305" s="5" t="n"/>
      <c r="D305" s="10" t="n"/>
      <c r="F305" s="9" t="n"/>
      <c r="H305" s="8" t="n"/>
    </row>
    <row r="306">
      <c r="A306" s="5" t="n"/>
      <c r="D306" s="10" t="n"/>
      <c r="F306" s="9" t="n"/>
      <c r="H306" s="8" t="n"/>
    </row>
    <row r="307">
      <c r="A307" s="5" t="n"/>
      <c r="D307" s="10" t="n"/>
      <c r="F307" s="9" t="n"/>
      <c r="H307" s="8" t="n"/>
    </row>
    <row r="308">
      <c r="A308" s="5" t="n"/>
      <c r="D308" s="10" t="n"/>
      <c r="F308" s="9" t="n"/>
      <c r="H308" s="8" t="n"/>
    </row>
    <row r="309">
      <c r="A309" s="5" t="n"/>
      <c r="D309" s="10" t="n"/>
      <c r="F309" s="9" t="n"/>
      <c r="H309" s="8" t="n"/>
    </row>
    <row r="310">
      <c r="A310" s="5" t="n"/>
      <c r="D310" s="10" t="n"/>
      <c r="F310" s="9" t="n"/>
      <c r="H310" s="8" t="n"/>
    </row>
    <row r="311">
      <c r="A311" s="5" t="n"/>
      <c r="D311" s="10" t="n"/>
      <c r="F311" s="9" t="n"/>
      <c r="H311" s="8" t="n"/>
    </row>
    <row r="312">
      <c r="A312" s="5" t="n"/>
      <c r="D312" s="10" t="n"/>
      <c r="F312" s="9" t="n"/>
      <c r="H312" s="8" t="n"/>
    </row>
    <row r="313">
      <c r="A313" s="5" t="n"/>
      <c r="D313" s="10" t="n"/>
      <c r="F313" s="9" t="n"/>
      <c r="H313" s="8" t="n"/>
    </row>
    <row r="314">
      <c r="A314" s="5" t="n"/>
      <c r="D314" s="10" t="n"/>
      <c r="F314" s="9" t="n"/>
      <c r="H314" s="8" t="n"/>
    </row>
    <row r="315">
      <c r="A315" s="5" t="n"/>
      <c r="D315" s="10" t="n"/>
      <c r="F315" s="9" t="n"/>
      <c r="H315" s="8" t="n"/>
    </row>
    <row r="316">
      <c r="A316" s="5" t="n"/>
      <c r="D316" s="10" t="n"/>
      <c r="F316" s="9" t="n"/>
      <c r="H316" s="8" t="n"/>
    </row>
    <row r="317">
      <c r="A317" s="5" t="n"/>
      <c r="D317" s="10" t="n"/>
      <c r="F317" s="9" t="n"/>
      <c r="H317" s="8" t="n"/>
    </row>
    <row r="318">
      <c r="A318" s="5" t="n"/>
      <c r="D318" s="10" t="n"/>
      <c r="F318" s="9" t="n"/>
      <c r="H318" s="8" t="n"/>
    </row>
    <row r="319">
      <c r="A319" s="5" t="n"/>
      <c r="D319" s="10" t="n"/>
      <c r="F319" s="9" t="n"/>
      <c r="H319" s="8" t="n"/>
    </row>
    <row r="320">
      <c r="A320" s="5" t="n"/>
      <c r="D320" s="10" t="n"/>
      <c r="F320" s="9" t="n"/>
      <c r="H320" s="8" t="n"/>
    </row>
    <row r="321">
      <c r="A321" s="5" t="n"/>
      <c r="D321" s="10" t="n"/>
      <c r="F321" s="9" t="n"/>
      <c r="H321" s="8" t="n"/>
    </row>
    <row r="322">
      <c r="A322" s="5" t="n"/>
      <c r="D322" s="10" t="n"/>
      <c r="F322" s="9" t="n"/>
      <c r="H322" s="8" t="n"/>
    </row>
    <row r="323">
      <c r="A323" s="5" t="n"/>
      <c r="D323" s="10" t="n"/>
      <c r="F323" s="9" t="n"/>
      <c r="H323" s="8" t="n"/>
    </row>
    <row r="324">
      <c r="A324" s="5" t="n"/>
      <c r="D324" s="10" t="n"/>
      <c r="F324" s="9" t="n"/>
      <c r="H324" s="8" t="n"/>
    </row>
    <row r="325">
      <c r="A325" s="5" t="n"/>
      <c r="D325" s="10" t="n"/>
      <c r="F325" s="9" t="n"/>
      <c r="H325" s="8" t="n"/>
    </row>
    <row r="326">
      <c r="A326" s="5" t="n"/>
      <c r="D326" s="10" t="n"/>
      <c r="F326" s="9" t="n"/>
      <c r="H326" s="8" t="n"/>
    </row>
    <row r="327">
      <c r="A327" s="5" t="n"/>
      <c r="D327" s="10" t="n"/>
      <c r="F327" s="9" t="n"/>
      <c r="H327" s="8" t="n"/>
    </row>
    <row r="328">
      <c r="A328" s="5" t="n"/>
      <c r="D328" s="10" t="n"/>
      <c r="F328" s="9" t="n"/>
      <c r="H328" s="8" t="n"/>
    </row>
    <row r="329">
      <c r="A329" s="5" t="n"/>
      <c r="D329" s="10" t="n"/>
      <c r="F329" s="9" t="n"/>
      <c r="H329" s="8" t="n"/>
    </row>
    <row r="330">
      <c r="A330" s="5" t="n"/>
      <c r="D330" s="10" t="n"/>
      <c r="F330" s="9" t="n"/>
      <c r="H330" s="8" t="n"/>
    </row>
    <row r="331">
      <c r="A331" s="5" t="n"/>
      <c r="D331" s="10" t="n"/>
      <c r="F331" s="9" t="n"/>
      <c r="H331" s="8" t="n"/>
    </row>
    <row r="332">
      <c r="A332" s="5" t="n"/>
      <c r="D332" s="10" t="n"/>
      <c r="F332" s="9" t="n"/>
      <c r="H332" s="8" t="n"/>
    </row>
    <row r="333">
      <c r="A333" s="5" t="n"/>
      <c r="D333" s="10" t="n"/>
      <c r="F333" s="9" t="n"/>
      <c r="H333" s="8" t="n"/>
    </row>
    <row r="334">
      <c r="A334" s="5" t="n"/>
      <c r="D334" s="10" t="n"/>
      <c r="F334" s="9" t="n"/>
      <c r="H334" s="8" t="n"/>
    </row>
    <row r="335">
      <c r="A335" s="5" t="n"/>
      <c r="D335" s="10" t="n"/>
      <c r="F335" s="9" t="n"/>
      <c r="H335" s="8" t="n"/>
    </row>
    <row r="336">
      <c r="A336" s="5" t="n"/>
      <c r="D336" s="10" t="n"/>
      <c r="F336" s="9" t="n"/>
      <c r="H336" s="8" t="n"/>
    </row>
    <row r="337">
      <c r="A337" s="5" t="n"/>
      <c r="D337" s="10" t="n"/>
      <c r="F337" s="9" t="n"/>
      <c r="H337" s="8" t="n"/>
    </row>
    <row r="338">
      <c r="A338" s="5" t="n"/>
      <c r="D338" s="10" t="n"/>
      <c r="F338" s="9" t="n"/>
      <c r="H338" s="8" t="n"/>
    </row>
    <row r="339">
      <c r="A339" s="5" t="n"/>
      <c r="D339" s="10" t="n"/>
      <c r="F339" s="9" t="n"/>
      <c r="H339" s="8" t="n"/>
    </row>
    <row r="340">
      <c r="A340" s="5" t="n"/>
      <c r="D340" s="10" t="n"/>
      <c r="F340" s="9" t="n"/>
      <c r="H340" s="8" t="n"/>
    </row>
    <row r="341">
      <c r="A341" s="5" t="n"/>
      <c r="D341" s="10" t="n"/>
      <c r="F341" s="9" t="n"/>
      <c r="H341" s="8" t="n"/>
    </row>
    <row r="342">
      <c r="A342" s="5" t="n"/>
      <c r="D342" s="10" t="n"/>
      <c r="F342" s="9" t="n"/>
      <c r="H342" s="8" t="n"/>
    </row>
    <row r="343">
      <c r="A343" s="5" t="n"/>
      <c r="D343" s="10" t="n"/>
      <c r="F343" s="9" t="n"/>
      <c r="H343" s="8" t="n"/>
    </row>
    <row r="344">
      <c r="A344" s="5" t="n"/>
      <c r="D344" s="10" t="n"/>
      <c r="F344" s="9" t="n"/>
      <c r="H344" s="8" t="n"/>
    </row>
    <row r="345">
      <c r="A345" s="5" t="n"/>
      <c r="D345" s="10" t="n"/>
      <c r="F345" s="9" t="n"/>
      <c r="H345" s="8" t="n"/>
    </row>
    <row r="346">
      <c r="A346" s="5" t="n"/>
      <c r="D346" s="10" t="n"/>
      <c r="F346" s="9" t="n"/>
      <c r="H346" s="8" t="n"/>
    </row>
    <row r="347">
      <c r="A347" s="5" t="n"/>
      <c r="D347" s="10" t="n"/>
      <c r="F347" s="9" t="n"/>
      <c r="H347" s="8" t="n"/>
    </row>
    <row r="348">
      <c r="A348" s="5" t="n"/>
      <c r="D348" s="10" t="n"/>
      <c r="F348" s="9" t="n"/>
      <c r="H348" s="8" t="n"/>
    </row>
    <row r="349">
      <c r="A349" s="5" t="n"/>
      <c r="D349" s="10" t="n"/>
      <c r="F349" s="9" t="n"/>
      <c r="H349" s="8" t="n"/>
    </row>
    <row r="350">
      <c r="A350" s="5" t="n"/>
      <c r="D350" s="10" t="n"/>
      <c r="F350" s="9" t="n"/>
      <c r="H350" s="8" t="n"/>
    </row>
    <row r="351">
      <c r="A351" s="5" t="n"/>
      <c r="D351" s="10" t="n"/>
      <c r="F351" s="9" t="n"/>
      <c r="H351" s="8" t="n"/>
    </row>
    <row r="352">
      <c r="A352" s="5" t="n"/>
      <c r="D352" s="10" t="n"/>
      <c r="F352" s="9" t="n"/>
      <c r="H352" s="8" t="n"/>
    </row>
    <row r="353">
      <c r="A353" s="5" t="n"/>
      <c r="D353" s="10" t="n"/>
      <c r="F353" s="9" t="n"/>
      <c r="H353" s="8" t="n"/>
    </row>
    <row r="354">
      <c r="A354" s="5" t="n"/>
      <c r="D354" s="10" t="n"/>
      <c r="F354" s="9" t="n"/>
      <c r="H354" s="8" t="n"/>
    </row>
    <row r="355">
      <c r="A355" s="5" t="n"/>
      <c r="D355" s="10" t="n"/>
      <c r="F355" s="9" t="n"/>
      <c r="H355" s="8" t="n"/>
    </row>
    <row r="356">
      <c r="A356" s="5" t="n"/>
      <c r="D356" s="10" t="n"/>
      <c r="F356" s="9" t="n"/>
      <c r="H356" s="8" t="n"/>
    </row>
    <row r="357">
      <c r="A357" s="5" t="n"/>
      <c r="D357" s="10" t="n"/>
      <c r="F357" s="9" t="n"/>
      <c r="H357" s="8" t="n"/>
    </row>
    <row r="358">
      <c r="A358" s="7" t="n"/>
      <c r="D358" s="10" t="n"/>
      <c r="F358" s="9" t="n"/>
      <c r="H358" s="8" t="n"/>
    </row>
    <row r="359">
      <c r="D359" s="10" t="n"/>
      <c r="F359" s="9" t="n"/>
      <c r="H359" s="8" t="n"/>
    </row>
    <row r="360">
      <c r="D360" s="10" t="n"/>
      <c r="F360" s="9" t="n"/>
      <c r="H360" s="8" t="n"/>
    </row>
    <row r="361">
      <c r="D361" s="10" t="n"/>
      <c r="F361" s="9" t="n"/>
      <c r="H361" s="8" t="n"/>
    </row>
    <row r="362">
      <c r="A362" s="3" t="n"/>
      <c r="D362" s="10" t="n"/>
      <c r="F362" s="9" t="n"/>
      <c r="H362" s="8" t="n"/>
    </row>
    <row r="363">
      <c r="A363" s="3" t="n"/>
      <c r="D363" s="10" t="n"/>
      <c r="F363" s="9" t="n"/>
      <c r="H363" s="8" t="n"/>
    </row>
    <row r="364">
      <c r="A364" s="5" t="n"/>
      <c r="D364" s="10" t="n"/>
      <c r="F364" s="9" t="n"/>
      <c r="H364" s="8" t="n"/>
    </row>
    <row r="365">
      <c r="A365" s="5" t="n"/>
      <c r="D365" s="10" t="n"/>
      <c r="F365" s="9" t="n"/>
      <c r="H365" s="8" t="n"/>
    </row>
    <row r="366">
      <c r="A366" s="5" t="n"/>
      <c r="D366" s="10" t="n"/>
      <c r="F366" s="9" t="n"/>
      <c r="H366" s="8" t="n"/>
    </row>
    <row r="367">
      <c r="A367" s="5" t="n"/>
      <c r="D367" s="10" t="n"/>
      <c r="F367" s="9" t="n"/>
      <c r="H367" s="8" t="n"/>
    </row>
    <row r="368">
      <c r="A368" s="5" t="n"/>
      <c r="D368" s="10" t="n"/>
      <c r="F368" s="9" t="n"/>
      <c r="H368" s="8" t="n"/>
    </row>
    <row r="369">
      <c r="A369" s="5" t="n"/>
      <c r="D369" s="10" t="n"/>
      <c r="F369" s="9" t="n"/>
      <c r="H369" s="8" t="n"/>
    </row>
    <row r="370">
      <c r="A370" s="5" t="n"/>
      <c r="D370" s="10" t="n"/>
      <c r="F370" s="9" t="n"/>
      <c r="H370" s="8" t="n"/>
    </row>
    <row r="371">
      <c r="A371" s="5" t="n"/>
      <c r="D371" s="10" t="n"/>
      <c r="F371" s="9" t="n"/>
      <c r="H371" s="8" t="n"/>
    </row>
    <row r="372">
      <c r="A372" s="5" t="n"/>
      <c r="D372" s="10" t="n"/>
      <c r="F372" s="9" t="n"/>
      <c r="H372" s="8" t="n"/>
    </row>
    <row r="373">
      <c r="A373" s="5" t="n"/>
      <c r="D373" s="10" t="n"/>
      <c r="F373" s="9" t="n"/>
      <c r="H373" s="8" t="n"/>
    </row>
    <row r="374">
      <c r="A374" s="5" t="n"/>
      <c r="D374" s="10" t="n"/>
      <c r="F374" s="9" t="n"/>
      <c r="H374" s="8" t="n"/>
    </row>
    <row r="375">
      <c r="A375" s="5" t="n"/>
      <c r="D375" s="10" t="n"/>
      <c r="F375" s="9" t="n"/>
      <c r="H375" s="8" t="n"/>
    </row>
    <row r="376">
      <c r="A376" s="5" t="n"/>
      <c r="D376" s="10" t="n"/>
      <c r="F376" s="9" t="n"/>
      <c r="H376" s="8" t="n"/>
    </row>
    <row r="377">
      <c r="A377" s="5" t="n"/>
      <c r="D377" s="10" t="n"/>
      <c r="F377" s="9" t="n"/>
      <c r="H377" s="8" t="n"/>
    </row>
    <row r="378">
      <c r="A378" s="5" t="n"/>
      <c r="D378" s="10" t="n"/>
      <c r="F378" s="9" t="n"/>
      <c r="H378" s="8" t="n"/>
    </row>
    <row r="379">
      <c r="A379" s="5" t="n"/>
      <c r="D379" s="10" t="n"/>
      <c r="F379" s="9" t="n"/>
      <c r="H379" s="8" t="n"/>
    </row>
    <row r="380">
      <c r="A380" s="5" t="n"/>
      <c r="D380" s="10" t="n"/>
      <c r="F380" s="9" t="n"/>
      <c r="H380" s="8" t="n"/>
    </row>
    <row r="381">
      <c r="A381" s="5" t="n"/>
      <c r="D381" s="10" t="n"/>
      <c r="F381" s="9" t="n"/>
      <c r="H381" s="8" t="n"/>
    </row>
    <row r="382">
      <c r="A382" s="5" t="n"/>
      <c r="D382" s="10" t="n"/>
      <c r="F382" s="9" t="n"/>
      <c r="H382" s="8" t="n"/>
    </row>
    <row r="383">
      <c r="A383" s="5" t="n"/>
      <c r="D383" s="10" t="n"/>
      <c r="F383" s="9" t="n"/>
      <c r="H383" s="8" t="n"/>
    </row>
    <row r="384">
      <c r="A384" s="5" t="n"/>
      <c r="D384" s="10" t="n"/>
      <c r="F384" s="9" t="n"/>
      <c r="H384" s="8" t="n"/>
    </row>
    <row r="385">
      <c r="A385" s="5" t="n"/>
      <c r="D385" s="10" t="n"/>
      <c r="F385" s="9" t="n"/>
      <c r="H385" s="8" t="n"/>
    </row>
    <row r="386">
      <c r="A386" s="5" t="n"/>
      <c r="D386" s="10" t="n"/>
      <c r="F386" s="9" t="n"/>
      <c r="H386" s="8" t="n"/>
    </row>
    <row r="387">
      <c r="A387" s="5" t="n"/>
      <c r="D387" s="10" t="n"/>
      <c r="F387" s="9" t="n"/>
      <c r="H387" s="8" t="n"/>
    </row>
    <row r="388">
      <c r="A388" s="5" t="n"/>
      <c r="D388" s="10" t="n"/>
      <c r="F388" s="9" t="n"/>
      <c r="H388" s="8" t="n"/>
    </row>
    <row r="389">
      <c r="A389" s="5" t="n"/>
      <c r="D389" s="10" t="n"/>
      <c r="F389" s="9" t="n"/>
      <c r="H389" s="8" t="n"/>
    </row>
    <row r="390">
      <c r="A390" s="5" t="n"/>
      <c r="D390" s="10" t="n"/>
      <c r="F390" s="9" t="n"/>
      <c r="H390" s="8" t="n"/>
    </row>
    <row r="391">
      <c r="A391" s="5" t="n"/>
      <c r="D391" s="10" t="n"/>
      <c r="F391" s="9" t="n"/>
      <c r="H391" s="8" t="n"/>
    </row>
    <row r="392">
      <c r="A392" s="5" t="n"/>
      <c r="D392" s="10" t="n"/>
      <c r="F392" s="9" t="n"/>
      <c r="H392" s="8" t="n"/>
    </row>
    <row r="393">
      <c r="A393" s="5" t="n"/>
      <c r="D393" s="10" t="n"/>
      <c r="F393" s="9" t="n"/>
      <c r="H393" s="8" t="n"/>
    </row>
    <row r="394">
      <c r="A394" s="5" t="n"/>
      <c r="D394" s="10" t="n"/>
      <c r="F394" s="9" t="n"/>
      <c r="H394" s="8" t="n"/>
    </row>
    <row r="395">
      <c r="A395" s="5" t="n"/>
      <c r="D395" s="10" t="n"/>
      <c r="F395" s="9" t="n"/>
      <c r="H395" s="8" t="n"/>
    </row>
    <row r="396">
      <c r="A396" s="5" t="n"/>
      <c r="D396" s="10" t="n"/>
      <c r="F396" s="9" t="n"/>
      <c r="H396" s="8" t="n"/>
    </row>
    <row r="397">
      <c r="A397" s="5" t="n"/>
      <c r="D397" s="10" t="n"/>
      <c r="F397" s="9" t="n"/>
      <c r="H397" s="8" t="n"/>
    </row>
    <row r="398">
      <c r="A398" s="5" t="n"/>
      <c r="D398" s="10" t="n"/>
      <c r="F398" s="9" t="n"/>
      <c r="H398" s="8" t="n"/>
    </row>
    <row r="399">
      <c r="A399" s="5" t="n"/>
      <c r="D399" s="10" t="n"/>
      <c r="F399" s="9" t="n"/>
      <c r="H399" s="8" t="n"/>
    </row>
    <row r="400">
      <c r="A400" s="5" t="n"/>
      <c r="D400" s="10" t="n"/>
      <c r="F400" s="9" t="n"/>
      <c r="H400" s="8" t="n"/>
    </row>
    <row r="401">
      <c r="A401" s="5" t="n"/>
      <c r="D401" s="10" t="n"/>
      <c r="F401" s="9" t="n"/>
      <c r="H401" s="8" t="n"/>
    </row>
    <row r="402">
      <c r="A402" s="5" t="n"/>
      <c r="D402" s="10" t="n"/>
      <c r="F402" s="9" t="n"/>
      <c r="H402" s="8" t="n"/>
    </row>
    <row r="403">
      <c r="A403" s="5" t="n"/>
      <c r="D403" s="10" t="n"/>
      <c r="F403" s="9" t="n"/>
      <c r="H403" s="8" t="n"/>
    </row>
    <row r="404">
      <c r="A404" s="5" t="n"/>
      <c r="D404" s="10" t="n"/>
      <c r="F404" s="9" t="n"/>
      <c r="H404" s="8" t="n"/>
    </row>
    <row r="405">
      <c r="A405" s="5" t="n"/>
      <c r="D405" s="10" t="n"/>
      <c r="F405" s="9" t="n"/>
      <c r="H405" s="8" t="n"/>
    </row>
    <row r="406">
      <c r="A406" s="5" t="n"/>
      <c r="D406" s="10" t="n"/>
      <c r="F406" s="9" t="n"/>
      <c r="H406" s="8" t="n"/>
    </row>
    <row r="407">
      <c r="A407" s="5" t="n"/>
      <c r="D407" s="10" t="n"/>
      <c r="F407" s="9" t="n"/>
      <c r="H407" s="8" t="n"/>
    </row>
    <row r="408">
      <c r="A408" s="5" t="n"/>
      <c r="D408" s="10" t="n"/>
      <c r="F408" s="9" t="n"/>
      <c r="H408" s="8" t="n"/>
    </row>
    <row r="409">
      <c r="A409" s="5" t="n"/>
      <c r="D409" s="10" t="n"/>
      <c r="F409" s="9" t="n"/>
      <c r="H409" s="8" t="n"/>
    </row>
    <row r="410">
      <c r="A410" s="5" t="n"/>
      <c r="D410" s="10" t="n"/>
      <c r="F410" s="9" t="n"/>
      <c r="H410" s="8" t="n"/>
    </row>
    <row r="411">
      <c r="A411" s="5" t="n"/>
      <c r="D411" s="10" t="n"/>
      <c r="F411" s="9" t="n"/>
      <c r="H411" s="8" t="n"/>
    </row>
    <row r="412">
      <c r="A412" s="5" t="n"/>
      <c r="D412" s="10" t="n"/>
      <c r="F412" s="9" t="n"/>
      <c r="H412" s="8" t="n"/>
    </row>
    <row r="413">
      <c r="A413" s="5" t="n"/>
      <c r="D413" s="10" t="n"/>
      <c r="F413" s="9" t="n"/>
      <c r="H413" s="8" t="n"/>
    </row>
    <row r="414">
      <c r="A414" s="5" t="n"/>
      <c r="D414" s="10" t="n"/>
      <c r="F414" s="9" t="n"/>
      <c r="H414" s="8" t="n"/>
    </row>
    <row r="415">
      <c r="A415" s="5" t="n"/>
      <c r="D415" s="10" t="n"/>
      <c r="F415" s="9" t="n"/>
      <c r="H415" s="8" t="n"/>
    </row>
    <row r="416">
      <c r="A416" s="5" t="n"/>
      <c r="D416" s="10" t="n"/>
      <c r="F416" s="9" t="n"/>
      <c r="H416" s="8" t="n"/>
    </row>
    <row r="417">
      <c r="A417" s="5" t="n"/>
      <c r="D417" s="10" t="n"/>
      <c r="F417" s="9" t="n"/>
      <c r="H417" s="8" t="n"/>
    </row>
    <row r="418">
      <c r="A418" s="5" t="n"/>
      <c r="D418" s="10" t="n"/>
      <c r="F418" s="9" t="n"/>
      <c r="H418" s="8" t="n"/>
    </row>
    <row r="419">
      <c r="A419" s="5" t="n"/>
      <c r="D419" s="10" t="n"/>
      <c r="F419" s="9" t="n"/>
      <c r="H419" s="8" t="n"/>
    </row>
    <row r="420">
      <c r="A420" s="5" t="n"/>
      <c r="D420" s="10" t="n"/>
      <c r="F420" s="9" t="n"/>
      <c r="H420" s="8" t="n"/>
    </row>
    <row r="421">
      <c r="A421" s="5" t="n"/>
      <c r="D421" s="10" t="n"/>
      <c r="F421" s="9" t="n"/>
      <c r="H421" s="8" t="n"/>
    </row>
    <row r="422">
      <c r="A422" s="5" t="n"/>
      <c r="D422" s="10" t="n"/>
      <c r="F422" s="9" t="n"/>
      <c r="H422" s="8" t="n"/>
    </row>
    <row r="423">
      <c r="A423" s="5" t="n"/>
      <c r="D423" s="10" t="n"/>
      <c r="F423" s="9" t="n"/>
      <c r="H423" s="8" t="n"/>
    </row>
    <row r="424">
      <c r="A424" s="5" t="n"/>
      <c r="D424" s="10" t="n"/>
      <c r="F424" s="9" t="n"/>
      <c r="H424" s="8" t="n"/>
    </row>
    <row r="425">
      <c r="A425" s="5" t="n"/>
      <c r="D425" s="10" t="n"/>
      <c r="F425" s="9" t="n"/>
      <c r="H425" s="8" t="n"/>
    </row>
    <row r="426">
      <c r="A426" s="5" t="n"/>
      <c r="D426" s="10" t="n"/>
      <c r="F426" s="9" t="n"/>
      <c r="H426" s="8" t="n"/>
    </row>
    <row r="427">
      <c r="A427" s="5" t="n"/>
      <c r="D427" s="10" t="n"/>
      <c r="F427" s="9" t="n"/>
      <c r="H427" s="8" t="n"/>
    </row>
    <row r="428">
      <c r="A428" s="5" t="n"/>
      <c r="D428" s="10" t="n"/>
      <c r="F428" s="9" t="n"/>
      <c r="H428" s="8" t="n"/>
    </row>
    <row r="429">
      <c r="A429" s="5" t="n"/>
      <c r="D429" s="10" t="n"/>
      <c r="F429" s="9" t="n"/>
      <c r="H429" s="8" t="n"/>
    </row>
    <row r="430">
      <c r="A430" s="5" t="n"/>
      <c r="D430" s="10" t="n"/>
      <c r="F430" s="9" t="n"/>
      <c r="H430" s="8" t="n"/>
    </row>
    <row r="431">
      <c r="A431" s="7" t="n"/>
      <c r="D431" s="10" t="n"/>
      <c r="F431" s="9" t="n"/>
      <c r="H431" s="8" t="n"/>
    </row>
    <row r="432">
      <c r="D432" s="10" t="n"/>
      <c r="F432" s="9" t="n"/>
      <c r="H432" s="8" t="n"/>
    </row>
    <row r="433">
      <c r="D433" s="10" t="n"/>
      <c r="F433" s="9" t="n"/>
      <c r="H433" s="8" t="n"/>
    </row>
    <row r="434">
      <c r="D434" s="10" t="n"/>
      <c r="F434" s="9" t="n"/>
      <c r="H434" s="8" t="n"/>
    </row>
    <row r="435">
      <c r="A435" s="3" t="n"/>
      <c r="D435" s="10" t="n"/>
      <c r="F435" s="9" t="n"/>
      <c r="H435" s="8" t="n"/>
    </row>
    <row r="436">
      <c r="A436" s="3" t="n"/>
      <c r="D436" s="10" t="n"/>
      <c r="F436" s="9" t="n"/>
      <c r="H436" s="8" t="n"/>
    </row>
    <row r="437">
      <c r="A437" s="5" t="n"/>
      <c r="D437" s="10" t="n"/>
      <c r="F437" s="9" t="n"/>
      <c r="H437" s="8" t="n"/>
    </row>
    <row r="438">
      <c r="A438" s="5" t="n"/>
      <c r="D438" s="10" t="n"/>
      <c r="F438" s="9" t="n"/>
      <c r="H438" s="8" t="n"/>
    </row>
    <row r="439">
      <c r="A439" s="5" t="n"/>
      <c r="D439" s="10" t="n"/>
      <c r="F439" s="9" t="n"/>
      <c r="H439" s="8" t="n"/>
    </row>
    <row r="440">
      <c r="A440" s="5" t="n"/>
      <c r="D440" s="10" t="n"/>
      <c r="F440" s="9" t="n"/>
      <c r="H440" s="8" t="n"/>
    </row>
    <row r="441">
      <c r="A441" s="5" t="n"/>
      <c r="D441" s="10" t="n"/>
      <c r="F441" s="9" t="n"/>
      <c r="H441" s="8" t="n"/>
    </row>
    <row r="442">
      <c r="A442" s="5" t="n"/>
      <c r="D442" s="10" t="n"/>
      <c r="F442" s="9" t="n"/>
      <c r="H442" s="8" t="n"/>
    </row>
    <row r="443">
      <c r="A443" s="5" t="n"/>
      <c r="D443" s="10" t="n"/>
      <c r="F443" s="9" t="n"/>
      <c r="H443" s="8" t="n"/>
    </row>
    <row r="444">
      <c r="A444" s="5" t="n"/>
      <c r="D444" s="10" t="n"/>
      <c r="F444" s="9" t="n"/>
      <c r="H444" s="8" t="n"/>
    </row>
    <row r="445">
      <c r="A445" s="5" t="n"/>
      <c r="D445" s="10" t="n"/>
      <c r="F445" s="9" t="n"/>
      <c r="H445" s="8" t="n"/>
    </row>
    <row r="446">
      <c r="A446" s="5" t="n"/>
      <c r="D446" s="10" t="n"/>
      <c r="F446" s="9" t="n"/>
      <c r="H446" s="8" t="n"/>
    </row>
    <row r="447">
      <c r="A447" s="5" t="n"/>
      <c r="D447" s="10" t="n"/>
      <c r="F447" s="9" t="n"/>
      <c r="H447" s="8" t="n"/>
    </row>
    <row r="448">
      <c r="A448" s="5" t="n"/>
      <c r="D448" s="10" t="n"/>
      <c r="F448" s="9" t="n"/>
      <c r="H448" s="8" t="n"/>
    </row>
    <row r="449">
      <c r="A449" s="5" t="n"/>
      <c r="D449" s="10" t="n"/>
      <c r="F449" s="9" t="n"/>
      <c r="H449" s="8" t="n"/>
    </row>
    <row r="450">
      <c r="A450" s="5" t="n"/>
      <c r="D450" s="10" t="n"/>
      <c r="F450" s="9" t="n"/>
      <c r="H450" s="8" t="n"/>
    </row>
    <row r="451">
      <c r="A451" s="5" t="n"/>
      <c r="D451" s="10" t="n"/>
      <c r="F451" s="9" t="n"/>
      <c r="H451" s="8" t="n"/>
    </row>
    <row r="452">
      <c r="A452" s="5" t="n"/>
      <c r="D452" s="10" t="n"/>
      <c r="F452" s="9" t="n"/>
      <c r="H452" s="8" t="n"/>
    </row>
    <row r="453">
      <c r="A453" s="5" t="n"/>
      <c r="D453" s="10" t="n"/>
      <c r="F453" s="9" t="n"/>
      <c r="H453" s="8" t="n"/>
    </row>
    <row r="454">
      <c r="A454" s="5" t="n"/>
      <c r="D454" s="10" t="n"/>
      <c r="F454" s="9" t="n"/>
      <c r="H454" s="8" t="n"/>
    </row>
    <row r="455">
      <c r="A455" s="5" t="n"/>
      <c r="D455" s="10" t="n"/>
      <c r="F455" s="9" t="n"/>
      <c r="H455" s="8" t="n"/>
    </row>
    <row r="456">
      <c r="A456" s="5" t="n"/>
      <c r="D456" s="10" t="n"/>
      <c r="F456" s="9" t="n"/>
      <c r="H456" s="8" t="n"/>
    </row>
    <row r="457">
      <c r="A457" s="5" t="n"/>
      <c r="D457" s="10" t="n"/>
      <c r="F457" s="9" t="n"/>
      <c r="H457" s="8" t="n"/>
    </row>
    <row r="458">
      <c r="A458" s="5" t="n"/>
      <c r="D458" s="10" t="n"/>
      <c r="F458" s="9" t="n"/>
      <c r="H458" s="8" t="n"/>
    </row>
    <row r="459">
      <c r="A459" s="5" t="n"/>
      <c r="D459" s="10" t="n"/>
      <c r="F459" s="9" t="n"/>
      <c r="H459" s="8" t="n"/>
    </row>
    <row r="460">
      <c r="A460" s="5" t="n"/>
      <c r="D460" s="10" t="n"/>
      <c r="F460" s="9" t="n"/>
      <c r="H460" s="8" t="n"/>
    </row>
    <row r="461">
      <c r="A461" s="5" t="n"/>
      <c r="D461" s="10" t="n"/>
      <c r="F461" s="9" t="n"/>
      <c r="H461" s="8" t="n"/>
    </row>
    <row r="462">
      <c r="A462" s="5" t="n"/>
      <c r="D462" s="10" t="n"/>
      <c r="F462" s="9" t="n"/>
      <c r="H462" s="8" t="n"/>
    </row>
    <row r="463">
      <c r="A463" s="5" t="n"/>
      <c r="D463" s="10" t="n"/>
      <c r="F463" s="9" t="n"/>
      <c r="H463" s="8" t="n"/>
    </row>
    <row r="464">
      <c r="A464" s="5" t="n"/>
      <c r="D464" s="10" t="n"/>
      <c r="F464" s="9" t="n"/>
      <c r="H464" s="8" t="n"/>
    </row>
    <row r="465">
      <c r="A465" s="5" t="n"/>
      <c r="D465" s="10" t="n"/>
      <c r="F465" s="9" t="n"/>
      <c r="H465" s="8" t="n"/>
    </row>
    <row r="466">
      <c r="A466" s="5" t="n"/>
      <c r="D466" s="10" t="n"/>
      <c r="F466" s="9" t="n"/>
      <c r="H466" s="8" t="n"/>
    </row>
    <row r="467">
      <c r="A467" s="5" t="n"/>
      <c r="D467" s="10" t="n"/>
      <c r="F467" s="9" t="n"/>
      <c r="H467" s="8" t="n"/>
    </row>
    <row r="468">
      <c r="A468" s="5" t="n"/>
      <c r="D468" s="10" t="n"/>
      <c r="F468" s="9" t="n"/>
      <c r="H468" s="8" t="n"/>
    </row>
    <row r="469">
      <c r="A469" s="5" t="n"/>
      <c r="D469" s="10" t="n"/>
      <c r="F469" s="9" t="n"/>
      <c r="H469" s="8" t="n"/>
    </row>
    <row r="470">
      <c r="A470" s="5" t="n"/>
      <c r="D470" s="10" t="n"/>
      <c r="F470" s="9" t="n"/>
      <c r="H470" s="8" t="n"/>
    </row>
    <row r="471">
      <c r="A471" s="5" t="n"/>
      <c r="D471" s="10" t="n"/>
      <c r="F471" s="9" t="n"/>
      <c r="H471" s="8" t="n"/>
    </row>
    <row r="472">
      <c r="A472" s="5" t="n"/>
      <c r="D472" s="10" t="n"/>
      <c r="F472" s="9" t="n"/>
      <c r="H472" s="8" t="n"/>
    </row>
    <row r="473">
      <c r="A473" s="5" t="n"/>
      <c r="D473" s="10" t="n"/>
      <c r="F473" s="9" t="n"/>
      <c r="H473" s="8" t="n"/>
    </row>
    <row r="474">
      <c r="A474" s="5" t="n"/>
      <c r="D474" s="10" t="n"/>
      <c r="F474" s="9" t="n"/>
      <c r="H474" s="8" t="n"/>
    </row>
    <row r="475">
      <c r="A475" s="5" t="n"/>
      <c r="D475" s="10" t="n"/>
      <c r="F475" s="9" t="n"/>
      <c r="H475" s="8" t="n"/>
    </row>
    <row r="476">
      <c r="A476" s="5" t="n"/>
      <c r="D476" s="10" t="n"/>
      <c r="F476" s="9" t="n"/>
      <c r="H476" s="8" t="n"/>
    </row>
    <row r="477">
      <c r="A477" s="5" t="n"/>
      <c r="D477" s="10" t="n"/>
      <c r="F477" s="9" t="n"/>
      <c r="H477" s="8" t="n"/>
    </row>
    <row r="478">
      <c r="A478" s="5" t="n"/>
      <c r="D478" s="10" t="n"/>
      <c r="F478" s="9" t="n"/>
      <c r="H478" s="8" t="n"/>
    </row>
    <row r="479">
      <c r="A479" s="5" t="n"/>
      <c r="D479" s="10" t="n"/>
      <c r="F479" s="9" t="n"/>
      <c r="H479" s="8" t="n"/>
    </row>
    <row r="480">
      <c r="A480" s="5" t="n"/>
      <c r="D480" s="10" t="n"/>
      <c r="F480" s="9" t="n"/>
      <c r="H480" s="8" t="n"/>
    </row>
    <row r="481">
      <c r="A481" s="5" t="n"/>
      <c r="D481" s="10" t="n"/>
      <c r="F481" s="9" t="n"/>
      <c r="H481" s="8" t="n"/>
    </row>
    <row r="482">
      <c r="A482" s="5" t="n"/>
      <c r="D482" s="10" t="n"/>
      <c r="F482" s="9" t="n"/>
      <c r="H482" s="8" t="n"/>
    </row>
    <row r="483">
      <c r="A483" s="5" t="n"/>
      <c r="D483" s="10" t="n"/>
      <c r="F483" s="9" t="n"/>
      <c r="H483" s="8" t="n"/>
    </row>
    <row r="484">
      <c r="A484" s="5" t="n"/>
      <c r="D484" s="10" t="n"/>
      <c r="F484" s="9" t="n"/>
      <c r="H484" s="8" t="n"/>
    </row>
    <row r="485">
      <c r="A485" s="5" t="n"/>
      <c r="D485" s="10" t="n"/>
      <c r="F485" s="9" t="n"/>
      <c r="H485" s="8" t="n"/>
    </row>
    <row r="486">
      <c r="A486" s="5" t="n"/>
      <c r="D486" s="10" t="n"/>
      <c r="F486" s="9" t="n"/>
      <c r="H486" s="8" t="n"/>
    </row>
    <row r="487">
      <c r="A487" s="5" t="n"/>
      <c r="D487" s="10" t="n"/>
      <c r="F487" s="9" t="n"/>
      <c r="H487" s="8" t="n"/>
    </row>
    <row r="488">
      <c r="A488" s="5" t="n"/>
      <c r="D488" s="10" t="n"/>
      <c r="F488" s="9" t="n"/>
      <c r="H488" s="8" t="n"/>
    </row>
    <row r="489">
      <c r="A489" s="5" t="n"/>
      <c r="D489" s="10" t="n"/>
      <c r="F489" s="9" t="n"/>
      <c r="H489" s="8" t="n"/>
    </row>
    <row r="490">
      <c r="A490" s="5" t="n"/>
      <c r="D490" s="10" t="n"/>
      <c r="F490" s="9" t="n"/>
      <c r="H490" s="8" t="n"/>
    </row>
    <row r="491">
      <c r="A491" s="5" t="n"/>
      <c r="D491" s="10" t="n"/>
      <c r="F491" s="9" t="n"/>
      <c r="H491" s="8" t="n"/>
    </row>
    <row r="492">
      <c r="A492" s="5" t="n"/>
      <c r="D492" s="10" t="n"/>
      <c r="F492" s="9" t="n"/>
      <c r="H492" s="8" t="n"/>
    </row>
    <row r="493">
      <c r="A493" s="5" t="n"/>
      <c r="D493" s="10" t="n"/>
      <c r="F493" s="9" t="n"/>
      <c r="H493" s="8" t="n"/>
    </row>
    <row r="494">
      <c r="A494" s="5" t="n"/>
      <c r="D494" s="10" t="n"/>
      <c r="F494" s="9" t="n"/>
      <c r="H494" s="8" t="n"/>
    </row>
    <row r="495">
      <c r="A495" s="5" t="n"/>
      <c r="D495" s="10" t="n"/>
      <c r="F495" s="9" t="n"/>
      <c r="H495" s="8" t="n"/>
    </row>
    <row r="496">
      <c r="A496" s="5" t="n"/>
      <c r="D496" s="10" t="n"/>
      <c r="F496" s="9" t="n"/>
      <c r="H496" s="8" t="n"/>
    </row>
    <row r="497">
      <c r="A497" s="5" t="n"/>
      <c r="D497" s="10" t="n"/>
      <c r="F497" s="9" t="n"/>
      <c r="H497" s="8" t="n"/>
    </row>
    <row r="498">
      <c r="A498" s="5" t="n"/>
      <c r="D498" s="10" t="n"/>
      <c r="F498" s="9" t="n"/>
      <c r="H498" s="8" t="n"/>
    </row>
    <row r="499">
      <c r="A499" s="5" t="n"/>
      <c r="D499" s="10" t="n"/>
      <c r="F499" s="9" t="n"/>
      <c r="H499" s="8" t="n"/>
    </row>
    <row r="500">
      <c r="A500" s="5" t="n"/>
      <c r="D500" s="10" t="n"/>
      <c r="F500" s="9" t="n"/>
      <c r="H500" s="8" t="n"/>
    </row>
    <row r="501">
      <c r="A501" s="5" t="n"/>
      <c r="D501" s="10" t="n"/>
      <c r="F501" s="9" t="n"/>
      <c r="H501" s="8" t="n"/>
    </row>
    <row r="502">
      <c r="A502" s="5" t="n"/>
      <c r="D502" s="10" t="n"/>
      <c r="F502" s="9" t="n"/>
      <c r="H502" s="8" t="n"/>
    </row>
    <row r="503">
      <c r="A503" s="5" t="n"/>
      <c r="D503" s="10" t="n"/>
      <c r="F503" s="9" t="n"/>
      <c r="H503" s="8" t="n"/>
    </row>
    <row r="504">
      <c r="A504" s="7" t="n"/>
      <c r="D504" s="10" t="n"/>
      <c r="F504" s="9" t="n"/>
      <c r="H504" s="8" t="n"/>
    </row>
    <row r="505">
      <c r="D505" s="10" t="n"/>
      <c r="F505" s="9" t="n"/>
      <c r="H505" s="8" t="n"/>
    </row>
    <row r="506">
      <c r="D506" s="10" t="n"/>
      <c r="F506" s="9" t="n"/>
      <c r="H506" s="8" t="n"/>
    </row>
    <row r="507">
      <c r="D507" s="10" t="n"/>
      <c r="F507" s="9" t="n"/>
      <c r="H507" s="8" t="n"/>
    </row>
    <row r="508">
      <c r="A508" s="3" t="n"/>
      <c r="D508" s="10" t="n"/>
      <c r="F508" s="9" t="n"/>
      <c r="H508" s="8" t="n"/>
    </row>
    <row r="509">
      <c r="A509" s="3" t="n"/>
      <c r="D509" s="10" t="n"/>
      <c r="F509" s="9" t="n"/>
      <c r="H509" s="8" t="n"/>
    </row>
    <row r="510">
      <c r="A510" s="5" t="n"/>
      <c r="D510" s="10" t="n"/>
      <c r="F510" s="9" t="n"/>
      <c r="H510" s="8" t="n"/>
    </row>
    <row r="511">
      <c r="A511" s="5" t="n"/>
      <c r="D511" s="10" t="n"/>
      <c r="F511" s="9" t="n"/>
      <c r="H511" s="8" t="n"/>
    </row>
    <row r="512">
      <c r="A512" s="5" t="n"/>
      <c r="D512" s="10" t="n"/>
      <c r="F512" s="9" t="n"/>
      <c r="H512" s="8" t="n"/>
    </row>
    <row r="513">
      <c r="A513" s="5" t="n"/>
      <c r="D513" s="10" t="n"/>
      <c r="F513" s="9" t="n"/>
      <c r="H513" s="8" t="n"/>
    </row>
    <row r="514">
      <c r="A514" s="5" t="n"/>
      <c r="D514" s="10" t="n"/>
      <c r="F514" s="9" t="n"/>
      <c r="H514" s="8" t="n"/>
    </row>
    <row r="515">
      <c r="A515" s="5" t="n"/>
      <c r="D515" s="10" t="n"/>
      <c r="F515" s="9" t="n"/>
      <c r="H515" s="8" t="n"/>
    </row>
    <row r="516">
      <c r="A516" s="5" t="n"/>
      <c r="D516" s="10" t="n"/>
      <c r="F516" s="9" t="n"/>
      <c r="H516" s="8" t="n"/>
    </row>
    <row r="517">
      <c r="A517" s="5" t="n"/>
      <c r="D517" s="10" t="n"/>
      <c r="F517" s="9" t="n"/>
      <c r="H517" s="8" t="n"/>
    </row>
    <row r="518">
      <c r="A518" s="5" t="n"/>
      <c r="D518" s="10" t="n"/>
      <c r="F518" s="9" t="n"/>
      <c r="H518" s="8" t="n"/>
    </row>
    <row r="519">
      <c r="A519" s="5" t="n"/>
      <c r="D519" s="10" t="n"/>
      <c r="F519" s="9" t="n"/>
      <c r="H519" s="8" t="n"/>
    </row>
    <row r="520">
      <c r="A520" s="5" t="n"/>
      <c r="D520" s="10" t="n"/>
      <c r="F520" s="9" t="n"/>
      <c r="H520" s="8" t="n"/>
    </row>
    <row r="521">
      <c r="A521" s="5" t="n"/>
      <c r="D521" s="10" t="n"/>
      <c r="F521" s="9" t="n"/>
      <c r="H521" s="8" t="n"/>
    </row>
    <row r="522">
      <c r="A522" s="5" t="n"/>
      <c r="D522" s="10" t="n"/>
      <c r="F522" s="9" t="n"/>
      <c r="H522" s="8" t="n"/>
    </row>
    <row r="523">
      <c r="A523" s="5" t="n"/>
      <c r="D523" s="10" t="n"/>
      <c r="F523" s="9" t="n"/>
      <c r="H523" s="8" t="n"/>
    </row>
    <row r="524">
      <c r="A524" s="5" t="n"/>
      <c r="D524" s="10" t="n"/>
      <c r="F524" s="9" t="n"/>
      <c r="H524" s="8" t="n"/>
    </row>
    <row r="525">
      <c r="A525" s="5" t="n"/>
      <c r="D525" s="10" t="n"/>
      <c r="F525" s="9" t="n"/>
      <c r="H525" s="8" t="n"/>
    </row>
    <row r="526">
      <c r="A526" s="5" t="n"/>
      <c r="D526" s="10" t="n"/>
      <c r="F526" s="9" t="n"/>
      <c r="H526" s="8" t="n"/>
    </row>
    <row r="527">
      <c r="A527" s="5" t="n"/>
      <c r="D527" s="10" t="n"/>
      <c r="F527" s="9" t="n"/>
      <c r="H527" s="8" t="n"/>
    </row>
    <row r="528">
      <c r="A528" s="5" t="n"/>
      <c r="D528" s="10" t="n"/>
      <c r="F528" s="9" t="n"/>
      <c r="H528" s="8" t="n"/>
    </row>
    <row r="529">
      <c r="A529" s="5" t="n"/>
      <c r="D529" s="10" t="n"/>
      <c r="F529" s="9" t="n"/>
      <c r="H529" s="8" t="n"/>
    </row>
    <row r="530">
      <c r="A530" s="5" t="n"/>
      <c r="D530" s="10" t="n"/>
      <c r="F530" s="9" t="n"/>
      <c r="H530" s="8" t="n"/>
    </row>
    <row r="531">
      <c r="A531" s="5" t="n"/>
      <c r="D531" s="10" t="n"/>
      <c r="F531" s="9" t="n"/>
      <c r="H531" s="8" t="n"/>
    </row>
    <row r="532">
      <c r="A532" s="5" t="n"/>
      <c r="D532" s="10" t="n"/>
      <c r="F532" s="9" t="n"/>
      <c r="H532" s="8" t="n"/>
    </row>
    <row r="533">
      <c r="A533" s="5" t="n"/>
      <c r="D533" s="10" t="n"/>
      <c r="F533" s="9" t="n"/>
      <c r="H533" s="8" t="n"/>
    </row>
    <row r="534">
      <c r="A534" s="5" t="n"/>
      <c r="D534" s="10" t="n"/>
      <c r="F534" s="9" t="n"/>
      <c r="H534" s="8" t="n"/>
    </row>
    <row r="535">
      <c r="A535" s="5" t="n"/>
      <c r="D535" s="10" t="n"/>
      <c r="F535" s="9" t="n"/>
      <c r="H535" s="8" t="n"/>
    </row>
    <row r="536">
      <c r="A536" s="5" t="n"/>
      <c r="D536" s="10" t="n"/>
      <c r="F536" s="9" t="n"/>
      <c r="H536" s="8" t="n"/>
    </row>
    <row r="537">
      <c r="A537" s="5" t="n"/>
      <c r="D537" s="10" t="n"/>
      <c r="F537" s="9" t="n"/>
      <c r="H537" s="8" t="n"/>
    </row>
    <row r="538">
      <c r="A538" s="5" t="n"/>
      <c r="D538" s="10" t="n"/>
      <c r="F538" s="9" t="n"/>
      <c r="H538" s="8" t="n"/>
    </row>
    <row r="539">
      <c r="A539" s="5" t="n"/>
      <c r="D539" s="10" t="n"/>
      <c r="F539" s="9" t="n"/>
      <c r="H539" s="8" t="n"/>
    </row>
    <row r="540">
      <c r="A540" s="5" t="n"/>
      <c r="D540" s="10" t="n"/>
      <c r="F540" s="9" t="n"/>
      <c r="H540" s="8" t="n"/>
    </row>
    <row r="541">
      <c r="A541" s="5" t="n"/>
      <c r="D541" s="10" t="n"/>
      <c r="F541" s="9" t="n"/>
      <c r="H541" s="8" t="n"/>
    </row>
    <row r="542">
      <c r="A542" s="5" t="n"/>
      <c r="D542" s="10" t="n"/>
      <c r="F542" s="9" t="n"/>
      <c r="H542" s="8" t="n"/>
    </row>
    <row r="543">
      <c r="A543" s="5" t="n"/>
      <c r="D543" s="10" t="n"/>
      <c r="F543" s="9" t="n"/>
      <c r="H543" s="8" t="n"/>
    </row>
    <row r="544">
      <c r="A544" s="5" t="n"/>
      <c r="D544" s="10" t="n"/>
      <c r="F544" s="9" t="n"/>
      <c r="H544" s="8" t="n"/>
    </row>
    <row r="545">
      <c r="A545" s="5" t="n"/>
      <c r="D545" s="10" t="n"/>
      <c r="F545" s="9" t="n"/>
      <c r="H545" s="8" t="n"/>
    </row>
    <row r="546">
      <c r="A546" s="5" t="n"/>
      <c r="D546" s="10" t="n"/>
      <c r="F546" s="9" t="n"/>
      <c r="H546" s="8" t="n"/>
    </row>
    <row r="547">
      <c r="A547" s="5" t="n"/>
      <c r="D547" s="10" t="n"/>
      <c r="F547" s="9" t="n"/>
      <c r="H547" s="8" t="n"/>
    </row>
    <row r="548">
      <c r="A548" s="5" t="n"/>
      <c r="D548" s="10" t="n"/>
      <c r="F548" s="9" t="n"/>
      <c r="H548" s="8" t="n"/>
    </row>
    <row r="549">
      <c r="A549" s="5" t="n"/>
      <c r="D549" s="10" t="n"/>
      <c r="F549" s="9" t="n"/>
      <c r="H549" s="8" t="n"/>
    </row>
    <row r="550">
      <c r="A550" s="5" t="n"/>
      <c r="D550" s="10" t="n"/>
      <c r="F550" s="9" t="n"/>
      <c r="H550" s="8" t="n"/>
    </row>
    <row r="551">
      <c r="A551" s="5" t="n"/>
      <c r="D551" s="10" t="n"/>
      <c r="F551" s="9" t="n"/>
      <c r="H551" s="8" t="n"/>
    </row>
    <row r="552">
      <c r="A552" s="5" t="n"/>
      <c r="D552" s="10" t="n"/>
      <c r="F552" s="9" t="n"/>
      <c r="H552" s="8" t="n"/>
    </row>
    <row r="553">
      <c r="A553" s="5" t="n"/>
      <c r="D553" s="10" t="n"/>
      <c r="F553" s="9" t="n"/>
      <c r="H553" s="8" t="n"/>
    </row>
    <row r="554">
      <c r="A554" s="5" t="n"/>
      <c r="D554" s="10" t="n"/>
      <c r="F554" s="9" t="n"/>
      <c r="H554" s="8" t="n"/>
    </row>
    <row r="555">
      <c r="A555" s="5" t="n"/>
      <c r="D555" s="10" t="n"/>
      <c r="F555" s="9" t="n"/>
      <c r="H555" s="8" t="n"/>
    </row>
    <row r="556">
      <c r="A556" s="5" t="n"/>
      <c r="D556" s="10" t="n"/>
      <c r="F556" s="9" t="n"/>
      <c r="H556" s="8" t="n"/>
    </row>
    <row r="557">
      <c r="A557" s="5" t="n"/>
      <c r="D557" s="10" t="n"/>
      <c r="F557" s="9" t="n"/>
      <c r="H557" s="8" t="n"/>
    </row>
    <row r="558">
      <c r="A558" s="5" t="n"/>
      <c r="D558" s="10" t="n"/>
      <c r="F558" s="9" t="n"/>
      <c r="H558" s="8" t="n"/>
    </row>
    <row r="559">
      <c r="A559" s="5" t="n"/>
      <c r="D559" s="10" t="n"/>
      <c r="F559" s="9" t="n"/>
      <c r="H559" s="8" t="n"/>
    </row>
    <row r="560">
      <c r="A560" s="5" t="n"/>
      <c r="D560" s="10" t="n"/>
      <c r="F560" s="9" t="n"/>
      <c r="H560" s="8" t="n"/>
    </row>
    <row r="561">
      <c r="A561" s="5" t="n"/>
      <c r="D561" s="10" t="n"/>
      <c r="F561" s="9" t="n"/>
      <c r="H561" s="8" t="n"/>
    </row>
    <row r="562">
      <c r="A562" s="5" t="n"/>
      <c r="D562" s="10" t="n"/>
      <c r="F562" s="9" t="n"/>
      <c r="H562" s="8" t="n"/>
    </row>
    <row r="563">
      <c r="A563" s="5" t="n"/>
      <c r="D563" s="10" t="n"/>
      <c r="F563" s="9" t="n"/>
      <c r="H563" s="8" t="n"/>
    </row>
    <row r="564">
      <c r="A564" s="5" t="n"/>
      <c r="D564" s="10" t="n"/>
      <c r="F564" s="9" t="n"/>
      <c r="H564" s="8" t="n"/>
    </row>
    <row r="565">
      <c r="A565" s="5" t="n"/>
      <c r="D565" s="10" t="n"/>
      <c r="F565" s="9" t="n"/>
      <c r="H565" s="8" t="n"/>
    </row>
    <row r="566">
      <c r="A566" s="5" t="n"/>
      <c r="D566" s="10" t="n"/>
      <c r="F566" s="9" t="n"/>
      <c r="H566" s="8" t="n"/>
    </row>
    <row r="567">
      <c r="A567" s="5" t="n"/>
      <c r="D567" s="10" t="n"/>
      <c r="F567" s="9" t="n"/>
      <c r="H567" s="8" t="n"/>
    </row>
    <row r="568">
      <c r="A568" s="5" t="n"/>
      <c r="D568" s="10" t="n"/>
      <c r="F568" s="9" t="n"/>
      <c r="H568" s="8" t="n"/>
    </row>
    <row r="569">
      <c r="A569" s="5" t="n"/>
      <c r="D569" s="10" t="n"/>
      <c r="F569" s="9" t="n"/>
      <c r="H569" s="8" t="n"/>
    </row>
    <row r="570">
      <c r="A570" s="5" t="n"/>
      <c r="D570" s="10" t="n"/>
      <c r="F570" s="9" t="n"/>
      <c r="H570" s="8" t="n"/>
    </row>
    <row r="571">
      <c r="A571" s="5" t="n"/>
      <c r="D571" s="10" t="n"/>
      <c r="F571" s="9" t="n"/>
      <c r="H571" s="8" t="n"/>
    </row>
    <row r="572">
      <c r="A572" s="5" t="n"/>
      <c r="D572" s="10" t="n"/>
      <c r="F572" s="9" t="n"/>
      <c r="H572" s="8" t="n"/>
    </row>
    <row r="573">
      <c r="A573" s="5" t="n"/>
      <c r="D573" s="10" t="n"/>
      <c r="F573" s="9" t="n"/>
      <c r="H573" s="8" t="n"/>
    </row>
    <row r="574">
      <c r="A574" s="5" t="n"/>
      <c r="D574" s="10" t="n"/>
      <c r="F574" s="9" t="n"/>
      <c r="H574" s="8" t="n"/>
    </row>
    <row r="575">
      <c r="A575" s="5" t="n"/>
      <c r="D575" s="10" t="n"/>
      <c r="F575" s="9" t="n"/>
      <c r="H575" s="8" t="n"/>
    </row>
    <row r="576">
      <c r="A576" s="5" t="n"/>
      <c r="D576" s="10" t="n"/>
      <c r="F576" s="9" t="n"/>
      <c r="H576" s="8" t="n"/>
    </row>
    <row r="577">
      <c r="A577" s="7" t="n"/>
      <c r="D577" s="10" t="n"/>
      <c r="F577" s="9" t="n"/>
      <c r="H577" s="8" t="n"/>
    </row>
    <row r="578">
      <c r="D578" s="10" t="n"/>
      <c r="F578" s="9" t="n"/>
      <c r="H578" s="8" t="n"/>
    </row>
    <row r="579">
      <c r="D579" s="10" t="n"/>
      <c r="F579" s="9" t="n"/>
      <c r="H579" s="8" t="n"/>
    </row>
    <row r="580">
      <c r="D580" s="10" t="n"/>
      <c r="F580" s="9" t="n"/>
      <c r="H580" s="8" t="n"/>
    </row>
    <row r="581">
      <c r="A581" s="3" t="n"/>
      <c r="D581" s="10" t="n"/>
      <c r="F581" s="9" t="n"/>
      <c r="H581" s="8" t="n"/>
    </row>
    <row r="582">
      <c r="A582" s="3" t="n"/>
      <c r="D582" s="10" t="n"/>
      <c r="F582" s="9" t="n"/>
      <c r="H582" s="8" t="n"/>
    </row>
    <row r="583">
      <c r="A583" s="5" t="n"/>
      <c r="D583" s="10" t="n"/>
      <c r="F583" s="9" t="n"/>
      <c r="H583" s="8" t="n"/>
    </row>
    <row r="584">
      <c r="A584" s="5" t="n"/>
      <c r="D584" s="10" t="n"/>
      <c r="F584" s="9" t="n"/>
      <c r="H584" s="8" t="n"/>
    </row>
    <row r="585">
      <c r="A585" s="5" t="n"/>
      <c r="D585" s="10" t="n"/>
      <c r="F585" s="9" t="n"/>
      <c r="H585" s="8" t="n"/>
    </row>
    <row r="586">
      <c r="A586" s="5" t="n"/>
      <c r="D586" s="10" t="n"/>
      <c r="F586" s="9" t="n"/>
      <c r="H586" s="8" t="n"/>
    </row>
    <row r="587">
      <c r="A587" s="5" t="n"/>
      <c r="D587" s="10" t="n"/>
      <c r="F587" s="9" t="n"/>
      <c r="H587" s="8" t="n"/>
    </row>
    <row r="588">
      <c r="A588" s="5" t="n"/>
      <c r="D588" s="10" t="n"/>
      <c r="F588" s="9" t="n"/>
      <c r="H588" s="8" t="n"/>
    </row>
    <row r="589">
      <c r="A589" s="5" t="n"/>
      <c r="D589" s="10" t="n"/>
      <c r="F589" s="9" t="n"/>
      <c r="H589" s="8" t="n"/>
    </row>
    <row r="590">
      <c r="A590" s="5" t="n"/>
      <c r="D590" s="10" t="n"/>
      <c r="F590" s="9" t="n"/>
      <c r="H590" s="8" t="n"/>
    </row>
    <row r="591">
      <c r="A591" s="5" t="n"/>
      <c r="D591" s="10" t="n"/>
      <c r="F591" s="9" t="n"/>
      <c r="H591" s="8" t="n"/>
    </row>
    <row r="592">
      <c r="A592" s="5" t="n"/>
      <c r="D592" s="10" t="n"/>
      <c r="F592" s="9" t="n"/>
      <c r="H592" s="8" t="n"/>
    </row>
    <row r="593">
      <c r="A593" s="5" t="n"/>
      <c r="D593" s="10" t="n"/>
      <c r="F593" s="9" t="n"/>
      <c r="H593" s="8" t="n"/>
    </row>
    <row r="594">
      <c r="A594" s="5" t="n"/>
      <c r="D594" s="10" t="n"/>
      <c r="F594" s="9" t="n"/>
      <c r="H594" s="8" t="n"/>
    </row>
    <row r="595">
      <c r="A595" s="5" t="n"/>
      <c r="D595" s="10" t="n"/>
      <c r="F595" s="9" t="n"/>
      <c r="H595" s="8" t="n"/>
    </row>
    <row r="596">
      <c r="A596" s="5" t="n"/>
      <c r="D596" s="10" t="n"/>
      <c r="F596" s="9" t="n"/>
      <c r="H596" s="8" t="n"/>
    </row>
    <row r="597">
      <c r="A597" s="5" t="n"/>
      <c r="D597" s="10" t="n"/>
      <c r="F597" s="9" t="n"/>
      <c r="H597" s="8" t="n"/>
    </row>
    <row r="598">
      <c r="A598" s="5" t="n"/>
      <c r="D598" s="10" t="n"/>
      <c r="F598" s="9" t="n"/>
      <c r="H598" s="8" t="n"/>
    </row>
    <row r="599">
      <c r="A599" s="5" t="n"/>
      <c r="D599" s="10" t="n"/>
      <c r="F599" s="9" t="n"/>
      <c r="H599" s="8" t="n"/>
    </row>
    <row r="600">
      <c r="A600" s="5" t="n"/>
      <c r="D600" s="10" t="n"/>
      <c r="F600" s="9" t="n"/>
      <c r="H600" s="8" t="n"/>
    </row>
    <row r="601">
      <c r="A601" s="5" t="n"/>
      <c r="D601" s="10" t="n"/>
      <c r="F601" s="9" t="n"/>
      <c r="H601" s="8" t="n"/>
    </row>
    <row r="602">
      <c r="A602" s="5" t="n"/>
      <c r="D602" s="10" t="n"/>
      <c r="F602" s="9" t="n"/>
      <c r="H602" s="8" t="n"/>
    </row>
    <row r="603">
      <c r="A603" s="5" t="n"/>
      <c r="D603" s="10" t="n"/>
      <c r="F603" s="9" t="n"/>
      <c r="H603" s="8" t="n"/>
    </row>
    <row r="604">
      <c r="A604" s="5" t="n"/>
      <c r="D604" s="10" t="n"/>
      <c r="F604" s="9" t="n"/>
      <c r="H604" s="8" t="n"/>
    </row>
    <row r="605">
      <c r="A605" s="5" t="n"/>
      <c r="D605" s="10" t="n"/>
      <c r="F605" s="9" t="n"/>
      <c r="H605" s="8" t="n"/>
    </row>
    <row r="606">
      <c r="A606" s="5" t="n"/>
      <c r="D606" s="10" t="n"/>
      <c r="F606" s="9" t="n"/>
      <c r="H606" s="8" t="n"/>
    </row>
    <row r="607">
      <c r="A607" s="5" t="n"/>
      <c r="D607" s="10" t="n"/>
      <c r="F607" s="9" t="n"/>
      <c r="H607" s="8" t="n"/>
    </row>
    <row r="608">
      <c r="A608" s="5" t="n"/>
      <c r="D608" s="10" t="n"/>
      <c r="F608" s="9" t="n"/>
      <c r="H608" s="8" t="n"/>
    </row>
    <row r="609">
      <c r="A609" s="5" t="n"/>
      <c r="D609" s="10" t="n"/>
      <c r="F609" s="9" t="n"/>
      <c r="H609" s="8" t="n"/>
    </row>
    <row r="610">
      <c r="A610" s="5" t="n"/>
      <c r="D610" s="10" t="n"/>
      <c r="F610" s="9" t="n"/>
      <c r="H610" s="8" t="n"/>
    </row>
    <row r="611">
      <c r="A611" s="5" t="n"/>
      <c r="D611" s="10" t="n"/>
      <c r="F611" s="9" t="n"/>
      <c r="H611" s="8" t="n"/>
    </row>
    <row r="612">
      <c r="A612" s="5" t="n"/>
      <c r="D612" s="10" t="n"/>
      <c r="F612" s="9" t="n"/>
      <c r="H612" s="8" t="n"/>
    </row>
    <row r="613">
      <c r="A613" s="5" t="n"/>
      <c r="D613" s="10" t="n"/>
      <c r="F613" s="9" t="n"/>
      <c r="H613" s="8" t="n"/>
    </row>
    <row r="614">
      <c r="A614" s="5" t="n"/>
      <c r="D614" s="10" t="n"/>
      <c r="F614" s="9" t="n"/>
      <c r="H614" s="8" t="n"/>
    </row>
    <row r="615">
      <c r="A615" s="5" t="n"/>
      <c r="D615" s="10" t="n"/>
      <c r="F615" s="9" t="n"/>
      <c r="H615" s="8" t="n"/>
    </row>
    <row r="616">
      <c r="A616" s="5" t="n"/>
      <c r="D616" s="10" t="n"/>
      <c r="F616" s="9" t="n"/>
      <c r="H616" s="8" t="n"/>
    </row>
    <row r="617">
      <c r="A617" s="5" t="n"/>
      <c r="D617" s="10" t="n"/>
      <c r="F617" s="9" t="n"/>
      <c r="H617" s="8" t="n"/>
    </row>
    <row r="618">
      <c r="A618" s="5" t="n"/>
      <c r="D618" s="10" t="n"/>
      <c r="F618" s="9" t="n"/>
      <c r="H618" s="8" t="n"/>
    </row>
    <row r="619">
      <c r="A619" s="5" t="n"/>
      <c r="D619" s="10" t="n"/>
      <c r="F619" s="9" t="n"/>
      <c r="H619" s="8" t="n"/>
    </row>
    <row r="620">
      <c r="A620" s="5" t="n"/>
      <c r="D620" s="10" t="n"/>
      <c r="F620" s="9" t="n"/>
      <c r="H620" s="8" t="n"/>
    </row>
    <row r="621">
      <c r="A621" s="5" t="n"/>
      <c r="D621" s="10" t="n"/>
      <c r="F621" s="9" t="n"/>
      <c r="H621" s="8" t="n"/>
    </row>
    <row r="622">
      <c r="A622" s="5" t="n"/>
      <c r="D622" s="10" t="n"/>
      <c r="F622" s="9" t="n"/>
      <c r="H622" s="8" t="n"/>
    </row>
    <row r="623">
      <c r="A623" s="5" t="n"/>
      <c r="D623" s="10" t="n"/>
      <c r="F623" s="9" t="n"/>
      <c r="H623" s="8" t="n"/>
    </row>
    <row r="624">
      <c r="A624" s="5" t="n"/>
      <c r="D624" s="10" t="n"/>
      <c r="F624" s="9" t="n"/>
      <c r="H624" s="8" t="n"/>
    </row>
    <row r="625">
      <c r="A625" s="5" t="n"/>
      <c r="D625" s="10" t="n"/>
      <c r="F625" s="9" t="n"/>
      <c r="H625" s="8" t="n"/>
    </row>
    <row r="626">
      <c r="A626" s="5" t="n"/>
      <c r="D626" s="10" t="n"/>
      <c r="F626" s="9" t="n"/>
      <c r="H626" s="8" t="n"/>
    </row>
    <row r="627">
      <c r="A627" s="5" t="n"/>
      <c r="D627" s="10" t="n"/>
      <c r="F627" s="9" t="n"/>
      <c r="H627" s="8" t="n"/>
    </row>
    <row r="628">
      <c r="A628" s="5" t="n"/>
      <c r="D628" s="10" t="n"/>
      <c r="F628" s="9" t="n"/>
      <c r="H628" s="8" t="n"/>
    </row>
    <row r="629">
      <c r="A629" s="5" t="n"/>
      <c r="D629" s="10" t="n"/>
      <c r="F629" s="9" t="n"/>
      <c r="H629" s="8" t="n"/>
    </row>
    <row r="630">
      <c r="A630" s="5" t="n"/>
      <c r="D630" s="10" t="n"/>
      <c r="F630" s="9" t="n"/>
      <c r="H630" s="8" t="n"/>
    </row>
    <row r="631">
      <c r="A631" s="5" t="n"/>
      <c r="D631" s="10" t="n"/>
      <c r="F631" s="9" t="n"/>
      <c r="H631" s="8" t="n"/>
    </row>
    <row r="632">
      <c r="A632" s="5" t="n"/>
      <c r="D632" s="10" t="n"/>
      <c r="F632" s="9" t="n"/>
      <c r="H632" s="8" t="n"/>
    </row>
    <row r="633">
      <c r="A633" s="5" t="n"/>
      <c r="D633" s="10" t="n"/>
      <c r="F633" s="9" t="n"/>
      <c r="H633" s="8" t="n"/>
    </row>
    <row r="634">
      <c r="A634" s="5" t="n"/>
      <c r="D634" s="10" t="n"/>
      <c r="F634" s="9" t="n"/>
      <c r="H634" s="8" t="n"/>
    </row>
    <row r="635">
      <c r="A635" s="5" t="n"/>
      <c r="D635" s="10" t="n"/>
      <c r="F635" s="9" t="n"/>
      <c r="H635" s="8" t="n"/>
    </row>
    <row r="636">
      <c r="A636" s="5" t="n"/>
      <c r="D636" s="10" t="n"/>
      <c r="F636" s="9" t="n"/>
      <c r="H636" s="8" t="n"/>
    </row>
    <row r="637">
      <c r="A637" s="5" t="n"/>
      <c r="D637" s="10" t="n"/>
      <c r="F637" s="9" t="n"/>
      <c r="H637" s="8" t="n"/>
    </row>
    <row r="638">
      <c r="A638" s="5" t="n"/>
      <c r="D638" s="10" t="n"/>
      <c r="F638" s="9" t="n"/>
      <c r="H638" s="8" t="n"/>
    </row>
    <row r="639">
      <c r="A639" s="5" t="n"/>
      <c r="D639" s="10" t="n"/>
      <c r="F639" s="9" t="n"/>
      <c r="H639" s="8" t="n"/>
    </row>
    <row r="640">
      <c r="A640" s="5" t="n"/>
      <c r="D640" s="10" t="n"/>
      <c r="F640" s="9" t="n"/>
      <c r="H640" s="8" t="n"/>
    </row>
    <row r="641">
      <c r="A641" s="5" t="n"/>
      <c r="D641" s="10" t="n"/>
      <c r="F641" s="9" t="n"/>
      <c r="H641" s="8" t="n"/>
    </row>
    <row r="642">
      <c r="A642" s="5" t="n"/>
      <c r="D642" s="10" t="n"/>
      <c r="F642" s="9" t="n"/>
      <c r="H642" s="8" t="n"/>
    </row>
    <row r="643">
      <c r="A643" s="5" t="n"/>
      <c r="D643" s="10" t="n"/>
      <c r="F643" s="9" t="n"/>
      <c r="H643" s="8" t="n"/>
    </row>
    <row r="644">
      <c r="A644" s="5" t="n"/>
      <c r="D644" s="10" t="n"/>
      <c r="F644" s="9" t="n"/>
      <c r="H644" s="8" t="n"/>
    </row>
    <row r="645">
      <c r="A645" s="5" t="n"/>
      <c r="D645" s="10" t="n"/>
      <c r="F645" s="9" t="n"/>
      <c r="H645" s="8" t="n"/>
    </row>
    <row r="646">
      <c r="A646" s="5" t="n"/>
      <c r="D646" s="10" t="n"/>
      <c r="F646" s="9" t="n"/>
      <c r="H646" s="8" t="n"/>
    </row>
    <row r="647">
      <c r="A647" s="5" t="n"/>
      <c r="D647" s="10" t="n"/>
      <c r="F647" s="9" t="n"/>
      <c r="H647" s="8" t="n"/>
    </row>
    <row r="648">
      <c r="A648" s="5" t="n"/>
      <c r="D648" s="10" t="n"/>
      <c r="F648" s="9" t="n"/>
      <c r="H648" s="8" t="n"/>
    </row>
    <row r="649">
      <c r="A649" s="5" t="n"/>
      <c r="D649" s="10" t="n"/>
      <c r="F649" s="9" t="n"/>
      <c r="H649" s="8" t="n"/>
    </row>
    <row r="650">
      <c r="A650" s="7" t="n"/>
      <c r="D650" s="10" t="n"/>
      <c r="F650" s="9" t="n"/>
      <c r="H650" s="8" t="n"/>
    </row>
    <row r="651">
      <c r="D651" s="10" t="n"/>
      <c r="F651" s="9" t="n"/>
      <c r="H651" s="8" t="n"/>
    </row>
    <row r="652">
      <c r="D652" s="10" t="n"/>
      <c r="F652" s="9" t="n"/>
      <c r="H652" s="8" t="n"/>
    </row>
    <row r="653">
      <c r="D653" s="10" t="n"/>
      <c r="F653" s="9" t="n"/>
      <c r="H653" s="8" t="n"/>
    </row>
    <row r="654">
      <c r="A654" s="3" t="n"/>
      <c r="D654" s="10" t="n"/>
      <c r="F654" s="9" t="n"/>
      <c r="H654" s="8" t="n"/>
    </row>
    <row r="655">
      <c r="A655" s="3" t="n"/>
      <c r="D655" s="10" t="n"/>
      <c r="F655" s="9" t="n"/>
      <c r="H655" s="8" t="n"/>
    </row>
    <row r="656">
      <c r="A656" s="5" t="n"/>
      <c r="D656" s="10" t="n"/>
      <c r="F656" s="9" t="n"/>
      <c r="H656" s="8" t="n"/>
    </row>
    <row r="657">
      <c r="A657" s="5" t="n"/>
      <c r="D657" s="10" t="n"/>
      <c r="F657" s="9" t="n"/>
      <c r="H657" s="8" t="n"/>
    </row>
    <row r="658">
      <c r="A658" s="5" t="n"/>
      <c r="D658" s="10" t="n"/>
      <c r="F658" s="9" t="n"/>
      <c r="H658" s="8" t="n"/>
    </row>
    <row r="659">
      <c r="A659" s="5" t="n"/>
      <c r="D659" s="10" t="n"/>
      <c r="F659" s="9" t="n"/>
      <c r="H659" s="8" t="n"/>
    </row>
    <row r="660">
      <c r="A660" s="5" t="n"/>
      <c r="D660" s="10" t="n"/>
      <c r="F660" s="9" t="n"/>
      <c r="H660" s="8" t="n"/>
    </row>
    <row r="661">
      <c r="A661" s="5" t="n"/>
      <c r="D661" s="10" t="n"/>
      <c r="F661" s="9" t="n"/>
      <c r="H661" s="8" t="n"/>
    </row>
    <row r="662">
      <c r="A662" s="5" t="n"/>
      <c r="D662" s="10" t="n"/>
      <c r="F662" s="9" t="n"/>
      <c r="H662" s="8" t="n"/>
    </row>
    <row r="663">
      <c r="A663" s="5" t="n"/>
      <c r="D663" s="10" t="n"/>
      <c r="F663" s="9" t="n"/>
      <c r="H663" s="8" t="n"/>
    </row>
    <row r="664">
      <c r="A664" s="5" t="n"/>
      <c r="D664" s="10" t="n"/>
      <c r="F664" s="9" t="n"/>
      <c r="H664" s="8" t="n"/>
    </row>
    <row r="665">
      <c r="A665" s="5" t="n"/>
      <c r="D665" s="10" t="n"/>
      <c r="F665" s="9" t="n"/>
      <c r="H665" s="8" t="n"/>
    </row>
    <row r="666">
      <c r="A666" s="5" t="n"/>
      <c r="D666" s="10" t="n"/>
      <c r="F666" s="9" t="n"/>
      <c r="H666" s="8" t="n"/>
    </row>
    <row r="667">
      <c r="A667" s="5" t="n"/>
      <c r="D667" s="10" t="n"/>
      <c r="F667" s="9" t="n"/>
      <c r="H667" s="8" t="n"/>
    </row>
    <row r="668">
      <c r="A668" s="5" t="n"/>
      <c r="D668" s="10" t="n"/>
      <c r="F668" s="9" t="n"/>
      <c r="H668" s="8" t="n"/>
    </row>
    <row r="669">
      <c r="A669" s="5" t="n"/>
      <c r="D669" s="10" t="n"/>
      <c r="F669" s="9" t="n"/>
      <c r="H669" s="8" t="n"/>
    </row>
    <row r="670">
      <c r="A670" s="5" t="n"/>
      <c r="D670" s="10" t="n"/>
      <c r="F670" s="9" t="n"/>
      <c r="H670" s="8" t="n"/>
    </row>
    <row r="671">
      <c r="A671" s="5" t="n"/>
      <c r="D671" s="10" t="n"/>
      <c r="F671" s="9" t="n"/>
      <c r="H671" s="8" t="n"/>
    </row>
    <row r="672">
      <c r="A672" s="5" t="n"/>
      <c r="D672" s="10" t="n"/>
      <c r="F672" s="9" t="n"/>
      <c r="H672" s="8" t="n"/>
    </row>
    <row r="673">
      <c r="A673" s="5" t="n"/>
      <c r="D673" s="10" t="n"/>
      <c r="F673" s="9" t="n"/>
      <c r="H673" s="8" t="n"/>
    </row>
    <row r="674">
      <c r="A674" s="5" t="n"/>
      <c r="D674" s="10" t="n"/>
      <c r="F674" s="9" t="n"/>
      <c r="H674" s="8" t="n"/>
    </row>
    <row r="675">
      <c r="A675" s="5" t="n"/>
      <c r="D675" s="10" t="n"/>
      <c r="F675" s="9" t="n"/>
      <c r="H675" s="8" t="n"/>
    </row>
    <row r="676">
      <c r="A676" s="5" t="n"/>
      <c r="D676" s="10" t="n"/>
      <c r="F676" s="9" t="n"/>
      <c r="H676" s="8" t="n"/>
    </row>
    <row r="677">
      <c r="A677" s="5" t="n"/>
      <c r="D677" s="10" t="n"/>
      <c r="F677" s="9" t="n"/>
      <c r="H677" s="8" t="n"/>
    </row>
    <row r="678">
      <c r="A678" s="5" t="n"/>
      <c r="D678" s="10" t="n"/>
      <c r="F678" s="9" t="n"/>
      <c r="H678" s="8" t="n"/>
    </row>
    <row r="679">
      <c r="A679" s="5" t="n"/>
      <c r="D679" s="10" t="n"/>
      <c r="F679" s="9" t="n"/>
      <c r="H679" s="8" t="n"/>
    </row>
    <row r="680">
      <c r="A680" s="5" t="n"/>
      <c r="D680" s="10" t="n"/>
      <c r="F680" s="9" t="n"/>
      <c r="H680" s="8" t="n"/>
    </row>
    <row r="681">
      <c r="A681" s="5" t="n"/>
      <c r="D681" s="10" t="n"/>
      <c r="F681" s="9" t="n"/>
      <c r="H681" s="8" t="n"/>
    </row>
    <row r="682">
      <c r="A682" s="5" t="n"/>
      <c r="D682" s="10" t="n"/>
      <c r="F682" s="9" t="n"/>
      <c r="H682" s="8" t="n"/>
    </row>
    <row r="683">
      <c r="A683" s="5" t="n"/>
      <c r="D683" s="10" t="n"/>
      <c r="F683" s="9" t="n"/>
      <c r="H683" s="8" t="n"/>
    </row>
    <row r="684">
      <c r="A684" s="5" t="n"/>
      <c r="D684" s="10" t="n"/>
      <c r="F684" s="9" t="n"/>
      <c r="H684" s="8" t="n"/>
    </row>
    <row r="685">
      <c r="A685" s="5" t="n"/>
      <c r="D685" s="10" t="n"/>
      <c r="F685" s="9" t="n"/>
      <c r="H685" s="8" t="n"/>
    </row>
    <row r="686">
      <c r="A686" s="5" t="n"/>
      <c r="D686" s="10" t="n"/>
      <c r="F686" s="9" t="n"/>
      <c r="H686" s="8" t="n"/>
    </row>
    <row r="687">
      <c r="A687" s="5" t="n"/>
      <c r="D687" s="10" t="n"/>
      <c r="F687" s="9" t="n"/>
      <c r="H687" s="8" t="n"/>
    </row>
    <row r="688">
      <c r="A688" s="5" t="n"/>
      <c r="D688" s="10" t="n"/>
      <c r="F688" s="9" t="n"/>
      <c r="H688" s="8" t="n"/>
    </row>
    <row r="689">
      <c r="A689" s="5" t="n"/>
      <c r="D689" s="10" t="n"/>
      <c r="F689" s="9" t="n"/>
      <c r="H689" s="8" t="n"/>
    </row>
    <row r="690">
      <c r="A690" s="5" t="n"/>
      <c r="D690" s="10" t="n"/>
      <c r="F690" s="9" t="n"/>
      <c r="H690" s="8" t="n"/>
    </row>
    <row r="691">
      <c r="A691" s="5" t="n"/>
      <c r="D691" s="10" t="n"/>
      <c r="F691" s="9" t="n"/>
      <c r="H691" s="8" t="n"/>
    </row>
    <row r="692">
      <c r="A692" s="5" t="n"/>
      <c r="D692" s="10" t="n"/>
      <c r="F692" s="9" t="n"/>
      <c r="H692" s="8" t="n"/>
    </row>
    <row r="693">
      <c r="A693" s="5" t="n"/>
      <c r="D693" s="10" t="n"/>
      <c r="F693" s="9" t="n"/>
      <c r="H693" s="8" t="n"/>
    </row>
    <row r="694">
      <c r="A694" s="5" t="n"/>
      <c r="D694" s="10" t="n"/>
      <c r="F694" s="9" t="n"/>
      <c r="H694" s="8" t="n"/>
    </row>
    <row r="695">
      <c r="A695" s="5" t="n"/>
      <c r="D695" s="10" t="n"/>
      <c r="F695" s="9" t="n"/>
      <c r="H695" s="8" t="n"/>
    </row>
    <row r="696">
      <c r="A696" s="5" t="n"/>
      <c r="D696" s="10" t="n"/>
      <c r="F696" s="9" t="n"/>
      <c r="H696" s="8" t="n"/>
    </row>
    <row r="697">
      <c r="A697" s="5" t="n"/>
      <c r="D697" s="10" t="n"/>
      <c r="F697" s="9" t="n"/>
      <c r="H697" s="8" t="n"/>
    </row>
    <row r="698">
      <c r="A698" s="5" t="n"/>
      <c r="D698" s="10" t="n"/>
      <c r="F698" s="9" t="n"/>
      <c r="H698" s="8" t="n"/>
    </row>
    <row r="699">
      <c r="A699" s="5" t="n"/>
      <c r="D699" s="10" t="n"/>
      <c r="F699" s="9" t="n"/>
      <c r="H699" s="8" t="n"/>
    </row>
    <row r="700">
      <c r="A700" s="5" t="n"/>
      <c r="D700" s="10" t="n"/>
      <c r="F700" s="9" t="n"/>
      <c r="H700" s="8" t="n"/>
    </row>
    <row r="701">
      <c r="A701" s="5" t="n"/>
      <c r="D701" s="10" t="n"/>
      <c r="F701" s="9" t="n"/>
      <c r="H701" s="8" t="n"/>
    </row>
    <row r="702">
      <c r="A702" s="5" t="n"/>
      <c r="D702" s="10" t="n"/>
      <c r="F702" s="9" t="n"/>
      <c r="H702" s="8" t="n"/>
    </row>
    <row r="703">
      <c r="A703" s="5" t="n"/>
      <c r="D703" s="10" t="n"/>
      <c r="F703" s="9" t="n"/>
      <c r="H703" s="8" t="n"/>
    </row>
    <row r="704">
      <c r="A704" s="5" t="n"/>
      <c r="D704" s="10" t="n"/>
      <c r="F704" s="9" t="n"/>
      <c r="H704" s="8" t="n"/>
    </row>
    <row r="705">
      <c r="A705" s="5" t="n"/>
      <c r="D705" s="10" t="n"/>
      <c r="F705" s="9" t="n"/>
      <c r="H705" s="8" t="n"/>
    </row>
    <row r="706">
      <c r="A706" s="5" t="n"/>
      <c r="D706" s="10" t="n"/>
      <c r="F706" s="9" t="n"/>
      <c r="H706" s="8" t="n"/>
    </row>
    <row r="707">
      <c r="A707" s="5" t="n"/>
      <c r="D707" s="10" t="n"/>
      <c r="F707" s="9" t="n"/>
      <c r="H707" s="8" t="n"/>
    </row>
    <row r="708">
      <c r="A708" s="5" t="n"/>
      <c r="D708" s="10" t="n"/>
      <c r="F708" s="9" t="n"/>
      <c r="H708" s="8" t="n"/>
    </row>
    <row r="709">
      <c r="A709" s="5" t="n"/>
      <c r="D709" s="10" t="n"/>
      <c r="F709" s="9" t="n"/>
      <c r="H709" s="8" t="n"/>
    </row>
    <row r="710">
      <c r="A710" s="5" t="n"/>
      <c r="D710" s="10" t="n"/>
      <c r="F710" s="9" t="n"/>
      <c r="H710" s="8" t="n"/>
    </row>
    <row r="711">
      <c r="A711" s="5" t="n"/>
      <c r="D711" s="10" t="n"/>
      <c r="F711" s="9" t="n"/>
      <c r="H711" s="8" t="n"/>
    </row>
    <row r="712">
      <c r="A712" s="5" t="n"/>
      <c r="D712" s="10" t="n"/>
      <c r="F712" s="9" t="n"/>
      <c r="H712" s="8" t="n"/>
    </row>
    <row r="713">
      <c r="A713" s="5" t="n"/>
      <c r="D713" s="10" t="n"/>
      <c r="F713" s="9" t="n"/>
      <c r="H713" s="8" t="n"/>
    </row>
    <row r="714">
      <c r="A714" s="5" t="n"/>
      <c r="D714" s="10" t="n"/>
      <c r="F714" s="9" t="n"/>
      <c r="H714" s="8" t="n"/>
    </row>
    <row r="715">
      <c r="A715" s="5" t="n"/>
      <c r="D715" s="10" t="n"/>
      <c r="F715" s="9" t="n"/>
      <c r="H715" s="8" t="n"/>
    </row>
    <row r="716">
      <c r="A716" s="5" t="n"/>
      <c r="D716" s="10" t="n"/>
      <c r="F716" s="9" t="n"/>
      <c r="H716" s="8" t="n"/>
    </row>
    <row r="717">
      <c r="A717" s="5" t="n"/>
      <c r="D717" s="10" t="n"/>
      <c r="F717" s="9" t="n"/>
      <c r="H717" s="8" t="n"/>
    </row>
    <row r="718">
      <c r="A718" s="5" t="n"/>
      <c r="D718" s="10" t="n"/>
      <c r="F718" s="9" t="n"/>
      <c r="H718" s="8" t="n"/>
    </row>
    <row r="719">
      <c r="A719" s="5" t="n"/>
      <c r="D719" s="10" t="n"/>
      <c r="F719" s="9" t="n"/>
      <c r="H719" s="8" t="n"/>
    </row>
    <row r="720">
      <c r="A720" s="5" t="n"/>
      <c r="D720" s="10" t="n"/>
      <c r="F720" s="9" t="n"/>
      <c r="H720" s="8" t="n"/>
    </row>
    <row r="721">
      <c r="A721" s="5" t="n"/>
      <c r="D721" s="10" t="n"/>
      <c r="F721" s="9" t="n"/>
      <c r="H721" s="8" t="n"/>
    </row>
    <row r="722">
      <c r="A722" s="5" t="n"/>
      <c r="D722" s="10" t="n"/>
      <c r="F722" s="9" t="n"/>
      <c r="H722" s="8" t="n"/>
    </row>
    <row r="723">
      <c r="A723" s="7" t="n"/>
      <c r="D723" s="10" t="n"/>
      <c r="F723" s="9" t="n"/>
      <c r="H723" s="8" t="n"/>
    </row>
    <row r="724">
      <c r="D724" s="10" t="n"/>
      <c r="F724" s="9" t="n"/>
      <c r="H724" s="8" t="n"/>
    </row>
    <row r="725">
      <c r="D725" s="10" t="n"/>
      <c r="F725" s="9" t="n"/>
      <c r="H725" s="8" t="n"/>
    </row>
    <row r="726">
      <c r="D726" s="10" t="n"/>
      <c r="F726" s="9" t="n"/>
      <c r="H726" s="8" t="n"/>
    </row>
    <row r="727">
      <c r="A727" s="3" t="n"/>
      <c r="D727" s="10" t="n"/>
      <c r="F727" s="9" t="n"/>
      <c r="H727" s="8" t="n"/>
    </row>
    <row r="728">
      <c r="A728" s="3" t="n"/>
      <c r="D728" s="10" t="n"/>
      <c r="F728" s="9" t="n"/>
      <c r="H728" s="8" t="n"/>
    </row>
    <row r="729">
      <c r="A729" s="5" t="n"/>
      <c r="D729" s="10" t="n"/>
      <c r="F729" s="9" t="n"/>
      <c r="H729" s="8" t="n"/>
    </row>
    <row r="730">
      <c r="A730" s="5" t="n"/>
      <c r="D730" s="10" t="n"/>
      <c r="F730" s="9" t="n"/>
      <c r="H730" s="8" t="n"/>
    </row>
    <row r="731">
      <c r="A731" s="5" t="n"/>
      <c r="D731" s="10" t="n"/>
      <c r="F731" s="9" t="n"/>
      <c r="H731" s="8" t="n"/>
    </row>
    <row r="732">
      <c r="A732" s="5" t="n"/>
      <c r="D732" s="10" t="n"/>
      <c r="F732" s="9" t="n"/>
      <c r="H732" s="8" t="n"/>
    </row>
    <row r="733">
      <c r="A733" s="5" t="n"/>
      <c r="D733" s="10" t="n"/>
      <c r="F733" s="9" t="n"/>
      <c r="H733" s="8" t="n"/>
    </row>
    <row r="734">
      <c r="A734" s="5" t="n"/>
      <c r="D734" s="10" t="n"/>
      <c r="F734" s="9" t="n"/>
      <c r="H734" s="8" t="n"/>
    </row>
    <row r="735">
      <c r="A735" s="5" t="n"/>
      <c r="D735" s="10" t="n"/>
      <c r="F735" s="9" t="n"/>
      <c r="H735" s="8" t="n"/>
    </row>
    <row r="736">
      <c r="A736" s="5" t="n"/>
      <c r="D736" s="10" t="n"/>
      <c r="F736" s="9" t="n"/>
      <c r="H736" s="8" t="n"/>
    </row>
    <row r="737">
      <c r="A737" s="5" t="n"/>
      <c r="D737" s="10" t="n"/>
      <c r="F737" s="9" t="n"/>
      <c r="H737" s="8" t="n"/>
    </row>
    <row r="738">
      <c r="A738" s="5" t="n"/>
      <c r="D738" s="10" t="n"/>
      <c r="F738" s="9" t="n"/>
      <c r="H738" s="8" t="n"/>
    </row>
    <row r="739">
      <c r="A739" s="5" t="n"/>
      <c r="D739" s="10" t="n"/>
      <c r="F739" s="9" t="n"/>
      <c r="H739" s="8" t="n"/>
    </row>
    <row r="740">
      <c r="A740" s="5" t="n"/>
      <c r="D740" s="10" t="n"/>
      <c r="F740" s="9" t="n"/>
      <c r="H740" s="8" t="n"/>
    </row>
    <row r="741">
      <c r="A741" s="5" t="n"/>
      <c r="D741" s="10" t="n"/>
      <c r="F741" s="9" t="n"/>
      <c r="H741" s="8" t="n"/>
    </row>
    <row r="742">
      <c r="A742" s="5" t="n"/>
      <c r="D742" s="10" t="n"/>
      <c r="F742" s="9" t="n"/>
      <c r="H742" s="8" t="n"/>
    </row>
    <row r="743">
      <c r="A743" s="5" t="n"/>
      <c r="D743" s="10" t="n"/>
      <c r="F743" s="9" t="n"/>
      <c r="H743" s="8" t="n"/>
    </row>
    <row r="744">
      <c r="A744" s="5" t="n"/>
      <c r="D744" s="10" t="n"/>
      <c r="F744" s="9" t="n"/>
      <c r="H744" s="8" t="n"/>
    </row>
    <row r="745">
      <c r="A745" s="5" t="n"/>
      <c r="D745" s="10" t="n"/>
      <c r="F745" s="9" t="n"/>
      <c r="H745" s="8" t="n"/>
    </row>
    <row r="746">
      <c r="A746" s="5" t="n"/>
      <c r="D746" s="10" t="n"/>
      <c r="F746" s="9" t="n"/>
      <c r="H746" s="8" t="n"/>
    </row>
    <row r="747">
      <c r="A747" s="5" t="n"/>
      <c r="D747" s="10" t="n"/>
      <c r="F747" s="9" t="n"/>
      <c r="H747" s="8" t="n"/>
    </row>
    <row r="748">
      <c r="A748" s="5" t="n"/>
      <c r="D748" s="10" t="n"/>
      <c r="F748" s="9" t="n"/>
      <c r="H748" s="8" t="n"/>
    </row>
    <row r="749">
      <c r="A749" s="5" t="n"/>
      <c r="D749" s="10" t="n"/>
      <c r="F749" s="9" t="n"/>
      <c r="H749" s="8" t="n"/>
    </row>
    <row r="750">
      <c r="A750" s="5" t="n"/>
      <c r="D750" s="10" t="n"/>
      <c r="F750" s="9" t="n"/>
      <c r="H750" s="8" t="n"/>
    </row>
    <row r="751">
      <c r="A751" s="5" t="n"/>
      <c r="D751" s="10" t="n"/>
      <c r="F751" s="9" t="n"/>
      <c r="H751" s="8" t="n"/>
    </row>
    <row r="752">
      <c r="A752" s="5" t="n"/>
      <c r="D752" s="10" t="n"/>
      <c r="F752" s="9" t="n"/>
      <c r="H752" s="8" t="n"/>
    </row>
    <row r="753">
      <c r="A753" s="5" t="n"/>
      <c r="D753" s="10" t="n"/>
      <c r="F753" s="9" t="n"/>
      <c r="H753" s="8" t="n"/>
    </row>
    <row r="754">
      <c r="A754" s="5" t="n"/>
      <c r="D754" s="10" t="n"/>
      <c r="F754" s="9" t="n"/>
      <c r="H754" s="8" t="n"/>
    </row>
    <row r="755">
      <c r="A755" s="5" t="n"/>
      <c r="D755" s="10" t="n"/>
      <c r="F755" s="9" t="n"/>
      <c r="H755" s="8" t="n"/>
    </row>
    <row r="756">
      <c r="A756" s="5" t="n"/>
      <c r="D756" s="10" t="n"/>
      <c r="F756" s="9" t="n"/>
      <c r="H756" s="8" t="n"/>
    </row>
    <row r="757">
      <c r="A757" s="5" t="n"/>
      <c r="D757" s="10" t="n"/>
      <c r="F757" s="9" t="n"/>
      <c r="H757" s="8" t="n"/>
    </row>
    <row r="758">
      <c r="A758" s="5" t="n"/>
      <c r="D758" s="10" t="n"/>
      <c r="F758" s="9" t="n"/>
      <c r="H758" s="8" t="n"/>
    </row>
    <row r="759">
      <c r="A759" s="5" t="n"/>
      <c r="D759" s="10" t="n"/>
      <c r="F759" s="9" t="n"/>
      <c r="H759" s="8" t="n"/>
    </row>
    <row r="760">
      <c r="A760" s="5" t="n"/>
      <c r="D760" s="10" t="n"/>
      <c r="F760" s="9" t="n"/>
      <c r="H760" s="8" t="n"/>
    </row>
    <row r="761">
      <c r="A761" s="5" t="n"/>
      <c r="D761" s="10" t="n"/>
      <c r="F761" s="9" t="n"/>
      <c r="H761" s="8" t="n"/>
    </row>
    <row r="762">
      <c r="A762" s="5" t="n"/>
      <c r="D762" s="10" t="n"/>
      <c r="F762" s="9" t="n"/>
      <c r="H762" s="8" t="n"/>
    </row>
    <row r="763">
      <c r="A763" s="5" t="n"/>
      <c r="D763" s="10" t="n"/>
      <c r="F763" s="9" t="n"/>
      <c r="H763" s="8" t="n"/>
    </row>
    <row r="764">
      <c r="A764" s="5" t="n"/>
      <c r="D764" s="10" t="n"/>
      <c r="F764" s="9" t="n"/>
      <c r="H764" s="8" t="n"/>
    </row>
    <row r="765">
      <c r="A765" s="5" t="n"/>
      <c r="D765" s="10" t="n"/>
      <c r="F765" s="9" t="n"/>
      <c r="H765" s="8" t="n"/>
    </row>
    <row r="766">
      <c r="A766" s="5" t="n"/>
      <c r="D766" s="10" t="n"/>
      <c r="F766" s="9" t="n"/>
      <c r="H766" s="8" t="n"/>
    </row>
    <row r="767">
      <c r="A767" s="5" t="n"/>
      <c r="D767" s="10" t="n"/>
      <c r="F767" s="9" t="n"/>
      <c r="H767" s="8" t="n"/>
    </row>
    <row r="768">
      <c r="A768" s="5" t="n"/>
      <c r="D768" s="10" t="n"/>
      <c r="F768" s="9" t="n"/>
      <c r="H768" s="8" t="n"/>
    </row>
    <row r="769">
      <c r="A769" s="5" t="n"/>
      <c r="D769" s="10" t="n"/>
      <c r="F769" s="9" t="n"/>
      <c r="H769" s="8" t="n"/>
    </row>
    <row r="770">
      <c r="A770" s="5" t="n"/>
      <c r="D770" s="10" t="n"/>
      <c r="F770" s="9" t="n"/>
      <c r="H770" s="8" t="n"/>
    </row>
    <row r="771">
      <c r="A771" s="5" t="n"/>
      <c r="D771" s="10" t="n"/>
      <c r="F771" s="9" t="n"/>
      <c r="H771" s="8" t="n"/>
    </row>
    <row r="772">
      <c r="A772" s="5" t="n"/>
      <c r="D772" s="10" t="n"/>
      <c r="F772" s="9" t="n"/>
      <c r="H772" s="8" t="n"/>
    </row>
    <row r="773">
      <c r="A773" s="5" t="n"/>
      <c r="D773" s="10" t="n"/>
      <c r="F773" s="9" t="n"/>
      <c r="H773" s="8" t="n"/>
    </row>
    <row r="774">
      <c r="A774" s="5" t="n"/>
      <c r="D774" s="10" t="n"/>
      <c r="F774" s="9" t="n"/>
      <c r="H774" s="8" t="n"/>
    </row>
    <row r="775">
      <c r="A775" s="5" t="n"/>
      <c r="D775" s="10" t="n"/>
      <c r="F775" s="9" t="n"/>
      <c r="H775" s="8" t="n"/>
    </row>
    <row r="776">
      <c r="A776" s="5" t="n"/>
      <c r="D776" s="10" t="n"/>
      <c r="F776" s="9" t="n"/>
      <c r="H776" s="8" t="n"/>
    </row>
    <row r="777">
      <c r="A777" s="5" t="n"/>
      <c r="D777" s="10" t="n"/>
      <c r="F777" s="9" t="n"/>
      <c r="H777" s="8" t="n"/>
    </row>
    <row r="778">
      <c r="A778" s="5" t="n"/>
      <c r="D778" s="10" t="n"/>
      <c r="F778" s="9" t="n"/>
      <c r="H778" s="8" t="n"/>
    </row>
    <row r="779">
      <c r="A779" s="5" t="n"/>
      <c r="D779" s="10" t="n"/>
      <c r="F779" s="9" t="n"/>
      <c r="H779" s="8" t="n"/>
    </row>
    <row r="780">
      <c r="A780" s="5" t="n"/>
      <c r="D780" s="10" t="n"/>
      <c r="F780" s="9" t="n"/>
      <c r="H780" s="8" t="n"/>
    </row>
    <row r="781">
      <c r="A781" s="5" t="n"/>
      <c r="D781" s="10" t="n"/>
      <c r="F781" s="9" t="n"/>
      <c r="H781" s="8" t="n"/>
    </row>
    <row r="782">
      <c r="A782" s="5" t="n"/>
      <c r="D782" s="10" t="n"/>
      <c r="F782" s="9" t="n"/>
      <c r="H782" s="8" t="n"/>
    </row>
    <row r="783">
      <c r="A783" s="5" t="n"/>
      <c r="D783" s="10" t="n"/>
      <c r="F783" s="9" t="n"/>
      <c r="H783" s="8" t="n"/>
    </row>
    <row r="784">
      <c r="A784" s="5" t="n"/>
      <c r="D784" s="10" t="n"/>
      <c r="F784" s="9" t="n"/>
      <c r="H784" s="8" t="n"/>
    </row>
    <row r="785">
      <c r="A785" s="5" t="n"/>
      <c r="D785" s="10" t="n"/>
      <c r="F785" s="9" t="n"/>
      <c r="H785" s="8" t="n"/>
    </row>
    <row r="786">
      <c r="A786" s="5" t="n"/>
      <c r="D786" s="10" t="n"/>
      <c r="F786" s="9" t="n"/>
      <c r="H786" s="8" t="n"/>
    </row>
    <row r="787">
      <c r="A787" s="5" t="n"/>
      <c r="D787" s="10" t="n"/>
      <c r="F787" s="9" t="n"/>
      <c r="H787" s="8" t="n"/>
    </row>
    <row r="788">
      <c r="A788" s="5" t="n"/>
      <c r="D788" s="10" t="n"/>
      <c r="F788" s="9" t="n"/>
      <c r="H788" s="8" t="n"/>
    </row>
    <row r="789">
      <c r="A789" s="5" t="n"/>
      <c r="D789" s="10" t="n"/>
      <c r="F789" s="9" t="n"/>
      <c r="H789" s="8" t="n"/>
    </row>
    <row r="790">
      <c r="A790" s="5" t="n"/>
      <c r="D790" s="10" t="n"/>
      <c r="F790" s="9" t="n"/>
      <c r="H790" s="8" t="n"/>
    </row>
    <row r="791">
      <c r="A791" s="5" t="n"/>
      <c r="D791" s="10" t="n"/>
      <c r="F791" s="9" t="n"/>
      <c r="H791" s="8" t="n"/>
    </row>
    <row r="792">
      <c r="A792" s="5" t="n"/>
      <c r="D792" s="10" t="n"/>
      <c r="F792" s="9" t="n"/>
      <c r="H792" s="8" t="n"/>
    </row>
    <row r="793">
      <c r="A793" s="5" t="n"/>
      <c r="D793" s="10" t="n"/>
      <c r="F793" s="9" t="n"/>
      <c r="H793" s="8" t="n"/>
    </row>
    <row r="794">
      <c r="A794" s="5" t="n"/>
      <c r="D794" s="10" t="n"/>
      <c r="F794" s="9" t="n"/>
      <c r="H794" s="8" t="n"/>
    </row>
    <row r="795">
      <c r="A795" s="5" t="n"/>
      <c r="D795" s="10" t="n"/>
      <c r="F795" s="9" t="n"/>
      <c r="H795" s="8" t="n"/>
    </row>
    <row r="796">
      <c r="A796" s="7" t="n"/>
      <c r="D796" s="10" t="n"/>
      <c r="F796" s="9" t="n"/>
      <c r="H796" s="8" t="n"/>
    </row>
    <row r="797">
      <c r="D797" s="10" t="n"/>
      <c r="F797" s="9" t="n"/>
      <c r="H797" s="8" t="n"/>
    </row>
    <row r="798">
      <c r="D798" s="10" t="n"/>
      <c r="F798" s="9" t="n"/>
      <c r="H798" s="8" t="n"/>
    </row>
    <row r="799">
      <c r="D799" s="10" t="n"/>
      <c r="F799" s="9" t="n"/>
      <c r="H799" s="8" t="n"/>
    </row>
    <row r="800">
      <c r="A800" s="3" t="n"/>
      <c r="D800" s="10" t="n"/>
      <c r="F800" s="9" t="n"/>
      <c r="H800" s="8" t="n"/>
    </row>
    <row r="801">
      <c r="A801" s="3" t="n"/>
      <c r="D801" s="10" t="n"/>
      <c r="F801" s="9" t="n"/>
      <c r="H801" s="8" t="n"/>
    </row>
    <row r="802">
      <c r="A802" s="5" t="n"/>
      <c r="D802" s="10" t="n"/>
      <c r="F802" s="9" t="n"/>
      <c r="H802" s="8" t="n"/>
    </row>
    <row r="803">
      <c r="A803" s="5" t="n"/>
      <c r="D803" s="10" t="n"/>
      <c r="F803" s="9" t="n"/>
      <c r="H803" s="8" t="n"/>
    </row>
    <row r="804">
      <c r="A804" s="5" t="n"/>
      <c r="D804" s="10" t="n"/>
      <c r="F804" s="9" t="n"/>
      <c r="H804" s="8" t="n"/>
    </row>
    <row r="805">
      <c r="A805" s="5" t="n"/>
      <c r="D805" s="10" t="n"/>
      <c r="F805" s="9" t="n"/>
      <c r="H805" s="8" t="n"/>
    </row>
    <row r="806">
      <c r="A806" s="5" t="n"/>
      <c r="D806" s="10" t="n"/>
      <c r="F806" s="9" t="n"/>
      <c r="H806" s="8" t="n"/>
    </row>
    <row r="807">
      <c r="A807" s="5" t="n"/>
      <c r="D807" s="10" t="n"/>
      <c r="F807" s="9" t="n"/>
      <c r="H807" s="8" t="n"/>
    </row>
    <row r="808">
      <c r="A808" s="5" t="n"/>
      <c r="D808" s="10" t="n"/>
      <c r="F808" s="9" t="n"/>
      <c r="H808" s="8" t="n"/>
    </row>
    <row r="809">
      <c r="A809" s="5" t="n"/>
      <c r="D809" s="10" t="n"/>
      <c r="F809" s="9" t="n"/>
      <c r="H809" s="8" t="n"/>
    </row>
    <row r="810">
      <c r="A810" s="5" t="n"/>
      <c r="D810" s="10" t="n"/>
      <c r="F810" s="9" t="n"/>
      <c r="H810" s="8" t="n"/>
    </row>
    <row r="811">
      <c r="A811" s="5" t="n"/>
      <c r="D811" s="10" t="n"/>
      <c r="F811" s="9" t="n"/>
      <c r="H811" s="8" t="n"/>
    </row>
    <row r="812">
      <c r="A812" s="5" t="n"/>
      <c r="D812" s="10" t="n"/>
      <c r="F812" s="9" t="n"/>
      <c r="H812" s="8" t="n"/>
    </row>
    <row r="813">
      <c r="A813" s="5" t="n"/>
      <c r="D813" s="10" t="n"/>
      <c r="F813" s="9" t="n"/>
      <c r="H813" s="8" t="n"/>
    </row>
    <row r="814">
      <c r="A814" s="5" t="n"/>
      <c r="D814" s="10" t="n"/>
      <c r="F814" s="9" t="n"/>
      <c r="H814" s="8" t="n"/>
    </row>
    <row r="815">
      <c r="A815" s="5" t="n"/>
      <c r="D815" s="10" t="n"/>
      <c r="F815" s="9" t="n"/>
      <c r="H815" s="8" t="n"/>
    </row>
    <row r="816">
      <c r="A816" s="5" t="n"/>
      <c r="D816" s="10" t="n"/>
      <c r="F816" s="9" t="n"/>
      <c r="H816" s="8" t="n"/>
    </row>
    <row r="817">
      <c r="A817" s="5" t="n"/>
      <c r="D817" s="10" t="n"/>
      <c r="F817" s="9" t="n"/>
      <c r="H817" s="8" t="n"/>
    </row>
    <row r="818">
      <c r="A818" s="5" t="n"/>
      <c r="D818" s="10" t="n"/>
      <c r="F818" s="9" t="n"/>
      <c r="H818" s="8" t="n"/>
    </row>
    <row r="819">
      <c r="A819" s="5" t="n"/>
      <c r="D819" s="10" t="n"/>
      <c r="F819" s="9" t="n"/>
      <c r="H819" s="8" t="n"/>
    </row>
    <row r="820">
      <c r="A820" s="5" t="n"/>
      <c r="D820" s="10" t="n"/>
      <c r="F820" s="9" t="n"/>
      <c r="H820" s="8" t="n"/>
    </row>
    <row r="821">
      <c r="A821" s="5" t="n"/>
      <c r="D821" s="10" t="n"/>
      <c r="F821" s="9" t="n"/>
      <c r="H821" s="8" t="n"/>
    </row>
    <row r="822">
      <c r="A822" s="5" t="n"/>
      <c r="D822" s="10" t="n"/>
      <c r="F822" s="9" t="n"/>
      <c r="H822" s="8" t="n"/>
    </row>
    <row r="823">
      <c r="A823" s="5" t="n"/>
      <c r="D823" s="10" t="n"/>
      <c r="F823" s="9" t="n"/>
      <c r="H823" s="8" t="n"/>
    </row>
    <row r="824">
      <c r="A824" s="5" t="n"/>
      <c r="D824" s="10" t="n"/>
      <c r="F824" s="9" t="n"/>
      <c r="H824" s="8" t="n"/>
    </row>
    <row r="825">
      <c r="A825" s="5" t="n"/>
      <c r="D825" s="10" t="n"/>
      <c r="F825" s="9" t="n"/>
      <c r="H825" s="8" t="n"/>
    </row>
    <row r="826">
      <c r="A826" s="5" t="n"/>
      <c r="D826" s="10" t="n"/>
      <c r="F826" s="9" t="n"/>
      <c r="H826" s="8" t="n"/>
    </row>
    <row r="827">
      <c r="A827" s="5" t="n"/>
      <c r="D827" s="10" t="n"/>
      <c r="F827" s="9" t="n"/>
      <c r="H827" s="8" t="n"/>
    </row>
    <row r="828">
      <c r="A828" s="5" t="n"/>
      <c r="D828" s="10" t="n"/>
      <c r="F828" s="9" t="n"/>
      <c r="H828" s="8" t="n"/>
    </row>
    <row r="829">
      <c r="A829" s="5" t="n"/>
      <c r="D829" s="10" t="n"/>
      <c r="F829" s="9" t="n"/>
      <c r="H829" s="8" t="n"/>
    </row>
    <row r="830">
      <c r="A830" s="5" t="n"/>
      <c r="D830" s="10" t="n"/>
      <c r="F830" s="9" t="n"/>
      <c r="H830" s="8" t="n"/>
    </row>
    <row r="831">
      <c r="A831" s="5" t="n"/>
      <c r="D831" s="10" t="n"/>
      <c r="F831" s="9" t="n"/>
      <c r="H831" s="8" t="n"/>
    </row>
    <row r="832">
      <c r="A832" s="5" t="n"/>
      <c r="D832" s="10" t="n"/>
      <c r="F832" s="9" t="n"/>
      <c r="H832" s="8" t="n"/>
    </row>
    <row r="833">
      <c r="A833" s="5" t="n"/>
      <c r="D833" s="10" t="n"/>
      <c r="F833" s="9" t="n"/>
      <c r="H833" s="8" t="n"/>
    </row>
    <row r="834">
      <c r="A834" s="5" t="n"/>
      <c r="D834" s="10" t="n"/>
      <c r="F834" s="9" t="n"/>
      <c r="H834" s="8" t="n"/>
    </row>
    <row r="835">
      <c r="A835" s="5" t="n"/>
      <c r="D835" s="10" t="n"/>
      <c r="F835" s="9" t="n"/>
      <c r="H835" s="8" t="n"/>
    </row>
    <row r="836">
      <c r="A836" s="5" t="n"/>
      <c r="D836" s="10" t="n"/>
      <c r="F836" s="9" t="n"/>
      <c r="H836" s="8" t="n"/>
    </row>
    <row r="837">
      <c r="A837" s="5" t="n"/>
      <c r="D837" s="10" t="n"/>
      <c r="F837" s="9" t="n"/>
      <c r="H837" s="8" t="n"/>
    </row>
    <row r="838">
      <c r="A838" s="5" t="n"/>
      <c r="D838" s="10" t="n"/>
      <c r="F838" s="9" t="n"/>
      <c r="H838" s="8" t="n"/>
    </row>
    <row r="839">
      <c r="A839" s="5" t="n"/>
      <c r="D839" s="10" t="n"/>
      <c r="F839" s="9" t="n"/>
      <c r="H839" s="8" t="n"/>
    </row>
    <row r="840">
      <c r="A840" s="5" t="n"/>
      <c r="D840" s="10" t="n"/>
      <c r="F840" s="9" t="n"/>
      <c r="H840" s="8" t="n"/>
    </row>
    <row r="841">
      <c r="A841" s="5" t="n"/>
      <c r="D841" s="10" t="n"/>
      <c r="F841" s="9" t="n"/>
      <c r="H841" s="8" t="n"/>
    </row>
    <row r="842">
      <c r="A842" s="5" t="n"/>
      <c r="D842" s="10" t="n"/>
      <c r="F842" s="9" t="n"/>
      <c r="H842" s="8" t="n"/>
    </row>
    <row r="843">
      <c r="A843" s="5" t="n"/>
      <c r="D843" s="10" t="n"/>
      <c r="F843" s="9" t="n"/>
      <c r="H843" s="8" t="n"/>
    </row>
    <row r="844">
      <c r="A844" s="5" t="n"/>
      <c r="D844" s="10" t="n"/>
      <c r="F844" s="9" t="n"/>
      <c r="H844" s="8" t="n"/>
    </row>
    <row r="845">
      <c r="A845" s="5" t="n"/>
      <c r="D845" s="10" t="n"/>
      <c r="F845" s="9" t="n"/>
      <c r="H845" s="8" t="n"/>
    </row>
    <row r="846">
      <c r="A846" s="5" t="n"/>
      <c r="D846" s="10" t="n"/>
      <c r="F846" s="9" t="n"/>
      <c r="H846" s="8" t="n"/>
    </row>
    <row r="847">
      <c r="A847" s="5" t="n"/>
      <c r="D847" s="10" t="n"/>
      <c r="F847" s="9" t="n"/>
      <c r="H847" s="8" t="n"/>
    </row>
    <row r="848">
      <c r="A848" s="5" t="n"/>
      <c r="D848" s="10" t="n"/>
      <c r="F848" s="9" t="n"/>
      <c r="H848" s="8" t="n"/>
    </row>
    <row r="849">
      <c r="A849" s="5" t="n"/>
      <c r="D849" s="10" t="n"/>
      <c r="F849" s="9" t="n"/>
      <c r="H849" s="8" t="n"/>
    </row>
    <row r="850">
      <c r="A850" s="5" t="n"/>
      <c r="D850" s="10" t="n"/>
      <c r="F850" s="9" t="n"/>
      <c r="H850" s="8" t="n"/>
    </row>
    <row r="851">
      <c r="A851" s="5" t="n"/>
      <c r="D851" s="10" t="n"/>
      <c r="F851" s="9" t="n"/>
      <c r="H851" s="8" t="n"/>
    </row>
    <row r="852">
      <c r="A852" s="5" t="n"/>
      <c r="D852" s="10" t="n"/>
      <c r="F852" s="9" t="n"/>
      <c r="H852" s="8" t="n"/>
    </row>
    <row r="853">
      <c r="A853" s="5" t="n"/>
      <c r="D853" s="10" t="n"/>
      <c r="F853" s="9" t="n"/>
      <c r="H853" s="8" t="n"/>
    </row>
    <row r="854">
      <c r="A854" s="5" t="n"/>
      <c r="D854" s="10" t="n"/>
      <c r="F854" s="9" t="n"/>
      <c r="H854" s="8" t="n"/>
    </row>
    <row r="855">
      <c r="A855" s="5" t="n"/>
      <c r="D855" s="10" t="n"/>
      <c r="F855" s="9" t="n"/>
      <c r="H855" s="8" t="n"/>
    </row>
    <row r="856">
      <c r="A856" s="5" t="n"/>
      <c r="D856" s="10" t="n"/>
      <c r="F856" s="9" t="n"/>
      <c r="H856" s="8" t="n"/>
    </row>
    <row r="857">
      <c r="A857" s="5" t="n"/>
      <c r="D857" s="10" t="n"/>
      <c r="F857" s="9" t="n"/>
      <c r="H857" s="8" t="n"/>
    </row>
    <row r="858">
      <c r="A858" s="5" t="n"/>
      <c r="D858" s="10" t="n"/>
      <c r="F858" s="9" t="n"/>
      <c r="H858" s="8" t="n"/>
    </row>
    <row r="859">
      <c r="A859" s="5" t="n"/>
      <c r="D859" s="10" t="n"/>
      <c r="F859" s="9" t="n"/>
      <c r="H859" s="8" t="n"/>
    </row>
    <row r="860">
      <c r="A860" s="5" t="n"/>
      <c r="D860" s="10" t="n"/>
      <c r="F860" s="9" t="n"/>
      <c r="H860" s="8" t="n"/>
    </row>
    <row r="861">
      <c r="A861" s="5" t="n"/>
      <c r="D861" s="10" t="n"/>
      <c r="F861" s="9" t="n"/>
      <c r="H861" s="8" t="n"/>
    </row>
    <row r="862">
      <c r="A862" s="5" t="n"/>
      <c r="D862" s="10" t="n"/>
      <c r="F862" s="9" t="n"/>
      <c r="H862" s="8" t="n"/>
    </row>
    <row r="863">
      <c r="A863" s="5" t="n"/>
      <c r="D863" s="10" t="n"/>
      <c r="F863" s="9" t="n"/>
      <c r="H863" s="8" t="n"/>
    </row>
    <row r="864">
      <c r="A864" s="5" t="n"/>
      <c r="D864" s="10" t="n"/>
      <c r="F864" s="9" t="n"/>
      <c r="H864" s="8" t="n"/>
    </row>
    <row r="865">
      <c r="A865" s="5" t="n"/>
      <c r="D865" s="10" t="n"/>
      <c r="F865" s="9" t="n"/>
      <c r="H865" s="8" t="n"/>
    </row>
    <row r="866">
      <c r="A866" s="5" t="n"/>
      <c r="D866" s="10" t="n"/>
      <c r="F866" s="9" t="n"/>
      <c r="H866" s="8" t="n"/>
    </row>
    <row r="867">
      <c r="A867" s="5" t="n"/>
      <c r="D867" s="10" t="n"/>
      <c r="F867" s="9" t="n"/>
      <c r="H867" s="8" t="n"/>
    </row>
    <row r="868">
      <c r="A868" s="5" t="n"/>
      <c r="D868" s="10" t="n"/>
      <c r="F868" s="9" t="n"/>
      <c r="H868" s="8" t="n"/>
    </row>
    <row r="869">
      <c r="A869" s="7" t="n"/>
      <c r="D869" s="10" t="n"/>
      <c r="F869" s="9" t="n"/>
      <c r="H869" s="8" t="n"/>
    </row>
    <row r="870">
      <c r="D870" s="10" t="n"/>
      <c r="F870" s="9" t="n"/>
      <c r="H870" s="8" t="n"/>
    </row>
    <row r="871">
      <c r="D871" s="10" t="n"/>
      <c r="F871" s="9" t="n"/>
      <c r="H871" s="8" t="n"/>
    </row>
    <row r="872">
      <c r="D872" s="10" t="n"/>
      <c r="F872" s="9" t="n"/>
      <c r="H872" s="8" t="n"/>
    </row>
    <row r="873">
      <c r="A873" s="3" t="n"/>
      <c r="D873" s="10" t="n"/>
      <c r="F873" s="9" t="n"/>
      <c r="H873" s="8" t="n"/>
    </row>
    <row r="874">
      <c r="A874" s="3" t="n"/>
      <c r="D874" s="10" t="n"/>
      <c r="F874" s="9" t="n"/>
      <c r="H874" s="8" t="n"/>
    </row>
    <row r="875">
      <c r="A875" s="5" t="n"/>
      <c r="D875" s="10" t="n"/>
      <c r="F875" s="9" t="n"/>
      <c r="H875" s="8" t="n"/>
    </row>
    <row r="876">
      <c r="A876" s="5" t="n"/>
      <c r="D876" s="10" t="n"/>
      <c r="F876" s="9" t="n"/>
      <c r="H876" s="8" t="n"/>
    </row>
    <row r="877">
      <c r="A877" s="5" t="n"/>
      <c r="D877" s="10" t="n"/>
      <c r="F877" s="9" t="n"/>
      <c r="H877" s="8" t="n"/>
    </row>
    <row r="878">
      <c r="A878" s="5" t="n"/>
      <c r="D878" s="10" t="n"/>
      <c r="F878" s="9" t="n"/>
      <c r="H878" s="8" t="n"/>
    </row>
    <row r="879">
      <c r="A879" s="5" t="n"/>
      <c r="D879" s="10" t="n"/>
      <c r="F879" s="9" t="n"/>
      <c r="H879" s="8" t="n"/>
    </row>
    <row r="880">
      <c r="A880" s="5" t="n"/>
      <c r="D880" s="10" t="n"/>
      <c r="F880" s="9" t="n"/>
      <c r="H880" s="8" t="n"/>
    </row>
    <row r="881">
      <c r="A881" s="5" t="n"/>
      <c r="D881" s="10" t="n"/>
      <c r="F881" s="9" t="n"/>
      <c r="H881" s="8" t="n"/>
    </row>
    <row r="882">
      <c r="A882" s="5" t="n"/>
      <c r="D882" s="10" t="n"/>
      <c r="F882" s="9" t="n"/>
      <c r="H882" s="8" t="n"/>
    </row>
    <row r="883">
      <c r="A883" s="5" t="n"/>
      <c r="D883" s="10" t="n"/>
      <c r="F883" s="9" t="n"/>
      <c r="H883" s="8" t="n"/>
    </row>
    <row r="884">
      <c r="A884" s="5" t="n"/>
      <c r="D884" s="10" t="n"/>
      <c r="F884" s="9" t="n"/>
      <c r="H884" s="8" t="n"/>
    </row>
    <row r="885">
      <c r="A885" s="5" t="n"/>
      <c r="D885" s="10" t="n"/>
      <c r="F885" s="9" t="n"/>
      <c r="H885" s="8" t="n"/>
    </row>
    <row r="886">
      <c r="A886" s="5" t="n"/>
      <c r="D886" s="10" t="n"/>
      <c r="F886" s="9" t="n"/>
      <c r="H886" s="8" t="n"/>
    </row>
    <row r="887">
      <c r="A887" s="5" t="n"/>
      <c r="D887" s="10" t="n"/>
      <c r="F887" s="9" t="n"/>
      <c r="H887" s="8" t="n"/>
    </row>
    <row r="888">
      <c r="A888" s="5" t="n"/>
      <c r="D888" s="10" t="n"/>
      <c r="F888" s="9" t="n"/>
      <c r="H888" s="8" t="n"/>
    </row>
    <row r="889">
      <c r="A889" s="5" t="n"/>
      <c r="D889" s="10" t="n"/>
      <c r="F889" s="9" t="n"/>
      <c r="H889" s="8" t="n"/>
    </row>
    <row r="890">
      <c r="A890" s="5" t="n"/>
      <c r="D890" s="10" t="n"/>
      <c r="F890" s="9" t="n"/>
      <c r="H890" s="8" t="n"/>
    </row>
    <row r="891">
      <c r="A891" s="5" t="n"/>
      <c r="D891" s="10" t="n"/>
      <c r="F891" s="9" t="n"/>
      <c r="H891" s="8" t="n"/>
    </row>
    <row r="892">
      <c r="A892" s="5" t="n"/>
      <c r="D892" s="10" t="n"/>
      <c r="F892" s="9" t="n"/>
      <c r="H892" s="8" t="n"/>
    </row>
    <row r="893">
      <c r="A893" s="5" t="n"/>
      <c r="D893" s="10" t="n"/>
      <c r="F893" s="9" t="n"/>
      <c r="H893" s="8" t="n"/>
    </row>
    <row r="894">
      <c r="A894" s="5" t="n"/>
      <c r="D894" s="10" t="n"/>
      <c r="F894" s="9" t="n"/>
      <c r="H894" s="8" t="n"/>
    </row>
    <row r="895">
      <c r="A895" s="5" t="n"/>
      <c r="D895" s="10" t="n"/>
      <c r="F895" s="9" t="n"/>
      <c r="H895" s="8" t="n"/>
    </row>
    <row r="896">
      <c r="A896" s="5" t="n"/>
      <c r="D896" s="10" t="n"/>
      <c r="F896" s="9" t="n"/>
      <c r="H896" s="8" t="n"/>
    </row>
    <row r="897">
      <c r="A897" s="5" t="n"/>
      <c r="D897" s="10" t="n"/>
      <c r="F897" s="9" t="n"/>
      <c r="H897" s="8" t="n"/>
    </row>
    <row r="898">
      <c r="A898" s="5" t="n"/>
      <c r="D898" s="10" t="n"/>
      <c r="F898" s="9" t="n"/>
      <c r="H898" s="8" t="n"/>
    </row>
    <row r="899">
      <c r="A899" s="5" t="n"/>
      <c r="D899" s="10" t="n"/>
      <c r="F899" s="9" t="n"/>
      <c r="H899" s="8" t="n"/>
    </row>
    <row r="900">
      <c r="A900" s="5" t="n"/>
      <c r="D900" s="10" t="n"/>
      <c r="F900" s="9" t="n"/>
      <c r="H900" s="8" t="n"/>
    </row>
    <row r="901">
      <c r="A901" s="5" t="n"/>
      <c r="D901" s="10" t="n"/>
      <c r="F901" s="9" t="n"/>
      <c r="H901" s="8" t="n"/>
    </row>
    <row r="902">
      <c r="A902" s="5" t="n"/>
      <c r="D902" s="10" t="n"/>
      <c r="F902" s="9" t="n"/>
      <c r="H902" s="8" t="n"/>
    </row>
    <row r="903">
      <c r="A903" s="5" t="n"/>
      <c r="D903" s="10" t="n"/>
      <c r="F903" s="9" t="n"/>
      <c r="H903" s="8" t="n"/>
    </row>
    <row r="904">
      <c r="A904" s="5" t="n"/>
      <c r="D904" s="10" t="n"/>
      <c r="F904" s="9" t="n"/>
      <c r="H904" s="8" t="n"/>
    </row>
    <row r="905">
      <c r="A905" s="5" t="n"/>
      <c r="D905" s="10" t="n"/>
      <c r="F905" s="9" t="n"/>
      <c r="H905" s="8" t="n"/>
    </row>
    <row r="906">
      <c r="A906" s="5" t="n"/>
      <c r="D906" s="10" t="n"/>
      <c r="F906" s="9" t="n"/>
      <c r="H906" s="8" t="n"/>
    </row>
    <row r="907">
      <c r="A907" s="5" t="n"/>
      <c r="D907" s="10" t="n"/>
      <c r="F907" s="9" t="n"/>
      <c r="H907" s="8" t="n"/>
    </row>
    <row r="908">
      <c r="A908" s="5" t="n"/>
      <c r="D908" s="10" t="n"/>
      <c r="F908" s="9" t="n"/>
      <c r="H908" s="8" t="n"/>
    </row>
    <row r="909">
      <c r="A909" s="5" t="n"/>
      <c r="D909" s="10" t="n"/>
      <c r="F909" s="9" t="n"/>
      <c r="H909" s="8" t="n"/>
    </row>
    <row r="910">
      <c r="A910" s="5" t="n"/>
      <c r="D910" s="10" t="n"/>
      <c r="F910" s="9" t="n"/>
      <c r="H910" s="8" t="n"/>
    </row>
    <row r="911">
      <c r="A911" s="5" t="n"/>
      <c r="D911" s="10" t="n"/>
      <c r="F911" s="9" t="n"/>
      <c r="H911" s="8" t="n"/>
    </row>
    <row r="912">
      <c r="A912" s="5" t="n"/>
      <c r="D912" s="10" t="n"/>
      <c r="F912" s="9" t="n"/>
      <c r="H912" s="8" t="n"/>
    </row>
    <row r="913">
      <c r="A913" s="5" t="n"/>
      <c r="D913" s="10" t="n"/>
      <c r="F913" s="9" t="n"/>
      <c r="H913" s="8" t="n"/>
    </row>
    <row r="914">
      <c r="A914" s="5" t="n"/>
      <c r="D914" s="10" t="n"/>
      <c r="F914" s="9" t="n"/>
      <c r="H914" s="8" t="n"/>
    </row>
    <row r="915">
      <c r="A915" s="5" t="n"/>
      <c r="D915" s="10" t="n"/>
      <c r="F915" s="9" t="n"/>
      <c r="H915" s="8" t="n"/>
    </row>
    <row r="916">
      <c r="A916" s="5" t="n"/>
      <c r="D916" s="10" t="n"/>
      <c r="F916" s="9" t="n"/>
      <c r="H916" s="8" t="n"/>
    </row>
    <row r="917">
      <c r="A917" s="5" t="n"/>
      <c r="D917" s="10" t="n"/>
      <c r="F917" s="9" t="n"/>
      <c r="H917" s="8" t="n"/>
    </row>
    <row r="918">
      <c r="A918" s="5" t="n"/>
      <c r="D918" s="10" t="n"/>
      <c r="F918" s="9" t="n"/>
      <c r="H918" s="8" t="n"/>
    </row>
    <row r="919">
      <c r="A919" s="5" t="n"/>
      <c r="D919" s="10" t="n"/>
      <c r="F919" s="9" t="n"/>
      <c r="H919" s="8" t="n"/>
    </row>
    <row r="920">
      <c r="A920" s="5" t="n"/>
      <c r="D920" s="10" t="n"/>
      <c r="F920" s="9" t="n"/>
      <c r="H920" s="8" t="n"/>
    </row>
    <row r="921">
      <c r="A921" s="5" t="n"/>
      <c r="D921" s="10" t="n"/>
      <c r="F921" s="9" t="n"/>
      <c r="H921" s="8" t="n"/>
    </row>
    <row r="922">
      <c r="A922" s="5" t="n"/>
      <c r="D922" s="10" t="n"/>
      <c r="F922" s="9" t="n"/>
      <c r="H922" s="8" t="n"/>
    </row>
    <row r="923">
      <c r="A923" s="5" t="n"/>
      <c r="D923" s="10" t="n"/>
      <c r="F923" s="9" t="n"/>
      <c r="H923" s="8" t="n"/>
    </row>
    <row r="924">
      <c r="A924" s="5" t="n"/>
      <c r="D924" s="10" t="n"/>
      <c r="F924" s="9" t="n"/>
      <c r="H924" s="8" t="n"/>
    </row>
    <row r="925">
      <c r="A925" s="5" t="n"/>
      <c r="D925" s="10" t="n"/>
      <c r="F925" s="9" t="n"/>
      <c r="H925" s="8" t="n"/>
    </row>
    <row r="926">
      <c r="A926" s="5" t="n"/>
      <c r="D926" s="10" t="n"/>
      <c r="F926" s="9" t="n"/>
      <c r="H926" s="8" t="n"/>
    </row>
    <row r="927">
      <c r="A927" s="5" t="n"/>
      <c r="D927" s="10" t="n"/>
      <c r="F927" s="9" t="n"/>
      <c r="H927" s="8" t="n"/>
    </row>
    <row r="928">
      <c r="A928" s="5" t="n"/>
      <c r="D928" s="10" t="n"/>
      <c r="F928" s="9" t="n"/>
      <c r="H928" s="8" t="n"/>
    </row>
    <row r="929">
      <c r="A929" s="5" t="n"/>
      <c r="D929" s="10" t="n"/>
      <c r="F929" s="9" t="n"/>
      <c r="H929" s="8" t="n"/>
    </row>
    <row r="930">
      <c r="A930" s="5" t="n"/>
      <c r="D930" s="10" t="n"/>
      <c r="F930" s="9" t="n"/>
      <c r="H930" s="8" t="n"/>
    </row>
    <row r="931">
      <c r="A931" s="5" t="n"/>
      <c r="D931" s="10" t="n"/>
      <c r="F931" s="9" t="n"/>
      <c r="H931" s="8" t="n"/>
    </row>
    <row r="932">
      <c r="A932" s="5" t="n"/>
      <c r="D932" s="10" t="n"/>
      <c r="F932" s="9" t="n"/>
      <c r="H932" s="8" t="n"/>
    </row>
    <row r="933">
      <c r="A933" s="5" t="n"/>
      <c r="D933" s="10" t="n"/>
      <c r="F933" s="9" t="n"/>
      <c r="H933" s="8" t="n"/>
    </row>
    <row r="934">
      <c r="A934" s="5" t="n"/>
      <c r="D934" s="10" t="n"/>
      <c r="F934" s="9" t="n"/>
      <c r="H934" s="8" t="n"/>
    </row>
    <row r="935">
      <c r="A935" s="5" t="n"/>
      <c r="D935" s="10" t="n"/>
      <c r="F935" s="9" t="n"/>
      <c r="H935" s="8" t="n"/>
    </row>
    <row r="936">
      <c r="A936" s="5" t="n"/>
      <c r="D936" s="10" t="n"/>
      <c r="F936" s="9" t="n"/>
      <c r="H936" s="8" t="n"/>
    </row>
    <row r="937">
      <c r="A937" s="5" t="n"/>
      <c r="D937" s="10" t="n"/>
      <c r="F937" s="9" t="n"/>
      <c r="H937" s="8" t="n"/>
    </row>
    <row r="938">
      <c r="A938" s="5" t="n"/>
      <c r="D938" s="10" t="n"/>
      <c r="F938" s="9" t="n"/>
      <c r="H938" s="8" t="n"/>
    </row>
    <row r="939">
      <c r="A939" s="5" t="n"/>
      <c r="D939" s="10" t="n"/>
      <c r="F939" s="9" t="n"/>
      <c r="H939" s="8" t="n"/>
    </row>
    <row r="940">
      <c r="A940" s="5" t="n"/>
      <c r="D940" s="10" t="n"/>
      <c r="F940" s="9" t="n"/>
      <c r="H940" s="8" t="n"/>
    </row>
    <row r="941">
      <c r="A941" s="5" t="n"/>
      <c r="D941" s="10" t="n"/>
      <c r="F941" s="9" t="n"/>
      <c r="H941" s="8" t="n"/>
    </row>
    <row r="942">
      <c r="A942" s="7" t="n"/>
      <c r="D942" s="10" t="n"/>
      <c r="F942" s="9" t="n"/>
      <c r="H942" s="8" t="n"/>
    </row>
    <row r="943">
      <c r="D943" s="10" t="n"/>
      <c r="F943" s="9" t="n"/>
      <c r="H943" s="8" t="n"/>
    </row>
    <row r="944">
      <c r="D944" s="10" t="n"/>
      <c r="F944" s="9" t="n"/>
      <c r="H944" s="8" t="n"/>
    </row>
    <row r="945">
      <c r="D945" s="10" t="n"/>
      <c r="F945" s="9" t="n"/>
      <c r="H945" s="8" t="n"/>
    </row>
    <row r="946">
      <c r="D946" s="10" t="n"/>
      <c r="F946" s="9" t="n"/>
      <c r="H946" s="8" t="n"/>
    </row>
    <row r="947">
      <c r="D947" s="10" t="n"/>
      <c r="F947" s="9" t="n"/>
      <c r="H947" s="8" t="n"/>
    </row>
    <row r="948">
      <c r="D948" s="10" t="n"/>
      <c r="F948" s="9" t="n"/>
      <c r="H948" s="8" t="n"/>
    </row>
    <row r="949">
      <c r="D949" s="10" t="n"/>
      <c r="F949" s="9" t="n"/>
      <c r="H949" s="8" t="n"/>
    </row>
    <row r="950">
      <c r="D950" s="10" t="n"/>
      <c r="F950" s="9" t="n"/>
      <c r="H950" s="8" t="n"/>
    </row>
    <row r="951">
      <c r="D951" s="10" t="n"/>
      <c r="F951" s="9" t="n"/>
      <c r="H951" s="8" t="n"/>
    </row>
    <row r="952">
      <c r="D952" s="10" t="n"/>
      <c r="F952" s="9" t="n"/>
      <c r="H952" s="8" t="n"/>
    </row>
    <row r="953">
      <c r="D953" s="10" t="n"/>
      <c r="F953" s="9" t="n"/>
      <c r="H953" s="8" t="n"/>
    </row>
    <row r="954">
      <c r="D954" s="10" t="n"/>
      <c r="F954" s="9" t="n"/>
      <c r="H954" s="8" t="n"/>
    </row>
    <row r="955">
      <c r="D955" s="10" t="n"/>
      <c r="F955" s="9" t="n"/>
      <c r="H955" s="8" t="n"/>
    </row>
    <row r="956">
      <c r="D956" s="10" t="n"/>
      <c r="F956" s="9" t="n"/>
      <c r="H956" s="8" t="n"/>
    </row>
    <row r="957">
      <c r="D957" s="10" t="n"/>
      <c r="F957" s="9" t="n"/>
      <c r="H957" s="8" t="n"/>
    </row>
    <row r="958">
      <c r="D958" s="10" t="n"/>
      <c r="F958" s="9" t="n"/>
      <c r="H958" s="8" t="n"/>
    </row>
    <row r="959">
      <c r="D959" s="10" t="n"/>
      <c r="F959" s="9" t="n"/>
      <c r="H959" s="8" t="n"/>
    </row>
    <row r="960">
      <c r="D960" s="10" t="n"/>
      <c r="F960" s="9" t="n"/>
      <c r="H960" s="8" t="n"/>
    </row>
    <row r="961">
      <c r="D961" s="10" t="n"/>
      <c r="F961" s="9" t="n"/>
      <c r="H961" s="8" t="n"/>
    </row>
    <row r="962">
      <c r="D962" s="10" t="n"/>
      <c r="F962" s="9" t="n"/>
      <c r="H962" s="8" t="n"/>
    </row>
    <row r="963">
      <c r="D963" s="10" t="n"/>
      <c r="F963" s="9" t="n"/>
      <c r="H963" s="8" t="n"/>
    </row>
    <row r="964">
      <c r="D964" s="10" t="n"/>
      <c r="F964" s="9" t="n"/>
      <c r="H964" s="8" t="n"/>
    </row>
    <row r="965">
      <c r="D965" s="10" t="n"/>
      <c r="F965" s="9" t="n"/>
      <c r="H965" s="8" t="n"/>
    </row>
    <row r="966">
      <c r="D966" s="10" t="n"/>
      <c r="F966" s="9" t="n"/>
      <c r="H966" s="8" t="n"/>
    </row>
    <row r="967">
      <c r="D967" s="10" t="n"/>
      <c r="F967" s="9" t="n"/>
      <c r="H967" s="8" t="n"/>
    </row>
    <row r="968">
      <c r="D968" s="10" t="n"/>
      <c r="F968" s="9" t="n"/>
      <c r="H968" s="8" t="n"/>
    </row>
    <row r="969">
      <c r="D969" s="10" t="n"/>
      <c r="F969" s="9" t="n"/>
      <c r="H969" s="8" t="n"/>
    </row>
    <row r="970">
      <c r="D970" s="10" t="n"/>
      <c r="F970" s="9" t="n"/>
      <c r="H970" s="8" t="n"/>
    </row>
    <row r="971">
      <c r="D971" s="10" t="n"/>
      <c r="F971" s="9" t="n"/>
      <c r="H971" s="8" t="n"/>
    </row>
    <row r="972">
      <c r="D972" s="10" t="n"/>
      <c r="F972" s="9" t="n"/>
      <c r="H972" s="8" t="n"/>
    </row>
    <row r="973">
      <c r="D973" s="10" t="n"/>
      <c r="F973" s="9" t="n"/>
      <c r="H973" s="8" t="n"/>
    </row>
    <row r="974">
      <c r="D974" s="10" t="n"/>
      <c r="F974" s="9" t="n"/>
      <c r="H974" s="8" t="n"/>
    </row>
    <row r="975">
      <c r="D975" s="10" t="n"/>
      <c r="F975" s="9" t="n"/>
      <c r="H975" s="8" t="n"/>
    </row>
    <row r="976">
      <c r="D976" s="10" t="n"/>
      <c r="F976" s="9" t="n"/>
      <c r="H976" s="8" t="n"/>
    </row>
    <row r="977">
      <c r="D977" s="10" t="n"/>
      <c r="F977" s="9" t="n"/>
      <c r="H977" s="8" t="n"/>
    </row>
    <row r="978">
      <c r="D978" s="10" t="n"/>
      <c r="F978" s="9" t="n"/>
      <c r="H978" s="8" t="n"/>
    </row>
    <row r="979">
      <c r="D979" s="10" t="n"/>
      <c r="F979" s="9" t="n"/>
      <c r="H979" s="8" t="n"/>
    </row>
    <row r="980">
      <c r="D980" s="10" t="n"/>
      <c r="F980" s="9" t="n"/>
      <c r="H980" s="8" t="n"/>
    </row>
    <row r="981">
      <c r="D981" s="10" t="n"/>
      <c r="F981" s="9" t="n"/>
      <c r="H981" s="8" t="n"/>
    </row>
    <row r="982">
      <c r="D982" s="10" t="n"/>
      <c r="F982" s="9" t="n"/>
      <c r="H982" s="8" t="n"/>
    </row>
    <row r="983">
      <c r="D983" s="10" t="n"/>
      <c r="F983" s="9" t="n"/>
      <c r="H983" s="8" t="n"/>
    </row>
    <row r="984">
      <c r="D984" s="10" t="n"/>
      <c r="F984" s="9" t="n"/>
      <c r="H984" s="8" t="n"/>
    </row>
    <row r="985">
      <c r="D985" s="10" t="n"/>
      <c r="F985" s="9" t="n"/>
      <c r="H985" s="8" t="n"/>
    </row>
    <row r="986">
      <c r="D986" s="10" t="n"/>
      <c r="F986" s="9" t="n"/>
      <c r="H986" s="8" t="n"/>
    </row>
    <row r="987">
      <c r="D987" s="10" t="n"/>
      <c r="F987" s="9" t="n"/>
      <c r="H987" s="8" t="n"/>
    </row>
    <row r="988">
      <c r="D988" s="10" t="n"/>
      <c r="F988" s="9" t="n"/>
      <c r="H988" s="8" t="n"/>
    </row>
    <row r="989">
      <c r="D989" s="10" t="n"/>
      <c r="F989" s="9" t="n"/>
      <c r="H989" s="8" t="n"/>
    </row>
    <row r="990">
      <c r="D990" s="10" t="n"/>
      <c r="F990" s="9" t="n"/>
      <c r="H990" s="8" t="n"/>
    </row>
    <row r="991">
      <c r="D991" s="10" t="n"/>
      <c r="F991" s="9" t="n"/>
      <c r="H991" s="8" t="n"/>
    </row>
    <row r="992">
      <c r="D992" s="10" t="n"/>
      <c r="F992" s="9" t="n"/>
      <c r="H992" s="8" t="n"/>
    </row>
    <row r="993">
      <c r="D993" s="10" t="n"/>
      <c r="F993" s="9" t="n"/>
      <c r="H993" s="8" t="n"/>
    </row>
    <row r="994">
      <c r="D994" s="10" t="n"/>
      <c r="F994" s="9" t="n"/>
      <c r="H994" s="8" t="n"/>
    </row>
    <row r="995">
      <c r="D995" s="10" t="n"/>
      <c r="F995" s="9" t="n"/>
      <c r="H995" s="8" t="n"/>
    </row>
    <row r="996">
      <c r="D996" s="10" t="n"/>
      <c r="F996" s="9" t="n"/>
      <c r="H996" s="8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min="1" max="1"/>
    <col width="30.42578125" customWidth="1" min="2" max="2"/>
    <col width="19.140625" customWidth="1" min="3" max="9"/>
    <col width="27.140625" customWidth="1" min="10" max="10"/>
    <col width="19.140625" customWidth="1" min="11" max="18"/>
    <col width="32.28515625" customWidth="1" min="19" max="19"/>
    <col width="12" customWidth="1" min="20" max="20"/>
  </cols>
  <sheetData>
    <row r="1" ht="16.5" customHeight="1">
      <c r="A1" s="71" t="n"/>
      <c r="B1" s="95" t="inlineStr">
        <is>
          <t>FEBRUARY 2027 EXPENSES</t>
        </is>
      </c>
    </row>
    <row r="2" ht="58.5" customHeight="1">
      <c r="A2" s="39" t="inlineStr">
        <is>
          <t>FLAT #</t>
        </is>
      </c>
      <c r="B2" s="39" t="n">
        <v>0</v>
      </c>
      <c r="C2" s="39" t="inlineStr">
        <is>
          <t>WATER USED IN LTRS</t>
        </is>
      </c>
      <c r="D2" s="39" t="inlineStr">
        <is>
          <t>COMMON AREA EQUALLY DEVIDED</t>
        </is>
      </c>
      <c r="E2" s="39" t="inlineStr">
        <is>
          <t>TOTAL FRESH WATER CONSUMED</t>
        </is>
      </c>
      <c r="F2" s="39" t="inlineStr">
        <is>
          <t>%OF TOTAL USED</t>
        </is>
      </c>
      <c r="G2" s="39" t="inlineStr">
        <is>
          <t>WATER EXPENSE SHARING BY %</t>
        </is>
      </c>
      <c r="H2" s="39" t="inlineStr">
        <is>
          <t>#METERS</t>
        </is>
      </c>
      <c r="I2" s="39" t="inlineStr">
        <is>
          <t>METER RENT</t>
        </is>
      </c>
      <c r="J2" s="39" t="inlineStr">
        <is>
          <t>COMMON AREA METER RENT + WATER EXPENSE+ FLAT METER RENT</t>
        </is>
      </c>
      <c r="K2" s="39" t="inlineStr">
        <is>
          <t>FIXED EXPENSE SHARE</t>
        </is>
      </c>
      <c r="L2" s="39" t="inlineStr">
        <is>
          <t>PARKING FEE</t>
        </is>
      </c>
      <c r="M2" s="39" t="inlineStr">
        <is>
          <t>CLUB BOOKING FEE</t>
        </is>
      </c>
      <c r="N2" s="39" t="inlineStr">
        <is>
          <t>SHIFTING FEE</t>
        </is>
      </c>
      <c r="O2" s="39" t="inlineStr">
        <is>
          <t>GYM USAGE FEE</t>
        </is>
      </c>
      <c r="P2" s="39" t="n"/>
      <c r="Q2" s="39" t="n"/>
      <c r="R2" s="39" t="inlineStr">
        <is>
          <t>TOTAL EXPENSE TO BE PAID</t>
        </is>
      </c>
      <c r="S2" s="39" t="n"/>
      <c r="T2" s="39" t="n"/>
    </row>
    <row r="3" ht="12.75" customHeight="1">
      <c r="A3" s="40" t="inlineStr">
        <is>
          <t>CH</t>
        </is>
      </c>
      <c r="B3" s="40" t="inlineStr">
        <is>
          <t>MPFOWA</t>
        </is>
      </c>
      <c r="C3" s="41" t="n">
        <v>0</v>
      </c>
      <c r="D3" s="41" t="n">
        <v>0</v>
      </c>
      <c r="E3" s="41" t="n"/>
      <c r="F3" s="41" t="n"/>
      <c r="G3" s="41" t="n"/>
      <c r="H3" s="41" t="n">
        <v>1</v>
      </c>
      <c r="I3" s="41">
        <f>T7</f>
        <v/>
      </c>
      <c r="J3" s="41" t="n"/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</row>
    <row r="4" ht="12.75" customHeight="1">
      <c r="A4" s="42" t="inlineStr">
        <is>
          <t>GYM</t>
        </is>
      </c>
      <c r="B4" s="42" t="inlineStr">
        <is>
          <t>MPFOWA</t>
        </is>
      </c>
      <c r="C4" s="43" t="n">
        <v>0</v>
      </c>
      <c r="D4" s="43" t="n">
        <v>0</v>
      </c>
      <c r="E4" s="43" t="n"/>
      <c r="F4" s="43" t="n"/>
      <c r="G4" s="43" t="n"/>
      <c r="H4" s="43" t="n">
        <v>1</v>
      </c>
      <c r="I4" s="43">
        <f>T7</f>
        <v/>
      </c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inlineStr">
        <is>
          <t>TOTAL FIXED EXPENSE</t>
        </is>
      </c>
      <c r="T4" s="43">
        <f>'ANNUAL-EXPENSE-DETAILS'!AB13</f>
        <v/>
      </c>
    </row>
    <row r="5" ht="12.75" customHeight="1">
      <c r="A5" s="40" t="inlineStr">
        <is>
          <t>BSMT</t>
        </is>
      </c>
      <c r="B5" s="40" t="inlineStr">
        <is>
          <t>MPFOWA</t>
        </is>
      </c>
      <c r="C5" s="41" t="n">
        <v>0</v>
      </c>
      <c r="D5" s="41" t="n">
        <v>0</v>
      </c>
      <c r="E5" s="41" t="n"/>
      <c r="F5" s="41" t="n"/>
      <c r="G5" s="41" t="n"/>
      <c r="H5" s="41" t="n">
        <v>1</v>
      </c>
      <c r="I5" s="41">
        <f>T7</f>
        <v/>
      </c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inlineStr">
        <is>
          <t>TOTAL WATER EXPENSE</t>
        </is>
      </c>
      <c r="T5" s="41">
        <f>'ANNUAL-EXPENSE-DETAILS'!AA13</f>
        <v/>
      </c>
    </row>
    <row r="6" ht="12.75" customHeight="1">
      <c r="A6" s="42" t="inlineStr">
        <is>
          <t>F1</t>
        </is>
      </c>
      <c r="B6" s="42">
        <f>VLOOKUP(A6,Members!$A$2:$B$65,2,FALSE)</f>
        <v/>
      </c>
      <c r="C6" s="43" t="n">
        <v>0</v>
      </c>
      <c r="D6" s="43">
        <f>SUM($C$3:$C$5)/64</f>
        <v/>
      </c>
      <c r="E6" s="43">
        <f>C6+D6</f>
        <v/>
      </c>
      <c r="F6" s="43">
        <f>IF($C$70=0, 0, E6/$C$70)</f>
        <v/>
      </c>
      <c r="G6" s="43">
        <f>F6*$T$5</f>
        <v/>
      </c>
      <c r="H6" s="43" t="n">
        <v>3</v>
      </c>
      <c r="I6" s="43">
        <f>$T$7*H6</f>
        <v/>
      </c>
      <c r="J6" s="43">
        <f>G6+$T$9+I6</f>
        <v/>
      </c>
      <c r="K6" s="43">
        <f>$T$11/64</f>
        <v/>
      </c>
      <c r="L6" s="43" t="n">
        <v>0</v>
      </c>
      <c r="M6" s="43" t="n">
        <v>0</v>
      </c>
      <c r="N6" s="43" t="n">
        <v>0</v>
      </c>
      <c r="O6" s="43" t="n">
        <v>0</v>
      </c>
      <c r="P6" s="43" t="n"/>
      <c r="Q6" s="43" t="n"/>
      <c r="R6" s="43">
        <f>(J6+K6+L6+M6+N6+O6)*$B$2</f>
        <v/>
      </c>
      <c r="S6" s="43" t="n"/>
      <c r="T6" s="43" t="n"/>
    </row>
    <row r="7" ht="12.75" customHeight="1">
      <c r="A7" s="40" t="inlineStr">
        <is>
          <t>F2</t>
        </is>
      </c>
      <c r="B7" s="40">
        <f>VLOOKUP(A7,Members!$A$2:$B$65,2,FALSE)</f>
        <v/>
      </c>
      <c r="C7" s="41" t="n">
        <v>0</v>
      </c>
      <c r="D7" s="41">
        <f>SUM($C$3:$C$5)/64</f>
        <v/>
      </c>
      <c r="E7" s="41">
        <f>C7+D7</f>
        <v/>
      </c>
      <c r="F7" s="41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$T$11/64</f>
        <v/>
      </c>
      <c r="L7" s="41" t="n">
        <v>0</v>
      </c>
      <c r="M7" s="41" t="n">
        <v>0</v>
      </c>
      <c r="N7" s="41" t="n">
        <v>0</v>
      </c>
      <c r="O7" s="41" t="n">
        <v>0</v>
      </c>
      <c r="P7" s="41" t="n"/>
      <c r="Q7" s="41" t="n"/>
      <c r="R7" s="41">
        <f>(J7+K7+L7+M7+N7+O7)*$B$2</f>
        <v/>
      </c>
      <c r="S7" s="41" t="inlineStr">
        <is>
          <t>RENT PER METER</t>
        </is>
      </c>
      <c r="T7" s="41" t="n">
        <v>117.81</v>
      </c>
    </row>
    <row r="8" ht="12.75" customHeight="1">
      <c r="A8" s="42" t="inlineStr">
        <is>
          <t>F3</t>
        </is>
      </c>
      <c r="B8" s="42">
        <f>VLOOKUP(A8,Members!$A$2:$B$65,2,FALSE)</f>
        <v/>
      </c>
      <c r="C8" s="43" t="n">
        <v>0</v>
      </c>
      <c r="D8" s="43">
        <f>SUM($C$3:$C$5)/64</f>
        <v/>
      </c>
      <c r="E8" s="43">
        <f>C8+D8</f>
        <v/>
      </c>
      <c r="F8" s="43">
        <f>IF($C$70=0, 0, E8/$C$70)</f>
        <v/>
      </c>
      <c r="G8" s="43">
        <f>F8*$T$5</f>
        <v/>
      </c>
      <c r="H8" s="43" t="n">
        <v>4</v>
      </c>
      <c r="I8" s="43">
        <f>$T$7*H8</f>
        <v/>
      </c>
      <c r="J8" s="43">
        <f>G8+$T$9+I8</f>
        <v/>
      </c>
      <c r="K8" s="43">
        <f>$T$11/64</f>
        <v/>
      </c>
      <c r="L8" s="43" t="n">
        <v>0</v>
      </c>
      <c r="M8" s="43" t="n">
        <v>0</v>
      </c>
      <c r="N8" s="43" t="n">
        <v>0</v>
      </c>
      <c r="O8" s="43" t="n">
        <v>0</v>
      </c>
      <c r="P8" s="43" t="n"/>
      <c r="Q8" s="43" t="n"/>
      <c r="R8" s="43">
        <f>(J8+K8+L8+M8+N8+O8)*$B$2</f>
        <v/>
      </c>
      <c r="S8" s="43" t="inlineStr">
        <is>
          <t>COMMON AREA METER RENT</t>
        </is>
      </c>
      <c r="T8" s="43">
        <f>$T$7*3</f>
        <v/>
      </c>
    </row>
    <row r="9" ht="12.75" customHeight="1">
      <c r="A9" s="40" t="inlineStr">
        <is>
          <t>F4</t>
        </is>
      </c>
      <c r="B9" s="40">
        <f>VLOOKUP(A9,Members!$A$2:$B$65,2,FALSE)</f>
        <v/>
      </c>
      <c r="C9" s="41" t="n">
        <v>0</v>
      </c>
      <c r="D9" s="41">
        <f>SUM($C$3:$C$5)/64</f>
        <v/>
      </c>
      <c r="E9" s="41">
        <f>C9+D9</f>
        <v/>
      </c>
      <c r="F9" s="41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$T$11/64</f>
        <v/>
      </c>
      <c r="L9" s="41" t="n">
        <v>0</v>
      </c>
      <c r="M9" s="41" t="n">
        <v>0</v>
      </c>
      <c r="N9" s="41" t="n">
        <v>0</v>
      </c>
      <c r="O9" s="41" t="n">
        <v>0</v>
      </c>
      <c r="P9" s="41" t="n"/>
      <c r="Q9" s="41" t="n"/>
      <c r="R9" s="41">
        <f>(J9+K9+L9+M9+N9+O9)*$B$2</f>
        <v/>
      </c>
      <c r="S9" s="41" t="inlineStr">
        <is>
          <t>COMMON AREA METER RENT/FLAT</t>
        </is>
      </c>
      <c r="T9" s="41">
        <f>T8/64</f>
        <v/>
      </c>
    </row>
    <row r="10" ht="12.75" customHeight="1">
      <c r="A10" s="42" t="inlineStr">
        <is>
          <t>F5</t>
        </is>
      </c>
      <c r="B10" s="42">
        <f>VLOOKUP(A10,Members!$A$2:$B$65,2,FALSE)</f>
        <v/>
      </c>
      <c r="C10" s="43" t="n">
        <v>0</v>
      </c>
      <c r="D10" s="43">
        <f>SUM($C$3:$C$5)/64</f>
        <v/>
      </c>
      <c r="E10" s="43">
        <f>C10+D10</f>
        <v/>
      </c>
      <c r="F10" s="43">
        <f>IF($C$70=0, 0, E10/$C$70)</f>
        <v/>
      </c>
      <c r="G10" s="43">
        <f>F10*$T$5</f>
        <v/>
      </c>
      <c r="H10" s="43" t="n">
        <v>3</v>
      </c>
      <c r="I10" s="43">
        <f>$T$7*H10</f>
        <v/>
      </c>
      <c r="J10" s="43">
        <f>G10+$T$9+I10</f>
        <v/>
      </c>
      <c r="K10" s="43">
        <f>$T$11/64</f>
        <v/>
      </c>
      <c r="L10" s="43" t="n">
        <v>0</v>
      </c>
      <c r="M10" s="43" t="n">
        <v>0</v>
      </c>
      <c r="N10" s="43" t="n">
        <v>0</v>
      </c>
      <c r="O10" s="43" t="n">
        <v>0</v>
      </c>
      <c r="P10" s="43" t="n"/>
      <c r="Q10" s="43" t="n"/>
      <c r="R10" s="43">
        <f>(J10+K10+L10+M10+N10+O10)*$B$2</f>
        <v/>
      </c>
      <c r="S10" s="43" t="n"/>
      <c r="T10" s="43" t="n"/>
    </row>
    <row r="11" ht="12.75" customHeight="1">
      <c r="A11" s="40" t="inlineStr">
        <is>
          <t>F6</t>
        </is>
      </c>
      <c r="B11" s="40">
        <f>VLOOKUP(A11,Members!$A$2:$B$65,2,FALSE)</f>
        <v/>
      </c>
      <c r="C11" s="41" t="n">
        <v>0</v>
      </c>
      <c r="D11" s="41">
        <f>SUM($C$3:$C$5)/64</f>
        <v/>
      </c>
      <c r="E11" s="41">
        <f>C11+D11</f>
        <v/>
      </c>
      <c r="F11" s="41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$T$11/64</f>
        <v/>
      </c>
      <c r="L11" s="41" t="n">
        <v>0</v>
      </c>
      <c r="M11" s="41" t="n">
        <v>0</v>
      </c>
      <c r="N11" s="41" t="n">
        <v>0</v>
      </c>
      <c r="O11" s="41" t="n">
        <v>0</v>
      </c>
      <c r="P11" s="41" t="n"/>
      <c r="Q11" s="41" t="n"/>
      <c r="R11" s="41">
        <f>(J11+K11+L11+M11+N11+O11)*$B$2</f>
        <v/>
      </c>
      <c r="S11" s="41" t="inlineStr">
        <is>
          <t>TOTAL FIXED EXPENSE</t>
        </is>
      </c>
      <c r="T11" s="41">
        <f>'ANNUAL-EXPENSE-DETAILS'!AB13</f>
        <v/>
      </c>
    </row>
    <row r="12" ht="12.75" customHeight="1">
      <c r="A12" s="42" t="inlineStr">
        <is>
          <t>F7</t>
        </is>
      </c>
      <c r="B12" s="42">
        <f>VLOOKUP(A12,Members!$A$2:$B$65,2,FALSE)</f>
        <v/>
      </c>
      <c r="C12" s="43" t="n">
        <v>0</v>
      </c>
      <c r="D12" s="43">
        <f>SUM($C$3:$C$5)/64</f>
        <v/>
      </c>
      <c r="E12" s="43">
        <f>C12+D12</f>
        <v/>
      </c>
      <c r="F12" s="43">
        <f>IF($C$70=0, 0, E12/$C$70)</f>
        <v/>
      </c>
      <c r="G12" s="43">
        <f>F12*$T$5</f>
        <v/>
      </c>
      <c r="H12" s="43" t="n">
        <v>3</v>
      </c>
      <c r="I12" s="43">
        <f>$T$7*H12</f>
        <v/>
      </c>
      <c r="J12" s="43">
        <f>G12+$T$9+I12</f>
        <v/>
      </c>
      <c r="K12" s="43">
        <f>$T$11/64</f>
        <v/>
      </c>
      <c r="L12" s="43" t="n">
        <v>0</v>
      </c>
      <c r="M12" s="43" t="n">
        <v>0</v>
      </c>
      <c r="N12" s="43" t="n">
        <v>0</v>
      </c>
      <c r="O12" s="43" t="n">
        <v>0</v>
      </c>
      <c r="P12" s="43" t="n"/>
      <c r="Q12" s="43" t="n"/>
      <c r="R12" s="43">
        <f>(J12+K12+L12+M12+N12+O12)*$B$2</f>
        <v/>
      </c>
      <c r="S12" s="43" t="n"/>
      <c r="T12" s="43" t="n"/>
    </row>
    <row r="13" ht="12.75" customHeight="1">
      <c r="A13" s="40" t="inlineStr">
        <is>
          <t>F8</t>
        </is>
      </c>
      <c r="B13" s="40">
        <f>VLOOKUP(A13,Members!$A$2:$B$65,2,FALSE)</f>
        <v/>
      </c>
      <c r="C13" s="41" t="n">
        <v>0</v>
      </c>
      <c r="D13" s="41">
        <f>SUM($C$3:$C$5)/64</f>
        <v/>
      </c>
      <c r="E13" s="41">
        <f>C13+D13</f>
        <v/>
      </c>
      <c r="F13" s="41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$T$11/64</f>
        <v/>
      </c>
      <c r="L13" s="41" t="n">
        <v>0</v>
      </c>
      <c r="M13" s="41" t="n">
        <v>0</v>
      </c>
      <c r="N13" s="41" t="n">
        <v>0</v>
      </c>
      <c r="O13" s="41" t="n">
        <v>0</v>
      </c>
      <c r="P13" s="41" t="n"/>
      <c r="Q13" s="41" t="n"/>
      <c r="R13" s="41">
        <f>(J13+K13+L13+M13+N13+O13)*$B$2</f>
        <v/>
      </c>
      <c r="S13" s="41" t="inlineStr">
        <is>
          <t>TOTAL WATER METER RENT</t>
        </is>
      </c>
      <c r="T13" s="41">
        <f>T8+I70</f>
        <v/>
      </c>
    </row>
    <row r="14" ht="12.75" customHeight="1">
      <c r="A14" s="42" t="inlineStr">
        <is>
          <t>F9</t>
        </is>
      </c>
      <c r="B14" s="42">
        <f>VLOOKUP(A14,Members!$A$2:$B$65,2,FALSE)</f>
        <v/>
      </c>
      <c r="C14" s="43" t="n">
        <v>0</v>
      </c>
      <c r="D14" s="43">
        <f>SUM($C$3:$C$5)/64</f>
        <v/>
      </c>
      <c r="E14" s="43">
        <f>C14+D14</f>
        <v/>
      </c>
      <c r="F14" s="43">
        <f>IF($C$70=0, 0, E14/$C$70)</f>
        <v/>
      </c>
      <c r="G14" s="43">
        <f>F14*$T$5</f>
        <v/>
      </c>
      <c r="H14" s="43" t="n">
        <v>4</v>
      </c>
      <c r="I14" s="43">
        <f>$T$7*H14</f>
        <v/>
      </c>
      <c r="J14" s="43">
        <f>G14+$T$9+I14</f>
        <v/>
      </c>
      <c r="K14" s="43">
        <f>$T$11/64</f>
        <v/>
      </c>
      <c r="L14" s="43" t="n">
        <v>0</v>
      </c>
      <c r="M14" s="43" t="n">
        <v>0</v>
      </c>
      <c r="N14" s="43" t="n">
        <v>0</v>
      </c>
      <c r="O14" s="43" t="n">
        <v>0</v>
      </c>
      <c r="P14" s="43" t="n"/>
      <c r="Q14" s="43" t="n"/>
      <c r="R14" s="43">
        <f>(J14+K14+L14+M14+N14+O14)*$B$2</f>
        <v/>
      </c>
      <c r="S14" s="43" t="n"/>
      <c r="T14" s="43" t="n"/>
    </row>
    <row r="15" ht="12.75" customHeight="1">
      <c r="A15" s="40" t="inlineStr">
        <is>
          <t>F10</t>
        </is>
      </c>
      <c r="B15" s="40">
        <f>VLOOKUP(A15,Members!$A$2:$B$65,2,FALSE)</f>
        <v/>
      </c>
      <c r="C15" s="41" t="n">
        <v>0</v>
      </c>
      <c r="D15" s="41">
        <f>SUM($C$3:$C$5)/64</f>
        <v/>
      </c>
      <c r="E15" s="41">
        <f>C15+D15</f>
        <v/>
      </c>
      <c r="F15" s="41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$T$11/64</f>
        <v/>
      </c>
      <c r="L15" s="41" t="n">
        <v>0</v>
      </c>
      <c r="M15" s="41" t="n">
        <v>0</v>
      </c>
      <c r="N15" s="41" t="n">
        <v>0</v>
      </c>
      <c r="O15" s="41" t="n">
        <v>0</v>
      </c>
      <c r="P15" s="41" t="n"/>
      <c r="Q15" s="41" t="n"/>
      <c r="R15" s="41">
        <f>(J15+K15+L15+M15+N15+O15)*$B$2</f>
        <v/>
      </c>
      <c r="S15" s="41" t="inlineStr">
        <is>
          <t>BALANCE IN ACCOUNT ON 28-Feb-2023</t>
        </is>
      </c>
      <c r="T15" s="41" t="n"/>
    </row>
    <row r="16" ht="12.75" customHeight="1">
      <c r="A16" s="42" t="inlineStr">
        <is>
          <t>F11</t>
        </is>
      </c>
      <c r="B16" s="42">
        <f>VLOOKUP(A16,Members!$A$2:$B$65,2,FALSE)</f>
        <v/>
      </c>
      <c r="C16" s="43" t="n">
        <v>0</v>
      </c>
      <c r="D16" s="43">
        <f>SUM($C$3:$C$5)/64</f>
        <v/>
      </c>
      <c r="E16" s="43">
        <f>C16+D16</f>
        <v/>
      </c>
      <c r="F16" s="43">
        <f>IF($C$70=0, 0, E16/$C$70)</f>
        <v/>
      </c>
      <c r="G16" s="43">
        <f>F16*$T$5</f>
        <v/>
      </c>
      <c r="H16" s="43" t="n">
        <v>3</v>
      </c>
      <c r="I16" s="43">
        <f>$T$7*H16</f>
        <v/>
      </c>
      <c r="J16" s="43">
        <f>G16+$T$9+I16</f>
        <v/>
      </c>
      <c r="K16" s="43">
        <f>$T$11/64</f>
        <v/>
      </c>
      <c r="L16" s="43" t="n">
        <v>0</v>
      </c>
      <c r="M16" s="43" t="n">
        <v>0</v>
      </c>
      <c r="N16" s="43" t="n">
        <v>0</v>
      </c>
      <c r="O16" s="43" t="n">
        <v>0</v>
      </c>
      <c r="P16" s="43" t="n"/>
      <c r="Q16" s="43" t="n"/>
      <c r="R16" s="43">
        <f>(J16+K16+L16+M16+N16+O16)*$B$2</f>
        <v/>
      </c>
      <c r="S16" s="43" t="inlineStr">
        <is>
          <t>TOTAL NON MAINTENANCE CORPUS COLLECTION</t>
        </is>
      </c>
      <c r="T16" s="43" t="n"/>
    </row>
    <row r="17" ht="12.75" customHeight="1">
      <c r="A17" s="40" t="inlineStr">
        <is>
          <t>F12</t>
        </is>
      </c>
      <c r="B17" s="40">
        <f>VLOOKUP(A17,Members!$A$2:$B$65,2,FALSE)</f>
        <v/>
      </c>
      <c r="C17" s="41" t="n">
        <v>0</v>
      </c>
      <c r="D17" s="41">
        <f>SUM($C$3:$C$5)/64</f>
        <v/>
      </c>
      <c r="E17" s="41">
        <f>C17+D17</f>
        <v/>
      </c>
      <c r="F17" s="41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$T$11/64</f>
        <v/>
      </c>
      <c r="L17" s="41" t="n">
        <v>0</v>
      </c>
      <c r="M17" s="41" t="n">
        <v>0</v>
      </c>
      <c r="N17" s="41" t="n">
        <v>0</v>
      </c>
      <c r="O17" s="41" t="n">
        <v>0</v>
      </c>
      <c r="P17" s="41" t="n"/>
      <c r="Q17" s="41" t="n"/>
      <c r="R17" s="41">
        <f>(J17+K17+L17+M17+N17+O17)*$B$2</f>
        <v/>
      </c>
      <c r="S17" s="41" t="inlineStr">
        <is>
          <t>TOTAL FD DONE</t>
        </is>
      </c>
      <c r="T17" s="41" t="n"/>
    </row>
    <row r="18" ht="12.75" customHeight="1">
      <c r="A18" s="42" t="inlineStr">
        <is>
          <t>F13</t>
        </is>
      </c>
      <c r="B18" s="42">
        <f>VLOOKUP(A18,Members!$A$2:$B$65,2,FALSE)</f>
        <v/>
      </c>
      <c r="C18" s="43" t="n">
        <v>0</v>
      </c>
      <c r="D18" s="43">
        <f>SUM($C$3:$C$5)/64</f>
        <v/>
      </c>
      <c r="E18" s="43">
        <f>C18+D18</f>
        <v/>
      </c>
      <c r="F18" s="43">
        <f>IF($C$70=0, 0, E18/$C$70)</f>
        <v/>
      </c>
      <c r="G18" s="43">
        <f>F18*$T$5</f>
        <v/>
      </c>
      <c r="H18" s="43" t="n">
        <v>4</v>
      </c>
      <c r="I18" s="43">
        <f>$T$7*H18</f>
        <v/>
      </c>
      <c r="J18" s="43">
        <f>G18+$T$9+I18</f>
        <v/>
      </c>
      <c r="K18" s="43">
        <f>$T$11/64</f>
        <v/>
      </c>
      <c r="L18" s="43" t="n">
        <v>0</v>
      </c>
      <c r="M18" s="43" t="n">
        <v>0</v>
      </c>
      <c r="N18" s="43" t="n">
        <v>0</v>
      </c>
      <c r="O18" s="43" t="n">
        <v>0</v>
      </c>
      <c r="P18" s="43" t="n"/>
      <c r="Q18" s="43" t="n"/>
      <c r="R18" s="43">
        <f>(J18+K18+L18+M18+N18+O18)*$B$2</f>
        <v/>
      </c>
      <c r="S18" s="43" t="inlineStr">
        <is>
          <t>AMOUNT AVAILABLE FOR NON MAINTENANCE CORPUS IN CURRENT AC</t>
        </is>
      </c>
      <c r="T18" s="43">
        <f>T16-T17</f>
        <v/>
      </c>
    </row>
    <row r="19" ht="12.75" customHeight="1">
      <c r="A19" s="40" t="inlineStr">
        <is>
          <t>F14</t>
        </is>
      </c>
      <c r="B19" s="40">
        <f>VLOOKUP(A19,Members!$A$2:$B$65,2,FALSE)</f>
        <v/>
      </c>
      <c r="C19" s="41" t="n">
        <v>0</v>
      </c>
      <c r="D19" s="41">
        <f>SUM($C$3:$C$5)/64</f>
        <v/>
      </c>
      <c r="E19" s="41">
        <f>C19+D19</f>
        <v/>
      </c>
      <c r="F19" s="41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$T$11/64</f>
        <v/>
      </c>
      <c r="L19" s="41" t="n">
        <v>0</v>
      </c>
      <c r="M19" s="41" t="n">
        <v>0</v>
      </c>
      <c r="N19" s="41" t="n">
        <v>0</v>
      </c>
      <c r="O19" s="41" t="n">
        <v>0</v>
      </c>
      <c r="P19" s="41" t="n"/>
      <c r="Q19" s="41" t="n"/>
      <c r="R19" s="41">
        <f>(J19+K19+L19+M19+N19+O19)*$B$2</f>
        <v/>
      </c>
      <c r="S19" s="41" t="inlineStr">
        <is>
          <t>AMOUNT AVAILABLE FOR MAINTENANCE</t>
        </is>
      </c>
      <c r="T19" s="41">
        <f>T15-T18</f>
        <v/>
      </c>
    </row>
    <row r="20" ht="12.75" customHeight="1">
      <c r="A20" s="42" t="inlineStr">
        <is>
          <t>F15</t>
        </is>
      </c>
      <c r="B20" s="42">
        <f>VLOOKUP(A20,Members!$A$2:$B$65,2,FALSE)</f>
        <v/>
      </c>
      <c r="C20" s="43" t="n">
        <v>0</v>
      </c>
      <c r="D20" s="43">
        <f>SUM($C$3:$C$5)/64</f>
        <v/>
      </c>
      <c r="E20" s="43">
        <f>C20+D20</f>
        <v/>
      </c>
      <c r="F20" s="43">
        <f>IF($C$70=0, 0, E20/$C$70)</f>
        <v/>
      </c>
      <c r="G20" s="43">
        <f>F20*$T$5</f>
        <v/>
      </c>
      <c r="H20" s="43" t="n">
        <v>4</v>
      </c>
      <c r="I20" s="43">
        <f>$T$7*H20</f>
        <v/>
      </c>
      <c r="J20" s="43">
        <f>G20+$T$9+I20</f>
        <v/>
      </c>
      <c r="K20" s="43">
        <f>$T$11/64</f>
        <v/>
      </c>
      <c r="L20" s="43" t="n">
        <v>0</v>
      </c>
      <c r="M20" s="43" t="n">
        <v>0</v>
      </c>
      <c r="N20" s="43" t="n">
        <v>0</v>
      </c>
      <c r="O20" s="43" t="n">
        <v>0</v>
      </c>
      <c r="P20" s="43" t="n"/>
      <c r="Q20" s="43" t="n"/>
      <c r="R20" s="43">
        <f>(J20+K20+L20+M20+N20+O20)*$B$2</f>
        <v/>
      </c>
      <c r="S20" s="43" t="inlineStr">
        <is>
          <t>TOTAL EXPENSE FOR THE MONTH</t>
        </is>
      </c>
      <c r="T20" s="43">
        <f>'ANNUAL-EXPENSE-DETAILS'!AD13</f>
        <v/>
      </c>
    </row>
    <row r="21" ht="12.75" customHeight="1">
      <c r="A21" s="40" t="inlineStr">
        <is>
          <t>F16</t>
        </is>
      </c>
      <c r="B21" s="40">
        <f>VLOOKUP(A21,Members!$A$2:$B$65,2,FALSE)</f>
        <v/>
      </c>
      <c r="C21" s="41" t="n">
        <v>0</v>
      </c>
      <c r="D21" s="41">
        <f>SUM($C$3:$C$5)/64</f>
        <v/>
      </c>
      <c r="E21" s="41">
        <f>C21+D21</f>
        <v/>
      </c>
      <c r="F21" s="41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$T$11/64</f>
        <v/>
      </c>
      <c r="L21" s="41" t="n">
        <v>0</v>
      </c>
      <c r="M21" s="41" t="n">
        <v>0</v>
      </c>
      <c r="N21" s="41" t="n">
        <v>0</v>
      </c>
      <c r="O21" s="41" t="n">
        <v>0</v>
      </c>
      <c r="P21" s="41" t="n"/>
      <c r="Q21" s="41" t="n"/>
      <c r="R21" s="41">
        <f>(J21+K21+L21+M21+N21+O21)*$B$2</f>
        <v/>
      </c>
      <c r="S21" s="41" t="inlineStr">
        <is>
          <t>Maintenance deficit</t>
        </is>
      </c>
      <c r="T21" s="41">
        <f>T19-T20</f>
        <v/>
      </c>
    </row>
    <row r="22" ht="12.75" customHeight="1">
      <c r="A22" s="42" t="inlineStr">
        <is>
          <t>G1</t>
        </is>
      </c>
      <c r="B22" s="42">
        <f>VLOOKUP(A22,Members!$A$2:$B$65,2,FALSE)</f>
        <v/>
      </c>
      <c r="C22" s="43" t="n">
        <v>0</v>
      </c>
      <c r="D22" s="43">
        <f>SUM($C$3:$C$5)/64</f>
        <v/>
      </c>
      <c r="E22" s="43">
        <f>C22+D22</f>
        <v/>
      </c>
      <c r="F22" s="43">
        <f>IF($C$70=0, 0, E22/$C$70)</f>
        <v/>
      </c>
      <c r="G22" s="43">
        <f>F22*$T$5</f>
        <v/>
      </c>
      <c r="H22" s="43" t="n">
        <v>3</v>
      </c>
      <c r="I22" s="43">
        <f>$T$7*H22</f>
        <v/>
      </c>
      <c r="J22" s="43">
        <f>G22+$T$9+I22</f>
        <v/>
      </c>
      <c r="K22" s="43">
        <f>$T$11/64</f>
        <v/>
      </c>
      <c r="L22" s="43" t="n">
        <v>0</v>
      </c>
      <c r="M22" s="43" t="n">
        <v>0</v>
      </c>
      <c r="N22" s="43" t="n">
        <v>0</v>
      </c>
      <c r="O22" s="43" t="n">
        <v>0</v>
      </c>
      <c r="P22" s="43" t="n"/>
      <c r="Q22" s="43" t="n"/>
      <c r="R22" s="43">
        <f>(J22+K22+L22+M22+N22+O22)*$B$2</f>
        <v/>
      </c>
      <c r="S22" s="43" t="n"/>
      <c r="T22" s="43" t="n"/>
    </row>
    <row r="23" ht="12.75" customHeight="1">
      <c r="A23" s="40" t="inlineStr">
        <is>
          <t>G2</t>
        </is>
      </c>
      <c r="B23" s="40">
        <f>VLOOKUP(A23,Members!$A$2:$B$65,2,FALSE)</f>
        <v/>
      </c>
      <c r="C23" s="41" t="n">
        <v>0</v>
      </c>
      <c r="D23" s="41">
        <f>SUM($C$3:$C$5)/64</f>
        <v/>
      </c>
      <c r="E23" s="41">
        <f>C23+D23</f>
        <v/>
      </c>
      <c r="F23" s="41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$T$11/64</f>
        <v/>
      </c>
      <c r="L23" s="41" t="n">
        <v>0</v>
      </c>
      <c r="M23" s="41" t="n">
        <v>0</v>
      </c>
      <c r="N23" s="41" t="n">
        <v>0</v>
      </c>
      <c r="O23" s="41" t="n">
        <v>0</v>
      </c>
      <c r="P23" s="41" t="n"/>
      <c r="Q23" s="41" t="n"/>
      <c r="R23" s="41">
        <f>(J23+K23+L23+M23+N23+O23)*$B$2</f>
        <v/>
      </c>
      <c r="S23" s="41" t="n"/>
      <c r="T23" s="41" t="n"/>
    </row>
    <row r="24" ht="12.75" customHeight="1">
      <c r="A24" s="42" t="inlineStr">
        <is>
          <t>G3</t>
        </is>
      </c>
      <c r="B24" s="42">
        <f>VLOOKUP(A24,Members!$A$2:$B$65,2,FALSE)</f>
        <v/>
      </c>
      <c r="C24" s="43" t="n">
        <v>0</v>
      </c>
      <c r="D24" s="43">
        <f>SUM($C$3:$C$5)/64</f>
        <v/>
      </c>
      <c r="E24" s="43">
        <f>C24+D24</f>
        <v/>
      </c>
      <c r="F24" s="43">
        <f>IF($C$70=0, 0, E24/$C$70)</f>
        <v/>
      </c>
      <c r="G24" s="43">
        <f>F24*$T$5</f>
        <v/>
      </c>
      <c r="H24" s="43" t="n">
        <v>4</v>
      </c>
      <c r="I24" s="43">
        <f>$T$7*H24</f>
        <v/>
      </c>
      <c r="J24" s="43">
        <f>G24+$T$9+I24</f>
        <v/>
      </c>
      <c r="K24" s="43">
        <f>$T$11/64</f>
        <v/>
      </c>
      <c r="L24" s="43" t="n">
        <v>0</v>
      </c>
      <c r="M24" s="43" t="n">
        <v>0</v>
      </c>
      <c r="N24" s="43" t="n">
        <v>0</v>
      </c>
      <c r="O24" s="43" t="n">
        <v>0</v>
      </c>
      <c r="P24" s="43" t="n"/>
      <c r="Q24" s="43" t="n"/>
      <c r="R24" s="43">
        <f>(J24+K24+L24+M24+N24+O24)*$B$2</f>
        <v/>
      </c>
      <c r="S24" s="43" t="n"/>
      <c r="T24" s="43" t="n"/>
    </row>
    <row r="25" ht="12.75" customHeight="1">
      <c r="A25" s="40" t="inlineStr">
        <is>
          <t>G4</t>
        </is>
      </c>
      <c r="B25" s="40">
        <f>VLOOKUP(A25,Members!$A$2:$B$65,2,FALSE)</f>
        <v/>
      </c>
      <c r="C25" s="41" t="n">
        <v>0</v>
      </c>
      <c r="D25" s="41">
        <f>SUM($C$3:$C$5)/64</f>
        <v/>
      </c>
      <c r="E25" s="41">
        <f>C25+D25</f>
        <v/>
      </c>
      <c r="F25" s="41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$T$11/64</f>
        <v/>
      </c>
      <c r="L25" s="41" t="n">
        <v>0</v>
      </c>
      <c r="M25" s="41" t="n">
        <v>0</v>
      </c>
      <c r="N25" s="41" t="n">
        <v>0</v>
      </c>
      <c r="O25" s="41" t="n">
        <v>0</v>
      </c>
      <c r="P25" s="41" t="n"/>
      <c r="Q25" s="41" t="n"/>
      <c r="R25" s="41">
        <f>(J25+K25+L25+M25+N25+O25)*$B$2</f>
        <v/>
      </c>
      <c r="S25" s="41" t="n"/>
      <c r="T25" s="41" t="n"/>
    </row>
    <row r="26" ht="12.75" customHeight="1">
      <c r="A26" s="42" t="inlineStr">
        <is>
          <t>G5</t>
        </is>
      </c>
      <c r="B26" s="42">
        <f>VLOOKUP(A26,Members!$A$2:$B$65,2,FALSE)</f>
        <v/>
      </c>
      <c r="C26" s="43" t="n">
        <v>0</v>
      </c>
      <c r="D26" s="43">
        <f>SUM($C$3:$C$5)/64</f>
        <v/>
      </c>
      <c r="E26" s="43">
        <f>C26+D26</f>
        <v/>
      </c>
      <c r="F26" s="43">
        <f>IF($C$70=0, 0, E26/$C$70)</f>
        <v/>
      </c>
      <c r="G26" s="43">
        <f>F26*$T$5</f>
        <v/>
      </c>
      <c r="H26" s="43" t="n">
        <v>3</v>
      </c>
      <c r="I26" s="43">
        <f>$T$7*H26</f>
        <v/>
      </c>
      <c r="J26" s="43">
        <f>G26+$T$9+I26</f>
        <v/>
      </c>
      <c r="K26" s="43">
        <f>$T$11/64</f>
        <v/>
      </c>
      <c r="L26" s="43" t="n">
        <v>0</v>
      </c>
      <c r="M26" s="43" t="n">
        <v>0</v>
      </c>
      <c r="N26" s="43" t="n">
        <v>0</v>
      </c>
      <c r="O26" s="43" t="n">
        <v>0</v>
      </c>
      <c r="P26" s="43" t="n"/>
      <c r="Q26" s="43" t="n"/>
      <c r="R26" s="43">
        <f>(J26+K26+L26+M26+N26+O26)*$B$2</f>
        <v/>
      </c>
      <c r="S26" s="43" t="n"/>
      <c r="T26" s="43" t="n"/>
    </row>
    <row r="27" ht="12.75" customHeight="1">
      <c r="A27" s="40" t="inlineStr">
        <is>
          <t>G6</t>
        </is>
      </c>
      <c r="B27" s="40">
        <f>VLOOKUP(A27,Members!$A$2:$B$65,2,FALSE)</f>
        <v/>
      </c>
      <c r="C27" s="41" t="n">
        <v>0</v>
      </c>
      <c r="D27" s="41">
        <f>SUM($C$3:$C$5)/64</f>
        <v/>
      </c>
      <c r="E27" s="41">
        <f>C27+D27</f>
        <v/>
      </c>
      <c r="F27" s="41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$T$11/64</f>
        <v/>
      </c>
      <c r="L27" s="41" t="n">
        <v>0</v>
      </c>
      <c r="M27" s="41" t="n">
        <v>0</v>
      </c>
      <c r="N27" s="41" t="n">
        <v>0</v>
      </c>
      <c r="O27" s="41" t="n">
        <v>0</v>
      </c>
      <c r="P27" s="41" t="n"/>
      <c r="Q27" s="41" t="n"/>
      <c r="R27" s="41">
        <f>(J27+K27+L27+M27+N27+O27)*$B$2</f>
        <v/>
      </c>
      <c r="S27" s="41" t="n"/>
      <c r="T27" s="41" t="n"/>
    </row>
    <row r="28" ht="12.75" customHeight="1">
      <c r="A28" s="42" t="inlineStr">
        <is>
          <t>G7</t>
        </is>
      </c>
      <c r="B28" s="42">
        <f>VLOOKUP(A28,Members!$A$2:$B$65,2,FALSE)</f>
        <v/>
      </c>
      <c r="C28" s="43" t="n">
        <v>0</v>
      </c>
      <c r="D28" s="43">
        <f>SUM($C$3:$C$5)/64</f>
        <v/>
      </c>
      <c r="E28" s="43">
        <f>C28+D28</f>
        <v/>
      </c>
      <c r="F28" s="43">
        <f>IF($C$70=0, 0, E28/$C$70)</f>
        <v/>
      </c>
      <c r="G28" s="43">
        <f>F28*$T$5</f>
        <v/>
      </c>
      <c r="H28" s="43" t="n">
        <v>3</v>
      </c>
      <c r="I28" s="43">
        <f>$T$7*H28</f>
        <v/>
      </c>
      <c r="J28" s="43">
        <f>G28+$T$9+I28</f>
        <v/>
      </c>
      <c r="K28" s="43">
        <f>$T$11/64</f>
        <v/>
      </c>
      <c r="L28" s="43" t="n">
        <v>0</v>
      </c>
      <c r="M28" s="43" t="n">
        <v>0</v>
      </c>
      <c r="N28" s="43" t="n">
        <v>0</v>
      </c>
      <c r="O28" s="43" t="n">
        <v>0</v>
      </c>
      <c r="P28" s="43" t="n"/>
      <c r="Q28" s="43" t="n"/>
      <c r="R28" s="43">
        <f>(J28+K28+L28+M28+N28+O28)*$B$2</f>
        <v/>
      </c>
      <c r="S28" s="43" t="n"/>
      <c r="T28" s="43" t="n"/>
    </row>
    <row r="29" ht="12.75" customHeight="1">
      <c r="A29" s="40" t="inlineStr">
        <is>
          <t>G8</t>
        </is>
      </c>
      <c r="B29" s="40">
        <f>VLOOKUP(A29,Members!$A$2:$B$65,2,FALSE)</f>
        <v/>
      </c>
      <c r="C29" s="41" t="n">
        <v>0</v>
      </c>
      <c r="D29" s="41">
        <f>SUM($C$3:$C$5)/64</f>
        <v/>
      </c>
      <c r="E29" s="41">
        <f>C29+D29</f>
        <v/>
      </c>
      <c r="F29" s="41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$T$11/64</f>
        <v/>
      </c>
      <c r="L29" s="41" t="n">
        <v>0</v>
      </c>
      <c r="M29" s="41" t="n">
        <v>0</v>
      </c>
      <c r="N29" s="41" t="n">
        <v>0</v>
      </c>
      <c r="O29" s="41" t="n">
        <v>0</v>
      </c>
      <c r="P29" s="41" t="n"/>
      <c r="Q29" s="41" t="n"/>
      <c r="R29" s="41">
        <f>(J29+K29+L29+M29+N29+O29)*$B$2</f>
        <v/>
      </c>
      <c r="S29" s="41" t="n"/>
      <c r="T29" s="41" t="n"/>
    </row>
    <row r="30" ht="12.75" customHeight="1">
      <c r="A30" s="42" t="inlineStr">
        <is>
          <t>G9</t>
        </is>
      </c>
      <c r="B30" s="42">
        <f>VLOOKUP(A30,Members!$A$2:$B$65,2,FALSE)</f>
        <v/>
      </c>
      <c r="C30" s="43" t="n">
        <v>0</v>
      </c>
      <c r="D30" s="43">
        <f>SUM($C$3:$C$5)/64</f>
        <v/>
      </c>
      <c r="E30" s="43">
        <f>C30+D30</f>
        <v/>
      </c>
      <c r="F30" s="43">
        <f>IF($C$70=0, 0, E30/$C$70)</f>
        <v/>
      </c>
      <c r="G30" s="43">
        <f>F30*$T$5</f>
        <v/>
      </c>
      <c r="H30" s="43" t="n">
        <v>5</v>
      </c>
      <c r="I30" s="43">
        <f>$T$7*H30</f>
        <v/>
      </c>
      <c r="J30" s="43">
        <f>G30+$T$9+I30</f>
        <v/>
      </c>
      <c r="K30" s="43">
        <f>$T$11/64</f>
        <v/>
      </c>
      <c r="L30" s="43" t="n">
        <v>0</v>
      </c>
      <c r="M30" s="43" t="n">
        <v>0</v>
      </c>
      <c r="N30" s="43" t="n">
        <v>0</v>
      </c>
      <c r="O30" s="43" t="n">
        <v>0</v>
      </c>
      <c r="P30" s="43" t="n"/>
      <c r="Q30" s="43" t="n"/>
      <c r="R30" s="43">
        <f>(J30+K30+L30+M30+N30+O30)*$B$2</f>
        <v/>
      </c>
      <c r="S30" s="43" t="n"/>
      <c r="T30" s="43" t="n"/>
    </row>
    <row r="31" ht="12.75" customHeight="1">
      <c r="A31" s="40" t="inlineStr">
        <is>
          <t>G10</t>
        </is>
      </c>
      <c r="B31" s="40">
        <f>VLOOKUP(A31,Members!$A$2:$B$65,2,FALSE)</f>
        <v/>
      </c>
      <c r="C31" s="41" t="n">
        <v>0</v>
      </c>
      <c r="D31" s="41">
        <f>SUM($C$3:$C$5)/64</f>
        <v/>
      </c>
      <c r="E31" s="41">
        <f>C31+D31</f>
        <v/>
      </c>
      <c r="F31" s="41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$T$11/64</f>
        <v/>
      </c>
      <c r="L31" s="41" t="n">
        <v>0</v>
      </c>
      <c r="M31" s="41" t="n">
        <v>0</v>
      </c>
      <c r="N31" s="41" t="n">
        <v>0</v>
      </c>
      <c r="O31" s="41" t="n">
        <v>0</v>
      </c>
      <c r="P31" s="41" t="n"/>
      <c r="Q31" s="41" t="n"/>
      <c r="R31" s="41">
        <f>(J31+K31+L31+M31+N31+O31)*$B$2</f>
        <v/>
      </c>
      <c r="S31" s="41" t="n"/>
      <c r="T31" s="41" t="n"/>
    </row>
    <row r="32" ht="12.75" customHeight="1">
      <c r="A32" s="42" t="inlineStr">
        <is>
          <t>G11</t>
        </is>
      </c>
      <c r="B32" s="42">
        <f>VLOOKUP(A32,Members!$A$2:$B$65,2,FALSE)</f>
        <v/>
      </c>
      <c r="C32" s="43" t="n">
        <v>0</v>
      </c>
      <c r="D32" s="43">
        <f>SUM($C$3:$C$5)/64</f>
        <v/>
      </c>
      <c r="E32" s="43">
        <f>C32+D32</f>
        <v/>
      </c>
      <c r="F32" s="43">
        <f>IF($C$70=0, 0, E32/$C$70)</f>
        <v/>
      </c>
      <c r="G32" s="43">
        <f>F32*$T$5</f>
        <v/>
      </c>
      <c r="H32" s="43" t="n">
        <v>3</v>
      </c>
      <c r="I32" s="43">
        <f>$T$7*H32</f>
        <v/>
      </c>
      <c r="J32" s="43">
        <f>G32+$T$9+I32</f>
        <v/>
      </c>
      <c r="K32" s="43">
        <f>$T$11/64</f>
        <v/>
      </c>
      <c r="L32" s="43" t="n">
        <v>0</v>
      </c>
      <c r="M32" s="43" t="n">
        <v>0</v>
      </c>
      <c r="N32" s="43" t="n">
        <v>0</v>
      </c>
      <c r="O32" s="43" t="n">
        <v>0</v>
      </c>
      <c r="P32" s="43" t="n"/>
      <c r="Q32" s="43" t="n"/>
      <c r="R32" s="43">
        <f>(J32+K32+L32+M32+N32+O32)*$B$2</f>
        <v/>
      </c>
      <c r="S32" s="43" t="n"/>
      <c r="T32" s="43" t="n"/>
    </row>
    <row r="33" ht="12.75" customHeight="1">
      <c r="A33" s="40" t="inlineStr">
        <is>
          <t>G12</t>
        </is>
      </c>
      <c r="B33" s="40">
        <f>VLOOKUP(A33,Members!$A$2:$B$65,2,FALSE)</f>
        <v/>
      </c>
      <c r="C33" s="41" t="n">
        <v>0</v>
      </c>
      <c r="D33" s="41">
        <f>SUM($C$3:$C$5)/64</f>
        <v/>
      </c>
      <c r="E33" s="41">
        <f>C33+D33</f>
        <v/>
      </c>
      <c r="F33" s="41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$T$11/64</f>
        <v/>
      </c>
      <c r="L33" s="41" t="n">
        <v>0</v>
      </c>
      <c r="M33" s="41" t="n">
        <v>0</v>
      </c>
      <c r="N33" s="41" t="n">
        <v>0</v>
      </c>
      <c r="O33" s="41" t="n">
        <v>0</v>
      </c>
      <c r="P33" s="41" t="n"/>
      <c r="Q33" s="41" t="n"/>
      <c r="R33" s="41">
        <f>(J33+K33+L33+M33+N33+O33)*$B$2</f>
        <v/>
      </c>
      <c r="S33" s="41" t="n"/>
      <c r="T33" s="41" t="n"/>
    </row>
    <row r="34" ht="12.75" customHeight="1">
      <c r="A34" s="42" t="inlineStr">
        <is>
          <t>G13</t>
        </is>
      </c>
      <c r="B34" s="42">
        <f>VLOOKUP(A34,Members!$A$2:$B$65,2,FALSE)</f>
        <v/>
      </c>
      <c r="C34" s="43" t="n">
        <v>0</v>
      </c>
      <c r="D34" s="43">
        <f>SUM($C$3:$C$5)/64</f>
        <v/>
      </c>
      <c r="E34" s="43">
        <f>C34+D34</f>
        <v/>
      </c>
      <c r="F34" s="43">
        <f>IF($C$70=0, 0, E34/$C$70)</f>
        <v/>
      </c>
      <c r="G34" s="43">
        <f>F34*$T$5</f>
        <v/>
      </c>
      <c r="H34" s="43" t="n">
        <v>4</v>
      </c>
      <c r="I34" s="43">
        <f>$T$7*H34</f>
        <v/>
      </c>
      <c r="J34" s="43">
        <f>G34+$T$9+I34</f>
        <v/>
      </c>
      <c r="K34" s="43">
        <f>$T$11/64</f>
        <v/>
      </c>
      <c r="L34" s="43" t="n">
        <v>0</v>
      </c>
      <c r="M34" s="43" t="n">
        <v>0</v>
      </c>
      <c r="N34" s="43" t="n">
        <v>0</v>
      </c>
      <c r="O34" s="43" t="n">
        <v>0</v>
      </c>
      <c r="P34" s="43" t="n"/>
      <c r="Q34" s="43" t="n"/>
      <c r="R34" s="43">
        <f>(J34+K34+L34+M34+N34+O34)*$B$2</f>
        <v/>
      </c>
      <c r="S34" s="43" t="n"/>
      <c r="T34" s="43" t="n"/>
    </row>
    <row r="35" ht="12.75" customHeight="1">
      <c r="A35" s="40" t="inlineStr">
        <is>
          <t>G14</t>
        </is>
      </c>
      <c r="B35" s="40">
        <f>VLOOKUP(A35,Members!$A$2:$B$65,2,FALSE)</f>
        <v/>
      </c>
      <c r="C35" s="41" t="n">
        <v>0</v>
      </c>
      <c r="D35" s="41">
        <f>SUM($C$3:$C$5)/64</f>
        <v/>
      </c>
      <c r="E35" s="41">
        <f>C35+D35</f>
        <v/>
      </c>
      <c r="F35" s="41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$T$11/64</f>
        <v/>
      </c>
      <c r="L35" s="41" t="n">
        <v>0</v>
      </c>
      <c r="M35" s="41" t="n">
        <v>0</v>
      </c>
      <c r="N35" s="41" t="n">
        <v>0</v>
      </c>
      <c r="O35" s="41" t="n">
        <v>0</v>
      </c>
      <c r="P35" s="41" t="n"/>
      <c r="Q35" s="41" t="n"/>
      <c r="R35" s="41">
        <f>(J35+K35+L35+M35+N35+O35)*$B$2</f>
        <v/>
      </c>
      <c r="S35" s="41" t="n"/>
      <c r="T35" s="41" t="n"/>
    </row>
    <row r="36" ht="12.75" customHeight="1">
      <c r="A36" s="42" t="inlineStr">
        <is>
          <t>G15</t>
        </is>
      </c>
      <c r="B36" s="42">
        <f>VLOOKUP(A36,Members!$A$2:$B$65,2,FALSE)</f>
        <v/>
      </c>
      <c r="C36" s="43" t="n">
        <v>0</v>
      </c>
      <c r="D36" s="43">
        <f>SUM($C$3:$C$5)/64</f>
        <v/>
      </c>
      <c r="E36" s="43">
        <f>C36+D36</f>
        <v/>
      </c>
      <c r="F36" s="43">
        <f>IF($C$70=0, 0, E36/$C$70)</f>
        <v/>
      </c>
      <c r="G36" s="43">
        <f>F36*$T$5</f>
        <v/>
      </c>
      <c r="H36" s="43" t="n">
        <v>4</v>
      </c>
      <c r="I36" s="43">
        <f>$T$7*H36</f>
        <v/>
      </c>
      <c r="J36" s="43">
        <f>G36+$T$9+I36</f>
        <v/>
      </c>
      <c r="K36" s="43">
        <f>$T$11/64</f>
        <v/>
      </c>
      <c r="L36" s="43" t="n">
        <v>0</v>
      </c>
      <c r="M36" s="43" t="n">
        <v>0</v>
      </c>
      <c r="N36" s="43" t="n">
        <v>0</v>
      </c>
      <c r="O36" s="43" t="n">
        <v>0</v>
      </c>
      <c r="P36" s="43" t="n"/>
      <c r="Q36" s="43" t="n"/>
      <c r="R36" s="43">
        <f>(J36+K36+L36+M36+N36+O36)*$B$2</f>
        <v/>
      </c>
      <c r="S36" s="43" t="n"/>
      <c r="T36" s="43" t="n"/>
    </row>
    <row r="37" ht="12.75" customHeight="1">
      <c r="A37" s="40" t="inlineStr">
        <is>
          <t>G16</t>
        </is>
      </c>
      <c r="B37" s="40">
        <f>VLOOKUP(A37,Members!$A$2:$B$65,2,FALSE)</f>
        <v/>
      </c>
      <c r="C37" s="41" t="n">
        <v>0</v>
      </c>
      <c r="D37" s="41">
        <f>SUM($C$3:$C$5)/64</f>
        <v/>
      </c>
      <c r="E37" s="41">
        <f>C37+D37</f>
        <v/>
      </c>
      <c r="F37" s="41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$T$11/64</f>
        <v/>
      </c>
      <c r="L37" s="41" t="n">
        <v>0</v>
      </c>
      <c r="M37" s="41" t="n">
        <v>0</v>
      </c>
      <c r="N37" s="41" t="n">
        <v>0</v>
      </c>
      <c r="O37" s="41" t="n">
        <v>0</v>
      </c>
      <c r="P37" s="41" t="n"/>
      <c r="Q37" s="41" t="n"/>
      <c r="R37" s="41">
        <f>(J37+K37+L37+M37+N37+O37)*$B$2</f>
        <v/>
      </c>
      <c r="S37" s="41" t="n"/>
      <c r="T37" s="41" t="n"/>
    </row>
    <row r="38" ht="12.75" customHeight="1">
      <c r="A38" s="42" t="inlineStr">
        <is>
          <t>S1</t>
        </is>
      </c>
      <c r="B38" s="42">
        <f>VLOOKUP(A38,Members!$A$2:$B$65,2,FALSE)</f>
        <v/>
      </c>
      <c r="C38" s="43" t="n">
        <v>0</v>
      </c>
      <c r="D38" s="43">
        <f>SUM($C$3:$C$5)/64</f>
        <v/>
      </c>
      <c r="E38" s="43">
        <f>C38+D38</f>
        <v/>
      </c>
      <c r="F38" s="43">
        <f>IF($C$70=0, 0, E38/$C$70)</f>
        <v/>
      </c>
      <c r="G38" s="43">
        <f>F38*$T$5</f>
        <v/>
      </c>
      <c r="H38" s="43" t="n">
        <v>3</v>
      </c>
      <c r="I38" s="43">
        <f>$T$7*H38</f>
        <v/>
      </c>
      <c r="J38" s="43">
        <f>G38+$T$9+I38</f>
        <v/>
      </c>
      <c r="K38" s="43">
        <f>$T$11/64</f>
        <v/>
      </c>
      <c r="L38" s="43" t="n">
        <v>0</v>
      </c>
      <c r="M38" s="43" t="n">
        <v>0</v>
      </c>
      <c r="N38" s="43" t="n">
        <v>0</v>
      </c>
      <c r="O38" s="43" t="n">
        <v>0</v>
      </c>
      <c r="P38" s="43" t="n"/>
      <c r="Q38" s="43" t="n"/>
      <c r="R38" s="43">
        <f>(J38+K38+L38+M38+N38+O38)*$B$2</f>
        <v/>
      </c>
      <c r="S38" s="43" t="n"/>
      <c r="T38" s="43" t="n"/>
    </row>
    <row r="39" ht="12.75" customHeight="1">
      <c r="A39" s="40" t="inlineStr">
        <is>
          <t>S2</t>
        </is>
      </c>
      <c r="B39" s="40">
        <f>VLOOKUP(A39,Members!$A$2:$B$65,2,FALSE)</f>
        <v/>
      </c>
      <c r="C39" s="41" t="n">
        <v>0</v>
      </c>
      <c r="D39" s="41">
        <f>SUM($C$3:$C$5)/64</f>
        <v/>
      </c>
      <c r="E39" s="41">
        <f>C39+D39</f>
        <v/>
      </c>
      <c r="F39" s="41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$T$11/64</f>
        <v/>
      </c>
      <c r="L39" s="41" t="n">
        <v>0</v>
      </c>
      <c r="M39" s="41" t="n">
        <v>0</v>
      </c>
      <c r="N39" s="41" t="n">
        <v>0</v>
      </c>
      <c r="O39" s="41" t="n">
        <v>0</v>
      </c>
      <c r="P39" s="41" t="n"/>
      <c r="Q39" s="41" t="n"/>
      <c r="R39" s="41">
        <f>(J39+K39+L39+M39+N39+O39)*$B$2</f>
        <v/>
      </c>
      <c r="S39" s="41" t="n"/>
      <c r="T39" s="41" t="n"/>
    </row>
    <row r="40" ht="12.75" customHeight="1">
      <c r="A40" s="42" t="inlineStr">
        <is>
          <t>S3</t>
        </is>
      </c>
      <c r="B40" s="42">
        <f>VLOOKUP(A40,Members!$A$2:$B$65,2,FALSE)</f>
        <v/>
      </c>
      <c r="C40" s="43" t="n">
        <v>0</v>
      </c>
      <c r="D40" s="43">
        <f>SUM($C$3:$C$5)/64</f>
        <v/>
      </c>
      <c r="E40" s="43">
        <f>C40+D40</f>
        <v/>
      </c>
      <c r="F40" s="43">
        <f>IF($C$70=0, 0, E40/$C$70)</f>
        <v/>
      </c>
      <c r="G40" s="43">
        <f>F40*$T$5</f>
        <v/>
      </c>
      <c r="H40" s="43" t="n">
        <v>4</v>
      </c>
      <c r="I40" s="43">
        <f>$T$7*H40</f>
        <v/>
      </c>
      <c r="J40" s="43">
        <f>G40+$T$9+I40</f>
        <v/>
      </c>
      <c r="K40" s="43">
        <f>$T$11/64</f>
        <v/>
      </c>
      <c r="L40" s="43" t="n">
        <v>0</v>
      </c>
      <c r="M40" s="43" t="n">
        <v>0</v>
      </c>
      <c r="N40" s="43" t="n">
        <v>0</v>
      </c>
      <c r="O40" s="43" t="n">
        <v>0</v>
      </c>
      <c r="P40" s="43" t="n"/>
      <c r="Q40" s="43" t="n"/>
      <c r="R40" s="43">
        <f>(J40+K40+L40+M40+N40+O40)*$B$2</f>
        <v/>
      </c>
      <c r="S40" s="43" t="n"/>
      <c r="T40" s="43" t="n"/>
    </row>
    <row r="41" ht="12.75" customHeight="1">
      <c r="A41" s="40" t="inlineStr">
        <is>
          <t>S4</t>
        </is>
      </c>
      <c r="B41" s="40">
        <f>VLOOKUP(A41,Members!$A$2:$B$65,2,FALSE)</f>
        <v/>
      </c>
      <c r="C41" s="41" t="n">
        <v>0</v>
      </c>
      <c r="D41" s="41">
        <f>SUM($C$3:$C$5)/64</f>
        <v/>
      </c>
      <c r="E41" s="41">
        <f>C41+D41</f>
        <v/>
      </c>
      <c r="F41" s="41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$T$11/64</f>
        <v/>
      </c>
      <c r="L41" s="41" t="n">
        <v>0</v>
      </c>
      <c r="M41" s="41" t="n">
        <v>0</v>
      </c>
      <c r="N41" s="41" t="n">
        <v>0</v>
      </c>
      <c r="O41" s="41" t="n">
        <v>0</v>
      </c>
      <c r="P41" s="41" t="n"/>
      <c r="Q41" s="41" t="n"/>
      <c r="R41" s="41">
        <f>(J41+K41+L41+M41+N41+O41)*$B$2</f>
        <v/>
      </c>
      <c r="S41" s="41" t="n"/>
      <c r="T41" s="41" t="n"/>
    </row>
    <row r="42" ht="12.75" customHeight="1">
      <c r="A42" s="42" t="inlineStr">
        <is>
          <t>S5</t>
        </is>
      </c>
      <c r="B42" s="42">
        <f>VLOOKUP(A42,Members!$A$2:$B$65,2,FALSE)</f>
        <v/>
      </c>
      <c r="C42" s="43" t="n">
        <v>0</v>
      </c>
      <c r="D42" s="43">
        <f>SUM($C$3:$C$5)/64</f>
        <v/>
      </c>
      <c r="E42" s="43">
        <f>C42+D42</f>
        <v/>
      </c>
      <c r="F42" s="43">
        <f>IF($C$70=0, 0, E42/$C$70)</f>
        <v/>
      </c>
      <c r="G42" s="43">
        <f>F42*$T$5</f>
        <v/>
      </c>
      <c r="H42" s="43" t="n">
        <v>3</v>
      </c>
      <c r="I42" s="43">
        <f>$T$7*H42</f>
        <v/>
      </c>
      <c r="J42" s="43">
        <f>G42+$T$9+I42</f>
        <v/>
      </c>
      <c r="K42" s="43">
        <f>$T$11/64</f>
        <v/>
      </c>
      <c r="L42" s="43" t="n">
        <v>0</v>
      </c>
      <c r="M42" s="43" t="n">
        <v>0</v>
      </c>
      <c r="N42" s="43" t="n">
        <v>0</v>
      </c>
      <c r="O42" s="43" t="n">
        <v>0</v>
      </c>
      <c r="P42" s="43" t="n"/>
      <c r="Q42" s="43" t="n"/>
      <c r="R42" s="43">
        <f>(J42+K42+L42+M42+N42+O42)*$B$2</f>
        <v/>
      </c>
      <c r="S42" s="43" t="n"/>
      <c r="T42" s="43" t="n"/>
    </row>
    <row r="43" ht="12.75" customHeight="1">
      <c r="A43" s="40" t="inlineStr">
        <is>
          <t>S6</t>
        </is>
      </c>
      <c r="B43" s="40">
        <f>VLOOKUP(A43,Members!$A$2:$B$65,2,FALSE)</f>
        <v/>
      </c>
      <c r="C43" s="41" t="n">
        <v>0</v>
      </c>
      <c r="D43" s="41">
        <f>SUM($C$3:$C$5)/64</f>
        <v/>
      </c>
      <c r="E43" s="41">
        <f>C43+D43</f>
        <v/>
      </c>
      <c r="F43" s="41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$T$11/64</f>
        <v/>
      </c>
      <c r="L43" s="41" t="n">
        <v>0</v>
      </c>
      <c r="M43" s="41" t="n">
        <v>0</v>
      </c>
      <c r="N43" s="41" t="n">
        <v>0</v>
      </c>
      <c r="O43" s="41" t="n">
        <v>0</v>
      </c>
      <c r="P43" s="41" t="n"/>
      <c r="Q43" s="41" t="n"/>
      <c r="R43" s="41">
        <f>(J43+K43+L43+M43+N43+O43)*$B$2</f>
        <v/>
      </c>
      <c r="S43" s="41" t="n"/>
      <c r="T43" s="41" t="n"/>
    </row>
    <row r="44" ht="12.75" customHeight="1">
      <c r="A44" s="42" t="inlineStr">
        <is>
          <t>S7</t>
        </is>
      </c>
      <c r="B44" s="42">
        <f>VLOOKUP(A44,Members!$A$2:$B$65,2,FALSE)</f>
        <v/>
      </c>
      <c r="C44" s="43" t="n">
        <v>0</v>
      </c>
      <c r="D44" s="43">
        <f>SUM($C$3:$C$5)/64</f>
        <v/>
      </c>
      <c r="E44" s="43">
        <f>C44+D44</f>
        <v/>
      </c>
      <c r="F44" s="43">
        <f>IF($C$70=0, 0, E44/$C$70)</f>
        <v/>
      </c>
      <c r="G44" s="43">
        <f>F44*$T$5</f>
        <v/>
      </c>
      <c r="H44" s="43" t="n">
        <v>3</v>
      </c>
      <c r="I44" s="43">
        <f>$T$7*H44</f>
        <v/>
      </c>
      <c r="J44" s="43">
        <f>G44+$T$9+I44</f>
        <v/>
      </c>
      <c r="K44" s="43">
        <f>$T$11/64</f>
        <v/>
      </c>
      <c r="L44" s="43" t="n">
        <v>0</v>
      </c>
      <c r="M44" s="43" t="n">
        <v>0</v>
      </c>
      <c r="N44" s="43" t="n">
        <v>0</v>
      </c>
      <c r="O44" s="43" t="n">
        <v>0</v>
      </c>
      <c r="P44" s="43" t="n"/>
      <c r="Q44" s="43" t="n"/>
      <c r="R44" s="43">
        <f>(J44+K44+L44+M44+N44+O44)*$B$2</f>
        <v/>
      </c>
      <c r="S44" s="43" t="n"/>
      <c r="T44" s="43" t="n"/>
    </row>
    <row r="45" ht="12.75" customHeight="1">
      <c r="A45" s="40" t="inlineStr">
        <is>
          <t>S8</t>
        </is>
      </c>
      <c r="B45" s="40">
        <f>VLOOKUP(A45,Members!$A$2:$B$65,2,FALSE)</f>
        <v/>
      </c>
      <c r="C45" s="41" t="n">
        <v>0</v>
      </c>
      <c r="D45" s="41">
        <f>SUM($C$3:$C$5)/64</f>
        <v/>
      </c>
      <c r="E45" s="41">
        <f>C45+D45</f>
        <v/>
      </c>
      <c r="F45" s="41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$T$11/64</f>
        <v/>
      </c>
      <c r="L45" s="41" t="n">
        <v>0</v>
      </c>
      <c r="M45" s="41" t="n">
        <v>0</v>
      </c>
      <c r="N45" s="41" t="n">
        <v>0</v>
      </c>
      <c r="O45" s="41" t="n">
        <v>0</v>
      </c>
      <c r="P45" s="41" t="n"/>
      <c r="Q45" s="41" t="n"/>
      <c r="R45" s="41">
        <f>(J45+K45+L45+M45+N45+O45)*$B$2</f>
        <v/>
      </c>
      <c r="S45" s="41" t="n"/>
      <c r="T45" s="41" t="n"/>
    </row>
    <row r="46" ht="12.75" customHeight="1">
      <c r="A46" s="42" t="inlineStr">
        <is>
          <t>S9</t>
        </is>
      </c>
      <c r="B46" s="42">
        <f>VLOOKUP(A46,Members!$A$2:$B$65,2,FALSE)</f>
        <v/>
      </c>
      <c r="C46" s="43" t="n">
        <v>0</v>
      </c>
      <c r="D46" s="43">
        <f>SUM($C$3:$C$5)/64</f>
        <v/>
      </c>
      <c r="E46" s="43">
        <f>C46+D46</f>
        <v/>
      </c>
      <c r="F46" s="43">
        <f>IF($C$70=0, 0, E46/$C$70)</f>
        <v/>
      </c>
      <c r="G46" s="43">
        <f>F46*$T$5</f>
        <v/>
      </c>
      <c r="H46" s="43" t="n">
        <v>4</v>
      </c>
      <c r="I46" s="43">
        <f>$T$7*H46</f>
        <v/>
      </c>
      <c r="J46" s="43">
        <f>G46+$T$9+I46</f>
        <v/>
      </c>
      <c r="K46" s="43">
        <f>$T$11/64</f>
        <v/>
      </c>
      <c r="L46" s="43" t="n">
        <v>0</v>
      </c>
      <c r="M46" s="43" t="n">
        <v>0</v>
      </c>
      <c r="N46" s="43" t="n">
        <v>0</v>
      </c>
      <c r="O46" s="43" t="n">
        <v>0</v>
      </c>
      <c r="P46" s="43" t="n"/>
      <c r="Q46" s="43" t="n"/>
      <c r="R46" s="43">
        <f>(J46+K46+L46+M46+N46+O46)*$B$2</f>
        <v/>
      </c>
      <c r="S46" s="43" t="n"/>
      <c r="T46" s="43" t="n"/>
    </row>
    <row r="47" ht="12.75" customHeight="1">
      <c r="A47" s="40" t="inlineStr">
        <is>
          <t>S10</t>
        </is>
      </c>
      <c r="B47" s="40">
        <f>VLOOKUP(A47,Members!$A$2:$B$65,2,FALSE)</f>
        <v/>
      </c>
      <c r="C47" s="41" t="n">
        <v>0</v>
      </c>
      <c r="D47" s="41">
        <f>SUM($C$3:$C$5)/64</f>
        <v/>
      </c>
      <c r="E47" s="41">
        <f>C47+D47</f>
        <v/>
      </c>
      <c r="F47" s="41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$T$11/64</f>
        <v/>
      </c>
      <c r="L47" s="41" t="n">
        <v>0</v>
      </c>
      <c r="M47" s="41" t="n">
        <v>0</v>
      </c>
      <c r="N47" s="41" t="n">
        <v>0</v>
      </c>
      <c r="O47" s="41" t="n">
        <v>0</v>
      </c>
      <c r="P47" s="41" t="n"/>
      <c r="Q47" s="41" t="n"/>
      <c r="R47" s="41">
        <f>(J47+K47+L47+M47+N47+O47)*$B$2</f>
        <v/>
      </c>
      <c r="S47" s="41" t="n"/>
      <c r="T47" s="41" t="n"/>
    </row>
    <row r="48" ht="12.75" customHeight="1">
      <c r="A48" s="42" t="inlineStr">
        <is>
          <t>S11</t>
        </is>
      </c>
      <c r="B48" s="42">
        <f>VLOOKUP(A48,Members!$A$2:$B$65,2,FALSE)</f>
        <v/>
      </c>
      <c r="C48" s="43" t="n">
        <v>0</v>
      </c>
      <c r="D48" s="43">
        <f>SUM($C$3:$C$5)/64</f>
        <v/>
      </c>
      <c r="E48" s="43">
        <f>C48+D48</f>
        <v/>
      </c>
      <c r="F48" s="43">
        <f>IF($C$70=0, 0, E48/$C$70)</f>
        <v/>
      </c>
      <c r="G48" s="43">
        <f>F48*$T$5</f>
        <v/>
      </c>
      <c r="H48" s="43" t="n">
        <v>3</v>
      </c>
      <c r="I48" s="43">
        <f>$T$7*H48</f>
        <v/>
      </c>
      <c r="J48" s="43">
        <f>G48+$T$9+I48</f>
        <v/>
      </c>
      <c r="K48" s="43">
        <f>$T$11/64</f>
        <v/>
      </c>
      <c r="L48" s="43" t="n">
        <v>0</v>
      </c>
      <c r="M48" s="43" t="n">
        <v>0</v>
      </c>
      <c r="N48" s="43" t="n">
        <v>0</v>
      </c>
      <c r="O48" s="43" t="n">
        <v>0</v>
      </c>
      <c r="P48" s="43" t="n"/>
      <c r="Q48" s="43" t="n"/>
      <c r="R48" s="43">
        <f>(J48+K48+L48+M48+N48+O48)*$B$2</f>
        <v/>
      </c>
      <c r="S48" s="43" t="n"/>
      <c r="T48" s="43" t="n"/>
    </row>
    <row r="49" ht="12.75" customHeight="1">
      <c r="A49" s="40" t="inlineStr">
        <is>
          <t>S12</t>
        </is>
      </c>
      <c r="B49" s="40">
        <f>VLOOKUP(A49,Members!$A$2:$B$65,2,FALSE)</f>
        <v/>
      </c>
      <c r="C49" s="41" t="n">
        <v>0</v>
      </c>
      <c r="D49" s="41">
        <f>SUM($C$3:$C$5)/64</f>
        <v/>
      </c>
      <c r="E49" s="41">
        <f>C49+D49</f>
        <v/>
      </c>
      <c r="F49" s="41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$T$11/64</f>
        <v/>
      </c>
      <c r="L49" s="41" t="n">
        <v>0</v>
      </c>
      <c r="M49" s="41" t="n">
        <v>0</v>
      </c>
      <c r="N49" s="41" t="n">
        <v>0</v>
      </c>
      <c r="O49" s="41" t="n">
        <v>0</v>
      </c>
      <c r="P49" s="41" t="n"/>
      <c r="Q49" s="41" t="n"/>
      <c r="R49" s="41">
        <f>(J49+K49+L49+M49+N49+O49)*$B$2</f>
        <v/>
      </c>
      <c r="S49" s="41" t="n"/>
      <c r="T49" s="41" t="n"/>
    </row>
    <row r="50" ht="12.75" customHeight="1">
      <c r="A50" s="42" t="inlineStr">
        <is>
          <t>S13</t>
        </is>
      </c>
      <c r="B50" s="42">
        <f>VLOOKUP(A50,Members!$A$2:$B$65,2,FALSE)</f>
        <v/>
      </c>
      <c r="C50" s="43" t="n">
        <v>0</v>
      </c>
      <c r="D50" s="43">
        <f>SUM($C$3:$C$5)/64</f>
        <v/>
      </c>
      <c r="E50" s="43">
        <f>C50+D50</f>
        <v/>
      </c>
      <c r="F50" s="43">
        <f>IF($C$70=0, 0, E50/$C$70)</f>
        <v/>
      </c>
      <c r="G50" s="43">
        <f>F50*$T$5</f>
        <v/>
      </c>
      <c r="H50" s="43" t="n">
        <v>4</v>
      </c>
      <c r="I50" s="43">
        <f>$T$7*H50</f>
        <v/>
      </c>
      <c r="J50" s="43">
        <f>G50+$T$9+I50</f>
        <v/>
      </c>
      <c r="K50" s="43">
        <f>$T$11/64</f>
        <v/>
      </c>
      <c r="L50" s="43" t="n">
        <v>0</v>
      </c>
      <c r="M50" s="43" t="n">
        <v>0</v>
      </c>
      <c r="N50" s="43" t="n">
        <v>0</v>
      </c>
      <c r="O50" s="43" t="n">
        <v>0</v>
      </c>
      <c r="P50" s="43" t="n"/>
      <c r="Q50" s="43" t="n"/>
      <c r="R50" s="43">
        <f>(J50+K50+L50+M50+N50+O50)*$B$2</f>
        <v/>
      </c>
      <c r="S50" s="43" t="n"/>
      <c r="T50" s="43" t="n"/>
    </row>
    <row r="51" ht="12.75" customHeight="1">
      <c r="A51" s="40" t="inlineStr">
        <is>
          <t>S14</t>
        </is>
      </c>
      <c r="B51" s="40">
        <f>VLOOKUP(A51,Members!$A$2:$B$65,2,FALSE)</f>
        <v/>
      </c>
      <c r="C51" s="41" t="n">
        <v>0</v>
      </c>
      <c r="D51" s="41">
        <f>SUM($C$3:$C$5)/64</f>
        <v/>
      </c>
      <c r="E51" s="41">
        <f>C51+D51</f>
        <v/>
      </c>
      <c r="F51" s="41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$T$11/64</f>
        <v/>
      </c>
      <c r="L51" s="41" t="n">
        <v>0</v>
      </c>
      <c r="M51" s="41" t="n">
        <v>0</v>
      </c>
      <c r="N51" s="41" t="n">
        <v>0</v>
      </c>
      <c r="O51" s="41" t="n">
        <v>0</v>
      </c>
      <c r="P51" s="41" t="n"/>
      <c r="Q51" s="41" t="n"/>
      <c r="R51" s="41">
        <f>(J51+K51+L51+M51+N51+O51)*$B$2</f>
        <v/>
      </c>
      <c r="S51" s="41" t="n"/>
      <c r="T51" s="41" t="n"/>
    </row>
    <row r="52" ht="12.75" customHeight="1">
      <c r="A52" s="42" t="inlineStr">
        <is>
          <t>S15</t>
        </is>
      </c>
      <c r="B52" s="42">
        <f>VLOOKUP(A52,Members!$A$2:$B$65,2,FALSE)</f>
        <v/>
      </c>
      <c r="C52" s="43" t="n">
        <v>0</v>
      </c>
      <c r="D52" s="43">
        <f>SUM($C$3:$C$5)/64</f>
        <v/>
      </c>
      <c r="E52" s="43">
        <f>C52+D52</f>
        <v/>
      </c>
      <c r="F52" s="43">
        <f>IF($C$70=0, 0, E52/$C$70)</f>
        <v/>
      </c>
      <c r="G52" s="43">
        <f>F52*$T$5</f>
        <v/>
      </c>
      <c r="H52" s="43" t="n">
        <v>4</v>
      </c>
      <c r="I52" s="43">
        <f>$T$7*H52</f>
        <v/>
      </c>
      <c r="J52" s="43">
        <f>G52+$T$9+I52</f>
        <v/>
      </c>
      <c r="K52" s="43">
        <f>$T$11/64</f>
        <v/>
      </c>
      <c r="L52" s="43" t="n">
        <v>0</v>
      </c>
      <c r="M52" s="43" t="n">
        <v>0</v>
      </c>
      <c r="N52" s="43" t="n">
        <v>0</v>
      </c>
      <c r="O52" s="43" t="n">
        <v>0</v>
      </c>
      <c r="P52" s="43" t="n"/>
      <c r="Q52" s="43" t="n"/>
      <c r="R52" s="43">
        <f>(J52+K52+L52+M52+N52+O52)*$B$2</f>
        <v/>
      </c>
      <c r="S52" s="43" t="n"/>
      <c r="T52" s="43" t="n"/>
    </row>
    <row r="53" ht="12.75" customHeight="1">
      <c r="A53" s="40" t="inlineStr">
        <is>
          <t>S16</t>
        </is>
      </c>
      <c r="B53" s="40">
        <f>VLOOKUP(A53,Members!$A$2:$B$65,2,FALSE)</f>
        <v/>
      </c>
      <c r="C53" s="41" t="n">
        <v>0</v>
      </c>
      <c r="D53" s="41">
        <f>SUM($C$3:$C$5)/64</f>
        <v/>
      </c>
      <c r="E53" s="41">
        <f>C53+D53</f>
        <v/>
      </c>
      <c r="F53" s="41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$T$11/64</f>
        <v/>
      </c>
      <c r="L53" s="41" t="n">
        <v>0</v>
      </c>
      <c r="M53" s="41" t="n">
        <v>0</v>
      </c>
      <c r="N53" s="41" t="n">
        <v>0</v>
      </c>
      <c r="O53" s="41" t="n">
        <v>0</v>
      </c>
      <c r="P53" s="41" t="n"/>
      <c r="Q53" s="41" t="n"/>
      <c r="R53" s="41">
        <f>(J53+K53+L53+M53+N53+O53)*$B$2</f>
        <v/>
      </c>
      <c r="S53" s="41" t="n"/>
      <c r="T53" s="41" t="n"/>
    </row>
    <row r="54" ht="12.75" customHeight="1">
      <c r="A54" s="42" t="inlineStr">
        <is>
          <t>T1</t>
        </is>
      </c>
      <c r="B54" s="42">
        <f>VLOOKUP(A54,Members!$A$2:$B$65,2,FALSE)</f>
        <v/>
      </c>
      <c r="C54" s="43" t="n">
        <v>0</v>
      </c>
      <c r="D54" s="43">
        <f>SUM($C$3:$C$5)/64</f>
        <v/>
      </c>
      <c r="E54" s="43">
        <f>C54+D54</f>
        <v/>
      </c>
      <c r="F54" s="43">
        <f>IF($C$70=0, 0, E54/$C$70)</f>
        <v/>
      </c>
      <c r="G54" s="43">
        <f>F54*$T$5</f>
        <v/>
      </c>
      <c r="H54" s="43" t="n">
        <v>3</v>
      </c>
      <c r="I54" s="43">
        <f>$T$7*H54</f>
        <v/>
      </c>
      <c r="J54" s="43">
        <f>G54+$T$9+I54</f>
        <v/>
      </c>
      <c r="K54" s="43">
        <f>$T$11/64</f>
        <v/>
      </c>
      <c r="L54" s="43" t="n">
        <v>0</v>
      </c>
      <c r="M54" s="43" t="n">
        <v>0</v>
      </c>
      <c r="N54" s="43" t="n">
        <v>0</v>
      </c>
      <c r="O54" s="43" t="n">
        <v>0</v>
      </c>
      <c r="P54" s="43" t="n"/>
      <c r="Q54" s="43" t="n"/>
      <c r="R54" s="43">
        <f>(J54+K54+L54+M54+N54+O54)*$B$2</f>
        <v/>
      </c>
      <c r="S54" s="43" t="n"/>
      <c r="T54" s="43" t="n"/>
    </row>
    <row r="55" ht="12.75" customHeight="1">
      <c r="A55" s="40" t="inlineStr">
        <is>
          <t>T2</t>
        </is>
      </c>
      <c r="B55" s="40">
        <f>VLOOKUP(A55,Members!$A$2:$B$65,2,FALSE)</f>
        <v/>
      </c>
      <c r="C55" s="41" t="n">
        <v>0</v>
      </c>
      <c r="D55" s="41">
        <f>SUM($C$3:$C$5)/64</f>
        <v/>
      </c>
      <c r="E55" s="41">
        <f>C55+D55</f>
        <v/>
      </c>
      <c r="F55" s="41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$T$11/64</f>
        <v/>
      </c>
      <c r="L55" s="41" t="n">
        <v>0</v>
      </c>
      <c r="M55" s="41" t="n">
        <v>0</v>
      </c>
      <c r="N55" s="41" t="n">
        <v>0</v>
      </c>
      <c r="O55" s="41" t="n">
        <v>0</v>
      </c>
      <c r="P55" s="41" t="n"/>
      <c r="Q55" s="41" t="n"/>
      <c r="R55" s="41">
        <f>(J55+K55+L55+M55+N55+O55)*$B$2</f>
        <v/>
      </c>
      <c r="S55" s="41" t="n"/>
      <c r="T55" s="41" t="n"/>
    </row>
    <row r="56" ht="12.75" customHeight="1">
      <c r="A56" s="42" t="inlineStr">
        <is>
          <t>T3</t>
        </is>
      </c>
      <c r="B56" s="42">
        <f>VLOOKUP(A56,Members!$A$2:$B$65,2,FALSE)</f>
        <v/>
      </c>
      <c r="C56" s="43" t="n">
        <v>0</v>
      </c>
      <c r="D56" s="43">
        <f>SUM($C$3:$C$5)/64</f>
        <v/>
      </c>
      <c r="E56" s="43">
        <f>C56+D56</f>
        <v/>
      </c>
      <c r="F56" s="43">
        <f>IF($C$70=0, 0, E56/$C$70)</f>
        <v/>
      </c>
      <c r="G56" s="43">
        <f>F56*$T$5</f>
        <v/>
      </c>
      <c r="H56" s="43" t="n">
        <v>4</v>
      </c>
      <c r="I56" s="43">
        <f>$T$7*H56</f>
        <v/>
      </c>
      <c r="J56" s="43">
        <f>G56+$T$9+I56</f>
        <v/>
      </c>
      <c r="K56" s="43">
        <f>$T$11/64</f>
        <v/>
      </c>
      <c r="L56" s="43" t="n">
        <v>0</v>
      </c>
      <c r="M56" s="43" t="n">
        <v>0</v>
      </c>
      <c r="N56" s="43" t="n">
        <v>0</v>
      </c>
      <c r="O56" s="43" t="n">
        <v>0</v>
      </c>
      <c r="P56" s="43" t="n"/>
      <c r="Q56" s="43" t="n"/>
      <c r="R56" s="43">
        <f>(J56+K56+L56+M56+N56+O56)*$B$2</f>
        <v/>
      </c>
      <c r="S56" s="43" t="n"/>
      <c r="T56" s="43" t="n"/>
    </row>
    <row r="57" ht="12.75" customHeight="1">
      <c r="A57" s="40" t="inlineStr">
        <is>
          <t>T4</t>
        </is>
      </c>
      <c r="B57" s="40">
        <f>VLOOKUP(A57,Members!$A$2:$B$65,2,FALSE)</f>
        <v/>
      </c>
      <c r="C57" s="41" t="n">
        <v>0</v>
      </c>
      <c r="D57" s="41">
        <f>SUM($C$3:$C$5)/64</f>
        <v/>
      </c>
      <c r="E57" s="41">
        <f>C57+D57</f>
        <v/>
      </c>
      <c r="F57" s="41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$T$11/64</f>
        <v/>
      </c>
      <c r="L57" s="41" t="n">
        <v>0</v>
      </c>
      <c r="M57" s="41" t="n">
        <v>0</v>
      </c>
      <c r="N57" s="41" t="n">
        <v>0</v>
      </c>
      <c r="O57" s="41" t="n">
        <v>0</v>
      </c>
      <c r="P57" s="41" t="n"/>
      <c r="Q57" s="41" t="n"/>
      <c r="R57" s="41">
        <f>(J57+K57+L57+M57+N57+O57)*$B$2</f>
        <v/>
      </c>
      <c r="S57" s="41" t="n"/>
      <c r="T57" s="41" t="n"/>
    </row>
    <row r="58" ht="12.75" customHeight="1">
      <c r="A58" s="42" t="inlineStr">
        <is>
          <t>T5</t>
        </is>
      </c>
      <c r="B58" s="42">
        <f>VLOOKUP(A58,Members!$A$2:$B$65,2,FALSE)</f>
        <v/>
      </c>
      <c r="C58" s="43" t="n">
        <v>0</v>
      </c>
      <c r="D58" s="43">
        <f>SUM($C$3:$C$5)/64</f>
        <v/>
      </c>
      <c r="E58" s="43">
        <f>C58+D58</f>
        <v/>
      </c>
      <c r="F58" s="43">
        <f>IF($C$70=0, 0, E58/$C$70)</f>
        <v/>
      </c>
      <c r="G58" s="43">
        <f>F58*$T$5</f>
        <v/>
      </c>
      <c r="H58" s="43" t="n">
        <v>3</v>
      </c>
      <c r="I58" s="43">
        <f>$T$7*H58</f>
        <v/>
      </c>
      <c r="J58" s="43">
        <f>G58+$T$9+I58</f>
        <v/>
      </c>
      <c r="K58" s="43">
        <f>$T$11/64</f>
        <v/>
      </c>
      <c r="L58" s="43" t="n">
        <v>0</v>
      </c>
      <c r="M58" s="43" t="n">
        <v>0</v>
      </c>
      <c r="N58" s="43" t="n">
        <v>0</v>
      </c>
      <c r="O58" s="43" t="n">
        <v>0</v>
      </c>
      <c r="P58" s="43" t="n"/>
      <c r="Q58" s="43" t="n"/>
      <c r="R58" s="43">
        <f>(J58+K58+L58+M58+N58+O58)*$B$2</f>
        <v/>
      </c>
      <c r="S58" s="43" t="n"/>
      <c r="T58" s="43" t="n"/>
    </row>
    <row r="59" ht="12.75" customHeight="1">
      <c r="A59" s="40" t="inlineStr">
        <is>
          <t>T6</t>
        </is>
      </c>
      <c r="B59" s="40">
        <f>VLOOKUP(A59,Members!$A$2:$B$65,2,FALSE)</f>
        <v/>
      </c>
      <c r="C59" s="41" t="n">
        <v>0</v>
      </c>
      <c r="D59" s="41">
        <f>SUM($C$3:$C$5)/64</f>
        <v/>
      </c>
      <c r="E59" s="41">
        <f>C59+D59</f>
        <v/>
      </c>
      <c r="F59" s="41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$T$11/64</f>
        <v/>
      </c>
      <c r="L59" s="41" t="n">
        <v>0</v>
      </c>
      <c r="M59" s="41" t="n">
        <v>0</v>
      </c>
      <c r="N59" s="41" t="n">
        <v>0</v>
      </c>
      <c r="O59" s="41" t="n">
        <v>0</v>
      </c>
      <c r="P59" s="41" t="n"/>
      <c r="Q59" s="41" t="n"/>
      <c r="R59" s="41">
        <f>(J59+K59+L59+M59+N59+O59)*$B$2</f>
        <v/>
      </c>
      <c r="S59" s="41" t="n"/>
      <c r="T59" s="41" t="n"/>
    </row>
    <row r="60" ht="12.75" customHeight="1">
      <c r="A60" s="42" t="inlineStr">
        <is>
          <t>T7</t>
        </is>
      </c>
      <c r="B60" s="42">
        <f>VLOOKUP(A60,Members!$A$2:$B$65,2,FALSE)</f>
        <v/>
      </c>
      <c r="C60" s="43" t="n">
        <v>0</v>
      </c>
      <c r="D60" s="43">
        <f>SUM($C$3:$C$5)/64</f>
        <v/>
      </c>
      <c r="E60" s="43">
        <f>C60+D60</f>
        <v/>
      </c>
      <c r="F60" s="43">
        <f>IF($C$70=0, 0, E60/$C$70)</f>
        <v/>
      </c>
      <c r="G60" s="43">
        <f>F60*$T$5</f>
        <v/>
      </c>
      <c r="H60" s="43" t="n">
        <v>3</v>
      </c>
      <c r="I60" s="43">
        <f>$T$7*H60</f>
        <v/>
      </c>
      <c r="J60" s="43">
        <f>G60+$T$9+I60</f>
        <v/>
      </c>
      <c r="K60" s="43">
        <f>$T$11/64</f>
        <v/>
      </c>
      <c r="L60" s="43" t="n">
        <v>0</v>
      </c>
      <c r="M60" s="43" t="n">
        <v>0</v>
      </c>
      <c r="N60" s="43" t="n">
        <v>0</v>
      </c>
      <c r="O60" s="43" t="n">
        <v>0</v>
      </c>
      <c r="P60" s="43" t="n"/>
      <c r="Q60" s="43" t="n"/>
      <c r="R60" s="43">
        <f>(J60+K60+L60+M60+N60+O60)*$B$2</f>
        <v/>
      </c>
      <c r="S60" s="43" t="n"/>
      <c r="T60" s="43" t="n"/>
    </row>
    <row r="61" ht="12.75" customHeight="1">
      <c r="A61" s="40" t="inlineStr">
        <is>
          <t>T8</t>
        </is>
      </c>
      <c r="B61" s="40">
        <f>VLOOKUP(A61,Members!$A$2:$B$65,2,FALSE)</f>
        <v/>
      </c>
      <c r="C61" s="41" t="n">
        <v>0</v>
      </c>
      <c r="D61" s="41">
        <f>SUM($C$3:$C$5)/64</f>
        <v/>
      </c>
      <c r="E61" s="41">
        <f>C61+D61</f>
        <v/>
      </c>
      <c r="F61" s="41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$T$11/64</f>
        <v/>
      </c>
      <c r="L61" s="41" t="n">
        <v>0</v>
      </c>
      <c r="M61" s="41" t="n">
        <v>0</v>
      </c>
      <c r="N61" s="41" t="n">
        <v>0</v>
      </c>
      <c r="O61" s="41" t="n">
        <v>0</v>
      </c>
      <c r="P61" s="41" t="n"/>
      <c r="Q61" s="41" t="n"/>
      <c r="R61" s="41">
        <f>(J61+K61+L61+M61+N61+O61)*$B$2</f>
        <v/>
      </c>
      <c r="S61" s="41" t="n"/>
      <c r="T61" s="41" t="n"/>
    </row>
    <row r="62" ht="12.75" customHeight="1">
      <c r="A62" s="42" t="inlineStr">
        <is>
          <t>T9</t>
        </is>
      </c>
      <c r="B62" s="42">
        <f>VLOOKUP(A62,Members!$A$2:$B$65,2,FALSE)</f>
        <v/>
      </c>
      <c r="C62" s="43" t="n">
        <v>0</v>
      </c>
      <c r="D62" s="43">
        <f>SUM($C$3:$C$5)/64</f>
        <v/>
      </c>
      <c r="E62" s="43">
        <f>C62+D62</f>
        <v/>
      </c>
      <c r="F62" s="43">
        <f>IF($C$70=0, 0, E62/$C$70)</f>
        <v/>
      </c>
      <c r="G62" s="43">
        <f>F62*$T$5</f>
        <v/>
      </c>
      <c r="H62" s="43" t="n">
        <v>4</v>
      </c>
      <c r="I62" s="43">
        <f>$T$7*H62</f>
        <v/>
      </c>
      <c r="J62" s="43">
        <f>G62+$T$9+I62</f>
        <v/>
      </c>
      <c r="K62" s="43">
        <f>$T$11/64</f>
        <v/>
      </c>
      <c r="L62" s="43" t="n">
        <v>0</v>
      </c>
      <c r="M62" s="43" t="n">
        <v>0</v>
      </c>
      <c r="N62" s="43" t="n">
        <v>0</v>
      </c>
      <c r="O62" s="43" t="n">
        <v>0</v>
      </c>
      <c r="P62" s="43" t="n"/>
      <c r="Q62" s="43" t="n"/>
      <c r="R62" s="43">
        <f>(J62+K62+L62+M62+N62+O62)*$B$2</f>
        <v/>
      </c>
      <c r="S62" s="43" t="n"/>
      <c r="T62" s="43" t="n"/>
    </row>
    <row r="63" ht="12.75" customHeight="1">
      <c r="A63" s="40" t="inlineStr">
        <is>
          <t>T10</t>
        </is>
      </c>
      <c r="B63" s="40">
        <f>VLOOKUP(A63,Members!$A$2:$B$65,2,FALSE)</f>
        <v/>
      </c>
      <c r="C63" s="41" t="n">
        <v>0</v>
      </c>
      <c r="D63" s="41">
        <f>SUM($C$3:$C$5)/64</f>
        <v/>
      </c>
      <c r="E63" s="41">
        <f>C63+D63</f>
        <v/>
      </c>
      <c r="F63" s="41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$T$11/64</f>
        <v/>
      </c>
      <c r="L63" s="41" t="n">
        <v>0</v>
      </c>
      <c r="M63" s="41" t="n">
        <v>0</v>
      </c>
      <c r="N63" s="41" t="n">
        <v>0</v>
      </c>
      <c r="O63" s="41" t="n">
        <v>0</v>
      </c>
      <c r="P63" s="41" t="n"/>
      <c r="Q63" s="41" t="n"/>
      <c r="R63" s="41">
        <f>(J63+K63+L63+M63+N63+O63)*$B$2</f>
        <v/>
      </c>
      <c r="S63" s="41" t="n"/>
      <c r="T63" s="41" t="n"/>
    </row>
    <row r="64" ht="12.75" customHeight="1">
      <c r="A64" s="42" t="inlineStr">
        <is>
          <t>T11</t>
        </is>
      </c>
      <c r="B64" s="42">
        <f>VLOOKUP(A64,Members!$A$2:$B$65,2,FALSE)</f>
        <v/>
      </c>
      <c r="C64" s="43" t="n">
        <v>0</v>
      </c>
      <c r="D64" s="43">
        <f>SUM($C$3:$C$5)/64</f>
        <v/>
      </c>
      <c r="E64" s="43">
        <f>C64+D64</f>
        <v/>
      </c>
      <c r="F64" s="43">
        <f>IF($C$70=0, 0, E64/$C$70)</f>
        <v/>
      </c>
      <c r="G64" s="43">
        <f>F64*$T$5</f>
        <v/>
      </c>
      <c r="H64" s="43" t="n">
        <v>3</v>
      </c>
      <c r="I64" s="43">
        <f>$T$7*H64</f>
        <v/>
      </c>
      <c r="J64" s="43">
        <f>G64+$T$9+I64</f>
        <v/>
      </c>
      <c r="K64" s="43">
        <f>$T$11/64</f>
        <v/>
      </c>
      <c r="L64" s="43" t="n">
        <v>0</v>
      </c>
      <c r="M64" s="43" t="n">
        <v>0</v>
      </c>
      <c r="N64" s="43" t="n">
        <v>0</v>
      </c>
      <c r="O64" s="43" t="n">
        <v>0</v>
      </c>
      <c r="P64" s="43" t="n"/>
      <c r="Q64" s="43" t="n"/>
      <c r="R64" s="43">
        <f>(J64+K64+L64+M64+N64+O64)*$B$2</f>
        <v/>
      </c>
      <c r="S64" s="43" t="n"/>
      <c r="T64" s="43" t="n"/>
    </row>
    <row r="65" ht="12.75" customHeight="1">
      <c r="A65" s="40" t="inlineStr">
        <is>
          <t>T12</t>
        </is>
      </c>
      <c r="B65" s="40">
        <f>VLOOKUP(A65,Members!$A$2:$B$65,2,FALSE)</f>
        <v/>
      </c>
      <c r="C65" s="41" t="n">
        <v>0</v>
      </c>
      <c r="D65" s="41">
        <f>SUM($C$3:$C$5)/64</f>
        <v/>
      </c>
      <c r="E65" s="41">
        <f>C65+D65</f>
        <v/>
      </c>
      <c r="F65" s="41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$T$11/64</f>
        <v/>
      </c>
      <c r="L65" s="41" t="n">
        <v>0</v>
      </c>
      <c r="M65" s="41" t="n">
        <v>0</v>
      </c>
      <c r="N65" s="41" t="n">
        <v>0</v>
      </c>
      <c r="O65" s="41" t="n">
        <v>0</v>
      </c>
      <c r="P65" s="41" t="n"/>
      <c r="Q65" s="41" t="n"/>
      <c r="R65" s="41">
        <f>(J65+K65+L65+M65+N65+O65)*$B$2</f>
        <v/>
      </c>
      <c r="S65" s="41" t="n"/>
      <c r="T65" s="41" t="n"/>
    </row>
    <row r="66" ht="12.75" customHeight="1">
      <c r="A66" s="42" t="inlineStr">
        <is>
          <t>T13</t>
        </is>
      </c>
      <c r="B66" s="42">
        <f>VLOOKUP(A66,Members!$A$2:$B$65,2,FALSE)</f>
        <v/>
      </c>
      <c r="C66" s="43" t="n">
        <v>0</v>
      </c>
      <c r="D66" s="43">
        <f>SUM($C$3:$C$5)/64</f>
        <v/>
      </c>
      <c r="E66" s="43">
        <f>C66+D66</f>
        <v/>
      </c>
      <c r="F66" s="43">
        <f>IF($C$70=0, 0, E66/$C$70)</f>
        <v/>
      </c>
      <c r="G66" s="43">
        <f>F66*$T$5</f>
        <v/>
      </c>
      <c r="H66" s="43" t="n">
        <v>4</v>
      </c>
      <c r="I66" s="43">
        <f>$T$7*H66</f>
        <v/>
      </c>
      <c r="J66" s="43">
        <f>G66+$T$9+I66</f>
        <v/>
      </c>
      <c r="K66" s="43">
        <f>$T$11/64</f>
        <v/>
      </c>
      <c r="L66" s="43" t="n">
        <v>0</v>
      </c>
      <c r="M66" s="43" t="n">
        <v>0</v>
      </c>
      <c r="N66" s="43" t="n">
        <v>0</v>
      </c>
      <c r="O66" s="43" t="n">
        <v>0</v>
      </c>
      <c r="P66" s="43" t="n"/>
      <c r="Q66" s="43" t="n"/>
      <c r="R66" s="43">
        <f>(J66+K66+L66+M66+N66+O66)*$B$2</f>
        <v/>
      </c>
      <c r="S66" s="43" t="n"/>
      <c r="T66" s="43" t="n"/>
    </row>
    <row r="67" ht="12.75" customHeight="1">
      <c r="A67" s="40" t="inlineStr">
        <is>
          <t>T14</t>
        </is>
      </c>
      <c r="B67" s="40">
        <f>VLOOKUP(A67,Members!$A$2:$B$65,2,FALSE)</f>
        <v/>
      </c>
      <c r="C67" s="41" t="n">
        <v>0</v>
      </c>
      <c r="D67" s="41">
        <f>SUM($C$3:$C$5)/64</f>
        <v/>
      </c>
      <c r="E67" s="41">
        <f>C67+D67</f>
        <v/>
      </c>
      <c r="F67" s="41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$T$11/64</f>
        <v/>
      </c>
      <c r="L67" s="41" t="n">
        <v>0</v>
      </c>
      <c r="M67" s="41" t="n">
        <v>0</v>
      </c>
      <c r="N67" s="41" t="n">
        <v>0</v>
      </c>
      <c r="O67" s="41" t="n">
        <v>0</v>
      </c>
      <c r="P67" s="41" t="n"/>
      <c r="Q67" s="41" t="n"/>
      <c r="R67" s="41">
        <f>(J67+K67+L67+M67+N67+O67)*$B$2</f>
        <v/>
      </c>
      <c r="S67" s="41" t="n"/>
      <c r="T67" s="41" t="n"/>
    </row>
    <row r="68" ht="12.75" customHeight="1">
      <c r="A68" s="42" t="inlineStr">
        <is>
          <t>T15</t>
        </is>
      </c>
      <c r="B68" s="42">
        <f>VLOOKUP(A68,Members!$A$2:$B$65,2,FALSE)</f>
        <v/>
      </c>
      <c r="C68" s="43" t="n">
        <v>0</v>
      </c>
      <c r="D68" s="43">
        <f>SUM($C$3:$C$5)/64</f>
        <v/>
      </c>
      <c r="E68" s="43">
        <f>C68+D68</f>
        <v/>
      </c>
      <c r="F68" s="43">
        <f>IF($C$70=0, 0, E68/$C$70)</f>
        <v/>
      </c>
      <c r="G68" s="43">
        <f>F68*$T$5</f>
        <v/>
      </c>
      <c r="H68" s="43" t="n">
        <v>4</v>
      </c>
      <c r="I68" s="43">
        <f>$T$7*H68</f>
        <v/>
      </c>
      <c r="J68" s="43">
        <f>G68+$T$9+I68</f>
        <v/>
      </c>
      <c r="K68" s="43">
        <f>$T$11/64</f>
        <v/>
      </c>
      <c r="L68" s="43" t="n">
        <v>0</v>
      </c>
      <c r="M68" s="43" t="n">
        <v>0</v>
      </c>
      <c r="N68" s="43" t="n">
        <v>0</v>
      </c>
      <c r="O68" s="43" t="n">
        <v>0</v>
      </c>
      <c r="P68" s="43" t="n"/>
      <c r="Q68" s="43" t="n"/>
      <c r="R68" s="43">
        <f>(J68+K68+L68+M68+N68+O68)*$B$2</f>
        <v/>
      </c>
      <c r="S68" s="43" t="n"/>
      <c r="T68" s="43" t="n"/>
    </row>
    <row r="69" ht="12.75" customHeight="1">
      <c r="A69" s="40" t="inlineStr">
        <is>
          <t>T16</t>
        </is>
      </c>
      <c r="B69" s="40">
        <f>VLOOKUP(A69,Members!$A$2:$B$65,2,FALSE)</f>
        <v/>
      </c>
      <c r="C69" s="41" t="n">
        <v>0</v>
      </c>
      <c r="D69" s="41">
        <f>SUM($C$3:$C$5)/64</f>
        <v/>
      </c>
      <c r="E69" s="41">
        <f>C69+D69</f>
        <v/>
      </c>
      <c r="F69" s="41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$T$11/64</f>
        <v/>
      </c>
      <c r="L69" s="41" t="n">
        <v>0</v>
      </c>
      <c r="M69" s="41" t="n">
        <v>0</v>
      </c>
      <c r="N69" s="41" t="n">
        <v>0</v>
      </c>
      <c r="O69" s="41" t="n">
        <v>0</v>
      </c>
      <c r="P69" s="41" t="n"/>
      <c r="Q69" s="41" t="n"/>
      <c r="R69" s="41">
        <f>(J69+K69+L69+M69+N69+O69)*$B$2</f>
        <v/>
      </c>
      <c r="S69" s="41" t="n"/>
      <c r="T69" s="41" t="n"/>
    </row>
    <row r="70" ht="12.75" customHeight="1">
      <c r="A70" s="42" t="n"/>
      <c r="B70" s="42" t="inlineStr">
        <is>
          <t>TOTAL</t>
        </is>
      </c>
      <c r="C70" s="43">
        <f>SUM(C3:C69)</f>
        <v/>
      </c>
      <c r="D70" s="43">
        <f>SUM(D3:D69)</f>
        <v/>
      </c>
      <c r="E70" s="43">
        <f>SUM(E3:E69)</f>
        <v/>
      </c>
      <c r="F70" s="43">
        <f>IF($C$70=0, 0, E70/$C$70)</f>
        <v/>
      </c>
      <c r="G70" s="43">
        <f>SUM(G3:G69)</f>
        <v/>
      </c>
      <c r="H70" s="43">
        <f>SUM(H3:H69)</f>
        <v/>
      </c>
      <c r="I70" s="43">
        <f>SUM(I3:I69)</f>
        <v/>
      </c>
      <c r="J70" s="43">
        <f>SUM(J3:J69)</f>
        <v/>
      </c>
      <c r="K70" s="43">
        <f>SUM(K3:K69)</f>
        <v/>
      </c>
      <c r="L70" s="43">
        <f>SUM(L3:L69)</f>
        <v/>
      </c>
      <c r="M70" s="43">
        <f>SUM(M3:M69)</f>
        <v/>
      </c>
      <c r="N70" s="43">
        <f>SUM(N3:N69)</f>
        <v/>
      </c>
      <c r="O70" s="43">
        <f>SUM(O3:O69)</f>
        <v/>
      </c>
      <c r="P70" s="43" t="n"/>
      <c r="Q70" s="43" t="n"/>
      <c r="R70" s="43">
        <f>SUM(R3:R69)</f>
        <v/>
      </c>
      <c r="S70" s="43" t="n"/>
      <c r="T70" s="43" t="n"/>
    </row>
  </sheetData>
  <mergeCells count="1">
    <mergeCell ref="B1:T1"/>
  </mergeCells>
  <conditionalFormatting sqref="T21">
    <cfRule type="cellIs" priority="1" operator="lessThan" dxfId="13">
      <formula>0</formula>
    </cfRule>
  </conditionalFormatting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min="1" max="1"/>
    <col width="64.28515625" customWidth="1" min="2" max="2"/>
  </cols>
  <sheetData>
    <row r="1">
      <c r="A1" s="39" t="inlineStr">
        <is>
          <t>FLAT #</t>
        </is>
      </c>
      <c r="B1" s="39" t="n"/>
      <c r="C1" s="39" t="inlineStr">
        <is>
          <t>Amount</t>
        </is>
      </c>
      <c r="D1" s="66" t="inlineStr">
        <is>
          <t>Date</t>
        </is>
      </c>
      <c r="E1" s="39" t="inlineStr">
        <is>
          <t>Amount</t>
        </is>
      </c>
      <c r="F1" s="66" t="inlineStr">
        <is>
          <t>Date</t>
        </is>
      </c>
      <c r="G1" s="39" t="inlineStr">
        <is>
          <t>Amount</t>
        </is>
      </c>
      <c r="H1" s="57" t="inlineStr">
        <is>
          <t>Date</t>
        </is>
      </c>
      <c r="I1" s="39" t="inlineStr">
        <is>
          <t>Amount</t>
        </is>
      </c>
      <c r="J1" s="100" t="inlineStr">
        <is>
          <t>Date</t>
        </is>
      </c>
      <c r="K1" s="100" t="inlineStr">
        <is>
          <t>Total</t>
        </is>
      </c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  <c r="AA1" s="100" t="n"/>
    </row>
    <row r="2" ht="15" customHeight="1">
      <c r="A2" s="42" t="inlineStr">
        <is>
          <t>F1</t>
        </is>
      </c>
      <c r="B2" s="42">
        <f>VLOOKUP(A2,Members!$A$2:$B$65,2,FALSE)</f>
        <v/>
      </c>
      <c r="C2" s="47" t="n"/>
      <c r="D2" s="50" t="n"/>
      <c r="E2" s="47" t="n"/>
      <c r="F2" s="47" t="n"/>
      <c r="G2" s="47" t="n"/>
      <c r="H2" s="58" t="n"/>
      <c r="I2" s="47" t="n"/>
      <c r="J2" s="47" t="n"/>
      <c r="K2" s="47">
        <f>SUM(C2,E2,G2,I2)</f>
        <v/>
      </c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</row>
    <row r="3" ht="15" customHeight="1">
      <c r="A3" s="40" t="inlineStr">
        <is>
          <t>F2</t>
        </is>
      </c>
      <c r="B3" s="40">
        <f>VLOOKUP(A3,Members!$A$2:$B$65,2,FALSE)</f>
        <v/>
      </c>
      <c r="C3" s="104" t="n"/>
      <c r="D3" s="53" t="n"/>
      <c r="E3" s="104" t="n"/>
      <c r="F3" s="104" t="n"/>
      <c r="G3" s="104" t="n"/>
      <c r="H3" s="59" t="n"/>
      <c r="I3" s="104" t="n"/>
      <c r="J3" s="104" t="n"/>
      <c r="K3" s="104">
        <f>SUM(C3,E3,G3,I3)</f>
        <v/>
      </c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</row>
    <row r="4" ht="15" customHeight="1">
      <c r="A4" s="42" t="inlineStr">
        <is>
          <t>F3</t>
        </is>
      </c>
      <c r="B4" s="42">
        <f>VLOOKUP(A4,Members!$A$2:$B$65,2,FALSE)</f>
        <v/>
      </c>
      <c r="C4" s="47" t="n"/>
      <c r="D4" s="50" t="n"/>
      <c r="E4" s="47" t="n"/>
      <c r="F4" s="47" t="n"/>
      <c r="G4" s="47" t="n"/>
      <c r="H4" s="58" t="n"/>
      <c r="I4" s="47" t="n"/>
      <c r="J4" s="47" t="n"/>
      <c r="K4" s="47">
        <f>SUM(C4,E4,G4,I4)</f>
        <v/>
      </c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</row>
    <row r="5" ht="15" customHeight="1">
      <c r="A5" s="40" t="inlineStr">
        <is>
          <t>F4</t>
        </is>
      </c>
      <c r="B5" s="40">
        <f>VLOOKUP(A5,Members!$A$2:$B$65,2,FALSE)</f>
        <v/>
      </c>
      <c r="C5" s="41" t="n"/>
      <c r="D5" s="53" t="n"/>
      <c r="E5" s="104" t="n"/>
      <c r="F5" s="104" t="n"/>
      <c r="G5" s="104" t="n"/>
      <c r="H5" s="59" t="n"/>
      <c r="I5" s="104" t="n"/>
      <c r="J5" s="104" t="n"/>
      <c r="K5" s="41">
        <f>SUM(C5,E5,G5,I5)</f>
        <v/>
      </c>
      <c r="L5" s="104" t="n"/>
      <c r="M5" s="104" t="n"/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</row>
    <row r="6" ht="15" customHeight="1">
      <c r="A6" s="42" t="inlineStr">
        <is>
          <t>F5</t>
        </is>
      </c>
      <c r="B6" s="42">
        <f>VLOOKUP(A6,Members!$A$2:$B$65,2,FALSE)</f>
        <v/>
      </c>
      <c r="C6" s="47" t="n"/>
      <c r="D6" s="50" t="n"/>
      <c r="E6" s="47" t="n"/>
      <c r="F6" s="47" t="n"/>
      <c r="G6" s="47" t="n"/>
      <c r="H6" s="58" t="n"/>
      <c r="I6" s="47" t="n"/>
      <c r="J6" s="47" t="n"/>
      <c r="K6" s="47">
        <f>SUM(C6,E6,G6,I6)</f>
        <v/>
      </c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  <c r="AA6" s="47" t="n"/>
    </row>
    <row r="7" ht="15" customHeight="1">
      <c r="A7" s="40" t="inlineStr">
        <is>
          <t>F6</t>
        </is>
      </c>
      <c r="B7" s="40">
        <f>VLOOKUP(A7,Members!$A$2:$B$65,2,FALSE)</f>
        <v/>
      </c>
      <c r="C7" s="104" t="n"/>
      <c r="D7" s="53" t="n"/>
      <c r="E7" s="104" t="n"/>
      <c r="F7" s="104" t="n"/>
      <c r="G7" s="104" t="n"/>
      <c r="H7" s="59" t="n"/>
      <c r="I7" s="104" t="n"/>
      <c r="J7" s="104" t="n"/>
      <c r="K7" s="104">
        <f>SUM(C7,E7,G7,I7)</f>
        <v/>
      </c>
      <c r="L7" s="104" t="n"/>
      <c r="M7" s="104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</row>
    <row r="8" ht="15" customHeight="1">
      <c r="A8" s="42" t="inlineStr">
        <is>
          <t>F7</t>
        </is>
      </c>
      <c r="B8" s="42">
        <f>VLOOKUP(A8,Members!$A$2:$B$65,2,FALSE)</f>
        <v/>
      </c>
      <c r="C8" s="47" t="n"/>
      <c r="D8" s="50" t="n"/>
      <c r="E8" s="47" t="n"/>
      <c r="F8" s="47" t="n"/>
      <c r="G8" s="47" t="n"/>
      <c r="H8" s="58" t="n"/>
      <c r="I8" s="47" t="n"/>
      <c r="J8" s="47" t="n"/>
      <c r="K8" s="47">
        <f>SUM(C8,E8,G8,I8)</f>
        <v/>
      </c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  <c r="AA8" s="47" t="n"/>
    </row>
    <row r="9" ht="15" customHeight="1">
      <c r="A9" s="40" t="inlineStr">
        <is>
          <t>F8</t>
        </is>
      </c>
      <c r="B9" s="40">
        <f>VLOOKUP(A9,Members!$A$2:$B$65,2,FALSE)</f>
        <v/>
      </c>
      <c r="C9" s="41" t="n"/>
      <c r="D9" s="53" t="n"/>
      <c r="E9" s="104" t="n"/>
      <c r="F9" s="104" t="n"/>
      <c r="G9" s="104" t="n"/>
      <c r="H9" s="59" t="n"/>
      <c r="I9" s="104" t="n"/>
      <c r="J9" s="104" t="n"/>
      <c r="K9" s="41">
        <f>SUM(C9,E9,G9,I9)</f>
        <v/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</row>
    <row r="10" ht="15" customHeight="1">
      <c r="A10" s="42" t="inlineStr">
        <is>
          <t>F9</t>
        </is>
      </c>
      <c r="B10" s="42">
        <f>VLOOKUP(A10,Members!$A$2:$B$65,2,FALSE)</f>
        <v/>
      </c>
      <c r="C10" s="43" t="n"/>
      <c r="D10" s="50" t="n"/>
      <c r="E10" s="47" t="n"/>
      <c r="F10" s="50" t="n"/>
      <c r="G10" s="47" t="n"/>
      <c r="H10" s="58" t="n"/>
      <c r="I10" s="47" t="n"/>
      <c r="J10" s="47" t="n"/>
      <c r="K10" s="43">
        <f>SUM(C10,E10,G10,I10)</f>
        <v/>
      </c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  <c r="AA10" s="47" t="n"/>
    </row>
    <row r="11" ht="15" customHeight="1">
      <c r="A11" s="40" t="inlineStr">
        <is>
          <t>F10</t>
        </is>
      </c>
      <c r="B11" s="40">
        <f>VLOOKUP(A11,Members!$A$2:$B$65,2,FALSE)</f>
        <v/>
      </c>
      <c r="C11" s="104" t="n"/>
      <c r="D11" s="104" t="n"/>
      <c r="E11" s="104" t="n"/>
      <c r="F11" s="104" t="n"/>
      <c r="G11" s="104" t="n"/>
      <c r="H11" s="59" t="n"/>
      <c r="I11" s="104" t="n"/>
      <c r="J11" s="104" t="n"/>
      <c r="K11" s="104">
        <f>SUM(C11,E11,G11,I11)</f>
        <v/>
      </c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</row>
    <row r="12" ht="15" customHeight="1">
      <c r="A12" s="42" t="inlineStr">
        <is>
          <t>F11</t>
        </is>
      </c>
      <c r="B12" s="42">
        <f>VLOOKUP(A12,Members!$A$2:$B$65,2,FALSE)</f>
        <v/>
      </c>
      <c r="C12" s="43" t="n"/>
      <c r="D12" s="50" t="n"/>
      <c r="E12" s="47" t="n"/>
      <c r="F12" s="47" t="n"/>
      <c r="G12" s="47" t="n"/>
      <c r="H12" s="58" t="n"/>
      <c r="I12" s="47" t="n"/>
      <c r="J12" s="47" t="n"/>
      <c r="K12" s="43">
        <f>SUM(C12,E12,G12,I12)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</row>
    <row r="13" ht="15" customHeight="1">
      <c r="A13" s="40" t="inlineStr">
        <is>
          <t>F12</t>
        </is>
      </c>
      <c r="B13" s="40">
        <f>VLOOKUP(A13,Members!$A$2:$B$65,2,FALSE)</f>
        <v/>
      </c>
      <c r="C13" s="41" t="n"/>
      <c r="D13" s="53" t="n"/>
      <c r="E13" s="104" t="n"/>
      <c r="F13" s="52" t="n"/>
      <c r="G13" s="104" t="n"/>
      <c r="H13" s="59" t="n"/>
      <c r="I13" s="104" t="n"/>
      <c r="J13" s="104" t="n"/>
      <c r="K13" s="41">
        <f>SUM(C13,E13,G13,I13)</f>
        <v/>
      </c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</row>
    <row r="14" ht="15" customHeight="1">
      <c r="A14" s="42" t="inlineStr">
        <is>
          <t>F13</t>
        </is>
      </c>
      <c r="B14" s="42">
        <f>VLOOKUP(A14,Members!$A$2:$B$65,2,FALSE)</f>
        <v/>
      </c>
      <c r="C14" s="47" t="n"/>
      <c r="D14" s="50" t="n"/>
      <c r="E14" s="47" t="n"/>
      <c r="F14" s="51" t="n"/>
      <c r="G14" s="47" t="n"/>
      <c r="H14" s="58" t="n"/>
      <c r="I14" s="47" t="n"/>
      <c r="J14" s="47" t="n"/>
      <c r="K14" s="47">
        <f>SUM(C14,E14,G14,I14)</f>
        <v/>
      </c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  <c r="AA14" s="47" t="n"/>
    </row>
    <row r="15" ht="15" customHeight="1">
      <c r="A15" s="40" t="inlineStr">
        <is>
          <t>F14</t>
        </is>
      </c>
      <c r="B15" s="40">
        <f>VLOOKUP(A15,Members!$A$2:$B$65,2,FALSE)</f>
        <v/>
      </c>
      <c r="C15" s="41" t="n"/>
      <c r="D15" s="53" t="n"/>
      <c r="E15" s="104" t="n"/>
      <c r="F15" s="104" t="n"/>
      <c r="G15" s="104" t="n"/>
      <c r="H15" s="59" t="n"/>
      <c r="I15" s="104" t="n"/>
      <c r="J15" s="104" t="n"/>
      <c r="K15" s="41">
        <f>SUM(C15,E15,G15,I15)</f>
        <v/>
      </c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</row>
    <row r="16" ht="15" customHeight="1">
      <c r="A16" s="42" t="inlineStr">
        <is>
          <t>F15</t>
        </is>
      </c>
      <c r="B16" s="42">
        <f>VLOOKUP(A16,Members!$A$2:$B$65,2,FALSE)</f>
        <v/>
      </c>
      <c r="C16" s="47" t="n"/>
      <c r="D16" s="51" t="n"/>
      <c r="E16" s="47" t="n"/>
      <c r="F16" s="47" t="n"/>
      <c r="G16" s="47" t="n"/>
      <c r="H16" s="58" t="n"/>
      <c r="I16" s="47" t="n"/>
      <c r="J16" s="47" t="n"/>
      <c r="K16" s="47">
        <f>SUM(C16,E16,G16,I16)</f>
        <v/>
      </c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  <c r="AA16" s="47" t="n"/>
    </row>
    <row r="17" ht="15" customHeight="1">
      <c r="A17" s="40" t="inlineStr">
        <is>
          <t>F16</t>
        </is>
      </c>
      <c r="B17" s="40">
        <f>VLOOKUP(A17,Members!$A$2:$B$65,2,FALSE)</f>
        <v/>
      </c>
      <c r="C17" s="104" t="n"/>
      <c r="D17" s="53" t="n"/>
      <c r="E17" s="104" t="n"/>
      <c r="F17" s="104" t="n"/>
      <c r="G17" s="104" t="n"/>
      <c r="H17" s="59" t="n"/>
      <c r="I17" s="104" t="n"/>
      <c r="J17" s="104" t="n"/>
      <c r="K17" s="104">
        <f>SUM(C17,E17,G17,I17)</f>
        <v/>
      </c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</row>
    <row r="18" ht="15" customHeight="1">
      <c r="A18" s="42" t="inlineStr">
        <is>
          <t>G1</t>
        </is>
      </c>
      <c r="B18" s="42">
        <f>VLOOKUP(A18,Members!$A$2:$B$65,2,FALSE)</f>
        <v/>
      </c>
      <c r="C18" s="47" t="n"/>
      <c r="D18" s="51" t="n"/>
      <c r="E18" s="47" t="n"/>
      <c r="F18" s="47" t="n"/>
      <c r="G18" s="47" t="n"/>
      <c r="H18" s="58" t="n"/>
      <c r="I18" s="47" t="n"/>
      <c r="J18" s="47" t="n"/>
      <c r="K18" s="47">
        <f>SUM(C18,E18,G18,I18)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</row>
    <row r="19" ht="15" customHeight="1">
      <c r="A19" s="40" t="inlineStr">
        <is>
          <t>G2</t>
        </is>
      </c>
      <c r="B19" s="40">
        <f>VLOOKUP(A19,Members!$A$2:$B$65,2,FALSE)</f>
        <v/>
      </c>
      <c r="C19" s="41" t="n"/>
      <c r="D19" s="53" t="n"/>
      <c r="E19" s="104" t="n"/>
      <c r="F19" s="104" t="n"/>
      <c r="G19" s="104" t="n"/>
      <c r="H19" s="59" t="n"/>
      <c r="I19" s="104" t="n"/>
      <c r="J19" s="104" t="n"/>
      <c r="K19" s="41">
        <f>SUM(C19,E19,G19,I19)</f>
        <v/>
      </c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</row>
    <row r="20" ht="15" customHeight="1">
      <c r="A20" s="42" t="inlineStr">
        <is>
          <t>G3</t>
        </is>
      </c>
      <c r="B20" s="42">
        <f>VLOOKUP(A20,Members!$A$2:$B$65,2,FALSE)</f>
        <v/>
      </c>
      <c r="C20" s="43" t="n"/>
      <c r="D20" s="50" t="n"/>
      <c r="E20" s="47" t="n"/>
      <c r="F20" s="47" t="n"/>
      <c r="G20" s="47" t="n"/>
      <c r="H20" s="58" t="n"/>
      <c r="I20" s="47" t="n"/>
      <c r="J20" s="47" t="n"/>
      <c r="K20" s="43">
        <f>SUM(C20,E20,G20,I20)</f>
        <v/>
      </c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</row>
    <row r="21" ht="15" customHeight="1">
      <c r="A21" s="40" t="inlineStr">
        <is>
          <t>G4</t>
        </is>
      </c>
      <c r="B21" s="40">
        <f>VLOOKUP(A21,Members!$A$2:$B$65,2,FALSE)</f>
        <v/>
      </c>
      <c r="C21" s="41" t="n"/>
      <c r="D21" s="53" t="n"/>
      <c r="E21" s="104" t="n"/>
      <c r="F21" s="52" t="n"/>
      <c r="G21" s="104" t="n"/>
      <c r="H21" s="59" t="n"/>
      <c r="I21" s="104" t="n"/>
      <c r="J21" s="104" t="n"/>
      <c r="K21" s="41">
        <f>SUM(C21,E21,G21,I21)</f>
        <v/>
      </c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</row>
    <row r="22" ht="15.95" customHeight="1">
      <c r="A22" s="42" t="inlineStr">
        <is>
          <t>G5</t>
        </is>
      </c>
      <c r="B22" s="42">
        <f>VLOOKUP(A22,Members!$A$2:$B$65,2,FALSE)</f>
        <v/>
      </c>
      <c r="C22" s="43" t="n"/>
      <c r="D22" s="50" t="n"/>
      <c r="E22" s="47" t="n"/>
      <c r="F22" s="47" t="n"/>
      <c r="G22" s="47" t="n"/>
      <c r="H22" s="58" t="n"/>
      <c r="I22" s="47" t="n"/>
      <c r="J22" s="47" t="n"/>
      <c r="K22" s="43">
        <f>SUM(C22,E22,G22,I22)</f>
        <v/>
      </c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</row>
    <row r="23" ht="15.95" customHeight="1">
      <c r="A23" s="40" t="inlineStr">
        <is>
          <t>G6</t>
        </is>
      </c>
      <c r="B23" s="40">
        <f>VLOOKUP(A23,Members!$A$2:$B$65,2,FALSE)</f>
        <v/>
      </c>
      <c r="C23" s="104" t="n"/>
      <c r="D23" s="53" t="n"/>
      <c r="E23" s="104" t="n"/>
      <c r="F23" s="104" t="n"/>
      <c r="G23" s="104" t="n"/>
      <c r="H23" s="59" t="n"/>
      <c r="I23" s="104" t="n"/>
      <c r="J23" s="104" t="n"/>
      <c r="K23" s="104">
        <f>SUM(C23,E23,G23,I23)</f>
        <v/>
      </c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</row>
    <row r="24" ht="15.95" customHeight="1">
      <c r="A24" s="42" t="inlineStr">
        <is>
          <t>G7</t>
        </is>
      </c>
      <c r="B24" s="42">
        <f>VLOOKUP(A24,Members!$A$2:$B$65,2,FALSE)</f>
        <v/>
      </c>
      <c r="C24" s="43" t="n"/>
      <c r="D24" s="50" t="n"/>
      <c r="E24" s="47" t="n"/>
      <c r="F24" s="47" t="n"/>
      <c r="G24" s="47" t="n"/>
      <c r="H24" s="58" t="n"/>
      <c r="I24" s="47" t="n"/>
      <c r="J24" s="47" t="n"/>
      <c r="K24" s="43">
        <f>SUM(C24,E24,G24,I24)</f>
        <v/>
      </c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</row>
    <row r="25" ht="15.95" customHeight="1">
      <c r="A25" s="40" t="inlineStr">
        <is>
          <t>G8</t>
        </is>
      </c>
      <c r="B25" s="40">
        <f>VLOOKUP(A25,Members!$A$2:$B$65,2,FALSE)</f>
        <v/>
      </c>
      <c r="C25" s="104" t="n"/>
      <c r="D25" s="53" t="n"/>
      <c r="E25" s="104" t="n"/>
      <c r="F25" s="104" t="n"/>
      <c r="G25" s="104" t="n"/>
      <c r="H25" s="59" t="n"/>
      <c r="I25" s="104" t="n"/>
      <c r="J25" s="104" t="n"/>
      <c r="K25" s="104">
        <f>SUM(C25,E25,G25,I25)</f>
        <v/>
      </c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</row>
    <row r="26" ht="15.95" customHeight="1">
      <c r="A26" s="42" t="inlineStr">
        <is>
          <t>G9</t>
        </is>
      </c>
      <c r="B26" s="42">
        <f>VLOOKUP(A26,Members!$A$2:$B$65,2,FALSE)</f>
        <v/>
      </c>
      <c r="C26" s="43" t="n"/>
      <c r="D26" s="50" t="n"/>
      <c r="E26" s="47" t="n"/>
      <c r="F26" s="47" t="n"/>
      <c r="G26" s="47" t="n"/>
      <c r="H26" s="58" t="n"/>
      <c r="I26" s="47" t="n"/>
      <c r="J26" s="47" t="n"/>
      <c r="K26" s="43">
        <f>SUM(C26,E26,G26,I26)</f>
        <v/>
      </c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</row>
    <row r="27" ht="15.95" customHeight="1">
      <c r="A27" s="40" t="inlineStr">
        <is>
          <t>G10</t>
        </is>
      </c>
      <c r="B27" s="40">
        <f>VLOOKUP(A27,Members!$A$2:$B$65,2,FALSE)</f>
        <v/>
      </c>
      <c r="C27" s="41" t="n"/>
      <c r="D27" s="53" t="n"/>
      <c r="E27" s="104" t="n"/>
      <c r="F27" s="104" t="n"/>
      <c r="G27" s="104" t="n"/>
      <c r="H27" s="59" t="n"/>
      <c r="I27" s="104" t="n"/>
      <c r="J27" s="104" t="n"/>
      <c r="K27" s="41">
        <f>SUM(C27,E27,G27,I27)</f>
        <v/>
      </c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</row>
    <row r="28" ht="15.95" customHeight="1">
      <c r="A28" s="42" t="inlineStr">
        <is>
          <t>G11</t>
        </is>
      </c>
      <c r="B28" s="42">
        <f>VLOOKUP(A28,Members!$A$2:$B$65,2,FALSE)</f>
        <v/>
      </c>
      <c r="C28" s="43" t="n"/>
      <c r="D28" s="50" t="n"/>
      <c r="E28" s="47" t="n"/>
      <c r="F28" s="47" t="n"/>
      <c r="G28" s="47" t="n"/>
      <c r="H28" s="58" t="n"/>
      <c r="I28" s="47" t="n"/>
      <c r="J28" s="47" t="n"/>
      <c r="K28" s="43">
        <f>SUM(C28,E28,G28,I28)</f>
        <v/>
      </c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</row>
    <row r="29" ht="15.95" customHeight="1">
      <c r="A29" s="40" t="inlineStr">
        <is>
          <t>G12</t>
        </is>
      </c>
      <c r="B29" s="40">
        <f>VLOOKUP(A29,Members!$A$2:$B$65,2,FALSE)</f>
        <v/>
      </c>
      <c r="C29" s="104" t="n"/>
      <c r="D29" s="104" t="n"/>
      <c r="E29" s="104" t="n"/>
      <c r="F29" s="104" t="n"/>
      <c r="G29" s="104" t="n"/>
      <c r="H29" s="59" t="n"/>
      <c r="I29" s="104" t="n"/>
      <c r="J29" s="104" t="n"/>
      <c r="K29" s="104">
        <f>SUM(C29,E29,G29,I29)</f>
        <v/>
      </c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</row>
    <row r="30" ht="15.95" customHeight="1">
      <c r="A30" s="42" t="inlineStr">
        <is>
          <t>G13</t>
        </is>
      </c>
      <c r="B30" s="42">
        <f>VLOOKUP(A30,Members!$A$2:$B$65,2,FALSE)</f>
        <v/>
      </c>
      <c r="C30" s="47" t="n"/>
      <c r="D30" s="50" t="n"/>
      <c r="E30" s="47" t="n"/>
      <c r="F30" s="47" t="n"/>
      <c r="G30" s="47" t="n"/>
      <c r="H30" s="58" t="n"/>
      <c r="I30" s="47" t="n"/>
      <c r="J30" s="47" t="n"/>
      <c r="K30" s="47">
        <f>SUM(C30,E30,G30,I30)</f>
        <v/>
      </c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</row>
    <row r="31" ht="15.95" customHeight="1">
      <c r="A31" s="40" t="inlineStr">
        <is>
          <t>G14</t>
        </is>
      </c>
      <c r="B31" s="40">
        <f>VLOOKUP(A31,Members!$A$2:$B$65,2,FALSE)</f>
        <v/>
      </c>
      <c r="C31" s="104" t="n"/>
      <c r="D31" s="53" t="n"/>
      <c r="E31" s="104" t="n"/>
      <c r="F31" s="104" t="n"/>
      <c r="G31" s="104" t="n"/>
      <c r="H31" s="59" t="n"/>
      <c r="I31" s="104" t="n"/>
      <c r="J31" s="104" t="n"/>
      <c r="K31" s="104">
        <f>SUM(C31,E31,G31,I31)</f>
        <v/>
      </c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</row>
    <row r="32" ht="15.95" customHeight="1">
      <c r="A32" s="42" t="inlineStr">
        <is>
          <t>G15</t>
        </is>
      </c>
      <c r="B32" s="42">
        <f>VLOOKUP(A32,Members!$A$2:$B$65,2,FALSE)</f>
        <v/>
      </c>
      <c r="C32" s="43" t="n"/>
      <c r="D32" s="50" t="n"/>
      <c r="E32" s="47" t="n"/>
      <c r="F32" s="47" t="n"/>
      <c r="G32" s="47" t="n"/>
      <c r="H32" s="58" t="n"/>
      <c r="I32" s="47" t="n"/>
      <c r="J32" s="47" t="n"/>
      <c r="K32" s="43">
        <f>SUM(C32,E32,G32,I32)</f>
        <v/>
      </c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</row>
    <row r="33" ht="15.95" customHeight="1">
      <c r="A33" s="40" t="inlineStr">
        <is>
          <t>G16</t>
        </is>
      </c>
      <c r="B33" s="40">
        <f>VLOOKUP(A33,Members!$A$2:$B$65,2,FALSE)</f>
        <v/>
      </c>
      <c r="C33" s="104" t="n"/>
      <c r="D33" s="53" t="n"/>
      <c r="E33" s="104" t="n"/>
      <c r="F33" s="104" t="n"/>
      <c r="G33" s="104" t="n"/>
      <c r="H33" s="59" t="n"/>
      <c r="I33" s="104" t="n"/>
      <c r="J33" s="104" t="n"/>
      <c r="K33" s="104">
        <f>SUM(C33,E33,G33,I33)</f>
        <v/>
      </c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</row>
    <row r="34" ht="15.95" customHeight="1">
      <c r="A34" s="42" t="inlineStr">
        <is>
          <t>S1</t>
        </is>
      </c>
      <c r="B34" s="42">
        <f>VLOOKUP(A34,Members!$A$2:$B$65,2,FALSE)</f>
        <v/>
      </c>
      <c r="C34" s="43" t="n"/>
      <c r="D34" s="50" t="n"/>
      <c r="E34" s="47" t="n"/>
      <c r="F34" s="47" t="n"/>
      <c r="G34" s="47" t="n"/>
      <c r="H34" s="58" t="n"/>
      <c r="I34" s="47" t="n"/>
      <c r="J34" s="47" t="n"/>
      <c r="K34" s="43">
        <f>SUM(C34,E34,G34,I34)</f>
        <v/>
      </c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  <c r="AA34" s="47" t="n"/>
    </row>
    <row r="35" ht="15.95" customHeight="1">
      <c r="A35" s="40" t="inlineStr">
        <is>
          <t>S2</t>
        </is>
      </c>
      <c r="B35" s="40">
        <f>VLOOKUP(A35,Members!$A$2:$B$65,2,FALSE)</f>
        <v/>
      </c>
      <c r="C35" s="104" t="n"/>
      <c r="D35" s="52" t="n"/>
      <c r="E35" s="104" t="n"/>
      <c r="F35" s="104" t="n"/>
      <c r="G35" s="104" t="n"/>
      <c r="H35" s="59" t="n"/>
      <c r="I35" s="104" t="n"/>
      <c r="J35" s="104" t="n"/>
      <c r="K35" s="104">
        <f>SUM(C35,E35,G35,I35)</f>
        <v/>
      </c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</row>
    <row r="36" ht="15.95" customHeight="1">
      <c r="A36" s="42" t="inlineStr">
        <is>
          <t>S3</t>
        </is>
      </c>
      <c r="B36" s="42">
        <f>VLOOKUP(A36,Members!$A$2:$B$65,2,FALSE)</f>
        <v/>
      </c>
      <c r="C36" s="47" t="n"/>
      <c r="D36" s="50" t="n"/>
      <c r="E36" s="47" t="n"/>
      <c r="F36" s="47" t="n"/>
      <c r="G36" s="47" t="n"/>
      <c r="H36" s="58" t="n"/>
      <c r="I36" s="47" t="n"/>
      <c r="J36" s="47" t="n"/>
      <c r="K36" s="47">
        <f>SUM(C36,E36,G36,I36)</f>
        <v/>
      </c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</row>
    <row r="37" ht="15.95" customHeight="1">
      <c r="A37" s="40" t="inlineStr">
        <is>
          <t>S4</t>
        </is>
      </c>
      <c r="B37" s="40">
        <f>VLOOKUP(A37,Members!$A$2:$B$65,2,FALSE)</f>
        <v/>
      </c>
      <c r="C37" s="41" t="n"/>
      <c r="D37" s="53" t="n"/>
      <c r="E37" s="104" t="n"/>
      <c r="F37" s="104" t="n"/>
      <c r="G37" s="104" t="n"/>
      <c r="H37" s="59" t="n"/>
      <c r="I37" s="104" t="n"/>
      <c r="J37" s="104" t="n"/>
      <c r="K37" s="41">
        <f>SUM(C37,E37,G37,I37)</f>
        <v/>
      </c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</row>
    <row r="38" ht="15.95" customHeight="1">
      <c r="A38" s="42" t="inlineStr">
        <is>
          <t>S5</t>
        </is>
      </c>
      <c r="B38" s="42">
        <f>VLOOKUP(A38,Members!$A$2:$B$65,2,FALSE)</f>
        <v/>
      </c>
      <c r="C38" s="47" t="n"/>
      <c r="D38" s="50" t="n"/>
      <c r="E38" s="47" t="n"/>
      <c r="F38" s="47" t="n"/>
      <c r="G38" s="47" t="n"/>
      <c r="H38" s="58" t="n"/>
      <c r="I38" s="47" t="n"/>
      <c r="J38" s="47" t="n"/>
      <c r="K38" s="47">
        <f>SUM(C38,E38,G38,I38)</f>
        <v/>
      </c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</row>
    <row r="39" ht="15.95" customHeight="1">
      <c r="A39" s="40" t="inlineStr">
        <is>
          <t>S6</t>
        </is>
      </c>
      <c r="B39" s="40">
        <f>VLOOKUP(A39,Members!$A$2:$B$65,2,FALSE)</f>
        <v/>
      </c>
      <c r="C39" s="104" t="n"/>
      <c r="D39" s="53" t="n"/>
      <c r="E39" s="104" t="n"/>
      <c r="F39" s="104" t="n"/>
      <c r="G39" s="104" t="n"/>
      <c r="H39" s="59" t="n"/>
      <c r="I39" s="104" t="n"/>
      <c r="J39" s="104" t="n"/>
      <c r="K39" s="104">
        <f>SUM(C39,E39,G39,I39)</f>
        <v/>
      </c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</row>
    <row r="40" ht="15.95" customHeight="1">
      <c r="A40" s="42" t="inlineStr">
        <is>
          <t>S7</t>
        </is>
      </c>
      <c r="B40" s="42">
        <f>VLOOKUP(A40,Members!$A$2:$B$65,2,FALSE)</f>
        <v/>
      </c>
      <c r="C40" s="43" t="n"/>
      <c r="D40" s="50" t="n"/>
      <c r="E40" s="47" t="n"/>
      <c r="F40" s="47" t="n"/>
      <c r="G40" s="47" t="n"/>
      <c r="H40" s="58" t="n"/>
      <c r="I40" s="47" t="n"/>
      <c r="J40" s="47" t="n"/>
      <c r="K40" s="43">
        <f>SUM(C40,E40,G40,I40)</f>
        <v/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  <c r="AA40" s="47" t="n"/>
    </row>
    <row r="41" ht="15.95" customHeight="1">
      <c r="A41" s="40" t="inlineStr">
        <is>
          <t>S8</t>
        </is>
      </c>
      <c r="B41" s="40">
        <f>VLOOKUP(A41,Members!$A$2:$B$65,2,FALSE)</f>
        <v/>
      </c>
      <c r="C41" s="41" t="n"/>
      <c r="D41" s="53" t="n"/>
      <c r="E41" s="104" t="n"/>
      <c r="F41" s="52" t="n"/>
      <c r="G41" s="104" t="n"/>
      <c r="H41" s="59" t="n"/>
      <c r="I41" s="104" t="n"/>
      <c r="J41" s="104" t="n"/>
      <c r="K41" s="41">
        <f>SUM(C41,E41,G41,I41)</f>
        <v/>
      </c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</row>
    <row r="42" ht="15.95" customHeight="1">
      <c r="A42" s="42" t="inlineStr">
        <is>
          <t>S9</t>
        </is>
      </c>
      <c r="B42" s="42">
        <f>VLOOKUP(A42,Members!$A$2:$B$65,2,FALSE)</f>
        <v/>
      </c>
      <c r="C42" s="43" t="n"/>
      <c r="D42" s="50" t="n"/>
      <c r="E42" s="47" t="n"/>
      <c r="F42" s="50" t="n"/>
      <c r="G42" s="47" t="n"/>
      <c r="H42" s="58" t="n"/>
      <c r="I42" s="47" t="n"/>
      <c r="J42" s="47" t="n"/>
      <c r="K42" s="43">
        <f>SUM(C42,E42,G42,I42)</f>
        <v/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</row>
    <row r="43" ht="15.95" customHeight="1">
      <c r="A43" s="40" t="inlineStr">
        <is>
          <t>S10</t>
        </is>
      </c>
      <c r="B43" s="40">
        <f>VLOOKUP(A43,Members!$A$2:$B$65,2,FALSE)</f>
        <v/>
      </c>
      <c r="C43" s="41" t="n"/>
      <c r="D43" s="53" t="n"/>
      <c r="E43" s="104" t="n"/>
      <c r="F43" s="104" t="n"/>
      <c r="G43" s="104" t="n"/>
      <c r="H43" s="59" t="n"/>
      <c r="I43" s="104" t="n"/>
      <c r="J43" s="104" t="n"/>
      <c r="K43" s="41">
        <f>SUM(C43,E43,G43,I43)</f>
        <v/>
      </c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</row>
    <row r="44" ht="15.95" customHeight="1">
      <c r="A44" s="42" t="inlineStr">
        <is>
          <t>S11</t>
        </is>
      </c>
      <c r="B44" s="42">
        <f>VLOOKUP(A44,Members!$A$2:$B$65,2,FALSE)</f>
        <v/>
      </c>
      <c r="C44" s="47" t="n"/>
      <c r="D44" s="50" t="n"/>
      <c r="E44" s="47" t="n"/>
      <c r="F44" s="47" t="n"/>
      <c r="G44" s="47" t="n"/>
      <c r="H44" s="58" t="n"/>
      <c r="I44" s="47" t="n"/>
      <c r="J44" s="47" t="n"/>
      <c r="K44" s="47">
        <f>SUM(C44,E44,G44,I44)</f>
        <v/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</row>
    <row r="45" ht="15.95" customHeight="1">
      <c r="A45" s="40" t="inlineStr">
        <is>
          <t>S12</t>
        </is>
      </c>
      <c r="B45" s="40">
        <f>VLOOKUP(A45,Members!$A$2:$B$65,2,FALSE)</f>
        <v/>
      </c>
      <c r="C45" s="41" t="n"/>
      <c r="D45" s="53" t="n"/>
      <c r="E45" s="104" t="n"/>
      <c r="F45" s="104" t="n"/>
      <c r="G45" s="104" t="n"/>
      <c r="H45" s="59" t="n"/>
      <c r="I45" s="104" t="n"/>
      <c r="J45" s="104" t="n"/>
      <c r="K45" s="41">
        <f>SUM(C45,E45,G45,I45)</f>
        <v/>
      </c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</row>
    <row r="46" ht="15.95" customHeight="1">
      <c r="A46" s="42" t="inlineStr">
        <is>
          <t>S13</t>
        </is>
      </c>
      <c r="B46" s="42">
        <f>VLOOKUP(A46,Members!$A$2:$B$65,2,FALSE)</f>
        <v/>
      </c>
      <c r="C46" s="47" t="n"/>
      <c r="D46" s="50" t="n"/>
      <c r="E46" s="47" t="n"/>
      <c r="F46" s="51" t="n"/>
      <c r="G46" s="47" t="n"/>
      <c r="H46" s="58" t="n"/>
      <c r="I46" s="47" t="n"/>
      <c r="J46" s="47" t="n"/>
      <c r="K46" s="47">
        <f>SUM(C46,E46,G46,I46)</f>
        <v/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</row>
    <row r="47" ht="15.95" customHeight="1">
      <c r="A47" s="40" t="inlineStr">
        <is>
          <t>S14</t>
        </is>
      </c>
      <c r="B47" s="40">
        <f>VLOOKUP(A47,Members!$A$2:$B$65,2,FALSE)</f>
        <v/>
      </c>
      <c r="C47" s="104" t="n"/>
      <c r="D47" s="53" t="n"/>
      <c r="E47" s="104" t="n"/>
      <c r="F47" s="104" t="n"/>
      <c r="G47" s="104" t="n"/>
      <c r="H47" s="59" t="n"/>
      <c r="I47" s="104" t="n"/>
      <c r="J47" s="104" t="n"/>
      <c r="K47" s="104">
        <f>SUM(C47,E47,G47,I47)</f>
        <v/>
      </c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</row>
    <row r="48" ht="15.95" customHeight="1">
      <c r="A48" s="42" t="inlineStr">
        <is>
          <t>S15</t>
        </is>
      </c>
      <c r="B48" s="42">
        <f>VLOOKUP(A48,Members!$A$2:$B$65,2,FALSE)</f>
        <v/>
      </c>
      <c r="C48" s="47" t="n"/>
      <c r="D48" s="47" t="n"/>
      <c r="E48" s="47" t="n"/>
      <c r="F48" s="47" t="n"/>
      <c r="G48" s="47" t="n"/>
      <c r="H48" s="58" t="n"/>
      <c r="I48" s="47" t="n"/>
      <c r="J48" s="47" t="n"/>
      <c r="K48" s="47">
        <f>SUM(C48,E48,G48,I48)</f>
        <v/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</row>
    <row r="49" ht="15.95" customHeight="1">
      <c r="A49" s="40" t="inlineStr">
        <is>
          <t>S16</t>
        </is>
      </c>
      <c r="B49" s="40">
        <f>VLOOKUP(A49,Members!$A$2:$B$65,2,FALSE)</f>
        <v/>
      </c>
      <c r="C49" s="104" t="n"/>
      <c r="D49" s="53" t="n"/>
      <c r="E49" s="104" t="n"/>
      <c r="F49" s="104" t="n"/>
      <c r="G49" s="104" t="n"/>
      <c r="H49" s="59" t="n"/>
      <c r="I49" s="104" t="n"/>
      <c r="J49" s="104" t="n"/>
      <c r="K49" s="104">
        <f>SUM(C49,E49,G49,I49)</f>
        <v/>
      </c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</row>
    <row r="50" ht="15.95" customHeight="1">
      <c r="A50" s="42" t="inlineStr">
        <is>
          <t>T1</t>
        </is>
      </c>
      <c r="B50" s="42">
        <f>VLOOKUP(A50,Members!$A$2:$B$65,2,FALSE)</f>
        <v/>
      </c>
      <c r="C50" s="47" t="n"/>
      <c r="D50" s="51" t="n"/>
      <c r="E50" s="47" t="n"/>
      <c r="F50" s="47" t="n"/>
      <c r="G50" s="47" t="n"/>
      <c r="H50" s="58" t="n"/>
      <c r="I50" s="47" t="n"/>
      <c r="J50" s="47" t="n"/>
      <c r="K50" s="47">
        <f>SUM(C50,E50,G50,I50)</f>
        <v/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</row>
    <row r="51" ht="15.95" customHeight="1">
      <c r="A51" s="40" t="inlineStr">
        <is>
          <t>T2</t>
        </is>
      </c>
      <c r="B51" s="40">
        <f>VLOOKUP(A51,Members!$A$2:$B$65,2,FALSE)</f>
        <v/>
      </c>
      <c r="C51" s="41" t="n"/>
      <c r="D51" s="53" t="n"/>
      <c r="E51" s="104" t="n"/>
      <c r="F51" s="104" t="n"/>
      <c r="G51" s="104" t="n"/>
      <c r="H51" s="59" t="n"/>
      <c r="I51" s="104" t="n"/>
      <c r="J51" s="104" t="n"/>
      <c r="K51" s="41">
        <f>SUM(C51,E51,G51,I51)</f>
        <v/>
      </c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</row>
    <row r="52" ht="15.95" customHeight="1">
      <c r="A52" s="42" t="inlineStr">
        <is>
          <t>T3</t>
        </is>
      </c>
      <c r="B52" s="42">
        <f>VLOOKUP(A52,Members!$A$2:$B$65,2,FALSE)</f>
        <v/>
      </c>
      <c r="C52" s="43" t="n"/>
      <c r="D52" s="50" t="n"/>
      <c r="E52" s="47" t="n"/>
      <c r="F52" s="47" t="n"/>
      <c r="G52" s="47" t="n"/>
      <c r="H52" s="58" t="n"/>
      <c r="I52" s="47" t="n"/>
      <c r="J52" s="47" t="n"/>
      <c r="K52" s="43">
        <f>SUM(C52,E52,G52,I52)</f>
        <v/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</row>
    <row r="53" ht="15.95" customHeight="1">
      <c r="A53" s="40" t="inlineStr">
        <is>
          <t>T4</t>
        </is>
      </c>
      <c r="B53" s="40">
        <f>VLOOKUP(A53,Members!$A$2:$B$65,2,FALSE)</f>
        <v/>
      </c>
      <c r="C53" s="41" t="n"/>
      <c r="D53" s="53" t="n"/>
      <c r="E53" s="104" t="n"/>
      <c r="F53" s="104" t="n"/>
      <c r="G53" s="104" t="n"/>
      <c r="H53" s="59" t="n"/>
      <c r="I53" s="104" t="n"/>
      <c r="J53" s="104" t="n"/>
      <c r="K53" s="41">
        <f>SUM(C53,E53,G53,I53)</f>
        <v/>
      </c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</row>
    <row r="54" ht="15.95" customHeight="1">
      <c r="A54" s="42" t="inlineStr">
        <is>
          <t>T5</t>
        </is>
      </c>
      <c r="B54" s="42">
        <f>VLOOKUP(A54,Members!$A$2:$B$65,2,FALSE)</f>
        <v/>
      </c>
      <c r="C54" s="47" t="n"/>
      <c r="D54" s="50" t="n"/>
      <c r="E54" s="47" t="n"/>
      <c r="F54" s="47" t="n"/>
      <c r="G54" s="47" t="n"/>
      <c r="H54" s="58" t="n"/>
      <c r="I54" s="47" t="n"/>
      <c r="J54" s="47" t="n"/>
      <c r="K54" s="47">
        <f>SUM(C54,E54,G54,I54)</f>
        <v/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</row>
    <row r="55" ht="15.95" customHeight="1">
      <c r="A55" s="40" t="inlineStr">
        <is>
          <t>T6</t>
        </is>
      </c>
      <c r="B55" s="40">
        <f>VLOOKUP(A55,Members!$A$2:$B$65,2,FALSE)</f>
        <v/>
      </c>
      <c r="C55" s="41" t="n"/>
      <c r="D55" s="53" t="n"/>
      <c r="E55" s="104" t="n"/>
      <c r="F55" s="104" t="n"/>
      <c r="G55" s="104" t="n"/>
      <c r="H55" s="59" t="n"/>
      <c r="I55" s="104" t="n"/>
      <c r="J55" s="104" t="n"/>
      <c r="K55" s="41">
        <f>SUM(C55,E55,G55,I55)</f>
        <v/>
      </c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</row>
    <row r="56" ht="15.95" customHeight="1">
      <c r="A56" s="42" t="inlineStr">
        <is>
          <t>T7</t>
        </is>
      </c>
      <c r="B56" s="42">
        <f>VLOOKUP(A56,Members!$A$2:$B$65,2,FALSE)</f>
        <v/>
      </c>
      <c r="C56" s="47" t="n"/>
      <c r="D56" s="50" t="n"/>
      <c r="E56" s="47" t="n"/>
      <c r="F56" s="47" t="n"/>
      <c r="G56" s="47" t="n"/>
      <c r="H56" s="58" t="n"/>
      <c r="I56" s="47" t="n"/>
      <c r="J56" s="47" t="n"/>
      <c r="K56" s="47">
        <f>SUM(C56,E56,G56,I56)</f>
        <v/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</row>
    <row r="57" ht="15.95" customHeight="1">
      <c r="A57" s="40" t="inlineStr">
        <is>
          <t>T8</t>
        </is>
      </c>
      <c r="B57" s="40">
        <f>VLOOKUP(A57,Members!$A$2:$B$65,2,FALSE)</f>
        <v/>
      </c>
      <c r="C57" s="41" t="n"/>
      <c r="D57" s="53" t="n"/>
      <c r="E57" s="104" t="n"/>
      <c r="F57" s="104" t="n"/>
      <c r="G57" s="104" t="n"/>
      <c r="H57" s="59" t="n"/>
      <c r="I57" s="104" t="n"/>
      <c r="J57" s="104" t="n"/>
      <c r="K57" s="41">
        <f>SUM(C57,E57,G57,I57)</f>
        <v/>
      </c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</row>
    <row r="58" ht="15.95" customHeight="1">
      <c r="A58" s="42" t="inlineStr">
        <is>
          <t>T9</t>
        </is>
      </c>
      <c r="B58" s="42">
        <f>VLOOKUP(A58,Members!$A$2:$B$65,2,FALSE)</f>
        <v/>
      </c>
      <c r="C58" s="47" t="n"/>
      <c r="D58" s="50" t="n"/>
      <c r="E58" s="47" t="n"/>
      <c r="F58" s="47" t="n"/>
      <c r="G58" s="47" t="n"/>
      <c r="H58" s="58" t="n"/>
      <c r="I58" s="47" t="n"/>
      <c r="J58" s="47" t="n"/>
      <c r="K58" s="47">
        <f>SUM(C58,E58,G58,I58)</f>
        <v/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</row>
    <row r="59" ht="15.95" customHeight="1">
      <c r="A59" s="40" t="inlineStr">
        <is>
          <t>T10</t>
        </is>
      </c>
      <c r="B59" s="40">
        <f>VLOOKUP(A59,Members!$A$2:$B$65,2,FALSE)</f>
        <v/>
      </c>
      <c r="C59" s="41" t="n"/>
      <c r="D59" s="53" t="n"/>
      <c r="E59" s="104" t="n"/>
      <c r="F59" s="53" t="n"/>
      <c r="G59" s="104" t="n"/>
      <c r="H59" s="59" t="n"/>
      <c r="I59" s="104" t="n"/>
      <c r="J59" s="104" t="n"/>
      <c r="K59" s="41">
        <f>SUM(C59,E59,G59,I59)</f>
        <v/>
      </c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</row>
    <row r="60" ht="15.95" customHeight="1">
      <c r="A60" s="42" t="inlineStr">
        <is>
          <t>T11</t>
        </is>
      </c>
      <c r="B60" s="42">
        <f>VLOOKUP(A60,Members!$A$2:$B$65,2,FALSE)</f>
        <v/>
      </c>
      <c r="C60" s="43" t="n"/>
      <c r="D60" s="50" t="n"/>
      <c r="E60" s="47" t="n"/>
      <c r="F60" s="47" t="n"/>
      <c r="G60" s="47" t="n"/>
      <c r="H60" s="58" t="n"/>
      <c r="I60" s="47" t="n"/>
      <c r="J60" s="47" t="n"/>
      <c r="K60" s="43">
        <f>SUM(C60,E60,G60,I60)</f>
        <v/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</row>
    <row r="61" ht="15.95" customHeight="1">
      <c r="A61" s="40" t="inlineStr">
        <is>
          <t>T12</t>
        </is>
      </c>
      <c r="B61" s="40">
        <f>VLOOKUP(A61,Members!$A$2:$B$65,2,FALSE)</f>
        <v/>
      </c>
      <c r="C61" s="41" t="n"/>
      <c r="D61" s="53" t="n"/>
      <c r="E61" s="104" t="n"/>
      <c r="F61" s="104" t="n"/>
      <c r="G61" s="104" t="n"/>
      <c r="H61" s="59" t="n"/>
      <c r="I61" s="104" t="n"/>
      <c r="J61" s="104" t="n"/>
      <c r="K61" s="41">
        <f>SUM(C61,E61,G61,I61)</f>
        <v/>
      </c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</row>
    <row r="62" ht="15.95" customHeight="1">
      <c r="A62" s="42" t="inlineStr">
        <is>
          <t>T13</t>
        </is>
      </c>
      <c r="B62" s="42">
        <f>VLOOKUP(A62,Members!$A$2:$B$65,2,FALSE)</f>
        <v/>
      </c>
      <c r="C62" s="47" t="n"/>
      <c r="D62" s="51" t="n"/>
      <c r="E62" s="47" t="n"/>
      <c r="F62" s="47" t="n"/>
      <c r="G62" s="47" t="n"/>
      <c r="H62" s="58" t="n"/>
      <c r="I62" s="47" t="n"/>
      <c r="J62" s="47" t="n"/>
      <c r="K62" s="47">
        <f>SUM(C62,E62,G62,I62)</f>
        <v/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</row>
    <row r="63" ht="15.95" customHeight="1">
      <c r="A63" s="40" t="inlineStr">
        <is>
          <t>T14</t>
        </is>
      </c>
      <c r="B63" s="40">
        <f>VLOOKUP(A63,Members!$A$2:$B$65,2,FALSE)</f>
        <v/>
      </c>
      <c r="C63" s="41" t="n"/>
      <c r="D63" s="53" t="n"/>
      <c r="E63" s="104" t="n"/>
      <c r="F63" s="104" t="n"/>
      <c r="G63" s="104" t="n"/>
      <c r="H63" s="59" t="n"/>
      <c r="I63" s="104" t="n"/>
      <c r="J63" s="104" t="n"/>
      <c r="K63" s="41">
        <f>SUM(C63,E63,G63,I63)</f>
        <v/>
      </c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</row>
    <row r="64" ht="15.95" customHeight="1">
      <c r="A64" s="42" t="inlineStr">
        <is>
          <t>T15</t>
        </is>
      </c>
      <c r="B64" s="42">
        <f>VLOOKUP(A64,Members!$A$2:$B$65,2,FALSE)</f>
        <v/>
      </c>
      <c r="C64" s="43" t="n"/>
      <c r="D64" s="50" t="n"/>
      <c r="E64" s="47" t="n"/>
      <c r="F64" s="47" t="n"/>
      <c r="G64" s="47" t="n"/>
      <c r="H64" s="58" t="n"/>
      <c r="I64" s="47" t="n"/>
      <c r="J64" s="47" t="n"/>
      <c r="K64" s="43">
        <f>SUM(C64,E64,G64,I64)</f>
        <v/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</row>
    <row r="65" ht="15.95" customHeight="1">
      <c r="A65" s="40" t="inlineStr">
        <is>
          <t>T16</t>
        </is>
      </c>
      <c r="B65" s="40">
        <f>VLOOKUP(A65,Members!$A$2:$B$65,2,FALSE)</f>
        <v/>
      </c>
      <c r="C65" s="104" t="n"/>
      <c r="D65" s="53" t="n"/>
      <c r="E65" s="104" t="n"/>
      <c r="F65" s="104" t="n"/>
      <c r="G65" s="104" t="n"/>
      <c r="H65" s="59" t="n"/>
      <c r="I65" s="104" t="n"/>
      <c r="J65" s="104" t="n"/>
      <c r="K65" s="104">
        <f>SUM(C65,E65,G65,I65)</f>
        <v/>
      </c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</row>
    <row r="66">
      <c r="A66" s="44" t="inlineStr">
        <is>
          <t>TOTAL</t>
        </is>
      </c>
      <c r="B66" s="55" t="n"/>
      <c r="C66" s="56" t="n"/>
      <c r="D66" s="67" t="n"/>
      <c r="E66" s="56" t="n"/>
      <c r="F66" s="56" t="n"/>
      <c r="G66" s="56" t="n"/>
      <c r="H66" s="62" t="n"/>
      <c r="I66" s="56" t="n"/>
      <c r="J66" s="56" t="n"/>
      <c r="K66" s="56">
        <f>SUM(K2:K65)</f>
        <v/>
      </c>
      <c r="L66" s="56" t="n"/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  <c r="Z66" s="56" t="n"/>
      <c r="AA66" s="56" t="n"/>
    </row>
    <row r="67">
      <c r="D67" s="10" t="n"/>
      <c r="F67" s="9" t="n"/>
      <c r="H67" s="8" t="n"/>
    </row>
    <row r="68">
      <c r="D68" s="10" t="n"/>
      <c r="F68" s="9" t="n"/>
      <c r="H68" s="8" t="n"/>
    </row>
    <row r="69">
      <c r="D69" s="10" t="n"/>
      <c r="F69" s="9" t="n"/>
      <c r="H69" s="8" t="n"/>
    </row>
    <row r="70">
      <c r="A70" s="3" t="n"/>
      <c r="D70" s="10" t="n"/>
      <c r="F70" s="9" t="n"/>
      <c r="H70" s="8" t="n"/>
    </row>
    <row r="71">
      <c r="A71" s="3" t="n"/>
      <c r="D71" s="10" t="n"/>
      <c r="F71" s="9" t="n"/>
      <c r="H71" s="8" t="n"/>
    </row>
    <row r="72">
      <c r="A72" s="5" t="n"/>
      <c r="D72" s="10" t="n"/>
      <c r="F72" s="9" t="n"/>
      <c r="H72" s="8" t="n"/>
    </row>
    <row r="73">
      <c r="A73" s="5" t="n"/>
      <c r="D73" s="10" t="n"/>
      <c r="F73" s="9" t="n"/>
      <c r="H73" s="8" t="n"/>
    </row>
    <row r="74">
      <c r="A74" s="5" t="n"/>
      <c r="D74" s="10" t="n"/>
      <c r="F74" s="9" t="n"/>
      <c r="H74" s="8" t="n"/>
    </row>
    <row r="75">
      <c r="A75" s="5" t="n"/>
      <c r="D75" s="10" t="n"/>
      <c r="F75" s="9" t="n"/>
      <c r="H75" s="8" t="n"/>
    </row>
    <row r="76">
      <c r="A76" s="5" t="n"/>
      <c r="D76" s="10" t="n"/>
      <c r="F76" s="9" t="n"/>
      <c r="H76" s="8" t="n"/>
    </row>
    <row r="77">
      <c r="A77" s="5" t="n"/>
      <c r="D77" s="10" t="n"/>
      <c r="F77" s="9" t="n"/>
      <c r="H77" s="8" t="n"/>
    </row>
    <row r="78">
      <c r="A78" s="5" t="n"/>
      <c r="D78" s="10" t="n"/>
      <c r="F78" s="9" t="n"/>
      <c r="H78" s="8" t="n"/>
    </row>
    <row r="79">
      <c r="A79" s="5" t="n"/>
      <c r="D79" s="10" t="n"/>
      <c r="F79" s="9" t="n"/>
      <c r="H79" s="8" t="n"/>
    </row>
    <row r="80">
      <c r="A80" s="5" t="n"/>
      <c r="D80" s="10" t="n"/>
      <c r="F80" s="9" t="n"/>
      <c r="H80" s="8" t="n"/>
    </row>
    <row r="81">
      <c r="A81" s="5" t="n"/>
      <c r="D81" s="10" t="n"/>
      <c r="F81" s="9" t="n"/>
      <c r="H81" s="8" t="n"/>
    </row>
    <row r="82">
      <c r="A82" s="5" t="n"/>
      <c r="D82" s="10" t="n"/>
      <c r="F82" s="9" t="n"/>
      <c r="H82" s="8" t="n"/>
    </row>
    <row r="83">
      <c r="A83" s="5" t="n"/>
      <c r="D83" s="10" t="n"/>
      <c r="F83" s="9" t="n"/>
      <c r="H83" s="8" t="n"/>
    </row>
    <row r="84">
      <c r="A84" s="5" t="n"/>
      <c r="D84" s="10" t="n"/>
      <c r="F84" s="9" t="n"/>
      <c r="H84" s="8" t="n"/>
    </row>
    <row r="85">
      <c r="A85" s="5" t="n"/>
      <c r="D85" s="10" t="n"/>
      <c r="F85" s="9" t="n"/>
      <c r="H85" s="8" t="n"/>
    </row>
    <row r="86">
      <c r="A86" s="5" t="n"/>
      <c r="D86" s="10" t="n"/>
      <c r="F86" s="9" t="n"/>
      <c r="H86" s="8" t="n"/>
    </row>
    <row r="87">
      <c r="A87" s="5" t="n"/>
      <c r="D87" s="10" t="n"/>
      <c r="F87" s="9" t="n"/>
      <c r="H87" s="8" t="n"/>
    </row>
    <row r="88">
      <c r="A88" s="5" t="n"/>
      <c r="D88" s="10" t="n"/>
      <c r="F88" s="9" t="n"/>
      <c r="H88" s="8" t="n"/>
    </row>
    <row r="89">
      <c r="A89" s="5" t="n"/>
      <c r="D89" s="10" t="n"/>
      <c r="F89" s="9" t="n"/>
      <c r="H89" s="8" t="n"/>
    </row>
    <row r="90">
      <c r="A90" s="5" t="n"/>
      <c r="D90" s="10" t="n"/>
      <c r="F90" s="9" t="n"/>
      <c r="H90" s="8" t="n"/>
    </row>
    <row r="91">
      <c r="A91" s="5" t="n"/>
      <c r="D91" s="10" t="n"/>
      <c r="F91" s="9" t="n"/>
      <c r="H91" s="8" t="n"/>
    </row>
    <row r="92">
      <c r="A92" s="5" t="n"/>
      <c r="D92" s="10" t="n"/>
      <c r="F92" s="9" t="n"/>
      <c r="H92" s="8" t="n"/>
    </row>
    <row r="93">
      <c r="A93" s="5" t="n"/>
      <c r="D93" s="10" t="n"/>
      <c r="F93" s="9" t="n"/>
      <c r="H93" s="8" t="n"/>
    </row>
    <row r="94">
      <c r="A94" s="5" t="n"/>
      <c r="D94" s="10" t="n"/>
      <c r="F94" s="9" t="n"/>
      <c r="H94" s="8" t="n"/>
    </row>
    <row r="95">
      <c r="A95" s="5" t="n"/>
      <c r="D95" s="10" t="n"/>
      <c r="F95" s="9" t="n"/>
      <c r="H95" s="8" t="n"/>
    </row>
    <row r="96">
      <c r="A96" s="5" t="n"/>
      <c r="D96" s="10" t="n"/>
      <c r="F96" s="9" t="n"/>
      <c r="H96" s="8" t="n"/>
    </row>
    <row r="97">
      <c r="A97" s="5" t="n"/>
      <c r="D97" s="10" t="n"/>
      <c r="F97" s="9" t="n"/>
      <c r="H97" s="8" t="n"/>
    </row>
    <row r="98">
      <c r="A98" s="5" t="n"/>
      <c r="D98" s="10" t="n"/>
      <c r="F98" s="9" t="n"/>
      <c r="H98" s="8" t="n"/>
    </row>
    <row r="99">
      <c r="A99" s="5" t="n"/>
      <c r="D99" s="10" t="n"/>
      <c r="F99" s="9" t="n"/>
      <c r="H99" s="8" t="n"/>
    </row>
    <row r="100">
      <c r="A100" s="5" t="n"/>
      <c r="D100" s="10" t="n"/>
      <c r="F100" s="9" t="n"/>
      <c r="H100" s="8" t="n"/>
    </row>
    <row r="101">
      <c r="A101" s="5" t="n"/>
      <c r="D101" s="10" t="n"/>
      <c r="F101" s="9" t="n"/>
      <c r="H101" s="8" t="n"/>
    </row>
    <row r="102">
      <c r="A102" s="5" t="n"/>
      <c r="D102" s="10" t="n"/>
      <c r="F102" s="9" t="n"/>
      <c r="H102" s="8" t="n"/>
    </row>
    <row r="103">
      <c r="A103" s="5" t="n"/>
      <c r="D103" s="10" t="n"/>
      <c r="F103" s="9" t="n"/>
      <c r="H103" s="8" t="n"/>
    </row>
    <row r="104">
      <c r="A104" s="5" t="n"/>
      <c r="D104" s="10" t="n"/>
      <c r="F104" s="9" t="n"/>
      <c r="H104" s="8" t="n"/>
    </row>
    <row r="105">
      <c r="A105" s="5" t="n"/>
      <c r="D105" s="10" t="n"/>
      <c r="F105" s="9" t="n"/>
      <c r="H105" s="8" t="n"/>
    </row>
    <row r="106">
      <c r="A106" s="5" t="n"/>
      <c r="D106" s="10" t="n"/>
      <c r="F106" s="9" t="n"/>
      <c r="H106" s="8" t="n"/>
    </row>
    <row r="107">
      <c r="A107" s="5" t="n"/>
      <c r="D107" s="10" t="n"/>
      <c r="F107" s="9" t="n"/>
      <c r="H107" s="8" t="n"/>
    </row>
    <row r="108">
      <c r="A108" s="5" t="n"/>
      <c r="D108" s="10" t="n"/>
      <c r="F108" s="9" t="n"/>
      <c r="H108" s="8" t="n"/>
    </row>
    <row r="109">
      <c r="A109" s="5" t="n"/>
      <c r="D109" s="10" t="n"/>
      <c r="F109" s="9" t="n"/>
      <c r="H109" s="8" t="n"/>
    </row>
    <row r="110">
      <c r="A110" s="5" t="n"/>
      <c r="D110" s="10" t="n"/>
      <c r="F110" s="9" t="n"/>
      <c r="H110" s="8" t="n"/>
    </row>
    <row r="111">
      <c r="A111" s="5" t="n"/>
      <c r="D111" s="10" t="n"/>
      <c r="F111" s="9" t="n"/>
      <c r="H111" s="8" t="n"/>
    </row>
    <row r="112">
      <c r="A112" s="5" t="n"/>
      <c r="D112" s="10" t="n"/>
      <c r="F112" s="9" t="n"/>
      <c r="H112" s="8" t="n"/>
    </row>
    <row r="113">
      <c r="A113" s="5" t="n"/>
      <c r="D113" s="10" t="n"/>
      <c r="F113" s="9" t="n"/>
      <c r="H113" s="8" t="n"/>
    </row>
    <row r="114">
      <c r="A114" s="5" t="n"/>
      <c r="D114" s="10" t="n"/>
      <c r="F114" s="9" t="n"/>
      <c r="H114" s="8" t="n"/>
    </row>
    <row r="115">
      <c r="A115" s="5" t="n"/>
      <c r="D115" s="10" t="n"/>
      <c r="F115" s="9" t="n"/>
      <c r="H115" s="8" t="n"/>
    </row>
    <row r="116">
      <c r="A116" s="5" t="n"/>
      <c r="D116" s="10" t="n"/>
      <c r="F116" s="9" t="n"/>
      <c r="H116" s="8" t="n"/>
    </row>
    <row r="117">
      <c r="A117" s="5" t="n"/>
      <c r="D117" s="10" t="n"/>
      <c r="F117" s="9" t="n"/>
      <c r="H117" s="8" t="n"/>
    </row>
    <row r="118">
      <c r="A118" s="5" t="n"/>
      <c r="D118" s="10" t="n"/>
      <c r="F118" s="9" t="n"/>
      <c r="H118" s="8" t="n"/>
    </row>
    <row r="119">
      <c r="A119" s="5" t="n"/>
      <c r="D119" s="10" t="n"/>
      <c r="F119" s="9" t="n"/>
      <c r="H119" s="8" t="n"/>
    </row>
    <row r="120">
      <c r="A120" s="5" t="n"/>
      <c r="D120" s="10" t="n"/>
      <c r="F120" s="9" t="n"/>
      <c r="H120" s="8" t="n"/>
    </row>
    <row r="121">
      <c r="A121" s="5" t="n"/>
      <c r="D121" s="10" t="n"/>
      <c r="F121" s="9" t="n"/>
      <c r="H121" s="8" t="n"/>
    </row>
    <row r="122">
      <c r="A122" s="5" t="n"/>
      <c r="D122" s="10" t="n"/>
      <c r="F122" s="9" t="n"/>
      <c r="H122" s="8" t="n"/>
    </row>
    <row r="123">
      <c r="A123" s="5" t="n"/>
      <c r="D123" s="10" t="n"/>
      <c r="F123" s="9" t="n"/>
      <c r="H123" s="8" t="n"/>
    </row>
    <row r="124">
      <c r="A124" s="5" t="n"/>
      <c r="D124" s="10" t="n"/>
      <c r="F124" s="9" t="n"/>
      <c r="H124" s="8" t="n"/>
    </row>
    <row r="125">
      <c r="A125" s="5" t="n"/>
      <c r="D125" s="10" t="n"/>
      <c r="F125" s="9" t="n"/>
      <c r="H125" s="8" t="n"/>
    </row>
    <row r="126">
      <c r="A126" s="5" t="n"/>
      <c r="D126" s="10" t="n"/>
      <c r="F126" s="9" t="n"/>
      <c r="H126" s="8" t="n"/>
    </row>
    <row r="127">
      <c r="A127" s="5" t="n"/>
      <c r="D127" s="10" t="n"/>
      <c r="F127" s="9" t="n"/>
      <c r="H127" s="8" t="n"/>
    </row>
    <row r="128">
      <c r="A128" s="5" t="n"/>
      <c r="D128" s="10" t="n"/>
      <c r="F128" s="9" t="n"/>
      <c r="H128" s="8" t="n"/>
    </row>
    <row r="129">
      <c r="A129" s="5" t="n"/>
      <c r="D129" s="10" t="n"/>
      <c r="F129" s="9" t="n"/>
      <c r="H129" s="8" t="n"/>
    </row>
    <row r="130">
      <c r="A130" s="5" t="n"/>
      <c r="D130" s="10" t="n"/>
      <c r="F130" s="9" t="n"/>
      <c r="H130" s="8" t="n"/>
    </row>
    <row r="131">
      <c r="A131" s="5" t="n"/>
      <c r="D131" s="10" t="n"/>
      <c r="F131" s="9" t="n"/>
      <c r="H131" s="8" t="n"/>
    </row>
    <row r="132">
      <c r="A132" s="5" t="n"/>
      <c r="D132" s="10" t="n"/>
      <c r="F132" s="9" t="n"/>
      <c r="H132" s="8" t="n"/>
    </row>
    <row r="133">
      <c r="A133" s="5" t="n"/>
      <c r="D133" s="10" t="n"/>
      <c r="F133" s="9" t="n"/>
      <c r="H133" s="8" t="n"/>
    </row>
    <row r="134">
      <c r="A134" s="5" t="n"/>
      <c r="D134" s="10" t="n"/>
      <c r="F134" s="9" t="n"/>
      <c r="H134" s="8" t="n"/>
    </row>
    <row r="135">
      <c r="A135" s="5" t="n"/>
      <c r="D135" s="10" t="n"/>
      <c r="F135" s="9" t="n"/>
      <c r="H135" s="8" t="n"/>
    </row>
    <row r="136">
      <c r="A136" s="5" t="n"/>
      <c r="D136" s="10" t="n"/>
      <c r="F136" s="9" t="n"/>
      <c r="H136" s="8" t="n"/>
    </row>
    <row r="137">
      <c r="A137" s="5" t="n"/>
      <c r="D137" s="10" t="n"/>
      <c r="F137" s="9" t="n"/>
      <c r="H137" s="8" t="n"/>
    </row>
    <row r="138">
      <c r="A138" s="5" t="n"/>
      <c r="D138" s="10" t="n"/>
      <c r="F138" s="9" t="n"/>
      <c r="H138" s="8" t="n"/>
    </row>
    <row r="139">
      <c r="A139" s="7" t="n"/>
      <c r="D139" s="10" t="n"/>
      <c r="F139" s="9" t="n"/>
      <c r="H139" s="8" t="n"/>
    </row>
    <row r="140">
      <c r="D140" s="10" t="n"/>
      <c r="F140" s="9" t="n"/>
      <c r="H140" s="8" t="n"/>
    </row>
    <row r="141">
      <c r="D141" s="10" t="n"/>
      <c r="F141" s="9" t="n"/>
      <c r="H141" s="8" t="n"/>
    </row>
    <row r="142">
      <c r="D142" s="10" t="n"/>
      <c r="F142" s="9" t="n"/>
      <c r="H142" s="8" t="n"/>
    </row>
    <row r="143">
      <c r="A143" s="3" t="n"/>
      <c r="D143" s="10" t="n"/>
      <c r="F143" s="9" t="n"/>
      <c r="H143" s="8" t="n"/>
    </row>
    <row r="144">
      <c r="A144" s="3" t="n"/>
      <c r="D144" s="10" t="n"/>
      <c r="F144" s="9" t="n"/>
      <c r="H144" s="8" t="n"/>
    </row>
    <row r="145">
      <c r="A145" s="5" t="n"/>
      <c r="D145" s="10" t="n"/>
      <c r="F145" s="9" t="n"/>
      <c r="H145" s="8" t="n"/>
    </row>
    <row r="146">
      <c r="A146" s="5" t="n"/>
      <c r="D146" s="10" t="n"/>
      <c r="F146" s="9" t="n"/>
      <c r="H146" s="8" t="n"/>
    </row>
    <row r="147">
      <c r="A147" s="5" t="n"/>
      <c r="D147" s="10" t="n"/>
      <c r="F147" s="9" t="n"/>
      <c r="H147" s="8" t="n"/>
    </row>
    <row r="148">
      <c r="A148" s="5" t="n"/>
      <c r="D148" s="10" t="n"/>
      <c r="F148" s="9" t="n"/>
      <c r="H148" s="8" t="n"/>
    </row>
    <row r="149">
      <c r="A149" s="5" t="n"/>
      <c r="D149" s="10" t="n"/>
      <c r="F149" s="9" t="n"/>
      <c r="H149" s="8" t="n"/>
    </row>
    <row r="150">
      <c r="A150" s="5" t="n"/>
      <c r="D150" s="10" t="n"/>
      <c r="F150" s="9" t="n"/>
      <c r="H150" s="8" t="n"/>
    </row>
    <row r="151">
      <c r="A151" s="5" t="n"/>
      <c r="D151" s="10" t="n"/>
      <c r="F151" s="9" t="n"/>
      <c r="H151" s="8" t="n"/>
    </row>
    <row r="152">
      <c r="A152" s="5" t="n"/>
      <c r="D152" s="10" t="n"/>
      <c r="F152" s="9" t="n"/>
      <c r="H152" s="8" t="n"/>
    </row>
    <row r="153">
      <c r="A153" s="5" t="n"/>
      <c r="D153" s="10" t="n"/>
      <c r="F153" s="9" t="n"/>
      <c r="H153" s="8" t="n"/>
    </row>
    <row r="154">
      <c r="A154" s="5" t="n"/>
      <c r="D154" s="10" t="n"/>
      <c r="F154" s="9" t="n"/>
      <c r="H154" s="8" t="n"/>
    </row>
    <row r="155">
      <c r="A155" s="5" t="n"/>
      <c r="D155" s="10" t="n"/>
      <c r="F155" s="9" t="n"/>
      <c r="H155" s="8" t="n"/>
    </row>
    <row r="156">
      <c r="A156" s="5" t="n"/>
      <c r="D156" s="10" t="n"/>
      <c r="F156" s="9" t="n"/>
      <c r="H156" s="8" t="n"/>
    </row>
    <row r="157">
      <c r="A157" s="5" t="n"/>
      <c r="D157" s="10" t="n"/>
      <c r="F157" s="9" t="n"/>
      <c r="H157" s="8" t="n"/>
    </row>
    <row r="158">
      <c r="A158" s="5" t="n"/>
      <c r="D158" s="10" t="n"/>
      <c r="F158" s="9" t="n"/>
      <c r="H158" s="8" t="n"/>
    </row>
    <row r="159">
      <c r="A159" s="5" t="n"/>
      <c r="D159" s="10" t="n"/>
      <c r="F159" s="9" t="n"/>
      <c r="H159" s="8" t="n"/>
    </row>
    <row r="160">
      <c r="A160" s="5" t="n"/>
      <c r="D160" s="10" t="n"/>
      <c r="F160" s="9" t="n"/>
      <c r="H160" s="8" t="n"/>
    </row>
    <row r="161">
      <c r="A161" s="5" t="n"/>
      <c r="D161" s="10" t="n"/>
      <c r="F161" s="9" t="n"/>
      <c r="H161" s="8" t="n"/>
    </row>
    <row r="162">
      <c r="A162" s="5" t="n"/>
      <c r="D162" s="10" t="n"/>
      <c r="F162" s="9" t="n"/>
      <c r="H162" s="8" t="n"/>
    </row>
    <row r="163">
      <c r="A163" s="5" t="n"/>
      <c r="D163" s="10" t="n"/>
      <c r="F163" s="9" t="n"/>
      <c r="H163" s="8" t="n"/>
    </row>
    <row r="164">
      <c r="A164" s="5" t="n"/>
      <c r="D164" s="10" t="n"/>
      <c r="F164" s="9" t="n"/>
      <c r="H164" s="8" t="n"/>
    </row>
    <row r="165">
      <c r="A165" s="5" t="n"/>
      <c r="D165" s="10" t="n"/>
      <c r="F165" s="9" t="n"/>
      <c r="H165" s="8" t="n"/>
    </row>
    <row r="166">
      <c r="A166" s="5" t="n"/>
      <c r="D166" s="10" t="n"/>
      <c r="F166" s="9" t="n"/>
      <c r="H166" s="8" t="n"/>
    </row>
    <row r="167">
      <c r="A167" s="5" t="n"/>
      <c r="D167" s="10" t="n"/>
      <c r="F167" s="9" t="n"/>
      <c r="H167" s="8" t="n"/>
    </row>
    <row r="168">
      <c r="A168" s="5" t="n"/>
      <c r="D168" s="10" t="n"/>
      <c r="F168" s="9" t="n"/>
      <c r="H168" s="8" t="n"/>
    </row>
    <row r="169">
      <c r="A169" s="5" t="n"/>
      <c r="D169" s="10" t="n"/>
      <c r="F169" s="9" t="n"/>
      <c r="H169" s="8" t="n"/>
    </row>
    <row r="170">
      <c r="A170" s="5" t="n"/>
      <c r="D170" s="10" t="n"/>
      <c r="F170" s="9" t="n"/>
      <c r="H170" s="8" t="n"/>
    </row>
    <row r="171">
      <c r="A171" s="5" t="n"/>
      <c r="D171" s="10" t="n"/>
      <c r="F171" s="9" t="n"/>
      <c r="H171" s="8" t="n"/>
    </row>
    <row r="172">
      <c r="A172" s="5" t="n"/>
      <c r="D172" s="10" t="n"/>
      <c r="F172" s="9" t="n"/>
      <c r="H172" s="8" t="n"/>
    </row>
    <row r="173">
      <c r="A173" s="5" t="n"/>
      <c r="D173" s="10" t="n"/>
      <c r="F173" s="9" t="n"/>
      <c r="H173" s="8" t="n"/>
    </row>
    <row r="174">
      <c r="A174" s="5" t="n"/>
      <c r="D174" s="10" t="n"/>
      <c r="F174" s="9" t="n"/>
      <c r="H174" s="8" t="n"/>
    </row>
    <row r="175">
      <c r="A175" s="5" t="n"/>
      <c r="D175" s="10" t="n"/>
      <c r="F175" s="9" t="n"/>
      <c r="H175" s="8" t="n"/>
    </row>
    <row r="176">
      <c r="A176" s="5" t="n"/>
      <c r="D176" s="10" t="n"/>
      <c r="F176" s="9" t="n"/>
      <c r="H176" s="8" t="n"/>
    </row>
    <row r="177">
      <c r="A177" s="5" t="n"/>
      <c r="D177" s="10" t="n"/>
      <c r="F177" s="9" t="n"/>
      <c r="H177" s="8" t="n"/>
    </row>
    <row r="178">
      <c r="A178" s="5" t="n"/>
      <c r="D178" s="10" t="n"/>
      <c r="F178" s="9" t="n"/>
      <c r="H178" s="8" t="n"/>
    </row>
    <row r="179">
      <c r="A179" s="5" t="n"/>
      <c r="D179" s="10" t="n"/>
      <c r="F179" s="9" t="n"/>
      <c r="H179" s="8" t="n"/>
    </row>
    <row r="180">
      <c r="A180" s="5" t="n"/>
      <c r="D180" s="10" t="n"/>
      <c r="F180" s="9" t="n"/>
      <c r="H180" s="8" t="n"/>
    </row>
    <row r="181">
      <c r="A181" s="5" t="n"/>
      <c r="D181" s="10" t="n"/>
      <c r="F181" s="9" t="n"/>
      <c r="H181" s="8" t="n"/>
    </row>
    <row r="182">
      <c r="A182" s="5" t="n"/>
      <c r="D182" s="10" t="n"/>
      <c r="F182" s="9" t="n"/>
      <c r="H182" s="8" t="n"/>
    </row>
    <row r="183">
      <c r="A183" s="5" t="n"/>
      <c r="D183" s="10" t="n"/>
      <c r="F183" s="9" t="n"/>
      <c r="H183" s="8" t="n"/>
    </row>
    <row r="184">
      <c r="A184" s="5" t="n"/>
      <c r="D184" s="10" t="n"/>
      <c r="F184" s="9" t="n"/>
      <c r="H184" s="8" t="n"/>
    </row>
    <row r="185">
      <c r="A185" s="5" t="n"/>
      <c r="D185" s="10" t="n"/>
      <c r="F185" s="9" t="n"/>
      <c r="H185" s="8" t="n"/>
    </row>
    <row r="186">
      <c r="A186" s="5" t="n"/>
      <c r="D186" s="10" t="n"/>
      <c r="F186" s="9" t="n"/>
      <c r="H186" s="8" t="n"/>
    </row>
    <row r="187">
      <c r="A187" s="5" t="n"/>
      <c r="D187" s="10" t="n"/>
      <c r="F187" s="9" t="n"/>
      <c r="H187" s="8" t="n"/>
    </row>
    <row r="188">
      <c r="A188" s="5" t="n"/>
      <c r="D188" s="10" t="n"/>
      <c r="F188" s="9" t="n"/>
      <c r="H188" s="8" t="n"/>
    </row>
    <row r="189">
      <c r="A189" s="5" t="n"/>
      <c r="D189" s="10" t="n"/>
      <c r="F189" s="9" t="n"/>
      <c r="H189" s="8" t="n"/>
    </row>
    <row r="190">
      <c r="A190" s="5" t="n"/>
      <c r="D190" s="10" t="n"/>
      <c r="F190" s="9" t="n"/>
      <c r="H190" s="8" t="n"/>
    </row>
    <row r="191">
      <c r="A191" s="5" t="n"/>
      <c r="D191" s="10" t="n"/>
      <c r="F191" s="9" t="n"/>
      <c r="H191" s="8" t="n"/>
    </row>
    <row r="192">
      <c r="A192" s="5" t="n"/>
      <c r="D192" s="10" t="n"/>
      <c r="F192" s="9" t="n"/>
      <c r="H192" s="8" t="n"/>
    </row>
    <row r="193">
      <c r="A193" s="5" t="n"/>
      <c r="D193" s="10" t="n"/>
      <c r="F193" s="9" t="n"/>
      <c r="H193" s="8" t="n"/>
    </row>
    <row r="194">
      <c r="A194" s="5" t="n"/>
      <c r="D194" s="10" t="n"/>
      <c r="F194" s="9" t="n"/>
      <c r="H194" s="8" t="n"/>
    </row>
    <row r="195">
      <c r="A195" s="5" t="n"/>
      <c r="D195" s="10" t="n"/>
      <c r="F195" s="9" t="n"/>
      <c r="H195" s="8" t="n"/>
    </row>
    <row r="196">
      <c r="A196" s="5" t="n"/>
      <c r="D196" s="10" t="n"/>
      <c r="F196" s="9" t="n"/>
      <c r="H196" s="8" t="n"/>
    </row>
    <row r="197">
      <c r="A197" s="5" t="n"/>
      <c r="D197" s="10" t="n"/>
      <c r="F197" s="9" t="n"/>
      <c r="H197" s="8" t="n"/>
    </row>
    <row r="198">
      <c r="A198" s="5" t="n"/>
      <c r="D198" s="10" t="n"/>
      <c r="F198" s="9" t="n"/>
      <c r="H198" s="8" t="n"/>
    </row>
    <row r="199">
      <c r="A199" s="5" t="n"/>
      <c r="D199" s="10" t="n"/>
      <c r="F199" s="9" t="n"/>
      <c r="H199" s="8" t="n"/>
    </row>
    <row r="200">
      <c r="A200" s="5" t="n"/>
      <c r="D200" s="10" t="n"/>
      <c r="F200" s="9" t="n"/>
      <c r="H200" s="8" t="n"/>
    </row>
    <row r="201">
      <c r="A201" s="5" t="n"/>
      <c r="D201" s="10" t="n"/>
      <c r="F201" s="9" t="n"/>
      <c r="H201" s="8" t="n"/>
    </row>
    <row r="202">
      <c r="A202" s="5" t="n"/>
      <c r="D202" s="10" t="n"/>
      <c r="F202" s="9" t="n"/>
      <c r="H202" s="8" t="n"/>
    </row>
    <row r="203">
      <c r="A203" s="5" t="n"/>
      <c r="D203" s="10" t="n"/>
      <c r="F203" s="9" t="n"/>
      <c r="H203" s="8" t="n"/>
    </row>
    <row r="204">
      <c r="A204" s="5" t="n"/>
      <c r="D204" s="10" t="n"/>
      <c r="F204" s="9" t="n"/>
      <c r="H204" s="8" t="n"/>
    </row>
    <row r="205">
      <c r="A205" s="5" t="n"/>
      <c r="D205" s="10" t="n"/>
      <c r="F205" s="9" t="n"/>
      <c r="H205" s="8" t="n"/>
    </row>
    <row r="206">
      <c r="A206" s="5" t="n"/>
      <c r="D206" s="10" t="n"/>
      <c r="F206" s="9" t="n"/>
      <c r="H206" s="8" t="n"/>
    </row>
    <row r="207">
      <c r="A207" s="5" t="n"/>
      <c r="D207" s="10" t="n"/>
      <c r="F207" s="9" t="n"/>
      <c r="H207" s="8" t="n"/>
    </row>
    <row r="208">
      <c r="A208" s="5" t="n"/>
      <c r="D208" s="10" t="n"/>
      <c r="F208" s="9" t="n"/>
      <c r="H208" s="8" t="n"/>
    </row>
    <row r="209">
      <c r="A209" s="5" t="n"/>
      <c r="D209" s="10" t="n"/>
      <c r="F209" s="9" t="n"/>
      <c r="H209" s="8" t="n"/>
    </row>
    <row r="210">
      <c r="A210" s="5" t="n"/>
      <c r="D210" s="10" t="n"/>
      <c r="F210" s="9" t="n"/>
      <c r="H210" s="8" t="n"/>
    </row>
    <row r="211">
      <c r="A211" s="5" t="n"/>
      <c r="D211" s="10" t="n"/>
      <c r="F211" s="9" t="n"/>
      <c r="H211" s="8" t="n"/>
    </row>
    <row r="212">
      <c r="A212" s="7" t="n"/>
      <c r="D212" s="10" t="n"/>
      <c r="F212" s="9" t="n"/>
      <c r="H212" s="8" t="n"/>
    </row>
    <row r="213">
      <c r="D213" s="10" t="n"/>
      <c r="F213" s="9" t="n"/>
      <c r="H213" s="8" t="n"/>
    </row>
    <row r="214">
      <c r="D214" s="10" t="n"/>
      <c r="F214" s="9" t="n"/>
      <c r="H214" s="8" t="n"/>
    </row>
    <row r="215">
      <c r="D215" s="10" t="n"/>
      <c r="F215" s="9" t="n"/>
      <c r="H215" s="8" t="n"/>
    </row>
    <row r="216">
      <c r="A216" s="3" t="n"/>
      <c r="D216" s="10" t="n"/>
      <c r="F216" s="9" t="n"/>
      <c r="H216" s="8" t="n"/>
    </row>
    <row r="217">
      <c r="A217" s="3" t="n"/>
      <c r="D217" s="10" t="n"/>
      <c r="F217" s="9" t="n"/>
      <c r="H217" s="8" t="n"/>
    </row>
    <row r="218">
      <c r="A218" s="5" t="n"/>
      <c r="D218" s="10" t="n"/>
      <c r="F218" s="9" t="n"/>
      <c r="H218" s="8" t="n"/>
    </row>
    <row r="219">
      <c r="A219" s="5" t="n"/>
      <c r="D219" s="10" t="n"/>
      <c r="F219" s="9" t="n"/>
      <c r="H219" s="8" t="n"/>
    </row>
    <row r="220">
      <c r="A220" s="5" t="n"/>
      <c r="D220" s="10" t="n"/>
      <c r="F220" s="9" t="n"/>
      <c r="H220" s="8" t="n"/>
    </row>
    <row r="221">
      <c r="A221" s="5" t="n"/>
      <c r="D221" s="10" t="n"/>
      <c r="F221" s="9" t="n"/>
      <c r="H221" s="8" t="n"/>
    </row>
    <row r="222">
      <c r="A222" s="5" t="n"/>
      <c r="D222" s="10" t="n"/>
      <c r="F222" s="9" t="n"/>
      <c r="H222" s="8" t="n"/>
    </row>
    <row r="223">
      <c r="A223" s="5" t="n"/>
      <c r="D223" s="10" t="n"/>
      <c r="F223" s="9" t="n"/>
      <c r="H223" s="8" t="n"/>
    </row>
    <row r="224">
      <c r="A224" s="5" t="n"/>
      <c r="D224" s="10" t="n"/>
      <c r="F224" s="9" t="n"/>
      <c r="H224" s="8" t="n"/>
    </row>
    <row r="225">
      <c r="A225" s="5" t="n"/>
      <c r="D225" s="10" t="n"/>
      <c r="F225" s="9" t="n"/>
      <c r="H225" s="8" t="n"/>
    </row>
    <row r="226">
      <c r="A226" s="5" t="n"/>
      <c r="D226" s="10" t="n"/>
      <c r="F226" s="9" t="n"/>
      <c r="H226" s="8" t="n"/>
    </row>
    <row r="227">
      <c r="A227" s="5" t="n"/>
      <c r="D227" s="10" t="n"/>
      <c r="F227" s="9" t="n"/>
      <c r="H227" s="8" t="n"/>
    </row>
    <row r="228">
      <c r="A228" s="5" t="n"/>
      <c r="D228" s="10" t="n"/>
      <c r="F228" s="9" t="n"/>
      <c r="H228" s="8" t="n"/>
    </row>
    <row r="229">
      <c r="A229" s="5" t="n"/>
      <c r="D229" s="10" t="n"/>
      <c r="F229" s="9" t="n"/>
      <c r="H229" s="8" t="n"/>
    </row>
    <row r="230">
      <c r="A230" s="5" t="n"/>
      <c r="D230" s="10" t="n"/>
      <c r="F230" s="9" t="n"/>
      <c r="H230" s="8" t="n"/>
    </row>
    <row r="231">
      <c r="A231" s="5" t="n"/>
      <c r="D231" s="10" t="n"/>
      <c r="F231" s="9" t="n"/>
      <c r="H231" s="8" t="n"/>
    </row>
    <row r="232">
      <c r="A232" s="5" t="n"/>
      <c r="D232" s="10" t="n"/>
      <c r="F232" s="9" t="n"/>
      <c r="H232" s="8" t="n"/>
    </row>
    <row r="233">
      <c r="A233" s="5" t="n"/>
      <c r="D233" s="10" t="n"/>
      <c r="F233" s="9" t="n"/>
      <c r="H233" s="8" t="n"/>
    </row>
    <row r="234">
      <c r="A234" s="5" t="n"/>
      <c r="D234" s="10" t="n"/>
      <c r="F234" s="9" t="n"/>
      <c r="H234" s="8" t="n"/>
    </row>
    <row r="235">
      <c r="A235" s="5" t="n"/>
      <c r="D235" s="10" t="n"/>
      <c r="F235" s="9" t="n"/>
      <c r="H235" s="8" t="n"/>
    </row>
    <row r="236">
      <c r="A236" s="5" t="n"/>
      <c r="D236" s="10" t="n"/>
      <c r="F236" s="9" t="n"/>
      <c r="H236" s="8" t="n"/>
    </row>
    <row r="237">
      <c r="A237" s="5" t="n"/>
      <c r="D237" s="10" t="n"/>
      <c r="F237" s="9" t="n"/>
      <c r="H237" s="8" t="n"/>
    </row>
    <row r="238">
      <c r="A238" s="5" t="n"/>
      <c r="D238" s="10" t="n"/>
      <c r="F238" s="9" t="n"/>
      <c r="H238" s="8" t="n"/>
    </row>
    <row r="239">
      <c r="A239" s="5" t="n"/>
      <c r="D239" s="10" t="n"/>
      <c r="F239" s="9" t="n"/>
      <c r="H239" s="8" t="n"/>
    </row>
    <row r="240">
      <c r="A240" s="5" t="n"/>
      <c r="D240" s="10" t="n"/>
      <c r="F240" s="9" t="n"/>
      <c r="H240" s="8" t="n"/>
    </row>
    <row r="241">
      <c r="A241" s="5" t="n"/>
      <c r="D241" s="10" t="n"/>
      <c r="F241" s="9" t="n"/>
      <c r="H241" s="8" t="n"/>
    </row>
    <row r="242">
      <c r="A242" s="5" t="n"/>
      <c r="D242" s="10" t="n"/>
      <c r="F242" s="9" t="n"/>
      <c r="H242" s="8" t="n"/>
    </row>
    <row r="243">
      <c r="A243" s="5" t="n"/>
      <c r="D243" s="10" t="n"/>
      <c r="F243" s="9" t="n"/>
      <c r="H243" s="8" t="n"/>
    </row>
    <row r="244">
      <c r="A244" s="5" t="n"/>
      <c r="D244" s="10" t="n"/>
      <c r="F244" s="9" t="n"/>
      <c r="H244" s="8" t="n"/>
    </row>
    <row r="245">
      <c r="A245" s="5" t="n"/>
      <c r="D245" s="10" t="n"/>
      <c r="F245" s="9" t="n"/>
      <c r="H245" s="8" t="n"/>
    </row>
    <row r="246">
      <c r="A246" s="5" t="n"/>
      <c r="D246" s="10" t="n"/>
      <c r="F246" s="9" t="n"/>
      <c r="H246" s="8" t="n"/>
    </row>
    <row r="247">
      <c r="A247" s="5" t="n"/>
      <c r="D247" s="10" t="n"/>
      <c r="F247" s="9" t="n"/>
      <c r="H247" s="8" t="n"/>
    </row>
    <row r="248">
      <c r="A248" s="5" t="n"/>
      <c r="D248" s="10" t="n"/>
      <c r="F248" s="9" t="n"/>
      <c r="H248" s="8" t="n"/>
    </row>
    <row r="249">
      <c r="A249" s="5" t="n"/>
      <c r="D249" s="10" t="n"/>
      <c r="F249" s="9" t="n"/>
      <c r="H249" s="8" t="n"/>
    </row>
    <row r="250">
      <c r="A250" s="5" t="n"/>
      <c r="D250" s="10" t="n"/>
      <c r="F250" s="9" t="n"/>
      <c r="H250" s="8" t="n"/>
    </row>
    <row r="251">
      <c r="A251" s="5" t="n"/>
      <c r="D251" s="10" t="n"/>
      <c r="F251" s="9" t="n"/>
      <c r="H251" s="8" t="n"/>
    </row>
    <row r="252">
      <c r="A252" s="5" t="n"/>
      <c r="D252" s="10" t="n"/>
      <c r="F252" s="9" t="n"/>
      <c r="H252" s="8" t="n"/>
    </row>
    <row r="253">
      <c r="A253" s="5" t="n"/>
      <c r="D253" s="10" t="n"/>
      <c r="F253" s="9" t="n"/>
      <c r="H253" s="8" t="n"/>
    </row>
    <row r="254">
      <c r="A254" s="5" t="n"/>
      <c r="D254" s="10" t="n"/>
      <c r="F254" s="9" t="n"/>
      <c r="H254" s="8" t="n"/>
    </row>
    <row r="255">
      <c r="A255" s="5" t="n"/>
      <c r="D255" s="10" t="n"/>
      <c r="F255" s="9" t="n"/>
      <c r="H255" s="8" t="n"/>
    </row>
    <row r="256">
      <c r="A256" s="5" t="n"/>
      <c r="D256" s="10" t="n"/>
      <c r="F256" s="9" t="n"/>
      <c r="H256" s="8" t="n"/>
    </row>
    <row r="257">
      <c r="A257" s="5" t="n"/>
      <c r="D257" s="10" t="n"/>
      <c r="F257" s="9" t="n"/>
      <c r="H257" s="8" t="n"/>
    </row>
    <row r="258">
      <c r="A258" s="5" t="n"/>
      <c r="D258" s="10" t="n"/>
      <c r="F258" s="9" t="n"/>
      <c r="H258" s="8" t="n"/>
    </row>
    <row r="259">
      <c r="A259" s="5" t="n"/>
      <c r="D259" s="10" t="n"/>
      <c r="F259" s="9" t="n"/>
      <c r="H259" s="8" t="n"/>
    </row>
    <row r="260">
      <c r="A260" s="5" t="n"/>
      <c r="D260" s="10" t="n"/>
      <c r="F260" s="9" t="n"/>
      <c r="H260" s="8" t="n"/>
    </row>
    <row r="261">
      <c r="A261" s="5" t="n"/>
      <c r="D261" s="10" t="n"/>
      <c r="F261" s="9" t="n"/>
      <c r="H261" s="8" t="n"/>
    </row>
    <row r="262">
      <c r="A262" s="5" t="n"/>
      <c r="D262" s="10" t="n"/>
      <c r="F262" s="9" t="n"/>
      <c r="H262" s="8" t="n"/>
    </row>
    <row r="263">
      <c r="A263" s="5" t="n"/>
      <c r="D263" s="10" t="n"/>
      <c r="F263" s="9" t="n"/>
      <c r="H263" s="8" t="n"/>
    </row>
    <row r="264">
      <c r="A264" s="5" t="n"/>
      <c r="D264" s="10" t="n"/>
      <c r="F264" s="9" t="n"/>
      <c r="H264" s="8" t="n"/>
    </row>
    <row r="265">
      <c r="A265" s="5" t="n"/>
      <c r="D265" s="10" t="n"/>
      <c r="F265" s="9" t="n"/>
      <c r="H265" s="8" t="n"/>
    </row>
    <row r="266">
      <c r="A266" s="5" t="n"/>
      <c r="D266" s="10" t="n"/>
      <c r="F266" s="9" t="n"/>
      <c r="H266" s="8" t="n"/>
    </row>
    <row r="267">
      <c r="A267" s="5" t="n"/>
      <c r="D267" s="10" t="n"/>
      <c r="F267" s="9" t="n"/>
      <c r="H267" s="8" t="n"/>
    </row>
    <row r="268">
      <c r="A268" s="5" t="n"/>
      <c r="D268" s="10" t="n"/>
      <c r="F268" s="9" t="n"/>
      <c r="H268" s="8" t="n"/>
    </row>
    <row r="269">
      <c r="A269" s="5" t="n"/>
      <c r="D269" s="10" t="n"/>
      <c r="F269" s="9" t="n"/>
      <c r="H269" s="8" t="n"/>
    </row>
    <row r="270">
      <c r="A270" s="5" t="n"/>
      <c r="D270" s="10" t="n"/>
      <c r="F270" s="9" t="n"/>
      <c r="H270" s="8" t="n"/>
    </row>
    <row r="271">
      <c r="A271" s="5" t="n"/>
      <c r="D271" s="10" t="n"/>
      <c r="F271" s="9" t="n"/>
      <c r="H271" s="8" t="n"/>
    </row>
    <row r="272">
      <c r="A272" s="5" t="n"/>
      <c r="D272" s="10" t="n"/>
      <c r="F272" s="9" t="n"/>
      <c r="H272" s="8" t="n"/>
    </row>
    <row r="273">
      <c r="A273" s="5" t="n"/>
      <c r="D273" s="10" t="n"/>
      <c r="F273" s="9" t="n"/>
      <c r="H273" s="8" t="n"/>
    </row>
    <row r="274">
      <c r="A274" s="5" t="n"/>
      <c r="D274" s="10" t="n"/>
      <c r="F274" s="9" t="n"/>
      <c r="H274" s="8" t="n"/>
    </row>
    <row r="275">
      <c r="A275" s="5" t="n"/>
      <c r="D275" s="10" t="n"/>
      <c r="F275" s="9" t="n"/>
      <c r="H275" s="8" t="n"/>
    </row>
    <row r="276">
      <c r="A276" s="5" t="n"/>
      <c r="D276" s="10" t="n"/>
      <c r="F276" s="9" t="n"/>
      <c r="H276" s="8" t="n"/>
    </row>
    <row r="277">
      <c r="A277" s="5" t="n"/>
      <c r="D277" s="10" t="n"/>
      <c r="F277" s="9" t="n"/>
      <c r="H277" s="8" t="n"/>
    </row>
    <row r="278">
      <c r="A278" s="5" t="n"/>
      <c r="D278" s="10" t="n"/>
      <c r="F278" s="9" t="n"/>
      <c r="H278" s="8" t="n"/>
    </row>
    <row r="279">
      <c r="A279" s="5" t="n"/>
      <c r="D279" s="10" t="n"/>
      <c r="F279" s="9" t="n"/>
      <c r="H279" s="8" t="n"/>
    </row>
    <row r="280">
      <c r="A280" s="5" t="n"/>
      <c r="D280" s="10" t="n"/>
      <c r="F280" s="9" t="n"/>
      <c r="H280" s="8" t="n"/>
    </row>
    <row r="281">
      <c r="A281" s="5" t="n"/>
      <c r="D281" s="10" t="n"/>
      <c r="F281" s="9" t="n"/>
      <c r="H281" s="8" t="n"/>
    </row>
    <row r="282">
      <c r="A282" s="5" t="n"/>
      <c r="D282" s="10" t="n"/>
      <c r="F282" s="9" t="n"/>
      <c r="H282" s="8" t="n"/>
    </row>
    <row r="283">
      <c r="A283" s="5" t="n"/>
      <c r="D283" s="10" t="n"/>
      <c r="F283" s="9" t="n"/>
      <c r="H283" s="8" t="n"/>
    </row>
    <row r="284">
      <c r="A284" s="5" t="n"/>
      <c r="D284" s="10" t="n"/>
      <c r="F284" s="9" t="n"/>
      <c r="H284" s="8" t="n"/>
    </row>
    <row r="285">
      <c r="A285" s="7" t="n"/>
      <c r="D285" s="10" t="n"/>
      <c r="F285" s="9" t="n"/>
      <c r="H285" s="8" t="n"/>
    </row>
    <row r="286">
      <c r="D286" s="10" t="n"/>
      <c r="F286" s="9" t="n"/>
      <c r="H286" s="8" t="n"/>
    </row>
    <row r="287">
      <c r="D287" s="10" t="n"/>
      <c r="F287" s="9" t="n"/>
      <c r="H287" s="8" t="n"/>
    </row>
    <row r="288">
      <c r="D288" s="10" t="n"/>
      <c r="F288" s="9" t="n"/>
      <c r="H288" s="8" t="n"/>
    </row>
    <row r="289">
      <c r="A289" s="3" t="n"/>
      <c r="D289" s="10" t="n"/>
      <c r="F289" s="9" t="n"/>
      <c r="H289" s="8" t="n"/>
    </row>
    <row r="290">
      <c r="A290" s="3" t="n"/>
      <c r="D290" s="10" t="n"/>
      <c r="F290" s="9" t="n"/>
      <c r="H290" s="8" t="n"/>
    </row>
    <row r="291">
      <c r="A291" s="5" t="n"/>
      <c r="D291" s="10" t="n"/>
      <c r="F291" s="9" t="n"/>
      <c r="H291" s="8" t="n"/>
    </row>
    <row r="292">
      <c r="A292" s="5" t="n"/>
      <c r="D292" s="10" t="n"/>
      <c r="F292" s="9" t="n"/>
      <c r="H292" s="8" t="n"/>
    </row>
    <row r="293">
      <c r="A293" s="5" t="n"/>
      <c r="D293" s="10" t="n"/>
      <c r="F293" s="9" t="n"/>
      <c r="H293" s="8" t="n"/>
    </row>
    <row r="294">
      <c r="A294" s="5" t="n"/>
      <c r="D294" s="10" t="n"/>
      <c r="F294" s="9" t="n"/>
      <c r="H294" s="8" t="n"/>
    </row>
    <row r="295">
      <c r="A295" s="5" t="n"/>
      <c r="D295" s="10" t="n"/>
      <c r="F295" s="9" t="n"/>
      <c r="H295" s="8" t="n"/>
    </row>
    <row r="296">
      <c r="A296" s="5" t="n"/>
      <c r="D296" s="10" t="n"/>
      <c r="F296" s="9" t="n"/>
      <c r="H296" s="8" t="n"/>
    </row>
    <row r="297">
      <c r="A297" s="5" t="n"/>
      <c r="D297" s="10" t="n"/>
      <c r="F297" s="9" t="n"/>
      <c r="H297" s="8" t="n"/>
    </row>
    <row r="298">
      <c r="A298" s="5" t="n"/>
      <c r="D298" s="10" t="n"/>
      <c r="F298" s="9" t="n"/>
      <c r="H298" s="8" t="n"/>
    </row>
    <row r="299">
      <c r="A299" s="5" t="n"/>
      <c r="D299" s="10" t="n"/>
      <c r="F299" s="9" t="n"/>
      <c r="H299" s="8" t="n"/>
    </row>
    <row r="300">
      <c r="A300" s="5" t="n"/>
      <c r="D300" s="10" t="n"/>
      <c r="F300" s="9" t="n"/>
      <c r="H300" s="8" t="n"/>
    </row>
    <row r="301">
      <c r="A301" s="5" t="n"/>
      <c r="D301" s="10" t="n"/>
      <c r="F301" s="9" t="n"/>
      <c r="H301" s="8" t="n"/>
    </row>
    <row r="302">
      <c r="A302" s="5" t="n"/>
      <c r="D302" s="10" t="n"/>
      <c r="F302" s="9" t="n"/>
      <c r="H302" s="8" t="n"/>
    </row>
    <row r="303">
      <c r="A303" s="5" t="n"/>
      <c r="D303" s="10" t="n"/>
      <c r="F303" s="9" t="n"/>
      <c r="H303" s="8" t="n"/>
    </row>
    <row r="304">
      <c r="A304" s="5" t="n"/>
      <c r="D304" s="10" t="n"/>
      <c r="F304" s="9" t="n"/>
      <c r="H304" s="8" t="n"/>
    </row>
    <row r="305">
      <c r="A305" s="5" t="n"/>
      <c r="D305" s="10" t="n"/>
      <c r="F305" s="9" t="n"/>
      <c r="H305" s="8" t="n"/>
    </row>
    <row r="306">
      <c r="A306" s="5" t="n"/>
      <c r="D306" s="10" t="n"/>
      <c r="F306" s="9" t="n"/>
      <c r="H306" s="8" t="n"/>
    </row>
    <row r="307">
      <c r="A307" s="5" t="n"/>
      <c r="D307" s="10" t="n"/>
      <c r="F307" s="9" t="n"/>
      <c r="H307" s="8" t="n"/>
    </row>
    <row r="308">
      <c r="A308" s="5" t="n"/>
      <c r="D308" s="10" t="n"/>
      <c r="F308" s="9" t="n"/>
      <c r="H308" s="8" t="n"/>
    </row>
    <row r="309">
      <c r="A309" s="5" t="n"/>
      <c r="D309" s="10" t="n"/>
      <c r="F309" s="9" t="n"/>
      <c r="H309" s="8" t="n"/>
    </row>
    <row r="310">
      <c r="A310" s="5" t="n"/>
      <c r="D310" s="10" t="n"/>
      <c r="F310" s="9" t="n"/>
      <c r="H310" s="8" t="n"/>
    </row>
    <row r="311">
      <c r="A311" s="5" t="n"/>
      <c r="D311" s="10" t="n"/>
      <c r="F311" s="9" t="n"/>
      <c r="H311" s="8" t="n"/>
    </row>
    <row r="312">
      <c r="A312" s="5" t="n"/>
      <c r="D312" s="10" t="n"/>
      <c r="F312" s="9" t="n"/>
      <c r="H312" s="8" t="n"/>
    </row>
    <row r="313">
      <c r="A313" s="5" t="n"/>
      <c r="D313" s="10" t="n"/>
      <c r="F313" s="9" t="n"/>
      <c r="H313" s="8" t="n"/>
    </row>
    <row r="314">
      <c r="A314" s="5" t="n"/>
      <c r="D314" s="10" t="n"/>
      <c r="F314" s="9" t="n"/>
      <c r="H314" s="8" t="n"/>
    </row>
    <row r="315">
      <c r="A315" s="5" t="n"/>
      <c r="D315" s="10" t="n"/>
      <c r="F315" s="9" t="n"/>
      <c r="H315" s="8" t="n"/>
    </row>
    <row r="316">
      <c r="A316" s="5" t="n"/>
      <c r="D316" s="10" t="n"/>
      <c r="F316" s="9" t="n"/>
      <c r="H316" s="8" t="n"/>
    </row>
    <row r="317">
      <c r="A317" s="5" t="n"/>
      <c r="D317" s="10" t="n"/>
      <c r="F317" s="9" t="n"/>
      <c r="H317" s="8" t="n"/>
    </row>
    <row r="318">
      <c r="A318" s="5" t="n"/>
      <c r="D318" s="10" t="n"/>
      <c r="F318" s="9" t="n"/>
      <c r="H318" s="8" t="n"/>
    </row>
    <row r="319">
      <c r="A319" s="5" t="n"/>
      <c r="D319" s="10" t="n"/>
      <c r="F319" s="9" t="n"/>
      <c r="H319" s="8" t="n"/>
    </row>
    <row r="320">
      <c r="A320" s="5" t="n"/>
      <c r="D320" s="10" t="n"/>
      <c r="F320" s="9" t="n"/>
      <c r="H320" s="8" t="n"/>
    </row>
    <row r="321">
      <c r="A321" s="5" t="n"/>
      <c r="D321" s="10" t="n"/>
      <c r="F321" s="9" t="n"/>
      <c r="H321" s="8" t="n"/>
    </row>
    <row r="322">
      <c r="A322" s="5" t="n"/>
      <c r="D322" s="10" t="n"/>
      <c r="F322" s="9" t="n"/>
      <c r="H322" s="8" t="n"/>
    </row>
    <row r="323">
      <c r="A323" s="5" t="n"/>
      <c r="D323" s="10" t="n"/>
      <c r="F323" s="9" t="n"/>
      <c r="H323" s="8" t="n"/>
    </row>
    <row r="324">
      <c r="A324" s="5" t="n"/>
      <c r="D324" s="10" t="n"/>
      <c r="F324" s="9" t="n"/>
      <c r="H324" s="8" t="n"/>
    </row>
    <row r="325">
      <c r="A325" s="5" t="n"/>
      <c r="D325" s="10" t="n"/>
      <c r="F325" s="9" t="n"/>
      <c r="H325" s="8" t="n"/>
    </row>
    <row r="326">
      <c r="A326" s="5" t="n"/>
      <c r="D326" s="10" t="n"/>
      <c r="F326" s="9" t="n"/>
      <c r="H326" s="8" t="n"/>
    </row>
    <row r="327">
      <c r="A327" s="5" t="n"/>
      <c r="D327" s="10" t="n"/>
      <c r="F327" s="9" t="n"/>
      <c r="H327" s="8" t="n"/>
    </row>
    <row r="328">
      <c r="A328" s="5" t="n"/>
      <c r="D328" s="10" t="n"/>
      <c r="F328" s="9" t="n"/>
      <c r="H328" s="8" t="n"/>
    </row>
    <row r="329">
      <c r="A329" s="5" t="n"/>
      <c r="D329" s="10" t="n"/>
      <c r="F329" s="9" t="n"/>
      <c r="H329" s="8" t="n"/>
    </row>
    <row r="330">
      <c r="A330" s="5" t="n"/>
      <c r="D330" s="10" t="n"/>
      <c r="F330" s="9" t="n"/>
      <c r="H330" s="8" t="n"/>
    </row>
    <row r="331">
      <c r="A331" s="5" t="n"/>
      <c r="D331" s="10" t="n"/>
      <c r="F331" s="9" t="n"/>
      <c r="H331" s="8" t="n"/>
    </row>
    <row r="332">
      <c r="A332" s="5" t="n"/>
      <c r="D332" s="10" t="n"/>
      <c r="F332" s="9" t="n"/>
      <c r="H332" s="8" t="n"/>
    </row>
    <row r="333">
      <c r="A333" s="5" t="n"/>
      <c r="D333" s="10" t="n"/>
      <c r="F333" s="9" t="n"/>
      <c r="H333" s="8" t="n"/>
    </row>
    <row r="334">
      <c r="A334" s="5" t="n"/>
      <c r="D334" s="10" t="n"/>
      <c r="F334" s="9" t="n"/>
      <c r="H334" s="8" t="n"/>
    </row>
    <row r="335">
      <c r="A335" s="5" t="n"/>
      <c r="D335" s="10" t="n"/>
      <c r="F335" s="9" t="n"/>
      <c r="H335" s="8" t="n"/>
    </row>
    <row r="336">
      <c r="A336" s="5" t="n"/>
      <c r="D336" s="10" t="n"/>
      <c r="F336" s="9" t="n"/>
      <c r="H336" s="8" t="n"/>
    </row>
    <row r="337">
      <c r="A337" s="5" t="n"/>
      <c r="D337" s="10" t="n"/>
      <c r="F337" s="9" t="n"/>
      <c r="H337" s="8" t="n"/>
    </row>
    <row r="338">
      <c r="A338" s="5" t="n"/>
      <c r="D338" s="10" t="n"/>
      <c r="F338" s="9" t="n"/>
      <c r="H338" s="8" t="n"/>
    </row>
    <row r="339">
      <c r="A339" s="5" t="n"/>
      <c r="D339" s="10" t="n"/>
      <c r="F339" s="9" t="n"/>
      <c r="H339" s="8" t="n"/>
    </row>
    <row r="340">
      <c r="A340" s="5" t="n"/>
      <c r="D340" s="10" t="n"/>
      <c r="F340" s="9" t="n"/>
      <c r="H340" s="8" t="n"/>
    </row>
    <row r="341">
      <c r="A341" s="5" t="n"/>
      <c r="D341" s="10" t="n"/>
      <c r="F341" s="9" t="n"/>
      <c r="H341" s="8" t="n"/>
    </row>
    <row r="342">
      <c r="A342" s="5" t="n"/>
      <c r="D342" s="10" t="n"/>
      <c r="F342" s="9" t="n"/>
      <c r="H342" s="8" t="n"/>
    </row>
    <row r="343">
      <c r="A343" s="5" t="n"/>
      <c r="D343" s="10" t="n"/>
      <c r="F343" s="9" t="n"/>
      <c r="H343" s="8" t="n"/>
    </row>
    <row r="344">
      <c r="A344" s="5" t="n"/>
      <c r="D344" s="10" t="n"/>
      <c r="F344" s="9" t="n"/>
      <c r="H344" s="8" t="n"/>
    </row>
    <row r="345">
      <c r="A345" s="5" t="n"/>
      <c r="D345" s="10" t="n"/>
      <c r="F345" s="9" t="n"/>
      <c r="H345" s="8" t="n"/>
    </row>
    <row r="346">
      <c r="A346" s="5" t="n"/>
      <c r="D346" s="10" t="n"/>
      <c r="F346" s="9" t="n"/>
      <c r="H346" s="8" t="n"/>
    </row>
    <row r="347">
      <c r="A347" s="5" t="n"/>
      <c r="D347" s="10" t="n"/>
      <c r="F347" s="9" t="n"/>
      <c r="H347" s="8" t="n"/>
    </row>
    <row r="348">
      <c r="A348" s="5" t="n"/>
      <c r="D348" s="10" t="n"/>
      <c r="F348" s="9" t="n"/>
      <c r="H348" s="8" t="n"/>
    </row>
    <row r="349">
      <c r="A349" s="5" t="n"/>
      <c r="D349" s="10" t="n"/>
      <c r="F349" s="9" t="n"/>
      <c r="H349" s="8" t="n"/>
    </row>
    <row r="350">
      <c r="A350" s="5" t="n"/>
      <c r="D350" s="10" t="n"/>
      <c r="F350" s="9" t="n"/>
      <c r="H350" s="8" t="n"/>
    </row>
    <row r="351">
      <c r="A351" s="5" t="n"/>
      <c r="D351" s="10" t="n"/>
      <c r="F351" s="9" t="n"/>
      <c r="H351" s="8" t="n"/>
    </row>
    <row r="352">
      <c r="A352" s="5" t="n"/>
      <c r="D352" s="10" t="n"/>
      <c r="F352" s="9" t="n"/>
      <c r="H352" s="8" t="n"/>
    </row>
    <row r="353">
      <c r="A353" s="5" t="n"/>
      <c r="D353" s="10" t="n"/>
      <c r="F353" s="9" t="n"/>
      <c r="H353" s="8" t="n"/>
    </row>
    <row r="354">
      <c r="A354" s="5" t="n"/>
      <c r="D354" s="10" t="n"/>
      <c r="F354" s="9" t="n"/>
      <c r="H354" s="8" t="n"/>
    </row>
    <row r="355">
      <c r="A355" s="5" t="n"/>
      <c r="D355" s="10" t="n"/>
      <c r="F355" s="9" t="n"/>
      <c r="H355" s="8" t="n"/>
    </row>
    <row r="356">
      <c r="A356" s="5" t="n"/>
      <c r="D356" s="10" t="n"/>
      <c r="F356" s="9" t="n"/>
      <c r="H356" s="8" t="n"/>
    </row>
    <row r="357">
      <c r="A357" s="5" t="n"/>
      <c r="D357" s="10" t="n"/>
      <c r="F357" s="9" t="n"/>
      <c r="H357" s="8" t="n"/>
    </row>
    <row r="358">
      <c r="A358" s="7" t="n"/>
      <c r="D358" s="10" t="n"/>
      <c r="F358" s="9" t="n"/>
      <c r="H358" s="8" t="n"/>
    </row>
    <row r="359">
      <c r="D359" s="10" t="n"/>
      <c r="F359" s="9" t="n"/>
      <c r="H359" s="8" t="n"/>
    </row>
    <row r="360">
      <c r="D360" s="10" t="n"/>
      <c r="F360" s="9" t="n"/>
      <c r="H360" s="8" t="n"/>
    </row>
    <row r="361">
      <c r="D361" s="10" t="n"/>
      <c r="F361" s="9" t="n"/>
      <c r="H361" s="8" t="n"/>
    </row>
    <row r="362">
      <c r="A362" s="3" t="n"/>
      <c r="D362" s="10" t="n"/>
      <c r="F362" s="9" t="n"/>
      <c r="H362" s="8" t="n"/>
    </row>
    <row r="363">
      <c r="A363" s="3" t="n"/>
      <c r="D363" s="10" t="n"/>
      <c r="F363" s="9" t="n"/>
      <c r="H363" s="8" t="n"/>
    </row>
    <row r="364">
      <c r="A364" s="5" t="n"/>
      <c r="D364" s="10" t="n"/>
      <c r="F364" s="9" t="n"/>
      <c r="H364" s="8" t="n"/>
    </row>
    <row r="365">
      <c r="A365" s="5" t="n"/>
      <c r="D365" s="10" t="n"/>
      <c r="F365" s="9" t="n"/>
      <c r="H365" s="8" t="n"/>
    </row>
    <row r="366">
      <c r="A366" s="5" t="n"/>
      <c r="D366" s="10" t="n"/>
      <c r="F366" s="9" t="n"/>
      <c r="H366" s="8" t="n"/>
    </row>
    <row r="367">
      <c r="A367" s="5" t="n"/>
      <c r="D367" s="10" t="n"/>
      <c r="F367" s="9" t="n"/>
      <c r="H367" s="8" t="n"/>
    </row>
    <row r="368">
      <c r="A368" s="5" t="n"/>
      <c r="D368" s="10" t="n"/>
      <c r="F368" s="9" t="n"/>
      <c r="H368" s="8" t="n"/>
    </row>
    <row r="369">
      <c r="A369" s="5" t="n"/>
      <c r="D369" s="10" t="n"/>
      <c r="F369" s="9" t="n"/>
      <c r="H369" s="8" t="n"/>
    </row>
    <row r="370">
      <c r="A370" s="5" t="n"/>
      <c r="D370" s="10" t="n"/>
      <c r="F370" s="9" t="n"/>
      <c r="H370" s="8" t="n"/>
    </row>
    <row r="371">
      <c r="A371" s="5" t="n"/>
      <c r="D371" s="10" t="n"/>
      <c r="F371" s="9" t="n"/>
      <c r="H371" s="8" t="n"/>
    </row>
    <row r="372">
      <c r="A372" s="5" t="n"/>
      <c r="D372" s="10" t="n"/>
      <c r="F372" s="9" t="n"/>
      <c r="H372" s="8" t="n"/>
    </row>
    <row r="373">
      <c r="A373" s="5" t="n"/>
      <c r="D373" s="10" t="n"/>
      <c r="F373" s="9" t="n"/>
      <c r="H373" s="8" t="n"/>
    </row>
    <row r="374">
      <c r="A374" s="5" t="n"/>
      <c r="D374" s="10" t="n"/>
      <c r="F374" s="9" t="n"/>
      <c r="H374" s="8" t="n"/>
    </row>
    <row r="375">
      <c r="A375" s="5" t="n"/>
      <c r="D375" s="10" t="n"/>
      <c r="F375" s="9" t="n"/>
      <c r="H375" s="8" t="n"/>
    </row>
    <row r="376">
      <c r="A376" s="5" t="n"/>
      <c r="D376" s="10" t="n"/>
      <c r="F376" s="9" t="n"/>
      <c r="H376" s="8" t="n"/>
    </row>
    <row r="377">
      <c r="A377" s="5" t="n"/>
      <c r="D377" s="10" t="n"/>
      <c r="F377" s="9" t="n"/>
      <c r="H377" s="8" t="n"/>
    </row>
    <row r="378">
      <c r="A378" s="5" t="n"/>
      <c r="D378" s="10" t="n"/>
      <c r="F378" s="9" t="n"/>
      <c r="H378" s="8" t="n"/>
    </row>
    <row r="379">
      <c r="A379" s="5" t="n"/>
      <c r="D379" s="10" t="n"/>
      <c r="F379" s="9" t="n"/>
      <c r="H379" s="8" t="n"/>
    </row>
    <row r="380">
      <c r="A380" s="5" t="n"/>
      <c r="D380" s="10" t="n"/>
      <c r="F380" s="9" t="n"/>
      <c r="H380" s="8" t="n"/>
    </row>
    <row r="381">
      <c r="A381" s="5" t="n"/>
      <c r="D381" s="10" t="n"/>
      <c r="F381" s="9" t="n"/>
      <c r="H381" s="8" t="n"/>
    </row>
    <row r="382">
      <c r="A382" s="5" t="n"/>
      <c r="D382" s="10" t="n"/>
      <c r="F382" s="9" t="n"/>
      <c r="H382" s="8" t="n"/>
    </row>
    <row r="383">
      <c r="A383" s="5" t="n"/>
      <c r="D383" s="10" t="n"/>
      <c r="F383" s="9" t="n"/>
      <c r="H383" s="8" t="n"/>
    </row>
    <row r="384">
      <c r="A384" s="5" t="n"/>
      <c r="D384" s="10" t="n"/>
      <c r="F384" s="9" t="n"/>
      <c r="H384" s="8" t="n"/>
    </row>
    <row r="385">
      <c r="A385" s="5" t="n"/>
      <c r="D385" s="10" t="n"/>
      <c r="F385" s="9" t="n"/>
      <c r="H385" s="8" t="n"/>
    </row>
    <row r="386">
      <c r="A386" s="5" t="n"/>
      <c r="D386" s="10" t="n"/>
      <c r="F386" s="9" t="n"/>
      <c r="H386" s="8" t="n"/>
    </row>
    <row r="387">
      <c r="A387" s="5" t="n"/>
      <c r="D387" s="10" t="n"/>
      <c r="F387" s="9" t="n"/>
      <c r="H387" s="8" t="n"/>
    </row>
    <row r="388">
      <c r="A388" s="5" t="n"/>
      <c r="D388" s="10" t="n"/>
      <c r="F388" s="9" t="n"/>
      <c r="H388" s="8" t="n"/>
    </row>
    <row r="389">
      <c r="A389" s="5" t="n"/>
      <c r="D389" s="10" t="n"/>
      <c r="F389" s="9" t="n"/>
      <c r="H389" s="8" t="n"/>
    </row>
    <row r="390">
      <c r="A390" s="5" t="n"/>
      <c r="D390" s="10" t="n"/>
      <c r="F390" s="9" t="n"/>
      <c r="H390" s="8" t="n"/>
    </row>
    <row r="391">
      <c r="A391" s="5" t="n"/>
      <c r="D391" s="10" t="n"/>
      <c r="F391" s="9" t="n"/>
      <c r="H391" s="8" t="n"/>
    </row>
    <row r="392">
      <c r="A392" s="5" t="n"/>
      <c r="D392" s="10" t="n"/>
      <c r="F392" s="9" t="n"/>
      <c r="H392" s="8" t="n"/>
    </row>
    <row r="393">
      <c r="A393" s="5" t="n"/>
      <c r="D393" s="10" t="n"/>
      <c r="F393" s="9" t="n"/>
      <c r="H393" s="8" t="n"/>
    </row>
    <row r="394">
      <c r="A394" s="5" t="n"/>
      <c r="D394" s="10" t="n"/>
      <c r="F394" s="9" t="n"/>
      <c r="H394" s="8" t="n"/>
    </row>
    <row r="395">
      <c r="A395" s="5" t="n"/>
      <c r="D395" s="10" t="n"/>
      <c r="F395" s="9" t="n"/>
      <c r="H395" s="8" t="n"/>
    </row>
    <row r="396">
      <c r="A396" s="5" t="n"/>
      <c r="D396" s="10" t="n"/>
      <c r="F396" s="9" t="n"/>
      <c r="H396" s="8" t="n"/>
    </row>
    <row r="397">
      <c r="A397" s="5" t="n"/>
      <c r="D397" s="10" t="n"/>
      <c r="F397" s="9" t="n"/>
      <c r="H397" s="8" t="n"/>
    </row>
    <row r="398">
      <c r="A398" s="5" t="n"/>
      <c r="D398" s="10" t="n"/>
      <c r="F398" s="9" t="n"/>
      <c r="H398" s="8" t="n"/>
    </row>
    <row r="399">
      <c r="A399" s="5" t="n"/>
      <c r="D399" s="10" t="n"/>
      <c r="F399" s="9" t="n"/>
      <c r="H399" s="8" t="n"/>
    </row>
    <row r="400">
      <c r="A400" s="5" t="n"/>
      <c r="D400" s="10" t="n"/>
      <c r="F400" s="9" t="n"/>
      <c r="H400" s="8" t="n"/>
    </row>
    <row r="401">
      <c r="A401" s="5" t="n"/>
      <c r="D401" s="10" t="n"/>
      <c r="F401" s="9" t="n"/>
      <c r="H401" s="8" t="n"/>
    </row>
    <row r="402">
      <c r="A402" s="5" t="n"/>
      <c r="D402" s="10" t="n"/>
      <c r="F402" s="9" t="n"/>
      <c r="H402" s="8" t="n"/>
    </row>
    <row r="403">
      <c r="A403" s="5" t="n"/>
      <c r="D403" s="10" t="n"/>
      <c r="F403" s="9" t="n"/>
      <c r="H403" s="8" t="n"/>
    </row>
    <row r="404">
      <c r="A404" s="5" t="n"/>
      <c r="D404" s="10" t="n"/>
      <c r="F404" s="9" t="n"/>
      <c r="H404" s="8" t="n"/>
    </row>
    <row r="405">
      <c r="A405" s="5" t="n"/>
      <c r="D405" s="10" t="n"/>
      <c r="F405" s="9" t="n"/>
      <c r="H405" s="8" t="n"/>
    </row>
    <row r="406">
      <c r="A406" s="5" t="n"/>
      <c r="D406" s="10" t="n"/>
      <c r="F406" s="9" t="n"/>
      <c r="H406" s="8" t="n"/>
    </row>
    <row r="407">
      <c r="A407" s="5" t="n"/>
      <c r="D407" s="10" t="n"/>
      <c r="F407" s="9" t="n"/>
      <c r="H407" s="8" t="n"/>
    </row>
    <row r="408">
      <c r="A408" s="5" t="n"/>
      <c r="D408" s="10" t="n"/>
      <c r="F408" s="9" t="n"/>
      <c r="H408" s="8" t="n"/>
    </row>
    <row r="409">
      <c r="A409" s="5" t="n"/>
      <c r="D409" s="10" t="n"/>
      <c r="F409" s="9" t="n"/>
      <c r="H409" s="8" t="n"/>
    </row>
    <row r="410">
      <c r="A410" s="5" t="n"/>
      <c r="D410" s="10" t="n"/>
      <c r="F410" s="9" t="n"/>
      <c r="H410" s="8" t="n"/>
    </row>
    <row r="411">
      <c r="A411" s="5" t="n"/>
      <c r="D411" s="10" t="n"/>
      <c r="F411" s="9" t="n"/>
      <c r="H411" s="8" t="n"/>
    </row>
    <row r="412">
      <c r="A412" s="5" t="n"/>
      <c r="D412" s="10" t="n"/>
      <c r="F412" s="9" t="n"/>
      <c r="H412" s="8" t="n"/>
    </row>
    <row r="413">
      <c r="A413" s="5" t="n"/>
      <c r="D413" s="10" t="n"/>
      <c r="F413" s="9" t="n"/>
      <c r="H413" s="8" t="n"/>
    </row>
    <row r="414">
      <c r="A414" s="5" t="n"/>
      <c r="D414" s="10" t="n"/>
      <c r="F414" s="9" t="n"/>
      <c r="H414" s="8" t="n"/>
    </row>
    <row r="415">
      <c r="A415" s="5" t="n"/>
      <c r="D415" s="10" t="n"/>
      <c r="F415" s="9" t="n"/>
      <c r="H415" s="8" t="n"/>
    </row>
    <row r="416">
      <c r="A416" s="5" t="n"/>
      <c r="D416" s="10" t="n"/>
      <c r="F416" s="9" t="n"/>
      <c r="H416" s="8" t="n"/>
    </row>
    <row r="417">
      <c r="A417" s="5" t="n"/>
      <c r="D417" s="10" t="n"/>
      <c r="F417" s="9" t="n"/>
      <c r="H417" s="8" t="n"/>
    </row>
    <row r="418">
      <c r="A418" s="5" t="n"/>
      <c r="D418" s="10" t="n"/>
      <c r="F418" s="9" t="n"/>
      <c r="H418" s="8" t="n"/>
    </row>
    <row r="419">
      <c r="A419" s="5" t="n"/>
      <c r="D419" s="10" t="n"/>
      <c r="F419" s="9" t="n"/>
      <c r="H419" s="8" t="n"/>
    </row>
    <row r="420">
      <c r="A420" s="5" t="n"/>
      <c r="D420" s="10" t="n"/>
      <c r="F420" s="9" t="n"/>
      <c r="H420" s="8" t="n"/>
    </row>
    <row r="421">
      <c r="A421" s="5" t="n"/>
      <c r="D421" s="10" t="n"/>
      <c r="F421" s="9" t="n"/>
      <c r="H421" s="8" t="n"/>
    </row>
    <row r="422">
      <c r="A422" s="5" t="n"/>
      <c r="D422" s="10" t="n"/>
      <c r="F422" s="9" t="n"/>
      <c r="H422" s="8" t="n"/>
    </row>
    <row r="423">
      <c r="A423" s="5" t="n"/>
      <c r="D423" s="10" t="n"/>
      <c r="F423" s="9" t="n"/>
      <c r="H423" s="8" t="n"/>
    </row>
    <row r="424">
      <c r="A424" s="5" t="n"/>
      <c r="D424" s="10" t="n"/>
      <c r="F424" s="9" t="n"/>
      <c r="H424" s="8" t="n"/>
    </row>
    <row r="425">
      <c r="A425" s="5" t="n"/>
      <c r="D425" s="10" t="n"/>
      <c r="F425" s="9" t="n"/>
      <c r="H425" s="8" t="n"/>
    </row>
    <row r="426">
      <c r="A426" s="5" t="n"/>
      <c r="D426" s="10" t="n"/>
      <c r="F426" s="9" t="n"/>
      <c r="H426" s="8" t="n"/>
    </row>
    <row r="427">
      <c r="A427" s="5" t="n"/>
      <c r="D427" s="10" t="n"/>
      <c r="F427" s="9" t="n"/>
      <c r="H427" s="8" t="n"/>
    </row>
    <row r="428">
      <c r="A428" s="5" t="n"/>
      <c r="D428" s="10" t="n"/>
      <c r="F428" s="9" t="n"/>
      <c r="H428" s="8" t="n"/>
    </row>
    <row r="429">
      <c r="A429" s="5" t="n"/>
      <c r="D429" s="10" t="n"/>
      <c r="F429" s="9" t="n"/>
      <c r="H429" s="8" t="n"/>
    </row>
    <row r="430">
      <c r="A430" s="5" t="n"/>
      <c r="D430" s="10" t="n"/>
      <c r="F430" s="9" t="n"/>
      <c r="H430" s="8" t="n"/>
    </row>
    <row r="431">
      <c r="A431" s="7" t="n"/>
      <c r="D431" s="10" t="n"/>
      <c r="F431" s="9" t="n"/>
      <c r="H431" s="8" t="n"/>
    </row>
    <row r="432">
      <c r="D432" s="10" t="n"/>
      <c r="F432" s="9" t="n"/>
      <c r="H432" s="8" t="n"/>
    </row>
    <row r="433">
      <c r="D433" s="10" t="n"/>
      <c r="F433" s="9" t="n"/>
      <c r="H433" s="8" t="n"/>
    </row>
    <row r="434">
      <c r="D434" s="10" t="n"/>
      <c r="F434" s="9" t="n"/>
      <c r="H434" s="8" t="n"/>
    </row>
    <row r="435">
      <c r="A435" s="3" t="n"/>
      <c r="D435" s="10" t="n"/>
      <c r="F435" s="9" t="n"/>
      <c r="H435" s="8" t="n"/>
    </row>
    <row r="436">
      <c r="A436" s="3" t="n"/>
      <c r="D436" s="10" t="n"/>
      <c r="F436" s="9" t="n"/>
      <c r="H436" s="8" t="n"/>
    </row>
    <row r="437">
      <c r="A437" s="5" t="n"/>
      <c r="D437" s="10" t="n"/>
      <c r="F437" s="9" t="n"/>
      <c r="H437" s="8" t="n"/>
    </row>
    <row r="438">
      <c r="A438" s="5" t="n"/>
      <c r="D438" s="10" t="n"/>
      <c r="F438" s="9" t="n"/>
      <c r="H438" s="8" t="n"/>
    </row>
    <row r="439">
      <c r="A439" s="5" t="n"/>
      <c r="D439" s="10" t="n"/>
      <c r="F439" s="9" t="n"/>
      <c r="H439" s="8" t="n"/>
    </row>
    <row r="440">
      <c r="A440" s="5" t="n"/>
      <c r="D440" s="10" t="n"/>
      <c r="F440" s="9" t="n"/>
      <c r="H440" s="8" t="n"/>
    </row>
    <row r="441">
      <c r="A441" s="5" t="n"/>
      <c r="D441" s="10" t="n"/>
      <c r="F441" s="9" t="n"/>
      <c r="H441" s="8" t="n"/>
    </row>
    <row r="442">
      <c r="A442" s="5" t="n"/>
      <c r="D442" s="10" t="n"/>
      <c r="F442" s="9" t="n"/>
      <c r="H442" s="8" t="n"/>
    </row>
    <row r="443">
      <c r="A443" s="5" t="n"/>
      <c r="D443" s="10" t="n"/>
      <c r="F443" s="9" t="n"/>
      <c r="H443" s="8" t="n"/>
    </row>
    <row r="444">
      <c r="A444" s="5" t="n"/>
      <c r="D444" s="10" t="n"/>
      <c r="F444" s="9" t="n"/>
      <c r="H444" s="8" t="n"/>
    </row>
    <row r="445">
      <c r="A445" s="5" t="n"/>
      <c r="D445" s="10" t="n"/>
      <c r="F445" s="9" t="n"/>
      <c r="H445" s="8" t="n"/>
    </row>
    <row r="446">
      <c r="A446" s="5" t="n"/>
      <c r="D446" s="10" t="n"/>
      <c r="F446" s="9" t="n"/>
      <c r="H446" s="8" t="n"/>
    </row>
    <row r="447">
      <c r="A447" s="5" t="n"/>
      <c r="D447" s="10" t="n"/>
      <c r="F447" s="9" t="n"/>
      <c r="H447" s="8" t="n"/>
    </row>
    <row r="448">
      <c r="A448" s="5" t="n"/>
      <c r="D448" s="10" t="n"/>
      <c r="F448" s="9" t="n"/>
      <c r="H448" s="8" t="n"/>
    </row>
    <row r="449">
      <c r="A449" s="5" t="n"/>
      <c r="D449" s="10" t="n"/>
      <c r="F449" s="9" t="n"/>
      <c r="H449" s="8" t="n"/>
    </row>
    <row r="450">
      <c r="A450" s="5" t="n"/>
      <c r="D450" s="10" t="n"/>
      <c r="F450" s="9" t="n"/>
      <c r="H450" s="8" t="n"/>
    </row>
    <row r="451">
      <c r="A451" s="5" t="n"/>
      <c r="D451" s="10" t="n"/>
      <c r="F451" s="9" t="n"/>
      <c r="H451" s="8" t="n"/>
    </row>
    <row r="452">
      <c r="A452" s="5" t="n"/>
      <c r="D452" s="10" t="n"/>
      <c r="F452" s="9" t="n"/>
      <c r="H452" s="8" t="n"/>
    </row>
    <row r="453">
      <c r="A453" s="5" t="n"/>
      <c r="D453" s="10" t="n"/>
      <c r="F453" s="9" t="n"/>
      <c r="H453" s="8" t="n"/>
    </row>
    <row r="454">
      <c r="A454" s="5" t="n"/>
      <c r="D454" s="10" t="n"/>
      <c r="F454" s="9" t="n"/>
      <c r="H454" s="8" t="n"/>
    </row>
    <row r="455">
      <c r="A455" s="5" t="n"/>
      <c r="D455" s="10" t="n"/>
      <c r="F455" s="9" t="n"/>
      <c r="H455" s="8" t="n"/>
    </row>
    <row r="456">
      <c r="A456" s="5" t="n"/>
      <c r="D456" s="10" t="n"/>
      <c r="F456" s="9" t="n"/>
      <c r="H456" s="8" t="n"/>
    </row>
    <row r="457">
      <c r="A457" s="5" t="n"/>
      <c r="D457" s="10" t="n"/>
      <c r="F457" s="9" t="n"/>
      <c r="H457" s="8" t="n"/>
    </row>
    <row r="458">
      <c r="A458" s="5" t="n"/>
      <c r="D458" s="10" t="n"/>
      <c r="F458" s="9" t="n"/>
      <c r="H458" s="8" t="n"/>
    </row>
    <row r="459">
      <c r="A459" s="5" t="n"/>
      <c r="D459" s="10" t="n"/>
      <c r="F459" s="9" t="n"/>
      <c r="H459" s="8" t="n"/>
    </row>
    <row r="460">
      <c r="A460" s="5" t="n"/>
      <c r="D460" s="10" t="n"/>
      <c r="F460" s="9" t="n"/>
      <c r="H460" s="8" t="n"/>
    </row>
    <row r="461">
      <c r="A461" s="5" t="n"/>
      <c r="D461" s="10" t="n"/>
      <c r="F461" s="9" t="n"/>
      <c r="H461" s="8" t="n"/>
    </row>
    <row r="462">
      <c r="A462" s="5" t="n"/>
      <c r="D462" s="10" t="n"/>
      <c r="F462" s="9" t="n"/>
      <c r="H462" s="8" t="n"/>
    </row>
    <row r="463">
      <c r="A463" s="5" t="n"/>
      <c r="D463" s="10" t="n"/>
      <c r="F463" s="9" t="n"/>
      <c r="H463" s="8" t="n"/>
    </row>
    <row r="464">
      <c r="A464" s="5" t="n"/>
      <c r="D464" s="10" t="n"/>
      <c r="F464" s="9" t="n"/>
      <c r="H464" s="8" t="n"/>
    </row>
    <row r="465">
      <c r="A465" s="5" t="n"/>
      <c r="D465" s="10" t="n"/>
      <c r="F465" s="9" t="n"/>
      <c r="H465" s="8" t="n"/>
    </row>
    <row r="466">
      <c r="A466" s="5" t="n"/>
      <c r="D466" s="10" t="n"/>
      <c r="F466" s="9" t="n"/>
      <c r="H466" s="8" t="n"/>
    </row>
    <row r="467">
      <c r="A467" s="5" t="n"/>
      <c r="D467" s="10" t="n"/>
      <c r="F467" s="9" t="n"/>
      <c r="H467" s="8" t="n"/>
    </row>
    <row r="468">
      <c r="A468" s="5" t="n"/>
      <c r="D468" s="10" t="n"/>
      <c r="F468" s="9" t="n"/>
      <c r="H468" s="8" t="n"/>
    </row>
    <row r="469">
      <c r="A469" s="5" t="n"/>
      <c r="D469" s="10" t="n"/>
      <c r="F469" s="9" t="n"/>
      <c r="H469" s="8" t="n"/>
    </row>
    <row r="470">
      <c r="A470" s="5" t="n"/>
      <c r="D470" s="10" t="n"/>
      <c r="F470" s="9" t="n"/>
      <c r="H470" s="8" t="n"/>
    </row>
    <row r="471">
      <c r="A471" s="5" t="n"/>
      <c r="D471" s="10" t="n"/>
      <c r="F471" s="9" t="n"/>
      <c r="H471" s="8" t="n"/>
    </row>
    <row r="472">
      <c r="A472" s="5" t="n"/>
      <c r="D472" s="10" t="n"/>
      <c r="F472" s="9" t="n"/>
      <c r="H472" s="8" t="n"/>
    </row>
    <row r="473">
      <c r="A473" s="5" t="n"/>
      <c r="D473" s="10" t="n"/>
      <c r="F473" s="9" t="n"/>
      <c r="H473" s="8" t="n"/>
    </row>
    <row r="474">
      <c r="A474" s="5" t="n"/>
      <c r="D474" s="10" t="n"/>
      <c r="F474" s="9" t="n"/>
      <c r="H474" s="8" t="n"/>
    </row>
    <row r="475">
      <c r="A475" s="5" t="n"/>
      <c r="D475" s="10" t="n"/>
      <c r="F475" s="9" t="n"/>
      <c r="H475" s="8" t="n"/>
    </row>
    <row r="476">
      <c r="A476" s="5" t="n"/>
      <c r="D476" s="10" t="n"/>
      <c r="F476" s="9" t="n"/>
      <c r="H476" s="8" t="n"/>
    </row>
    <row r="477">
      <c r="A477" s="5" t="n"/>
      <c r="D477" s="10" t="n"/>
      <c r="F477" s="9" t="n"/>
      <c r="H477" s="8" t="n"/>
    </row>
    <row r="478">
      <c r="A478" s="5" t="n"/>
      <c r="D478" s="10" t="n"/>
      <c r="F478" s="9" t="n"/>
      <c r="H478" s="8" t="n"/>
    </row>
    <row r="479">
      <c r="A479" s="5" t="n"/>
      <c r="D479" s="10" t="n"/>
      <c r="F479" s="9" t="n"/>
      <c r="H479" s="8" t="n"/>
    </row>
    <row r="480">
      <c r="A480" s="5" t="n"/>
      <c r="D480" s="10" t="n"/>
      <c r="F480" s="9" t="n"/>
      <c r="H480" s="8" t="n"/>
    </row>
    <row r="481">
      <c r="A481" s="5" t="n"/>
      <c r="D481" s="10" t="n"/>
      <c r="F481" s="9" t="n"/>
      <c r="H481" s="8" t="n"/>
    </row>
    <row r="482">
      <c r="A482" s="5" t="n"/>
      <c r="D482" s="10" t="n"/>
      <c r="F482" s="9" t="n"/>
      <c r="H482" s="8" t="n"/>
    </row>
    <row r="483">
      <c r="A483" s="5" t="n"/>
      <c r="D483" s="10" t="n"/>
      <c r="F483" s="9" t="n"/>
      <c r="H483" s="8" t="n"/>
    </row>
    <row r="484">
      <c r="A484" s="5" t="n"/>
      <c r="D484" s="10" t="n"/>
      <c r="F484" s="9" t="n"/>
      <c r="H484" s="8" t="n"/>
    </row>
    <row r="485">
      <c r="A485" s="5" t="n"/>
      <c r="D485" s="10" t="n"/>
      <c r="F485" s="9" t="n"/>
      <c r="H485" s="8" t="n"/>
    </row>
    <row r="486">
      <c r="A486" s="5" t="n"/>
      <c r="D486" s="10" t="n"/>
      <c r="F486" s="9" t="n"/>
      <c r="H486" s="8" t="n"/>
    </row>
    <row r="487">
      <c r="A487" s="5" t="n"/>
      <c r="D487" s="10" t="n"/>
      <c r="F487" s="9" t="n"/>
      <c r="H487" s="8" t="n"/>
    </row>
    <row r="488">
      <c r="A488" s="5" t="n"/>
      <c r="D488" s="10" t="n"/>
      <c r="F488" s="9" t="n"/>
      <c r="H488" s="8" t="n"/>
    </row>
    <row r="489">
      <c r="A489" s="5" t="n"/>
      <c r="D489" s="10" t="n"/>
      <c r="F489" s="9" t="n"/>
      <c r="H489" s="8" t="n"/>
    </row>
    <row r="490">
      <c r="A490" s="5" t="n"/>
      <c r="D490" s="10" t="n"/>
      <c r="F490" s="9" t="n"/>
      <c r="H490" s="8" t="n"/>
    </row>
    <row r="491">
      <c r="A491" s="5" t="n"/>
      <c r="D491" s="10" t="n"/>
      <c r="F491" s="9" t="n"/>
      <c r="H491" s="8" t="n"/>
    </row>
    <row r="492">
      <c r="A492" s="5" t="n"/>
      <c r="D492" s="10" t="n"/>
      <c r="F492" s="9" t="n"/>
      <c r="H492" s="8" t="n"/>
    </row>
    <row r="493">
      <c r="A493" s="5" t="n"/>
      <c r="D493" s="10" t="n"/>
      <c r="F493" s="9" t="n"/>
      <c r="H493" s="8" t="n"/>
    </row>
    <row r="494">
      <c r="A494" s="5" t="n"/>
      <c r="D494" s="10" t="n"/>
      <c r="F494" s="9" t="n"/>
      <c r="H494" s="8" t="n"/>
    </row>
    <row r="495">
      <c r="A495" s="5" t="n"/>
      <c r="D495" s="10" t="n"/>
      <c r="F495" s="9" t="n"/>
      <c r="H495" s="8" t="n"/>
    </row>
    <row r="496">
      <c r="A496" s="5" t="n"/>
      <c r="D496" s="10" t="n"/>
      <c r="F496" s="9" t="n"/>
      <c r="H496" s="8" t="n"/>
    </row>
    <row r="497">
      <c r="A497" s="5" t="n"/>
      <c r="D497" s="10" t="n"/>
      <c r="F497" s="9" t="n"/>
      <c r="H497" s="8" t="n"/>
    </row>
    <row r="498">
      <c r="A498" s="5" t="n"/>
      <c r="D498" s="10" t="n"/>
      <c r="F498" s="9" t="n"/>
      <c r="H498" s="8" t="n"/>
    </row>
    <row r="499">
      <c r="A499" s="5" t="n"/>
      <c r="D499" s="10" t="n"/>
      <c r="F499" s="9" t="n"/>
      <c r="H499" s="8" t="n"/>
    </row>
    <row r="500">
      <c r="A500" s="5" t="n"/>
      <c r="D500" s="10" t="n"/>
      <c r="F500" s="9" t="n"/>
      <c r="H500" s="8" t="n"/>
    </row>
    <row r="501">
      <c r="A501" s="5" t="n"/>
      <c r="D501" s="10" t="n"/>
      <c r="F501" s="9" t="n"/>
      <c r="H501" s="8" t="n"/>
    </row>
    <row r="502">
      <c r="A502" s="5" t="n"/>
      <c r="D502" s="10" t="n"/>
      <c r="F502" s="9" t="n"/>
      <c r="H502" s="8" t="n"/>
    </row>
    <row r="503">
      <c r="A503" s="5" t="n"/>
      <c r="D503" s="10" t="n"/>
      <c r="F503" s="9" t="n"/>
      <c r="H503" s="8" t="n"/>
    </row>
    <row r="504">
      <c r="A504" s="7" t="n"/>
      <c r="D504" s="10" t="n"/>
      <c r="F504" s="9" t="n"/>
      <c r="H504" s="8" t="n"/>
    </row>
    <row r="505">
      <c r="D505" s="10" t="n"/>
      <c r="F505" s="9" t="n"/>
      <c r="H505" s="8" t="n"/>
    </row>
    <row r="506">
      <c r="D506" s="10" t="n"/>
      <c r="F506" s="9" t="n"/>
      <c r="H506" s="8" t="n"/>
    </row>
    <row r="507">
      <c r="D507" s="10" t="n"/>
      <c r="F507" s="9" t="n"/>
      <c r="H507" s="8" t="n"/>
    </row>
    <row r="508">
      <c r="A508" s="3" t="n"/>
      <c r="D508" s="10" t="n"/>
      <c r="F508" s="9" t="n"/>
      <c r="H508" s="8" t="n"/>
    </row>
    <row r="509">
      <c r="A509" s="3" t="n"/>
      <c r="D509" s="10" t="n"/>
      <c r="F509" s="9" t="n"/>
      <c r="H509" s="8" t="n"/>
    </row>
    <row r="510">
      <c r="A510" s="5" t="n"/>
      <c r="D510" s="10" t="n"/>
      <c r="F510" s="9" t="n"/>
      <c r="H510" s="8" t="n"/>
    </row>
    <row r="511">
      <c r="A511" s="5" t="n"/>
      <c r="D511" s="10" t="n"/>
      <c r="F511" s="9" t="n"/>
      <c r="H511" s="8" t="n"/>
    </row>
    <row r="512">
      <c r="A512" s="5" t="n"/>
      <c r="D512" s="10" t="n"/>
      <c r="F512" s="9" t="n"/>
      <c r="H512" s="8" t="n"/>
    </row>
    <row r="513">
      <c r="A513" s="5" t="n"/>
      <c r="D513" s="10" t="n"/>
      <c r="F513" s="9" t="n"/>
      <c r="H513" s="8" t="n"/>
    </row>
    <row r="514">
      <c r="A514" s="5" t="n"/>
      <c r="D514" s="10" t="n"/>
      <c r="F514" s="9" t="n"/>
      <c r="H514" s="8" t="n"/>
    </row>
    <row r="515">
      <c r="A515" s="5" t="n"/>
      <c r="D515" s="10" t="n"/>
      <c r="F515" s="9" t="n"/>
      <c r="H515" s="8" t="n"/>
    </row>
    <row r="516">
      <c r="A516" s="5" t="n"/>
      <c r="D516" s="10" t="n"/>
      <c r="F516" s="9" t="n"/>
      <c r="H516" s="8" t="n"/>
    </row>
    <row r="517">
      <c r="A517" s="5" t="n"/>
      <c r="D517" s="10" t="n"/>
      <c r="F517" s="9" t="n"/>
      <c r="H517" s="8" t="n"/>
    </row>
    <row r="518">
      <c r="A518" s="5" t="n"/>
      <c r="D518" s="10" t="n"/>
      <c r="F518" s="9" t="n"/>
      <c r="H518" s="8" t="n"/>
    </row>
    <row r="519">
      <c r="A519" s="5" t="n"/>
      <c r="D519" s="10" t="n"/>
      <c r="F519" s="9" t="n"/>
      <c r="H519" s="8" t="n"/>
    </row>
    <row r="520">
      <c r="A520" s="5" t="n"/>
      <c r="D520" s="10" t="n"/>
      <c r="F520" s="9" t="n"/>
      <c r="H520" s="8" t="n"/>
    </row>
    <row r="521">
      <c r="A521" s="5" t="n"/>
      <c r="D521" s="10" t="n"/>
      <c r="F521" s="9" t="n"/>
      <c r="H521" s="8" t="n"/>
    </row>
    <row r="522">
      <c r="A522" s="5" t="n"/>
      <c r="D522" s="10" t="n"/>
      <c r="F522" s="9" t="n"/>
      <c r="H522" s="8" t="n"/>
    </row>
    <row r="523">
      <c r="A523" s="5" t="n"/>
      <c r="D523" s="10" t="n"/>
      <c r="F523" s="9" t="n"/>
      <c r="H523" s="8" t="n"/>
    </row>
    <row r="524">
      <c r="A524" s="5" t="n"/>
      <c r="D524" s="10" t="n"/>
      <c r="F524" s="9" t="n"/>
      <c r="H524" s="8" t="n"/>
    </row>
    <row r="525">
      <c r="A525" s="5" t="n"/>
      <c r="D525" s="10" t="n"/>
      <c r="F525" s="9" t="n"/>
      <c r="H525" s="8" t="n"/>
    </row>
    <row r="526">
      <c r="A526" s="5" t="n"/>
      <c r="D526" s="10" t="n"/>
      <c r="F526" s="9" t="n"/>
      <c r="H526" s="8" t="n"/>
    </row>
    <row r="527">
      <c r="A527" s="5" t="n"/>
      <c r="D527" s="10" t="n"/>
      <c r="F527" s="9" t="n"/>
      <c r="H527" s="8" t="n"/>
    </row>
    <row r="528">
      <c r="A528" s="5" t="n"/>
      <c r="D528" s="10" t="n"/>
      <c r="F528" s="9" t="n"/>
      <c r="H528" s="8" t="n"/>
    </row>
    <row r="529">
      <c r="A529" s="5" t="n"/>
      <c r="D529" s="10" t="n"/>
      <c r="F529" s="9" t="n"/>
      <c r="H529" s="8" t="n"/>
    </row>
    <row r="530">
      <c r="A530" s="5" t="n"/>
      <c r="D530" s="10" t="n"/>
      <c r="F530" s="9" t="n"/>
      <c r="H530" s="8" t="n"/>
    </row>
    <row r="531">
      <c r="A531" s="5" t="n"/>
      <c r="D531" s="10" t="n"/>
      <c r="F531" s="9" t="n"/>
      <c r="H531" s="8" t="n"/>
    </row>
    <row r="532">
      <c r="A532" s="5" t="n"/>
      <c r="D532" s="10" t="n"/>
      <c r="F532" s="9" t="n"/>
      <c r="H532" s="8" t="n"/>
    </row>
    <row r="533">
      <c r="A533" s="5" t="n"/>
      <c r="D533" s="10" t="n"/>
      <c r="F533" s="9" t="n"/>
      <c r="H533" s="8" t="n"/>
    </row>
    <row r="534">
      <c r="A534" s="5" t="n"/>
      <c r="D534" s="10" t="n"/>
      <c r="F534" s="9" t="n"/>
      <c r="H534" s="8" t="n"/>
    </row>
    <row r="535">
      <c r="A535" s="5" t="n"/>
      <c r="D535" s="10" t="n"/>
      <c r="F535" s="9" t="n"/>
      <c r="H535" s="8" t="n"/>
    </row>
    <row r="536">
      <c r="A536" s="5" t="n"/>
      <c r="D536" s="10" t="n"/>
      <c r="F536" s="9" t="n"/>
      <c r="H536" s="8" t="n"/>
    </row>
    <row r="537">
      <c r="A537" s="5" t="n"/>
      <c r="D537" s="10" t="n"/>
      <c r="F537" s="9" t="n"/>
      <c r="H537" s="8" t="n"/>
    </row>
    <row r="538">
      <c r="A538" s="5" t="n"/>
      <c r="D538" s="10" t="n"/>
      <c r="F538" s="9" t="n"/>
      <c r="H538" s="8" t="n"/>
    </row>
    <row r="539">
      <c r="A539" s="5" t="n"/>
      <c r="D539" s="10" t="n"/>
      <c r="F539" s="9" t="n"/>
      <c r="H539" s="8" t="n"/>
    </row>
    <row r="540">
      <c r="A540" s="5" t="n"/>
      <c r="D540" s="10" t="n"/>
      <c r="F540" s="9" t="n"/>
      <c r="H540" s="8" t="n"/>
    </row>
    <row r="541">
      <c r="A541" s="5" t="n"/>
      <c r="D541" s="10" t="n"/>
      <c r="F541" s="9" t="n"/>
      <c r="H541" s="8" t="n"/>
    </row>
    <row r="542">
      <c r="A542" s="5" t="n"/>
      <c r="D542" s="10" t="n"/>
      <c r="F542" s="9" t="n"/>
      <c r="H542" s="8" t="n"/>
    </row>
    <row r="543">
      <c r="A543" s="5" t="n"/>
      <c r="D543" s="10" t="n"/>
      <c r="F543" s="9" t="n"/>
      <c r="H543" s="8" t="n"/>
    </row>
    <row r="544">
      <c r="A544" s="5" t="n"/>
      <c r="D544" s="10" t="n"/>
      <c r="F544" s="9" t="n"/>
      <c r="H544" s="8" t="n"/>
    </row>
    <row r="545">
      <c r="A545" s="5" t="n"/>
      <c r="D545" s="10" t="n"/>
      <c r="F545" s="9" t="n"/>
      <c r="H545" s="8" t="n"/>
    </row>
    <row r="546">
      <c r="A546" s="5" t="n"/>
      <c r="D546" s="10" t="n"/>
      <c r="F546" s="9" t="n"/>
      <c r="H546" s="8" t="n"/>
    </row>
    <row r="547">
      <c r="A547" s="5" t="n"/>
      <c r="D547" s="10" t="n"/>
      <c r="F547" s="9" t="n"/>
      <c r="H547" s="8" t="n"/>
    </row>
    <row r="548">
      <c r="A548" s="5" t="n"/>
      <c r="D548" s="10" t="n"/>
      <c r="F548" s="9" t="n"/>
      <c r="H548" s="8" t="n"/>
    </row>
    <row r="549">
      <c r="A549" s="5" t="n"/>
      <c r="D549" s="10" t="n"/>
      <c r="F549" s="9" t="n"/>
      <c r="H549" s="8" t="n"/>
    </row>
    <row r="550">
      <c r="A550" s="5" t="n"/>
      <c r="D550" s="10" t="n"/>
      <c r="F550" s="9" t="n"/>
      <c r="H550" s="8" t="n"/>
    </row>
    <row r="551">
      <c r="A551" s="5" t="n"/>
      <c r="D551" s="10" t="n"/>
      <c r="F551" s="9" t="n"/>
      <c r="H551" s="8" t="n"/>
    </row>
    <row r="552">
      <c r="A552" s="5" t="n"/>
      <c r="D552" s="10" t="n"/>
      <c r="F552" s="9" t="n"/>
      <c r="H552" s="8" t="n"/>
    </row>
    <row r="553">
      <c r="A553" s="5" t="n"/>
      <c r="D553" s="10" t="n"/>
      <c r="F553" s="9" t="n"/>
      <c r="H553" s="8" t="n"/>
    </row>
    <row r="554">
      <c r="A554" s="5" t="n"/>
      <c r="D554" s="10" t="n"/>
      <c r="F554" s="9" t="n"/>
      <c r="H554" s="8" t="n"/>
    </row>
    <row r="555">
      <c r="A555" s="5" t="n"/>
      <c r="D555" s="10" t="n"/>
      <c r="F555" s="9" t="n"/>
      <c r="H555" s="8" t="n"/>
    </row>
    <row r="556">
      <c r="A556" s="5" t="n"/>
      <c r="D556" s="10" t="n"/>
      <c r="F556" s="9" t="n"/>
      <c r="H556" s="8" t="n"/>
    </row>
    <row r="557">
      <c r="A557" s="5" t="n"/>
      <c r="D557" s="10" t="n"/>
      <c r="F557" s="9" t="n"/>
      <c r="H557" s="8" t="n"/>
    </row>
    <row r="558">
      <c r="A558" s="5" t="n"/>
      <c r="D558" s="10" t="n"/>
      <c r="F558" s="9" t="n"/>
      <c r="H558" s="8" t="n"/>
    </row>
    <row r="559">
      <c r="A559" s="5" t="n"/>
      <c r="D559" s="10" t="n"/>
      <c r="F559" s="9" t="n"/>
      <c r="H559" s="8" t="n"/>
    </row>
    <row r="560">
      <c r="A560" s="5" t="n"/>
      <c r="D560" s="10" t="n"/>
      <c r="F560" s="9" t="n"/>
      <c r="H560" s="8" t="n"/>
    </row>
    <row r="561">
      <c r="A561" s="5" t="n"/>
      <c r="D561" s="10" t="n"/>
      <c r="F561" s="9" t="n"/>
      <c r="H561" s="8" t="n"/>
    </row>
    <row r="562">
      <c r="A562" s="5" t="n"/>
      <c r="D562" s="10" t="n"/>
      <c r="F562" s="9" t="n"/>
      <c r="H562" s="8" t="n"/>
    </row>
    <row r="563">
      <c r="A563" s="5" t="n"/>
      <c r="D563" s="10" t="n"/>
      <c r="F563" s="9" t="n"/>
      <c r="H563" s="8" t="n"/>
    </row>
    <row r="564">
      <c r="A564" s="5" t="n"/>
      <c r="D564" s="10" t="n"/>
      <c r="F564" s="9" t="n"/>
      <c r="H564" s="8" t="n"/>
    </row>
    <row r="565">
      <c r="A565" s="5" t="n"/>
      <c r="D565" s="10" t="n"/>
      <c r="F565" s="9" t="n"/>
      <c r="H565" s="8" t="n"/>
    </row>
    <row r="566">
      <c r="A566" s="5" t="n"/>
      <c r="D566" s="10" t="n"/>
      <c r="F566" s="9" t="n"/>
      <c r="H566" s="8" t="n"/>
    </row>
    <row r="567">
      <c r="A567" s="5" t="n"/>
      <c r="D567" s="10" t="n"/>
      <c r="F567" s="9" t="n"/>
      <c r="H567" s="8" t="n"/>
    </row>
    <row r="568">
      <c r="A568" s="5" t="n"/>
      <c r="D568" s="10" t="n"/>
      <c r="F568" s="9" t="n"/>
      <c r="H568" s="8" t="n"/>
    </row>
    <row r="569">
      <c r="A569" s="5" t="n"/>
      <c r="D569" s="10" t="n"/>
      <c r="F569" s="9" t="n"/>
      <c r="H569" s="8" t="n"/>
    </row>
    <row r="570">
      <c r="A570" s="5" t="n"/>
      <c r="D570" s="10" t="n"/>
      <c r="F570" s="9" t="n"/>
      <c r="H570" s="8" t="n"/>
    </row>
    <row r="571">
      <c r="A571" s="5" t="n"/>
      <c r="D571" s="10" t="n"/>
      <c r="F571" s="9" t="n"/>
      <c r="H571" s="8" t="n"/>
    </row>
    <row r="572">
      <c r="A572" s="5" t="n"/>
      <c r="D572" s="10" t="n"/>
      <c r="F572" s="9" t="n"/>
      <c r="H572" s="8" t="n"/>
    </row>
    <row r="573">
      <c r="A573" s="5" t="n"/>
      <c r="D573" s="10" t="n"/>
      <c r="F573" s="9" t="n"/>
      <c r="H573" s="8" t="n"/>
    </row>
    <row r="574">
      <c r="A574" s="5" t="n"/>
      <c r="D574" s="10" t="n"/>
      <c r="F574" s="9" t="n"/>
      <c r="H574" s="8" t="n"/>
    </row>
    <row r="575">
      <c r="A575" s="5" t="n"/>
      <c r="D575" s="10" t="n"/>
      <c r="F575" s="9" t="n"/>
      <c r="H575" s="8" t="n"/>
    </row>
    <row r="576">
      <c r="A576" s="5" t="n"/>
      <c r="D576" s="10" t="n"/>
      <c r="F576" s="9" t="n"/>
      <c r="H576" s="8" t="n"/>
    </row>
    <row r="577">
      <c r="A577" s="7" t="n"/>
      <c r="D577" s="10" t="n"/>
      <c r="F577" s="9" t="n"/>
      <c r="H577" s="8" t="n"/>
    </row>
    <row r="578">
      <c r="D578" s="10" t="n"/>
      <c r="F578" s="9" t="n"/>
      <c r="H578" s="8" t="n"/>
    </row>
    <row r="579">
      <c r="D579" s="10" t="n"/>
      <c r="F579" s="9" t="n"/>
      <c r="H579" s="8" t="n"/>
    </row>
    <row r="580">
      <c r="D580" s="10" t="n"/>
      <c r="F580" s="9" t="n"/>
      <c r="H580" s="8" t="n"/>
    </row>
    <row r="581">
      <c r="A581" s="3" t="n"/>
      <c r="D581" s="10" t="n"/>
      <c r="F581" s="9" t="n"/>
      <c r="H581" s="8" t="n"/>
    </row>
    <row r="582">
      <c r="A582" s="3" t="n"/>
      <c r="D582" s="10" t="n"/>
      <c r="F582" s="9" t="n"/>
      <c r="H582" s="8" t="n"/>
    </row>
    <row r="583">
      <c r="A583" s="5" t="n"/>
      <c r="D583" s="10" t="n"/>
      <c r="F583" s="9" t="n"/>
      <c r="H583" s="8" t="n"/>
    </row>
    <row r="584">
      <c r="A584" s="5" t="n"/>
      <c r="D584" s="10" t="n"/>
      <c r="F584" s="9" t="n"/>
      <c r="H584" s="8" t="n"/>
    </row>
    <row r="585">
      <c r="A585" s="5" t="n"/>
      <c r="D585" s="10" t="n"/>
      <c r="F585" s="9" t="n"/>
      <c r="H585" s="8" t="n"/>
    </row>
    <row r="586">
      <c r="A586" s="5" t="n"/>
      <c r="D586" s="10" t="n"/>
      <c r="F586" s="9" t="n"/>
      <c r="H586" s="8" t="n"/>
    </row>
    <row r="587">
      <c r="A587" s="5" t="n"/>
      <c r="D587" s="10" t="n"/>
      <c r="F587" s="9" t="n"/>
      <c r="H587" s="8" t="n"/>
    </row>
    <row r="588">
      <c r="A588" s="5" t="n"/>
      <c r="D588" s="10" t="n"/>
      <c r="F588" s="9" t="n"/>
      <c r="H588" s="8" t="n"/>
    </row>
    <row r="589">
      <c r="A589" s="5" t="n"/>
      <c r="D589" s="10" t="n"/>
      <c r="F589" s="9" t="n"/>
      <c r="H589" s="8" t="n"/>
    </row>
    <row r="590">
      <c r="A590" s="5" t="n"/>
      <c r="D590" s="10" t="n"/>
      <c r="F590" s="9" t="n"/>
      <c r="H590" s="8" t="n"/>
    </row>
    <row r="591">
      <c r="A591" s="5" t="n"/>
      <c r="D591" s="10" t="n"/>
      <c r="F591" s="9" t="n"/>
      <c r="H591" s="8" t="n"/>
    </row>
    <row r="592">
      <c r="A592" s="5" t="n"/>
      <c r="D592" s="10" t="n"/>
      <c r="F592" s="9" t="n"/>
      <c r="H592" s="8" t="n"/>
    </row>
    <row r="593">
      <c r="A593" s="5" t="n"/>
      <c r="D593" s="10" t="n"/>
      <c r="F593" s="9" t="n"/>
      <c r="H593" s="8" t="n"/>
    </row>
    <row r="594">
      <c r="A594" s="5" t="n"/>
      <c r="D594" s="10" t="n"/>
      <c r="F594" s="9" t="n"/>
      <c r="H594" s="8" t="n"/>
    </row>
    <row r="595">
      <c r="A595" s="5" t="n"/>
      <c r="D595" s="10" t="n"/>
      <c r="F595" s="9" t="n"/>
      <c r="H595" s="8" t="n"/>
    </row>
    <row r="596">
      <c r="A596" s="5" t="n"/>
      <c r="D596" s="10" t="n"/>
      <c r="F596" s="9" t="n"/>
      <c r="H596" s="8" t="n"/>
    </row>
    <row r="597">
      <c r="A597" s="5" t="n"/>
      <c r="D597" s="10" t="n"/>
      <c r="F597" s="9" t="n"/>
      <c r="H597" s="8" t="n"/>
    </row>
    <row r="598">
      <c r="A598" s="5" t="n"/>
      <c r="D598" s="10" t="n"/>
      <c r="F598" s="9" t="n"/>
      <c r="H598" s="8" t="n"/>
    </row>
    <row r="599">
      <c r="A599" s="5" t="n"/>
      <c r="D599" s="10" t="n"/>
      <c r="F599" s="9" t="n"/>
      <c r="H599" s="8" t="n"/>
    </row>
    <row r="600">
      <c r="A600" s="5" t="n"/>
      <c r="D600" s="10" t="n"/>
      <c r="F600" s="9" t="n"/>
      <c r="H600" s="8" t="n"/>
    </row>
    <row r="601">
      <c r="A601" s="5" t="n"/>
      <c r="D601" s="10" t="n"/>
      <c r="F601" s="9" t="n"/>
      <c r="H601" s="8" t="n"/>
    </row>
    <row r="602">
      <c r="A602" s="5" t="n"/>
      <c r="D602" s="10" t="n"/>
      <c r="F602" s="9" t="n"/>
      <c r="H602" s="8" t="n"/>
    </row>
    <row r="603">
      <c r="A603" s="5" t="n"/>
      <c r="D603" s="10" t="n"/>
      <c r="F603" s="9" t="n"/>
      <c r="H603" s="8" t="n"/>
    </row>
    <row r="604">
      <c r="A604" s="5" t="n"/>
      <c r="D604" s="10" t="n"/>
      <c r="F604" s="9" t="n"/>
      <c r="H604" s="8" t="n"/>
    </row>
    <row r="605">
      <c r="A605" s="5" t="n"/>
      <c r="D605" s="10" t="n"/>
      <c r="F605" s="9" t="n"/>
      <c r="H605" s="8" t="n"/>
    </row>
    <row r="606">
      <c r="A606" s="5" t="n"/>
      <c r="D606" s="10" t="n"/>
      <c r="F606" s="9" t="n"/>
      <c r="H606" s="8" t="n"/>
    </row>
    <row r="607">
      <c r="A607" s="5" t="n"/>
      <c r="D607" s="10" t="n"/>
      <c r="F607" s="9" t="n"/>
      <c r="H607" s="8" t="n"/>
    </row>
    <row r="608">
      <c r="A608" s="5" t="n"/>
      <c r="D608" s="10" t="n"/>
      <c r="F608" s="9" t="n"/>
      <c r="H608" s="8" t="n"/>
    </row>
    <row r="609">
      <c r="A609" s="5" t="n"/>
      <c r="D609" s="10" t="n"/>
      <c r="F609" s="9" t="n"/>
      <c r="H609" s="8" t="n"/>
    </row>
    <row r="610">
      <c r="A610" s="5" t="n"/>
      <c r="D610" s="10" t="n"/>
      <c r="F610" s="9" t="n"/>
      <c r="H610" s="8" t="n"/>
    </row>
    <row r="611">
      <c r="A611" s="5" t="n"/>
      <c r="D611" s="10" t="n"/>
      <c r="F611" s="9" t="n"/>
      <c r="H611" s="8" t="n"/>
    </row>
    <row r="612">
      <c r="A612" s="5" t="n"/>
      <c r="D612" s="10" t="n"/>
      <c r="F612" s="9" t="n"/>
      <c r="H612" s="8" t="n"/>
    </row>
    <row r="613">
      <c r="A613" s="5" t="n"/>
      <c r="D613" s="10" t="n"/>
      <c r="F613" s="9" t="n"/>
      <c r="H613" s="8" t="n"/>
    </row>
    <row r="614">
      <c r="A614" s="5" t="n"/>
      <c r="D614" s="10" t="n"/>
      <c r="F614" s="9" t="n"/>
      <c r="H614" s="8" t="n"/>
    </row>
    <row r="615">
      <c r="A615" s="5" t="n"/>
      <c r="D615" s="10" t="n"/>
      <c r="F615" s="9" t="n"/>
      <c r="H615" s="8" t="n"/>
    </row>
    <row r="616">
      <c r="A616" s="5" t="n"/>
      <c r="D616" s="10" t="n"/>
      <c r="F616" s="9" t="n"/>
      <c r="H616" s="8" t="n"/>
    </row>
    <row r="617">
      <c r="A617" s="5" t="n"/>
      <c r="D617" s="10" t="n"/>
      <c r="F617" s="9" t="n"/>
      <c r="H617" s="8" t="n"/>
    </row>
    <row r="618">
      <c r="A618" s="5" t="n"/>
      <c r="D618" s="10" t="n"/>
      <c r="F618" s="9" t="n"/>
      <c r="H618" s="8" t="n"/>
    </row>
    <row r="619">
      <c r="A619" s="5" t="n"/>
      <c r="D619" s="10" t="n"/>
      <c r="F619" s="9" t="n"/>
      <c r="H619" s="8" t="n"/>
    </row>
    <row r="620">
      <c r="A620" s="5" t="n"/>
      <c r="D620" s="10" t="n"/>
      <c r="F620" s="9" t="n"/>
      <c r="H620" s="8" t="n"/>
    </row>
    <row r="621">
      <c r="A621" s="5" t="n"/>
      <c r="D621" s="10" t="n"/>
      <c r="F621" s="9" t="n"/>
      <c r="H621" s="8" t="n"/>
    </row>
    <row r="622">
      <c r="A622" s="5" t="n"/>
      <c r="D622" s="10" t="n"/>
      <c r="F622" s="9" t="n"/>
      <c r="H622" s="8" t="n"/>
    </row>
    <row r="623">
      <c r="A623" s="5" t="n"/>
      <c r="D623" s="10" t="n"/>
      <c r="F623" s="9" t="n"/>
      <c r="H623" s="8" t="n"/>
    </row>
    <row r="624">
      <c r="A624" s="5" t="n"/>
      <c r="D624" s="10" t="n"/>
      <c r="F624" s="9" t="n"/>
      <c r="H624" s="8" t="n"/>
    </row>
    <row r="625">
      <c r="A625" s="5" t="n"/>
      <c r="D625" s="10" t="n"/>
      <c r="F625" s="9" t="n"/>
      <c r="H625" s="8" t="n"/>
    </row>
    <row r="626">
      <c r="A626" s="5" t="n"/>
      <c r="D626" s="10" t="n"/>
      <c r="F626" s="9" t="n"/>
      <c r="H626" s="8" t="n"/>
    </row>
    <row r="627">
      <c r="A627" s="5" t="n"/>
      <c r="D627" s="10" t="n"/>
      <c r="F627" s="9" t="n"/>
      <c r="H627" s="8" t="n"/>
    </row>
    <row r="628">
      <c r="A628" s="5" t="n"/>
      <c r="D628" s="10" t="n"/>
      <c r="F628" s="9" t="n"/>
      <c r="H628" s="8" t="n"/>
    </row>
    <row r="629">
      <c r="A629" s="5" t="n"/>
      <c r="D629" s="10" t="n"/>
      <c r="F629" s="9" t="n"/>
      <c r="H629" s="8" t="n"/>
    </row>
    <row r="630">
      <c r="A630" s="5" t="n"/>
      <c r="D630" s="10" t="n"/>
      <c r="F630" s="9" t="n"/>
      <c r="H630" s="8" t="n"/>
    </row>
    <row r="631">
      <c r="A631" s="5" t="n"/>
      <c r="D631" s="10" t="n"/>
      <c r="F631" s="9" t="n"/>
      <c r="H631" s="8" t="n"/>
    </row>
    <row r="632">
      <c r="A632" s="5" t="n"/>
      <c r="D632" s="10" t="n"/>
      <c r="F632" s="9" t="n"/>
      <c r="H632" s="8" t="n"/>
    </row>
    <row r="633">
      <c r="A633" s="5" t="n"/>
      <c r="D633" s="10" t="n"/>
      <c r="F633" s="9" t="n"/>
      <c r="H633" s="8" t="n"/>
    </row>
    <row r="634">
      <c r="A634" s="5" t="n"/>
      <c r="D634" s="10" t="n"/>
      <c r="F634" s="9" t="n"/>
      <c r="H634" s="8" t="n"/>
    </row>
    <row r="635">
      <c r="A635" s="5" t="n"/>
      <c r="D635" s="10" t="n"/>
      <c r="F635" s="9" t="n"/>
      <c r="H635" s="8" t="n"/>
    </row>
    <row r="636">
      <c r="A636" s="5" t="n"/>
      <c r="D636" s="10" t="n"/>
      <c r="F636" s="9" t="n"/>
      <c r="H636" s="8" t="n"/>
    </row>
    <row r="637">
      <c r="A637" s="5" t="n"/>
      <c r="D637" s="10" t="n"/>
      <c r="F637" s="9" t="n"/>
      <c r="H637" s="8" t="n"/>
    </row>
    <row r="638">
      <c r="A638" s="5" t="n"/>
      <c r="D638" s="10" t="n"/>
      <c r="F638" s="9" t="n"/>
      <c r="H638" s="8" t="n"/>
    </row>
    <row r="639">
      <c r="A639" s="5" t="n"/>
      <c r="D639" s="10" t="n"/>
      <c r="F639" s="9" t="n"/>
      <c r="H639" s="8" t="n"/>
    </row>
    <row r="640">
      <c r="A640" s="5" t="n"/>
      <c r="D640" s="10" t="n"/>
      <c r="F640" s="9" t="n"/>
      <c r="H640" s="8" t="n"/>
    </row>
    <row r="641">
      <c r="A641" s="5" t="n"/>
      <c r="D641" s="10" t="n"/>
      <c r="F641" s="9" t="n"/>
      <c r="H641" s="8" t="n"/>
    </row>
    <row r="642">
      <c r="A642" s="5" t="n"/>
      <c r="D642" s="10" t="n"/>
      <c r="F642" s="9" t="n"/>
      <c r="H642" s="8" t="n"/>
    </row>
    <row r="643">
      <c r="A643" s="5" t="n"/>
      <c r="D643" s="10" t="n"/>
      <c r="F643" s="9" t="n"/>
      <c r="H643" s="8" t="n"/>
    </row>
    <row r="644">
      <c r="A644" s="5" t="n"/>
      <c r="D644" s="10" t="n"/>
      <c r="F644" s="9" t="n"/>
      <c r="H644" s="8" t="n"/>
    </row>
    <row r="645">
      <c r="A645" s="5" t="n"/>
      <c r="D645" s="10" t="n"/>
      <c r="F645" s="9" t="n"/>
      <c r="H645" s="8" t="n"/>
    </row>
    <row r="646">
      <c r="A646" s="5" t="n"/>
      <c r="D646" s="10" t="n"/>
      <c r="F646" s="9" t="n"/>
      <c r="H646" s="8" t="n"/>
    </row>
    <row r="647">
      <c r="A647" s="5" t="n"/>
      <c r="D647" s="10" t="n"/>
      <c r="F647" s="9" t="n"/>
      <c r="H647" s="8" t="n"/>
    </row>
    <row r="648">
      <c r="A648" s="5" t="n"/>
      <c r="D648" s="10" t="n"/>
      <c r="F648" s="9" t="n"/>
      <c r="H648" s="8" t="n"/>
    </row>
    <row r="649">
      <c r="A649" s="5" t="n"/>
      <c r="D649" s="10" t="n"/>
      <c r="F649" s="9" t="n"/>
      <c r="H649" s="8" t="n"/>
    </row>
    <row r="650">
      <c r="A650" s="7" t="n"/>
      <c r="D650" s="10" t="n"/>
      <c r="F650" s="9" t="n"/>
      <c r="H650" s="8" t="n"/>
    </row>
    <row r="651">
      <c r="D651" s="10" t="n"/>
      <c r="F651" s="9" t="n"/>
      <c r="H651" s="8" t="n"/>
    </row>
    <row r="652">
      <c r="D652" s="10" t="n"/>
      <c r="F652" s="9" t="n"/>
      <c r="H652" s="8" t="n"/>
    </row>
    <row r="653">
      <c r="D653" s="10" t="n"/>
      <c r="F653" s="9" t="n"/>
      <c r="H653" s="8" t="n"/>
    </row>
    <row r="654">
      <c r="A654" s="3" t="n"/>
      <c r="D654" s="10" t="n"/>
      <c r="F654" s="9" t="n"/>
      <c r="H654" s="8" t="n"/>
    </row>
    <row r="655">
      <c r="A655" s="3" t="n"/>
      <c r="D655" s="10" t="n"/>
      <c r="F655" s="9" t="n"/>
      <c r="H655" s="8" t="n"/>
    </row>
    <row r="656">
      <c r="A656" s="5" t="n"/>
      <c r="D656" s="10" t="n"/>
      <c r="F656" s="9" t="n"/>
      <c r="H656" s="8" t="n"/>
    </row>
    <row r="657">
      <c r="A657" s="5" t="n"/>
      <c r="D657" s="10" t="n"/>
      <c r="F657" s="9" t="n"/>
      <c r="H657" s="8" t="n"/>
    </row>
    <row r="658">
      <c r="A658" s="5" t="n"/>
      <c r="D658" s="10" t="n"/>
      <c r="F658" s="9" t="n"/>
      <c r="H658" s="8" t="n"/>
    </row>
    <row r="659">
      <c r="A659" s="5" t="n"/>
      <c r="D659" s="10" t="n"/>
      <c r="F659" s="9" t="n"/>
      <c r="H659" s="8" t="n"/>
    </row>
    <row r="660">
      <c r="A660" s="5" t="n"/>
      <c r="D660" s="10" t="n"/>
      <c r="F660" s="9" t="n"/>
      <c r="H660" s="8" t="n"/>
    </row>
    <row r="661">
      <c r="A661" s="5" t="n"/>
      <c r="D661" s="10" t="n"/>
      <c r="F661" s="9" t="n"/>
      <c r="H661" s="8" t="n"/>
    </row>
    <row r="662">
      <c r="A662" s="5" t="n"/>
      <c r="D662" s="10" t="n"/>
      <c r="F662" s="9" t="n"/>
      <c r="H662" s="8" t="n"/>
    </row>
    <row r="663">
      <c r="A663" s="5" t="n"/>
      <c r="D663" s="10" t="n"/>
      <c r="F663" s="9" t="n"/>
      <c r="H663" s="8" t="n"/>
    </row>
    <row r="664">
      <c r="A664" s="5" t="n"/>
      <c r="D664" s="10" t="n"/>
      <c r="F664" s="9" t="n"/>
      <c r="H664" s="8" t="n"/>
    </row>
    <row r="665">
      <c r="A665" s="5" t="n"/>
      <c r="D665" s="10" t="n"/>
      <c r="F665" s="9" t="n"/>
      <c r="H665" s="8" t="n"/>
    </row>
    <row r="666">
      <c r="A666" s="5" t="n"/>
      <c r="D666" s="10" t="n"/>
      <c r="F666" s="9" t="n"/>
      <c r="H666" s="8" t="n"/>
    </row>
    <row r="667">
      <c r="A667" s="5" t="n"/>
      <c r="D667" s="10" t="n"/>
      <c r="F667" s="9" t="n"/>
      <c r="H667" s="8" t="n"/>
    </row>
    <row r="668">
      <c r="A668" s="5" t="n"/>
      <c r="D668" s="10" t="n"/>
      <c r="F668" s="9" t="n"/>
      <c r="H668" s="8" t="n"/>
    </row>
    <row r="669">
      <c r="A669" s="5" t="n"/>
      <c r="D669" s="10" t="n"/>
      <c r="F669" s="9" t="n"/>
      <c r="H669" s="8" t="n"/>
    </row>
    <row r="670">
      <c r="A670" s="5" t="n"/>
      <c r="D670" s="10" t="n"/>
      <c r="F670" s="9" t="n"/>
      <c r="H670" s="8" t="n"/>
    </row>
    <row r="671">
      <c r="A671" s="5" t="n"/>
      <c r="D671" s="10" t="n"/>
      <c r="F671" s="9" t="n"/>
      <c r="H671" s="8" t="n"/>
    </row>
    <row r="672">
      <c r="A672" s="5" t="n"/>
      <c r="D672" s="10" t="n"/>
      <c r="F672" s="9" t="n"/>
      <c r="H672" s="8" t="n"/>
    </row>
    <row r="673">
      <c r="A673" s="5" t="n"/>
      <c r="D673" s="10" t="n"/>
      <c r="F673" s="9" t="n"/>
      <c r="H673" s="8" t="n"/>
    </row>
    <row r="674">
      <c r="A674" s="5" t="n"/>
      <c r="D674" s="10" t="n"/>
      <c r="F674" s="9" t="n"/>
      <c r="H674" s="8" t="n"/>
    </row>
    <row r="675">
      <c r="A675" s="5" t="n"/>
      <c r="D675" s="10" t="n"/>
      <c r="F675" s="9" t="n"/>
      <c r="H675" s="8" t="n"/>
    </row>
    <row r="676">
      <c r="A676" s="5" t="n"/>
      <c r="D676" s="10" t="n"/>
      <c r="F676" s="9" t="n"/>
      <c r="H676" s="8" t="n"/>
    </row>
    <row r="677">
      <c r="A677" s="5" t="n"/>
      <c r="D677" s="10" t="n"/>
      <c r="F677" s="9" t="n"/>
      <c r="H677" s="8" t="n"/>
    </row>
    <row r="678">
      <c r="A678" s="5" t="n"/>
      <c r="D678" s="10" t="n"/>
      <c r="F678" s="9" t="n"/>
      <c r="H678" s="8" t="n"/>
    </row>
    <row r="679">
      <c r="A679" s="5" t="n"/>
      <c r="D679" s="10" t="n"/>
      <c r="F679" s="9" t="n"/>
      <c r="H679" s="8" t="n"/>
    </row>
    <row r="680">
      <c r="A680" s="5" t="n"/>
      <c r="D680" s="10" t="n"/>
      <c r="F680" s="9" t="n"/>
      <c r="H680" s="8" t="n"/>
    </row>
    <row r="681">
      <c r="A681" s="5" t="n"/>
      <c r="D681" s="10" t="n"/>
      <c r="F681" s="9" t="n"/>
      <c r="H681" s="8" t="n"/>
    </row>
    <row r="682">
      <c r="A682" s="5" t="n"/>
      <c r="D682" s="10" t="n"/>
      <c r="F682" s="9" t="n"/>
      <c r="H682" s="8" t="n"/>
    </row>
    <row r="683">
      <c r="A683" s="5" t="n"/>
      <c r="D683" s="10" t="n"/>
      <c r="F683" s="9" t="n"/>
      <c r="H683" s="8" t="n"/>
    </row>
    <row r="684">
      <c r="A684" s="5" t="n"/>
      <c r="D684" s="10" t="n"/>
      <c r="F684" s="9" t="n"/>
      <c r="H684" s="8" t="n"/>
    </row>
    <row r="685">
      <c r="A685" s="5" t="n"/>
      <c r="D685" s="10" t="n"/>
      <c r="F685" s="9" t="n"/>
      <c r="H685" s="8" t="n"/>
    </row>
    <row r="686">
      <c r="A686" s="5" t="n"/>
      <c r="D686" s="10" t="n"/>
      <c r="F686" s="9" t="n"/>
      <c r="H686" s="8" t="n"/>
    </row>
    <row r="687">
      <c r="A687" s="5" t="n"/>
      <c r="D687" s="10" t="n"/>
      <c r="F687" s="9" t="n"/>
      <c r="H687" s="8" t="n"/>
    </row>
    <row r="688">
      <c r="A688" s="5" t="n"/>
      <c r="D688" s="10" t="n"/>
      <c r="F688" s="9" t="n"/>
      <c r="H688" s="8" t="n"/>
    </row>
    <row r="689">
      <c r="A689" s="5" t="n"/>
      <c r="D689" s="10" t="n"/>
      <c r="F689" s="9" t="n"/>
      <c r="H689" s="8" t="n"/>
    </row>
    <row r="690">
      <c r="A690" s="5" t="n"/>
      <c r="D690" s="10" t="n"/>
      <c r="F690" s="9" t="n"/>
      <c r="H690" s="8" t="n"/>
    </row>
    <row r="691">
      <c r="A691" s="5" t="n"/>
      <c r="D691" s="10" t="n"/>
      <c r="F691" s="9" t="n"/>
      <c r="H691" s="8" t="n"/>
    </row>
    <row r="692">
      <c r="A692" s="5" t="n"/>
      <c r="D692" s="10" t="n"/>
      <c r="F692" s="9" t="n"/>
      <c r="H692" s="8" t="n"/>
    </row>
    <row r="693">
      <c r="A693" s="5" t="n"/>
      <c r="D693" s="10" t="n"/>
      <c r="F693" s="9" t="n"/>
      <c r="H693" s="8" t="n"/>
    </row>
    <row r="694">
      <c r="A694" s="5" t="n"/>
      <c r="D694" s="10" t="n"/>
      <c r="F694" s="9" t="n"/>
      <c r="H694" s="8" t="n"/>
    </row>
    <row r="695">
      <c r="A695" s="5" t="n"/>
      <c r="D695" s="10" t="n"/>
      <c r="F695" s="9" t="n"/>
      <c r="H695" s="8" t="n"/>
    </row>
    <row r="696">
      <c r="A696" s="5" t="n"/>
      <c r="D696" s="10" t="n"/>
      <c r="F696" s="9" t="n"/>
      <c r="H696" s="8" t="n"/>
    </row>
    <row r="697">
      <c r="A697" s="5" t="n"/>
      <c r="D697" s="10" t="n"/>
      <c r="F697" s="9" t="n"/>
      <c r="H697" s="8" t="n"/>
    </row>
    <row r="698">
      <c r="A698" s="5" t="n"/>
      <c r="D698" s="10" t="n"/>
      <c r="F698" s="9" t="n"/>
      <c r="H698" s="8" t="n"/>
    </row>
    <row r="699">
      <c r="A699" s="5" t="n"/>
      <c r="D699" s="10" t="n"/>
      <c r="F699" s="9" t="n"/>
      <c r="H699" s="8" t="n"/>
    </row>
    <row r="700">
      <c r="A700" s="5" t="n"/>
      <c r="D700" s="10" t="n"/>
      <c r="F700" s="9" t="n"/>
      <c r="H700" s="8" t="n"/>
    </row>
    <row r="701">
      <c r="A701" s="5" t="n"/>
      <c r="D701" s="10" t="n"/>
      <c r="F701" s="9" t="n"/>
      <c r="H701" s="8" t="n"/>
    </row>
    <row r="702">
      <c r="A702" s="5" t="n"/>
      <c r="D702" s="10" t="n"/>
      <c r="F702" s="9" t="n"/>
      <c r="H702" s="8" t="n"/>
    </row>
    <row r="703">
      <c r="A703" s="5" t="n"/>
      <c r="D703" s="10" t="n"/>
      <c r="F703" s="9" t="n"/>
      <c r="H703" s="8" t="n"/>
    </row>
    <row r="704">
      <c r="A704" s="5" t="n"/>
      <c r="D704" s="10" t="n"/>
      <c r="F704" s="9" t="n"/>
      <c r="H704" s="8" t="n"/>
    </row>
    <row r="705">
      <c r="A705" s="5" t="n"/>
      <c r="D705" s="10" t="n"/>
      <c r="F705" s="9" t="n"/>
      <c r="H705" s="8" t="n"/>
    </row>
    <row r="706">
      <c r="A706" s="5" t="n"/>
      <c r="D706" s="10" t="n"/>
      <c r="F706" s="9" t="n"/>
      <c r="H706" s="8" t="n"/>
    </row>
    <row r="707">
      <c r="A707" s="5" t="n"/>
      <c r="D707" s="10" t="n"/>
      <c r="F707" s="9" t="n"/>
      <c r="H707" s="8" t="n"/>
    </row>
    <row r="708">
      <c r="A708" s="5" t="n"/>
      <c r="D708" s="10" t="n"/>
      <c r="F708" s="9" t="n"/>
      <c r="H708" s="8" t="n"/>
    </row>
    <row r="709">
      <c r="A709" s="5" t="n"/>
      <c r="D709" s="10" t="n"/>
      <c r="F709" s="9" t="n"/>
      <c r="H709" s="8" t="n"/>
    </row>
    <row r="710">
      <c r="A710" s="5" t="n"/>
      <c r="D710" s="10" t="n"/>
      <c r="F710" s="9" t="n"/>
      <c r="H710" s="8" t="n"/>
    </row>
    <row r="711">
      <c r="A711" s="5" t="n"/>
      <c r="D711" s="10" t="n"/>
      <c r="F711" s="9" t="n"/>
      <c r="H711" s="8" t="n"/>
    </row>
    <row r="712">
      <c r="A712" s="5" t="n"/>
      <c r="D712" s="10" t="n"/>
      <c r="F712" s="9" t="n"/>
      <c r="H712" s="8" t="n"/>
    </row>
    <row r="713">
      <c r="A713" s="5" t="n"/>
      <c r="D713" s="10" t="n"/>
      <c r="F713" s="9" t="n"/>
      <c r="H713" s="8" t="n"/>
    </row>
    <row r="714">
      <c r="A714" s="5" t="n"/>
      <c r="D714" s="10" t="n"/>
      <c r="F714" s="9" t="n"/>
      <c r="H714" s="8" t="n"/>
    </row>
    <row r="715">
      <c r="A715" s="5" t="n"/>
      <c r="D715" s="10" t="n"/>
      <c r="F715" s="9" t="n"/>
      <c r="H715" s="8" t="n"/>
    </row>
    <row r="716">
      <c r="A716" s="5" t="n"/>
      <c r="D716" s="10" t="n"/>
      <c r="F716" s="9" t="n"/>
      <c r="H716" s="8" t="n"/>
    </row>
    <row r="717">
      <c r="A717" s="5" t="n"/>
      <c r="D717" s="10" t="n"/>
      <c r="F717" s="9" t="n"/>
      <c r="H717" s="8" t="n"/>
    </row>
    <row r="718">
      <c r="A718" s="5" t="n"/>
      <c r="D718" s="10" t="n"/>
      <c r="F718" s="9" t="n"/>
      <c r="H718" s="8" t="n"/>
    </row>
    <row r="719">
      <c r="A719" s="5" t="n"/>
      <c r="D719" s="10" t="n"/>
      <c r="F719" s="9" t="n"/>
      <c r="H719" s="8" t="n"/>
    </row>
    <row r="720">
      <c r="A720" s="5" t="n"/>
      <c r="D720" s="10" t="n"/>
      <c r="F720" s="9" t="n"/>
      <c r="H720" s="8" t="n"/>
    </row>
    <row r="721">
      <c r="A721" s="5" t="n"/>
      <c r="D721" s="10" t="n"/>
      <c r="F721" s="9" t="n"/>
      <c r="H721" s="8" t="n"/>
    </row>
    <row r="722">
      <c r="A722" s="5" t="n"/>
      <c r="D722" s="10" t="n"/>
      <c r="F722" s="9" t="n"/>
      <c r="H722" s="8" t="n"/>
    </row>
    <row r="723">
      <c r="A723" s="7" t="n"/>
      <c r="D723" s="10" t="n"/>
      <c r="F723" s="9" t="n"/>
      <c r="H723" s="8" t="n"/>
    </row>
    <row r="724">
      <c r="D724" s="10" t="n"/>
      <c r="F724" s="9" t="n"/>
      <c r="H724" s="8" t="n"/>
    </row>
    <row r="725">
      <c r="D725" s="10" t="n"/>
      <c r="F725" s="9" t="n"/>
      <c r="H725" s="8" t="n"/>
    </row>
    <row r="726">
      <c r="D726" s="10" t="n"/>
      <c r="F726" s="9" t="n"/>
      <c r="H726" s="8" t="n"/>
    </row>
    <row r="727">
      <c r="A727" s="3" t="n"/>
      <c r="D727" s="10" t="n"/>
      <c r="F727" s="9" t="n"/>
      <c r="H727" s="8" t="n"/>
    </row>
    <row r="728">
      <c r="A728" s="3" t="n"/>
      <c r="D728" s="10" t="n"/>
      <c r="F728" s="9" t="n"/>
      <c r="H728" s="8" t="n"/>
    </row>
    <row r="729">
      <c r="A729" s="5" t="n"/>
      <c r="D729" s="10" t="n"/>
      <c r="F729" s="9" t="n"/>
      <c r="H729" s="8" t="n"/>
    </row>
    <row r="730">
      <c r="A730" s="5" t="n"/>
      <c r="D730" s="10" t="n"/>
      <c r="F730" s="9" t="n"/>
      <c r="H730" s="8" t="n"/>
    </row>
    <row r="731">
      <c r="A731" s="5" t="n"/>
      <c r="D731" s="10" t="n"/>
      <c r="F731" s="9" t="n"/>
      <c r="H731" s="8" t="n"/>
    </row>
    <row r="732">
      <c r="A732" s="5" t="n"/>
      <c r="D732" s="10" t="n"/>
      <c r="F732" s="9" t="n"/>
      <c r="H732" s="8" t="n"/>
    </row>
    <row r="733">
      <c r="A733" s="5" t="n"/>
      <c r="D733" s="10" t="n"/>
      <c r="F733" s="9" t="n"/>
      <c r="H733" s="8" t="n"/>
    </row>
    <row r="734">
      <c r="A734" s="5" t="n"/>
      <c r="D734" s="10" t="n"/>
      <c r="F734" s="9" t="n"/>
      <c r="H734" s="8" t="n"/>
    </row>
    <row r="735">
      <c r="A735" s="5" t="n"/>
      <c r="D735" s="10" t="n"/>
      <c r="F735" s="9" t="n"/>
      <c r="H735" s="8" t="n"/>
    </row>
    <row r="736">
      <c r="A736" s="5" t="n"/>
      <c r="D736" s="10" t="n"/>
      <c r="F736" s="9" t="n"/>
      <c r="H736" s="8" t="n"/>
    </row>
    <row r="737">
      <c r="A737" s="5" t="n"/>
      <c r="D737" s="10" t="n"/>
      <c r="F737" s="9" t="n"/>
      <c r="H737" s="8" t="n"/>
    </row>
    <row r="738">
      <c r="A738" s="5" t="n"/>
      <c r="D738" s="10" t="n"/>
      <c r="F738" s="9" t="n"/>
      <c r="H738" s="8" t="n"/>
    </row>
    <row r="739">
      <c r="A739" s="5" t="n"/>
      <c r="D739" s="10" t="n"/>
      <c r="F739" s="9" t="n"/>
      <c r="H739" s="8" t="n"/>
    </row>
    <row r="740">
      <c r="A740" s="5" t="n"/>
      <c r="D740" s="10" t="n"/>
      <c r="F740" s="9" t="n"/>
      <c r="H740" s="8" t="n"/>
    </row>
    <row r="741">
      <c r="A741" s="5" t="n"/>
      <c r="D741" s="10" t="n"/>
      <c r="F741" s="9" t="n"/>
      <c r="H741" s="8" t="n"/>
    </row>
    <row r="742">
      <c r="A742" s="5" t="n"/>
      <c r="D742" s="10" t="n"/>
      <c r="F742" s="9" t="n"/>
      <c r="H742" s="8" t="n"/>
    </row>
    <row r="743">
      <c r="A743" s="5" t="n"/>
      <c r="D743" s="10" t="n"/>
      <c r="F743" s="9" t="n"/>
      <c r="H743" s="8" t="n"/>
    </row>
    <row r="744">
      <c r="A744" s="5" t="n"/>
      <c r="D744" s="10" t="n"/>
      <c r="F744" s="9" t="n"/>
      <c r="H744" s="8" t="n"/>
    </row>
    <row r="745">
      <c r="A745" s="5" t="n"/>
      <c r="D745" s="10" t="n"/>
      <c r="F745" s="9" t="n"/>
      <c r="H745" s="8" t="n"/>
    </row>
    <row r="746">
      <c r="A746" s="5" t="n"/>
      <c r="D746" s="10" t="n"/>
      <c r="F746" s="9" t="n"/>
      <c r="H746" s="8" t="n"/>
    </row>
    <row r="747">
      <c r="A747" s="5" t="n"/>
      <c r="D747" s="10" t="n"/>
      <c r="F747" s="9" t="n"/>
      <c r="H747" s="8" t="n"/>
    </row>
    <row r="748">
      <c r="A748" s="5" t="n"/>
      <c r="D748" s="10" t="n"/>
      <c r="F748" s="9" t="n"/>
      <c r="H748" s="8" t="n"/>
    </row>
    <row r="749">
      <c r="A749" s="5" t="n"/>
      <c r="D749" s="10" t="n"/>
      <c r="F749" s="9" t="n"/>
      <c r="H749" s="8" t="n"/>
    </row>
    <row r="750">
      <c r="A750" s="5" t="n"/>
      <c r="D750" s="10" t="n"/>
      <c r="F750" s="9" t="n"/>
      <c r="H750" s="8" t="n"/>
    </row>
    <row r="751">
      <c r="A751" s="5" t="n"/>
      <c r="D751" s="10" t="n"/>
      <c r="F751" s="9" t="n"/>
      <c r="H751" s="8" t="n"/>
    </row>
    <row r="752">
      <c r="A752" s="5" t="n"/>
      <c r="D752" s="10" t="n"/>
      <c r="F752" s="9" t="n"/>
      <c r="H752" s="8" t="n"/>
    </row>
    <row r="753">
      <c r="A753" s="5" t="n"/>
      <c r="D753" s="10" t="n"/>
      <c r="F753" s="9" t="n"/>
      <c r="H753" s="8" t="n"/>
    </row>
    <row r="754">
      <c r="A754" s="5" t="n"/>
      <c r="D754" s="10" t="n"/>
      <c r="F754" s="9" t="n"/>
      <c r="H754" s="8" t="n"/>
    </row>
    <row r="755">
      <c r="A755" s="5" t="n"/>
      <c r="D755" s="10" t="n"/>
      <c r="F755" s="9" t="n"/>
      <c r="H755" s="8" t="n"/>
    </row>
    <row r="756">
      <c r="A756" s="5" t="n"/>
      <c r="D756" s="10" t="n"/>
      <c r="F756" s="9" t="n"/>
      <c r="H756" s="8" t="n"/>
    </row>
    <row r="757">
      <c r="A757" s="5" t="n"/>
      <c r="D757" s="10" t="n"/>
      <c r="F757" s="9" t="n"/>
      <c r="H757" s="8" t="n"/>
    </row>
    <row r="758">
      <c r="A758" s="5" t="n"/>
      <c r="D758" s="10" t="n"/>
      <c r="F758" s="9" t="n"/>
      <c r="H758" s="8" t="n"/>
    </row>
    <row r="759">
      <c r="A759" s="5" t="n"/>
      <c r="D759" s="10" t="n"/>
      <c r="F759" s="9" t="n"/>
      <c r="H759" s="8" t="n"/>
    </row>
    <row r="760">
      <c r="A760" s="5" t="n"/>
      <c r="D760" s="10" t="n"/>
      <c r="F760" s="9" t="n"/>
      <c r="H760" s="8" t="n"/>
    </row>
    <row r="761">
      <c r="A761" s="5" t="n"/>
      <c r="D761" s="10" t="n"/>
      <c r="F761" s="9" t="n"/>
      <c r="H761" s="8" t="n"/>
    </row>
    <row r="762">
      <c r="A762" s="5" t="n"/>
      <c r="D762" s="10" t="n"/>
      <c r="F762" s="9" t="n"/>
      <c r="H762" s="8" t="n"/>
    </row>
    <row r="763">
      <c r="A763" s="5" t="n"/>
      <c r="D763" s="10" t="n"/>
      <c r="F763" s="9" t="n"/>
      <c r="H763" s="8" t="n"/>
    </row>
    <row r="764">
      <c r="A764" s="5" t="n"/>
      <c r="D764" s="10" t="n"/>
      <c r="F764" s="9" t="n"/>
      <c r="H764" s="8" t="n"/>
    </row>
    <row r="765">
      <c r="A765" s="5" t="n"/>
      <c r="D765" s="10" t="n"/>
      <c r="F765" s="9" t="n"/>
      <c r="H765" s="8" t="n"/>
    </row>
    <row r="766">
      <c r="A766" s="5" t="n"/>
      <c r="D766" s="10" t="n"/>
      <c r="F766" s="9" t="n"/>
      <c r="H766" s="8" t="n"/>
    </row>
    <row r="767">
      <c r="A767" s="5" t="n"/>
      <c r="D767" s="10" t="n"/>
      <c r="F767" s="9" t="n"/>
      <c r="H767" s="8" t="n"/>
    </row>
    <row r="768">
      <c r="A768" s="5" t="n"/>
      <c r="D768" s="10" t="n"/>
      <c r="F768" s="9" t="n"/>
      <c r="H768" s="8" t="n"/>
    </row>
    <row r="769">
      <c r="A769" s="5" t="n"/>
      <c r="D769" s="10" t="n"/>
      <c r="F769" s="9" t="n"/>
      <c r="H769" s="8" t="n"/>
    </row>
    <row r="770">
      <c r="A770" s="5" t="n"/>
      <c r="D770" s="10" t="n"/>
      <c r="F770" s="9" t="n"/>
      <c r="H770" s="8" t="n"/>
    </row>
    <row r="771">
      <c r="A771" s="5" t="n"/>
      <c r="D771" s="10" t="n"/>
      <c r="F771" s="9" t="n"/>
      <c r="H771" s="8" t="n"/>
    </row>
    <row r="772">
      <c r="A772" s="5" t="n"/>
      <c r="D772" s="10" t="n"/>
      <c r="F772" s="9" t="n"/>
      <c r="H772" s="8" t="n"/>
    </row>
    <row r="773">
      <c r="A773" s="5" t="n"/>
      <c r="D773" s="10" t="n"/>
      <c r="F773" s="9" t="n"/>
      <c r="H773" s="8" t="n"/>
    </row>
    <row r="774">
      <c r="A774" s="5" t="n"/>
      <c r="D774" s="10" t="n"/>
      <c r="F774" s="9" t="n"/>
      <c r="H774" s="8" t="n"/>
    </row>
    <row r="775">
      <c r="A775" s="5" t="n"/>
      <c r="D775" s="10" t="n"/>
      <c r="F775" s="9" t="n"/>
      <c r="H775" s="8" t="n"/>
    </row>
    <row r="776">
      <c r="A776" s="5" t="n"/>
      <c r="D776" s="10" t="n"/>
      <c r="F776" s="9" t="n"/>
      <c r="H776" s="8" t="n"/>
    </row>
    <row r="777">
      <c r="A777" s="5" t="n"/>
      <c r="D777" s="10" t="n"/>
      <c r="F777" s="9" t="n"/>
      <c r="H777" s="8" t="n"/>
    </row>
    <row r="778">
      <c r="A778" s="5" t="n"/>
      <c r="D778" s="10" t="n"/>
      <c r="F778" s="9" t="n"/>
      <c r="H778" s="8" t="n"/>
    </row>
    <row r="779">
      <c r="A779" s="5" t="n"/>
      <c r="D779" s="10" t="n"/>
      <c r="F779" s="9" t="n"/>
      <c r="H779" s="8" t="n"/>
    </row>
    <row r="780">
      <c r="A780" s="5" t="n"/>
      <c r="D780" s="10" t="n"/>
      <c r="F780" s="9" t="n"/>
      <c r="H780" s="8" t="n"/>
    </row>
    <row r="781">
      <c r="A781" s="5" t="n"/>
      <c r="D781" s="10" t="n"/>
      <c r="F781" s="9" t="n"/>
      <c r="H781" s="8" t="n"/>
    </row>
    <row r="782">
      <c r="A782" s="5" t="n"/>
      <c r="D782" s="10" t="n"/>
      <c r="F782" s="9" t="n"/>
      <c r="H782" s="8" t="n"/>
    </row>
    <row r="783">
      <c r="A783" s="5" t="n"/>
      <c r="D783" s="10" t="n"/>
      <c r="F783" s="9" t="n"/>
      <c r="H783" s="8" t="n"/>
    </row>
    <row r="784">
      <c r="A784" s="5" t="n"/>
      <c r="D784" s="10" t="n"/>
      <c r="F784" s="9" t="n"/>
      <c r="H784" s="8" t="n"/>
    </row>
    <row r="785">
      <c r="A785" s="5" t="n"/>
      <c r="D785" s="10" t="n"/>
      <c r="F785" s="9" t="n"/>
      <c r="H785" s="8" t="n"/>
    </row>
    <row r="786">
      <c r="A786" s="5" t="n"/>
      <c r="D786" s="10" t="n"/>
      <c r="F786" s="9" t="n"/>
      <c r="H786" s="8" t="n"/>
    </row>
    <row r="787">
      <c r="A787" s="5" t="n"/>
      <c r="D787" s="10" t="n"/>
      <c r="F787" s="9" t="n"/>
      <c r="H787" s="8" t="n"/>
    </row>
    <row r="788">
      <c r="A788" s="5" t="n"/>
      <c r="D788" s="10" t="n"/>
      <c r="F788" s="9" t="n"/>
      <c r="H788" s="8" t="n"/>
    </row>
    <row r="789">
      <c r="A789" s="5" t="n"/>
      <c r="D789" s="10" t="n"/>
      <c r="F789" s="9" t="n"/>
      <c r="H789" s="8" t="n"/>
    </row>
    <row r="790">
      <c r="A790" s="5" t="n"/>
      <c r="D790" s="10" t="n"/>
      <c r="F790" s="9" t="n"/>
      <c r="H790" s="8" t="n"/>
    </row>
    <row r="791">
      <c r="A791" s="5" t="n"/>
      <c r="D791" s="10" t="n"/>
      <c r="F791" s="9" t="n"/>
      <c r="H791" s="8" t="n"/>
    </row>
    <row r="792">
      <c r="A792" s="5" t="n"/>
      <c r="D792" s="10" t="n"/>
      <c r="F792" s="9" t="n"/>
      <c r="H792" s="8" t="n"/>
    </row>
    <row r="793">
      <c r="A793" s="5" t="n"/>
      <c r="D793" s="10" t="n"/>
      <c r="F793" s="9" t="n"/>
      <c r="H793" s="8" t="n"/>
    </row>
    <row r="794">
      <c r="A794" s="5" t="n"/>
      <c r="D794" s="10" t="n"/>
      <c r="F794" s="9" t="n"/>
      <c r="H794" s="8" t="n"/>
    </row>
    <row r="795">
      <c r="A795" s="5" t="n"/>
      <c r="D795" s="10" t="n"/>
      <c r="F795" s="9" t="n"/>
      <c r="H795" s="8" t="n"/>
    </row>
    <row r="796">
      <c r="A796" s="7" t="n"/>
      <c r="D796" s="10" t="n"/>
      <c r="F796" s="9" t="n"/>
      <c r="H796" s="8" t="n"/>
    </row>
    <row r="797">
      <c r="D797" s="10" t="n"/>
      <c r="F797" s="9" t="n"/>
      <c r="H797" s="8" t="n"/>
    </row>
    <row r="798">
      <c r="D798" s="10" t="n"/>
      <c r="F798" s="9" t="n"/>
      <c r="H798" s="8" t="n"/>
    </row>
    <row r="799">
      <c r="D799" s="10" t="n"/>
      <c r="F799" s="9" t="n"/>
      <c r="H799" s="8" t="n"/>
    </row>
    <row r="800">
      <c r="A800" s="3" t="n"/>
      <c r="D800" s="10" t="n"/>
      <c r="F800" s="9" t="n"/>
      <c r="H800" s="8" t="n"/>
    </row>
    <row r="801">
      <c r="A801" s="3" t="n"/>
      <c r="D801" s="10" t="n"/>
      <c r="F801" s="9" t="n"/>
      <c r="H801" s="8" t="n"/>
    </row>
    <row r="802">
      <c r="A802" s="5" t="n"/>
      <c r="D802" s="10" t="n"/>
      <c r="F802" s="9" t="n"/>
      <c r="H802" s="8" t="n"/>
    </row>
    <row r="803">
      <c r="A803" s="5" t="n"/>
      <c r="D803" s="10" t="n"/>
      <c r="F803" s="9" t="n"/>
      <c r="H803" s="8" t="n"/>
    </row>
    <row r="804">
      <c r="A804" s="5" t="n"/>
      <c r="D804" s="10" t="n"/>
      <c r="F804" s="9" t="n"/>
      <c r="H804" s="8" t="n"/>
    </row>
    <row r="805">
      <c r="A805" s="5" t="n"/>
      <c r="D805" s="10" t="n"/>
      <c r="F805" s="9" t="n"/>
      <c r="H805" s="8" t="n"/>
    </row>
    <row r="806">
      <c r="A806" s="5" t="n"/>
      <c r="D806" s="10" t="n"/>
      <c r="F806" s="9" t="n"/>
      <c r="H806" s="8" t="n"/>
    </row>
    <row r="807">
      <c r="A807" s="5" t="n"/>
      <c r="D807" s="10" t="n"/>
      <c r="F807" s="9" t="n"/>
      <c r="H807" s="8" t="n"/>
    </row>
    <row r="808">
      <c r="A808" s="5" t="n"/>
      <c r="D808" s="10" t="n"/>
      <c r="F808" s="9" t="n"/>
      <c r="H808" s="8" t="n"/>
    </row>
    <row r="809">
      <c r="A809" s="5" t="n"/>
      <c r="D809" s="10" t="n"/>
      <c r="F809" s="9" t="n"/>
      <c r="H809" s="8" t="n"/>
    </row>
    <row r="810">
      <c r="A810" s="5" t="n"/>
      <c r="D810" s="10" t="n"/>
      <c r="F810" s="9" t="n"/>
      <c r="H810" s="8" t="n"/>
    </row>
    <row r="811">
      <c r="A811" s="5" t="n"/>
      <c r="D811" s="10" t="n"/>
      <c r="F811" s="9" t="n"/>
      <c r="H811" s="8" t="n"/>
    </row>
    <row r="812">
      <c r="A812" s="5" t="n"/>
      <c r="D812" s="10" t="n"/>
      <c r="F812" s="9" t="n"/>
      <c r="H812" s="8" t="n"/>
    </row>
    <row r="813">
      <c r="A813" s="5" t="n"/>
      <c r="D813" s="10" t="n"/>
      <c r="F813" s="9" t="n"/>
      <c r="H813" s="8" t="n"/>
    </row>
    <row r="814">
      <c r="A814" s="5" t="n"/>
      <c r="D814" s="10" t="n"/>
      <c r="F814" s="9" t="n"/>
      <c r="H814" s="8" t="n"/>
    </row>
    <row r="815">
      <c r="A815" s="5" t="n"/>
      <c r="D815" s="10" t="n"/>
      <c r="F815" s="9" t="n"/>
      <c r="H815" s="8" t="n"/>
    </row>
    <row r="816">
      <c r="A816" s="5" t="n"/>
      <c r="D816" s="10" t="n"/>
      <c r="F816" s="9" t="n"/>
      <c r="H816" s="8" t="n"/>
    </row>
    <row r="817">
      <c r="A817" s="5" t="n"/>
      <c r="D817" s="10" t="n"/>
      <c r="F817" s="9" t="n"/>
      <c r="H817" s="8" t="n"/>
    </row>
    <row r="818">
      <c r="A818" s="5" t="n"/>
      <c r="D818" s="10" t="n"/>
      <c r="F818" s="9" t="n"/>
      <c r="H818" s="8" t="n"/>
    </row>
    <row r="819">
      <c r="A819" s="5" t="n"/>
      <c r="D819" s="10" t="n"/>
      <c r="F819" s="9" t="n"/>
      <c r="H819" s="8" t="n"/>
    </row>
    <row r="820">
      <c r="A820" s="5" t="n"/>
      <c r="D820" s="10" t="n"/>
      <c r="F820" s="9" t="n"/>
      <c r="H820" s="8" t="n"/>
    </row>
    <row r="821">
      <c r="A821" s="5" t="n"/>
      <c r="D821" s="10" t="n"/>
      <c r="F821" s="9" t="n"/>
      <c r="H821" s="8" t="n"/>
    </row>
    <row r="822">
      <c r="A822" s="5" t="n"/>
      <c r="D822" s="10" t="n"/>
      <c r="F822" s="9" t="n"/>
      <c r="H822" s="8" t="n"/>
    </row>
    <row r="823">
      <c r="A823" s="5" t="n"/>
      <c r="D823" s="10" t="n"/>
      <c r="F823" s="9" t="n"/>
      <c r="H823" s="8" t="n"/>
    </row>
    <row r="824">
      <c r="A824" s="5" t="n"/>
      <c r="D824" s="10" t="n"/>
      <c r="F824" s="9" t="n"/>
      <c r="H824" s="8" t="n"/>
    </row>
    <row r="825">
      <c r="A825" s="5" t="n"/>
      <c r="D825" s="10" t="n"/>
      <c r="F825" s="9" t="n"/>
      <c r="H825" s="8" t="n"/>
    </row>
    <row r="826">
      <c r="A826" s="5" t="n"/>
      <c r="D826" s="10" t="n"/>
      <c r="F826" s="9" t="n"/>
      <c r="H826" s="8" t="n"/>
    </row>
    <row r="827">
      <c r="A827" s="5" t="n"/>
      <c r="D827" s="10" t="n"/>
      <c r="F827" s="9" t="n"/>
      <c r="H827" s="8" t="n"/>
    </row>
    <row r="828">
      <c r="A828" s="5" t="n"/>
      <c r="D828" s="10" t="n"/>
      <c r="F828" s="9" t="n"/>
      <c r="H828" s="8" t="n"/>
    </row>
    <row r="829">
      <c r="A829" s="5" t="n"/>
      <c r="D829" s="10" t="n"/>
      <c r="F829" s="9" t="n"/>
      <c r="H829" s="8" t="n"/>
    </row>
    <row r="830">
      <c r="A830" s="5" t="n"/>
      <c r="D830" s="10" t="n"/>
      <c r="F830" s="9" t="n"/>
      <c r="H830" s="8" t="n"/>
    </row>
    <row r="831">
      <c r="A831" s="5" t="n"/>
      <c r="D831" s="10" t="n"/>
      <c r="F831" s="9" t="n"/>
      <c r="H831" s="8" t="n"/>
    </row>
    <row r="832">
      <c r="A832" s="5" t="n"/>
      <c r="D832" s="10" t="n"/>
      <c r="F832" s="9" t="n"/>
      <c r="H832" s="8" t="n"/>
    </row>
    <row r="833">
      <c r="A833" s="5" t="n"/>
      <c r="D833" s="10" t="n"/>
      <c r="F833" s="9" t="n"/>
      <c r="H833" s="8" t="n"/>
    </row>
    <row r="834">
      <c r="A834" s="5" t="n"/>
      <c r="D834" s="10" t="n"/>
      <c r="F834" s="9" t="n"/>
      <c r="H834" s="8" t="n"/>
    </row>
    <row r="835">
      <c r="A835" s="5" t="n"/>
      <c r="D835" s="10" t="n"/>
      <c r="F835" s="9" t="n"/>
      <c r="H835" s="8" t="n"/>
    </row>
    <row r="836">
      <c r="A836" s="5" t="n"/>
      <c r="D836" s="10" t="n"/>
      <c r="F836" s="9" t="n"/>
      <c r="H836" s="8" t="n"/>
    </row>
    <row r="837">
      <c r="A837" s="5" t="n"/>
      <c r="D837" s="10" t="n"/>
      <c r="F837" s="9" t="n"/>
      <c r="H837" s="8" t="n"/>
    </row>
    <row r="838">
      <c r="A838" s="5" t="n"/>
      <c r="D838" s="10" t="n"/>
      <c r="F838" s="9" t="n"/>
      <c r="H838" s="8" t="n"/>
    </row>
    <row r="839">
      <c r="A839" s="5" t="n"/>
      <c r="D839" s="10" t="n"/>
      <c r="F839" s="9" t="n"/>
      <c r="H839" s="8" t="n"/>
    </row>
    <row r="840">
      <c r="A840" s="5" t="n"/>
      <c r="D840" s="10" t="n"/>
      <c r="F840" s="9" t="n"/>
      <c r="H840" s="8" t="n"/>
    </row>
    <row r="841">
      <c r="A841" s="5" t="n"/>
      <c r="D841" s="10" t="n"/>
      <c r="F841" s="9" t="n"/>
      <c r="H841" s="8" t="n"/>
    </row>
    <row r="842">
      <c r="A842" s="5" t="n"/>
      <c r="D842" s="10" t="n"/>
      <c r="F842" s="9" t="n"/>
      <c r="H842" s="8" t="n"/>
    </row>
    <row r="843">
      <c r="A843" s="5" t="n"/>
      <c r="D843" s="10" t="n"/>
      <c r="F843" s="9" t="n"/>
      <c r="H843" s="8" t="n"/>
    </row>
    <row r="844">
      <c r="A844" s="5" t="n"/>
      <c r="D844" s="10" t="n"/>
      <c r="F844" s="9" t="n"/>
      <c r="H844" s="8" t="n"/>
    </row>
    <row r="845">
      <c r="A845" s="5" t="n"/>
      <c r="D845" s="10" t="n"/>
      <c r="F845" s="9" t="n"/>
      <c r="H845" s="8" t="n"/>
    </row>
    <row r="846">
      <c r="A846" s="5" t="n"/>
      <c r="D846" s="10" t="n"/>
      <c r="F846" s="9" t="n"/>
      <c r="H846" s="8" t="n"/>
    </row>
    <row r="847">
      <c r="A847" s="5" t="n"/>
      <c r="D847" s="10" t="n"/>
      <c r="F847" s="9" t="n"/>
      <c r="H847" s="8" t="n"/>
    </row>
    <row r="848">
      <c r="A848" s="5" t="n"/>
      <c r="D848" s="10" t="n"/>
      <c r="F848" s="9" t="n"/>
      <c r="H848" s="8" t="n"/>
    </row>
    <row r="849">
      <c r="A849" s="5" t="n"/>
      <c r="D849" s="10" t="n"/>
      <c r="F849" s="9" t="n"/>
      <c r="H849" s="8" t="n"/>
    </row>
    <row r="850">
      <c r="A850" s="5" t="n"/>
      <c r="D850" s="10" t="n"/>
      <c r="F850" s="9" t="n"/>
      <c r="H850" s="8" t="n"/>
    </row>
    <row r="851">
      <c r="A851" s="5" t="n"/>
      <c r="D851" s="10" t="n"/>
      <c r="F851" s="9" t="n"/>
      <c r="H851" s="8" t="n"/>
    </row>
    <row r="852">
      <c r="A852" s="5" t="n"/>
      <c r="D852" s="10" t="n"/>
      <c r="F852" s="9" t="n"/>
      <c r="H852" s="8" t="n"/>
    </row>
    <row r="853">
      <c r="A853" s="5" t="n"/>
      <c r="D853" s="10" t="n"/>
      <c r="F853" s="9" t="n"/>
      <c r="H853" s="8" t="n"/>
    </row>
    <row r="854">
      <c r="A854" s="5" t="n"/>
      <c r="D854" s="10" t="n"/>
      <c r="F854" s="9" t="n"/>
      <c r="H854" s="8" t="n"/>
    </row>
    <row r="855">
      <c r="A855" s="5" t="n"/>
      <c r="D855" s="10" t="n"/>
      <c r="F855" s="9" t="n"/>
      <c r="H855" s="8" t="n"/>
    </row>
    <row r="856">
      <c r="A856" s="5" t="n"/>
      <c r="D856" s="10" t="n"/>
      <c r="F856" s="9" t="n"/>
      <c r="H856" s="8" t="n"/>
    </row>
    <row r="857">
      <c r="A857" s="5" t="n"/>
      <c r="D857" s="10" t="n"/>
      <c r="F857" s="9" t="n"/>
      <c r="H857" s="8" t="n"/>
    </row>
    <row r="858">
      <c r="A858" s="5" t="n"/>
      <c r="D858" s="10" t="n"/>
      <c r="F858" s="9" t="n"/>
      <c r="H858" s="8" t="n"/>
    </row>
    <row r="859">
      <c r="A859" s="5" t="n"/>
      <c r="D859" s="10" t="n"/>
      <c r="F859" s="9" t="n"/>
      <c r="H859" s="8" t="n"/>
    </row>
    <row r="860">
      <c r="A860" s="5" t="n"/>
      <c r="D860" s="10" t="n"/>
      <c r="F860" s="9" t="n"/>
      <c r="H860" s="8" t="n"/>
    </row>
    <row r="861">
      <c r="A861" s="5" t="n"/>
      <c r="D861" s="10" t="n"/>
      <c r="F861" s="9" t="n"/>
      <c r="H861" s="8" t="n"/>
    </row>
    <row r="862">
      <c r="A862" s="5" t="n"/>
      <c r="D862" s="10" t="n"/>
      <c r="F862" s="9" t="n"/>
      <c r="H862" s="8" t="n"/>
    </row>
    <row r="863">
      <c r="A863" s="5" t="n"/>
      <c r="D863" s="10" t="n"/>
      <c r="F863" s="9" t="n"/>
      <c r="H863" s="8" t="n"/>
    </row>
    <row r="864">
      <c r="A864" s="5" t="n"/>
      <c r="D864" s="10" t="n"/>
      <c r="F864" s="9" t="n"/>
      <c r="H864" s="8" t="n"/>
    </row>
    <row r="865">
      <c r="A865" s="5" t="n"/>
      <c r="D865" s="10" t="n"/>
      <c r="F865" s="9" t="n"/>
      <c r="H865" s="8" t="n"/>
    </row>
    <row r="866">
      <c r="A866" s="5" t="n"/>
      <c r="D866" s="10" t="n"/>
      <c r="F866" s="9" t="n"/>
      <c r="H866" s="8" t="n"/>
    </row>
    <row r="867">
      <c r="A867" s="5" t="n"/>
      <c r="D867" s="10" t="n"/>
      <c r="F867" s="9" t="n"/>
      <c r="H867" s="8" t="n"/>
    </row>
    <row r="868">
      <c r="A868" s="5" t="n"/>
      <c r="D868" s="10" t="n"/>
      <c r="F868" s="9" t="n"/>
      <c r="H868" s="8" t="n"/>
    </row>
    <row r="869">
      <c r="A869" s="7" t="n"/>
      <c r="D869" s="10" t="n"/>
      <c r="F869" s="9" t="n"/>
      <c r="H869" s="8" t="n"/>
    </row>
    <row r="870">
      <c r="D870" s="10" t="n"/>
      <c r="F870" s="9" t="n"/>
      <c r="H870" s="8" t="n"/>
    </row>
    <row r="871">
      <c r="D871" s="10" t="n"/>
      <c r="F871" s="9" t="n"/>
      <c r="H871" s="8" t="n"/>
    </row>
    <row r="872">
      <c r="D872" s="10" t="n"/>
      <c r="F872" s="9" t="n"/>
      <c r="H872" s="8" t="n"/>
    </row>
    <row r="873">
      <c r="A873" s="3" t="n"/>
      <c r="D873" s="10" t="n"/>
      <c r="F873" s="9" t="n"/>
      <c r="H873" s="8" t="n"/>
    </row>
    <row r="874">
      <c r="A874" s="3" t="n"/>
      <c r="D874" s="10" t="n"/>
      <c r="F874" s="9" t="n"/>
      <c r="H874" s="8" t="n"/>
    </row>
    <row r="875">
      <c r="A875" s="5" t="n"/>
      <c r="D875" s="10" t="n"/>
      <c r="F875" s="9" t="n"/>
      <c r="H875" s="8" t="n"/>
    </row>
    <row r="876">
      <c r="A876" s="5" t="n"/>
      <c r="D876" s="10" t="n"/>
      <c r="F876" s="9" t="n"/>
      <c r="H876" s="8" t="n"/>
    </row>
    <row r="877">
      <c r="A877" s="5" t="n"/>
      <c r="D877" s="10" t="n"/>
      <c r="F877" s="9" t="n"/>
      <c r="H877" s="8" t="n"/>
    </row>
    <row r="878">
      <c r="A878" s="5" t="n"/>
      <c r="D878" s="10" t="n"/>
      <c r="F878" s="9" t="n"/>
      <c r="H878" s="8" t="n"/>
    </row>
    <row r="879">
      <c r="A879" s="5" t="n"/>
      <c r="D879" s="10" t="n"/>
      <c r="F879" s="9" t="n"/>
      <c r="H879" s="8" t="n"/>
    </row>
    <row r="880">
      <c r="A880" s="5" t="n"/>
      <c r="D880" s="10" t="n"/>
      <c r="F880" s="9" t="n"/>
      <c r="H880" s="8" t="n"/>
    </row>
    <row r="881">
      <c r="A881" s="5" t="n"/>
      <c r="D881" s="10" t="n"/>
      <c r="F881" s="9" t="n"/>
      <c r="H881" s="8" t="n"/>
    </row>
    <row r="882">
      <c r="A882" s="5" t="n"/>
      <c r="D882" s="10" t="n"/>
      <c r="F882" s="9" t="n"/>
      <c r="H882" s="8" t="n"/>
    </row>
    <row r="883">
      <c r="A883" s="5" t="n"/>
      <c r="D883" s="10" t="n"/>
      <c r="F883" s="9" t="n"/>
      <c r="H883" s="8" t="n"/>
    </row>
    <row r="884">
      <c r="A884" s="5" t="n"/>
      <c r="D884" s="10" t="n"/>
      <c r="F884" s="9" t="n"/>
      <c r="H884" s="8" t="n"/>
    </row>
    <row r="885">
      <c r="A885" s="5" t="n"/>
      <c r="D885" s="10" t="n"/>
      <c r="F885" s="9" t="n"/>
      <c r="H885" s="8" t="n"/>
    </row>
    <row r="886">
      <c r="A886" s="5" t="n"/>
      <c r="D886" s="10" t="n"/>
      <c r="F886" s="9" t="n"/>
      <c r="H886" s="8" t="n"/>
    </row>
    <row r="887">
      <c r="A887" s="5" t="n"/>
      <c r="D887" s="10" t="n"/>
      <c r="F887" s="9" t="n"/>
      <c r="H887" s="8" t="n"/>
    </row>
    <row r="888">
      <c r="A888" s="5" t="n"/>
      <c r="D888" s="10" t="n"/>
      <c r="F888" s="9" t="n"/>
      <c r="H888" s="8" t="n"/>
    </row>
    <row r="889">
      <c r="A889" s="5" t="n"/>
      <c r="D889" s="10" t="n"/>
      <c r="F889" s="9" t="n"/>
      <c r="H889" s="8" t="n"/>
    </row>
    <row r="890">
      <c r="A890" s="5" t="n"/>
      <c r="D890" s="10" t="n"/>
      <c r="F890" s="9" t="n"/>
      <c r="H890" s="8" t="n"/>
    </row>
    <row r="891">
      <c r="A891" s="5" t="n"/>
      <c r="D891" s="10" t="n"/>
      <c r="F891" s="9" t="n"/>
      <c r="H891" s="8" t="n"/>
    </row>
    <row r="892">
      <c r="A892" s="5" t="n"/>
      <c r="D892" s="10" t="n"/>
      <c r="F892" s="9" t="n"/>
      <c r="H892" s="8" t="n"/>
    </row>
    <row r="893">
      <c r="A893" s="5" t="n"/>
      <c r="D893" s="10" t="n"/>
      <c r="F893" s="9" t="n"/>
      <c r="H893" s="8" t="n"/>
    </row>
    <row r="894">
      <c r="A894" s="5" t="n"/>
      <c r="D894" s="10" t="n"/>
      <c r="F894" s="9" t="n"/>
      <c r="H894" s="8" t="n"/>
    </row>
    <row r="895">
      <c r="A895" s="5" t="n"/>
      <c r="D895" s="10" t="n"/>
      <c r="F895" s="9" t="n"/>
      <c r="H895" s="8" t="n"/>
    </row>
    <row r="896">
      <c r="A896" s="5" t="n"/>
      <c r="D896" s="10" t="n"/>
      <c r="F896" s="9" t="n"/>
      <c r="H896" s="8" t="n"/>
    </row>
    <row r="897">
      <c r="A897" s="5" t="n"/>
      <c r="D897" s="10" t="n"/>
      <c r="F897" s="9" t="n"/>
      <c r="H897" s="8" t="n"/>
    </row>
    <row r="898">
      <c r="A898" s="5" t="n"/>
      <c r="D898" s="10" t="n"/>
      <c r="F898" s="9" t="n"/>
      <c r="H898" s="8" t="n"/>
    </row>
    <row r="899">
      <c r="A899" s="5" t="n"/>
      <c r="D899" s="10" t="n"/>
      <c r="F899" s="9" t="n"/>
      <c r="H899" s="8" t="n"/>
    </row>
    <row r="900">
      <c r="A900" s="5" t="n"/>
      <c r="D900" s="10" t="n"/>
      <c r="F900" s="9" t="n"/>
      <c r="H900" s="8" t="n"/>
    </row>
    <row r="901">
      <c r="A901" s="5" t="n"/>
      <c r="D901" s="10" t="n"/>
      <c r="F901" s="9" t="n"/>
      <c r="H901" s="8" t="n"/>
    </row>
    <row r="902">
      <c r="A902" s="5" t="n"/>
      <c r="D902" s="10" t="n"/>
      <c r="F902" s="9" t="n"/>
      <c r="H902" s="8" t="n"/>
    </row>
    <row r="903">
      <c r="A903" s="5" t="n"/>
      <c r="D903" s="10" t="n"/>
      <c r="F903" s="9" t="n"/>
      <c r="H903" s="8" t="n"/>
    </row>
    <row r="904">
      <c r="A904" s="5" t="n"/>
      <c r="D904" s="10" t="n"/>
      <c r="F904" s="9" t="n"/>
      <c r="H904" s="8" t="n"/>
    </row>
    <row r="905">
      <c r="A905" s="5" t="n"/>
      <c r="D905" s="10" t="n"/>
      <c r="F905" s="9" t="n"/>
      <c r="H905" s="8" t="n"/>
    </row>
    <row r="906">
      <c r="A906" s="5" t="n"/>
      <c r="D906" s="10" t="n"/>
      <c r="F906" s="9" t="n"/>
      <c r="H906" s="8" t="n"/>
    </row>
    <row r="907">
      <c r="A907" s="5" t="n"/>
      <c r="D907" s="10" t="n"/>
      <c r="F907" s="9" t="n"/>
      <c r="H907" s="8" t="n"/>
    </row>
    <row r="908">
      <c r="A908" s="5" t="n"/>
      <c r="D908" s="10" t="n"/>
      <c r="F908" s="9" t="n"/>
      <c r="H908" s="8" t="n"/>
    </row>
    <row r="909">
      <c r="A909" s="5" t="n"/>
      <c r="D909" s="10" t="n"/>
      <c r="F909" s="9" t="n"/>
      <c r="H909" s="8" t="n"/>
    </row>
    <row r="910">
      <c r="A910" s="5" t="n"/>
      <c r="D910" s="10" t="n"/>
      <c r="F910" s="9" t="n"/>
      <c r="H910" s="8" t="n"/>
    </row>
    <row r="911">
      <c r="A911" s="5" t="n"/>
      <c r="D911" s="10" t="n"/>
      <c r="F911" s="9" t="n"/>
      <c r="H911" s="8" t="n"/>
    </row>
    <row r="912">
      <c r="A912" s="5" t="n"/>
      <c r="D912" s="10" t="n"/>
      <c r="F912" s="9" t="n"/>
      <c r="H912" s="8" t="n"/>
    </row>
    <row r="913">
      <c r="A913" s="5" t="n"/>
      <c r="D913" s="10" t="n"/>
      <c r="F913" s="9" t="n"/>
      <c r="H913" s="8" t="n"/>
    </row>
    <row r="914">
      <c r="A914" s="5" t="n"/>
      <c r="D914" s="10" t="n"/>
      <c r="F914" s="9" t="n"/>
      <c r="H914" s="8" t="n"/>
    </row>
    <row r="915">
      <c r="A915" s="5" t="n"/>
      <c r="D915" s="10" t="n"/>
      <c r="F915" s="9" t="n"/>
      <c r="H915" s="8" t="n"/>
    </row>
    <row r="916">
      <c r="A916" s="5" t="n"/>
      <c r="D916" s="10" t="n"/>
      <c r="F916" s="9" t="n"/>
      <c r="H916" s="8" t="n"/>
    </row>
    <row r="917">
      <c r="A917" s="5" t="n"/>
      <c r="D917" s="10" t="n"/>
      <c r="F917" s="9" t="n"/>
      <c r="H917" s="8" t="n"/>
    </row>
    <row r="918">
      <c r="A918" s="5" t="n"/>
      <c r="D918" s="10" t="n"/>
      <c r="F918" s="9" t="n"/>
      <c r="H918" s="8" t="n"/>
    </row>
    <row r="919">
      <c r="A919" s="5" t="n"/>
      <c r="D919" s="10" t="n"/>
      <c r="F919" s="9" t="n"/>
      <c r="H919" s="8" t="n"/>
    </row>
    <row r="920">
      <c r="A920" s="5" t="n"/>
      <c r="D920" s="10" t="n"/>
      <c r="F920" s="9" t="n"/>
      <c r="H920" s="8" t="n"/>
    </row>
    <row r="921">
      <c r="A921" s="5" t="n"/>
      <c r="D921" s="10" t="n"/>
      <c r="F921" s="9" t="n"/>
      <c r="H921" s="8" t="n"/>
    </row>
    <row r="922">
      <c r="A922" s="5" t="n"/>
      <c r="D922" s="10" t="n"/>
      <c r="F922" s="9" t="n"/>
      <c r="H922" s="8" t="n"/>
    </row>
    <row r="923">
      <c r="A923" s="5" t="n"/>
      <c r="D923" s="10" t="n"/>
      <c r="F923" s="9" t="n"/>
      <c r="H923" s="8" t="n"/>
    </row>
    <row r="924">
      <c r="A924" s="5" t="n"/>
      <c r="D924" s="10" t="n"/>
      <c r="F924" s="9" t="n"/>
      <c r="H924" s="8" t="n"/>
    </row>
    <row r="925">
      <c r="A925" s="5" t="n"/>
      <c r="D925" s="10" t="n"/>
      <c r="F925" s="9" t="n"/>
      <c r="H925" s="8" t="n"/>
    </row>
    <row r="926">
      <c r="A926" s="5" t="n"/>
      <c r="D926" s="10" t="n"/>
      <c r="F926" s="9" t="n"/>
      <c r="H926" s="8" t="n"/>
    </row>
    <row r="927">
      <c r="A927" s="5" t="n"/>
      <c r="D927" s="10" t="n"/>
      <c r="F927" s="9" t="n"/>
      <c r="H927" s="8" t="n"/>
    </row>
    <row r="928">
      <c r="A928" s="5" t="n"/>
      <c r="D928" s="10" t="n"/>
      <c r="F928" s="9" t="n"/>
      <c r="H928" s="8" t="n"/>
    </row>
    <row r="929">
      <c r="A929" s="5" t="n"/>
      <c r="D929" s="10" t="n"/>
      <c r="F929" s="9" t="n"/>
      <c r="H929" s="8" t="n"/>
    </row>
    <row r="930">
      <c r="A930" s="5" t="n"/>
      <c r="D930" s="10" t="n"/>
      <c r="F930" s="9" t="n"/>
      <c r="H930" s="8" t="n"/>
    </row>
    <row r="931">
      <c r="A931" s="5" t="n"/>
      <c r="D931" s="10" t="n"/>
      <c r="F931" s="9" t="n"/>
      <c r="H931" s="8" t="n"/>
    </row>
    <row r="932">
      <c r="A932" s="5" t="n"/>
      <c r="D932" s="10" t="n"/>
      <c r="F932" s="9" t="n"/>
      <c r="H932" s="8" t="n"/>
    </row>
    <row r="933">
      <c r="A933" s="5" t="n"/>
      <c r="D933" s="10" t="n"/>
      <c r="F933" s="9" t="n"/>
      <c r="H933" s="8" t="n"/>
    </row>
    <row r="934">
      <c r="A934" s="5" t="n"/>
      <c r="D934" s="10" t="n"/>
      <c r="F934" s="9" t="n"/>
      <c r="H934" s="8" t="n"/>
    </row>
    <row r="935">
      <c r="A935" s="5" t="n"/>
      <c r="D935" s="10" t="n"/>
      <c r="F935" s="9" t="n"/>
      <c r="H935" s="8" t="n"/>
    </row>
    <row r="936">
      <c r="A936" s="5" t="n"/>
      <c r="D936" s="10" t="n"/>
      <c r="F936" s="9" t="n"/>
      <c r="H936" s="8" t="n"/>
    </row>
    <row r="937">
      <c r="A937" s="5" t="n"/>
      <c r="D937" s="10" t="n"/>
      <c r="F937" s="9" t="n"/>
      <c r="H937" s="8" t="n"/>
    </row>
    <row r="938">
      <c r="A938" s="5" t="n"/>
      <c r="D938" s="10" t="n"/>
      <c r="F938" s="9" t="n"/>
      <c r="H938" s="8" t="n"/>
    </row>
    <row r="939">
      <c r="A939" s="5" t="n"/>
      <c r="D939" s="10" t="n"/>
      <c r="F939" s="9" t="n"/>
      <c r="H939" s="8" t="n"/>
    </row>
    <row r="940">
      <c r="A940" s="5" t="n"/>
      <c r="D940" s="10" t="n"/>
      <c r="F940" s="9" t="n"/>
      <c r="H940" s="8" t="n"/>
    </row>
    <row r="941">
      <c r="A941" s="5" t="n"/>
      <c r="D941" s="10" t="n"/>
      <c r="F941" s="9" t="n"/>
      <c r="H941" s="8" t="n"/>
    </row>
    <row r="942">
      <c r="A942" s="7" t="n"/>
      <c r="D942" s="10" t="n"/>
      <c r="F942" s="9" t="n"/>
      <c r="H942" s="8" t="n"/>
    </row>
    <row r="943">
      <c r="D943" s="10" t="n"/>
      <c r="F943" s="9" t="n"/>
      <c r="H943" s="8" t="n"/>
    </row>
    <row r="944">
      <c r="D944" s="10" t="n"/>
      <c r="F944" s="9" t="n"/>
      <c r="H944" s="8" t="n"/>
    </row>
    <row r="945">
      <c r="D945" s="10" t="n"/>
      <c r="F945" s="9" t="n"/>
      <c r="H945" s="8" t="n"/>
    </row>
    <row r="946">
      <c r="D946" s="10" t="n"/>
      <c r="F946" s="9" t="n"/>
      <c r="H946" s="8" t="n"/>
    </row>
    <row r="947">
      <c r="D947" s="10" t="n"/>
      <c r="F947" s="9" t="n"/>
      <c r="H947" s="8" t="n"/>
    </row>
    <row r="948">
      <c r="D948" s="10" t="n"/>
      <c r="F948" s="9" t="n"/>
      <c r="H948" s="8" t="n"/>
    </row>
    <row r="949">
      <c r="D949" s="10" t="n"/>
      <c r="F949" s="9" t="n"/>
      <c r="H949" s="8" t="n"/>
    </row>
    <row r="950">
      <c r="D950" s="10" t="n"/>
      <c r="F950" s="9" t="n"/>
      <c r="H950" s="8" t="n"/>
    </row>
    <row r="951">
      <c r="D951" s="10" t="n"/>
      <c r="F951" s="9" t="n"/>
      <c r="H951" s="8" t="n"/>
    </row>
    <row r="952">
      <c r="D952" s="10" t="n"/>
      <c r="F952" s="9" t="n"/>
      <c r="H952" s="8" t="n"/>
    </row>
    <row r="953">
      <c r="D953" s="10" t="n"/>
      <c r="F953" s="9" t="n"/>
      <c r="H953" s="8" t="n"/>
    </row>
    <row r="954">
      <c r="D954" s="10" t="n"/>
      <c r="F954" s="9" t="n"/>
      <c r="H954" s="8" t="n"/>
    </row>
    <row r="955">
      <c r="D955" s="10" t="n"/>
      <c r="F955" s="9" t="n"/>
      <c r="H955" s="8" t="n"/>
    </row>
    <row r="956">
      <c r="D956" s="10" t="n"/>
      <c r="F956" s="9" t="n"/>
      <c r="H956" s="8" t="n"/>
    </row>
    <row r="957">
      <c r="D957" s="10" t="n"/>
      <c r="F957" s="9" t="n"/>
      <c r="H957" s="8" t="n"/>
    </row>
    <row r="958">
      <c r="D958" s="10" t="n"/>
      <c r="F958" s="9" t="n"/>
      <c r="H958" s="8" t="n"/>
    </row>
    <row r="959">
      <c r="D959" s="10" t="n"/>
      <c r="F959" s="9" t="n"/>
      <c r="H959" s="8" t="n"/>
    </row>
    <row r="960">
      <c r="D960" s="10" t="n"/>
      <c r="F960" s="9" t="n"/>
      <c r="H960" s="8" t="n"/>
    </row>
    <row r="961">
      <c r="D961" s="10" t="n"/>
      <c r="F961" s="9" t="n"/>
      <c r="H961" s="8" t="n"/>
    </row>
    <row r="962">
      <c r="D962" s="10" t="n"/>
      <c r="F962" s="9" t="n"/>
      <c r="H962" s="8" t="n"/>
    </row>
    <row r="963">
      <c r="D963" s="10" t="n"/>
      <c r="F963" s="9" t="n"/>
      <c r="H963" s="8" t="n"/>
    </row>
    <row r="964">
      <c r="D964" s="10" t="n"/>
      <c r="F964" s="9" t="n"/>
      <c r="H964" s="8" t="n"/>
    </row>
    <row r="965">
      <c r="D965" s="10" t="n"/>
      <c r="F965" s="9" t="n"/>
      <c r="H965" s="8" t="n"/>
    </row>
    <row r="966">
      <c r="D966" s="10" t="n"/>
      <c r="F966" s="9" t="n"/>
      <c r="H966" s="8" t="n"/>
    </row>
    <row r="967">
      <c r="D967" s="10" t="n"/>
      <c r="F967" s="9" t="n"/>
      <c r="H967" s="8" t="n"/>
    </row>
    <row r="968">
      <c r="D968" s="10" t="n"/>
      <c r="F968" s="9" t="n"/>
      <c r="H968" s="8" t="n"/>
    </row>
    <row r="969">
      <c r="D969" s="10" t="n"/>
      <c r="F969" s="9" t="n"/>
      <c r="H969" s="8" t="n"/>
    </row>
    <row r="970">
      <c r="D970" s="10" t="n"/>
      <c r="F970" s="9" t="n"/>
      <c r="H970" s="8" t="n"/>
    </row>
    <row r="971">
      <c r="D971" s="10" t="n"/>
      <c r="F971" s="9" t="n"/>
      <c r="H971" s="8" t="n"/>
    </row>
    <row r="972">
      <c r="D972" s="10" t="n"/>
      <c r="F972" s="9" t="n"/>
      <c r="H972" s="8" t="n"/>
    </row>
    <row r="973">
      <c r="D973" s="10" t="n"/>
      <c r="F973" s="9" t="n"/>
      <c r="H973" s="8" t="n"/>
    </row>
    <row r="974">
      <c r="D974" s="10" t="n"/>
      <c r="F974" s="9" t="n"/>
      <c r="H974" s="8" t="n"/>
    </row>
    <row r="975">
      <c r="D975" s="10" t="n"/>
      <c r="F975" s="9" t="n"/>
      <c r="H975" s="8" t="n"/>
    </row>
    <row r="976">
      <c r="D976" s="10" t="n"/>
      <c r="F976" s="9" t="n"/>
      <c r="H976" s="8" t="n"/>
    </row>
    <row r="977">
      <c r="D977" s="10" t="n"/>
      <c r="F977" s="9" t="n"/>
      <c r="H977" s="8" t="n"/>
    </row>
    <row r="978">
      <c r="D978" s="10" t="n"/>
      <c r="F978" s="9" t="n"/>
      <c r="H978" s="8" t="n"/>
    </row>
    <row r="979">
      <c r="D979" s="10" t="n"/>
      <c r="F979" s="9" t="n"/>
      <c r="H979" s="8" t="n"/>
    </row>
    <row r="980">
      <c r="D980" s="10" t="n"/>
      <c r="F980" s="9" t="n"/>
      <c r="H980" s="8" t="n"/>
    </row>
    <row r="981">
      <c r="D981" s="10" t="n"/>
      <c r="F981" s="9" t="n"/>
      <c r="H981" s="8" t="n"/>
    </row>
    <row r="982">
      <c r="D982" s="10" t="n"/>
      <c r="F982" s="9" t="n"/>
      <c r="H982" s="8" t="n"/>
    </row>
    <row r="983">
      <c r="D983" s="10" t="n"/>
      <c r="F983" s="9" t="n"/>
      <c r="H983" s="8" t="n"/>
    </row>
    <row r="984">
      <c r="D984" s="10" t="n"/>
      <c r="F984" s="9" t="n"/>
      <c r="H984" s="8" t="n"/>
    </row>
    <row r="985">
      <c r="D985" s="10" t="n"/>
      <c r="F985" s="9" t="n"/>
      <c r="H985" s="8" t="n"/>
    </row>
    <row r="986">
      <c r="D986" s="10" t="n"/>
      <c r="F986" s="9" t="n"/>
      <c r="H986" s="8" t="n"/>
    </row>
    <row r="987">
      <c r="D987" s="10" t="n"/>
      <c r="F987" s="9" t="n"/>
      <c r="H987" s="8" t="n"/>
    </row>
    <row r="988">
      <c r="D988" s="10" t="n"/>
      <c r="F988" s="9" t="n"/>
      <c r="H988" s="8" t="n"/>
    </row>
    <row r="989">
      <c r="D989" s="10" t="n"/>
      <c r="F989" s="9" t="n"/>
      <c r="H989" s="8" t="n"/>
    </row>
    <row r="990">
      <c r="D990" s="10" t="n"/>
      <c r="F990" s="9" t="n"/>
      <c r="H990" s="8" t="n"/>
    </row>
    <row r="991">
      <c r="D991" s="10" t="n"/>
      <c r="F991" s="9" t="n"/>
      <c r="H991" s="8" t="n"/>
    </row>
    <row r="992">
      <c r="D992" s="10" t="n"/>
      <c r="F992" s="9" t="n"/>
      <c r="H992" s="8" t="n"/>
    </row>
    <row r="993">
      <c r="D993" s="10" t="n"/>
      <c r="F993" s="9" t="n"/>
      <c r="H993" s="8" t="n"/>
    </row>
    <row r="994">
      <c r="D994" s="10" t="n"/>
      <c r="F994" s="9" t="n"/>
      <c r="H994" s="8" t="n"/>
    </row>
    <row r="995">
      <c r="D995" s="10" t="n"/>
      <c r="F995" s="9" t="n"/>
      <c r="H995" s="8" t="n"/>
    </row>
    <row r="996">
      <c r="D996" s="10" t="n"/>
      <c r="F996" s="9" t="n"/>
      <c r="H996" s="8" t="n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B29" sqref="B29"/>
    </sheetView>
  </sheetViews>
  <sheetFormatPr baseColWidth="8" defaultColWidth="14.42578125" defaultRowHeight="15" customHeight="1"/>
  <cols>
    <col width="7.7109375" customWidth="1" min="1" max="1"/>
    <col width="30.42578125" customWidth="1" min="2" max="2"/>
    <col width="20.28515625" customWidth="1" min="3" max="18"/>
    <col width="38.7109375" customWidth="1" min="19" max="19"/>
    <col width="10.28515625" customWidth="1" min="20" max="20"/>
  </cols>
  <sheetData>
    <row r="1" ht="16.5" customHeight="1">
      <c r="A1" s="97" t="n"/>
      <c r="B1" s="97" t="inlineStr">
        <is>
          <t>MARCH 2027 EXPENSES</t>
        </is>
      </c>
      <c r="C1" s="121" t="n"/>
      <c r="D1" s="121" t="n"/>
      <c r="E1" s="121" t="n"/>
      <c r="F1" s="121" t="n"/>
      <c r="G1" s="121" t="n"/>
      <c r="H1" s="121" t="n"/>
      <c r="I1" s="121" t="n"/>
      <c r="J1" s="121" t="n"/>
      <c r="K1" s="121" t="n"/>
      <c r="L1" s="121" t="n"/>
      <c r="M1" s="121" t="n"/>
      <c r="N1" s="121" t="n"/>
      <c r="O1" s="121" t="n"/>
      <c r="P1" s="121" t="n"/>
      <c r="Q1" s="121" t="n"/>
      <c r="R1" s="121" t="n"/>
      <c r="S1" s="121" t="n"/>
      <c r="T1" s="121" t="n"/>
    </row>
    <row r="2" ht="58.5" customHeight="1">
      <c r="A2" s="39" t="inlineStr">
        <is>
          <t>FLAT #</t>
        </is>
      </c>
      <c r="B2" s="39" t="n">
        <v>0</v>
      </c>
      <c r="C2" s="39" t="inlineStr">
        <is>
          <t>WATER USED IN LTRS</t>
        </is>
      </c>
      <c r="D2" s="39" t="inlineStr">
        <is>
          <t>COMMON AREA EQUALLY DEVIDED</t>
        </is>
      </c>
      <c r="E2" s="39" t="inlineStr">
        <is>
          <t>TOTAL FRESH WATER CONSUMED</t>
        </is>
      </c>
      <c r="F2" s="39" t="inlineStr">
        <is>
          <t>%OF TOTAL USED</t>
        </is>
      </c>
      <c r="G2" s="39" t="inlineStr">
        <is>
          <t>WATER EXPENSE SHARING BY %</t>
        </is>
      </c>
      <c r="H2" s="39" t="inlineStr">
        <is>
          <t>#METERS</t>
        </is>
      </c>
      <c r="I2" s="39" t="inlineStr">
        <is>
          <t>METER RENT</t>
        </is>
      </c>
      <c r="J2" s="39" t="inlineStr">
        <is>
          <t>COMMON AREA METER RENT + WATER EXPENSE+ FLAT METER RENT</t>
        </is>
      </c>
      <c r="K2" s="39" t="inlineStr">
        <is>
          <t>FIXED EXPENSE SHARE</t>
        </is>
      </c>
      <c r="L2" s="39" t="inlineStr">
        <is>
          <t>PARKING FEE</t>
        </is>
      </c>
      <c r="M2" s="39" t="inlineStr">
        <is>
          <t>CLUB BOOKING FEE</t>
        </is>
      </c>
      <c r="N2" s="39" t="inlineStr">
        <is>
          <t>SHIFTING FEE</t>
        </is>
      </c>
      <c r="O2" s="39" t="inlineStr">
        <is>
          <t>GYM USAGE FEE</t>
        </is>
      </c>
      <c r="P2" s="39" t="inlineStr">
        <is>
          <t>OWNERSHIP TRANSFER FEE</t>
        </is>
      </c>
      <c r="Q2" s="39" t="n"/>
      <c r="R2" s="39" t="inlineStr">
        <is>
          <t>TOTAL EXPENSE TO BE PAID</t>
        </is>
      </c>
      <c r="S2" s="39" t="n"/>
      <c r="T2" s="39" t="n"/>
    </row>
    <row r="3" ht="12.75" customHeight="1">
      <c r="A3" s="40" t="inlineStr">
        <is>
          <t>CH</t>
        </is>
      </c>
      <c r="B3" s="40" t="inlineStr">
        <is>
          <t>MPFOWA</t>
        </is>
      </c>
      <c r="C3" s="41" t="n">
        <v>0</v>
      </c>
      <c r="D3" s="41" t="n">
        <v>0</v>
      </c>
      <c r="E3" s="41" t="n"/>
      <c r="F3" s="41" t="n"/>
      <c r="G3" s="41" t="n"/>
      <c r="H3" s="41" t="n">
        <v>1</v>
      </c>
      <c r="I3" s="41">
        <f>T7</f>
        <v/>
      </c>
      <c r="J3" s="41" t="n"/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</row>
    <row r="4" ht="12.75" customHeight="1">
      <c r="A4" s="42" t="inlineStr">
        <is>
          <t>GYM</t>
        </is>
      </c>
      <c r="B4" s="42" t="inlineStr">
        <is>
          <t>MPFOWA</t>
        </is>
      </c>
      <c r="C4" s="43" t="n">
        <v>0</v>
      </c>
      <c r="D4" s="43" t="n">
        <v>0</v>
      </c>
      <c r="E4" s="43" t="n"/>
      <c r="F4" s="43" t="n"/>
      <c r="G4" s="43" t="n"/>
      <c r="H4" s="43" t="n">
        <v>1</v>
      </c>
      <c r="I4" s="43">
        <f>T7</f>
        <v/>
      </c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inlineStr">
        <is>
          <t>TOTAL FIXED EXPENSE</t>
        </is>
      </c>
      <c r="T4" s="43">
        <f>'ANNUAL-EXPENSE-DETAILS'!AB14</f>
        <v/>
      </c>
    </row>
    <row r="5" ht="12.75" customHeight="1">
      <c r="A5" s="40" t="inlineStr">
        <is>
          <t>BSMT</t>
        </is>
      </c>
      <c r="B5" s="40" t="inlineStr">
        <is>
          <t>MPFOWA</t>
        </is>
      </c>
      <c r="C5" s="41" t="n">
        <v>0</v>
      </c>
      <c r="D5" s="41" t="n">
        <v>0</v>
      </c>
      <c r="E5" s="41" t="n"/>
      <c r="F5" s="41" t="n"/>
      <c r="G5" s="41" t="n"/>
      <c r="H5" s="41" t="n">
        <v>1</v>
      </c>
      <c r="I5" s="41">
        <f>T7</f>
        <v/>
      </c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inlineStr">
        <is>
          <t>TOTAL WATER EXPENSE</t>
        </is>
      </c>
      <c r="T5" s="41">
        <f>'ANNUAL-EXPENSE-DETAILS'!AA14</f>
        <v/>
      </c>
    </row>
    <row r="6" ht="12.75" customHeight="1">
      <c r="A6" s="42" t="inlineStr">
        <is>
          <t>F1</t>
        </is>
      </c>
      <c r="B6" s="42">
        <f>VLOOKUP(A6,Members!$A$2:$B$65,2,FALSE)</f>
        <v/>
      </c>
      <c r="C6" s="43" t="n">
        <v>0</v>
      </c>
      <c r="D6" s="43">
        <f>SUM($C$3:$C$5)/64</f>
        <v/>
      </c>
      <c r="E6" s="43">
        <f>C6+D6</f>
        <v/>
      </c>
      <c r="F6" s="43">
        <f>IF($C$70=0, 0, E6/$C$70)</f>
        <v/>
      </c>
      <c r="G6" s="43">
        <f>F6*$T$5</f>
        <v/>
      </c>
      <c r="H6" s="43" t="n">
        <v>3</v>
      </c>
      <c r="I6" s="43">
        <f>$T$7*H6</f>
        <v/>
      </c>
      <c r="J6" s="43">
        <f>G6+$T$9+I6</f>
        <v/>
      </c>
      <c r="K6" s="43">
        <f>$T$11/64</f>
        <v/>
      </c>
      <c r="L6" s="43" t="n">
        <v>0</v>
      </c>
      <c r="M6" s="43" t="n">
        <v>0</v>
      </c>
      <c r="N6" s="43" t="n">
        <v>0</v>
      </c>
      <c r="O6" s="43" t="n">
        <v>0</v>
      </c>
      <c r="P6" s="43" t="n"/>
      <c r="Q6" s="43" t="n"/>
      <c r="R6" s="43">
        <f>(J6+K6+L6+M6+N6+O6+P6)*$B$2</f>
        <v/>
      </c>
      <c r="S6" s="43" t="n"/>
      <c r="T6" s="43" t="n"/>
    </row>
    <row r="7" ht="12.75" customHeight="1">
      <c r="A7" s="40" t="inlineStr">
        <is>
          <t>F2</t>
        </is>
      </c>
      <c r="B7" s="40">
        <f>VLOOKUP(A7,Members!$A$2:$B$65,2,FALSE)</f>
        <v/>
      </c>
      <c r="C7" s="41" t="n">
        <v>0</v>
      </c>
      <c r="D7" s="41">
        <f>SUM($C$3:$C$5)/64</f>
        <v/>
      </c>
      <c r="E7" s="41">
        <f>C7+D7</f>
        <v/>
      </c>
      <c r="F7" s="41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$T$11/64</f>
        <v/>
      </c>
      <c r="L7" s="41" t="n">
        <v>0</v>
      </c>
      <c r="M7" s="41" t="n">
        <v>0</v>
      </c>
      <c r="N7" s="41" t="n">
        <v>0</v>
      </c>
      <c r="O7" s="41" t="n">
        <v>0</v>
      </c>
      <c r="P7" s="41" t="n"/>
      <c r="Q7" s="41" t="n"/>
      <c r="R7" s="41">
        <f>(J7+K7+L7+M7+N7+O7+P7)*$B$2</f>
        <v/>
      </c>
      <c r="S7" s="41" t="inlineStr">
        <is>
          <t>RENT PER METER</t>
        </is>
      </c>
      <c r="T7" s="41" t="n">
        <v>117.81</v>
      </c>
    </row>
    <row r="8" ht="12.75" customHeight="1">
      <c r="A8" s="42" t="inlineStr">
        <is>
          <t>F3</t>
        </is>
      </c>
      <c r="B8" s="42">
        <f>VLOOKUP(A8,Members!$A$2:$B$65,2,FALSE)</f>
        <v/>
      </c>
      <c r="C8" s="43" t="n">
        <v>0</v>
      </c>
      <c r="D8" s="43">
        <f>SUM($C$3:$C$5)/64</f>
        <v/>
      </c>
      <c r="E8" s="43">
        <f>C8+D8</f>
        <v/>
      </c>
      <c r="F8" s="43">
        <f>IF($C$70=0, 0, E8/$C$70)</f>
        <v/>
      </c>
      <c r="G8" s="43">
        <f>F8*$T$5</f>
        <v/>
      </c>
      <c r="H8" s="43" t="n">
        <v>4</v>
      </c>
      <c r="I8" s="43">
        <f>$T$7*H8</f>
        <v/>
      </c>
      <c r="J8" s="43">
        <f>G8+$T$9+I8</f>
        <v/>
      </c>
      <c r="K8" s="43">
        <f>$T$11/64</f>
        <v/>
      </c>
      <c r="L8" s="43" t="n">
        <v>0</v>
      </c>
      <c r="M8" s="43" t="n">
        <v>0</v>
      </c>
      <c r="N8" s="43" t="n">
        <v>0</v>
      </c>
      <c r="O8" s="43" t="n">
        <v>0</v>
      </c>
      <c r="P8" s="43" t="n"/>
      <c r="Q8" s="43" t="n"/>
      <c r="R8" s="43">
        <f>(J8+K8+L8+M8+N8+O8+P8)*$B$2</f>
        <v/>
      </c>
      <c r="S8" s="43" t="inlineStr">
        <is>
          <t>COMMON AREA METER RENT</t>
        </is>
      </c>
      <c r="T8" s="43">
        <f>$T$7*3</f>
        <v/>
      </c>
    </row>
    <row r="9" ht="12.75" customHeight="1">
      <c r="A9" s="40" t="inlineStr">
        <is>
          <t>F4</t>
        </is>
      </c>
      <c r="B9" s="40">
        <f>VLOOKUP(A9,Members!$A$2:$B$65,2,FALSE)</f>
        <v/>
      </c>
      <c r="C9" s="41" t="n">
        <v>0</v>
      </c>
      <c r="D9" s="41">
        <f>SUM($C$3:$C$5)/64</f>
        <v/>
      </c>
      <c r="E9" s="41">
        <f>C9+D9</f>
        <v/>
      </c>
      <c r="F9" s="41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$T$11/64</f>
        <v/>
      </c>
      <c r="L9" s="41" t="n">
        <v>0</v>
      </c>
      <c r="M9" s="41" t="n">
        <v>0</v>
      </c>
      <c r="N9" s="41" t="n">
        <v>0</v>
      </c>
      <c r="O9" s="41" t="n">
        <v>0</v>
      </c>
      <c r="P9" s="41" t="n"/>
      <c r="Q9" s="41" t="n"/>
      <c r="R9" s="41">
        <f>(J9+K9+L9+M9+N9+O9+P9)*$B$2</f>
        <v/>
      </c>
      <c r="S9" s="41" t="inlineStr">
        <is>
          <t>COMMON AREA METER RENT/FLAT</t>
        </is>
      </c>
      <c r="T9" s="41">
        <f>T8/64</f>
        <v/>
      </c>
    </row>
    <row r="10" ht="12.75" customHeight="1">
      <c r="A10" s="42" t="inlineStr">
        <is>
          <t>F5</t>
        </is>
      </c>
      <c r="B10" s="42">
        <f>VLOOKUP(A10,Members!$A$2:$B$65,2,FALSE)</f>
        <v/>
      </c>
      <c r="C10" s="43" t="n">
        <v>0</v>
      </c>
      <c r="D10" s="43">
        <f>SUM($C$3:$C$5)/64</f>
        <v/>
      </c>
      <c r="E10" s="43">
        <f>C10+D10</f>
        <v/>
      </c>
      <c r="F10" s="43">
        <f>IF($C$70=0, 0, E10/$C$70)</f>
        <v/>
      </c>
      <c r="G10" s="43">
        <f>F10*$T$5</f>
        <v/>
      </c>
      <c r="H10" s="43" t="n">
        <v>3</v>
      </c>
      <c r="I10" s="43">
        <f>$T$7*H10</f>
        <v/>
      </c>
      <c r="J10" s="43">
        <f>G10+$T$9+I10</f>
        <v/>
      </c>
      <c r="K10" s="43">
        <f>$T$11/64</f>
        <v/>
      </c>
      <c r="L10" s="43" t="n">
        <v>0</v>
      </c>
      <c r="M10" s="43" t="n">
        <v>0</v>
      </c>
      <c r="N10" s="43" t="n">
        <v>0</v>
      </c>
      <c r="O10" s="43" t="n">
        <v>0</v>
      </c>
      <c r="P10" s="43" t="n">
        <v>0</v>
      </c>
      <c r="Q10" s="43" t="n"/>
      <c r="R10" s="43">
        <f>(J10+K10+L10+M10+N10+O10+P10)*$B$2</f>
        <v/>
      </c>
      <c r="S10" s="43" t="n"/>
      <c r="T10" s="43" t="n"/>
    </row>
    <row r="11" ht="12.75" customHeight="1">
      <c r="A11" s="40" t="inlineStr">
        <is>
          <t>F6</t>
        </is>
      </c>
      <c r="B11" s="40">
        <f>VLOOKUP(A11,Members!$A$2:$B$65,2,FALSE)</f>
        <v/>
      </c>
      <c r="C11" s="41" t="n">
        <v>0</v>
      </c>
      <c r="D11" s="41">
        <f>SUM($C$3:$C$5)/64</f>
        <v/>
      </c>
      <c r="E11" s="41">
        <f>C11+D11</f>
        <v/>
      </c>
      <c r="F11" s="41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$T$11/64</f>
        <v/>
      </c>
      <c r="L11" s="41" t="n">
        <v>0</v>
      </c>
      <c r="M11" s="41" t="n">
        <v>0</v>
      </c>
      <c r="N11" s="41" t="n">
        <v>0</v>
      </c>
      <c r="O11" s="41" t="n">
        <v>0</v>
      </c>
      <c r="P11" s="41" t="n"/>
      <c r="Q11" s="41" t="n"/>
      <c r="R11" s="41">
        <f>(J11+K11+L11+M11+N11+O11+P11)*$B$2</f>
        <v/>
      </c>
      <c r="S11" s="41" t="inlineStr">
        <is>
          <t>TOTAL FIXED EXPENSE</t>
        </is>
      </c>
      <c r="T11" s="41">
        <f>'ANNUAL-EXPENSE-DETAILS'!AB14</f>
        <v/>
      </c>
    </row>
    <row r="12" ht="12.75" customHeight="1">
      <c r="A12" s="42" t="inlineStr">
        <is>
          <t>F7</t>
        </is>
      </c>
      <c r="B12" s="42">
        <f>VLOOKUP(A12,Members!$A$2:$B$65,2,FALSE)</f>
        <v/>
      </c>
      <c r="C12" s="43" t="n">
        <v>0</v>
      </c>
      <c r="D12" s="43">
        <f>SUM($C$3:$C$5)/64</f>
        <v/>
      </c>
      <c r="E12" s="43">
        <f>C12+D12</f>
        <v/>
      </c>
      <c r="F12" s="43">
        <f>IF($C$70=0, 0, E12/$C$70)</f>
        <v/>
      </c>
      <c r="G12" s="43">
        <f>F12*$T$5</f>
        <v/>
      </c>
      <c r="H12" s="43" t="n">
        <v>3</v>
      </c>
      <c r="I12" s="43">
        <f>$T$7*H12</f>
        <v/>
      </c>
      <c r="J12" s="43">
        <f>G12+$T$9+I12</f>
        <v/>
      </c>
      <c r="K12" s="43">
        <f>$T$11/64</f>
        <v/>
      </c>
      <c r="L12" s="43" t="n">
        <v>0</v>
      </c>
      <c r="M12" s="43" t="n">
        <v>0</v>
      </c>
      <c r="N12" s="43" t="n">
        <v>0</v>
      </c>
      <c r="O12" s="43" t="n">
        <v>0</v>
      </c>
      <c r="P12" s="43" t="n"/>
      <c r="Q12" s="43" t="n"/>
      <c r="R12" s="43">
        <f>(J12+K12+L12+M12+N12+O12+P12)*$B$2</f>
        <v/>
      </c>
      <c r="S12" s="43" t="n"/>
      <c r="T12" s="43" t="n"/>
    </row>
    <row r="13" ht="12.75" customHeight="1">
      <c r="A13" s="40" t="inlineStr">
        <is>
          <t>F8</t>
        </is>
      </c>
      <c r="B13" s="40">
        <f>VLOOKUP(A13,Members!$A$2:$B$65,2,FALSE)</f>
        <v/>
      </c>
      <c r="C13" s="41" t="n">
        <v>0</v>
      </c>
      <c r="D13" s="41">
        <f>SUM($C$3:$C$5)/64</f>
        <v/>
      </c>
      <c r="E13" s="41">
        <f>C13+D13</f>
        <v/>
      </c>
      <c r="F13" s="41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$T$11/64</f>
        <v/>
      </c>
      <c r="L13" s="41" t="n">
        <v>0</v>
      </c>
      <c r="M13" s="41" t="n">
        <v>0</v>
      </c>
      <c r="N13" s="41" t="n">
        <v>0</v>
      </c>
      <c r="O13" s="41" t="n">
        <v>0</v>
      </c>
      <c r="P13" s="41" t="n"/>
      <c r="Q13" s="41" t="n"/>
      <c r="R13" s="41">
        <f>(J13+K13+L13+M13+N13+O13+P13)*$B$2</f>
        <v/>
      </c>
      <c r="S13" s="41" t="inlineStr">
        <is>
          <t>TOTAL WATER METER RENT</t>
        </is>
      </c>
      <c r="T13" s="41">
        <f>T8+I70</f>
        <v/>
      </c>
    </row>
    <row r="14" ht="12.75" customHeight="1">
      <c r="A14" s="42" t="inlineStr">
        <is>
          <t>F9</t>
        </is>
      </c>
      <c r="B14" s="42">
        <f>VLOOKUP(A14,Members!$A$2:$B$65,2,FALSE)</f>
        <v/>
      </c>
      <c r="C14" s="43" t="n">
        <v>0</v>
      </c>
      <c r="D14" s="43">
        <f>SUM($C$3:$C$5)/64</f>
        <v/>
      </c>
      <c r="E14" s="43">
        <f>C14+D14</f>
        <v/>
      </c>
      <c r="F14" s="43">
        <f>IF($C$70=0, 0, E14/$C$70)</f>
        <v/>
      </c>
      <c r="G14" s="43">
        <f>F14*$T$5</f>
        <v/>
      </c>
      <c r="H14" s="43" t="n">
        <v>4</v>
      </c>
      <c r="I14" s="43">
        <f>$T$7*H14</f>
        <v/>
      </c>
      <c r="J14" s="43">
        <f>G14+$T$9+I14</f>
        <v/>
      </c>
      <c r="K14" s="43">
        <f>$T$11/64</f>
        <v/>
      </c>
      <c r="L14" s="43" t="n">
        <v>0</v>
      </c>
      <c r="M14" s="43" t="n">
        <v>0</v>
      </c>
      <c r="N14" s="43" t="n">
        <v>0</v>
      </c>
      <c r="O14" s="43" t="n">
        <v>0</v>
      </c>
      <c r="P14" s="43" t="n"/>
      <c r="Q14" s="43" t="n"/>
      <c r="R14" s="43">
        <f>(J14+K14+L14+M14+N14+O14+P14)*$B$2</f>
        <v/>
      </c>
      <c r="S14" s="43" t="n"/>
      <c r="T14" s="43" t="n"/>
    </row>
    <row r="15" ht="12.75" customHeight="1">
      <c r="A15" s="40" t="inlineStr">
        <is>
          <t>F10</t>
        </is>
      </c>
      <c r="B15" s="40">
        <f>VLOOKUP(A15,Members!$A$2:$B$65,2,FALSE)</f>
        <v/>
      </c>
      <c r="C15" s="41" t="n">
        <v>0</v>
      </c>
      <c r="D15" s="41">
        <f>SUM($C$3:$C$5)/64</f>
        <v/>
      </c>
      <c r="E15" s="41">
        <f>C15+D15</f>
        <v/>
      </c>
      <c r="F15" s="41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$T$11/64</f>
        <v/>
      </c>
      <c r="L15" s="41" t="n">
        <v>0</v>
      </c>
      <c r="M15" s="41" t="n">
        <v>0</v>
      </c>
      <c r="N15" s="41" t="n">
        <v>0</v>
      </c>
      <c r="O15" s="41" t="n">
        <v>0</v>
      </c>
      <c r="P15" s="41" t="n"/>
      <c r="Q15" s="41" t="n"/>
      <c r="R15" s="41">
        <f>(J15+K15+L15+M15+N15+O15+P15)*$B$2</f>
        <v/>
      </c>
      <c r="S15" s="41" t="n"/>
      <c r="T15" s="41" t="n"/>
    </row>
    <row r="16" ht="12.75" customHeight="1">
      <c r="A16" s="42" t="inlineStr">
        <is>
          <t>F11</t>
        </is>
      </c>
      <c r="B16" s="42">
        <f>VLOOKUP(A16,Members!$A$2:$B$65,2,FALSE)</f>
        <v/>
      </c>
      <c r="C16" s="43" t="n">
        <v>0</v>
      </c>
      <c r="D16" s="43">
        <f>SUM($C$3:$C$5)/64</f>
        <v/>
      </c>
      <c r="E16" s="43">
        <f>C16+D16</f>
        <v/>
      </c>
      <c r="F16" s="43">
        <f>IF($C$70=0, 0, E16/$C$70)</f>
        <v/>
      </c>
      <c r="G16" s="43">
        <f>F16*$T$5</f>
        <v/>
      </c>
      <c r="H16" s="43" t="n">
        <v>3</v>
      </c>
      <c r="I16" s="43">
        <f>$T$7*H16</f>
        <v/>
      </c>
      <c r="J16" s="43">
        <f>G16+$T$9+I16</f>
        <v/>
      </c>
      <c r="K16" s="43">
        <f>$T$11/64</f>
        <v/>
      </c>
      <c r="L16" s="43" t="n">
        <v>0</v>
      </c>
      <c r="M16" s="43" t="n">
        <v>0</v>
      </c>
      <c r="N16" s="43" t="n">
        <v>0</v>
      </c>
      <c r="O16" s="43" t="n">
        <v>0</v>
      </c>
      <c r="P16" s="43" t="n"/>
      <c r="Q16" s="43" t="n"/>
      <c r="R16" s="43">
        <f>(J16+K16+L16+M16+N16+O16+P16)*$B$2</f>
        <v/>
      </c>
      <c r="S16" s="43" t="n"/>
      <c r="T16" s="43" t="n"/>
    </row>
    <row r="17" ht="12.75" customHeight="1">
      <c r="A17" s="40" t="inlineStr">
        <is>
          <t>F12</t>
        </is>
      </c>
      <c r="B17" s="40">
        <f>VLOOKUP(A17,Members!$A$2:$B$65,2,FALSE)</f>
        <v/>
      </c>
      <c r="C17" s="41" t="n">
        <v>0</v>
      </c>
      <c r="D17" s="41">
        <f>SUM($C$3:$C$5)/64</f>
        <v/>
      </c>
      <c r="E17" s="41">
        <f>C17+D17</f>
        <v/>
      </c>
      <c r="F17" s="41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$T$11/64</f>
        <v/>
      </c>
      <c r="L17" s="41" t="n">
        <v>0</v>
      </c>
      <c r="M17" s="41" t="n">
        <v>0</v>
      </c>
      <c r="N17" s="41" t="n">
        <v>0</v>
      </c>
      <c r="O17" s="41" t="n">
        <v>0</v>
      </c>
      <c r="P17" s="41" t="n">
        <v>0</v>
      </c>
      <c r="Q17" s="41" t="n"/>
      <c r="R17" s="41">
        <f>(J17+K17+L17+M17+N17+O17+P17)*$B$2</f>
        <v/>
      </c>
      <c r="S17" s="41" t="n"/>
      <c r="T17" s="41" t="n"/>
    </row>
    <row r="18" ht="12.75" customHeight="1">
      <c r="A18" s="42" t="inlineStr">
        <is>
          <t>F13</t>
        </is>
      </c>
      <c r="B18" s="42">
        <f>VLOOKUP(A18,Members!$A$2:$B$65,2,FALSE)</f>
        <v/>
      </c>
      <c r="C18" s="43" t="n">
        <v>0</v>
      </c>
      <c r="D18" s="43">
        <f>SUM($C$3:$C$5)/64</f>
        <v/>
      </c>
      <c r="E18" s="43">
        <f>C18+D18</f>
        <v/>
      </c>
      <c r="F18" s="43">
        <f>IF($C$70=0, 0, E18/$C$70)</f>
        <v/>
      </c>
      <c r="G18" s="43">
        <f>F18*$T$5</f>
        <v/>
      </c>
      <c r="H18" s="43" t="n">
        <v>4</v>
      </c>
      <c r="I18" s="43">
        <f>$T$7*H18</f>
        <v/>
      </c>
      <c r="J18" s="43">
        <f>G18+$T$9+I18</f>
        <v/>
      </c>
      <c r="K18" s="43">
        <f>$T$11/64</f>
        <v/>
      </c>
      <c r="L18" s="43" t="n">
        <v>0</v>
      </c>
      <c r="M18" s="43" t="n">
        <v>0</v>
      </c>
      <c r="N18" s="43" t="n">
        <v>0</v>
      </c>
      <c r="O18" s="43" t="n">
        <v>0</v>
      </c>
      <c r="P18" s="43" t="n"/>
      <c r="Q18" s="43" t="n"/>
      <c r="R18" s="43">
        <f>(J18+K18+L18+M18+N18+O18+P18)*$B$2</f>
        <v/>
      </c>
      <c r="S18" s="43" t="n"/>
      <c r="T18" s="43" t="n"/>
    </row>
    <row r="19" ht="12.75" customHeight="1">
      <c r="A19" s="40" t="inlineStr">
        <is>
          <t>F14</t>
        </is>
      </c>
      <c r="B19" s="40">
        <f>VLOOKUP(A19,Members!$A$2:$B$65,2,FALSE)</f>
        <v/>
      </c>
      <c r="C19" s="41" t="n">
        <v>0</v>
      </c>
      <c r="D19" s="41">
        <f>SUM($C$3:$C$5)/64</f>
        <v/>
      </c>
      <c r="E19" s="41">
        <f>C19+D19</f>
        <v/>
      </c>
      <c r="F19" s="41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$T$11/64</f>
        <v/>
      </c>
      <c r="L19" s="41" t="n">
        <v>0</v>
      </c>
      <c r="M19" s="41" t="n">
        <v>0</v>
      </c>
      <c r="N19" s="41" t="n">
        <v>0</v>
      </c>
      <c r="O19" s="41" t="n">
        <v>0</v>
      </c>
      <c r="P19" s="41" t="n"/>
      <c r="Q19" s="41" t="n"/>
      <c r="R19" s="41">
        <f>(J19+K19+L19+M19+N19+O19+P19)*$B$2</f>
        <v/>
      </c>
      <c r="S19" s="41" t="n"/>
      <c r="T19" s="41" t="n"/>
    </row>
    <row r="20" ht="12.75" customHeight="1">
      <c r="A20" s="42" t="inlineStr">
        <is>
          <t>F15</t>
        </is>
      </c>
      <c r="B20" s="42">
        <f>VLOOKUP(A20,Members!$A$2:$B$65,2,FALSE)</f>
        <v/>
      </c>
      <c r="C20" s="43" t="n">
        <v>0</v>
      </c>
      <c r="D20" s="43">
        <f>SUM($C$3:$C$5)/64</f>
        <v/>
      </c>
      <c r="E20" s="43">
        <f>C20+D20</f>
        <v/>
      </c>
      <c r="F20" s="43">
        <f>IF($C$70=0, 0, E20/$C$70)</f>
        <v/>
      </c>
      <c r="G20" s="43">
        <f>F20*$T$5</f>
        <v/>
      </c>
      <c r="H20" s="43" t="n">
        <v>4</v>
      </c>
      <c r="I20" s="43">
        <f>$T$7*H20</f>
        <v/>
      </c>
      <c r="J20" s="43">
        <f>G20+$T$9+I20</f>
        <v/>
      </c>
      <c r="K20" s="43">
        <f>$T$11/64</f>
        <v/>
      </c>
      <c r="L20" s="43" t="n">
        <v>0</v>
      </c>
      <c r="M20" s="43" t="n">
        <v>0</v>
      </c>
      <c r="N20" s="43" t="n">
        <v>0</v>
      </c>
      <c r="O20" s="43" t="n">
        <v>0</v>
      </c>
      <c r="P20" s="43" t="n"/>
      <c r="Q20" s="43" t="n"/>
      <c r="R20" s="43">
        <f>(J20+K20+L20+M20+N20+O20+P20)*$B$2</f>
        <v/>
      </c>
      <c r="S20" s="43" t="n"/>
      <c r="T20" s="43" t="n"/>
    </row>
    <row r="21" ht="12.75" customHeight="1">
      <c r="A21" s="40" t="inlineStr">
        <is>
          <t>F16</t>
        </is>
      </c>
      <c r="B21" s="40">
        <f>VLOOKUP(A21,Members!$A$2:$B$65,2,FALSE)</f>
        <v/>
      </c>
      <c r="C21" s="41" t="n">
        <v>0</v>
      </c>
      <c r="D21" s="41">
        <f>SUM($C$3:$C$5)/64</f>
        <v/>
      </c>
      <c r="E21" s="41">
        <f>C21+D21</f>
        <v/>
      </c>
      <c r="F21" s="41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$T$11/64</f>
        <v/>
      </c>
      <c r="L21" s="41" t="n">
        <v>0</v>
      </c>
      <c r="M21" s="41" t="n">
        <v>0</v>
      </c>
      <c r="N21" s="41" t="n">
        <v>0</v>
      </c>
      <c r="O21" s="41" t="n">
        <v>0</v>
      </c>
      <c r="P21" s="41" t="n"/>
      <c r="Q21" s="41" t="n"/>
      <c r="R21" s="41">
        <f>(J21+K21+L21+M21+N21+O21+P21)*$B$2</f>
        <v/>
      </c>
      <c r="S21" s="41" t="n"/>
      <c r="T21" s="41" t="n"/>
    </row>
    <row r="22" ht="12.75" customHeight="1">
      <c r="A22" s="42" t="inlineStr">
        <is>
          <t>G1</t>
        </is>
      </c>
      <c r="B22" s="42">
        <f>VLOOKUP(A22,Members!$A$2:$B$65,2,FALSE)</f>
        <v/>
      </c>
      <c r="C22" s="43" t="n">
        <v>0</v>
      </c>
      <c r="D22" s="43">
        <f>SUM($C$3:$C$5)/64</f>
        <v/>
      </c>
      <c r="E22" s="43">
        <f>C22+D22</f>
        <v/>
      </c>
      <c r="F22" s="43">
        <f>IF($C$70=0, 0, E22/$C$70)</f>
        <v/>
      </c>
      <c r="G22" s="43">
        <f>F22*$T$5</f>
        <v/>
      </c>
      <c r="H22" s="43" t="n">
        <v>3</v>
      </c>
      <c r="I22" s="43">
        <f>$T$7*H22</f>
        <v/>
      </c>
      <c r="J22" s="43">
        <f>G22+$T$9+I22</f>
        <v/>
      </c>
      <c r="K22" s="43">
        <f>$T$11/64</f>
        <v/>
      </c>
      <c r="L22" s="43" t="n">
        <v>0</v>
      </c>
      <c r="M22" s="43" t="n">
        <v>0</v>
      </c>
      <c r="N22" s="43" t="n">
        <v>0</v>
      </c>
      <c r="O22" s="43" t="n">
        <v>0</v>
      </c>
      <c r="P22" s="43" t="n">
        <v>0</v>
      </c>
      <c r="Q22" s="43" t="n"/>
      <c r="R22" s="43">
        <f>(J22+K22+L22+M22+N22+O22+P22)*$B$2</f>
        <v/>
      </c>
      <c r="S22" s="43" t="n"/>
      <c r="T22" s="43" t="n"/>
    </row>
    <row r="23" ht="12.75" customHeight="1">
      <c r="A23" s="40" t="inlineStr">
        <is>
          <t>G2</t>
        </is>
      </c>
      <c r="B23" s="40">
        <f>VLOOKUP(A23,Members!$A$2:$B$65,2,FALSE)</f>
        <v/>
      </c>
      <c r="C23" s="41" t="n">
        <v>0</v>
      </c>
      <c r="D23" s="41">
        <f>SUM($C$3:$C$5)/64</f>
        <v/>
      </c>
      <c r="E23" s="41">
        <f>C23+D23</f>
        <v/>
      </c>
      <c r="F23" s="41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$T$11/64</f>
        <v/>
      </c>
      <c r="L23" s="41" t="n">
        <v>0</v>
      </c>
      <c r="M23" s="41" t="n">
        <v>0</v>
      </c>
      <c r="N23" s="41" t="n">
        <v>0</v>
      </c>
      <c r="O23" s="41" t="n">
        <v>0</v>
      </c>
      <c r="P23" s="41" t="n"/>
      <c r="Q23" s="41" t="n"/>
      <c r="R23" s="41">
        <f>(J23+K23+L23+M23+N23+O23+P23)*$B$2</f>
        <v/>
      </c>
      <c r="S23" s="41" t="n"/>
      <c r="T23" s="41" t="n"/>
    </row>
    <row r="24" ht="12.75" customHeight="1">
      <c r="A24" s="42" t="inlineStr">
        <is>
          <t>G3</t>
        </is>
      </c>
      <c r="B24" s="42">
        <f>VLOOKUP(A24,Members!$A$2:$B$65,2,FALSE)</f>
        <v/>
      </c>
      <c r="C24" s="43" t="n">
        <v>0</v>
      </c>
      <c r="D24" s="43">
        <f>SUM($C$3:$C$5)/64</f>
        <v/>
      </c>
      <c r="E24" s="43">
        <f>C24+D24</f>
        <v/>
      </c>
      <c r="F24" s="43">
        <f>IF($C$70=0, 0, E24/$C$70)</f>
        <v/>
      </c>
      <c r="G24" s="43">
        <f>F24*$T$5</f>
        <v/>
      </c>
      <c r="H24" s="43" t="n">
        <v>4</v>
      </c>
      <c r="I24" s="43">
        <f>$T$7*H24</f>
        <v/>
      </c>
      <c r="J24" s="43">
        <f>G24+$T$9+I24</f>
        <v/>
      </c>
      <c r="K24" s="43">
        <f>$T$11/64</f>
        <v/>
      </c>
      <c r="L24" s="43" t="n">
        <v>0</v>
      </c>
      <c r="M24" s="43" t="n">
        <v>0</v>
      </c>
      <c r="N24" s="43" t="n">
        <v>0</v>
      </c>
      <c r="O24" s="43" t="n">
        <v>0</v>
      </c>
      <c r="P24" s="43" t="n"/>
      <c r="Q24" s="43" t="n"/>
      <c r="R24" s="43">
        <f>(J24+K24+L24+M24+N24+O24+P24)*$B$2</f>
        <v/>
      </c>
      <c r="S24" s="43" t="n"/>
      <c r="T24" s="43" t="n"/>
    </row>
    <row r="25" ht="12.75" customHeight="1">
      <c r="A25" s="40" t="inlineStr">
        <is>
          <t>G4</t>
        </is>
      </c>
      <c r="B25" s="40">
        <f>VLOOKUP(A25,Members!$A$2:$B$65,2,FALSE)</f>
        <v/>
      </c>
      <c r="C25" s="41" t="n">
        <v>0</v>
      </c>
      <c r="D25" s="41">
        <f>SUM($C$3:$C$5)/64</f>
        <v/>
      </c>
      <c r="E25" s="41">
        <f>C25+D25</f>
        <v/>
      </c>
      <c r="F25" s="41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$T$11/64</f>
        <v/>
      </c>
      <c r="L25" s="41" t="n">
        <v>0</v>
      </c>
      <c r="M25" s="41" t="n">
        <v>0</v>
      </c>
      <c r="N25" s="41" t="n">
        <v>0</v>
      </c>
      <c r="O25" s="41" t="n">
        <v>0</v>
      </c>
      <c r="P25" s="41" t="n"/>
      <c r="Q25" s="41" t="n"/>
      <c r="R25" s="41">
        <f>(J25+K25+L25+M25+N25+O25+P25)*$B$2</f>
        <v/>
      </c>
      <c r="S25" s="41" t="n"/>
      <c r="T25" s="41" t="n"/>
    </row>
    <row r="26" ht="12.75" customHeight="1">
      <c r="A26" s="42" t="inlineStr">
        <is>
          <t>G5</t>
        </is>
      </c>
      <c r="B26" s="42">
        <f>VLOOKUP(A26,Members!$A$2:$B$65,2,FALSE)</f>
        <v/>
      </c>
      <c r="C26" s="43" t="n">
        <v>0</v>
      </c>
      <c r="D26" s="43">
        <f>SUM($C$3:$C$5)/64</f>
        <v/>
      </c>
      <c r="E26" s="43">
        <f>C26+D26</f>
        <v/>
      </c>
      <c r="F26" s="43">
        <f>IF($C$70=0, 0, E26/$C$70)</f>
        <v/>
      </c>
      <c r="G26" s="43">
        <f>F26*$T$5</f>
        <v/>
      </c>
      <c r="H26" s="43" t="n">
        <v>3</v>
      </c>
      <c r="I26" s="43">
        <f>$T$7*H26</f>
        <v/>
      </c>
      <c r="J26" s="43">
        <f>G26+$T$9+I26</f>
        <v/>
      </c>
      <c r="K26" s="43">
        <f>$T$11/64</f>
        <v/>
      </c>
      <c r="L26" s="43" t="n">
        <v>0</v>
      </c>
      <c r="M26" s="43" t="n">
        <v>0</v>
      </c>
      <c r="N26" s="43" t="n">
        <v>0</v>
      </c>
      <c r="O26" s="43" t="n">
        <v>0</v>
      </c>
      <c r="P26" s="43" t="n"/>
      <c r="Q26" s="43" t="n"/>
      <c r="R26" s="43">
        <f>(J26+K26+L26+M26+N26+O26+P26)*$B$2</f>
        <v/>
      </c>
      <c r="S26" s="43" t="n"/>
      <c r="T26" s="43" t="n"/>
    </row>
    <row r="27" ht="12.75" customHeight="1">
      <c r="A27" s="40" t="inlineStr">
        <is>
          <t>G6</t>
        </is>
      </c>
      <c r="B27" s="40">
        <f>VLOOKUP(A27,Members!$A$2:$B$65,2,FALSE)</f>
        <v/>
      </c>
      <c r="C27" s="41" t="n">
        <v>0</v>
      </c>
      <c r="D27" s="41">
        <f>SUM($C$3:$C$5)/64</f>
        <v/>
      </c>
      <c r="E27" s="41">
        <f>C27+D27</f>
        <v/>
      </c>
      <c r="F27" s="41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$T$11/64</f>
        <v/>
      </c>
      <c r="L27" s="41" t="n">
        <v>0</v>
      </c>
      <c r="M27" s="41" t="n">
        <v>0</v>
      </c>
      <c r="N27" s="41" t="n">
        <v>0</v>
      </c>
      <c r="O27" s="41" t="n">
        <v>0</v>
      </c>
      <c r="P27" s="41" t="n"/>
      <c r="Q27" s="41" t="n"/>
      <c r="R27" s="41">
        <f>(J27+K27+L27+M27+N27+O27+P27)*$B$2</f>
        <v/>
      </c>
      <c r="S27" s="41" t="n"/>
      <c r="T27" s="41" t="n"/>
    </row>
    <row r="28" ht="12.75" customHeight="1">
      <c r="A28" s="42" t="inlineStr">
        <is>
          <t>G7</t>
        </is>
      </c>
      <c r="B28" s="42">
        <f>VLOOKUP(A28,Members!$A$2:$B$65,2,FALSE)</f>
        <v/>
      </c>
      <c r="C28" s="43" t="n">
        <v>0</v>
      </c>
      <c r="D28" s="43">
        <f>SUM($C$3:$C$5)/64</f>
        <v/>
      </c>
      <c r="E28" s="43">
        <f>C28+D28</f>
        <v/>
      </c>
      <c r="F28" s="43">
        <f>IF($C$70=0, 0, E28/$C$70)</f>
        <v/>
      </c>
      <c r="G28" s="43">
        <f>F28*$T$5</f>
        <v/>
      </c>
      <c r="H28" s="43" t="n">
        <v>3</v>
      </c>
      <c r="I28" s="43">
        <f>$T$7*H28</f>
        <v/>
      </c>
      <c r="J28" s="43">
        <f>G28+$T$9+I28</f>
        <v/>
      </c>
      <c r="K28" s="43">
        <f>$T$11/64</f>
        <v/>
      </c>
      <c r="L28" s="43" t="n">
        <v>0</v>
      </c>
      <c r="M28" s="43" t="n">
        <v>0</v>
      </c>
      <c r="N28" s="43" t="n">
        <v>0</v>
      </c>
      <c r="O28" s="43" t="n">
        <v>0</v>
      </c>
      <c r="P28" s="43" t="n"/>
      <c r="Q28" s="43" t="n"/>
      <c r="R28" s="43">
        <f>(J28+K28+L28+M28+N28+O28+P28)*$B$2</f>
        <v/>
      </c>
      <c r="S28" s="43" t="n"/>
      <c r="T28" s="43" t="n"/>
    </row>
    <row r="29" ht="12.75" customHeight="1">
      <c r="A29" s="40" t="inlineStr">
        <is>
          <t>G8</t>
        </is>
      </c>
      <c r="B29" s="40">
        <f>VLOOKUP(A29,Members!$A$2:$B$65,2,FALSE)</f>
        <v/>
      </c>
      <c r="C29" s="41" t="n">
        <v>0</v>
      </c>
      <c r="D29" s="41">
        <f>SUM($C$3:$C$5)/64</f>
        <v/>
      </c>
      <c r="E29" s="41">
        <f>C29+D29</f>
        <v/>
      </c>
      <c r="F29" s="41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$T$11/64</f>
        <v/>
      </c>
      <c r="L29" s="41" t="n">
        <v>0</v>
      </c>
      <c r="M29" s="41" t="n">
        <v>0</v>
      </c>
      <c r="N29" s="41" t="n">
        <v>0</v>
      </c>
      <c r="O29" s="41" t="n">
        <v>0</v>
      </c>
      <c r="P29" s="41" t="n"/>
      <c r="Q29" s="41" t="n"/>
      <c r="R29" s="41">
        <f>(J29+K29+L29+M29+N29+O29+P29)*$B$2</f>
        <v/>
      </c>
      <c r="S29" s="41" t="n"/>
      <c r="T29" s="41" t="n"/>
    </row>
    <row r="30" ht="12.75" customHeight="1">
      <c r="A30" s="42" t="inlineStr">
        <is>
          <t>G9</t>
        </is>
      </c>
      <c r="B30" s="42">
        <f>VLOOKUP(A30,Members!$A$2:$B$65,2,FALSE)</f>
        <v/>
      </c>
      <c r="C30" s="43" t="n">
        <v>0</v>
      </c>
      <c r="D30" s="43">
        <f>SUM($C$3:$C$5)/64</f>
        <v/>
      </c>
      <c r="E30" s="43">
        <f>C30+D30</f>
        <v/>
      </c>
      <c r="F30" s="43">
        <f>IF($C$70=0, 0, E30/$C$70)</f>
        <v/>
      </c>
      <c r="G30" s="43">
        <f>F30*$T$5</f>
        <v/>
      </c>
      <c r="H30" s="43" t="n">
        <v>5</v>
      </c>
      <c r="I30" s="43">
        <f>$T$7*H30</f>
        <v/>
      </c>
      <c r="J30" s="43">
        <f>G30+$T$9+I30</f>
        <v/>
      </c>
      <c r="K30" s="43">
        <f>$T$11/64</f>
        <v/>
      </c>
      <c r="L30" s="43" t="n">
        <v>0</v>
      </c>
      <c r="M30" s="43" t="n">
        <v>0</v>
      </c>
      <c r="N30" s="43" t="n">
        <v>0</v>
      </c>
      <c r="O30" s="43" t="n">
        <v>0</v>
      </c>
      <c r="P30" s="43" t="n"/>
      <c r="Q30" s="43" t="n"/>
      <c r="R30" s="43">
        <f>(J30+K30+L30+M30+N30+O30+P30)*$B$2</f>
        <v/>
      </c>
      <c r="S30" s="43" t="n"/>
      <c r="T30" s="43" t="n"/>
    </row>
    <row r="31" ht="12.75" customHeight="1">
      <c r="A31" s="40" t="inlineStr">
        <is>
          <t>G10</t>
        </is>
      </c>
      <c r="B31" s="40">
        <f>VLOOKUP(A31,Members!$A$2:$B$65,2,FALSE)</f>
        <v/>
      </c>
      <c r="C31" s="41" t="n">
        <v>0</v>
      </c>
      <c r="D31" s="41">
        <f>SUM($C$3:$C$5)/64</f>
        <v/>
      </c>
      <c r="E31" s="41">
        <f>C31+D31</f>
        <v/>
      </c>
      <c r="F31" s="41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$T$11/64</f>
        <v/>
      </c>
      <c r="L31" s="41" t="n">
        <v>0</v>
      </c>
      <c r="M31" s="41" t="n">
        <v>0</v>
      </c>
      <c r="N31" s="41" t="n">
        <v>0</v>
      </c>
      <c r="O31" s="41" t="n">
        <v>0</v>
      </c>
      <c r="P31" s="41" t="n"/>
      <c r="Q31" s="41" t="n"/>
      <c r="R31" s="41">
        <f>(J31+K31+L31+M31+N31+O31+P31)*$B$2</f>
        <v/>
      </c>
      <c r="S31" s="41" t="n"/>
      <c r="T31" s="41" t="n"/>
    </row>
    <row r="32" ht="12.75" customHeight="1">
      <c r="A32" s="42" t="inlineStr">
        <is>
          <t>G11</t>
        </is>
      </c>
      <c r="B32" s="42">
        <f>VLOOKUP(A32,Members!$A$2:$B$65,2,FALSE)</f>
        <v/>
      </c>
      <c r="C32" s="43" t="n">
        <v>0</v>
      </c>
      <c r="D32" s="43">
        <f>SUM($C$3:$C$5)/64</f>
        <v/>
      </c>
      <c r="E32" s="43">
        <f>C32+D32</f>
        <v/>
      </c>
      <c r="F32" s="43">
        <f>IF($C$70=0, 0, E32/$C$70)</f>
        <v/>
      </c>
      <c r="G32" s="43">
        <f>F32*$T$5</f>
        <v/>
      </c>
      <c r="H32" s="43" t="n">
        <v>3</v>
      </c>
      <c r="I32" s="43">
        <f>$T$7*H32</f>
        <v/>
      </c>
      <c r="J32" s="43">
        <f>G32+$T$9+I32</f>
        <v/>
      </c>
      <c r="K32" s="43">
        <f>$T$11/64</f>
        <v/>
      </c>
      <c r="L32" s="43" t="n">
        <v>0</v>
      </c>
      <c r="M32" s="43" t="n">
        <v>0</v>
      </c>
      <c r="N32" s="43" t="n">
        <v>0</v>
      </c>
      <c r="O32" s="43" t="n">
        <v>0</v>
      </c>
      <c r="P32" s="43" t="n"/>
      <c r="Q32" s="43" t="n"/>
      <c r="R32" s="43">
        <f>(J32+K32+L32+M32+N32+O32+P32)*$B$2</f>
        <v/>
      </c>
      <c r="S32" s="43" t="n"/>
      <c r="T32" s="43" t="n"/>
    </row>
    <row r="33" ht="12.75" customHeight="1">
      <c r="A33" s="40" t="inlineStr">
        <is>
          <t>G12</t>
        </is>
      </c>
      <c r="B33" s="40">
        <f>VLOOKUP(A33,Members!$A$2:$B$65,2,FALSE)</f>
        <v/>
      </c>
      <c r="C33" s="41" t="n">
        <v>0</v>
      </c>
      <c r="D33" s="41">
        <f>SUM($C$3:$C$5)/64</f>
        <v/>
      </c>
      <c r="E33" s="41">
        <f>C33+D33</f>
        <v/>
      </c>
      <c r="F33" s="41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$T$11/64</f>
        <v/>
      </c>
      <c r="L33" s="41" t="n">
        <v>0</v>
      </c>
      <c r="M33" s="41" t="n">
        <v>0</v>
      </c>
      <c r="N33" s="41" t="n">
        <v>0</v>
      </c>
      <c r="O33" s="41" t="n">
        <v>0</v>
      </c>
      <c r="P33" s="41" t="n"/>
      <c r="Q33" s="41" t="n"/>
      <c r="R33" s="41">
        <f>(J33+K33+L33+M33+N33+O33+P33)*$B$2</f>
        <v/>
      </c>
      <c r="S33" s="41" t="n"/>
      <c r="T33" s="41" t="n"/>
    </row>
    <row r="34" ht="12.75" customHeight="1">
      <c r="A34" s="42" t="inlineStr">
        <is>
          <t>G13</t>
        </is>
      </c>
      <c r="B34" s="42">
        <f>VLOOKUP(A34,Members!$A$2:$B$65,2,FALSE)</f>
        <v/>
      </c>
      <c r="C34" s="43" t="n">
        <v>0</v>
      </c>
      <c r="D34" s="43">
        <f>SUM($C$3:$C$5)/64</f>
        <v/>
      </c>
      <c r="E34" s="43">
        <f>C34+D34</f>
        <v/>
      </c>
      <c r="F34" s="43">
        <f>IF($C$70=0, 0, E34/$C$70)</f>
        <v/>
      </c>
      <c r="G34" s="43">
        <f>F34*$T$5</f>
        <v/>
      </c>
      <c r="H34" s="43" t="n">
        <v>4</v>
      </c>
      <c r="I34" s="43">
        <f>$T$7*H34</f>
        <v/>
      </c>
      <c r="J34" s="43">
        <f>G34+$T$9+I34</f>
        <v/>
      </c>
      <c r="K34" s="43">
        <f>$T$11/64</f>
        <v/>
      </c>
      <c r="L34" s="43" t="n">
        <v>0</v>
      </c>
      <c r="M34" s="43" t="n">
        <v>0</v>
      </c>
      <c r="N34" s="43" t="n">
        <v>0</v>
      </c>
      <c r="O34" s="43" t="n">
        <v>0</v>
      </c>
      <c r="P34" s="43" t="n"/>
      <c r="Q34" s="43" t="n"/>
      <c r="R34" s="43">
        <f>(J34+K34+L34+M34+N34+O34+P34)*$B$2</f>
        <v/>
      </c>
      <c r="S34" s="43" t="n"/>
      <c r="T34" s="43" t="n"/>
    </row>
    <row r="35" ht="12.75" customHeight="1">
      <c r="A35" s="40" t="inlineStr">
        <is>
          <t>G14</t>
        </is>
      </c>
      <c r="B35" s="40">
        <f>VLOOKUP(A35,Members!$A$2:$B$65,2,FALSE)</f>
        <v/>
      </c>
      <c r="C35" s="41" t="n">
        <v>0</v>
      </c>
      <c r="D35" s="41">
        <f>SUM($C$3:$C$5)/64</f>
        <v/>
      </c>
      <c r="E35" s="41">
        <f>C35+D35</f>
        <v/>
      </c>
      <c r="F35" s="41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$T$11/64</f>
        <v/>
      </c>
      <c r="L35" s="41" t="n">
        <v>0</v>
      </c>
      <c r="M35" s="41" t="n">
        <v>0</v>
      </c>
      <c r="N35" s="41" t="n">
        <v>0</v>
      </c>
      <c r="O35" s="41" t="n">
        <v>0</v>
      </c>
      <c r="P35" s="41" t="n"/>
      <c r="Q35" s="41" t="n"/>
      <c r="R35" s="41">
        <f>(J35+K35+L35+M35+N35+O35+P35)*$B$2</f>
        <v/>
      </c>
      <c r="S35" s="41" t="n"/>
      <c r="T35" s="41" t="n"/>
    </row>
    <row r="36" ht="12.75" customHeight="1">
      <c r="A36" s="42" t="inlineStr">
        <is>
          <t>G15</t>
        </is>
      </c>
      <c r="B36" s="42">
        <f>VLOOKUP(A36,Members!$A$2:$B$65,2,FALSE)</f>
        <v/>
      </c>
      <c r="C36" s="43" t="n">
        <v>0</v>
      </c>
      <c r="D36" s="43">
        <f>SUM($C$3:$C$5)/64</f>
        <v/>
      </c>
      <c r="E36" s="43">
        <f>C36+D36</f>
        <v/>
      </c>
      <c r="F36" s="43">
        <f>IF($C$70=0, 0, E36/$C$70)</f>
        <v/>
      </c>
      <c r="G36" s="43">
        <f>F36*$T$5</f>
        <v/>
      </c>
      <c r="H36" s="43" t="n">
        <v>4</v>
      </c>
      <c r="I36" s="43">
        <f>$T$7*H36</f>
        <v/>
      </c>
      <c r="J36" s="43">
        <f>G36+$T$9+I36</f>
        <v/>
      </c>
      <c r="K36" s="43">
        <f>$T$11/64</f>
        <v/>
      </c>
      <c r="L36" s="43" t="n">
        <v>0</v>
      </c>
      <c r="M36" s="43" t="n">
        <v>0</v>
      </c>
      <c r="N36" s="43" t="n">
        <v>0</v>
      </c>
      <c r="O36" s="43" t="n">
        <v>0</v>
      </c>
      <c r="P36" s="43" t="n"/>
      <c r="Q36" s="43" t="n"/>
      <c r="R36" s="43">
        <f>(J36+K36+L36+M36+N36+O36+P36)*$B$2</f>
        <v/>
      </c>
      <c r="S36" s="43" t="n"/>
      <c r="T36" s="43" t="n"/>
    </row>
    <row r="37" ht="12.75" customHeight="1">
      <c r="A37" s="40" t="inlineStr">
        <is>
          <t>G16</t>
        </is>
      </c>
      <c r="B37" s="40">
        <f>VLOOKUP(A37,Members!$A$2:$B$65,2,FALSE)</f>
        <v/>
      </c>
      <c r="C37" s="41" t="n">
        <v>0</v>
      </c>
      <c r="D37" s="41">
        <f>SUM($C$3:$C$5)/64</f>
        <v/>
      </c>
      <c r="E37" s="41">
        <f>C37+D37</f>
        <v/>
      </c>
      <c r="F37" s="41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$T$11/64</f>
        <v/>
      </c>
      <c r="L37" s="41" t="n">
        <v>0</v>
      </c>
      <c r="M37" s="41" t="n">
        <v>0</v>
      </c>
      <c r="N37" s="41" t="n">
        <v>0</v>
      </c>
      <c r="O37" s="41" t="n">
        <v>0</v>
      </c>
      <c r="P37" s="41" t="n"/>
      <c r="Q37" s="41" t="n"/>
      <c r="R37" s="41">
        <f>(J37+K37+L37+M37+N37+O37+P37)*$B$2</f>
        <v/>
      </c>
      <c r="S37" s="41" t="n"/>
      <c r="T37" s="41" t="n"/>
    </row>
    <row r="38" ht="12.75" customHeight="1">
      <c r="A38" s="42" t="inlineStr">
        <is>
          <t>S1</t>
        </is>
      </c>
      <c r="B38" s="42">
        <f>VLOOKUP(A38,Members!$A$2:$B$65,2,FALSE)</f>
        <v/>
      </c>
      <c r="C38" s="43" t="n">
        <v>0</v>
      </c>
      <c r="D38" s="43">
        <f>SUM($C$3:$C$5)/64</f>
        <v/>
      </c>
      <c r="E38" s="43">
        <f>C38+D38</f>
        <v/>
      </c>
      <c r="F38" s="43">
        <f>IF($C$70=0, 0, E38/$C$70)</f>
        <v/>
      </c>
      <c r="G38" s="43">
        <f>F38*$T$5</f>
        <v/>
      </c>
      <c r="H38" s="43" t="n">
        <v>3</v>
      </c>
      <c r="I38" s="43">
        <f>$T$7*H38</f>
        <v/>
      </c>
      <c r="J38" s="43">
        <f>G38+$T$9+I38</f>
        <v/>
      </c>
      <c r="K38" s="43">
        <f>$T$11/64</f>
        <v/>
      </c>
      <c r="L38" s="43" t="n">
        <v>0</v>
      </c>
      <c r="M38" s="43" t="n">
        <v>0</v>
      </c>
      <c r="N38" s="43" t="n">
        <v>0</v>
      </c>
      <c r="O38" s="43" t="n">
        <v>0</v>
      </c>
      <c r="P38" s="43" t="n"/>
      <c r="Q38" s="43" t="n"/>
      <c r="R38" s="43">
        <f>(J38+K38+L38+M38+N38+O38+P38)*$B$2</f>
        <v/>
      </c>
      <c r="S38" s="43" t="n"/>
      <c r="T38" s="43" t="n"/>
    </row>
    <row r="39" ht="12.75" customHeight="1">
      <c r="A39" s="40" t="inlineStr">
        <is>
          <t>S2</t>
        </is>
      </c>
      <c r="B39" s="40">
        <f>VLOOKUP(A39,Members!$A$2:$B$65,2,FALSE)</f>
        <v/>
      </c>
      <c r="C39" s="41" t="n">
        <v>0</v>
      </c>
      <c r="D39" s="41">
        <f>SUM($C$3:$C$5)/64</f>
        <v/>
      </c>
      <c r="E39" s="41">
        <f>C39+D39</f>
        <v/>
      </c>
      <c r="F39" s="41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$T$11/64</f>
        <v/>
      </c>
      <c r="L39" s="41" t="n">
        <v>0</v>
      </c>
      <c r="M39" s="41" t="n">
        <v>0</v>
      </c>
      <c r="N39" s="41" t="n">
        <v>0</v>
      </c>
      <c r="O39" s="41" t="n">
        <v>0</v>
      </c>
      <c r="P39" s="41" t="n"/>
      <c r="Q39" s="41" t="n"/>
      <c r="R39" s="41">
        <f>(J39+K39+L39+M39+N39+O39+P39)*$B$2</f>
        <v/>
      </c>
      <c r="S39" s="41" t="n"/>
      <c r="T39" s="41" t="n"/>
    </row>
    <row r="40" ht="12.75" customHeight="1">
      <c r="A40" s="42" t="inlineStr">
        <is>
          <t>S3</t>
        </is>
      </c>
      <c r="B40" s="42">
        <f>VLOOKUP(A40,Members!$A$2:$B$65,2,FALSE)</f>
        <v/>
      </c>
      <c r="C40" s="43" t="n">
        <v>0</v>
      </c>
      <c r="D40" s="43">
        <f>SUM($C$3:$C$5)/64</f>
        <v/>
      </c>
      <c r="E40" s="43">
        <f>C40+D40</f>
        <v/>
      </c>
      <c r="F40" s="43">
        <f>IF($C$70=0, 0, E40/$C$70)</f>
        <v/>
      </c>
      <c r="G40" s="43">
        <f>F40*$T$5</f>
        <v/>
      </c>
      <c r="H40" s="43" t="n">
        <v>4</v>
      </c>
      <c r="I40" s="43">
        <f>$T$7*H40</f>
        <v/>
      </c>
      <c r="J40" s="43">
        <f>G40+$T$9+I40</f>
        <v/>
      </c>
      <c r="K40" s="43">
        <f>$T$11/64</f>
        <v/>
      </c>
      <c r="L40" s="43" t="n">
        <v>0</v>
      </c>
      <c r="M40" s="43" t="n">
        <v>0</v>
      </c>
      <c r="N40" s="43" t="n">
        <v>0</v>
      </c>
      <c r="O40" s="43" t="n">
        <v>0</v>
      </c>
      <c r="P40" s="43" t="n"/>
      <c r="Q40" s="43" t="n"/>
      <c r="R40" s="43">
        <f>(J40+K40+L40+M40+N40+O40+P40)*$B$2</f>
        <v/>
      </c>
      <c r="S40" s="43" t="n"/>
      <c r="T40" s="43" t="n"/>
    </row>
    <row r="41" ht="12.75" customHeight="1">
      <c r="A41" s="40" t="inlineStr">
        <is>
          <t>S4</t>
        </is>
      </c>
      <c r="B41" s="40">
        <f>VLOOKUP(A41,Members!$A$2:$B$65,2,FALSE)</f>
        <v/>
      </c>
      <c r="C41" s="41" t="n">
        <v>0</v>
      </c>
      <c r="D41" s="41">
        <f>SUM($C$3:$C$5)/64</f>
        <v/>
      </c>
      <c r="E41" s="41">
        <f>C41+D41</f>
        <v/>
      </c>
      <c r="F41" s="41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$T$11/64</f>
        <v/>
      </c>
      <c r="L41" s="41" t="n">
        <v>0</v>
      </c>
      <c r="M41" s="41" t="n">
        <v>0</v>
      </c>
      <c r="N41" s="41" t="n">
        <v>0</v>
      </c>
      <c r="O41" s="41" t="n">
        <v>0</v>
      </c>
      <c r="P41" s="41" t="n"/>
      <c r="Q41" s="41" t="n"/>
      <c r="R41" s="41">
        <f>(J41+K41+L41+M41+N41+O41+P41)*$B$2</f>
        <v/>
      </c>
      <c r="S41" s="41" t="n"/>
      <c r="T41" s="41" t="n"/>
    </row>
    <row r="42" ht="12.75" customHeight="1">
      <c r="A42" s="42" t="inlineStr">
        <is>
          <t>S5</t>
        </is>
      </c>
      <c r="B42" s="42">
        <f>VLOOKUP(A42,Members!$A$2:$B$65,2,FALSE)</f>
        <v/>
      </c>
      <c r="C42" s="43" t="n">
        <v>0</v>
      </c>
      <c r="D42" s="43">
        <f>SUM($C$3:$C$5)/64</f>
        <v/>
      </c>
      <c r="E42" s="43">
        <f>C42+D42</f>
        <v/>
      </c>
      <c r="F42" s="43">
        <f>IF($C$70=0, 0, E42/$C$70)</f>
        <v/>
      </c>
      <c r="G42" s="43">
        <f>F42*$T$5</f>
        <v/>
      </c>
      <c r="H42" s="43" t="n">
        <v>3</v>
      </c>
      <c r="I42" s="43">
        <f>$T$7*H42</f>
        <v/>
      </c>
      <c r="J42" s="43">
        <f>G42+$T$9+I42</f>
        <v/>
      </c>
      <c r="K42" s="43">
        <f>$T$11/64</f>
        <v/>
      </c>
      <c r="L42" s="43" t="n">
        <v>0</v>
      </c>
      <c r="M42" s="43" t="n">
        <v>0</v>
      </c>
      <c r="N42" s="43" t="n">
        <v>0</v>
      </c>
      <c r="O42" s="43" t="n">
        <v>0</v>
      </c>
      <c r="P42" s="43" t="n"/>
      <c r="Q42" s="43" t="n"/>
      <c r="R42" s="43">
        <f>(J42+K42+L42+M42+N42+O42+P42)*$B$2</f>
        <v/>
      </c>
      <c r="S42" s="43" t="n"/>
      <c r="T42" s="43" t="n"/>
    </row>
    <row r="43" ht="12.75" customHeight="1">
      <c r="A43" s="40" t="inlineStr">
        <is>
          <t>S6</t>
        </is>
      </c>
      <c r="B43" s="40">
        <f>VLOOKUP(A43,Members!$A$2:$B$65,2,FALSE)</f>
        <v/>
      </c>
      <c r="C43" s="41" t="n">
        <v>0</v>
      </c>
      <c r="D43" s="41">
        <f>SUM($C$3:$C$5)/64</f>
        <v/>
      </c>
      <c r="E43" s="41">
        <f>C43+D43</f>
        <v/>
      </c>
      <c r="F43" s="41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$T$11/64</f>
        <v/>
      </c>
      <c r="L43" s="41" t="n">
        <v>0</v>
      </c>
      <c r="M43" s="41" t="n">
        <v>0</v>
      </c>
      <c r="N43" s="41" t="n">
        <v>0</v>
      </c>
      <c r="O43" s="41" t="n">
        <v>0</v>
      </c>
      <c r="P43" s="41" t="n"/>
      <c r="Q43" s="41" t="n"/>
      <c r="R43" s="41">
        <f>(J43+K43+L43+M43+N43+O43+P43)*$B$2</f>
        <v/>
      </c>
      <c r="S43" s="41" t="n"/>
      <c r="T43" s="41" t="n"/>
    </row>
    <row r="44" ht="12.75" customHeight="1">
      <c r="A44" s="42" t="inlineStr">
        <is>
          <t>S7</t>
        </is>
      </c>
      <c r="B44" s="42">
        <f>VLOOKUP(A44,Members!$A$2:$B$65,2,FALSE)</f>
        <v/>
      </c>
      <c r="C44" s="43" t="n">
        <v>0</v>
      </c>
      <c r="D44" s="43">
        <f>SUM($C$3:$C$5)/64</f>
        <v/>
      </c>
      <c r="E44" s="43">
        <f>C44+D44</f>
        <v/>
      </c>
      <c r="F44" s="43">
        <f>IF($C$70=0, 0, E44/$C$70)</f>
        <v/>
      </c>
      <c r="G44" s="43">
        <f>F44*$T$5</f>
        <v/>
      </c>
      <c r="H44" s="43" t="n">
        <v>3</v>
      </c>
      <c r="I44" s="43">
        <f>$T$7*H44</f>
        <v/>
      </c>
      <c r="J44" s="43">
        <f>G44+$T$9+I44</f>
        <v/>
      </c>
      <c r="K44" s="43">
        <f>$T$11/64</f>
        <v/>
      </c>
      <c r="L44" s="43" t="n">
        <v>0</v>
      </c>
      <c r="M44" s="43" t="n">
        <v>0</v>
      </c>
      <c r="N44" s="43" t="n">
        <v>0</v>
      </c>
      <c r="O44" s="43" t="n">
        <v>0</v>
      </c>
      <c r="P44" s="43" t="n"/>
      <c r="Q44" s="43" t="n"/>
      <c r="R44" s="43">
        <f>(J44+K44+L44+M44+N44+O44+P44)*$B$2</f>
        <v/>
      </c>
      <c r="S44" s="43" t="n"/>
      <c r="T44" s="43" t="n"/>
    </row>
    <row r="45" ht="12.75" customHeight="1">
      <c r="A45" s="40" t="inlineStr">
        <is>
          <t>S8</t>
        </is>
      </c>
      <c r="B45" s="40">
        <f>VLOOKUP(A45,Members!$A$2:$B$65,2,FALSE)</f>
        <v/>
      </c>
      <c r="C45" s="41" t="n">
        <v>0</v>
      </c>
      <c r="D45" s="41">
        <f>SUM($C$3:$C$5)/64</f>
        <v/>
      </c>
      <c r="E45" s="41">
        <f>C45+D45</f>
        <v/>
      </c>
      <c r="F45" s="41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$T$11/64</f>
        <v/>
      </c>
      <c r="L45" s="41" t="n">
        <v>0</v>
      </c>
      <c r="M45" s="41" t="n">
        <v>0</v>
      </c>
      <c r="N45" s="41" t="n">
        <v>0</v>
      </c>
      <c r="O45" s="41" t="n">
        <v>0</v>
      </c>
      <c r="P45" s="41" t="n"/>
      <c r="Q45" s="41" t="n"/>
      <c r="R45" s="41">
        <f>(J45+K45+L45+M45+N45+O45+P45)*$B$2</f>
        <v/>
      </c>
      <c r="S45" s="41" t="n"/>
      <c r="T45" s="41" t="n"/>
    </row>
    <row r="46" ht="12.75" customHeight="1">
      <c r="A46" s="42" t="inlineStr">
        <is>
          <t>S9</t>
        </is>
      </c>
      <c r="B46" s="42">
        <f>VLOOKUP(A46,Members!$A$2:$B$65,2,FALSE)</f>
        <v/>
      </c>
      <c r="C46" s="43" t="n">
        <v>0</v>
      </c>
      <c r="D46" s="43">
        <f>SUM($C$3:$C$5)/64</f>
        <v/>
      </c>
      <c r="E46" s="43">
        <f>C46+D46</f>
        <v/>
      </c>
      <c r="F46" s="43">
        <f>IF($C$70=0, 0, E46/$C$70)</f>
        <v/>
      </c>
      <c r="G46" s="43">
        <f>F46*$T$5</f>
        <v/>
      </c>
      <c r="H46" s="43" t="n">
        <v>4</v>
      </c>
      <c r="I46" s="43">
        <f>$T$7*H46</f>
        <v/>
      </c>
      <c r="J46" s="43">
        <f>G46+$T$9+I46</f>
        <v/>
      </c>
      <c r="K46" s="43">
        <f>$T$11/64</f>
        <v/>
      </c>
      <c r="L46" s="43" t="n">
        <v>0</v>
      </c>
      <c r="M46" s="43" t="n">
        <v>0</v>
      </c>
      <c r="N46" s="43" t="n">
        <v>0</v>
      </c>
      <c r="O46" s="43" t="n">
        <v>0</v>
      </c>
      <c r="P46" s="43" t="n"/>
      <c r="Q46" s="43" t="n"/>
      <c r="R46" s="43">
        <f>(J46+K46+L46+M46+N46+O46+P46)*$B$2</f>
        <v/>
      </c>
      <c r="S46" s="43" t="n"/>
      <c r="T46" s="43" t="n"/>
    </row>
    <row r="47" ht="12.75" customHeight="1">
      <c r="A47" s="40" t="inlineStr">
        <is>
          <t>S10</t>
        </is>
      </c>
      <c r="B47" s="40">
        <f>VLOOKUP(A47,Members!$A$2:$B$65,2,FALSE)</f>
        <v/>
      </c>
      <c r="C47" s="41" t="n">
        <v>0</v>
      </c>
      <c r="D47" s="41">
        <f>SUM($C$3:$C$5)/64</f>
        <v/>
      </c>
      <c r="E47" s="41">
        <f>C47+D47</f>
        <v/>
      </c>
      <c r="F47" s="41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$T$11/64</f>
        <v/>
      </c>
      <c r="L47" s="41" t="n">
        <v>0</v>
      </c>
      <c r="M47" s="41" t="n">
        <v>0</v>
      </c>
      <c r="N47" s="41" t="n">
        <v>0</v>
      </c>
      <c r="O47" s="41" t="n">
        <v>0</v>
      </c>
      <c r="P47" s="41" t="n"/>
      <c r="Q47" s="41" t="n"/>
      <c r="R47" s="41">
        <f>(J47+K47+L47+M47+N47+O47+P47)*$B$2</f>
        <v/>
      </c>
      <c r="S47" s="41" t="n"/>
      <c r="T47" s="41" t="n"/>
    </row>
    <row r="48" ht="12.75" customHeight="1">
      <c r="A48" s="42" t="inlineStr">
        <is>
          <t>S11</t>
        </is>
      </c>
      <c r="B48" s="42">
        <f>VLOOKUP(A48,Members!$A$2:$B$65,2,FALSE)</f>
        <v/>
      </c>
      <c r="C48" s="43" t="n">
        <v>0</v>
      </c>
      <c r="D48" s="43">
        <f>SUM($C$3:$C$5)/64</f>
        <v/>
      </c>
      <c r="E48" s="43">
        <f>C48+D48</f>
        <v/>
      </c>
      <c r="F48" s="43">
        <f>IF($C$70=0, 0, E48/$C$70)</f>
        <v/>
      </c>
      <c r="G48" s="43">
        <f>F48*$T$5</f>
        <v/>
      </c>
      <c r="H48" s="43" t="n">
        <v>3</v>
      </c>
      <c r="I48" s="43">
        <f>$T$7*H48</f>
        <v/>
      </c>
      <c r="J48" s="43">
        <f>G48+$T$9+I48</f>
        <v/>
      </c>
      <c r="K48" s="43">
        <f>$T$11/64</f>
        <v/>
      </c>
      <c r="L48" s="43" t="n">
        <v>0</v>
      </c>
      <c r="M48" s="43" t="n">
        <v>0</v>
      </c>
      <c r="N48" s="43" t="n">
        <v>0</v>
      </c>
      <c r="O48" s="43" t="n">
        <v>0</v>
      </c>
      <c r="P48" s="43" t="n"/>
      <c r="Q48" s="43" t="n"/>
      <c r="R48" s="43">
        <f>(J48+K48+L48+M48+N48+O48+P48)*$B$2</f>
        <v/>
      </c>
      <c r="S48" s="43" t="n"/>
      <c r="T48" s="43" t="n"/>
    </row>
    <row r="49" ht="12.75" customHeight="1">
      <c r="A49" s="40" t="inlineStr">
        <is>
          <t>S12</t>
        </is>
      </c>
      <c r="B49" s="40">
        <f>VLOOKUP(A49,Members!$A$2:$B$65,2,FALSE)</f>
        <v/>
      </c>
      <c r="C49" s="41" t="n">
        <v>0</v>
      </c>
      <c r="D49" s="41">
        <f>SUM($C$3:$C$5)/64</f>
        <v/>
      </c>
      <c r="E49" s="41">
        <f>C49+D49</f>
        <v/>
      </c>
      <c r="F49" s="41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$T$11/64</f>
        <v/>
      </c>
      <c r="L49" s="41" t="n">
        <v>0</v>
      </c>
      <c r="M49" s="41" t="n">
        <v>0</v>
      </c>
      <c r="N49" s="41" t="n">
        <v>0</v>
      </c>
      <c r="O49" s="41" t="n">
        <v>0</v>
      </c>
      <c r="P49" s="41" t="n"/>
      <c r="Q49" s="41" t="n"/>
      <c r="R49" s="41">
        <f>(J49+K49+L49+M49+N49+O49+P49)*$B$2</f>
        <v/>
      </c>
      <c r="S49" s="41" t="n"/>
      <c r="T49" s="41" t="n"/>
    </row>
    <row r="50" ht="12.75" customHeight="1">
      <c r="A50" s="42" t="inlineStr">
        <is>
          <t>S13</t>
        </is>
      </c>
      <c r="B50" s="42">
        <f>VLOOKUP(A50,Members!$A$2:$B$65,2,FALSE)</f>
        <v/>
      </c>
      <c r="C50" s="43" t="n">
        <v>0</v>
      </c>
      <c r="D50" s="43">
        <f>SUM($C$3:$C$5)/64</f>
        <v/>
      </c>
      <c r="E50" s="43">
        <f>C50+D50</f>
        <v/>
      </c>
      <c r="F50" s="43">
        <f>IF($C$70=0, 0, E50/$C$70)</f>
        <v/>
      </c>
      <c r="G50" s="43">
        <f>F50*$T$5</f>
        <v/>
      </c>
      <c r="H50" s="43" t="n">
        <v>4</v>
      </c>
      <c r="I50" s="43">
        <f>$T$7*H50</f>
        <v/>
      </c>
      <c r="J50" s="43">
        <f>G50+$T$9+I50</f>
        <v/>
      </c>
      <c r="K50" s="43">
        <f>$T$11/64</f>
        <v/>
      </c>
      <c r="L50" s="43" t="n">
        <v>0</v>
      </c>
      <c r="M50" s="43" t="n">
        <v>0</v>
      </c>
      <c r="N50" s="43" t="n">
        <v>0</v>
      </c>
      <c r="O50" s="43" t="n">
        <v>0</v>
      </c>
      <c r="P50" s="43" t="n"/>
      <c r="Q50" s="43" t="n"/>
      <c r="R50" s="43">
        <f>(J50+K50+L50+M50+N50+O50+P50)*$B$2</f>
        <v/>
      </c>
      <c r="S50" s="43" t="n"/>
      <c r="T50" s="43" t="n"/>
    </row>
    <row r="51" ht="12.75" customHeight="1">
      <c r="A51" s="40" t="inlineStr">
        <is>
          <t>S14</t>
        </is>
      </c>
      <c r="B51" s="40">
        <f>VLOOKUP(A51,Members!$A$2:$B$65,2,FALSE)</f>
        <v/>
      </c>
      <c r="C51" s="41" t="n">
        <v>0</v>
      </c>
      <c r="D51" s="41">
        <f>SUM($C$3:$C$5)/64</f>
        <v/>
      </c>
      <c r="E51" s="41">
        <f>C51+D51</f>
        <v/>
      </c>
      <c r="F51" s="41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$T$11/64</f>
        <v/>
      </c>
      <c r="L51" s="41" t="n">
        <v>0</v>
      </c>
      <c r="M51" s="41" t="n">
        <v>0</v>
      </c>
      <c r="N51" s="41" t="n">
        <v>0</v>
      </c>
      <c r="O51" s="41" t="n">
        <v>0</v>
      </c>
      <c r="P51" s="41" t="n"/>
      <c r="Q51" s="41" t="n"/>
      <c r="R51" s="41">
        <f>(J51+K51+L51+M51+N51+O51+P51)*$B$2</f>
        <v/>
      </c>
      <c r="S51" s="41" t="n"/>
      <c r="T51" s="41" t="n"/>
    </row>
    <row r="52" ht="12.75" customHeight="1">
      <c r="A52" s="42" t="inlineStr">
        <is>
          <t>S15</t>
        </is>
      </c>
      <c r="B52" s="42">
        <f>VLOOKUP(A52,Members!$A$2:$B$65,2,FALSE)</f>
        <v/>
      </c>
      <c r="C52" s="43" t="n">
        <v>0</v>
      </c>
      <c r="D52" s="43">
        <f>SUM($C$3:$C$5)/64</f>
        <v/>
      </c>
      <c r="E52" s="43">
        <f>C52+D52</f>
        <v/>
      </c>
      <c r="F52" s="43">
        <f>IF($C$70=0, 0, E52/$C$70)</f>
        <v/>
      </c>
      <c r="G52" s="43">
        <f>F52*$T$5</f>
        <v/>
      </c>
      <c r="H52" s="43" t="n">
        <v>4</v>
      </c>
      <c r="I52" s="43">
        <f>$T$7*H52</f>
        <v/>
      </c>
      <c r="J52" s="43">
        <f>G52+$T$9+I52</f>
        <v/>
      </c>
      <c r="K52" s="43">
        <f>$T$11/64</f>
        <v/>
      </c>
      <c r="L52" s="43" t="n">
        <v>0</v>
      </c>
      <c r="M52" s="43" t="n">
        <v>0</v>
      </c>
      <c r="N52" s="43" t="n">
        <v>0</v>
      </c>
      <c r="O52" s="43" t="n">
        <v>0</v>
      </c>
      <c r="P52" s="43" t="n"/>
      <c r="Q52" s="43" t="n"/>
      <c r="R52" s="43">
        <f>(J52+K52+L52+M52+N52+O52+P52)*$B$2</f>
        <v/>
      </c>
      <c r="S52" s="43" t="n"/>
      <c r="T52" s="43" t="n"/>
    </row>
    <row r="53" ht="12.75" customHeight="1">
      <c r="A53" s="40" t="inlineStr">
        <is>
          <t>S16</t>
        </is>
      </c>
      <c r="B53" s="40">
        <f>VLOOKUP(A53,Members!$A$2:$B$65,2,FALSE)</f>
        <v/>
      </c>
      <c r="C53" s="41" t="n">
        <v>0</v>
      </c>
      <c r="D53" s="41">
        <f>SUM($C$3:$C$5)/64</f>
        <v/>
      </c>
      <c r="E53" s="41">
        <f>C53+D53</f>
        <v/>
      </c>
      <c r="F53" s="41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$T$11/64</f>
        <v/>
      </c>
      <c r="L53" s="41" t="n">
        <v>0</v>
      </c>
      <c r="M53" s="41" t="n">
        <v>0</v>
      </c>
      <c r="N53" s="41" t="n">
        <v>0</v>
      </c>
      <c r="O53" s="41" t="n">
        <v>0</v>
      </c>
      <c r="P53" s="41" t="n"/>
      <c r="Q53" s="41" t="n"/>
      <c r="R53" s="41">
        <f>(J53+K53+L53+M53+N53+O53+P53)*$B$2</f>
        <v/>
      </c>
      <c r="S53" s="41" t="n"/>
      <c r="T53" s="41" t="n"/>
    </row>
    <row r="54" ht="12.75" customHeight="1">
      <c r="A54" s="42" t="inlineStr">
        <is>
          <t>T1</t>
        </is>
      </c>
      <c r="B54" s="42">
        <f>VLOOKUP(A54,Members!$A$2:$B$65,2,FALSE)</f>
        <v/>
      </c>
      <c r="C54" s="43" t="n">
        <v>0</v>
      </c>
      <c r="D54" s="43">
        <f>SUM($C$3:$C$5)/64</f>
        <v/>
      </c>
      <c r="E54" s="43">
        <f>C54+D54</f>
        <v/>
      </c>
      <c r="F54" s="43">
        <f>IF($C$70=0, 0, E54/$C$70)</f>
        <v/>
      </c>
      <c r="G54" s="43">
        <f>F54*$T$5</f>
        <v/>
      </c>
      <c r="H54" s="43" t="n">
        <v>3</v>
      </c>
      <c r="I54" s="43">
        <f>$T$7*H54</f>
        <v/>
      </c>
      <c r="J54" s="43">
        <f>G54+$T$9+I54</f>
        <v/>
      </c>
      <c r="K54" s="43">
        <f>$T$11/64</f>
        <v/>
      </c>
      <c r="L54" s="43" t="n">
        <v>0</v>
      </c>
      <c r="M54" s="43" t="n">
        <v>0</v>
      </c>
      <c r="N54" s="43" t="n">
        <v>0</v>
      </c>
      <c r="O54" s="43" t="n">
        <v>0</v>
      </c>
      <c r="P54" s="43" t="n"/>
      <c r="Q54" s="43" t="n"/>
      <c r="R54" s="43">
        <f>(J54+K54+L54+M54+N54+O54+P54)*$B$2</f>
        <v/>
      </c>
      <c r="S54" s="43" t="n"/>
      <c r="T54" s="43" t="n"/>
    </row>
    <row r="55" ht="12.75" customHeight="1">
      <c r="A55" s="40" t="inlineStr">
        <is>
          <t>T2</t>
        </is>
      </c>
      <c r="B55" s="40">
        <f>VLOOKUP(A55,Members!$A$2:$B$65,2,FALSE)</f>
        <v/>
      </c>
      <c r="C55" s="41" t="n">
        <v>0</v>
      </c>
      <c r="D55" s="41">
        <f>SUM($C$3:$C$5)/64</f>
        <v/>
      </c>
      <c r="E55" s="41">
        <f>C55+D55</f>
        <v/>
      </c>
      <c r="F55" s="41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$T$11/64</f>
        <v/>
      </c>
      <c r="L55" s="41" t="n">
        <v>0</v>
      </c>
      <c r="M55" s="41" t="n">
        <v>0</v>
      </c>
      <c r="N55" s="41" t="n">
        <v>0</v>
      </c>
      <c r="O55" s="41" t="n">
        <v>0</v>
      </c>
      <c r="P55" s="41" t="n"/>
      <c r="Q55" s="41" t="n"/>
      <c r="R55" s="41">
        <f>(J55+K55+L55+M55+N55+O55+P55)*$B$2</f>
        <v/>
      </c>
      <c r="S55" s="41" t="n"/>
      <c r="T55" s="41" t="n"/>
    </row>
    <row r="56" ht="12.75" customHeight="1">
      <c r="A56" s="42" t="inlineStr">
        <is>
          <t>T3</t>
        </is>
      </c>
      <c r="B56" s="42">
        <f>VLOOKUP(A56,Members!$A$2:$B$65,2,FALSE)</f>
        <v/>
      </c>
      <c r="C56" s="43" t="n">
        <v>0</v>
      </c>
      <c r="D56" s="43">
        <f>SUM($C$3:$C$5)/64</f>
        <v/>
      </c>
      <c r="E56" s="43">
        <f>C56+D56</f>
        <v/>
      </c>
      <c r="F56" s="43">
        <f>IF($C$70=0, 0, E56/$C$70)</f>
        <v/>
      </c>
      <c r="G56" s="43">
        <f>F56*$T$5</f>
        <v/>
      </c>
      <c r="H56" s="43" t="n">
        <v>4</v>
      </c>
      <c r="I56" s="43">
        <f>$T$7*H56</f>
        <v/>
      </c>
      <c r="J56" s="43">
        <f>G56+$T$9+I56</f>
        <v/>
      </c>
      <c r="K56" s="43">
        <f>$T$11/64</f>
        <v/>
      </c>
      <c r="L56" s="43" t="n">
        <v>0</v>
      </c>
      <c r="M56" s="43" t="n">
        <v>0</v>
      </c>
      <c r="N56" s="43" t="n">
        <v>0</v>
      </c>
      <c r="O56" s="43" t="n">
        <v>0</v>
      </c>
      <c r="P56" s="43" t="n"/>
      <c r="Q56" s="43" t="n"/>
      <c r="R56" s="43">
        <f>(J56+K56+L56+M56+N56+O56+P56)*$B$2</f>
        <v/>
      </c>
      <c r="S56" s="43" t="n"/>
      <c r="T56" s="43" t="n"/>
    </row>
    <row r="57" ht="12.75" customHeight="1">
      <c r="A57" s="40" t="inlineStr">
        <is>
          <t>T4</t>
        </is>
      </c>
      <c r="B57" s="40">
        <f>VLOOKUP(A57,Members!$A$2:$B$65,2,FALSE)</f>
        <v/>
      </c>
      <c r="C57" s="41" t="n">
        <v>0</v>
      </c>
      <c r="D57" s="41">
        <f>SUM($C$3:$C$5)/64</f>
        <v/>
      </c>
      <c r="E57" s="41">
        <f>C57+D57</f>
        <v/>
      </c>
      <c r="F57" s="41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$T$11/64</f>
        <v/>
      </c>
      <c r="L57" s="41" t="n">
        <v>0</v>
      </c>
      <c r="M57" s="41" t="n">
        <v>0</v>
      </c>
      <c r="N57" s="41" t="n">
        <v>0</v>
      </c>
      <c r="O57" s="41" t="n">
        <v>0</v>
      </c>
      <c r="P57" s="41" t="n"/>
      <c r="Q57" s="41" t="n"/>
      <c r="R57" s="41">
        <f>(J57+K57+L57+M57+N57+O57+P57)*$B$2</f>
        <v/>
      </c>
      <c r="S57" s="41" t="n"/>
      <c r="T57" s="41" t="n"/>
    </row>
    <row r="58" ht="12.75" customHeight="1">
      <c r="A58" s="42" t="inlineStr">
        <is>
          <t>T5</t>
        </is>
      </c>
      <c r="B58" s="42">
        <f>VLOOKUP(A58,Members!$A$2:$B$65,2,FALSE)</f>
        <v/>
      </c>
      <c r="C58" s="43" t="n">
        <v>0</v>
      </c>
      <c r="D58" s="43">
        <f>SUM($C$3:$C$5)/64</f>
        <v/>
      </c>
      <c r="E58" s="43">
        <f>C58+D58</f>
        <v/>
      </c>
      <c r="F58" s="43">
        <f>IF($C$70=0, 0, E58/$C$70)</f>
        <v/>
      </c>
      <c r="G58" s="43">
        <f>F58*$T$5</f>
        <v/>
      </c>
      <c r="H58" s="43" t="n">
        <v>3</v>
      </c>
      <c r="I58" s="43">
        <f>$T$7*H58</f>
        <v/>
      </c>
      <c r="J58" s="43">
        <f>G58+$T$9+I58</f>
        <v/>
      </c>
      <c r="K58" s="43">
        <f>$T$11/64</f>
        <v/>
      </c>
      <c r="L58" s="43" t="n">
        <v>0</v>
      </c>
      <c r="M58" s="43" t="n">
        <v>0</v>
      </c>
      <c r="N58" s="43" t="n">
        <v>0</v>
      </c>
      <c r="O58" s="43" t="n">
        <v>0</v>
      </c>
      <c r="P58" s="43" t="n"/>
      <c r="Q58" s="43" t="n"/>
      <c r="R58" s="43">
        <f>(J58+K58+L58+M58+N58+O58+P58)*$B$2</f>
        <v/>
      </c>
      <c r="S58" s="43" t="n"/>
      <c r="T58" s="43" t="n"/>
    </row>
    <row r="59" ht="12.75" customHeight="1">
      <c r="A59" s="40" t="inlineStr">
        <is>
          <t>T6</t>
        </is>
      </c>
      <c r="B59" s="40">
        <f>VLOOKUP(A59,Members!$A$2:$B$65,2,FALSE)</f>
        <v/>
      </c>
      <c r="C59" s="41" t="n">
        <v>0</v>
      </c>
      <c r="D59" s="41">
        <f>SUM($C$3:$C$5)/64</f>
        <v/>
      </c>
      <c r="E59" s="41">
        <f>C59+D59</f>
        <v/>
      </c>
      <c r="F59" s="41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$T$11/64</f>
        <v/>
      </c>
      <c r="L59" s="41" t="n">
        <v>0</v>
      </c>
      <c r="M59" s="41" t="n">
        <v>0</v>
      </c>
      <c r="N59" s="41" t="n">
        <v>0</v>
      </c>
      <c r="O59" s="41" t="n">
        <v>0</v>
      </c>
      <c r="P59" s="41" t="n"/>
      <c r="Q59" s="41" t="n"/>
      <c r="R59" s="41">
        <f>(J59+K59+L59+M59+N59+O59+P59)*$B$2</f>
        <v/>
      </c>
      <c r="S59" s="41" t="n"/>
      <c r="T59" s="41" t="n"/>
    </row>
    <row r="60" ht="12.75" customHeight="1">
      <c r="A60" s="42" t="inlineStr">
        <is>
          <t>T7</t>
        </is>
      </c>
      <c r="B60" s="42">
        <f>VLOOKUP(A60,Members!$A$2:$B$65,2,FALSE)</f>
        <v/>
      </c>
      <c r="C60" s="43" t="n">
        <v>0</v>
      </c>
      <c r="D60" s="43">
        <f>SUM($C$3:$C$5)/64</f>
        <v/>
      </c>
      <c r="E60" s="43">
        <f>C60+D60</f>
        <v/>
      </c>
      <c r="F60" s="43">
        <f>IF($C$70=0, 0, E60/$C$70)</f>
        <v/>
      </c>
      <c r="G60" s="43">
        <f>F60*$T$5</f>
        <v/>
      </c>
      <c r="H60" s="43" t="n">
        <v>3</v>
      </c>
      <c r="I60" s="43">
        <f>$T$7*H60</f>
        <v/>
      </c>
      <c r="J60" s="43">
        <f>G60+$T$9+I60</f>
        <v/>
      </c>
      <c r="K60" s="43">
        <f>$T$11/64</f>
        <v/>
      </c>
      <c r="L60" s="43" t="n">
        <v>0</v>
      </c>
      <c r="M60" s="43" t="n">
        <v>0</v>
      </c>
      <c r="N60" s="43" t="n">
        <v>0</v>
      </c>
      <c r="O60" s="43" t="n">
        <v>0</v>
      </c>
      <c r="P60" s="43" t="n"/>
      <c r="Q60" s="43" t="n"/>
      <c r="R60" s="43">
        <f>(J60+K60+L60+M60+N60+O60+P60)*$B$2</f>
        <v/>
      </c>
      <c r="S60" s="43" t="n"/>
      <c r="T60" s="43" t="n"/>
    </row>
    <row r="61" ht="12.75" customHeight="1">
      <c r="A61" s="40" t="inlineStr">
        <is>
          <t>T8</t>
        </is>
      </c>
      <c r="B61" s="40">
        <f>VLOOKUP(A61,Members!$A$2:$B$65,2,FALSE)</f>
        <v/>
      </c>
      <c r="C61" s="41" t="n">
        <v>0</v>
      </c>
      <c r="D61" s="41">
        <f>SUM($C$3:$C$5)/64</f>
        <v/>
      </c>
      <c r="E61" s="41">
        <f>C61+D61</f>
        <v/>
      </c>
      <c r="F61" s="41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$T$11/64</f>
        <v/>
      </c>
      <c r="L61" s="41" t="n">
        <v>0</v>
      </c>
      <c r="M61" s="41" t="n">
        <v>0</v>
      </c>
      <c r="N61" s="41" t="n">
        <v>0</v>
      </c>
      <c r="O61" s="41" t="n">
        <v>0</v>
      </c>
      <c r="P61" s="41" t="n"/>
      <c r="Q61" s="41" t="n"/>
      <c r="R61" s="41">
        <f>(J61+K61+L61+M61+N61+O61+P61)*$B$2</f>
        <v/>
      </c>
      <c r="S61" s="41" t="n"/>
      <c r="T61" s="41" t="n"/>
    </row>
    <row r="62" ht="12.75" customHeight="1">
      <c r="A62" s="42" t="inlineStr">
        <is>
          <t>T9</t>
        </is>
      </c>
      <c r="B62" s="42">
        <f>VLOOKUP(A62,Members!$A$2:$B$65,2,FALSE)</f>
        <v/>
      </c>
      <c r="C62" s="43" t="n">
        <v>0</v>
      </c>
      <c r="D62" s="43">
        <f>SUM($C$3:$C$5)/64</f>
        <v/>
      </c>
      <c r="E62" s="43">
        <f>C62+D62</f>
        <v/>
      </c>
      <c r="F62" s="43">
        <f>IF($C$70=0, 0, E62/$C$70)</f>
        <v/>
      </c>
      <c r="G62" s="43">
        <f>F62*$T$5</f>
        <v/>
      </c>
      <c r="H62" s="43" t="n">
        <v>4</v>
      </c>
      <c r="I62" s="43">
        <f>$T$7*H62</f>
        <v/>
      </c>
      <c r="J62" s="43">
        <f>G62+$T$9+I62</f>
        <v/>
      </c>
      <c r="K62" s="43">
        <f>$T$11/64</f>
        <v/>
      </c>
      <c r="L62" s="43" t="n">
        <v>0</v>
      </c>
      <c r="M62" s="43" t="n">
        <v>0</v>
      </c>
      <c r="N62" s="43" t="n">
        <v>0</v>
      </c>
      <c r="O62" s="43" t="n">
        <v>0</v>
      </c>
      <c r="P62" s="43" t="n"/>
      <c r="Q62" s="43" t="n"/>
      <c r="R62" s="43">
        <f>(J62+K62+L62+M62+N62+O62+P62)*$B$2</f>
        <v/>
      </c>
      <c r="S62" s="43" t="n"/>
      <c r="T62" s="43" t="n"/>
    </row>
    <row r="63" ht="12.75" customHeight="1">
      <c r="A63" s="40" t="inlineStr">
        <is>
          <t>T10</t>
        </is>
      </c>
      <c r="B63" s="40">
        <f>VLOOKUP(A63,Members!$A$2:$B$65,2,FALSE)</f>
        <v/>
      </c>
      <c r="C63" s="41" t="n">
        <v>0</v>
      </c>
      <c r="D63" s="41">
        <f>SUM($C$3:$C$5)/64</f>
        <v/>
      </c>
      <c r="E63" s="41">
        <f>C63+D63</f>
        <v/>
      </c>
      <c r="F63" s="41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$T$11/64</f>
        <v/>
      </c>
      <c r="L63" s="41" t="n">
        <v>0</v>
      </c>
      <c r="M63" s="41" t="n">
        <v>0</v>
      </c>
      <c r="N63" s="41" t="n">
        <v>0</v>
      </c>
      <c r="O63" s="41" t="n">
        <v>0</v>
      </c>
      <c r="P63" s="41" t="n"/>
      <c r="Q63" s="41" t="n"/>
      <c r="R63" s="41">
        <f>(J63+K63+L63+M63+N63+O63+P63)*$B$2</f>
        <v/>
      </c>
      <c r="S63" s="41" t="n"/>
      <c r="T63" s="41" t="n"/>
    </row>
    <row r="64" ht="12.75" customHeight="1">
      <c r="A64" s="42" t="inlineStr">
        <is>
          <t>T11</t>
        </is>
      </c>
      <c r="B64" s="42">
        <f>VLOOKUP(A64,Members!$A$2:$B$65,2,FALSE)</f>
        <v/>
      </c>
      <c r="C64" s="43" t="n">
        <v>0</v>
      </c>
      <c r="D64" s="43">
        <f>SUM($C$3:$C$5)/64</f>
        <v/>
      </c>
      <c r="E64" s="43">
        <f>C64+D64</f>
        <v/>
      </c>
      <c r="F64" s="43">
        <f>IF($C$70=0, 0, E64/$C$70)</f>
        <v/>
      </c>
      <c r="G64" s="43">
        <f>F64*$T$5</f>
        <v/>
      </c>
      <c r="H64" s="43" t="n">
        <v>3</v>
      </c>
      <c r="I64" s="43">
        <f>$T$7*H64</f>
        <v/>
      </c>
      <c r="J64" s="43">
        <f>G64+$T$9+I64</f>
        <v/>
      </c>
      <c r="K64" s="43">
        <f>$T$11/64</f>
        <v/>
      </c>
      <c r="L64" s="43" t="n">
        <v>0</v>
      </c>
      <c r="M64" s="43" t="n">
        <v>0</v>
      </c>
      <c r="N64" s="43" t="n">
        <v>0</v>
      </c>
      <c r="O64" s="43" t="n">
        <v>0</v>
      </c>
      <c r="P64" s="43" t="n"/>
      <c r="Q64" s="43" t="n"/>
      <c r="R64" s="43">
        <f>(J64+K64+L64+M64+N64+O64+P64)*$B$2</f>
        <v/>
      </c>
      <c r="S64" s="43" t="n"/>
      <c r="T64" s="43" t="n"/>
    </row>
    <row r="65" ht="12.75" customHeight="1">
      <c r="A65" s="40" t="inlineStr">
        <is>
          <t>T12</t>
        </is>
      </c>
      <c r="B65" s="40">
        <f>VLOOKUP(A65,Members!$A$2:$B$65,2,FALSE)</f>
        <v/>
      </c>
      <c r="C65" s="41" t="n">
        <v>0</v>
      </c>
      <c r="D65" s="41">
        <f>SUM($C$3:$C$5)/64</f>
        <v/>
      </c>
      <c r="E65" s="41">
        <f>C65+D65</f>
        <v/>
      </c>
      <c r="F65" s="41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$T$11/64</f>
        <v/>
      </c>
      <c r="L65" s="41" t="n">
        <v>0</v>
      </c>
      <c r="M65" s="41" t="n">
        <v>0</v>
      </c>
      <c r="N65" s="41" t="n">
        <v>0</v>
      </c>
      <c r="O65" s="41" t="n">
        <v>0</v>
      </c>
      <c r="P65" s="41" t="n"/>
      <c r="Q65" s="41" t="n"/>
      <c r="R65" s="41">
        <f>(J65+K65+L65+M65+N65+O65+P65)*$B$2</f>
        <v/>
      </c>
      <c r="S65" s="41" t="n"/>
      <c r="T65" s="41" t="n"/>
    </row>
    <row r="66" ht="12.75" customHeight="1">
      <c r="A66" s="42" t="inlineStr">
        <is>
          <t>T13</t>
        </is>
      </c>
      <c r="B66" s="42">
        <f>VLOOKUP(A66,Members!$A$2:$B$65,2,FALSE)</f>
        <v/>
      </c>
      <c r="C66" s="43" t="n">
        <v>0</v>
      </c>
      <c r="D66" s="43">
        <f>SUM($C$3:$C$5)/64</f>
        <v/>
      </c>
      <c r="E66" s="43">
        <f>C66+D66</f>
        <v/>
      </c>
      <c r="F66" s="43">
        <f>IF($C$70=0, 0, E66/$C$70)</f>
        <v/>
      </c>
      <c r="G66" s="43">
        <f>F66*$T$5</f>
        <v/>
      </c>
      <c r="H66" s="43" t="n">
        <v>4</v>
      </c>
      <c r="I66" s="43">
        <f>$T$7*H66</f>
        <v/>
      </c>
      <c r="J66" s="43">
        <f>G66+$T$9+I66</f>
        <v/>
      </c>
      <c r="K66" s="43">
        <f>$T$11/64</f>
        <v/>
      </c>
      <c r="L66" s="43" t="n">
        <v>0</v>
      </c>
      <c r="M66" s="43" t="n">
        <v>0</v>
      </c>
      <c r="N66" s="43" t="n">
        <v>0</v>
      </c>
      <c r="O66" s="43" t="n">
        <v>0</v>
      </c>
      <c r="P66" s="43" t="n"/>
      <c r="Q66" s="43" t="n"/>
      <c r="R66" s="43">
        <f>(J66+K66+L66+M66+N66+O66+P66)*$B$2</f>
        <v/>
      </c>
      <c r="S66" s="43" t="n"/>
      <c r="T66" s="43" t="n"/>
    </row>
    <row r="67" ht="12.75" customHeight="1">
      <c r="A67" s="40" t="inlineStr">
        <is>
          <t>T14</t>
        </is>
      </c>
      <c r="B67" s="40">
        <f>VLOOKUP(A67,Members!$A$2:$B$65,2,FALSE)</f>
        <v/>
      </c>
      <c r="C67" s="41" t="n">
        <v>0</v>
      </c>
      <c r="D67" s="41">
        <f>SUM($C$3:$C$5)/64</f>
        <v/>
      </c>
      <c r="E67" s="41">
        <f>C67+D67</f>
        <v/>
      </c>
      <c r="F67" s="41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$T$11/64</f>
        <v/>
      </c>
      <c r="L67" s="41" t="n">
        <v>0</v>
      </c>
      <c r="M67" s="41" t="n">
        <v>0</v>
      </c>
      <c r="N67" s="41" t="n">
        <v>0</v>
      </c>
      <c r="O67" s="41" t="n">
        <v>0</v>
      </c>
      <c r="P67" s="41" t="n"/>
      <c r="Q67" s="41" t="n"/>
      <c r="R67" s="41">
        <f>(J67+K67+L67+M67+N67+O67+P67)*$B$2</f>
        <v/>
      </c>
      <c r="S67" s="41" t="n"/>
      <c r="T67" s="41" t="n"/>
    </row>
    <row r="68" ht="12.75" customHeight="1">
      <c r="A68" s="42" t="inlineStr">
        <is>
          <t>T15</t>
        </is>
      </c>
      <c r="B68" s="42">
        <f>VLOOKUP(A68,Members!$A$2:$B$65,2,FALSE)</f>
        <v/>
      </c>
      <c r="C68" s="43" t="n">
        <v>0</v>
      </c>
      <c r="D68" s="43">
        <f>SUM($C$3:$C$5)/64</f>
        <v/>
      </c>
      <c r="E68" s="43">
        <f>C68+D68</f>
        <v/>
      </c>
      <c r="F68" s="43">
        <f>IF($C$70=0, 0, E68/$C$70)</f>
        <v/>
      </c>
      <c r="G68" s="43">
        <f>F68*$T$5</f>
        <v/>
      </c>
      <c r="H68" s="43" t="n">
        <v>4</v>
      </c>
      <c r="I68" s="43">
        <f>$T$7*H68</f>
        <v/>
      </c>
      <c r="J68" s="43">
        <f>G68+$T$9+I68</f>
        <v/>
      </c>
      <c r="K68" s="43">
        <f>$T$11/64</f>
        <v/>
      </c>
      <c r="L68" s="43" t="n">
        <v>0</v>
      </c>
      <c r="M68" s="43" t="n">
        <v>0</v>
      </c>
      <c r="N68" s="43" t="n">
        <v>0</v>
      </c>
      <c r="O68" s="43" t="n">
        <v>0</v>
      </c>
      <c r="P68" s="43" t="n"/>
      <c r="Q68" s="43" t="n"/>
      <c r="R68" s="43">
        <f>(J68+K68+L68+M68+N68+O68+P68)*$B$2</f>
        <v/>
      </c>
      <c r="S68" s="43" t="n"/>
      <c r="T68" s="43" t="n"/>
    </row>
    <row r="69" ht="12.75" customHeight="1">
      <c r="A69" s="40" t="inlineStr">
        <is>
          <t>T16</t>
        </is>
      </c>
      <c r="B69" s="40">
        <f>VLOOKUP(A69,Members!$A$2:$B$65,2,FALSE)</f>
        <v/>
      </c>
      <c r="C69" s="41" t="n">
        <v>0</v>
      </c>
      <c r="D69" s="41">
        <f>SUM($C$3:$C$5)/64</f>
        <v/>
      </c>
      <c r="E69" s="41">
        <f>C69+D69</f>
        <v/>
      </c>
      <c r="F69" s="41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$T$11/64</f>
        <v/>
      </c>
      <c r="L69" s="41" t="n">
        <v>0</v>
      </c>
      <c r="M69" s="41" t="n">
        <v>0</v>
      </c>
      <c r="N69" s="41" t="n">
        <v>0</v>
      </c>
      <c r="O69" s="41" t="n">
        <v>0</v>
      </c>
      <c r="P69" s="41" t="n"/>
      <c r="Q69" s="41" t="n"/>
      <c r="R69" s="41">
        <f>(J69+K69+L69+M69+N69+O69+P69)*$B$2</f>
        <v/>
      </c>
      <c r="S69" s="41" t="n"/>
      <c r="T69" s="41" t="n"/>
    </row>
    <row r="70" ht="12.75" customHeight="1">
      <c r="A70" s="42" t="n"/>
      <c r="B70" s="42" t="inlineStr">
        <is>
          <t>TOTAL</t>
        </is>
      </c>
      <c r="C70" s="43">
        <f>SUM(C3:C69)</f>
        <v/>
      </c>
      <c r="D70" s="43">
        <f>SUM(D3:D69)</f>
        <v/>
      </c>
      <c r="E70" s="43">
        <f>SUM(E3:E69)</f>
        <v/>
      </c>
      <c r="F70" s="43">
        <f>IF($C$70=0, 0, E70/$C$70)</f>
        <v/>
      </c>
      <c r="G70" s="43">
        <f>SUM(G3:G69)</f>
        <v/>
      </c>
      <c r="H70" s="43">
        <f>SUM(H3:H69)</f>
        <v/>
      </c>
      <c r="I70" s="43">
        <f>SUM(I3:I69)</f>
        <v/>
      </c>
      <c r="J70" s="43">
        <f>SUM(J3:J69)</f>
        <v/>
      </c>
      <c r="K70" s="43">
        <f>SUM(K3:K69)</f>
        <v/>
      </c>
      <c r="L70" s="43">
        <f>SUM(L3:L69)</f>
        <v/>
      </c>
      <c r="M70" s="43">
        <f>SUM(M3:M69)</f>
        <v/>
      </c>
      <c r="N70" s="43">
        <f>SUM(N3:N69)</f>
        <v/>
      </c>
      <c r="O70" s="43">
        <f>SUM(O3:O69)</f>
        <v/>
      </c>
      <c r="P70" s="43" t="n"/>
      <c r="Q70" s="43" t="n"/>
      <c r="R70" s="43">
        <f>SUM(R3:R69)</f>
        <v/>
      </c>
      <c r="S70" s="43" t="n"/>
      <c r="T70" s="43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A2" sqref="A2:A30"/>
    </sheetView>
  </sheetViews>
  <sheetFormatPr baseColWidth="8" defaultColWidth="14.42578125" defaultRowHeight="15" customHeight="1"/>
  <cols>
    <col width="7.7109375" customWidth="1" min="1" max="1"/>
    <col width="64.28515625" customWidth="1" min="2" max="2"/>
  </cols>
  <sheetData>
    <row r="1">
      <c r="A1" s="39" t="inlineStr">
        <is>
          <t>FLAT #</t>
        </is>
      </c>
      <c r="B1" s="39" t="n"/>
      <c r="C1" s="39" t="inlineStr">
        <is>
          <t>Amount</t>
        </is>
      </c>
      <c r="D1" s="66" t="inlineStr">
        <is>
          <t>Date</t>
        </is>
      </c>
      <c r="E1" s="39" t="inlineStr">
        <is>
          <t>Amount</t>
        </is>
      </c>
      <c r="F1" s="66" t="inlineStr">
        <is>
          <t>Date</t>
        </is>
      </c>
      <c r="G1" s="39" t="inlineStr">
        <is>
          <t>Amount</t>
        </is>
      </c>
      <c r="H1" s="57" t="inlineStr">
        <is>
          <t>Date</t>
        </is>
      </c>
      <c r="I1" s="39" t="inlineStr">
        <is>
          <t>Amount</t>
        </is>
      </c>
      <c r="J1" s="100" t="inlineStr">
        <is>
          <t>Date</t>
        </is>
      </c>
      <c r="K1" s="100" t="inlineStr">
        <is>
          <t>Total</t>
        </is>
      </c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  <c r="AA1" s="100" t="n"/>
    </row>
    <row r="2" ht="15" customHeight="1">
      <c r="A2" s="42" t="inlineStr">
        <is>
          <t>F1</t>
        </is>
      </c>
      <c r="B2" s="42">
        <f>VLOOKUP(A2,Members!$A$2:$B$65,2,FALSE)</f>
        <v/>
      </c>
      <c r="C2" s="47" t="n"/>
      <c r="D2" s="50" t="n"/>
      <c r="E2" s="47" t="n"/>
      <c r="F2" s="50" t="n"/>
      <c r="G2" s="47" t="n"/>
      <c r="H2" s="58" t="n"/>
      <c r="I2" s="47" t="n"/>
      <c r="J2" s="47" t="n"/>
      <c r="K2" s="47">
        <f>SUM(C2,E2,G2,I2)</f>
        <v/>
      </c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</row>
    <row r="3" ht="15" customHeight="1">
      <c r="A3" s="40" t="inlineStr">
        <is>
          <t>F2</t>
        </is>
      </c>
      <c r="B3" s="40">
        <f>VLOOKUP(A3,Members!$A$2:$B$65,2,FALSE)</f>
        <v/>
      </c>
      <c r="C3" s="104" t="n"/>
      <c r="D3" s="53" t="n"/>
      <c r="E3" s="104" t="n"/>
      <c r="F3" s="53" t="n"/>
      <c r="G3" s="104" t="n"/>
      <c r="H3" s="59" t="n"/>
      <c r="I3" s="104" t="n"/>
      <c r="J3" s="104" t="n"/>
      <c r="K3" s="104">
        <f>SUM(C3,E3,G3,I3)</f>
        <v/>
      </c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</row>
    <row r="4" ht="15" customHeight="1">
      <c r="A4" s="42" t="inlineStr">
        <is>
          <t>F3</t>
        </is>
      </c>
      <c r="B4" s="42">
        <f>VLOOKUP(A4,Members!$A$2:$B$65,2,FALSE)</f>
        <v/>
      </c>
      <c r="C4" s="43" t="n"/>
      <c r="D4" s="50" t="n"/>
      <c r="E4" s="43" t="n"/>
      <c r="F4" s="50" t="n"/>
      <c r="G4" s="47" t="n"/>
      <c r="H4" s="58" t="n"/>
      <c r="I4" s="47" t="n"/>
      <c r="J4" s="47" t="n"/>
      <c r="K4" s="43">
        <f>SUM(C4,E4,G4,I4)</f>
        <v/>
      </c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</row>
    <row r="5" ht="15" customHeight="1">
      <c r="A5" s="40" t="inlineStr">
        <is>
          <t>F4</t>
        </is>
      </c>
      <c r="B5" s="40">
        <f>VLOOKUP(A5,Members!$A$2:$B$65,2,FALSE)</f>
        <v/>
      </c>
      <c r="C5" s="104" t="n"/>
      <c r="D5" s="53" t="n"/>
      <c r="E5" s="104" t="n"/>
      <c r="F5" s="53" t="n"/>
      <c r="G5" s="104" t="n"/>
      <c r="H5" s="59" t="n"/>
      <c r="I5" s="104" t="n"/>
      <c r="J5" s="104" t="n"/>
      <c r="K5" s="104">
        <f>SUM(C5,E5,G5,I5)</f>
        <v/>
      </c>
      <c r="L5" s="104" t="n"/>
      <c r="M5" s="104" t="n"/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</row>
    <row r="6" ht="15" customHeight="1">
      <c r="A6" s="42" t="inlineStr">
        <is>
          <t>F5</t>
        </is>
      </c>
      <c r="B6" s="42">
        <f>VLOOKUP(A6,Members!$A$2:$B$65,2,FALSE)</f>
        <v/>
      </c>
      <c r="C6" s="47" t="n"/>
      <c r="D6" s="50" t="n"/>
      <c r="E6" s="47" t="n"/>
      <c r="F6" s="50" t="n"/>
      <c r="G6" s="47" t="n"/>
      <c r="H6" s="58" t="n"/>
      <c r="I6" s="47" t="n"/>
      <c r="J6" s="47" t="n"/>
      <c r="K6" s="47">
        <f>SUM(C6,E6,G6,I6)</f>
        <v/>
      </c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  <c r="AA6" s="47" t="n"/>
    </row>
    <row r="7" ht="15" customHeight="1">
      <c r="A7" s="40" t="inlineStr">
        <is>
          <t>F6</t>
        </is>
      </c>
      <c r="B7" s="40">
        <f>VLOOKUP(A7,Members!$A$2:$B$65,2,FALSE)</f>
        <v/>
      </c>
      <c r="C7" s="104" t="n"/>
      <c r="D7" s="53" t="n"/>
      <c r="E7" s="104" t="n"/>
      <c r="F7" s="53" t="n"/>
      <c r="G7" s="104" t="n"/>
      <c r="H7" s="59" t="n"/>
      <c r="I7" s="104" t="n"/>
      <c r="J7" s="104" t="n"/>
      <c r="K7" s="104">
        <f>SUM(C7,E7,G7,I7)</f>
        <v/>
      </c>
      <c r="L7" s="104" t="n"/>
      <c r="M7" s="104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</row>
    <row r="8" ht="15" customHeight="1">
      <c r="A8" s="42" t="inlineStr">
        <is>
          <t>F7</t>
        </is>
      </c>
      <c r="B8" s="42">
        <f>VLOOKUP(A8,Members!$A$2:$B$65,2,FALSE)</f>
        <v/>
      </c>
      <c r="C8" s="47" t="n"/>
      <c r="D8" s="50" t="n"/>
      <c r="E8" s="47" t="n"/>
      <c r="F8" s="50" t="n"/>
      <c r="G8" s="47" t="n"/>
      <c r="H8" s="58" t="n"/>
      <c r="I8" s="47" t="n"/>
      <c r="J8" s="47" t="n"/>
      <c r="K8" s="47">
        <f>SUM(C8,E8,G8,I8)</f>
        <v/>
      </c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  <c r="AA8" s="47" t="n"/>
    </row>
    <row r="9" ht="15" customHeight="1">
      <c r="A9" s="40" t="inlineStr">
        <is>
          <t>F8</t>
        </is>
      </c>
      <c r="B9" s="40">
        <f>VLOOKUP(A9,Members!$A$2:$B$65,2,FALSE)</f>
        <v/>
      </c>
      <c r="C9" s="104" t="n"/>
      <c r="D9" s="53" t="n"/>
      <c r="E9" s="104" t="n"/>
      <c r="F9" s="53" t="n"/>
      <c r="G9" s="104" t="n"/>
      <c r="H9" s="59" t="n"/>
      <c r="I9" s="104" t="n"/>
      <c r="J9" s="104" t="n"/>
      <c r="K9" s="104">
        <f>SUM(C9,E9,G9,I9)</f>
        <v/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</row>
    <row r="10" ht="15" customHeight="1">
      <c r="A10" s="42" t="inlineStr">
        <is>
          <t>F9</t>
        </is>
      </c>
      <c r="B10" s="42">
        <f>VLOOKUP(A10,Members!$A$2:$B$65,2,FALSE)</f>
        <v/>
      </c>
      <c r="C10" s="47" t="n"/>
      <c r="D10" s="50" t="n"/>
      <c r="E10" s="47" t="n"/>
      <c r="F10" s="50" t="n"/>
      <c r="G10" s="47" t="n"/>
      <c r="H10" s="58" t="n"/>
      <c r="I10" s="47" t="n"/>
      <c r="J10" s="47" t="n"/>
      <c r="K10" s="47">
        <f>SUM(C10,E10,G10,I10)</f>
        <v/>
      </c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  <c r="AA10" s="47" t="n"/>
    </row>
    <row r="11" ht="15" customHeight="1">
      <c r="A11" s="40" t="inlineStr">
        <is>
          <t>F10</t>
        </is>
      </c>
      <c r="B11" s="40">
        <f>VLOOKUP(A11,Members!$A$2:$B$65,2,FALSE)</f>
        <v/>
      </c>
      <c r="C11" s="41" t="n"/>
      <c r="D11" s="53" t="n"/>
      <c r="E11" s="104" t="n"/>
      <c r="F11" s="53" t="n"/>
      <c r="G11" s="104" t="n"/>
      <c r="H11" s="59" t="n"/>
      <c r="I11" s="104" t="n"/>
      <c r="J11" s="104" t="n"/>
      <c r="K11" s="41">
        <f>SUM(C11,E11,G11,I11)</f>
        <v/>
      </c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</row>
    <row r="12" ht="15" customHeight="1">
      <c r="A12" s="42" t="inlineStr">
        <is>
          <t>F11</t>
        </is>
      </c>
      <c r="B12" s="42">
        <f>VLOOKUP(A12,Members!$A$2:$B$65,2,FALSE)</f>
        <v/>
      </c>
      <c r="C12" s="47" t="n"/>
      <c r="D12" s="50" t="n"/>
      <c r="E12" s="47" t="n"/>
      <c r="F12" s="50" t="n"/>
      <c r="G12" s="47" t="n"/>
      <c r="H12" s="58" t="n"/>
      <c r="I12" s="47" t="n"/>
      <c r="J12" s="47" t="n"/>
      <c r="K12" s="47">
        <f>SUM(C12,E12,G12,I12)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</row>
    <row r="13" ht="15" customHeight="1">
      <c r="A13" s="40" t="inlineStr">
        <is>
          <t>F12</t>
        </is>
      </c>
      <c r="B13" s="40">
        <f>VLOOKUP(A13,Members!$A$2:$B$65,2,FALSE)</f>
        <v/>
      </c>
      <c r="C13" s="104" t="n"/>
      <c r="D13" s="53" t="n"/>
      <c r="E13" s="104" t="n"/>
      <c r="F13" s="53" t="n"/>
      <c r="G13" s="104" t="n"/>
      <c r="H13" s="59" t="n"/>
      <c r="I13" s="104" t="n"/>
      <c r="J13" s="104" t="n"/>
      <c r="K13" s="104">
        <f>SUM(C13,E13,G13,I13)</f>
        <v/>
      </c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</row>
    <row r="14" ht="15" customHeight="1">
      <c r="A14" s="42" t="inlineStr">
        <is>
          <t>F13</t>
        </is>
      </c>
      <c r="B14" s="42">
        <f>VLOOKUP(A14,Members!$A$2:$B$65,2,FALSE)</f>
        <v/>
      </c>
      <c r="C14" s="47" t="n"/>
      <c r="D14" s="50" t="n"/>
      <c r="E14" s="47" t="n"/>
      <c r="F14" s="50" t="n"/>
      <c r="G14" s="47" t="n"/>
      <c r="H14" s="58" t="n"/>
      <c r="I14" s="47" t="n"/>
      <c r="J14" s="47" t="n"/>
      <c r="K14" s="47">
        <f>SUM(C14,E14,G14,I14)</f>
        <v/>
      </c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  <c r="AA14" s="47" t="n"/>
    </row>
    <row r="15" ht="15" customHeight="1">
      <c r="A15" s="40" t="inlineStr">
        <is>
          <t>F14</t>
        </is>
      </c>
      <c r="B15" s="40">
        <f>VLOOKUP(A15,Members!$A$2:$B$65,2,FALSE)</f>
        <v/>
      </c>
      <c r="C15" s="104" t="n"/>
      <c r="D15" s="53" t="n"/>
      <c r="E15" s="104" t="n"/>
      <c r="F15" s="53" t="n"/>
      <c r="G15" s="104" t="n"/>
      <c r="H15" s="59" t="n"/>
      <c r="I15" s="104" t="n"/>
      <c r="J15" s="104" t="n"/>
      <c r="K15" s="104">
        <f>SUM(C15,E15,G15,I15)</f>
        <v/>
      </c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</row>
    <row r="16" ht="15" customHeight="1">
      <c r="A16" s="42" t="inlineStr">
        <is>
          <t>F15</t>
        </is>
      </c>
      <c r="B16" s="42">
        <f>VLOOKUP(A16,Members!$A$2:$B$65,2,FALSE)</f>
        <v/>
      </c>
      <c r="C16" s="47" t="n"/>
      <c r="D16" s="50" t="n"/>
      <c r="E16" s="47" t="n"/>
      <c r="F16" s="50" t="n"/>
      <c r="G16" s="47" t="n"/>
      <c r="H16" s="58" t="n"/>
      <c r="I16" s="47" t="n"/>
      <c r="J16" s="47" t="n"/>
      <c r="K16" s="47">
        <f>SUM(C16,E16,G16,I16)</f>
        <v/>
      </c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  <c r="AA16" s="47" t="n"/>
    </row>
    <row r="17" ht="15" customHeight="1">
      <c r="A17" s="40" t="inlineStr">
        <is>
          <t>F16</t>
        </is>
      </c>
      <c r="B17" s="40">
        <f>VLOOKUP(A17,Members!$A$2:$B$65,2,FALSE)</f>
        <v/>
      </c>
      <c r="C17" s="104" t="n"/>
      <c r="D17" s="53" t="n"/>
      <c r="E17" s="104" t="n"/>
      <c r="F17" s="53" t="n"/>
      <c r="G17" s="104" t="n"/>
      <c r="H17" s="59" t="n"/>
      <c r="I17" s="104" t="n"/>
      <c r="J17" s="104" t="n"/>
      <c r="K17" s="104">
        <f>SUM(C17,E17,G17,I17)</f>
        <v/>
      </c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</row>
    <row r="18" ht="15" customHeight="1">
      <c r="A18" s="42" t="inlineStr">
        <is>
          <t>G1</t>
        </is>
      </c>
      <c r="B18" s="42">
        <f>VLOOKUP(A18,Members!$A$2:$B$65,2,FALSE)</f>
        <v/>
      </c>
      <c r="C18" s="43" t="n"/>
      <c r="D18" s="50" t="n"/>
      <c r="E18" s="43" t="n"/>
      <c r="F18" s="50" t="n"/>
      <c r="G18" s="47" t="n"/>
      <c r="H18" s="58" t="n"/>
      <c r="I18" s="47" t="n"/>
      <c r="J18" s="47" t="n"/>
      <c r="K18" s="43">
        <f>SUM(C18,E18,G18,I18)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</row>
    <row r="19" ht="15" customHeight="1">
      <c r="A19" s="40" t="inlineStr">
        <is>
          <t>G2</t>
        </is>
      </c>
      <c r="B19" s="40">
        <f>VLOOKUP(A19,Members!$A$2:$B$65,2,FALSE)</f>
        <v/>
      </c>
      <c r="C19" s="104" t="n"/>
      <c r="D19" s="53" t="n"/>
      <c r="E19" s="104" t="n"/>
      <c r="F19" s="53" t="n"/>
      <c r="G19" s="104" t="n"/>
      <c r="H19" s="59" t="n"/>
      <c r="I19" s="104" t="n"/>
      <c r="J19" s="104" t="n"/>
      <c r="K19" s="104">
        <f>SUM(C19,E19,G19,I19)</f>
        <v/>
      </c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</row>
    <row r="20" ht="15" customHeight="1">
      <c r="A20" s="42" t="inlineStr">
        <is>
          <t>G3</t>
        </is>
      </c>
      <c r="B20" s="42">
        <f>VLOOKUP(A20,Members!$A$2:$B$65,2,FALSE)</f>
        <v/>
      </c>
      <c r="C20" s="47" t="n"/>
      <c r="D20" s="50" t="n"/>
      <c r="E20" s="47" t="n"/>
      <c r="F20" s="50" t="n"/>
      <c r="G20" s="47" t="n"/>
      <c r="H20" s="58" t="n"/>
      <c r="I20" s="47" t="n"/>
      <c r="J20" s="47" t="n"/>
      <c r="K20" s="47">
        <f>SUM(C20,E20,G20,I20)</f>
        <v/>
      </c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</row>
    <row r="21" ht="15" customHeight="1">
      <c r="A21" s="40" t="inlineStr">
        <is>
          <t>G4</t>
        </is>
      </c>
      <c r="B21" s="40">
        <f>VLOOKUP(A21,Members!$A$2:$B$65,2,FALSE)</f>
        <v/>
      </c>
      <c r="C21" s="104" t="n"/>
      <c r="D21" s="53" t="n"/>
      <c r="E21" s="104" t="n"/>
      <c r="F21" s="53" t="n"/>
      <c r="G21" s="104" t="n"/>
      <c r="H21" s="59" t="n"/>
      <c r="I21" s="104" t="n"/>
      <c r="J21" s="104" t="n"/>
      <c r="K21" s="104">
        <f>SUM(C21,E21,G21,I21)</f>
        <v/>
      </c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</row>
    <row r="22" ht="15.95" customHeight="1">
      <c r="A22" s="42" t="inlineStr">
        <is>
          <t>G5</t>
        </is>
      </c>
      <c r="B22" s="42">
        <f>VLOOKUP(A22,Members!$A$2:$B$65,2,FALSE)</f>
        <v/>
      </c>
      <c r="C22" s="47" t="n"/>
      <c r="D22" s="50" t="n"/>
      <c r="E22" s="47" t="n"/>
      <c r="F22" s="50" t="n"/>
      <c r="G22" s="47" t="n"/>
      <c r="H22" s="58" t="n"/>
      <c r="I22" s="47" t="n"/>
      <c r="J22" s="47" t="n"/>
      <c r="K22" s="47">
        <f>SUM(C22,E22,G22,I22)</f>
        <v/>
      </c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</row>
    <row r="23" ht="15.95" customHeight="1">
      <c r="A23" s="40" t="inlineStr">
        <is>
          <t>G6</t>
        </is>
      </c>
      <c r="B23" s="40">
        <f>VLOOKUP(A23,Members!$A$2:$B$65,2,FALSE)</f>
        <v/>
      </c>
      <c r="C23" s="104" t="n"/>
      <c r="D23" s="53" t="n"/>
      <c r="E23" s="104" t="n"/>
      <c r="F23" s="53" t="n"/>
      <c r="G23" s="104" t="n"/>
      <c r="H23" s="59" t="n"/>
      <c r="I23" s="104" t="n"/>
      <c r="J23" s="104" t="n"/>
      <c r="K23" s="104">
        <f>SUM(C23,E23,G23,I23)</f>
        <v/>
      </c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</row>
    <row r="24" ht="15.95" customHeight="1">
      <c r="A24" s="42" t="inlineStr">
        <is>
          <t>G7</t>
        </is>
      </c>
      <c r="B24" s="42">
        <f>VLOOKUP(A24,Members!$A$2:$B$65,2,FALSE)</f>
        <v/>
      </c>
      <c r="C24" s="47" t="n"/>
      <c r="D24" s="50" t="n"/>
      <c r="E24" s="47" t="n"/>
      <c r="F24" s="50" t="n"/>
      <c r="G24" s="47" t="n"/>
      <c r="H24" s="58" t="n"/>
      <c r="I24" s="47" t="n"/>
      <c r="J24" s="47" t="n"/>
      <c r="K24" s="47">
        <f>SUM(C24,E24,G24,I24)</f>
        <v/>
      </c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</row>
    <row r="25" ht="15.95" customHeight="1">
      <c r="A25" s="40" t="inlineStr">
        <is>
          <t>G8</t>
        </is>
      </c>
      <c r="B25" s="40">
        <f>VLOOKUP(A25,Members!$A$2:$B$65,2,FALSE)</f>
        <v/>
      </c>
      <c r="C25" s="104" t="n"/>
      <c r="D25" s="53" t="n"/>
      <c r="E25" s="104" t="n"/>
      <c r="F25" s="53" t="n"/>
      <c r="G25" s="104" t="n"/>
      <c r="H25" s="59" t="n"/>
      <c r="I25" s="104" t="n"/>
      <c r="J25" s="104" t="n"/>
      <c r="K25" s="104">
        <f>SUM(C25,E25,G25,I25)</f>
        <v/>
      </c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</row>
    <row r="26" ht="15.95" customHeight="1">
      <c r="A26" s="42" t="inlineStr">
        <is>
          <t>G9</t>
        </is>
      </c>
      <c r="B26" s="42">
        <f>VLOOKUP(A26,Members!$A$2:$B$65,2,FALSE)</f>
        <v/>
      </c>
      <c r="C26" s="47" t="n"/>
      <c r="D26" s="50" t="n"/>
      <c r="E26" s="47" t="n"/>
      <c r="F26" s="50" t="n"/>
      <c r="G26" s="47" t="n"/>
      <c r="H26" s="58" t="n"/>
      <c r="I26" s="47" t="n"/>
      <c r="J26" s="47" t="n"/>
      <c r="K26" s="47">
        <f>SUM(C26,E26,G26,I26)</f>
        <v/>
      </c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</row>
    <row r="27" ht="15.95" customHeight="1">
      <c r="A27" s="40" t="inlineStr">
        <is>
          <t>G10</t>
        </is>
      </c>
      <c r="B27" s="40">
        <f>VLOOKUP(A27,Members!$A$2:$B$65,2,FALSE)</f>
        <v/>
      </c>
      <c r="C27" s="104" t="n"/>
      <c r="D27" s="53" t="n"/>
      <c r="E27" s="104" t="n"/>
      <c r="F27" s="53" t="n"/>
      <c r="G27" s="104" t="n"/>
      <c r="H27" s="59" t="n"/>
      <c r="I27" s="104" t="n"/>
      <c r="J27" s="104" t="n"/>
      <c r="K27" s="104">
        <f>SUM(C27,E27,G27,I27)</f>
        <v/>
      </c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</row>
    <row r="28" ht="15.95" customHeight="1">
      <c r="A28" s="42" t="inlineStr">
        <is>
          <t>G11</t>
        </is>
      </c>
      <c r="B28" s="42">
        <f>VLOOKUP(A28,Members!$A$2:$B$65,2,FALSE)</f>
        <v/>
      </c>
      <c r="C28" s="47" t="n"/>
      <c r="D28" s="50" t="n"/>
      <c r="E28" s="47" t="n"/>
      <c r="F28" s="50" t="n"/>
      <c r="G28" s="47" t="n"/>
      <c r="H28" s="58" t="n"/>
      <c r="I28" s="47" t="n"/>
      <c r="J28" s="47" t="n"/>
      <c r="K28" s="47">
        <f>SUM(C28,E28,G28,I28)</f>
        <v/>
      </c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</row>
    <row r="29" ht="15.95" customHeight="1">
      <c r="A29" s="40" t="inlineStr">
        <is>
          <t>G12</t>
        </is>
      </c>
      <c r="B29" s="40">
        <f>VLOOKUP(A29,Members!$A$2:$B$65,2,FALSE)</f>
        <v/>
      </c>
      <c r="C29" s="41" t="n"/>
      <c r="D29" s="53" t="n"/>
      <c r="E29" s="104" t="n"/>
      <c r="F29" s="53" t="n"/>
      <c r="G29" s="104" t="n"/>
      <c r="H29" s="59" t="n"/>
      <c r="I29" s="104" t="n"/>
      <c r="J29" s="104" t="n"/>
      <c r="K29" s="41">
        <f>SUM(C29,E29,G29,I29)</f>
        <v/>
      </c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</row>
    <row r="30" ht="15.95" customHeight="1">
      <c r="A30" s="42" t="inlineStr">
        <is>
          <t>G13</t>
        </is>
      </c>
      <c r="B30" s="42">
        <f>VLOOKUP(A30,Members!$A$2:$B$65,2,FALSE)</f>
        <v/>
      </c>
      <c r="C30" s="47" t="n"/>
      <c r="D30" s="50" t="n"/>
      <c r="E30" s="47" t="n"/>
      <c r="F30" s="50" t="n"/>
      <c r="G30" s="47" t="n"/>
      <c r="H30" s="58" t="n"/>
      <c r="I30" s="47" t="n"/>
      <c r="J30" s="47" t="n"/>
      <c r="K30" s="47">
        <f>SUM(C30,E30,G30,I30)</f>
        <v/>
      </c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</row>
    <row r="31" ht="15.95" customHeight="1">
      <c r="A31" s="40" t="inlineStr">
        <is>
          <t>G14</t>
        </is>
      </c>
      <c r="B31" s="40">
        <f>VLOOKUP(A31,Members!$A$2:$B$65,2,FALSE)</f>
        <v/>
      </c>
      <c r="C31" s="104" t="n"/>
      <c r="D31" s="53" t="n"/>
      <c r="E31" s="104" t="n"/>
      <c r="F31" s="53" t="n"/>
      <c r="G31" s="104" t="n"/>
      <c r="H31" s="59" t="n"/>
      <c r="I31" s="104" t="n"/>
      <c r="J31" s="104" t="n"/>
      <c r="K31" s="104">
        <f>SUM(C31,E31,G31,I31)</f>
        <v/>
      </c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</row>
    <row r="32" ht="15.95" customHeight="1">
      <c r="A32" s="42" t="inlineStr">
        <is>
          <t>G15</t>
        </is>
      </c>
      <c r="B32" s="42">
        <f>VLOOKUP(A32,Members!$A$2:$B$65,2,FALSE)</f>
        <v/>
      </c>
      <c r="C32" s="47" t="n"/>
      <c r="D32" s="50" t="n"/>
      <c r="E32" s="47" t="n"/>
      <c r="F32" s="50" t="n"/>
      <c r="G32" s="47" t="n"/>
      <c r="H32" s="58" t="n"/>
      <c r="I32" s="47" t="n"/>
      <c r="J32" s="47" t="n"/>
      <c r="K32" s="47">
        <f>SUM(C32,E32,G32,I32)</f>
        <v/>
      </c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</row>
    <row r="33" ht="15.95" customHeight="1">
      <c r="A33" s="40" t="inlineStr">
        <is>
          <t>G16</t>
        </is>
      </c>
      <c r="B33" s="40">
        <f>VLOOKUP(A33,Members!$A$2:$B$65,2,FALSE)</f>
        <v/>
      </c>
      <c r="C33" s="104" t="n"/>
      <c r="D33" s="53" t="n"/>
      <c r="E33" s="104" t="n"/>
      <c r="F33" s="53" t="n"/>
      <c r="G33" s="104" t="n"/>
      <c r="H33" s="59" t="n"/>
      <c r="I33" s="104" t="n"/>
      <c r="J33" s="104" t="n"/>
      <c r="K33" s="104">
        <f>SUM(C33,E33,G33,I33)</f>
        <v/>
      </c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</row>
    <row r="34" ht="15.95" customHeight="1">
      <c r="A34" s="42" t="inlineStr">
        <is>
          <t>S1</t>
        </is>
      </c>
      <c r="B34" s="42">
        <f>VLOOKUP(A34,Members!$A$2:$B$65,2,FALSE)</f>
        <v/>
      </c>
      <c r="C34" s="47" t="n"/>
      <c r="D34" s="50" t="n"/>
      <c r="E34" s="47" t="n"/>
      <c r="F34" s="50" t="n"/>
      <c r="G34" s="47" t="n"/>
      <c r="H34" s="58" t="n"/>
      <c r="I34" s="47" t="n"/>
      <c r="J34" s="47" t="n"/>
      <c r="K34" s="47">
        <f>SUM(C34,E34,G34,I34)</f>
        <v/>
      </c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  <c r="AA34" s="47" t="n"/>
    </row>
    <row r="35" ht="15.95" customHeight="1">
      <c r="A35" s="40" t="inlineStr">
        <is>
          <t>S2</t>
        </is>
      </c>
      <c r="B35" s="40">
        <f>VLOOKUP(A35,Members!$A$2:$B$65,2,FALSE)</f>
        <v/>
      </c>
      <c r="C35" s="41" t="n"/>
      <c r="D35" s="53" t="n"/>
      <c r="E35" s="104" t="n"/>
      <c r="F35" s="53" t="n"/>
      <c r="G35" s="104" t="n"/>
      <c r="H35" s="59" t="n"/>
      <c r="I35" s="104" t="n"/>
      <c r="J35" s="104" t="n"/>
      <c r="K35" s="41">
        <f>SUM(C35,E35,G35,I35)</f>
        <v/>
      </c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</row>
    <row r="36" ht="15.95" customHeight="1">
      <c r="A36" s="42" t="inlineStr">
        <is>
          <t>S3</t>
        </is>
      </c>
      <c r="B36" s="42">
        <f>VLOOKUP(A36,Members!$A$2:$B$65,2,FALSE)</f>
        <v/>
      </c>
      <c r="C36" s="47" t="n"/>
      <c r="D36" s="50" t="n"/>
      <c r="E36" s="47" t="n"/>
      <c r="F36" s="50" t="n"/>
      <c r="G36" s="47" t="n"/>
      <c r="H36" s="58" t="n"/>
      <c r="I36" s="47" t="n"/>
      <c r="J36" s="47" t="n"/>
      <c r="K36" s="47">
        <f>SUM(C36,E36,G36,I36)</f>
        <v/>
      </c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</row>
    <row r="37" ht="15.95" customHeight="1">
      <c r="A37" s="40" t="inlineStr">
        <is>
          <t>S4</t>
        </is>
      </c>
      <c r="B37" s="40">
        <f>VLOOKUP(A37,Members!$A$2:$B$65,2,FALSE)</f>
        <v/>
      </c>
      <c r="C37" s="104" t="n"/>
      <c r="D37" s="53" t="n"/>
      <c r="E37" s="104" t="n"/>
      <c r="F37" s="53" t="n"/>
      <c r="G37" s="104" t="n"/>
      <c r="H37" s="59" t="n"/>
      <c r="I37" s="104" t="n"/>
      <c r="J37" s="104" t="n"/>
      <c r="K37" s="104">
        <f>SUM(C37,E37,G37,I37)</f>
        <v/>
      </c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</row>
    <row r="38" ht="15.95" customHeight="1">
      <c r="A38" s="42" t="inlineStr">
        <is>
          <t>S5</t>
        </is>
      </c>
      <c r="B38" s="42">
        <f>VLOOKUP(A38,Members!$A$2:$B$65,2,FALSE)</f>
        <v/>
      </c>
      <c r="C38" s="47" t="n"/>
      <c r="D38" s="50" t="n"/>
      <c r="E38" s="47" t="n"/>
      <c r="F38" s="50" t="n"/>
      <c r="G38" s="47" t="n"/>
      <c r="H38" s="58" t="n"/>
      <c r="I38" s="47" t="n"/>
      <c r="J38" s="47" t="n"/>
      <c r="K38" s="47">
        <f>SUM(C38,E38,G38,I38)</f>
        <v/>
      </c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</row>
    <row r="39" ht="15.95" customHeight="1">
      <c r="A39" s="40" t="inlineStr">
        <is>
          <t>S6</t>
        </is>
      </c>
      <c r="B39" s="40">
        <f>VLOOKUP(A39,Members!$A$2:$B$65,2,FALSE)</f>
        <v/>
      </c>
      <c r="C39" s="104" t="n"/>
      <c r="D39" s="53" t="n"/>
      <c r="E39" s="104" t="n"/>
      <c r="F39" s="53" t="n"/>
      <c r="G39" s="104" t="n"/>
      <c r="H39" s="59" t="n"/>
      <c r="I39" s="104" t="n"/>
      <c r="J39" s="104" t="n"/>
      <c r="K39" s="104">
        <f>SUM(C39,E39,G39,I39)</f>
        <v/>
      </c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</row>
    <row r="40" ht="15.95" customHeight="1">
      <c r="A40" s="42" t="inlineStr">
        <is>
          <t>S7</t>
        </is>
      </c>
      <c r="B40" s="42">
        <f>VLOOKUP(A40,Members!$A$2:$B$65,2,FALSE)</f>
        <v/>
      </c>
      <c r="C40" s="47" t="n"/>
      <c r="D40" s="50" t="n"/>
      <c r="E40" s="47" t="n"/>
      <c r="F40" s="50" t="n"/>
      <c r="G40" s="47" t="n"/>
      <c r="H40" s="58" t="n"/>
      <c r="I40" s="47" t="n"/>
      <c r="J40" s="47" t="n"/>
      <c r="K40" s="47">
        <f>SUM(C40,E40,G40,I40)</f>
        <v/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  <c r="AA40" s="47" t="n"/>
    </row>
    <row r="41" ht="15.95" customHeight="1">
      <c r="A41" s="40" t="inlineStr">
        <is>
          <t>S8</t>
        </is>
      </c>
      <c r="B41" s="40">
        <f>VLOOKUP(A41,Members!$A$2:$B$65,2,FALSE)</f>
        <v/>
      </c>
      <c r="C41" s="104" t="n"/>
      <c r="D41" s="53" t="n"/>
      <c r="E41" s="104" t="n"/>
      <c r="F41" s="53" t="n"/>
      <c r="G41" s="104" t="n"/>
      <c r="H41" s="59" t="n"/>
      <c r="I41" s="104" t="n"/>
      <c r="J41" s="104" t="n"/>
      <c r="K41" s="104">
        <f>SUM(C41,E41,G41,I41)</f>
        <v/>
      </c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</row>
    <row r="42" ht="15.95" customHeight="1">
      <c r="A42" s="42" t="inlineStr">
        <is>
          <t>S9</t>
        </is>
      </c>
      <c r="B42" s="42">
        <f>VLOOKUP(A42,Members!$A$2:$B$65,2,FALSE)</f>
        <v/>
      </c>
      <c r="C42" s="47" t="n"/>
      <c r="D42" s="51" t="n"/>
      <c r="E42" s="47" t="n"/>
      <c r="F42" s="50" t="n"/>
      <c r="G42" s="47" t="n"/>
      <c r="H42" s="58" t="n"/>
      <c r="I42" s="47" t="n"/>
      <c r="J42" s="47" t="n"/>
      <c r="K42" s="47">
        <f>SUM(C42,E42,G42,I42)</f>
        <v/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</row>
    <row r="43" ht="15.95" customHeight="1">
      <c r="A43" s="40" t="inlineStr">
        <is>
          <t>S10</t>
        </is>
      </c>
      <c r="B43" s="40">
        <f>VLOOKUP(A43,Members!$A$2:$B$65,2,FALSE)</f>
        <v/>
      </c>
      <c r="C43" s="104" t="n"/>
      <c r="D43" s="53" t="n"/>
      <c r="E43" s="104" t="n"/>
      <c r="F43" s="53" t="n"/>
      <c r="G43" s="104" t="n"/>
      <c r="H43" s="59" t="n"/>
      <c r="I43" s="104" t="n"/>
      <c r="J43" s="104" t="n"/>
      <c r="K43" s="104">
        <f>SUM(C43,E43,G43,I43)</f>
        <v/>
      </c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</row>
    <row r="44" ht="15.95" customHeight="1">
      <c r="A44" s="42" t="inlineStr">
        <is>
          <t>S11</t>
        </is>
      </c>
      <c r="B44" s="42">
        <f>VLOOKUP(A44,Members!$A$2:$B$65,2,FALSE)</f>
        <v/>
      </c>
      <c r="C44" s="47" t="n"/>
      <c r="D44" s="50" t="n"/>
      <c r="E44" s="47" t="n"/>
      <c r="F44" s="50" t="n"/>
      <c r="G44" s="47" t="n"/>
      <c r="H44" s="58" t="n"/>
      <c r="I44" s="47" t="n"/>
      <c r="J44" s="47" t="n"/>
      <c r="K44" s="47">
        <f>SUM(C44,E44,G44,I44)</f>
        <v/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</row>
    <row r="45" ht="15.95" customHeight="1">
      <c r="A45" s="40" t="inlineStr">
        <is>
          <t>S12</t>
        </is>
      </c>
      <c r="B45" s="40">
        <f>VLOOKUP(A45,Members!$A$2:$B$65,2,FALSE)</f>
        <v/>
      </c>
      <c r="C45" s="104" t="n"/>
      <c r="D45" s="53" t="n"/>
      <c r="E45" s="104" t="n"/>
      <c r="F45" s="53" t="n"/>
      <c r="G45" s="104" t="n"/>
      <c r="H45" s="59" t="n"/>
      <c r="I45" s="104" t="n"/>
      <c r="J45" s="104" t="n"/>
      <c r="K45" s="104">
        <f>SUM(C45,E45,G45,I45)</f>
        <v/>
      </c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</row>
    <row r="46" ht="15.95" customHeight="1">
      <c r="A46" s="42" t="inlineStr">
        <is>
          <t>S13</t>
        </is>
      </c>
      <c r="B46" s="42">
        <f>VLOOKUP(A46,Members!$A$2:$B$65,2,FALSE)</f>
        <v/>
      </c>
      <c r="C46" s="47" t="n"/>
      <c r="D46" s="50" t="n"/>
      <c r="E46" s="47" t="n"/>
      <c r="F46" s="50" t="n"/>
      <c r="G46" s="47" t="n"/>
      <c r="H46" s="58" t="n"/>
      <c r="I46" s="47" t="n"/>
      <c r="J46" s="47" t="n"/>
      <c r="K46" s="47">
        <f>SUM(C46,E46,G46,I46)</f>
        <v/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</row>
    <row r="47" ht="15.95" customHeight="1">
      <c r="A47" s="40" t="inlineStr">
        <is>
          <t>S14</t>
        </is>
      </c>
      <c r="B47" s="40">
        <f>VLOOKUP(A47,Members!$A$2:$B$65,2,FALSE)</f>
        <v/>
      </c>
      <c r="C47" s="104" t="n"/>
      <c r="D47" s="53" t="n"/>
      <c r="E47" s="104" t="n"/>
      <c r="F47" s="53" t="n"/>
      <c r="G47" s="104" t="n"/>
      <c r="H47" s="59" t="n"/>
      <c r="I47" s="104" t="n"/>
      <c r="J47" s="104" t="n"/>
      <c r="K47" s="104">
        <f>SUM(C47,E47,G47,I47)</f>
        <v/>
      </c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</row>
    <row r="48" ht="15.95" customHeight="1">
      <c r="A48" s="42" t="inlineStr">
        <is>
          <t>S15</t>
        </is>
      </c>
      <c r="B48" s="42">
        <f>VLOOKUP(A48,Members!$A$2:$B$65,2,FALSE)</f>
        <v/>
      </c>
      <c r="C48" s="43" t="n"/>
      <c r="D48" s="50" t="n"/>
      <c r="E48" s="47" t="n"/>
      <c r="F48" s="50" t="n"/>
      <c r="G48" s="47" t="n"/>
      <c r="H48" s="58" t="n"/>
      <c r="I48" s="47" t="n"/>
      <c r="J48" s="47" t="n"/>
      <c r="K48" s="43">
        <f>SUM(C48,E48,G48,I48)</f>
        <v/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</row>
    <row r="49" ht="15.95" customHeight="1">
      <c r="A49" s="40" t="inlineStr">
        <is>
          <t>S16</t>
        </is>
      </c>
      <c r="B49" s="40">
        <f>VLOOKUP(A49,Members!$A$2:$B$65,2,FALSE)</f>
        <v/>
      </c>
      <c r="C49" s="104" t="n"/>
      <c r="D49" s="53" t="n"/>
      <c r="E49" s="104" t="n"/>
      <c r="F49" s="53" t="n"/>
      <c r="G49" s="104" t="n"/>
      <c r="H49" s="59" t="n"/>
      <c r="I49" s="104" t="n"/>
      <c r="J49" s="104" t="n"/>
      <c r="K49" s="104">
        <f>SUM(C49,E49,G49,I49)</f>
        <v/>
      </c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</row>
    <row r="50" ht="15.95" customHeight="1">
      <c r="A50" s="42" t="inlineStr">
        <is>
          <t>T1</t>
        </is>
      </c>
      <c r="B50" s="42">
        <f>VLOOKUP(A50,Members!$A$2:$B$65,2,FALSE)</f>
        <v/>
      </c>
      <c r="C50" s="47" t="n"/>
      <c r="D50" s="50" t="n"/>
      <c r="E50" s="47" t="n"/>
      <c r="F50" s="50" t="n"/>
      <c r="G50" s="47" t="n"/>
      <c r="H50" s="58" t="n"/>
      <c r="I50" s="47" t="n"/>
      <c r="J50" s="47" t="n"/>
      <c r="K50" s="47">
        <f>SUM(C50,E50,G50,I50)</f>
        <v/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</row>
    <row r="51" ht="15.95" customHeight="1">
      <c r="A51" s="40" t="inlineStr">
        <is>
          <t>T2</t>
        </is>
      </c>
      <c r="B51" s="40">
        <f>VLOOKUP(A51,Members!$A$2:$B$65,2,FALSE)</f>
        <v/>
      </c>
      <c r="C51" s="104" t="n"/>
      <c r="D51" s="53" t="n"/>
      <c r="E51" s="104" t="n"/>
      <c r="F51" s="53" t="n"/>
      <c r="G51" s="104" t="n"/>
      <c r="H51" s="59" t="n"/>
      <c r="I51" s="104" t="n"/>
      <c r="J51" s="104" t="n"/>
      <c r="K51" s="104">
        <f>SUM(C51,E51,G51,I51)</f>
        <v/>
      </c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</row>
    <row r="52" ht="15.95" customHeight="1">
      <c r="A52" s="42" t="inlineStr">
        <is>
          <t>T3</t>
        </is>
      </c>
      <c r="B52" s="42">
        <f>VLOOKUP(A52,Members!$A$2:$B$65,2,FALSE)</f>
        <v/>
      </c>
      <c r="C52" s="47" t="n"/>
      <c r="D52" s="50" t="n"/>
      <c r="E52" s="47" t="n"/>
      <c r="F52" s="50" t="n"/>
      <c r="G52" s="47" t="n"/>
      <c r="H52" s="58" t="n"/>
      <c r="I52" s="47" t="n"/>
      <c r="J52" s="47" t="n"/>
      <c r="K52" s="47">
        <f>SUM(C52,E52,G52,I52)</f>
        <v/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</row>
    <row r="53" ht="15.95" customHeight="1">
      <c r="A53" s="40" t="inlineStr">
        <is>
          <t>T4</t>
        </is>
      </c>
      <c r="B53" s="40">
        <f>VLOOKUP(A53,Members!$A$2:$B$65,2,FALSE)</f>
        <v/>
      </c>
      <c r="C53" s="104" t="n"/>
      <c r="D53" s="53" t="n"/>
      <c r="E53" s="104" t="n"/>
      <c r="F53" s="53" t="n"/>
      <c r="G53" s="104" t="n"/>
      <c r="H53" s="59" t="n"/>
      <c r="I53" s="104" t="n"/>
      <c r="J53" s="104" t="n"/>
      <c r="K53" s="104">
        <f>SUM(C53,E53,G53,I53)</f>
        <v/>
      </c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</row>
    <row r="54" ht="15.95" customHeight="1">
      <c r="A54" s="42" t="inlineStr">
        <is>
          <t>T5</t>
        </is>
      </c>
      <c r="B54" s="42">
        <f>VLOOKUP(A54,Members!$A$2:$B$65,2,FALSE)</f>
        <v/>
      </c>
      <c r="C54" s="47" t="n"/>
      <c r="D54" s="50" t="n"/>
      <c r="E54" s="47" t="n"/>
      <c r="F54" s="50" t="n"/>
      <c r="G54" s="47" t="n"/>
      <c r="H54" s="58" t="n"/>
      <c r="I54" s="47" t="n"/>
      <c r="J54" s="47" t="n"/>
      <c r="K54" s="47">
        <f>SUM(C54,E54,G54,I54)</f>
        <v/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</row>
    <row r="55" ht="15.95" customHeight="1">
      <c r="A55" s="40" t="inlineStr">
        <is>
          <t>T6</t>
        </is>
      </c>
      <c r="B55" s="40">
        <f>VLOOKUP(A55,Members!$A$2:$B$65,2,FALSE)</f>
        <v/>
      </c>
      <c r="C55" s="104" t="n"/>
      <c r="D55" s="53" t="n"/>
      <c r="E55" s="104" t="n"/>
      <c r="F55" s="53" t="n"/>
      <c r="G55" s="104" t="n"/>
      <c r="H55" s="59" t="n"/>
      <c r="I55" s="104" t="n"/>
      <c r="J55" s="104" t="n"/>
      <c r="K55" s="104">
        <f>SUM(C55,E55,G55,I55)</f>
        <v/>
      </c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</row>
    <row r="56" ht="15.95" customHeight="1">
      <c r="A56" s="42" t="inlineStr">
        <is>
          <t>T7</t>
        </is>
      </c>
      <c r="B56" s="42">
        <f>VLOOKUP(A56,Members!$A$2:$B$65,2,FALSE)</f>
        <v/>
      </c>
      <c r="C56" s="47" t="n"/>
      <c r="D56" s="50" t="n"/>
      <c r="E56" s="47" t="n"/>
      <c r="F56" s="50" t="n"/>
      <c r="G56" s="47" t="n"/>
      <c r="H56" s="58" t="n"/>
      <c r="I56" s="47" t="n"/>
      <c r="J56" s="47" t="n"/>
      <c r="K56" s="47">
        <f>SUM(C56,E56,G56,I56)</f>
        <v/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</row>
    <row r="57" ht="15.95" customHeight="1">
      <c r="A57" s="40" t="inlineStr">
        <is>
          <t>T8</t>
        </is>
      </c>
      <c r="B57" s="40">
        <f>VLOOKUP(A57,Members!$A$2:$B$65,2,FALSE)</f>
        <v/>
      </c>
      <c r="C57" s="104" t="n"/>
      <c r="D57" s="53" t="n"/>
      <c r="E57" s="104" t="n"/>
      <c r="F57" s="53" t="n"/>
      <c r="G57" s="104" t="n"/>
      <c r="H57" s="59" t="n"/>
      <c r="I57" s="104" t="n"/>
      <c r="J57" s="104" t="n"/>
      <c r="K57" s="104">
        <f>SUM(C57,E57,G57,I57)</f>
        <v/>
      </c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</row>
    <row r="58" ht="15.95" customHeight="1">
      <c r="A58" s="42" t="inlineStr">
        <is>
          <t>T9</t>
        </is>
      </c>
      <c r="B58" s="42">
        <f>VLOOKUP(A58,Members!$A$2:$B$65,2,FALSE)</f>
        <v/>
      </c>
      <c r="C58" s="47" t="n"/>
      <c r="D58" s="50" t="n"/>
      <c r="E58" s="47" t="n"/>
      <c r="F58" s="50" t="n"/>
      <c r="G58" s="47" t="n"/>
      <c r="H58" s="58" t="n"/>
      <c r="I58" s="47" t="n"/>
      <c r="J58" s="47" t="n"/>
      <c r="K58" s="47">
        <f>SUM(C58,E58,G58,I58)</f>
        <v/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</row>
    <row r="59" ht="15.95" customHeight="1">
      <c r="A59" s="40" t="inlineStr">
        <is>
          <t>T10</t>
        </is>
      </c>
      <c r="B59" s="40">
        <f>VLOOKUP(A59,Members!$A$2:$B$65,2,FALSE)</f>
        <v/>
      </c>
      <c r="C59" s="104" t="n"/>
      <c r="D59" s="52" t="n"/>
      <c r="E59" s="104" t="n"/>
      <c r="F59" s="53" t="n"/>
      <c r="G59" s="104" t="n"/>
      <c r="H59" s="59" t="n"/>
      <c r="I59" s="104" t="n"/>
      <c r="J59" s="104" t="n"/>
      <c r="K59" s="104">
        <f>SUM(C59,E59,G59,I59)</f>
        <v/>
      </c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</row>
    <row r="60" ht="15.95" customHeight="1">
      <c r="A60" s="42" t="inlineStr">
        <is>
          <t>T11</t>
        </is>
      </c>
      <c r="B60" s="42">
        <f>VLOOKUP(A60,Members!$A$2:$B$65,2,FALSE)</f>
        <v/>
      </c>
      <c r="C60" s="47" t="n"/>
      <c r="D60" s="50" t="n"/>
      <c r="E60" s="47" t="n"/>
      <c r="F60" s="50" t="n"/>
      <c r="G60" s="47" t="n"/>
      <c r="H60" s="58" t="n"/>
      <c r="I60" s="47" t="n"/>
      <c r="J60" s="47" t="n"/>
      <c r="K60" s="47">
        <f>SUM(C60,E60,G60,I60)</f>
        <v/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</row>
    <row r="61" ht="15.95" customHeight="1">
      <c r="A61" s="40" t="inlineStr">
        <is>
          <t>T12</t>
        </is>
      </c>
      <c r="B61" s="40">
        <f>VLOOKUP(A61,Members!$A$2:$B$65,2,FALSE)</f>
        <v/>
      </c>
      <c r="C61" s="104" t="n"/>
      <c r="D61" s="53" t="n"/>
      <c r="E61" s="104" t="n"/>
      <c r="F61" s="53" t="n"/>
      <c r="G61" s="104" t="n"/>
      <c r="H61" s="59" t="n"/>
      <c r="I61" s="104" t="n"/>
      <c r="J61" s="104" t="n"/>
      <c r="K61" s="104">
        <f>SUM(C61,E61,G61,I61)</f>
        <v/>
      </c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</row>
    <row r="62" ht="15.95" customHeight="1">
      <c r="A62" s="42" t="inlineStr">
        <is>
          <t>T13</t>
        </is>
      </c>
      <c r="B62" s="42">
        <f>VLOOKUP(A62,Members!$A$2:$B$65,2,FALSE)</f>
        <v/>
      </c>
      <c r="C62" s="47" t="n"/>
      <c r="D62" s="51" t="n"/>
      <c r="E62" s="47" t="n"/>
      <c r="F62" s="50" t="n"/>
      <c r="G62" s="47" t="n"/>
      <c r="H62" s="58" t="n"/>
      <c r="I62" s="47" t="n"/>
      <c r="J62" s="47" t="n"/>
      <c r="K62" s="47">
        <f>SUM(C62,E62,G62,I62)</f>
        <v/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</row>
    <row r="63" ht="15.95" customHeight="1">
      <c r="A63" s="40" t="inlineStr">
        <is>
          <t>T14</t>
        </is>
      </c>
      <c r="B63" s="40">
        <f>VLOOKUP(A63,Members!$A$2:$B$65,2,FALSE)</f>
        <v/>
      </c>
      <c r="C63" s="104" t="n"/>
      <c r="D63" s="52" t="n"/>
      <c r="E63" s="104" t="n"/>
      <c r="F63" s="53" t="n"/>
      <c r="G63" s="104" t="n"/>
      <c r="H63" s="59" t="n"/>
      <c r="I63" s="104" t="n"/>
      <c r="J63" s="104" t="n"/>
      <c r="K63" s="104">
        <f>SUM(C63,E63,G63,I63)</f>
        <v/>
      </c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</row>
    <row r="64" ht="15.95" customHeight="1">
      <c r="A64" s="42" t="inlineStr">
        <is>
          <t>T15</t>
        </is>
      </c>
      <c r="B64" s="42">
        <f>VLOOKUP(A64,Members!$A$2:$B$65,2,FALSE)</f>
        <v/>
      </c>
      <c r="C64" s="47" t="n"/>
      <c r="D64" s="50" t="n"/>
      <c r="E64" s="47" t="n"/>
      <c r="F64" s="50" t="n"/>
      <c r="G64" s="47" t="n"/>
      <c r="H64" s="58" t="n"/>
      <c r="I64" s="47" t="n"/>
      <c r="J64" s="47" t="n"/>
      <c r="K64" s="47">
        <f>SUM(C64,E64,G64,I64)</f>
        <v/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</row>
    <row r="65" ht="15.95" customHeight="1">
      <c r="A65" s="40" t="inlineStr">
        <is>
          <t>T16</t>
        </is>
      </c>
      <c r="B65" s="40">
        <f>VLOOKUP(A65,Members!$A$2:$B$65,2,FALSE)</f>
        <v/>
      </c>
      <c r="C65" s="104" t="n"/>
      <c r="D65" s="53" t="n"/>
      <c r="E65" s="104" t="n"/>
      <c r="F65" s="53" t="n"/>
      <c r="G65" s="104" t="n"/>
      <c r="H65" s="59" t="n"/>
      <c r="I65" s="104" t="n"/>
      <c r="J65" s="104" t="n"/>
      <c r="K65" s="104">
        <f>SUM(C65,E65,G65,I65)</f>
        <v/>
      </c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</row>
    <row r="66">
      <c r="A66" s="44" t="inlineStr">
        <is>
          <t>TOTAL</t>
        </is>
      </c>
      <c r="B66" s="55" t="n"/>
      <c r="C66" s="56" t="n"/>
      <c r="D66" s="67" t="n"/>
      <c r="E66" s="56" t="n"/>
      <c r="F66" s="56" t="n"/>
      <c r="G66" s="56" t="n"/>
      <c r="H66" s="62" t="n"/>
      <c r="I66" s="56" t="n"/>
      <c r="J66" s="56" t="n"/>
      <c r="K66" s="56">
        <f>SUM(K2:K65)</f>
        <v/>
      </c>
      <c r="L66" s="56" t="n"/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  <c r="Z66" s="56" t="n"/>
      <c r="AA66" s="56" t="n"/>
    </row>
    <row r="67">
      <c r="D67" s="10" t="n"/>
      <c r="F67" s="9" t="n"/>
      <c r="H67" s="8" t="n"/>
    </row>
    <row r="68">
      <c r="D68" s="10" t="n"/>
      <c r="F68" s="9" t="n"/>
      <c r="H68" s="8" t="n"/>
    </row>
    <row r="69">
      <c r="D69" s="10" t="n"/>
      <c r="F69" s="9" t="n"/>
      <c r="H69" s="8" t="n"/>
    </row>
    <row r="70">
      <c r="A70" s="3" t="n"/>
      <c r="D70" s="10" t="n"/>
      <c r="F70" s="9" t="n"/>
      <c r="H70" s="8" t="n"/>
    </row>
    <row r="71">
      <c r="A71" s="3" t="n"/>
      <c r="D71" s="10" t="n"/>
      <c r="F71" s="9" t="n"/>
      <c r="H71" s="8" t="n"/>
    </row>
    <row r="72">
      <c r="A72" s="5" t="n"/>
      <c r="D72" s="10" t="n"/>
      <c r="F72" s="9" t="n"/>
      <c r="H72" s="8" t="n"/>
    </row>
    <row r="73">
      <c r="A73" s="5" t="n"/>
      <c r="D73" s="10" t="n"/>
      <c r="F73" s="9" t="n"/>
      <c r="H73" s="8" t="n"/>
    </row>
    <row r="74">
      <c r="A74" s="5" t="n"/>
      <c r="D74" s="10" t="n"/>
      <c r="F74" s="9" t="n"/>
      <c r="H74" s="8" t="n"/>
    </row>
    <row r="75">
      <c r="A75" s="5" t="n"/>
      <c r="D75" s="10" t="n"/>
      <c r="F75" s="9" t="n"/>
      <c r="H75" s="8" t="n"/>
    </row>
    <row r="76">
      <c r="A76" s="5" t="n"/>
      <c r="D76" s="10" t="n"/>
      <c r="F76" s="9" t="n"/>
      <c r="H76" s="8" t="n"/>
    </row>
    <row r="77">
      <c r="A77" s="5" t="n"/>
      <c r="D77" s="10" t="n"/>
      <c r="F77" s="9" t="n"/>
      <c r="H77" s="8" t="n"/>
    </row>
    <row r="78">
      <c r="A78" s="5" t="n"/>
      <c r="D78" s="10" t="n"/>
      <c r="F78" s="9" t="n"/>
      <c r="H78" s="8" t="n"/>
    </row>
    <row r="79">
      <c r="A79" s="5" t="n"/>
      <c r="D79" s="10" t="n"/>
      <c r="F79" s="9" t="n"/>
      <c r="H79" s="8" t="n"/>
    </row>
    <row r="80">
      <c r="A80" s="5" t="n"/>
      <c r="D80" s="10" t="n"/>
      <c r="F80" s="9" t="n"/>
      <c r="H80" s="8" t="n"/>
    </row>
    <row r="81">
      <c r="A81" s="5" t="n"/>
      <c r="D81" s="10" t="n"/>
      <c r="F81" s="9" t="n"/>
      <c r="H81" s="8" t="n"/>
    </row>
    <row r="82">
      <c r="A82" s="5" t="n"/>
      <c r="D82" s="10" t="n"/>
      <c r="F82" s="9" t="n"/>
      <c r="H82" s="8" t="n"/>
    </row>
    <row r="83">
      <c r="A83" s="5" t="n"/>
      <c r="D83" s="10" t="n"/>
      <c r="F83" s="9" t="n"/>
      <c r="H83" s="8" t="n"/>
    </row>
    <row r="84">
      <c r="A84" s="5" t="n"/>
      <c r="D84" s="10" t="n"/>
      <c r="F84" s="9" t="n"/>
      <c r="H84" s="8" t="n"/>
    </row>
    <row r="85">
      <c r="A85" s="5" t="n"/>
      <c r="D85" s="10" t="n"/>
      <c r="F85" s="9" t="n"/>
      <c r="H85" s="8" t="n"/>
    </row>
    <row r="86">
      <c r="A86" s="5" t="n"/>
      <c r="D86" s="10" t="n"/>
      <c r="F86" s="9" t="n"/>
      <c r="H86" s="8" t="n"/>
    </row>
    <row r="87">
      <c r="A87" s="5" t="n"/>
      <c r="D87" s="10" t="n"/>
      <c r="F87" s="9" t="n"/>
      <c r="H87" s="8" t="n"/>
    </row>
    <row r="88">
      <c r="A88" s="5" t="n"/>
      <c r="D88" s="10" t="n"/>
      <c r="F88" s="9" t="n"/>
      <c r="H88" s="8" t="n"/>
    </row>
    <row r="89">
      <c r="A89" s="5" t="n"/>
      <c r="D89" s="10" t="n"/>
      <c r="F89" s="9" t="n"/>
      <c r="H89" s="8" t="n"/>
    </row>
    <row r="90">
      <c r="A90" s="5" t="n"/>
      <c r="D90" s="10" t="n"/>
      <c r="F90" s="9" t="n"/>
      <c r="H90" s="8" t="n"/>
    </row>
    <row r="91">
      <c r="A91" s="5" t="n"/>
      <c r="D91" s="10" t="n"/>
      <c r="F91" s="9" t="n"/>
      <c r="H91" s="8" t="n"/>
    </row>
    <row r="92">
      <c r="A92" s="5" t="n"/>
      <c r="D92" s="10" t="n"/>
      <c r="F92" s="9" t="n"/>
      <c r="H92" s="8" t="n"/>
    </row>
    <row r="93">
      <c r="A93" s="5" t="n"/>
      <c r="D93" s="10" t="n"/>
      <c r="F93" s="9" t="n"/>
      <c r="H93" s="8" t="n"/>
    </row>
    <row r="94">
      <c r="A94" s="5" t="n"/>
      <c r="D94" s="10" t="n"/>
      <c r="F94" s="9" t="n"/>
      <c r="H94" s="8" t="n"/>
    </row>
    <row r="95">
      <c r="A95" s="5" t="n"/>
      <c r="D95" s="10" t="n"/>
      <c r="F95" s="9" t="n"/>
      <c r="H95" s="8" t="n"/>
    </row>
    <row r="96">
      <c r="A96" s="5" t="n"/>
      <c r="D96" s="10" t="n"/>
      <c r="F96" s="9" t="n"/>
      <c r="H96" s="8" t="n"/>
    </row>
    <row r="97">
      <c r="A97" s="5" t="n"/>
      <c r="D97" s="10" t="n"/>
      <c r="F97" s="9" t="n"/>
      <c r="H97" s="8" t="n"/>
    </row>
    <row r="98">
      <c r="A98" s="5" t="n"/>
      <c r="D98" s="10" t="n"/>
      <c r="F98" s="9" t="n"/>
      <c r="H98" s="8" t="n"/>
    </row>
    <row r="99">
      <c r="A99" s="5" t="n"/>
      <c r="D99" s="10" t="n"/>
      <c r="F99" s="9" t="n"/>
      <c r="H99" s="8" t="n"/>
    </row>
    <row r="100">
      <c r="A100" s="5" t="n"/>
      <c r="D100" s="10" t="n"/>
      <c r="F100" s="9" t="n"/>
      <c r="H100" s="8" t="n"/>
    </row>
    <row r="101">
      <c r="A101" s="5" t="n"/>
      <c r="D101" s="10" t="n"/>
      <c r="F101" s="9" t="n"/>
      <c r="H101" s="8" t="n"/>
    </row>
    <row r="102">
      <c r="A102" s="5" t="n"/>
      <c r="D102" s="10" t="n"/>
      <c r="F102" s="9" t="n"/>
      <c r="H102" s="8" t="n"/>
    </row>
    <row r="103">
      <c r="A103" s="5" t="n"/>
      <c r="D103" s="10" t="n"/>
      <c r="F103" s="9" t="n"/>
      <c r="H103" s="8" t="n"/>
    </row>
    <row r="104">
      <c r="A104" s="5" t="n"/>
      <c r="D104" s="10" t="n"/>
      <c r="F104" s="9" t="n"/>
      <c r="H104" s="8" t="n"/>
    </row>
    <row r="105">
      <c r="A105" s="5" t="n"/>
      <c r="D105" s="10" t="n"/>
      <c r="F105" s="9" t="n"/>
      <c r="H105" s="8" t="n"/>
    </row>
    <row r="106">
      <c r="A106" s="5" t="n"/>
      <c r="D106" s="10" t="n"/>
      <c r="F106" s="9" t="n"/>
      <c r="H106" s="8" t="n"/>
    </row>
    <row r="107">
      <c r="A107" s="5" t="n"/>
      <c r="D107" s="10" t="n"/>
      <c r="F107" s="9" t="n"/>
      <c r="H107" s="8" t="n"/>
    </row>
    <row r="108">
      <c r="A108" s="5" t="n"/>
      <c r="D108" s="10" t="n"/>
      <c r="F108" s="9" t="n"/>
      <c r="H108" s="8" t="n"/>
    </row>
    <row r="109">
      <c r="A109" s="5" t="n"/>
      <c r="D109" s="10" t="n"/>
      <c r="F109" s="9" t="n"/>
      <c r="H109" s="8" t="n"/>
    </row>
    <row r="110">
      <c r="A110" s="5" t="n"/>
      <c r="D110" s="10" t="n"/>
      <c r="F110" s="9" t="n"/>
      <c r="H110" s="8" t="n"/>
    </row>
    <row r="111">
      <c r="A111" s="5" t="n"/>
      <c r="D111" s="10" t="n"/>
      <c r="F111" s="9" t="n"/>
      <c r="H111" s="8" t="n"/>
    </row>
    <row r="112">
      <c r="A112" s="5" t="n"/>
      <c r="D112" s="10" t="n"/>
      <c r="F112" s="9" t="n"/>
      <c r="H112" s="8" t="n"/>
    </row>
    <row r="113">
      <c r="A113" s="5" t="n"/>
      <c r="D113" s="10" t="n"/>
      <c r="F113" s="9" t="n"/>
      <c r="H113" s="8" t="n"/>
    </row>
    <row r="114">
      <c r="A114" s="5" t="n"/>
      <c r="D114" s="10" t="n"/>
      <c r="F114" s="9" t="n"/>
      <c r="H114" s="8" t="n"/>
    </row>
    <row r="115">
      <c r="A115" s="5" t="n"/>
      <c r="D115" s="10" t="n"/>
      <c r="F115" s="9" t="n"/>
      <c r="H115" s="8" t="n"/>
    </row>
    <row r="116">
      <c r="A116" s="5" t="n"/>
      <c r="D116" s="10" t="n"/>
      <c r="F116" s="9" t="n"/>
      <c r="H116" s="8" t="n"/>
    </row>
    <row r="117">
      <c r="A117" s="5" t="n"/>
      <c r="D117" s="10" t="n"/>
      <c r="F117" s="9" t="n"/>
      <c r="H117" s="8" t="n"/>
    </row>
    <row r="118">
      <c r="A118" s="5" t="n"/>
      <c r="D118" s="10" t="n"/>
      <c r="F118" s="9" t="n"/>
      <c r="H118" s="8" t="n"/>
    </row>
    <row r="119">
      <c r="A119" s="5" t="n"/>
      <c r="D119" s="10" t="n"/>
      <c r="F119" s="9" t="n"/>
      <c r="H119" s="8" t="n"/>
    </row>
    <row r="120">
      <c r="A120" s="5" t="n"/>
      <c r="D120" s="10" t="n"/>
      <c r="F120" s="9" t="n"/>
      <c r="H120" s="8" t="n"/>
    </row>
    <row r="121">
      <c r="A121" s="5" t="n"/>
      <c r="D121" s="10" t="n"/>
      <c r="F121" s="9" t="n"/>
      <c r="H121" s="8" t="n"/>
    </row>
    <row r="122">
      <c r="A122" s="5" t="n"/>
      <c r="D122" s="10" t="n"/>
      <c r="F122" s="9" t="n"/>
      <c r="H122" s="8" t="n"/>
    </row>
    <row r="123">
      <c r="A123" s="5" t="n"/>
      <c r="D123" s="10" t="n"/>
      <c r="F123" s="9" t="n"/>
      <c r="H123" s="8" t="n"/>
    </row>
    <row r="124">
      <c r="A124" s="5" t="n"/>
      <c r="D124" s="10" t="n"/>
      <c r="F124" s="9" t="n"/>
      <c r="H124" s="8" t="n"/>
    </row>
    <row r="125">
      <c r="A125" s="5" t="n"/>
      <c r="D125" s="10" t="n"/>
      <c r="F125" s="9" t="n"/>
      <c r="H125" s="8" t="n"/>
    </row>
    <row r="126">
      <c r="A126" s="5" t="n"/>
      <c r="D126" s="10" t="n"/>
      <c r="F126" s="9" t="n"/>
      <c r="H126" s="8" t="n"/>
    </row>
    <row r="127">
      <c r="A127" s="5" t="n"/>
      <c r="D127" s="10" t="n"/>
      <c r="F127" s="9" t="n"/>
      <c r="H127" s="8" t="n"/>
    </row>
    <row r="128">
      <c r="A128" s="5" t="n"/>
      <c r="D128" s="10" t="n"/>
      <c r="F128" s="9" t="n"/>
      <c r="H128" s="8" t="n"/>
    </row>
    <row r="129">
      <c r="A129" s="5" t="n"/>
      <c r="D129" s="10" t="n"/>
      <c r="F129" s="9" t="n"/>
      <c r="H129" s="8" t="n"/>
    </row>
    <row r="130">
      <c r="A130" s="5" t="n"/>
      <c r="D130" s="10" t="n"/>
      <c r="F130" s="9" t="n"/>
      <c r="H130" s="8" t="n"/>
    </row>
    <row r="131">
      <c r="A131" s="5" t="n"/>
      <c r="D131" s="10" t="n"/>
      <c r="F131" s="9" t="n"/>
      <c r="H131" s="8" t="n"/>
    </row>
    <row r="132">
      <c r="A132" s="5" t="n"/>
      <c r="D132" s="10" t="n"/>
      <c r="F132" s="9" t="n"/>
      <c r="H132" s="8" t="n"/>
    </row>
    <row r="133">
      <c r="A133" s="5" t="n"/>
      <c r="D133" s="10" t="n"/>
      <c r="F133" s="9" t="n"/>
      <c r="H133" s="8" t="n"/>
    </row>
    <row r="134">
      <c r="A134" s="5" t="n"/>
      <c r="D134" s="10" t="n"/>
      <c r="F134" s="9" t="n"/>
      <c r="H134" s="8" t="n"/>
    </row>
    <row r="135">
      <c r="A135" s="5" t="n"/>
      <c r="D135" s="10" t="n"/>
      <c r="F135" s="9" t="n"/>
      <c r="H135" s="8" t="n"/>
    </row>
    <row r="136">
      <c r="A136" s="5" t="n"/>
      <c r="D136" s="10" t="n"/>
      <c r="F136" s="9" t="n"/>
      <c r="H136" s="8" t="n"/>
    </row>
    <row r="137">
      <c r="A137" s="5" t="n"/>
      <c r="D137" s="10" t="n"/>
      <c r="F137" s="9" t="n"/>
      <c r="H137" s="8" t="n"/>
    </row>
    <row r="138">
      <c r="A138" s="5" t="n"/>
      <c r="D138" s="10" t="n"/>
      <c r="F138" s="9" t="n"/>
      <c r="H138" s="8" t="n"/>
    </row>
    <row r="139">
      <c r="A139" s="7" t="n"/>
      <c r="D139" s="10" t="n"/>
      <c r="F139" s="9" t="n"/>
      <c r="H139" s="8" t="n"/>
    </row>
    <row r="140">
      <c r="D140" s="10" t="n"/>
      <c r="F140" s="9" t="n"/>
      <c r="H140" s="8" t="n"/>
    </row>
    <row r="141">
      <c r="D141" s="10" t="n"/>
      <c r="F141" s="9" t="n"/>
      <c r="H141" s="8" t="n"/>
    </row>
    <row r="142">
      <c r="D142" s="10" t="n"/>
      <c r="F142" s="9" t="n"/>
      <c r="H142" s="8" t="n"/>
    </row>
    <row r="143">
      <c r="A143" s="3" t="n"/>
      <c r="D143" s="10" t="n"/>
      <c r="F143" s="9" t="n"/>
      <c r="H143" s="8" t="n"/>
    </row>
    <row r="144">
      <c r="A144" s="3" t="n"/>
      <c r="D144" s="10" t="n"/>
      <c r="F144" s="9" t="n"/>
      <c r="H144" s="8" t="n"/>
    </row>
    <row r="145">
      <c r="A145" s="5" t="n"/>
      <c r="D145" s="10" t="n"/>
      <c r="F145" s="9" t="n"/>
      <c r="H145" s="8" t="n"/>
    </row>
    <row r="146">
      <c r="A146" s="5" t="n"/>
      <c r="D146" s="10" t="n"/>
      <c r="F146" s="9" t="n"/>
      <c r="H146" s="8" t="n"/>
    </row>
    <row r="147">
      <c r="A147" s="5" t="n"/>
      <c r="D147" s="10" t="n"/>
      <c r="F147" s="9" t="n"/>
      <c r="H147" s="8" t="n"/>
    </row>
    <row r="148">
      <c r="A148" s="5" t="n"/>
      <c r="D148" s="10" t="n"/>
      <c r="F148" s="9" t="n"/>
      <c r="H148" s="8" t="n"/>
    </row>
    <row r="149">
      <c r="A149" s="5" t="n"/>
      <c r="D149" s="10" t="n"/>
      <c r="F149" s="9" t="n"/>
      <c r="H149" s="8" t="n"/>
    </row>
    <row r="150">
      <c r="A150" s="5" t="n"/>
      <c r="D150" s="10" t="n"/>
      <c r="F150" s="9" t="n"/>
      <c r="H150" s="8" t="n"/>
    </row>
    <row r="151">
      <c r="A151" s="5" t="n"/>
      <c r="D151" s="10" t="n"/>
      <c r="F151" s="9" t="n"/>
      <c r="H151" s="8" t="n"/>
    </row>
    <row r="152">
      <c r="A152" s="5" t="n"/>
      <c r="D152" s="10" t="n"/>
      <c r="F152" s="9" t="n"/>
      <c r="H152" s="8" t="n"/>
    </row>
    <row r="153">
      <c r="A153" s="5" t="n"/>
      <c r="D153" s="10" t="n"/>
      <c r="F153" s="9" t="n"/>
      <c r="H153" s="8" t="n"/>
    </row>
    <row r="154">
      <c r="A154" s="5" t="n"/>
      <c r="D154" s="10" t="n"/>
      <c r="F154" s="9" t="n"/>
      <c r="H154" s="8" t="n"/>
    </row>
    <row r="155">
      <c r="A155" s="5" t="n"/>
      <c r="D155" s="10" t="n"/>
      <c r="F155" s="9" t="n"/>
      <c r="H155" s="8" t="n"/>
    </row>
    <row r="156">
      <c r="A156" s="5" t="n"/>
      <c r="D156" s="10" t="n"/>
      <c r="F156" s="9" t="n"/>
      <c r="H156" s="8" t="n"/>
    </row>
    <row r="157">
      <c r="A157" s="5" t="n"/>
      <c r="D157" s="10" t="n"/>
      <c r="F157" s="9" t="n"/>
      <c r="H157" s="8" t="n"/>
    </row>
    <row r="158">
      <c r="A158" s="5" t="n"/>
      <c r="D158" s="10" t="n"/>
      <c r="F158" s="9" t="n"/>
      <c r="H158" s="8" t="n"/>
    </row>
    <row r="159">
      <c r="A159" s="5" t="n"/>
      <c r="D159" s="10" t="n"/>
      <c r="F159" s="9" t="n"/>
      <c r="H159" s="8" t="n"/>
    </row>
    <row r="160">
      <c r="A160" s="5" t="n"/>
      <c r="D160" s="10" t="n"/>
      <c r="F160" s="9" t="n"/>
      <c r="H160" s="8" t="n"/>
    </row>
    <row r="161">
      <c r="A161" s="5" t="n"/>
      <c r="D161" s="10" t="n"/>
      <c r="F161" s="9" t="n"/>
      <c r="H161" s="8" t="n"/>
    </row>
    <row r="162">
      <c r="A162" s="5" t="n"/>
      <c r="D162" s="10" t="n"/>
      <c r="F162" s="9" t="n"/>
      <c r="H162" s="8" t="n"/>
    </row>
    <row r="163">
      <c r="A163" s="5" t="n"/>
      <c r="D163" s="10" t="n"/>
      <c r="F163" s="9" t="n"/>
      <c r="H163" s="8" t="n"/>
    </row>
    <row r="164">
      <c r="A164" s="5" t="n"/>
      <c r="D164" s="10" t="n"/>
      <c r="F164" s="9" t="n"/>
      <c r="H164" s="8" t="n"/>
    </row>
    <row r="165">
      <c r="A165" s="5" t="n"/>
      <c r="D165" s="10" t="n"/>
      <c r="F165" s="9" t="n"/>
      <c r="H165" s="8" t="n"/>
    </row>
    <row r="166">
      <c r="A166" s="5" t="n"/>
      <c r="D166" s="10" t="n"/>
      <c r="F166" s="9" t="n"/>
      <c r="H166" s="8" t="n"/>
    </row>
    <row r="167">
      <c r="A167" s="5" t="n"/>
      <c r="D167" s="10" t="n"/>
      <c r="F167" s="9" t="n"/>
      <c r="H167" s="8" t="n"/>
    </row>
    <row r="168">
      <c r="A168" s="5" t="n"/>
      <c r="D168" s="10" t="n"/>
      <c r="F168" s="9" t="n"/>
      <c r="H168" s="8" t="n"/>
    </row>
    <row r="169">
      <c r="A169" s="5" t="n"/>
      <c r="D169" s="10" t="n"/>
      <c r="F169" s="9" t="n"/>
      <c r="H169" s="8" t="n"/>
    </row>
    <row r="170">
      <c r="A170" s="5" t="n"/>
      <c r="D170" s="10" t="n"/>
      <c r="F170" s="9" t="n"/>
      <c r="H170" s="8" t="n"/>
    </row>
    <row r="171">
      <c r="A171" s="5" t="n"/>
      <c r="D171" s="10" t="n"/>
      <c r="F171" s="9" t="n"/>
      <c r="H171" s="8" t="n"/>
    </row>
    <row r="172">
      <c r="A172" s="5" t="n"/>
      <c r="D172" s="10" t="n"/>
      <c r="F172" s="9" t="n"/>
      <c r="H172" s="8" t="n"/>
    </row>
    <row r="173">
      <c r="A173" s="5" t="n"/>
      <c r="D173" s="10" t="n"/>
      <c r="F173" s="9" t="n"/>
      <c r="H173" s="8" t="n"/>
    </row>
    <row r="174">
      <c r="A174" s="5" t="n"/>
      <c r="D174" s="10" t="n"/>
      <c r="F174" s="9" t="n"/>
      <c r="H174" s="8" t="n"/>
    </row>
    <row r="175">
      <c r="A175" s="5" t="n"/>
      <c r="D175" s="10" t="n"/>
      <c r="F175" s="9" t="n"/>
      <c r="H175" s="8" t="n"/>
    </row>
    <row r="176">
      <c r="A176" s="5" t="n"/>
      <c r="D176" s="10" t="n"/>
      <c r="F176" s="9" t="n"/>
      <c r="H176" s="8" t="n"/>
    </row>
    <row r="177">
      <c r="A177" s="5" t="n"/>
      <c r="D177" s="10" t="n"/>
      <c r="F177" s="9" t="n"/>
      <c r="H177" s="8" t="n"/>
    </row>
    <row r="178">
      <c r="A178" s="5" t="n"/>
      <c r="D178" s="10" t="n"/>
      <c r="F178" s="9" t="n"/>
      <c r="H178" s="8" t="n"/>
    </row>
    <row r="179">
      <c r="A179" s="5" t="n"/>
      <c r="D179" s="10" t="n"/>
      <c r="F179" s="9" t="n"/>
      <c r="H179" s="8" t="n"/>
    </row>
    <row r="180">
      <c r="A180" s="5" t="n"/>
      <c r="D180" s="10" t="n"/>
      <c r="F180" s="9" t="n"/>
      <c r="H180" s="8" t="n"/>
    </row>
    <row r="181">
      <c r="A181" s="5" t="n"/>
      <c r="D181" s="10" t="n"/>
      <c r="F181" s="9" t="n"/>
      <c r="H181" s="8" t="n"/>
    </row>
    <row r="182">
      <c r="A182" s="5" t="n"/>
      <c r="D182" s="10" t="n"/>
      <c r="F182" s="9" t="n"/>
      <c r="H182" s="8" t="n"/>
    </row>
    <row r="183">
      <c r="A183" s="5" t="n"/>
      <c r="D183" s="10" t="n"/>
      <c r="F183" s="9" t="n"/>
      <c r="H183" s="8" t="n"/>
    </row>
    <row r="184">
      <c r="A184" s="5" t="n"/>
      <c r="D184" s="10" t="n"/>
      <c r="F184" s="9" t="n"/>
      <c r="H184" s="8" t="n"/>
    </row>
    <row r="185">
      <c r="A185" s="5" t="n"/>
      <c r="D185" s="10" t="n"/>
      <c r="F185" s="9" t="n"/>
      <c r="H185" s="8" t="n"/>
    </row>
    <row r="186">
      <c r="A186" s="5" t="n"/>
      <c r="D186" s="10" t="n"/>
      <c r="F186" s="9" t="n"/>
      <c r="H186" s="8" t="n"/>
    </row>
    <row r="187">
      <c r="A187" s="5" t="n"/>
      <c r="D187" s="10" t="n"/>
      <c r="F187" s="9" t="n"/>
      <c r="H187" s="8" t="n"/>
    </row>
    <row r="188">
      <c r="A188" s="5" t="n"/>
      <c r="D188" s="10" t="n"/>
      <c r="F188" s="9" t="n"/>
      <c r="H188" s="8" t="n"/>
    </row>
    <row r="189">
      <c r="A189" s="5" t="n"/>
      <c r="D189" s="10" t="n"/>
      <c r="F189" s="9" t="n"/>
      <c r="H189" s="8" t="n"/>
    </row>
    <row r="190">
      <c r="A190" s="5" t="n"/>
      <c r="D190" s="10" t="n"/>
      <c r="F190" s="9" t="n"/>
      <c r="H190" s="8" t="n"/>
    </row>
    <row r="191">
      <c r="A191" s="5" t="n"/>
      <c r="D191" s="10" t="n"/>
      <c r="F191" s="9" t="n"/>
      <c r="H191" s="8" t="n"/>
    </row>
    <row r="192">
      <c r="A192" s="5" t="n"/>
      <c r="D192" s="10" t="n"/>
      <c r="F192" s="9" t="n"/>
      <c r="H192" s="8" t="n"/>
    </row>
    <row r="193">
      <c r="A193" s="5" t="n"/>
      <c r="D193" s="10" t="n"/>
      <c r="F193" s="9" t="n"/>
      <c r="H193" s="8" t="n"/>
    </row>
    <row r="194">
      <c r="A194" s="5" t="n"/>
      <c r="D194" s="10" t="n"/>
      <c r="F194" s="9" t="n"/>
      <c r="H194" s="8" t="n"/>
    </row>
    <row r="195">
      <c r="A195" s="5" t="n"/>
      <c r="D195" s="10" t="n"/>
      <c r="F195" s="9" t="n"/>
      <c r="H195" s="8" t="n"/>
    </row>
    <row r="196">
      <c r="A196" s="5" t="n"/>
      <c r="D196" s="10" t="n"/>
      <c r="F196" s="9" t="n"/>
      <c r="H196" s="8" t="n"/>
    </row>
    <row r="197">
      <c r="A197" s="5" t="n"/>
      <c r="D197" s="10" t="n"/>
      <c r="F197" s="9" t="n"/>
      <c r="H197" s="8" t="n"/>
    </row>
    <row r="198">
      <c r="A198" s="5" t="n"/>
      <c r="D198" s="10" t="n"/>
      <c r="F198" s="9" t="n"/>
      <c r="H198" s="8" t="n"/>
    </row>
    <row r="199">
      <c r="A199" s="5" t="n"/>
      <c r="D199" s="10" t="n"/>
      <c r="F199" s="9" t="n"/>
      <c r="H199" s="8" t="n"/>
    </row>
    <row r="200">
      <c r="A200" s="5" t="n"/>
      <c r="D200" s="10" t="n"/>
      <c r="F200" s="9" t="n"/>
      <c r="H200" s="8" t="n"/>
    </row>
    <row r="201">
      <c r="A201" s="5" t="n"/>
      <c r="D201" s="10" t="n"/>
      <c r="F201" s="9" t="n"/>
      <c r="H201" s="8" t="n"/>
    </row>
    <row r="202">
      <c r="A202" s="5" t="n"/>
      <c r="D202" s="10" t="n"/>
      <c r="F202" s="9" t="n"/>
      <c r="H202" s="8" t="n"/>
    </row>
    <row r="203">
      <c r="A203" s="5" t="n"/>
      <c r="D203" s="10" t="n"/>
      <c r="F203" s="9" t="n"/>
      <c r="H203" s="8" t="n"/>
    </row>
    <row r="204">
      <c r="A204" s="5" t="n"/>
      <c r="D204" s="10" t="n"/>
      <c r="F204" s="9" t="n"/>
      <c r="H204" s="8" t="n"/>
    </row>
    <row r="205">
      <c r="A205" s="5" t="n"/>
      <c r="D205" s="10" t="n"/>
      <c r="F205" s="9" t="n"/>
      <c r="H205" s="8" t="n"/>
    </row>
    <row r="206">
      <c r="A206" s="5" t="n"/>
      <c r="D206" s="10" t="n"/>
      <c r="F206" s="9" t="n"/>
      <c r="H206" s="8" t="n"/>
    </row>
    <row r="207">
      <c r="A207" s="5" t="n"/>
      <c r="D207" s="10" t="n"/>
      <c r="F207" s="9" t="n"/>
      <c r="H207" s="8" t="n"/>
    </row>
    <row r="208">
      <c r="A208" s="5" t="n"/>
      <c r="D208" s="10" t="n"/>
      <c r="F208" s="9" t="n"/>
      <c r="H208" s="8" t="n"/>
    </row>
    <row r="209">
      <c r="A209" s="5" t="n"/>
      <c r="D209" s="10" t="n"/>
      <c r="F209" s="9" t="n"/>
      <c r="H209" s="8" t="n"/>
    </row>
    <row r="210">
      <c r="A210" s="5" t="n"/>
      <c r="D210" s="10" t="n"/>
      <c r="F210" s="9" t="n"/>
      <c r="H210" s="8" t="n"/>
    </row>
    <row r="211">
      <c r="A211" s="5" t="n"/>
      <c r="D211" s="10" t="n"/>
      <c r="F211" s="9" t="n"/>
      <c r="H211" s="8" t="n"/>
    </row>
    <row r="212">
      <c r="A212" s="7" t="n"/>
      <c r="D212" s="10" t="n"/>
      <c r="F212" s="9" t="n"/>
      <c r="H212" s="8" t="n"/>
    </row>
    <row r="213">
      <c r="D213" s="10" t="n"/>
      <c r="F213" s="9" t="n"/>
      <c r="H213" s="8" t="n"/>
    </row>
    <row r="214">
      <c r="D214" s="10" t="n"/>
      <c r="F214" s="9" t="n"/>
      <c r="H214" s="8" t="n"/>
    </row>
    <row r="215">
      <c r="D215" s="10" t="n"/>
      <c r="F215" s="9" t="n"/>
      <c r="H215" s="8" t="n"/>
    </row>
    <row r="216">
      <c r="A216" s="3" t="n"/>
      <c r="D216" s="10" t="n"/>
      <c r="F216" s="9" t="n"/>
      <c r="H216" s="8" t="n"/>
    </row>
    <row r="217">
      <c r="A217" s="3" t="n"/>
      <c r="D217" s="10" t="n"/>
      <c r="F217" s="9" t="n"/>
      <c r="H217" s="8" t="n"/>
    </row>
    <row r="218">
      <c r="A218" s="5" t="n"/>
      <c r="D218" s="10" t="n"/>
      <c r="F218" s="9" t="n"/>
      <c r="H218" s="8" t="n"/>
    </row>
    <row r="219">
      <c r="A219" s="5" t="n"/>
      <c r="D219" s="10" t="n"/>
      <c r="F219" s="9" t="n"/>
      <c r="H219" s="8" t="n"/>
    </row>
    <row r="220">
      <c r="A220" s="5" t="n"/>
      <c r="D220" s="10" t="n"/>
      <c r="F220" s="9" t="n"/>
      <c r="H220" s="8" t="n"/>
    </row>
    <row r="221">
      <c r="A221" s="5" t="n"/>
      <c r="D221" s="10" t="n"/>
      <c r="F221" s="9" t="n"/>
      <c r="H221" s="8" t="n"/>
    </row>
    <row r="222">
      <c r="A222" s="5" t="n"/>
      <c r="D222" s="10" t="n"/>
      <c r="F222" s="9" t="n"/>
      <c r="H222" s="8" t="n"/>
    </row>
    <row r="223">
      <c r="A223" s="5" t="n"/>
      <c r="D223" s="10" t="n"/>
      <c r="F223" s="9" t="n"/>
      <c r="H223" s="8" t="n"/>
    </row>
    <row r="224">
      <c r="A224" s="5" t="n"/>
      <c r="D224" s="10" t="n"/>
      <c r="F224" s="9" t="n"/>
      <c r="H224" s="8" t="n"/>
    </row>
    <row r="225">
      <c r="A225" s="5" t="n"/>
      <c r="D225" s="10" t="n"/>
      <c r="F225" s="9" t="n"/>
      <c r="H225" s="8" t="n"/>
    </row>
    <row r="226">
      <c r="A226" s="5" t="n"/>
      <c r="D226" s="10" t="n"/>
      <c r="F226" s="9" t="n"/>
      <c r="H226" s="8" t="n"/>
    </row>
    <row r="227">
      <c r="A227" s="5" t="n"/>
      <c r="D227" s="10" t="n"/>
      <c r="F227" s="9" t="n"/>
      <c r="H227" s="8" t="n"/>
    </row>
    <row r="228">
      <c r="A228" s="5" t="n"/>
      <c r="D228" s="10" t="n"/>
      <c r="F228" s="9" t="n"/>
      <c r="H228" s="8" t="n"/>
    </row>
    <row r="229">
      <c r="A229" s="5" t="n"/>
      <c r="D229" s="10" t="n"/>
      <c r="F229" s="9" t="n"/>
      <c r="H229" s="8" t="n"/>
    </row>
    <row r="230">
      <c r="A230" s="5" t="n"/>
      <c r="D230" s="10" t="n"/>
      <c r="F230" s="9" t="n"/>
      <c r="H230" s="8" t="n"/>
    </row>
    <row r="231">
      <c r="A231" s="5" t="n"/>
      <c r="D231" s="10" t="n"/>
      <c r="F231" s="9" t="n"/>
      <c r="H231" s="8" t="n"/>
    </row>
    <row r="232">
      <c r="A232" s="5" t="n"/>
      <c r="D232" s="10" t="n"/>
      <c r="F232" s="9" t="n"/>
      <c r="H232" s="8" t="n"/>
    </row>
    <row r="233">
      <c r="A233" s="5" t="n"/>
      <c r="D233" s="10" t="n"/>
      <c r="F233" s="9" t="n"/>
      <c r="H233" s="8" t="n"/>
    </row>
    <row r="234">
      <c r="A234" s="5" t="n"/>
      <c r="D234" s="10" t="n"/>
      <c r="F234" s="9" t="n"/>
      <c r="H234" s="8" t="n"/>
    </row>
    <row r="235">
      <c r="A235" s="5" t="n"/>
      <c r="D235" s="10" t="n"/>
      <c r="F235" s="9" t="n"/>
      <c r="H235" s="8" t="n"/>
    </row>
    <row r="236">
      <c r="A236" s="5" t="n"/>
      <c r="D236" s="10" t="n"/>
      <c r="F236" s="9" t="n"/>
      <c r="H236" s="8" t="n"/>
    </row>
    <row r="237">
      <c r="A237" s="5" t="n"/>
      <c r="D237" s="10" t="n"/>
      <c r="F237" s="9" t="n"/>
      <c r="H237" s="8" t="n"/>
    </row>
    <row r="238">
      <c r="A238" s="5" t="n"/>
      <c r="D238" s="10" t="n"/>
      <c r="F238" s="9" t="n"/>
      <c r="H238" s="8" t="n"/>
    </row>
    <row r="239">
      <c r="A239" s="5" t="n"/>
      <c r="D239" s="10" t="n"/>
      <c r="F239" s="9" t="n"/>
      <c r="H239" s="8" t="n"/>
    </row>
    <row r="240">
      <c r="A240" s="5" t="n"/>
      <c r="D240" s="10" t="n"/>
      <c r="F240" s="9" t="n"/>
      <c r="H240" s="8" t="n"/>
    </row>
    <row r="241">
      <c r="A241" s="5" t="n"/>
      <c r="D241" s="10" t="n"/>
      <c r="F241" s="9" t="n"/>
      <c r="H241" s="8" t="n"/>
    </row>
    <row r="242">
      <c r="A242" s="5" t="n"/>
      <c r="D242" s="10" t="n"/>
      <c r="F242" s="9" t="n"/>
      <c r="H242" s="8" t="n"/>
    </row>
    <row r="243">
      <c r="A243" s="5" t="n"/>
      <c r="D243" s="10" t="n"/>
      <c r="F243" s="9" t="n"/>
      <c r="H243" s="8" t="n"/>
    </row>
    <row r="244">
      <c r="A244" s="5" t="n"/>
      <c r="D244" s="10" t="n"/>
      <c r="F244" s="9" t="n"/>
      <c r="H244" s="8" t="n"/>
    </row>
    <row r="245">
      <c r="A245" s="5" t="n"/>
      <c r="D245" s="10" t="n"/>
      <c r="F245" s="9" t="n"/>
      <c r="H245" s="8" t="n"/>
    </row>
    <row r="246">
      <c r="A246" s="5" t="n"/>
      <c r="D246" s="10" t="n"/>
      <c r="F246" s="9" t="n"/>
      <c r="H246" s="8" t="n"/>
    </row>
    <row r="247">
      <c r="A247" s="5" t="n"/>
      <c r="D247" s="10" t="n"/>
      <c r="F247" s="9" t="n"/>
      <c r="H247" s="8" t="n"/>
    </row>
    <row r="248">
      <c r="A248" s="5" t="n"/>
      <c r="D248" s="10" t="n"/>
      <c r="F248" s="9" t="n"/>
      <c r="H248" s="8" t="n"/>
    </row>
    <row r="249">
      <c r="A249" s="5" t="n"/>
      <c r="D249" s="10" t="n"/>
      <c r="F249" s="9" t="n"/>
      <c r="H249" s="8" t="n"/>
    </row>
    <row r="250">
      <c r="A250" s="5" t="n"/>
      <c r="D250" s="10" t="n"/>
      <c r="F250" s="9" t="n"/>
      <c r="H250" s="8" t="n"/>
    </row>
    <row r="251">
      <c r="A251" s="5" t="n"/>
      <c r="D251" s="10" t="n"/>
      <c r="F251" s="9" t="n"/>
      <c r="H251" s="8" t="n"/>
    </row>
    <row r="252">
      <c r="A252" s="5" t="n"/>
      <c r="D252" s="10" t="n"/>
      <c r="F252" s="9" t="n"/>
      <c r="H252" s="8" t="n"/>
    </row>
    <row r="253">
      <c r="A253" s="5" t="n"/>
      <c r="D253" s="10" t="n"/>
      <c r="F253" s="9" t="n"/>
      <c r="H253" s="8" t="n"/>
    </row>
    <row r="254">
      <c r="A254" s="5" t="n"/>
      <c r="D254" s="10" t="n"/>
      <c r="F254" s="9" t="n"/>
      <c r="H254" s="8" t="n"/>
    </row>
    <row r="255">
      <c r="A255" s="5" t="n"/>
      <c r="D255" s="10" t="n"/>
      <c r="F255" s="9" t="n"/>
      <c r="H255" s="8" t="n"/>
    </row>
    <row r="256">
      <c r="A256" s="5" t="n"/>
      <c r="D256" s="10" t="n"/>
      <c r="F256" s="9" t="n"/>
      <c r="H256" s="8" t="n"/>
    </row>
    <row r="257">
      <c r="A257" s="5" t="n"/>
      <c r="D257" s="10" t="n"/>
      <c r="F257" s="9" t="n"/>
      <c r="H257" s="8" t="n"/>
    </row>
    <row r="258">
      <c r="A258" s="5" t="n"/>
      <c r="D258" s="10" t="n"/>
      <c r="F258" s="9" t="n"/>
      <c r="H258" s="8" t="n"/>
    </row>
    <row r="259">
      <c r="A259" s="5" t="n"/>
      <c r="D259" s="10" t="n"/>
      <c r="F259" s="9" t="n"/>
      <c r="H259" s="8" t="n"/>
    </row>
    <row r="260">
      <c r="A260" s="5" t="n"/>
      <c r="D260" s="10" t="n"/>
      <c r="F260" s="9" t="n"/>
      <c r="H260" s="8" t="n"/>
    </row>
    <row r="261">
      <c r="A261" s="5" t="n"/>
      <c r="D261" s="10" t="n"/>
      <c r="F261" s="9" t="n"/>
      <c r="H261" s="8" t="n"/>
    </row>
    <row r="262">
      <c r="A262" s="5" t="n"/>
      <c r="D262" s="10" t="n"/>
      <c r="F262" s="9" t="n"/>
      <c r="H262" s="8" t="n"/>
    </row>
    <row r="263">
      <c r="A263" s="5" t="n"/>
      <c r="D263" s="10" t="n"/>
      <c r="F263" s="9" t="n"/>
      <c r="H263" s="8" t="n"/>
    </row>
    <row r="264">
      <c r="A264" s="5" t="n"/>
      <c r="D264" s="10" t="n"/>
      <c r="F264" s="9" t="n"/>
      <c r="H264" s="8" t="n"/>
    </row>
    <row r="265">
      <c r="A265" s="5" t="n"/>
      <c r="D265" s="10" t="n"/>
      <c r="F265" s="9" t="n"/>
      <c r="H265" s="8" t="n"/>
    </row>
    <row r="266">
      <c r="A266" s="5" t="n"/>
      <c r="D266" s="10" t="n"/>
      <c r="F266" s="9" t="n"/>
      <c r="H266" s="8" t="n"/>
    </row>
    <row r="267">
      <c r="A267" s="5" t="n"/>
      <c r="D267" s="10" t="n"/>
      <c r="F267" s="9" t="n"/>
      <c r="H267" s="8" t="n"/>
    </row>
    <row r="268">
      <c r="A268" s="5" t="n"/>
      <c r="D268" s="10" t="n"/>
      <c r="F268" s="9" t="n"/>
      <c r="H268" s="8" t="n"/>
    </row>
    <row r="269">
      <c r="A269" s="5" t="n"/>
      <c r="D269" s="10" t="n"/>
      <c r="F269" s="9" t="n"/>
      <c r="H269" s="8" t="n"/>
    </row>
    <row r="270">
      <c r="A270" s="5" t="n"/>
      <c r="D270" s="10" t="n"/>
      <c r="F270" s="9" t="n"/>
      <c r="H270" s="8" t="n"/>
    </row>
    <row r="271">
      <c r="A271" s="5" t="n"/>
      <c r="D271" s="10" t="n"/>
      <c r="F271" s="9" t="n"/>
      <c r="H271" s="8" t="n"/>
    </row>
    <row r="272">
      <c r="A272" s="5" t="n"/>
      <c r="D272" s="10" t="n"/>
      <c r="F272" s="9" t="n"/>
      <c r="H272" s="8" t="n"/>
    </row>
    <row r="273">
      <c r="A273" s="5" t="n"/>
      <c r="D273" s="10" t="n"/>
      <c r="F273" s="9" t="n"/>
      <c r="H273" s="8" t="n"/>
    </row>
    <row r="274">
      <c r="A274" s="5" t="n"/>
      <c r="D274" s="10" t="n"/>
      <c r="F274" s="9" t="n"/>
      <c r="H274" s="8" t="n"/>
    </row>
    <row r="275">
      <c r="A275" s="5" t="n"/>
      <c r="D275" s="10" t="n"/>
      <c r="F275" s="9" t="n"/>
      <c r="H275" s="8" t="n"/>
    </row>
    <row r="276">
      <c r="A276" s="5" t="n"/>
      <c r="D276" s="10" t="n"/>
      <c r="F276" s="9" t="n"/>
      <c r="H276" s="8" t="n"/>
    </row>
    <row r="277">
      <c r="A277" s="5" t="n"/>
      <c r="D277" s="10" t="n"/>
      <c r="F277" s="9" t="n"/>
      <c r="H277" s="8" t="n"/>
    </row>
    <row r="278">
      <c r="A278" s="5" t="n"/>
      <c r="D278" s="10" t="n"/>
      <c r="F278" s="9" t="n"/>
      <c r="H278" s="8" t="n"/>
    </row>
    <row r="279">
      <c r="A279" s="5" t="n"/>
      <c r="D279" s="10" t="n"/>
      <c r="F279" s="9" t="n"/>
      <c r="H279" s="8" t="n"/>
    </row>
    <row r="280">
      <c r="A280" s="5" t="n"/>
      <c r="D280" s="10" t="n"/>
      <c r="F280" s="9" t="n"/>
      <c r="H280" s="8" t="n"/>
    </row>
    <row r="281">
      <c r="A281" s="5" t="n"/>
      <c r="D281" s="10" t="n"/>
      <c r="F281" s="9" t="n"/>
      <c r="H281" s="8" t="n"/>
    </row>
    <row r="282">
      <c r="A282" s="5" t="n"/>
      <c r="D282" s="10" t="n"/>
      <c r="F282" s="9" t="n"/>
      <c r="H282" s="8" t="n"/>
    </row>
    <row r="283">
      <c r="A283" s="5" t="n"/>
      <c r="D283" s="10" t="n"/>
      <c r="F283" s="9" t="n"/>
      <c r="H283" s="8" t="n"/>
    </row>
    <row r="284">
      <c r="A284" s="5" t="n"/>
      <c r="D284" s="10" t="n"/>
      <c r="F284" s="9" t="n"/>
      <c r="H284" s="8" t="n"/>
    </row>
    <row r="285">
      <c r="A285" s="7" t="n"/>
      <c r="D285" s="10" t="n"/>
      <c r="F285" s="9" t="n"/>
      <c r="H285" s="8" t="n"/>
    </row>
    <row r="286">
      <c r="D286" s="10" t="n"/>
      <c r="F286" s="9" t="n"/>
      <c r="H286" s="8" t="n"/>
    </row>
    <row r="287">
      <c r="D287" s="10" t="n"/>
      <c r="F287" s="9" t="n"/>
      <c r="H287" s="8" t="n"/>
    </row>
    <row r="288">
      <c r="D288" s="10" t="n"/>
      <c r="F288" s="9" t="n"/>
      <c r="H288" s="8" t="n"/>
    </row>
    <row r="289">
      <c r="A289" s="3" t="n"/>
      <c r="D289" s="10" t="n"/>
      <c r="F289" s="9" t="n"/>
      <c r="H289" s="8" t="n"/>
    </row>
    <row r="290">
      <c r="A290" s="3" t="n"/>
      <c r="D290" s="10" t="n"/>
      <c r="F290" s="9" t="n"/>
      <c r="H290" s="8" t="n"/>
    </row>
    <row r="291">
      <c r="A291" s="5" t="n"/>
      <c r="D291" s="10" t="n"/>
      <c r="F291" s="9" t="n"/>
      <c r="H291" s="8" t="n"/>
    </row>
    <row r="292">
      <c r="A292" s="5" t="n"/>
      <c r="D292" s="10" t="n"/>
      <c r="F292" s="9" t="n"/>
      <c r="H292" s="8" t="n"/>
    </row>
    <row r="293">
      <c r="A293" s="5" t="n"/>
      <c r="D293" s="10" t="n"/>
      <c r="F293" s="9" t="n"/>
      <c r="H293" s="8" t="n"/>
    </row>
    <row r="294">
      <c r="A294" s="5" t="n"/>
      <c r="D294" s="10" t="n"/>
      <c r="F294" s="9" t="n"/>
      <c r="H294" s="8" t="n"/>
    </row>
    <row r="295">
      <c r="A295" s="5" t="n"/>
      <c r="D295" s="10" t="n"/>
      <c r="F295" s="9" t="n"/>
      <c r="H295" s="8" t="n"/>
    </row>
    <row r="296">
      <c r="A296" s="5" t="n"/>
      <c r="D296" s="10" t="n"/>
      <c r="F296" s="9" t="n"/>
      <c r="H296" s="8" t="n"/>
    </row>
    <row r="297">
      <c r="A297" s="5" t="n"/>
      <c r="D297" s="10" t="n"/>
      <c r="F297" s="9" t="n"/>
      <c r="H297" s="8" t="n"/>
    </row>
    <row r="298">
      <c r="A298" s="5" t="n"/>
      <c r="D298" s="10" t="n"/>
      <c r="F298" s="9" t="n"/>
      <c r="H298" s="8" t="n"/>
    </row>
    <row r="299">
      <c r="A299" s="5" t="n"/>
      <c r="D299" s="10" t="n"/>
      <c r="F299" s="9" t="n"/>
      <c r="H299" s="8" t="n"/>
    </row>
    <row r="300">
      <c r="A300" s="5" t="n"/>
      <c r="D300" s="10" t="n"/>
      <c r="F300" s="9" t="n"/>
      <c r="H300" s="8" t="n"/>
    </row>
    <row r="301">
      <c r="A301" s="5" t="n"/>
      <c r="D301" s="10" t="n"/>
      <c r="F301" s="9" t="n"/>
      <c r="H301" s="8" t="n"/>
    </row>
    <row r="302">
      <c r="A302" s="5" t="n"/>
      <c r="D302" s="10" t="n"/>
      <c r="F302" s="9" t="n"/>
      <c r="H302" s="8" t="n"/>
    </row>
    <row r="303">
      <c r="A303" s="5" t="n"/>
      <c r="D303" s="10" t="n"/>
      <c r="F303" s="9" t="n"/>
      <c r="H303" s="8" t="n"/>
    </row>
    <row r="304">
      <c r="A304" s="5" t="n"/>
      <c r="D304" s="10" t="n"/>
      <c r="F304" s="9" t="n"/>
      <c r="H304" s="8" t="n"/>
    </row>
    <row r="305">
      <c r="A305" s="5" t="n"/>
      <c r="D305" s="10" t="n"/>
      <c r="F305" s="9" t="n"/>
      <c r="H305" s="8" t="n"/>
    </row>
    <row r="306">
      <c r="A306" s="5" t="n"/>
      <c r="D306" s="10" t="n"/>
      <c r="F306" s="9" t="n"/>
      <c r="H306" s="8" t="n"/>
    </row>
    <row r="307">
      <c r="A307" s="5" t="n"/>
      <c r="D307" s="10" t="n"/>
      <c r="F307" s="9" t="n"/>
      <c r="H307" s="8" t="n"/>
    </row>
    <row r="308">
      <c r="A308" s="5" t="n"/>
      <c r="D308" s="10" t="n"/>
      <c r="F308" s="9" t="n"/>
      <c r="H308" s="8" t="n"/>
    </row>
    <row r="309">
      <c r="A309" s="5" t="n"/>
      <c r="D309" s="10" t="n"/>
      <c r="F309" s="9" t="n"/>
      <c r="H309" s="8" t="n"/>
    </row>
    <row r="310">
      <c r="A310" s="5" t="n"/>
      <c r="D310" s="10" t="n"/>
      <c r="F310" s="9" t="n"/>
      <c r="H310" s="8" t="n"/>
    </row>
    <row r="311">
      <c r="A311" s="5" t="n"/>
      <c r="D311" s="10" t="n"/>
      <c r="F311" s="9" t="n"/>
      <c r="H311" s="8" t="n"/>
    </row>
    <row r="312">
      <c r="A312" s="5" t="n"/>
      <c r="D312" s="10" t="n"/>
      <c r="F312" s="9" t="n"/>
      <c r="H312" s="8" t="n"/>
    </row>
    <row r="313">
      <c r="A313" s="5" t="n"/>
      <c r="D313" s="10" t="n"/>
      <c r="F313" s="9" t="n"/>
      <c r="H313" s="8" t="n"/>
    </row>
    <row r="314">
      <c r="A314" s="5" t="n"/>
      <c r="D314" s="10" t="n"/>
      <c r="F314" s="9" t="n"/>
      <c r="H314" s="8" t="n"/>
    </row>
    <row r="315">
      <c r="A315" s="5" t="n"/>
      <c r="D315" s="10" t="n"/>
      <c r="F315" s="9" t="n"/>
      <c r="H315" s="8" t="n"/>
    </row>
    <row r="316">
      <c r="A316" s="5" t="n"/>
      <c r="D316" s="10" t="n"/>
      <c r="F316" s="9" t="n"/>
      <c r="H316" s="8" t="n"/>
    </row>
    <row r="317">
      <c r="A317" s="5" t="n"/>
      <c r="D317" s="10" t="n"/>
      <c r="F317" s="9" t="n"/>
      <c r="H317" s="8" t="n"/>
    </row>
    <row r="318">
      <c r="A318" s="5" t="n"/>
      <c r="D318" s="10" t="n"/>
      <c r="F318" s="9" t="n"/>
      <c r="H318" s="8" t="n"/>
    </row>
    <row r="319">
      <c r="A319" s="5" t="n"/>
      <c r="D319" s="10" t="n"/>
      <c r="F319" s="9" t="n"/>
      <c r="H319" s="8" t="n"/>
    </row>
    <row r="320">
      <c r="A320" s="5" t="n"/>
      <c r="D320" s="10" t="n"/>
      <c r="F320" s="9" t="n"/>
      <c r="H320" s="8" t="n"/>
    </row>
    <row r="321">
      <c r="A321" s="5" t="n"/>
      <c r="D321" s="10" t="n"/>
      <c r="F321" s="9" t="n"/>
      <c r="H321" s="8" t="n"/>
    </row>
    <row r="322">
      <c r="A322" s="5" t="n"/>
      <c r="D322" s="10" t="n"/>
      <c r="F322" s="9" t="n"/>
      <c r="H322" s="8" t="n"/>
    </row>
    <row r="323">
      <c r="A323" s="5" t="n"/>
      <c r="D323" s="10" t="n"/>
      <c r="F323" s="9" t="n"/>
      <c r="H323" s="8" t="n"/>
    </row>
    <row r="324">
      <c r="A324" s="5" t="n"/>
      <c r="D324" s="10" t="n"/>
      <c r="F324" s="9" t="n"/>
      <c r="H324" s="8" t="n"/>
    </row>
    <row r="325">
      <c r="A325" s="5" t="n"/>
      <c r="D325" s="10" t="n"/>
      <c r="F325" s="9" t="n"/>
      <c r="H325" s="8" t="n"/>
    </row>
    <row r="326">
      <c r="A326" s="5" t="n"/>
      <c r="D326" s="10" t="n"/>
      <c r="F326" s="9" t="n"/>
      <c r="H326" s="8" t="n"/>
    </row>
    <row r="327">
      <c r="A327" s="5" t="n"/>
      <c r="D327" s="10" t="n"/>
      <c r="F327" s="9" t="n"/>
      <c r="H327" s="8" t="n"/>
    </row>
    <row r="328">
      <c r="A328" s="5" t="n"/>
      <c r="D328" s="10" t="n"/>
      <c r="F328" s="9" t="n"/>
      <c r="H328" s="8" t="n"/>
    </row>
    <row r="329">
      <c r="A329" s="5" t="n"/>
      <c r="D329" s="10" t="n"/>
      <c r="F329" s="9" t="n"/>
      <c r="H329" s="8" t="n"/>
    </row>
    <row r="330">
      <c r="A330" s="5" t="n"/>
      <c r="D330" s="10" t="n"/>
      <c r="F330" s="9" t="n"/>
      <c r="H330" s="8" t="n"/>
    </row>
    <row r="331">
      <c r="A331" s="5" t="n"/>
      <c r="D331" s="10" t="n"/>
      <c r="F331" s="9" t="n"/>
      <c r="H331" s="8" t="n"/>
    </row>
    <row r="332">
      <c r="A332" s="5" t="n"/>
      <c r="D332" s="10" t="n"/>
      <c r="F332" s="9" t="n"/>
      <c r="H332" s="8" t="n"/>
    </row>
    <row r="333">
      <c r="A333" s="5" t="n"/>
      <c r="D333" s="10" t="n"/>
      <c r="F333" s="9" t="n"/>
      <c r="H333" s="8" t="n"/>
    </row>
    <row r="334">
      <c r="A334" s="5" t="n"/>
      <c r="D334" s="10" t="n"/>
      <c r="F334" s="9" t="n"/>
      <c r="H334" s="8" t="n"/>
    </row>
    <row r="335">
      <c r="A335" s="5" t="n"/>
      <c r="D335" s="10" t="n"/>
      <c r="F335" s="9" t="n"/>
      <c r="H335" s="8" t="n"/>
    </row>
    <row r="336">
      <c r="A336" s="5" t="n"/>
      <c r="D336" s="10" t="n"/>
      <c r="F336" s="9" t="n"/>
      <c r="H336" s="8" t="n"/>
    </row>
    <row r="337">
      <c r="A337" s="5" t="n"/>
      <c r="D337" s="10" t="n"/>
      <c r="F337" s="9" t="n"/>
      <c r="H337" s="8" t="n"/>
    </row>
    <row r="338">
      <c r="A338" s="5" t="n"/>
      <c r="D338" s="10" t="n"/>
      <c r="F338" s="9" t="n"/>
      <c r="H338" s="8" t="n"/>
    </row>
    <row r="339">
      <c r="A339" s="5" t="n"/>
      <c r="D339" s="10" t="n"/>
      <c r="F339" s="9" t="n"/>
      <c r="H339" s="8" t="n"/>
    </row>
    <row r="340">
      <c r="A340" s="5" t="n"/>
      <c r="D340" s="10" t="n"/>
      <c r="F340" s="9" t="n"/>
      <c r="H340" s="8" t="n"/>
    </row>
    <row r="341">
      <c r="A341" s="5" t="n"/>
      <c r="D341" s="10" t="n"/>
      <c r="F341" s="9" t="n"/>
      <c r="H341" s="8" t="n"/>
    </row>
    <row r="342">
      <c r="A342" s="5" t="n"/>
      <c r="D342" s="10" t="n"/>
      <c r="F342" s="9" t="n"/>
      <c r="H342" s="8" t="n"/>
    </row>
    <row r="343">
      <c r="A343" s="5" t="n"/>
      <c r="D343" s="10" t="n"/>
      <c r="F343" s="9" t="n"/>
      <c r="H343" s="8" t="n"/>
    </row>
    <row r="344">
      <c r="A344" s="5" t="n"/>
      <c r="D344" s="10" t="n"/>
      <c r="F344" s="9" t="n"/>
      <c r="H344" s="8" t="n"/>
    </row>
    <row r="345">
      <c r="A345" s="5" t="n"/>
      <c r="D345" s="10" t="n"/>
      <c r="F345" s="9" t="n"/>
      <c r="H345" s="8" t="n"/>
    </row>
    <row r="346">
      <c r="A346" s="5" t="n"/>
      <c r="D346" s="10" t="n"/>
      <c r="F346" s="9" t="n"/>
      <c r="H346" s="8" t="n"/>
    </row>
    <row r="347">
      <c r="A347" s="5" t="n"/>
      <c r="D347" s="10" t="n"/>
      <c r="F347" s="9" t="n"/>
      <c r="H347" s="8" t="n"/>
    </row>
    <row r="348">
      <c r="A348" s="5" t="n"/>
      <c r="D348" s="10" t="n"/>
      <c r="F348" s="9" t="n"/>
      <c r="H348" s="8" t="n"/>
    </row>
    <row r="349">
      <c r="A349" s="5" t="n"/>
      <c r="D349" s="10" t="n"/>
      <c r="F349" s="9" t="n"/>
      <c r="H349" s="8" t="n"/>
    </row>
    <row r="350">
      <c r="A350" s="5" t="n"/>
      <c r="D350" s="10" t="n"/>
      <c r="F350" s="9" t="n"/>
      <c r="H350" s="8" t="n"/>
    </row>
    <row r="351">
      <c r="A351" s="5" t="n"/>
      <c r="D351" s="10" t="n"/>
      <c r="F351" s="9" t="n"/>
      <c r="H351" s="8" t="n"/>
    </row>
    <row r="352">
      <c r="A352" s="5" t="n"/>
      <c r="D352" s="10" t="n"/>
      <c r="F352" s="9" t="n"/>
      <c r="H352" s="8" t="n"/>
    </row>
    <row r="353">
      <c r="A353" s="5" t="n"/>
      <c r="D353" s="10" t="n"/>
      <c r="F353" s="9" t="n"/>
      <c r="H353" s="8" t="n"/>
    </row>
    <row r="354">
      <c r="A354" s="5" t="n"/>
      <c r="D354" s="10" t="n"/>
      <c r="F354" s="9" t="n"/>
      <c r="H354" s="8" t="n"/>
    </row>
    <row r="355">
      <c r="A355" s="5" t="n"/>
      <c r="D355" s="10" t="n"/>
      <c r="F355" s="9" t="n"/>
      <c r="H355" s="8" t="n"/>
    </row>
    <row r="356">
      <c r="A356" s="5" t="n"/>
      <c r="D356" s="10" t="n"/>
      <c r="F356" s="9" t="n"/>
      <c r="H356" s="8" t="n"/>
    </row>
    <row r="357">
      <c r="A357" s="5" t="n"/>
      <c r="D357" s="10" t="n"/>
      <c r="F357" s="9" t="n"/>
      <c r="H357" s="8" t="n"/>
    </row>
    <row r="358">
      <c r="A358" s="7" t="n"/>
      <c r="D358" s="10" t="n"/>
      <c r="F358" s="9" t="n"/>
      <c r="H358" s="8" t="n"/>
    </row>
    <row r="359">
      <c r="D359" s="10" t="n"/>
      <c r="F359" s="9" t="n"/>
      <c r="H359" s="8" t="n"/>
    </row>
    <row r="360">
      <c r="D360" s="10" t="n"/>
      <c r="F360" s="9" t="n"/>
      <c r="H360" s="8" t="n"/>
    </row>
    <row r="361">
      <c r="D361" s="10" t="n"/>
      <c r="F361" s="9" t="n"/>
      <c r="H361" s="8" t="n"/>
    </row>
    <row r="362">
      <c r="A362" s="3" t="n"/>
      <c r="D362" s="10" t="n"/>
      <c r="F362" s="9" t="n"/>
      <c r="H362" s="8" t="n"/>
    </row>
    <row r="363">
      <c r="A363" s="3" t="n"/>
      <c r="D363" s="10" t="n"/>
      <c r="F363" s="9" t="n"/>
      <c r="H363" s="8" t="n"/>
    </row>
    <row r="364">
      <c r="A364" s="5" t="n"/>
      <c r="D364" s="10" t="n"/>
      <c r="F364" s="9" t="n"/>
      <c r="H364" s="8" t="n"/>
    </row>
    <row r="365">
      <c r="A365" s="5" t="n"/>
      <c r="D365" s="10" t="n"/>
      <c r="F365" s="9" t="n"/>
      <c r="H365" s="8" t="n"/>
    </row>
    <row r="366">
      <c r="A366" s="5" t="n"/>
      <c r="D366" s="10" t="n"/>
      <c r="F366" s="9" t="n"/>
      <c r="H366" s="8" t="n"/>
    </row>
    <row r="367">
      <c r="A367" s="5" t="n"/>
      <c r="D367" s="10" t="n"/>
      <c r="F367" s="9" t="n"/>
      <c r="H367" s="8" t="n"/>
    </row>
    <row r="368">
      <c r="A368" s="5" t="n"/>
      <c r="D368" s="10" t="n"/>
      <c r="F368" s="9" t="n"/>
      <c r="H368" s="8" t="n"/>
    </row>
    <row r="369">
      <c r="A369" s="5" t="n"/>
      <c r="D369" s="10" t="n"/>
      <c r="F369" s="9" t="n"/>
      <c r="H369" s="8" t="n"/>
    </row>
    <row r="370">
      <c r="A370" s="5" t="n"/>
      <c r="D370" s="10" t="n"/>
      <c r="F370" s="9" t="n"/>
      <c r="H370" s="8" t="n"/>
    </row>
    <row r="371">
      <c r="A371" s="5" t="n"/>
      <c r="D371" s="10" t="n"/>
      <c r="F371" s="9" t="n"/>
      <c r="H371" s="8" t="n"/>
    </row>
    <row r="372">
      <c r="A372" s="5" t="n"/>
      <c r="D372" s="10" t="n"/>
      <c r="F372" s="9" t="n"/>
      <c r="H372" s="8" t="n"/>
    </row>
    <row r="373">
      <c r="A373" s="5" t="n"/>
      <c r="D373" s="10" t="n"/>
      <c r="F373" s="9" t="n"/>
      <c r="H373" s="8" t="n"/>
    </row>
    <row r="374">
      <c r="A374" s="5" t="n"/>
      <c r="D374" s="10" t="n"/>
      <c r="F374" s="9" t="n"/>
      <c r="H374" s="8" t="n"/>
    </row>
    <row r="375">
      <c r="A375" s="5" t="n"/>
      <c r="D375" s="10" t="n"/>
      <c r="F375" s="9" t="n"/>
      <c r="H375" s="8" t="n"/>
    </row>
    <row r="376">
      <c r="A376" s="5" t="n"/>
      <c r="D376" s="10" t="n"/>
      <c r="F376" s="9" t="n"/>
      <c r="H376" s="8" t="n"/>
    </row>
    <row r="377">
      <c r="A377" s="5" t="n"/>
      <c r="D377" s="10" t="n"/>
      <c r="F377" s="9" t="n"/>
      <c r="H377" s="8" t="n"/>
    </row>
    <row r="378">
      <c r="A378" s="5" t="n"/>
      <c r="D378" s="10" t="n"/>
      <c r="F378" s="9" t="n"/>
      <c r="H378" s="8" t="n"/>
    </row>
    <row r="379">
      <c r="A379" s="5" t="n"/>
      <c r="D379" s="10" t="n"/>
      <c r="F379" s="9" t="n"/>
      <c r="H379" s="8" t="n"/>
    </row>
    <row r="380">
      <c r="A380" s="5" t="n"/>
      <c r="D380" s="10" t="n"/>
      <c r="F380" s="9" t="n"/>
      <c r="H380" s="8" t="n"/>
    </row>
    <row r="381">
      <c r="A381" s="5" t="n"/>
      <c r="D381" s="10" t="n"/>
      <c r="F381" s="9" t="n"/>
      <c r="H381" s="8" t="n"/>
    </row>
    <row r="382">
      <c r="A382" s="5" t="n"/>
      <c r="D382" s="10" t="n"/>
      <c r="F382" s="9" t="n"/>
      <c r="H382" s="8" t="n"/>
    </row>
    <row r="383">
      <c r="A383" s="5" t="n"/>
      <c r="D383" s="10" t="n"/>
      <c r="F383" s="9" t="n"/>
      <c r="H383" s="8" t="n"/>
    </row>
    <row r="384">
      <c r="A384" s="5" t="n"/>
      <c r="D384" s="10" t="n"/>
      <c r="F384" s="9" t="n"/>
      <c r="H384" s="8" t="n"/>
    </row>
    <row r="385">
      <c r="A385" s="5" t="n"/>
      <c r="D385" s="10" t="n"/>
      <c r="F385" s="9" t="n"/>
      <c r="H385" s="8" t="n"/>
    </row>
    <row r="386">
      <c r="A386" s="5" t="n"/>
      <c r="D386" s="10" t="n"/>
      <c r="F386" s="9" t="n"/>
      <c r="H386" s="8" t="n"/>
    </row>
    <row r="387">
      <c r="A387" s="5" t="n"/>
      <c r="D387" s="10" t="n"/>
      <c r="F387" s="9" t="n"/>
      <c r="H387" s="8" t="n"/>
    </row>
    <row r="388">
      <c r="A388" s="5" t="n"/>
      <c r="D388" s="10" t="n"/>
      <c r="F388" s="9" t="n"/>
      <c r="H388" s="8" t="n"/>
    </row>
    <row r="389">
      <c r="A389" s="5" t="n"/>
      <c r="D389" s="10" t="n"/>
      <c r="F389" s="9" t="n"/>
      <c r="H389" s="8" t="n"/>
    </row>
    <row r="390">
      <c r="A390" s="5" t="n"/>
      <c r="D390" s="10" t="n"/>
      <c r="F390" s="9" t="n"/>
      <c r="H390" s="8" t="n"/>
    </row>
    <row r="391">
      <c r="A391" s="5" t="n"/>
      <c r="D391" s="10" t="n"/>
      <c r="F391" s="9" t="n"/>
      <c r="H391" s="8" t="n"/>
    </row>
    <row r="392">
      <c r="A392" s="5" t="n"/>
      <c r="D392" s="10" t="n"/>
      <c r="F392" s="9" t="n"/>
      <c r="H392" s="8" t="n"/>
    </row>
    <row r="393">
      <c r="A393" s="5" t="n"/>
      <c r="D393" s="10" t="n"/>
      <c r="F393" s="9" t="n"/>
      <c r="H393" s="8" t="n"/>
    </row>
    <row r="394">
      <c r="A394" s="5" t="n"/>
      <c r="D394" s="10" t="n"/>
      <c r="F394" s="9" t="n"/>
      <c r="H394" s="8" t="n"/>
    </row>
    <row r="395">
      <c r="A395" s="5" t="n"/>
      <c r="D395" s="10" t="n"/>
      <c r="F395" s="9" t="n"/>
      <c r="H395" s="8" t="n"/>
    </row>
    <row r="396">
      <c r="A396" s="5" t="n"/>
      <c r="D396" s="10" t="n"/>
      <c r="F396" s="9" t="n"/>
      <c r="H396" s="8" t="n"/>
    </row>
    <row r="397">
      <c r="A397" s="5" t="n"/>
      <c r="D397" s="10" t="n"/>
      <c r="F397" s="9" t="n"/>
      <c r="H397" s="8" t="n"/>
    </row>
    <row r="398">
      <c r="A398" s="5" t="n"/>
      <c r="D398" s="10" t="n"/>
      <c r="F398" s="9" t="n"/>
      <c r="H398" s="8" t="n"/>
    </row>
    <row r="399">
      <c r="A399" s="5" t="n"/>
      <c r="D399" s="10" t="n"/>
      <c r="F399" s="9" t="n"/>
      <c r="H399" s="8" t="n"/>
    </row>
    <row r="400">
      <c r="A400" s="5" t="n"/>
      <c r="D400" s="10" t="n"/>
      <c r="F400" s="9" t="n"/>
      <c r="H400" s="8" t="n"/>
    </row>
    <row r="401">
      <c r="A401" s="5" t="n"/>
      <c r="D401" s="10" t="n"/>
      <c r="F401" s="9" t="n"/>
      <c r="H401" s="8" t="n"/>
    </row>
    <row r="402">
      <c r="A402" s="5" t="n"/>
      <c r="D402" s="10" t="n"/>
      <c r="F402" s="9" t="n"/>
      <c r="H402" s="8" t="n"/>
    </row>
    <row r="403">
      <c r="A403" s="5" t="n"/>
      <c r="D403" s="10" t="n"/>
      <c r="F403" s="9" t="n"/>
      <c r="H403" s="8" t="n"/>
    </row>
    <row r="404">
      <c r="A404" s="5" t="n"/>
      <c r="D404" s="10" t="n"/>
      <c r="F404" s="9" t="n"/>
      <c r="H404" s="8" t="n"/>
    </row>
    <row r="405">
      <c r="A405" s="5" t="n"/>
      <c r="D405" s="10" t="n"/>
      <c r="F405" s="9" t="n"/>
      <c r="H405" s="8" t="n"/>
    </row>
    <row r="406">
      <c r="A406" s="5" t="n"/>
      <c r="D406" s="10" t="n"/>
      <c r="F406" s="9" t="n"/>
      <c r="H406" s="8" t="n"/>
    </row>
    <row r="407">
      <c r="A407" s="5" t="n"/>
      <c r="D407" s="10" t="n"/>
      <c r="F407" s="9" t="n"/>
      <c r="H407" s="8" t="n"/>
    </row>
    <row r="408">
      <c r="A408" s="5" t="n"/>
      <c r="D408" s="10" t="n"/>
      <c r="F408" s="9" t="n"/>
      <c r="H408" s="8" t="n"/>
    </row>
    <row r="409">
      <c r="A409" s="5" t="n"/>
      <c r="D409" s="10" t="n"/>
      <c r="F409" s="9" t="n"/>
      <c r="H409" s="8" t="n"/>
    </row>
    <row r="410">
      <c r="A410" s="5" t="n"/>
      <c r="D410" s="10" t="n"/>
      <c r="F410" s="9" t="n"/>
      <c r="H410" s="8" t="n"/>
    </row>
    <row r="411">
      <c r="A411" s="5" t="n"/>
      <c r="D411" s="10" t="n"/>
      <c r="F411" s="9" t="n"/>
      <c r="H411" s="8" t="n"/>
    </row>
    <row r="412">
      <c r="A412" s="5" t="n"/>
      <c r="D412" s="10" t="n"/>
      <c r="F412" s="9" t="n"/>
      <c r="H412" s="8" t="n"/>
    </row>
    <row r="413">
      <c r="A413" s="5" t="n"/>
      <c r="D413" s="10" t="n"/>
      <c r="F413" s="9" t="n"/>
      <c r="H413" s="8" t="n"/>
    </row>
    <row r="414">
      <c r="A414" s="5" t="n"/>
      <c r="D414" s="10" t="n"/>
      <c r="F414" s="9" t="n"/>
      <c r="H414" s="8" t="n"/>
    </row>
    <row r="415">
      <c r="A415" s="5" t="n"/>
      <c r="D415" s="10" t="n"/>
      <c r="F415" s="9" t="n"/>
      <c r="H415" s="8" t="n"/>
    </row>
    <row r="416">
      <c r="A416" s="5" t="n"/>
      <c r="D416" s="10" t="n"/>
      <c r="F416" s="9" t="n"/>
      <c r="H416" s="8" t="n"/>
    </row>
    <row r="417">
      <c r="A417" s="5" t="n"/>
      <c r="D417" s="10" t="n"/>
      <c r="F417" s="9" t="n"/>
      <c r="H417" s="8" t="n"/>
    </row>
    <row r="418">
      <c r="A418" s="5" t="n"/>
      <c r="D418" s="10" t="n"/>
      <c r="F418" s="9" t="n"/>
      <c r="H418" s="8" t="n"/>
    </row>
    <row r="419">
      <c r="A419" s="5" t="n"/>
      <c r="D419" s="10" t="n"/>
      <c r="F419" s="9" t="n"/>
      <c r="H419" s="8" t="n"/>
    </row>
    <row r="420">
      <c r="A420" s="5" t="n"/>
      <c r="D420" s="10" t="n"/>
      <c r="F420" s="9" t="n"/>
      <c r="H420" s="8" t="n"/>
    </row>
    <row r="421">
      <c r="A421" s="5" t="n"/>
      <c r="D421" s="10" t="n"/>
      <c r="F421" s="9" t="n"/>
      <c r="H421" s="8" t="n"/>
    </row>
    <row r="422">
      <c r="A422" s="5" t="n"/>
      <c r="D422" s="10" t="n"/>
      <c r="F422" s="9" t="n"/>
      <c r="H422" s="8" t="n"/>
    </row>
    <row r="423">
      <c r="A423" s="5" t="n"/>
      <c r="D423" s="10" t="n"/>
      <c r="F423" s="9" t="n"/>
      <c r="H423" s="8" t="n"/>
    </row>
    <row r="424">
      <c r="A424" s="5" t="n"/>
      <c r="D424" s="10" t="n"/>
      <c r="F424" s="9" t="n"/>
      <c r="H424" s="8" t="n"/>
    </row>
    <row r="425">
      <c r="A425" s="5" t="n"/>
      <c r="D425" s="10" t="n"/>
      <c r="F425" s="9" t="n"/>
      <c r="H425" s="8" t="n"/>
    </row>
    <row r="426">
      <c r="A426" s="5" t="n"/>
      <c r="D426" s="10" t="n"/>
      <c r="F426" s="9" t="n"/>
      <c r="H426" s="8" t="n"/>
    </row>
    <row r="427">
      <c r="A427" s="5" t="n"/>
      <c r="D427" s="10" t="n"/>
      <c r="F427" s="9" t="n"/>
      <c r="H427" s="8" t="n"/>
    </row>
    <row r="428">
      <c r="A428" s="5" t="n"/>
      <c r="D428" s="10" t="n"/>
      <c r="F428" s="9" t="n"/>
      <c r="H428" s="8" t="n"/>
    </row>
    <row r="429">
      <c r="A429" s="5" t="n"/>
      <c r="D429" s="10" t="n"/>
      <c r="F429" s="9" t="n"/>
      <c r="H429" s="8" t="n"/>
    </row>
    <row r="430">
      <c r="A430" s="5" t="n"/>
      <c r="D430" s="10" t="n"/>
      <c r="F430" s="9" t="n"/>
      <c r="H430" s="8" t="n"/>
    </row>
    <row r="431">
      <c r="A431" s="7" t="n"/>
      <c r="D431" s="10" t="n"/>
      <c r="F431" s="9" t="n"/>
      <c r="H431" s="8" t="n"/>
    </row>
    <row r="432">
      <c r="D432" s="10" t="n"/>
      <c r="F432" s="9" t="n"/>
      <c r="H432" s="8" t="n"/>
    </row>
    <row r="433">
      <c r="D433" s="10" t="n"/>
      <c r="F433" s="9" t="n"/>
      <c r="H433" s="8" t="n"/>
    </row>
    <row r="434">
      <c r="D434" s="10" t="n"/>
      <c r="F434" s="9" t="n"/>
      <c r="H434" s="8" t="n"/>
    </row>
    <row r="435">
      <c r="A435" s="3" t="n"/>
      <c r="D435" s="10" t="n"/>
      <c r="F435" s="9" t="n"/>
      <c r="H435" s="8" t="n"/>
    </row>
    <row r="436">
      <c r="A436" s="3" t="n"/>
      <c r="D436" s="10" t="n"/>
      <c r="F436" s="9" t="n"/>
      <c r="H436" s="8" t="n"/>
    </row>
    <row r="437">
      <c r="A437" s="5" t="n"/>
      <c r="D437" s="10" t="n"/>
      <c r="F437" s="9" t="n"/>
      <c r="H437" s="8" t="n"/>
    </row>
    <row r="438">
      <c r="A438" s="5" t="n"/>
      <c r="D438" s="10" t="n"/>
      <c r="F438" s="9" t="n"/>
      <c r="H438" s="8" t="n"/>
    </row>
    <row r="439">
      <c r="A439" s="5" t="n"/>
      <c r="D439" s="10" t="n"/>
      <c r="F439" s="9" t="n"/>
      <c r="H439" s="8" t="n"/>
    </row>
    <row r="440">
      <c r="A440" s="5" t="n"/>
      <c r="D440" s="10" t="n"/>
      <c r="F440" s="9" t="n"/>
      <c r="H440" s="8" t="n"/>
    </row>
    <row r="441">
      <c r="A441" s="5" t="n"/>
      <c r="D441" s="10" t="n"/>
      <c r="F441" s="9" t="n"/>
      <c r="H441" s="8" t="n"/>
    </row>
    <row r="442">
      <c r="A442" s="5" t="n"/>
      <c r="D442" s="10" t="n"/>
      <c r="F442" s="9" t="n"/>
      <c r="H442" s="8" t="n"/>
    </row>
    <row r="443">
      <c r="A443" s="5" t="n"/>
      <c r="D443" s="10" t="n"/>
      <c r="F443" s="9" t="n"/>
      <c r="H443" s="8" t="n"/>
    </row>
    <row r="444">
      <c r="A444" s="5" t="n"/>
      <c r="D444" s="10" t="n"/>
      <c r="F444" s="9" t="n"/>
      <c r="H444" s="8" t="n"/>
    </row>
    <row r="445">
      <c r="A445" s="5" t="n"/>
      <c r="D445" s="10" t="n"/>
      <c r="F445" s="9" t="n"/>
      <c r="H445" s="8" t="n"/>
    </row>
    <row r="446">
      <c r="A446" s="5" t="n"/>
      <c r="D446" s="10" t="n"/>
      <c r="F446" s="9" t="n"/>
      <c r="H446" s="8" t="n"/>
    </row>
    <row r="447">
      <c r="A447" s="5" t="n"/>
      <c r="D447" s="10" t="n"/>
      <c r="F447" s="9" t="n"/>
      <c r="H447" s="8" t="n"/>
    </row>
    <row r="448">
      <c r="A448" s="5" t="n"/>
      <c r="D448" s="10" t="n"/>
      <c r="F448" s="9" t="n"/>
      <c r="H448" s="8" t="n"/>
    </row>
    <row r="449">
      <c r="A449" s="5" t="n"/>
      <c r="D449" s="10" t="n"/>
      <c r="F449" s="9" t="n"/>
      <c r="H449" s="8" t="n"/>
    </row>
    <row r="450">
      <c r="A450" s="5" t="n"/>
      <c r="D450" s="10" t="n"/>
      <c r="F450" s="9" t="n"/>
      <c r="H450" s="8" t="n"/>
    </row>
    <row r="451">
      <c r="A451" s="5" t="n"/>
      <c r="D451" s="10" t="n"/>
      <c r="F451" s="9" t="n"/>
      <c r="H451" s="8" t="n"/>
    </row>
    <row r="452">
      <c r="A452" s="5" t="n"/>
      <c r="D452" s="10" t="n"/>
      <c r="F452" s="9" t="n"/>
      <c r="H452" s="8" t="n"/>
    </row>
    <row r="453">
      <c r="A453" s="5" t="n"/>
      <c r="D453" s="10" t="n"/>
      <c r="F453" s="9" t="n"/>
      <c r="H453" s="8" t="n"/>
    </row>
    <row r="454">
      <c r="A454" s="5" t="n"/>
      <c r="D454" s="10" t="n"/>
      <c r="F454" s="9" t="n"/>
      <c r="H454" s="8" t="n"/>
    </row>
    <row r="455">
      <c r="A455" s="5" t="n"/>
      <c r="D455" s="10" t="n"/>
      <c r="F455" s="9" t="n"/>
      <c r="H455" s="8" t="n"/>
    </row>
    <row r="456">
      <c r="A456" s="5" t="n"/>
      <c r="D456" s="10" t="n"/>
      <c r="F456" s="9" t="n"/>
      <c r="H456" s="8" t="n"/>
    </row>
    <row r="457">
      <c r="A457" s="5" t="n"/>
      <c r="D457" s="10" t="n"/>
      <c r="F457" s="9" t="n"/>
      <c r="H457" s="8" t="n"/>
    </row>
    <row r="458">
      <c r="A458" s="5" t="n"/>
      <c r="D458" s="10" t="n"/>
      <c r="F458" s="9" t="n"/>
      <c r="H458" s="8" t="n"/>
    </row>
    <row r="459">
      <c r="A459" s="5" t="n"/>
      <c r="D459" s="10" t="n"/>
      <c r="F459" s="9" t="n"/>
      <c r="H459" s="8" t="n"/>
    </row>
    <row r="460">
      <c r="A460" s="5" t="n"/>
      <c r="D460" s="10" t="n"/>
      <c r="F460" s="9" t="n"/>
      <c r="H460" s="8" t="n"/>
    </row>
    <row r="461">
      <c r="A461" s="5" t="n"/>
      <c r="D461" s="10" t="n"/>
      <c r="F461" s="9" t="n"/>
      <c r="H461" s="8" t="n"/>
    </row>
    <row r="462">
      <c r="A462" s="5" t="n"/>
      <c r="D462" s="10" t="n"/>
      <c r="F462" s="9" t="n"/>
      <c r="H462" s="8" t="n"/>
    </row>
    <row r="463">
      <c r="A463" s="5" t="n"/>
      <c r="D463" s="10" t="n"/>
      <c r="F463" s="9" t="n"/>
      <c r="H463" s="8" t="n"/>
    </row>
    <row r="464">
      <c r="A464" s="5" t="n"/>
      <c r="D464" s="10" t="n"/>
      <c r="F464" s="9" t="n"/>
      <c r="H464" s="8" t="n"/>
    </row>
    <row r="465">
      <c r="A465" s="5" t="n"/>
      <c r="D465" s="10" t="n"/>
      <c r="F465" s="9" t="n"/>
      <c r="H465" s="8" t="n"/>
    </row>
    <row r="466">
      <c r="A466" s="5" t="n"/>
      <c r="D466" s="10" t="n"/>
      <c r="F466" s="9" t="n"/>
      <c r="H466" s="8" t="n"/>
    </row>
    <row r="467">
      <c r="A467" s="5" t="n"/>
      <c r="D467" s="10" t="n"/>
      <c r="F467" s="9" t="n"/>
      <c r="H467" s="8" t="n"/>
    </row>
    <row r="468">
      <c r="A468" s="5" t="n"/>
      <c r="D468" s="10" t="n"/>
      <c r="F468" s="9" t="n"/>
      <c r="H468" s="8" t="n"/>
    </row>
    <row r="469">
      <c r="A469" s="5" t="n"/>
      <c r="D469" s="10" t="n"/>
      <c r="F469" s="9" t="n"/>
      <c r="H469" s="8" t="n"/>
    </row>
    <row r="470">
      <c r="A470" s="5" t="n"/>
      <c r="D470" s="10" t="n"/>
      <c r="F470" s="9" t="n"/>
      <c r="H470" s="8" t="n"/>
    </row>
    <row r="471">
      <c r="A471" s="5" t="n"/>
      <c r="D471" s="10" t="n"/>
      <c r="F471" s="9" t="n"/>
      <c r="H471" s="8" t="n"/>
    </row>
    <row r="472">
      <c r="A472" s="5" t="n"/>
      <c r="D472" s="10" t="n"/>
      <c r="F472" s="9" t="n"/>
      <c r="H472" s="8" t="n"/>
    </row>
    <row r="473">
      <c r="A473" s="5" t="n"/>
      <c r="D473" s="10" t="n"/>
      <c r="F473" s="9" t="n"/>
      <c r="H473" s="8" t="n"/>
    </row>
    <row r="474">
      <c r="A474" s="5" t="n"/>
      <c r="D474" s="10" t="n"/>
      <c r="F474" s="9" t="n"/>
      <c r="H474" s="8" t="n"/>
    </row>
    <row r="475">
      <c r="A475" s="5" t="n"/>
      <c r="D475" s="10" t="n"/>
      <c r="F475" s="9" t="n"/>
      <c r="H475" s="8" t="n"/>
    </row>
    <row r="476">
      <c r="A476" s="5" t="n"/>
      <c r="D476" s="10" t="n"/>
      <c r="F476" s="9" t="n"/>
      <c r="H476" s="8" t="n"/>
    </row>
    <row r="477">
      <c r="A477" s="5" t="n"/>
      <c r="D477" s="10" t="n"/>
      <c r="F477" s="9" t="n"/>
      <c r="H477" s="8" t="n"/>
    </row>
    <row r="478">
      <c r="A478" s="5" t="n"/>
      <c r="D478" s="10" t="n"/>
      <c r="F478" s="9" t="n"/>
      <c r="H478" s="8" t="n"/>
    </row>
    <row r="479">
      <c r="A479" s="5" t="n"/>
      <c r="D479" s="10" t="n"/>
      <c r="F479" s="9" t="n"/>
      <c r="H479" s="8" t="n"/>
    </row>
    <row r="480">
      <c r="A480" s="5" t="n"/>
      <c r="D480" s="10" t="n"/>
      <c r="F480" s="9" t="n"/>
      <c r="H480" s="8" t="n"/>
    </row>
    <row r="481">
      <c r="A481" s="5" t="n"/>
      <c r="D481" s="10" t="n"/>
      <c r="F481" s="9" t="n"/>
      <c r="H481" s="8" t="n"/>
    </row>
    <row r="482">
      <c r="A482" s="5" t="n"/>
      <c r="D482" s="10" t="n"/>
      <c r="F482" s="9" t="n"/>
      <c r="H482" s="8" t="n"/>
    </row>
    <row r="483">
      <c r="A483" s="5" t="n"/>
      <c r="D483" s="10" t="n"/>
      <c r="F483" s="9" t="n"/>
      <c r="H483" s="8" t="n"/>
    </row>
    <row r="484">
      <c r="A484" s="5" t="n"/>
      <c r="D484" s="10" t="n"/>
      <c r="F484" s="9" t="n"/>
      <c r="H484" s="8" t="n"/>
    </row>
    <row r="485">
      <c r="A485" s="5" t="n"/>
      <c r="D485" s="10" t="n"/>
      <c r="F485" s="9" t="n"/>
      <c r="H485" s="8" t="n"/>
    </row>
    <row r="486">
      <c r="A486" s="5" t="n"/>
      <c r="D486" s="10" t="n"/>
      <c r="F486" s="9" t="n"/>
      <c r="H486" s="8" t="n"/>
    </row>
    <row r="487">
      <c r="A487" s="5" t="n"/>
      <c r="D487" s="10" t="n"/>
      <c r="F487" s="9" t="n"/>
      <c r="H487" s="8" t="n"/>
    </row>
    <row r="488">
      <c r="A488" s="5" t="n"/>
      <c r="D488" s="10" t="n"/>
      <c r="F488" s="9" t="n"/>
      <c r="H488" s="8" t="n"/>
    </row>
    <row r="489">
      <c r="A489" s="5" t="n"/>
      <c r="D489" s="10" t="n"/>
      <c r="F489" s="9" t="n"/>
      <c r="H489" s="8" t="n"/>
    </row>
    <row r="490">
      <c r="A490" s="5" t="n"/>
      <c r="D490" s="10" t="n"/>
      <c r="F490" s="9" t="n"/>
      <c r="H490" s="8" t="n"/>
    </row>
    <row r="491">
      <c r="A491" s="5" t="n"/>
      <c r="D491" s="10" t="n"/>
      <c r="F491" s="9" t="n"/>
      <c r="H491" s="8" t="n"/>
    </row>
    <row r="492">
      <c r="A492" s="5" t="n"/>
      <c r="D492" s="10" t="n"/>
      <c r="F492" s="9" t="n"/>
      <c r="H492" s="8" t="n"/>
    </row>
    <row r="493">
      <c r="A493" s="5" t="n"/>
      <c r="D493" s="10" t="n"/>
      <c r="F493" s="9" t="n"/>
      <c r="H493" s="8" t="n"/>
    </row>
    <row r="494">
      <c r="A494" s="5" t="n"/>
      <c r="D494" s="10" t="n"/>
      <c r="F494" s="9" t="n"/>
      <c r="H494" s="8" t="n"/>
    </row>
    <row r="495">
      <c r="A495" s="5" t="n"/>
      <c r="D495" s="10" t="n"/>
      <c r="F495" s="9" t="n"/>
      <c r="H495" s="8" t="n"/>
    </row>
    <row r="496">
      <c r="A496" s="5" t="n"/>
      <c r="D496" s="10" t="n"/>
      <c r="F496" s="9" t="n"/>
      <c r="H496" s="8" t="n"/>
    </row>
    <row r="497">
      <c r="A497" s="5" t="n"/>
      <c r="D497" s="10" t="n"/>
      <c r="F497" s="9" t="n"/>
      <c r="H497" s="8" t="n"/>
    </row>
    <row r="498">
      <c r="A498" s="5" t="n"/>
      <c r="D498" s="10" t="n"/>
      <c r="F498" s="9" t="n"/>
      <c r="H498" s="8" t="n"/>
    </row>
    <row r="499">
      <c r="A499" s="5" t="n"/>
      <c r="D499" s="10" t="n"/>
      <c r="F499" s="9" t="n"/>
      <c r="H499" s="8" t="n"/>
    </row>
    <row r="500">
      <c r="A500" s="5" t="n"/>
      <c r="D500" s="10" t="n"/>
      <c r="F500" s="9" t="n"/>
      <c r="H500" s="8" t="n"/>
    </row>
    <row r="501">
      <c r="A501" s="5" t="n"/>
      <c r="D501" s="10" t="n"/>
      <c r="F501" s="9" t="n"/>
      <c r="H501" s="8" t="n"/>
    </row>
    <row r="502">
      <c r="A502" s="5" t="n"/>
      <c r="D502" s="10" t="n"/>
      <c r="F502" s="9" t="n"/>
      <c r="H502" s="8" t="n"/>
    </row>
    <row r="503">
      <c r="A503" s="5" t="n"/>
      <c r="D503" s="10" t="n"/>
      <c r="F503" s="9" t="n"/>
      <c r="H503" s="8" t="n"/>
    </row>
    <row r="504">
      <c r="A504" s="7" t="n"/>
      <c r="D504" s="10" t="n"/>
      <c r="F504" s="9" t="n"/>
      <c r="H504" s="8" t="n"/>
    </row>
    <row r="505">
      <c r="D505" s="10" t="n"/>
      <c r="F505" s="9" t="n"/>
      <c r="H505" s="8" t="n"/>
    </row>
    <row r="506">
      <c r="D506" s="10" t="n"/>
      <c r="F506" s="9" t="n"/>
      <c r="H506" s="8" t="n"/>
    </row>
    <row r="507">
      <c r="D507" s="10" t="n"/>
      <c r="F507" s="9" t="n"/>
      <c r="H507" s="8" t="n"/>
    </row>
    <row r="508">
      <c r="A508" s="3" t="n"/>
      <c r="D508" s="10" t="n"/>
      <c r="F508" s="9" t="n"/>
      <c r="H508" s="8" t="n"/>
    </row>
    <row r="509">
      <c r="A509" s="3" t="n"/>
      <c r="D509" s="10" t="n"/>
      <c r="F509" s="9" t="n"/>
      <c r="H509" s="8" t="n"/>
    </row>
    <row r="510">
      <c r="A510" s="5" t="n"/>
      <c r="D510" s="10" t="n"/>
      <c r="F510" s="9" t="n"/>
      <c r="H510" s="8" t="n"/>
    </row>
    <row r="511">
      <c r="A511" s="5" t="n"/>
      <c r="D511" s="10" t="n"/>
      <c r="F511" s="9" t="n"/>
      <c r="H511" s="8" t="n"/>
    </row>
    <row r="512">
      <c r="A512" s="5" t="n"/>
      <c r="D512" s="10" t="n"/>
      <c r="F512" s="9" t="n"/>
      <c r="H512" s="8" t="n"/>
    </row>
    <row r="513">
      <c r="A513" s="5" t="n"/>
      <c r="D513" s="10" t="n"/>
      <c r="F513" s="9" t="n"/>
      <c r="H513" s="8" t="n"/>
    </row>
    <row r="514">
      <c r="A514" s="5" t="n"/>
      <c r="D514" s="10" t="n"/>
      <c r="F514" s="9" t="n"/>
      <c r="H514" s="8" t="n"/>
    </row>
    <row r="515">
      <c r="A515" s="5" t="n"/>
      <c r="D515" s="10" t="n"/>
      <c r="F515" s="9" t="n"/>
      <c r="H515" s="8" t="n"/>
    </row>
    <row r="516">
      <c r="A516" s="5" t="n"/>
      <c r="D516" s="10" t="n"/>
      <c r="F516" s="9" t="n"/>
      <c r="H516" s="8" t="n"/>
    </row>
    <row r="517">
      <c r="A517" s="5" t="n"/>
      <c r="D517" s="10" t="n"/>
      <c r="F517" s="9" t="n"/>
      <c r="H517" s="8" t="n"/>
    </row>
    <row r="518">
      <c r="A518" s="5" t="n"/>
      <c r="D518" s="10" t="n"/>
      <c r="F518" s="9" t="n"/>
      <c r="H518" s="8" t="n"/>
    </row>
    <row r="519">
      <c r="A519" s="5" t="n"/>
      <c r="D519" s="10" t="n"/>
      <c r="F519" s="9" t="n"/>
      <c r="H519" s="8" t="n"/>
    </row>
    <row r="520">
      <c r="A520" s="5" t="n"/>
      <c r="D520" s="10" t="n"/>
      <c r="F520" s="9" t="n"/>
      <c r="H520" s="8" t="n"/>
    </row>
    <row r="521">
      <c r="A521" s="5" t="n"/>
      <c r="D521" s="10" t="n"/>
      <c r="F521" s="9" t="n"/>
      <c r="H521" s="8" t="n"/>
    </row>
    <row r="522">
      <c r="A522" s="5" t="n"/>
      <c r="D522" s="10" t="n"/>
      <c r="F522" s="9" t="n"/>
      <c r="H522" s="8" t="n"/>
    </row>
    <row r="523">
      <c r="A523" s="5" t="n"/>
      <c r="D523" s="10" t="n"/>
      <c r="F523" s="9" t="n"/>
      <c r="H523" s="8" t="n"/>
    </row>
    <row r="524">
      <c r="A524" s="5" t="n"/>
      <c r="D524" s="10" t="n"/>
      <c r="F524" s="9" t="n"/>
      <c r="H524" s="8" t="n"/>
    </row>
    <row r="525">
      <c r="A525" s="5" t="n"/>
      <c r="D525" s="10" t="n"/>
      <c r="F525" s="9" t="n"/>
      <c r="H525" s="8" t="n"/>
    </row>
    <row r="526">
      <c r="A526" s="5" t="n"/>
      <c r="D526" s="10" t="n"/>
      <c r="F526" s="9" t="n"/>
      <c r="H526" s="8" t="n"/>
    </row>
    <row r="527">
      <c r="A527" s="5" t="n"/>
      <c r="D527" s="10" t="n"/>
      <c r="F527" s="9" t="n"/>
      <c r="H527" s="8" t="n"/>
    </row>
    <row r="528">
      <c r="A528" s="5" t="n"/>
      <c r="D528" s="10" t="n"/>
      <c r="F528" s="9" t="n"/>
      <c r="H528" s="8" t="n"/>
    </row>
    <row r="529">
      <c r="A529" s="5" t="n"/>
      <c r="D529" s="10" t="n"/>
      <c r="F529" s="9" t="n"/>
      <c r="H529" s="8" t="n"/>
    </row>
    <row r="530">
      <c r="A530" s="5" t="n"/>
      <c r="D530" s="10" t="n"/>
      <c r="F530" s="9" t="n"/>
      <c r="H530" s="8" t="n"/>
    </row>
    <row r="531">
      <c r="A531" s="5" t="n"/>
      <c r="D531" s="10" t="n"/>
      <c r="F531" s="9" t="n"/>
      <c r="H531" s="8" t="n"/>
    </row>
    <row r="532">
      <c r="A532" s="5" t="n"/>
      <c r="D532" s="10" t="n"/>
      <c r="F532" s="9" t="n"/>
      <c r="H532" s="8" t="n"/>
    </row>
    <row r="533">
      <c r="A533" s="5" t="n"/>
      <c r="D533" s="10" t="n"/>
      <c r="F533" s="9" t="n"/>
      <c r="H533" s="8" t="n"/>
    </row>
    <row r="534">
      <c r="A534" s="5" t="n"/>
      <c r="D534" s="10" t="n"/>
      <c r="F534" s="9" t="n"/>
      <c r="H534" s="8" t="n"/>
    </row>
    <row r="535">
      <c r="A535" s="5" t="n"/>
      <c r="D535" s="10" t="n"/>
      <c r="F535" s="9" t="n"/>
      <c r="H535" s="8" t="n"/>
    </row>
    <row r="536">
      <c r="A536" s="5" t="n"/>
      <c r="D536" s="10" t="n"/>
      <c r="F536" s="9" t="n"/>
      <c r="H536" s="8" t="n"/>
    </row>
    <row r="537">
      <c r="A537" s="5" t="n"/>
      <c r="D537" s="10" t="n"/>
      <c r="F537" s="9" t="n"/>
      <c r="H537" s="8" t="n"/>
    </row>
    <row r="538">
      <c r="A538" s="5" t="n"/>
      <c r="D538" s="10" t="n"/>
      <c r="F538" s="9" t="n"/>
      <c r="H538" s="8" t="n"/>
    </row>
    <row r="539">
      <c r="A539" s="5" t="n"/>
      <c r="D539" s="10" t="n"/>
      <c r="F539" s="9" t="n"/>
      <c r="H539" s="8" t="n"/>
    </row>
    <row r="540">
      <c r="A540" s="5" t="n"/>
      <c r="D540" s="10" t="n"/>
      <c r="F540" s="9" t="n"/>
      <c r="H540" s="8" t="n"/>
    </row>
    <row r="541">
      <c r="A541" s="5" t="n"/>
      <c r="D541" s="10" t="n"/>
      <c r="F541" s="9" t="n"/>
      <c r="H541" s="8" t="n"/>
    </row>
    <row r="542">
      <c r="A542" s="5" t="n"/>
      <c r="D542" s="10" t="n"/>
      <c r="F542" s="9" t="n"/>
      <c r="H542" s="8" t="n"/>
    </row>
    <row r="543">
      <c r="A543" s="5" t="n"/>
      <c r="D543" s="10" t="n"/>
      <c r="F543" s="9" t="n"/>
      <c r="H543" s="8" t="n"/>
    </row>
    <row r="544">
      <c r="A544" s="5" t="n"/>
      <c r="D544" s="10" t="n"/>
      <c r="F544" s="9" t="n"/>
      <c r="H544" s="8" t="n"/>
    </row>
    <row r="545">
      <c r="A545" s="5" t="n"/>
      <c r="D545" s="10" t="n"/>
      <c r="F545" s="9" t="n"/>
      <c r="H545" s="8" t="n"/>
    </row>
    <row r="546">
      <c r="A546" s="5" t="n"/>
      <c r="D546" s="10" t="n"/>
      <c r="F546" s="9" t="n"/>
      <c r="H546" s="8" t="n"/>
    </row>
    <row r="547">
      <c r="A547" s="5" t="n"/>
      <c r="D547" s="10" t="n"/>
      <c r="F547" s="9" t="n"/>
      <c r="H547" s="8" t="n"/>
    </row>
    <row r="548">
      <c r="A548" s="5" t="n"/>
      <c r="D548" s="10" t="n"/>
      <c r="F548" s="9" t="n"/>
      <c r="H548" s="8" t="n"/>
    </row>
    <row r="549">
      <c r="A549" s="5" t="n"/>
      <c r="D549" s="10" t="n"/>
      <c r="F549" s="9" t="n"/>
      <c r="H549" s="8" t="n"/>
    </row>
    <row r="550">
      <c r="A550" s="5" t="n"/>
      <c r="D550" s="10" t="n"/>
      <c r="F550" s="9" t="n"/>
      <c r="H550" s="8" t="n"/>
    </row>
    <row r="551">
      <c r="A551" s="5" t="n"/>
      <c r="D551" s="10" t="n"/>
      <c r="F551" s="9" t="n"/>
      <c r="H551" s="8" t="n"/>
    </row>
    <row r="552">
      <c r="A552" s="5" t="n"/>
      <c r="D552" s="10" t="n"/>
      <c r="F552" s="9" t="n"/>
      <c r="H552" s="8" t="n"/>
    </row>
    <row r="553">
      <c r="A553" s="5" t="n"/>
      <c r="D553" s="10" t="n"/>
      <c r="F553" s="9" t="n"/>
      <c r="H553" s="8" t="n"/>
    </row>
    <row r="554">
      <c r="A554" s="5" t="n"/>
      <c r="D554" s="10" t="n"/>
      <c r="F554" s="9" t="n"/>
      <c r="H554" s="8" t="n"/>
    </row>
    <row r="555">
      <c r="A555" s="5" t="n"/>
      <c r="D555" s="10" t="n"/>
      <c r="F555" s="9" t="n"/>
      <c r="H555" s="8" t="n"/>
    </row>
    <row r="556">
      <c r="A556" s="5" t="n"/>
      <c r="D556" s="10" t="n"/>
      <c r="F556" s="9" t="n"/>
      <c r="H556" s="8" t="n"/>
    </row>
    <row r="557">
      <c r="A557" s="5" t="n"/>
      <c r="D557" s="10" t="n"/>
      <c r="F557" s="9" t="n"/>
      <c r="H557" s="8" t="n"/>
    </row>
    <row r="558">
      <c r="A558" s="5" t="n"/>
      <c r="D558" s="10" t="n"/>
      <c r="F558" s="9" t="n"/>
      <c r="H558" s="8" t="n"/>
    </row>
    <row r="559">
      <c r="A559" s="5" t="n"/>
      <c r="D559" s="10" t="n"/>
      <c r="F559" s="9" t="n"/>
      <c r="H559" s="8" t="n"/>
    </row>
    <row r="560">
      <c r="A560" s="5" t="n"/>
      <c r="D560" s="10" t="n"/>
      <c r="F560" s="9" t="n"/>
      <c r="H560" s="8" t="n"/>
    </row>
    <row r="561">
      <c r="A561" s="5" t="n"/>
      <c r="D561" s="10" t="n"/>
      <c r="F561" s="9" t="n"/>
      <c r="H561" s="8" t="n"/>
    </row>
    <row r="562">
      <c r="A562" s="5" t="n"/>
      <c r="D562" s="10" t="n"/>
      <c r="F562" s="9" t="n"/>
      <c r="H562" s="8" t="n"/>
    </row>
    <row r="563">
      <c r="A563" s="5" t="n"/>
      <c r="D563" s="10" t="n"/>
      <c r="F563" s="9" t="n"/>
      <c r="H563" s="8" t="n"/>
    </row>
    <row r="564">
      <c r="A564" s="5" t="n"/>
      <c r="D564" s="10" t="n"/>
      <c r="F564" s="9" t="n"/>
      <c r="H564" s="8" t="n"/>
    </row>
    <row r="565">
      <c r="A565" s="5" t="n"/>
      <c r="D565" s="10" t="n"/>
      <c r="F565" s="9" t="n"/>
      <c r="H565" s="8" t="n"/>
    </row>
    <row r="566">
      <c r="A566" s="5" t="n"/>
      <c r="D566" s="10" t="n"/>
      <c r="F566" s="9" t="n"/>
      <c r="H566" s="8" t="n"/>
    </row>
    <row r="567">
      <c r="A567" s="5" t="n"/>
      <c r="D567" s="10" t="n"/>
      <c r="F567" s="9" t="n"/>
      <c r="H567" s="8" t="n"/>
    </row>
    <row r="568">
      <c r="A568" s="5" t="n"/>
      <c r="D568" s="10" t="n"/>
      <c r="F568" s="9" t="n"/>
      <c r="H568" s="8" t="n"/>
    </row>
    <row r="569">
      <c r="A569" s="5" t="n"/>
      <c r="D569" s="10" t="n"/>
      <c r="F569" s="9" t="n"/>
      <c r="H569" s="8" t="n"/>
    </row>
    <row r="570">
      <c r="A570" s="5" t="n"/>
      <c r="D570" s="10" t="n"/>
      <c r="F570" s="9" t="n"/>
      <c r="H570" s="8" t="n"/>
    </row>
    <row r="571">
      <c r="A571" s="5" t="n"/>
      <c r="D571" s="10" t="n"/>
      <c r="F571" s="9" t="n"/>
      <c r="H571" s="8" t="n"/>
    </row>
    <row r="572">
      <c r="A572" s="5" t="n"/>
      <c r="D572" s="10" t="n"/>
      <c r="F572" s="9" t="n"/>
      <c r="H572" s="8" t="n"/>
    </row>
    <row r="573">
      <c r="A573" s="5" t="n"/>
      <c r="D573" s="10" t="n"/>
      <c r="F573" s="9" t="n"/>
      <c r="H573" s="8" t="n"/>
    </row>
    <row r="574">
      <c r="A574" s="5" t="n"/>
      <c r="D574" s="10" t="n"/>
      <c r="F574" s="9" t="n"/>
      <c r="H574" s="8" t="n"/>
    </row>
    <row r="575">
      <c r="A575" s="5" t="n"/>
      <c r="D575" s="10" t="n"/>
      <c r="F575" s="9" t="n"/>
      <c r="H575" s="8" t="n"/>
    </row>
    <row r="576">
      <c r="A576" s="5" t="n"/>
      <c r="D576" s="10" t="n"/>
      <c r="F576" s="9" t="n"/>
      <c r="H576" s="8" t="n"/>
    </row>
    <row r="577">
      <c r="A577" s="7" t="n"/>
      <c r="D577" s="10" t="n"/>
      <c r="F577" s="9" t="n"/>
      <c r="H577" s="8" t="n"/>
    </row>
    <row r="578">
      <c r="D578" s="10" t="n"/>
      <c r="F578" s="9" t="n"/>
      <c r="H578" s="8" t="n"/>
    </row>
    <row r="579">
      <c r="D579" s="10" t="n"/>
      <c r="F579" s="9" t="n"/>
      <c r="H579" s="8" t="n"/>
    </row>
    <row r="580">
      <c r="D580" s="10" t="n"/>
      <c r="F580" s="9" t="n"/>
      <c r="H580" s="8" t="n"/>
    </row>
    <row r="581">
      <c r="A581" s="3" t="n"/>
      <c r="D581" s="10" t="n"/>
      <c r="F581" s="9" t="n"/>
      <c r="H581" s="8" t="n"/>
    </row>
    <row r="582">
      <c r="A582" s="3" t="n"/>
      <c r="D582" s="10" t="n"/>
      <c r="F582" s="9" t="n"/>
      <c r="H582" s="8" t="n"/>
    </row>
    <row r="583">
      <c r="A583" s="5" t="n"/>
      <c r="D583" s="10" t="n"/>
      <c r="F583" s="9" t="n"/>
      <c r="H583" s="8" t="n"/>
    </row>
    <row r="584">
      <c r="A584" s="5" t="n"/>
      <c r="D584" s="10" t="n"/>
      <c r="F584" s="9" t="n"/>
      <c r="H584" s="8" t="n"/>
    </row>
    <row r="585">
      <c r="A585" s="5" t="n"/>
      <c r="D585" s="10" t="n"/>
      <c r="F585" s="9" t="n"/>
      <c r="H585" s="8" t="n"/>
    </row>
    <row r="586">
      <c r="A586" s="5" t="n"/>
      <c r="D586" s="10" t="n"/>
      <c r="F586" s="9" t="n"/>
      <c r="H586" s="8" t="n"/>
    </row>
    <row r="587">
      <c r="A587" s="5" t="n"/>
      <c r="D587" s="10" t="n"/>
      <c r="F587" s="9" t="n"/>
      <c r="H587" s="8" t="n"/>
    </row>
    <row r="588">
      <c r="A588" s="5" t="n"/>
      <c r="D588" s="10" t="n"/>
      <c r="F588" s="9" t="n"/>
      <c r="H588" s="8" t="n"/>
    </row>
    <row r="589">
      <c r="A589" s="5" t="n"/>
      <c r="D589" s="10" t="n"/>
      <c r="F589" s="9" t="n"/>
      <c r="H589" s="8" t="n"/>
    </row>
    <row r="590">
      <c r="A590" s="5" t="n"/>
      <c r="D590" s="10" t="n"/>
      <c r="F590" s="9" t="n"/>
      <c r="H590" s="8" t="n"/>
    </row>
    <row r="591">
      <c r="A591" s="5" t="n"/>
      <c r="D591" s="10" t="n"/>
      <c r="F591" s="9" t="n"/>
      <c r="H591" s="8" t="n"/>
    </row>
    <row r="592">
      <c r="A592" s="5" t="n"/>
      <c r="D592" s="10" t="n"/>
      <c r="F592" s="9" t="n"/>
      <c r="H592" s="8" t="n"/>
    </row>
    <row r="593">
      <c r="A593" s="5" t="n"/>
      <c r="D593" s="10" t="n"/>
      <c r="F593" s="9" t="n"/>
      <c r="H593" s="8" t="n"/>
    </row>
    <row r="594">
      <c r="A594" s="5" t="n"/>
      <c r="D594" s="10" t="n"/>
      <c r="F594" s="9" t="n"/>
      <c r="H594" s="8" t="n"/>
    </row>
    <row r="595">
      <c r="A595" s="5" t="n"/>
      <c r="D595" s="10" t="n"/>
      <c r="F595" s="9" t="n"/>
      <c r="H595" s="8" t="n"/>
    </row>
    <row r="596">
      <c r="A596" s="5" t="n"/>
      <c r="D596" s="10" t="n"/>
      <c r="F596" s="9" t="n"/>
      <c r="H596" s="8" t="n"/>
    </row>
    <row r="597">
      <c r="A597" s="5" t="n"/>
      <c r="D597" s="10" t="n"/>
      <c r="F597" s="9" t="n"/>
      <c r="H597" s="8" t="n"/>
    </row>
    <row r="598">
      <c r="A598" s="5" t="n"/>
      <c r="D598" s="10" t="n"/>
      <c r="F598" s="9" t="n"/>
      <c r="H598" s="8" t="n"/>
    </row>
    <row r="599">
      <c r="A599" s="5" t="n"/>
      <c r="D599" s="10" t="n"/>
      <c r="F599" s="9" t="n"/>
      <c r="H599" s="8" t="n"/>
    </row>
    <row r="600">
      <c r="A600" s="5" t="n"/>
      <c r="D600" s="10" t="n"/>
      <c r="F600" s="9" t="n"/>
      <c r="H600" s="8" t="n"/>
    </row>
    <row r="601">
      <c r="A601" s="5" t="n"/>
      <c r="D601" s="10" t="n"/>
      <c r="F601" s="9" t="n"/>
      <c r="H601" s="8" t="n"/>
    </row>
    <row r="602">
      <c r="A602" s="5" t="n"/>
      <c r="D602" s="10" t="n"/>
      <c r="F602" s="9" t="n"/>
      <c r="H602" s="8" t="n"/>
    </row>
    <row r="603">
      <c r="A603" s="5" t="n"/>
      <c r="D603" s="10" t="n"/>
      <c r="F603" s="9" t="n"/>
      <c r="H603" s="8" t="n"/>
    </row>
    <row r="604">
      <c r="A604" s="5" t="n"/>
      <c r="D604" s="10" t="n"/>
      <c r="F604" s="9" t="n"/>
      <c r="H604" s="8" t="n"/>
    </row>
    <row r="605">
      <c r="A605" s="5" t="n"/>
      <c r="D605" s="10" t="n"/>
      <c r="F605" s="9" t="n"/>
      <c r="H605" s="8" t="n"/>
    </row>
    <row r="606">
      <c r="A606" s="5" t="n"/>
      <c r="D606" s="10" t="n"/>
      <c r="F606" s="9" t="n"/>
      <c r="H606" s="8" t="n"/>
    </row>
    <row r="607">
      <c r="A607" s="5" t="n"/>
      <c r="D607" s="10" t="n"/>
      <c r="F607" s="9" t="n"/>
      <c r="H607" s="8" t="n"/>
    </row>
    <row r="608">
      <c r="A608" s="5" t="n"/>
      <c r="D608" s="10" t="n"/>
      <c r="F608" s="9" t="n"/>
      <c r="H608" s="8" t="n"/>
    </row>
    <row r="609">
      <c r="A609" s="5" t="n"/>
      <c r="D609" s="10" t="n"/>
      <c r="F609" s="9" t="n"/>
      <c r="H609" s="8" t="n"/>
    </row>
    <row r="610">
      <c r="A610" s="5" t="n"/>
      <c r="D610" s="10" t="n"/>
      <c r="F610" s="9" t="n"/>
      <c r="H610" s="8" t="n"/>
    </row>
    <row r="611">
      <c r="A611" s="5" t="n"/>
      <c r="D611" s="10" t="n"/>
      <c r="F611" s="9" t="n"/>
      <c r="H611" s="8" t="n"/>
    </row>
    <row r="612">
      <c r="A612" s="5" t="n"/>
      <c r="D612" s="10" t="n"/>
      <c r="F612" s="9" t="n"/>
      <c r="H612" s="8" t="n"/>
    </row>
    <row r="613">
      <c r="A613" s="5" t="n"/>
      <c r="D613" s="10" t="n"/>
      <c r="F613" s="9" t="n"/>
      <c r="H613" s="8" t="n"/>
    </row>
    <row r="614">
      <c r="A614" s="5" t="n"/>
      <c r="D614" s="10" t="n"/>
      <c r="F614" s="9" t="n"/>
      <c r="H614" s="8" t="n"/>
    </row>
    <row r="615">
      <c r="A615" s="5" t="n"/>
      <c r="D615" s="10" t="n"/>
      <c r="F615" s="9" t="n"/>
      <c r="H615" s="8" t="n"/>
    </row>
    <row r="616">
      <c r="A616" s="5" t="n"/>
      <c r="D616" s="10" t="n"/>
      <c r="F616" s="9" t="n"/>
      <c r="H616" s="8" t="n"/>
    </row>
    <row r="617">
      <c r="A617" s="5" t="n"/>
      <c r="D617" s="10" t="n"/>
      <c r="F617" s="9" t="n"/>
      <c r="H617" s="8" t="n"/>
    </row>
    <row r="618">
      <c r="A618" s="5" t="n"/>
      <c r="D618" s="10" t="n"/>
      <c r="F618" s="9" t="n"/>
      <c r="H618" s="8" t="n"/>
    </row>
    <row r="619">
      <c r="A619" s="5" t="n"/>
      <c r="D619" s="10" t="n"/>
      <c r="F619" s="9" t="n"/>
      <c r="H619" s="8" t="n"/>
    </row>
    <row r="620">
      <c r="A620" s="5" t="n"/>
      <c r="D620" s="10" t="n"/>
      <c r="F620" s="9" t="n"/>
      <c r="H620" s="8" t="n"/>
    </row>
    <row r="621">
      <c r="A621" s="5" t="n"/>
      <c r="D621" s="10" t="n"/>
      <c r="F621" s="9" t="n"/>
      <c r="H621" s="8" t="n"/>
    </row>
    <row r="622">
      <c r="A622" s="5" t="n"/>
      <c r="D622" s="10" t="n"/>
      <c r="F622" s="9" t="n"/>
      <c r="H622" s="8" t="n"/>
    </row>
    <row r="623">
      <c r="A623" s="5" t="n"/>
      <c r="D623" s="10" t="n"/>
      <c r="F623" s="9" t="n"/>
      <c r="H623" s="8" t="n"/>
    </row>
    <row r="624">
      <c r="A624" s="5" t="n"/>
      <c r="D624" s="10" t="n"/>
      <c r="F624" s="9" t="n"/>
      <c r="H624" s="8" t="n"/>
    </row>
    <row r="625">
      <c r="A625" s="5" t="n"/>
      <c r="D625" s="10" t="n"/>
      <c r="F625" s="9" t="n"/>
      <c r="H625" s="8" t="n"/>
    </row>
    <row r="626">
      <c r="A626" s="5" t="n"/>
      <c r="D626" s="10" t="n"/>
      <c r="F626" s="9" t="n"/>
      <c r="H626" s="8" t="n"/>
    </row>
    <row r="627">
      <c r="A627" s="5" t="n"/>
      <c r="D627" s="10" t="n"/>
      <c r="F627" s="9" t="n"/>
      <c r="H627" s="8" t="n"/>
    </row>
    <row r="628">
      <c r="A628" s="5" t="n"/>
      <c r="D628" s="10" t="n"/>
      <c r="F628" s="9" t="n"/>
      <c r="H628" s="8" t="n"/>
    </row>
    <row r="629">
      <c r="A629" s="5" t="n"/>
      <c r="D629" s="10" t="n"/>
      <c r="F629" s="9" t="n"/>
      <c r="H629" s="8" t="n"/>
    </row>
    <row r="630">
      <c r="A630" s="5" t="n"/>
      <c r="D630" s="10" t="n"/>
      <c r="F630" s="9" t="n"/>
      <c r="H630" s="8" t="n"/>
    </row>
    <row r="631">
      <c r="A631" s="5" t="n"/>
      <c r="D631" s="10" t="n"/>
      <c r="F631" s="9" t="n"/>
      <c r="H631" s="8" t="n"/>
    </row>
    <row r="632">
      <c r="A632" s="5" t="n"/>
      <c r="D632" s="10" t="n"/>
      <c r="F632" s="9" t="n"/>
      <c r="H632" s="8" t="n"/>
    </row>
    <row r="633">
      <c r="A633" s="5" t="n"/>
      <c r="D633" s="10" t="n"/>
      <c r="F633" s="9" t="n"/>
      <c r="H633" s="8" t="n"/>
    </row>
    <row r="634">
      <c r="A634" s="5" t="n"/>
      <c r="D634" s="10" t="n"/>
      <c r="F634" s="9" t="n"/>
      <c r="H634" s="8" t="n"/>
    </row>
    <row r="635">
      <c r="A635" s="5" t="n"/>
      <c r="D635" s="10" t="n"/>
      <c r="F635" s="9" t="n"/>
      <c r="H635" s="8" t="n"/>
    </row>
    <row r="636">
      <c r="A636" s="5" t="n"/>
      <c r="D636" s="10" t="n"/>
      <c r="F636" s="9" t="n"/>
      <c r="H636" s="8" t="n"/>
    </row>
    <row r="637">
      <c r="A637" s="5" t="n"/>
      <c r="D637" s="10" t="n"/>
      <c r="F637" s="9" t="n"/>
      <c r="H637" s="8" t="n"/>
    </row>
    <row r="638">
      <c r="A638" s="5" t="n"/>
      <c r="D638" s="10" t="n"/>
      <c r="F638" s="9" t="n"/>
      <c r="H638" s="8" t="n"/>
    </row>
    <row r="639">
      <c r="A639" s="5" t="n"/>
      <c r="D639" s="10" t="n"/>
      <c r="F639" s="9" t="n"/>
      <c r="H639" s="8" t="n"/>
    </row>
    <row r="640">
      <c r="A640" s="5" t="n"/>
      <c r="D640" s="10" t="n"/>
      <c r="F640" s="9" t="n"/>
      <c r="H640" s="8" t="n"/>
    </row>
    <row r="641">
      <c r="A641" s="5" t="n"/>
      <c r="D641" s="10" t="n"/>
      <c r="F641" s="9" t="n"/>
      <c r="H641" s="8" t="n"/>
    </row>
    <row r="642">
      <c r="A642" s="5" t="n"/>
      <c r="D642" s="10" t="n"/>
      <c r="F642" s="9" t="n"/>
      <c r="H642" s="8" t="n"/>
    </row>
    <row r="643">
      <c r="A643" s="5" t="n"/>
      <c r="D643" s="10" t="n"/>
      <c r="F643" s="9" t="n"/>
      <c r="H643" s="8" t="n"/>
    </row>
    <row r="644">
      <c r="A644" s="5" t="n"/>
      <c r="D644" s="10" t="n"/>
      <c r="F644" s="9" t="n"/>
      <c r="H644" s="8" t="n"/>
    </row>
    <row r="645">
      <c r="A645" s="5" t="n"/>
      <c r="D645" s="10" t="n"/>
      <c r="F645" s="9" t="n"/>
      <c r="H645" s="8" t="n"/>
    </row>
    <row r="646">
      <c r="A646" s="5" t="n"/>
      <c r="D646" s="10" t="n"/>
      <c r="F646" s="9" t="n"/>
      <c r="H646" s="8" t="n"/>
    </row>
    <row r="647">
      <c r="A647" s="5" t="n"/>
      <c r="D647" s="10" t="n"/>
      <c r="F647" s="9" t="n"/>
      <c r="H647" s="8" t="n"/>
    </row>
    <row r="648">
      <c r="A648" s="5" t="n"/>
      <c r="D648" s="10" t="n"/>
      <c r="F648" s="9" t="n"/>
      <c r="H648" s="8" t="n"/>
    </row>
    <row r="649">
      <c r="A649" s="5" t="n"/>
      <c r="D649" s="10" t="n"/>
      <c r="F649" s="9" t="n"/>
      <c r="H649" s="8" t="n"/>
    </row>
    <row r="650">
      <c r="A650" s="7" t="n"/>
      <c r="D650" s="10" t="n"/>
      <c r="F650" s="9" t="n"/>
      <c r="H650" s="8" t="n"/>
    </row>
    <row r="651">
      <c r="D651" s="10" t="n"/>
      <c r="F651" s="9" t="n"/>
      <c r="H651" s="8" t="n"/>
    </row>
    <row r="652">
      <c r="D652" s="10" t="n"/>
      <c r="F652" s="9" t="n"/>
      <c r="H652" s="8" t="n"/>
    </row>
    <row r="653">
      <c r="D653" s="10" t="n"/>
      <c r="F653" s="9" t="n"/>
      <c r="H653" s="8" t="n"/>
    </row>
    <row r="654">
      <c r="A654" s="3" t="n"/>
      <c r="D654" s="10" t="n"/>
      <c r="F654" s="9" t="n"/>
      <c r="H654" s="8" t="n"/>
    </row>
    <row r="655">
      <c r="A655" s="3" t="n"/>
      <c r="D655" s="10" t="n"/>
      <c r="F655" s="9" t="n"/>
      <c r="H655" s="8" t="n"/>
    </row>
    <row r="656">
      <c r="A656" s="5" t="n"/>
      <c r="D656" s="10" t="n"/>
      <c r="F656" s="9" t="n"/>
      <c r="H656" s="8" t="n"/>
    </row>
    <row r="657">
      <c r="A657" s="5" t="n"/>
      <c r="D657" s="10" t="n"/>
      <c r="F657" s="9" t="n"/>
      <c r="H657" s="8" t="n"/>
    </row>
    <row r="658">
      <c r="A658" s="5" t="n"/>
      <c r="D658" s="10" t="n"/>
      <c r="F658" s="9" t="n"/>
      <c r="H658" s="8" t="n"/>
    </row>
    <row r="659">
      <c r="A659" s="5" t="n"/>
      <c r="D659" s="10" t="n"/>
      <c r="F659" s="9" t="n"/>
      <c r="H659" s="8" t="n"/>
    </row>
    <row r="660">
      <c r="A660" s="5" t="n"/>
      <c r="D660" s="10" t="n"/>
      <c r="F660" s="9" t="n"/>
      <c r="H660" s="8" t="n"/>
    </row>
    <row r="661">
      <c r="A661" s="5" t="n"/>
      <c r="D661" s="10" t="n"/>
      <c r="F661" s="9" t="n"/>
      <c r="H661" s="8" t="n"/>
    </row>
    <row r="662">
      <c r="A662" s="5" t="n"/>
      <c r="D662" s="10" t="n"/>
      <c r="F662" s="9" t="n"/>
      <c r="H662" s="8" t="n"/>
    </row>
    <row r="663">
      <c r="A663" s="5" t="n"/>
      <c r="D663" s="10" t="n"/>
      <c r="F663" s="9" t="n"/>
      <c r="H663" s="8" t="n"/>
    </row>
    <row r="664">
      <c r="A664" s="5" t="n"/>
      <c r="D664" s="10" t="n"/>
      <c r="F664" s="9" t="n"/>
      <c r="H664" s="8" t="n"/>
    </row>
    <row r="665">
      <c r="A665" s="5" t="n"/>
      <c r="D665" s="10" t="n"/>
      <c r="F665" s="9" t="n"/>
      <c r="H665" s="8" t="n"/>
    </row>
    <row r="666">
      <c r="A666" s="5" t="n"/>
      <c r="D666" s="10" t="n"/>
      <c r="F666" s="9" t="n"/>
      <c r="H666" s="8" t="n"/>
    </row>
    <row r="667">
      <c r="A667" s="5" t="n"/>
      <c r="D667" s="10" t="n"/>
      <c r="F667" s="9" t="n"/>
      <c r="H667" s="8" t="n"/>
    </row>
    <row r="668">
      <c r="A668" s="5" t="n"/>
      <c r="D668" s="10" t="n"/>
      <c r="F668" s="9" t="n"/>
      <c r="H668" s="8" t="n"/>
    </row>
    <row r="669">
      <c r="A669" s="5" t="n"/>
      <c r="D669" s="10" t="n"/>
      <c r="F669" s="9" t="n"/>
      <c r="H669" s="8" t="n"/>
    </row>
    <row r="670">
      <c r="A670" s="5" t="n"/>
      <c r="D670" s="10" t="n"/>
      <c r="F670" s="9" t="n"/>
      <c r="H670" s="8" t="n"/>
    </row>
    <row r="671">
      <c r="A671" s="5" t="n"/>
      <c r="D671" s="10" t="n"/>
      <c r="F671" s="9" t="n"/>
      <c r="H671" s="8" t="n"/>
    </row>
    <row r="672">
      <c r="A672" s="5" t="n"/>
      <c r="D672" s="10" t="n"/>
      <c r="F672" s="9" t="n"/>
      <c r="H672" s="8" t="n"/>
    </row>
    <row r="673">
      <c r="A673" s="5" t="n"/>
      <c r="D673" s="10" t="n"/>
      <c r="F673" s="9" t="n"/>
      <c r="H673" s="8" t="n"/>
    </row>
    <row r="674">
      <c r="A674" s="5" t="n"/>
      <c r="D674" s="10" t="n"/>
      <c r="F674" s="9" t="n"/>
      <c r="H674" s="8" t="n"/>
    </row>
    <row r="675">
      <c r="A675" s="5" t="n"/>
      <c r="D675" s="10" t="n"/>
      <c r="F675" s="9" t="n"/>
      <c r="H675" s="8" t="n"/>
    </row>
    <row r="676">
      <c r="A676" s="5" t="n"/>
      <c r="D676" s="10" t="n"/>
      <c r="F676" s="9" t="n"/>
      <c r="H676" s="8" t="n"/>
    </row>
    <row r="677">
      <c r="A677" s="5" t="n"/>
      <c r="D677" s="10" t="n"/>
      <c r="F677" s="9" t="n"/>
      <c r="H677" s="8" t="n"/>
    </row>
    <row r="678">
      <c r="A678" s="5" t="n"/>
      <c r="D678" s="10" t="n"/>
      <c r="F678" s="9" t="n"/>
      <c r="H678" s="8" t="n"/>
    </row>
    <row r="679">
      <c r="A679" s="5" t="n"/>
      <c r="D679" s="10" t="n"/>
      <c r="F679" s="9" t="n"/>
      <c r="H679" s="8" t="n"/>
    </row>
    <row r="680">
      <c r="A680" s="5" t="n"/>
      <c r="D680" s="10" t="n"/>
      <c r="F680" s="9" t="n"/>
      <c r="H680" s="8" t="n"/>
    </row>
    <row r="681">
      <c r="A681" s="5" t="n"/>
      <c r="D681" s="10" t="n"/>
      <c r="F681" s="9" t="n"/>
      <c r="H681" s="8" t="n"/>
    </row>
    <row r="682">
      <c r="A682" s="5" t="n"/>
      <c r="D682" s="10" t="n"/>
      <c r="F682" s="9" t="n"/>
      <c r="H682" s="8" t="n"/>
    </row>
    <row r="683">
      <c r="A683" s="5" t="n"/>
      <c r="D683" s="10" t="n"/>
      <c r="F683" s="9" t="n"/>
      <c r="H683" s="8" t="n"/>
    </row>
    <row r="684">
      <c r="A684" s="5" t="n"/>
      <c r="D684" s="10" t="n"/>
      <c r="F684" s="9" t="n"/>
      <c r="H684" s="8" t="n"/>
    </row>
    <row r="685">
      <c r="A685" s="5" t="n"/>
      <c r="D685" s="10" t="n"/>
      <c r="F685" s="9" t="n"/>
      <c r="H685" s="8" t="n"/>
    </row>
    <row r="686">
      <c r="A686" s="5" t="n"/>
      <c r="D686" s="10" t="n"/>
      <c r="F686" s="9" t="n"/>
      <c r="H686" s="8" t="n"/>
    </row>
    <row r="687">
      <c r="A687" s="5" t="n"/>
      <c r="D687" s="10" t="n"/>
      <c r="F687" s="9" t="n"/>
      <c r="H687" s="8" t="n"/>
    </row>
    <row r="688">
      <c r="A688" s="5" t="n"/>
      <c r="D688" s="10" t="n"/>
      <c r="F688" s="9" t="n"/>
      <c r="H688" s="8" t="n"/>
    </row>
    <row r="689">
      <c r="A689" s="5" t="n"/>
      <c r="D689" s="10" t="n"/>
      <c r="F689" s="9" t="n"/>
      <c r="H689" s="8" t="n"/>
    </row>
    <row r="690">
      <c r="A690" s="5" t="n"/>
      <c r="D690" s="10" t="n"/>
      <c r="F690" s="9" t="n"/>
      <c r="H690" s="8" t="n"/>
    </row>
    <row r="691">
      <c r="A691" s="5" t="n"/>
      <c r="D691" s="10" t="n"/>
      <c r="F691" s="9" t="n"/>
      <c r="H691" s="8" t="n"/>
    </row>
    <row r="692">
      <c r="A692" s="5" t="n"/>
      <c r="D692" s="10" t="n"/>
      <c r="F692" s="9" t="n"/>
      <c r="H692" s="8" t="n"/>
    </row>
    <row r="693">
      <c r="A693" s="5" t="n"/>
      <c r="D693" s="10" t="n"/>
      <c r="F693" s="9" t="n"/>
      <c r="H693" s="8" t="n"/>
    </row>
    <row r="694">
      <c r="A694" s="5" t="n"/>
      <c r="D694" s="10" t="n"/>
      <c r="F694" s="9" t="n"/>
      <c r="H694" s="8" t="n"/>
    </row>
    <row r="695">
      <c r="A695" s="5" t="n"/>
      <c r="D695" s="10" t="n"/>
      <c r="F695" s="9" t="n"/>
      <c r="H695" s="8" t="n"/>
    </row>
    <row r="696">
      <c r="A696" s="5" t="n"/>
      <c r="D696" s="10" t="n"/>
      <c r="F696" s="9" t="n"/>
      <c r="H696" s="8" t="n"/>
    </row>
    <row r="697">
      <c r="A697" s="5" t="n"/>
      <c r="D697" s="10" t="n"/>
      <c r="F697" s="9" t="n"/>
      <c r="H697" s="8" t="n"/>
    </row>
    <row r="698">
      <c r="A698" s="5" t="n"/>
      <c r="D698" s="10" t="n"/>
      <c r="F698" s="9" t="n"/>
      <c r="H698" s="8" t="n"/>
    </row>
    <row r="699">
      <c r="A699" s="5" t="n"/>
      <c r="D699" s="10" t="n"/>
      <c r="F699" s="9" t="n"/>
      <c r="H699" s="8" t="n"/>
    </row>
    <row r="700">
      <c r="A700" s="5" t="n"/>
      <c r="D700" s="10" t="n"/>
      <c r="F700" s="9" t="n"/>
      <c r="H700" s="8" t="n"/>
    </row>
    <row r="701">
      <c r="A701" s="5" t="n"/>
      <c r="D701" s="10" t="n"/>
      <c r="F701" s="9" t="n"/>
      <c r="H701" s="8" t="n"/>
    </row>
    <row r="702">
      <c r="A702" s="5" t="n"/>
      <c r="D702" s="10" t="n"/>
      <c r="F702" s="9" t="n"/>
      <c r="H702" s="8" t="n"/>
    </row>
    <row r="703">
      <c r="A703" s="5" t="n"/>
      <c r="D703" s="10" t="n"/>
      <c r="F703" s="9" t="n"/>
      <c r="H703" s="8" t="n"/>
    </row>
    <row r="704">
      <c r="A704" s="5" t="n"/>
      <c r="D704" s="10" t="n"/>
      <c r="F704" s="9" t="n"/>
      <c r="H704" s="8" t="n"/>
    </row>
    <row r="705">
      <c r="A705" s="5" t="n"/>
      <c r="D705" s="10" t="n"/>
      <c r="F705" s="9" t="n"/>
      <c r="H705" s="8" t="n"/>
    </row>
    <row r="706">
      <c r="A706" s="5" t="n"/>
      <c r="D706" s="10" t="n"/>
      <c r="F706" s="9" t="n"/>
      <c r="H706" s="8" t="n"/>
    </row>
    <row r="707">
      <c r="A707" s="5" t="n"/>
      <c r="D707" s="10" t="n"/>
      <c r="F707" s="9" t="n"/>
      <c r="H707" s="8" t="n"/>
    </row>
    <row r="708">
      <c r="A708" s="5" t="n"/>
      <c r="D708" s="10" t="n"/>
      <c r="F708" s="9" t="n"/>
      <c r="H708" s="8" t="n"/>
    </row>
    <row r="709">
      <c r="A709" s="5" t="n"/>
      <c r="D709" s="10" t="n"/>
      <c r="F709" s="9" t="n"/>
      <c r="H709" s="8" t="n"/>
    </row>
    <row r="710">
      <c r="A710" s="5" t="n"/>
      <c r="D710" s="10" t="n"/>
      <c r="F710" s="9" t="n"/>
      <c r="H710" s="8" t="n"/>
    </row>
    <row r="711">
      <c r="A711" s="5" t="n"/>
      <c r="D711" s="10" t="n"/>
      <c r="F711" s="9" t="n"/>
      <c r="H711" s="8" t="n"/>
    </row>
    <row r="712">
      <c r="A712" s="5" t="n"/>
      <c r="D712" s="10" t="n"/>
      <c r="F712" s="9" t="n"/>
      <c r="H712" s="8" t="n"/>
    </row>
    <row r="713">
      <c r="A713" s="5" t="n"/>
      <c r="D713" s="10" t="n"/>
      <c r="F713" s="9" t="n"/>
      <c r="H713" s="8" t="n"/>
    </row>
    <row r="714">
      <c r="A714" s="5" t="n"/>
      <c r="D714" s="10" t="n"/>
      <c r="F714" s="9" t="n"/>
      <c r="H714" s="8" t="n"/>
    </row>
    <row r="715">
      <c r="A715" s="5" t="n"/>
      <c r="D715" s="10" t="n"/>
      <c r="F715" s="9" t="n"/>
      <c r="H715" s="8" t="n"/>
    </row>
    <row r="716">
      <c r="A716" s="5" t="n"/>
      <c r="D716" s="10" t="n"/>
      <c r="F716" s="9" t="n"/>
      <c r="H716" s="8" t="n"/>
    </row>
    <row r="717">
      <c r="A717" s="5" t="n"/>
      <c r="D717" s="10" t="n"/>
      <c r="F717" s="9" t="n"/>
      <c r="H717" s="8" t="n"/>
    </row>
    <row r="718">
      <c r="A718" s="5" t="n"/>
      <c r="D718" s="10" t="n"/>
      <c r="F718" s="9" t="n"/>
      <c r="H718" s="8" t="n"/>
    </row>
    <row r="719">
      <c r="A719" s="5" t="n"/>
      <c r="D719" s="10" t="n"/>
      <c r="F719" s="9" t="n"/>
      <c r="H719" s="8" t="n"/>
    </row>
    <row r="720">
      <c r="A720" s="5" t="n"/>
      <c r="D720" s="10" t="n"/>
      <c r="F720" s="9" t="n"/>
      <c r="H720" s="8" t="n"/>
    </row>
    <row r="721">
      <c r="A721" s="5" t="n"/>
      <c r="D721" s="10" t="n"/>
      <c r="F721" s="9" t="n"/>
      <c r="H721" s="8" t="n"/>
    </row>
    <row r="722">
      <c r="A722" s="5" t="n"/>
      <c r="D722" s="10" t="n"/>
      <c r="F722" s="9" t="n"/>
      <c r="H722" s="8" t="n"/>
    </row>
    <row r="723">
      <c r="A723" s="7" t="n"/>
      <c r="D723" s="10" t="n"/>
      <c r="F723" s="9" t="n"/>
      <c r="H723" s="8" t="n"/>
    </row>
    <row r="724">
      <c r="D724" s="10" t="n"/>
      <c r="F724" s="9" t="n"/>
      <c r="H724" s="8" t="n"/>
    </row>
    <row r="725">
      <c r="D725" s="10" t="n"/>
      <c r="F725" s="9" t="n"/>
      <c r="H725" s="8" t="n"/>
    </row>
    <row r="726">
      <c r="D726" s="10" t="n"/>
      <c r="F726" s="9" t="n"/>
      <c r="H726" s="8" t="n"/>
    </row>
    <row r="727">
      <c r="A727" s="3" t="n"/>
      <c r="D727" s="10" t="n"/>
      <c r="F727" s="9" t="n"/>
      <c r="H727" s="8" t="n"/>
    </row>
    <row r="728">
      <c r="A728" s="3" t="n"/>
      <c r="D728" s="10" t="n"/>
      <c r="F728" s="9" t="n"/>
      <c r="H728" s="8" t="n"/>
    </row>
    <row r="729">
      <c r="A729" s="5" t="n"/>
      <c r="D729" s="10" t="n"/>
      <c r="F729" s="9" t="n"/>
      <c r="H729" s="8" t="n"/>
    </row>
    <row r="730">
      <c r="A730" s="5" t="n"/>
      <c r="D730" s="10" t="n"/>
      <c r="F730" s="9" t="n"/>
      <c r="H730" s="8" t="n"/>
    </row>
    <row r="731">
      <c r="A731" s="5" t="n"/>
      <c r="D731" s="10" t="n"/>
      <c r="F731" s="9" t="n"/>
      <c r="H731" s="8" t="n"/>
    </row>
    <row r="732">
      <c r="A732" s="5" t="n"/>
      <c r="D732" s="10" t="n"/>
      <c r="F732" s="9" t="n"/>
      <c r="H732" s="8" t="n"/>
    </row>
    <row r="733">
      <c r="A733" s="5" t="n"/>
      <c r="D733" s="10" t="n"/>
      <c r="F733" s="9" t="n"/>
      <c r="H733" s="8" t="n"/>
    </row>
    <row r="734">
      <c r="A734" s="5" t="n"/>
      <c r="D734" s="10" t="n"/>
      <c r="F734" s="9" t="n"/>
      <c r="H734" s="8" t="n"/>
    </row>
    <row r="735">
      <c r="A735" s="5" t="n"/>
      <c r="D735" s="10" t="n"/>
      <c r="F735" s="9" t="n"/>
      <c r="H735" s="8" t="n"/>
    </row>
    <row r="736">
      <c r="A736" s="5" t="n"/>
      <c r="D736" s="10" t="n"/>
      <c r="F736" s="9" t="n"/>
      <c r="H736" s="8" t="n"/>
    </row>
    <row r="737">
      <c r="A737" s="5" t="n"/>
      <c r="D737" s="10" t="n"/>
      <c r="F737" s="9" t="n"/>
      <c r="H737" s="8" t="n"/>
    </row>
    <row r="738">
      <c r="A738" s="5" t="n"/>
      <c r="D738" s="10" t="n"/>
      <c r="F738" s="9" t="n"/>
      <c r="H738" s="8" t="n"/>
    </row>
    <row r="739">
      <c r="A739" s="5" t="n"/>
      <c r="D739" s="10" t="n"/>
      <c r="F739" s="9" t="n"/>
      <c r="H739" s="8" t="n"/>
    </row>
    <row r="740">
      <c r="A740" s="5" t="n"/>
      <c r="D740" s="10" t="n"/>
      <c r="F740" s="9" t="n"/>
      <c r="H740" s="8" t="n"/>
    </row>
    <row r="741">
      <c r="A741" s="5" t="n"/>
      <c r="D741" s="10" t="n"/>
      <c r="F741" s="9" t="n"/>
      <c r="H741" s="8" t="n"/>
    </row>
    <row r="742">
      <c r="A742" s="5" t="n"/>
      <c r="D742" s="10" t="n"/>
      <c r="F742" s="9" t="n"/>
      <c r="H742" s="8" t="n"/>
    </row>
    <row r="743">
      <c r="A743" s="5" t="n"/>
      <c r="D743" s="10" t="n"/>
      <c r="F743" s="9" t="n"/>
      <c r="H743" s="8" t="n"/>
    </row>
    <row r="744">
      <c r="A744" s="5" t="n"/>
      <c r="D744" s="10" t="n"/>
      <c r="F744" s="9" t="n"/>
      <c r="H744" s="8" t="n"/>
    </row>
    <row r="745">
      <c r="A745" s="5" t="n"/>
      <c r="D745" s="10" t="n"/>
      <c r="F745" s="9" t="n"/>
      <c r="H745" s="8" t="n"/>
    </row>
    <row r="746">
      <c r="A746" s="5" t="n"/>
      <c r="D746" s="10" t="n"/>
      <c r="F746" s="9" t="n"/>
      <c r="H746" s="8" t="n"/>
    </row>
    <row r="747">
      <c r="A747" s="5" t="n"/>
      <c r="D747" s="10" t="n"/>
      <c r="F747" s="9" t="n"/>
      <c r="H747" s="8" t="n"/>
    </row>
    <row r="748">
      <c r="A748" s="5" t="n"/>
      <c r="D748" s="10" t="n"/>
      <c r="F748" s="9" t="n"/>
      <c r="H748" s="8" t="n"/>
    </row>
    <row r="749">
      <c r="A749" s="5" t="n"/>
      <c r="D749" s="10" t="n"/>
      <c r="F749" s="9" t="n"/>
      <c r="H749" s="8" t="n"/>
    </row>
    <row r="750">
      <c r="A750" s="5" t="n"/>
      <c r="D750" s="10" t="n"/>
      <c r="F750" s="9" t="n"/>
      <c r="H750" s="8" t="n"/>
    </row>
    <row r="751">
      <c r="A751" s="5" t="n"/>
      <c r="D751" s="10" t="n"/>
      <c r="F751" s="9" t="n"/>
      <c r="H751" s="8" t="n"/>
    </row>
    <row r="752">
      <c r="A752" s="5" t="n"/>
      <c r="D752" s="10" t="n"/>
      <c r="F752" s="9" t="n"/>
      <c r="H752" s="8" t="n"/>
    </row>
    <row r="753">
      <c r="A753" s="5" t="n"/>
      <c r="D753" s="10" t="n"/>
      <c r="F753" s="9" t="n"/>
      <c r="H753" s="8" t="n"/>
    </row>
    <row r="754">
      <c r="A754" s="5" t="n"/>
      <c r="D754" s="10" t="n"/>
      <c r="F754" s="9" t="n"/>
      <c r="H754" s="8" t="n"/>
    </row>
    <row r="755">
      <c r="A755" s="5" t="n"/>
      <c r="D755" s="10" t="n"/>
      <c r="F755" s="9" t="n"/>
      <c r="H755" s="8" t="n"/>
    </row>
    <row r="756">
      <c r="A756" s="5" t="n"/>
      <c r="D756" s="10" t="n"/>
      <c r="F756" s="9" t="n"/>
      <c r="H756" s="8" t="n"/>
    </row>
    <row r="757">
      <c r="A757" s="5" t="n"/>
      <c r="D757" s="10" t="n"/>
      <c r="F757" s="9" t="n"/>
      <c r="H757" s="8" t="n"/>
    </row>
    <row r="758">
      <c r="A758" s="5" t="n"/>
      <c r="D758" s="10" t="n"/>
      <c r="F758" s="9" t="n"/>
      <c r="H758" s="8" t="n"/>
    </row>
    <row r="759">
      <c r="A759" s="5" t="n"/>
      <c r="D759" s="10" t="n"/>
      <c r="F759" s="9" t="n"/>
      <c r="H759" s="8" t="n"/>
    </row>
    <row r="760">
      <c r="A760" s="5" t="n"/>
      <c r="D760" s="10" t="n"/>
      <c r="F760" s="9" t="n"/>
      <c r="H760" s="8" t="n"/>
    </row>
    <row r="761">
      <c r="A761" s="5" t="n"/>
      <c r="D761" s="10" t="n"/>
      <c r="F761" s="9" t="n"/>
      <c r="H761" s="8" t="n"/>
    </row>
    <row r="762">
      <c r="A762" s="5" t="n"/>
      <c r="D762" s="10" t="n"/>
      <c r="F762" s="9" t="n"/>
      <c r="H762" s="8" t="n"/>
    </row>
    <row r="763">
      <c r="A763" s="5" t="n"/>
      <c r="D763" s="10" t="n"/>
      <c r="F763" s="9" t="n"/>
      <c r="H763" s="8" t="n"/>
    </row>
    <row r="764">
      <c r="A764" s="5" t="n"/>
      <c r="D764" s="10" t="n"/>
      <c r="F764" s="9" t="n"/>
      <c r="H764" s="8" t="n"/>
    </row>
    <row r="765">
      <c r="A765" s="5" t="n"/>
      <c r="D765" s="10" t="n"/>
      <c r="F765" s="9" t="n"/>
      <c r="H765" s="8" t="n"/>
    </row>
    <row r="766">
      <c r="A766" s="5" t="n"/>
      <c r="D766" s="10" t="n"/>
      <c r="F766" s="9" t="n"/>
      <c r="H766" s="8" t="n"/>
    </row>
    <row r="767">
      <c r="A767" s="5" t="n"/>
      <c r="D767" s="10" t="n"/>
      <c r="F767" s="9" t="n"/>
      <c r="H767" s="8" t="n"/>
    </row>
    <row r="768">
      <c r="A768" s="5" t="n"/>
      <c r="D768" s="10" t="n"/>
      <c r="F768" s="9" t="n"/>
      <c r="H768" s="8" t="n"/>
    </row>
    <row r="769">
      <c r="A769" s="5" t="n"/>
      <c r="D769" s="10" t="n"/>
      <c r="F769" s="9" t="n"/>
      <c r="H769" s="8" t="n"/>
    </row>
    <row r="770">
      <c r="A770" s="5" t="n"/>
      <c r="D770" s="10" t="n"/>
      <c r="F770" s="9" t="n"/>
      <c r="H770" s="8" t="n"/>
    </row>
    <row r="771">
      <c r="A771" s="5" t="n"/>
      <c r="D771" s="10" t="n"/>
      <c r="F771" s="9" t="n"/>
      <c r="H771" s="8" t="n"/>
    </row>
    <row r="772">
      <c r="A772" s="5" t="n"/>
      <c r="D772" s="10" t="n"/>
      <c r="F772" s="9" t="n"/>
      <c r="H772" s="8" t="n"/>
    </row>
    <row r="773">
      <c r="A773" s="5" t="n"/>
      <c r="D773" s="10" t="n"/>
      <c r="F773" s="9" t="n"/>
      <c r="H773" s="8" t="n"/>
    </row>
    <row r="774">
      <c r="A774" s="5" t="n"/>
      <c r="D774" s="10" t="n"/>
      <c r="F774" s="9" t="n"/>
      <c r="H774" s="8" t="n"/>
    </row>
    <row r="775">
      <c r="A775" s="5" t="n"/>
      <c r="D775" s="10" t="n"/>
      <c r="F775" s="9" t="n"/>
      <c r="H775" s="8" t="n"/>
    </row>
    <row r="776">
      <c r="A776" s="5" t="n"/>
      <c r="D776" s="10" t="n"/>
      <c r="F776" s="9" t="n"/>
      <c r="H776" s="8" t="n"/>
    </row>
    <row r="777">
      <c r="A777" s="5" t="n"/>
      <c r="D777" s="10" t="n"/>
      <c r="F777" s="9" t="n"/>
      <c r="H777" s="8" t="n"/>
    </row>
    <row r="778">
      <c r="A778" s="5" t="n"/>
      <c r="D778" s="10" t="n"/>
      <c r="F778" s="9" t="n"/>
      <c r="H778" s="8" t="n"/>
    </row>
    <row r="779">
      <c r="A779" s="5" t="n"/>
      <c r="D779" s="10" t="n"/>
      <c r="F779" s="9" t="n"/>
      <c r="H779" s="8" t="n"/>
    </row>
    <row r="780">
      <c r="A780" s="5" t="n"/>
      <c r="D780" s="10" t="n"/>
      <c r="F780" s="9" t="n"/>
      <c r="H780" s="8" t="n"/>
    </row>
    <row r="781">
      <c r="A781" s="5" t="n"/>
      <c r="D781" s="10" t="n"/>
      <c r="F781" s="9" t="n"/>
      <c r="H781" s="8" t="n"/>
    </row>
    <row r="782">
      <c r="A782" s="5" t="n"/>
      <c r="D782" s="10" t="n"/>
      <c r="F782" s="9" t="n"/>
      <c r="H782" s="8" t="n"/>
    </row>
    <row r="783">
      <c r="A783" s="5" t="n"/>
      <c r="D783" s="10" t="n"/>
      <c r="F783" s="9" t="n"/>
      <c r="H783" s="8" t="n"/>
    </row>
    <row r="784">
      <c r="A784" s="5" t="n"/>
      <c r="D784" s="10" t="n"/>
      <c r="F784" s="9" t="n"/>
      <c r="H784" s="8" t="n"/>
    </row>
    <row r="785">
      <c r="A785" s="5" t="n"/>
      <c r="D785" s="10" t="n"/>
      <c r="F785" s="9" t="n"/>
      <c r="H785" s="8" t="n"/>
    </row>
    <row r="786">
      <c r="A786" s="5" t="n"/>
      <c r="D786" s="10" t="n"/>
      <c r="F786" s="9" t="n"/>
      <c r="H786" s="8" t="n"/>
    </row>
    <row r="787">
      <c r="A787" s="5" t="n"/>
      <c r="D787" s="10" t="n"/>
      <c r="F787" s="9" t="n"/>
      <c r="H787" s="8" t="n"/>
    </row>
    <row r="788">
      <c r="A788" s="5" t="n"/>
      <c r="D788" s="10" t="n"/>
      <c r="F788" s="9" t="n"/>
      <c r="H788" s="8" t="n"/>
    </row>
    <row r="789">
      <c r="A789" s="5" t="n"/>
      <c r="D789" s="10" t="n"/>
      <c r="F789" s="9" t="n"/>
      <c r="H789" s="8" t="n"/>
    </row>
    <row r="790">
      <c r="A790" s="5" t="n"/>
      <c r="D790" s="10" t="n"/>
      <c r="F790" s="9" t="n"/>
      <c r="H790" s="8" t="n"/>
    </row>
    <row r="791">
      <c r="A791" s="5" t="n"/>
      <c r="D791" s="10" t="n"/>
      <c r="F791" s="9" t="n"/>
      <c r="H791" s="8" t="n"/>
    </row>
    <row r="792">
      <c r="A792" s="5" t="n"/>
      <c r="D792" s="10" t="n"/>
      <c r="F792" s="9" t="n"/>
      <c r="H792" s="8" t="n"/>
    </row>
    <row r="793">
      <c r="A793" s="5" t="n"/>
      <c r="D793" s="10" t="n"/>
      <c r="F793" s="9" t="n"/>
      <c r="H793" s="8" t="n"/>
    </row>
    <row r="794">
      <c r="A794" s="5" t="n"/>
      <c r="D794" s="10" t="n"/>
      <c r="F794" s="9" t="n"/>
      <c r="H794" s="8" t="n"/>
    </row>
    <row r="795">
      <c r="A795" s="5" t="n"/>
      <c r="D795" s="10" t="n"/>
      <c r="F795" s="9" t="n"/>
      <c r="H795" s="8" t="n"/>
    </row>
    <row r="796">
      <c r="A796" s="7" t="n"/>
      <c r="D796" s="10" t="n"/>
      <c r="F796" s="9" t="n"/>
      <c r="H796" s="8" t="n"/>
    </row>
    <row r="797">
      <c r="D797" s="10" t="n"/>
      <c r="F797" s="9" t="n"/>
      <c r="H797" s="8" t="n"/>
    </row>
    <row r="798">
      <c r="D798" s="10" t="n"/>
      <c r="F798" s="9" t="n"/>
      <c r="H798" s="8" t="n"/>
    </row>
    <row r="799">
      <c r="D799" s="10" t="n"/>
      <c r="F799" s="9" t="n"/>
      <c r="H799" s="8" t="n"/>
    </row>
    <row r="800">
      <c r="A800" s="3" t="n"/>
      <c r="D800" s="10" t="n"/>
      <c r="F800" s="9" t="n"/>
      <c r="H800" s="8" t="n"/>
    </row>
    <row r="801">
      <c r="A801" s="3" t="n"/>
      <c r="D801" s="10" t="n"/>
      <c r="F801" s="9" t="n"/>
      <c r="H801" s="8" t="n"/>
    </row>
    <row r="802">
      <c r="A802" s="5" t="n"/>
      <c r="D802" s="10" t="n"/>
      <c r="F802" s="9" t="n"/>
      <c r="H802" s="8" t="n"/>
    </row>
    <row r="803">
      <c r="A803" s="5" t="n"/>
      <c r="D803" s="10" t="n"/>
      <c r="F803" s="9" t="n"/>
      <c r="H803" s="8" t="n"/>
    </row>
    <row r="804">
      <c r="A804" s="5" t="n"/>
      <c r="D804" s="10" t="n"/>
      <c r="F804" s="9" t="n"/>
      <c r="H804" s="8" t="n"/>
    </row>
    <row r="805">
      <c r="A805" s="5" t="n"/>
      <c r="D805" s="10" t="n"/>
      <c r="F805" s="9" t="n"/>
      <c r="H805" s="8" t="n"/>
    </row>
    <row r="806">
      <c r="A806" s="5" t="n"/>
      <c r="D806" s="10" t="n"/>
      <c r="F806" s="9" t="n"/>
      <c r="H806" s="8" t="n"/>
    </row>
    <row r="807">
      <c r="A807" s="5" t="n"/>
      <c r="D807" s="10" t="n"/>
      <c r="F807" s="9" t="n"/>
      <c r="H807" s="8" t="n"/>
    </row>
    <row r="808">
      <c r="A808" s="5" t="n"/>
      <c r="D808" s="10" t="n"/>
      <c r="F808" s="9" t="n"/>
      <c r="H808" s="8" t="n"/>
    </row>
    <row r="809">
      <c r="A809" s="5" t="n"/>
      <c r="D809" s="10" t="n"/>
      <c r="F809" s="9" t="n"/>
      <c r="H809" s="8" t="n"/>
    </row>
    <row r="810">
      <c r="A810" s="5" t="n"/>
      <c r="D810" s="10" t="n"/>
      <c r="F810" s="9" t="n"/>
      <c r="H810" s="8" t="n"/>
    </row>
    <row r="811">
      <c r="A811" s="5" t="n"/>
      <c r="D811" s="10" t="n"/>
      <c r="F811" s="9" t="n"/>
      <c r="H811" s="8" t="n"/>
    </row>
    <row r="812">
      <c r="A812" s="5" t="n"/>
      <c r="D812" s="10" t="n"/>
      <c r="F812" s="9" t="n"/>
      <c r="H812" s="8" t="n"/>
    </row>
    <row r="813">
      <c r="A813" s="5" t="n"/>
      <c r="D813" s="10" t="n"/>
      <c r="F813" s="9" t="n"/>
      <c r="H813" s="8" t="n"/>
    </row>
    <row r="814">
      <c r="A814" s="5" t="n"/>
      <c r="D814" s="10" t="n"/>
      <c r="F814" s="9" t="n"/>
      <c r="H814" s="8" t="n"/>
    </row>
    <row r="815">
      <c r="A815" s="5" t="n"/>
      <c r="D815" s="10" t="n"/>
      <c r="F815" s="9" t="n"/>
      <c r="H815" s="8" t="n"/>
    </row>
    <row r="816">
      <c r="A816" s="5" t="n"/>
      <c r="D816" s="10" t="n"/>
      <c r="F816" s="9" t="n"/>
      <c r="H816" s="8" t="n"/>
    </row>
    <row r="817">
      <c r="A817" s="5" t="n"/>
      <c r="D817" s="10" t="n"/>
      <c r="F817" s="9" t="n"/>
      <c r="H817" s="8" t="n"/>
    </row>
    <row r="818">
      <c r="A818" s="5" t="n"/>
      <c r="D818" s="10" t="n"/>
      <c r="F818" s="9" t="n"/>
      <c r="H818" s="8" t="n"/>
    </row>
    <row r="819">
      <c r="A819" s="5" t="n"/>
      <c r="D819" s="10" t="n"/>
      <c r="F819" s="9" t="n"/>
      <c r="H819" s="8" t="n"/>
    </row>
    <row r="820">
      <c r="A820" s="5" t="n"/>
      <c r="D820" s="10" t="n"/>
      <c r="F820" s="9" t="n"/>
      <c r="H820" s="8" t="n"/>
    </row>
    <row r="821">
      <c r="A821" s="5" t="n"/>
      <c r="D821" s="10" t="n"/>
      <c r="F821" s="9" t="n"/>
      <c r="H821" s="8" t="n"/>
    </row>
    <row r="822">
      <c r="A822" s="5" t="n"/>
      <c r="D822" s="10" t="n"/>
      <c r="F822" s="9" t="n"/>
      <c r="H822" s="8" t="n"/>
    </row>
    <row r="823">
      <c r="A823" s="5" t="n"/>
      <c r="D823" s="10" t="n"/>
      <c r="F823" s="9" t="n"/>
      <c r="H823" s="8" t="n"/>
    </row>
    <row r="824">
      <c r="A824" s="5" t="n"/>
      <c r="D824" s="10" t="n"/>
      <c r="F824" s="9" t="n"/>
      <c r="H824" s="8" t="n"/>
    </row>
    <row r="825">
      <c r="A825" s="5" t="n"/>
      <c r="D825" s="10" t="n"/>
      <c r="F825" s="9" t="n"/>
      <c r="H825" s="8" t="n"/>
    </row>
    <row r="826">
      <c r="A826" s="5" t="n"/>
      <c r="D826" s="10" t="n"/>
      <c r="F826" s="9" t="n"/>
      <c r="H826" s="8" t="n"/>
    </row>
    <row r="827">
      <c r="A827" s="5" t="n"/>
      <c r="D827" s="10" t="n"/>
      <c r="F827" s="9" t="n"/>
      <c r="H827" s="8" t="n"/>
    </row>
    <row r="828">
      <c r="A828" s="5" t="n"/>
      <c r="D828" s="10" t="n"/>
      <c r="F828" s="9" t="n"/>
      <c r="H828" s="8" t="n"/>
    </row>
    <row r="829">
      <c r="A829" s="5" t="n"/>
      <c r="D829" s="10" t="n"/>
      <c r="F829" s="9" t="n"/>
      <c r="H829" s="8" t="n"/>
    </row>
    <row r="830">
      <c r="A830" s="5" t="n"/>
      <c r="D830" s="10" t="n"/>
      <c r="F830" s="9" t="n"/>
      <c r="H830" s="8" t="n"/>
    </row>
    <row r="831">
      <c r="A831" s="5" t="n"/>
      <c r="D831" s="10" t="n"/>
      <c r="F831" s="9" t="n"/>
      <c r="H831" s="8" t="n"/>
    </row>
    <row r="832">
      <c r="A832" s="5" t="n"/>
      <c r="D832" s="10" t="n"/>
      <c r="F832" s="9" t="n"/>
      <c r="H832" s="8" t="n"/>
    </row>
    <row r="833">
      <c r="A833" s="5" t="n"/>
      <c r="D833" s="10" t="n"/>
      <c r="F833" s="9" t="n"/>
      <c r="H833" s="8" t="n"/>
    </row>
    <row r="834">
      <c r="A834" s="5" t="n"/>
      <c r="D834" s="10" t="n"/>
      <c r="F834" s="9" t="n"/>
      <c r="H834" s="8" t="n"/>
    </row>
    <row r="835">
      <c r="A835" s="5" t="n"/>
      <c r="D835" s="10" t="n"/>
      <c r="F835" s="9" t="n"/>
      <c r="H835" s="8" t="n"/>
    </row>
    <row r="836">
      <c r="A836" s="5" t="n"/>
      <c r="D836" s="10" t="n"/>
      <c r="F836" s="9" t="n"/>
      <c r="H836" s="8" t="n"/>
    </row>
    <row r="837">
      <c r="A837" s="5" t="n"/>
      <c r="D837" s="10" t="n"/>
      <c r="F837" s="9" t="n"/>
      <c r="H837" s="8" t="n"/>
    </row>
    <row r="838">
      <c r="A838" s="5" t="n"/>
      <c r="D838" s="10" t="n"/>
      <c r="F838" s="9" t="n"/>
      <c r="H838" s="8" t="n"/>
    </row>
    <row r="839">
      <c r="A839" s="5" t="n"/>
      <c r="D839" s="10" t="n"/>
      <c r="F839" s="9" t="n"/>
      <c r="H839" s="8" t="n"/>
    </row>
    <row r="840">
      <c r="A840" s="5" t="n"/>
      <c r="D840" s="10" t="n"/>
      <c r="F840" s="9" t="n"/>
      <c r="H840" s="8" t="n"/>
    </row>
    <row r="841">
      <c r="A841" s="5" t="n"/>
      <c r="D841" s="10" t="n"/>
      <c r="F841" s="9" t="n"/>
      <c r="H841" s="8" t="n"/>
    </row>
    <row r="842">
      <c r="A842" s="5" t="n"/>
      <c r="D842" s="10" t="n"/>
      <c r="F842" s="9" t="n"/>
      <c r="H842" s="8" t="n"/>
    </row>
    <row r="843">
      <c r="A843" s="5" t="n"/>
      <c r="D843" s="10" t="n"/>
      <c r="F843" s="9" t="n"/>
      <c r="H843" s="8" t="n"/>
    </row>
    <row r="844">
      <c r="A844" s="5" t="n"/>
      <c r="D844" s="10" t="n"/>
      <c r="F844" s="9" t="n"/>
      <c r="H844" s="8" t="n"/>
    </row>
    <row r="845">
      <c r="A845" s="5" t="n"/>
      <c r="D845" s="10" t="n"/>
      <c r="F845" s="9" t="n"/>
      <c r="H845" s="8" t="n"/>
    </row>
    <row r="846">
      <c r="A846" s="5" t="n"/>
      <c r="D846" s="10" t="n"/>
      <c r="F846" s="9" t="n"/>
      <c r="H846" s="8" t="n"/>
    </row>
    <row r="847">
      <c r="A847" s="5" t="n"/>
      <c r="D847" s="10" t="n"/>
      <c r="F847" s="9" t="n"/>
      <c r="H847" s="8" t="n"/>
    </row>
    <row r="848">
      <c r="A848" s="5" t="n"/>
      <c r="D848" s="10" t="n"/>
      <c r="F848" s="9" t="n"/>
      <c r="H848" s="8" t="n"/>
    </row>
    <row r="849">
      <c r="A849" s="5" t="n"/>
      <c r="D849" s="10" t="n"/>
      <c r="F849" s="9" t="n"/>
      <c r="H849" s="8" t="n"/>
    </row>
    <row r="850">
      <c r="A850" s="5" t="n"/>
      <c r="D850" s="10" t="n"/>
      <c r="F850" s="9" t="n"/>
      <c r="H850" s="8" t="n"/>
    </row>
    <row r="851">
      <c r="A851" s="5" t="n"/>
      <c r="D851" s="10" t="n"/>
      <c r="F851" s="9" t="n"/>
      <c r="H851" s="8" t="n"/>
    </row>
    <row r="852">
      <c r="A852" s="5" t="n"/>
      <c r="D852" s="10" t="n"/>
      <c r="F852" s="9" t="n"/>
      <c r="H852" s="8" t="n"/>
    </row>
    <row r="853">
      <c r="A853" s="5" t="n"/>
      <c r="D853" s="10" t="n"/>
      <c r="F853" s="9" t="n"/>
      <c r="H853" s="8" t="n"/>
    </row>
    <row r="854">
      <c r="A854" s="5" t="n"/>
      <c r="D854" s="10" t="n"/>
      <c r="F854" s="9" t="n"/>
      <c r="H854" s="8" t="n"/>
    </row>
    <row r="855">
      <c r="A855" s="5" t="n"/>
      <c r="D855" s="10" t="n"/>
      <c r="F855" s="9" t="n"/>
      <c r="H855" s="8" t="n"/>
    </row>
    <row r="856">
      <c r="A856" s="5" t="n"/>
      <c r="D856" s="10" t="n"/>
      <c r="F856" s="9" t="n"/>
      <c r="H856" s="8" t="n"/>
    </row>
    <row r="857">
      <c r="A857" s="5" t="n"/>
      <c r="D857" s="10" t="n"/>
      <c r="F857" s="9" t="n"/>
      <c r="H857" s="8" t="n"/>
    </row>
    <row r="858">
      <c r="A858" s="5" t="n"/>
      <c r="D858" s="10" t="n"/>
      <c r="F858" s="9" t="n"/>
      <c r="H858" s="8" t="n"/>
    </row>
    <row r="859">
      <c r="A859" s="5" t="n"/>
      <c r="D859" s="10" t="n"/>
      <c r="F859" s="9" t="n"/>
      <c r="H859" s="8" t="n"/>
    </row>
    <row r="860">
      <c r="A860" s="5" t="n"/>
      <c r="D860" s="10" t="n"/>
      <c r="F860" s="9" t="n"/>
      <c r="H860" s="8" t="n"/>
    </row>
    <row r="861">
      <c r="A861" s="5" t="n"/>
      <c r="D861" s="10" t="n"/>
      <c r="F861" s="9" t="n"/>
      <c r="H861" s="8" t="n"/>
    </row>
    <row r="862">
      <c r="A862" s="5" t="n"/>
      <c r="D862" s="10" t="n"/>
      <c r="F862" s="9" t="n"/>
      <c r="H862" s="8" t="n"/>
    </row>
    <row r="863">
      <c r="A863" s="5" t="n"/>
      <c r="D863" s="10" t="n"/>
      <c r="F863" s="9" t="n"/>
      <c r="H863" s="8" t="n"/>
    </row>
    <row r="864">
      <c r="A864" s="5" t="n"/>
      <c r="D864" s="10" t="n"/>
      <c r="F864" s="9" t="n"/>
      <c r="H864" s="8" t="n"/>
    </row>
    <row r="865">
      <c r="A865" s="5" t="n"/>
      <c r="D865" s="10" t="n"/>
      <c r="F865" s="9" t="n"/>
      <c r="H865" s="8" t="n"/>
    </row>
    <row r="866">
      <c r="A866" s="5" t="n"/>
      <c r="D866" s="10" t="n"/>
      <c r="F866" s="9" t="n"/>
      <c r="H866" s="8" t="n"/>
    </row>
    <row r="867">
      <c r="A867" s="5" t="n"/>
      <c r="D867" s="10" t="n"/>
      <c r="F867" s="9" t="n"/>
      <c r="H867" s="8" t="n"/>
    </row>
    <row r="868">
      <c r="A868" s="5" t="n"/>
      <c r="D868" s="10" t="n"/>
      <c r="F868" s="9" t="n"/>
      <c r="H868" s="8" t="n"/>
    </row>
    <row r="869">
      <c r="A869" s="7" t="n"/>
      <c r="D869" s="10" t="n"/>
      <c r="F869" s="9" t="n"/>
      <c r="H869" s="8" t="n"/>
    </row>
    <row r="870">
      <c r="D870" s="10" t="n"/>
      <c r="F870" s="9" t="n"/>
      <c r="H870" s="8" t="n"/>
    </row>
    <row r="871">
      <c r="D871" s="10" t="n"/>
      <c r="F871" s="9" t="n"/>
      <c r="H871" s="8" t="n"/>
    </row>
    <row r="872">
      <c r="D872" s="10" t="n"/>
      <c r="F872" s="9" t="n"/>
      <c r="H872" s="8" t="n"/>
    </row>
    <row r="873">
      <c r="A873" s="3" t="n"/>
      <c r="D873" s="10" t="n"/>
      <c r="F873" s="9" t="n"/>
      <c r="H873" s="8" t="n"/>
    </row>
    <row r="874">
      <c r="A874" s="3" t="n"/>
      <c r="D874" s="10" t="n"/>
      <c r="F874" s="9" t="n"/>
      <c r="H874" s="8" t="n"/>
    </row>
    <row r="875">
      <c r="A875" s="5" t="n"/>
      <c r="D875" s="10" t="n"/>
      <c r="F875" s="9" t="n"/>
      <c r="H875" s="8" t="n"/>
    </row>
    <row r="876">
      <c r="A876" s="5" t="n"/>
      <c r="D876" s="10" t="n"/>
      <c r="F876" s="9" t="n"/>
      <c r="H876" s="8" t="n"/>
    </row>
    <row r="877">
      <c r="A877" s="5" t="n"/>
      <c r="D877" s="10" t="n"/>
      <c r="F877" s="9" t="n"/>
      <c r="H877" s="8" t="n"/>
    </row>
    <row r="878">
      <c r="A878" s="5" t="n"/>
      <c r="D878" s="10" t="n"/>
      <c r="F878" s="9" t="n"/>
      <c r="H878" s="8" t="n"/>
    </row>
    <row r="879">
      <c r="A879" s="5" t="n"/>
      <c r="D879" s="10" t="n"/>
      <c r="F879" s="9" t="n"/>
      <c r="H879" s="8" t="n"/>
    </row>
    <row r="880">
      <c r="A880" s="5" t="n"/>
      <c r="D880" s="10" t="n"/>
      <c r="F880" s="9" t="n"/>
      <c r="H880" s="8" t="n"/>
    </row>
    <row r="881">
      <c r="A881" s="5" t="n"/>
      <c r="D881" s="10" t="n"/>
      <c r="F881" s="9" t="n"/>
      <c r="H881" s="8" t="n"/>
    </row>
    <row r="882">
      <c r="A882" s="5" t="n"/>
      <c r="D882" s="10" t="n"/>
      <c r="F882" s="9" t="n"/>
      <c r="H882" s="8" t="n"/>
    </row>
    <row r="883">
      <c r="A883" s="5" t="n"/>
      <c r="D883" s="10" t="n"/>
      <c r="F883" s="9" t="n"/>
      <c r="H883" s="8" t="n"/>
    </row>
    <row r="884">
      <c r="A884" s="5" t="n"/>
      <c r="D884" s="10" t="n"/>
      <c r="F884" s="9" t="n"/>
      <c r="H884" s="8" t="n"/>
    </row>
    <row r="885">
      <c r="A885" s="5" t="n"/>
      <c r="D885" s="10" t="n"/>
      <c r="F885" s="9" t="n"/>
      <c r="H885" s="8" t="n"/>
    </row>
    <row r="886">
      <c r="A886" s="5" t="n"/>
      <c r="D886" s="10" t="n"/>
      <c r="F886" s="9" t="n"/>
      <c r="H886" s="8" t="n"/>
    </row>
    <row r="887">
      <c r="A887" s="5" t="n"/>
      <c r="D887" s="10" t="n"/>
      <c r="F887" s="9" t="n"/>
      <c r="H887" s="8" t="n"/>
    </row>
    <row r="888">
      <c r="A888" s="5" t="n"/>
      <c r="D888" s="10" t="n"/>
      <c r="F888" s="9" t="n"/>
      <c r="H888" s="8" t="n"/>
    </row>
    <row r="889">
      <c r="A889" s="5" t="n"/>
      <c r="D889" s="10" t="n"/>
      <c r="F889" s="9" t="n"/>
      <c r="H889" s="8" t="n"/>
    </row>
    <row r="890">
      <c r="A890" s="5" t="n"/>
      <c r="D890" s="10" t="n"/>
      <c r="F890" s="9" t="n"/>
      <c r="H890" s="8" t="n"/>
    </row>
    <row r="891">
      <c r="A891" s="5" t="n"/>
      <c r="D891" s="10" t="n"/>
      <c r="F891" s="9" t="n"/>
      <c r="H891" s="8" t="n"/>
    </row>
    <row r="892">
      <c r="A892" s="5" t="n"/>
      <c r="D892" s="10" t="n"/>
      <c r="F892" s="9" t="n"/>
      <c r="H892" s="8" t="n"/>
    </row>
    <row r="893">
      <c r="A893" s="5" t="n"/>
      <c r="D893" s="10" t="n"/>
      <c r="F893" s="9" t="n"/>
      <c r="H893" s="8" t="n"/>
    </row>
    <row r="894">
      <c r="A894" s="5" t="n"/>
      <c r="D894" s="10" t="n"/>
      <c r="F894" s="9" t="n"/>
      <c r="H894" s="8" t="n"/>
    </row>
    <row r="895">
      <c r="A895" s="5" t="n"/>
      <c r="D895" s="10" t="n"/>
      <c r="F895" s="9" t="n"/>
      <c r="H895" s="8" t="n"/>
    </row>
    <row r="896">
      <c r="A896" s="5" t="n"/>
      <c r="D896" s="10" t="n"/>
      <c r="F896" s="9" t="n"/>
      <c r="H896" s="8" t="n"/>
    </row>
    <row r="897">
      <c r="A897" s="5" t="n"/>
      <c r="D897" s="10" t="n"/>
      <c r="F897" s="9" t="n"/>
      <c r="H897" s="8" t="n"/>
    </row>
    <row r="898">
      <c r="A898" s="5" t="n"/>
      <c r="D898" s="10" t="n"/>
      <c r="F898" s="9" t="n"/>
      <c r="H898" s="8" t="n"/>
    </row>
    <row r="899">
      <c r="A899" s="5" t="n"/>
      <c r="D899" s="10" t="n"/>
      <c r="F899" s="9" t="n"/>
      <c r="H899" s="8" t="n"/>
    </row>
    <row r="900">
      <c r="A900" s="5" t="n"/>
      <c r="D900" s="10" t="n"/>
      <c r="F900" s="9" t="n"/>
      <c r="H900" s="8" t="n"/>
    </row>
    <row r="901">
      <c r="A901" s="5" t="n"/>
      <c r="D901" s="10" t="n"/>
      <c r="F901" s="9" t="n"/>
      <c r="H901" s="8" t="n"/>
    </row>
    <row r="902">
      <c r="A902" s="5" t="n"/>
      <c r="D902" s="10" t="n"/>
      <c r="F902" s="9" t="n"/>
      <c r="H902" s="8" t="n"/>
    </row>
    <row r="903">
      <c r="A903" s="5" t="n"/>
      <c r="D903" s="10" t="n"/>
      <c r="F903" s="9" t="n"/>
      <c r="H903" s="8" t="n"/>
    </row>
    <row r="904">
      <c r="A904" s="5" t="n"/>
      <c r="D904" s="10" t="n"/>
      <c r="F904" s="9" t="n"/>
      <c r="H904" s="8" t="n"/>
    </row>
    <row r="905">
      <c r="A905" s="5" t="n"/>
      <c r="D905" s="10" t="n"/>
      <c r="F905" s="9" t="n"/>
      <c r="H905" s="8" t="n"/>
    </row>
    <row r="906">
      <c r="A906" s="5" t="n"/>
      <c r="D906" s="10" t="n"/>
      <c r="F906" s="9" t="n"/>
      <c r="H906" s="8" t="n"/>
    </row>
    <row r="907">
      <c r="A907" s="5" t="n"/>
      <c r="D907" s="10" t="n"/>
      <c r="F907" s="9" t="n"/>
      <c r="H907" s="8" t="n"/>
    </row>
    <row r="908">
      <c r="A908" s="5" t="n"/>
      <c r="D908" s="10" t="n"/>
      <c r="F908" s="9" t="n"/>
      <c r="H908" s="8" t="n"/>
    </row>
    <row r="909">
      <c r="A909" s="5" t="n"/>
      <c r="D909" s="10" t="n"/>
      <c r="F909" s="9" t="n"/>
      <c r="H909" s="8" t="n"/>
    </row>
    <row r="910">
      <c r="A910" s="5" t="n"/>
      <c r="D910" s="10" t="n"/>
      <c r="F910" s="9" t="n"/>
      <c r="H910" s="8" t="n"/>
    </row>
    <row r="911">
      <c r="A911" s="5" t="n"/>
      <c r="D911" s="10" t="n"/>
      <c r="F911" s="9" t="n"/>
      <c r="H911" s="8" t="n"/>
    </row>
    <row r="912">
      <c r="A912" s="5" t="n"/>
      <c r="D912" s="10" t="n"/>
      <c r="F912" s="9" t="n"/>
      <c r="H912" s="8" t="n"/>
    </row>
    <row r="913">
      <c r="A913" s="5" t="n"/>
      <c r="D913" s="10" t="n"/>
      <c r="F913" s="9" t="n"/>
      <c r="H913" s="8" t="n"/>
    </row>
    <row r="914">
      <c r="A914" s="5" t="n"/>
      <c r="D914" s="10" t="n"/>
      <c r="F914" s="9" t="n"/>
      <c r="H914" s="8" t="n"/>
    </row>
    <row r="915">
      <c r="A915" s="5" t="n"/>
      <c r="D915" s="10" t="n"/>
      <c r="F915" s="9" t="n"/>
      <c r="H915" s="8" t="n"/>
    </row>
    <row r="916">
      <c r="A916" s="5" t="n"/>
      <c r="D916" s="10" t="n"/>
      <c r="F916" s="9" t="n"/>
      <c r="H916" s="8" t="n"/>
    </row>
    <row r="917">
      <c r="A917" s="5" t="n"/>
      <c r="D917" s="10" t="n"/>
      <c r="F917" s="9" t="n"/>
      <c r="H917" s="8" t="n"/>
    </row>
    <row r="918">
      <c r="A918" s="5" t="n"/>
      <c r="D918" s="10" t="n"/>
      <c r="F918" s="9" t="n"/>
      <c r="H918" s="8" t="n"/>
    </row>
    <row r="919">
      <c r="A919" s="5" t="n"/>
      <c r="D919" s="10" t="n"/>
      <c r="F919" s="9" t="n"/>
      <c r="H919" s="8" t="n"/>
    </row>
    <row r="920">
      <c r="A920" s="5" t="n"/>
      <c r="D920" s="10" t="n"/>
      <c r="F920" s="9" t="n"/>
      <c r="H920" s="8" t="n"/>
    </row>
    <row r="921">
      <c r="A921" s="5" t="n"/>
      <c r="D921" s="10" t="n"/>
      <c r="F921" s="9" t="n"/>
      <c r="H921" s="8" t="n"/>
    </row>
    <row r="922">
      <c r="A922" s="5" t="n"/>
      <c r="D922" s="10" t="n"/>
      <c r="F922" s="9" t="n"/>
      <c r="H922" s="8" t="n"/>
    </row>
    <row r="923">
      <c r="A923" s="5" t="n"/>
      <c r="D923" s="10" t="n"/>
      <c r="F923" s="9" t="n"/>
      <c r="H923" s="8" t="n"/>
    </row>
    <row r="924">
      <c r="A924" s="5" t="n"/>
      <c r="D924" s="10" t="n"/>
      <c r="F924" s="9" t="n"/>
      <c r="H924" s="8" t="n"/>
    </row>
    <row r="925">
      <c r="A925" s="5" t="n"/>
      <c r="D925" s="10" t="n"/>
      <c r="F925" s="9" t="n"/>
      <c r="H925" s="8" t="n"/>
    </row>
    <row r="926">
      <c r="A926" s="5" t="n"/>
      <c r="D926" s="10" t="n"/>
      <c r="F926" s="9" t="n"/>
      <c r="H926" s="8" t="n"/>
    </row>
    <row r="927">
      <c r="A927" s="5" t="n"/>
      <c r="D927" s="10" t="n"/>
      <c r="F927" s="9" t="n"/>
      <c r="H927" s="8" t="n"/>
    </row>
    <row r="928">
      <c r="A928" s="5" t="n"/>
      <c r="D928" s="10" t="n"/>
      <c r="F928" s="9" t="n"/>
      <c r="H928" s="8" t="n"/>
    </row>
    <row r="929">
      <c r="A929" s="5" t="n"/>
      <c r="D929" s="10" t="n"/>
      <c r="F929" s="9" t="n"/>
      <c r="H929" s="8" t="n"/>
    </row>
    <row r="930">
      <c r="A930" s="5" t="n"/>
      <c r="D930" s="10" t="n"/>
      <c r="F930" s="9" t="n"/>
      <c r="H930" s="8" t="n"/>
    </row>
    <row r="931">
      <c r="A931" s="5" t="n"/>
      <c r="D931" s="10" t="n"/>
      <c r="F931" s="9" t="n"/>
      <c r="H931" s="8" t="n"/>
    </row>
    <row r="932">
      <c r="A932" s="5" t="n"/>
      <c r="D932" s="10" t="n"/>
      <c r="F932" s="9" t="n"/>
      <c r="H932" s="8" t="n"/>
    </row>
    <row r="933">
      <c r="A933" s="5" t="n"/>
      <c r="D933" s="10" t="n"/>
      <c r="F933" s="9" t="n"/>
      <c r="H933" s="8" t="n"/>
    </row>
    <row r="934">
      <c r="A934" s="5" t="n"/>
      <c r="D934" s="10" t="n"/>
      <c r="F934" s="9" t="n"/>
      <c r="H934" s="8" t="n"/>
    </row>
    <row r="935">
      <c r="A935" s="5" t="n"/>
      <c r="D935" s="10" t="n"/>
      <c r="F935" s="9" t="n"/>
      <c r="H935" s="8" t="n"/>
    </row>
    <row r="936">
      <c r="A936" s="5" t="n"/>
      <c r="D936" s="10" t="n"/>
      <c r="F936" s="9" t="n"/>
      <c r="H936" s="8" t="n"/>
    </row>
    <row r="937">
      <c r="A937" s="5" t="n"/>
      <c r="D937" s="10" t="n"/>
      <c r="F937" s="9" t="n"/>
      <c r="H937" s="8" t="n"/>
    </row>
    <row r="938">
      <c r="A938" s="5" t="n"/>
      <c r="D938" s="10" t="n"/>
      <c r="F938" s="9" t="n"/>
      <c r="H938" s="8" t="n"/>
    </row>
    <row r="939">
      <c r="A939" s="5" t="n"/>
      <c r="D939" s="10" t="n"/>
      <c r="F939" s="9" t="n"/>
      <c r="H939" s="8" t="n"/>
    </row>
    <row r="940">
      <c r="A940" s="5" t="n"/>
      <c r="D940" s="10" t="n"/>
      <c r="F940" s="9" t="n"/>
      <c r="H940" s="8" t="n"/>
    </row>
    <row r="941">
      <c r="A941" s="5" t="n"/>
      <c r="D941" s="10" t="n"/>
      <c r="F941" s="9" t="n"/>
      <c r="H941" s="8" t="n"/>
    </row>
    <row r="942">
      <c r="A942" s="7" t="n"/>
      <c r="D942" s="10" t="n"/>
      <c r="F942" s="9" t="n"/>
      <c r="H942" s="8" t="n"/>
    </row>
    <row r="943">
      <c r="D943" s="10" t="n"/>
      <c r="F943" s="9" t="n"/>
      <c r="H943" s="8" t="n"/>
    </row>
    <row r="944">
      <c r="D944" s="10" t="n"/>
      <c r="F944" s="9" t="n"/>
      <c r="H944" s="8" t="n"/>
    </row>
    <row r="945">
      <c r="D945" s="10" t="n"/>
      <c r="F945" s="9" t="n"/>
      <c r="H945" s="8" t="n"/>
    </row>
    <row r="946">
      <c r="D946" s="10" t="n"/>
      <c r="F946" s="9" t="n"/>
      <c r="H946" s="8" t="n"/>
    </row>
    <row r="947">
      <c r="D947" s="10" t="n"/>
      <c r="F947" s="9" t="n"/>
      <c r="H947" s="8" t="n"/>
    </row>
    <row r="948">
      <c r="D948" s="10" t="n"/>
      <c r="F948" s="9" t="n"/>
      <c r="H948" s="8" t="n"/>
    </row>
    <row r="949">
      <c r="D949" s="10" t="n"/>
      <c r="F949" s="9" t="n"/>
      <c r="H949" s="8" t="n"/>
    </row>
    <row r="950">
      <c r="D950" s="10" t="n"/>
      <c r="F950" s="9" t="n"/>
      <c r="H950" s="8" t="n"/>
    </row>
    <row r="951">
      <c r="D951" s="10" t="n"/>
      <c r="F951" s="9" t="n"/>
      <c r="H951" s="8" t="n"/>
    </row>
    <row r="952">
      <c r="D952" s="10" t="n"/>
      <c r="F952" s="9" t="n"/>
      <c r="H952" s="8" t="n"/>
    </row>
    <row r="953">
      <c r="D953" s="10" t="n"/>
      <c r="F953" s="9" t="n"/>
      <c r="H953" s="8" t="n"/>
    </row>
    <row r="954">
      <c r="D954" s="10" t="n"/>
      <c r="F954" s="9" t="n"/>
      <c r="H954" s="8" t="n"/>
    </row>
    <row r="955">
      <c r="D955" s="10" t="n"/>
      <c r="F955" s="9" t="n"/>
      <c r="H955" s="8" t="n"/>
    </row>
    <row r="956">
      <c r="D956" s="10" t="n"/>
      <c r="F956" s="9" t="n"/>
      <c r="H956" s="8" t="n"/>
    </row>
    <row r="957">
      <c r="D957" s="10" t="n"/>
      <c r="F957" s="9" t="n"/>
      <c r="H957" s="8" t="n"/>
    </row>
    <row r="958">
      <c r="D958" s="10" t="n"/>
      <c r="F958" s="9" t="n"/>
      <c r="H958" s="8" t="n"/>
    </row>
    <row r="959">
      <c r="D959" s="10" t="n"/>
      <c r="F959" s="9" t="n"/>
      <c r="H959" s="8" t="n"/>
    </row>
    <row r="960">
      <c r="D960" s="10" t="n"/>
      <c r="F960" s="9" t="n"/>
      <c r="H960" s="8" t="n"/>
    </row>
    <row r="961">
      <c r="D961" s="10" t="n"/>
      <c r="F961" s="9" t="n"/>
      <c r="H961" s="8" t="n"/>
    </row>
    <row r="962">
      <c r="D962" s="10" t="n"/>
      <c r="F962" s="9" t="n"/>
      <c r="H962" s="8" t="n"/>
    </row>
    <row r="963">
      <c r="D963" s="10" t="n"/>
      <c r="F963" s="9" t="n"/>
      <c r="H963" s="8" t="n"/>
    </row>
    <row r="964">
      <c r="D964" s="10" t="n"/>
      <c r="F964" s="9" t="n"/>
      <c r="H964" s="8" t="n"/>
    </row>
    <row r="965">
      <c r="D965" s="10" t="n"/>
      <c r="F965" s="9" t="n"/>
      <c r="H965" s="8" t="n"/>
    </row>
    <row r="966">
      <c r="D966" s="10" t="n"/>
      <c r="F966" s="9" t="n"/>
      <c r="H966" s="8" t="n"/>
    </row>
    <row r="967">
      <c r="D967" s="10" t="n"/>
      <c r="F967" s="9" t="n"/>
      <c r="H967" s="8" t="n"/>
    </row>
    <row r="968">
      <c r="D968" s="10" t="n"/>
      <c r="F968" s="9" t="n"/>
      <c r="H968" s="8" t="n"/>
    </row>
    <row r="969">
      <c r="D969" s="10" t="n"/>
      <c r="F969" s="9" t="n"/>
      <c r="H969" s="8" t="n"/>
    </row>
    <row r="970">
      <c r="D970" s="10" t="n"/>
      <c r="F970" s="9" t="n"/>
      <c r="H970" s="8" t="n"/>
    </row>
    <row r="971">
      <c r="D971" s="10" t="n"/>
      <c r="F971" s="9" t="n"/>
      <c r="H971" s="8" t="n"/>
    </row>
    <row r="972">
      <c r="D972" s="10" t="n"/>
      <c r="F972" s="9" t="n"/>
      <c r="H972" s="8" t="n"/>
    </row>
    <row r="973">
      <c r="D973" s="10" t="n"/>
      <c r="F973" s="9" t="n"/>
      <c r="H973" s="8" t="n"/>
    </row>
    <row r="974">
      <c r="D974" s="10" t="n"/>
      <c r="F974" s="9" t="n"/>
      <c r="H974" s="8" t="n"/>
    </row>
    <row r="975">
      <c r="D975" s="10" t="n"/>
      <c r="F975" s="9" t="n"/>
      <c r="H975" s="8" t="n"/>
    </row>
    <row r="976">
      <c r="D976" s="10" t="n"/>
      <c r="F976" s="9" t="n"/>
      <c r="H976" s="8" t="n"/>
    </row>
    <row r="977">
      <c r="D977" s="10" t="n"/>
      <c r="F977" s="9" t="n"/>
      <c r="H977" s="8" t="n"/>
    </row>
    <row r="978">
      <c r="D978" s="10" t="n"/>
      <c r="F978" s="9" t="n"/>
      <c r="H978" s="8" t="n"/>
    </row>
    <row r="979">
      <c r="D979" s="10" t="n"/>
      <c r="F979" s="9" t="n"/>
      <c r="H979" s="8" t="n"/>
    </row>
    <row r="980">
      <c r="D980" s="10" t="n"/>
      <c r="F980" s="9" t="n"/>
      <c r="H980" s="8" t="n"/>
    </row>
    <row r="981">
      <c r="D981" s="10" t="n"/>
      <c r="F981" s="9" t="n"/>
      <c r="H981" s="8" t="n"/>
    </row>
    <row r="982">
      <c r="D982" s="10" t="n"/>
      <c r="F982" s="9" t="n"/>
      <c r="H982" s="8" t="n"/>
    </row>
    <row r="983">
      <c r="D983" s="10" t="n"/>
      <c r="F983" s="9" t="n"/>
      <c r="H983" s="8" t="n"/>
    </row>
    <row r="984">
      <c r="D984" s="10" t="n"/>
      <c r="F984" s="9" t="n"/>
      <c r="H984" s="8" t="n"/>
    </row>
    <row r="985">
      <c r="D985" s="10" t="n"/>
      <c r="F985" s="9" t="n"/>
      <c r="H985" s="8" t="n"/>
    </row>
    <row r="986">
      <c r="D986" s="10" t="n"/>
      <c r="F986" s="9" t="n"/>
      <c r="H986" s="8" t="n"/>
    </row>
    <row r="987">
      <c r="D987" s="10" t="n"/>
      <c r="F987" s="9" t="n"/>
      <c r="H987" s="8" t="n"/>
    </row>
    <row r="988">
      <c r="D988" s="10" t="n"/>
      <c r="F988" s="9" t="n"/>
      <c r="H988" s="8" t="n"/>
    </row>
    <row r="989">
      <c r="D989" s="10" t="n"/>
      <c r="F989" s="9" t="n"/>
      <c r="H989" s="8" t="n"/>
    </row>
    <row r="990">
      <c r="D990" s="10" t="n"/>
      <c r="F990" s="9" t="n"/>
      <c r="H990" s="8" t="n"/>
    </row>
    <row r="991">
      <c r="D991" s="10" t="n"/>
      <c r="F991" s="9" t="n"/>
      <c r="H991" s="8" t="n"/>
    </row>
    <row r="992">
      <c r="D992" s="10" t="n"/>
      <c r="F992" s="9" t="n"/>
      <c r="H992" s="8" t="n"/>
    </row>
    <row r="993">
      <c r="D993" s="10" t="n"/>
      <c r="F993" s="9" t="n"/>
      <c r="H993" s="8" t="n"/>
    </row>
    <row r="994">
      <c r="D994" s="10" t="n"/>
      <c r="F994" s="9" t="n"/>
      <c r="H994" s="8" t="n"/>
    </row>
    <row r="995">
      <c r="D995" s="10" t="n"/>
      <c r="F995" s="9" t="n"/>
      <c r="H995" s="8" t="n"/>
    </row>
    <row r="996">
      <c r="D996" s="10" t="n"/>
      <c r="F996" s="9" t="n"/>
      <c r="H996" s="8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A1:AD1001"/>
  <sheetViews>
    <sheetView workbookViewId="0">
      <pane xSplit="1" ySplit="2" topLeftCell="B3" activePane="bottomRight" state="frozen"/>
      <selection pane="topRight" activeCell="A1" sqref="A1"/>
      <selection pane="bottomLeft" activeCell="A3" sqref="A3"/>
      <selection pane="bottomRight" activeCell="G16" sqref="G16"/>
    </sheetView>
  </sheetViews>
  <sheetFormatPr baseColWidth="8" defaultColWidth="14.42578125" defaultRowHeight="15" customHeight="1"/>
  <cols>
    <col width="11.42578125" customWidth="1" min="1" max="3"/>
    <col width="16.28515625" customWidth="1" min="4" max="4"/>
    <col width="15.28515625" customWidth="1" min="5" max="5"/>
    <col width="15.85546875" customWidth="1" min="6" max="7"/>
    <col width="11.42578125" customWidth="1" min="8" max="9"/>
    <col width="13.42578125" customWidth="1" min="10" max="10"/>
    <col width="11.42578125" customWidth="1" min="11" max="11"/>
    <col width="15.7109375" customWidth="1" min="12" max="12"/>
    <col width="11.42578125" customWidth="1" min="13" max="14"/>
    <col width="14.42578125" customWidth="1" min="15" max="15"/>
    <col width="15.42578125" customWidth="1" min="16" max="18"/>
    <col width="13.42578125" customWidth="1" min="19" max="19"/>
    <col width="11.42578125" customWidth="1" min="20" max="22"/>
    <col width="13.7109375" customWidth="1" min="23" max="25"/>
    <col width="11.42578125" customWidth="1" min="26" max="30"/>
  </cols>
  <sheetData>
    <row r="1" ht="32.25" customHeight="1">
      <c r="A1" s="99" t="inlineStr">
        <is>
          <t>MONTHS</t>
        </is>
      </c>
      <c r="B1" s="101" t="inlineStr">
        <is>
          <t>VARIABLE EXPENSE</t>
        </is>
      </c>
      <c r="C1" s="122" t="n"/>
      <c r="D1" s="101" t="inlineStr">
        <is>
          <t>FIXED EXPENSE</t>
        </is>
      </c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  <c r="R1" s="123" t="n"/>
      <c r="S1" s="123" t="n"/>
      <c r="T1" s="123" t="n"/>
      <c r="U1" s="123" t="n"/>
      <c r="V1" s="123" t="n"/>
      <c r="W1" s="123" t="n"/>
      <c r="X1" s="123" t="n"/>
      <c r="Y1" s="122" t="n"/>
      <c r="Z1" s="101" t="inlineStr">
        <is>
          <t>GROSS EXPENSE</t>
        </is>
      </c>
      <c r="AA1" s="101" t="inlineStr">
        <is>
          <t>GROSS VARIABLE EXPENSE</t>
        </is>
      </c>
      <c r="AB1" s="101" t="inlineStr">
        <is>
          <t>GROSS FIXED EXPENSE</t>
        </is>
      </c>
      <c r="AC1" s="101" t="inlineStr">
        <is>
          <t>WATER METER RENT</t>
        </is>
      </c>
      <c r="AD1" s="101" t="inlineStr">
        <is>
          <t>TOTAL EXPENSE</t>
        </is>
      </c>
    </row>
    <row r="2" ht="38.25" customHeight="1">
      <c r="A2" s="124" t="n"/>
      <c r="B2" s="39" t="inlineStr">
        <is>
          <t>DRINKING WATER
SLN WATER SUP</t>
        </is>
      </c>
      <c r="C2" s="39" t="inlineStr">
        <is>
          <t>STP SLUDGE CLEANING
BALAJI</t>
        </is>
      </c>
      <c r="D2" s="39" t="inlineStr">
        <is>
          <t>STP MAINTENANCE</t>
        </is>
      </c>
      <c r="E2" s="39" t="inlineStr">
        <is>
          <t>STP MATERIALS</t>
        </is>
      </c>
      <c r="F2" s="39" t="inlineStr">
        <is>
          <t>STP REPAIR</t>
        </is>
      </c>
      <c r="G2" s="39" t="inlineStr">
        <is>
          <t xml:space="preserve">COMMON 
ELECTRICITY BILL
</t>
        </is>
      </c>
      <c r="H2" s="39" t="inlineStr">
        <is>
          <t>BECOM Service tax</t>
        </is>
      </c>
      <c r="I2" s="39" t="inlineStr">
        <is>
          <t>SECURITY SERVICES</t>
        </is>
      </c>
      <c r="J2" s="39" t="inlineStr">
        <is>
          <t>GARBAGE REMOVAL</t>
        </is>
      </c>
      <c r="K2" s="39" t="inlineStr">
        <is>
          <t>PETTY CASH</t>
        </is>
      </c>
      <c r="L2" s="39" t="inlineStr">
        <is>
          <t>ELEVATOR MAINTENANCE</t>
        </is>
      </c>
      <c r="M2" s="39" t="inlineStr">
        <is>
          <t>MOTOR REPAIR</t>
        </is>
      </c>
      <c r="N2" s="39" t="inlineStr">
        <is>
          <t>PLUMBING MATERIAL</t>
        </is>
      </c>
      <c r="O2" s="39" t="inlineStr">
        <is>
          <t>ELECTRICITY MATERIAL</t>
        </is>
      </c>
      <c r="P2" s="39" t="inlineStr">
        <is>
          <t>ELECTRICITY MATERIAL</t>
        </is>
      </c>
      <c r="Q2" s="39" t="inlineStr">
        <is>
          <t>TRANSFORMER REPAIR</t>
        </is>
      </c>
      <c r="R2" s="39" t="inlineStr">
        <is>
          <t>GENERATOR MAINTENANCE
EPITOME</t>
        </is>
      </c>
      <c r="S2" s="39" t="inlineStr">
        <is>
          <t>GARDENING</t>
        </is>
      </c>
      <c r="T2" s="39" t="inlineStr">
        <is>
          <t>PLUMBER WAGE</t>
        </is>
      </c>
      <c r="U2" s="39" t="inlineStr">
        <is>
          <t>ELECTRICIAN WAGE</t>
        </is>
      </c>
      <c r="V2" s="39" t="inlineStr">
        <is>
          <t>MANAGER WAGE</t>
        </is>
      </c>
      <c r="W2" s="39" t="inlineStr">
        <is>
          <t>DRIED LEAVES REMOVAL</t>
        </is>
      </c>
      <c r="X2" s="39" t="inlineStr">
        <is>
          <t>ACCOUNTING</t>
        </is>
      </c>
      <c r="Y2" s="39" t="inlineStr">
        <is>
          <t>HOUSE KEEPING MATERIALS</t>
        </is>
      </c>
      <c r="Z2" s="124" t="n"/>
      <c r="AA2" s="124" t="n"/>
      <c r="AB2" s="124" t="n"/>
      <c r="AC2" s="124" t="n"/>
      <c r="AD2" s="124" t="n"/>
    </row>
    <row r="3" ht="30" customHeight="1">
      <c r="A3" s="74" t="inlineStr">
        <is>
          <t>APRIL 2026</t>
        </is>
      </c>
      <c r="B3" s="41" t="n">
        <v>0</v>
      </c>
      <c r="C3" s="41" t="n">
        <v>0</v>
      </c>
      <c r="D3" s="41" t="n">
        <v>0</v>
      </c>
      <c r="E3" s="41" t="n">
        <v>0</v>
      </c>
      <c r="F3" s="41" t="n"/>
      <c r="G3" s="41" t="n">
        <v>0</v>
      </c>
      <c r="H3" s="41" t="n"/>
      <c r="I3" s="41" t="n">
        <v>0</v>
      </c>
      <c r="J3" s="41" t="n">
        <v>0</v>
      </c>
      <c r="K3" s="41" t="n">
        <v>0</v>
      </c>
      <c r="L3" s="41" t="n"/>
      <c r="M3" s="41" t="n">
        <v>0</v>
      </c>
      <c r="N3" s="41" t="n">
        <v>0</v>
      </c>
      <c r="O3" s="41">
        <f>3290+4300</f>
        <v/>
      </c>
      <c r="P3" s="41" t="n"/>
      <c r="Q3" s="41" t="n"/>
      <c r="R3" s="41" t="n"/>
      <c r="S3" s="41" t="n">
        <v>0</v>
      </c>
      <c r="T3" s="41" t="n">
        <v>0</v>
      </c>
      <c r="U3" s="41" t="n">
        <v>0</v>
      </c>
      <c r="V3" s="41" t="n">
        <v>0</v>
      </c>
      <c r="W3" s="41" t="n"/>
      <c r="X3" s="41" t="n">
        <v>0</v>
      </c>
      <c r="Y3" s="41" t="n"/>
      <c r="Z3" s="41">
        <f>SUM(B3:Y3)</f>
        <v/>
      </c>
      <c r="AA3" s="41">
        <f>SUM(B3:C3)</f>
        <v/>
      </c>
      <c r="AB3" s="41">
        <f>Z3-AA3</f>
        <v/>
      </c>
      <c r="AC3" s="41" t="n">
        <v>0</v>
      </c>
      <c r="AD3" s="41">
        <f>Z3+AC3</f>
        <v/>
      </c>
    </row>
    <row r="4" ht="30" customHeight="1">
      <c r="A4" s="75" t="inlineStr">
        <is>
          <t>MAY 2026</t>
        </is>
      </c>
      <c r="B4" s="43" t="n">
        <v>0</v>
      </c>
      <c r="C4" s="43" t="n">
        <v>0</v>
      </c>
      <c r="D4" s="43" t="n">
        <v>0</v>
      </c>
      <c r="E4" s="43" t="n">
        <v>0</v>
      </c>
      <c r="F4" s="43" t="n"/>
      <c r="G4" s="43" t="n">
        <v>0</v>
      </c>
      <c r="H4" s="43" t="n"/>
      <c r="I4" s="43" t="n">
        <v>0</v>
      </c>
      <c r="J4" s="43" t="n">
        <v>0</v>
      </c>
      <c r="K4" s="43" t="n">
        <v>0</v>
      </c>
      <c r="L4" s="43" t="n"/>
      <c r="M4" s="43" t="n"/>
      <c r="N4" s="43" t="n">
        <v>0</v>
      </c>
      <c r="O4" s="43" t="n"/>
      <c r="P4" s="43" t="n"/>
      <c r="Q4" s="43" t="n"/>
      <c r="R4" s="43" t="n"/>
      <c r="S4" s="43" t="n">
        <v>0</v>
      </c>
      <c r="T4" s="43" t="n">
        <v>0</v>
      </c>
      <c r="U4" s="43" t="n">
        <v>0</v>
      </c>
      <c r="V4" s="43" t="n">
        <v>0</v>
      </c>
      <c r="W4" s="43" t="n"/>
      <c r="X4" s="43" t="n">
        <v>0</v>
      </c>
      <c r="Y4" s="43" t="n"/>
      <c r="Z4" s="43">
        <f>SUM(B4:Y4)</f>
        <v/>
      </c>
      <c r="AA4" s="43">
        <f>SUM(B4:C4)</f>
        <v/>
      </c>
      <c r="AB4" s="43">
        <f>Z4-AA4</f>
        <v/>
      </c>
      <c r="AC4" s="43" t="n">
        <v>0</v>
      </c>
      <c r="AD4" s="43">
        <f>Z4+AC4</f>
        <v/>
      </c>
    </row>
    <row r="5" ht="30" customHeight="1">
      <c r="A5" s="74" t="inlineStr">
        <is>
          <t>JUN 2026</t>
        </is>
      </c>
      <c r="B5" s="41" t="n">
        <v>0</v>
      </c>
      <c r="C5" s="41" t="n">
        <v>0</v>
      </c>
      <c r="D5" s="41" t="n">
        <v>0</v>
      </c>
      <c r="E5" s="41" t="n">
        <v>0</v>
      </c>
      <c r="F5" s="41" t="n"/>
      <c r="G5" s="41" t="n">
        <v>0</v>
      </c>
      <c r="H5" s="41" t="n"/>
      <c r="I5" s="41" t="n">
        <v>0</v>
      </c>
      <c r="J5" s="41" t="n">
        <v>0</v>
      </c>
      <c r="K5" s="41" t="n">
        <v>0</v>
      </c>
      <c r="L5" s="41" t="n"/>
      <c r="M5" s="41" t="n"/>
      <c r="N5" s="41" t="n"/>
      <c r="O5" s="41" t="n"/>
      <c r="P5" s="41" t="n"/>
      <c r="Q5" s="41" t="n"/>
      <c r="R5" s="41" t="n"/>
      <c r="S5" s="41" t="n">
        <v>0</v>
      </c>
      <c r="T5" s="41" t="n">
        <v>0</v>
      </c>
      <c r="U5" s="41" t="n">
        <v>0</v>
      </c>
      <c r="V5" s="41" t="n">
        <v>0</v>
      </c>
      <c r="W5" s="41" t="n">
        <v>0</v>
      </c>
      <c r="X5" s="41" t="n">
        <v>0</v>
      </c>
      <c r="Y5" s="41" t="n">
        <v>0</v>
      </c>
      <c r="Z5" s="41">
        <f>SUM(B5:Y5)</f>
        <v/>
      </c>
      <c r="AA5" s="41">
        <f>SUM(B5:C5)</f>
        <v/>
      </c>
      <c r="AB5" s="41">
        <f>Z5-AA5</f>
        <v/>
      </c>
      <c r="AC5" s="41" t="n">
        <v>0</v>
      </c>
      <c r="AD5" s="41">
        <f>Z5+AC5</f>
        <v/>
      </c>
    </row>
    <row r="6" ht="30" customHeight="1">
      <c r="A6" s="75" t="inlineStr">
        <is>
          <t>JUL 2026</t>
        </is>
      </c>
      <c r="B6" s="43" t="n">
        <v>0</v>
      </c>
      <c r="C6" s="43" t="n">
        <v>0</v>
      </c>
      <c r="D6" s="43" t="n">
        <v>0</v>
      </c>
      <c r="E6" s="43" t="n">
        <v>0</v>
      </c>
      <c r="F6" s="43" t="n"/>
      <c r="G6" s="43" t="n">
        <v>0</v>
      </c>
      <c r="H6" s="43" t="n"/>
      <c r="I6" s="43" t="n">
        <v>0</v>
      </c>
      <c r="J6" s="43" t="n">
        <v>0</v>
      </c>
      <c r="K6" s="43" t="n">
        <v>0</v>
      </c>
      <c r="L6" s="43" t="n">
        <v>0</v>
      </c>
      <c r="M6" s="43" t="n"/>
      <c r="N6" s="43" t="n"/>
      <c r="O6" s="43" t="n"/>
      <c r="P6" s="43" t="n"/>
      <c r="Q6" s="43" t="n"/>
      <c r="R6" s="43" t="n"/>
      <c r="S6" s="43" t="n">
        <v>0</v>
      </c>
      <c r="T6" s="43" t="n">
        <v>0</v>
      </c>
      <c r="U6" s="43" t="n">
        <v>0</v>
      </c>
      <c r="V6" s="43" t="n">
        <v>0</v>
      </c>
      <c r="W6" s="43" t="n">
        <v>0</v>
      </c>
      <c r="X6" s="43" t="n">
        <v>0</v>
      </c>
      <c r="Y6" s="43" t="n"/>
      <c r="Z6" s="43">
        <f>SUM(B6:Y6)</f>
        <v/>
      </c>
      <c r="AA6" s="43">
        <f>SUM(B6:C6)</f>
        <v/>
      </c>
      <c r="AB6" s="43">
        <f>Z6-AA6</f>
        <v/>
      </c>
      <c r="AC6" s="43" t="n">
        <v>0</v>
      </c>
      <c r="AD6" s="43">
        <f>Z6+AC6</f>
        <v/>
      </c>
    </row>
    <row r="7" ht="30" customHeight="1">
      <c r="A7" s="74" t="inlineStr">
        <is>
          <t>AUG 2026</t>
        </is>
      </c>
      <c r="B7" s="41" t="n">
        <v>0</v>
      </c>
      <c r="C7" s="41" t="n">
        <v>0</v>
      </c>
      <c r="D7" s="41" t="n">
        <v>0</v>
      </c>
      <c r="E7" s="41" t="n">
        <v>0</v>
      </c>
      <c r="F7" s="41" t="n"/>
      <c r="G7" s="41" t="n">
        <v>0</v>
      </c>
      <c r="H7" s="41" t="n"/>
      <c r="I7" s="41" t="n">
        <v>0</v>
      </c>
      <c r="J7" s="41" t="n">
        <v>0</v>
      </c>
      <c r="K7" s="41" t="n">
        <v>0</v>
      </c>
      <c r="L7" s="41" t="n"/>
      <c r="M7" s="41" t="n"/>
      <c r="N7" s="41" t="n"/>
      <c r="O7" s="41">
        <f>25000</f>
        <v/>
      </c>
      <c r="P7" s="41" t="n">
        <v>0</v>
      </c>
      <c r="Q7" s="41" t="n"/>
      <c r="R7" s="41" t="n"/>
      <c r="S7" s="41" t="n">
        <v>0</v>
      </c>
      <c r="T7" s="41" t="n">
        <v>0</v>
      </c>
      <c r="U7" s="41" t="n">
        <v>0</v>
      </c>
      <c r="V7" s="41" t="n">
        <v>0</v>
      </c>
      <c r="W7" s="41" t="n">
        <v>0</v>
      </c>
      <c r="X7" s="41" t="n">
        <v>0</v>
      </c>
      <c r="Y7" s="41" t="n"/>
      <c r="Z7" s="41">
        <f>SUM(B7:Y7)</f>
        <v/>
      </c>
      <c r="AA7" s="41">
        <f>SUM(B7:C7)</f>
        <v/>
      </c>
      <c r="AB7" s="41">
        <f>Z7-AA7</f>
        <v/>
      </c>
      <c r="AC7" s="41" t="n">
        <v>0</v>
      </c>
      <c r="AD7" s="41">
        <f>Z7+AC7</f>
        <v/>
      </c>
    </row>
    <row r="8" ht="30" customHeight="1">
      <c r="A8" s="75" t="inlineStr">
        <is>
          <t>SEP 2026</t>
        </is>
      </c>
      <c r="B8" s="43" t="n">
        <v>0</v>
      </c>
      <c r="C8" s="43" t="n">
        <v>0</v>
      </c>
      <c r="D8" s="43" t="n">
        <v>0</v>
      </c>
      <c r="E8" s="43" t="n">
        <v>0</v>
      </c>
      <c r="F8" s="43" t="n"/>
      <c r="G8" s="43" t="n">
        <v>0</v>
      </c>
      <c r="H8" s="43" t="n"/>
      <c r="I8" s="43" t="n">
        <v>0</v>
      </c>
      <c r="J8" s="43" t="n">
        <v>0</v>
      </c>
      <c r="K8" s="43" t="n">
        <v>0</v>
      </c>
      <c r="L8" s="43" t="n"/>
      <c r="M8" s="43" t="n"/>
      <c r="N8" s="43" t="n"/>
      <c r="O8" s="43" t="n">
        <v>0</v>
      </c>
      <c r="P8" s="43" t="n">
        <v>0</v>
      </c>
      <c r="Q8" s="43" t="n"/>
      <c r="R8" s="43" t="n"/>
      <c r="S8" s="43" t="n">
        <v>0</v>
      </c>
      <c r="T8" s="43" t="n">
        <v>0</v>
      </c>
      <c r="U8" s="43" t="n">
        <v>0</v>
      </c>
      <c r="V8" s="43" t="n">
        <v>0</v>
      </c>
      <c r="W8" s="43" t="n">
        <v>0</v>
      </c>
      <c r="X8" s="47" t="n"/>
      <c r="Y8" s="43" t="n"/>
      <c r="Z8" s="43">
        <f>SUM(B8:Y8)</f>
        <v/>
      </c>
      <c r="AA8" s="43">
        <f>SUM(B8:C8)</f>
        <v/>
      </c>
      <c r="AB8" s="43">
        <f>Z8-AA8</f>
        <v/>
      </c>
      <c r="AC8" s="43" t="n">
        <v>0</v>
      </c>
      <c r="AD8" s="43">
        <f>Z8+AC8</f>
        <v/>
      </c>
    </row>
    <row r="9" ht="30" customHeight="1">
      <c r="A9" s="74" t="inlineStr">
        <is>
          <t>OCT 2026</t>
        </is>
      </c>
      <c r="B9" s="41" t="n">
        <v>0</v>
      </c>
      <c r="C9" s="41" t="n">
        <v>0</v>
      </c>
      <c r="D9" s="41" t="n">
        <v>0</v>
      </c>
      <c r="E9" s="41" t="n">
        <v>0</v>
      </c>
      <c r="F9" s="41" t="n"/>
      <c r="G9" s="41" t="n">
        <v>0</v>
      </c>
      <c r="H9" s="41" t="n"/>
      <c r="I9" s="41" t="n">
        <v>0</v>
      </c>
      <c r="J9" s="41" t="n">
        <v>0</v>
      </c>
      <c r="K9" s="41" t="n">
        <v>0</v>
      </c>
      <c r="L9" s="41" t="n">
        <v>0</v>
      </c>
      <c r="M9" s="41" t="n">
        <v>0</v>
      </c>
      <c r="N9" s="41" t="n"/>
      <c r="O9" s="41" t="n"/>
      <c r="P9" s="41" t="n"/>
      <c r="Q9" s="41" t="n"/>
      <c r="R9" s="41" t="n"/>
      <c r="S9" s="41" t="n">
        <v>0</v>
      </c>
      <c r="T9" s="41" t="n">
        <v>0</v>
      </c>
      <c r="U9" s="41" t="n">
        <v>0</v>
      </c>
      <c r="V9" s="41" t="n">
        <v>0</v>
      </c>
      <c r="W9" s="41" t="n">
        <v>0</v>
      </c>
      <c r="X9" s="41" t="n">
        <v>0</v>
      </c>
      <c r="Y9" s="41">
        <f>4309+1367+3127</f>
        <v/>
      </c>
      <c r="Z9" s="41">
        <f>SUM(B9:Y9)</f>
        <v/>
      </c>
      <c r="AA9" s="41">
        <f>SUM(B9:C9)</f>
        <v/>
      </c>
      <c r="AB9" s="41">
        <f>Z9-AA9</f>
        <v/>
      </c>
      <c r="AC9" s="41" t="n">
        <v>0</v>
      </c>
      <c r="AD9" s="41">
        <f>Z9+AC9</f>
        <v/>
      </c>
    </row>
    <row r="10" ht="30" customHeight="1">
      <c r="A10" s="75" t="inlineStr">
        <is>
          <t>NOV 2026</t>
        </is>
      </c>
      <c r="B10" s="43" t="n">
        <v>0</v>
      </c>
      <c r="C10" s="43" t="n">
        <v>0</v>
      </c>
      <c r="D10" s="43" t="n">
        <v>0</v>
      </c>
      <c r="E10" s="43" t="n">
        <v>0</v>
      </c>
      <c r="F10" s="43" t="n"/>
      <c r="G10" s="43" t="n">
        <v>0</v>
      </c>
      <c r="H10" s="43" t="n"/>
      <c r="I10" s="43" t="n">
        <v>0</v>
      </c>
      <c r="J10" s="43" t="n">
        <v>0</v>
      </c>
      <c r="K10" s="43" t="n">
        <v>0</v>
      </c>
      <c r="L10" s="43" t="n">
        <v>0</v>
      </c>
      <c r="M10" s="43" t="n"/>
      <c r="N10" s="43" t="n"/>
      <c r="O10" s="43" t="n"/>
      <c r="P10" s="43" t="n"/>
      <c r="Q10" s="43" t="n"/>
      <c r="R10" s="43" t="n">
        <v>0</v>
      </c>
      <c r="S10" s="43" t="n">
        <v>0</v>
      </c>
      <c r="T10" s="43" t="n">
        <v>0</v>
      </c>
      <c r="U10" s="43" t="n">
        <v>0</v>
      </c>
      <c r="V10" s="43" t="n">
        <v>0</v>
      </c>
      <c r="W10" s="43" t="n">
        <v>0</v>
      </c>
      <c r="X10" s="43" t="n"/>
      <c r="Y10" s="43" t="n"/>
      <c r="Z10" s="43">
        <f>SUM(B10:Y10)</f>
        <v/>
      </c>
      <c r="AA10" s="43">
        <f>SUM(B10:C10)</f>
        <v/>
      </c>
      <c r="AB10" s="43">
        <f>Z10-AA10</f>
        <v/>
      </c>
      <c r="AC10" s="43" t="n">
        <v>0</v>
      </c>
      <c r="AD10" s="43">
        <f>Z10+AC10</f>
        <v/>
      </c>
    </row>
    <row r="11" ht="30" customHeight="1">
      <c r="A11" s="74" t="inlineStr">
        <is>
          <t>DEC 2026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/>
      <c r="G11" s="41" t="n">
        <v>0</v>
      </c>
      <c r="H11" s="41" t="n"/>
      <c r="I11" s="41" t="n">
        <v>0</v>
      </c>
      <c r="J11" s="41" t="n">
        <v>0</v>
      </c>
      <c r="K11" s="41" t="n">
        <v>0</v>
      </c>
      <c r="L11" s="41" t="n"/>
      <c r="M11" s="41" t="n"/>
      <c r="N11" s="41" t="n"/>
      <c r="O11" s="41" t="n"/>
      <c r="P11" s="41" t="n"/>
      <c r="Q11" s="41" t="n"/>
      <c r="R11" s="41" t="n">
        <v>0</v>
      </c>
      <c r="S11" s="41" t="n">
        <v>0</v>
      </c>
      <c r="T11" s="41" t="n">
        <v>0</v>
      </c>
      <c r="U11" s="41" t="n">
        <v>0</v>
      </c>
      <c r="V11" s="41" t="n">
        <v>0</v>
      </c>
      <c r="W11" s="41" t="n">
        <v>0</v>
      </c>
      <c r="X11" s="41" t="n">
        <v>0</v>
      </c>
      <c r="Y11" s="41" t="n"/>
      <c r="Z11" s="41">
        <f>SUM(B11:Y11)</f>
        <v/>
      </c>
      <c r="AA11" s="41">
        <f>SUM(B11:C11)</f>
        <v/>
      </c>
      <c r="AB11" s="41">
        <f>Z11-AA11</f>
        <v/>
      </c>
      <c r="AC11" s="41" t="n">
        <v>0</v>
      </c>
      <c r="AD11" s="41">
        <f>Z11+AC11</f>
        <v/>
      </c>
    </row>
    <row r="12" ht="30" customHeight="1">
      <c r="A12" s="75" t="inlineStr">
        <is>
          <t>JAN 2027</t>
        </is>
      </c>
      <c r="B12" s="43" t="n">
        <v>0</v>
      </c>
      <c r="C12" s="43" t="n">
        <v>0</v>
      </c>
      <c r="D12" s="43" t="n">
        <v>0</v>
      </c>
      <c r="E12" s="43" t="n">
        <v>0</v>
      </c>
      <c r="F12" s="43" t="n"/>
      <c r="G12" s="43" t="n">
        <v>0</v>
      </c>
      <c r="H12" s="43" t="n"/>
      <c r="I12" s="43" t="n">
        <v>0</v>
      </c>
      <c r="J12" s="43" t="n">
        <v>0</v>
      </c>
      <c r="K12" s="43" t="n">
        <v>0</v>
      </c>
      <c r="L12" s="43" t="n"/>
      <c r="M12" s="43" t="n"/>
      <c r="N12" s="43" t="n"/>
      <c r="O12" s="43" t="n"/>
      <c r="P12" s="43" t="n"/>
      <c r="Q12" s="43" t="n"/>
      <c r="R12" s="43" t="n"/>
      <c r="S12" s="43" t="n">
        <v>0</v>
      </c>
      <c r="T12" s="43" t="n">
        <v>0</v>
      </c>
      <c r="U12" s="43" t="n">
        <v>0</v>
      </c>
      <c r="V12" s="43" t="n">
        <v>0</v>
      </c>
      <c r="W12" s="43">
        <f>3300+8500</f>
        <v/>
      </c>
      <c r="X12" s="43" t="n">
        <v>0</v>
      </c>
      <c r="Y12" s="43">
        <f>3198+3127</f>
        <v/>
      </c>
      <c r="Z12" s="43">
        <f>SUM(B12:Y12)</f>
        <v/>
      </c>
      <c r="AA12" s="43">
        <f>SUM(B12:C12)</f>
        <v/>
      </c>
      <c r="AB12" s="43">
        <f>Z12-AA12</f>
        <v/>
      </c>
      <c r="AC12" s="43" t="n">
        <v>0</v>
      </c>
      <c r="AD12" s="43">
        <f>Z12+AC12</f>
        <v/>
      </c>
    </row>
    <row r="13" ht="30" customHeight="1">
      <c r="A13" s="74" t="inlineStr">
        <is>
          <t>FEB 2027</t>
        </is>
      </c>
      <c r="B13" s="41" t="n">
        <v>0</v>
      </c>
      <c r="C13" s="41" t="n">
        <v>0</v>
      </c>
      <c r="D13" s="41" t="n">
        <v>0</v>
      </c>
      <c r="E13" s="41" t="n">
        <v>0</v>
      </c>
      <c r="F13" s="41" t="n"/>
      <c r="G13" s="41" t="n">
        <v>0</v>
      </c>
      <c r="H13" s="41" t="n"/>
      <c r="I13" s="41" t="n">
        <v>0</v>
      </c>
      <c r="J13" s="41" t="n">
        <v>0</v>
      </c>
      <c r="K13" s="41" t="n">
        <v>0</v>
      </c>
      <c r="L13" s="41" t="n"/>
      <c r="M13" s="41" t="n"/>
      <c r="N13" s="41" t="n"/>
      <c r="O13" s="41" t="n"/>
      <c r="P13" s="41" t="n"/>
      <c r="Q13" s="41" t="n"/>
      <c r="R13" s="41" t="n"/>
      <c r="S13" s="41" t="n">
        <v>0</v>
      </c>
      <c r="T13" s="41" t="n">
        <v>0</v>
      </c>
      <c r="U13" s="41" t="n">
        <v>0</v>
      </c>
      <c r="V13" s="41" t="n">
        <v>0</v>
      </c>
      <c r="W13" s="41" t="n">
        <v>0</v>
      </c>
      <c r="X13" s="41" t="n">
        <v>0</v>
      </c>
      <c r="Y13" s="41" t="n"/>
      <c r="Z13" s="41">
        <f>SUM(B13:Y13)</f>
        <v/>
      </c>
      <c r="AA13" s="41">
        <f>SUM(B13:C13)</f>
        <v/>
      </c>
      <c r="AB13" s="41">
        <f>Z13-AA13</f>
        <v/>
      </c>
      <c r="AC13" s="41" t="n">
        <v>0</v>
      </c>
      <c r="AD13" s="41">
        <f>Z13+AC13</f>
        <v/>
      </c>
    </row>
    <row r="14" ht="30" customHeight="1">
      <c r="A14" s="75" t="inlineStr">
        <is>
          <t>MAR 2027</t>
        </is>
      </c>
      <c r="B14" s="43" t="n">
        <v>0</v>
      </c>
      <c r="C14" s="43" t="n">
        <v>0</v>
      </c>
      <c r="D14" s="43" t="n">
        <v>0</v>
      </c>
      <c r="E14" s="43" t="n">
        <v>0</v>
      </c>
      <c r="F14" s="43" t="n"/>
      <c r="G14" s="43" t="n">
        <v>0</v>
      </c>
      <c r="H14" s="43" t="n"/>
      <c r="I14" s="43" t="n">
        <v>0</v>
      </c>
      <c r="J14" s="43" t="n">
        <v>0</v>
      </c>
      <c r="K14" s="43" t="n">
        <v>0</v>
      </c>
      <c r="L14" s="43" t="n"/>
      <c r="M14" s="43" t="n"/>
      <c r="N14" s="43" t="n"/>
      <c r="O14" s="43" t="n"/>
      <c r="P14" s="43" t="n"/>
      <c r="Q14" s="43" t="n"/>
      <c r="R14" s="43" t="n"/>
      <c r="S14" s="43" t="n">
        <v>0</v>
      </c>
      <c r="T14" s="43" t="n">
        <v>0</v>
      </c>
      <c r="U14" s="43" t="n">
        <v>0</v>
      </c>
      <c r="V14" s="43" t="n">
        <v>0</v>
      </c>
      <c r="W14" s="43" t="n">
        <v>0</v>
      </c>
      <c r="X14" s="43" t="n">
        <v>0</v>
      </c>
      <c r="Y14" s="43">
        <f>4575+3198</f>
        <v/>
      </c>
      <c r="Z14" s="43">
        <f>SUM(B14:Y14)</f>
        <v/>
      </c>
      <c r="AA14" s="43">
        <f>SUM(B14:C14)</f>
        <v/>
      </c>
      <c r="AB14" s="43">
        <f>Z14-AA14</f>
        <v/>
      </c>
      <c r="AC14" s="43" t="n">
        <v>0</v>
      </c>
      <c r="AD14" s="43">
        <f>Z14+AC14</f>
        <v/>
      </c>
    </row>
    <row r="15" ht="30" customHeight="1">
      <c r="A15" s="76" t="inlineStr">
        <is>
          <t>TOTAL</t>
        </is>
      </c>
      <c r="B15" s="45">
        <f>SUM(B3:B14)</f>
        <v/>
      </c>
      <c r="C15" s="45">
        <f>SUM(C3:C14)</f>
        <v/>
      </c>
      <c r="D15" s="45">
        <f>SUM(D3:D14)</f>
        <v/>
      </c>
      <c r="E15" s="45">
        <f>SUM(E3:E14)</f>
        <v/>
      </c>
      <c r="F15" s="45" t="n"/>
      <c r="G15" s="45">
        <f>SUM(G3:G14)</f>
        <v/>
      </c>
      <c r="H15" s="45" t="n"/>
      <c r="I15" s="45">
        <f>SUM(I3:I14)</f>
        <v/>
      </c>
      <c r="J15" s="45">
        <f>SUM(J3:J14)</f>
        <v/>
      </c>
      <c r="K15" s="45">
        <f>SUM(K3:K14)</f>
        <v/>
      </c>
      <c r="L15" s="45">
        <f>SUM(L3:L14)</f>
        <v/>
      </c>
      <c r="M15" s="45" t="n"/>
      <c r="N15" s="45">
        <f>SUM(N3:N14)</f>
        <v/>
      </c>
      <c r="O15" s="45">
        <f>SUM(O3:O14)</f>
        <v/>
      </c>
      <c r="P15" s="45" t="n"/>
      <c r="Q15" s="45">
        <f>SUM(Q3:Q14)</f>
        <v/>
      </c>
      <c r="R15" s="45">
        <f>SUM(R3:R14)</f>
        <v/>
      </c>
      <c r="S15" s="45">
        <f>SUM(S3:S14)</f>
        <v/>
      </c>
      <c r="T15" s="45">
        <f>SUM(T3:T14)</f>
        <v/>
      </c>
      <c r="U15" s="45">
        <f>SUM(U3:U14)</f>
        <v/>
      </c>
      <c r="V15" s="45">
        <f>SUM(V3:V14)</f>
        <v/>
      </c>
      <c r="W15" s="45">
        <f>SUM(W3:W14)</f>
        <v/>
      </c>
      <c r="X15" s="45" t="n"/>
      <c r="Y15" s="45">
        <f>SUM(Y3:Y14)</f>
        <v/>
      </c>
      <c r="Z15" s="45">
        <f>SUM(B15:Y15)</f>
        <v/>
      </c>
      <c r="AA15" s="45">
        <f>SUM(AA3:AA14)</f>
        <v/>
      </c>
      <c r="AB15" s="45">
        <f>SUM(AB3:AB14)</f>
        <v/>
      </c>
      <c r="AC15" s="45">
        <f>SUM(AC3:AC14)</f>
        <v/>
      </c>
      <c r="AD15" s="45">
        <f>SUM(AD3:AD14)</f>
        <v/>
      </c>
    </row>
    <row r="16" ht="30" customHeight="1">
      <c r="A16" s="15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14" t="n"/>
      <c r="AB16" s="14" t="n"/>
      <c r="AC16" s="14" t="n"/>
      <c r="AD16" s="14" t="n"/>
    </row>
    <row r="17" ht="30" customHeight="1">
      <c r="A17" s="15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  <c r="AA17" s="14" t="n"/>
      <c r="AB17" s="14" t="n"/>
      <c r="AC17" s="14" t="n"/>
      <c r="AD17" s="14" t="n"/>
    </row>
    <row r="18" ht="30" customHeight="1">
      <c r="A18" s="15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4" t="n"/>
      <c r="AB18" s="14" t="n"/>
      <c r="AC18" s="14" t="n"/>
      <c r="AD18" s="14" t="n"/>
    </row>
    <row r="19" ht="30" customHeight="1">
      <c r="A19" s="15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  <c r="AB19" s="14" t="n"/>
      <c r="AC19" s="14" t="n"/>
      <c r="AD19" s="14" t="n"/>
    </row>
    <row r="20" ht="30" customHeight="1">
      <c r="A20" s="15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</row>
    <row r="21" ht="30" customHeight="1">
      <c r="A21" s="15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  <c r="AB21" s="14" t="n"/>
      <c r="AC21" s="14" t="n"/>
      <c r="AD21" s="14" t="n"/>
    </row>
    <row r="22" ht="30" customHeight="1">
      <c r="A22" s="15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</row>
    <row r="23" ht="30" customHeight="1">
      <c r="A23" s="15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</row>
    <row r="24" ht="30" customHeight="1">
      <c r="A24" s="15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4" t="n"/>
      <c r="AB24" s="14" t="n"/>
      <c r="AC24" s="14" t="n"/>
      <c r="AD24" s="14" t="n"/>
    </row>
    <row r="25" ht="30" customHeight="1">
      <c r="A25" s="15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</row>
    <row r="26" ht="30" customHeight="1">
      <c r="A26" s="15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  <c r="AB26" s="14" t="n"/>
      <c r="AC26" s="14" t="n"/>
      <c r="AD26" s="14" t="n"/>
    </row>
    <row r="27" ht="30" customHeight="1">
      <c r="A27" s="15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</row>
    <row r="28" ht="30" customHeight="1">
      <c r="A28" s="15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  <c r="AB28" s="14" t="n"/>
      <c r="AC28" s="14" t="n"/>
      <c r="AD28" s="14" t="n"/>
    </row>
    <row r="29" ht="30" customHeight="1">
      <c r="A29" s="15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</row>
    <row r="30" ht="30" customHeight="1">
      <c r="A30" s="15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</row>
    <row r="31" ht="30" customHeight="1">
      <c r="A31" s="15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4" t="n"/>
      <c r="AB31" s="14" t="n"/>
      <c r="AC31" s="14" t="n"/>
      <c r="AD31" s="14" t="n"/>
    </row>
    <row r="32" ht="30" customHeight="1">
      <c r="A32" s="15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</row>
    <row r="33" ht="30" customHeight="1">
      <c r="A33" s="15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  <c r="AB33" s="14" t="n"/>
      <c r="AC33" s="14" t="n"/>
      <c r="AD33" s="14" t="n"/>
    </row>
    <row r="34" ht="30" customHeight="1">
      <c r="A34" s="15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</row>
    <row r="35" ht="30" customHeight="1">
      <c r="A35" s="15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  <c r="AA35" s="14" t="n"/>
      <c r="AB35" s="14" t="n"/>
      <c r="AC35" s="14" t="n"/>
      <c r="AD35" s="14" t="n"/>
    </row>
    <row r="36" ht="30" customHeight="1">
      <c r="A36" s="15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  <c r="AA36" s="14" t="n"/>
      <c r="AB36" s="14" t="n"/>
      <c r="AC36" s="14" t="n"/>
      <c r="AD36" s="14" t="n"/>
    </row>
    <row r="37" ht="30" customHeight="1">
      <c r="A37" s="15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</row>
    <row r="38" ht="30" customHeight="1">
      <c r="A38" s="15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</row>
    <row r="39" ht="30" customHeight="1">
      <c r="A39" s="15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  <c r="AA39" s="14" t="n"/>
      <c r="AB39" s="14" t="n"/>
      <c r="AC39" s="14" t="n"/>
      <c r="AD39" s="14" t="n"/>
    </row>
    <row r="40" ht="30" customHeight="1">
      <c r="A40" s="15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  <c r="AA40" s="14" t="n"/>
      <c r="AB40" s="14" t="n"/>
      <c r="AC40" s="14" t="n"/>
      <c r="AD40" s="14" t="n"/>
    </row>
    <row r="41" ht="30" customHeight="1">
      <c r="A41" s="15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  <c r="AA41" s="14" t="n"/>
      <c r="AB41" s="14" t="n"/>
      <c r="AC41" s="14" t="n"/>
      <c r="AD41" s="14" t="n"/>
    </row>
    <row r="42" ht="30" customHeight="1">
      <c r="A42" s="15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  <c r="AA42" s="14" t="n"/>
      <c r="AB42" s="14" t="n"/>
      <c r="AC42" s="14" t="n"/>
      <c r="AD42" s="14" t="n"/>
    </row>
    <row r="43" ht="30" customHeight="1">
      <c r="A43" s="15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  <c r="AA43" s="14" t="n"/>
      <c r="AB43" s="14" t="n"/>
      <c r="AC43" s="14" t="n"/>
      <c r="AD43" s="14" t="n"/>
    </row>
    <row r="44" ht="30" customHeight="1">
      <c r="A44" s="15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</row>
    <row r="45" ht="30" customHeight="1">
      <c r="A45" s="15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</row>
    <row r="46" ht="30" customHeight="1">
      <c r="A46" s="15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  <c r="AB46" s="14" t="n"/>
      <c r="AC46" s="14" t="n"/>
      <c r="AD46" s="14" t="n"/>
    </row>
    <row r="47" ht="30" customHeight="1">
      <c r="A47" s="15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  <c r="AA47" s="14" t="n"/>
      <c r="AB47" s="14" t="n"/>
      <c r="AC47" s="14" t="n"/>
      <c r="AD47" s="14" t="n"/>
    </row>
    <row r="48" ht="30" customHeight="1">
      <c r="A48" s="15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  <c r="AA48" s="14" t="n"/>
      <c r="AB48" s="14" t="n"/>
      <c r="AC48" s="14" t="n"/>
      <c r="AD48" s="14" t="n"/>
    </row>
    <row r="49" ht="30" customHeight="1">
      <c r="A49" s="15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  <c r="AA49" s="14" t="n"/>
      <c r="AB49" s="14" t="n"/>
      <c r="AC49" s="14" t="n"/>
      <c r="AD49" s="14" t="n"/>
    </row>
    <row r="50" ht="30" customHeight="1">
      <c r="A50" s="15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  <c r="AA50" s="14" t="n"/>
      <c r="AB50" s="14" t="n"/>
      <c r="AC50" s="14" t="n"/>
      <c r="AD50" s="14" t="n"/>
    </row>
    <row r="51" ht="30" customHeight="1">
      <c r="A51" s="15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  <c r="AA51" s="14" t="n"/>
      <c r="AB51" s="14" t="n"/>
      <c r="AC51" s="14" t="n"/>
      <c r="AD51" s="14" t="n"/>
    </row>
    <row r="52" ht="30" customHeight="1">
      <c r="A52" s="15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  <c r="AA52" s="14" t="n"/>
      <c r="AB52" s="14" t="n"/>
      <c r="AC52" s="14" t="n"/>
      <c r="AD52" s="14" t="n"/>
    </row>
    <row r="53" ht="30" customHeight="1">
      <c r="A53" s="15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  <c r="AA53" s="14" t="n"/>
      <c r="AB53" s="14" t="n"/>
      <c r="AC53" s="14" t="n"/>
      <c r="AD53" s="14" t="n"/>
    </row>
    <row r="54" ht="30" customHeight="1">
      <c r="A54" s="15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  <c r="AA54" s="14" t="n"/>
      <c r="AB54" s="14" t="n"/>
      <c r="AC54" s="14" t="n"/>
      <c r="AD54" s="14" t="n"/>
    </row>
    <row r="55" ht="30" customHeight="1">
      <c r="A55" s="15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  <c r="AB55" s="14" t="n"/>
      <c r="AC55" s="14" t="n"/>
      <c r="AD55" s="14" t="n"/>
    </row>
    <row r="56" ht="30" customHeight="1">
      <c r="A56" s="15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  <c r="AA56" s="14" t="n"/>
      <c r="AB56" s="14" t="n"/>
      <c r="AC56" s="14" t="n"/>
      <c r="AD56" s="14" t="n"/>
    </row>
    <row r="57" ht="30" customHeight="1">
      <c r="A57" s="15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  <c r="AA57" s="14" t="n"/>
      <c r="AB57" s="14" t="n"/>
      <c r="AC57" s="14" t="n"/>
      <c r="AD57" s="14" t="n"/>
    </row>
    <row r="58" ht="30" customHeight="1">
      <c r="A58" s="15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  <c r="AA58" s="14" t="n"/>
      <c r="AB58" s="14" t="n"/>
      <c r="AC58" s="14" t="n"/>
      <c r="AD58" s="14" t="n"/>
    </row>
    <row r="59" ht="30" customHeight="1">
      <c r="A59" s="15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  <c r="AA59" s="14" t="n"/>
      <c r="AB59" s="14" t="n"/>
      <c r="AC59" s="14" t="n"/>
      <c r="AD59" s="14" t="n"/>
    </row>
    <row r="60" ht="30" customHeight="1">
      <c r="A60" s="15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  <c r="AA60" s="14" t="n"/>
      <c r="AB60" s="14" t="n"/>
      <c r="AC60" s="14" t="n"/>
      <c r="AD60" s="14" t="n"/>
    </row>
    <row r="61" ht="30" customHeight="1">
      <c r="A61" s="15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  <c r="AA61" s="14" t="n"/>
      <c r="AB61" s="14" t="n"/>
      <c r="AC61" s="14" t="n"/>
      <c r="AD61" s="14" t="n"/>
    </row>
    <row r="62" ht="30" customHeight="1">
      <c r="A62" s="15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  <c r="AA62" s="14" t="n"/>
      <c r="AB62" s="14" t="n"/>
      <c r="AC62" s="14" t="n"/>
      <c r="AD62" s="14" t="n"/>
    </row>
    <row r="63" ht="30" customHeight="1">
      <c r="A63" s="15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  <c r="AA63" s="14" t="n"/>
      <c r="AB63" s="14" t="n"/>
      <c r="AC63" s="14" t="n"/>
      <c r="AD63" s="14" t="n"/>
    </row>
    <row r="64" ht="30" customHeight="1">
      <c r="A64" s="15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  <c r="AA64" s="14" t="n"/>
      <c r="AB64" s="14" t="n"/>
      <c r="AC64" s="14" t="n"/>
      <c r="AD64" s="14" t="n"/>
    </row>
    <row r="65" ht="30" customHeight="1">
      <c r="A65" s="15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  <c r="AA65" s="14" t="n"/>
      <c r="AB65" s="14" t="n"/>
      <c r="AC65" s="14" t="n"/>
      <c r="AD65" s="14" t="n"/>
    </row>
    <row r="66" ht="30" customHeight="1">
      <c r="A66" s="15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  <c r="AA66" s="14" t="n"/>
      <c r="AB66" s="14" t="n"/>
      <c r="AC66" s="14" t="n"/>
      <c r="AD66" s="14" t="n"/>
    </row>
    <row r="67" ht="30" customHeight="1">
      <c r="A67" s="15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  <c r="AA67" s="14" t="n"/>
      <c r="AB67" s="14" t="n"/>
      <c r="AC67" s="14" t="n"/>
      <c r="AD67" s="14" t="n"/>
    </row>
    <row r="68" ht="30" customHeight="1">
      <c r="A68" s="15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  <c r="AB68" s="14" t="n"/>
      <c r="AC68" s="14" t="n"/>
      <c r="AD68" s="14" t="n"/>
    </row>
    <row r="69" ht="30" customHeight="1">
      <c r="A69" s="15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  <c r="AA69" s="14" t="n"/>
      <c r="AB69" s="14" t="n"/>
      <c r="AC69" s="14" t="n"/>
      <c r="AD69" s="14" t="n"/>
    </row>
    <row r="70" ht="30" customHeight="1">
      <c r="A70" s="15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  <c r="AA70" s="14" t="n"/>
      <c r="AB70" s="14" t="n"/>
      <c r="AC70" s="14" t="n"/>
      <c r="AD70" s="14" t="n"/>
    </row>
    <row r="71" ht="30" customHeight="1">
      <c r="A71" s="15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  <c r="AB71" s="14" t="n"/>
      <c r="AC71" s="14" t="n"/>
      <c r="AD71" s="14" t="n"/>
    </row>
    <row r="72" ht="30" customHeight="1">
      <c r="A72" s="15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  <c r="AA72" s="14" t="n"/>
      <c r="AB72" s="14" t="n"/>
      <c r="AC72" s="14" t="n"/>
      <c r="AD72" s="14" t="n"/>
    </row>
    <row r="73" ht="30" customHeight="1">
      <c r="A73" s="15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  <c r="AA73" s="14" t="n"/>
      <c r="AB73" s="14" t="n"/>
      <c r="AC73" s="14" t="n"/>
      <c r="AD73" s="14" t="n"/>
    </row>
    <row r="74" ht="30" customHeight="1">
      <c r="A74" s="15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  <c r="AA74" s="14" t="n"/>
      <c r="AB74" s="14" t="n"/>
      <c r="AC74" s="14" t="n"/>
      <c r="AD74" s="14" t="n"/>
    </row>
    <row r="75" ht="30" customHeight="1">
      <c r="A75" s="15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  <c r="AA75" s="14" t="n"/>
      <c r="AB75" s="14" t="n"/>
      <c r="AC75" s="14" t="n"/>
      <c r="AD75" s="14" t="n"/>
    </row>
    <row r="76" ht="30" customHeight="1">
      <c r="A76" s="15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  <c r="AA76" s="14" t="n"/>
      <c r="AB76" s="14" t="n"/>
      <c r="AC76" s="14" t="n"/>
      <c r="AD76" s="14" t="n"/>
    </row>
    <row r="77" ht="30" customHeight="1">
      <c r="A77" s="15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  <c r="AA77" s="14" t="n"/>
      <c r="AB77" s="14" t="n"/>
      <c r="AC77" s="14" t="n"/>
      <c r="AD77" s="14" t="n"/>
    </row>
    <row r="78" ht="30" customHeight="1">
      <c r="A78" s="15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  <c r="AA78" s="14" t="n"/>
      <c r="AB78" s="14" t="n"/>
      <c r="AC78" s="14" t="n"/>
      <c r="AD78" s="14" t="n"/>
    </row>
    <row r="79" ht="30" customHeight="1">
      <c r="A79" s="15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  <c r="AA79" s="14" t="n"/>
      <c r="AB79" s="14" t="n"/>
      <c r="AC79" s="14" t="n"/>
      <c r="AD79" s="14" t="n"/>
    </row>
    <row r="80" ht="30" customHeight="1">
      <c r="A80" s="15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  <c r="AA80" s="14" t="n"/>
      <c r="AB80" s="14" t="n"/>
      <c r="AC80" s="14" t="n"/>
      <c r="AD80" s="14" t="n"/>
    </row>
    <row r="81" ht="30" customHeight="1">
      <c r="A81" s="15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  <c r="AA81" s="14" t="n"/>
      <c r="AB81" s="14" t="n"/>
      <c r="AC81" s="14" t="n"/>
      <c r="AD81" s="14" t="n"/>
    </row>
    <row r="82" ht="30" customHeight="1">
      <c r="A82" s="15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  <c r="AA82" s="14" t="n"/>
      <c r="AB82" s="14" t="n"/>
      <c r="AC82" s="14" t="n"/>
      <c r="AD82" s="14" t="n"/>
    </row>
    <row r="83" ht="30" customHeight="1">
      <c r="A83" s="15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  <c r="AB83" s="14" t="n"/>
      <c r="AC83" s="14" t="n"/>
      <c r="AD83" s="14" t="n"/>
    </row>
    <row r="84" ht="30" customHeight="1">
      <c r="A84" s="15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  <c r="AA84" s="14" t="n"/>
      <c r="AB84" s="14" t="n"/>
      <c r="AC84" s="14" t="n"/>
      <c r="AD84" s="14" t="n"/>
    </row>
    <row r="85" ht="30" customHeight="1">
      <c r="A85" s="15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  <c r="AB85" s="14" t="n"/>
      <c r="AC85" s="14" t="n"/>
      <c r="AD85" s="14" t="n"/>
    </row>
    <row r="86" ht="30" customHeight="1">
      <c r="A86" s="15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  <c r="AA86" s="14" t="n"/>
      <c r="AB86" s="14" t="n"/>
      <c r="AC86" s="14" t="n"/>
      <c r="AD86" s="14" t="n"/>
    </row>
    <row r="87" ht="30" customHeight="1">
      <c r="A87" s="15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  <c r="AA87" s="14" t="n"/>
      <c r="AB87" s="14" t="n"/>
      <c r="AC87" s="14" t="n"/>
      <c r="AD87" s="14" t="n"/>
    </row>
    <row r="88" ht="30" customHeight="1">
      <c r="A88" s="15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  <c r="AA88" s="14" t="n"/>
      <c r="AB88" s="14" t="n"/>
      <c r="AC88" s="14" t="n"/>
      <c r="AD88" s="14" t="n"/>
    </row>
    <row r="89" ht="30" customHeight="1">
      <c r="A89" s="15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  <c r="AB89" s="14" t="n"/>
      <c r="AC89" s="14" t="n"/>
      <c r="AD89" s="14" t="n"/>
    </row>
    <row r="90" ht="30" customHeight="1">
      <c r="A90" s="15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  <c r="AA90" s="14" t="n"/>
      <c r="AB90" s="14" t="n"/>
      <c r="AC90" s="14" t="n"/>
      <c r="AD90" s="14" t="n"/>
    </row>
    <row r="91" ht="30" customHeight="1">
      <c r="A91" s="15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  <c r="AB91" s="14" t="n"/>
      <c r="AC91" s="14" t="n"/>
      <c r="AD91" s="14" t="n"/>
    </row>
    <row r="92" ht="30" customHeight="1">
      <c r="A92" s="15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  <c r="AB92" s="14" t="n"/>
      <c r="AC92" s="14" t="n"/>
      <c r="AD92" s="14" t="n"/>
    </row>
    <row r="93" ht="30" customHeight="1">
      <c r="A93" s="15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</row>
    <row r="94" ht="30" customHeight="1">
      <c r="A94" s="15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  <c r="AB94" s="14" t="n"/>
      <c r="AC94" s="14" t="n"/>
      <c r="AD94" s="14" t="n"/>
    </row>
    <row r="95" ht="30" customHeight="1">
      <c r="A95" s="15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</row>
    <row r="96" ht="30" customHeight="1">
      <c r="A96" s="15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  <c r="AB96" s="14" t="n"/>
      <c r="AC96" s="14" t="n"/>
      <c r="AD96" s="14" t="n"/>
    </row>
    <row r="97" ht="30" customHeight="1">
      <c r="A97" s="15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</row>
    <row r="98" ht="30" customHeight="1">
      <c r="A98" s="15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  <c r="AB98" s="14" t="n"/>
      <c r="AC98" s="14" t="n"/>
      <c r="AD98" s="14" t="n"/>
    </row>
    <row r="99" ht="30" customHeight="1">
      <c r="A99" s="15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</row>
    <row r="100" ht="30" customHeight="1">
      <c r="A100" s="15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  <c r="AB100" s="14" t="n"/>
      <c r="AC100" s="14" t="n"/>
      <c r="AD100" s="14" t="n"/>
    </row>
    <row r="101" ht="30" customHeight="1">
      <c r="A101" s="15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</row>
    <row r="102" ht="30" customHeight="1">
      <c r="A102" s="15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  <c r="AB102" s="14" t="n"/>
      <c r="AC102" s="14" t="n"/>
      <c r="AD102" s="14" t="n"/>
    </row>
    <row r="103" ht="30" customHeight="1">
      <c r="A103" s="15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  <c r="AB103" s="14" t="n"/>
      <c r="AC103" s="14" t="n"/>
      <c r="AD103" s="14" t="n"/>
    </row>
    <row r="104" ht="30" customHeight="1">
      <c r="A104" s="15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  <c r="AB104" s="14" t="n"/>
      <c r="AC104" s="14" t="n"/>
      <c r="AD104" s="14" t="n"/>
    </row>
    <row r="105" ht="30" customHeight="1">
      <c r="A105" s="15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</row>
    <row r="106" ht="30" customHeight="1">
      <c r="A106" s="15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  <c r="AB106" s="14" t="n"/>
      <c r="AC106" s="14" t="n"/>
      <c r="AD106" s="14" t="n"/>
    </row>
    <row r="107" ht="30" customHeight="1">
      <c r="A107" s="15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  <c r="AA107" s="14" t="n"/>
      <c r="AB107" s="14" t="n"/>
      <c r="AC107" s="14" t="n"/>
      <c r="AD107" s="14" t="n"/>
    </row>
    <row r="108" ht="30" customHeight="1">
      <c r="A108" s="15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  <c r="AA108" s="14" t="n"/>
      <c r="AB108" s="14" t="n"/>
      <c r="AC108" s="14" t="n"/>
      <c r="AD108" s="14" t="n"/>
    </row>
    <row r="109" ht="30" customHeight="1">
      <c r="A109" s="15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  <c r="AA109" s="14" t="n"/>
      <c r="AB109" s="14" t="n"/>
      <c r="AC109" s="14" t="n"/>
      <c r="AD109" s="14" t="n"/>
    </row>
    <row r="110" ht="30" customHeight="1">
      <c r="A110" s="15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  <c r="AA110" s="14" t="n"/>
      <c r="AB110" s="14" t="n"/>
      <c r="AC110" s="14" t="n"/>
      <c r="AD110" s="14" t="n"/>
    </row>
    <row r="111" ht="30" customHeight="1">
      <c r="A111" s="15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  <c r="AA111" s="14" t="n"/>
      <c r="AB111" s="14" t="n"/>
      <c r="AC111" s="14" t="n"/>
      <c r="AD111" s="14" t="n"/>
    </row>
    <row r="112" ht="30" customHeight="1">
      <c r="A112" s="15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</row>
    <row r="113" ht="30" customHeight="1">
      <c r="A113" s="15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  <c r="AB113" s="14" t="n"/>
      <c r="AC113" s="14" t="n"/>
      <c r="AD113" s="14" t="n"/>
    </row>
    <row r="114" ht="30" customHeight="1">
      <c r="A114" s="15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  <c r="AB114" s="14" t="n"/>
      <c r="AC114" s="14" t="n"/>
      <c r="AD114" s="14" t="n"/>
    </row>
    <row r="115" ht="30" customHeight="1">
      <c r="A115" s="15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  <c r="AB115" s="14" t="n"/>
      <c r="AC115" s="14" t="n"/>
      <c r="AD115" s="14" t="n"/>
    </row>
    <row r="116" ht="30" customHeight="1">
      <c r="A116" s="15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  <c r="AB116" s="14" t="n"/>
      <c r="AC116" s="14" t="n"/>
      <c r="AD116" s="14" t="n"/>
    </row>
    <row r="117" ht="30" customHeight="1">
      <c r="A117" s="15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  <c r="AA117" s="14" t="n"/>
      <c r="AB117" s="14" t="n"/>
      <c r="AC117" s="14" t="n"/>
      <c r="AD117" s="14" t="n"/>
    </row>
    <row r="118" ht="30" customHeight="1">
      <c r="A118" s="15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  <c r="AB118" s="14" t="n"/>
      <c r="AC118" s="14" t="n"/>
      <c r="AD118" s="14" t="n"/>
    </row>
    <row r="119" ht="30" customHeight="1">
      <c r="A119" s="15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  <c r="AB119" s="14" t="n"/>
      <c r="AC119" s="14" t="n"/>
      <c r="AD119" s="14" t="n"/>
    </row>
    <row r="120" ht="30" customHeight="1">
      <c r="A120" s="15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  <c r="AA120" s="14" t="n"/>
      <c r="AB120" s="14" t="n"/>
      <c r="AC120" s="14" t="n"/>
      <c r="AD120" s="14" t="n"/>
    </row>
    <row r="121" ht="30" customHeight="1">
      <c r="A121" s="15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  <c r="AA121" s="14" t="n"/>
      <c r="AB121" s="14" t="n"/>
      <c r="AC121" s="14" t="n"/>
      <c r="AD121" s="14" t="n"/>
    </row>
    <row r="122" ht="30" customHeight="1">
      <c r="A122" s="15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  <c r="AA122" s="14" t="n"/>
      <c r="AB122" s="14" t="n"/>
      <c r="AC122" s="14" t="n"/>
      <c r="AD122" s="14" t="n"/>
    </row>
    <row r="123" ht="30" customHeight="1">
      <c r="A123" s="15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  <c r="AA123" s="14" t="n"/>
      <c r="AB123" s="14" t="n"/>
      <c r="AC123" s="14" t="n"/>
      <c r="AD123" s="14" t="n"/>
    </row>
    <row r="124" ht="30" customHeight="1">
      <c r="A124" s="15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  <c r="AA124" s="14" t="n"/>
      <c r="AB124" s="14" t="n"/>
      <c r="AC124" s="14" t="n"/>
      <c r="AD124" s="14" t="n"/>
    </row>
    <row r="125" ht="30" customHeight="1">
      <c r="A125" s="15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  <c r="AA125" s="14" t="n"/>
      <c r="AB125" s="14" t="n"/>
      <c r="AC125" s="14" t="n"/>
      <c r="AD125" s="14" t="n"/>
    </row>
    <row r="126" ht="30" customHeight="1">
      <c r="A126" s="15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  <c r="AA126" s="14" t="n"/>
      <c r="AB126" s="14" t="n"/>
      <c r="AC126" s="14" t="n"/>
      <c r="AD126" s="14" t="n"/>
    </row>
    <row r="127" ht="30" customHeight="1">
      <c r="A127" s="15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  <c r="AB127" s="14" t="n"/>
      <c r="AC127" s="14" t="n"/>
      <c r="AD127" s="14" t="n"/>
    </row>
    <row r="128" ht="30" customHeight="1">
      <c r="A128" s="15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  <c r="AA128" s="14" t="n"/>
      <c r="AB128" s="14" t="n"/>
      <c r="AC128" s="14" t="n"/>
      <c r="AD128" s="14" t="n"/>
    </row>
    <row r="129" ht="30" customHeight="1">
      <c r="A129" s="15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  <c r="AA129" s="14" t="n"/>
      <c r="AB129" s="14" t="n"/>
      <c r="AC129" s="14" t="n"/>
      <c r="AD129" s="14" t="n"/>
    </row>
    <row r="130" ht="30" customHeight="1">
      <c r="A130" s="15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  <c r="AA130" s="14" t="n"/>
      <c r="AB130" s="14" t="n"/>
      <c r="AC130" s="14" t="n"/>
      <c r="AD130" s="14" t="n"/>
    </row>
    <row r="131" ht="30" customHeight="1">
      <c r="A131" s="15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  <c r="AA131" s="14" t="n"/>
      <c r="AB131" s="14" t="n"/>
      <c r="AC131" s="14" t="n"/>
      <c r="AD131" s="14" t="n"/>
    </row>
    <row r="132" ht="30" customHeight="1">
      <c r="A132" s="15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  <c r="AA132" s="14" t="n"/>
      <c r="AB132" s="14" t="n"/>
      <c r="AC132" s="14" t="n"/>
      <c r="AD132" s="14" t="n"/>
    </row>
    <row r="133" ht="30" customHeight="1">
      <c r="A133" s="15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  <c r="AA133" s="14" t="n"/>
      <c r="AB133" s="14" t="n"/>
      <c r="AC133" s="14" t="n"/>
      <c r="AD133" s="14" t="n"/>
    </row>
    <row r="134" ht="30" customHeight="1">
      <c r="A134" s="15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  <c r="AA134" s="14" t="n"/>
      <c r="AB134" s="14" t="n"/>
      <c r="AC134" s="14" t="n"/>
      <c r="AD134" s="14" t="n"/>
    </row>
    <row r="135" ht="30" customHeight="1">
      <c r="A135" s="15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  <c r="AA135" s="14" t="n"/>
      <c r="AB135" s="14" t="n"/>
      <c r="AC135" s="14" t="n"/>
      <c r="AD135" s="14" t="n"/>
    </row>
    <row r="136" ht="30" customHeight="1">
      <c r="A136" s="15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  <c r="AA136" s="14" t="n"/>
      <c r="AB136" s="14" t="n"/>
      <c r="AC136" s="14" t="n"/>
      <c r="AD136" s="14" t="n"/>
    </row>
    <row r="137" ht="30" customHeight="1">
      <c r="A137" s="15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  <c r="AA137" s="14" t="n"/>
      <c r="AB137" s="14" t="n"/>
      <c r="AC137" s="14" t="n"/>
      <c r="AD137" s="14" t="n"/>
    </row>
    <row r="138" ht="30" customHeight="1">
      <c r="A138" s="15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  <c r="AA138" s="14" t="n"/>
      <c r="AB138" s="14" t="n"/>
      <c r="AC138" s="14" t="n"/>
      <c r="AD138" s="14" t="n"/>
    </row>
    <row r="139" ht="30" customHeight="1">
      <c r="A139" s="15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  <c r="AA139" s="14" t="n"/>
      <c r="AB139" s="14" t="n"/>
      <c r="AC139" s="14" t="n"/>
      <c r="AD139" s="14" t="n"/>
    </row>
    <row r="140" ht="30" customHeight="1">
      <c r="A140" s="15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  <c r="AA140" s="14" t="n"/>
      <c r="AB140" s="14" t="n"/>
      <c r="AC140" s="14" t="n"/>
      <c r="AD140" s="14" t="n"/>
    </row>
    <row r="141" ht="30" customHeight="1">
      <c r="A141" s="15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  <c r="AB141" s="14" t="n"/>
      <c r="AC141" s="14" t="n"/>
      <c r="AD141" s="14" t="n"/>
    </row>
    <row r="142" ht="30" customHeight="1">
      <c r="A142" s="15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  <c r="AB142" s="14" t="n"/>
      <c r="AC142" s="14" t="n"/>
      <c r="AD142" s="14" t="n"/>
    </row>
    <row r="143" ht="30" customHeight="1">
      <c r="A143" s="15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  <c r="AB143" s="14" t="n"/>
      <c r="AC143" s="14" t="n"/>
      <c r="AD143" s="14" t="n"/>
    </row>
    <row r="144" ht="30" customHeight="1">
      <c r="A144" s="15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  <c r="AB144" s="14" t="n"/>
      <c r="AC144" s="14" t="n"/>
      <c r="AD144" s="14" t="n"/>
    </row>
    <row r="145" ht="30" customHeight="1">
      <c r="A145" s="15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  <c r="AB145" s="14" t="n"/>
      <c r="AC145" s="14" t="n"/>
      <c r="AD145" s="14" t="n"/>
    </row>
    <row r="146" ht="30" customHeight="1">
      <c r="A146" s="15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  <c r="AB146" s="14" t="n"/>
      <c r="AC146" s="14" t="n"/>
      <c r="AD146" s="14" t="n"/>
    </row>
    <row r="147" ht="30" customHeight="1">
      <c r="A147" s="15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  <c r="AA147" s="14" t="n"/>
      <c r="AB147" s="14" t="n"/>
      <c r="AC147" s="14" t="n"/>
      <c r="AD147" s="14" t="n"/>
    </row>
    <row r="148" ht="30" customHeight="1">
      <c r="A148" s="15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  <c r="AA148" s="14" t="n"/>
      <c r="AB148" s="14" t="n"/>
      <c r="AC148" s="14" t="n"/>
      <c r="AD148" s="14" t="n"/>
    </row>
    <row r="149" ht="30" customHeight="1">
      <c r="A149" s="15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  <c r="AA149" s="14" t="n"/>
      <c r="AB149" s="14" t="n"/>
      <c r="AC149" s="14" t="n"/>
      <c r="AD149" s="14" t="n"/>
    </row>
    <row r="150" ht="30" customHeight="1">
      <c r="A150" s="15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  <c r="AA150" s="14" t="n"/>
      <c r="AB150" s="14" t="n"/>
      <c r="AC150" s="14" t="n"/>
      <c r="AD150" s="14" t="n"/>
    </row>
    <row r="151" ht="30" customHeight="1">
      <c r="A151" s="15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  <c r="AB151" s="14" t="n"/>
      <c r="AC151" s="14" t="n"/>
      <c r="AD151" s="14" t="n"/>
    </row>
    <row r="152" ht="30" customHeight="1">
      <c r="A152" s="15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  <c r="AB152" s="14" t="n"/>
      <c r="AC152" s="14" t="n"/>
      <c r="AD152" s="14" t="n"/>
    </row>
    <row r="153" ht="30" customHeight="1">
      <c r="A153" s="15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  <c r="AB153" s="14" t="n"/>
      <c r="AC153" s="14" t="n"/>
      <c r="AD153" s="14" t="n"/>
    </row>
    <row r="154" ht="30" customHeight="1">
      <c r="A154" s="15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  <c r="AB154" s="14" t="n"/>
      <c r="AC154" s="14" t="n"/>
      <c r="AD154" s="14" t="n"/>
    </row>
    <row r="155" ht="30" customHeight="1">
      <c r="A155" s="15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  <c r="AB155" s="14" t="n"/>
      <c r="AC155" s="14" t="n"/>
      <c r="AD155" s="14" t="n"/>
    </row>
    <row r="156" ht="30" customHeight="1">
      <c r="A156" s="15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  <c r="AB156" s="14" t="n"/>
      <c r="AC156" s="14" t="n"/>
      <c r="AD156" s="14" t="n"/>
    </row>
    <row r="157" ht="30" customHeight="1">
      <c r="A157" s="15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  <c r="AB157" s="14" t="n"/>
      <c r="AC157" s="14" t="n"/>
      <c r="AD157" s="14" t="n"/>
    </row>
    <row r="158" ht="30" customHeight="1">
      <c r="A158" s="15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  <c r="AB158" s="14" t="n"/>
      <c r="AC158" s="14" t="n"/>
      <c r="AD158" s="14" t="n"/>
    </row>
    <row r="159" ht="30" customHeight="1">
      <c r="A159" s="15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  <c r="AA159" s="14" t="n"/>
      <c r="AB159" s="14" t="n"/>
      <c r="AC159" s="14" t="n"/>
      <c r="AD159" s="14" t="n"/>
    </row>
    <row r="160" ht="30" customHeight="1">
      <c r="A160" s="15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  <c r="AA160" s="14" t="n"/>
      <c r="AB160" s="14" t="n"/>
      <c r="AC160" s="14" t="n"/>
      <c r="AD160" s="14" t="n"/>
    </row>
    <row r="161" ht="30" customHeight="1">
      <c r="A161" s="15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  <c r="AB161" s="14" t="n"/>
      <c r="AC161" s="14" t="n"/>
      <c r="AD161" s="14" t="n"/>
    </row>
    <row r="162" ht="30" customHeight="1">
      <c r="A162" s="15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  <c r="AB162" s="14" t="n"/>
      <c r="AC162" s="14" t="n"/>
      <c r="AD162" s="14" t="n"/>
    </row>
    <row r="163" ht="30" customHeight="1">
      <c r="A163" s="15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  <c r="AB163" s="14" t="n"/>
      <c r="AC163" s="14" t="n"/>
      <c r="AD163" s="14" t="n"/>
    </row>
    <row r="164" ht="30" customHeight="1">
      <c r="A164" s="15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  <c r="AB164" s="14" t="n"/>
      <c r="AC164" s="14" t="n"/>
      <c r="AD164" s="14" t="n"/>
    </row>
    <row r="165" ht="30" customHeight="1">
      <c r="A165" s="15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  <c r="AB165" s="14" t="n"/>
      <c r="AC165" s="14" t="n"/>
      <c r="AD165" s="14" t="n"/>
    </row>
    <row r="166" ht="30" customHeight="1">
      <c r="A166" s="15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  <c r="AB166" s="14" t="n"/>
      <c r="AC166" s="14" t="n"/>
      <c r="AD166" s="14" t="n"/>
    </row>
    <row r="167" ht="30" customHeight="1">
      <c r="A167" s="15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  <c r="AB167" s="14" t="n"/>
      <c r="AC167" s="14" t="n"/>
      <c r="AD167" s="14" t="n"/>
    </row>
    <row r="168" ht="30" customHeight="1">
      <c r="A168" s="15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  <c r="AB168" s="14" t="n"/>
      <c r="AC168" s="14" t="n"/>
      <c r="AD168" s="14" t="n"/>
    </row>
    <row r="169" ht="30" customHeight="1">
      <c r="A169" s="15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  <c r="AB169" s="14" t="n"/>
      <c r="AC169" s="14" t="n"/>
      <c r="AD169" s="14" t="n"/>
    </row>
    <row r="170" ht="30" customHeight="1">
      <c r="A170" s="15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  <c r="AB170" s="14" t="n"/>
      <c r="AC170" s="14" t="n"/>
      <c r="AD170" s="14" t="n"/>
    </row>
    <row r="171" ht="30" customHeight="1">
      <c r="A171" s="15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  <c r="AB171" s="14" t="n"/>
      <c r="AC171" s="14" t="n"/>
      <c r="AD171" s="14" t="n"/>
    </row>
    <row r="172" ht="30" customHeight="1">
      <c r="A172" s="15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  <c r="AB172" s="14" t="n"/>
      <c r="AC172" s="14" t="n"/>
      <c r="AD172" s="14" t="n"/>
    </row>
    <row r="173" ht="30" customHeight="1">
      <c r="A173" s="15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  <c r="AB173" s="14" t="n"/>
      <c r="AC173" s="14" t="n"/>
      <c r="AD173" s="14" t="n"/>
    </row>
    <row r="174" ht="30" customHeight="1">
      <c r="A174" s="15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  <c r="AB174" s="14" t="n"/>
      <c r="AC174" s="14" t="n"/>
      <c r="AD174" s="14" t="n"/>
    </row>
    <row r="175" ht="30" customHeight="1">
      <c r="A175" s="15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  <c r="AB175" s="14" t="n"/>
      <c r="AC175" s="14" t="n"/>
      <c r="AD175" s="14" t="n"/>
    </row>
    <row r="176" ht="30" customHeight="1">
      <c r="A176" s="15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  <c r="AB176" s="14" t="n"/>
      <c r="AC176" s="14" t="n"/>
      <c r="AD176" s="14" t="n"/>
    </row>
    <row r="177" ht="30" customHeight="1">
      <c r="A177" s="15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  <c r="AB177" s="14" t="n"/>
      <c r="AC177" s="14" t="n"/>
      <c r="AD177" s="14" t="n"/>
    </row>
    <row r="178" ht="30" customHeight="1">
      <c r="A178" s="15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  <c r="AB178" s="14" t="n"/>
      <c r="AC178" s="14" t="n"/>
      <c r="AD178" s="14" t="n"/>
    </row>
    <row r="179" ht="30" customHeight="1">
      <c r="A179" s="15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  <c r="AB179" s="14" t="n"/>
      <c r="AC179" s="14" t="n"/>
      <c r="AD179" s="14" t="n"/>
    </row>
    <row r="180" ht="30" customHeight="1">
      <c r="A180" s="15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  <c r="AB180" s="14" t="n"/>
      <c r="AC180" s="14" t="n"/>
      <c r="AD180" s="14" t="n"/>
    </row>
    <row r="181" ht="30" customHeight="1">
      <c r="A181" s="15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  <c r="AB181" s="14" t="n"/>
      <c r="AC181" s="14" t="n"/>
      <c r="AD181" s="14" t="n"/>
    </row>
    <row r="182" ht="30" customHeight="1">
      <c r="A182" s="15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  <c r="AB182" s="14" t="n"/>
      <c r="AC182" s="14" t="n"/>
      <c r="AD182" s="14" t="n"/>
    </row>
    <row r="183" ht="30" customHeight="1">
      <c r="A183" s="15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  <c r="AB183" s="14" t="n"/>
      <c r="AC183" s="14" t="n"/>
      <c r="AD183" s="14" t="n"/>
    </row>
    <row r="184" ht="30" customHeight="1">
      <c r="A184" s="15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  <c r="AB184" s="14" t="n"/>
      <c r="AC184" s="14" t="n"/>
      <c r="AD184" s="14" t="n"/>
    </row>
    <row r="185" ht="30" customHeight="1">
      <c r="A185" s="15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  <c r="AB185" s="14" t="n"/>
      <c r="AC185" s="14" t="n"/>
      <c r="AD185" s="14" t="n"/>
    </row>
    <row r="186" ht="30" customHeight="1">
      <c r="A186" s="15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  <c r="AB186" s="14" t="n"/>
      <c r="AC186" s="14" t="n"/>
      <c r="AD186" s="14" t="n"/>
    </row>
    <row r="187" ht="30" customHeight="1">
      <c r="A187" s="15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  <c r="AB187" s="14" t="n"/>
      <c r="AC187" s="14" t="n"/>
      <c r="AD187" s="14" t="n"/>
    </row>
    <row r="188" ht="30" customHeight="1">
      <c r="A188" s="15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  <c r="AB188" s="14" t="n"/>
      <c r="AC188" s="14" t="n"/>
      <c r="AD188" s="14" t="n"/>
    </row>
    <row r="189" ht="30" customHeight="1">
      <c r="A189" s="15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  <c r="AB189" s="14" t="n"/>
      <c r="AC189" s="14" t="n"/>
      <c r="AD189" s="14" t="n"/>
    </row>
    <row r="190" ht="30" customHeight="1">
      <c r="A190" s="15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  <c r="AB190" s="14" t="n"/>
      <c r="AC190" s="14" t="n"/>
      <c r="AD190" s="14" t="n"/>
    </row>
    <row r="191" ht="30" customHeight="1">
      <c r="A191" s="15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  <c r="AB191" s="14" t="n"/>
      <c r="AC191" s="14" t="n"/>
      <c r="AD191" s="14" t="n"/>
    </row>
    <row r="192" ht="30" customHeight="1">
      <c r="A192" s="15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  <c r="AB192" s="14" t="n"/>
      <c r="AC192" s="14" t="n"/>
      <c r="AD192" s="14" t="n"/>
    </row>
    <row r="193" ht="30" customHeight="1">
      <c r="A193" s="15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  <c r="AB193" s="14" t="n"/>
      <c r="AC193" s="14" t="n"/>
      <c r="AD193" s="14" t="n"/>
    </row>
    <row r="194" ht="30" customHeight="1">
      <c r="A194" s="15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  <c r="AB194" s="14" t="n"/>
      <c r="AC194" s="14" t="n"/>
      <c r="AD194" s="14" t="n"/>
    </row>
    <row r="195" ht="30" customHeight="1">
      <c r="A195" s="15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  <c r="AB195" s="14" t="n"/>
      <c r="AC195" s="14" t="n"/>
      <c r="AD195" s="14" t="n"/>
    </row>
    <row r="196" ht="30" customHeight="1">
      <c r="A196" s="15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  <c r="AB196" s="14" t="n"/>
      <c r="AC196" s="14" t="n"/>
      <c r="AD196" s="14" t="n"/>
    </row>
    <row r="197" ht="30" customHeight="1">
      <c r="A197" s="15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  <c r="AB197" s="14" t="n"/>
      <c r="AC197" s="14" t="n"/>
      <c r="AD197" s="14" t="n"/>
    </row>
    <row r="198" ht="30" customHeight="1">
      <c r="A198" s="15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  <c r="AA198" s="14" t="n"/>
      <c r="AB198" s="14" t="n"/>
      <c r="AC198" s="14" t="n"/>
      <c r="AD198" s="14" t="n"/>
    </row>
    <row r="199" ht="30" customHeight="1">
      <c r="A199" s="15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14" t="n"/>
      <c r="AC199" s="14" t="n"/>
      <c r="AD199" s="14" t="n"/>
    </row>
    <row r="200" ht="30" customHeight="1">
      <c r="A200" s="15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14" t="n"/>
      <c r="AB200" s="14" t="n"/>
      <c r="AC200" s="14" t="n"/>
      <c r="AD200" s="14" t="n"/>
    </row>
    <row r="201" ht="30" customHeight="1">
      <c r="A201" s="15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14" t="n"/>
      <c r="AB201" s="14" t="n"/>
      <c r="AC201" s="14" t="n"/>
      <c r="AD201" s="14" t="n"/>
    </row>
    <row r="202" ht="30" customHeight="1">
      <c r="A202" s="15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14" t="n"/>
      <c r="AB202" s="14" t="n"/>
      <c r="AC202" s="14" t="n"/>
      <c r="AD202" s="14" t="n"/>
    </row>
    <row r="203" ht="30" customHeight="1">
      <c r="A203" s="15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14" t="n"/>
      <c r="AB203" s="14" t="n"/>
      <c r="AC203" s="14" t="n"/>
      <c r="AD203" s="14" t="n"/>
    </row>
    <row r="204" ht="30" customHeight="1">
      <c r="A204" s="15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14" t="n"/>
      <c r="AB204" s="14" t="n"/>
      <c r="AC204" s="14" t="n"/>
      <c r="AD204" s="14" t="n"/>
    </row>
    <row r="205" ht="30" customHeight="1">
      <c r="A205" s="15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14" t="n"/>
      <c r="AB205" s="14" t="n"/>
      <c r="AC205" s="14" t="n"/>
      <c r="AD205" s="14" t="n"/>
    </row>
    <row r="206" ht="30" customHeight="1">
      <c r="A206" s="15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14" t="n"/>
      <c r="AB206" s="14" t="n"/>
      <c r="AC206" s="14" t="n"/>
      <c r="AD206" s="14" t="n"/>
    </row>
    <row r="207" ht="30" customHeight="1">
      <c r="A207" s="15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14" t="n"/>
      <c r="AB207" s="14" t="n"/>
      <c r="AC207" s="14" t="n"/>
      <c r="AD207" s="14" t="n"/>
    </row>
    <row r="208" ht="30" customHeight="1">
      <c r="A208" s="15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14" t="n"/>
      <c r="AB208" s="14" t="n"/>
      <c r="AC208" s="14" t="n"/>
      <c r="AD208" s="14" t="n"/>
    </row>
    <row r="209" ht="30" customHeight="1">
      <c r="A209" s="15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14" t="n"/>
      <c r="AB209" s="14" t="n"/>
      <c r="AC209" s="14" t="n"/>
      <c r="AD209" s="14" t="n"/>
    </row>
    <row r="210" ht="30" customHeight="1">
      <c r="A210" s="15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14" t="n"/>
      <c r="AB210" s="14" t="n"/>
      <c r="AC210" s="14" t="n"/>
      <c r="AD210" s="14" t="n"/>
    </row>
    <row r="211" ht="30" customHeight="1">
      <c r="A211" s="15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14" t="n"/>
      <c r="AB211" s="14" t="n"/>
      <c r="AC211" s="14" t="n"/>
      <c r="AD211" s="14" t="n"/>
    </row>
    <row r="212" ht="30" customHeight="1">
      <c r="A212" s="15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14" t="n"/>
      <c r="AB212" s="14" t="n"/>
      <c r="AC212" s="14" t="n"/>
      <c r="AD212" s="14" t="n"/>
    </row>
    <row r="213" ht="30" customHeight="1">
      <c r="A213" s="15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14" t="n"/>
      <c r="AB213" s="14" t="n"/>
      <c r="AC213" s="14" t="n"/>
      <c r="AD213" s="14" t="n"/>
    </row>
    <row r="214" ht="30" customHeight="1">
      <c r="A214" s="15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14" t="n"/>
      <c r="AB214" s="14" t="n"/>
      <c r="AC214" s="14" t="n"/>
      <c r="AD214" s="14" t="n"/>
    </row>
    <row r="215" ht="30" customHeight="1">
      <c r="A215" s="15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14" t="n"/>
      <c r="AB215" s="14" t="n"/>
      <c r="AC215" s="14" t="n"/>
      <c r="AD215" s="14" t="n"/>
    </row>
    <row r="216" ht="30" customHeight="1">
      <c r="A216" s="15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4" t="n"/>
      <c r="AA216" s="14" t="n"/>
      <c r="AB216" s="14" t="n"/>
      <c r="AC216" s="14" t="n"/>
      <c r="AD216" s="14" t="n"/>
    </row>
    <row r="217" ht="30" customHeight="1">
      <c r="A217" s="15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4" t="n"/>
      <c r="AA217" s="14" t="n"/>
      <c r="AB217" s="14" t="n"/>
      <c r="AC217" s="14" t="n"/>
      <c r="AD217" s="14" t="n"/>
    </row>
    <row r="218" ht="30" customHeight="1">
      <c r="A218" s="15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4" t="n"/>
      <c r="AA218" s="14" t="n"/>
      <c r="AB218" s="14" t="n"/>
      <c r="AC218" s="14" t="n"/>
      <c r="AD218" s="14" t="n"/>
    </row>
    <row r="219" ht="30" customHeight="1">
      <c r="A219" s="15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  <c r="AB219" s="14" t="n"/>
      <c r="AC219" s="14" t="n"/>
      <c r="AD219" s="14" t="n"/>
    </row>
    <row r="220" ht="30" customHeight="1">
      <c r="A220" s="15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4" t="n"/>
      <c r="AA220" s="14" t="n"/>
      <c r="AB220" s="14" t="n"/>
      <c r="AC220" s="14" t="n"/>
      <c r="AD220" s="14" t="n"/>
    </row>
    <row r="221" ht="30" customHeight="1">
      <c r="A221" s="15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  <c r="AB221" s="14" t="n"/>
      <c r="AC221" s="14" t="n"/>
      <c r="AD221" s="14" t="n"/>
    </row>
    <row r="222" ht="15.75" customHeight="1">
      <c r="A222" s="16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</row>
    <row r="223" ht="15.75" customHeight="1">
      <c r="A223" s="16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</row>
    <row r="224" ht="15.75" customHeight="1">
      <c r="A224" s="16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</row>
    <row r="225" ht="15.75" customHeight="1">
      <c r="A225" s="16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</row>
    <row r="226" ht="15.75" customHeight="1">
      <c r="A226" s="16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</row>
    <row r="227" ht="15.75" customHeight="1">
      <c r="A227" s="16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</row>
    <row r="228" ht="15.75" customHeight="1">
      <c r="A228" s="16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</row>
    <row r="229" ht="15.75" customHeight="1">
      <c r="A229" s="16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</row>
    <row r="230" ht="15.75" customHeight="1">
      <c r="A230" s="16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</row>
    <row r="231" ht="15.75" customHeight="1">
      <c r="A231" s="16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</row>
    <row r="232" ht="15.75" customHeight="1">
      <c r="A232" s="16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</row>
    <row r="233" ht="15.75" customHeight="1">
      <c r="A233" s="16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</row>
    <row r="234" ht="15.75" customHeight="1">
      <c r="A234" s="16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</row>
    <row r="235" ht="15.75" customHeight="1">
      <c r="A235" s="16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</row>
    <row r="236" ht="15.75" customHeight="1">
      <c r="A236" s="16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</row>
    <row r="237" ht="15.75" customHeight="1">
      <c r="A237" s="16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</row>
    <row r="238" ht="15.75" customHeight="1">
      <c r="A238" s="16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</row>
    <row r="239" ht="15.75" customHeight="1">
      <c r="A239" s="16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</row>
    <row r="240" ht="15.75" customHeight="1">
      <c r="A240" s="16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</row>
    <row r="241" ht="15.75" customHeight="1">
      <c r="A241" s="16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</row>
    <row r="242" ht="15.75" customHeight="1">
      <c r="A242" s="16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</row>
    <row r="243" ht="15.75" customHeight="1">
      <c r="A243" s="16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</row>
    <row r="244" ht="15.75" customHeight="1">
      <c r="A244" s="16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</row>
    <row r="245" ht="15.75" customHeight="1">
      <c r="A245" s="16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</row>
    <row r="246" ht="15.75" customHeight="1">
      <c r="A246" s="16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</row>
    <row r="247" ht="15.75" customHeight="1">
      <c r="A247" s="16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</row>
    <row r="248" ht="15.75" customHeight="1">
      <c r="A248" s="16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</row>
    <row r="249" ht="15.75" customHeight="1">
      <c r="A249" s="16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</row>
    <row r="250" ht="15.75" customHeight="1">
      <c r="A250" s="16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</row>
    <row r="251" ht="15.75" customHeight="1">
      <c r="A251" s="16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</row>
    <row r="252" ht="15.75" customHeight="1">
      <c r="A252" s="16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</row>
    <row r="253" ht="15.75" customHeight="1">
      <c r="A253" s="16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</row>
    <row r="254" ht="15.75" customHeight="1">
      <c r="A254" s="16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</row>
    <row r="255" ht="15.75" customHeight="1">
      <c r="A255" s="16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</row>
    <row r="256" ht="15.75" customHeight="1">
      <c r="A256" s="16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</row>
    <row r="257" ht="15.75" customHeight="1">
      <c r="A257" s="16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</row>
    <row r="258" ht="15.75" customHeight="1">
      <c r="A258" s="16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</row>
    <row r="259" ht="15.75" customHeight="1">
      <c r="A259" s="16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</row>
    <row r="260" ht="15.75" customHeight="1">
      <c r="A260" s="16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</row>
    <row r="261" ht="15.75" customHeight="1">
      <c r="A261" s="16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</row>
    <row r="262" ht="15.75" customHeight="1">
      <c r="A262" s="16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</row>
    <row r="263" ht="15.75" customHeight="1">
      <c r="A263" s="16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</row>
    <row r="264" ht="15.75" customHeight="1">
      <c r="A264" s="16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</row>
    <row r="265" ht="15.75" customHeight="1">
      <c r="A265" s="16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</row>
    <row r="266" ht="15.75" customHeight="1">
      <c r="A266" s="16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</row>
    <row r="267" ht="15.75" customHeight="1">
      <c r="A267" s="16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</row>
    <row r="268" ht="15.75" customHeight="1">
      <c r="A268" s="16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</row>
    <row r="269" ht="15.75" customHeight="1">
      <c r="A269" s="16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</row>
    <row r="270" ht="15.75" customHeight="1">
      <c r="A270" s="16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</row>
    <row r="271" ht="15.75" customHeight="1">
      <c r="A271" s="16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</row>
    <row r="272" ht="15.75" customHeight="1">
      <c r="A272" s="16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</row>
    <row r="273" ht="15.75" customHeight="1">
      <c r="A273" s="16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</row>
    <row r="274" ht="15.75" customHeight="1">
      <c r="A274" s="16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</row>
    <row r="275" ht="15.75" customHeight="1">
      <c r="A275" s="16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</row>
    <row r="276" ht="15.75" customHeight="1">
      <c r="A276" s="16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</row>
    <row r="277" ht="15.75" customHeight="1">
      <c r="A277" s="16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</row>
    <row r="278" ht="15.75" customHeight="1">
      <c r="A278" s="16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</row>
    <row r="279" ht="15.75" customHeight="1">
      <c r="A279" s="16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</row>
    <row r="280" ht="15.75" customHeight="1">
      <c r="A280" s="16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</row>
    <row r="281" ht="15.75" customHeight="1">
      <c r="A281" s="16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</row>
    <row r="282" ht="15.75" customHeight="1">
      <c r="A282" s="16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</row>
    <row r="283" ht="15.75" customHeight="1">
      <c r="A283" s="16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</row>
    <row r="284" ht="15.75" customHeight="1">
      <c r="A284" s="16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</row>
    <row r="285" ht="15.75" customHeight="1">
      <c r="A285" s="16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</row>
    <row r="286" ht="15.75" customHeight="1">
      <c r="A286" s="16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</row>
    <row r="287" ht="15.75" customHeight="1">
      <c r="A287" s="16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</row>
    <row r="288" ht="15.75" customHeight="1">
      <c r="A288" s="16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</row>
    <row r="289" ht="15.75" customHeight="1">
      <c r="A289" s="16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</row>
    <row r="290" ht="15.75" customHeight="1">
      <c r="A290" s="16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</row>
    <row r="291" ht="15.75" customHeight="1">
      <c r="A291" s="16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</row>
    <row r="292" ht="15.75" customHeight="1">
      <c r="A292" s="16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</row>
    <row r="293" ht="15.75" customHeight="1">
      <c r="A293" s="16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</row>
    <row r="294" ht="15.75" customHeight="1">
      <c r="A294" s="16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</row>
    <row r="295" ht="15.75" customHeight="1">
      <c r="A295" s="16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</row>
    <row r="296" ht="15.75" customHeight="1">
      <c r="A296" s="16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</row>
    <row r="297" ht="15.75" customHeight="1">
      <c r="A297" s="16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</row>
    <row r="298" ht="15.75" customHeight="1">
      <c r="A298" s="16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</row>
    <row r="299" ht="15.75" customHeight="1">
      <c r="A299" s="16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</row>
    <row r="300" ht="15.75" customHeight="1">
      <c r="A300" s="16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</row>
    <row r="301" ht="15.75" customHeight="1">
      <c r="A301" s="16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</row>
    <row r="302" ht="15.75" customHeight="1">
      <c r="A302" s="16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</row>
    <row r="303" ht="15.75" customHeight="1">
      <c r="A303" s="16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</row>
    <row r="304" ht="15.75" customHeight="1">
      <c r="A304" s="16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</row>
    <row r="305" ht="15.75" customHeight="1">
      <c r="A305" s="16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7" t="n"/>
      <c r="AA305" s="17" t="n"/>
      <c r="AB305" s="17" t="n"/>
      <c r="AC305" s="17" t="n"/>
      <c r="AD305" s="17" t="n"/>
    </row>
    <row r="306" ht="15.75" customHeight="1">
      <c r="A306" s="16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7" t="n"/>
      <c r="Z306" s="17" t="n"/>
      <c r="AA306" s="17" t="n"/>
      <c r="AB306" s="17" t="n"/>
      <c r="AC306" s="17" t="n"/>
      <c r="AD306" s="17" t="n"/>
    </row>
    <row r="307" ht="15.75" customHeight="1">
      <c r="A307" s="16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7" t="n"/>
      <c r="Z307" s="17" t="n"/>
      <c r="AA307" s="17" t="n"/>
      <c r="AB307" s="17" t="n"/>
      <c r="AC307" s="17" t="n"/>
      <c r="AD307" s="17" t="n"/>
    </row>
    <row r="308" ht="15.75" customHeight="1">
      <c r="A308" s="16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7" t="n"/>
      <c r="AA308" s="17" t="n"/>
      <c r="AB308" s="17" t="n"/>
      <c r="AC308" s="17" t="n"/>
      <c r="AD308" s="17" t="n"/>
    </row>
    <row r="309" ht="15.75" customHeight="1">
      <c r="A309" s="16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/>
      <c r="Z309" s="17" t="n"/>
      <c r="AA309" s="17" t="n"/>
      <c r="AB309" s="17" t="n"/>
      <c r="AC309" s="17" t="n"/>
      <c r="AD309" s="17" t="n"/>
    </row>
    <row r="310" ht="15.75" customHeight="1">
      <c r="A310" s="16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/>
      <c r="Z310" s="17" t="n"/>
      <c r="AA310" s="17" t="n"/>
      <c r="AB310" s="17" t="n"/>
      <c r="AC310" s="17" t="n"/>
      <c r="AD310" s="17" t="n"/>
    </row>
    <row r="311" ht="15.75" customHeight="1">
      <c r="A311" s="16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/>
      <c r="Z311" s="17" t="n"/>
      <c r="AA311" s="17" t="n"/>
      <c r="AB311" s="17" t="n"/>
      <c r="AC311" s="17" t="n"/>
      <c r="AD311" s="17" t="n"/>
    </row>
    <row r="312" ht="15.75" customHeight="1">
      <c r="A312" s="16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7" t="n"/>
      <c r="Z312" s="17" t="n"/>
      <c r="AA312" s="17" t="n"/>
      <c r="AB312" s="17" t="n"/>
      <c r="AC312" s="17" t="n"/>
      <c r="AD312" s="17" t="n"/>
    </row>
    <row r="313" ht="15.75" customHeight="1">
      <c r="A313" s="16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7" t="n"/>
      <c r="Z313" s="17" t="n"/>
      <c r="AA313" s="17" t="n"/>
      <c r="AB313" s="17" t="n"/>
      <c r="AC313" s="17" t="n"/>
      <c r="AD313" s="17" t="n"/>
    </row>
    <row r="314" ht="15.75" customHeight="1">
      <c r="A314" s="16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/>
      <c r="Z314" s="17" t="n"/>
      <c r="AA314" s="17" t="n"/>
      <c r="AB314" s="17" t="n"/>
      <c r="AC314" s="17" t="n"/>
      <c r="AD314" s="17" t="n"/>
    </row>
    <row r="315" ht="15.75" customHeight="1">
      <c r="A315" s="16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7" t="n"/>
      <c r="Z315" s="17" t="n"/>
      <c r="AA315" s="17" t="n"/>
      <c r="AB315" s="17" t="n"/>
      <c r="AC315" s="17" t="n"/>
      <c r="AD315" s="17" t="n"/>
    </row>
    <row r="316" ht="15.75" customHeight="1">
      <c r="A316" s="16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7" t="n"/>
      <c r="Z316" s="17" t="n"/>
      <c r="AA316" s="17" t="n"/>
      <c r="AB316" s="17" t="n"/>
      <c r="AC316" s="17" t="n"/>
      <c r="AD316" s="17" t="n"/>
    </row>
    <row r="317" ht="15.75" customHeight="1">
      <c r="A317" s="16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/>
      <c r="Z317" s="17" t="n"/>
      <c r="AA317" s="17" t="n"/>
      <c r="AB317" s="17" t="n"/>
      <c r="AC317" s="17" t="n"/>
      <c r="AD317" s="17" t="n"/>
    </row>
    <row r="318" ht="15.75" customHeight="1">
      <c r="A318" s="16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7" t="n"/>
      <c r="AA318" s="17" t="n"/>
      <c r="AB318" s="17" t="n"/>
      <c r="AC318" s="17" t="n"/>
      <c r="AD318" s="17" t="n"/>
    </row>
    <row r="319" ht="15.75" customHeight="1">
      <c r="A319" s="16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/>
      <c r="Z319" s="17" t="n"/>
      <c r="AA319" s="17" t="n"/>
      <c r="AB319" s="17" t="n"/>
      <c r="AC319" s="17" t="n"/>
      <c r="AD319" s="17" t="n"/>
    </row>
    <row r="320" ht="15.75" customHeight="1">
      <c r="A320" s="16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/>
      <c r="Z320" s="17" t="n"/>
      <c r="AA320" s="17" t="n"/>
      <c r="AB320" s="17" t="n"/>
      <c r="AC320" s="17" t="n"/>
      <c r="AD320" s="17" t="n"/>
    </row>
    <row r="321" ht="15.75" customHeight="1">
      <c r="A321" s="16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/>
      <c r="Z321" s="17" t="n"/>
      <c r="AA321" s="17" t="n"/>
      <c r="AB321" s="17" t="n"/>
      <c r="AC321" s="17" t="n"/>
      <c r="AD321" s="17" t="n"/>
    </row>
    <row r="322" ht="15.75" customHeight="1">
      <c r="A322" s="16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/>
      <c r="Z322" s="17" t="n"/>
      <c r="AA322" s="17" t="n"/>
      <c r="AB322" s="17" t="n"/>
      <c r="AC322" s="17" t="n"/>
      <c r="AD322" s="17" t="n"/>
    </row>
    <row r="323" ht="15.75" customHeight="1">
      <c r="A323" s="16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/>
      <c r="Z323" s="17" t="n"/>
      <c r="AA323" s="17" t="n"/>
      <c r="AB323" s="17" t="n"/>
      <c r="AC323" s="17" t="n"/>
      <c r="AD323" s="17" t="n"/>
    </row>
    <row r="324" ht="15.75" customHeight="1">
      <c r="A324" s="16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7" t="n"/>
      <c r="AA324" s="17" t="n"/>
      <c r="AB324" s="17" t="n"/>
      <c r="AC324" s="17" t="n"/>
      <c r="AD324" s="17" t="n"/>
    </row>
    <row r="325" ht="15.75" customHeight="1">
      <c r="A325" s="16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/>
      <c r="Z325" s="17" t="n"/>
      <c r="AA325" s="17" t="n"/>
      <c r="AB325" s="17" t="n"/>
      <c r="AC325" s="17" t="n"/>
      <c r="AD325" s="17" t="n"/>
    </row>
    <row r="326" ht="15.75" customHeight="1">
      <c r="A326" s="16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/>
      <c r="Z326" s="17" t="n"/>
      <c r="AA326" s="17" t="n"/>
      <c r="AB326" s="17" t="n"/>
      <c r="AC326" s="17" t="n"/>
      <c r="AD326" s="17" t="n"/>
    </row>
    <row r="327" ht="15.75" customHeight="1">
      <c r="A327" s="16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7" t="n"/>
      <c r="AA327" s="17" t="n"/>
      <c r="AB327" s="17" t="n"/>
      <c r="AC327" s="17" t="n"/>
      <c r="AD327" s="17" t="n"/>
    </row>
    <row r="328" ht="15.75" customHeight="1">
      <c r="A328" s="16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7" t="n"/>
      <c r="AA328" s="17" t="n"/>
      <c r="AB328" s="17" t="n"/>
      <c r="AC328" s="17" t="n"/>
      <c r="AD328" s="17" t="n"/>
    </row>
    <row r="329" ht="15.75" customHeight="1">
      <c r="A329" s="16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7" t="n"/>
      <c r="AA329" s="17" t="n"/>
      <c r="AB329" s="17" t="n"/>
      <c r="AC329" s="17" t="n"/>
      <c r="AD329" s="17" t="n"/>
    </row>
    <row r="330" ht="15.75" customHeight="1">
      <c r="A330" s="16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/>
      <c r="Z330" s="17" t="n"/>
      <c r="AA330" s="17" t="n"/>
      <c r="AB330" s="17" t="n"/>
      <c r="AC330" s="17" t="n"/>
      <c r="AD330" s="17" t="n"/>
    </row>
    <row r="331" ht="15.75" customHeight="1">
      <c r="A331" s="16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/>
      <c r="Z331" s="17" t="n"/>
      <c r="AA331" s="17" t="n"/>
      <c r="AB331" s="17" t="n"/>
      <c r="AC331" s="17" t="n"/>
      <c r="AD331" s="17" t="n"/>
    </row>
    <row r="332" ht="15.75" customHeight="1">
      <c r="A332" s="16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7" t="n"/>
      <c r="Z332" s="17" t="n"/>
      <c r="AA332" s="17" t="n"/>
      <c r="AB332" s="17" t="n"/>
      <c r="AC332" s="17" t="n"/>
      <c r="AD332" s="17" t="n"/>
    </row>
    <row r="333" ht="15.75" customHeight="1">
      <c r="A333" s="16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7" t="n"/>
      <c r="AA333" s="17" t="n"/>
      <c r="AB333" s="17" t="n"/>
      <c r="AC333" s="17" t="n"/>
      <c r="AD333" s="17" t="n"/>
    </row>
    <row r="334" ht="15.75" customHeight="1">
      <c r="A334" s="16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7" t="n"/>
      <c r="AA334" s="17" t="n"/>
      <c r="AB334" s="17" t="n"/>
      <c r="AC334" s="17" t="n"/>
      <c r="AD334" s="17" t="n"/>
    </row>
    <row r="335" ht="15.75" customHeight="1">
      <c r="A335" s="16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/>
      <c r="Z335" s="17" t="n"/>
      <c r="AA335" s="17" t="n"/>
      <c r="AB335" s="17" t="n"/>
      <c r="AC335" s="17" t="n"/>
      <c r="AD335" s="17" t="n"/>
    </row>
    <row r="336" ht="15.75" customHeight="1">
      <c r="A336" s="16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/>
      <c r="Z336" s="17" t="n"/>
      <c r="AA336" s="17" t="n"/>
      <c r="AB336" s="17" t="n"/>
      <c r="AC336" s="17" t="n"/>
      <c r="AD336" s="17" t="n"/>
    </row>
    <row r="337" ht="15.75" customHeight="1">
      <c r="A337" s="16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7" t="n"/>
      <c r="Z337" s="17" t="n"/>
      <c r="AA337" s="17" t="n"/>
      <c r="AB337" s="17" t="n"/>
      <c r="AC337" s="17" t="n"/>
      <c r="AD337" s="17" t="n"/>
    </row>
    <row r="338" ht="15.75" customHeight="1">
      <c r="A338" s="16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/>
      <c r="Z338" s="17" t="n"/>
      <c r="AA338" s="17" t="n"/>
      <c r="AB338" s="17" t="n"/>
      <c r="AC338" s="17" t="n"/>
      <c r="AD338" s="17" t="n"/>
    </row>
    <row r="339" ht="15.75" customHeight="1">
      <c r="A339" s="16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/>
      <c r="Z339" s="17" t="n"/>
      <c r="AA339" s="17" t="n"/>
      <c r="AB339" s="17" t="n"/>
      <c r="AC339" s="17" t="n"/>
      <c r="AD339" s="17" t="n"/>
    </row>
    <row r="340" ht="15.75" customHeight="1">
      <c r="A340" s="16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7" t="n"/>
      <c r="Z340" s="17" t="n"/>
      <c r="AA340" s="17" t="n"/>
      <c r="AB340" s="17" t="n"/>
      <c r="AC340" s="17" t="n"/>
      <c r="AD340" s="17" t="n"/>
    </row>
    <row r="341" ht="15.75" customHeight="1">
      <c r="A341" s="16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7" t="n"/>
      <c r="Z341" s="17" t="n"/>
      <c r="AA341" s="17" t="n"/>
      <c r="AB341" s="17" t="n"/>
      <c r="AC341" s="17" t="n"/>
      <c r="AD341" s="17" t="n"/>
    </row>
    <row r="342" ht="15.75" customHeight="1">
      <c r="A342" s="16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/>
      <c r="Z342" s="17" t="n"/>
      <c r="AA342" s="17" t="n"/>
      <c r="AB342" s="17" t="n"/>
      <c r="AC342" s="17" t="n"/>
      <c r="AD342" s="17" t="n"/>
    </row>
    <row r="343" ht="15.75" customHeight="1">
      <c r="A343" s="16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7" t="n"/>
      <c r="AA343" s="17" t="n"/>
      <c r="AB343" s="17" t="n"/>
      <c r="AC343" s="17" t="n"/>
      <c r="AD343" s="17" t="n"/>
    </row>
    <row r="344" ht="15.75" customHeight="1">
      <c r="A344" s="16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/>
      <c r="Z344" s="17" t="n"/>
      <c r="AA344" s="17" t="n"/>
      <c r="AB344" s="17" t="n"/>
      <c r="AC344" s="17" t="n"/>
      <c r="AD344" s="17" t="n"/>
    </row>
    <row r="345" ht="15.75" customHeight="1">
      <c r="A345" s="16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/>
      <c r="Z345" s="17" t="n"/>
      <c r="AA345" s="17" t="n"/>
      <c r="AB345" s="17" t="n"/>
      <c r="AC345" s="17" t="n"/>
      <c r="AD345" s="17" t="n"/>
    </row>
    <row r="346" ht="15.75" customHeight="1">
      <c r="A346" s="16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/>
      <c r="Z346" s="17" t="n"/>
      <c r="AA346" s="17" t="n"/>
      <c r="AB346" s="17" t="n"/>
      <c r="AC346" s="17" t="n"/>
      <c r="AD346" s="17" t="n"/>
    </row>
    <row r="347" ht="15.75" customHeight="1">
      <c r="A347" s="16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/>
      <c r="Z347" s="17" t="n"/>
      <c r="AA347" s="17" t="n"/>
      <c r="AB347" s="17" t="n"/>
      <c r="AC347" s="17" t="n"/>
      <c r="AD347" s="17" t="n"/>
    </row>
    <row r="348" ht="15.75" customHeight="1">
      <c r="A348" s="16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7" t="n"/>
      <c r="Z348" s="17" t="n"/>
      <c r="AA348" s="17" t="n"/>
      <c r="AB348" s="17" t="n"/>
      <c r="AC348" s="17" t="n"/>
      <c r="AD348" s="17" t="n"/>
    </row>
    <row r="349" ht="15.75" customHeight="1">
      <c r="A349" s="16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/>
      <c r="Z349" s="17" t="n"/>
      <c r="AA349" s="17" t="n"/>
      <c r="AB349" s="17" t="n"/>
      <c r="AC349" s="17" t="n"/>
      <c r="AD349" s="17" t="n"/>
    </row>
    <row r="350" ht="15.75" customHeight="1">
      <c r="A350" s="16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/>
      <c r="Z350" s="17" t="n"/>
      <c r="AA350" s="17" t="n"/>
      <c r="AB350" s="17" t="n"/>
      <c r="AC350" s="17" t="n"/>
      <c r="AD350" s="17" t="n"/>
    </row>
    <row r="351" ht="15.75" customHeight="1">
      <c r="A351" s="16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/>
      <c r="Z351" s="17" t="n"/>
      <c r="AA351" s="17" t="n"/>
      <c r="AB351" s="17" t="n"/>
      <c r="AC351" s="17" t="n"/>
      <c r="AD351" s="17" t="n"/>
    </row>
    <row r="352" ht="15.75" customHeight="1">
      <c r="A352" s="16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/>
      <c r="Z352" s="17" t="n"/>
      <c r="AA352" s="17" t="n"/>
      <c r="AB352" s="17" t="n"/>
      <c r="AC352" s="17" t="n"/>
      <c r="AD352" s="17" t="n"/>
    </row>
    <row r="353" ht="15.75" customHeight="1">
      <c r="A353" s="16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7" t="n"/>
      <c r="AA353" s="17" t="n"/>
      <c r="AB353" s="17" t="n"/>
      <c r="AC353" s="17" t="n"/>
      <c r="AD353" s="17" t="n"/>
    </row>
    <row r="354" ht="15.75" customHeight="1">
      <c r="A354" s="16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7" t="n"/>
      <c r="AA354" s="17" t="n"/>
      <c r="AB354" s="17" t="n"/>
      <c r="AC354" s="17" t="n"/>
      <c r="AD354" s="17" t="n"/>
    </row>
    <row r="355" ht="15.75" customHeight="1">
      <c r="A355" s="16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7" t="n"/>
      <c r="AA355" s="17" t="n"/>
      <c r="AB355" s="17" t="n"/>
      <c r="AC355" s="17" t="n"/>
      <c r="AD355" s="17" t="n"/>
    </row>
    <row r="356" ht="15.75" customHeight="1">
      <c r="A356" s="16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7" t="n"/>
      <c r="AA356" s="17" t="n"/>
      <c r="AB356" s="17" t="n"/>
      <c r="AC356" s="17" t="n"/>
      <c r="AD356" s="17" t="n"/>
    </row>
    <row r="357" ht="15.75" customHeight="1">
      <c r="A357" s="16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/>
      <c r="Z357" s="17" t="n"/>
      <c r="AA357" s="17" t="n"/>
      <c r="AB357" s="17" t="n"/>
      <c r="AC357" s="17" t="n"/>
      <c r="AD357" s="17" t="n"/>
    </row>
    <row r="358" ht="15.75" customHeight="1">
      <c r="A358" s="16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7" t="n"/>
      <c r="Z358" s="17" t="n"/>
      <c r="AA358" s="17" t="n"/>
      <c r="AB358" s="17" t="n"/>
      <c r="AC358" s="17" t="n"/>
      <c r="AD358" s="17" t="n"/>
    </row>
    <row r="359" ht="15.75" customHeight="1">
      <c r="A359" s="16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/>
      <c r="Z359" s="17" t="n"/>
      <c r="AA359" s="17" t="n"/>
      <c r="AB359" s="17" t="n"/>
      <c r="AC359" s="17" t="n"/>
      <c r="AD359" s="17" t="n"/>
    </row>
    <row r="360" ht="15.75" customHeight="1">
      <c r="A360" s="16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/>
      <c r="Z360" s="17" t="n"/>
      <c r="AA360" s="17" t="n"/>
      <c r="AB360" s="17" t="n"/>
      <c r="AC360" s="17" t="n"/>
      <c r="AD360" s="17" t="n"/>
    </row>
    <row r="361" ht="15.75" customHeight="1">
      <c r="A361" s="16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7" t="n"/>
      <c r="Z361" s="17" t="n"/>
      <c r="AA361" s="17" t="n"/>
      <c r="AB361" s="17" t="n"/>
      <c r="AC361" s="17" t="n"/>
      <c r="AD361" s="17" t="n"/>
    </row>
    <row r="362" ht="15.75" customHeight="1">
      <c r="A362" s="16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7" t="n"/>
      <c r="Z362" s="17" t="n"/>
      <c r="AA362" s="17" t="n"/>
      <c r="AB362" s="17" t="n"/>
      <c r="AC362" s="17" t="n"/>
      <c r="AD362" s="17" t="n"/>
    </row>
    <row r="363" ht="15.75" customHeight="1">
      <c r="A363" s="16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/>
      <c r="Z363" s="17" t="n"/>
      <c r="AA363" s="17" t="n"/>
      <c r="AB363" s="17" t="n"/>
      <c r="AC363" s="17" t="n"/>
      <c r="AD363" s="17" t="n"/>
    </row>
    <row r="364" ht="15.75" customHeight="1">
      <c r="A364" s="16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7" t="n"/>
      <c r="AA364" s="17" t="n"/>
      <c r="AB364" s="17" t="n"/>
      <c r="AC364" s="17" t="n"/>
      <c r="AD364" s="17" t="n"/>
    </row>
    <row r="365" ht="15.75" customHeight="1">
      <c r="A365" s="16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7" t="n"/>
      <c r="Z365" s="17" t="n"/>
      <c r="AA365" s="17" t="n"/>
      <c r="AB365" s="17" t="n"/>
      <c r="AC365" s="17" t="n"/>
      <c r="AD365" s="17" t="n"/>
    </row>
    <row r="366" ht="15.75" customHeight="1">
      <c r="A366" s="16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/>
      <c r="Z366" s="17" t="n"/>
      <c r="AA366" s="17" t="n"/>
      <c r="AB366" s="17" t="n"/>
      <c r="AC366" s="17" t="n"/>
      <c r="AD366" s="17" t="n"/>
    </row>
    <row r="367" ht="15.75" customHeight="1">
      <c r="A367" s="16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/>
      <c r="Z367" s="17" t="n"/>
      <c r="AA367" s="17" t="n"/>
      <c r="AB367" s="17" t="n"/>
      <c r="AC367" s="17" t="n"/>
      <c r="AD367" s="17" t="n"/>
    </row>
    <row r="368" ht="15.75" customHeight="1">
      <c r="A368" s="16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/>
      <c r="Z368" s="17" t="n"/>
      <c r="AA368" s="17" t="n"/>
      <c r="AB368" s="17" t="n"/>
      <c r="AC368" s="17" t="n"/>
      <c r="AD368" s="17" t="n"/>
    </row>
    <row r="369" ht="15.75" customHeight="1">
      <c r="A369" s="16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/>
      <c r="Z369" s="17" t="n"/>
      <c r="AA369" s="17" t="n"/>
      <c r="AB369" s="17" t="n"/>
      <c r="AC369" s="17" t="n"/>
      <c r="AD369" s="17" t="n"/>
    </row>
    <row r="370" ht="15.75" customHeight="1">
      <c r="A370" s="16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/>
      <c r="Z370" s="17" t="n"/>
      <c r="AA370" s="17" t="n"/>
      <c r="AB370" s="17" t="n"/>
      <c r="AC370" s="17" t="n"/>
      <c r="AD370" s="17" t="n"/>
    </row>
    <row r="371" ht="15.75" customHeight="1">
      <c r="A371" s="16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/>
      <c r="Z371" s="17" t="n"/>
      <c r="AA371" s="17" t="n"/>
      <c r="AB371" s="17" t="n"/>
      <c r="AC371" s="17" t="n"/>
      <c r="AD371" s="17" t="n"/>
    </row>
    <row r="372" ht="15.75" customHeight="1">
      <c r="A372" s="16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/>
      <c r="Z372" s="17" t="n"/>
      <c r="AA372" s="17" t="n"/>
      <c r="AB372" s="17" t="n"/>
      <c r="AC372" s="17" t="n"/>
      <c r="AD372" s="17" t="n"/>
    </row>
    <row r="373" ht="15.75" customHeight="1">
      <c r="A373" s="16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/>
      <c r="Z373" s="17" t="n"/>
      <c r="AA373" s="17" t="n"/>
      <c r="AB373" s="17" t="n"/>
      <c r="AC373" s="17" t="n"/>
      <c r="AD373" s="17" t="n"/>
    </row>
    <row r="374" ht="15.75" customHeight="1">
      <c r="A374" s="16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/>
      <c r="Z374" s="17" t="n"/>
      <c r="AA374" s="17" t="n"/>
      <c r="AB374" s="17" t="n"/>
      <c r="AC374" s="17" t="n"/>
      <c r="AD374" s="17" t="n"/>
    </row>
    <row r="375" ht="15.75" customHeight="1">
      <c r="A375" s="16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7" t="n"/>
      <c r="AA375" s="17" t="n"/>
      <c r="AB375" s="17" t="n"/>
      <c r="AC375" s="17" t="n"/>
      <c r="AD375" s="17" t="n"/>
    </row>
    <row r="376" ht="15.75" customHeight="1">
      <c r="A376" s="16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/>
      <c r="Z376" s="17" t="n"/>
      <c r="AA376" s="17" t="n"/>
      <c r="AB376" s="17" t="n"/>
      <c r="AC376" s="17" t="n"/>
      <c r="AD376" s="17" t="n"/>
    </row>
    <row r="377" ht="15.75" customHeight="1">
      <c r="A377" s="16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7" t="n"/>
      <c r="Z377" s="17" t="n"/>
      <c r="AA377" s="17" t="n"/>
      <c r="AB377" s="17" t="n"/>
      <c r="AC377" s="17" t="n"/>
      <c r="AD377" s="17" t="n"/>
    </row>
    <row r="378" ht="15.75" customHeight="1">
      <c r="A378" s="16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/>
      <c r="Z378" s="17" t="n"/>
      <c r="AA378" s="17" t="n"/>
      <c r="AB378" s="17" t="n"/>
      <c r="AC378" s="17" t="n"/>
      <c r="AD378" s="17" t="n"/>
    </row>
    <row r="379" ht="15.75" customHeight="1">
      <c r="A379" s="16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7" t="n"/>
      <c r="AA379" s="17" t="n"/>
      <c r="AB379" s="17" t="n"/>
      <c r="AC379" s="17" t="n"/>
      <c r="AD379" s="17" t="n"/>
    </row>
    <row r="380" ht="15.75" customHeight="1">
      <c r="A380" s="16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/>
      <c r="Z380" s="17" t="n"/>
      <c r="AA380" s="17" t="n"/>
      <c r="AB380" s="17" t="n"/>
      <c r="AC380" s="17" t="n"/>
      <c r="AD380" s="17" t="n"/>
    </row>
    <row r="381" ht="15.75" customHeight="1">
      <c r="A381" s="16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7" t="n"/>
      <c r="Z381" s="17" t="n"/>
      <c r="AA381" s="17" t="n"/>
      <c r="AB381" s="17" t="n"/>
      <c r="AC381" s="17" t="n"/>
      <c r="AD381" s="17" t="n"/>
    </row>
    <row r="382" ht="15.75" customHeight="1">
      <c r="A382" s="16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/>
      <c r="Z382" s="17" t="n"/>
      <c r="AA382" s="17" t="n"/>
      <c r="AB382" s="17" t="n"/>
      <c r="AC382" s="17" t="n"/>
      <c r="AD382" s="17" t="n"/>
    </row>
    <row r="383" ht="15.75" customHeight="1">
      <c r="A383" s="16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/>
      <c r="Z383" s="17" t="n"/>
      <c r="AA383" s="17" t="n"/>
      <c r="AB383" s="17" t="n"/>
      <c r="AC383" s="17" t="n"/>
      <c r="AD383" s="17" t="n"/>
    </row>
    <row r="384" ht="15.75" customHeight="1">
      <c r="A384" s="16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/>
      <c r="Z384" s="17" t="n"/>
      <c r="AA384" s="17" t="n"/>
      <c r="AB384" s="17" t="n"/>
      <c r="AC384" s="17" t="n"/>
      <c r="AD384" s="17" t="n"/>
    </row>
    <row r="385" ht="15.75" customHeight="1">
      <c r="A385" s="16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/>
      <c r="Z385" s="17" t="n"/>
      <c r="AA385" s="17" t="n"/>
      <c r="AB385" s="17" t="n"/>
      <c r="AC385" s="17" t="n"/>
      <c r="AD385" s="17" t="n"/>
    </row>
    <row r="386" ht="15.75" customHeight="1">
      <c r="A386" s="16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/>
      <c r="Z386" s="17" t="n"/>
      <c r="AA386" s="17" t="n"/>
      <c r="AB386" s="17" t="n"/>
      <c r="AC386" s="17" t="n"/>
      <c r="AD386" s="17" t="n"/>
    </row>
    <row r="387" ht="15.75" customHeight="1">
      <c r="A387" s="16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/>
      <c r="Z387" s="17" t="n"/>
      <c r="AA387" s="17" t="n"/>
      <c r="AB387" s="17" t="n"/>
      <c r="AC387" s="17" t="n"/>
      <c r="AD387" s="17" t="n"/>
    </row>
    <row r="388" ht="15.75" customHeight="1">
      <c r="A388" s="16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7" t="n"/>
      <c r="Z388" s="17" t="n"/>
      <c r="AA388" s="17" t="n"/>
      <c r="AB388" s="17" t="n"/>
      <c r="AC388" s="17" t="n"/>
      <c r="AD388" s="17" t="n"/>
    </row>
    <row r="389" ht="15.75" customHeight="1">
      <c r="A389" s="16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7" t="n"/>
      <c r="Z389" s="17" t="n"/>
      <c r="AA389" s="17" t="n"/>
      <c r="AB389" s="17" t="n"/>
      <c r="AC389" s="17" t="n"/>
      <c r="AD389" s="17" t="n"/>
    </row>
    <row r="390" ht="15.75" customHeight="1">
      <c r="A390" s="16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/>
      <c r="Z390" s="17" t="n"/>
      <c r="AA390" s="17" t="n"/>
      <c r="AB390" s="17" t="n"/>
      <c r="AC390" s="17" t="n"/>
      <c r="AD390" s="17" t="n"/>
    </row>
    <row r="391" ht="15.75" customHeight="1">
      <c r="A391" s="16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/>
      <c r="Z391" s="17" t="n"/>
      <c r="AA391" s="17" t="n"/>
      <c r="AB391" s="17" t="n"/>
      <c r="AC391" s="17" t="n"/>
      <c r="AD391" s="17" t="n"/>
    </row>
    <row r="392" ht="15.75" customHeight="1">
      <c r="A392" s="16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/>
      <c r="Z392" s="17" t="n"/>
      <c r="AA392" s="17" t="n"/>
      <c r="AB392" s="17" t="n"/>
      <c r="AC392" s="17" t="n"/>
      <c r="AD392" s="17" t="n"/>
    </row>
    <row r="393" ht="15.75" customHeight="1">
      <c r="A393" s="16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/>
      <c r="Z393" s="17" t="n"/>
      <c r="AA393" s="17" t="n"/>
      <c r="AB393" s="17" t="n"/>
      <c r="AC393" s="17" t="n"/>
      <c r="AD393" s="17" t="n"/>
    </row>
    <row r="394" ht="15.75" customHeight="1">
      <c r="A394" s="16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/>
      <c r="Z394" s="17" t="n"/>
      <c r="AA394" s="17" t="n"/>
      <c r="AB394" s="17" t="n"/>
      <c r="AC394" s="17" t="n"/>
      <c r="AD394" s="17" t="n"/>
    </row>
    <row r="395" ht="15.75" customHeight="1">
      <c r="A395" s="16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/>
      <c r="Z395" s="17" t="n"/>
      <c r="AA395" s="17" t="n"/>
      <c r="AB395" s="17" t="n"/>
      <c r="AC395" s="17" t="n"/>
      <c r="AD395" s="17" t="n"/>
    </row>
    <row r="396" ht="15.75" customHeight="1">
      <c r="A396" s="16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7" t="n"/>
      <c r="Z396" s="17" t="n"/>
      <c r="AA396" s="17" t="n"/>
      <c r="AB396" s="17" t="n"/>
      <c r="AC396" s="17" t="n"/>
      <c r="AD396" s="17" t="n"/>
    </row>
    <row r="397" ht="15.75" customHeight="1">
      <c r="A397" s="16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/>
      <c r="Z397" s="17" t="n"/>
      <c r="AA397" s="17" t="n"/>
      <c r="AB397" s="17" t="n"/>
      <c r="AC397" s="17" t="n"/>
      <c r="AD397" s="17" t="n"/>
    </row>
    <row r="398" ht="15.75" customHeight="1">
      <c r="A398" s="16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/>
      <c r="Z398" s="17" t="n"/>
      <c r="AA398" s="17" t="n"/>
      <c r="AB398" s="17" t="n"/>
      <c r="AC398" s="17" t="n"/>
      <c r="AD398" s="17" t="n"/>
    </row>
    <row r="399" ht="15.75" customHeight="1">
      <c r="A399" s="16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/>
      <c r="Z399" s="17" t="n"/>
      <c r="AA399" s="17" t="n"/>
      <c r="AB399" s="17" t="n"/>
      <c r="AC399" s="17" t="n"/>
      <c r="AD399" s="17" t="n"/>
    </row>
    <row r="400" ht="15.75" customHeight="1">
      <c r="A400" s="16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/>
      <c r="Z400" s="17" t="n"/>
      <c r="AA400" s="17" t="n"/>
      <c r="AB400" s="17" t="n"/>
      <c r="AC400" s="17" t="n"/>
      <c r="AD400" s="17" t="n"/>
    </row>
    <row r="401" ht="15.75" customHeight="1">
      <c r="A401" s="16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7" t="n"/>
      <c r="Z401" s="17" t="n"/>
      <c r="AA401" s="17" t="n"/>
      <c r="AB401" s="17" t="n"/>
      <c r="AC401" s="17" t="n"/>
      <c r="AD401" s="17" t="n"/>
    </row>
    <row r="402" ht="15.75" customHeight="1">
      <c r="A402" s="16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/>
      <c r="Z402" s="17" t="n"/>
      <c r="AA402" s="17" t="n"/>
      <c r="AB402" s="17" t="n"/>
      <c r="AC402" s="17" t="n"/>
      <c r="AD402" s="17" t="n"/>
    </row>
    <row r="403" ht="15.75" customHeight="1">
      <c r="A403" s="16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7" t="n"/>
      <c r="AA403" s="17" t="n"/>
      <c r="AB403" s="17" t="n"/>
      <c r="AC403" s="17" t="n"/>
      <c r="AD403" s="17" t="n"/>
    </row>
    <row r="404" ht="15.75" customHeight="1">
      <c r="A404" s="16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/>
      <c r="Z404" s="17" t="n"/>
      <c r="AA404" s="17" t="n"/>
      <c r="AB404" s="17" t="n"/>
      <c r="AC404" s="17" t="n"/>
      <c r="AD404" s="17" t="n"/>
    </row>
    <row r="405" ht="15.75" customHeight="1">
      <c r="A405" s="16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/>
      <c r="Z405" s="17" t="n"/>
      <c r="AA405" s="17" t="n"/>
      <c r="AB405" s="17" t="n"/>
      <c r="AC405" s="17" t="n"/>
      <c r="AD405" s="17" t="n"/>
    </row>
    <row r="406" ht="15.75" customHeight="1">
      <c r="A406" s="16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/>
      <c r="Z406" s="17" t="n"/>
      <c r="AA406" s="17" t="n"/>
      <c r="AB406" s="17" t="n"/>
      <c r="AC406" s="17" t="n"/>
      <c r="AD406" s="17" t="n"/>
    </row>
    <row r="407" ht="15.75" customHeight="1">
      <c r="A407" s="16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7" t="n"/>
      <c r="Z407" s="17" t="n"/>
      <c r="AA407" s="17" t="n"/>
      <c r="AB407" s="17" t="n"/>
      <c r="AC407" s="17" t="n"/>
      <c r="AD407" s="17" t="n"/>
    </row>
    <row r="408" ht="15.75" customHeight="1">
      <c r="A408" s="16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7" t="n"/>
      <c r="Z408" s="17" t="n"/>
      <c r="AA408" s="17" t="n"/>
      <c r="AB408" s="17" t="n"/>
      <c r="AC408" s="17" t="n"/>
      <c r="AD408" s="17" t="n"/>
    </row>
    <row r="409" ht="15.75" customHeight="1">
      <c r="A409" s="16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/>
      <c r="Z409" s="17" t="n"/>
      <c r="AA409" s="17" t="n"/>
      <c r="AB409" s="17" t="n"/>
      <c r="AC409" s="17" t="n"/>
      <c r="AD409" s="17" t="n"/>
    </row>
    <row r="410" ht="15.75" customHeight="1">
      <c r="A410" s="16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/>
      <c r="Z410" s="17" t="n"/>
      <c r="AA410" s="17" t="n"/>
      <c r="AB410" s="17" t="n"/>
      <c r="AC410" s="17" t="n"/>
      <c r="AD410" s="17" t="n"/>
    </row>
    <row r="411" ht="15.75" customHeight="1">
      <c r="A411" s="16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7" t="n"/>
      <c r="Z411" s="17" t="n"/>
      <c r="AA411" s="17" t="n"/>
      <c r="AB411" s="17" t="n"/>
      <c r="AC411" s="17" t="n"/>
      <c r="AD411" s="17" t="n"/>
    </row>
    <row r="412" ht="15.75" customHeight="1">
      <c r="A412" s="16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/>
      <c r="Z412" s="17" t="n"/>
      <c r="AA412" s="17" t="n"/>
      <c r="AB412" s="17" t="n"/>
      <c r="AC412" s="17" t="n"/>
      <c r="AD412" s="17" t="n"/>
    </row>
    <row r="413" ht="15.75" customHeight="1">
      <c r="A413" s="16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/>
      <c r="Z413" s="17" t="n"/>
      <c r="AA413" s="17" t="n"/>
      <c r="AB413" s="17" t="n"/>
      <c r="AC413" s="17" t="n"/>
      <c r="AD413" s="17" t="n"/>
    </row>
    <row r="414" ht="15.75" customHeight="1">
      <c r="A414" s="16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/>
      <c r="Z414" s="17" t="n"/>
      <c r="AA414" s="17" t="n"/>
      <c r="AB414" s="17" t="n"/>
      <c r="AC414" s="17" t="n"/>
      <c r="AD414" s="17" t="n"/>
    </row>
    <row r="415" ht="15.75" customHeight="1">
      <c r="A415" s="16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/>
      <c r="Z415" s="17" t="n"/>
      <c r="AA415" s="17" t="n"/>
      <c r="AB415" s="17" t="n"/>
      <c r="AC415" s="17" t="n"/>
      <c r="AD415" s="17" t="n"/>
    </row>
    <row r="416" ht="15.75" customHeight="1">
      <c r="A416" s="16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7" t="n"/>
      <c r="AA416" s="17" t="n"/>
      <c r="AB416" s="17" t="n"/>
      <c r="AC416" s="17" t="n"/>
      <c r="AD416" s="17" t="n"/>
    </row>
    <row r="417" ht="15.75" customHeight="1">
      <c r="A417" s="16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7" t="n"/>
      <c r="Z417" s="17" t="n"/>
      <c r="AA417" s="17" t="n"/>
      <c r="AB417" s="17" t="n"/>
      <c r="AC417" s="17" t="n"/>
      <c r="AD417" s="17" t="n"/>
    </row>
    <row r="418" ht="15.75" customHeight="1">
      <c r="A418" s="16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7" t="n"/>
      <c r="AA418" s="17" t="n"/>
      <c r="AB418" s="17" t="n"/>
      <c r="AC418" s="17" t="n"/>
      <c r="AD418" s="17" t="n"/>
    </row>
    <row r="419" ht="15.75" customHeight="1">
      <c r="A419" s="16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/>
      <c r="Z419" s="17" t="n"/>
      <c r="AA419" s="17" t="n"/>
      <c r="AB419" s="17" t="n"/>
      <c r="AC419" s="17" t="n"/>
      <c r="AD419" s="17" t="n"/>
    </row>
    <row r="420" ht="15.75" customHeight="1">
      <c r="A420" s="16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/>
      <c r="Z420" s="17" t="n"/>
      <c r="AA420" s="17" t="n"/>
      <c r="AB420" s="17" t="n"/>
      <c r="AC420" s="17" t="n"/>
      <c r="AD420" s="17" t="n"/>
    </row>
    <row r="421" ht="15.75" customHeight="1">
      <c r="A421" s="16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7" t="n"/>
      <c r="Z421" s="17" t="n"/>
      <c r="AA421" s="17" t="n"/>
      <c r="AB421" s="17" t="n"/>
      <c r="AC421" s="17" t="n"/>
      <c r="AD421" s="17" t="n"/>
    </row>
    <row r="422" ht="15.75" customHeight="1">
      <c r="A422" s="16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7" t="n"/>
      <c r="Z422" s="17" t="n"/>
      <c r="AA422" s="17" t="n"/>
      <c r="AB422" s="17" t="n"/>
      <c r="AC422" s="17" t="n"/>
      <c r="AD422" s="17" t="n"/>
    </row>
    <row r="423" ht="15.75" customHeight="1">
      <c r="A423" s="16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/>
      <c r="Z423" s="17" t="n"/>
      <c r="AA423" s="17" t="n"/>
      <c r="AB423" s="17" t="n"/>
      <c r="AC423" s="17" t="n"/>
      <c r="AD423" s="17" t="n"/>
    </row>
    <row r="424" ht="15.75" customHeight="1">
      <c r="A424" s="16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/>
      <c r="Z424" s="17" t="n"/>
      <c r="AA424" s="17" t="n"/>
      <c r="AB424" s="17" t="n"/>
      <c r="AC424" s="17" t="n"/>
      <c r="AD424" s="17" t="n"/>
    </row>
    <row r="425" ht="15.75" customHeight="1">
      <c r="A425" s="16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/>
      <c r="Z425" s="17" t="n"/>
      <c r="AA425" s="17" t="n"/>
      <c r="AB425" s="17" t="n"/>
      <c r="AC425" s="17" t="n"/>
      <c r="AD425" s="17" t="n"/>
    </row>
    <row r="426" ht="15.75" customHeight="1">
      <c r="A426" s="16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7" t="n"/>
      <c r="Z426" s="17" t="n"/>
      <c r="AA426" s="17" t="n"/>
      <c r="AB426" s="17" t="n"/>
      <c r="AC426" s="17" t="n"/>
      <c r="AD426" s="17" t="n"/>
    </row>
    <row r="427" ht="15.75" customHeight="1">
      <c r="A427" s="16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/>
      <c r="Z427" s="17" t="n"/>
      <c r="AA427" s="17" t="n"/>
      <c r="AB427" s="17" t="n"/>
      <c r="AC427" s="17" t="n"/>
      <c r="AD427" s="17" t="n"/>
    </row>
    <row r="428" ht="15.75" customHeight="1">
      <c r="A428" s="16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/>
      <c r="Z428" s="17" t="n"/>
      <c r="AA428" s="17" t="n"/>
      <c r="AB428" s="17" t="n"/>
      <c r="AC428" s="17" t="n"/>
      <c r="AD428" s="17" t="n"/>
    </row>
    <row r="429" ht="15.75" customHeight="1">
      <c r="A429" s="16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7" t="n"/>
      <c r="Z429" s="17" t="n"/>
      <c r="AA429" s="17" t="n"/>
      <c r="AB429" s="17" t="n"/>
      <c r="AC429" s="17" t="n"/>
      <c r="AD429" s="17" t="n"/>
    </row>
    <row r="430" ht="15.75" customHeight="1">
      <c r="A430" s="16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/>
      <c r="Z430" s="17" t="n"/>
      <c r="AA430" s="17" t="n"/>
      <c r="AB430" s="17" t="n"/>
      <c r="AC430" s="17" t="n"/>
      <c r="AD430" s="17" t="n"/>
    </row>
    <row r="431" ht="15.75" customHeight="1">
      <c r="A431" s="16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7" t="n"/>
      <c r="AA431" s="17" t="n"/>
      <c r="AB431" s="17" t="n"/>
      <c r="AC431" s="17" t="n"/>
      <c r="AD431" s="17" t="n"/>
    </row>
    <row r="432" ht="15.75" customHeight="1">
      <c r="A432" s="16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/>
      <c r="Z432" s="17" t="n"/>
      <c r="AA432" s="17" t="n"/>
      <c r="AB432" s="17" t="n"/>
      <c r="AC432" s="17" t="n"/>
      <c r="AD432" s="17" t="n"/>
    </row>
    <row r="433" ht="15.75" customHeight="1">
      <c r="A433" s="16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/>
      <c r="Z433" s="17" t="n"/>
      <c r="AA433" s="17" t="n"/>
      <c r="AB433" s="17" t="n"/>
      <c r="AC433" s="17" t="n"/>
      <c r="AD433" s="17" t="n"/>
    </row>
    <row r="434" ht="15.75" customHeight="1">
      <c r="A434" s="16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/>
      <c r="Z434" s="17" t="n"/>
      <c r="AA434" s="17" t="n"/>
      <c r="AB434" s="17" t="n"/>
      <c r="AC434" s="17" t="n"/>
      <c r="AD434" s="17" t="n"/>
    </row>
    <row r="435" ht="15.75" customHeight="1">
      <c r="A435" s="16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7" t="n"/>
      <c r="Z435" s="17" t="n"/>
      <c r="AA435" s="17" t="n"/>
      <c r="AB435" s="17" t="n"/>
      <c r="AC435" s="17" t="n"/>
      <c r="AD435" s="17" t="n"/>
    </row>
    <row r="436" ht="15.75" customHeight="1">
      <c r="A436" s="16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/>
      <c r="Z436" s="17" t="n"/>
      <c r="AA436" s="17" t="n"/>
      <c r="AB436" s="17" t="n"/>
      <c r="AC436" s="17" t="n"/>
      <c r="AD436" s="17" t="n"/>
    </row>
    <row r="437" ht="15.75" customHeight="1">
      <c r="A437" s="16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/>
      <c r="Z437" s="17" t="n"/>
      <c r="AA437" s="17" t="n"/>
      <c r="AB437" s="17" t="n"/>
      <c r="AC437" s="17" t="n"/>
      <c r="AD437" s="17" t="n"/>
    </row>
    <row r="438" ht="15.75" customHeight="1">
      <c r="A438" s="16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/>
      <c r="Z438" s="17" t="n"/>
      <c r="AA438" s="17" t="n"/>
      <c r="AB438" s="17" t="n"/>
      <c r="AC438" s="17" t="n"/>
      <c r="AD438" s="17" t="n"/>
    </row>
    <row r="439" ht="15.75" customHeight="1">
      <c r="A439" s="16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7" t="n"/>
      <c r="Z439" s="17" t="n"/>
      <c r="AA439" s="17" t="n"/>
      <c r="AB439" s="17" t="n"/>
      <c r="AC439" s="17" t="n"/>
      <c r="AD439" s="17" t="n"/>
    </row>
    <row r="440" ht="15.75" customHeight="1">
      <c r="A440" s="16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7" t="n"/>
      <c r="Z440" s="17" t="n"/>
      <c r="AA440" s="17" t="n"/>
      <c r="AB440" s="17" t="n"/>
      <c r="AC440" s="17" t="n"/>
      <c r="AD440" s="17" t="n"/>
    </row>
    <row r="441" ht="15.75" customHeight="1">
      <c r="A441" s="16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7" t="n"/>
      <c r="Z441" s="17" t="n"/>
      <c r="AA441" s="17" t="n"/>
      <c r="AB441" s="17" t="n"/>
      <c r="AC441" s="17" t="n"/>
      <c r="AD441" s="17" t="n"/>
    </row>
    <row r="442" ht="15.75" customHeight="1">
      <c r="A442" s="16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/>
      <c r="Z442" s="17" t="n"/>
      <c r="AA442" s="17" t="n"/>
      <c r="AB442" s="17" t="n"/>
      <c r="AC442" s="17" t="n"/>
      <c r="AD442" s="17" t="n"/>
    </row>
    <row r="443" ht="15.75" customHeight="1">
      <c r="A443" s="16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/>
      <c r="Z443" s="17" t="n"/>
      <c r="AA443" s="17" t="n"/>
      <c r="AB443" s="17" t="n"/>
      <c r="AC443" s="17" t="n"/>
      <c r="AD443" s="17" t="n"/>
    </row>
    <row r="444" ht="15.75" customHeight="1">
      <c r="A444" s="16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7" t="n"/>
      <c r="Z444" s="17" t="n"/>
      <c r="AA444" s="17" t="n"/>
      <c r="AB444" s="17" t="n"/>
      <c r="AC444" s="17" t="n"/>
      <c r="AD444" s="17" t="n"/>
    </row>
    <row r="445" ht="15.75" customHeight="1">
      <c r="A445" s="16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7" t="n"/>
      <c r="AA445" s="17" t="n"/>
      <c r="AB445" s="17" t="n"/>
      <c r="AC445" s="17" t="n"/>
      <c r="AD445" s="17" t="n"/>
    </row>
    <row r="446" ht="15.75" customHeight="1">
      <c r="A446" s="16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/>
      <c r="Z446" s="17" t="n"/>
      <c r="AA446" s="17" t="n"/>
      <c r="AB446" s="17" t="n"/>
      <c r="AC446" s="17" t="n"/>
      <c r="AD446" s="17" t="n"/>
    </row>
    <row r="447" ht="15.75" customHeight="1">
      <c r="A447" s="16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/>
      <c r="Z447" s="17" t="n"/>
      <c r="AA447" s="17" t="n"/>
      <c r="AB447" s="17" t="n"/>
      <c r="AC447" s="17" t="n"/>
      <c r="AD447" s="17" t="n"/>
    </row>
    <row r="448" ht="15.75" customHeight="1">
      <c r="A448" s="16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/>
      <c r="Z448" s="17" t="n"/>
      <c r="AA448" s="17" t="n"/>
      <c r="AB448" s="17" t="n"/>
      <c r="AC448" s="17" t="n"/>
      <c r="AD448" s="17" t="n"/>
    </row>
    <row r="449" ht="15.75" customHeight="1">
      <c r="A449" s="16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/>
      <c r="Z449" s="17" t="n"/>
      <c r="AA449" s="17" t="n"/>
      <c r="AB449" s="17" t="n"/>
      <c r="AC449" s="17" t="n"/>
      <c r="AD449" s="17" t="n"/>
    </row>
    <row r="450" ht="15.75" customHeight="1">
      <c r="A450" s="16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7" t="n"/>
      <c r="Z450" s="17" t="n"/>
      <c r="AA450" s="17" t="n"/>
      <c r="AB450" s="17" t="n"/>
      <c r="AC450" s="17" t="n"/>
      <c r="AD450" s="17" t="n"/>
    </row>
    <row r="451" ht="15.75" customHeight="1">
      <c r="A451" s="16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/>
      <c r="Z451" s="17" t="n"/>
      <c r="AA451" s="17" t="n"/>
      <c r="AB451" s="17" t="n"/>
      <c r="AC451" s="17" t="n"/>
      <c r="AD451" s="17" t="n"/>
    </row>
    <row r="452" ht="15.75" customHeight="1">
      <c r="A452" s="16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/>
      <c r="Z452" s="17" t="n"/>
      <c r="AA452" s="17" t="n"/>
      <c r="AB452" s="17" t="n"/>
      <c r="AC452" s="17" t="n"/>
      <c r="AD452" s="17" t="n"/>
    </row>
    <row r="453" ht="15.75" customHeight="1">
      <c r="A453" s="16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7" t="n"/>
      <c r="AA453" s="17" t="n"/>
      <c r="AB453" s="17" t="n"/>
      <c r="AC453" s="17" t="n"/>
      <c r="AD453" s="17" t="n"/>
    </row>
    <row r="454" ht="15.75" customHeight="1">
      <c r="A454" s="16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/>
      <c r="Z454" s="17" t="n"/>
      <c r="AA454" s="17" t="n"/>
      <c r="AB454" s="17" t="n"/>
      <c r="AC454" s="17" t="n"/>
      <c r="AD454" s="17" t="n"/>
    </row>
    <row r="455" ht="15.75" customHeight="1">
      <c r="A455" s="16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/>
      <c r="Z455" s="17" t="n"/>
      <c r="AA455" s="17" t="n"/>
      <c r="AB455" s="17" t="n"/>
      <c r="AC455" s="17" t="n"/>
      <c r="AD455" s="17" t="n"/>
    </row>
    <row r="456" ht="15.75" customHeight="1">
      <c r="A456" s="16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/>
      <c r="Z456" s="17" t="n"/>
      <c r="AA456" s="17" t="n"/>
      <c r="AB456" s="17" t="n"/>
      <c r="AC456" s="17" t="n"/>
      <c r="AD456" s="17" t="n"/>
    </row>
    <row r="457" ht="15.75" customHeight="1">
      <c r="A457" s="16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7" t="n"/>
      <c r="Z457" s="17" t="n"/>
      <c r="AA457" s="17" t="n"/>
      <c r="AB457" s="17" t="n"/>
      <c r="AC457" s="17" t="n"/>
      <c r="AD457" s="17" t="n"/>
    </row>
    <row r="458" ht="15.75" customHeight="1">
      <c r="A458" s="16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7" t="n"/>
      <c r="Z458" s="17" t="n"/>
      <c r="AA458" s="17" t="n"/>
      <c r="AB458" s="17" t="n"/>
      <c r="AC458" s="17" t="n"/>
      <c r="AD458" s="17" t="n"/>
    </row>
    <row r="459" ht="15.75" customHeight="1">
      <c r="A459" s="16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7" t="n"/>
      <c r="Z459" s="17" t="n"/>
      <c r="AA459" s="17" t="n"/>
      <c r="AB459" s="17" t="n"/>
      <c r="AC459" s="17" t="n"/>
      <c r="AD459" s="17" t="n"/>
    </row>
    <row r="460" ht="15.75" customHeight="1">
      <c r="A460" s="16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7" t="n"/>
      <c r="AA460" s="17" t="n"/>
      <c r="AB460" s="17" t="n"/>
      <c r="AC460" s="17" t="n"/>
      <c r="AD460" s="17" t="n"/>
    </row>
    <row r="461" ht="15.75" customHeight="1">
      <c r="A461" s="16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/>
      <c r="Z461" s="17" t="n"/>
      <c r="AA461" s="17" t="n"/>
      <c r="AB461" s="17" t="n"/>
      <c r="AC461" s="17" t="n"/>
      <c r="AD461" s="17" t="n"/>
    </row>
    <row r="462" ht="15.75" customHeight="1">
      <c r="A462" s="16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7" t="n"/>
      <c r="AA462" s="17" t="n"/>
      <c r="AB462" s="17" t="n"/>
      <c r="AC462" s="17" t="n"/>
      <c r="AD462" s="17" t="n"/>
    </row>
    <row r="463" ht="15.75" customHeight="1">
      <c r="A463" s="16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7" t="n"/>
      <c r="AA463" s="17" t="n"/>
      <c r="AB463" s="17" t="n"/>
      <c r="AC463" s="17" t="n"/>
      <c r="AD463" s="17" t="n"/>
    </row>
    <row r="464" ht="15.75" customHeight="1">
      <c r="A464" s="16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/>
      <c r="Z464" s="17" t="n"/>
      <c r="AA464" s="17" t="n"/>
      <c r="AB464" s="17" t="n"/>
      <c r="AC464" s="17" t="n"/>
      <c r="AD464" s="17" t="n"/>
    </row>
    <row r="465" ht="15.75" customHeight="1">
      <c r="A465" s="16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/>
      <c r="Z465" s="17" t="n"/>
      <c r="AA465" s="17" t="n"/>
      <c r="AB465" s="17" t="n"/>
      <c r="AC465" s="17" t="n"/>
      <c r="AD465" s="17" t="n"/>
    </row>
    <row r="466" ht="15.75" customHeight="1">
      <c r="A466" s="16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/>
      <c r="Z466" s="17" t="n"/>
      <c r="AA466" s="17" t="n"/>
      <c r="AB466" s="17" t="n"/>
      <c r="AC466" s="17" t="n"/>
      <c r="AD466" s="17" t="n"/>
    </row>
    <row r="467" ht="15.75" customHeight="1">
      <c r="A467" s="16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/>
      <c r="Z467" s="17" t="n"/>
      <c r="AA467" s="17" t="n"/>
      <c r="AB467" s="17" t="n"/>
      <c r="AC467" s="17" t="n"/>
      <c r="AD467" s="17" t="n"/>
    </row>
    <row r="468" ht="15.75" customHeight="1">
      <c r="A468" s="16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/>
      <c r="Z468" s="17" t="n"/>
      <c r="AA468" s="17" t="n"/>
      <c r="AB468" s="17" t="n"/>
      <c r="AC468" s="17" t="n"/>
      <c r="AD468" s="17" t="n"/>
    </row>
    <row r="469" ht="15.75" customHeight="1">
      <c r="A469" s="16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/>
      <c r="Z469" s="17" t="n"/>
      <c r="AA469" s="17" t="n"/>
      <c r="AB469" s="17" t="n"/>
      <c r="AC469" s="17" t="n"/>
      <c r="AD469" s="17" t="n"/>
    </row>
    <row r="470" ht="15.75" customHeight="1">
      <c r="A470" s="16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7" t="n"/>
      <c r="AA470" s="17" t="n"/>
      <c r="AB470" s="17" t="n"/>
      <c r="AC470" s="17" t="n"/>
      <c r="AD470" s="17" t="n"/>
    </row>
    <row r="471" ht="15.75" customHeight="1">
      <c r="A471" s="16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/>
      <c r="Z471" s="17" t="n"/>
      <c r="AA471" s="17" t="n"/>
      <c r="AB471" s="17" t="n"/>
      <c r="AC471" s="17" t="n"/>
      <c r="AD471" s="17" t="n"/>
    </row>
    <row r="472" ht="15.75" customHeight="1">
      <c r="A472" s="16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/>
      <c r="Z472" s="17" t="n"/>
      <c r="AA472" s="17" t="n"/>
      <c r="AB472" s="17" t="n"/>
      <c r="AC472" s="17" t="n"/>
      <c r="AD472" s="17" t="n"/>
    </row>
    <row r="473" ht="15.75" customHeight="1">
      <c r="A473" s="16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/>
      <c r="Z473" s="17" t="n"/>
      <c r="AA473" s="17" t="n"/>
      <c r="AB473" s="17" t="n"/>
      <c r="AC473" s="17" t="n"/>
      <c r="AD473" s="17" t="n"/>
    </row>
    <row r="474" ht="15.75" customHeight="1">
      <c r="A474" s="16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/>
      <c r="Z474" s="17" t="n"/>
      <c r="AA474" s="17" t="n"/>
      <c r="AB474" s="17" t="n"/>
      <c r="AC474" s="17" t="n"/>
      <c r="AD474" s="17" t="n"/>
    </row>
    <row r="475" ht="15.75" customHeight="1">
      <c r="A475" s="16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/>
      <c r="Z475" s="17" t="n"/>
      <c r="AA475" s="17" t="n"/>
      <c r="AB475" s="17" t="n"/>
      <c r="AC475" s="17" t="n"/>
      <c r="AD475" s="17" t="n"/>
    </row>
    <row r="476" ht="15.75" customHeight="1">
      <c r="A476" s="16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/>
      <c r="Z476" s="17" t="n"/>
      <c r="AA476" s="17" t="n"/>
      <c r="AB476" s="17" t="n"/>
      <c r="AC476" s="17" t="n"/>
      <c r="AD476" s="17" t="n"/>
    </row>
    <row r="477" ht="15.75" customHeight="1">
      <c r="A477" s="16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/>
      <c r="Z477" s="17" t="n"/>
      <c r="AA477" s="17" t="n"/>
      <c r="AB477" s="17" t="n"/>
      <c r="AC477" s="17" t="n"/>
      <c r="AD477" s="17" t="n"/>
    </row>
    <row r="478" ht="15.75" customHeight="1">
      <c r="A478" s="16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/>
      <c r="Z478" s="17" t="n"/>
      <c r="AA478" s="17" t="n"/>
      <c r="AB478" s="17" t="n"/>
      <c r="AC478" s="17" t="n"/>
      <c r="AD478" s="17" t="n"/>
    </row>
    <row r="479" ht="15.75" customHeight="1">
      <c r="A479" s="16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/>
      <c r="Z479" s="17" t="n"/>
      <c r="AA479" s="17" t="n"/>
      <c r="AB479" s="17" t="n"/>
      <c r="AC479" s="17" t="n"/>
      <c r="AD479" s="17" t="n"/>
    </row>
    <row r="480" ht="15.75" customHeight="1">
      <c r="A480" s="16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/>
      <c r="Z480" s="17" t="n"/>
      <c r="AA480" s="17" t="n"/>
      <c r="AB480" s="17" t="n"/>
      <c r="AC480" s="17" t="n"/>
      <c r="AD480" s="17" t="n"/>
    </row>
    <row r="481" ht="15.75" customHeight="1">
      <c r="A481" s="16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/>
      <c r="Z481" s="17" t="n"/>
      <c r="AA481" s="17" t="n"/>
      <c r="AB481" s="17" t="n"/>
      <c r="AC481" s="17" t="n"/>
      <c r="AD481" s="17" t="n"/>
    </row>
    <row r="482" ht="15.75" customHeight="1">
      <c r="A482" s="16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/>
      <c r="Z482" s="17" t="n"/>
      <c r="AA482" s="17" t="n"/>
      <c r="AB482" s="17" t="n"/>
      <c r="AC482" s="17" t="n"/>
      <c r="AD482" s="17" t="n"/>
    </row>
    <row r="483" ht="15.75" customHeight="1">
      <c r="A483" s="16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/>
      <c r="Z483" s="17" t="n"/>
      <c r="AA483" s="17" t="n"/>
      <c r="AB483" s="17" t="n"/>
      <c r="AC483" s="17" t="n"/>
      <c r="AD483" s="17" t="n"/>
    </row>
    <row r="484" ht="15.75" customHeight="1">
      <c r="A484" s="16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/>
      <c r="Z484" s="17" t="n"/>
      <c r="AA484" s="17" t="n"/>
      <c r="AB484" s="17" t="n"/>
      <c r="AC484" s="17" t="n"/>
      <c r="AD484" s="17" t="n"/>
    </row>
    <row r="485" ht="15.75" customHeight="1">
      <c r="A485" s="16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/>
      <c r="Z485" s="17" t="n"/>
      <c r="AA485" s="17" t="n"/>
      <c r="AB485" s="17" t="n"/>
      <c r="AC485" s="17" t="n"/>
      <c r="AD485" s="17" t="n"/>
    </row>
    <row r="486" ht="15.75" customHeight="1">
      <c r="A486" s="16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/>
      <c r="Z486" s="17" t="n"/>
      <c r="AA486" s="17" t="n"/>
      <c r="AB486" s="17" t="n"/>
      <c r="AC486" s="17" t="n"/>
      <c r="AD486" s="17" t="n"/>
    </row>
    <row r="487" ht="15.75" customHeight="1">
      <c r="A487" s="16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/>
      <c r="Z487" s="17" t="n"/>
      <c r="AA487" s="17" t="n"/>
      <c r="AB487" s="17" t="n"/>
      <c r="AC487" s="17" t="n"/>
      <c r="AD487" s="17" t="n"/>
    </row>
    <row r="488" ht="15.75" customHeight="1">
      <c r="A488" s="16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/>
      <c r="Z488" s="17" t="n"/>
      <c r="AA488" s="17" t="n"/>
      <c r="AB488" s="17" t="n"/>
      <c r="AC488" s="17" t="n"/>
      <c r="AD488" s="17" t="n"/>
    </row>
    <row r="489" ht="15.75" customHeight="1">
      <c r="A489" s="16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/>
      <c r="Z489" s="17" t="n"/>
      <c r="AA489" s="17" t="n"/>
      <c r="AB489" s="17" t="n"/>
      <c r="AC489" s="17" t="n"/>
      <c r="AD489" s="17" t="n"/>
    </row>
    <row r="490" ht="15.75" customHeight="1">
      <c r="A490" s="16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/>
      <c r="Z490" s="17" t="n"/>
      <c r="AA490" s="17" t="n"/>
      <c r="AB490" s="17" t="n"/>
      <c r="AC490" s="17" t="n"/>
      <c r="AD490" s="17" t="n"/>
    </row>
    <row r="491" ht="15.75" customHeight="1">
      <c r="A491" s="16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/>
      <c r="Z491" s="17" t="n"/>
      <c r="AA491" s="17" t="n"/>
      <c r="AB491" s="17" t="n"/>
      <c r="AC491" s="17" t="n"/>
      <c r="AD491" s="17" t="n"/>
    </row>
    <row r="492" ht="15.75" customHeight="1">
      <c r="A492" s="16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/>
      <c r="Z492" s="17" t="n"/>
      <c r="AA492" s="17" t="n"/>
      <c r="AB492" s="17" t="n"/>
      <c r="AC492" s="17" t="n"/>
      <c r="AD492" s="17" t="n"/>
    </row>
    <row r="493" ht="15.75" customHeight="1">
      <c r="A493" s="16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/>
      <c r="Z493" s="17" t="n"/>
      <c r="AA493" s="17" t="n"/>
      <c r="AB493" s="17" t="n"/>
      <c r="AC493" s="17" t="n"/>
      <c r="AD493" s="17" t="n"/>
    </row>
    <row r="494" ht="15.75" customHeight="1">
      <c r="A494" s="16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/>
      <c r="Z494" s="17" t="n"/>
      <c r="AA494" s="17" t="n"/>
      <c r="AB494" s="17" t="n"/>
      <c r="AC494" s="17" t="n"/>
      <c r="AD494" s="17" t="n"/>
    </row>
    <row r="495" ht="15.75" customHeight="1">
      <c r="A495" s="16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7" t="n"/>
      <c r="Z495" s="17" t="n"/>
      <c r="AA495" s="17" t="n"/>
      <c r="AB495" s="17" t="n"/>
      <c r="AC495" s="17" t="n"/>
      <c r="AD495" s="17" t="n"/>
    </row>
    <row r="496" ht="15.75" customHeight="1">
      <c r="A496" s="16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/>
      <c r="Z496" s="17" t="n"/>
      <c r="AA496" s="17" t="n"/>
      <c r="AB496" s="17" t="n"/>
      <c r="AC496" s="17" t="n"/>
      <c r="AD496" s="17" t="n"/>
    </row>
    <row r="497" ht="15.75" customHeight="1">
      <c r="A497" s="16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/>
      <c r="Z497" s="17" t="n"/>
      <c r="AA497" s="17" t="n"/>
      <c r="AB497" s="17" t="n"/>
      <c r="AC497" s="17" t="n"/>
      <c r="AD497" s="17" t="n"/>
    </row>
    <row r="498" ht="15.75" customHeight="1">
      <c r="A498" s="16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/>
      <c r="Z498" s="17" t="n"/>
      <c r="AA498" s="17" t="n"/>
      <c r="AB498" s="17" t="n"/>
      <c r="AC498" s="17" t="n"/>
      <c r="AD498" s="17" t="n"/>
    </row>
    <row r="499" ht="15.75" customHeight="1">
      <c r="A499" s="16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/>
      <c r="Z499" s="17" t="n"/>
      <c r="AA499" s="17" t="n"/>
      <c r="AB499" s="17" t="n"/>
      <c r="AC499" s="17" t="n"/>
      <c r="AD499" s="17" t="n"/>
    </row>
    <row r="500" ht="15.75" customHeight="1">
      <c r="A500" s="16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/>
      <c r="Z500" s="17" t="n"/>
      <c r="AA500" s="17" t="n"/>
      <c r="AB500" s="17" t="n"/>
      <c r="AC500" s="17" t="n"/>
      <c r="AD500" s="17" t="n"/>
    </row>
    <row r="501" ht="15.75" customHeight="1">
      <c r="A501" s="16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/>
      <c r="Z501" s="17" t="n"/>
      <c r="AA501" s="17" t="n"/>
      <c r="AB501" s="17" t="n"/>
      <c r="AC501" s="17" t="n"/>
      <c r="AD501" s="17" t="n"/>
    </row>
    <row r="502" ht="15.75" customHeight="1">
      <c r="A502" s="16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/>
      <c r="Z502" s="17" t="n"/>
      <c r="AA502" s="17" t="n"/>
      <c r="AB502" s="17" t="n"/>
      <c r="AC502" s="17" t="n"/>
      <c r="AD502" s="17" t="n"/>
    </row>
    <row r="503" ht="15.75" customHeight="1">
      <c r="A503" s="16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7" t="n"/>
      <c r="Z503" s="17" t="n"/>
      <c r="AA503" s="17" t="n"/>
      <c r="AB503" s="17" t="n"/>
      <c r="AC503" s="17" t="n"/>
      <c r="AD503" s="17" t="n"/>
    </row>
    <row r="504" ht="15.75" customHeight="1">
      <c r="A504" s="16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/>
      <c r="Z504" s="17" t="n"/>
      <c r="AA504" s="17" t="n"/>
      <c r="AB504" s="17" t="n"/>
      <c r="AC504" s="17" t="n"/>
      <c r="AD504" s="17" t="n"/>
    </row>
    <row r="505" ht="15.75" customHeight="1">
      <c r="A505" s="16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/>
      <c r="Z505" s="17" t="n"/>
      <c r="AA505" s="17" t="n"/>
      <c r="AB505" s="17" t="n"/>
      <c r="AC505" s="17" t="n"/>
      <c r="AD505" s="17" t="n"/>
    </row>
    <row r="506" ht="15.75" customHeight="1">
      <c r="A506" s="16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7" t="n"/>
      <c r="AA506" s="17" t="n"/>
      <c r="AB506" s="17" t="n"/>
      <c r="AC506" s="17" t="n"/>
      <c r="AD506" s="17" t="n"/>
    </row>
    <row r="507" ht="15.75" customHeight="1">
      <c r="A507" s="16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/>
      <c r="Z507" s="17" t="n"/>
      <c r="AA507" s="17" t="n"/>
      <c r="AB507" s="17" t="n"/>
      <c r="AC507" s="17" t="n"/>
      <c r="AD507" s="17" t="n"/>
    </row>
    <row r="508" ht="15.75" customHeight="1">
      <c r="A508" s="16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/>
      <c r="Z508" s="17" t="n"/>
      <c r="AA508" s="17" t="n"/>
      <c r="AB508" s="17" t="n"/>
      <c r="AC508" s="17" t="n"/>
      <c r="AD508" s="17" t="n"/>
    </row>
    <row r="509" ht="15.75" customHeight="1">
      <c r="A509" s="16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/>
      <c r="Z509" s="17" t="n"/>
      <c r="AA509" s="17" t="n"/>
      <c r="AB509" s="17" t="n"/>
      <c r="AC509" s="17" t="n"/>
      <c r="AD509" s="17" t="n"/>
    </row>
    <row r="510" ht="15.75" customHeight="1">
      <c r="A510" s="16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/>
      <c r="Z510" s="17" t="n"/>
      <c r="AA510" s="17" t="n"/>
      <c r="AB510" s="17" t="n"/>
      <c r="AC510" s="17" t="n"/>
      <c r="AD510" s="17" t="n"/>
    </row>
    <row r="511" ht="15.75" customHeight="1">
      <c r="A511" s="16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/>
      <c r="Z511" s="17" t="n"/>
      <c r="AA511" s="17" t="n"/>
      <c r="AB511" s="17" t="n"/>
      <c r="AC511" s="17" t="n"/>
      <c r="AD511" s="17" t="n"/>
    </row>
    <row r="512" ht="15.75" customHeight="1">
      <c r="A512" s="16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/>
      <c r="Z512" s="17" t="n"/>
      <c r="AA512" s="17" t="n"/>
      <c r="AB512" s="17" t="n"/>
      <c r="AC512" s="17" t="n"/>
      <c r="AD512" s="17" t="n"/>
    </row>
    <row r="513" ht="15.75" customHeight="1">
      <c r="A513" s="16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/>
      <c r="Z513" s="17" t="n"/>
      <c r="AA513" s="17" t="n"/>
      <c r="AB513" s="17" t="n"/>
      <c r="AC513" s="17" t="n"/>
      <c r="AD513" s="17" t="n"/>
    </row>
    <row r="514" ht="15.75" customHeight="1">
      <c r="A514" s="16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7" t="n"/>
      <c r="AA514" s="17" t="n"/>
      <c r="AB514" s="17" t="n"/>
      <c r="AC514" s="17" t="n"/>
      <c r="AD514" s="17" t="n"/>
    </row>
    <row r="515" ht="15.75" customHeight="1">
      <c r="A515" s="16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/>
      <c r="Z515" s="17" t="n"/>
      <c r="AA515" s="17" t="n"/>
      <c r="AB515" s="17" t="n"/>
      <c r="AC515" s="17" t="n"/>
      <c r="AD515" s="17" t="n"/>
    </row>
    <row r="516" ht="15.75" customHeight="1">
      <c r="A516" s="16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/>
      <c r="Z516" s="17" t="n"/>
      <c r="AA516" s="17" t="n"/>
      <c r="AB516" s="17" t="n"/>
      <c r="AC516" s="17" t="n"/>
      <c r="AD516" s="17" t="n"/>
    </row>
    <row r="517" ht="15.75" customHeight="1">
      <c r="A517" s="16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7" t="n"/>
      <c r="Z517" s="17" t="n"/>
      <c r="AA517" s="17" t="n"/>
      <c r="AB517" s="17" t="n"/>
      <c r="AC517" s="17" t="n"/>
      <c r="AD517" s="17" t="n"/>
    </row>
    <row r="518" ht="15.75" customHeight="1">
      <c r="A518" s="16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/>
      <c r="Z518" s="17" t="n"/>
      <c r="AA518" s="17" t="n"/>
      <c r="AB518" s="17" t="n"/>
      <c r="AC518" s="17" t="n"/>
      <c r="AD518" s="17" t="n"/>
    </row>
    <row r="519" ht="15.75" customHeight="1">
      <c r="A519" s="16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/>
      <c r="Z519" s="17" t="n"/>
      <c r="AA519" s="17" t="n"/>
      <c r="AB519" s="17" t="n"/>
      <c r="AC519" s="17" t="n"/>
      <c r="AD519" s="17" t="n"/>
    </row>
    <row r="520" ht="15.75" customHeight="1">
      <c r="A520" s="16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/>
      <c r="Z520" s="17" t="n"/>
      <c r="AA520" s="17" t="n"/>
      <c r="AB520" s="17" t="n"/>
      <c r="AC520" s="17" t="n"/>
      <c r="AD520" s="17" t="n"/>
    </row>
    <row r="521" ht="15.75" customHeight="1">
      <c r="A521" s="16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7" t="n"/>
      <c r="Z521" s="17" t="n"/>
      <c r="AA521" s="17" t="n"/>
      <c r="AB521" s="17" t="n"/>
      <c r="AC521" s="17" t="n"/>
      <c r="AD521" s="17" t="n"/>
    </row>
    <row r="522" ht="15.75" customHeight="1">
      <c r="A522" s="16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/>
      <c r="Z522" s="17" t="n"/>
      <c r="AA522" s="17" t="n"/>
      <c r="AB522" s="17" t="n"/>
      <c r="AC522" s="17" t="n"/>
      <c r="AD522" s="17" t="n"/>
    </row>
    <row r="523" ht="15.75" customHeight="1">
      <c r="A523" s="16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7" t="n"/>
      <c r="AA523" s="17" t="n"/>
      <c r="AB523" s="17" t="n"/>
      <c r="AC523" s="17" t="n"/>
      <c r="AD523" s="17" t="n"/>
    </row>
    <row r="524" ht="15.75" customHeight="1">
      <c r="A524" s="16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7" t="n"/>
      <c r="AA524" s="17" t="n"/>
      <c r="AB524" s="17" t="n"/>
      <c r="AC524" s="17" t="n"/>
      <c r="AD524" s="17" t="n"/>
    </row>
    <row r="525" ht="15.75" customHeight="1">
      <c r="A525" s="16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/>
      <c r="Z525" s="17" t="n"/>
      <c r="AA525" s="17" t="n"/>
      <c r="AB525" s="17" t="n"/>
      <c r="AC525" s="17" t="n"/>
      <c r="AD525" s="17" t="n"/>
    </row>
    <row r="526" ht="15.75" customHeight="1">
      <c r="A526" s="16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7" t="n"/>
      <c r="AA526" s="17" t="n"/>
      <c r="AB526" s="17" t="n"/>
      <c r="AC526" s="17" t="n"/>
      <c r="AD526" s="17" t="n"/>
    </row>
    <row r="527" ht="15.75" customHeight="1">
      <c r="A527" s="16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7" t="n"/>
      <c r="Z527" s="17" t="n"/>
      <c r="AA527" s="17" t="n"/>
      <c r="AB527" s="17" t="n"/>
      <c r="AC527" s="17" t="n"/>
      <c r="AD527" s="17" t="n"/>
    </row>
    <row r="528" ht="15.75" customHeight="1">
      <c r="A528" s="16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/>
      <c r="Z528" s="17" t="n"/>
      <c r="AA528" s="17" t="n"/>
      <c r="AB528" s="17" t="n"/>
      <c r="AC528" s="17" t="n"/>
      <c r="AD528" s="17" t="n"/>
    </row>
    <row r="529" ht="15.75" customHeight="1">
      <c r="A529" s="16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/>
      <c r="Z529" s="17" t="n"/>
      <c r="AA529" s="17" t="n"/>
      <c r="AB529" s="17" t="n"/>
      <c r="AC529" s="17" t="n"/>
      <c r="AD529" s="17" t="n"/>
    </row>
    <row r="530" ht="15.75" customHeight="1">
      <c r="A530" s="16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/>
      <c r="Z530" s="17" t="n"/>
      <c r="AA530" s="17" t="n"/>
      <c r="AB530" s="17" t="n"/>
      <c r="AC530" s="17" t="n"/>
      <c r="AD530" s="17" t="n"/>
    </row>
    <row r="531" ht="15.75" customHeight="1">
      <c r="A531" s="16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/>
      <c r="Z531" s="17" t="n"/>
      <c r="AA531" s="17" t="n"/>
      <c r="AB531" s="17" t="n"/>
      <c r="AC531" s="17" t="n"/>
      <c r="AD531" s="17" t="n"/>
    </row>
    <row r="532" ht="15.75" customHeight="1">
      <c r="A532" s="16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/>
      <c r="Z532" s="17" t="n"/>
      <c r="AA532" s="17" t="n"/>
      <c r="AB532" s="17" t="n"/>
      <c r="AC532" s="17" t="n"/>
      <c r="AD532" s="17" t="n"/>
    </row>
    <row r="533" ht="15.75" customHeight="1">
      <c r="A533" s="16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/>
      <c r="Z533" s="17" t="n"/>
      <c r="AA533" s="17" t="n"/>
      <c r="AB533" s="17" t="n"/>
      <c r="AC533" s="17" t="n"/>
      <c r="AD533" s="17" t="n"/>
    </row>
    <row r="534" ht="15.75" customHeight="1">
      <c r="A534" s="16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/>
      <c r="Z534" s="17" t="n"/>
      <c r="AA534" s="17" t="n"/>
      <c r="AB534" s="17" t="n"/>
      <c r="AC534" s="17" t="n"/>
      <c r="AD534" s="17" t="n"/>
    </row>
    <row r="535" ht="15.75" customHeight="1">
      <c r="A535" s="16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/>
      <c r="Z535" s="17" t="n"/>
      <c r="AA535" s="17" t="n"/>
      <c r="AB535" s="17" t="n"/>
      <c r="AC535" s="17" t="n"/>
      <c r="AD535" s="17" t="n"/>
    </row>
    <row r="536" ht="15.75" customHeight="1">
      <c r="A536" s="16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/>
      <c r="Z536" s="17" t="n"/>
      <c r="AA536" s="17" t="n"/>
      <c r="AB536" s="17" t="n"/>
      <c r="AC536" s="17" t="n"/>
      <c r="AD536" s="17" t="n"/>
    </row>
    <row r="537" ht="15.75" customHeight="1">
      <c r="A537" s="16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/>
      <c r="Z537" s="17" t="n"/>
      <c r="AA537" s="17" t="n"/>
      <c r="AB537" s="17" t="n"/>
      <c r="AC537" s="17" t="n"/>
      <c r="AD537" s="17" t="n"/>
    </row>
    <row r="538" ht="15.75" customHeight="1">
      <c r="A538" s="16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/>
      <c r="Z538" s="17" t="n"/>
      <c r="AA538" s="17" t="n"/>
      <c r="AB538" s="17" t="n"/>
      <c r="AC538" s="17" t="n"/>
      <c r="AD538" s="17" t="n"/>
    </row>
    <row r="539" ht="15.75" customHeight="1">
      <c r="A539" s="16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/>
      <c r="Z539" s="17" t="n"/>
      <c r="AA539" s="17" t="n"/>
      <c r="AB539" s="17" t="n"/>
      <c r="AC539" s="17" t="n"/>
      <c r="AD539" s="17" t="n"/>
    </row>
    <row r="540" ht="15.75" customHeight="1">
      <c r="A540" s="16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/>
      <c r="Z540" s="17" t="n"/>
      <c r="AA540" s="17" t="n"/>
      <c r="AB540" s="17" t="n"/>
      <c r="AC540" s="17" t="n"/>
      <c r="AD540" s="17" t="n"/>
    </row>
    <row r="541" ht="15.75" customHeight="1">
      <c r="A541" s="16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/>
      <c r="Z541" s="17" t="n"/>
      <c r="AA541" s="17" t="n"/>
      <c r="AB541" s="17" t="n"/>
      <c r="AC541" s="17" t="n"/>
      <c r="AD541" s="17" t="n"/>
    </row>
    <row r="542" ht="15.75" customHeight="1">
      <c r="A542" s="16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/>
      <c r="Z542" s="17" t="n"/>
      <c r="AA542" s="17" t="n"/>
      <c r="AB542" s="17" t="n"/>
      <c r="AC542" s="17" t="n"/>
      <c r="AD542" s="17" t="n"/>
    </row>
    <row r="543" ht="15.75" customHeight="1">
      <c r="A543" s="16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/>
      <c r="Z543" s="17" t="n"/>
      <c r="AA543" s="17" t="n"/>
      <c r="AB543" s="17" t="n"/>
      <c r="AC543" s="17" t="n"/>
      <c r="AD543" s="17" t="n"/>
    </row>
    <row r="544" ht="15.75" customHeight="1">
      <c r="A544" s="16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/>
      <c r="Z544" s="17" t="n"/>
      <c r="AA544" s="17" t="n"/>
      <c r="AB544" s="17" t="n"/>
      <c r="AC544" s="17" t="n"/>
      <c r="AD544" s="17" t="n"/>
    </row>
    <row r="545" ht="15.75" customHeight="1">
      <c r="A545" s="16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/>
      <c r="Z545" s="17" t="n"/>
      <c r="AA545" s="17" t="n"/>
      <c r="AB545" s="17" t="n"/>
      <c r="AC545" s="17" t="n"/>
      <c r="AD545" s="17" t="n"/>
    </row>
    <row r="546" ht="15.75" customHeight="1">
      <c r="A546" s="16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/>
      <c r="Z546" s="17" t="n"/>
      <c r="AA546" s="17" t="n"/>
      <c r="AB546" s="17" t="n"/>
      <c r="AC546" s="17" t="n"/>
      <c r="AD546" s="17" t="n"/>
    </row>
    <row r="547" ht="15.75" customHeight="1">
      <c r="A547" s="16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7" t="n"/>
      <c r="Z547" s="17" t="n"/>
      <c r="AA547" s="17" t="n"/>
      <c r="AB547" s="17" t="n"/>
      <c r="AC547" s="17" t="n"/>
      <c r="AD547" s="17" t="n"/>
    </row>
    <row r="548" ht="15.75" customHeight="1">
      <c r="A548" s="16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/>
      <c r="Z548" s="17" t="n"/>
      <c r="AA548" s="17" t="n"/>
      <c r="AB548" s="17" t="n"/>
      <c r="AC548" s="17" t="n"/>
      <c r="AD548" s="17" t="n"/>
    </row>
    <row r="549" ht="15.75" customHeight="1">
      <c r="A549" s="16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/>
      <c r="Z549" s="17" t="n"/>
      <c r="AA549" s="17" t="n"/>
      <c r="AB549" s="17" t="n"/>
      <c r="AC549" s="17" t="n"/>
      <c r="AD549" s="17" t="n"/>
    </row>
    <row r="550" ht="15.75" customHeight="1">
      <c r="A550" s="16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7" t="n"/>
      <c r="AA550" s="17" t="n"/>
      <c r="AB550" s="17" t="n"/>
      <c r="AC550" s="17" t="n"/>
      <c r="AD550" s="17" t="n"/>
    </row>
    <row r="551" ht="15.75" customHeight="1">
      <c r="A551" s="16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7" t="n"/>
      <c r="Z551" s="17" t="n"/>
      <c r="AA551" s="17" t="n"/>
      <c r="AB551" s="17" t="n"/>
      <c r="AC551" s="17" t="n"/>
      <c r="AD551" s="17" t="n"/>
    </row>
    <row r="552" ht="15.75" customHeight="1">
      <c r="A552" s="16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7" t="n"/>
      <c r="Z552" s="17" t="n"/>
      <c r="AA552" s="17" t="n"/>
      <c r="AB552" s="17" t="n"/>
      <c r="AC552" s="17" t="n"/>
      <c r="AD552" s="17" t="n"/>
    </row>
    <row r="553" ht="15.75" customHeight="1">
      <c r="A553" s="16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/>
      <c r="Z553" s="17" t="n"/>
      <c r="AA553" s="17" t="n"/>
      <c r="AB553" s="17" t="n"/>
      <c r="AC553" s="17" t="n"/>
      <c r="AD553" s="17" t="n"/>
    </row>
    <row r="554" ht="15.75" customHeight="1">
      <c r="A554" s="16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/>
      <c r="Z554" s="17" t="n"/>
      <c r="AA554" s="17" t="n"/>
      <c r="AB554" s="17" t="n"/>
      <c r="AC554" s="17" t="n"/>
      <c r="AD554" s="17" t="n"/>
    </row>
    <row r="555" ht="15.75" customHeight="1">
      <c r="A555" s="16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/>
      <c r="Z555" s="17" t="n"/>
      <c r="AA555" s="17" t="n"/>
      <c r="AB555" s="17" t="n"/>
      <c r="AC555" s="17" t="n"/>
      <c r="AD555" s="17" t="n"/>
    </row>
    <row r="556" ht="15.75" customHeight="1">
      <c r="A556" s="16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/>
      <c r="Z556" s="17" t="n"/>
      <c r="AA556" s="17" t="n"/>
      <c r="AB556" s="17" t="n"/>
      <c r="AC556" s="17" t="n"/>
      <c r="AD556" s="17" t="n"/>
    </row>
    <row r="557" ht="15.75" customHeight="1">
      <c r="A557" s="16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/>
      <c r="Z557" s="17" t="n"/>
      <c r="AA557" s="17" t="n"/>
      <c r="AB557" s="17" t="n"/>
      <c r="AC557" s="17" t="n"/>
      <c r="AD557" s="17" t="n"/>
    </row>
    <row r="558" ht="15.75" customHeight="1">
      <c r="A558" s="16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/>
      <c r="Z558" s="17" t="n"/>
      <c r="AA558" s="17" t="n"/>
      <c r="AB558" s="17" t="n"/>
      <c r="AC558" s="17" t="n"/>
      <c r="AD558" s="17" t="n"/>
    </row>
    <row r="559" ht="15.75" customHeight="1">
      <c r="A559" s="16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7" t="n"/>
      <c r="AA559" s="17" t="n"/>
      <c r="AB559" s="17" t="n"/>
      <c r="AC559" s="17" t="n"/>
      <c r="AD559" s="17" t="n"/>
    </row>
    <row r="560" ht="15.75" customHeight="1">
      <c r="A560" s="16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/>
      <c r="Z560" s="17" t="n"/>
      <c r="AA560" s="17" t="n"/>
      <c r="AB560" s="17" t="n"/>
      <c r="AC560" s="17" t="n"/>
      <c r="AD560" s="17" t="n"/>
    </row>
    <row r="561" ht="15.75" customHeight="1">
      <c r="A561" s="16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7" t="n"/>
      <c r="Z561" s="17" t="n"/>
      <c r="AA561" s="17" t="n"/>
      <c r="AB561" s="17" t="n"/>
      <c r="AC561" s="17" t="n"/>
      <c r="AD561" s="17" t="n"/>
    </row>
    <row r="562" ht="15.75" customHeight="1">
      <c r="A562" s="16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7" t="n"/>
      <c r="Z562" s="17" t="n"/>
      <c r="AA562" s="17" t="n"/>
      <c r="AB562" s="17" t="n"/>
      <c r="AC562" s="17" t="n"/>
      <c r="AD562" s="17" t="n"/>
    </row>
    <row r="563" ht="15.75" customHeight="1">
      <c r="A563" s="16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/>
      <c r="Z563" s="17" t="n"/>
      <c r="AA563" s="17" t="n"/>
      <c r="AB563" s="17" t="n"/>
      <c r="AC563" s="17" t="n"/>
      <c r="AD563" s="17" t="n"/>
    </row>
    <row r="564" ht="15.75" customHeight="1">
      <c r="A564" s="16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/>
      <c r="Z564" s="17" t="n"/>
      <c r="AA564" s="17" t="n"/>
      <c r="AB564" s="17" t="n"/>
      <c r="AC564" s="17" t="n"/>
      <c r="AD564" s="17" t="n"/>
    </row>
    <row r="565" ht="15.75" customHeight="1">
      <c r="A565" s="16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/>
      <c r="Z565" s="17" t="n"/>
      <c r="AA565" s="17" t="n"/>
      <c r="AB565" s="17" t="n"/>
      <c r="AC565" s="17" t="n"/>
      <c r="AD565" s="17" t="n"/>
    </row>
    <row r="566" ht="15.75" customHeight="1">
      <c r="A566" s="16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7" t="n"/>
      <c r="Z566" s="17" t="n"/>
      <c r="AA566" s="17" t="n"/>
      <c r="AB566" s="17" t="n"/>
      <c r="AC566" s="17" t="n"/>
      <c r="AD566" s="17" t="n"/>
    </row>
    <row r="567" ht="15.75" customHeight="1">
      <c r="A567" s="16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/>
      <c r="Z567" s="17" t="n"/>
      <c r="AA567" s="17" t="n"/>
      <c r="AB567" s="17" t="n"/>
      <c r="AC567" s="17" t="n"/>
      <c r="AD567" s="17" t="n"/>
    </row>
    <row r="568" ht="15.75" customHeight="1">
      <c r="A568" s="16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/>
      <c r="Z568" s="17" t="n"/>
      <c r="AA568" s="17" t="n"/>
      <c r="AB568" s="17" t="n"/>
      <c r="AC568" s="17" t="n"/>
      <c r="AD568" s="17" t="n"/>
    </row>
    <row r="569" ht="15.75" customHeight="1">
      <c r="A569" s="16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/>
      <c r="Z569" s="17" t="n"/>
      <c r="AA569" s="17" t="n"/>
      <c r="AB569" s="17" t="n"/>
      <c r="AC569" s="17" t="n"/>
      <c r="AD569" s="17" t="n"/>
    </row>
    <row r="570" ht="15.75" customHeight="1">
      <c r="A570" s="16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/>
      <c r="Z570" s="17" t="n"/>
      <c r="AA570" s="17" t="n"/>
      <c r="AB570" s="17" t="n"/>
      <c r="AC570" s="17" t="n"/>
      <c r="AD570" s="17" t="n"/>
    </row>
    <row r="571" ht="15.75" customHeight="1">
      <c r="A571" s="16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/>
      <c r="Z571" s="17" t="n"/>
      <c r="AA571" s="17" t="n"/>
      <c r="AB571" s="17" t="n"/>
      <c r="AC571" s="17" t="n"/>
      <c r="AD571" s="17" t="n"/>
    </row>
    <row r="572" ht="15.75" customHeight="1">
      <c r="A572" s="16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/>
      <c r="Z572" s="17" t="n"/>
      <c r="AA572" s="17" t="n"/>
      <c r="AB572" s="17" t="n"/>
      <c r="AC572" s="17" t="n"/>
      <c r="AD572" s="17" t="n"/>
    </row>
    <row r="573" ht="15.75" customHeight="1">
      <c r="A573" s="16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/>
      <c r="Z573" s="17" t="n"/>
      <c r="AA573" s="17" t="n"/>
      <c r="AB573" s="17" t="n"/>
      <c r="AC573" s="17" t="n"/>
      <c r="AD573" s="17" t="n"/>
    </row>
    <row r="574" ht="15.75" customHeight="1">
      <c r="A574" s="16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/>
      <c r="Z574" s="17" t="n"/>
      <c r="AA574" s="17" t="n"/>
      <c r="AB574" s="17" t="n"/>
      <c r="AC574" s="17" t="n"/>
      <c r="AD574" s="17" t="n"/>
    </row>
    <row r="575" ht="15.75" customHeight="1">
      <c r="A575" s="16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/>
      <c r="Z575" s="17" t="n"/>
      <c r="AA575" s="17" t="n"/>
      <c r="AB575" s="17" t="n"/>
      <c r="AC575" s="17" t="n"/>
      <c r="AD575" s="17" t="n"/>
    </row>
    <row r="576" ht="15.75" customHeight="1">
      <c r="A576" s="16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/>
      <c r="Z576" s="17" t="n"/>
      <c r="AA576" s="17" t="n"/>
      <c r="AB576" s="17" t="n"/>
      <c r="AC576" s="17" t="n"/>
      <c r="AD576" s="17" t="n"/>
    </row>
    <row r="577" ht="15.75" customHeight="1">
      <c r="A577" s="16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/>
      <c r="Z577" s="17" t="n"/>
      <c r="AA577" s="17" t="n"/>
      <c r="AB577" s="17" t="n"/>
      <c r="AC577" s="17" t="n"/>
      <c r="AD577" s="17" t="n"/>
    </row>
    <row r="578" ht="15.75" customHeight="1">
      <c r="A578" s="16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/>
      <c r="Z578" s="17" t="n"/>
      <c r="AA578" s="17" t="n"/>
      <c r="AB578" s="17" t="n"/>
      <c r="AC578" s="17" t="n"/>
      <c r="AD578" s="17" t="n"/>
    </row>
    <row r="579" ht="15.75" customHeight="1">
      <c r="A579" s="16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/>
      <c r="Z579" s="17" t="n"/>
      <c r="AA579" s="17" t="n"/>
      <c r="AB579" s="17" t="n"/>
      <c r="AC579" s="17" t="n"/>
      <c r="AD579" s="17" t="n"/>
    </row>
    <row r="580" ht="15.75" customHeight="1">
      <c r="A580" s="16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7" t="n"/>
      <c r="AA580" s="17" t="n"/>
      <c r="AB580" s="17" t="n"/>
      <c r="AC580" s="17" t="n"/>
      <c r="AD580" s="17" t="n"/>
    </row>
    <row r="581" ht="15.75" customHeight="1">
      <c r="A581" s="16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/>
      <c r="Z581" s="17" t="n"/>
      <c r="AA581" s="17" t="n"/>
      <c r="AB581" s="17" t="n"/>
      <c r="AC581" s="17" t="n"/>
      <c r="AD581" s="17" t="n"/>
    </row>
    <row r="582" ht="15.75" customHeight="1">
      <c r="A582" s="16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/>
      <c r="Z582" s="17" t="n"/>
      <c r="AA582" s="17" t="n"/>
      <c r="AB582" s="17" t="n"/>
      <c r="AC582" s="17" t="n"/>
      <c r="AD582" s="17" t="n"/>
    </row>
    <row r="583" ht="15.75" customHeight="1">
      <c r="A583" s="16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/>
      <c r="Z583" s="17" t="n"/>
      <c r="AA583" s="17" t="n"/>
      <c r="AB583" s="17" t="n"/>
      <c r="AC583" s="17" t="n"/>
      <c r="AD583" s="17" t="n"/>
    </row>
    <row r="584" ht="15.75" customHeight="1">
      <c r="A584" s="16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/>
      <c r="Z584" s="17" t="n"/>
      <c r="AA584" s="17" t="n"/>
      <c r="AB584" s="17" t="n"/>
      <c r="AC584" s="17" t="n"/>
      <c r="AD584" s="17" t="n"/>
    </row>
    <row r="585" ht="15.75" customHeight="1">
      <c r="A585" s="16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/>
      <c r="Z585" s="17" t="n"/>
      <c r="AA585" s="17" t="n"/>
      <c r="AB585" s="17" t="n"/>
      <c r="AC585" s="17" t="n"/>
      <c r="AD585" s="17" t="n"/>
    </row>
    <row r="586" ht="15.75" customHeight="1">
      <c r="A586" s="16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7" t="n"/>
      <c r="Z586" s="17" t="n"/>
      <c r="AA586" s="17" t="n"/>
      <c r="AB586" s="17" t="n"/>
      <c r="AC586" s="17" t="n"/>
      <c r="AD586" s="17" t="n"/>
    </row>
    <row r="587" ht="15.75" customHeight="1">
      <c r="A587" s="16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/>
      <c r="Z587" s="17" t="n"/>
      <c r="AA587" s="17" t="n"/>
      <c r="AB587" s="17" t="n"/>
      <c r="AC587" s="17" t="n"/>
      <c r="AD587" s="17" t="n"/>
    </row>
    <row r="588" ht="15.75" customHeight="1">
      <c r="A588" s="16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/>
      <c r="Z588" s="17" t="n"/>
      <c r="AA588" s="17" t="n"/>
      <c r="AB588" s="17" t="n"/>
      <c r="AC588" s="17" t="n"/>
      <c r="AD588" s="17" t="n"/>
    </row>
    <row r="589" ht="15.75" customHeight="1">
      <c r="A589" s="16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/>
      <c r="Z589" s="17" t="n"/>
      <c r="AA589" s="17" t="n"/>
      <c r="AB589" s="17" t="n"/>
      <c r="AC589" s="17" t="n"/>
      <c r="AD589" s="17" t="n"/>
    </row>
    <row r="590" ht="15.75" customHeight="1">
      <c r="A590" s="16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/>
      <c r="Z590" s="17" t="n"/>
      <c r="AA590" s="17" t="n"/>
      <c r="AB590" s="17" t="n"/>
      <c r="AC590" s="17" t="n"/>
      <c r="AD590" s="17" t="n"/>
    </row>
    <row r="591" ht="15.75" customHeight="1">
      <c r="A591" s="16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/>
      <c r="Z591" s="17" t="n"/>
      <c r="AA591" s="17" t="n"/>
      <c r="AB591" s="17" t="n"/>
      <c r="AC591" s="17" t="n"/>
      <c r="AD591" s="17" t="n"/>
    </row>
    <row r="592" ht="15.75" customHeight="1">
      <c r="A592" s="16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/>
      <c r="Z592" s="17" t="n"/>
      <c r="AA592" s="17" t="n"/>
      <c r="AB592" s="17" t="n"/>
      <c r="AC592" s="17" t="n"/>
      <c r="AD592" s="17" t="n"/>
    </row>
    <row r="593" ht="15.75" customHeight="1">
      <c r="A593" s="16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/>
      <c r="Z593" s="17" t="n"/>
      <c r="AA593" s="17" t="n"/>
      <c r="AB593" s="17" t="n"/>
      <c r="AC593" s="17" t="n"/>
      <c r="AD593" s="17" t="n"/>
    </row>
    <row r="594" ht="15.75" customHeight="1">
      <c r="A594" s="16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/>
      <c r="Z594" s="17" t="n"/>
      <c r="AA594" s="17" t="n"/>
      <c r="AB594" s="17" t="n"/>
      <c r="AC594" s="17" t="n"/>
      <c r="AD594" s="17" t="n"/>
    </row>
    <row r="595" ht="15.75" customHeight="1">
      <c r="A595" s="16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7" t="n"/>
      <c r="Z595" s="17" t="n"/>
      <c r="AA595" s="17" t="n"/>
      <c r="AB595" s="17" t="n"/>
      <c r="AC595" s="17" t="n"/>
      <c r="AD595" s="17" t="n"/>
    </row>
    <row r="596" ht="15.75" customHeight="1">
      <c r="A596" s="16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/>
      <c r="Z596" s="17" t="n"/>
      <c r="AA596" s="17" t="n"/>
      <c r="AB596" s="17" t="n"/>
      <c r="AC596" s="17" t="n"/>
      <c r="AD596" s="17" t="n"/>
    </row>
    <row r="597" ht="15.75" customHeight="1">
      <c r="A597" s="16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/>
      <c r="Z597" s="17" t="n"/>
      <c r="AA597" s="17" t="n"/>
      <c r="AB597" s="17" t="n"/>
      <c r="AC597" s="17" t="n"/>
      <c r="AD597" s="17" t="n"/>
    </row>
    <row r="598" ht="15.75" customHeight="1">
      <c r="A598" s="16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/>
      <c r="Z598" s="17" t="n"/>
      <c r="AA598" s="17" t="n"/>
      <c r="AB598" s="17" t="n"/>
      <c r="AC598" s="17" t="n"/>
      <c r="AD598" s="17" t="n"/>
    </row>
    <row r="599" ht="15.75" customHeight="1">
      <c r="A599" s="16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/>
      <c r="Z599" s="17" t="n"/>
      <c r="AA599" s="17" t="n"/>
      <c r="AB599" s="17" t="n"/>
      <c r="AC599" s="17" t="n"/>
      <c r="AD599" s="17" t="n"/>
    </row>
    <row r="600" ht="15.75" customHeight="1">
      <c r="A600" s="16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/>
      <c r="Z600" s="17" t="n"/>
      <c r="AA600" s="17" t="n"/>
      <c r="AB600" s="17" t="n"/>
      <c r="AC600" s="17" t="n"/>
      <c r="AD600" s="17" t="n"/>
    </row>
    <row r="601" ht="15.75" customHeight="1">
      <c r="A601" s="16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/>
      <c r="Z601" s="17" t="n"/>
      <c r="AA601" s="17" t="n"/>
      <c r="AB601" s="17" t="n"/>
      <c r="AC601" s="17" t="n"/>
      <c r="AD601" s="17" t="n"/>
    </row>
    <row r="602" ht="15.75" customHeight="1">
      <c r="A602" s="16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/>
      <c r="Z602" s="17" t="n"/>
      <c r="AA602" s="17" t="n"/>
      <c r="AB602" s="17" t="n"/>
      <c r="AC602" s="17" t="n"/>
      <c r="AD602" s="17" t="n"/>
    </row>
    <row r="603" ht="15.75" customHeight="1">
      <c r="A603" s="16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/>
      <c r="Z603" s="17" t="n"/>
      <c r="AA603" s="17" t="n"/>
      <c r="AB603" s="17" t="n"/>
      <c r="AC603" s="17" t="n"/>
      <c r="AD603" s="17" t="n"/>
    </row>
    <row r="604" ht="15.75" customHeight="1">
      <c r="A604" s="16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/>
      <c r="Z604" s="17" t="n"/>
      <c r="AA604" s="17" t="n"/>
      <c r="AB604" s="17" t="n"/>
      <c r="AC604" s="17" t="n"/>
      <c r="AD604" s="17" t="n"/>
    </row>
    <row r="605" ht="15.75" customHeight="1">
      <c r="A605" s="16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7" t="n"/>
      <c r="AA605" s="17" t="n"/>
      <c r="AB605" s="17" t="n"/>
      <c r="AC605" s="17" t="n"/>
      <c r="AD605" s="17" t="n"/>
    </row>
    <row r="606" ht="15.75" customHeight="1">
      <c r="A606" s="16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/>
      <c r="Z606" s="17" t="n"/>
      <c r="AA606" s="17" t="n"/>
      <c r="AB606" s="17" t="n"/>
      <c r="AC606" s="17" t="n"/>
      <c r="AD606" s="17" t="n"/>
    </row>
    <row r="607" ht="15.75" customHeight="1">
      <c r="A607" s="16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/>
      <c r="Z607" s="17" t="n"/>
      <c r="AA607" s="17" t="n"/>
      <c r="AB607" s="17" t="n"/>
      <c r="AC607" s="17" t="n"/>
      <c r="AD607" s="17" t="n"/>
    </row>
    <row r="608" ht="15.75" customHeight="1">
      <c r="A608" s="16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/>
      <c r="Z608" s="17" t="n"/>
      <c r="AA608" s="17" t="n"/>
      <c r="AB608" s="17" t="n"/>
      <c r="AC608" s="17" t="n"/>
      <c r="AD608" s="17" t="n"/>
    </row>
    <row r="609" ht="15.75" customHeight="1">
      <c r="A609" s="16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/>
      <c r="Z609" s="17" t="n"/>
      <c r="AA609" s="17" t="n"/>
      <c r="AB609" s="17" t="n"/>
      <c r="AC609" s="17" t="n"/>
      <c r="AD609" s="17" t="n"/>
    </row>
    <row r="610" ht="15.75" customHeight="1">
      <c r="A610" s="16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/>
      <c r="Z610" s="17" t="n"/>
      <c r="AA610" s="17" t="n"/>
      <c r="AB610" s="17" t="n"/>
      <c r="AC610" s="17" t="n"/>
      <c r="AD610" s="17" t="n"/>
    </row>
    <row r="611" ht="15.75" customHeight="1">
      <c r="A611" s="16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/>
      <c r="Z611" s="17" t="n"/>
      <c r="AA611" s="17" t="n"/>
      <c r="AB611" s="17" t="n"/>
      <c r="AC611" s="17" t="n"/>
      <c r="AD611" s="17" t="n"/>
    </row>
    <row r="612" ht="15.75" customHeight="1">
      <c r="A612" s="16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/>
      <c r="Z612" s="17" t="n"/>
      <c r="AA612" s="17" t="n"/>
      <c r="AB612" s="17" t="n"/>
      <c r="AC612" s="17" t="n"/>
      <c r="AD612" s="17" t="n"/>
    </row>
    <row r="613" ht="15.75" customHeight="1">
      <c r="A613" s="16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/>
      <c r="Z613" s="17" t="n"/>
      <c r="AA613" s="17" t="n"/>
      <c r="AB613" s="17" t="n"/>
      <c r="AC613" s="17" t="n"/>
      <c r="AD613" s="17" t="n"/>
    </row>
    <row r="614" ht="15.75" customHeight="1">
      <c r="A614" s="16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/>
      <c r="Z614" s="17" t="n"/>
      <c r="AA614" s="17" t="n"/>
      <c r="AB614" s="17" t="n"/>
      <c r="AC614" s="17" t="n"/>
      <c r="AD614" s="17" t="n"/>
    </row>
    <row r="615" ht="15.75" customHeight="1">
      <c r="A615" s="16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/>
      <c r="Z615" s="17" t="n"/>
      <c r="AA615" s="17" t="n"/>
      <c r="AB615" s="17" t="n"/>
      <c r="AC615" s="17" t="n"/>
      <c r="AD615" s="17" t="n"/>
    </row>
    <row r="616" ht="15.75" customHeight="1">
      <c r="A616" s="16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/>
      <c r="Z616" s="17" t="n"/>
      <c r="AA616" s="17" t="n"/>
      <c r="AB616" s="17" t="n"/>
      <c r="AC616" s="17" t="n"/>
      <c r="AD616" s="17" t="n"/>
    </row>
    <row r="617" ht="15.75" customHeight="1">
      <c r="A617" s="16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/>
      <c r="Z617" s="17" t="n"/>
      <c r="AA617" s="17" t="n"/>
      <c r="AB617" s="17" t="n"/>
      <c r="AC617" s="17" t="n"/>
      <c r="AD617" s="17" t="n"/>
    </row>
    <row r="618" ht="15.75" customHeight="1">
      <c r="A618" s="16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/>
      <c r="Z618" s="17" t="n"/>
      <c r="AA618" s="17" t="n"/>
      <c r="AB618" s="17" t="n"/>
      <c r="AC618" s="17" t="n"/>
      <c r="AD618" s="17" t="n"/>
    </row>
    <row r="619" ht="15.75" customHeight="1">
      <c r="A619" s="16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/>
      <c r="Z619" s="17" t="n"/>
      <c r="AA619" s="17" t="n"/>
      <c r="AB619" s="17" t="n"/>
      <c r="AC619" s="17" t="n"/>
      <c r="AD619" s="17" t="n"/>
    </row>
    <row r="620" ht="15.75" customHeight="1">
      <c r="A620" s="16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/>
      <c r="Z620" s="17" t="n"/>
      <c r="AA620" s="17" t="n"/>
      <c r="AB620" s="17" t="n"/>
      <c r="AC620" s="17" t="n"/>
      <c r="AD620" s="17" t="n"/>
    </row>
    <row r="621" ht="15.75" customHeight="1">
      <c r="A621" s="16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/>
      <c r="Z621" s="17" t="n"/>
      <c r="AA621" s="17" t="n"/>
      <c r="AB621" s="17" t="n"/>
      <c r="AC621" s="17" t="n"/>
      <c r="AD621" s="17" t="n"/>
    </row>
    <row r="622" ht="15.75" customHeight="1">
      <c r="A622" s="16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/>
      <c r="Z622" s="17" t="n"/>
      <c r="AA622" s="17" t="n"/>
      <c r="AB622" s="17" t="n"/>
      <c r="AC622" s="17" t="n"/>
      <c r="AD622" s="17" t="n"/>
    </row>
    <row r="623" ht="15.75" customHeight="1">
      <c r="A623" s="16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/>
      <c r="Z623" s="17" t="n"/>
      <c r="AA623" s="17" t="n"/>
      <c r="AB623" s="17" t="n"/>
      <c r="AC623" s="17" t="n"/>
      <c r="AD623" s="17" t="n"/>
    </row>
    <row r="624" ht="15.75" customHeight="1">
      <c r="A624" s="16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/>
      <c r="Z624" s="17" t="n"/>
      <c r="AA624" s="17" t="n"/>
      <c r="AB624" s="17" t="n"/>
      <c r="AC624" s="17" t="n"/>
      <c r="AD624" s="17" t="n"/>
    </row>
    <row r="625" ht="15.75" customHeight="1">
      <c r="A625" s="16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/>
      <c r="Z625" s="17" t="n"/>
      <c r="AA625" s="17" t="n"/>
      <c r="AB625" s="17" t="n"/>
      <c r="AC625" s="17" t="n"/>
      <c r="AD625" s="17" t="n"/>
    </row>
    <row r="626" ht="15.75" customHeight="1">
      <c r="A626" s="16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/>
      <c r="Z626" s="17" t="n"/>
      <c r="AA626" s="17" t="n"/>
      <c r="AB626" s="17" t="n"/>
      <c r="AC626" s="17" t="n"/>
      <c r="AD626" s="17" t="n"/>
    </row>
    <row r="627" ht="15.75" customHeight="1">
      <c r="A627" s="16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/>
      <c r="Z627" s="17" t="n"/>
      <c r="AA627" s="17" t="n"/>
      <c r="AB627" s="17" t="n"/>
      <c r="AC627" s="17" t="n"/>
      <c r="AD627" s="17" t="n"/>
    </row>
    <row r="628" ht="15.75" customHeight="1">
      <c r="A628" s="16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/>
      <c r="Z628" s="17" t="n"/>
      <c r="AA628" s="17" t="n"/>
      <c r="AB628" s="17" t="n"/>
      <c r="AC628" s="17" t="n"/>
      <c r="AD628" s="17" t="n"/>
    </row>
    <row r="629" ht="15.75" customHeight="1">
      <c r="A629" s="16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/>
      <c r="Z629" s="17" t="n"/>
      <c r="AA629" s="17" t="n"/>
      <c r="AB629" s="17" t="n"/>
      <c r="AC629" s="17" t="n"/>
      <c r="AD629" s="17" t="n"/>
    </row>
    <row r="630" ht="15.75" customHeight="1">
      <c r="A630" s="16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/>
      <c r="Z630" s="17" t="n"/>
      <c r="AA630" s="17" t="n"/>
      <c r="AB630" s="17" t="n"/>
      <c r="AC630" s="17" t="n"/>
      <c r="AD630" s="17" t="n"/>
    </row>
    <row r="631" ht="15.75" customHeight="1">
      <c r="A631" s="16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/>
      <c r="Z631" s="17" t="n"/>
      <c r="AA631" s="17" t="n"/>
      <c r="AB631" s="17" t="n"/>
      <c r="AC631" s="17" t="n"/>
      <c r="AD631" s="17" t="n"/>
    </row>
    <row r="632" ht="15.75" customHeight="1">
      <c r="A632" s="16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/>
      <c r="Z632" s="17" t="n"/>
      <c r="AA632" s="17" t="n"/>
      <c r="AB632" s="17" t="n"/>
      <c r="AC632" s="17" t="n"/>
      <c r="AD632" s="17" t="n"/>
    </row>
    <row r="633" ht="15.75" customHeight="1">
      <c r="A633" s="16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/>
      <c r="Z633" s="17" t="n"/>
      <c r="AA633" s="17" t="n"/>
      <c r="AB633" s="17" t="n"/>
      <c r="AC633" s="17" t="n"/>
      <c r="AD633" s="17" t="n"/>
    </row>
    <row r="634" ht="15.75" customHeight="1">
      <c r="A634" s="16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  <c r="V634" s="17" t="n"/>
      <c r="W634" s="17" t="n"/>
      <c r="X634" s="17" t="n"/>
      <c r="Y634" s="17" t="n"/>
      <c r="Z634" s="17" t="n"/>
      <c r="AA634" s="17" t="n"/>
      <c r="AB634" s="17" t="n"/>
      <c r="AC634" s="17" t="n"/>
      <c r="AD634" s="17" t="n"/>
    </row>
    <row r="635" ht="15.75" customHeight="1">
      <c r="A635" s="16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/>
      <c r="Z635" s="17" t="n"/>
      <c r="AA635" s="17" t="n"/>
      <c r="AB635" s="17" t="n"/>
      <c r="AC635" s="17" t="n"/>
      <c r="AD635" s="17" t="n"/>
    </row>
    <row r="636" ht="15.75" customHeight="1">
      <c r="A636" s="16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/>
      <c r="Z636" s="17" t="n"/>
      <c r="AA636" s="17" t="n"/>
      <c r="AB636" s="17" t="n"/>
      <c r="AC636" s="17" t="n"/>
      <c r="AD636" s="17" t="n"/>
    </row>
    <row r="637" ht="15.75" customHeight="1">
      <c r="A637" s="16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/>
      <c r="Z637" s="17" t="n"/>
      <c r="AA637" s="17" t="n"/>
      <c r="AB637" s="17" t="n"/>
      <c r="AC637" s="17" t="n"/>
      <c r="AD637" s="17" t="n"/>
    </row>
    <row r="638" ht="15.75" customHeight="1">
      <c r="A638" s="16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/>
      <c r="Z638" s="17" t="n"/>
      <c r="AA638" s="17" t="n"/>
      <c r="AB638" s="17" t="n"/>
      <c r="AC638" s="17" t="n"/>
      <c r="AD638" s="17" t="n"/>
    </row>
    <row r="639" ht="15.75" customHeight="1">
      <c r="A639" s="16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/>
      <c r="Z639" s="17" t="n"/>
      <c r="AA639" s="17" t="n"/>
      <c r="AB639" s="17" t="n"/>
      <c r="AC639" s="17" t="n"/>
      <c r="AD639" s="17" t="n"/>
    </row>
    <row r="640" ht="15.75" customHeight="1">
      <c r="A640" s="16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/>
      <c r="Z640" s="17" t="n"/>
      <c r="AA640" s="17" t="n"/>
      <c r="AB640" s="17" t="n"/>
      <c r="AC640" s="17" t="n"/>
      <c r="AD640" s="17" t="n"/>
    </row>
    <row r="641" ht="15.75" customHeight="1">
      <c r="A641" s="16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/>
      <c r="Z641" s="17" t="n"/>
      <c r="AA641" s="17" t="n"/>
      <c r="AB641" s="17" t="n"/>
      <c r="AC641" s="17" t="n"/>
      <c r="AD641" s="17" t="n"/>
    </row>
    <row r="642" ht="15.75" customHeight="1">
      <c r="A642" s="16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/>
      <c r="Z642" s="17" t="n"/>
      <c r="AA642" s="17" t="n"/>
      <c r="AB642" s="17" t="n"/>
      <c r="AC642" s="17" t="n"/>
      <c r="AD642" s="17" t="n"/>
    </row>
    <row r="643" ht="15.75" customHeight="1">
      <c r="A643" s="16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/>
      <c r="Z643" s="17" t="n"/>
      <c r="AA643" s="17" t="n"/>
      <c r="AB643" s="17" t="n"/>
      <c r="AC643" s="17" t="n"/>
      <c r="AD643" s="17" t="n"/>
    </row>
    <row r="644" ht="15.75" customHeight="1">
      <c r="A644" s="16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/>
      <c r="Z644" s="17" t="n"/>
      <c r="AA644" s="17" t="n"/>
      <c r="AB644" s="17" t="n"/>
      <c r="AC644" s="17" t="n"/>
      <c r="AD644" s="17" t="n"/>
    </row>
    <row r="645" ht="15.75" customHeight="1">
      <c r="A645" s="16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/>
      <c r="Z645" s="17" t="n"/>
      <c r="AA645" s="17" t="n"/>
      <c r="AB645" s="17" t="n"/>
      <c r="AC645" s="17" t="n"/>
      <c r="AD645" s="17" t="n"/>
    </row>
    <row r="646" ht="15.75" customHeight="1">
      <c r="A646" s="16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/>
      <c r="Z646" s="17" t="n"/>
      <c r="AA646" s="17" t="n"/>
      <c r="AB646" s="17" t="n"/>
      <c r="AC646" s="17" t="n"/>
      <c r="AD646" s="17" t="n"/>
    </row>
    <row r="647" ht="15.75" customHeight="1">
      <c r="A647" s="16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/>
      <c r="Z647" s="17" t="n"/>
      <c r="AA647" s="17" t="n"/>
      <c r="AB647" s="17" t="n"/>
      <c r="AC647" s="17" t="n"/>
      <c r="AD647" s="17" t="n"/>
    </row>
    <row r="648" ht="15.75" customHeight="1">
      <c r="A648" s="16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/>
      <c r="Z648" s="17" t="n"/>
      <c r="AA648" s="17" t="n"/>
      <c r="AB648" s="17" t="n"/>
      <c r="AC648" s="17" t="n"/>
      <c r="AD648" s="17" t="n"/>
    </row>
    <row r="649" ht="15.75" customHeight="1">
      <c r="A649" s="16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7" t="n"/>
      <c r="AA649" s="17" t="n"/>
      <c r="AB649" s="17" t="n"/>
      <c r="AC649" s="17" t="n"/>
      <c r="AD649" s="17" t="n"/>
    </row>
    <row r="650" ht="15.75" customHeight="1">
      <c r="A650" s="16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/>
      <c r="Z650" s="17" t="n"/>
      <c r="AA650" s="17" t="n"/>
      <c r="AB650" s="17" t="n"/>
      <c r="AC650" s="17" t="n"/>
      <c r="AD650" s="17" t="n"/>
    </row>
    <row r="651" ht="15.75" customHeight="1">
      <c r="A651" s="16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/>
      <c r="Z651" s="17" t="n"/>
      <c r="AA651" s="17" t="n"/>
      <c r="AB651" s="17" t="n"/>
      <c r="AC651" s="17" t="n"/>
      <c r="AD651" s="17" t="n"/>
    </row>
    <row r="652" ht="15.75" customHeight="1">
      <c r="A652" s="16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/>
      <c r="Z652" s="17" t="n"/>
      <c r="AA652" s="17" t="n"/>
      <c r="AB652" s="17" t="n"/>
      <c r="AC652" s="17" t="n"/>
      <c r="AD652" s="17" t="n"/>
    </row>
    <row r="653" ht="15.75" customHeight="1">
      <c r="A653" s="16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/>
      <c r="X653" s="17" t="n"/>
      <c r="Y653" s="17" t="n"/>
      <c r="Z653" s="17" t="n"/>
      <c r="AA653" s="17" t="n"/>
      <c r="AB653" s="17" t="n"/>
      <c r="AC653" s="17" t="n"/>
      <c r="AD653" s="17" t="n"/>
    </row>
    <row r="654" ht="15.75" customHeight="1">
      <c r="A654" s="16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  <c r="V654" s="17" t="n"/>
      <c r="W654" s="17" t="n"/>
      <c r="X654" s="17" t="n"/>
      <c r="Y654" s="17" t="n"/>
      <c r="Z654" s="17" t="n"/>
      <c r="AA654" s="17" t="n"/>
      <c r="AB654" s="17" t="n"/>
      <c r="AC654" s="17" t="n"/>
      <c r="AD654" s="17" t="n"/>
    </row>
    <row r="655" ht="15.75" customHeight="1">
      <c r="A655" s="16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/>
      <c r="Z655" s="17" t="n"/>
      <c r="AA655" s="17" t="n"/>
      <c r="AB655" s="17" t="n"/>
      <c r="AC655" s="17" t="n"/>
      <c r="AD655" s="17" t="n"/>
    </row>
    <row r="656" ht="15.75" customHeight="1">
      <c r="A656" s="16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/>
      <c r="Z656" s="17" t="n"/>
      <c r="AA656" s="17" t="n"/>
      <c r="AB656" s="17" t="n"/>
      <c r="AC656" s="17" t="n"/>
      <c r="AD656" s="17" t="n"/>
    </row>
    <row r="657" ht="15.75" customHeight="1">
      <c r="A657" s="16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/>
      <c r="Z657" s="17" t="n"/>
      <c r="AA657" s="17" t="n"/>
      <c r="AB657" s="17" t="n"/>
      <c r="AC657" s="17" t="n"/>
      <c r="AD657" s="17" t="n"/>
    </row>
    <row r="658" ht="15.75" customHeight="1">
      <c r="A658" s="16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/>
      <c r="Z658" s="17" t="n"/>
      <c r="AA658" s="17" t="n"/>
      <c r="AB658" s="17" t="n"/>
      <c r="AC658" s="17" t="n"/>
      <c r="AD658" s="17" t="n"/>
    </row>
    <row r="659" ht="15.75" customHeight="1">
      <c r="A659" s="16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/>
      <c r="Z659" s="17" t="n"/>
      <c r="AA659" s="17" t="n"/>
      <c r="AB659" s="17" t="n"/>
      <c r="AC659" s="17" t="n"/>
      <c r="AD659" s="17" t="n"/>
    </row>
    <row r="660" ht="15.75" customHeight="1">
      <c r="A660" s="16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/>
      <c r="Z660" s="17" t="n"/>
      <c r="AA660" s="17" t="n"/>
      <c r="AB660" s="17" t="n"/>
      <c r="AC660" s="17" t="n"/>
      <c r="AD660" s="17" t="n"/>
    </row>
    <row r="661" ht="15.75" customHeight="1">
      <c r="A661" s="16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/>
      <c r="Z661" s="17" t="n"/>
      <c r="AA661" s="17" t="n"/>
      <c r="AB661" s="17" t="n"/>
      <c r="AC661" s="17" t="n"/>
      <c r="AD661" s="17" t="n"/>
    </row>
    <row r="662" ht="15.75" customHeight="1">
      <c r="A662" s="16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/>
      <c r="Z662" s="17" t="n"/>
      <c r="AA662" s="17" t="n"/>
      <c r="AB662" s="17" t="n"/>
      <c r="AC662" s="17" t="n"/>
      <c r="AD662" s="17" t="n"/>
    </row>
    <row r="663" ht="15.75" customHeight="1">
      <c r="A663" s="16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/>
      <c r="Z663" s="17" t="n"/>
      <c r="AA663" s="17" t="n"/>
      <c r="AB663" s="17" t="n"/>
      <c r="AC663" s="17" t="n"/>
      <c r="AD663" s="17" t="n"/>
    </row>
    <row r="664" ht="15.75" customHeight="1">
      <c r="A664" s="16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/>
      <c r="Z664" s="17" t="n"/>
      <c r="AA664" s="17" t="n"/>
      <c r="AB664" s="17" t="n"/>
      <c r="AC664" s="17" t="n"/>
      <c r="AD664" s="17" t="n"/>
    </row>
    <row r="665" ht="15.75" customHeight="1">
      <c r="A665" s="16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/>
      <c r="Z665" s="17" t="n"/>
      <c r="AA665" s="17" t="n"/>
      <c r="AB665" s="17" t="n"/>
      <c r="AC665" s="17" t="n"/>
      <c r="AD665" s="17" t="n"/>
    </row>
    <row r="666" ht="15.75" customHeight="1">
      <c r="A666" s="16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/>
      <c r="Z666" s="17" t="n"/>
      <c r="AA666" s="17" t="n"/>
      <c r="AB666" s="17" t="n"/>
      <c r="AC666" s="17" t="n"/>
      <c r="AD666" s="17" t="n"/>
    </row>
    <row r="667" ht="15.75" customHeight="1">
      <c r="A667" s="16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/>
      <c r="Z667" s="17" t="n"/>
      <c r="AA667" s="17" t="n"/>
      <c r="AB667" s="17" t="n"/>
      <c r="AC667" s="17" t="n"/>
      <c r="AD667" s="17" t="n"/>
    </row>
    <row r="668" ht="15.75" customHeight="1">
      <c r="A668" s="16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/>
      <c r="Z668" s="17" t="n"/>
      <c r="AA668" s="17" t="n"/>
      <c r="AB668" s="17" t="n"/>
      <c r="AC668" s="17" t="n"/>
      <c r="AD668" s="17" t="n"/>
    </row>
    <row r="669" ht="15.75" customHeight="1">
      <c r="A669" s="16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/>
      <c r="Z669" s="17" t="n"/>
      <c r="AA669" s="17" t="n"/>
      <c r="AB669" s="17" t="n"/>
      <c r="AC669" s="17" t="n"/>
      <c r="AD669" s="17" t="n"/>
    </row>
    <row r="670" ht="15.75" customHeight="1">
      <c r="A670" s="16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/>
      <c r="Z670" s="17" t="n"/>
      <c r="AA670" s="17" t="n"/>
      <c r="AB670" s="17" t="n"/>
      <c r="AC670" s="17" t="n"/>
      <c r="AD670" s="17" t="n"/>
    </row>
    <row r="671" ht="15.75" customHeight="1">
      <c r="A671" s="16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/>
      <c r="Z671" s="17" t="n"/>
      <c r="AA671" s="17" t="n"/>
      <c r="AB671" s="17" t="n"/>
      <c r="AC671" s="17" t="n"/>
      <c r="AD671" s="17" t="n"/>
    </row>
    <row r="672" ht="15.75" customHeight="1">
      <c r="A672" s="16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/>
      <c r="Z672" s="17" t="n"/>
      <c r="AA672" s="17" t="n"/>
      <c r="AB672" s="17" t="n"/>
      <c r="AC672" s="17" t="n"/>
      <c r="AD672" s="17" t="n"/>
    </row>
    <row r="673" ht="15.75" customHeight="1">
      <c r="A673" s="16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/>
      <c r="Z673" s="17" t="n"/>
      <c r="AA673" s="17" t="n"/>
      <c r="AB673" s="17" t="n"/>
      <c r="AC673" s="17" t="n"/>
      <c r="AD673" s="17" t="n"/>
    </row>
    <row r="674" ht="15.75" customHeight="1">
      <c r="A674" s="16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/>
      <c r="Z674" s="17" t="n"/>
      <c r="AA674" s="17" t="n"/>
      <c r="AB674" s="17" t="n"/>
      <c r="AC674" s="17" t="n"/>
      <c r="AD674" s="17" t="n"/>
    </row>
    <row r="675" ht="15.75" customHeight="1">
      <c r="A675" s="16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/>
      <c r="Z675" s="17" t="n"/>
      <c r="AA675" s="17" t="n"/>
      <c r="AB675" s="17" t="n"/>
      <c r="AC675" s="17" t="n"/>
      <c r="AD675" s="17" t="n"/>
    </row>
    <row r="676" ht="15.75" customHeight="1">
      <c r="A676" s="16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/>
      <c r="Z676" s="17" t="n"/>
      <c r="AA676" s="17" t="n"/>
      <c r="AB676" s="17" t="n"/>
      <c r="AC676" s="17" t="n"/>
      <c r="AD676" s="17" t="n"/>
    </row>
    <row r="677" ht="15.75" customHeight="1">
      <c r="A677" s="16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/>
      <c r="Z677" s="17" t="n"/>
      <c r="AA677" s="17" t="n"/>
      <c r="AB677" s="17" t="n"/>
      <c r="AC677" s="17" t="n"/>
      <c r="AD677" s="17" t="n"/>
    </row>
    <row r="678" ht="15.75" customHeight="1">
      <c r="A678" s="16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/>
      <c r="Z678" s="17" t="n"/>
      <c r="AA678" s="17" t="n"/>
      <c r="AB678" s="17" t="n"/>
      <c r="AC678" s="17" t="n"/>
      <c r="AD678" s="17" t="n"/>
    </row>
    <row r="679" ht="15.75" customHeight="1">
      <c r="A679" s="16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/>
      <c r="Z679" s="17" t="n"/>
      <c r="AA679" s="17" t="n"/>
      <c r="AB679" s="17" t="n"/>
      <c r="AC679" s="17" t="n"/>
      <c r="AD679" s="17" t="n"/>
    </row>
    <row r="680" ht="15.75" customHeight="1">
      <c r="A680" s="16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/>
      <c r="Z680" s="17" t="n"/>
      <c r="AA680" s="17" t="n"/>
      <c r="AB680" s="17" t="n"/>
      <c r="AC680" s="17" t="n"/>
      <c r="AD680" s="17" t="n"/>
    </row>
    <row r="681" ht="15.75" customHeight="1">
      <c r="A681" s="16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/>
      <c r="Z681" s="17" t="n"/>
      <c r="AA681" s="17" t="n"/>
      <c r="AB681" s="17" t="n"/>
      <c r="AC681" s="17" t="n"/>
      <c r="AD681" s="17" t="n"/>
    </row>
    <row r="682" ht="15.75" customHeight="1">
      <c r="A682" s="16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/>
      <c r="Z682" s="17" t="n"/>
      <c r="AA682" s="17" t="n"/>
      <c r="AB682" s="17" t="n"/>
      <c r="AC682" s="17" t="n"/>
      <c r="AD682" s="17" t="n"/>
    </row>
    <row r="683" ht="15.75" customHeight="1">
      <c r="A683" s="16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/>
      <c r="Z683" s="17" t="n"/>
      <c r="AA683" s="17" t="n"/>
      <c r="AB683" s="17" t="n"/>
      <c r="AC683" s="17" t="n"/>
      <c r="AD683" s="17" t="n"/>
    </row>
    <row r="684" ht="15.75" customHeight="1">
      <c r="A684" s="16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/>
      <c r="Z684" s="17" t="n"/>
      <c r="AA684" s="17" t="n"/>
      <c r="AB684" s="17" t="n"/>
      <c r="AC684" s="17" t="n"/>
      <c r="AD684" s="17" t="n"/>
    </row>
    <row r="685" ht="15.75" customHeight="1">
      <c r="A685" s="16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/>
      <c r="Z685" s="17" t="n"/>
      <c r="AA685" s="17" t="n"/>
      <c r="AB685" s="17" t="n"/>
      <c r="AC685" s="17" t="n"/>
      <c r="AD685" s="17" t="n"/>
    </row>
    <row r="686" ht="15.75" customHeight="1">
      <c r="A686" s="16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/>
      <c r="Z686" s="17" t="n"/>
      <c r="AA686" s="17" t="n"/>
      <c r="AB686" s="17" t="n"/>
      <c r="AC686" s="17" t="n"/>
      <c r="AD686" s="17" t="n"/>
    </row>
    <row r="687" ht="15.75" customHeight="1">
      <c r="A687" s="16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/>
      <c r="Z687" s="17" t="n"/>
      <c r="AA687" s="17" t="n"/>
      <c r="AB687" s="17" t="n"/>
      <c r="AC687" s="17" t="n"/>
      <c r="AD687" s="17" t="n"/>
    </row>
    <row r="688" ht="15.75" customHeight="1">
      <c r="A688" s="16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/>
      <c r="Z688" s="17" t="n"/>
      <c r="AA688" s="17" t="n"/>
      <c r="AB688" s="17" t="n"/>
      <c r="AC688" s="17" t="n"/>
      <c r="AD688" s="17" t="n"/>
    </row>
    <row r="689" ht="15.75" customHeight="1">
      <c r="A689" s="16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/>
      <c r="Z689" s="17" t="n"/>
      <c r="AA689" s="17" t="n"/>
      <c r="AB689" s="17" t="n"/>
      <c r="AC689" s="17" t="n"/>
      <c r="AD689" s="17" t="n"/>
    </row>
    <row r="690" ht="15.75" customHeight="1">
      <c r="A690" s="16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/>
      <c r="Z690" s="17" t="n"/>
      <c r="AA690" s="17" t="n"/>
      <c r="AB690" s="17" t="n"/>
      <c r="AC690" s="17" t="n"/>
      <c r="AD690" s="17" t="n"/>
    </row>
    <row r="691" ht="15.75" customHeight="1">
      <c r="A691" s="16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/>
      <c r="Z691" s="17" t="n"/>
      <c r="AA691" s="17" t="n"/>
      <c r="AB691" s="17" t="n"/>
      <c r="AC691" s="17" t="n"/>
      <c r="AD691" s="17" t="n"/>
    </row>
    <row r="692" ht="15.75" customHeight="1">
      <c r="A692" s="16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/>
      <c r="Z692" s="17" t="n"/>
      <c r="AA692" s="17" t="n"/>
      <c r="AB692" s="17" t="n"/>
      <c r="AC692" s="17" t="n"/>
      <c r="AD692" s="17" t="n"/>
    </row>
    <row r="693" ht="15.75" customHeight="1">
      <c r="A693" s="16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/>
      <c r="Z693" s="17" t="n"/>
      <c r="AA693" s="17" t="n"/>
      <c r="AB693" s="17" t="n"/>
      <c r="AC693" s="17" t="n"/>
      <c r="AD693" s="17" t="n"/>
    </row>
    <row r="694" ht="15.75" customHeight="1">
      <c r="A694" s="16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/>
      <c r="Z694" s="17" t="n"/>
      <c r="AA694" s="17" t="n"/>
      <c r="AB694" s="17" t="n"/>
      <c r="AC694" s="17" t="n"/>
      <c r="AD694" s="17" t="n"/>
    </row>
    <row r="695" ht="15.75" customHeight="1">
      <c r="A695" s="16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/>
      <c r="Z695" s="17" t="n"/>
      <c r="AA695" s="17" t="n"/>
      <c r="AB695" s="17" t="n"/>
      <c r="AC695" s="17" t="n"/>
      <c r="AD695" s="17" t="n"/>
    </row>
    <row r="696" ht="15.75" customHeight="1">
      <c r="A696" s="16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/>
      <c r="Z696" s="17" t="n"/>
      <c r="AA696" s="17" t="n"/>
      <c r="AB696" s="17" t="n"/>
      <c r="AC696" s="17" t="n"/>
      <c r="AD696" s="17" t="n"/>
    </row>
    <row r="697" ht="15.75" customHeight="1">
      <c r="A697" s="16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/>
      <c r="Z697" s="17" t="n"/>
      <c r="AA697" s="17" t="n"/>
      <c r="AB697" s="17" t="n"/>
      <c r="AC697" s="17" t="n"/>
      <c r="AD697" s="17" t="n"/>
    </row>
    <row r="698" ht="15.75" customHeight="1">
      <c r="A698" s="16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/>
      <c r="Z698" s="17" t="n"/>
      <c r="AA698" s="17" t="n"/>
      <c r="AB698" s="17" t="n"/>
      <c r="AC698" s="17" t="n"/>
      <c r="AD698" s="17" t="n"/>
    </row>
    <row r="699" ht="15.75" customHeight="1">
      <c r="A699" s="16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7" t="n"/>
      <c r="Z699" s="17" t="n"/>
      <c r="AA699" s="17" t="n"/>
      <c r="AB699" s="17" t="n"/>
      <c r="AC699" s="17" t="n"/>
      <c r="AD699" s="17" t="n"/>
    </row>
    <row r="700" ht="15.75" customHeight="1">
      <c r="A700" s="16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/>
      <c r="Z700" s="17" t="n"/>
      <c r="AA700" s="17" t="n"/>
      <c r="AB700" s="17" t="n"/>
      <c r="AC700" s="17" t="n"/>
      <c r="AD700" s="17" t="n"/>
    </row>
    <row r="701" ht="15.75" customHeight="1">
      <c r="A701" s="16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/>
      <c r="Z701" s="17" t="n"/>
      <c r="AA701" s="17" t="n"/>
      <c r="AB701" s="17" t="n"/>
      <c r="AC701" s="17" t="n"/>
      <c r="AD701" s="17" t="n"/>
    </row>
    <row r="702" ht="15.75" customHeight="1">
      <c r="A702" s="16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/>
      <c r="Z702" s="17" t="n"/>
      <c r="AA702" s="17" t="n"/>
      <c r="AB702" s="17" t="n"/>
      <c r="AC702" s="17" t="n"/>
      <c r="AD702" s="17" t="n"/>
    </row>
    <row r="703" ht="15.75" customHeight="1">
      <c r="A703" s="16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/>
      <c r="Z703" s="17" t="n"/>
      <c r="AA703" s="17" t="n"/>
      <c r="AB703" s="17" t="n"/>
      <c r="AC703" s="17" t="n"/>
      <c r="AD703" s="17" t="n"/>
    </row>
    <row r="704" ht="15.75" customHeight="1">
      <c r="A704" s="16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/>
      <c r="Z704" s="17" t="n"/>
      <c r="AA704" s="17" t="n"/>
      <c r="AB704" s="17" t="n"/>
      <c r="AC704" s="17" t="n"/>
      <c r="AD704" s="17" t="n"/>
    </row>
    <row r="705" ht="15.75" customHeight="1">
      <c r="A705" s="16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/>
      <c r="Z705" s="17" t="n"/>
      <c r="AA705" s="17" t="n"/>
      <c r="AB705" s="17" t="n"/>
      <c r="AC705" s="17" t="n"/>
      <c r="AD705" s="17" t="n"/>
    </row>
    <row r="706" ht="15.75" customHeight="1">
      <c r="A706" s="16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/>
      <c r="Z706" s="17" t="n"/>
      <c r="AA706" s="17" t="n"/>
      <c r="AB706" s="17" t="n"/>
      <c r="AC706" s="17" t="n"/>
      <c r="AD706" s="17" t="n"/>
    </row>
    <row r="707" ht="15.75" customHeight="1">
      <c r="A707" s="16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/>
      <c r="Z707" s="17" t="n"/>
      <c r="AA707" s="17" t="n"/>
      <c r="AB707" s="17" t="n"/>
      <c r="AC707" s="17" t="n"/>
      <c r="AD707" s="17" t="n"/>
    </row>
    <row r="708" ht="15.75" customHeight="1">
      <c r="A708" s="16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/>
      <c r="Z708" s="17" t="n"/>
      <c r="AA708" s="17" t="n"/>
      <c r="AB708" s="17" t="n"/>
      <c r="AC708" s="17" t="n"/>
      <c r="AD708" s="17" t="n"/>
    </row>
    <row r="709" ht="15.75" customHeight="1">
      <c r="A709" s="16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/>
      <c r="Z709" s="17" t="n"/>
      <c r="AA709" s="17" t="n"/>
      <c r="AB709" s="17" t="n"/>
      <c r="AC709" s="17" t="n"/>
      <c r="AD709" s="17" t="n"/>
    </row>
    <row r="710" ht="15.75" customHeight="1">
      <c r="A710" s="16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/>
      <c r="Z710" s="17" t="n"/>
      <c r="AA710" s="17" t="n"/>
      <c r="AB710" s="17" t="n"/>
      <c r="AC710" s="17" t="n"/>
      <c r="AD710" s="17" t="n"/>
    </row>
    <row r="711" ht="15.75" customHeight="1">
      <c r="A711" s="16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/>
      <c r="Z711" s="17" t="n"/>
      <c r="AA711" s="17" t="n"/>
      <c r="AB711" s="17" t="n"/>
      <c r="AC711" s="17" t="n"/>
      <c r="AD711" s="17" t="n"/>
    </row>
    <row r="712" ht="15.75" customHeight="1">
      <c r="A712" s="16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/>
      <c r="Z712" s="17" t="n"/>
      <c r="AA712" s="17" t="n"/>
      <c r="AB712" s="17" t="n"/>
      <c r="AC712" s="17" t="n"/>
      <c r="AD712" s="17" t="n"/>
    </row>
    <row r="713" ht="15.75" customHeight="1">
      <c r="A713" s="16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/>
      <c r="Z713" s="17" t="n"/>
      <c r="AA713" s="17" t="n"/>
      <c r="AB713" s="17" t="n"/>
      <c r="AC713" s="17" t="n"/>
      <c r="AD713" s="17" t="n"/>
    </row>
    <row r="714" ht="15.75" customHeight="1">
      <c r="A714" s="16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/>
      <c r="Z714" s="17" t="n"/>
      <c r="AA714" s="17" t="n"/>
      <c r="AB714" s="17" t="n"/>
      <c r="AC714" s="17" t="n"/>
      <c r="AD714" s="17" t="n"/>
    </row>
    <row r="715" ht="15.75" customHeight="1">
      <c r="A715" s="16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/>
      <c r="Z715" s="17" t="n"/>
      <c r="AA715" s="17" t="n"/>
      <c r="AB715" s="17" t="n"/>
      <c r="AC715" s="17" t="n"/>
      <c r="AD715" s="17" t="n"/>
    </row>
    <row r="716" ht="15.75" customHeight="1">
      <c r="A716" s="16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/>
      <c r="Z716" s="17" t="n"/>
      <c r="AA716" s="17" t="n"/>
      <c r="AB716" s="17" t="n"/>
      <c r="AC716" s="17" t="n"/>
      <c r="AD716" s="17" t="n"/>
    </row>
    <row r="717" ht="15.75" customHeight="1">
      <c r="A717" s="16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/>
      <c r="Z717" s="17" t="n"/>
      <c r="AA717" s="17" t="n"/>
      <c r="AB717" s="17" t="n"/>
      <c r="AC717" s="17" t="n"/>
      <c r="AD717" s="17" t="n"/>
    </row>
    <row r="718" ht="15.75" customHeight="1">
      <c r="A718" s="16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/>
      <c r="Z718" s="17" t="n"/>
      <c r="AA718" s="17" t="n"/>
      <c r="AB718" s="17" t="n"/>
      <c r="AC718" s="17" t="n"/>
      <c r="AD718" s="17" t="n"/>
    </row>
    <row r="719" ht="15.75" customHeight="1">
      <c r="A719" s="16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/>
      <c r="Z719" s="17" t="n"/>
      <c r="AA719" s="17" t="n"/>
      <c r="AB719" s="17" t="n"/>
      <c r="AC719" s="17" t="n"/>
      <c r="AD719" s="17" t="n"/>
    </row>
    <row r="720" ht="15.75" customHeight="1">
      <c r="A720" s="16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/>
      <c r="Z720" s="17" t="n"/>
      <c r="AA720" s="17" t="n"/>
      <c r="AB720" s="17" t="n"/>
      <c r="AC720" s="17" t="n"/>
      <c r="AD720" s="17" t="n"/>
    </row>
    <row r="721" ht="15.75" customHeight="1">
      <c r="A721" s="16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/>
      <c r="Z721" s="17" t="n"/>
      <c r="AA721" s="17" t="n"/>
      <c r="AB721" s="17" t="n"/>
      <c r="AC721" s="17" t="n"/>
      <c r="AD721" s="17" t="n"/>
    </row>
    <row r="722" ht="15.75" customHeight="1">
      <c r="A722" s="16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  <c r="V722" s="17" t="n"/>
      <c r="W722" s="17" t="n"/>
      <c r="X722" s="17" t="n"/>
      <c r="Y722" s="17" t="n"/>
      <c r="Z722" s="17" t="n"/>
      <c r="AA722" s="17" t="n"/>
      <c r="AB722" s="17" t="n"/>
      <c r="AC722" s="17" t="n"/>
      <c r="AD722" s="17" t="n"/>
    </row>
    <row r="723" ht="15.75" customHeight="1">
      <c r="A723" s="16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/>
      <c r="Z723" s="17" t="n"/>
      <c r="AA723" s="17" t="n"/>
      <c r="AB723" s="17" t="n"/>
      <c r="AC723" s="17" t="n"/>
      <c r="AD723" s="17" t="n"/>
    </row>
    <row r="724" ht="15.75" customHeight="1">
      <c r="A724" s="16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/>
      <c r="Z724" s="17" t="n"/>
      <c r="AA724" s="17" t="n"/>
      <c r="AB724" s="17" t="n"/>
      <c r="AC724" s="17" t="n"/>
      <c r="AD724" s="17" t="n"/>
    </row>
    <row r="725" ht="15.75" customHeight="1">
      <c r="A725" s="16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/>
      <c r="Z725" s="17" t="n"/>
      <c r="AA725" s="17" t="n"/>
      <c r="AB725" s="17" t="n"/>
      <c r="AC725" s="17" t="n"/>
      <c r="AD725" s="17" t="n"/>
    </row>
    <row r="726" ht="15.75" customHeight="1">
      <c r="A726" s="16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/>
      <c r="Z726" s="17" t="n"/>
      <c r="AA726" s="17" t="n"/>
      <c r="AB726" s="17" t="n"/>
      <c r="AC726" s="17" t="n"/>
      <c r="AD726" s="17" t="n"/>
    </row>
    <row r="727" ht="15.75" customHeight="1">
      <c r="A727" s="16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/>
      <c r="Z727" s="17" t="n"/>
      <c r="AA727" s="17" t="n"/>
      <c r="AB727" s="17" t="n"/>
      <c r="AC727" s="17" t="n"/>
      <c r="AD727" s="17" t="n"/>
    </row>
    <row r="728" ht="15.75" customHeight="1">
      <c r="A728" s="16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/>
      <c r="Z728" s="17" t="n"/>
      <c r="AA728" s="17" t="n"/>
      <c r="AB728" s="17" t="n"/>
      <c r="AC728" s="17" t="n"/>
      <c r="AD728" s="17" t="n"/>
    </row>
    <row r="729" ht="15.75" customHeight="1">
      <c r="A729" s="16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/>
      <c r="Z729" s="17" t="n"/>
      <c r="AA729" s="17" t="n"/>
      <c r="AB729" s="17" t="n"/>
      <c r="AC729" s="17" t="n"/>
      <c r="AD729" s="17" t="n"/>
    </row>
    <row r="730" ht="15.75" customHeight="1">
      <c r="A730" s="16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/>
      <c r="Z730" s="17" t="n"/>
      <c r="AA730" s="17" t="n"/>
      <c r="AB730" s="17" t="n"/>
      <c r="AC730" s="17" t="n"/>
      <c r="AD730" s="17" t="n"/>
    </row>
    <row r="731" ht="15.75" customHeight="1">
      <c r="A731" s="16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7" t="n"/>
      <c r="AA731" s="17" t="n"/>
      <c r="AB731" s="17" t="n"/>
      <c r="AC731" s="17" t="n"/>
      <c r="AD731" s="17" t="n"/>
    </row>
    <row r="732" ht="15.75" customHeight="1">
      <c r="A732" s="16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/>
      <c r="Z732" s="17" t="n"/>
      <c r="AA732" s="17" t="n"/>
      <c r="AB732" s="17" t="n"/>
      <c r="AC732" s="17" t="n"/>
      <c r="AD732" s="17" t="n"/>
    </row>
    <row r="733" ht="15.75" customHeight="1">
      <c r="A733" s="16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/>
      <c r="Z733" s="17" t="n"/>
      <c r="AA733" s="17" t="n"/>
      <c r="AB733" s="17" t="n"/>
      <c r="AC733" s="17" t="n"/>
      <c r="AD733" s="17" t="n"/>
    </row>
    <row r="734" ht="15.75" customHeight="1">
      <c r="A734" s="16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/>
      <c r="Z734" s="17" t="n"/>
      <c r="AA734" s="17" t="n"/>
      <c r="AB734" s="17" t="n"/>
      <c r="AC734" s="17" t="n"/>
      <c r="AD734" s="17" t="n"/>
    </row>
    <row r="735" ht="15.75" customHeight="1">
      <c r="A735" s="16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/>
      <c r="Z735" s="17" t="n"/>
      <c r="AA735" s="17" t="n"/>
      <c r="AB735" s="17" t="n"/>
      <c r="AC735" s="17" t="n"/>
      <c r="AD735" s="17" t="n"/>
    </row>
    <row r="736" ht="15.75" customHeight="1">
      <c r="A736" s="16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/>
      <c r="Z736" s="17" t="n"/>
      <c r="AA736" s="17" t="n"/>
      <c r="AB736" s="17" t="n"/>
      <c r="AC736" s="17" t="n"/>
      <c r="AD736" s="17" t="n"/>
    </row>
    <row r="737" ht="15.75" customHeight="1">
      <c r="A737" s="16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/>
      <c r="Z737" s="17" t="n"/>
      <c r="AA737" s="17" t="n"/>
      <c r="AB737" s="17" t="n"/>
      <c r="AC737" s="17" t="n"/>
      <c r="AD737" s="17" t="n"/>
    </row>
    <row r="738" ht="15.75" customHeight="1">
      <c r="A738" s="16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/>
      <c r="Z738" s="17" t="n"/>
      <c r="AA738" s="17" t="n"/>
      <c r="AB738" s="17" t="n"/>
      <c r="AC738" s="17" t="n"/>
      <c r="AD738" s="17" t="n"/>
    </row>
    <row r="739" ht="15.75" customHeight="1">
      <c r="A739" s="16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/>
      <c r="Z739" s="17" t="n"/>
      <c r="AA739" s="17" t="n"/>
      <c r="AB739" s="17" t="n"/>
      <c r="AC739" s="17" t="n"/>
      <c r="AD739" s="17" t="n"/>
    </row>
    <row r="740" ht="15.75" customHeight="1">
      <c r="A740" s="16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/>
      <c r="Z740" s="17" t="n"/>
      <c r="AA740" s="17" t="n"/>
      <c r="AB740" s="17" t="n"/>
      <c r="AC740" s="17" t="n"/>
      <c r="AD740" s="17" t="n"/>
    </row>
    <row r="741" ht="15.75" customHeight="1">
      <c r="A741" s="16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/>
      <c r="Z741" s="17" t="n"/>
      <c r="AA741" s="17" t="n"/>
      <c r="AB741" s="17" t="n"/>
      <c r="AC741" s="17" t="n"/>
      <c r="AD741" s="17" t="n"/>
    </row>
    <row r="742" ht="15.75" customHeight="1">
      <c r="A742" s="16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/>
      <c r="Z742" s="17" t="n"/>
      <c r="AA742" s="17" t="n"/>
      <c r="AB742" s="17" t="n"/>
      <c r="AC742" s="17" t="n"/>
      <c r="AD742" s="17" t="n"/>
    </row>
    <row r="743" ht="15.75" customHeight="1">
      <c r="A743" s="16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/>
      <c r="Z743" s="17" t="n"/>
      <c r="AA743" s="17" t="n"/>
      <c r="AB743" s="17" t="n"/>
      <c r="AC743" s="17" t="n"/>
      <c r="AD743" s="17" t="n"/>
    </row>
    <row r="744" ht="15.75" customHeight="1">
      <c r="A744" s="16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/>
      <c r="Z744" s="17" t="n"/>
      <c r="AA744" s="17" t="n"/>
      <c r="AB744" s="17" t="n"/>
      <c r="AC744" s="17" t="n"/>
      <c r="AD744" s="17" t="n"/>
    </row>
    <row r="745" ht="15.75" customHeight="1">
      <c r="A745" s="16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/>
      <c r="Z745" s="17" t="n"/>
      <c r="AA745" s="17" t="n"/>
      <c r="AB745" s="17" t="n"/>
      <c r="AC745" s="17" t="n"/>
      <c r="AD745" s="17" t="n"/>
    </row>
    <row r="746" ht="15.75" customHeight="1">
      <c r="A746" s="16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/>
      <c r="Z746" s="17" t="n"/>
      <c r="AA746" s="17" t="n"/>
      <c r="AB746" s="17" t="n"/>
      <c r="AC746" s="17" t="n"/>
      <c r="AD746" s="17" t="n"/>
    </row>
    <row r="747" ht="15.75" customHeight="1">
      <c r="A747" s="16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/>
      <c r="Z747" s="17" t="n"/>
      <c r="AA747" s="17" t="n"/>
      <c r="AB747" s="17" t="n"/>
      <c r="AC747" s="17" t="n"/>
      <c r="AD747" s="17" t="n"/>
    </row>
    <row r="748" ht="15.75" customHeight="1">
      <c r="A748" s="16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/>
      <c r="Z748" s="17" t="n"/>
      <c r="AA748" s="17" t="n"/>
      <c r="AB748" s="17" t="n"/>
      <c r="AC748" s="17" t="n"/>
      <c r="AD748" s="17" t="n"/>
    </row>
    <row r="749" ht="15.75" customHeight="1">
      <c r="A749" s="16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/>
      <c r="Z749" s="17" t="n"/>
      <c r="AA749" s="17" t="n"/>
      <c r="AB749" s="17" t="n"/>
      <c r="AC749" s="17" t="n"/>
      <c r="AD749" s="17" t="n"/>
    </row>
    <row r="750" ht="15.75" customHeight="1">
      <c r="A750" s="16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/>
      <c r="Z750" s="17" t="n"/>
      <c r="AA750" s="17" t="n"/>
      <c r="AB750" s="17" t="n"/>
      <c r="AC750" s="17" t="n"/>
      <c r="AD750" s="17" t="n"/>
    </row>
    <row r="751" ht="15.75" customHeight="1">
      <c r="A751" s="16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/>
      <c r="Z751" s="17" t="n"/>
      <c r="AA751" s="17" t="n"/>
      <c r="AB751" s="17" t="n"/>
      <c r="AC751" s="17" t="n"/>
      <c r="AD751" s="17" t="n"/>
    </row>
    <row r="752" ht="15.75" customHeight="1">
      <c r="A752" s="16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/>
      <c r="Z752" s="17" t="n"/>
      <c r="AA752" s="17" t="n"/>
      <c r="AB752" s="17" t="n"/>
      <c r="AC752" s="17" t="n"/>
      <c r="AD752" s="17" t="n"/>
    </row>
    <row r="753" ht="15.75" customHeight="1">
      <c r="A753" s="16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/>
      <c r="Z753" s="17" t="n"/>
      <c r="AA753" s="17" t="n"/>
      <c r="AB753" s="17" t="n"/>
      <c r="AC753" s="17" t="n"/>
      <c r="AD753" s="17" t="n"/>
    </row>
    <row r="754" ht="15.75" customHeight="1">
      <c r="A754" s="16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/>
      <c r="Z754" s="17" t="n"/>
      <c r="AA754" s="17" t="n"/>
      <c r="AB754" s="17" t="n"/>
      <c r="AC754" s="17" t="n"/>
      <c r="AD754" s="17" t="n"/>
    </row>
    <row r="755" ht="15.75" customHeight="1">
      <c r="A755" s="16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/>
      <c r="Z755" s="17" t="n"/>
      <c r="AA755" s="17" t="n"/>
      <c r="AB755" s="17" t="n"/>
      <c r="AC755" s="17" t="n"/>
      <c r="AD755" s="17" t="n"/>
    </row>
    <row r="756" ht="15.75" customHeight="1">
      <c r="A756" s="16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/>
      <c r="Z756" s="17" t="n"/>
      <c r="AA756" s="17" t="n"/>
      <c r="AB756" s="17" t="n"/>
      <c r="AC756" s="17" t="n"/>
      <c r="AD756" s="17" t="n"/>
    </row>
    <row r="757" ht="15.75" customHeight="1">
      <c r="A757" s="16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/>
      <c r="Z757" s="17" t="n"/>
      <c r="AA757" s="17" t="n"/>
      <c r="AB757" s="17" t="n"/>
      <c r="AC757" s="17" t="n"/>
      <c r="AD757" s="17" t="n"/>
    </row>
    <row r="758" ht="15.75" customHeight="1">
      <c r="A758" s="16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/>
      <c r="Z758" s="17" t="n"/>
      <c r="AA758" s="17" t="n"/>
      <c r="AB758" s="17" t="n"/>
      <c r="AC758" s="17" t="n"/>
      <c r="AD758" s="17" t="n"/>
    </row>
    <row r="759" ht="15.75" customHeight="1">
      <c r="A759" s="16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/>
      <c r="Z759" s="17" t="n"/>
      <c r="AA759" s="17" t="n"/>
      <c r="AB759" s="17" t="n"/>
      <c r="AC759" s="17" t="n"/>
      <c r="AD759" s="17" t="n"/>
    </row>
    <row r="760" ht="15.75" customHeight="1">
      <c r="A760" s="16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/>
      <c r="Z760" s="17" t="n"/>
      <c r="AA760" s="17" t="n"/>
      <c r="AB760" s="17" t="n"/>
      <c r="AC760" s="17" t="n"/>
      <c r="AD760" s="17" t="n"/>
    </row>
    <row r="761" ht="15.75" customHeight="1">
      <c r="A761" s="16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/>
      <c r="Z761" s="17" t="n"/>
      <c r="AA761" s="17" t="n"/>
      <c r="AB761" s="17" t="n"/>
      <c r="AC761" s="17" t="n"/>
      <c r="AD761" s="17" t="n"/>
    </row>
    <row r="762" ht="15.75" customHeight="1">
      <c r="A762" s="16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/>
      <c r="Z762" s="17" t="n"/>
      <c r="AA762" s="17" t="n"/>
      <c r="AB762" s="17" t="n"/>
      <c r="AC762" s="17" t="n"/>
      <c r="AD762" s="17" t="n"/>
    </row>
    <row r="763" ht="15.75" customHeight="1">
      <c r="A763" s="16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/>
      <c r="Z763" s="17" t="n"/>
      <c r="AA763" s="17" t="n"/>
      <c r="AB763" s="17" t="n"/>
      <c r="AC763" s="17" t="n"/>
      <c r="AD763" s="17" t="n"/>
    </row>
    <row r="764" ht="15.75" customHeight="1">
      <c r="A764" s="16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/>
      <c r="Z764" s="17" t="n"/>
      <c r="AA764" s="17" t="n"/>
      <c r="AB764" s="17" t="n"/>
      <c r="AC764" s="17" t="n"/>
      <c r="AD764" s="17" t="n"/>
    </row>
    <row r="765" ht="15.75" customHeight="1">
      <c r="A765" s="16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/>
      <c r="Z765" s="17" t="n"/>
      <c r="AA765" s="17" t="n"/>
      <c r="AB765" s="17" t="n"/>
      <c r="AC765" s="17" t="n"/>
      <c r="AD765" s="17" t="n"/>
    </row>
    <row r="766" ht="15.75" customHeight="1">
      <c r="A766" s="16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/>
      <c r="Z766" s="17" t="n"/>
      <c r="AA766" s="17" t="n"/>
      <c r="AB766" s="17" t="n"/>
      <c r="AC766" s="17" t="n"/>
      <c r="AD766" s="17" t="n"/>
    </row>
    <row r="767" ht="15.75" customHeight="1">
      <c r="A767" s="16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/>
      <c r="Z767" s="17" t="n"/>
      <c r="AA767" s="17" t="n"/>
      <c r="AB767" s="17" t="n"/>
      <c r="AC767" s="17" t="n"/>
      <c r="AD767" s="17" t="n"/>
    </row>
    <row r="768" ht="15.75" customHeight="1">
      <c r="A768" s="16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/>
      <c r="Z768" s="17" t="n"/>
      <c r="AA768" s="17" t="n"/>
      <c r="AB768" s="17" t="n"/>
      <c r="AC768" s="17" t="n"/>
      <c r="AD768" s="17" t="n"/>
    </row>
    <row r="769" ht="15.75" customHeight="1">
      <c r="A769" s="16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/>
      <c r="Z769" s="17" t="n"/>
      <c r="AA769" s="17" t="n"/>
      <c r="AB769" s="17" t="n"/>
      <c r="AC769" s="17" t="n"/>
      <c r="AD769" s="17" t="n"/>
    </row>
    <row r="770" ht="15.75" customHeight="1">
      <c r="A770" s="16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/>
      <c r="Z770" s="17" t="n"/>
      <c r="AA770" s="17" t="n"/>
      <c r="AB770" s="17" t="n"/>
      <c r="AC770" s="17" t="n"/>
      <c r="AD770" s="17" t="n"/>
    </row>
    <row r="771" ht="15.75" customHeight="1">
      <c r="A771" s="16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/>
      <c r="Z771" s="17" t="n"/>
      <c r="AA771" s="17" t="n"/>
      <c r="AB771" s="17" t="n"/>
      <c r="AC771" s="17" t="n"/>
      <c r="AD771" s="17" t="n"/>
    </row>
    <row r="772" ht="15.75" customHeight="1">
      <c r="A772" s="16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/>
      <c r="Z772" s="17" t="n"/>
      <c r="AA772" s="17" t="n"/>
      <c r="AB772" s="17" t="n"/>
      <c r="AC772" s="17" t="n"/>
      <c r="AD772" s="17" t="n"/>
    </row>
    <row r="773" ht="15.75" customHeight="1">
      <c r="A773" s="16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/>
      <c r="Z773" s="17" t="n"/>
      <c r="AA773" s="17" t="n"/>
      <c r="AB773" s="17" t="n"/>
      <c r="AC773" s="17" t="n"/>
      <c r="AD773" s="17" t="n"/>
    </row>
    <row r="774" ht="15.75" customHeight="1">
      <c r="A774" s="16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/>
      <c r="Z774" s="17" t="n"/>
      <c r="AA774" s="17" t="n"/>
      <c r="AB774" s="17" t="n"/>
      <c r="AC774" s="17" t="n"/>
      <c r="AD774" s="17" t="n"/>
    </row>
    <row r="775" ht="15.75" customHeight="1">
      <c r="A775" s="16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7" t="n"/>
      <c r="Z775" s="17" t="n"/>
      <c r="AA775" s="17" t="n"/>
      <c r="AB775" s="17" t="n"/>
      <c r="AC775" s="17" t="n"/>
      <c r="AD775" s="17" t="n"/>
    </row>
    <row r="776" ht="15.75" customHeight="1">
      <c r="A776" s="16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/>
      <c r="Z776" s="17" t="n"/>
      <c r="AA776" s="17" t="n"/>
      <c r="AB776" s="17" t="n"/>
      <c r="AC776" s="17" t="n"/>
      <c r="AD776" s="17" t="n"/>
    </row>
    <row r="777" ht="15.75" customHeight="1">
      <c r="A777" s="16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/>
      <c r="Z777" s="17" t="n"/>
      <c r="AA777" s="17" t="n"/>
      <c r="AB777" s="17" t="n"/>
      <c r="AC777" s="17" t="n"/>
      <c r="AD777" s="17" t="n"/>
    </row>
    <row r="778" ht="15.75" customHeight="1">
      <c r="A778" s="16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/>
      <c r="Z778" s="17" t="n"/>
      <c r="AA778" s="17" t="n"/>
      <c r="AB778" s="17" t="n"/>
      <c r="AC778" s="17" t="n"/>
      <c r="AD778" s="17" t="n"/>
    </row>
    <row r="779" ht="15.75" customHeight="1">
      <c r="A779" s="16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/>
      <c r="Z779" s="17" t="n"/>
      <c r="AA779" s="17" t="n"/>
      <c r="AB779" s="17" t="n"/>
      <c r="AC779" s="17" t="n"/>
      <c r="AD779" s="17" t="n"/>
    </row>
    <row r="780" ht="15.75" customHeight="1">
      <c r="A780" s="16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/>
      <c r="Z780" s="17" t="n"/>
      <c r="AA780" s="17" t="n"/>
      <c r="AB780" s="17" t="n"/>
      <c r="AC780" s="17" t="n"/>
      <c r="AD780" s="17" t="n"/>
    </row>
    <row r="781" ht="15.75" customHeight="1">
      <c r="A781" s="16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/>
      <c r="Z781" s="17" t="n"/>
      <c r="AA781" s="17" t="n"/>
      <c r="AB781" s="17" t="n"/>
      <c r="AC781" s="17" t="n"/>
      <c r="AD781" s="17" t="n"/>
    </row>
    <row r="782" ht="15.75" customHeight="1">
      <c r="A782" s="16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/>
      <c r="Z782" s="17" t="n"/>
      <c r="AA782" s="17" t="n"/>
      <c r="AB782" s="17" t="n"/>
      <c r="AC782" s="17" t="n"/>
      <c r="AD782" s="17" t="n"/>
    </row>
    <row r="783" ht="15.75" customHeight="1">
      <c r="A783" s="16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/>
      <c r="Z783" s="17" t="n"/>
      <c r="AA783" s="17" t="n"/>
      <c r="AB783" s="17" t="n"/>
      <c r="AC783" s="17" t="n"/>
      <c r="AD783" s="17" t="n"/>
    </row>
    <row r="784" ht="15.75" customHeight="1">
      <c r="A784" s="16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/>
      <c r="Z784" s="17" t="n"/>
      <c r="AA784" s="17" t="n"/>
      <c r="AB784" s="17" t="n"/>
      <c r="AC784" s="17" t="n"/>
      <c r="AD784" s="17" t="n"/>
    </row>
    <row r="785" ht="15.75" customHeight="1">
      <c r="A785" s="16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/>
      <c r="Z785" s="17" t="n"/>
      <c r="AA785" s="17" t="n"/>
      <c r="AB785" s="17" t="n"/>
      <c r="AC785" s="17" t="n"/>
      <c r="AD785" s="17" t="n"/>
    </row>
    <row r="786" ht="15.75" customHeight="1">
      <c r="A786" s="16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/>
      <c r="Z786" s="17" t="n"/>
      <c r="AA786" s="17" t="n"/>
      <c r="AB786" s="17" t="n"/>
      <c r="AC786" s="17" t="n"/>
      <c r="AD786" s="17" t="n"/>
    </row>
    <row r="787" ht="15.75" customHeight="1">
      <c r="A787" s="16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/>
      <c r="Z787" s="17" t="n"/>
      <c r="AA787" s="17" t="n"/>
      <c r="AB787" s="17" t="n"/>
      <c r="AC787" s="17" t="n"/>
      <c r="AD787" s="17" t="n"/>
    </row>
    <row r="788" ht="15.75" customHeight="1">
      <c r="A788" s="16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/>
      <c r="Z788" s="17" t="n"/>
      <c r="AA788" s="17" t="n"/>
      <c r="AB788" s="17" t="n"/>
      <c r="AC788" s="17" t="n"/>
      <c r="AD788" s="17" t="n"/>
    </row>
    <row r="789" ht="15.75" customHeight="1">
      <c r="A789" s="16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/>
      <c r="Z789" s="17" t="n"/>
      <c r="AA789" s="17" t="n"/>
      <c r="AB789" s="17" t="n"/>
      <c r="AC789" s="17" t="n"/>
      <c r="AD789" s="17" t="n"/>
    </row>
    <row r="790" ht="15.75" customHeight="1">
      <c r="A790" s="16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/>
      <c r="Z790" s="17" t="n"/>
      <c r="AA790" s="17" t="n"/>
      <c r="AB790" s="17" t="n"/>
      <c r="AC790" s="17" t="n"/>
      <c r="AD790" s="17" t="n"/>
    </row>
    <row r="791" ht="15.75" customHeight="1">
      <c r="A791" s="16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/>
      <c r="Z791" s="17" t="n"/>
      <c r="AA791" s="17" t="n"/>
      <c r="AB791" s="17" t="n"/>
      <c r="AC791" s="17" t="n"/>
      <c r="AD791" s="17" t="n"/>
    </row>
    <row r="792" ht="15.75" customHeight="1">
      <c r="A792" s="16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/>
      <c r="Z792" s="17" t="n"/>
      <c r="AA792" s="17" t="n"/>
      <c r="AB792" s="17" t="n"/>
      <c r="AC792" s="17" t="n"/>
      <c r="AD792" s="17" t="n"/>
    </row>
    <row r="793" ht="15.75" customHeight="1">
      <c r="A793" s="16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/>
      <c r="Z793" s="17" t="n"/>
      <c r="AA793" s="17" t="n"/>
      <c r="AB793" s="17" t="n"/>
      <c r="AC793" s="17" t="n"/>
      <c r="AD793" s="17" t="n"/>
    </row>
    <row r="794" ht="15.75" customHeight="1">
      <c r="A794" s="16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/>
      <c r="Z794" s="17" t="n"/>
      <c r="AA794" s="17" t="n"/>
      <c r="AB794" s="17" t="n"/>
      <c r="AC794" s="17" t="n"/>
      <c r="AD794" s="17" t="n"/>
    </row>
    <row r="795" ht="15.75" customHeight="1">
      <c r="A795" s="16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/>
      <c r="Z795" s="17" t="n"/>
      <c r="AA795" s="17" t="n"/>
      <c r="AB795" s="17" t="n"/>
      <c r="AC795" s="17" t="n"/>
      <c r="AD795" s="17" t="n"/>
    </row>
    <row r="796" ht="15.75" customHeight="1">
      <c r="A796" s="16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/>
      <c r="Z796" s="17" t="n"/>
      <c r="AA796" s="17" t="n"/>
      <c r="AB796" s="17" t="n"/>
      <c r="AC796" s="17" t="n"/>
      <c r="AD796" s="17" t="n"/>
    </row>
    <row r="797" ht="15.75" customHeight="1">
      <c r="A797" s="16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/>
      <c r="Z797" s="17" t="n"/>
      <c r="AA797" s="17" t="n"/>
      <c r="AB797" s="17" t="n"/>
      <c r="AC797" s="17" t="n"/>
      <c r="AD797" s="17" t="n"/>
    </row>
    <row r="798" ht="15.75" customHeight="1">
      <c r="A798" s="16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/>
      <c r="Z798" s="17" t="n"/>
      <c r="AA798" s="17" t="n"/>
      <c r="AB798" s="17" t="n"/>
      <c r="AC798" s="17" t="n"/>
      <c r="AD798" s="17" t="n"/>
    </row>
    <row r="799" ht="15.75" customHeight="1">
      <c r="A799" s="16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/>
      <c r="Z799" s="17" t="n"/>
      <c r="AA799" s="17" t="n"/>
      <c r="AB799" s="17" t="n"/>
      <c r="AC799" s="17" t="n"/>
      <c r="AD799" s="17" t="n"/>
    </row>
    <row r="800" ht="15.75" customHeight="1">
      <c r="A800" s="16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/>
      <c r="Z800" s="17" t="n"/>
      <c r="AA800" s="17" t="n"/>
      <c r="AB800" s="17" t="n"/>
      <c r="AC800" s="17" t="n"/>
      <c r="AD800" s="17" t="n"/>
    </row>
    <row r="801" ht="15.75" customHeight="1">
      <c r="A801" s="16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/>
      <c r="Z801" s="17" t="n"/>
      <c r="AA801" s="17" t="n"/>
      <c r="AB801" s="17" t="n"/>
      <c r="AC801" s="17" t="n"/>
      <c r="AD801" s="17" t="n"/>
    </row>
    <row r="802" ht="15.75" customHeight="1">
      <c r="A802" s="16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/>
      <c r="Z802" s="17" t="n"/>
      <c r="AA802" s="17" t="n"/>
      <c r="AB802" s="17" t="n"/>
      <c r="AC802" s="17" t="n"/>
      <c r="AD802" s="17" t="n"/>
    </row>
    <row r="803" ht="15.75" customHeight="1">
      <c r="A803" s="16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/>
      <c r="Z803" s="17" t="n"/>
      <c r="AA803" s="17" t="n"/>
      <c r="AB803" s="17" t="n"/>
      <c r="AC803" s="17" t="n"/>
      <c r="AD803" s="17" t="n"/>
    </row>
    <row r="804" ht="15.75" customHeight="1">
      <c r="A804" s="16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7" t="n"/>
      <c r="AA804" s="17" t="n"/>
      <c r="AB804" s="17" t="n"/>
      <c r="AC804" s="17" t="n"/>
      <c r="AD804" s="17" t="n"/>
    </row>
    <row r="805" ht="15.75" customHeight="1">
      <c r="A805" s="16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/>
      <c r="Z805" s="17" t="n"/>
      <c r="AA805" s="17" t="n"/>
      <c r="AB805" s="17" t="n"/>
      <c r="AC805" s="17" t="n"/>
      <c r="AD805" s="17" t="n"/>
    </row>
    <row r="806" ht="15.75" customHeight="1">
      <c r="A806" s="16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/>
      <c r="Z806" s="17" t="n"/>
      <c r="AA806" s="17" t="n"/>
      <c r="AB806" s="17" t="n"/>
      <c r="AC806" s="17" t="n"/>
      <c r="AD806" s="17" t="n"/>
    </row>
    <row r="807" ht="15.75" customHeight="1">
      <c r="A807" s="16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/>
      <c r="Z807" s="17" t="n"/>
      <c r="AA807" s="17" t="n"/>
      <c r="AB807" s="17" t="n"/>
      <c r="AC807" s="17" t="n"/>
      <c r="AD807" s="17" t="n"/>
    </row>
    <row r="808" ht="15.75" customHeight="1">
      <c r="A808" s="16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/>
      <c r="Z808" s="17" t="n"/>
      <c r="AA808" s="17" t="n"/>
      <c r="AB808" s="17" t="n"/>
      <c r="AC808" s="17" t="n"/>
      <c r="AD808" s="17" t="n"/>
    </row>
    <row r="809" ht="15.75" customHeight="1">
      <c r="A809" s="16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/>
      <c r="Z809" s="17" t="n"/>
      <c r="AA809" s="17" t="n"/>
      <c r="AB809" s="17" t="n"/>
      <c r="AC809" s="17" t="n"/>
      <c r="AD809" s="17" t="n"/>
    </row>
    <row r="810" ht="15.75" customHeight="1">
      <c r="A810" s="16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/>
      <c r="Z810" s="17" t="n"/>
      <c r="AA810" s="17" t="n"/>
      <c r="AB810" s="17" t="n"/>
      <c r="AC810" s="17" t="n"/>
      <c r="AD810" s="17" t="n"/>
    </row>
    <row r="811" ht="15.75" customHeight="1">
      <c r="A811" s="16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/>
      <c r="Z811" s="17" t="n"/>
      <c r="AA811" s="17" t="n"/>
      <c r="AB811" s="17" t="n"/>
      <c r="AC811" s="17" t="n"/>
      <c r="AD811" s="17" t="n"/>
    </row>
    <row r="812" ht="15.75" customHeight="1">
      <c r="A812" s="16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/>
      <c r="Z812" s="17" t="n"/>
      <c r="AA812" s="17" t="n"/>
      <c r="AB812" s="17" t="n"/>
      <c r="AC812" s="17" t="n"/>
      <c r="AD812" s="17" t="n"/>
    </row>
    <row r="813" ht="15.75" customHeight="1">
      <c r="A813" s="16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/>
      <c r="Z813" s="17" t="n"/>
      <c r="AA813" s="17" t="n"/>
      <c r="AB813" s="17" t="n"/>
      <c r="AC813" s="17" t="n"/>
      <c r="AD813" s="17" t="n"/>
    </row>
    <row r="814" ht="15.75" customHeight="1">
      <c r="A814" s="16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/>
      <c r="Z814" s="17" t="n"/>
      <c r="AA814" s="17" t="n"/>
      <c r="AB814" s="17" t="n"/>
      <c r="AC814" s="17" t="n"/>
      <c r="AD814" s="17" t="n"/>
    </row>
    <row r="815" ht="15.75" customHeight="1">
      <c r="A815" s="16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/>
      <c r="Z815" s="17" t="n"/>
      <c r="AA815" s="17" t="n"/>
      <c r="AB815" s="17" t="n"/>
      <c r="AC815" s="17" t="n"/>
      <c r="AD815" s="17" t="n"/>
    </row>
    <row r="816" ht="15.75" customHeight="1">
      <c r="A816" s="16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/>
      <c r="Z816" s="17" t="n"/>
      <c r="AA816" s="17" t="n"/>
      <c r="AB816" s="17" t="n"/>
      <c r="AC816" s="17" t="n"/>
      <c r="AD816" s="17" t="n"/>
    </row>
    <row r="817" ht="15.75" customHeight="1">
      <c r="A817" s="16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/>
      <c r="Z817" s="17" t="n"/>
      <c r="AA817" s="17" t="n"/>
      <c r="AB817" s="17" t="n"/>
      <c r="AC817" s="17" t="n"/>
      <c r="AD817" s="17" t="n"/>
    </row>
    <row r="818" ht="15.75" customHeight="1">
      <c r="A818" s="16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/>
      <c r="Z818" s="17" t="n"/>
      <c r="AA818" s="17" t="n"/>
      <c r="AB818" s="17" t="n"/>
      <c r="AC818" s="17" t="n"/>
      <c r="AD818" s="17" t="n"/>
    </row>
    <row r="819" ht="15.75" customHeight="1">
      <c r="A819" s="16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/>
      <c r="Z819" s="17" t="n"/>
      <c r="AA819" s="17" t="n"/>
      <c r="AB819" s="17" t="n"/>
      <c r="AC819" s="17" t="n"/>
      <c r="AD819" s="17" t="n"/>
    </row>
    <row r="820" ht="15.75" customHeight="1">
      <c r="A820" s="16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/>
      <c r="Z820" s="17" t="n"/>
      <c r="AA820" s="17" t="n"/>
      <c r="AB820" s="17" t="n"/>
      <c r="AC820" s="17" t="n"/>
      <c r="AD820" s="17" t="n"/>
    </row>
    <row r="821" ht="15.75" customHeight="1">
      <c r="A821" s="16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/>
      <c r="Z821" s="17" t="n"/>
      <c r="AA821" s="17" t="n"/>
      <c r="AB821" s="17" t="n"/>
      <c r="AC821" s="17" t="n"/>
      <c r="AD821" s="17" t="n"/>
    </row>
    <row r="822" ht="15.75" customHeight="1">
      <c r="A822" s="16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/>
      <c r="Z822" s="17" t="n"/>
      <c r="AA822" s="17" t="n"/>
      <c r="AB822" s="17" t="n"/>
      <c r="AC822" s="17" t="n"/>
      <c r="AD822" s="17" t="n"/>
    </row>
    <row r="823" ht="15.75" customHeight="1">
      <c r="A823" s="16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/>
      <c r="Z823" s="17" t="n"/>
      <c r="AA823" s="17" t="n"/>
      <c r="AB823" s="17" t="n"/>
      <c r="AC823" s="17" t="n"/>
      <c r="AD823" s="17" t="n"/>
    </row>
    <row r="824" ht="15.75" customHeight="1">
      <c r="A824" s="16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/>
      <c r="Z824" s="17" t="n"/>
      <c r="AA824" s="17" t="n"/>
      <c r="AB824" s="17" t="n"/>
      <c r="AC824" s="17" t="n"/>
      <c r="AD824" s="17" t="n"/>
    </row>
    <row r="825" ht="15.75" customHeight="1">
      <c r="A825" s="16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/>
      <c r="Z825" s="17" t="n"/>
      <c r="AA825" s="17" t="n"/>
      <c r="AB825" s="17" t="n"/>
      <c r="AC825" s="17" t="n"/>
      <c r="AD825" s="17" t="n"/>
    </row>
    <row r="826" ht="15.75" customHeight="1">
      <c r="A826" s="16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/>
      <c r="Z826" s="17" t="n"/>
      <c r="AA826" s="17" t="n"/>
      <c r="AB826" s="17" t="n"/>
      <c r="AC826" s="17" t="n"/>
      <c r="AD826" s="17" t="n"/>
    </row>
    <row r="827" ht="15.75" customHeight="1">
      <c r="A827" s="16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/>
      <c r="Z827" s="17" t="n"/>
      <c r="AA827" s="17" t="n"/>
      <c r="AB827" s="17" t="n"/>
      <c r="AC827" s="17" t="n"/>
      <c r="AD827" s="17" t="n"/>
    </row>
    <row r="828" ht="15.75" customHeight="1">
      <c r="A828" s="16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/>
      <c r="Z828" s="17" t="n"/>
      <c r="AA828" s="17" t="n"/>
      <c r="AB828" s="17" t="n"/>
      <c r="AC828" s="17" t="n"/>
      <c r="AD828" s="17" t="n"/>
    </row>
    <row r="829" ht="15.75" customHeight="1">
      <c r="A829" s="16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/>
      <c r="Z829" s="17" t="n"/>
      <c r="AA829" s="17" t="n"/>
      <c r="AB829" s="17" t="n"/>
      <c r="AC829" s="17" t="n"/>
      <c r="AD829" s="17" t="n"/>
    </row>
    <row r="830" ht="15.75" customHeight="1">
      <c r="A830" s="16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/>
      <c r="Z830" s="17" t="n"/>
      <c r="AA830" s="17" t="n"/>
      <c r="AB830" s="17" t="n"/>
      <c r="AC830" s="17" t="n"/>
      <c r="AD830" s="17" t="n"/>
    </row>
    <row r="831" ht="15.75" customHeight="1">
      <c r="A831" s="16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/>
      <c r="Z831" s="17" t="n"/>
      <c r="AA831" s="17" t="n"/>
      <c r="AB831" s="17" t="n"/>
      <c r="AC831" s="17" t="n"/>
      <c r="AD831" s="17" t="n"/>
    </row>
    <row r="832" ht="15.75" customHeight="1">
      <c r="A832" s="16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/>
      <c r="Z832" s="17" t="n"/>
      <c r="AA832" s="17" t="n"/>
      <c r="AB832" s="17" t="n"/>
      <c r="AC832" s="17" t="n"/>
      <c r="AD832" s="17" t="n"/>
    </row>
    <row r="833" ht="15.75" customHeight="1">
      <c r="A833" s="16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/>
      <c r="Z833" s="17" t="n"/>
      <c r="AA833" s="17" t="n"/>
      <c r="AB833" s="17" t="n"/>
      <c r="AC833" s="17" t="n"/>
      <c r="AD833" s="17" t="n"/>
    </row>
    <row r="834" ht="15.75" customHeight="1">
      <c r="A834" s="16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/>
      <c r="Z834" s="17" t="n"/>
      <c r="AA834" s="17" t="n"/>
      <c r="AB834" s="17" t="n"/>
      <c r="AC834" s="17" t="n"/>
      <c r="AD834" s="17" t="n"/>
    </row>
    <row r="835" ht="15.75" customHeight="1">
      <c r="A835" s="16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/>
      <c r="Z835" s="17" t="n"/>
      <c r="AA835" s="17" t="n"/>
      <c r="AB835" s="17" t="n"/>
      <c r="AC835" s="17" t="n"/>
      <c r="AD835" s="17" t="n"/>
    </row>
    <row r="836" ht="15.75" customHeight="1">
      <c r="A836" s="16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/>
      <c r="Z836" s="17" t="n"/>
      <c r="AA836" s="17" t="n"/>
      <c r="AB836" s="17" t="n"/>
      <c r="AC836" s="17" t="n"/>
      <c r="AD836" s="17" t="n"/>
    </row>
    <row r="837" ht="15.75" customHeight="1">
      <c r="A837" s="16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/>
      <c r="Z837" s="17" t="n"/>
      <c r="AA837" s="17" t="n"/>
      <c r="AB837" s="17" t="n"/>
      <c r="AC837" s="17" t="n"/>
      <c r="AD837" s="17" t="n"/>
    </row>
    <row r="838" ht="15.75" customHeight="1">
      <c r="A838" s="16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/>
      <c r="Z838" s="17" t="n"/>
      <c r="AA838" s="17" t="n"/>
      <c r="AB838" s="17" t="n"/>
      <c r="AC838" s="17" t="n"/>
      <c r="AD838" s="17" t="n"/>
    </row>
    <row r="839" ht="15.75" customHeight="1">
      <c r="A839" s="16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/>
      <c r="Z839" s="17" t="n"/>
      <c r="AA839" s="17" t="n"/>
      <c r="AB839" s="17" t="n"/>
      <c r="AC839" s="17" t="n"/>
      <c r="AD839" s="17" t="n"/>
    </row>
    <row r="840" ht="15.75" customHeight="1">
      <c r="A840" s="16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/>
      <c r="Z840" s="17" t="n"/>
      <c r="AA840" s="17" t="n"/>
      <c r="AB840" s="17" t="n"/>
      <c r="AC840" s="17" t="n"/>
      <c r="AD840" s="17" t="n"/>
    </row>
    <row r="841" ht="15.75" customHeight="1">
      <c r="A841" s="16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/>
      <c r="Z841" s="17" t="n"/>
      <c r="AA841" s="17" t="n"/>
      <c r="AB841" s="17" t="n"/>
      <c r="AC841" s="17" t="n"/>
      <c r="AD841" s="17" t="n"/>
    </row>
    <row r="842" ht="15.75" customHeight="1">
      <c r="A842" s="16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/>
      <c r="Z842" s="17" t="n"/>
      <c r="AA842" s="17" t="n"/>
      <c r="AB842" s="17" t="n"/>
      <c r="AC842" s="17" t="n"/>
      <c r="AD842" s="17" t="n"/>
    </row>
    <row r="843" ht="15.75" customHeight="1">
      <c r="A843" s="16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/>
      <c r="Z843" s="17" t="n"/>
      <c r="AA843" s="17" t="n"/>
      <c r="AB843" s="17" t="n"/>
      <c r="AC843" s="17" t="n"/>
      <c r="AD843" s="17" t="n"/>
    </row>
    <row r="844" ht="15.75" customHeight="1">
      <c r="A844" s="16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/>
      <c r="Z844" s="17" t="n"/>
      <c r="AA844" s="17" t="n"/>
      <c r="AB844" s="17" t="n"/>
      <c r="AC844" s="17" t="n"/>
      <c r="AD844" s="17" t="n"/>
    </row>
    <row r="845" ht="15.75" customHeight="1">
      <c r="A845" s="16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/>
      <c r="Z845" s="17" t="n"/>
      <c r="AA845" s="17" t="n"/>
      <c r="AB845" s="17" t="n"/>
      <c r="AC845" s="17" t="n"/>
      <c r="AD845" s="17" t="n"/>
    </row>
    <row r="846" ht="15.75" customHeight="1">
      <c r="A846" s="16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/>
      <c r="Z846" s="17" t="n"/>
      <c r="AA846" s="17" t="n"/>
      <c r="AB846" s="17" t="n"/>
      <c r="AC846" s="17" t="n"/>
      <c r="AD846" s="17" t="n"/>
    </row>
    <row r="847" ht="15.75" customHeight="1">
      <c r="A847" s="16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/>
      <c r="Z847" s="17" t="n"/>
      <c r="AA847" s="17" t="n"/>
      <c r="AB847" s="17" t="n"/>
      <c r="AC847" s="17" t="n"/>
      <c r="AD847" s="17" t="n"/>
    </row>
    <row r="848" ht="15.75" customHeight="1">
      <c r="A848" s="16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/>
      <c r="Z848" s="17" t="n"/>
      <c r="AA848" s="17" t="n"/>
      <c r="AB848" s="17" t="n"/>
      <c r="AC848" s="17" t="n"/>
      <c r="AD848" s="17" t="n"/>
    </row>
    <row r="849" ht="15.75" customHeight="1">
      <c r="A849" s="16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/>
      <c r="Z849" s="17" t="n"/>
      <c r="AA849" s="17" t="n"/>
      <c r="AB849" s="17" t="n"/>
      <c r="AC849" s="17" t="n"/>
      <c r="AD849" s="17" t="n"/>
    </row>
    <row r="850" ht="15.75" customHeight="1">
      <c r="A850" s="16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/>
      <c r="Z850" s="17" t="n"/>
      <c r="AA850" s="17" t="n"/>
      <c r="AB850" s="17" t="n"/>
      <c r="AC850" s="17" t="n"/>
      <c r="AD850" s="17" t="n"/>
    </row>
    <row r="851" ht="15.75" customHeight="1">
      <c r="A851" s="16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/>
      <c r="Z851" s="17" t="n"/>
      <c r="AA851" s="17" t="n"/>
      <c r="AB851" s="17" t="n"/>
      <c r="AC851" s="17" t="n"/>
      <c r="AD851" s="17" t="n"/>
    </row>
    <row r="852" ht="15.75" customHeight="1">
      <c r="A852" s="16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/>
      <c r="Z852" s="17" t="n"/>
      <c r="AA852" s="17" t="n"/>
      <c r="AB852" s="17" t="n"/>
      <c r="AC852" s="17" t="n"/>
      <c r="AD852" s="17" t="n"/>
    </row>
    <row r="853" ht="15.75" customHeight="1">
      <c r="A853" s="16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/>
      <c r="Z853" s="17" t="n"/>
      <c r="AA853" s="17" t="n"/>
      <c r="AB853" s="17" t="n"/>
      <c r="AC853" s="17" t="n"/>
      <c r="AD853" s="17" t="n"/>
    </row>
    <row r="854" ht="15.75" customHeight="1">
      <c r="A854" s="16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/>
      <c r="Z854" s="17" t="n"/>
      <c r="AA854" s="17" t="n"/>
      <c r="AB854" s="17" t="n"/>
      <c r="AC854" s="17" t="n"/>
      <c r="AD854" s="17" t="n"/>
    </row>
    <row r="855" ht="15.75" customHeight="1">
      <c r="A855" s="16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/>
      <c r="Z855" s="17" t="n"/>
      <c r="AA855" s="17" t="n"/>
      <c r="AB855" s="17" t="n"/>
      <c r="AC855" s="17" t="n"/>
      <c r="AD855" s="17" t="n"/>
    </row>
    <row r="856" ht="15.75" customHeight="1">
      <c r="A856" s="16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/>
      <c r="Z856" s="17" t="n"/>
      <c r="AA856" s="17" t="n"/>
      <c r="AB856" s="17" t="n"/>
      <c r="AC856" s="17" t="n"/>
      <c r="AD856" s="17" t="n"/>
    </row>
    <row r="857" ht="15.75" customHeight="1">
      <c r="A857" s="16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/>
      <c r="Z857" s="17" t="n"/>
      <c r="AA857" s="17" t="n"/>
      <c r="AB857" s="17" t="n"/>
      <c r="AC857" s="17" t="n"/>
      <c r="AD857" s="17" t="n"/>
    </row>
    <row r="858" ht="15.75" customHeight="1">
      <c r="A858" s="16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/>
      <c r="Z858" s="17" t="n"/>
      <c r="AA858" s="17" t="n"/>
      <c r="AB858" s="17" t="n"/>
      <c r="AC858" s="17" t="n"/>
      <c r="AD858" s="17" t="n"/>
    </row>
    <row r="859" ht="15.75" customHeight="1">
      <c r="A859" s="16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/>
      <c r="Z859" s="17" t="n"/>
      <c r="AA859" s="17" t="n"/>
      <c r="AB859" s="17" t="n"/>
      <c r="AC859" s="17" t="n"/>
      <c r="AD859" s="17" t="n"/>
    </row>
    <row r="860" ht="15.75" customHeight="1">
      <c r="A860" s="16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/>
      <c r="Z860" s="17" t="n"/>
      <c r="AA860" s="17" t="n"/>
      <c r="AB860" s="17" t="n"/>
      <c r="AC860" s="17" t="n"/>
      <c r="AD860" s="17" t="n"/>
    </row>
    <row r="861" ht="15.75" customHeight="1">
      <c r="A861" s="16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/>
      <c r="Z861" s="17" t="n"/>
      <c r="AA861" s="17" t="n"/>
      <c r="AB861" s="17" t="n"/>
      <c r="AC861" s="17" t="n"/>
      <c r="AD861" s="17" t="n"/>
    </row>
    <row r="862" ht="15.75" customHeight="1">
      <c r="A862" s="16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/>
      <c r="Z862" s="17" t="n"/>
      <c r="AA862" s="17" t="n"/>
      <c r="AB862" s="17" t="n"/>
      <c r="AC862" s="17" t="n"/>
      <c r="AD862" s="17" t="n"/>
    </row>
    <row r="863" ht="15.75" customHeight="1">
      <c r="A863" s="16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/>
      <c r="Z863" s="17" t="n"/>
      <c r="AA863" s="17" t="n"/>
      <c r="AB863" s="17" t="n"/>
      <c r="AC863" s="17" t="n"/>
      <c r="AD863" s="17" t="n"/>
    </row>
    <row r="864" ht="15.75" customHeight="1">
      <c r="A864" s="16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/>
      <c r="Z864" s="17" t="n"/>
      <c r="AA864" s="17" t="n"/>
      <c r="AB864" s="17" t="n"/>
      <c r="AC864" s="17" t="n"/>
      <c r="AD864" s="17" t="n"/>
    </row>
    <row r="865" ht="15.75" customHeight="1">
      <c r="A865" s="16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/>
      <c r="Z865" s="17" t="n"/>
      <c r="AA865" s="17" t="n"/>
      <c r="AB865" s="17" t="n"/>
      <c r="AC865" s="17" t="n"/>
      <c r="AD865" s="17" t="n"/>
    </row>
    <row r="866" ht="15.75" customHeight="1">
      <c r="A866" s="16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/>
      <c r="Z866" s="17" t="n"/>
      <c r="AA866" s="17" t="n"/>
      <c r="AB866" s="17" t="n"/>
      <c r="AC866" s="17" t="n"/>
      <c r="AD866" s="17" t="n"/>
    </row>
    <row r="867" ht="15.75" customHeight="1">
      <c r="A867" s="16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/>
      <c r="Z867" s="17" t="n"/>
      <c r="AA867" s="17" t="n"/>
      <c r="AB867" s="17" t="n"/>
      <c r="AC867" s="17" t="n"/>
      <c r="AD867" s="17" t="n"/>
    </row>
    <row r="868" ht="15.75" customHeight="1">
      <c r="A868" s="16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/>
      <c r="Z868" s="17" t="n"/>
      <c r="AA868" s="17" t="n"/>
      <c r="AB868" s="17" t="n"/>
      <c r="AC868" s="17" t="n"/>
      <c r="AD868" s="17" t="n"/>
    </row>
    <row r="869" ht="15.75" customHeight="1">
      <c r="A869" s="16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/>
      <c r="Z869" s="17" t="n"/>
      <c r="AA869" s="17" t="n"/>
      <c r="AB869" s="17" t="n"/>
      <c r="AC869" s="17" t="n"/>
      <c r="AD869" s="17" t="n"/>
    </row>
    <row r="870" ht="15.75" customHeight="1">
      <c r="A870" s="16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/>
      <c r="Z870" s="17" t="n"/>
      <c r="AA870" s="17" t="n"/>
      <c r="AB870" s="17" t="n"/>
      <c r="AC870" s="17" t="n"/>
      <c r="AD870" s="17" t="n"/>
    </row>
    <row r="871" ht="15.75" customHeight="1">
      <c r="A871" s="16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/>
      <c r="Z871" s="17" t="n"/>
      <c r="AA871" s="17" t="n"/>
      <c r="AB871" s="17" t="n"/>
      <c r="AC871" s="17" t="n"/>
      <c r="AD871" s="17" t="n"/>
    </row>
    <row r="872" ht="15.75" customHeight="1">
      <c r="A872" s="16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/>
      <c r="Z872" s="17" t="n"/>
      <c r="AA872" s="17" t="n"/>
      <c r="AB872" s="17" t="n"/>
      <c r="AC872" s="17" t="n"/>
      <c r="AD872" s="17" t="n"/>
    </row>
    <row r="873" ht="15.75" customHeight="1">
      <c r="A873" s="16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/>
      <c r="Z873" s="17" t="n"/>
      <c r="AA873" s="17" t="n"/>
      <c r="AB873" s="17" t="n"/>
      <c r="AC873" s="17" t="n"/>
      <c r="AD873" s="17" t="n"/>
    </row>
    <row r="874" ht="15.75" customHeight="1">
      <c r="A874" s="16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/>
      <c r="Z874" s="17" t="n"/>
      <c r="AA874" s="17" t="n"/>
      <c r="AB874" s="17" t="n"/>
      <c r="AC874" s="17" t="n"/>
      <c r="AD874" s="17" t="n"/>
    </row>
    <row r="875" ht="15.75" customHeight="1">
      <c r="A875" s="16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/>
      <c r="Z875" s="17" t="n"/>
      <c r="AA875" s="17" t="n"/>
      <c r="AB875" s="17" t="n"/>
      <c r="AC875" s="17" t="n"/>
      <c r="AD875" s="17" t="n"/>
    </row>
    <row r="876" ht="15.75" customHeight="1">
      <c r="A876" s="16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/>
      <c r="Z876" s="17" t="n"/>
      <c r="AA876" s="17" t="n"/>
      <c r="AB876" s="17" t="n"/>
      <c r="AC876" s="17" t="n"/>
      <c r="AD876" s="17" t="n"/>
    </row>
    <row r="877" ht="15.75" customHeight="1">
      <c r="A877" s="16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/>
      <c r="Z877" s="17" t="n"/>
      <c r="AA877" s="17" t="n"/>
      <c r="AB877" s="17" t="n"/>
      <c r="AC877" s="17" t="n"/>
      <c r="AD877" s="17" t="n"/>
    </row>
    <row r="878" ht="15.75" customHeight="1">
      <c r="A878" s="16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/>
      <c r="Z878" s="17" t="n"/>
      <c r="AA878" s="17" t="n"/>
      <c r="AB878" s="17" t="n"/>
      <c r="AC878" s="17" t="n"/>
      <c r="AD878" s="17" t="n"/>
    </row>
    <row r="879" ht="15.75" customHeight="1">
      <c r="A879" s="16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/>
      <c r="Z879" s="17" t="n"/>
      <c r="AA879" s="17" t="n"/>
      <c r="AB879" s="17" t="n"/>
      <c r="AC879" s="17" t="n"/>
      <c r="AD879" s="17" t="n"/>
    </row>
    <row r="880" ht="15.75" customHeight="1">
      <c r="A880" s="16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/>
      <c r="Z880" s="17" t="n"/>
      <c r="AA880" s="17" t="n"/>
      <c r="AB880" s="17" t="n"/>
      <c r="AC880" s="17" t="n"/>
      <c r="AD880" s="17" t="n"/>
    </row>
    <row r="881" ht="15.75" customHeight="1">
      <c r="A881" s="16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/>
      <c r="Z881" s="17" t="n"/>
      <c r="AA881" s="17" t="n"/>
      <c r="AB881" s="17" t="n"/>
      <c r="AC881" s="17" t="n"/>
      <c r="AD881" s="17" t="n"/>
    </row>
    <row r="882" ht="15.75" customHeight="1">
      <c r="A882" s="16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/>
      <c r="Z882" s="17" t="n"/>
      <c r="AA882" s="17" t="n"/>
      <c r="AB882" s="17" t="n"/>
      <c r="AC882" s="17" t="n"/>
      <c r="AD882" s="17" t="n"/>
    </row>
    <row r="883" ht="15.75" customHeight="1">
      <c r="A883" s="16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/>
      <c r="Z883" s="17" t="n"/>
      <c r="AA883" s="17" t="n"/>
      <c r="AB883" s="17" t="n"/>
      <c r="AC883" s="17" t="n"/>
      <c r="AD883" s="17" t="n"/>
    </row>
    <row r="884" ht="15.75" customHeight="1">
      <c r="A884" s="16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/>
      <c r="Z884" s="17" t="n"/>
      <c r="AA884" s="17" t="n"/>
      <c r="AB884" s="17" t="n"/>
      <c r="AC884" s="17" t="n"/>
      <c r="AD884" s="17" t="n"/>
    </row>
    <row r="885" ht="15.75" customHeight="1">
      <c r="A885" s="16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/>
      <c r="Z885" s="17" t="n"/>
      <c r="AA885" s="17" t="n"/>
      <c r="AB885" s="17" t="n"/>
      <c r="AC885" s="17" t="n"/>
      <c r="AD885" s="17" t="n"/>
    </row>
    <row r="886" ht="15.75" customHeight="1">
      <c r="A886" s="16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/>
      <c r="Z886" s="17" t="n"/>
      <c r="AA886" s="17" t="n"/>
      <c r="AB886" s="17" t="n"/>
      <c r="AC886" s="17" t="n"/>
      <c r="AD886" s="17" t="n"/>
    </row>
    <row r="887" ht="15.75" customHeight="1">
      <c r="A887" s="16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/>
      <c r="Z887" s="17" t="n"/>
      <c r="AA887" s="17" t="n"/>
      <c r="AB887" s="17" t="n"/>
      <c r="AC887" s="17" t="n"/>
      <c r="AD887" s="17" t="n"/>
    </row>
    <row r="888" ht="15.75" customHeight="1">
      <c r="A888" s="16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/>
      <c r="Z888" s="17" t="n"/>
      <c r="AA888" s="17" t="n"/>
      <c r="AB888" s="17" t="n"/>
      <c r="AC888" s="17" t="n"/>
      <c r="AD888" s="17" t="n"/>
    </row>
    <row r="889" ht="15.75" customHeight="1">
      <c r="A889" s="16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/>
      <c r="Z889" s="17" t="n"/>
      <c r="AA889" s="17" t="n"/>
      <c r="AB889" s="17" t="n"/>
      <c r="AC889" s="17" t="n"/>
      <c r="AD889" s="17" t="n"/>
    </row>
    <row r="890" ht="15.75" customHeight="1">
      <c r="A890" s="16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/>
      <c r="Z890" s="17" t="n"/>
      <c r="AA890" s="17" t="n"/>
      <c r="AB890" s="17" t="n"/>
      <c r="AC890" s="17" t="n"/>
      <c r="AD890" s="17" t="n"/>
    </row>
    <row r="891" ht="15.75" customHeight="1">
      <c r="A891" s="16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/>
      <c r="Z891" s="17" t="n"/>
      <c r="AA891" s="17" t="n"/>
      <c r="AB891" s="17" t="n"/>
      <c r="AC891" s="17" t="n"/>
      <c r="AD891" s="17" t="n"/>
    </row>
    <row r="892" ht="15.75" customHeight="1">
      <c r="A892" s="16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/>
      <c r="Z892" s="17" t="n"/>
      <c r="AA892" s="17" t="n"/>
      <c r="AB892" s="17" t="n"/>
      <c r="AC892" s="17" t="n"/>
      <c r="AD892" s="17" t="n"/>
    </row>
    <row r="893" ht="15.75" customHeight="1">
      <c r="A893" s="16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/>
      <c r="Z893" s="17" t="n"/>
      <c r="AA893" s="17" t="n"/>
      <c r="AB893" s="17" t="n"/>
      <c r="AC893" s="17" t="n"/>
      <c r="AD893" s="17" t="n"/>
    </row>
    <row r="894" ht="15.75" customHeight="1">
      <c r="A894" s="16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/>
      <c r="Z894" s="17" t="n"/>
      <c r="AA894" s="17" t="n"/>
      <c r="AB894" s="17" t="n"/>
      <c r="AC894" s="17" t="n"/>
      <c r="AD894" s="17" t="n"/>
    </row>
    <row r="895" ht="15.75" customHeight="1">
      <c r="A895" s="16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/>
      <c r="Z895" s="17" t="n"/>
      <c r="AA895" s="17" t="n"/>
      <c r="AB895" s="17" t="n"/>
      <c r="AC895" s="17" t="n"/>
      <c r="AD895" s="17" t="n"/>
    </row>
    <row r="896" ht="15.75" customHeight="1">
      <c r="A896" s="16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/>
      <c r="Z896" s="17" t="n"/>
      <c r="AA896" s="17" t="n"/>
      <c r="AB896" s="17" t="n"/>
      <c r="AC896" s="17" t="n"/>
      <c r="AD896" s="17" t="n"/>
    </row>
    <row r="897" ht="15.75" customHeight="1">
      <c r="A897" s="16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/>
      <c r="Z897" s="17" t="n"/>
      <c r="AA897" s="17" t="n"/>
      <c r="AB897" s="17" t="n"/>
      <c r="AC897" s="17" t="n"/>
      <c r="AD897" s="17" t="n"/>
    </row>
    <row r="898" ht="15.75" customHeight="1">
      <c r="A898" s="16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/>
      <c r="Z898" s="17" t="n"/>
      <c r="AA898" s="17" t="n"/>
      <c r="AB898" s="17" t="n"/>
      <c r="AC898" s="17" t="n"/>
      <c r="AD898" s="17" t="n"/>
    </row>
    <row r="899" ht="15.75" customHeight="1">
      <c r="A899" s="16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/>
      <c r="Z899" s="17" t="n"/>
      <c r="AA899" s="17" t="n"/>
      <c r="AB899" s="17" t="n"/>
      <c r="AC899" s="17" t="n"/>
      <c r="AD899" s="17" t="n"/>
    </row>
    <row r="900" ht="15.75" customHeight="1">
      <c r="A900" s="16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/>
      <c r="Z900" s="17" t="n"/>
      <c r="AA900" s="17" t="n"/>
      <c r="AB900" s="17" t="n"/>
      <c r="AC900" s="17" t="n"/>
      <c r="AD900" s="17" t="n"/>
    </row>
    <row r="901" ht="15.75" customHeight="1">
      <c r="A901" s="16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/>
      <c r="Z901" s="17" t="n"/>
      <c r="AA901" s="17" t="n"/>
      <c r="AB901" s="17" t="n"/>
      <c r="AC901" s="17" t="n"/>
      <c r="AD901" s="17" t="n"/>
    </row>
    <row r="902" ht="15.75" customHeight="1">
      <c r="A902" s="16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/>
      <c r="Z902" s="17" t="n"/>
      <c r="AA902" s="17" t="n"/>
      <c r="AB902" s="17" t="n"/>
      <c r="AC902" s="17" t="n"/>
      <c r="AD902" s="17" t="n"/>
    </row>
    <row r="903" ht="15.75" customHeight="1">
      <c r="A903" s="16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/>
      <c r="Z903" s="17" t="n"/>
      <c r="AA903" s="17" t="n"/>
      <c r="AB903" s="17" t="n"/>
      <c r="AC903" s="17" t="n"/>
      <c r="AD903" s="17" t="n"/>
    </row>
    <row r="904" ht="15.75" customHeight="1">
      <c r="A904" s="16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/>
      <c r="Z904" s="17" t="n"/>
      <c r="AA904" s="17" t="n"/>
      <c r="AB904" s="17" t="n"/>
      <c r="AC904" s="17" t="n"/>
      <c r="AD904" s="17" t="n"/>
    </row>
    <row r="905" ht="15.75" customHeight="1">
      <c r="A905" s="16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/>
      <c r="Z905" s="17" t="n"/>
      <c r="AA905" s="17" t="n"/>
      <c r="AB905" s="17" t="n"/>
      <c r="AC905" s="17" t="n"/>
      <c r="AD905" s="17" t="n"/>
    </row>
    <row r="906" ht="15.75" customHeight="1">
      <c r="A906" s="16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  <c r="V906" s="17" t="n"/>
      <c r="W906" s="17" t="n"/>
      <c r="X906" s="17" t="n"/>
      <c r="Y906" s="17" t="n"/>
      <c r="Z906" s="17" t="n"/>
      <c r="AA906" s="17" t="n"/>
      <c r="AB906" s="17" t="n"/>
      <c r="AC906" s="17" t="n"/>
      <c r="AD906" s="17" t="n"/>
    </row>
    <row r="907" ht="15.75" customHeight="1">
      <c r="A907" s="16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/>
      <c r="Z907" s="17" t="n"/>
      <c r="AA907" s="17" t="n"/>
      <c r="AB907" s="17" t="n"/>
      <c r="AC907" s="17" t="n"/>
      <c r="AD907" s="17" t="n"/>
    </row>
    <row r="908" ht="15.75" customHeight="1">
      <c r="A908" s="16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/>
      <c r="Z908" s="17" t="n"/>
      <c r="AA908" s="17" t="n"/>
      <c r="AB908" s="17" t="n"/>
      <c r="AC908" s="17" t="n"/>
      <c r="AD908" s="17" t="n"/>
    </row>
    <row r="909" ht="15.75" customHeight="1">
      <c r="A909" s="16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  <c r="V909" s="17" t="n"/>
      <c r="W909" s="17" t="n"/>
      <c r="X909" s="17" t="n"/>
      <c r="Y909" s="17" t="n"/>
      <c r="Z909" s="17" t="n"/>
      <c r="AA909" s="17" t="n"/>
      <c r="AB909" s="17" t="n"/>
      <c r="AC909" s="17" t="n"/>
      <c r="AD909" s="17" t="n"/>
    </row>
    <row r="910" ht="15.75" customHeight="1">
      <c r="A910" s="16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/>
      <c r="Z910" s="17" t="n"/>
      <c r="AA910" s="17" t="n"/>
      <c r="AB910" s="17" t="n"/>
      <c r="AC910" s="17" t="n"/>
      <c r="AD910" s="17" t="n"/>
    </row>
    <row r="911" ht="15.75" customHeight="1">
      <c r="A911" s="16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/>
      <c r="Z911" s="17" t="n"/>
      <c r="AA911" s="17" t="n"/>
      <c r="AB911" s="17" t="n"/>
      <c r="AC911" s="17" t="n"/>
      <c r="AD911" s="17" t="n"/>
    </row>
    <row r="912" ht="15.75" customHeight="1">
      <c r="A912" s="16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/>
      <c r="Z912" s="17" t="n"/>
      <c r="AA912" s="17" t="n"/>
      <c r="AB912" s="17" t="n"/>
      <c r="AC912" s="17" t="n"/>
      <c r="AD912" s="17" t="n"/>
    </row>
    <row r="913" ht="15.75" customHeight="1">
      <c r="A913" s="16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/>
      <c r="Z913" s="17" t="n"/>
      <c r="AA913" s="17" t="n"/>
      <c r="AB913" s="17" t="n"/>
      <c r="AC913" s="17" t="n"/>
      <c r="AD913" s="17" t="n"/>
    </row>
    <row r="914" ht="15.75" customHeight="1">
      <c r="A914" s="16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/>
      <c r="Z914" s="17" t="n"/>
      <c r="AA914" s="17" t="n"/>
      <c r="AB914" s="17" t="n"/>
      <c r="AC914" s="17" t="n"/>
      <c r="AD914" s="17" t="n"/>
    </row>
    <row r="915" ht="15.75" customHeight="1">
      <c r="A915" s="16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7" t="n"/>
      <c r="Z915" s="17" t="n"/>
      <c r="AA915" s="17" t="n"/>
      <c r="AB915" s="17" t="n"/>
      <c r="AC915" s="17" t="n"/>
      <c r="AD915" s="17" t="n"/>
    </row>
    <row r="916" ht="15.75" customHeight="1">
      <c r="A916" s="16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/>
      <c r="Z916" s="17" t="n"/>
      <c r="AA916" s="17" t="n"/>
      <c r="AB916" s="17" t="n"/>
      <c r="AC916" s="17" t="n"/>
      <c r="AD916" s="17" t="n"/>
    </row>
    <row r="917" ht="15.75" customHeight="1">
      <c r="A917" s="16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/>
      <c r="Z917" s="17" t="n"/>
      <c r="AA917" s="17" t="n"/>
      <c r="AB917" s="17" t="n"/>
      <c r="AC917" s="17" t="n"/>
      <c r="AD917" s="17" t="n"/>
    </row>
    <row r="918" ht="15.75" customHeight="1">
      <c r="A918" s="16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7" t="n"/>
      <c r="AA918" s="17" t="n"/>
      <c r="AB918" s="17" t="n"/>
      <c r="AC918" s="17" t="n"/>
      <c r="AD918" s="17" t="n"/>
    </row>
    <row r="919" ht="15.75" customHeight="1">
      <c r="A919" s="16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/>
      <c r="Z919" s="17" t="n"/>
      <c r="AA919" s="17" t="n"/>
      <c r="AB919" s="17" t="n"/>
      <c r="AC919" s="17" t="n"/>
      <c r="AD919" s="17" t="n"/>
    </row>
    <row r="920" ht="15.75" customHeight="1">
      <c r="A920" s="16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/>
      <c r="Z920" s="17" t="n"/>
      <c r="AA920" s="17" t="n"/>
      <c r="AB920" s="17" t="n"/>
      <c r="AC920" s="17" t="n"/>
      <c r="AD920" s="17" t="n"/>
    </row>
    <row r="921" ht="15.75" customHeight="1">
      <c r="A921" s="16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7" t="n"/>
      <c r="AA921" s="17" t="n"/>
      <c r="AB921" s="17" t="n"/>
      <c r="AC921" s="17" t="n"/>
      <c r="AD921" s="17" t="n"/>
    </row>
    <row r="922" ht="15.75" customHeight="1">
      <c r="A922" s="16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/>
      <c r="Z922" s="17" t="n"/>
      <c r="AA922" s="17" t="n"/>
      <c r="AB922" s="17" t="n"/>
      <c r="AC922" s="17" t="n"/>
      <c r="AD922" s="17" t="n"/>
    </row>
    <row r="923" ht="15.75" customHeight="1">
      <c r="A923" s="16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/>
      <c r="Z923" s="17" t="n"/>
      <c r="AA923" s="17" t="n"/>
      <c r="AB923" s="17" t="n"/>
      <c r="AC923" s="17" t="n"/>
      <c r="AD923" s="17" t="n"/>
    </row>
    <row r="924" ht="15.75" customHeight="1">
      <c r="A924" s="16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/>
      <c r="Z924" s="17" t="n"/>
      <c r="AA924" s="17" t="n"/>
      <c r="AB924" s="17" t="n"/>
      <c r="AC924" s="17" t="n"/>
      <c r="AD924" s="17" t="n"/>
    </row>
    <row r="925" ht="15.75" customHeight="1">
      <c r="A925" s="16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/>
      <c r="Z925" s="17" t="n"/>
      <c r="AA925" s="17" t="n"/>
      <c r="AB925" s="17" t="n"/>
      <c r="AC925" s="17" t="n"/>
      <c r="AD925" s="17" t="n"/>
    </row>
    <row r="926" ht="15.75" customHeight="1">
      <c r="A926" s="16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/>
      <c r="Z926" s="17" t="n"/>
      <c r="AA926" s="17" t="n"/>
      <c r="AB926" s="17" t="n"/>
      <c r="AC926" s="17" t="n"/>
      <c r="AD926" s="17" t="n"/>
    </row>
    <row r="927" ht="15.75" customHeight="1">
      <c r="A927" s="16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/>
      <c r="Z927" s="17" t="n"/>
      <c r="AA927" s="17" t="n"/>
      <c r="AB927" s="17" t="n"/>
      <c r="AC927" s="17" t="n"/>
      <c r="AD927" s="17" t="n"/>
    </row>
    <row r="928" ht="15.75" customHeight="1">
      <c r="A928" s="16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/>
      <c r="Z928" s="17" t="n"/>
      <c r="AA928" s="17" t="n"/>
      <c r="AB928" s="17" t="n"/>
      <c r="AC928" s="17" t="n"/>
      <c r="AD928" s="17" t="n"/>
    </row>
    <row r="929" ht="15.75" customHeight="1">
      <c r="A929" s="16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/>
      <c r="Z929" s="17" t="n"/>
      <c r="AA929" s="17" t="n"/>
      <c r="AB929" s="17" t="n"/>
      <c r="AC929" s="17" t="n"/>
      <c r="AD929" s="17" t="n"/>
    </row>
    <row r="930" ht="15.75" customHeight="1">
      <c r="A930" s="16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/>
      <c r="Z930" s="17" t="n"/>
      <c r="AA930" s="17" t="n"/>
      <c r="AB930" s="17" t="n"/>
      <c r="AC930" s="17" t="n"/>
      <c r="AD930" s="17" t="n"/>
    </row>
    <row r="931" ht="15.75" customHeight="1">
      <c r="A931" s="16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/>
      <c r="Z931" s="17" t="n"/>
      <c r="AA931" s="17" t="n"/>
      <c r="AB931" s="17" t="n"/>
      <c r="AC931" s="17" t="n"/>
      <c r="AD931" s="17" t="n"/>
    </row>
    <row r="932" ht="15.75" customHeight="1">
      <c r="A932" s="16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/>
      <c r="Z932" s="17" t="n"/>
      <c r="AA932" s="17" t="n"/>
      <c r="AB932" s="17" t="n"/>
      <c r="AC932" s="17" t="n"/>
      <c r="AD932" s="17" t="n"/>
    </row>
    <row r="933" ht="15.75" customHeight="1">
      <c r="A933" s="16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/>
      <c r="Z933" s="17" t="n"/>
      <c r="AA933" s="17" t="n"/>
      <c r="AB933" s="17" t="n"/>
      <c r="AC933" s="17" t="n"/>
      <c r="AD933" s="17" t="n"/>
    </row>
    <row r="934" ht="15.75" customHeight="1">
      <c r="A934" s="16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/>
      <c r="Z934" s="17" t="n"/>
      <c r="AA934" s="17" t="n"/>
      <c r="AB934" s="17" t="n"/>
      <c r="AC934" s="17" t="n"/>
      <c r="AD934" s="17" t="n"/>
    </row>
    <row r="935" ht="15.75" customHeight="1">
      <c r="A935" s="16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/>
      <c r="Z935" s="17" t="n"/>
      <c r="AA935" s="17" t="n"/>
      <c r="AB935" s="17" t="n"/>
      <c r="AC935" s="17" t="n"/>
      <c r="AD935" s="17" t="n"/>
    </row>
    <row r="936" ht="15.75" customHeight="1">
      <c r="A936" s="16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/>
      <c r="Z936" s="17" t="n"/>
      <c r="AA936" s="17" t="n"/>
      <c r="AB936" s="17" t="n"/>
      <c r="AC936" s="17" t="n"/>
      <c r="AD936" s="17" t="n"/>
    </row>
    <row r="937" ht="15.75" customHeight="1">
      <c r="A937" s="16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/>
      <c r="Z937" s="17" t="n"/>
      <c r="AA937" s="17" t="n"/>
      <c r="AB937" s="17" t="n"/>
      <c r="AC937" s="17" t="n"/>
      <c r="AD937" s="17" t="n"/>
    </row>
    <row r="938" ht="15.75" customHeight="1">
      <c r="A938" s="16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/>
      <c r="Z938" s="17" t="n"/>
      <c r="AA938" s="17" t="n"/>
      <c r="AB938" s="17" t="n"/>
      <c r="AC938" s="17" t="n"/>
      <c r="AD938" s="17" t="n"/>
    </row>
    <row r="939" ht="15.75" customHeight="1">
      <c r="A939" s="16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/>
      <c r="Z939" s="17" t="n"/>
      <c r="AA939" s="17" t="n"/>
      <c r="AB939" s="17" t="n"/>
      <c r="AC939" s="17" t="n"/>
      <c r="AD939" s="17" t="n"/>
    </row>
    <row r="940" ht="15.75" customHeight="1">
      <c r="A940" s="16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/>
      <c r="Z940" s="17" t="n"/>
      <c r="AA940" s="17" t="n"/>
      <c r="AB940" s="17" t="n"/>
      <c r="AC940" s="17" t="n"/>
      <c r="AD940" s="17" t="n"/>
    </row>
    <row r="941" ht="15.75" customHeight="1">
      <c r="A941" s="16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/>
      <c r="Z941" s="17" t="n"/>
      <c r="AA941" s="17" t="n"/>
      <c r="AB941" s="17" t="n"/>
      <c r="AC941" s="17" t="n"/>
      <c r="AD941" s="17" t="n"/>
    </row>
    <row r="942" ht="15.75" customHeight="1">
      <c r="A942" s="16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/>
      <c r="Z942" s="17" t="n"/>
      <c r="AA942" s="17" t="n"/>
      <c r="AB942" s="17" t="n"/>
      <c r="AC942" s="17" t="n"/>
      <c r="AD942" s="17" t="n"/>
    </row>
    <row r="943" ht="15.75" customHeight="1">
      <c r="A943" s="16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7" t="n"/>
      <c r="Z943" s="17" t="n"/>
      <c r="AA943" s="17" t="n"/>
      <c r="AB943" s="17" t="n"/>
      <c r="AC943" s="17" t="n"/>
      <c r="AD943" s="17" t="n"/>
    </row>
    <row r="944" ht="15.75" customHeight="1">
      <c r="A944" s="16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/>
      <c r="Z944" s="17" t="n"/>
      <c r="AA944" s="17" t="n"/>
      <c r="AB944" s="17" t="n"/>
      <c r="AC944" s="17" t="n"/>
      <c r="AD944" s="17" t="n"/>
    </row>
    <row r="945" ht="15.75" customHeight="1">
      <c r="A945" s="16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/>
      <c r="Z945" s="17" t="n"/>
      <c r="AA945" s="17" t="n"/>
      <c r="AB945" s="17" t="n"/>
      <c r="AC945" s="17" t="n"/>
      <c r="AD945" s="17" t="n"/>
    </row>
    <row r="946" ht="15.75" customHeight="1">
      <c r="A946" s="16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/>
      <c r="Z946" s="17" t="n"/>
      <c r="AA946" s="17" t="n"/>
      <c r="AB946" s="17" t="n"/>
      <c r="AC946" s="17" t="n"/>
      <c r="AD946" s="17" t="n"/>
    </row>
    <row r="947" ht="15.75" customHeight="1">
      <c r="A947" s="16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/>
      <c r="Z947" s="17" t="n"/>
      <c r="AA947" s="17" t="n"/>
      <c r="AB947" s="17" t="n"/>
      <c r="AC947" s="17" t="n"/>
      <c r="AD947" s="17" t="n"/>
    </row>
    <row r="948" ht="15.75" customHeight="1">
      <c r="A948" s="16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/>
      <c r="Z948" s="17" t="n"/>
      <c r="AA948" s="17" t="n"/>
      <c r="AB948" s="17" t="n"/>
      <c r="AC948" s="17" t="n"/>
      <c r="AD948" s="17" t="n"/>
    </row>
    <row r="949" ht="15.75" customHeight="1">
      <c r="A949" s="16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/>
      <c r="Z949" s="17" t="n"/>
      <c r="AA949" s="17" t="n"/>
      <c r="AB949" s="17" t="n"/>
      <c r="AC949" s="17" t="n"/>
      <c r="AD949" s="17" t="n"/>
    </row>
    <row r="950" ht="15.75" customHeight="1">
      <c r="A950" s="16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/>
      <c r="Z950" s="17" t="n"/>
      <c r="AA950" s="17" t="n"/>
      <c r="AB950" s="17" t="n"/>
      <c r="AC950" s="17" t="n"/>
      <c r="AD950" s="17" t="n"/>
    </row>
    <row r="951" ht="15.75" customHeight="1">
      <c r="A951" s="16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/>
      <c r="Z951" s="17" t="n"/>
      <c r="AA951" s="17" t="n"/>
      <c r="AB951" s="17" t="n"/>
      <c r="AC951" s="17" t="n"/>
      <c r="AD951" s="17" t="n"/>
    </row>
    <row r="952" ht="15.75" customHeight="1">
      <c r="A952" s="16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/>
      <c r="Z952" s="17" t="n"/>
      <c r="AA952" s="17" t="n"/>
      <c r="AB952" s="17" t="n"/>
      <c r="AC952" s="17" t="n"/>
      <c r="AD952" s="17" t="n"/>
    </row>
    <row r="953" ht="15.75" customHeight="1">
      <c r="A953" s="16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/>
      <c r="Z953" s="17" t="n"/>
      <c r="AA953" s="17" t="n"/>
      <c r="AB953" s="17" t="n"/>
      <c r="AC953" s="17" t="n"/>
      <c r="AD953" s="17" t="n"/>
    </row>
    <row r="954" ht="15.75" customHeight="1">
      <c r="A954" s="16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/>
      <c r="Z954" s="17" t="n"/>
      <c r="AA954" s="17" t="n"/>
      <c r="AB954" s="17" t="n"/>
      <c r="AC954" s="17" t="n"/>
      <c r="AD954" s="17" t="n"/>
    </row>
    <row r="955" ht="15.75" customHeight="1">
      <c r="A955" s="16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/>
      <c r="Z955" s="17" t="n"/>
      <c r="AA955" s="17" t="n"/>
      <c r="AB955" s="17" t="n"/>
      <c r="AC955" s="17" t="n"/>
      <c r="AD955" s="17" t="n"/>
    </row>
    <row r="956" ht="15.75" customHeight="1">
      <c r="A956" s="16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/>
      <c r="Z956" s="17" t="n"/>
      <c r="AA956" s="17" t="n"/>
      <c r="AB956" s="17" t="n"/>
      <c r="AC956" s="17" t="n"/>
      <c r="AD956" s="17" t="n"/>
    </row>
    <row r="957" ht="15.75" customHeight="1">
      <c r="A957" s="16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/>
      <c r="Z957" s="17" t="n"/>
      <c r="AA957" s="17" t="n"/>
      <c r="AB957" s="17" t="n"/>
      <c r="AC957" s="17" t="n"/>
      <c r="AD957" s="17" t="n"/>
    </row>
    <row r="958" ht="15.75" customHeight="1">
      <c r="A958" s="16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/>
      <c r="Z958" s="17" t="n"/>
      <c r="AA958" s="17" t="n"/>
      <c r="AB958" s="17" t="n"/>
      <c r="AC958" s="17" t="n"/>
      <c r="AD958" s="17" t="n"/>
    </row>
    <row r="959" ht="15.75" customHeight="1">
      <c r="A959" s="16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/>
      <c r="Z959" s="17" t="n"/>
      <c r="AA959" s="17" t="n"/>
      <c r="AB959" s="17" t="n"/>
      <c r="AC959" s="17" t="n"/>
      <c r="AD959" s="17" t="n"/>
    </row>
    <row r="960" ht="15.75" customHeight="1">
      <c r="A960" s="16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/>
      <c r="Z960" s="17" t="n"/>
      <c r="AA960" s="17" t="n"/>
      <c r="AB960" s="17" t="n"/>
      <c r="AC960" s="17" t="n"/>
      <c r="AD960" s="17" t="n"/>
    </row>
    <row r="961" ht="15.75" customHeight="1">
      <c r="A961" s="16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/>
      <c r="Z961" s="17" t="n"/>
      <c r="AA961" s="17" t="n"/>
      <c r="AB961" s="17" t="n"/>
      <c r="AC961" s="17" t="n"/>
      <c r="AD961" s="17" t="n"/>
    </row>
    <row r="962" ht="15.75" customHeight="1">
      <c r="A962" s="16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/>
      <c r="Z962" s="17" t="n"/>
      <c r="AA962" s="17" t="n"/>
      <c r="AB962" s="17" t="n"/>
      <c r="AC962" s="17" t="n"/>
      <c r="AD962" s="17" t="n"/>
    </row>
    <row r="963" ht="15.75" customHeight="1">
      <c r="A963" s="16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/>
      <c r="Z963" s="17" t="n"/>
      <c r="AA963" s="17" t="n"/>
      <c r="AB963" s="17" t="n"/>
      <c r="AC963" s="17" t="n"/>
      <c r="AD963" s="17" t="n"/>
    </row>
    <row r="964" ht="15.75" customHeight="1">
      <c r="A964" s="16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/>
      <c r="Z964" s="17" t="n"/>
      <c r="AA964" s="17" t="n"/>
      <c r="AB964" s="17" t="n"/>
      <c r="AC964" s="17" t="n"/>
      <c r="AD964" s="17" t="n"/>
    </row>
    <row r="965" ht="15.75" customHeight="1">
      <c r="A965" s="16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/>
      <c r="Z965" s="17" t="n"/>
      <c r="AA965" s="17" t="n"/>
      <c r="AB965" s="17" t="n"/>
      <c r="AC965" s="17" t="n"/>
      <c r="AD965" s="17" t="n"/>
    </row>
    <row r="966" ht="15.75" customHeight="1">
      <c r="A966" s="16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/>
      <c r="Z966" s="17" t="n"/>
      <c r="AA966" s="17" t="n"/>
      <c r="AB966" s="17" t="n"/>
      <c r="AC966" s="17" t="n"/>
      <c r="AD966" s="17" t="n"/>
    </row>
    <row r="967" ht="15.75" customHeight="1">
      <c r="A967" s="16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/>
      <c r="Z967" s="17" t="n"/>
      <c r="AA967" s="17" t="n"/>
      <c r="AB967" s="17" t="n"/>
      <c r="AC967" s="17" t="n"/>
      <c r="AD967" s="17" t="n"/>
    </row>
    <row r="968" ht="15.75" customHeight="1">
      <c r="A968" s="16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/>
      <c r="Z968" s="17" t="n"/>
      <c r="AA968" s="17" t="n"/>
      <c r="AB968" s="17" t="n"/>
      <c r="AC968" s="17" t="n"/>
      <c r="AD968" s="17" t="n"/>
    </row>
    <row r="969" ht="15.75" customHeight="1">
      <c r="A969" s="16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/>
      <c r="Z969" s="17" t="n"/>
      <c r="AA969" s="17" t="n"/>
      <c r="AB969" s="17" t="n"/>
      <c r="AC969" s="17" t="n"/>
      <c r="AD969" s="17" t="n"/>
    </row>
    <row r="970" ht="15.75" customHeight="1">
      <c r="A970" s="16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/>
      <c r="Z970" s="17" t="n"/>
      <c r="AA970" s="17" t="n"/>
      <c r="AB970" s="17" t="n"/>
      <c r="AC970" s="17" t="n"/>
      <c r="AD970" s="17" t="n"/>
    </row>
    <row r="971" ht="15.75" customHeight="1">
      <c r="A971" s="16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/>
      <c r="Z971" s="17" t="n"/>
      <c r="AA971" s="17" t="n"/>
      <c r="AB971" s="17" t="n"/>
      <c r="AC971" s="17" t="n"/>
      <c r="AD971" s="17" t="n"/>
    </row>
    <row r="972" ht="15.75" customHeight="1">
      <c r="A972" s="16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/>
      <c r="Z972" s="17" t="n"/>
      <c r="AA972" s="17" t="n"/>
      <c r="AB972" s="17" t="n"/>
      <c r="AC972" s="17" t="n"/>
      <c r="AD972" s="17" t="n"/>
    </row>
    <row r="973" ht="15.75" customHeight="1">
      <c r="A973" s="16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/>
      <c r="Z973" s="17" t="n"/>
      <c r="AA973" s="17" t="n"/>
      <c r="AB973" s="17" t="n"/>
      <c r="AC973" s="17" t="n"/>
      <c r="AD973" s="17" t="n"/>
    </row>
    <row r="974" ht="15.75" customHeight="1">
      <c r="A974" s="16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/>
      <c r="Z974" s="17" t="n"/>
      <c r="AA974" s="17" t="n"/>
      <c r="AB974" s="17" t="n"/>
      <c r="AC974" s="17" t="n"/>
      <c r="AD974" s="17" t="n"/>
    </row>
    <row r="975" ht="15.75" customHeight="1">
      <c r="A975" s="16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/>
      <c r="Z975" s="17" t="n"/>
      <c r="AA975" s="17" t="n"/>
      <c r="AB975" s="17" t="n"/>
      <c r="AC975" s="17" t="n"/>
      <c r="AD975" s="17" t="n"/>
    </row>
    <row r="976" ht="15.75" customHeight="1">
      <c r="A976" s="16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/>
      <c r="Z976" s="17" t="n"/>
      <c r="AA976" s="17" t="n"/>
      <c r="AB976" s="17" t="n"/>
      <c r="AC976" s="17" t="n"/>
      <c r="AD976" s="17" t="n"/>
    </row>
    <row r="977" ht="15.75" customHeight="1">
      <c r="A977" s="16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/>
      <c r="Z977" s="17" t="n"/>
      <c r="AA977" s="17" t="n"/>
      <c r="AB977" s="17" t="n"/>
      <c r="AC977" s="17" t="n"/>
      <c r="AD977" s="17" t="n"/>
    </row>
    <row r="978" ht="15.75" customHeight="1">
      <c r="A978" s="16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/>
      <c r="X978" s="17" t="n"/>
      <c r="Y978" s="17" t="n"/>
      <c r="Z978" s="17" t="n"/>
      <c r="AA978" s="17" t="n"/>
      <c r="AB978" s="17" t="n"/>
      <c r="AC978" s="17" t="n"/>
      <c r="AD978" s="17" t="n"/>
    </row>
    <row r="979" ht="15.75" customHeight="1">
      <c r="A979" s="16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/>
      <c r="Z979" s="17" t="n"/>
      <c r="AA979" s="17" t="n"/>
      <c r="AB979" s="17" t="n"/>
      <c r="AC979" s="17" t="n"/>
      <c r="AD979" s="17" t="n"/>
    </row>
    <row r="980" ht="15.75" customHeight="1">
      <c r="A980" s="16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/>
      <c r="Z980" s="17" t="n"/>
      <c r="AA980" s="17" t="n"/>
      <c r="AB980" s="17" t="n"/>
      <c r="AC980" s="17" t="n"/>
      <c r="AD980" s="17" t="n"/>
    </row>
    <row r="981" ht="15.75" customHeight="1">
      <c r="A981" s="16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/>
      <c r="Z981" s="17" t="n"/>
      <c r="AA981" s="17" t="n"/>
      <c r="AB981" s="17" t="n"/>
      <c r="AC981" s="17" t="n"/>
      <c r="AD981" s="17" t="n"/>
    </row>
    <row r="982" ht="15.75" customHeight="1">
      <c r="A982" s="16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/>
      <c r="Z982" s="17" t="n"/>
      <c r="AA982" s="17" t="n"/>
      <c r="AB982" s="17" t="n"/>
      <c r="AC982" s="17" t="n"/>
      <c r="AD982" s="17" t="n"/>
    </row>
    <row r="983" ht="15.75" customHeight="1">
      <c r="A983" s="16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/>
      <c r="Z983" s="17" t="n"/>
      <c r="AA983" s="17" t="n"/>
      <c r="AB983" s="17" t="n"/>
      <c r="AC983" s="17" t="n"/>
      <c r="AD983" s="17" t="n"/>
    </row>
    <row r="984" ht="15.75" customHeight="1">
      <c r="A984" s="16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/>
      <c r="Z984" s="17" t="n"/>
      <c r="AA984" s="17" t="n"/>
      <c r="AB984" s="17" t="n"/>
      <c r="AC984" s="17" t="n"/>
      <c r="AD984" s="17" t="n"/>
    </row>
    <row r="985" ht="15.75" customHeight="1">
      <c r="A985" s="16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/>
      <c r="Z985" s="17" t="n"/>
      <c r="AA985" s="17" t="n"/>
      <c r="AB985" s="17" t="n"/>
      <c r="AC985" s="17" t="n"/>
      <c r="AD985" s="17" t="n"/>
    </row>
    <row r="986" ht="15.75" customHeight="1">
      <c r="A986" s="16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/>
      <c r="Z986" s="17" t="n"/>
      <c r="AA986" s="17" t="n"/>
      <c r="AB986" s="17" t="n"/>
      <c r="AC986" s="17" t="n"/>
      <c r="AD986" s="17" t="n"/>
    </row>
    <row r="987" ht="15.75" customHeight="1">
      <c r="A987" s="16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  <c r="V987" s="17" t="n"/>
      <c r="W987" s="17" t="n"/>
      <c r="X987" s="17" t="n"/>
      <c r="Y987" s="17" t="n"/>
      <c r="Z987" s="17" t="n"/>
      <c r="AA987" s="17" t="n"/>
      <c r="AB987" s="17" t="n"/>
      <c r="AC987" s="17" t="n"/>
      <c r="AD987" s="17" t="n"/>
    </row>
    <row r="988" ht="15.75" customHeight="1">
      <c r="A988" s="16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/>
      <c r="Z988" s="17" t="n"/>
      <c r="AA988" s="17" t="n"/>
      <c r="AB988" s="17" t="n"/>
      <c r="AC988" s="17" t="n"/>
      <c r="AD988" s="17" t="n"/>
    </row>
    <row r="989" ht="15.75" customHeight="1">
      <c r="A989" s="16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/>
      <c r="Z989" s="17" t="n"/>
      <c r="AA989" s="17" t="n"/>
      <c r="AB989" s="17" t="n"/>
      <c r="AC989" s="17" t="n"/>
      <c r="AD989" s="17" t="n"/>
    </row>
    <row r="990" ht="15.75" customHeight="1">
      <c r="A990" s="16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/>
      <c r="Z990" s="17" t="n"/>
      <c r="AA990" s="17" t="n"/>
      <c r="AB990" s="17" t="n"/>
      <c r="AC990" s="17" t="n"/>
      <c r="AD990" s="17" t="n"/>
    </row>
    <row r="991" ht="15.75" customHeight="1">
      <c r="A991" s="16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  <c r="L991" s="17" t="n"/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7" t="n"/>
      <c r="Z991" s="17" t="n"/>
      <c r="AA991" s="17" t="n"/>
      <c r="AB991" s="17" t="n"/>
      <c r="AC991" s="17" t="n"/>
      <c r="AD991" s="17" t="n"/>
    </row>
    <row r="992" ht="15.75" customHeight="1">
      <c r="A992" s="16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7" t="n"/>
      <c r="Z992" s="17" t="n"/>
      <c r="AA992" s="17" t="n"/>
      <c r="AB992" s="17" t="n"/>
      <c r="AC992" s="17" t="n"/>
      <c r="AD992" s="17" t="n"/>
    </row>
    <row r="993" ht="15.75" customHeight="1">
      <c r="A993" s="16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  <c r="L993" s="17" t="n"/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/>
      <c r="Y993" s="17" t="n"/>
      <c r="Z993" s="17" t="n"/>
      <c r="AA993" s="17" t="n"/>
      <c r="AB993" s="17" t="n"/>
      <c r="AC993" s="17" t="n"/>
      <c r="AD993" s="17" t="n"/>
    </row>
    <row r="994" ht="15.75" customHeight="1">
      <c r="A994" s="16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  <c r="L994" s="17" t="n"/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7" t="n"/>
      <c r="Z994" s="17" t="n"/>
      <c r="AA994" s="17" t="n"/>
      <c r="AB994" s="17" t="n"/>
      <c r="AC994" s="17" t="n"/>
      <c r="AD994" s="17" t="n"/>
    </row>
    <row r="995" ht="15.75" customHeight="1">
      <c r="A995" s="16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  <c r="L995" s="17" t="n"/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7" t="n"/>
      <c r="Z995" s="17" t="n"/>
      <c r="AA995" s="17" t="n"/>
      <c r="AB995" s="17" t="n"/>
      <c r="AC995" s="17" t="n"/>
      <c r="AD995" s="17" t="n"/>
    </row>
    <row r="996" ht="15.75" customHeight="1">
      <c r="A996" s="16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  <c r="L996" s="17" t="n"/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7" t="n"/>
      <c r="Z996" s="17" t="n"/>
      <c r="AA996" s="17" t="n"/>
      <c r="AB996" s="17" t="n"/>
      <c r="AC996" s="17" t="n"/>
      <c r="AD996" s="17" t="n"/>
    </row>
    <row r="997" ht="15.75" customHeight="1">
      <c r="A997" s="16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  <c r="L997" s="17" t="n"/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7" t="n"/>
      <c r="Z997" s="17" t="n"/>
      <c r="AA997" s="17" t="n"/>
      <c r="AB997" s="17" t="n"/>
      <c r="AC997" s="17" t="n"/>
      <c r="AD997" s="17" t="n"/>
    </row>
    <row r="998" ht="15.75" customHeight="1">
      <c r="A998" s="16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  <c r="L998" s="17" t="n"/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7" t="n"/>
      <c r="Z998" s="17" t="n"/>
      <c r="AA998" s="17" t="n"/>
      <c r="AB998" s="17" t="n"/>
      <c r="AC998" s="17" t="n"/>
      <c r="AD998" s="17" t="n"/>
    </row>
    <row r="999" ht="15.75" customHeight="1">
      <c r="A999" s="16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  <c r="L999" s="17" t="n"/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7" t="n"/>
      <c r="Z999" s="17" t="n"/>
      <c r="AA999" s="17" t="n"/>
      <c r="AB999" s="17" t="n"/>
      <c r="AC999" s="17" t="n"/>
      <c r="AD999" s="17" t="n"/>
    </row>
    <row r="1000" ht="15.75" customHeight="1">
      <c r="A1000" s="16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  <c r="L1000" s="17" t="n"/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7" t="n"/>
      <c r="Z1000" s="17" t="n"/>
      <c r="AA1000" s="17" t="n"/>
      <c r="AB1000" s="17" t="n"/>
      <c r="AC1000" s="17" t="n"/>
      <c r="AD1000" s="17" t="n"/>
    </row>
    <row r="1001" ht="15.75" customHeight="1">
      <c r="A1001" s="16" t="n"/>
      <c r="B1001" s="17" t="n"/>
      <c r="C1001" s="17" t="n"/>
      <c r="D1001" s="17" t="n"/>
      <c r="E1001" s="17" t="n"/>
      <c r="F1001" s="17" t="n"/>
      <c r="G1001" s="17" t="n"/>
      <c r="H1001" s="17" t="n"/>
      <c r="I1001" s="17" t="n"/>
      <c r="J1001" s="17" t="n"/>
      <c r="K1001" s="17" t="n"/>
      <c r="L1001" s="17" t="n"/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7" t="n"/>
      <c r="Z1001" s="17" t="n"/>
      <c r="AA1001" s="17" t="n"/>
      <c r="AB1001" s="17" t="n"/>
      <c r="AC1001" s="17" t="n"/>
      <c r="AD1001" s="17" t="n"/>
    </row>
  </sheetData>
  <mergeCells count="8">
    <mergeCell ref="AB1:AB2"/>
    <mergeCell ref="AD1:AD2"/>
    <mergeCell ref="Z1:Z2"/>
    <mergeCell ref="B1:C1"/>
    <mergeCell ref="AC1:AC2"/>
    <mergeCell ref="AA1:AA2"/>
    <mergeCell ref="D1:Y1"/>
    <mergeCell ref="A1:A2"/>
  </mergeCells>
  <pageMargins left="0.7" right="0.7" top="0.75" bottom="0.75" header="0.3" footer="0.3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E67"/>
  <sheetViews>
    <sheetView tabSelected="1" zoomScaleNormal="100" workbookViewId="0">
      <pane xSplit="3" ySplit="2" topLeftCell="AZ3" activePane="bottomRight" state="frozen"/>
      <selection pane="topRight" activeCell="B3" sqref="B3"/>
      <selection pane="bottomLeft" activeCell="B3" sqref="B3"/>
      <selection pane="bottomRight" activeCell="BG6" sqref="BG6"/>
    </sheetView>
  </sheetViews>
  <sheetFormatPr baseColWidth="8" defaultColWidth="14.42578125" defaultRowHeight="15" customHeight="1"/>
  <cols>
    <col width="12.42578125" customWidth="1" min="1" max="1"/>
    <col width="28.5703125" bestFit="1" customWidth="1" min="2" max="2"/>
    <col width="41.7109375" customWidth="1" min="3" max="3"/>
    <col width="19" customWidth="1" style="34" min="4" max="4"/>
    <col width="23.42578125" customWidth="1" min="5" max="18"/>
    <col width="29" customWidth="1" min="19" max="20"/>
    <col width="23.42578125" customWidth="1" min="21" max="54"/>
    <col width="30.42578125" customWidth="1" min="55" max="56"/>
    <col width="19" customWidth="1" min="57" max="57"/>
  </cols>
  <sheetData>
    <row r="1" ht="30" customFormat="1" customHeight="1" s="114">
      <c r="A1" s="105" t="n"/>
      <c r="B1" s="105" t="n"/>
      <c r="C1" s="105" t="n"/>
      <c r="D1" s="106" t="inlineStr">
        <is>
          <t>Balance from last FY year</t>
        </is>
      </c>
      <c r="E1" s="107" t="n">
        <v>46113</v>
      </c>
      <c r="F1" s="115" t="n"/>
      <c r="G1" s="115" t="n"/>
      <c r="H1" s="116" t="n"/>
      <c r="I1" s="110" t="n">
        <v>46143</v>
      </c>
      <c r="J1" s="115" t="n"/>
      <c r="K1" s="115" t="n"/>
      <c r="L1" s="116" t="n"/>
      <c r="M1" s="111" t="n">
        <v>46174</v>
      </c>
      <c r="N1" s="115" t="n"/>
      <c r="O1" s="115" t="n"/>
      <c r="P1" s="116" t="n"/>
      <c r="Q1" s="111" t="n">
        <v>46204</v>
      </c>
      <c r="R1" s="115" t="n"/>
      <c r="S1" s="115" t="n"/>
      <c r="T1" s="116" t="n"/>
      <c r="U1" s="111" t="n">
        <v>46235</v>
      </c>
      <c r="V1" s="115" t="n"/>
      <c r="W1" s="115" t="n"/>
      <c r="X1" s="116" t="n"/>
      <c r="Y1" s="111" t="n">
        <v>46266</v>
      </c>
      <c r="Z1" s="115" t="n"/>
      <c r="AA1" s="115" t="n"/>
      <c r="AB1" s="116" t="n"/>
      <c r="AC1" s="111" t="n">
        <v>46296</v>
      </c>
      <c r="AD1" s="115" t="n"/>
      <c r="AE1" s="115" t="n"/>
      <c r="AF1" s="116" t="n"/>
      <c r="AG1" s="111" t="n">
        <v>46327</v>
      </c>
      <c r="AH1" s="115" t="n"/>
      <c r="AI1" s="115" t="n"/>
      <c r="AJ1" s="116" t="n"/>
      <c r="AK1" s="111" t="n">
        <v>46357</v>
      </c>
      <c r="AL1" s="115" t="n"/>
      <c r="AM1" s="115" t="n"/>
      <c r="AN1" s="116" t="n"/>
      <c r="AO1" s="111" t="n">
        <v>46388</v>
      </c>
      <c r="AP1" s="115" t="n"/>
      <c r="AQ1" s="115" t="n"/>
      <c r="AR1" s="116" t="n"/>
      <c r="AS1" s="111" t="n">
        <v>46419</v>
      </c>
      <c r="AT1" s="115" t="n"/>
      <c r="AU1" s="115" t="n"/>
      <c r="AV1" s="116" t="n"/>
      <c r="AW1" s="111" t="n">
        <v>46447</v>
      </c>
      <c r="AX1" s="115" t="n"/>
      <c r="AY1" s="115" t="n"/>
      <c r="AZ1" s="116" t="n"/>
      <c r="BA1" s="112" t="inlineStr">
        <is>
          <t>TOTAL COLLECTION</t>
        </is>
      </c>
      <c r="BB1" s="112" t="inlineStr">
        <is>
          <t>TOTAL EXPENSE</t>
        </is>
      </c>
      <c r="BC1" s="112" t="inlineStr">
        <is>
          <t>TOTAL LATE FEE</t>
        </is>
      </c>
      <c r="BD1" s="112" t="inlineStr">
        <is>
          <t>TOTAL COLLECTION - EXPENSE</t>
        </is>
      </c>
      <c r="BE1" s="113" t="inlineStr">
        <is>
          <t>Total Dues</t>
        </is>
      </c>
    </row>
    <row r="2" ht="15.75" customHeight="1" thickBot="1">
      <c r="A2" s="100" t="inlineStr">
        <is>
          <t>FLAT#</t>
        </is>
      </c>
      <c r="B2" s="100" t="inlineStr">
        <is>
          <t>email id</t>
        </is>
      </c>
      <c r="C2" s="100" t="inlineStr">
        <is>
          <t>OCCUPANT</t>
        </is>
      </c>
      <c r="D2" s="39" t="n"/>
      <c r="E2" s="39" t="inlineStr">
        <is>
          <t>COLLECTION</t>
        </is>
      </c>
      <c r="F2" s="39" t="inlineStr">
        <is>
          <t>EXPENSE</t>
        </is>
      </c>
      <c r="G2" s="39" t="inlineStr">
        <is>
          <t>LATE PAYMENT FEE</t>
        </is>
      </c>
      <c r="H2" s="39" t="inlineStr">
        <is>
          <t>COLLECTION - EXPENSE</t>
        </is>
      </c>
      <c r="I2" s="39" t="inlineStr">
        <is>
          <t>COLLECTION</t>
        </is>
      </c>
      <c r="J2" s="39" t="inlineStr">
        <is>
          <t>EXPENSE</t>
        </is>
      </c>
      <c r="K2" s="39" t="inlineStr">
        <is>
          <t>LATE PAYMENT FEE</t>
        </is>
      </c>
      <c r="L2" s="39" t="inlineStr">
        <is>
          <t>COLLECTION - EXPENSE</t>
        </is>
      </c>
      <c r="M2" s="39" t="inlineStr">
        <is>
          <t>COLLECTION</t>
        </is>
      </c>
      <c r="N2" s="39" t="inlineStr">
        <is>
          <t>EXPENSE</t>
        </is>
      </c>
      <c r="O2" s="39" t="inlineStr">
        <is>
          <t>LATE PAYMENT FEE</t>
        </is>
      </c>
      <c r="P2" s="39" t="inlineStr">
        <is>
          <t>COLLECTION - EXPENSE</t>
        </is>
      </c>
      <c r="Q2" s="39" t="inlineStr">
        <is>
          <t>COLLECTION</t>
        </is>
      </c>
      <c r="R2" s="39" t="inlineStr">
        <is>
          <t>EXPENSE</t>
        </is>
      </c>
      <c r="S2" s="39" t="inlineStr">
        <is>
          <t>LATE PAYMENT FEE</t>
        </is>
      </c>
      <c r="T2" s="39" t="inlineStr">
        <is>
          <t>COLLECTION - EXPENSE</t>
        </is>
      </c>
      <c r="U2" s="39" t="inlineStr">
        <is>
          <t>COLLECTION</t>
        </is>
      </c>
      <c r="V2" s="39" t="inlineStr">
        <is>
          <t>EXPENSE</t>
        </is>
      </c>
      <c r="W2" s="39" t="inlineStr">
        <is>
          <t>LATE PAYMENT FEE</t>
        </is>
      </c>
      <c r="X2" s="39" t="inlineStr">
        <is>
          <t>COLLECTION - EXPENSE</t>
        </is>
      </c>
      <c r="Y2" s="39" t="inlineStr">
        <is>
          <t>COLLECTION</t>
        </is>
      </c>
      <c r="Z2" s="39" t="inlineStr">
        <is>
          <t>EXPENSE</t>
        </is>
      </c>
      <c r="AA2" s="39" t="inlineStr">
        <is>
          <t>LATE PAYMENT FEE</t>
        </is>
      </c>
      <c r="AB2" s="39" t="inlineStr">
        <is>
          <t>COLLECTION - EXPENSE</t>
        </is>
      </c>
      <c r="AC2" s="39" t="inlineStr">
        <is>
          <t>COLLECTION</t>
        </is>
      </c>
      <c r="AD2" s="39" t="inlineStr">
        <is>
          <t>EXPENSE</t>
        </is>
      </c>
      <c r="AE2" s="39" t="inlineStr">
        <is>
          <t>LATE PAYMENT FEE</t>
        </is>
      </c>
      <c r="AF2" s="39" t="inlineStr">
        <is>
          <t>COLLECTION - EXPENSE</t>
        </is>
      </c>
      <c r="AG2" s="39" t="inlineStr">
        <is>
          <t>COLLECTION</t>
        </is>
      </c>
      <c r="AH2" s="39" t="inlineStr">
        <is>
          <t>EXPENSE</t>
        </is>
      </c>
      <c r="AI2" s="39" t="inlineStr">
        <is>
          <t>LATE PAYMENT FEE</t>
        </is>
      </c>
      <c r="AJ2" s="39" t="inlineStr">
        <is>
          <t>COLLECTION - EXPENSE</t>
        </is>
      </c>
      <c r="AK2" s="39" t="inlineStr">
        <is>
          <t>COLLECTION</t>
        </is>
      </c>
      <c r="AL2" s="39" t="inlineStr">
        <is>
          <t>EXPENSE</t>
        </is>
      </c>
      <c r="AM2" s="39" t="inlineStr">
        <is>
          <t>LATE PAYMENT FEE</t>
        </is>
      </c>
      <c r="AN2" s="39" t="inlineStr">
        <is>
          <t>COLLECTION - EXPENSE</t>
        </is>
      </c>
      <c r="AO2" s="39" t="inlineStr">
        <is>
          <t>COLLECTION</t>
        </is>
      </c>
      <c r="AP2" s="39" t="inlineStr">
        <is>
          <t>EXPENSE</t>
        </is>
      </c>
      <c r="AQ2" s="39" t="inlineStr">
        <is>
          <t>LATE PAYMENT FEE</t>
        </is>
      </c>
      <c r="AR2" s="39" t="inlineStr">
        <is>
          <t>COLLECTION - EXPENSE</t>
        </is>
      </c>
      <c r="AS2" s="39" t="inlineStr">
        <is>
          <t>COLLECTION</t>
        </is>
      </c>
      <c r="AT2" s="39" t="inlineStr">
        <is>
          <t>EXPENSE</t>
        </is>
      </c>
      <c r="AU2" s="39" t="inlineStr">
        <is>
          <t>LATE PAYMENT FEE</t>
        </is>
      </c>
      <c r="AV2" s="39" t="inlineStr">
        <is>
          <t>COLLECTION - EXPENSE</t>
        </is>
      </c>
      <c r="AW2" s="39" t="inlineStr">
        <is>
          <t>COLLECTION</t>
        </is>
      </c>
      <c r="AX2" s="39" t="inlineStr">
        <is>
          <t>EXPENSE</t>
        </is>
      </c>
      <c r="AY2" s="39" t="inlineStr">
        <is>
          <t>LATE PAYMENT FEE</t>
        </is>
      </c>
      <c r="AZ2" s="39" t="inlineStr">
        <is>
          <t>COLLECTION - EXPENSE</t>
        </is>
      </c>
      <c r="BA2" s="39" t="n"/>
      <c r="BB2" s="39" t="n"/>
      <c r="BC2" s="39" t="n"/>
      <c r="BD2" s="39" t="n"/>
      <c r="BE2" s="100" t="n"/>
    </row>
    <row r="3" ht="15.95" customHeight="1">
      <c r="A3" s="37" t="inlineStr">
        <is>
          <t>F1</t>
        </is>
      </c>
      <c r="B3" s="40">
        <f>VLOOKUP(A3,Members!$A$2:$C$65,3,FALSE)</f>
        <v/>
      </c>
      <c r="C3" s="37">
        <f>Members!B2</f>
        <v/>
      </c>
      <c r="D3" s="41" t="n">
        <v>0</v>
      </c>
      <c r="E3" s="41">
        <f>INDIRECT("'Apr"&amp;Members!$F$2&amp;"-COLLECTION'!K"&amp;ROW()-1)</f>
        <v/>
      </c>
      <c r="F3" s="41">
        <f>INDIRECT("'Apr"&amp;Members!$F$2&amp;"-EXPENSE'!R"&amp;ROW()+3)</f>
        <v/>
      </c>
      <c r="G3" s="20" t="n"/>
      <c r="H3" s="41">
        <f>E3-(F3+G3)</f>
        <v/>
      </c>
      <c r="I3" s="41">
        <f>INDIRECT("'May"&amp;Members!$F$2&amp;"-COLLECTION'!K"&amp;ROW()-1)</f>
        <v/>
      </c>
      <c r="J3" s="41">
        <f>INDIRECT("'May"&amp;Members!$F$2&amp;"-EXPENSE'!R"&amp;ROW()+3)</f>
        <v/>
      </c>
      <c r="K3" s="21" t="n"/>
      <c r="L3" s="41">
        <f>I3-(J3+K3)</f>
        <v/>
      </c>
      <c r="M3" s="41">
        <f>INDIRECT("'June"&amp;Members!$F$2&amp;"-COLLECTION'!K"&amp;ROW()-1)</f>
        <v/>
      </c>
      <c r="N3" s="41">
        <f>INDIRECT("'June"&amp;Members!$F$2&amp;"-EXPENSE'!R"&amp;ROW()+3)</f>
        <v/>
      </c>
      <c r="O3" s="20" t="n"/>
      <c r="P3" s="41">
        <f>M3-(N3+O3)</f>
        <v/>
      </c>
      <c r="Q3" s="41">
        <f>INDIRECT("'July"&amp;Members!$F$2&amp;"-COLLECTION'!K"&amp;ROW()-1)</f>
        <v/>
      </c>
      <c r="R3" s="41">
        <f>INDIRECT("'July"&amp;Members!$F$2&amp;"-EXPENSE'!R"&amp;ROW()+3)</f>
        <v/>
      </c>
      <c r="S3" s="21" t="n"/>
      <c r="T3" s="41">
        <f>Q3-(R3+S3)</f>
        <v/>
      </c>
      <c r="U3" s="41">
        <f>INDIRECT("'Aug"&amp;Members!$F$2&amp;"-COLLECTION'!K"&amp;ROW()-1)</f>
        <v/>
      </c>
      <c r="V3" s="41">
        <f>INDIRECT("'Aug"&amp;Members!$F$2&amp;"-EXPENSE'!R"&amp;ROW()+3)</f>
        <v/>
      </c>
      <c r="W3" s="20" t="n"/>
      <c r="X3" s="41">
        <f>U3-(V3+W3)</f>
        <v/>
      </c>
      <c r="Y3" s="41">
        <f>INDIRECT("'Sep"&amp;Members!$F$2&amp;"-COLLECTION'!K"&amp;ROW()-1)</f>
        <v/>
      </c>
      <c r="Z3" s="41">
        <f>INDIRECT("'Sep"&amp;Members!$F$2&amp;"-EXPENSE'!R"&amp;ROW()+3)</f>
        <v/>
      </c>
      <c r="AA3" s="21" t="n"/>
      <c r="AB3" s="41">
        <f>Y3-(Z3+AA3)</f>
        <v/>
      </c>
      <c r="AC3" s="41">
        <f>INDIRECT("'Oct"&amp;Members!$F$2&amp;"-COLLECTION'!K"&amp;ROW()-1)</f>
        <v/>
      </c>
      <c r="AD3" s="41">
        <f>INDIRECT("'Oct"&amp;Members!$F$2&amp;"-EXPENSE'!R"&amp;ROW()+3)</f>
        <v/>
      </c>
      <c r="AE3" s="21" t="n"/>
      <c r="AF3" s="41">
        <f>AC3-(AD3+AE3)</f>
        <v/>
      </c>
      <c r="AG3" s="41">
        <f>INDIRECT("'Nov"&amp;Members!$F$2&amp;"-COLLECTION'!K"&amp;ROW()-1)</f>
        <v/>
      </c>
      <c r="AH3" s="41">
        <f>INDIRECT("'Nov"&amp;Members!$F$2&amp;"-EXPENSE'!R"&amp;ROW()+3)</f>
        <v/>
      </c>
      <c r="AI3" s="21" t="n"/>
      <c r="AJ3" s="41">
        <f>AG3-(AH3+AI3)</f>
        <v/>
      </c>
      <c r="AK3" s="41">
        <f>INDIRECT("'Dec"&amp;Members!$F$2&amp;"-COLLECTION'!K"&amp;ROW()-1)</f>
        <v/>
      </c>
      <c r="AL3" s="41">
        <f>INDIRECT("'Dec"&amp;Members!$F$2&amp;"-EXPENSE'!R"&amp;ROW()+3)</f>
        <v/>
      </c>
      <c r="AM3" s="21" t="n"/>
      <c r="AN3" s="41">
        <f>AK3-(AL3+AM3)</f>
        <v/>
      </c>
      <c r="AO3" s="41">
        <f>INDIRECT("'Jan"&amp;Members!$G$2&amp;"-COLLECTION'!K"&amp;ROW()-1)</f>
        <v/>
      </c>
      <c r="AP3" s="41">
        <f>INDIRECT("'Jan"&amp;Members!$G$2&amp;"-EXPENSE'!R"&amp;ROW()+3)</f>
        <v/>
      </c>
      <c r="AQ3" s="2" t="n"/>
      <c r="AR3" s="41">
        <f>AO3-(AP3+AQ3)</f>
        <v/>
      </c>
      <c r="AS3" s="41">
        <f>INDIRECT("'Feb"&amp;Members!$G$2&amp;"-COLLECTION'!K"&amp;ROW()-1)</f>
        <v/>
      </c>
      <c r="AT3" s="41">
        <f>INDIRECT("'Feb"&amp;Members!$G$2&amp;"-EXPENSE'!R"&amp;ROW()+3)</f>
        <v/>
      </c>
      <c r="AU3" s="2" t="n"/>
      <c r="AV3" s="41">
        <f>AS3-(AT3+AU3)</f>
        <v/>
      </c>
      <c r="AW3" s="41">
        <f>INDIRECT("'Mar"&amp;Members!$G$2&amp;"-COLLECTION'!K"&amp;ROW()-1)</f>
        <v/>
      </c>
      <c r="AX3" s="41">
        <f>INDIRECT("'Mar"&amp;Members!$G$2&amp;"-EXPENSE'!R"&amp;ROW()+3)</f>
        <v/>
      </c>
      <c r="AY3" s="2" t="n"/>
      <c r="AZ3" s="41">
        <f>AW3-(AX3+AY3)</f>
        <v/>
      </c>
      <c r="BA3" s="41">
        <f>SUM(E3,I3,M3,Q3,U3,Y3,AC3,AG3,AK3,AO3,AS3,AW3)</f>
        <v/>
      </c>
      <c r="BB3" s="41">
        <f>SUM(F3,J3,N3,R3,V3,Z3,AD3,AH3,AL3,AP3,AT3,AX3)</f>
        <v/>
      </c>
      <c r="BC3" s="41">
        <f>SUM(G3,K3,O3,S3,W3,AA3,AE3,AI3,AM3,AQ3,AU3,AY3)</f>
        <v/>
      </c>
      <c r="BD3" s="41">
        <f>BA3-(BB3+BC3)</f>
        <v/>
      </c>
      <c r="BE3" s="41">
        <f>BD3+D3</f>
        <v/>
      </c>
    </row>
    <row r="4" ht="15.95" customHeight="1">
      <c r="A4" s="36" t="inlineStr">
        <is>
          <t>F2</t>
        </is>
      </c>
      <c r="B4" s="42">
        <f>VLOOKUP(A4,Members!$A$2:$C$65,3,FALSE)</f>
        <v/>
      </c>
      <c r="C4" s="36">
        <f>Members!B3</f>
        <v/>
      </c>
      <c r="D4" s="43" t="n">
        <v>0</v>
      </c>
      <c r="E4" s="43">
        <f>INDIRECT("'Apr"&amp;Members!$F$2&amp;"-COLLECTION'!K"&amp;ROW()-1)</f>
        <v/>
      </c>
      <c r="F4" s="43">
        <f>INDIRECT("'Apr"&amp;Members!$F$2&amp;"-EXPENSE'!R"&amp;ROW()+3)</f>
        <v/>
      </c>
      <c r="G4" s="20" t="n"/>
      <c r="H4" s="43">
        <f>E4-(F4+G4)</f>
        <v/>
      </c>
      <c r="I4" s="43">
        <f>INDIRECT("'May"&amp;Members!$F$2&amp;"-COLLECTION'!K"&amp;ROW()-1)</f>
        <v/>
      </c>
      <c r="J4" s="43">
        <f>INDIRECT("'May"&amp;Members!$F$2&amp;"-EXPENSE'!R"&amp;ROW()+3)</f>
        <v/>
      </c>
      <c r="K4" s="21" t="n"/>
      <c r="L4" s="43">
        <f>I4-(J4+K4)</f>
        <v/>
      </c>
      <c r="M4" s="43">
        <f>INDIRECT("'June"&amp;Members!$F$2&amp;"-COLLECTION'!K"&amp;ROW()-1)</f>
        <v/>
      </c>
      <c r="N4" s="43">
        <f>INDIRECT("'June"&amp;Members!$F$2&amp;"-EXPENSE'!R"&amp;ROW()+3)</f>
        <v/>
      </c>
      <c r="O4" s="20" t="n"/>
      <c r="P4" s="43">
        <f>M4-(N4+O4)</f>
        <v/>
      </c>
      <c r="Q4" s="43">
        <f>INDIRECT("'July"&amp;Members!$F$2&amp;"-COLLECTION'!K"&amp;ROW()-1)</f>
        <v/>
      </c>
      <c r="R4" s="43">
        <f>INDIRECT("'July"&amp;Members!$F$2&amp;"-EXPENSE'!R"&amp;ROW()+3)</f>
        <v/>
      </c>
      <c r="S4" s="21" t="n"/>
      <c r="T4" s="43">
        <f>Q4-(R4+S4)</f>
        <v/>
      </c>
      <c r="U4" s="43">
        <f>INDIRECT("'Aug"&amp;Members!$F$2&amp;"-COLLECTION'!K"&amp;ROW()-1)</f>
        <v/>
      </c>
      <c r="V4" s="43">
        <f>INDIRECT("'Aug"&amp;Members!$F$2&amp;"-EXPENSE'!R"&amp;ROW()+3)</f>
        <v/>
      </c>
      <c r="W4" s="20" t="n"/>
      <c r="X4" s="43">
        <f>U4-(V4+W4)</f>
        <v/>
      </c>
      <c r="Y4" s="43">
        <f>INDIRECT("'Sep"&amp;Members!$F$2&amp;"-COLLECTION'!K"&amp;ROW()-1)</f>
        <v/>
      </c>
      <c r="Z4" s="43">
        <f>INDIRECT("'Sep"&amp;Members!$F$2&amp;"-EXPENSE'!R"&amp;ROW()+3)</f>
        <v/>
      </c>
      <c r="AA4" s="21" t="n"/>
      <c r="AB4" s="43">
        <f>Y4-(Z4+AA4)</f>
        <v/>
      </c>
      <c r="AC4" s="43">
        <f>INDIRECT("'Oct"&amp;Members!$F$2&amp;"-COLLECTION'!K"&amp;ROW()-1)</f>
        <v/>
      </c>
      <c r="AD4" s="43">
        <f>INDIRECT("'Oct"&amp;Members!$F$2&amp;"-EXPENSE'!R"&amp;ROW()+3)</f>
        <v/>
      </c>
      <c r="AE4" s="21" t="n"/>
      <c r="AF4" s="43">
        <f>AC4-(AD4+AE4)</f>
        <v/>
      </c>
      <c r="AG4" s="43">
        <f>INDIRECT("'Nov"&amp;Members!$F$2&amp;"-COLLECTION'!K"&amp;ROW()-1)</f>
        <v/>
      </c>
      <c r="AH4" s="43">
        <f>INDIRECT("'Nov"&amp;Members!$F$2&amp;"-EXPENSE'!R"&amp;ROW()+3)</f>
        <v/>
      </c>
      <c r="AI4" s="21" t="n"/>
      <c r="AJ4" s="43">
        <f>AG4-(AH4+AI4)</f>
        <v/>
      </c>
      <c r="AK4" s="43">
        <f>INDIRECT("'Dec"&amp;Members!$F$2&amp;"-COLLECTION'!K"&amp;ROW()-1)</f>
        <v/>
      </c>
      <c r="AL4" s="43">
        <f>INDIRECT("'Dec"&amp;Members!$F$2&amp;"-EXPENSE'!R"&amp;ROW()+3)</f>
        <v/>
      </c>
      <c r="AM4" s="21" t="n"/>
      <c r="AN4" s="43">
        <f>AK4-(AL4+AM4)</f>
        <v/>
      </c>
      <c r="AO4" s="43">
        <f>INDIRECT("'Jan"&amp;Members!$G$2&amp;"-COLLECTION'!K"&amp;ROW()-1)</f>
        <v/>
      </c>
      <c r="AP4" s="43">
        <f>INDIRECT("'Jan"&amp;Members!$G$2&amp;"-EXPENSE'!R"&amp;ROW()+3)</f>
        <v/>
      </c>
      <c r="AQ4" s="2" t="n"/>
      <c r="AR4" s="43">
        <f>AO4-(AP4+AQ4)</f>
        <v/>
      </c>
      <c r="AS4" s="43">
        <f>INDIRECT("'Feb"&amp;Members!$G$2&amp;"-COLLECTION'!K"&amp;ROW()-1)</f>
        <v/>
      </c>
      <c r="AT4" s="43">
        <f>INDIRECT("'Feb"&amp;Members!$G$2&amp;"-EXPENSE'!R"&amp;ROW()+3)</f>
        <v/>
      </c>
      <c r="AU4" s="2" t="n"/>
      <c r="AV4" s="43">
        <f>AS4-(AT4+AU4)</f>
        <v/>
      </c>
      <c r="AW4" s="43">
        <f>INDIRECT("'Mar"&amp;Members!$G$2&amp;"-COLLECTION'!K"&amp;ROW()-1)</f>
        <v/>
      </c>
      <c r="AX4" s="43">
        <f>INDIRECT("'Mar"&amp;Members!$G$2&amp;"-EXPENSE'!R"&amp;ROW()+3)</f>
        <v/>
      </c>
      <c r="AY4" s="2" t="n"/>
      <c r="AZ4" s="43">
        <f>AW4-(AX4+AY4)</f>
        <v/>
      </c>
      <c r="BA4" s="43">
        <f>SUM(E4,I4,M4,Q4,U4,Y4,AC4,AG4,AK4,AO4,AS4,AW4)</f>
        <v/>
      </c>
      <c r="BB4" s="43">
        <f>SUM(F4,J4,N4,R4,V4,Z4,AD4,AH4,AL4,AP4,AT4,AX4)</f>
        <v/>
      </c>
      <c r="BC4" s="43">
        <f>SUM(G4,K4,O4,S4,W4,AA4,AE4,AI4,AM4,AQ4,AU4,AY4)</f>
        <v/>
      </c>
      <c r="BD4" s="43">
        <f>BA4-(BB4+BC4)</f>
        <v/>
      </c>
      <c r="BE4" s="43">
        <f>BD4+D4</f>
        <v/>
      </c>
    </row>
    <row r="5" ht="15.95" customHeight="1">
      <c r="A5" s="37" t="inlineStr">
        <is>
          <t>F3</t>
        </is>
      </c>
      <c r="B5" s="40">
        <f>VLOOKUP(A5,Members!$A$2:$C$65,3,FALSE)</f>
        <v/>
      </c>
      <c r="C5" s="37">
        <f>Members!B4</f>
        <v/>
      </c>
      <c r="D5" s="41" t="n">
        <v>0</v>
      </c>
      <c r="E5" s="41">
        <f>INDIRECT("'Apr"&amp;Members!$F$2&amp;"-COLLECTION'!K"&amp;ROW()-1)</f>
        <v/>
      </c>
      <c r="F5" s="41">
        <f>INDIRECT("'Apr"&amp;Members!$F$2&amp;"-EXPENSE'!R"&amp;ROW()+3)</f>
        <v/>
      </c>
      <c r="G5" s="20" t="n"/>
      <c r="H5" s="41">
        <f>E5-(F5+G5)</f>
        <v/>
      </c>
      <c r="I5" s="41">
        <f>INDIRECT("'May"&amp;Members!$F$2&amp;"-COLLECTION'!K"&amp;ROW()-1)</f>
        <v/>
      </c>
      <c r="J5" s="41">
        <f>INDIRECT("'May"&amp;Members!$F$2&amp;"-EXPENSE'!R"&amp;ROW()+3)</f>
        <v/>
      </c>
      <c r="K5" s="21" t="n"/>
      <c r="L5" s="41">
        <f>I5-(J5+K5)</f>
        <v/>
      </c>
      <c r="M5" s="41">
        <f>INDIRECT("'June"&amp;Members!$F$2&amp;"-COLLECTION'!K"&amp;ROW()-1)</f>
        <v/>
      </c>
      <c r="N5" s="41">
        <f>INDIRECT("'June"&amp;Members!$F$2&amp;"-EXPENSE'!R"&amp;ROW()+3)</f>
        <v/>
      </c>
      <c r="O5" s="20" t="n"/>
      <c r="P5" s="41">
        <f>M5-(N5+O5)</f>
        <v/>
      </c>
      <c r="Q5" s="41">
        <f>INDIRECT("'July"&amp;Members!$F$2&amp;"-COLLECTION'!K"&amp;ROW()-1)</f>
        <v/>
      </c>
      <c r="R5" s="41">
        <f>INDIRECT("'July"&amp;Members!$F$2&amp;"-EXPENSE'!R"&amp;ROW()+3)</f>
        <v/>
      </c>
      <c r="S5" s="21" t="n"/>
      <c r="T5" s="41">
        <f>Q5-(R5+S5)</f>
        <v/>
      </c>
      <c r="U5" s="41">
        <f>INDIRECT("'Aug"&amp;Members!$F$2&amp;"-COLLECTION'!K"&amp;ROW()-1)</f>
        <v/>
      </c>
      <c r="V5" s="41">
        <f>INDIRECT("'Aug"&amp;Members!$F$2&amp;"-EXPENSE'!R"&amp;ROW()+3)</f>
        <v/>
      </c>
      <c r="W5" s="20" t="n"/>
      <c r="X5" s="41">
        <f>U5-(V5+W5)</f>
        <v/>
      </c>
      <c r="Y5" s="41">
        <f>INDIRECT("'Sep"&amp;Members!$F$2&amp;"-COLLECTION'!K"&amp;ROW()-1)</f>
        <v/>
      </c>
      <c r="Z5" s="41">
        <f>INDIRECT("'Sep"&amp;Members!$F$2&amp;"-EXPENSE'!R"&amp;ROW()+3)</f>
        <v/>
      </c>
      <c r="AA5" s="21" t="n"/>
      <c r="AB5" s="41">
        <f>Y5-(Z5+AA5)</f>
        <v/>
      </c>
      <c r="AC5" s="41">
        <f>INDIRECT("'Oct"&amp;Members!$F$2&amp;"-COLLECTION'!K"&amp;ROW()-1)</f>
        <v/>
      </c>
      <c r="AD5" s="41">
        <f>INDIRECT("'Oct"&amp;Members!$F$2&amp;"-EXPENSE'!R"&amp;ROW()+3)</f>
        <v/>
      </c>
      <c r="AE5" s="21" t="n"/>
      <c r="AF5" s="41">
        <f>AC5-(AD5+AE5)</f>
        <v/>
      </c>
      <c r="AG5" s="41">
        <f>INDIRECT("'Nov"&amp;Members!$F$2&amp;"-COLLECTION'!K"&amp;ROW()-1)</f>
        <v/>
      </c>
      <c r="AH5" s="41">
        <f>INDIRECT("'Nov"&amp;Members!$F$2&amp;"-EXPENSE'!R"&amp;ROW()+3)</f>
        <v/>
      </c>
      <c r="AI5" s="21" t="n"/>
      <c r="AJ5" s="41">
        <f>AG5-(AH5+AI5)</f>
        <v/>
      </c>
      <c r="AK5" s="41">
        <f>INDIRECT("'Dec"&amp;Members!$F$2&amp;"-COLLECTION'!K"&amp;ROW()-1)</f>
        <v/>
      </c>
      <c r="AL5" s="41">
        <f>INDIRECT("'Dec"&amp;Members!$F$2&amp;"-EXPENSE'!R"&amp;ROW()+3)</f>
        <v/>
      </c>
      <c r="AM5" s="21" t="n"/>
      <c r="AN5" s="41">
        <f>AK5-(AL5+AM5)</f>
        <v/>
      </c>
      <c r="AO5" s="41">
        <f>INDIRECT("'Jan"&amp;Members!$G$2&amp;"-COLLECTION'!K"&amp;ROW()-1)</f>
        <v/>
      </c>
      <c r="AP5" s="41">
        <f>INDIRECT("'Jan"&amp;Members!$G$2&amp;"-EXPENSE'!R"&amp;ROW()+3)</f>
        <v/>
      </c>
      <c r="AQ5" s="2" t="n"/>
      <c r="AR5" s="41">
        <f>AO5-(AP5+AQ5)</f>
        <v/>
      </c>
      <c r="AS5" s="41">
        <f>INDIRECT("'Feb"&amp;Members!$G$2&amp;"-COLLECTION'!K"&amp;ROW()-1)</f>
        <v/>
      </c>
      <c r="AT5" s="41">
        <f>INDIRECT("'Feb"&amp;Members!$G$2&amp;"-EXPENSE'!R"&amp;ROW()+3)</f>
        <v/>
      </c>
      <c r="AU5" s="2" t="n"/>
      <c r="AV5" s="41">
        <f>AS5-(AT5+AU5)</f>
        <v/>
      </c>
      <c r="AW5" s="41">
        <f>INDIRECT("'Mar"&amp;Members!$G$2&amp;"-COLLECTION'!K"&amp;ROW()-1)</f>
        <v/>
      </c>
      <c r="AX5" s="41">
        <f>INDIRECT("'Mar"&amp;Members!$G$2&amp;"-EXPENSE'!R"&amp;ROW()+3)</f>
        <v/>
      </c>
      <c r="AY5" s="2" t="n"/>
      <c r="AZ5" s="41">
        <f>AW5-(AX5+AY5)</f>
        <v/>
      </c>
      <c r="BA5" s="41">
        <f>SUM(E5,I5,M5,Q5,U5,Y5,AC5,AG5,AK5,AO5,AS5,AW5)</f>
        <v/>
      </c>
      <c r="BB5" s="41">
        <f>SUM(F5,J5,N5,R5,V5,Z5,AD5,AH5,AL5,AP5,AT5,AX5)</f>
        <v/>
      </c>
      <c r="BC5" s="41">
        <f>SUM(G5,K5,O5,S5,W5,AA5,AE5,AI5,AM5,AQ5,AU5,AY5)</f>
        <v/>
      </c>
      <c r="BD5" s="41">
        <f>BA5-(BB5+BC5)</f>
        <v/>
      </c>
      <c r="BE5" s="41">
        <f>BD5+D5</f>
        <v/>
      </c>
    </row>
    <row r="6" ht="15.95" customHeight="1">
      <c r="A6" s="36" t="inlineStr">
        <is>
          <t>F4</t>
        </is>
      </c>
      <c r="B6" s="42">
        <f>VLOOKUP(A6,Members!$A$2:$C$65,3,FALSE)</f>
        <v/>
      </c>
      <c r="C6" s="36">
        <f>Members!B5</f>
        <v/>
      </c>
      <c r="D6" s="43" t="n">
        <v>0</v>
      </c>
      <c r="E6" s="43">
        <f>INDIRECT("'Apr"&amp;Members!$F$2&amp;"-COLLECTION'!K"&amp;ROW()-1)</f>
        <v/>
      </c>
      <c r="F6" s="43">
        <f>INDIRECT("'Apr"&amp;Members!$F$2&amp;"-EXPENSE'!R"&amp;ROW()+3)</f>
        <v/>
      </c>
      <c r="G6" s="20" t="n"/>
      <c r="H6" s="43">
        <f>E6-(F6+G6)</f>
        <v/>
      </c>
      <c r="I6" s="43">
        <f>INDIRECT("'May"&amp;Members!$F$2&amp;"-COLLECTION'!K"&amp;ROW()-1)</f>
        <v/>
      </c>
      <c r="J6" s="43">
        <f>INDIRECT("'May"&amp;Members!$F$2&amp;"-EXPENSE'!R"&amp;ROW()+3)</f>
        <v/>
      </c>
      <c r="K6" s="21" t="n"/>
      <c r="L6" s="43">
        <f>I6-(J6+K6)</f>
        <v/>
      </c>
      <c r="M6" s="43">
        <f>INDIRECT("'June"&amp;Members!$F$2&amp;"-COLLECTION'!K"&amp;ROW()-1)</f>
        <v/>
      </c>
      <c r="N6" s="43">
        <f>INDIRECT("'June"&amp;Members!$F$2&amp;"-EXPENSE'!R"&amp;ROW()+3)</f>
        <v/>
      </c>
      <c r="O6" s="20" t="n"/>
      <c r="P6" s="43">
        <f>M6-(N6+O6)</f>
        <v/>
      </c>
      <c r="Q6" s="43">
        <f>INDIRECT("'July"&amp;Members!$F$2&amp;"-COLLECTION'!K"&amp;ROW()-1)</f>
        <v/>
      </c>
      <c r="R6" s="43">
        <f>INDIRECT("'July"&amp;Members!$F$2&amp;"-EXPENSE'!R"&amp;ROW()+3)</f>
        <v/>
      </c>
      <c r="S6" s="21" t="n"/>
      <c r="T6" s="43">
        <f>Q6-(R6+S6)</f>
        <v/>
      </c>
      <c r="U6" s="43">
        <f>INDIRECT("'Aug"&amp;Members!$F$2&amp;"-COLLECTION'!K"&amp;ROW()-1)</f>
        <v/>
      </c>
      <c r="V6" s="43">
        <f>INDIRECT("'Aug"&amp;Members!$F$2&amp;"-EXPENSE'!R"&amp;ROW()+3)</f>
        <v/>
      </c>
      <c r="W6" s="20" t="n"/>
      <c r="X6" s="43">
        <f>U6-(V6+W6)</f>
        <v/>
      </c>
      <c r="Y6" s="43">
        <f>INDIRECT("'Sep"&amp;Members!$F$2&amp;"-COLLECTION'!K"&amp;ROW()-1)</f>
        <v/>
      </c>
      <c r="Z6" s="43">
        <f>INDIRECT("'Sep"&amp;Members!$F$2&amp;"-EXPENSE'!R"&amp;ROW()+3)</f>
        <v/>
      </c>
      <c r="AA6" s="21" t="n"/>
      <c r="AB6" s="43">
        <f>Y6-(Z6+AA6)</f>
        <v/>
      </c>
      <c r="AC6" s="43">
        <f>INDIRECT("'Oct"&amp;Members!$F$2&amp;"-COLLECTION'!K"&amp;ROW()-1)</f>
        <v/>
      </c>
      <c r="AD6" s="43">
        <f>INDIRECT("'Oct"&amp;Members!$F$2&amp;"-EXPENSE'!R"&amp;ROW()+3)</f>
        <v/>
      </c>
      <c r="AE6" s="21" t="n"/>
      <c r="AF6" s="43">
        <f>AC6-(AD6+AE6)</f>
        <v/>
      </c>
      <c r="AG6" s="43">
        <f>INDIRECT("'Nov"&amp;Members!$F$2&amp;"-COLLECTION'!K"&amp;ROW()-1)</f>
        <v/>
      </c>
      <c r="AH6" s="43">
        <f>INDIRECT("'Nov"&amp;Members!$F$2&amp;"-EXPENSE'!R"&amp;ROW()+3)</f>
        <v/>
      </c>
      <c r="AI6" s="21" t="n"/>
      <c r="AJ6" s="43">
        <f>AG6-(AH6+AI6)</f>
        <v/>
      </c>
      <c r="AK6" s="43">
        <f>INDIRECT("'Dec"&amp;Members!$F$2&amp;"-COLLECTION'!K"&amp;ROW()-1)</f>
        <v/>
      </c>
      <c r="AL6" s="43">
        <f>INDIRECT("'Dec"&amp;Members!$F$2&amp;"-EXPENSE'!R"&amp;ROW()+3)</f>
        <v/>
      </c>
      <c r="AM6" s="21" t="n"/>
      <c r="AN6" s="43">
        <f>AK6-(AL6+AM6)</f>
        <v/>
      </c>
      <c r="AO6" s="43">
        <f>INDIRECT("'Jan"&amp;Members!$G$2&amp;"-COLLECTION'!K"&amp;ROW()-1)</f>
        <v/>
      </c>
      <c r="AP6" s="43">
        <f>INDIRECT("'Jan"&amp;Members!$G$2&amp;"-EXPENSE'!R"&amp;ROW()+3)</f>
        <v/>
      </c>
      <c r="AQ6" s="2" t="n"/>
      <c r="AR6" s="43">
        <f>AO6-(AP6+AQ6)</f>
        <v/>
      </c>
      <c r="AS6" s="43">
        <f>INDIRECT("'Feb"&amp;Members!$G$2&amp;"-COLLECTION'!K"&amp;ROW()-1)</f>
        <v/>
      </c>
      <c r="AT6" s="43">
        <f>INDIRECT("'Feb"&amp;Members!$G$2&amp;"-EXPENSE'!R"&amp;ROW()+3)</f>
        <v/>
      </c>
      <c r="AU6" s="2" t="n"/>
      <c r="AV6" s="43">
        <f>AS6-(AT6+AU6)</f>
        <v/>
      </c>
      <c r="AW6" s="43">
        <f>INDIRECT("'Mar"&amp;Members!$G$2&amp;"-COLLECTION'!K"&amp;ROW()-1)</f>
        <v/>
      </c>
      <c r="AX6" s="43">
        <f>INDIRECT("'Mar"&amp;Members!$G$2&amp;"-EXPENSE'!R"&amp;ROW()+3)</f>
        <v/>
      </c>
      <c r="AY6" s="2" t="n"/>
      <c r="AZ6" s="43">
        <f>AW6-(AX6+AY6)</f>
        <v/>
      </c>
      <c r="BA6" s="43">
        <f>SUM(E6,I6,M6,Q6,U6,Y6,AC6,AG6,AK6,AO6,AS6,AW6)</f>
        <v/>
      </c>
      <c r="BB6" s="43">
        <f>SUM(F6,J6,N6,R6,V6,Z6,AD6,AH6,AL6,AP6,AT6,AX6)</f>
        <v/>
      </c>
      <c r="BC6" s="43">
        <f>SUM(G6,K6,O6,S6,W6,AA6,AE6,AI6,AM6,AQ6,AU6,AY6)</f>
        <v/>
      </c>
      <c r="BD6" s="43">
        <f>BA6-(BB6+BC6)</f>
        <v/>
      </c>
      <c r="BE6" s="43">
        <f>BD6+D6</f>
        <v/>
      </c>
    </row>
    <row r="7" ht="15.95" customHeight="1">
      <c r="A7" s="37" t="inlineStr">
        <is>
          <t>F5</t>
        </is>
      </c>
      <c r="B7" s="40">
        <f>VLOOKUP(A7,Members!$A$2:$C$65,3,FALSE)</f>
        <v/>
      </c>
      <c r="C7" s="37">
        <f>Members!B6</f>
        <v/>
      </c>
      <c r="D7" s="41" t="n">
        <v>0</v>
      </c>
      <c r="E7" s="41">
        <f>INDIRECT("'Apr"&amp;Members!$F$2&amp;"-COLLECTION'!K"&amp;ROW()-1)</f>
        <v/>
      </c>
      <c r="F7" s="41">
        <f>INDIRECT("'Apr"&amp;Members!$F$2&amp;"-EXPENSE'!R"&amp;ROW()+3)</f>
        <v/>
      </c>
      <c r="G7" s="20" t="n"/>
      <c r="H7" s="41">
        <f>E7-(F7+G7)</f>
        <v/>
      </c>
      <c r="I7" s="41">
        <f>INDIRECT("'May"&amp;Members!$F$2&amp;"-COLLECTION'!K"&amp;ROW()-1)</f>
        <v/>
      </c>
      <c r="J7" s="41">
        <f>INDIRECT("'May"&amp;Members!$F$2&amp;"-EXPENSE'!R"&amp;ROW()+3)</f>
        <v/>
      </c>
      <c r="K7" s="21" t="n"/>
      <c r="L7" s="41">
        <f>I7-(J7+K7)</f>
        <v/>
      </c>
      <c r="M7" s="41">
        <f>INDIRECT("'June"&amp;Members!$F$2&amp;"-COLLECTION'!K"&amp;ROW()-1)</f>
        <v/>
      </c>
      <c r="N7" s="41">
        <f>INDIRECT("'June"&amp;Members!$F$2&amp;"-EXPENSE'!R"&amp;ROW()+3)</f>
        <v/>
      </c>
      <c r="O7" s="20" t="n"/>
      <c r="P7" s="41">
        <f>M7-(N7+O7)</f>
        <v/>
      </c>
      <c r="Q7" s="41">
        <f>INDIRECT("'July"&amp;Members!$F$2&amp;"-COLLECTION'!K"&amp;ROW()-1)</f>
        <v/>
      </c>
      <c r="R7" s="41">
        <f>INDIRECT("'July"&amp;Members!$F$2&amp;"-EXPENSE'!R"&amp;ROW()+3)</f>
        <v/>
      </c>
      <c r="S7" s="21" t="n"/>
      <c r="T7" s="41">
        <f>Q7-(R7+S7)</f>
        <v/>
      </c>
      <c r="U7" s="41">
        <f>INDIRECT("'Aug"&amp;Members!$F$2&amp;"-COLLECTION'!K"&amp;ROW()-1)</f>
        <v/>
      </c>
      <c r="V7" s="41">
        <f>INDIRECT("'Aug"&amp;Members!$F$2&amp;"-EXPENSE'!R"&amp;ROW()+3)</f>
        <v/>
      </c>
      <c r="W7" s="20" t="n"/>
      <c r="X7" s="41">
        <f>U7-(V7+W7)</f>
        <v/>
      </c>
      <c r="Y7" s="41">
        <f>INDIRECT("'Sep"&amp;Members!$F$2&amp;"-COLLECTION'!K"&amp;ROW()-1)</f>
        <v/>
      </c>
      <c r="Z7" s="41">
        <f>INDIRECT("'Sep"&amp;Members!$F$2&amp;"-EXPENSE'!R"&amp;ROW()+3)</f>
        <v/>
      </c>
      <c r="AA7" s="21" t="n"/>
      <c r="AB7" s="41">
        <f>Y7-(Z7+AA7)</f>
        <v/>
      </c>
      <c r="AC7" s="41">
        <f>INDIRECT("'Oct"&amp;Members!$F$2&amp;"-COLLECTION'!K"&amp;ROW()-1)</f>
        <v/>
      </c>
      <c r="AD7" s="41">
        <f>INDIRECT("'Oct"&amp;Members!$F$2&amp;"-EXPENSE'!R"&amp;ROW()+3)</f>
        <v/>
      </c>
      <c r="AE7" s="21" t="n"/>
      <c r="AF7" s="41">
        <f>AC7-(AD7+AE7)</f>
        <v/>
      </c>
      <c r="AG7" s="41">
        <f>INDIRECT("'Nov"&amp;Members!$F$2&amp;"-COLLECTION'!K"&amp;ROW()-1)</f>
        <v/>
      </c>
      <c r="AH7" s="41">
        <f>INDIRECT("'Nov"&amp;Members!$F$2&amp;"-EXPENSE'!R"&amp;ROW()+3)</f>
        <v/>
      </c>
      <c r="AI7" s="21" t="n"/>
      <c r="AJ7" s="41">
        <f>AG7-(AH7+AI7)</f>
        <v/>
      </c>
      <c r="AK7" s="41">
        <f>INDIRECT("'Dec"&amp;Members!$F$2&amp;"-COLLECTION'!K"&amp;ROW()-1)</f>
        <v/>
      </c>
      <c r="AL7" s="41">
        <f>INDIRECT("'Dec"&amp;Members!$F$2&amp;"-EXPENSE'!R"&amp;ROW()+3)</f>
        <v/>
      </c>
      <c r="AM7" s="21" t="n"/>
      <c r="AN7" s="41">
        <f>AK7-(AL7+AM7)</f>
        <v/>
      </c>
      <c r="AO7" s="41">
        <f>INDIRECT("'Jan"&amp;Members!$G$2&amp;"-COLLECTION'!K"&amp;ROW()-1)</f>
        <v/>
      </c>
      <c r="AP7" s="41">
        <f>INDIRECT("'Jan"&amp;Members!$G$2&amp;"-EXPENSE'!R"&amp;ROW()+3)</f>
        <v/>
      </c>
      <c r="AQ7" s="2" t="n"/>
      <c r="AR7" s="41">
        <f>AO7-(AP7+AQ7)</f>
        <v/>
      </c>
      <c r="AS7" s="41">
        <f>INDIRECT("'Feb"&amp;Members!$G$2&amp;"-COLLECTION'!K"&amp;ROW()-1)</f>
        <v/>
      </c>
      <c r="AT7" s="41">
        <f>INDIRECT("'Feb"&amp;Members!$G$2&amp;"-EXPENSE'!R"&amp;ROW()+3)</f>
        <v/>
      </c>
      <c r="AU7" s="2" t="n"/>
      <c r="AV7" s="41">
        <f>AS7-(AT7+AU7)</f>
        <v/>
      </c>
      <c r="AW7" s="41">
        <f>INDIRECT("'Mar"&amp;Members!$G$2&amp;"-COLLECTION'!K"&amp;ROW()-1)</f>
        <v/>
      </c>
      <c r="AX7" s="41">
        <f>INDIRECT("'Mar"&amp;Members!$G$2&amp;"-EXPENSE'!R"&amp;ROW()+3)</f>
        <v/>
      </c>
      <c r="AY7" s="2" t="n"/>
      <c r="AZ7" s="41">
        <f>AW7-(AX7+AY7)</f>
        <v/>
      </c>
      <c r="BA7" s="41">
        <f>SUM(E7,I7,M7,Q7,U7,Y7,AC7,AG7,AK7,AO7,AS7,AW7)</f>
        <v/>
      </c>
      <c r="BB7" s="41">
        <f>SUM(F7,J7,N7,R7,V7,Z7,AD7,AH7,AL7,AP7,AT7,AX7)</f>
        <v/>
      </c>
      <c r="BC7" s="41">
        <f>SUM(G7,K7,O7,S7,W7,AA7,AE7,AI7,AM7,AQ7,AU7,AY7)</f>
        <v/>
      </c>
      <c r="BD7" s="41">
        <f>BA7-(BB7+BC7)</f>
        <v/>
      </c>
      <c r="BE7" s="41">
        <f>BD7+D7</f>
        <v/>
      </c>
    </row>
    <row r="8" ht="32.1" customHeight="1">
      <c r="A8" s="36" t="inlineStr">
        <is>
          <t>F6</t>
        </is>
      </c>
      <c r="B8" s="42">
        <f>VLOOKUP(A8,Members!$A$2:$C$65,3,FALSE)</f>
        <v/>
      </c>
      <c r="C8" s="36">
        <f>Members!B7</f>
        <v/>
      </c>
      <c r="D8" s="43" t="n">
        <v>0</v>
      </c>
      <c r="E8" s="43">
        <f>INDIRECT("'Apr"&amp;Members!$F$2&amp;"-COLLECTION'!K"&amp;ROW()-1)</f>
        <v/>
      </c>
      <c r="F8" s="43">
        <f>INDIRECT("'Apr"&amp;Members!$F$2&amp;"-EXPENSE'!R"&amp;ROW()+3)</f>
        <v/>
      </c>
      <c r="G8" s="20" t="n"/>
      <c r="H8" s="43">
        <f>E8-(F8+G8)</f>
        <v/>
      </c>
      <c r="I8" s="43">
        <f>INDIRECT("'May"&amp;Members!$F$2&amp;"-COLLECTION'!K"&amp;ROW()-1)</f>
        <v/>
      </c>
      <c r="J8" s="43">
        <f>INDIRECT("'May"&amp;Members!$F$2&amp;"-EXPENSE'!R"&amp;ROW()+3)</f>
        <v/>
      </c>
      <c r="K8" s="21" t="n"/>
      <c r="L8" s="43">
        <f>I8-(J8+K8)</f>
        <v/>
      </c>
      <c r="M8" s="43">
        <f>INDIRECT("'June"&amp;Members!$F$2&amp;"-COLLECTION'!K"&amp;ROW()-1)</f>
        <v/>
      </c>
      <c r="N8" s="43">
        <f>INDIRECT("'June"&amp;Members!$F$2&amp;"-EXPENSE'!R"&amp;ROW()+3)</f>
        <v/>
      </c>
      <c r="O8" s="20" t="n"/>
      <c r="P8" s="43">
        <f>M8-(N8+O8)</f>
        <v/>
      </c>
      <c r="Q8" s="43">
        <f>INDIRECT("'July"&amp;Members!$F$2&amp;"-COLLECTION'!K"&amp;ROW()-1)</f>
        <v/>
      </c>
      <c r="R8" s="43">
        <f>INDIRECT("'July"&amp;Members!$F$2&amp;"-EXPENSE'!R"&amp;ROW()+3)</f>
        <v/>
      </c>
      <c r="S8" s="21" t="n"/>
      <c r="T8" s="43">
        <f>Q8-(R8+S8)</f>
        <v/>
      </c>
      <c r="U8" s="43">
        <f>INDIRECT("'Aug"&amp;Members!$F$2&amp;"-COLLECTION'!K"&amp;ROW()-1)</f>
        <v/>
      </c>
      <c r="V8" s="43">
        <f>INDIRECT("'Aug"&amp;Members!$F$2&amp;"-EXPENSE'!R"&amp;ROW()+3)</f>
        <v/>
      </c>
      <c r="W8" s="20" t="n"/>
      <c r="X8" s="43">
        <f>U8-(V8+W8)</f>
        <v/>
      </c>
      <c r="Y8" s="43">
        <f>INDIRECT("'Sep"&amp;Members!$F$2&amp;"-COLLECTION'!K"&amp;ROW()-1)</f>
        <v/>
      </c>
      <c r="Z8" s="43">
        <f>INDIRECT("'Sep"&amp;Members!$F$2&amp;"-EXPENSE'!R"&amp;ROW()+3)</f>
        <v/>
      </c>
      <c r="AA8" s="21" t="n"/>
      <c r="AB8" s="43">
        <f>Y8-(Z8+AA8)</f>
        <v/>
      </c>
      <c r="AC8" s="43">
        <f>INDIRECT("'Oct"&amp;Members!$F$2&amp;"-COLLECTION'!K"&amp;ROW()-1)</f>
        <v/>
      </c>
      <c r="AD8" s="43">
        <f>INDIRECT("'Oct"&amp;Members!$F$2&amp;"-EXPENSE'!R"&amp;ROW()+3)</f>
        <v/>
      </c>
      <c r="AE8" s="21" t="n"/>
      <c r="AF8" s="43">
        <f>AC8-(AD8+AE8)</f>
        <v/>
      </c>
      <c r="AG8" s="43">
        <f>INDIRECT("'Nov"&amp;Members!$F$2&amp;"-COLLECTION'!K"&amp;ROW()-1)</f>
        <v/>
      </c>
      <c r="AH8" s="43">
        <f>INDIRECT("'Nov"&amp;Members!$F$2&amp;"-EXPENSE'!R"&amp;ROW()+3)</f>
        <v/>
      </c>
      <c r="AI8" s="21" t="n"/>
      <c r="AJ8" s="43">
        <f>AG8-(AH8+AI8)</f>
        <v/>
      </c>
      <c r="AK8" s="43">
        <f>INDIRECT("'Dec"&amp;Members!$F$2&amp;"-COLLECTION'!K"&amp;ROW()-1)</f>
        <v/>
      </c>
      <c r="AL8" s="43">
        <f>INDIRECT("'Dec"&amp;Members!$F$2&amp;"-EXPENSE'!R"&amp;ROW()+3)</f>
        <v/>
      </c>
      <c r="AM8" s="21" t="n"/>
      <c r="AN8" s="43">
        <f>AK8-(AL8+AM8)</f>
        <v/>
      </c>
      <c r="AO8" s="43">
        <f>INDIRECT("'Jan"&amp;Members!$G$2&amp;"-COLLECTION'!K"&amp;ROW()-1)</f>
        <v/>
      </c>
      <c r="AP8" s="43">
        <f>INDIRECT("'Jan"&amp;Members!$G$2&amp;"-EXPENSE'!R"&amp;ROW()+3)</f>
        <v/>
      </c>
      <c r="AQ8" s="2" t="n"/>
      <c r="AR8" s="43">
        <f>AO8-(AP8+AQ8)</f>
        <v/>
      </c>
      <c r="AS8" s="43">
        <f>INDIRECT("'Feb"&amp;Members!$G$2&amp;"-COLLECTION'!K"&amp;ROW()-1)</f>
        <v/>
      </c>
      <c r="AT8" s="43">
        <f>INDIRECT("'Feb"&amp;Members!$G$2&amp;"-EXPENSE'!R"&amp;ROW()+3)</f>
        <v/>
      </c>
      <c r="AU8" s="2" t="n"/>
      <c r="AV8" s="43">
        <f>AS8-(AT8+AU8)</f>
        <v/>
      </c>
      <c r="AW8" s="43">
        <f>INDIRECT("'Mar"&amp;Members!$G$2&amp;"-COLLECTION'!K"&amp;ROW()-1)</f>
        <v/>
      </c>
      <c r="AX8" s="43">
        <f>INDIRECT("'Mar"&amp;Members!$G$2&amp;"-EXPENSE'!R"&amp;ROW()+3)</f>
        <v/>
      </c>
      <c r="AY8" s="2" t="n"/>
      <c r="AZ8" s="43">
        <f>AW8-(AX8+AY8)</f>
        <v/>
      </c>
      <c r="BA8" s="43">
        <f>SUM(E8,I8,M8,Q8,U8,Y8,AC8,AG8,AK8,AO8,AS8,AW8)</f>
        <v/>
      </c>
      <c r="BB8" s="43">
        <f>SUM(F8,J8,N8,R8,V8,Z8,AD8,AH8,AL8,AP8,AT8,AX8)</f>
        <v/>
      </c>
      <c r="BC8" s="43">
        <f>SUM(G8,K8,O8,S8,W8,AA8,AE8,AI8,AM8,AQ8,AU8,AY8)</f>
        <v/>
      </c>
      <c r="BD8" s="43">
        <f>BA8-(BB8+BC8)</f>
        <v/>
      </c>
      <c r="BE8" s="43">
        <f>BD8+D8</f>
        <v/>
      </c>
    </row>
    <row r="9" ht="15.95" customHeight="1">
      <c r="A9" s="37" t="inlineStr">
        <is>
          <t>F7</t>
        </is>
      </c>
      <c r="B9" s="40">
        <f>VLOOKUP(A9,Members!$A$2:$C$65,3,FALSE)</f>
        <v/>
      </c>
      <c r="C9" s="37">
        <f>Members!B8</f>
        <v/>
      </c>
      <c r="D9" s="41" t="n">
        <v>0</v>
      </c>
      <c r="E9" s="41">
        <f>INDIRECT("'Apr"&amp;Members!$F$2&amp;"-COLLECTION'!K"&amp;ROW()-1)</f>
        <v/>
      </c>
      <c r="F9" s="41">
        <f>INDIRECT("'Apr"&amp;Members!$F$2&amp;"-EXPENSE'!R"&amp;ROW()+3)</f>
        <v/>
      </c>
      <c r="G9" s="20" t="n"/>
      <c r="H9" s="41">
        <f>E9-(F9+G9)</f>
        <v/>
      </c>
      <c r="I9" s="41">
        <f>INDIRECT("'May"&amp;Members!$F$2&amp;"-COLLECTION'!K"&amp;ROW()-1)</f>
        <v/>
      </c>
      <c r="J9" s="41">
        <f>INDIRECT("'May"&amp;Members!$F$2&amp;"-EXPENSE'!R"&amp;ROW()+3)</f>
        <v/>
      </c>
      <c r="K9" s="21" t="n"/>
      <c r="L9" s="41">
        <f>I9-(J9+K9)</f>
        <v/>
      </c>
      <c r="M9" s="41">
        <f>INDIRECT("'June"&amp;Members!$F$2&amp;"-COLLECTION'!K"&amp;ROW()-1)</f>
        <v/>
      </c>
      <c r="N9" s="41">
        <f>INDIRECT("'June"&amp;Members!$F$2&amp;"-EXPENSE'!R"&amp;ROW()+3)</f>
        <v/>
      </c>
      <c r="O9" s="20" t="n"/>
      <c r="P9" s="41">
        <f>M9-(N9+O9)</f>
        <v/>
      </c>
      <c r="Q9" s="41">
        <f>INDIRECT("'July"&amp;Members!$F$2&amp;"-COLLECTION'!K"&amp;ROW()-1)</f>
        <v/>
      </c>
      <c r="R9" s="41">
        <f>INDIRECT("'July"&amp;Members!$F$2&amp;"-EXPENSE'!R"&amp;ROW()+3)</f>
        <v/>
      </c>
      <c r="S9" s="21" t="n"/>
      <c r="T9" s="41">
        <f>Q9-(R9+S9)</f>
        <v/>
      </c>
      <c r="U9" s="41">
        <f>INDIRECT("'Aug"&amp;Members!$F$2&amp;"-COLLECTION'!K"&amp;ROW()-1)</f>
        <v/>
      </c>
      <c r="V9" s="41">
        <f>INDIRECT("'Aug"&amp;Members!$F$2&amp;"-EXPENSE'!R"&amp;ROW()+3)</f>
        <v/>
      </c>
      <c r="W9" s="20" t="n"/>
      <c r="X9" s="41">
        <f>U9-(V9+W9)</f>
        <v/>
      </c>
      <c r="Y9" s="41">
        <f>INDIRECT("'Sep"&amp;Members!$F$2&amp;"-COLLECTION'!K"&amp;ROW()-1)</f>
        <v/>
      </c>
      <c r="Z9" s="41">
        <f>INDIRECT("'Sep"&amp;Members!$F$2&amp;"-EXPENSE'!R"&amp;ROW()+3)</f>
        <v/>
      </c>
      <c r="AA9" s="21" t="n"/>
      <c r="AB9" s="41">
        <f>Y9-(Z9+AA9)</f>
        <v/>
      </c>
      <c r="AC9" s="41">
        <f>INDIRECT("'Oct"&amp;Members!$F$2&amp;"-COLLECTION'!K"&amp;ROW()-1)</f>
        <v/>
      </c>
      <c r="AD9" s="41">
        <f>INDIRECT("'Oct"&amp;Members!$F$2&amp;"-EXPENSE'!R"&amp;ROW()+3)</f>
        <v/>
      </c>
      <c r="AE9" s="21" t="n"/>
      <c r="AF9" s="41">
        <f>AC9-(AD9+AE9)</f>
        <v/>
      </c>
      <c r="AG9" s="41">
        <f>INDIRECT("'Nov"&amp;Members!$F$2&amp;"-COLLECTION'!K"&amp;ROW()-1)</f>
        <v/>
      </c>
      <c r="AH9" s="41">
        <f>INDIRECT("'Nov"&amp;Members!$F$2&amp;"-EXPENSE'!R"&amp;ROW()+3)</f>
        <v/>
      </c>
      <c r="AI9" s="21" t="n"/>
      <c r="AJ9" s="41">
        <f>AG9-(AH9+AI9)</f>
        <v/>
      </c>
      <c r="AK9" s="41">
        <f>INDIRECT("'Dec"&amp;Members!$F$2&amp;"-COLLECTION'!K"&amp;ROW()-1)</f>
        <v/>
      </c>
      <c r="AL9" s="41">
        <f>INDIRECT("'Dec"&amp;Members!$F$2&amp;"-EXPENSE'!R"&amp;ROW()+3)</f>
        <v/>
      </c>
      <c r="AM9" s="21" t="n"/>
      <c r="AN9" s="41">
        <f>AK9-(AL9+AM9)</f>
        <v/>
      </c>
      <c r="AO9" s="41">
        <f>INDIRECT("'Jan"&amp;Members!$G$2&amp;"-COLLECTION'!K"&amp;ROW()-1)</f>
        <v/>
      </c>
      <c r="AP9" s="41">
        <f>INDIRECT("'Jan"&amp;Members!$G$2&amp;"-EXPENSE'!R"&amp;ROW()+3)</f>
        <v/>
      </c>
      <c r="AQ9" s="2" t="n"/>
      <c r="AR9" s="41">
        <f>AO9-(AP9+AQ9)</f>
        <v/>
      </c>
      <c r="AS9" s="41">
        <f>INDIRECT("'Feb"&amp;Members!$G$2&amp;"-COLLECTION'!K"&amp;ROW()-1)</f>
        <v/>
      </c>
      <c r="AT9" s="41">
        <f>INDIRECT("'Feb"&amp;Members!$G$2&amp;"-EXPENSE'!R"&amp;ROW()+3)</f>
        <v/>
      </c>
      <c r="AU9" s="2" t="n"/>
      <c r="AV9" s="41">
        <f>AS9-(AT9+AU9)</f>
        <v/>
      </c>
      <c r="AW9" s="41">
        <f>INDIRECT("'Mar"&amp;Members!$G$2&amp;"-COLLECTION'!K"&amp;ROW()-1)</f>
        <v/>
      </c>
      <c r="AX9" s="41">
        <f>INDIRECT("'Mar"&amp;Members!$G$2&amp;"-EXPENSE'!R"&amp;ROW()+3)</f>
        <v/>
      </c>
      <c r="AY9" s="2" t="n"/>
      <c r="AZ9" s="41">
        <f>AW9-(AX9+AY9)</f>
        <v/>
      </c>
      <c r="BA9" s="41">
        <f>SUM(E9,I9,M9,Q9,U9,Y9,AC9,AG9,AK9,AO9,AS9,AW9)</f>
        <v/>
      </c>
      <c r="BB9" s="41">
        <f>SUM(F9,J9,N9,R9,V9,Z9,AD9,AH9,AL9,AP9,AT9,AX9)</f>
        <v/>
      </c>
      <c r="BC9" s="41">
        <f>SUM(G9,K9,O9,S9,W9,AA9,AE9,AI9,AM9,AQ9,AU9,AY9)</f>
        <v/>
      </c>
      <c r="BD9" s="41">
        <f>BA9-(BB9+BC9)</f>
        <v/>
      </c>
      <c r="BE9" s="41">
        <f>BD9+D9</f>
        <v/>
      </c>
    </row>
    <row r="10" ht="15.95" customHeight="1">
      <c r="A10" s="36" t="inlineStr">
        <is>
          <t>F8</t>
        </is>
      </c>
      <c r="B10" s="42">
        <f>VLOOKUP(A10,Members!$A$2:$C$65,3,FALSE)</f>
        <v/>
      </c>
      <c r="C10" s="36">
        <f>Members!B9</f>
        <v/>
      </c>
      <c r="D10" s="43" t="n">
        <v>0</v>
      </c>
      <c r="E10" s="43">
        <f>INDIRECT("'Apr"&amp;Members!$F$2&amp;"-COLLECTION'!K"&amp;ROW()-1)</f>
        <v/>
      </c>
      <c r="F10" s="43">
        <f>INDIRECT("'Apr"&amp;Members!$F$2&amp;"-EXPENSE'!R"&amp;ROW()+3)</f>
        <v/>
      </c>
      <c r="G10" s="20" t="n"/>
      <c r="H10" s="43">
        <f>E10-(F10+G10)</f>
        <v/>
      </c>
      <c r="I10" s="43">
        <f>INDIRECT("'May"&amp;Members!$F$2&amp;"-COLLECTION'!K"&amp;ROW()-1)</f>
        <v/>
      </c>
      <c r="J10" s="43">
        <f>INDIRECT("'May"&amp;Members!$F$2&amp;"-EXPENSE'!R"&amp;ROW()+3)</f>
        <v/>
      </c>
      <c r="K10" s="21" t="n"/>
      <c r="L10" s="43">
        <f>I10-(J10+K10)</f>
        <v/>
      </c>
      <c r="M10" s="43">
        <f>INDIRECT("'June"&amp;Members!$F$2&amp;"-COLLECTION'!K"&amp;ROW()-1)</f>
        <v/>
      </c>
      <c r="N10" s="43">
        <f>INDIRECT("'June"&amp;Members!$F$2&amp;"-EXPENSE'!R"&amp;ROW()+3)</f>
        <v/>
      </c>
      <c r="O10" s="20" t="n"/>
      <c r="P10" s="43">
        <f>M10-(N10+O10)</f>
        <v/>
      </c>
      <c r="Q10" s="43">
        <f>INDIRECT("'July"&amp;Members!$F$2&amp;"-COLLECTION'!K"&amp;ROW()-1)</f>
        <v/>
      </c>
      <c r="R10" s="43">
        <f>INDIRECT("'July"&amp;Members!$F$2&amp;"-EXPENSE'!R"&amp;ROW()+3)</f>
        <v/>
      </c>
      <c r="S10" s="21" t="n"/>
      <c r="T10" s="43">
        <f>Q10-(R10+S10)</f>
        <v/>
      </c>
      <c r="U10" s="43">
        <f>INDIRECT("'Aug"&amp;Members!$F$2&amp;"-COLLECTION'!K"&amp;ROW()-1)</f>
        <v/>
      </c>
      <c r="V10" s="43">
        <f>INDIRECT("'Aug"&amp;Members!$F$2&amp;"-EXPENSE'!R"&amp;ROW()+3)</f>
        <v/>
      </c>
      <c r="W10" s="20" t="n"/>
      <c r="X10" s="43">
        <f>U10-(V10+W10)</f>
        <v/>
      </c>
      <c r="Y10" s="43">
        <f>INDIRECT("'Sep"&amp;Members!$F$2&amp;"-COLLECTION'!K"&amp;ROW()-1)</f>
        <v/>
      </c>
      <c r="Z10" s="43">
        <f>INDIRECT("'Sep"&amp;Members!$F$2&amp;"-EXPENSE'!R"&amp;ROW()+3)</f>
        <v/>
      </c>
      <c r="AA10" s="21" t="n"/>
      <c r="AB10" s="43">
        <f>Y10-(Z10+AA10)</f>
        <v/>
      </c>
      <c r="AC10" s="43">
        <f>INDIRECT("'Oct"&amp;Members!$F$2&amp;"-COLLECTION'!K"&amp;ROW()-1)</f>
        <v/>
      </c>
      <c r="AD10" s="43">
        <f>INDIRECT("'Oct"&amp;Members!$F$2&amp;"-EXPENSE'!R"&amp;ROW()+3)</f>
        <v/>
      </c>
      <c r="AE10" s="21" t="n"/>
      <c r="AF10" s="43">
        <f>AC10-(AD10+AE10)</f>
        <v/>
      </c>
      <c r="AG10" s="43">
        <f>INDIRECT("'Nov"&amp;Members!$F$2&amp;"-COLLECTION'!K"&amp;ROW()-1)</f>
        <v/>
      </c>
      <c r="AH10" s="43">
        <f>INDIRECT("'Nov"&amp;Members!$F$2&amp;"-EXPENSE'!R"&amp;ROW()+3)</f>
        <v/>
      </c>
      <c r="AI10" s="21" t="n"/>
      <c r="AJ10" s="43">
        <f>AG10-(AH10+AI10)</f>
        <v/>
      </c>
      <c r="AK10" s="43">
        <f>INDIRECT("'Dec"&amp;Members!$F$2&amp;"-COLLECTION'!K"&amp;ROW()-1)</f>
        <v/>
      </c>
      <c r="AL10" s="43">
        <f>INDIRECT("'Dec"&amp;Members!$F$2&amp;"-EXPENSE'!R"&amp;ROW()+3)</f>
        <v/>
      </c>
      <c r="AM10" s="21" t="n"/>
      <c r="AN10" s="43">
        <f>AK10-(AL10+AM10)</f>
        <v/>
      </c>
      <c r="AO10" s="43">
        <f>INDIRECT("'Jan"&amp;Members!$G$2&amp;"-COLLECTION'!K"&amp;ROW()-1)</f>
        <v/>
      </c>
      <c r="AP10" s="43">
        <f>INDIRECT("'Jan"&amp;Members!$G$2&amp;"-EXPENSE'!R"&amp;ROW()+3)</f>
        <v/>
      </c>
      <c r="AQ10" s="2" t="n"/>
      <c r="AR10" s="43">
        <f>AO10-(AP10+AQ10)</f>
        <v/>
      </c>
      <c r="AS10" s="43">
        <f>INDIRECT("'Feb"&amp;Members!$G$2&amp;"-COLLECTION'!K"&amp;ROW()-1)</f>
        <v/>
      </c>
      <c r="AT10" s="43">
        <f>INDIRECT("'Feb"&amp;Members!$G$2&amp;"-EXPENSE'!R"&amp;ROW()+3)</f>
        <v/>
      </c>
      <c r="AU10" s="2" t="n"/>
      <c r="AV10" s="43">
        <f>AS10-(AT10+AU10)</f>
        <v/>
      </c>
      <c r="AW10" s="43">
        <f>INDIRECT("'Mar"&amp;Members!$G$2&amp;"-COLLECTION'!K"&amp;ROW()-1)</f>
        <v/>
      </c>
      <c r="AX10" s="43">
        <f>INDIRECT("'Mar"&amp;Members!$G$2&amp;"-EXPENSE'!R"&amp;ROW()+3)</f>
        <v/>
      </c>
      <c r="AY10" s="2" t="n"/>
      <c r="AZ10" s="43">
        <f>AW10-(AX10+AY10)</f>
        <v/>
      </c>
      <c r="BA10" s="43">
        <f>SUM(E10,I10,M10,Q10,U10,Y10,AC10,AG10,AK10,AO10,AS10,AW10)</f>
        <v/>
      </c>
      <c r="BB10" s="43">
        <f>SUM(F10,J10,N10,R10,V10,Z10,AD10,AH10,AL10,AP10,AT10,AX10)</f>
        <v/>
      </c>
      <c r="BC10" s="43">
        <f>SUM(G10,K10,O10,S10,W10,AA10,AE10,AI10,AM10,AQ10,AU10,AY10)</f>
        <v/>
      </c>
      <c r="BD10" s="43">
        <f>BA10-(BB10+BC10)</f>
        <v/>
      </c>
      <c r="BE10" s="43">
        <f>BD10+D10</f>
        <v/>
      </c>
    </row>
    <row r="11" ht="15.95" customHeight="1">
      <c r="A11" s="37" t="inlineStr">
        <is>
          <t>F9</t>
        </is>
      </c>
      <c r="B11" s="40">
        <f>VLOOKUP(A11,Members!$A$2:$C$65,3,FALSE)</f>
        <v/>
      </c>
      <c r="C11" s="37">
        <f>Members!B10</f>
        <v/>
      </c>
      <c r="D11" s="41" t="n">
        <v>0</v>
      </c>
      <c r="E11" s="41">
        <f>INDIRECT("'Apr"&amp;Members!$F$2&amp;"-COLLECTION'!K"&amp;ROW()-1)</f>
        <v/>
      </c>
      <c r="F11" s="41">
        <f>INDIRECT("'Apr"&amp;Members!$F$2&amp;"-EXPENSE'!R"&amp;ROW()+3)</f>
        <v/>
      </c>
      <c r="G11" s="20" t="n"/>
      <c r="H11" s="41">
        <f>E11-(F11+G11)</f>
        <v/>
      </c>
      <c r="I11" s="41">
        <f>INDIRECT("'May"&amp;Members!$F$2&amp;"-COLLECTION'!K"&amp;ROW()-1)</f>
        <v/>
      </c>
      <c r="J11" s="41">
        <f>INDIRECT("'May"&amp;Members!$F$2&amp;"-EXPENSE'!R"&amp;ROW()+3)</f>
        <v/>
      </c>
      <c r="K11" s="21" t="n"/>
      <c r="L11" s="41">
        <f>I11-(J11+K11)</f>
        <v/>
      </c>
      <c r="M11" s="41">
        <f>INDIRECT("'June"&amp;Members!$F$2&amp;"-COLLECTION'!K"&amp;ROW()-1)</f>
        <v/>
      </c>
      <c r="N11" s="41">
        <f>INDIRECT("'June"&amp;Members!$F$2&amp;"-EXPENSE'!R"&amp;ROW()+3)</f>
        <v/>
      </c>
      <c r="O11" s="20" t="n"/>
      <c r="P11" s="41">
        <f>M11-(N11+O11)</f>
        <v/>
      </c>
      <c r="Q11" s="41">
        <f>INDIRECT("'July"&amp;Members!$F$2&amp;"-COLLECTION'!K"&amp;ROW()-1)</f>
        <v/>
      </c>
      <c r="R11" s="41">
        <f>INDIRECT("'July"&amp;Members!$F$2&amp;"-EXPENSE'!R"&amp;ROW()+3)</f>
        <v/>
      </c>
      <c r="S11" s="21" t="n"/>
      <c r="T11" s="41">
        <f>Q11-(R11+S11)</f>
        <v/>
      </c>
      <c r="U11" s="41">
        <f>INDIRECT("'Aug"&amp;Members!$F$2&amp;"-COLLECTION'!K"&amp;ROW()-1)</f>
        <v/>
      </c>
      <c r="V11" s="41">
        <f>INDIRECT("'Aug"&amp;Members!$F$2&amp;"-EXPENSE'!R"&amp;ROW()+3)</f>
        <v/>
      </c>
      <c r="W11" s="20" t="n"/>
      <c r="X11" s="41">
        <f>U11-(V11+W11)</f>
        <v/>
      </c>
      <c r="Y11" s="41">
        <f>INDIRECT("'Sep"&amp;Members!$F$2&amp;"-COLLECTION'!K"&amp;ROW()-1)</f>
        <v/>
      </c>
      <c r="Z11" s="41">
        <f>INDIRECT("'Sep"&amp;Members!$F$2&amp;"-EXPENSE'!R"&amp;ROW()+3)</f>
        <v/>
      </c>
      <c r="AA11" s="21" t="n"/>
      <c r="AB11" s="41">
        <f>Y11-(Z11+AA11)</f>
        <v/>
      </c>
      <c r="AC11" s="41">
        <f>INDIRECT("'Oct"&amp;Members!$F$2&amp;"-COLLECTION'!K"&amp;ROW()-1)</f>
        <v/>
      </c>
      <c r="AD11" s="41">
        <f>INDIRECT("'Oct"&amp;Members!$F$2&amp;"-EXPENSE'!R"&amp;ROW()+3)</f>
        <v/>
      </c>
      <c r="AE11" s="21" t="n"/>
      <c r="AF11" s="41">
        <f>AC11-(AD11+AE11)</f>
        <v/>
      </c>
      <c r="AG11" s="41">
        <f>INDIRECT("'Nov"&amp;Members!$F$2&amp;"-COLLECTION'!K"&amp;ROW()-1)</f>
        <v/>
      </c>
      <c r="AH11" s="41">
        <f>INDIRECT("'Nov"&amp;Members!$F$2&amp;"-EXPENSE'!R"&amp;ROW()+3)</f>
        <v/>
      </c>
      <c r="AI11" s="21" t="n"/>
      <c r="AJ11" s="41">
        <f>AG11-(AH11+AI11)</f>
        <v/>
      </c>
      <c r="AK11" s="41">
        <f>INDIRECT("'Dec"&amp;Members!$F$2&amp;"-COLLECTION'!K"&amp;ROW()-1)</f>
        <v/>
      </c>
      <c r="AL11" s="41">
        <f>INDIRECT("'Dec"&amp;Members!$F$2&amp;"-EXPENSE'!R"&amp;ROW()+3)</f>
        <v/>
      </c>
      <c r="AM11" s="21" t="n"/>
      <c r="AN11" s="41">
        <f>AK11-(AL11+AM11)</f>
        <v/>
      </c>
      <c r="AO11" s="41">
        <f>INDIRECT("'Jan"&amp;Members!$G$2&amp;"-COLLECTION'!K"&amp;ROW()-1)</f>
        <v/>
      </c>
      <c r="AP11" s="41">
        <f>INDIRECT("'Jan"&amp;Members!$G$2&amp;"-EXPENSE'!R"&amp;ROW()+3)</f>
        <v/>
      </c>
      <c r="AQ11" s="2" t="n"/>
      <c r="AR11" s="41">
        <f>AO11-(AP11+AQ11)</f>
        <v/>
      </c>
      <c r="AS11" s="41">
        <f>INDIRECT("'Feb"&amp;Members!$G$2&amp;"-COLLECTION'!K"&amp;ROW()-1)</f>
        <v/>
      </c>
      <c r="AT11" s="41">
        <f>INDIRECT("'Feb"&amp;Members!$G$2&amp;"-EXPENSE'!R"&amp;ROW()+3)</f>
        <v/>
      </c>
      <c r="AU11" s="2" t="n"/>
      <c r="AV11" s="41">
        <f>AS11-(AT11+AU11)</f>
        <v/>
      </c>
      <c r="AW11" s="41">
        <f>INDIRECT("'Mar"&amp;Members!$G$2&amp;"-COLLECTION'!K"&amp;ROW()-1)</f>
        <v/>
      </c>
      <c r="AX11" s="41">
        <f>INDIRECT("'Mar"&amp;Members!$G$2&amp;"-EXPENSE'!R"&amp;ROW()+3)</f>
        <v/>
      </c>
      <c r="AY11" s="2" t="n"/>
      <c r="AZ11" s="41">
        <f>AW11-(AX11+AY11)</f>
        <v/>
      </c>
      <c r="BA11" s="41">
        <f>SUM(E11,I11,M11,Q11,U11,Y11,AC11,AG11,AK11,AO11,AS11,AW11)</f>
        <v/>
      </c>
      <c r="BB11" s="41">
        <f>SUM(F11,J11,N11,R11,V11,Z11,AD11,AH11,AL11,AP11,AT11,AX11)</f>
        <v/>
      </c>
      <c r="BC11" s="41">
        <f>SUM(G11,K11,O11,S11,W11,AA11,AE11,AI11,AM11,AQ11,AU11,AY11)</f>
        <v/>
      </c>
      <c r="BD11" s="41">
        <f>BA11-(BB11+BC11)</f>
        <v/>
      </c>
      <c r="BE11" s="41">
        <f>BD11+D11</f>
        <v/>
      </c>
    </row>
    <row r="12" ht="15.95" customHeight="1">
      <c r="A12" s="36" t="inlineStr">
        <is>
          <t>F10</t>
        </is>
      </c>
      <c r="B12" s="42">
        <f>VLOOKUP(A12,Members!$A$2:$C$65,3,FALSE)</f>
        <v/>
      </c>
      <c r="C12" s="36">
        <f>Members!B11</f>
        <v/>
      </c>
      <c r="D12" s="43" t="n">
        <v>0</v>
      </c>
      <c r="E12" s="43">
        <f>INDIRECT("'Apr"&amp;Members!$F$2&amp;"-COLLECTION'!K"&amp;ROW()-1)</f>
        <v/>
      </c>
      <c r="F12" s="43">
        <f>INDIRECT("'Apr"&amp;Members!$F$2&amp;"-EXPENSE'!R"&amp;ROW()+3)</f>
        <v/>
      </c>
      <c r="G12" s="20" t="n"/>
      <c r="H12" s="43">
        <f>E12-(F12+G12)</f>
        <v/>
      </c>
      <c r="I12" s="43">
        <f>INDIRECT("'May"&amp;Members!$F$2&amp;"-COLLECTION'!K"&amp;ROW()-1)</f>
        <v/>
      </c>
      <c r="J12" s="43">
        <f>INDIRECT("'May"&amp;Members!$F$2&amp;"-EXPENSE'!R"&amp;ROW()+3)</f>
        <v/>
      </c>
      <c r="K12" s="21" t="n"/>
      <c r="L12" s="43">
        <f>I12-(J12+K12)</f>
        <v/>
      </c>
      <c r="M12" s="43">
        <f>INDIRECT("'June"&amp;Members!$F$2&amp;"-COLLECTION'!K"&amp;ROW()-1)</f>
        <v/>
      </c>
      <c r="N12" s="43">
        <f>INDIRECT("'June"&amp;Members!$F$2&amp;"-EXPENSE'!R"&amp;ROW()+3)</f>
        <v/>
      </c>
      <c r="O12" s="20" t="n"/>
      <c r="P12" s="43">
        <f>M12-(N12+O12)</f>
        <v/>
      </c>
      <c r="Q12" s="43">
        <f>INDIRECT("'July"&amp;Members!$F$2&amp;"-COLLECTION'!K"&amp;ROW()-1)</f>
        <v/>
      </c>
      <c r="R12" s="43">
        <f>INDIRECT("'July"&amp;Members!$F$2&amp;"-EXPENSE'!R"&amp;ROW()+3)</f>
        <v/>
      </c>
      <c r="S12" s="21" t="n"/>
      <c r="T12" s="43">
        <f>Q12-(R12+S12)</f>
        <v/>
      </c>
      <c r="U12" s="43">
        <f>INDIRECT("'Aug"&amp;Members!$F$2&amp;"-COLLECTION'!K"&amp;ROW()-1)</f>
        <v/>
      </c>
      <c r="V12" s="43">
        <f>INDIRECT("'Aug"&amp;Members!$F$2&amp;"-EXPENSE'!R"&amp;ROW()+3)</f>
        <v/>
      </c>
      <c r="W12" s="20" t="n"/>
      <c r="X12" s="43">
        <f>U12-(V12+W12)</f>
        <v/>
      </c>
      <c r="Y12" s="43">
        <f>INDIRECT("'Sep"&amp;Members!$F$2&amp;"-COLLECTION'!K"&amp;ROW()-1)</f>
        <v/>
      </c>
      <c r="Z12" s="43">
        <f>INDIRECT("'Sep"&amp;Members!$F$2&amp;"-EXPENSE'!R"&amp;ROW()+3)</f>
        <v/>
      </c>
      <c r="AA12" s="21" t="n"/>
      <c r="AB12" s="43">
        <f>Y12-(Z12+AA12)</f>
        <v/>
      </c>
      <c r="AC12" s="43">
        <f>INDIRECT("'Oct"&amp;Members!$F$2&amp;"-COLLECTION'!K"&amp;ROW()-1)</f>
        <v/>
      </c>
      <c r="AD12" s="43">
        <f>INDIRECT("'Oct"&amp;Members!$F$2&amp;"-EXPENSE'!R"&amp;ROW()+3)</f>
        <v/>
      </c>
      <c r="AE12" s="21" t="n"/>
      <c r="AF12" s="43">
        <f>AC12-(AD12+AE12)</f>
        <v/>
      </c>
      <c r="AG12" s="43">
        <f>INDIRECT("'Nov"&amp;Members!$F$2&amp;"-COLLECTION'!K"&amp;ROW()-1)</f>
        <v/>
      </c>
      <c r="AH12" s="43">
        <f>INDIRECT("'Nov"&amp;Members!$F$2&amp;"-EXPENSE'!R"&amp;ROW()+3)</f>
        <v/>
      </c>
      <c r="AI12" s="21" t="n"/>
      <c r="AJ12" s="43">
        <f>AG12-(AH12+AI12)</f>
        <v/>
      </c>
      <c r="AK12" s="43">
        <f>INDIRECT("'Dec"&amp;Members!$F$2&amp;"-COLLECTION'!K"&amp;ROW()-1)</f>
        <v/>
      </c>
      <c r="AL12" s="43">
        <f>INDIRECT("'Dec"&amp;Members!$F$2&amp;"-EXPENSE'!R"&amp;ROW()+3)</f>
        <v/>
      </c>
      <c r="AM12" s="21" t="n"/>
      <c r="AN12" s="43">
        <f>AK12-(AL12+AM12)</f>
        <v/>
      </c>
      <c r="AO12" s="43">
        <f>INDIRECT("'Jan"&amp;Members!$G$2&amp;"-COLLECTION'!K"&amp;ROW()-1)</f>
        <v/>
      </c>
      <c r="AP12" s="43">
        <f>INDIRECT("'Jan"&amp;Members!$G$2&amp;"-EXPENSE'!R"&amp;ROW()+3)</f>
        <v/>
      </c>
      <c r="AQ12" s="2" t="n"/>
      <c r="AR12" s="43">
        <f>AO12-(AP12+AQ12)</f>
        <v/>
      </c>
      <c r="AS12" s="43">
        <f>INDIRECT("'Feb"&amp;Members!$G$2&amp;"-COLLECTION'!K"&amp;ROW()-1)</f>
        <v/>
      </c>
      <c r="AT12" s="43">
        <f>INDIRECT("'Feb"&amp;Members!$G$2&amp;"-EXPENSE'!R"&amp;ROW()+3)</f>
        <v/>
      </c>
      <c r="AU12" s="2" t="n"/>
      <c r="AV12" s="43">
        <f>AS12-(AT12+AU12)</f>
        <v/>
      </c>
      <c r="AW12" s="43">
        <f>INDIRECT("'Mar"&amp;Members!$G$2&amp;"-COLLECTION'!K"&amp;ROW()-1)</f>
        <v/>
      </c>
      <c r="AX12" s="43">
        <f>INDIRECT("'Mar"&amp;Members!$G$2&amp;"-EXPENSE'!R"&amp;ROW()+3)</f>
        <v/>
      </c>
      <c r="AY12" s="2" t="n"/>
      <c r="AZ12" s="43">
        <f>AW12-(AX12+AY12)</f>
        <v/>
      </c>
      <c r="BA12" s="43">
        <f>SUM(E12,I12,M12,Q12,U12,Y12,AC12,AG12,AK12,AO12,AS12,AW12)</f>
        <v/>
      </c>
      <c r="BB12" s="43">
        <f>SUM(F12,J12,N12,R12,V12,Z12,AD12,AH12,AL12,AP12,AT12,AX12)</f>
        <v/>
      </c>
      <c r="BC12" s="43">
        <f>SUM(G12,K12,O12,S12,W12,AA12,AE12,AI12,AM12,AQ12,AU12,AY12)</f>
        <v/>
      </c>
      <c r="BD12" s="43">
        <f>BA12-(BB12+BC12)</f>
        <v/>
      </c>
      <c r="BE12" s="43">
        <f>BD12+D12</f>
        <v/>
      </c>
    </row>
    <row r="13" ht="15.95" customHeight="1">
      <c r="A13" s="37" t="inlineStr">
        <is>
          <t>F11</t>
        </is>
      </c>
      <c r="B13" s="40">
        <f>VLOOKUP(A13,Members!$A$2:$C$65,3,FALSE)</f>
        <v/>
      </c>
      <c r="C13" s="37">
        <f>Members!B12</f>
        <v/>
      </c>
      <c r="D13" s="41" t="n">
        <v>0</v>
      </c>
      <c r="E13" s="41">
        <f>INDIRECT("'Apr"&amp;Members!$F$2&amp;"-COLLECTION'!K"&amp;ROW()-1)</f>
        <v/>
      </c>
      <c r="F13" s="41">
        <f>INDIRECT("'Apr"&amp;Members!$F$2&amp;"-EXPENSE'!R"&amp;ROW()+3)</f>
        <v/>
      </c>
      <c r="G13" s="20" t="n"/>
      <c r="H13" s="41">
        <f>E13-(F13+G13)</f>
        <v/>
      </c>
      <c r="I13" s="41">
        <f>INDIRECT("'May"&amp;Members!$F$2&amp;"-COLLECTION'!K"&amp;ROW()-1)</f>
        <v/>
      </c>
      <c r="J13" s="41">
        <f>INDIRECT("'May"&amp;Members!$F$2&amp;"-EXPENSE'!R"&amp;ROW()+3)</f>
        <v/>
      </c>
      <c r="K13" s="21" t="n"/>
      <c r="L13" s="41">
        <f>I13-(J13+K13)</f>
        <v/>
      </c>
      <c r="M13" s="41">
        <f>INDIRECT("'June"&amp;Members!$F$2&amp;"-COLLECTION'!K"&amp;ROW()-1)</f>
        <v/>
      </c>
      <c r="N13" s="41">
        <f>INDIRECT("'June"&amp;Members!$F$2&amp;"-EXPENSE'!R"&amp;ROW()+3)</f>
        <v/>
      </c>
      <c r="O13" s="20" t="n"/>
      <c r="P13" s="41">
        <f>M13-(N13+O13)</f>
        <v/>
      </c>
      <c r="Q13" s="41">
        <f>INDIRECT("'July"&amp;Members!$F$2&amp;"-COLLECTION'!K"&amp;ROW()-1)</f>
        <v/>
      </c>
      <c r="R13" s="41">
        <f>INDIRECT("'July"&amp;Members!$F$2&amp;"-EXPENSE'!R"&amp;ROW()+3)</f>
        <v/>
      </c>
      <c r="S13" s="21" t="n"/>
      <c r="T13" s="41">
        <f>Q13-(R13+S13)</f>
        <v/>
      </c>
      <c r="U13" s="41">
        <f>INDIRECT("'Aug"&amp;Members!$F$2&amp;"-COLLECTION'!K"&amp;ROW()-1)</f>
        <v/>
      </c>
      <c r="V13" s="41">
        <f>INDIRECT("'Aug"&amp;Members!$F$2&amp;"-EXPENSE'!R"&amp;ROW()+3)</f>
        <v/>
      </c>
      <c r="W13" s="20" t="n"/>
      <c r="X13" s="41">
        <f>U13-(V13+W13)</f>
        <v/>
      </c>
      <c r="Y13" s="41">
        <f>INDIRECT("'Sep"&amp;Members!$F$2&amp;"-COLLECTION'!K"&amp;ROW()-1)</f>
        <v/>
      </c>
      <c r="Z13" s="41">
        <f>INDIRECT("'Sep"&amp;Members!$F$2&amp;"-EXPENSE'!R"&amp;ROW()+3)</f>
        <v/>
      </c>
      <c r="AA13" s="21" t="n"/>
      <c r="AB13" s="41">
        <f>Y13-(Z13+AA13)</f>
        <v/>
      </c>
      <c r="AC13" s="41">
        <f>INDIRECT("'Oct"&amp;Members!$F$2&amp;"-COLLECTION'!K"&amp;ROW()-1)</f>
        <v/>
      </c>
      <c r="AD13" s="41">
        <f>INDIRECT("'Oct"&amp;Members!$F$2&amp;"-EXPENSE'!R"&amp;ROW()+3)</f>
        <v/>
      </c>
      <c r="AE13" s="21" t="n"/>
      <c r="AF13" s="41">
        <f>AC13-(AD13+AE13)</f>
        <v/>
      </c>
      <c r="AG13" s="41">
        <f>INDIRECT("'Nov"&amp;Members!$F$2&amp;"-COLLECTION'!K"&amp;ROW()-1)</f>
        <v/>
      </c>
      <c r="AH13" s="41">
        <f>INDIRECT("'Nov"&amp;Members!$F$2&amp;"-EXPENSE'!R"&amp;ROW()+3)</f>
        <v/>
      </c>
      <c r="AI13" s="21" t="n"/>
      <c r="AJ13" s="41">
        <f>AG13-(AH13+AI13)</f>
        <v/>
      </c>
      <c r="AK13" s="41">
        <f>INDIRECT("'Dec"&amp;Members!$F$2&amp;"-COLLECTION'!K"&amp;ROW()-1)</f>
        <v/>
      </c>
      <c r="AL13" s="41">
        <f>INDIRECT("'Dec"&amp;Members!$F$2&amp;"-EXPENSE'!R"&amp;ROW()+3)</f>
        <v/>
      </c>
      <c r="AM13" s="21" t="n"/>
      <c r="AN13" s="41">
        <f>AK13-(AL13+AM13)</f>
        <v/>
      </c>
      <c r="AO13" s="41">
        <f>INDIRECT("'Jan"&amp;Members!$G$2&amp;"-COLLECTION'!K"&amp;ROW()-1)</f>
        <v/>
      </c>
      <c r="AP13" s="41">
        <f>INDIRECT("'Jan"&amp;Members!$G$2&amp;"-EXPENSE'!R"&amp;ROW()+3)</f>
        <v/>
      </c>
      <c r="AQ13" s="2" t="n"/>
      <c r="AR13" s="41">
        <f>AO13-(AP13+AQ13)</f>
        <v/>
      </c>
      <c r="AS13" s="41">
        <f>INDIRECT("'Feb"&amp;Members!$G$2&amp;"-COLLECTION'!K"&amp;ROW()-1)</f>
        <v/>
      </c>
      <c r="AT13" s="41">
        <f>INDIRECT("'Feb"&amp;Members!$G$2&amp;"-EXPENSE'!R"&amp;ROW()+3)</f>
        <v/>
      </c>
      <c r="AU13" s="2" t="n"/>
      <c r="AV13" s="41">
        <f>AS13-(AT13+AU13)</f>
        <v/>
      </c>
      <c r="AW13" s="41">
        <f>INDIRECT("'Mar"&amp;Members!$G$2&amp;"-COLLECTION'!K"&amp;ROW()-1)</f>
        <v/>
      </c>
      <c r="AX13" s="41">
        <f>INDIRECT("'Mar"&amp;Members!$G$2&amp;"-EXPENSE'!R"&amp;ROW()+3)</f>
        <v/>
      </c>
      <c r="AY13" s="2" t="n"/>
      <c r="AZ13" s="41">
        <f>AW13-(AX13+AY13)</f>
        <v/>
      </c>
      <c r="BA13" s="41">
        <f>SUM(E13,I13,M13,Q13,U13,Y13,AC13,AG13,AK13,AO13,AS13,AW13)</f>
        <v/>
      </c>
      <c r="BB13" s="41">
        <f>SUM(F13,J13,N13,R13,V13,Z13,AD13,AH13,AL13,AP13,AT13,AX13)</f>
        <v/>
      </c>
      <c r="BC13" s="41">
        <f>SUM(G13,K13,O13,S13,W13,AA13,AE13,AI13,AM13,AQ13,AU13,AY13)</f>
        <v/>
      </c>
      <c r="BD13" s="41">
        <f>BA13-(BB13+BC13)</f>
        <v/>
      </c>
      <c r="BE13" s="41">
        <f>BD13+D13</f>
        <v/>
      </c>
    </row>
    <row r="14" ht="15.95" customHeight="1">
      <c r="A14" s="36" t="inlineStr">
        <is>
          <t>F12</t>
        </is>
      </c>
      <c r="B14" s="42">
        <f>VLOOKUP(A14,Members!$A$2:$C$65,3,FALSE)</f>
        <v/>
      </c>
      <c r="C14" s="36">
        <f>Members!B13</f>
        <v/>
      </c>
      <c r="D14" s="43" t="n">
        <v>0</v>
      </c>
      <c r="E14" s="43">
        <f>INDIRECT("'Apr"&amp;Members!$F$2&amp;"-COLLECTION'!K"&amp;ROW()-1)</f>
        <v/>
      </c>
      <c r="F14" s="43">
        <f>INDIRECT("'Apr"&amp;Members!$F$2&amp;"-EXPENSE'!R"&amp;ROW()+3)</f>
        <v/>
      </c>
      <c r="G14" s="20" t="n"/>
      <c r="H14" s="43">
        <f>E14-(F14+G14)</f>
        <v/>
      </c>
      <c r="I14" s="43">
        <f>INDIRECT("'May"&amp;Members!$F$2&amp;"-COLLECTION'!K"&amp;ROW()-1)</f>
        <v/>
      </c>
      <c r="J14" s="43">
        <f>INDIRECT("'May"&amp;Members!$F$2&amp;"-EXPENSE'!R"&amp;ROW()+3)</f>
        <v/>
      </c>
      <c r="K14" s="21" t="n"/>
      <c r="L14" s="43">
        <f>I14-(J14+K14)</f>
        <v/>
      </c>
      <c r="M14" s="43">
        <f>INDIRECT("'June"&amp;Members!$F$2&amp;"-COLLECTION'!K"&amp;ROW()-1)</f>
        <v/>
      </c>
      <c r="N14" s="43">
        <f>INDIRECT("'June"&amp;Members!$F$2&amp;"-EXPENSE'!R"&amp;ROW()+3)</f>
        <v/>
      </c>
      <c r="O14" s="20" t="n"/>
      <c r="P14" s="43">
        <f>M14-(N14+O14)</f>
        <v/>
      </c>
      <c r="Q14" s="43">
        <f>INDIRECT("'July"&amp;Members!$F$2&amp;"-COLLECTION'!K"&amp;ROW()-1)</f>
        <v/>
      </c>
      <c r="R14" s="43">
        <f>INDIRECT("'July"&amp;Members!$F$2&amp;"-EXPENSE'!R"&amp;ROW()+3)</f>
        <v/>
      </c>
      <c r="S14" s="21" t="n"/>
      <c r="T14" s="43">
        <f>Q14-(R14+S14)</f>
        <v/>
      </c>
      <c r="U14" s="43">
        <f>INDIRECT("'Aug"&amp;Members!$F$2&amp;"-COLLECTION'!K"&amp;ROW()-1)</f>
        <v/>
      </c>
      <c r="V14" s="43">
        <f>INDIRECT("'Aug"&amp;Members!$F$2&amp;"-EXPENSE'!R"&amp;ROW()+3)</f>
        <v/>
      </c>
      <c r="W14" s="20" t="n"/>
      <c r="X14" s="43">
        <f>U14-(V14+W14)</f>
        <v/>
      </c>
      <c r="Y14" s="43">
        <f>INDIRECT("'Sep"&amp;Members!$F$2&amp;"-COLLECTION'!K"&amp;ROW()-1)</f>
        <v/>
      </c>
      <c r="Z14" s="43">
        <f>INDIRECT("'Sep"&amp;Members!$F$2&amp;"-EXPENSE'!R"&amp;ROW()+3)</f>
        <v/>
      </c>
      <c r="AA14" s="21" t="n"/>
      <c r="AB14" s="43">
        <f>Y14-(Z14+AA14)</f>
        <v/>
      </c>
      <c r="AC14" s="43">
        <f>INDIRECT("'Oct"&amp;Members!$F$2&amp;"-COLLECTION'!K"&amp;ROW()-1)</f>
        <v/>
      </c>
      <c r="AD14" s="43">
        <f>INDIRECT("'Oct"&amp;Members!$F$2&amp;"-EXPENSE'!R"&amp;ROW()+3)</f>
        <v/>
      </c>
      <c r="AE14" s="21" t="n"/>
      <c r="AF14" s="43">
        <f>AC14-(AD14+AE14)</f>
        <v/>
      </c>
      <c r="AG14" s="43">
        <f>INDIRECT("'Nov"&amp;Members!$F$2&amp;"-COLLECTION'!K"&amp;ROW()-1)</f>
        <v/>
      </c>
      <c r="AH14" s="43">
        <f>INDIRECT("'Nov"&amp;Members!$F$2&amp;"-EXPENSE'!R"&amp;ROW()+3)</f>
        <v/>
      </c>
      <c r="AI14" s="21" t="n"/>
      <c r="AJ14" s="43">
        <f>AG14-(AH14+AI14)</f>
        <v/>
      </c>
      <c r="AK14" s="43">
        <f>INDIRECT("'Dec"&amp;Members!$F$2&amp;"-COLLECTION'!K"&amp;ROW()-1)</f>
        <v/>
      </c>
      <c r="AL14" s="43">
        <f>INDIRECT("'Dec"&amp;Members!$F$2&amp;"-EXPENSE'!R"&amp;ROW()+3)</f>
        <v/>
      </c>
      <c r="AM14" s="21" t="n"/>
      <c r="AN14" s="43">
        <f>AK14-(AL14+AM14)</f>
        <v/>
      </c>
      <c r="AO14" s="43">
        <f>INDIRECT("'Jan"&amp;Members!$G$2&amp;"-COLLECTION'!K"&amp;ROW()-1)</f>
        <v/>
      </c>
      <c r="AP14" s="43">
        <f>INDIRECT("'Jan"&amp;Members!$G$2&amp;"-EXPENSE'!R"&amp;ROW()+3)</f>
        <v/>
      </c>
      <c r="AQ14" s="2" t="n"/>
      <c r="AR14" s="43">
        <f>AO14-(AP14+AQ14)</f>
        <v/>
      </c>
      <c r="AS14" s="43">
        <f>INDIRECT("'Feb"&amp;Members!$G$2&amp;"-COLLECTION'!K"&amp;ROW()-1)</f>
        <v/>
      </c>
      <c r="AT14" s="43">
        <f>INDIRECT("'Feb"&amp;Members!$G$2&amp;"-EXPENSE'!R"&amp;ROW()+3)</f>
        <v/>
      </c>
      <c r="AU14" s="2" t="n"/>
      <c r="AV14" s="43">
        <f>AS14-(AT14+AU14)</f>
        <v/>
      </c>
      <c r="AW14" s="43">
        <f>INDIRECT("'Mar"&amp;Members!$G$2&amp;"-COLLECTION'!K"&amp;ROW()-1)</f>
        <v/>
      </c>
      <c r="AX14" s="43">
        <f>INDIRECT("'Mar"&amp;Members!$G$2&amp;"-EXPENSE'!R"&amp;ROW()+3)</f>
        <v/>
      </c>
      <c r="AY14" s="2" t="n"/>
      <c r="AZ14" s="43">
        <f>AW14-(AX14+AY14)</f>
        <v/>
      </c>
      <c r="BA14" s="43">
        <f>SUM(E14,I14,M14,Q14,U14,Y14,AC14,AG14,AK14,AO14,AS14,AW14)</f>
        <v/>
      </c>
      <c r="BB14" s="43">
        <f>SUM(F14,J14,N14,R14,V14,Z14,AD14,AH14,AL14,AP14,AT14,AX14)</f>
        <v/>
      </c>
      <c r="BC14" s="43">
        <f>SUM(G14,K14,O14,S14,W14,AA14,AE14,AI14,AM14,AQ14,AU14,AY14)</f>
        <v/>
      </c>
      <c r="BD14" s="43">
        <f>BA14-(BB14+BC14)</f>
        <v/>
      </c>
      <c r="BE14" s="43">
        <f>BD14+D14</f>
        <v/>
      </c>
    </row>
    <row r="15" ht="15.95" customHeight="1">
      <c r="A15" s="37" t="inlineStr">
        <is>
          <t>F13</t>
        </is>
      </c>
      <c r="B15" s="40">
        <f>VLOOKUP(A15,Members!$A$2:$C$65,3,FALSE)</f>
        <v/>
      </c>
      <c r="C15" s="37">
        <f>Members!B14</f>
        <v/>
      </c>
      <c r="D15" s="41" t="n">
        <v>0</v>
      </c>
      <c r="E15" s="41">
        <f>INDIRECT("'Apr"&amp;Members!$F$2&amp;"-COLLECTION'!K"&amp;ROW()-1)</f>
        <v/>
      </c>
      <c r="F15" s="41">
        <f>INDIRECT("'Apr"&amp;Members!$F$2&amp;"-EXPENSE'!R"&amp;ROW()+3)</f>
        <v/>
      </c>
      <c r="G15" s="20" t="n"/>
      <c r="H15" s="41">
        <f>E15-(F15+G15)</f>
        <v/>
      </c>
      <c r="I15" s="41">
        <f>INDIRECT("'May"&amp;Members!$F$2&amp;"-COLLECTION'!K"&amp;ROW()-1)</f>
        <v/>
      </c>
      <c r="J15" s="41">
        <f>INDIRECT("'May"&amp;Members!$F$2&amp;"-EXPENSE'!R"&amp;ROW()+3)</f>
        <v/>
      </c>
      <c r="K15" s="21" t="n"/>
      <c r="L15" s="41">
        <f>I15-(J15+K15)</f>
        <v/>
      </c>
      <c r="M15" s="41">
        <f>INDIRECT("'June"&amp;Members!$F$2&amp;"-COLLECTION'!K"&amp;ROW()-1)</f>
        <v/>
      </c>
      <c r="N15" s="41">
        <f>INDIRECT("'June"&amp;Members!$F$2&amp;"-EXPENSE'!R"&amp;ROW()+3)</f>
        <v/>
      </c>
      <c r="O15" s="20" t="n"/>
      <c r="P15" s="41">
        <f>M15-(N15+O15)</f>
        <v/>
      </c>
      <c r="Q15" s="41">
        <f>INDIRECT("'July"&amp;Members!$F$2&amp;"-COLLECTION'!K"&amp;ROW()-1)</f>
        <v/>
      </c>
      <c r="R15" s="41">
        <f>INDIRECT("'July"&amp;Members!$F$2&amp;"-EXPENSE'!R"&amp;ROW()+3)</f>
        <v/>
      </c>
      <c r="S15" s="21" t="n"/>
      <c r="T15" s="41">
        <f>Q15-(R15+S15)</f>
        <v/>
      </c>
      <c r="U15" s="41">
        <f>INDIRECT("'Aug"&amp;Members!$F$2&amp;"-COLLECTION'!K"&amp;ROW()-1)</f>
        <v/>
      </c>
      <c r="V15" s="41">
        <f>INDIRECT("'Aug"&amp;Members!$F$2&amp;"-EXPENSE'!R"&amp;ROW()+3)</f>
        <v/>
      </c>
      <c r="W15" s="20" t="n"/>
      <c r="X15" s="41">
        <f>U15-(V15+W15)</f>
        <v/>
      </c>
      <c r="Y15" s="41">
        <f>INDIRECT("'Sep"&amp;Members!$F$2&amp;"-COLLECTION'!K"&amp;ROW()-1)</f>
        <v/>
      </c>
      <c r="Z15" s="41">
        <f>INDIRECT("'Sep"&amp;Members!$F$2&amp;"-EXPENSE'!R"&amp;ROW()+3)</f>
        <v/>
      </c>
      <c r="AA15" s="21" t="n"/>
      <c r="AB15" s="41">
        <f>Y15-(Z15+AA15)</f>
        <v/>
      </c>
      <c r="AC15" s="41">
        <f>INDIRECT("'Oct"&amp;Members!$F$2&amp;"-COLLECTION'!K"&amp;ROW()-1)</f>
        <v/>
      </c>
      <c r="AD15" s="41">
        <f>INDIRECT("'Oct"&amp;Members!$F$2&amp;"-EXPENSE'!R"&amp;ROW()+3)</f>
        <v/>
      </c>
      <c r="AE15" s="21" t="n"/>
      <c r="AF15" s="41">
        <f>AC15-(AD15+AE15)</f>
        <v/>
      </c>
      <c r="AG15" s="41">
        <f>INDIRECT("'Nov"&amp;Members!$F$2&amp;"-COLLECTION'!K"&amp;ROW()-1)</f>
        <v/>
      </c>
      <c r="AH15" s="41">
        <f>INDIRECT("'Nov"&amp;Members!$F$2&amp;"-EXPENSE'!R"&amp;ROW()+3)</f>
        <v/>
      </c>
      <c r="AI15" s="21" t="n"/>
      <c r="AJ15" s="41">
        <f>AG15-(AH15+AI15)</f>
        <v/>
      </c>
      <c r="AK15" s="41">
        <f>INDIRECT("'Dec"&amp;Members!$F$2&amp;"-COLLECTION'!K"&amp;ROW()-1)</f>
        <v/>
      </c>
      <c r="AL15" s="41">
        <f>INDIRECT("'Dec"&amp;Members!$F$2&amp;"-EXPENSE'!R"&amp;ROW()+3)</f>
        <v/>
      </c>
      <c r="AM15" s="21" t="n"/>
      <c r="AN15" s="41">
        <f>AK15-(AL15+AM15)</f>
        <v/>
      </c>
      <c r="AO15" s="41">
        <f>INDIRECT("'Jan"&amp;Members!$G$2&amp;"-COLLECTION'!K"&amp;ROW()-1)</f>
        <v/>
      </c>
      <c r="AP15" s="41">
        <f>INDIRECT("'Jan"&amp;Members!$G$2&amp;"-EXPENSE'!R"&amp;ROW()+3)</f>
        <v/>
      </c>
      <c r="AQ15" s="2" t="n"/>
      <c r="AR15" s="41">
        <f>AO15-(AP15+AQ15)</f>
        <v/>
      </c>
      <c r="AS15" s="41">
        <f>INDIRECT("'Feb"&amp;Members!$G$2&amp;"-COLLECTION'!K"&amp;ROW()-1)</f>
        <v/>
      </c>
      <c r="AT15" s="41">
        <f>INDIRECT("'Feb"&amp;Members!$G$2&amp;"-EXPENSE'!R"&amp;ROW()+3)</f>
        <v/>
      </c>
      <c r="AU15" s="2" t="n"/>
      <c r="AV15" s="41">
        <f>AS15-(AT15+AU15)</f>
        <v/>
      </c>
      <c r="AW15" s="41">
        <f>INDIRECT("'Mar"&amp;Members!$G$2&amp;"-COLLECTION'!K"&amp;ROW()-1)</f>
        <v/>
      </c>
      <c r="AX15" s="41">
        <f>INDIRECT("'Mar"&amp;Members!$G$2&amp;"-EXPENSE'!R"&amp;ROW()+3)</f>
        <v/>
      </c>
      <c r="AY15" s="2" t="n"/>
      <c r="AZ15" s="41">
        <f>AW15-(AX15+AY15)</f>
        <v/>
      </c>
      <c r="BA15" s="41">
        <f>SUM(E15,I15,M15,Q15,U15,Y15,AC15,AG15,AK15,AO15,AS15,AW15)</f>
        <v/>
      </c>
      <c r="BB15" s="41">
        <f>SUM(F15,J15,N15,R15,V15,Z15,AD15,AH15,AL15,AP15,AT15,AX15)</f>
        <v/>
      </c>
      <c r="BC15" s="41">
        <f>SUM(G15,K15,O15,S15,W15,AA15,AE15,AI15,AM15,AQ15,AU15,AY15)</f>
        <v/>
      </c>
      <c r="BD15" s="41">
        <f>BA15-(BB15+BC15)</f>
        <v/>
      </c>
      <c r="BE15" s="41">
        <f>BD15+D15</f>
        <v/>
      </c>
    </row>
    <row r="16" ht="15.95" customHeight="1">
      <c r="A16" s="36" t="inlineStr">
        <is>
          <t>F14</t>
        </is>
      </c>
      <c r="B16" s="42">
        <f>VLOOKUP(A16,Members!$A$2:$C$65,3,FALSE)</f>
        <v/>
      </c>
      <c r="C16" s="36">
        <f>Members!B15</f>
        <v/>
      </c>
      <c r="D16" s="43" t="n">
        <v>0</v>
      </c>
      <c r="E16" s="43">
        <f>INDIRECT("'Apr"&amp;Members!$F$2&amp;"-COLLECTION'!K"&amp;ROW()-1)</f>
        <v/>
      </c>
      <c r="F16" s="43">
        <f>INDIRECT("'Apr"&amp;Members!$F$2&amp;"-EXPENSE'!R"&amp;ROW()+3)</f>
        <v/>
      </c>
      <c r="G16" s="20" t="n"/>
      <c r="H16" s="43">
        <f>E16-(F16+G16)</f>
        <v/>
      </c>
      <c r="I16" s="43">
        <f>INDIRECT("'May"&amp;Members!$F$2&amp;"-COLLECTION'!K"&amp;ROW()-1)</f>
        <v/>
      </c>
      <c r="J16" s="43">
        <f>INDIRECT("'May"&amp;Members!$F$2&amp;"-EXPENSE'!R"&amp;ROW()+3)</f>
        <v/>
      </c>
      <c r="K16" s="21" t="n"/>
      <c r="L16" s="43">
        <f>I16-(J16+K16)</f>
        <v/>
      </c>
      <c r="M16" s="43">
        <f>INDIRECT("'June"&amp;Members!$F$2&amp;"-COLLECTION'!K"&amp;ROW()-1)</f>
        <v/>
      </c>
      <c r="N16" s="43">
        <f>INDIRECT("'June"&amp;Members!$F$2&amp;"-EXPENSE'!R"&amp;ROW()+3)</f>
        <v/>
      </c>
      <c r="O16" s="20" t="n"/>
      <c r="P16" s="43">
        <f>M16-(N16+O16)</f>
        <v/>
      </c>
      <c r="Q16" s="43">
        <f>INDIRECT("'July"&amp;Members!$F$2&amp;"-COLLECTION'!K"&amp;ROW()-1)</f>
        <v/>
      </c>
      <c r="R16" s="43">
        <f>INDIRECT("'July"&amp;Members!$F$2&amp;"-EXPENSE'!R"&amp;ROW()+3)</f>
        <v/>
      </c>
      <c r="S16" s="21" t="n"/>
      <c r="T16" s="43">
        <f>Q16-(R16+S16)</f>
        <v/>
      </c>
      <c r="U16" s="43">
        <f>INDIRECT("'Aug"&amp;Members!$F$2&amp;"-COLLECTION'!K"&amp;ROW()-1)</f>
        <v/>
      </c>
      <c r="V16" s="43">
        <f>INDIRECT("'Aug"&amp;Members!$F$2&amp;"-EXPENSE'!R"&amp;ROW()+3)</f>
        <v/>
      </c>
      <c r="W16" s="20" t="n"/>
      <c r="X16" s="43">
        <f>U16-(V16+W16)</f>
        <v/>
      </c>
      <c r="Y16" s="43">
        <f>INDIRECT("'Sep"&amp;Members!$F$2&amp;"-COLLECTION'!K"&amp;ROW()-1)</f>
        <v/>
      </c>
      <c r="Z16" s="43">
        <f>INDIRECT("'Sep"&amp;Members!$F$2&amp;"-EXPENSE'!R"&amp;ROW()+3)</f>
        <v/>
      </c>
      <c r="AA16" s="21" t="n"/>
      <c r="AB16" s="43">
        <f>Y16-(Z16+AA16)</f>
        <v/>
      </c>
      <c r="AC16" s="43">
        <f>INDIRECT("'Oct"&amp;Members!$F$2&amp;"-COLLECTION'!K"&amp;ROW()-1)</f>
        <v/>
      </c>
      <c r="AD16" s="43">
        <f>INDIRECT("'Oct"&amp;Members!$F$2&amp;"-EXPENSE'!R"&amp;ROW()+3)</f>
        <v/>
      </c>
      <c r="AE16" s="21" t="n"/>
      <c r="AF16" s="43">
        <f>AC16-(AD16+AE16)</f>
        <v/>
      </c>
      <c r="AG16" s="43">
        <f>INDIRECT("'Nov"&amp;Members!$F$2&amp;"-COLLECTION'!K"&amp;ROW()-1)</f>
        <v/>
      </c>
      <c r="AH16" s="43">
        <f>INDIRECT("'Nov"&amp;Members!$F$2&amp;"-EXPENSE'!R"&amp;ROW()+3)</f>
        <v/>
      </c>
      <c r="AI16" s="21" t="n"/>
      <c r="AJ16" s="43">
        <f>AG16-(AH16+AI16)</f>
        <v/>
      </c>
      <c r="AK16" s="43">
        <f>INDIRECT("'Dec"&amp;Members!$F$2&amp;"-COLLECTION'!K"&amp;ROW()-1)</f>
        <v/>
      </c>
      <c r="AL16" s="43">
        <f>INDIRECT("'Dec"&amp;Members!$F$2&amp;"-EXPENSE'!R"&amp;ROW()+3)</f>
        <v/>
      </c>
      <c r="AM16" s="21" t="n"/>
      <c r="AN16" s="43">
        <f>AK16-(AL16+AM16)</f>
        <v/>
      </c>
      <c r="AO16" s="43">
        <f>INDIRECT("'Jan"&amp;Members!$G$2&amp;"-COLLECTION'!K"&amp;ROW()-1)</f>
        <v/>
      </c>
      <c r="AP16" s="43">
        <f>INDIRECT("'Jan"&amp;Members!$G$2&amp;"-EXPENSE'!R"&amp;ROW()+3)</f>
        <v/>
      </c>
      <c r="AQ16" s="2" t="n"/>
      <c r="AR16" s="43">
        <f>AO16-(AP16+AQ16)</f>
        <v/>
      </c>
      <c r="AS16" s="43">
        <f>INDIRECT("'Feb"&amp;Members!$G$2&amp;"-COLLECTION'!K"&amp;ROW()-1)</f>
        <v/>
      </c>
      <c r="AT16" s="43">
        <f>INDIRECT("'Feb"&amp;Members!$G$2&amp;"-EXPENSE'!R"&amp;ROW()+3)</f>
        <v/>
      </c>
      <c r="AU16" s="2" t="n"/>
      <c r="AV16" s="43">
        <f>AS16-(AT16+AU16)</f>
        <v/>
      </c>
      <c r="AW16" s="43">
        <f>INDIRECT("'Mar"&amp;Members!$G$2&amp;"-COLLECTION'!K"&amp;ROW()-1)</f>
        <v/>
      </c>
      <c r="AX16" s="43">
        <f>INDIRECT("'Mar"&amp;Members!$G$2&amp;"-EXPENSE'!R"&amp;ROW()+3)</f>
        <v/>
      </c>
      <c r="AY16" s="2" t="n"/>
      <c r="AZ16" s="43">
        <f>AW16-(AX16+AY16)</f>
        <v/>
      </c>
      <c r="BA16" s="43">
        <f>SUM(E16,I16,M16,Q16,U16,Y16,AC16,AG16,AK16,AO16,AS16,AW16)</f>
        <v/>
      </c>
      <c r="BB16" s="43">
        <f>SUM(F16,J16,N16,R16,V16,Z16,AD16,AH16,AL16,AP16,AT16,AX16)</f>
        <v/>
      </c>
      <c r="BC16" s="43">
        <f>SUM(G16,K16,O16,S16,W16,AA16,AE16,AI16,AM16,AQ16,AU16,AY16)</f>
        <v/>
      </c>
      <c r="BD16" s="43">
        <f>BA16-(BB16+BC16)</f>
        <v/>
      </c>
      <c r="BE16" s="43">
        <f>BD16+D16</f>
        <v/>
      </c>
    </row>
    <row r="17" ht="15.95" customHeight="1">
      <c r="A17" s="37" t="inlineStr">
        <is>
          <t>F15</t>
        </is>
      </c>
      <c r="B17" s="40">
        <f>VLOOKUP(A17,Members!$A$2:$C$65,3,FALSE)</f>
        <v/>
      </c>
      <c r="C17" s="37">
        <f>Members!B16</f>
        <v/>
      </c>
      <c r="D17" s="41" t="n">
        <v>0</v>
      </c>
      <c r="E17" s="41">
        <f>INDIRECT("'Apr"&amp;Members!$F$2&amp;"-COLLECTION'!K"&amp;ROW()-1)</f>
        <v/>
      </c>
      <c r="F17" s="41">
        <f>INDIRECT("'Apr"&amp;Members!$F$2&amp;"-EXPENSE'!R"&amp;ROW()+3)</f>
        <v/>
      </c>
      <c r="G17" s="20" t="n"/>
      <c r="H17" s="41">
        <f>E17-(F17+G17)</f>
        <v/>
      </c>
      <c r="I17" s="41">
        <f>INDIRECT("'May"&amp;Members!$F$2&amp;"-COLLECTION'!K"&amp;ROW()-1)</f>
        <v/>
      </c>
      <c r="J17" s="41">
        <f>INDIRECT("'May"&amp;Members!$F$2&amp;"-EXPENSE'!R"&amp;ROW()+3)</f>
        <v/>
      </c>
      <c r="K17" s="21" t="n"/>
      <c r="L17" s="41">
        <f>I17-(J17+K17)</f>
        <v/>
      </c>
      <c r="M17" s="41">
        <f>INDIRECT("'June"&amp;Members!$F$2&amp;"-COLLECTION'!K"&amp;ROW()-1)</f>
        <v/>
      </c>
      <c r="N17" s="41">
        <f>INDIRECT("'June"&amp;Members!$F$2&amp;"-EXPENSE'!R"&amp;ROW()+3)</f>
        <v/>
      </c>
      <c r="O17" s="20" t="n"/>
      <c r="P17" s="41">
        <f>M17-(N17+O17)</f>
        <v/>
      </c>
      <c r="Q17" s="41">
        <f>INDIRECT("'July"&amp;Members!$F$2&amp;"-COLLECTION'!K"&amp;ROW()-1)</f>
        <v/>
      </c>
      <c r="R17" s="41">
        <f>INDIRECT("'July"&amp;Members!$F$2&amp;"-EXPENSE'!R"&amp;ROW()+3)</f>
        <v/>
      </c>
      <c r="S17" s="21" t="n"/>
      <c r="T17" s="41">
        <f>Q17-(R17+S17)</f>
        <v/>
      </c>
      <c r="U17" s="41">
        <f>INDIRECT("'Aug"&amp;Members!$F$2&amp;"-COLLECTION'!K"&amp;ROW()-1)</f>
        <v/>
      </c>
      <c r="V17" s="41">
        <f>INDIRECT("'Aug"&amp;Members!$F$2&amp;"-EXPENSE'!R"&amp;ROW()+3)</f>
        <v/>
      </c>
      <c r="W17" s="20" t="n"/>
      <c r="X17" s="41">
        <f>U17-(V17+W17)</f>
        <v/>
      </c>
      <c r="Y17" s="41">
        <f>INDIRECT("'Sep"&amp;Members!$F$2&amp;"-COLLECTION'!K"&amp;ROW()-1)</f>
        <v/>
      </c>
      <c r="Z17" s="41">
        <f>INDIRECT("'Sep"&amp;Members!$F$2&amp;"-EXPENSE'!R"&amp;ROW()+3)</f>
        <v/>
      </c>
      <c r="AA17" s="21" t="n"/>
      <c r="AB17" s="41">
        <f>Y17-(Z17+AA17)</f>
        <v/>
      </c>
      <c r="AC17" s="41">
        <f>INDIRECT("'Oct"&amp;Members!$F$2&amp;"-COLLECTION'!K"&amp;ROW()-1)</f>
        <v/>
      </c>
      <c r="AD17" s="41">
        <f>INDIRECT("'Oct"&amp;Members!$F$2&amp;"-EXPENSE'!R"&amp;ROW()+3)</f>
        <v/>
      </c>
      <c r="AE17" s="21" t="n"/>
      <c r="AF17" s="41">
        <f>AC17-(AD17+AE17)</f>
        <v/>
      </c>
      <c r="AG17" s="41">
        <f>INDIRECT("'Nov"&amp;Members!$F$2&amp;"-COLLECTION'!K"&amp;ROW()-1)</f>
        <v/>
      </c>
      <c r="AH17" s="41">
        <f>INDIRECT("'Nov"&amp;Members!$F$2&amp;"-EXPENSE'!R"&amp;ROW()+3)</f>
        <v/>
      </c>
      <c r="AI17" s="21" t="n"/>
      <c r="AJ17" s="41">
        <f>AG17-(AH17+AI17)</f>
        <v/>
      </c>
      <c r="AK17" s="41">
        <f>INDIRECT("'Dec"&amp;Members!$F$2&amp;"-COLLECTION'!K"&amp;ROW()-1)</f>
        <v/>
      </c>
      <c r="AL17" s="41">
        <f>INDIRECT("'Dec"&amp;Members!$F$2&amp;"-EXPENSE'!R"&amp;ROW()+3)</f>
        <v/>
      </c>
      <c r="AM17" s="21" t="n"/>
      <c r="AN17" s="41">
        <f>AK17-(AL17+AM17)</f>
        <v/>
      </c>
      <c r="AO17" s="41">
        <f>INDIRECT("'Jan"&amp;Members!$G$2&amp;"-COLLECTION'!K"&amp;ROW()-1)</f>
        <v/>
      </c>
      <c r="AP17" s="41">
        <f>INDIRECT("'Jan"&amp;Members!$G$2&amp;"-EXPENSE'!R"&amp;ROW()+3)</f>
        <v/>
      </c>
      <c r="AQ17" s="2" t="n"/>
      <c r="AR17" s="41">
        <f>AO17-(AP17+AQ17)</f>
        <v/>
      </c>
      <c r="AS17" s="41">
        <f>INDIRECT("'Feb"&amp;Members!$G$2&amp;"-COLLECTION'!K"&amp;ROW()-1)</f>
        <v/>
      </c>
      <c r="AT17" s="41">
        <f>INDIRECT("'Feb"&amp;Members!$G$2&amp;"-EXPENSE'!R"&amp;ROW()+3)</f>
        <v/>
      </c>
      <c r="AU17" s="2" t="n"/>
      <c r="AV17" s="41">
        <f>AS17-(AT17+AU17)</f>
        <v/>
      </c>
      <c r="AW17" s="41">
        <f>INDIRECT("'Mar"&amp;Members!$G$2&amp;"-COLLECTION'!K"&amp;ROW()-1)</f>
        <v/>
      </c>
      <c r="AX17" s="41">
        <f>INDIRECT("'Mar"&amp;Members!$G$2&amp;"-EXPENSE'!R"&amp;ROW()+3)</f>
        <v/>
      </c>
      <c r="AY17" s="2" t="n"/>
      <c r="AZ17" s="41">
        <f>AW17-(AX17+AY17)</f>
        <v/>
      </c>
      <c r="BA17" s="41">
        <f>SUM(E17,I17,M17,Q17,U17,Y17,AC17,AG17,AK17,AO17,AS17,AW17)</f>
        <v/>
      </c>
      <c r="BB17" s="41">
        <f>SUM(F17,J17,N17,R17,V17,Z17,AD17,AH17,AL17,AP17,AT17,AX17)</f>
        <v/>
      </c>
      <c r="BC17" s="41">
        <f>SUM(G17,K17,O17,S17,W17,AA17,AE17,AI17,AM17,AQ17,AU17,AY17)</f>
        <v/>
      </c>
      <c r="BD17" s="41">
        <f>BA17-(BB17+BC17)</f>
        <v/>
      </c>
      <c r="BE17" s="41">
        <f>BD17+D17</f>
        <v/>
      </c>
    </row>
    <row r="18" ht="15.95" customHeight="1">
      <c r="A18" s="36" t="inlineStr">
        <is>
          <t>F16</t>
        </is>
      </c>
      <c r="B18" s="42">
        <f>VLOOKUP(A18,Members!$A$2:$C$65,3,FALSE)</f>
        <v/>
      </c>
      <c r="C18" s="36">
        <f>Members!B17</f>
        <v/>
      </c>
      <c r="D18" s="43" t="n">
        <v>0</v>
      </c>
      <c r="E18" s="43">
        <f>INDIRECT("'Apr"&amp;Members!$F$2&amp;"-COLLECTION'!K"&amp;ROW()-1)</f>
        <v/>
      </c>
      <c r="F18" s="43">
        <f>INDIRECT("'Apr"&amp;Members!$F$2&amp;"-EXPENSE'!R"&amp;ROW()+3)</f>
        <v/>
      </c>
      <c r="G18" s="20" t="n"/>
      <c r="H18" s="43">
        <f>E18-(F18+G18)</f>
        <v/>
      </c>
      <c r="I18" s="43">
        <f>INDIRECT("'May"&amp;Members!$F$2&amp;"-COLLECTION'!K"&amp;ROW()-1)</f>
        <v/>
      </c>
      <c r="J18" s="43">
        <f>INDIRECT("'May"&amp;Members!$F$2&amp;"-EXPENSE'!R"&amp;ROW()+3)</f>
        <v/>
      </c>
      <c r="K18" s="21" t="n"/>
      <c r="L18" s="43">
        <f>I18-(J18+K18)</f>
        <v/>
      </c>
      <c r="M18" s="43">
        <f>INDIRECT("'June"&amp;Members!$F$2&amp;"-COLLECTION'!K"&amp;ROW()-1)</f>
        <v/>
      </c>
      <c r="N18" s="43">
        <f>INDIRECT("'June"&amp;Members!$F$2&amp;"-EXPENSE'!R"&amp;ROW()+3)</f>
        <v/>
      </c>
      <c r="O18" s="20" t="n"/>
      <c r="P18" s="43">
        <f>M18-(N18+O18)</f>
        <v/>
      </c>
      <c r="Q18" s="43">
        <f>INDIRECT("'July"&amp;Members!$F$2&amp;"-COLLECTION'!K"&amp;ROW()-1)</f>
        <v/>
      </c>
      <c r="R18" s="43">
        <f>INDIRECT("'July"&amp;Members!$F$2&amp;"-EXPENSE'!R"&amp;ROW()+3)</f>
        <v/>
      </c>
      <c r="S18" s="21" t="n"/>
      <c r="T18" s="43">
        <f>Q18-(R18+S18)</f>
        <v/>
      </c>
      <c r="U18" s="43">
        <f>INDIRECT("'Aug"&amp;Members!$F$2&amp;"-COLLECTION'!K"&amp;ROW()-1)</f>
        <v/>
      </c>
      <c r="V18" s="43">
        <f>INDIRECT("'Aug"&amp;Members!$F$2&amp;"-EXPENSE'!R"&amp;ROW()+3)</f>
        <v/>
      </c>
      <c r="W18" s="20" t="n"/>
      <c r="X18" s="43">
        <f>U18-(V18+W18)</f>
        <v/>
      </c>
      <c r="Y18" s="43">
        <f>INDIRECT("'Sep"&amp;Members!$F$2&amp;"-COLLECTION'!K"&amp;ROW()-1)</f>
        <v/>
      </c>
      <c r="Z18" s="43">
        <f>INDIRECT("'Sep"&amp;Members!$F$2&amp;"-EXPENSE'!R"&amp;ROW()+3)</f>
        <v/>
      </c>
      <c r="AA18" s="21" t="n"/>
      <c r="AB18" s="43">
        <f>Y18-(Z18+AA18)</f>
        <v/>
      </c>
      <c r="AC18" s="43">
        <f>INDIRECT("'Oct"&amp;Members!$F$2&amp;"-COLLECTION'!K"&amp;ROW()-1)</f>
        <v/>
      </c>
      <c r="AD18" s="43">
        <f>INDIRECT("'Oct"&amp;Members!$F$2&amp;"-EXPENSE'!R"&amp;ROW()+3)</f>
        <v/>
      </c>
      <c r="AE18" s="21" t="n"/>
      <c r="AF18" s="43">
        <f>AC18-(AD18+AE18)</f>
        <v/>
      </c>
      <c r="AG18" s="43">
        <f>INDIRECT("'Nov"&amp;Members!$F$2&amp;"-COLLECTION'!K"&amp;ROW()-1)</f>
        <v/>
      </c>
      <c r="AH18" s="43">
        <f>INDIRECT("'Nov"&amp;Members!$F$2&amp;"-EXPENSE'!R"&amp;ROW()+3)</f>
        <v/>
      </c>
      <c r="AI18" s="21" t="n"/>
      <c r="AJ18" s="43">
        <f>AG18-(AH18+AI18)</f>
        <v/>
      </c>
      <c r="AK18" s="43">
        <f>INDIRECT("'Dec"&amp;Members!$F$2&amp;"-COLLECTION'!K"&amp;ROW()-1)</f>
        <v/>
      </c>
      <c r="AL18" s="43">
        <f>INDIRECT("'Dec"&amp;Members!$F$2&amp;"-EXPENSE'!R"&amp;ROW()+3)</f>
        <v/>
      </c>
      <c r="AM18" s="21" t="n"/>
      <c r="AN18" s="43">
        <f>AK18-(AL18+AM18)</f>
        <v/>
      </c>
      <c r="AO18" s="43">
        <f>INDIRECT("'Jan"&amp;Members!$G$2&amp;"-COLLECTION'!K"&amp;ROW()-1)</f>
        <v/>
      </c>
      <c r="AP18" s="43">
        <f>INDIRECT("'Jan"&amp;Members!$G$2&amp;"-EXPENSE'!R"&amp;ROW()+3)</f>
        <v/>
      </c>
      <c r="AQ18" s="2" t="n"/>
      <c r="AR18" s="43">
        <f>AO18-(AP18+AQ18)</f>
        <v/>
      </c>
      <c r="AS18" s="43">
        <f>INDIRECT("'Feb"&amp;Members!$G$2&amp;"-COLLECTION'!K"&amp;ROW()-1)</f>
        <v/>
      </c>
      <c r="AT18" s="43">
        <f>INDIRECT("'Feb"&amp;Members!$G$2&amp;"-EXPENSE'!R"&amp;ROW()+3)</f>
        <v/>
      </c>
      <c r="AU18" s="2" t="n"/>
      <c r="AV18" s="43">
        <f>AS18-(AT18+AU18)</f>
        <v/>
      </c>
      <c r="AW18" s="43">
        <f>INDIRECT("'Mar"&amp;Members!$G$2&amp;"-COLLECTION'!K"&amp;ROW()-1)</f>
        <v/>
      </c>
      <c r="AX18" s="43">
        <f>INDIRECT("'Mar"&amp;Members!$G$2&amp;"-EXPENSE'!R"&amp;ROW()+3)</f>
        <v/>
      </c>
      <c r="AY18" s="2" t="n"/>
      <c r="AZ18" s="43">
        <f>AW18-(AX18+AY18)</f>
        <v/>
      </c>
      <c r="BA18" s="43">
        <f>SUM(E18,I18,M18,Q18,U18,Y18,AC18,AG18,AK18,AO18,AS18,AW18)</f>
        <v/>
      </c>
      <c r="BB18" s="43">
        <f>SUM(F18,J18,N18,R18,V18,Z18,AD18,AH18,AL18,AP18,AT18,AX18)</f>
        <v/>
      </c>
      <c r="BC18" s="43">
        <f>SUM(G18,K18,O18,S18,W18,AA18,AE18,AI18,AM18,AQ18,AU18,AY18)</f>
        <v/>
      </c>
      <c r="BD18" s="43">
        <f>BA18-(BB18+BC18)</f>
        <v/>
      </c>
      <c r="BE18" s="43">
        <f>BD18+D18</f>
        <v/>
      </c>
    </row>
    <row r="19" ht="15.95" customHeight="1">
      <c r="A19" s="37" t="inlineStr">
        <is>
          <t>G1</t>
        </is>
      </c>
      <c r="B19" s="40">
        <f>VLOOKUP(A19,Members!$A$2:$C$65,3,FALSE)</f>
        <v/>
      </c>
      <c r="C19" s="37">
        <f>Members!B18</f>
        <v/>
      </c>
      <c r="D19" s="41" t="n">
        <v>0</v>
      </c>
      <c r="E19" s="41">
        <f>INDIRECT("'Apr"&amp;Members!$F$2&amp;"-COLLECTION'!K"&amp;ROW()-1)</f>
        <v/>
      </c>
      <c r="F19" s="41">
        <f>INDIRECT("'Apr"&amp;Members!$F$2&amp;"-EXPENSE'!R"&amp;ROW()+3)</f>
        <v/>
      </c>
      <c r="G19" s="20" t="n"/>
      <c r="H19" s="41">
        <f>E19-(F19+G19)</f>
        <v/>
      </c>
      <c r="I19" s="41">
        <f>INDIRECT("'May"&amp;Members!$F$2&amp;"-COLLECTION'!K"&amp;ROW()-1)</f>
        <v/>
      </c>
      <c r="J19" s="41">
        <f>INDIRECT("'May"&amp;Members!$F$2&amp;"-EXPENSE'!R"&amp;ROW()+3)</f>
        <v/>
      </c>
      <c r="K19" s="21" t="n"/>
      <c r="L19" s="41">
        <f>I19-(J19+K19)</f>
        <v/>
      </c>
      <c r="M19" s="41">
        <f>INDIRECT("'June"&amp;Members!$F$2&amp;"-COLLECTION'!K"&amp;ROW()-1)</f>
        <v/>
      </c>
      <c r="N19" s="41">
        <f>INDIRECT("'June"&amp;Members!$F$2&amp;"-EXPENSE'!R"&amp;ROW()+3)</f>
        <v/>
      </c>
      <c r="O19" s="20" t="n"/>
      <c r="P19" s="41">
        <f>M19-(N19+O19)</f>
        <v/>
      </c>
      <c r="Q19" s="41">
        <f>INDIRECT("'July"&amp;Members!$F$2&amp;"-COLLECTION'!K"&amp;ROW()-1)</f>
        <v/>
      </c>
      <c r="R19" s="41">
        <f>INDIRECT("'July"&amp;Members!$F$2&amp;"-EXPENSE'!R"&amp;ROW()+3)</f>
        <v/>
      </c>
      <c r="S19" s="21" t="n"/>
      <c r="T19" s="41">
        <f>Q19-(R19+S19)</f>
        <v/>
      </c>
      <c r="U19" s="41">
        <f>INDIRECT("'Aug"&amp;Members!$F$2&amp;"-COLLECTION'!K"&amp;ROW()-1)</f>
        <v/>
      </c>
      <c r="V19" s="41">
        <f>INDIRECT("'Aug"&amp;Members!$F$2&amp;"-EXPENSE'!R"&amp;ROW()+3)</f>
        <v/>
      </c>
      <c r="W19" s="20" t="n"/>
      <c r="X19" s="41">
        <f>U19-(V19+W19)</f>
        <v/>
      </c>
      <c r="Y19" s="41">
        <f>INDIRECT("'Sep"&amp;Members!$F$2&amp;"-COLLECTION'!K"&amp;ROW()-1)</f>
        <v/>
      </c>
      <c r="Z19" s="41">
        <f>INDIRECT("'Sep"&amp;Members!$F$2&amp;"-EXPENSE'!R"&amp;ROW()+3)</f>
        <v/>
      </c>
      <c r="AA19" s="21" t="n"/>
      <c r="AB19" s="41">
        <f>Y19-(Z19+AA19)</f>
        <v/>
      </c>
      <c r="AC19" s="41">
        <f>INDIRECT("'Oct"&amp;Members!$F$2&amp;"-COLLECTION'!K"&amp;ROW()-1)</f>
        <v/>
      </c>
      <c r="AD19" s="41">
        <f>INDIRECT("'Oct"&amp;Members!$F$2&amp;"-EXPENSE'!R"&amp;ROW()+3)</f>
        <v/>
      </c>
      <c r="AE19" s="21" t="n"/>
      <c r="AF19" s="41">
        <f>AC19-(AD19+AE19)</f>
        <v/>
      </c>
      <c r="AG19" s="41">
        <f>INDIRECT("'Nov"&amp;Members!$F$2&amp;"-COLLECTION'!K"&amp;ROW()-1)</f>
        <v/>
      </c>
      <c r="AH19" s="41">
        <f>INDIRECT("'Nov"&amp;Members!$F$2&amp;"-EXPENSE'!R"&amp;ROW()+3)</f>
        <v/>
      </c>
      <c r="AI19" s="21" t="n"/>
      <c r="AJ19" s="41">
        <f>AG19-(AH19+AI19)</f>
        <v/>
      </c>
      <c r="AK19" s="41">
        <f>INDIRECT("'Dec"&amp;Members!$F$2&amp;"-COLLECTION'!K"&amp;ROW()-1)</f>
        <v/>
      </c>
      <c r="AL19" s="41">
        <f>INDIRECT("'Dec"&amp;Members!$F$2&amp;"-EXPENSE'!R"&amp;ROW()+3)</f>
        <v/>
      </c>
      <c r="AM19" s="21" t="n"/>
      <c r="AN19" s="41">
        <f>AK19-(AL19+AM19)</f>
        <v/>
      </c>
      <c r="AO19" s="41">
        <f>INDIRECT("'Jan"&amp;Members!$G$2&amp;"-COLLECTION'!K"&amp;ROW()-1)</f>
        <v/>
      </c>
      <c r="AP19" s="41">
        <f>INDIRECT("'Jan"&amp;Members!$G$2&amp;"-EXPENSE'!R"&amp;ROW()+3)</f>
        <v/>
      </c>
      <c r="AQ19" s="2" t="n"/>
      <c r="AR19" s="41">
        <f>AO19-(AP19+AQ19)</f>
        <v/>
      </c>
      <c r="AS19" s="41">
        <f>INDIRECT("'Feb"&amp;Members!$G$2&amp;"-COLLECTION'!K"&amp;ROW()-1)</f>
        <v/>
      </c>
      <c r="AT19" s="41">
        <f>INDIRECT("'Feb"&amp;Members!$G$2&amp;"-EXPENSE'!R"&amp;ROW()+3)</f>
        <v/>
      </c>
      <c r="AU19" s="2" t="n"/>
      <c r="AV19" s="41">
        <f>AS19-(AT19+AU19)</f>
        <v/>
      </c>
      <c r="AW19" s="41">
        <f>INDIRECT("'Mar"&amp;Members!$G$2&amp;"-COLLECTION'!K"&amp;ROW()-1)</f>
        <v/>
      </c>
      <c r="AX19" s="41">
        <f>INDIRECT("'Mar"&amp;Members!$G$2&amp;"-EXPENSE'!R"&amp;ROW()+3)</f>
        <v/>
      </c>
      <c r="AY19" s="2" t="n"/>
      <c r="AZ19" s="41">
        <f>AW19-(AX19+AY19)</f>
        <v/>
      </c>
      <c r="BA19" s="41">
        <f>SUM(E19,I19,M19,Q19,U19,Y19,AC19,AG19,AK19,AO19,AS19,AW19)</f>
        <v/>
      </c>
      <c r="BB19" s="41">
        <f>SUM(F19,J19,N19,R19,V19,Z19,AD19,AH19,AL19,AP19,AT19,AX19)</f>
        <v/>
      </c>
      <c r="BC19" s="41">
        <f>SUM(G19,K19,O19,S19,W19,AA19,AE19,AI19,AM19,AQ19,AU19,AY19)</f>
        <v/>
      </c>
      <c r="BD19" s="41">
        <f>BA19-(BB19+BC19)</f>
        <v/>
      </c>
      <c r="BE19" s="41">
        <f>BD19+D19</f>
        <v/>
      </c>
    </row>
    <row r="20" ht="15.95" customHeight="1">
      <c r="A20" s="36" t="inlineStr">
        <is>
          <t>G2</t>
        </is>
      </c>
      <c r="B20" s="42">
        <f>VLOOKUP(A20,Members!$A$2:$C$65,3,FALSE)</f>
        <v/>
      </c>
      <c r="C20" s="36">
        <f>Members!B19</f>
        <v/>
      </c>
      <c r="D20" s="43" t="n">
        <v>0</v>
      </c>
      <c r="E20" s="43">
        <f>INDIRECT("'Apr"&amp;Members!$F$2&amp;"-COLLECTION'!K"&amp;ROW()-1)</f>
        <v/>
      </c>
      <c r="F20" s="43">
        <f>INDIRECT("'Apr"&amp;Members!$F$2&amp;"-EXPENSE'!R"&amp;ROW()+3)</f>
        <v/>
      </c>
      <c r="G20" s="20" t="n"/>
      <c r="H20" s="43">
        <f>E20-(F20+G20)</f>
        <v/>
      </c>
      <c r="I20" s="43">
        <f>INDIRECT("'May"&amp;Members!$F$2&amp;"-COLLECTION'!K"&amp;ROW()-1)</f>
        <v/>
      </c>
      <c r="J20" s="43">
        <f>INDIRECT("'May"&amp;Members!$F$2&amp;"-EXPENSE'!R"&amp;ROW()+3)</f>
        <v/>
      </c>
      <c r="K20" s="21" t="n"/>
      <c r="L20" s="43">
        <f>I20-(J20+K20)</f>
        <v/>
      </c>
      <c r="M20" s="43">
        <f>INDIRECT("'June"&amp;Members!$F$2&amp;"-COLLECTION'!K"&amp;ROW()-1)</f>
        <v/>
      </c>
      <c r="N20" s="43">
        <f>INDIRECT("'June"&amp;Members!$F$2&amp;"-EXPENSE'!R"&amp;ROW()+3)</f>
        <v/>
      </c>
      <c r="O20" s="20" t="n"/>
      <c r="P20" s="43">
        <f>M20-(N20+O20)</f>
        <v/>
      </c>
      <c r="Q20" s="43">
        <f>INDIRECT("'July"&amp;Members!$F$2&amp;"-COLLECTION'!K"&amp;ROW()-1)</f>
        <v/>
      </c>
      <c r="R20" s="43">
        <f>INDIRECT("'July"&amp;Members!$F$2&amp;"-EXPENSE'!R"&amp;ROW()+3)</f>
        <v/>
      </c>
      <c r="S20" s="21" t="n"/>
      <c r="T20" s="43">
        <f>Q20-(R20+S20)</f>
        <v/>
      </c>
      <c r="U20" s="43">
        <f>INDIRECT("'Aug"&amp;Members!$F$2&amp;"-COLLECTION'!K"&amp;ROW()-1)</f>
        <v/>
      </c>
      <c r="V20" s="43">
        <f>INDIRECT("'Aug"&amp;Members!$F$2&amp;"-EXPENSE'!R"&amp;ROW()+3)</f>
        <v/>
      </c>
      <c r="W20" s="20" t="n"/>
      <c r="X20" s="43">
        <f>U20-(V20+W20)</f>
        <v/>
      </c>
      <c r="Y20" s="43">
        <f>INDIRECT("'Sep"&amp;Members!$F$2&amp;"-COLLECTION'!K"&amp;ROW()-1)</f>
        <v/>
      </c>
      <c r="Z20" s="43">
        <f>INDIRECT("'Sep"&amp;Members!$F$2&amp;"-EXPENSE'!R"&amp;ROW()+3)</f>
        <v/>
      </c>
      <c r="AA20" s="21" t="n"/>
      <c r="AB20" s="43">
        <f>Y20-(Z20+AA20)</f>
        <v/>
      </c>
      <c r="AC20" s="43">
        <f>INDIRECT("'Oct"&amp;Members!$F$2&amp;"-COLLECTION'!K"&amp;ROW()-1)</f>
        <v/>
      </c>
      <c r="AD20" s="43">
        <f>INDIRECT("'Oct"&amp;Members!$F$2&amp;"-EXPENSE'!R"&amp;ROW()+3)</f>
        <v/>
      </c>
      <c r="AE20" s="21" t="n"/>
      <c r="AF20" s="43">
        <f>AC20-(AD20+AE20)</f>
        <v/>
      </c>
      <c r="AG20" s="43">
        <f>INDIRECT("'Nov"&amp;Members!$F$2&amp;"-COLLECTION'!K"&amp;ROW()-1)</f>
        <v/>
      </c>
      <c r="AH20" s="43">
        <f>INDIRECT("'Nov"&amp;Members!$F$2&amp;"-EXPENSE'!R"&amp;ROW()+3)</f>
        <v/>
      </c>
      <c r="AI20" s="21" t="n"/>
      <c r="AJ20" s="43">
        <f>AG20-(AH20+AI20)</f>
        <v/>
      </c>
      <c r="AK20" s="43">
        <f>INDIRECT("'Dec"&amp;Members!$F$2&amp;"-COLLECTION'!K"&amp;ROW()-1)</f>
        <v/>
      </c>
      <c r="AL20" s="43">
        <f>INDIRECT("'Dec"&amp;Members!$F$2&amp;"-EXPENSE'!R"&amp;ROW()+3)</f>
        <v/>
      </c>
      <c r="AM20" s="21" t="n"/>
      <c r="AN20" s="43">
        <f>AK20-(AL20+AM20)</f>
        <v/>
      </c>
      <c r="AO20" s="43">
        <f>INDIRECT("'Jan"&amp;Members!$G$2&amp;"-COLLECTION'!K"&amp;ROW()-1)</f>
        <v/>
      </c>
      <c r="AP20" s="43">
        <f>INDIRECT("'Jan"&amp;Members!$G$2&amp;"-EXPENSE'!R"&amp;ROW()+3)</f>
        <v/>
      </c>
      <c r="AQ20" s="2" t="n"/>
      <c r="AR20" s="43">
        <f>AO20-(AP20+AQ20)</f>
        <v/>
      </c>
      <c r="AS20" s="43">
        <f>INDIRECT("'Feb"&amp;Members!$G$2&amp;"-COLLECTION'!K"&amp;ROW()-1)</f>
        <v/>
      </c>
      <c r="AT20" s="43">
        <f>INDIRECT("'Feb"&amp;Members!$G$2&amp;"-EXPENSE'!R"&amp;ROW()+3)</f>
        <v/>
      </c>
      <c r="AU20" s="2" t="n"/>
      <c r="AV20" s="43">
        <f>AS20-(AT20+AU20)</f>
        <v/>
      </c>
      <c r="AW20" s="43">
        <f>INDIRECT("'Mar"&amp;Members!$G$2&amp;"-COLLECTION'!K"&amp;ROW()-1)</f>
        <v/>
      </c>
      <c r="AX20" s="43">
        <f>INDIRECT("'Mar"&amp;Members!$G$2&amp;"-EXPENSE'!R"&amp;ROW()+3)</f>
        <v/>
      </c>
      <c r="AY20" s="2" t="n"/>
      <c r="AZ20" s="43">
        <f>AW20-(AX20+AY20)</f>
        <v/>
      </c>
      <c r="BA20" s="43">
        <f>SUM(E20,I20,M20,Q20,U20,Y20,AC20,AG20,AK20,AO20,AS20,AW20)</f>
        <v/>
      </c>
      <c r="BB20" s="43">
        <f>SUM(F20,J20,N20,R20,V20,Z20,AD20,AH20,AL20,AP20,AT20,AX20)</f>
        <v/>
      </c>
      <c r="BC20" s="43">
        <f>SUM(G20,K20,O20,S20,W20,AA20,AE20,AI20,AM20,AQ20,AU20,AY20)</f>
        <v/>
      </c>
      <c r="BD20" s="43">
        <f>BA20-(BB20+BC20)</f>
        <v/>
      </c>
      <c r="BE20" s="43">
        <f>BD20+D20</f>
        <v/>
      </c>
    </row>
    <row r="21" ht="15.75" customHeight="1">
      <c r="A21" s="37" t="inlineStr">
        <is>
          <t>G3</t>
        </is>
      </c>
      <c r="B21" s="40">
        <f>VLOOKUP(A21,Members!$A$2:$C$65,3,FALSE)</f>
        <v/>
      </c>
      <c r="C21" s="37">
        <f>Members!B20</f>
        <v/>
      </c>
      <c r="D21" s="41" t="n">
        <v>0</v>
      </c>
      <c r="E21" s="41">
        <f>INDIRECT("'Apr"&amp;Members!$F$2&amp;"-COLLECTION'!K"&amp;ROW()-1)</f>
        <v/>
      </c>
      <c r="F21" s="41">
        <f>INDIRECT("'Apr"&amp;Members!$F$2&amp;"-EXPENSE'!R"&amp;ROW()+3)</f>
        <v/>
      </c>
      <c r="G21" s="20" t="n"/>
      <c r="H21" s="41">
        <f>E21-(F21+G21)</f>
        <v/>
      </c>
      <c r="I21" s="41">
        <f>INDIRECT("'May"&amp;Members!$F$2&amp;"-COLLECTION'!K"&amp;ROW()-1)</f>
        <v/>
      </c>
      <c r="J21" s="41">
        <f>INDIRECT("'May"&amp;Members!$F$2&amp;"-EXPENSE'!R"&amp;ROW()+3)</f>
        <v/>
      </c>
      <c r="K21" s="21" t="n"/>
      <c r="L21" s="41">
        <f>I21-(J21+K21)</f>
        <v/>
      </c>
      <c r="M21" s="41">
        <f>INDIRECT("'June"&amp;Members!$F$2&amp;"-COLLECTION'!K"&amp;ROW()-1)</f>
        <v/>
      </c>
      <c r="N21" s="41">
        <f>INDIRECT("'June"&amp;Members!$F$2&amp;"-EXPENSE'!R"&amp;ROW()+3)</f>
        <v/>
      </c>
      <c r="O21" s="20" t="n"/>
      <c r="P21" s="41">
        <f>M21-(N21+O21)</f>
        <v/>
      </c>
      <c r="Q21" s="41">
        <f>INDIRECT("'July"&amp;Members!$F$2&amp;"-COLLECTION'!K"&amp;ROW()-1)</f>
        <v/>
      </c>
      <c r="R21" s="41">
        <f>INDIRECT("'July"&amp;Members!$F$2&amp;"-EXPENSE'!R"&amp;ROW()+3)</f>
        <v/>
      </c>
      <c r="S21" s="21" t="n"/>
      <c r="T21" s="41">
        <f>Q21-(R21+S21)</f>
        <v/>
      </c>
      <c r="U21" s="41">
        <f>INDIRECT("'Aug"&amp;Members!$F$2&amp;"-COLLECTION'!K"&amp;ROW()-1)</f>
        <v/>
      </c>
      <c r="V21" s="41">
        <f>INDIRECT("'Aug"&amp;Members!$F$2&amp;"-EXPENSE'!R"&amp;ROW()+3)</f>
        <v/>
      </c>
      <c r="W21" s="20" t="n"/>
      <c r="X21" s="41">
        <f>U21-(V21+W21)</f>
        <v/>
      </c>
      <c r="Y21" s="41">
        <f>INDIRECT("'Sep"&amp;Members!$F$2&amp;"-COLLECTION'!K"&amp;ROW()-1)</f>
        <v/>
      </c>
      <c r="Z21" s="41">
        <f>INDIRECT("'Sep"&amp;Members!$F$2&amp;"-EXPENSE'!R"&amp;ROW()+3)</f>
        <v/>
      </c>
      <c r="AA21" s="21" t="n"/>
      <c r="AB21" s="41">
        <f>Y21-(Z21+AA21)</f>
        <v/>
      </c>
      <c r="AC21" s="41">
        <f>INDIRECT("'Oct"&amp;Members!$F$2&amp;"-COLLECTION'!K"&amp;ROW()-1)</f>
        <v/>
      </c>
      <c r="AD21" s="41">
        <f>INDIRECT("'Oct"&amp;Members!$F$2&amp;"-EXPENSE'!R"&amp;ROW()+3)</f>
        <v/>
      </c>
      <c r="AE21" s="21" t="n"/>
      <c r="AF21" s="41">
        <f>AC21-(AD21+AE21)</f>
        <v/>
      </c>
      <c r="AG21" s="41">
        <f>INDIRECT("'Nov"&amp;Members!$F$2&amp;"-COLLECTION'!K"&amp;ROW()-1)</f>
        <v/>
      </c>
      <c r="AH21" s="41">
        <f>INDIRECT("'Nov"&amp;Members!$F$2&amp;"-EXPENSE'!R"&amp;ROW()+3)</f>
        <v/>
      </c>
      <c r="AI21" s="21" t="n"/>
      <c r="AJ21" s="41">
        <f>AG21-(AH21+AI21)</f>
        <v/>
      </c>
      <c r="AK21" s="41">
        <f>INDIRECT("'Dec"&amp;Members!$F$2&amp;"-COLLECTION'!K"&amp;ROW()-1)</f>
        <v/>
      </c>
      <c r="AL21" s="41">
        <f>INDIRECT("'Dec"&amp;Members!$F$2&amp;"-EXPENSE'!R"&amp;ROW()+3)</f>
        <v/>
      </c>
      <c r="AM21" s="21" t="n"/>
      <c r="AN21" s="41">
        <f>AK21-(AL21+AM21)</f>
        <v/>
      </c>
      <c r="AO21" s="41">
        <f>INDIRECT("'Jan"&amp;Members!$G$2&amp;"-COLLECTION'!K"&amp;ROW()-1)</f>
        <v/>
      </c>
      <c r="AP21" s="41">
        <f>INDIRECT("'Jan"&amp;Members!$G$2&amp;"-EXPENSE'!R"&amp;ROW()+3)</f>
        <v/>
      </c>
      <c r="AQ21" s="2" t="n"/>
      <c r="AR21" s="41">
        <f>AO21-(AP21+AQ21)</f>
        <v/>
      </c>
      <c r="AS21" s="41">
        <f>INDIRECT("'Feb"&amp;Members!$G$2&amp;"-COLLECTION'!K"&amp;ROW()-1)</f>
        <v/>
      </c>
      <c r="AT21" s="41">
        <f>INDIRECT("'Feb"&amp;Members!$G$2&amp;"-EXPENSE'!R"&amp;ROW()+3)</f>
        <v/>
      </c>
      <c r="AU21" s="2" t="n"/>
      <c r="AV21" s="41">
        <f>AS21-(AT21+AU21)</f>
        <v/>
      </c>
      <c r="AW21" s="41">
        <f>INDIRECT("'Mar"&amp;Members!$G$2&amp;"-COLLECTION'!K"&amp;ROW()-1)</f>
        <v/>
      </c>
      <c r="AX21" s="41">
        <f>INDIRECT("'Mar"&amp;Members!$G$2&amp;"-EXPENSE'!R"&amp;ROW()+3)</f>
        <v/>
      </c>
      <c r="AY21" s="2" t="n"/>
      <c r="AZ21" s="41">
        <f>AW21-(AX21+AY21)</f>
        <v/>
      </c>
      <c r="BA21" s="41">
        <f>SUM(E21,I21,M21,Q21,U21,Y21,AC21,AG21,AK21,AO21,AS21,AW21)</f>
        <v/>
      </c>
      <c r="BB21" s="41">
        <f>SUM(F21,J21,N21,R21,V21,Z21,AD21,AH21,AL21,AP21,AT21,AX21)</f>
        <v/>
      </c>
      <c r="BC21" s="41">
        <f>SUM(G21,K21,O21,S21,W21,AA21,AE21,AI21,AM21,AQ21,AU21,AY21)</f>
        <v/>
      </c>
      <c r="BD21" s="41">
        <f>BA21-(BB21+BC21)</f>
        <v/>
      </c>
      <c r="BE21" s="41">
        <f>BD21+D21</f>
        <v/>
      </c>
    </row>
    <row r="22" ht="15.75" customHeight="1">
      <c r="A22" s="36" t="inlineStr">
        <is>
          <t>G4</t>
        </is>
      </c>
      <c r="B22" s="42">
        <f>VLOOKUP(A22,Members!$A$2:$C$65,3,FALSE)</f>
        <v/>
      </c>
      <c r="C22" s="36">
        <f>Members!B21</f>
        <v/>
      </c>
      <c r="D22" s="43" t="n">
        <v>0</v>
      </c>
      <c r="E22" s="43">
        <f>INDIRECT("'Apr"&amp;Members!$F$2&amp;"-COLLECTION'!K"&amp;ROW()-1)</f>
        <v/>
      </c>
      <c r="F22" s="43">
        <f>INDIRECT("'Apr"&amp;Members!$F$2&amp;"-EXPENSE'!R"&amp;ROW()+3)</f>
        <v/>
      </c>
      <c r="G22" s="20" t="n"/>
      <c r="H22" s="43">
        <f>E22-(F22+G22)</f>
        <v/>
      </c>
      <c r="I22" s="43">
        <f>INDIRECT("'May"&amp;Members!$F$2&amp;"-COLLECTION'!K"&amp;ROW()-1)</f>
        <v/>
      </c>
      <c r="J22" s="43">
        <f>INDIRECT("'May"&amp;Members!$F$2&amp;"-EXPENSE'!R"&amp;ROW()+3)</f>
        <v/>
      </c>
      <c r="K22" s="21" t="n"/>
      <c r="L22" s="43">
        <f>I22-(J22+K22)</f>
        <v/>
      </c>
      <c r="M22" s="43">
        <f>INDIRECT("'June"&amp;Members!$F$2&amp;"-COLLECTION'!K"&amp;ROW()-1)</f>
        <v/>
      </c>
      <c r="N22" s="43">
        <f>INDIRECT("'June"&amp;Members!$F$2&amp;"-EXPENSE'!R"&amp;ROW()+3)</f>
        <v/>
      </c>
      <c r="O22" s="20" t="n"/>
      <c r="P22" s="43">
        <f>M22-(N22+O22)</f>
        <v/>
      </c>
      <c r="Q22" s="43">
        <f>INDIRECT("'July"&amp;Members!$F$2&amp;"-COLLECTION'!K"&amp;ROW()-1)</f>
        <v/>
      </c>
      <c r="R22" s="43">
        <f>INDIRECT("'July"&amp;Members!$F$2&amp;"-EXPENSE'!R"&amp;ROW()+3)</f>
        <v/>
      </c>
      <c r="S22" s="21" t="n"/>
      <c r="T22" s="43">
        <f>Q22-(R22+S22)</f>
        <v/>
      </c>
      <c r="U22" s="43">
        <f>INDIRECT("'Aug"&amp;Members!$F$2&amp;"-COLLECTION'!K"&amp;ROW()-1)</f>
        <v/>
      </c>
      <c r="V22" s="43">
        <f>INDIRECT("'Aug"&amp;Members!$F$2&amp;"-EXPENSE'!R"&amp;ROW()+3)</f>
        <v/>
      </c>
      <c r="W22" s="20" t="n"/>
      <c r="X22" s="43">
        <f>U22-(V22+W22)</f>
        <v/>
      </c>
      <c r="Y22" s="43">
        <f>INDIRECT("'Sep"&amp;Members!$F$2&amp;"-COLLECTION'!K"&amp;ROW()-1)</f>
        <v/>
      </c>
      <c r="Z22" s="43">
        <f>INDIRECT("'Sep"&amp;Members!$F$2&amp;"-EXPENSE'!R"&amp;ROW()+3)</f>
        <v/>
      </c>
      <c r="AA22" s="21" t="n"/>
      <c r="AB22" s="43">
        <f>Y22-(Z22+AA22)</f>
        <v/>
      </c>
      <c r="AC22" s="43">
        <f>INDIRECT("'Oct"&amp;Members!$F$2&amp;"-COLLECTION'!K"&amp;ROW()-1)</f>
        <v/>
      </c>
      <c r="AD22" s="43">
        <f>INDIRECT("'Oct"&amp;Members!$F$2&amp;"-EXPENSE'!R"&amp;ROW()+3)</f>
        <v/>
      </c>
      <c r="AE22" s="21" t="n"/>
      <c r="AF22" s="43">
        <f>AC22-(AD22+AE22)</f>
        <v/>
      </c>
      <c r="AG22" s="43">
        <f>INDIRECT("'Nov"&amp;Members!$F$2&amp;"-COLLECTION'!K"&amp;ROW()-1)</f>
        <v/>
      </c>
      <c r="AH22" s="43">
        <f>INDIRECT("'Nov"&amp;Members!$F$2&amp;"-EXPENSE'!R"&amp;ROW()+3)</f>
        <v/>
      </c>
      <c r="AI22" s="21" t="n"/>
      <c r="AJ22" s="43">
        <f>AG22-(AH22+AI22)</f>
        <v/>
      </c>
      <c r="AK22" s="43">
        <f>INDIRECT("'Dec"&amp;Members!$F$2&amp;"-COLLECTION'!K"&amp;ROW()-1)</f>
        <v/>
      </c>
      <c r="AL22" s="43">
        <f>INDIRECT("'Dec"&amp;Members!$F$2&amp;"-EXPENSE'!R"&amp;ROW()+3)</f>
        <v/>
      </c>
      <c r="AM22" s="21" t="n"/>
      <c r="AN22" s="43">
        <f>AK22-(AL22+AM22)</f>
        <v/>
      </c>
      <c r="AO22" s="43">
        <f>INDIRECT("'Jan"&amp;Members!$G$2&amp;"-COLLECTION'!K"&amp;ROW()-1)</f>
        <v/>
      </c>
      <c r="AP22" s="43">
        <f>INDIRECT("'Jan"&amp;Members!$G$2&amp;"-EXPENSE'!R"&amp;ROW()+3)</f>
        <v/>
      </c>
      <c r="AQ22" s="2" t="n"/>
      <c r="AR22" s="43">
        <f>AO22-(AP22+AQ22)</f>
        <v/>
      </c>
      <c r="AS22" s="43">
        <f>INDIRECT("'Feb"&amp;Members!$G$2&amp;"-COLLECTION'!K"&amp;ROW()-1)</f>
        <v/>
      </c>
      <c r="AT22" s="43">
        <f>INDIRECT("'Feb"&amp;Members!$G$2&amp;"-EXPENSE'!R"&amp;ROW()+3)</f>
        <v/>
      </c>
      <c r="AU22" s="2" t="n"/>
      <c r="AV22" s="43">
        <f>AS22-(AT22+AU22)</f>
        <v/>
      </c>
      <c r="AW22" s="43">
        <f>INDIRECT("'Mar"&amp;Members!$G$2&amp;"-COLLECTION'!K"&amp;ROW()-1)</f>
        <v/>
      </c>
      <c r="AX22" s="43">
        <f>INDIRECT("'Mar"&amp;Members!$G$2&amp;"-EXPENSE'!R"&amp;ROW()+3)</f>
        <v/>
      </c>
      <c r="AY22" s="2" t="n"/>
      <c r="AZ22" s="43">
        <f>AW22-(AX22+AY22)</f>
        <v/>
      </c>
      <c r="BA22" s="43">
        <f>SUM(E22,I22,M22,Q22,U22,Y22,AC22,AG22,AK22,AO22,AS22,AW22)</f>
        <v/>
      </c>
      <c r="BB22" s="43">
        <f>SUM(F22,J22,N22,R22,V22,Z22,AD22,AH22,AL22,AP22,AT22,AX22)</f>
        <v/>
      </c>
      <c r="BC22" s="43">
        <f>SUM(G22,K22,O22,S22,W22,AA22,AE22,AI22,AM22,AQ22,AU22,AY22)</f>
        <v/>
      </c>
      <c r="BD22" s="43">
        <f>BA22-(BB22+BC22)</f>
        <v/>
      </c>
      <c r="BE22" s="43">
        <f>BD22+D22</f>
        <v/>
      </c>
    </row>
    <row r="23" ht="15.75" customHeight="1">
      <c r="A23" s="37" t="inlineStr">
        <is>
          <t>G5</t>
        </is>
      </c>
      <c r="B23" s="40">
        <f>VLOOKUP(A23,Members!$A$2:$C$65,3,FALSE)</f>
        <v/>
      </c>
      <c r="C23" s="37">
        <f>Members!B22</f>
        <v/>
      </c>
      <c r="D23" s="41" t="n">
        <v>0</v>
      </c>
      <c r="E23" s="41">
        <f>INDIRECT("'Apr"&amp;Members!$F$2&amp;"-COLLECTION'!K"&amp;ROW()-1)</f>
        <v/>
      </c>
      <c r="F23" s="41">
        <f>INDIRECT("'Apr"&amp;Members!$F$2&amp;"-EXPENSE'!R"&amp;ROW()+3)</f>
        <v/>
      </c>
      <c r="G23" s="20" t="n"/>
      <c r="H23" s="41">
        <f>E23-(F23+G23)</f>
        <v/>
      </c>
      <c r="I23" s="41">
        <f>INDIRECT("'May"&amp;Members!$F$2&amp;"-COLLECTION'!K"&amp;ROW()-1)</f>
        <v/>
      </c>
      <c r="J23" s="41">
        <f>INDIRECT("'May"&amp;Members!$F$2&amp;"-EXPENSE'!R"&amp;ROW()+3)</f>
        <v/>
      </c>
      <c r="K23" s="21" t="n"/>
      <c r="L23" s="41">
        <f>I23-(J23+K23)</f>
        <v/>
      </c>
      <c r="M23" s="41">
        <f>INDIRECT("'June"&amp;Members!$F$2&amp;"-COLLECTION'!K"&amp;ROW()-1)</f>
        <v/>
      </c>
      <c r="N23" s="41">
        <f>INDIRECT("'June"&amp;Members!$F$2&amp;"-EXPENSE'!R"&amp;ROW()+3)</f>
        <v/>
      </c>
      <c r="O23" s="20" t="n"/>
      <c r="P23" s="41">
        <f>M23-(N23+O23)</f>
        <v/>
      </c>
      <c r="Q23" s="41">
        <f>INDIRECT("'July"&amp;Members!$F$2&amp;"-COLLECTION'!K"&amp;ROW()-1)</f>
        <v/>
      </c>
      <c r="R23" s="41">
        <f>INDIRECT("'July"&amp;Members!$F$2&amp;"-EXPENSE'!R"&amp;ROW()+3)</f>
        <v/>
      </c>
      <c r="S23" s="21" t="n"/>
      <c r="T23" s="41">
        <f>Q23-(R23+S23)</f>
        <v/>
      </c>
      <c r="U23" s="41">
        <f>INDIRECT("'Aug"&amp;Members!$F$2&amp;"-COLLECTION'!K"&amp;ROW()-1)</f>
        <v/>
      </c>
      <c r="V23" s="41">
        <f>INDIRECT("'Aug"&amp;Members!$F$2&amp;"-EXPENSE'!R"&amp;ROW()+3)</f>
        <v/>
      </c>
      <c r="W23" s="20" t="n"/>
      <c r="X23" s="41">
        <f>U23-(V23+W23)</f>
        <v/>
      </c>
      <c r="Y23" s="41">
        <f>INDIRECT("'Sep"&amp;Members!$F$2&amp;"-COLLECTION'!K"&amp;ROW()-1)</f>
        <v/>
      </c>
      <c r="Z23" s="41">
        <f>INDIRECT("'Sep"&amp;Members!$F$2&amp;"-EXPENSE'!R"&amp;ROW()+3)</f>
        <v/>
      </c>
      <c r="AA23" s="21" t="n"/>
      <c r="AB23" s="41">
        <f>Y23-(Z23+AA23)</f>
        <v/>
      </c>
      <c r="AC23" s="41">
        <f>INDIRECT("'Oct"&amp;Members!$F$2&amp;"-COLLECTION'!K"&amp;ROW()-1)</f>
        <v/>
      </c>
      <c r="AD23" s="41">
        <f>INDIRECT("'Oct"&amp;Members!$F$2&amp;"-EXPENSE'!R"&amp;ROW()+3)</f>
        <v/>
      </c>
      <c r="AE23" s="21" t="n"/>
      <c r="AF23" s="41">
        <f>AC23-(AD23+AE23)</f>
        <v/>
      </c>
      <c r="AG23" s="41">
        <f>INDIRECT("'Nov"&amp;Members!$F$2&amp;"-COLLECTION'!K"&amp;ROW()-1)</f>
        <v/>
      </c>
      <c r="AH23" s="41">
        <f>INDIRECT("'Nov"&amp;Members!$F$2&amp;"-EXPENSE'!R"&amp;ROW()+3)</f>
        <v/>
      </c>
      <c r="AI23" s="21" t="n"/>
      <c r="AJ23" s="41">
        <f>AG23-(AH23+AI23)</f>
        <v/>
      </c>
      <c r="AK23" s="41">
        <f>INDIRECT("'Dec"&amp;Members!$F$2&amp;"-COLLECTION'!K"&amp;ROW()-1)</f>
        <v/>
      </c>
      <c r="AL23" s="41">
        <f>INDIRECT("'Dec"&amp;Members!$F$2&amp;"-EXPENSE'!R"&amp;ROW()+3)</f>
        <v/>
      </c>
      <c r="AM23" s="21" t="n"/>
      <c r="AN23" s="41">
        <f>AK23-(AL23+AM23)</f>
        <v/>
      </c>
      <c r="AO23" s="41">
        <f>INDIRECT("'Jan"&amp;Members!$G$2&amp;"-COLLECTION'!K"&amp;ROW()-1)</f>
        <v/>
      </c>
      <c r="AP23" s="41">
        <f>INDIRECT("'Jan"&amp;Members!$G$2&amp;"-EXPENSE'!R"&amp;ROW()+3)</f>
        <v/>
      </c>
      <c r="AQ23" s="2" t="n"/>
      <c r="AR23" s="41">
        <f>AO23-(AP23+AQ23)</f>
        <v/>
      </c>
      <c r="AS23" s="41">
        <f>INDIRECT("'Feb"&amp;Members!$G$2&amp;"-COLLECTION'!K"&amp;ROW()-1)</f>
        <v/>
      </c>
      <c r="AT23" s="41">
        <f>INDIRECT("'Feb"&amp;Members!$G$2&amp;"-EXPENSE'!R"&amp;ROW()+3)</f>
        <v/>
      </c>
      <c r="AU23" s="2" t="n"/>
      <c r="AV23" s="41">
        <f>AS23-(AT23+AU23)</f>
        <v/>
      </c>
      <c r="AW23" s="41">
        <f>INDIRECT("'Mar"&amp;Members!$G$2&amp;"-COLLECTION'!K"&amp;ROW()-1)</f>
        <v/>
      </c>
      <c r="AX23" s="41">
        <f>INDIRECT("'Mar"&amp;Members!$G$2&amp;"-EXPENSE'!R"&amp;ROW()+3)</f>
        <v/>
      </c>
      <c r="AY23" s="2" t="n"/>
      <c r="AZ23" s="41">
        <f>AW23-(AX23+AY23)</f>
        <v/>
      </c>
      <c r="BA23" s="41">
        <f>SUM(E23,I23,M23,Q23,U23,Y23,AC23,AG23,AK23,AO23,AS23,AW23)</f>
        <v/>
      </c>
      <c r="BB23" s="41">
        <f>SUM(F23,J23,N23,R23,V23,Z23,AD23,AH23,AL23,AP23,AT23,AX23)</f>
        <v/>
      </c>
      <c r="BC23" s="41">
        <f>SUM(G23,K23,O23,S23,W23,AA23,AE23,AI23,AM23,AQ23,AU23,AY23)</f>
        <v/>
      </c>
      <c r="BD23" s="41">
        <f>BA23-(BB23+BC23)</f>
        <v/>
      </c>
      <c r="BE23" s="41">
        <f>BD23+D23</f>
        <v/>
      </c>
    </row>
    <row r="24" ht="15.75" customHeight="1">
      <c r="A24" s="36" t="inlineStr">
        <is>
          <t>G6</t>
        </is>
      </c>
      <c r="B24" s="42">
        <f>VLOOKUP(A24,Members!$A$2:$C$65,3,FALSE)</f>
        <v/>
      </c>
      <c r="C24" s="36">
        <f>Members!B23</f>
        <v/>
      </c>
      <c r="D24" s="43" t="n">
        <v>0</v>
      </c>
      <c r="E24" s="43">
        <f>INDIRECT("'Apr"&amp;Members!$F$2&amp;"-COLLECTION'!K"&amp;ROW()-1)</f>
        <v/>
      </c>
      <c r="F24" s="43">
        <f>INDIRECT("'Apr"&amp;Members!$F$2&amp;"-EXPENSE'!R"&amp;ROW()+3)</f>
        <v/>
      </c>
      <c r="G24" s="20" t="n"/>
      <c r="H24" s="43">
        <f>E24-(F24+G24)</f>
        <v/>
      </c>
      <c r="I24" s="43">
        <f>INDIRECT("'May"&amp;Members!$F$2&amp;"-COLLECTION'!K"&amp;ROW()-1)</f>
        <v/>
      </c>
      <c r="J24" s="43">
        <f>INDIRECT("'May"&amp;Members!$F$2&amp;"-EXPENSE'!R"&amp;ROW()+3)</f>
        <v/>
      </c>
      <c r="K24" s="21" t="n"/>
      <c r="L24" s="43">
        <f>I24-(J24+K24)</f>
        <v/>
      </c>
      <c r="M24" s="43">
        <f>INDIRECT("'June"&amp;Members!$F$2&amp;"-COLLECTION'!K"&amp;ROW()-1)</f>
        <v/>
      </c>
      <c r="N24" s="43">
        <f>INDIRECT("'June"&amp;Members!$F$2&amp;"-EXPENSE'!R"&amp;ROW()+3)</f>
        <v/>
      </c>
      <c r="O24" s="20" t="n"/>
      <c r="P24" s="43">
        <f>M24-(N24+O24)</f>
        <v/>
      </c>
      <c r="Q24" s="43">
        <f>INDIRECT("'July"&amp;Members!$F$2&amp;"-COLLECTION'!K"&amp;ROW()-1)</f>
        <v/>
      </c>
      <c r="R24" s="43">
        <f>INDIRECT("'July"&amp;Members!$F$2&amp;"-EXPENSE'!R"&amp;ROW()+3)</f>
        <v/>
      </c>
      <c r="S24" s="21" t="n"/>
      <c r="T24" s="43">
        <f>Q24-(R24+S24)</f>
        <v/>
      </c>
      <c r="U24" s="43">
        <f>INDIRECT("'Aug"&amp;Members!$F$2&amp;"-COLLECTION'!K"&amp;ROW()-1)</f>
        <v/>
      </c>
      <c r="V24" s="43">
        <f>INDIRECT("'Aug"&amp;Members!$F$2&amp;"-EXPENSE'!R"&amp;ROW()+3)</f>
        <v/>
      </c>
      <c r="W24" s="20" t="n"/>
      <c r="X24" s="43">
        <f>U24-(V24+W24)</f>
        <v/>
      </c>
      <c r="Y24" s="43">
        <f>INDIRECT("'Sep"&amp;Members!$F$2&amp;"-COLLECTION'!K"&amp;ROW()-1)</f>
        <v/>
      </c>
      <c r="Z24" s="43">
        <f>INDIRECT("'Sep"&amp;Members!$F$2&amp;"-EXPENSE'!R"&amp;ROW()+3)</f>
        <v/>
      </c>
      <c r="AA24" s="21" t="n"/>
      <c r="AB24" s="43">
        <f>Y24-(Z24+AA24)</f>
        <v/>
      </c>
      <c r="AC24" s="43">
        <f>INDIRECT("'Oct"&amp;Members!$F$2&amp;"-COLLECTION'!K"&amp;ROW()-1)</f>
        <v/>
      </c>
      <c r="AD24" s="43">
        <f>INDIRECT("'Oct"&amp;Members!$F$2&amp;"-EXPENSE'!R"&amp;ROW()+3)</f>
        <v/>
      </c>
      <c r="AE24" s="21" t="n"/>
      <c r="AF24" s="43">
        <f>AC24-(AD24+AE24)</f>
        <v/>
      </c>
      <c r="AG24" s="43">
        <f>INDIRECT("'Nov"&amp;Members!$F$2&amp;"-COLLECTION'!K"&amp;ROW()-1)</f>
        <v/>
      </c>
      <c r="AH24" s="43">
        <f>INDIRECT("'Nov"&amp;Members!$F$2&amp;"-EXPENSE'!R"&amp;ROW()+3)</f>
        <v/>
      </c>
      <c r="AI24" s="21" t="n"/>
      <c r="AJ24" s="43">
        <f>AG24-(AH24+AI24)</f>
        <v/>
      </c>
      <c r="AK24" s="43">
        <f>INDIRECT("'Dec"&amp;Members!$F$2&amp;"-COLLECTION'!K"&amp;ROW()-1)</f>
        <v/>
      </c>
      <c r="AL24" s="43">
        <f>INDIRECT("'Dec"&amp;Members!$F$2&amp;"-EXPENSE'!R"&amp;ROW()+3)</f>
        <v/>
      </c>
      <c r="AM24" s="21" t="n"/>
      <c r="AN24" s="43">
        <f>AK24-(AL24+AM24)</f>
        <v/>
      </c>
      <c r="AO24" s="43">
        <f>INDIRECT("'Jan"&amp;Members!$G$2&amp;"-COLLECTION'!K"&amp;ROW()-1)</f>
        <v/>
      </c>
      <c r="AP24" s="43">
        <f>INDIRECT("'Jan"&amp;Members!$G$2&amp;"-EXPENSE'!R"&amp;ROW()+3)</f>
        <v/>
      </c>
      <c r="AQ24" s="2" t="n"/>
      <c r="AR24" s="43">
        <f>AO24-(AP24+AQ24)</f>
        <v/>
      </c>
      <c r="AS24" s="43">
        <f>INDIRECT("'Feb"&amp;Members!$G$2&amp;"-COLLECTION'!K"&amp;ROW()-1)</f>
        <v/>
      </c>
      <c r="AT24" s="43">
        <f>INDIRECT("'Feb"&amp;Members!$G$2&amp;"-EXPENSE'!R"&amp;ROW()+3)</f>
        <v/>
      </c>
      <c r="AU24" s="2" t="n"/>
      <c r="AV24" s="43">
        <f>AS24-(AT24+AU24)</f>
        <v/>
      </c>
      <c r="AW24" s="43">
        <f>INDIRECT("'Mar"&amp;Members!$G$2&amp;"-COLLECTION'!K"&amp;ROW()-1)</f>
        <v/>
      </c>
      <c r="AX24" s="43">
        <f>INDIRECT("'Mar"&amp;Members!$G$2&amp;"-EXPENSE'!R"&amp;ROW()+3)</f>
        <v/>
      </c>
      <c r="AY24" s="2" t="n"/>
      <c r="AZ24" s="43">
        <f>AW24-(AX24+AY24)</f>
        <v/>
      </c>
      <c r="BA24" s="43">
        <f>SUM(E24,I24,M24,Q24,U24,Y24,AC24,AG24,AK24,AO24,AS24,AW24)</f>
        <v/>
      </c>
      <c r="BB24" s="43">
        <f>SUM(F24,J24,N24,R24,V24,Z24,AD24,AH24,AL24,AP24,AT24,AX24)</f>
        <v/>
      </c>
      <c r="BC24" s="43">
        <f>SUM(G24,K24,O24,S24,W24,AA24,AE24,AI24,AM24,AQ24,AU24,AY24)</f>
        <v/>
      </c>
      <c r="BD24" s="43">
        <f>BA24-(BB24+BC24)</f>
        <v/>
      </c>
      <c r="BE24" s="43">
        <f>BD24+D24</f>
        <v/>
      </c>
    </row>
    <row r="25" ht="15.75" customHeight="1">
      <c r="A25" s="37" t="inlineStr">
        <is>
          <t>G7</t>
        </is>
      </c>
      <c r="B25" s="40">
        <f>VLOOKUP(A25,Members!$A$2:$C$65,3,FALSE)</f>
        <v/>
      </c>
      <c r="C25" s="37">
        <f>Members!B24</f>
        <v/>
      </c>
      <c r="D25" s="41" t="n">
        <v>0</v>
      </c>
      <c r="E25" s="41">
        <f>INDIRECT("'Apr"&amp;Members!$F$2&amp;"-COLLECTION'!K"&amp;ROW()-1)</f>
        <v/>
      </c>
      <c r="F25" s="41">
        <f>INDIRECT("'Apr"&amp;Members!$F$2&amp;"-EXPENSE'!R"&amp;ROW()+3)</f>
        <v/>
      </c>
      <c r="G25" s="20" t="n"/>
      <c r="H25" s="41">
        <f>E25-(F25+G25)</f>
        <v/>
      </c>
      <c r="I25" s="41">
        <f>INDIRECT("'May"&amp;Members!$F$2&amp;"-COLLECTION'!K"&amp;ROW()-1)</f>
        <v/>
      </c>
      <c r="J25" s="41">
        <f>INDIRECT("'May"&amp;Members!$F$2&amp;"-EXPENSE'!R"&amp;ROW()+3)</f>
        <v/>
      </c>
      <c r="K25" s="21" t="n"/>
      <c r="L25" s="41">
        <f>I25-(J25+K25)</f>
        <v/>
      </c>
      <c r="M25" s="41">
        <f>INDIRECT("'June"&amp;Members!$F$2&amp;"-COLLECTION'!K"&amp;ROW()-1)</f>
        <v/>
      </c>
      <c r="N25" s="41">
        <f>INDIRECT("'June"&amp;Members!$F$2&amp;"-EXPENSE'!R"&amp;ROW()+3)</f>
        <v/>
      </c>
      <c r="O25" s="20" t="n"/>
      <c r="P25" s="41">
        <f>M25-(N25+O25)</f>
        <v/>
      </c>
      <c r="Q25" s="41">
        <f>INDIRECT("'July"&amp;Members!$F$2&amp;"-COLLECTION'!K"&amp;ROW()-1)</f>
        <v/>
      </c>
      <c r="R25" s="41">
        <f>INDIRECT("'July"&amp;Members!$F$2&amp;"-EXPENSE'!R"&amp;ROW()+3)</f>
        <v/>
      </c>
      <c r="S25" s="21" t="n"/>
      <c r="T25" s="41">
        <f>Q25-(R25+S25)</f>
        <v/>
      </c>
      <c r="U25" s="41">
        <f>INDIRECT("'Aug"&amp;Members!$F$2&amp;"-COLLECTION'!K"&amp;ROW()-1)</f>
        <v/>
      </c>
      <c r="V25" s="41">
        <f>INDIRECT("'Aug"&amp;Members!$F$2&amp;"-EXPENSE'!R"&amp;ROW()+3)</f>
        <v/>
      </c>
      <c r="W25" s="20" t="n"/>
      <c r="X25" s="41">
        <f>U25-(V25+W25)</f>
        <v/>
      </c>
      <c r="Y25" s="41">
        <f>INDIRECT("'Sep"&amp;Members!$F$2&amp;"-COLLECTION'!K"&amp;ROW()-1)</f>
        <v/>
      </c>
      <c r="Z25" s="41">
        <f>INDIRECT("'Sep"&amp;Members!$F$2&amp;"-EXPENSE'!R"&amp;ROW()+3)</f>
        <v/>
      </c>
      <c r="AA25" s="21" t="n"/>
      <c r="AB25" s="41">
        <f>Y25-(Z25+AA25)</f>
        <v/>
      </c>
      <c r="AC25" s="41">
        <f>INDIRECT("'Oct"&amp;Members!$F$2&amp;"-COLLECTION'!K"&amp;ROW()-1)</f>
        <v/>
      </c>
      <c r="AD25" s="41">
        <f>INDIRECT("'Oct"&amp;Members!$F$2&amp;"-EXPENSE'!R"&amp;ROW()+3)</f>
        <v/>
      </c>
      <c r="AE25" s="21" t="n"/>
      <c r="AF25" s="41">
        <f>AC25-(AD25+AE25)</f>
        <v/>
      </c>
      <c r="AG25" s="41">
        <f>INDIRECT("'Nov"&amp;Members!$F$2&amp;"-COLLECTION'!K"&amp;ROW()-1)</f>
        <v/>
      </c>
      <c r="AH25" s="41">
        <f>INDIRECT("'Nov"&amp;Members!$F$2&amp;"-EXPENSE'!R"&amp;ROW()+3)</f>
        <v/>
      </c>
      <c r="AI25" s="21" t="n"/>
      <c r="AJ25" s="41">
        <f>AG25-(AH25+AI25)</f>
        <v/>
      </c>
      <c r="AK25" s="41">
        <f>INDIRECT("'Dec"&amp;Members!$F$2&amp;"-COLLECTION'!K"&amp;ROW()-1)</f>
        <v/>
      </c>
      <c r="AL25" s="41">
        <f>INDIRECT("'Dec"&amp;Members!$F$2&amp;"-EXPENSE'!R"&amp;ROW()+3)</f>
        <v/>
      </c>
      <c r="AM25" s="21" t="n"/>
      <c r="AN25" s="41">
        <f>AK25-(AL25+AM25)</f>
        <v/>
      </c>
      <c r="AO25" s="41">
        <f>INDIRECT("'Jan"&amp;Members!$G$2&amp;"-COLLECTION'!K"&amp;ROW()-1)</f>
        <v/>
      </c>
      <c r="AP25" s="41">
        <f>INDIRECT("'Jan"&amp;Members!$G$2&amp;"-EXPENSE'!R"&amp;ROW()+3)</f>
        <v/>
      </c>
      <c r="AQ25" s="2" t="n"/>
      <c r="AR25" s="41">
        <f>AO25-(AP25+AQ25)</f>
        <v/>
      </c>
      <c r="AS25" s="41">
        <f>INDIRECT("'Feb"&amp;Members!$G$2&amp;"-COLLECTION'!K"&amp;ROW()-1)</f>
        <v/>
      </c>
      <c r="AT25" s="41">
        <f>INDIRECT("'Feb"&amp;Members!$G$2&amp;"-EXPENSE'!R"&amp;ROW()+3)</f>
        <v/>
      </c>
      <c r="AU25" s="2" t="n"/>
      <c r="AV25" s="41">
        <f>AS25-(AT25+AU25)</f>
        <v/>
      </c>
      <c r="AW25" s="41">
        <f>INDIRECT("'Mar"&amp;Members!$G$2&amp;"-COLLECTION'!K"&amp;ROW()-1)</f>
        <v/>
      </c>
      <c r="AX25" s="41">
        <f>INDIRECT("'Mar"&amp;Members!$G$2&amp;"-EXPENSE'!R"&amp;ROW()+3)</f>
        <v/>
      </c>
      <c r="AY25" s="2" t="n"/>
      <c r="AZ25" s="41">
        <f>AW25-(AX25+AY25)</f>
        <v/>
      </c>
      <c r="BA25" s="41">
        <f>SUM(E25,I25,M25,Q25,U25,Y25,AC25,AG25,AK25,AO25,AS25,AW25)</f>
        <v/>
      </c>
      <c r="BB25" s="41">
        <f>SUM(F25,J25,N25,R25,V25,Z25,AD25,AH25,AL25,AP25,AT25,AX25)</f>
        <v/>
      </c>
      <c r="BC25" s="41">
        <f>SUM(G25,K25,O25,S25,W25,AA25,AE25,AI25,AM25,AQ25,AU25,AY25)</f>
        <v/>
      </c>
      <c r="BD25" s="41">
        <f>BA25-(BB25+BC25)</f>
        <v/>
      </c>
      <c r="BE25" s="41">
        <f>BD25+D25</f>
        <v/>
      </c>
    </row>
    <row r="26" ht="15.75" customHeight="1">
      <c r="A26" s="36" t="inlineStr">
        <is>
          <t>G8</t>
        </is>
      </c>
      <c r="B26" s="42">
        <f>VLOOKUP(A26,Members!$A$2:$C$65,3,FALSE)</f>
        <v/>
      </c>
      <c r="C26" s="36">
        <f>Members!B25</f>
        <v/>
      </c>
      <c r="D26" s="43" t="n">
        <v>0</v>
      </c>
      <c r="E26" s="43">
        <f>INDIRECT("'Apr"&amp;Members!$F$2&amp;"-COLLECTION'!K"&amp;ROW()-1)</f>
        <v/>
      </c>
      <c r="F26" s="43">
        <f>INDIRECT("'Apr"&amp;Members!$F$2&amp;"-EXPENSE'!R"&amp;ROW()+3)</f>
        <v/>
      </c>
      <c r="G26" s="20" t="n"/>
      <c r="H26" s="43">
        <f>E26-(F26+G26)</f>
        <v/>
      </c>
      <c r="I26" s="43">
        <f>INDIRECT("'May"&amp;Members!$F$2&amp;"-COLLECTION'!K"&amp;ROW()-1)</f>
        <v/>
      </c>
      <c r="J26" s="43">
        <f>INDIRECT("'May"&amp;Members!$F$2&amp;"-EXPENSE'!R"&amp;ROW()+3)</f>
        <v/>
      </c>
      <c r="K26" s="21" t="n"/>
      <c r="L26" s="43">
        <f>I26-(J26+K26)</f>
        <v/>
      </c>
      <c r="M26" s="43">
        <f>INDIRECT("'June"&amp;Members!$F$2&amp;"-COLLECTION'!K"&amp;ROW()-1)</f>
        <v/>
      </c>
      <c r="N26" s="43">
        <f>INDIRECT("'June"&amp;Members!$F$2&amp;"-EXPENSE'!R"&amp;ROW()+3)</f>
        <v/>
      </c>
      <c r="O26" s="20" t="n"/>
      <c r="P26" s="43">
        <f>M26-(N26+O26)</f>
        <v/>
      </c>
      <c r="Q26" s="43">
        <f>INDIRECT("'July"&amp;Members!$F$2&amp;"-COLLECTION'!K"&amp;ROW()-1)</f>
        <v/>
      </c>
      <c r="R26" s="43">
        <f>INDIRECT("'July"&amp;Members!$F$2&amp;"-EXPENSE'!R"&amp;ROW()+3)</f>
        <v/>
      </c>
      <c r="S26" s="21" t="n"/>
      <c r="T26" s="43">
        <f>Q26-(R26+S26)</f>
        <v/>
      </c>
      <c r="U26" s="43">
        <f>INDIRECT("'Aug"&amp;Members!$F$2&amp;"-COLLECTION'!K"&amp;ROW()-1)</f>
        <v/>
      </c>
      <c r="V26" s="43">
        <f>INDIRECT("'Aug"&amp;Members!$F$2&amp;"-EXPENSE'!R"&amp;ROW()+3)</f>
        <v/>
      </c>
      <c r="W26" s="20" t="n"/>
      <c r="X26" s="43">
        <f>U26-(V26+W26)</f>
        <v/>
      </c>
      <c r="Y26" s="43">
        <f>INDIRECT("'Sep"&amp;Members!$F$2&amp;"-COLLECTION'!K"&amp;ROW()-1)</f>
        <v/>
      </c>
      <c r="Z26" s="43">
        <f>INDIRECT("'Sep"&amp;Members!$F$2&amp;"-EXPENSE'!R"&amp;ROW()+3)</f>
        <v/>
      </c>
      <c r="AA26" s="21" t="n"/>
      <c r="AB26" s="43">
        <f>Y26-(Z26+AA26)</f>
        <v/>
      </c>
      <c r="AC26" s="43">
        <f>INDIRECT("'Oct"&amp;Members!$F$2&amp;"-COLLECTION'!K"&amp;ROW()-1)</f>
        <v/>
      </c>
      <c r="AD26" s="43">
        <f>INDIRECT("'Oct"&amp;Members!$F$2&amp;"-EXPENSE'!R"&amp;ROW()+3)</f>
        <v/>
      </c>
      <c r="AE26" s="21" t="n"/>
      <c r="AF26" s="43">
        <f>AC26-(AD26+AE26)</f>
        <v/>
      </c>
      <c r="AG26" s="43">
        <f>INDIRECT("'Nov"&amp;Members!$F$2&amp;"-COLLECTION'!K"&amp;ROW()-1)</f>
        <v/>
      </c>
      <c r="AH26" s="43">
        <f>INDIRECT("'Nov"&amp;Members!$F$2&amp;"-EXPENSE'!R"&amp;ROW()+3)</f>
        <v/>
      </c>
      <c r="AI26" s="21" t="n"/>
      <c r="AJ26" s="43">
        <f>AG26-(AH26+AI26)</f>
        <v/>
      </c>
      <c r="AK26" s="43">
        <f>INDIRECT("'Dec"&amp;Members!$F$2&amp;"-COLLECTION'!K"&amp;ROW()-1)</f>
        <v/>
      </c>
      <c r="AL26" s="43">
        <f>INDIRECT("'Dec"&amp;Members!$F$2&amp;"-EXPENSE'!R"&amp;ROW()+3)</f>
        <v/>
      </c>
      <c r="AM26" s="21" t="n"/>
      <c r="AN26" s="43">
        <f>AK26-(AL26+AM26)</f>
        <v/>
      </c>
      <c r="AO26" s="43">
        <f>INDIRECT("'Jan"&amp;Members!$G$2&amp;"-COLLECTION'!K"&amp;ROW()-1)</f>
        <v/>
      </c>
      <c r="AP26" s="43">
        <f>INDIRECT("'Jan"&amp;Members!$G$2&amp;"-EXPENSE'!R"&amp;ROW()+3)</f>
        <v/>
      </c>
      <c r="AQ26" s="2" t="n"/>
      <c r="AR26" s="43">
        <f>AO26-(AP26+AQ26)</f>
        <v/>
      </c>
      <c r="AS26" s="43">
        <f>INDIRECT("'Feb"&amp;Members!$G$2&amp;"-COLLECTION'!K"&amp;ROW()-1)</f>
        <v/>
      </c>
      <c r="AT26" s="43">
        <f>INDIRECT("'Feb"&amp;Members!$G$2&amp;"-EXPENSE'!R"&amp;ROW()+3)</f>
        <v/>
      </c>
      <c r="AU26" s="2" t="n"/>
      <c r="AV26" s="43">
        <f>AS26-(AT26+AU26)</f>
        <v/>
      </c>
      <c r="AW26" s="43">
        <f>INDIRECT("'Mar"&amp;Members!$G$2&amp;"-COLLECTION'!K"&amp;ROW()-1)</f>
        <v/>
      </c>
      <c r="AX26" s="43">
        <f>INDIRECT("'Mar"&amp;Members!$G$2&amp;"-EXPENSE'!R"&amp;ROW()+3)</f>
        <v/>
      </c>
      <c r="AY26" s="2" t="n"/>
      <c r="AZ26" s="43">
        <f>AW26-(AX26+AY26)</f>
        <v/>
      </c>
      <c r="BA26" s="43">
        <f>SUM(E26,I26,M26,Q26,U26,Y26,AC26,AG26,AK26,AO26,AS26,AW26)</f>
        <v/>
      </c>
      <c r="BB26" s="43">
        <f>SUM(F26,J26,N26,R26,V26,Z26,AD26,AH26,AL26,AP26,AT26,AX26)</f>
        <v/>
      </c>
      <c r="BC26" s="43">
        <f>SUM(G26,K26,O26,S26,W26,AA26,AE26,AI26,AM26,AQ26,AU26,AY26)</f>
        <v/>
      </c>
      <c r="BD26" s="43">
        <f>BA26-(BB26+BC26)</f>
        <v/>
      </c>
      <c r="BE26" s="43">
        <f>BD26+D26</f>
        <v/>
      </c>
    </row>
    <row r="27" ht="15.75" customHeight="1">
      <c r="A27" s="37" t="inlineStr">
        <is>
          <t>G9</t>
        </is>
      </c>
      <c r="B27" s="40">
        <f>VLOOKUP(A27,Members!$A$2:$C$65,3,FALSE)</f>
        <v/>
      </c>
      <c r="C27" s="37">
        <f>Members!B26</f>
        <v/>
      </c>
      <c r="D27" s="41" t="n">
        <v>0</v>
      </c>
      <c r="E27" s="41">
        <f>INDIRECT("'Apr"&amp;Members!$F$2&amp;"-COLLECTION'!K"&amp;ROW()-1)</f>
        <v/>
      </c>
      <c r="F27" s="41">
        <f>INDIRECT("'Apr"&amp;Members!$F$2&amp;"-EXPENSE'!R"&amp;ROW()+3)</f>
        <v/>
      </c>
      <c r="G27" s="20" t="n"/>
      <c r="H27" s="41">
        <f>E27-(F27+G27)</f>
        <v/>
      </c>
      <c r="I27" s="41">
        <f>INDIRECT("'May"&amp;Members!$F$2&amp;"-COLLECTION'!K"&amp;ROW()-1)</f>
        <v/>
      </c>
      <c r="J27" s="41">
        <f>INDIRECT("'May"&amp;Members!$F$2&amp;"-EXPENSE'!R"&amp;ROW()+3)</f>
        <v/>
      </c>
      <c r="K27" s="21" t="n"/>
      <c r="L27" s="41">
        <f>I27-(J27+K27)</f>
        <v/>
      </c>
      <c r="M27" s="41">
        <f>INDIRECT("'June"&amp;Members!$F$2&amp;"-COLLECTION'!K"&amp;ROW()-1)</f>
        <v/>
      </c>
      <c r="N27" s="41">
        <f>INDIRECT("'June"&amp;Members!$F$2&amp;"-EXPENSE'!R"&amp;ROW()+3)</f>
        <v/>
      </c>
      <c r="O27" s="20" t="n"/>
      <c r="P27" s="41">
        <f>M27-(N27+O27)</f>
        <v/>
      </c>
      <c r="Q27" s="41">
        <f>INDIRECT("'July"&amp;Members!$F$2&amp;"-COLLECTION'!K"&amp;ROW()-1)</f>
        <v/>
      </c>
      <c r="R27" s="41">
        <f>INDIRECT("'July"&amp;Members!$F$2&amp;"-EXPENSE'!R"&amp;ROW()+3)</f>
        <v/>
      </c>
      <c r="S27" s="21" t="n"/>
      <c r="T27" s="41">
        <f>Q27-(R27+S27)</f>
        <v/>
      </c>
      <c r="U27" s="41">
        <f>INDIRECT("'Aug"&amp;Members!$F$2&amp;"-COLLECTION'!K"&amp;ROW()-1)</f>
        <v/>
      </c>
      <c r="V27" s="41">
        <f>INDIRECT("'Aug"&amp;Members!$F$2&amp;"-EXPENSE'!R"&amp;ROW()+3)</f>
        <v/>
      </c>
      <c r="W27" s="20" t="n"/>
      <c r="X27" s="41">
        <f>U27-(V27+W27)</f>
        <v/>
      </c>
      <c r="Y27" s="41">
        <f>INDIRECT("'Sep"&amp;Members!$F$2&amp;"-COLLECTION'!K"&amp;ROW()-1)</f>
        <v/>
      </c>
      <c r="Z27" s="41">
        <f>INDIRECT("'Sep"&amp;Members!$F$2&amp;"-EXPENSE'!R"&amp;ROW()+3)</f>
        <v/>
      </c>
      <c r="AA27" s="21" t="n"/>
      <c r="AB27" s="41">
        <f>Y27-(Z27+AA27)</f>
        <v/>
      </c>
      <c r="AC27" s="41">
        <f>INDIRECT("'Oct"&amp;Members!$F$2&amp;"-COLLECTION'!K"&amp;ROW()-1)</f>
        <v/>
      </c>
      <c r="AD27" s="41">
        <f>INDIRECT("'Oct"&amp;Members!$F$2&amp;"-EXPENSE'!R"&amp;ROW()+3)</f>
        <v/>
      </c>
      <c r="AE27" s="21" t="n"/>
      <c r="AF27" s="41">
        <f>AC27-(AD27+AE27)</f>
        <v/>
      </c>
      <c r="AG27" s="41">
        <f>INDIRECT("'Nov"&amp;Members!$F$2&amp;"-COLLECTION'!K"&amp;ROW()-1)</f>
        <v/>
      </c>
      <c r="AH27" s="41">
        <f>INDIRECT("'Nov"&amp;Members!$F$2&amp;"-EXPENSE'!R"&amp;ROW()+3)</f>
        <v/>
      </c>
      <c r="AI27" s="21" t="n"/>
      <c r="AJ27" s="41">
        <f>AG27-(AH27+AI27)</f>
        <v/>
      </c>
      <c r="AK27" s="41">
        <f>INDIRECT("'Dec"&amp;Members!$F$2&amp;"-COLLECTION'!K"&amp;ROW()-1)</f>
        <v/>
      </c>
      <c r="AL27" s="41">
        <f>INDIRECT("'Dec"&amp;Members!$F$2&amp;"-EXPENSE'!R"&amp;ROW()+3)</f>
        <v/>
      </c>
      <c r="AM27" s="21" t="n"/>
      <c r="AN27" s="41">
        <f>AK27-(AL27+AM27)</f>
        <v/>
      </c>
      <c r="AO27" s="41">
        <f>INDIRECT("'Jan"&amp;Members!$G$2&amp;"-COLLECTION'!K"&amp;ROW()-1)</f>
        <v/>
      </c>
      <c r="AP27" s="41">
        <f>INDIRECT("'Jan"&amp;Members!$G$2&amp;"-EXPENSE'!R"&amp;ROW()+3)</f>
        <v/>
      </c>
      <c r="AQ27" s="2" t="n"/>
      <c r="AR27" s="41">
        <f>AO27-(AP27+AQ27)</f>
        <v/>
      </c>
      <c r="AS27" s="41">
        <f>INDIRECT("'Feb"&amp;Members!$G$2&amp;"-COLLECTION'!K"&amp;ROW()-1)</f>
        <v/>
      </c>
      <c r="AT27" s="41">
        <f>INDIRECT("'Feb"&amp;Members!$G$2&amp;"-EXPENSE'!R"&amp;ROW()+3)</f>
        <v/>
      </c>
      <c r="AU27" s="2" t="n"/>
      <c r="AV27" s="41">
        <f>AS27-(AT27+AU27)</f>
        <v/>
      </c>
      <c r="AW27" s="41">
        <f>INDIRECT("'Mar"&amp;Members!$G$2&amp;"-COLLECTION'!K"&amp;ROW()-1)</f>
        <v/>
      </c>
      <c r="AX27" s="41">
        <f>INDIRECT("'Mar"&amp;Members!$G$2&amp;"-EXPENSE'!R"&amp;ROW()+3)</f>
        <v/>
      </c>
      <c r="AY27" s="2" t="n"/>
      <c r="AZ27" s="41">
        <f>AW27-(AX27+AY27)</f>
        <v/>
      </c>
      <c r="BA27" s="41">
        <f>SUM(E27,I27,M27,Q27,U27,Y27,AC27,AG27,AK27,AO27,AS27,AW27)</f>
        <v/>
      </c>
      <c r="BB27" s="41">
        <f>SUM(F27,J27,N27,R27,V27,Z27,AD27,AH27,AL27,AP27,AT27,AX27)</f>
        <v/>
      </c>
      <c r="BC27" s="41">
        <f>SUM(G27,K27,O27,S27,W27,AA27,AE27,AI27,AM27,AQ27,AU27,AY27)</f>
        <v/>
      </c>
      <c r="BD27" s="41">
        <f>BA27-(BB27+BC27)</f>
        <v/>
      </c>
      <c r="BE27" s="41">
        <f>BD27+D27</f>
        <v/>
      </c>
    </row>
    <row r="28" ht="15.75" customHeight="1">
      <c r="A28" s="36" t="inlineStr">
        <is>
          <t>G10</t>
        </is>
      </c>
      <c r="B28" s="42">
        <f>VLOOKUP(A28,Members!$A$2:$C$65,3,FALSE)</f>
        <v/>
      </c>
      <c r="C28" s="36">
        <f>Members!B27</f>
        <v/>
      </c>
      <c r="D28" s="43" t="n">
        <v>0</v>
      </c>
      <c r="E28" s="43">
        <f>INDIRECT("'Apr"&amp;Members!$F$2&amp;"-COLLECTION'!K"&amp;ROW()-1)</f>
        <v/>
      </c>
      <c r="F28" s="43">
        <f>INDIRECT("'Apr"&amp;Members!$F$2&amp;"-EXPENSE'!R"&amp;ROW()+3)</f>
        <v/>
      </c>
      <c r="G28" s="20" t="n"/>
      <c r="H28" s="43">
        <f>E28-(F28+G28)</f>
        <v/>
      </c>
      <c r="I28" s="43">
        <f>INDIRECT("'May"&amp;Members!$F$2&amp;"-COLLECTION'!K"&amp;ROW()-1)</f>
        <v/>
      </c>
      <c r="J28" s="43">
        <f>INDIRECT("'May"&amp;Members!$F$2&amp;"-EXPENSE'!R"&amp;ROW()+3)</f>
        <v/>
      </c>
      <c r="K28" s="21" t="n"/>
      <c r="L28" s="43">
        <f>I28-(J28+K28)</f>
        <v/>
      </c>
      <c r="M28" s="43">
        <f>INDIRECT("'June"&amp;Members!$F$2&amp;"-COLLECTION'!K"&amp;ROW()-1)</f>
        <v/>
      </c>
      <c r="N28" s="43">
        <f>INDIRECT("'June"&amp;Members!$F$2&amp;"-EXPENSE'!R"&amp;ROW()+3)</f>
        <v/>
      </c>
      <c r="O28" s="20" t="n"/>
      <c r="P28" s="43">
        <f>M28-(N28+O28)</f>
        <v/>
      </c>
      <c r="Q28" s="43">
        <f>INDIRECT("'July"&amp;Members!$F$2&amp;"-COLLECTION'!K"&amp;ROW()-1)</f>
        <v/>
      </c>
      <c r="R28" s="43">
        <f>INDIRECT("'July"&amp;Members!$F$2&amp;"-EXPENSE'!R"&amp;ROW()+3)</f>
        <v/>
      </c>
      <c r="S28" s="21" t="n"/>
      <c r="T28" s="43">
        <f>Q28-(R28+S28)</f>
        <v/>
      </c>
      <c r="U28" s="43">
        <f>INDIRECT("'Aug"&amp;Members!$F$2&amp;"-COLLECTION'!K"&amp;ROW()-1)</f>
        <v/>
      </c>
      <c r="V28" s="43">
        <f>INDIRECT("'Aug"&amp;Members!$F$2&amp;"-EXPENSE'!R"&amp;ROW()+3)</f>
        <v/>
      </c>
      <c r="W28" s="20" t="n"/>
      <c r="X28" s="43">
        <f>U28-(V28+W28)</f>
        <v/>
      </c>
      <c r="Y28" s="43">
        <f>INDIRECT("'Sep"&amp;Members!$F$2&amp;"-COLLECTION'!K"&amp;ROW()-1)</f>
        <v/>
      </c>
      <c r="Z28" s="43">
        <f>INDIRECT("'Sep"&amp;Members!$F$2&amp;"-EXPENSE'!R"&amp;ROW()+3)</f>
        <v/>
      </c>
      <c r="AA28" s="21" t="n"/>
      <c r="AB28" s="43">
        <f>Y28-(Z28+AA28)</f>
        <v/>
      </c>
      <c r="AC28" s="43">
        <f>INDIRECT("'Oct"&amp;Members!$F$2&amp;"-COLLECTION'!K"&amp;ROW()-1)</f>
        <v/>
      </c>
      <c r="AD28" s="43">
        <f>INDIRECT("'Oct"&amp;Members!$F$2&amp;"-EXPENSE'!R"&amp;ROW()+3)</f>
        <v/>
      </c>
      <c r="AE28" s="21" t="n"/>
      <c r="AF28" s="43">
        <f>AC28-(AD28+AE28)</f>
        <v/>
      </c>
      <c r="AG28" s="43">
        <f>INDIRECT("'Nov"&amp;Members!$F$2&amp;"-COLLECTION'!K"&amp;ROW()-1)</f>
        <v/>
      </c>
      <c r="AH28" s="43">
        <f>INDIRECT("'Nov"&amp;Members!$F$2&amp;"-EXPENSE'!R"&amp;ROW()+3)</f>
        <v/>
      </c>
      <c r="AI28" s="21" t="n"/>
      <c r="AJ28" s="43">
        <f>AG28-(AH28+AI28)</f>
        <v/>
      </c>
      <c r="AK28" s="43">
        <f>INDIRECT("'Dec"&amp;Members!$F$2&amp;"-COLLECTION'!K"&amp;ROW()-1)</f>
        <v/>
      </c>
      <c r="AL28" s="43">
        <f>INDIRECT("'Dec"&amp;Members!$F$2&amp;"-EXPENSE'!R"&amp;ROW()+3)</f>
        <v/>
      </c>
      <c r="AM28" s="21" t="n"/>
      <c r="AN28" s="43">
        <f>AK28-(AL28+AM28)</f>
        <v/>
      </c>
      <c r="AO28" s="43">
        <f>INDIRECT("'Jan"&amp;Members!$G$2&amp;"-COLLECTION'!K"&amp;ROW()-1)</f>
        <v/>
      </c>
      <c r="AP28" s="43">
        <f>INDIRECT("'Jan"&amp;Members!$G$2&amp;"-EXPENSE'!R"&amp;ROW()+3)</f>
        <v/>
      </c>
      <c r="AQ28" s="2" t="n"/>
      <c r="AR28" s="43">
        <f>AO28-(AP28+AQ28)</f>
        <v/>
      </c>
      <c r="AS28" s="43">
        <f>INDIRECT("'Feb"&amp;Members!$G$2&amp;"-COLLECTION'!K"&amp;ROW()-1)</f>
        <v/>
      </c>
      <c r="AT28" s="43">
        <f>INDIRECT("'Feb"&amp;Members!$G$2&amp;"-EXPENSE'!R"&amp;ROW()+3)</f>
        <v/>
      </c>
      <c r="AU28" s="2" t="n"/>
      <c r="AV28" s="43">
        <f>AS28-(AT28+AU28)</f>
        <v/>
      </c>
      <c r="AW28" s="43">
        <f>INDIRECT("'Mar"&amp;Members!$G$2&amp;"-COLLECTION'!K"&amp;ROW()-1)</f>
        <v/>
      </c>
      <c r="AX28" s="43">
        <f>INDIRECT("'Mar"&amp;Members!$G$2&amp;"-EXPENSE'!R"&amp;ROW()+3)</f>
        <v/>
      </c>
      <c r="AY28" s="2" t="n"/>
      <c r="AZ28" s="43">
        <f>AW28-(AX28+AY28)</f>
        <v/>
      </c>
      <c r="BA28" s="43">
        <f>SUM(E28,I28,M28,Q28,U28,Y28,AC28,AG28,AK28,AO28,AS28,AW28)</f>
        <v/>
      </c>
      <c r="BB28" s="43">
        <f>SUM(F28,J28,N28,R28,V28,Z28,AD28,AH28,AL28,AP28,AT28,AX28)</f>
        <v/>
      </c>
      <c r="BC28" s="43">
        <f>SUM(G28,K28,O28,S28,W28,AA28,AE28,AI28,AM28,AQ28,AU28,AY28)</f>
        <v/>
      </c>
      <c r="BD28" s="43">
        <f>BA28-(BB28+BC28)</f>
        <v/>
      </c>
      <c r="BE28" s="43">
        <f>BD28+D28</f>
        <v/>
      </c>
    </row>
    <row r="29" ht="15.75" customHeight="1">
      <c r="A29" s="37" t="inlineStr">
        <is>
          <t>G11</t>
        </is>
      </c>
      <c r="B29" s="40">
        <f>VLOOKUP(A29,Members!$A$2:$C$65,3,FALSE)</f>
        <v/>
      </c>
      <c r="C29" s="37">
        <f>Members!B28</f>
        <v/>
      </c>
      <c r="D29" s="41" t="n">
        <v>0</v>
      </c>
      <c r="E29" s="41">
        <f>INDIRECT("'Apr"&amp;Members!$F$2&amp;"-COLLECTION'!K"&amp;ROW()-1)</f>
        <v/>
      </c>
      <c r="F29" s="41">
        <f>INDIRECT("'Apr"&amp;Members!$F$2&amp;"-EXPENSE'!R"&amp;ROW()+3)</f>
        <v/>
      </c>
      <c r="G29" s="20" t="n"/>
      <c r="H29" s="41">
        <f>E29-(F29+G29)</f>
        <v/>
      </c>
      <c r="I29" s="41">
        <f>INDIRECT("'May"&amp;Members!$F$2&amp;"-COLLECTION'!K"&amp;ROW()-1)</f>
        <v/>
      </c>
      <c r="J29" s="41">
        <f>INDIRECT("'May"&amp;Members!$F$2&amp;"-EXPENSE'!R"&amp;ROW()+3)</f>
        <v/>
      </c>
      <c r="K29" s="21" t="n"/>
      <c r="L29" s="41">
        <f>I29-(J29+K29)</f>
        <v/>
      </c>
      <c r="M29" s="41">
        <f>INDIRECT("'June"&amp;Members!$F$2&amp;"-COLLECTION'!K"&amp;ROW()-1)</f>
        <v/>
      </c>
      <c r="N29" s="41">
        <f>INDIRECT("'June"&amp;Members!$F$2&amp;"-EXPENSE'!R"&amp;ROW()+3)</f>
        <v/>
      </c>
      <c r="O29" s="20" t="n"/>
      <c r="P29" s="41">
        <f>M29-(N29+O29)</f>
        <v/>
      </c>
      <c r="Q29" s="41">
        <f>INDIRECT("'July"&amp;Members!$F$2&amp;"-COLLECTION'!K"&amp;ROW()-1)</f>
        <v/>
      </c>
      <c r="R29" s="41">
        <f>INDIRECT("'July"&amp;Members!$F$2&amp;"-EXPENSE'!R"&amp;ROW()+3)</f>
        <v/>
      </c>
      <c r="S29" s="21" t="n"/>
      <c r="T29" s="41">
        <f>Q29-(R29+S29)</f>
        <v/>
      </c>
      <c r="U29" s="41">
        <f>INDIRECT("'Aug"&amp;Members!$F$2&amp;"-COLLECTION'!K"&amp;ROW()-1)</f>
        <v/>
      </c>
      <c r="V29" s="41">
        <f>INDIRECT("'Aug"&amp;Members!$F$2&amp;"-EXPENSE'!R"&amp;ROW()+3)</f>
        <v/>
      </c>
      <c r="W29" s="20" t="n"/>
      <c r="X29" s="41">
        <f>U29-(V29+W29)</f>
        <v/>
      </c>
      <c r="Y29" s="41">
        <f>INDIRECT("'Sep"&amp;Members!$F$2&amp;"-COLLECTION'!K"&amp;ROW()-1)</f>
        <v/>
      </c>
      <c r="Z29" s="41">
        <f>INDIRECT("'Sep"&amp;Members!$F$2&amp;"-EXPENSE'!R"&amp;ROW()+3)</f>
        <v/>
      </c>
      <c r="AA29" s="21" t="n"/>
      <c r="AB29" s="41">
        <f>Y29-(Z29+AA29)</f>
        <v/>
      </c>
      <c r="AC29" s="41">
        <f>INDIRECT("'Oct"&amp;Members!$F$2&amp;"-COLLECTION'!K"&amp;ROW()-1)</f>
        <v/>
      </c>
      <c r="AD29" s="41">
        <f>INDIRECT("'Oct"&amp;Members!$F$2&amp;"-EXPENSE'!R"&amp;ROW()+3)</f>
        <v/>
      </c>
      <c r="AE29" s="21" t="n"/>
      <c r="AF29" s="41">
        <f>AC29-(AD29+AE29)</f>
        <v/>
      </c>
      <c r="AG29" s="41">
        <f>INDIRECT("'Nov"&amp;Members!$F$2&amp;"-COLLECTION'!K"&amp;ROW()-1)</f>
        <v/>
      </c>
      <c r="AH29" s="41">
        <f>INDIRECT("'Nov"&amp;Members!$F$2&amp;"-EXPENSE'!R"&amp;ROW()+3)</f>
        <v/>
      </c>
      <c r="AI29" s="21" t="n"/>
      <c r="AJ29" s="41">
        <f>AG29-(AH29+AI29)</f>
        <v/>
      </c>
      <c r="AK29" s="41">
        <f>INDIRECT("'Dec"&amp;Members!$F$2&amp;"-COLLECTION'!K"&amp;ROW()-1)</f>
        <v/>
      </c>
      <c r="AL29" s="41">
        <f>INDIRECT("'Dec"&amp;Members!$F$2&amp;"-EXPENSE'!R"&amp;ROW()+3)</f>
        <v/>
      </c>
      <c r="AM29" s="21" t="n"/>
      <c r="AN29" s="41">
        <f>AK29-(AL29+AM29)</f>
        <v/>
      </c>
      <c r="AO29" s="41">
        <f>INDIRECT("'Jan"&amp;Members!$G$2&amp;"-COLLECTION'!K"&amp;ROW()-1)</f>
        <v/>
      </c>
      <c r="AP29" s="41">
        <f>INDIRECT("'Jan"&amp;Members!$G$2&amp;"-EXPENSE'!R"&amp;ROW()+3)</f>
        <v/>
      </c>
      <c r="AQ29" s="2" t="n"/>
      <c r="AR29" s="41">
        <f>AO29-(AP29+AQ29)</f>
        <v/>
      </c>
      <c r="AS29" s="41">
        <f>INDIRECT("'Feb"&amp;Members!$G$2&amp;"-COLLECTION'!K"&amp;ROW()-1)</f>
        <v/>
      </c>
      <c r="AT29" s="41">
        <f>INDIRECT("'Feb"&amp;Members!$G$2&amp;"-EXPENSE'!R"&amp;ROW()+3)</f>
        <v/>
      </c>
      <c r="AU29" s="2" t="n"/>
      <c r="AV29" s="41">
        <f>AS29-(AT29+AU29)</f>
        <v/>
      </c>
      <c r="AW29" s="41">
        <f>INDIRECT("'Mar"&amp;Members!$G$2&amp;"-COLLECTION'!K"&amp;ROW()-1)</f>
        <v/>
      </c>
      <c r="AX29" s="41">
        <f>INDIRECT("'Mar"&amp;Members!$G$2&amp;"-EXPENSE'!R"&amp;ROW()+3)</f>
        <v/>
      </c>
      <c r="AY29" s="2" t="n"/>
      <c r="AZ29" s="41">
        <f>AW29-(AX29+AY29)</f>
        <v/>
      </c>
      <c r="BA29" s="41">
        <f>SUM(E29,I29,M29,Q29,U29,Y29,AC29,AG29,AK29,AO29,AS29,AW29)</f>
        <v/>
      </c>
      <c r="BB29" s="41">
        <f>SUM(F29,J29,N29,R29,V29,Z29,AD29,AH29,AL29,AP29,AT29,AX29)</f>
        <v/>
      </c>
      <c r="BC29" s="41">
        <f>SUM(G29,K29,O29,S29,W29,AA29,AE29,AI29,AM29,AQ29,AU29,AY29)</f>
        <v/>
      </c>
      <c r="BD29" s="41">
        <f>BA29-(BB29+BC29)</f>
        <v/>
      </c>
      <c r="BE29" s="41">
        <f>BD29+D29</f>
        <v/>
      </c>
    </row>
    <row r="30" ht="15.75" customHeight="1">
      <c r="A30" s="36" t="inlineStr">
        <is>
          <t>G12</t>
        </is>
      </c>
      <c r="B30" s="42">
        <f>VLOOKUP(A30,Members!$A$2:$C$65,3,FALSE)</f>
        <v/>
      </c>
      <c r="C30" s="36">
        <f>Members!B29</f>
        <v/>
      </c>
      <c r="D30" s="43" t="n">
        <v>0</v>
      </c>
      <c r="E30" s="43">
        <f>INDIRECT("'Apr"&amp;Members!$F$2&amp;"-COLLECTION'!K"&amp;ROW()-1)</f>
        <v/>
      </c>
      <c r="F30" s="43">
        <f>INDIRECT("'Apr"&amp;Members!$F$2&amp;"-EXPENSE'!R"&amp;ROW()+3)</f>
        <v/>
      </c>
      <c r="G30" s="20" t="n"/>
      <c r="H30" s="43">
        <f>E30-(F30+G30)</f>
        <v/>
      </c>
      <c r="I30" s="43">
        <f>INDIRECT("'May"&amp;Members!$F$2&amp;"-COLLECTION'!K"&amp;ROW()-1)</f>
        <v/>
      </c>
      <c r="J30" s="43">
        <f>INDIRECT("'May"&amp;Members!$F$2&amp;"-EXPENSE'!R"&amp;ROW()+3)</f>
        <v/>
      </c>
      <c r="K30" s="21" t="n"/>
      <c r="L30" s="43">
        <f>I30-(J30+K30)</f>
        <v/>
      </c>
      <c r="M30" s="43">
        <f>INDIRECT("'June"&amp;Members!$F$2&amp;"-COLLECTION'!K"&amp;ROW()-1)</f>
        <v/>
      </c>
      <c r="N30" s="43">
        <f>INDIRECT("'June"&amp;Members!$F$2&amp;"-EXPENSE'!R"&amp;ROW()+3)</f>
        <v/>
      </c>
      <c r="O30" s="20" t="n"/>
      <c r="P30" s="43">
        <f>M30-(N30+O30)</f>
        <v/>
      </c>
      <c r="Q30" s="43">
        <f>INDIRECT("'July"&amp;Members!$F$2&amp;"-COLLECTION'!K"&amp;ROW()-1)</f>
        <v/>
      </c>
      <c r="R30" s="43">
        <f>INDIRECT("'July"&amp;Members!$F$2&amp;"-EXPENSE'!R"&amp;ROW()+3)</f>
        <v/>
      </c>
      <c r="S30" s="21" t="n"/>
      <c r="T30" s="43">
        <f>Q30-(R30+S30)</f>
        <v/>
      </c>
      <c r="U30" s="43">
        <f>INDIRECT("'Aug"&amp;Members!$F$2&amp;"-COLLECTION'!K"&amp;ROW()-1)</f>
        <v/>
      </c>
      <c r="V30" s="43">
        <f>INDIRECT("'Aug"&amp;Members!$F$2&amp;"-EXPENSE'!R"&amp;ROW()+3)</f>
        <v/>
      </c>
      <c r="W30" s="20" t="n"/>
      <c r="X30" s="43">
        <f>U30-(V30+W30)</f>
        <v/>
      </c>
      <c r="Y30" s="43">
        <f>INDIRECT("'Sep"&amp;Members!$F$2&amp;"-COLLECTION'!K"&amp;ROW()-1)</f>
        <v/>
      </c>
      <c r="Z30" s="43">
        <f>INDIRECT("'Sep"&amp;Members!$F$2&amp;"-EXPENSE'!R"&amp;ROW()+3)</f>
        <v/>
      </c>
      <c r="AA30" s="21" t="n"/>
      <c r="AB30" s="43">
        <f>Y30-(Z30+AA30)</f>
        <v/>
      </c>
      <c r="AC30" s="43">
        <f>INDIRECT("'Oct"&amp;Members!$F$2&amp;"-COLLECTION'!K"&amp;ROW()-1)</f>
        <v/>
      </c>
      <c r="AD30" s="43">
        <f>INDIRECT("'Oct"&amp;Members!$F$2&amp;"-EXPENSE'!R"&amp;ROW()+3)</f>
        <v/>
      </c>
      <c r="AE30" s="21" t="n"/>
      <c r="AF30" s="43">
        <f>AC30-(AD30+AE30)</f>
        <v/>
      </c>
      <c r="AG30" s="43">
        <f>INDIRECT("'Nov"&amp;Members!$F$2&amp;"-COLLECTION'!K"&amp;ROW()-1)</f>
        <v/>
      </c>
      <c r="AH30" s="43">
        <f>INDIRECT("'Nov"&amp;Members!$F$2&amp;"-EXPENSE'!R"&amp;ROW()+3)</f>
        <v/>
      </c>
      <c r="AI30" s="21" t="n"/>
      <c r="AJ30" s="43">
        <f>AG30-(AH30+AI30)</f>
        <v/>
      </c>
      <c r="AK30" s="43">
        <f>INDIRECT("'Dec"&amp;Members!$F$2&amp;"-COLLECTION'!K"&amp;ROW()-1)</f>
        <v/>
      </c>
      <c r="AL30" s="43">
        <f>INDIRECT("'Dec"&amp;Members!$F$2&amp;"-EXPENSE'!R"&amp;ROW()+3)</f>
        <v/>
      </c>
      <c r="AM30" s="21" t="n"/>
      <c r="AN30" s="43">
        <f>AK30-(AL30+AM30)</f>
        <v/>
      </c>
      <c r="AO30" s="43">
        <f>INDIRECT("'Jan"&amp;Members!$G$2&amp;"-COLLECTION'!K"&amp;ROW()-1)</f>
        <v/>
      </c>
      <c r="AP30" s="43">
        <f>INDIRECT("'Jan"&amp;Members!$G$2&amp;"-EXPENSE'!R"&amp;ROW()+3)</f>
        <v/>
      </c>
      <c r="AQ30" s="2" t="n"/>
      <c r="AR30" s="43">
        <f>AO30-(AP30+AQ30)</f>
        <v/>
      </c>
      <c r="AS30" s="43">
        <f>INDIRECT("'Feb"&amp;Members!$G$2&amp;"-COLLECTION'!K"&amp;ROW()-1)</f>
        <v/>
      </c>
      <c r="AT30" s="43">
        <f>INDIRECT("'Feb"&amp;Members!$G$2&amp;"-EXPENSE'!R"&amp;ROW()+3)</f>
        <v/>
      </c>
      <c r="AU30" s="2" t="n"/>
      <c r="AV30" s="43">
        <f>AS30-(AT30+AU30)</f>
        <v/>
      </c>
      <c r="AW30" s="43">
        <f>INDIRECT("'Mar"&amp;Members!$G$2&amp;"-COLLECTION'!K"&amp;ROW()-1)</f>
        <v/>
      </c>
      <c r="AX30" s="43">
        <f>INDIRECT("'Mar"&amp;Members!$G$2&amp;"-EXPENSE'!R"&amp;ROW()+3)</f>
        <v/>
      </c>
      <c r="AY30" s="2" t="n"/>
      <c r="AZ30" s="43">
        <f>AW30-(AX30+AY30)</f>
        <v/>
      </c>
      <c r="BA30" s="43">
        <f>SUM(E30,I30,M30,Q30,U30,Y30,AC30,AG30,AK30,AO30,AS30,AW30)</f>
        <v/>
      </c>
      <c r="BB30" s="43">
        <f>SUM(F30,J30,N30,R30,V30,Z30,AD30,AH30,AL30,AP30,AT30,AX30)</f>
        <v/>
      </c>
      <c r="BC30" s="43">
        <f>SUM(G30,K30,O30,S30,W30,AA30,AE30,AI30,AM30,AQ30,AU30,AY30)</f>
        <v/>
      </c>
      <c r="BD30" s="43">
        <f>BA30-(BB30+BC30)</f>
        <v/>
      </c>
      <c r="BE30" s="43">
        <f>BD30+D30</f>
        <v/>
      </c>
    </row>
    <row r="31" ht="15.75" customHeight="1">
      <c r="A31" s="37" t="inlineStr">
        <is>
          <t>G13</t>
        </is>
      </c>
      <c r="B31" s="40">
        <f>VLOOKUP(A31,Members!$A$2:$C$65,3,FALSE)</f>
        <v/>
      </c>
      <c r="C31" s="37">
        <f>Members!B30</f>
        <v/>
      </c>
      <c r="D31" s="41" t="n">
        <v>0</v>
      </c>
      <c r="E31" s="41">
        <f>INDIRECT("'Apr"&amp;Members!$F$2&amp;"-COLLECTION'!K"&amp;ROW()-1)</f>
        <v/>
      </c>
      <c r="F31" s="41">
        <f>INDIRECT("'Apr"&amp;Members!$F$2&amp;"-EXPENSE'!R"&amp;ROW()+3)</f>
        <v/>
      </c>
      <c r="G31" s="20" t="n"/>
      <c r="H31" s="41">
        <f>E31-(F31+G31)</f>
        <v/>
      </c>
      <c r="I31" s="41">
        <f>INDIRECT("'May"&amp;Members!$F$2&amp;"-COLLECTION'!K"&amp;ROW()-1)</f>
        <v/>
      </c>
      <c r="J31" s="41">
        <f>INDIRECT("'May"&amp;Members!$F$2&amp;"-EXPENSE'!R"&amp;ROW()+3)</f>
        <v/>
      </c>
      <c r="K31" s="21" t="n"/>
      <c r="L31" s="41">
        <f>I31-(J31+K31)</f>
        <v/>
      </c>
      <c r="M31" s="41">
        <f>INDIRECT("'June"&amp;Members!$F$2&amp;"-COLLECTION'!K"&amp;ROW()-1)</f>
        <v/>
      </c>
      <c r="N31" s="41">
        <f>INDIRECT("'June"&amp;Members!$F$2&amp;"-EXPENSE'!R"&amp;ROW()+3)</f>
        <v/>
      </c>
      <c r="O31" s="20" t="n"/>
      <c r="P31" s="41">
        <f>M31-(N31+O31)</f>
        <v/>
      </c>
      <c r="Q31" s="41">
        <f>INDIRECT("'July"&amp;Members!$F$2&amp;"-COLLECTION'!K"&amp;ROW()-1)</f>
        <v/>
      </c>
      <c r="R31" s="41">
        <f>INDIRECT("'July"&amp;Members!$F$2&amp;"-EXPENSE'!R"&amp;ROW()+3)</f>
        <v/>
      </c>
      <c r="S31" s="21" t="n"/>
      <c r="T31" s="41">
        <f>Q31-(R31+S31)</f>
        <v/>
      </c>
      <c r="U31" s="41">
        <f>INDIRECT("'Aug"&amp;Members!$F$2&amp;"-COLLECTION'!K"&amp;ROW()-1)</f>
        <v/>
      </c>
      <c r="V31" s="41">
        <f>INDIRECT("'Aug"&amp;Members!$F$2&amp;"-EXPENSE'!R"&amp;ROW()+3)</f>
        <v/>
      </c>
      <c r="W31" s="20" t="n"/>
      <c r="X31" s="41">
        <f>U31-(V31+W31)</f>
        <v/>
      </c>
      <c r="Y31" s="41">
        <f>INDIRECT("'Sep"&amp;Members!$F$2&amp;"-COLLECTION'!K"&amp;ROW()-1)</f>
        <v/>
      </c>
      <c r="Z31" s="41">
        <f>INDIRECT("'Sep"&amp;Members!$F$2&amp;"-EXPENSE'!R"&amp;ROW()+3)</f>
        <v/>
      </c>
      <c r="AA31" s="21" t="n"/>
      <c r="AB31" s="41">
        <f>Y31-(Z31+AA31)</f>
        <v/>
      </c>
      <c r="AC31" s="41">
        <f>INDIRECT("'Oct"&amp;Members!$F$2&amp;"-COLLECTION'!K"&amp;ROW()-1)</f>
        <v/>
      </c>
      <c r="AD31" s="41">
        <f>INDIRECT("'Oct"&amp;Members!$F$2&amp;"-EXPENSE'!R"&amp;ROW()+3)</f>
        <v/>
      </c>
      <c r="AE31" s="21" t="n"/>
      <c r="AF31" s="41">
        <f>AC31-(AD31+AE31)</f>
        <v/>
      </c>
      <c r="AG31" s="41">
        <f>INDIRECT("'Nov"&amp;Members!$F$2&amp;"-COLLECTION'!K"&amp;ROW()-1)</f>
        <v/>
      </c>
      <c r="AH31" s="41">
        <f>INDIRECT("'Nov"&amp;Members!$F$2&amp;"-EXPENSE'!R"&amp;ROW()+3)</f>
        <v/>
      </c>
      <c r="AI31" s="21" t="n"/>
      <c r="AJ31" s="41">
        <f>AG31-(AH31+AI31)</f>
        <v/>
      </c>
      <c r="AK31" s="41">
        <f>INDIRECT("'Dec"&amp;Members!$F$2&amp;"-COLLECTION'!K"&amp;ROW()-1)</f>
        <v/>
      </c>
      <c r="AL31" s="41">
        <f>INDIRECT("'Dec"&amp;Members!$F$2&amp;"-EXPENSE'!R"&amp;ROW()+3)</f>
        <v/>
      </c>
      <c r="AM31" s="21" t="n"/>
      <c r="AN31" s="41">
        <f>AK31-(AL31+AM31)</f>
        <v/>
      </c>
      <c r="AO31" s="41">
        <f>INDIRECT("'Jan"&amp;Members!$G$2&amp;"-COLLECTION'!K"&amp;ROW()-1)</f>
        <v/>
      </c>
      <c r="AP31" s="41">
        <f>INDIRECT("'Jan"&amp;Members!$G$2&amp;"-EXPENSE'!R"&amp;ROW()+3)</f>
        <v/>
      </c>
      <c r="AQ31" s="2" t="n"/>
      <c r="AR31" s="41">
        <f>AO31-(AP31+AQ31)</f>
        <v/>
      </c>
      <c r="AS31" s="41">
        <f>INDIRECT("'Feb"&amp;Members!$G$2&amp;"-COLLECTION'!K"&amp;ROW()-1)</f>
        <v/>
      </c>
      <c r="AT31" s="41">
        <f>INDIRECT("'Feb"&amp;Members!$G$2&amp;"-EXPENSE'!R"&amp;ROW()+3)</f>
        <v/>
      </c>
      <c r="AU31" s="2" t="n"/>
      <c r="AV31" s="41">
        <f>AS31-(AT31+AU31)</f>
        <v/>
      </c>
      <c r="AW31" s="41">
        <f>INDIRECT("'Mar"&amp;Members!$G$2&amp;"-COLLECTION'!K"&amp;ROW()-1)</f>
        <v/>
      </c>
      <c r="AX31" s="41">
        <f>INDIRECT("'Mar"&amp;Members!$G$2&amp;"-EXPENSE'!R"&amp;ROW()+3)</f>
        <v/>
      </c>
      <c r="AY31" s="2" t="n"/>
      <c r="AZ31" s="41">
        <f>AW31-(AX31+AY31)</f>
        <v/>
      </c>
      <c r="BA31" s="41">
        <f>SUM(E31,I31,M31,Q31,U31,Y31,AC31,AG31,AK31,AO31,AS31,AW31)</f>
        <v/>
      </c>
      <c r="BB31" s="41">
        <f>SUM(F31,J31,N31,R31,V31,Z31,AD31,AH31,AL31,AP31,AT31,AX31)</f>
        <v/>
      </c>
      <c r="BC31" s="41">
        <f>SUM(G31,K31,O31,S31,W31,AA31,AE31,AI31,AM31,AQ31,AU31,AY31)</f>
        <v/>
      </c>
      <c r="BD31" s="41">
        <f>BA31-(BB31+BC31)</f>
        <v/>
      </c>
      <c r="BE31" s="41">
        <f>BD31+D31</f>
        <v/>
      </c>
    </row>
    <row r="32" ht="15.75" customHeight="1">
      <c r="A32" s="36" t="inlineStr">
        <is>
          <t>G14</t>
        </is>
      </c>
      <c r="B32" s="42">
        <f>VLOOKUP(A32,Members!$A$2:$C$65,3,FALSE)</f>
        <v/>
      </c>
      <c r="C32" s="36">
        <f>Members!B31</f>
        <v/>
      </c>
      <c r="D32" s="43" t="n">
        <v>0</v>
      </c>
      <c r="E32" s="43">
        <f>INDIRECT("'Apr"&amp;Members!$F$2&amp;"-COLLECTION'!K"&amp;ROW()-1)</f>
        <v/>
      </c>
      <c r="F32" s="43">
        <f>INDIRECT("'Apr"&amp;Members!$F$2&amp;"-EXPENSE'!R"&amp;ROW()+3)</f>
        <v/>
      </c>
      <c r="G32" s="20" t="n"/>
      <c r="H32" s="43">
        <f>E32-(F32+G32)</f>
        <v/>
      </c>
      <c r="I32" s="43">
        <f>INDIRECT("'May"&amp;Members!$F$2&amp;"-COLLECTION'!K"&amp;ROW()-1)</f>
        <v/>
      </c>
      <c r="J32" s="43">
        <f>INDIRECT("'May"&amp;Members!$F$2&amp;"-EXPENSE'!R"&amp;ROW()+3)</f>
        <v/>
      </c>
      <c r="K32" s="21" t="n"/>
      <c r="L32" s="43">
        <f>I32-(J32+K32)</f>
        <v/>
      </c>
      <c r="M32" s="43">
        <f>INDIRECT("'June"&amp;Members!$F$2&amp;"-COLLECTION'!K"&amp;ROW()-1)</f>
        <v/>
      </c>
      <c r="N32" s="43">
        <f>INDIRECT("'June"&amp;Members!$F$2&amp;"-EXPENSE'!R"&amp;ROW()+3)</f>
        <v/>
      </c>
      <c r="O32" s="20" t="n"/>
      <c r="P32" s="43">
        <f>M32-(N32+O32)</f>
        <v/>
      </c>
      <c r="Q32" s="43">
        <f>INDIRECT("'July"&amp;Members!$F$2&amp;"-COLLECTION'!K"&amp;ROW()-1)</f>
        <v/>
      </c>
      <c r="R32" s="43">
        <f>INDIRECT("'July"&amp;Members!$F$2&amp;"-EXPENSE'!R"&amp;ROW()+3)</f>
        <v/>
      </c>
      <c r="S32" s="21" t="n"/>
      <c r="T32" s="43">
        <f>Q32-(R32+S32)</f>
        <v/>
      </c>
      <c r="U32" s="43">
        <f>INDIRECT("'Aug"&amp;Members!$F$2&amp;"-COLLECTION'!K"&amp;ROW()-1)</f>
        <v/>
      </c>
      <c r="V32" s="43">
        <f>INDIRECT("'Aug"&amp;Members!$F$2&amp;"-EXPENSE'!R"&amp;ROW()+3)</f>
        <v/>
      </c>
      <c r="W32" s="20" t="n"/>
      <c r="X32" s="43">
        <f>U32-(V32+W32)</f>
        <v/>
      </c>
      <c r="Y32" s="43">
        <f>INDIRECT("'Sep"&amp;Members!$F$2&amp;"-COLLECTION'!K"&amp;ROW()-1)</f>
        <v/>
      </c>
      <c r="Z32" s="43">
        <f>INDIRECT("'Sep"&amp;Members!$F$2&amp;"-EXPENSE'!R"&amp;ROW()+3)</f>
        <v/>
      </c>
      <c r="AA32" s="21" t="n"/>
      <c r="AB32" s="43">
        <f>Y32-(Z32+AA32)</f>
        <v/>
      </c>
      <c r="AC32" s="43">
        <f>INDIRECT("'Oct"&amp;Members!$F$2&amp;"-COLLECTION'!K"&amp;ROW()-1)</f>
        <v/>
      </c>
      <c r="AD32" s="43">
        <f>INDIRECT("'Oct"&amp;Members!$F$2&amp;"-EXPENSE'!R"&amp;ROW()+3)</f>
        <v/>
      </c>
      <c r="AE32" s="21" t="n"/>
      <c r="AF32" s="43">
        <f>AC32-(AD32+AE32)</f>
        <v/>
      </c>
      <c r="AG32" s="43">
        <f>INDIRECT("'Nov"&amp;Members!$F$2&amp;"-COLLECTION'!K"&amp;ROW()-1)</f>
        <v/>
      </c>
      <c r="AH32" s="43">
        <f>INDIRECT("'Nov"&amp;Members!$F$2&amp;"-EXPENSE'!R"&amp;ROW()+3)</f>
        <v/>
      </c>
      <c r="AI32" s="21" t="n"/>
      <c r="AJ32" s="43">
        <f>AG32-(AH32+AI32)</f>
        <v/>
      </c>
      <c r="AK32" s="43">
        <f>INDIRECT("'Dec"&amp;Members!$F$2&amp;"-COLLECTION'!K"&amp;ROW()-1)</f>
        <v/>
      </c>
      <c r="AL32" s="43">
        <f>INDIRECT("'Dec"&amp;Members!$F$2&amp;"-EXPENSE'!R"&amp;ROW()+3)</f>
        <v/>
      </c>
      <c r="AM32" s="21" t="n"/>
      <c r="AN32" s="43">
        <f>AK32-(AL32+AM32)</f>
        <v/>
      </c>
      <c r="AO32" s="43">
        <f>INDIRECT("'Jan"&amp;Members!$G$2&amp;"-COLLECTION'!K"&amp;ROW()-1)</f>
        <v/>
      </c>
      <c r="AP32" s="43">
        <f>INDIRECT("'Jan"&amp;Members!$G$2&amp;"-EXPENSE'!R"&amp;ROW()+3)</f>
        <v/>
      </c>
      <c r="AQ32" s="2" t="n"/>
      <c r="AR32" s="43">
        <f>AO32-(AP32+AQ32)</f>
        <v/>
      </c>
      <c r="AS32" s="43">
        <f>INDIRECT("'Feb"&amp;Members!$G$2&amp;"-COLLECTION'!K"&amp;ROW()-1)</f>
        <v/>
      </c>
      <c r="AT32" s="43">
        <f>INDIRECT("'Feb"&amp;Members!$G$2&amp;"-EXPENSE'!R"&amp;ROW()+3)</f>
        <v/>
      </c>
      <c r="AU32" s="2" t="n"/>
      <c r="AV32" s="43">
        <f>AS32-(AT32+AU32)</f>
        <v/>
      </c>
      <c r="AW32" s="43">
        <f>INDIRECT("'Mar"&amp;Members!$G$2&amp;"-COLLECTION'!K"&amp;ROW()-1)</f>
        <v/>
      </c>
      <c r="AX32" s="43">
        <f>INDIRECT("'Mar"&amp;Members!$G$2&amp;"-EXPENSE'!R"&amp;ROW()+3)</f>
        <v/>
      </c>
      <c r="AY32" s="2" t="n"/>
      <c r="AZ32" s="43">
        <f>AW32-(AX32+AY32)</f>
        <v/>
      </c>
      <c r="BA32" s="43">
        <f>SUM(E32,I32,M32,Q32,U32,Y32,AC32,AG32,AK32,AO32,AS32,AW32)</f>
        <v/>
      </c>
      <c r="BB32" s="43">
        <f>SUM(F32,J32,N32,R32,V32,Z32,AD32,AH32,AL32,AP32,AT32,AX32)</f>
        <v/>
      </c>
      <c r="BC32" s="43">
        <f>SUM(G32,K32,O32,S32,W32,AA32,AE32,AI32,AM32,AQ32,AU32,AY32)</f>
        <v/>
      </c>
      <c r="BD32" s="43">
        <f>BA32-(BB32+BC32)</f>
        <v/>
      </c>
      <c r="BE32" s="43">
        <f>BD32+D32</f>
        <v/>
      </c>
    </row>
    <row r="33" ht="15.75" customHeight="1">
      <c r="A33" s="37" t="inlineStr">
        <is>
          <t>G15</t>
        </is>
      </c>
      <c r="B33" s="40">
        <f>VLOOKUP(A33,Members!$A$2:$C$65,3,FALSE)</f>
        <v/>
      </c>
      <c r="C33" s="37">
        <f>Members!B32</f>
        <v/>
      </c>
      <c r="D33" s="41" t="n">
        <v>0</v>
      </c>
      <c r="E33" s="41">
        <f>INDIRECT("'Apr"&amp;Members!$F$2&amp;"-COLLECTION'!K"&amp;ROW()-1)</f>
        <v/>
      </c>
      <c r="F33" s="41">
        <f>INDIRECT("'Apr"&amp;Members!$F$2&amp;"-EXPENSE'!R"&amp;ROW()+3)</f>
        <v/>
      </c>
      <c r="G33" s="20" t="n"/>
      <c r="H33" s="41">
        <f>E33-(F33+G33)</f>
        <v/>
      </c>
      <c r="I33" s="41">
        <f>INDIRECT("'May"&amp;Members!$F$2&amp;"-COLLECTION'!K"&amp;ROW()-1)</f>
        <v/>
      </c>
      <c r="J33" s="41">
        <f>INDIRECT("'May"&amp;Members!$F$2&amp;"-EXPENSE'!R"&amp;ROW()+3)</f>
        <v/>
      </c>
      <c r="K33" s="21" t="n"/>
      <c r="L33" s="41">
        <f>I33-(J33+K33)</f>
        <v/>
      </c>
      <c r="M33" s="41">
        <f>INDIRECT("'June"&amp;Members!$F$2&amp;"-COLLECTION'!K"&amp;ROW()-1)</f>
        <v/>
      </c>
      <c r="N33" s="41">
        <f>INDIRECT("'June"&amp;Members!$F$2&amp;"-EXPENSE'!R"&amp;ROW()+3)</f>
        <v/>
      </c>
      <c r="O33" s="20" t="n"/>
      <c r="P33" s="41">
        <f>M33-(N33+O33)</f>
        <v/>
      </c>
      <c r="Q33" s="41">
        <f>INDIRECT("'July"&amp;Members!$F$2&amp;"-COLLECTION'!K"&amp;ROW()-1)</f>
        <v/>
      </c>
      <c r="R33" s="41">
        <f>INDIRECT("'July"&amp;Members!$F$2&amp;"-EXPENSE'!R"&amp;ROW()+3)</f>
        <v/>
      </c>
      <c r="S33" s="21" t="n"/>
      <c r="T33" s="41">
        <f>Q33-(R33+S33)</f>
        <v/>
      </c>
      <c r="U33" s="41">
        <f>INDIRECT("'Aug"&amp;Members!$F$2&amp;"-COLLECTION'!K"&amp;ROW()-1)</f>
        <v/>
      </c>
      <c r="V33" s="41">
        <f>INDIRECT("'Aug"&amp;Members!$F$2&amp;"-EXPENSE'!R"&amp;ROW()+3)</f>
        <v/>
      </c>
      <c r="W33" s="20" t="n"/>
      <c r="X33" s="41">
        <f>U33-(V33+W33)</f>
        <v/>
      </c>
      <c r="Y33" s="41">
        <f>INDIRECT("'Sep"&amp;Members!$F$2&amp;"-COLLECTION'!K"&amp;ROW()-1)</f>
        <v/>
      </c>
      <c r="Z33" s="41">
        <f>INDIRECT("'Sep"&amp;Members!$F$2&amp;"-EXPENSE'!R"&amp;ROW()+3)</f>
        <v/>
      </c>
      <c r="AA33" s="21" t="n"/>
      <c r="AB33" s="41">
        <f>Y33-(Z33+AA33)</f>
        <v/>
      </c>
      <c r="AC33" s="41">
        <f>INDIRECT("'Oct"&amp;Members!$F$2&amp;"-COLLECTION'!K"&amp;ROW()-1)</f>
        <v/>
      </c>
      <c r="AD33" s="41">
        <f>INDIRECT("'Oct"&amp;Members!$F$2&amp;"-EXPENSE'!R"&amp;ROW()+3)</f>
        <v/>
      </c>
      <c r="AE33" s="21" t="n"/>
      <c r="AF33" s="41">
        <f>AC33-(AD33+AE33)</f>
        <v/>
      </c>
      <c r="AG33" s="41">
        <f>INDIRECT("'Nov"&amp;Members!$F$2&amp;"-COLLECTION'!K"&amp;ROW()-1)</f>
        <v/>
      </c>
      <c r="AH33" s="41">
        <f>INDIRECT("'Nov"&amp;Members!$F$2&amp;"-EXPENSE'!R"&amp;ROW()+3)</f>
        <v/>
      </c>
      <c r="AI33" s="21" t="n"/>
      <c r="AJ33" s="41">
        <f>AG33-(AH33+AI33)</f>
        <v/>
      </c>
      <c r="AK33" s="41">
        <f>INDIRECT("'Dec"&amp;Members!$F$2&amp;"-COLLECTION'!K"&amp;ROW()-1)</f>
        <v/>
      </c>
      <c r="AL33" s="41">
        <f>INDIRECT("'Dec"&amp;Members!$F$2&amp;"-EXPENSE'!R"&amp;ROW()+3)</f>
        <v/>
      </c>
      <c r="AM33" s="21" t="n"/>
      <c r="AN33" s="41">
        <f>AK33-(AL33+AM33)</f>
        <v/>
      </c>
      <c r="AO33" s="41">
        <f>INDIRECT("'Jan"&amp;Members!$G$2&amp;"-COLLECTION'!K"&amp;ROW()-1)</f>
        <v/>
      </c>
      <c r="AP33" s="41">
        <f>INDIRECT("'Jan"&amp;Members!$G$2&amp;"-EXPENSE'!R"&amp;ROW()+3)</f>
        <v/>
      </c>
      <c r="AQ33" s="2" t="n"/>
      <c r="AR33" s="41">
        <f>AO33-(AP33+AQ33)</f>
        <v/>
      </c>
      <c r="AS33" s="41">
        <f>INDIRECT("'Feb"&amp;Members!$G$2&amp;"-COLLECTION'!K"&amp;ROW()-1)</f>
        <v/>
      </c>
      <c r="AT33" s="41">
        <f>INDIRECT("'Feb"&amp;Members!$G$2&amp;"-EXPENSE'!R"&amp;ROW()+3)</f>
        <v/>
      </c>
      <c r="AU33" s="2" t="n"/>
      <c r="AV33" s="41">
        <f>AS33-(AT33+AU33)</f>
        <v/>
      </c>
      <c r="AW33" s="41">
        <f>INDIRECT("'Mar"&amp;Members!$G$2&amp;"-COLLECTION'!K"&amp;ROW()-1)</f>
        <v/>
      </c>
      <c r="AX33" s="41">
        <f>INDIRECT("'Mar"&amp;Members!$G$2&amp;"-EXPENSE'!R"&amp;ROW()+3)</f>
        <v/>
      </c>
      <c r="AY33" s="2" t="n"/>
      <c r="AZ33" s="41">
        <f>AW33-(AX33+AY33)</f>
        <v/>
      </c>
      <c r="BA33" s="41">
        <f>SUM(E33,I33,M33,Q33,U33,Y33,AC33,AG33,AK33,AO33,AS33,AW33)</f>
        <v/>
      </c>
      <c r="BB33" s="41">
        <f>SUM(F33,J33,N33,R33,V33,Z33,AD33,AH33,AL33,AP33,AT33,AX33)</f>
        <v/>
      </c>
      <c r="BC33" s="41">
        <f>SUM(G33,K33,O33,S33,W33,AA33,AE33,AI33,AM33,AQ33,AU33,AY33)</f>
        <v/>
      </c>
      <c r="BD33" s="41">
        <f>BA33-(BB33+BC33)</f>
        <v/>
      </c>
      <c r="BE33" s="41">
        <f>BD33+D33</f>
        <v/>
      </c>
    </row>
    <row r="34" ht="15.75" customHeight="1">
      <c r="A34" s="36" t="inlineStr">
        <is>
          <t>G16</t>
        </is>
      </c>
      <c r="B34" s="42">
        <f>VLOOKUP(A34,Members!$A$2:$C$65,3,FALSE)</f>
        <v/>
      </c>
      <c r="C34" s="36">
        <f>Members!B33</f>
        <v/>
      </c>
      <c r="D34" s="43" t="n">
        <v>0</v>
      </c>
      <c r="E34" s="43">
        <f>INDIRECT("'Apr"&amp;Members!$F$2&amp;"-COLLECTION'!K"&amp;ROW()-1)</f>
        <v/>
      </c>
      <c r="F34" s="43">
        <f>INDIRECT("'Apr"&amp;Members!$F$2&amp;"-EXPENSE'!R"&amp;ROW()+3)</f>
        <v/>
      </c>
      <c r="G34" s="20" t="n"/>
      <c r="H34" s="43">
        <f>E34-(F34+G34)</f>
        <v/>
      </c>
      <c r="I34" s="43">
        <f>INDIRECT("'May"&amp;Members!$F$2&amp;"-COLLECTION'!K"&amp;ROW()-1)</f>
        <v/>
      </c>
      <c r="J34" s="43">
        <f>INDIRECT("'May"&amp;Members!$F$2&amp;"-EXPENSE'!R"&amp;ROW()+3)</f>
        <v/>
      </c>
      <c r="K34" s="21" t="n"/>
      <c r="L34" s="43">
        <f>I34-(J34+K34)</f>
        <v/>
      </c>
      <c r="M34" s="43">
        <f>INDIRECT("'June"&amp;Members!$F$2&amp;"-COLLECTION'!K"&amp;ROW()-1)</f>
        <v/>
      </c>
      <c r="N34" s="43">
        <f>INDIRECT("'June"&amp;Members!$F$2&amp;"-EXPENSE'!R"&amp;ROW()+3)</f>
        <v/>
      </c>
      <c r="O34" s="20" t="n"/>
      <c r="P34" s="43">
        <f>M34-(N34+O34)</f>
        <v/>
      </c>
      <c r="Q34" s="43">
        <f>INDIRECT("'July"&amp;Members!$F$2&amp;"-COLLECTION'!K"&amp;ROW()-1)</f>
        <v/>
      </c>
      <c r="R34" s="43">
        <f>INDIRECT("'July"&amp;Members!$F$2&amp;"-EXPENSE'!R"&amp;ROW()+3)</f>
        <v/>
      </c>
      <c r="S34" s="21" t="n"/>
      <c r="T34" s="43">
        <f>Q34-(R34+S34)</f>
        <v/>
      </c>
      <c r="U34" s="43">
        <f>INDIRECT("'Aug"&amp;Members!$F$2&amp;"-COLLECTION'!K"&amp;ROW()-1)</f>
        <v/>
      </c>
      <c r="V34" s="43">
        <f>INDIRECT("'Aug"&amp;Members!$F$2&amp;"-EXPENSE'!R"&amp;ROW()+3)</f>
        <v/>
      </c>
      <c r="W34" s="20" t="n"/>
      <c r="X34" s="43">
        <f>U34-(V34+W34)</f>
        <v/>
      </c>
      <c r="Y34" s="43">
        <f>INDIRECT("'Sep"&amp;Members!$F$2&amp;"-COLLECTION'!K"&amp;ROW()-1)</f>
        <v/>
      </c>
      <c r="Z34" s="43">
        <f>INDIRECT("'Sep"&amp;Members!$F$2&amp;"-EXPENSE'!R"&amp;ROW()+3)</f>
        <v/>
      </c>
      <c r="AA34" s="21" t="n"/>
      <c r="AB34" s="43">
        <f>Y34-(Z34+AA34)</f>
        <v/>
      </c>
      <c r="AC34" s="43">
        <f>INDIRECT("'Oct"&amp;Members!$F$2&amp;"-COLLECTION'!K"&amp;ROW()-1)</f>
        <v/>
      </c>
      <c r="AD34" s="43">
        <f>INDIRECT("'Oct"&amp;Members!$F$2&amp;"-EXPENSE'!R"&amp;ROW()+3)</f>
        <v/>
      </c>
      <c r="AE34" s="21" t="n"/>
      <c r="AF34" s="43">
        <f>AC34-(AD34+AE34)</f>
        <v/>
      </c>
      <c r="AG34" s="43">
        <f>INDIRECT("'Nov"&amp;Members!$F$2&amp;"-COLLECTION'!K"&amp;ROW()-1)</f>
        <v/>
      </c>
      <c r="AH34" s="43">
        <f>INDIRECT("'Nov"&amp;Members!$F$2&amp;"-EXPENSE'!R"&amp;ROW()+3)</f>
        <v/>
      </c>
      <c r="AI34" s="21" t="n"/>
      <c r="AJ34" s="43">
        <f>AG34-(AH34+AI34)</f>
        <v/>
      </c>
      <c r="AK34" s="43">
        <f>INDIRECT("'Dec"&amp;Members!$F$2&amp;"-COLLECTION'!K"&amp;ROW()-1)</f>
        <v/>
      </c>
      <c r="AL34" s="43">
        <f>INDIRECT("'Dec"&amp;Members!$F$2&amp;"-EXPENSE'!R"&amp;ROW()+3)</f>
        <v/>
      </c>
      <c r="AM34" s="21" t="n"/>
      <c r="AN34" s="43">
        <f>AK34-(AL34+AM34)</f>
        <v/>
      </c>
      <c r="AO34" s="43">
        <f>INDIRECT("'Jan"&amp;Members!$G$2&amp;"-COLLECTION'!K"&amp;ROW()-1)</f>
        <v/>
      </c>
      <c r="AP34" s="43">
        <f>INDIRECT("'Jan"&amp;Members!$G$2&amp;"-EXPENSE'!R"&amp;ROW()+3)</f>
        <v/>
      </c>
      <c r="AQ34" s="2" t="n"/>
      <c r="AR34" s="43">
        <f>AO34-(AP34+AQ34)</f>
        <v/>
      </c>
      <c r="AS34" s="43">
        <f>INDIRECT("'Feb"&amp;Members!$G$2&amp;"-COLLECTION'!K"&amp;ROW()-1)</f>
        <v/>
      </c>
      <c r="AT34" s="43">
        <f>INDIRECT("'Feb"&amp;Members!$G$2&amp;"-EXPENSE'!R"&amp;ROW()+3)</f>
        <v/>
      </c>
      <c r="AU34" s="2" t="n"/>
      <c r="AV34" s="43">
        <f>AS34-(AT34+AU34)</f>
        <v/>
      </c>
      <c r="AW34" s="43">
        <f>INDIRECT("'Mar"&amp;Members!$G$2&amp;"-COLLECTION'!K"&amp;ROW()-1)</f>
        <v/>
      </c>
      <c r="AX34" s="43">
        <f>INDIRECT("'Mar"&amp;Members!$G$2&amp;"-EXPENSE'!R"&amp;ROW()+3)</f>
        <v/>
      </c>
      <c r="AY34" s="2" t="n"/>
      <c r="AZ34" s="43">
        <f>AW34-(AX34+AY34)</f>
        <v/>
      </c>
      <c r="BA34" s="43">
        <f>SUM(E34,I34,M34,Q34,U34,Y34,AC34,AG34,AK34,AO34,AS34,AW34)</f>
        <v/>
      </c>
      <c r="BB34" s="43">
        <f>SUM(F34,J34,N34,R34,V34,Z34,AD34,AH34,AL34,AP34,AT34,AX34)</f>
        <v/>
      </c>
      <c r="BC34" s="43">
        <f>SUM(G34,K34,O34,S34,W34,AA34,AE34,AI34,AM34,AQ34,AU34,AY34)</f>
        <v/>
      </c>
      <c r="BD34" s="43">
        <f>BA34-(BB34+BC34)</f>
        <v/>
      </c>
      <c r="BE34" s="43">
        <f>BD34+D34</f>
        <v/>
      </c>
    </row>
    <row r="35" ht="15.75" customHeight="1">
      <c r="A35" s="37" t="inlineStr">
        <is>
          <t>S1</t>
        </is>
      </c>
      <c r="B35" s="40">
        <f>VLOOKUP(A35,Members!$A$2:$C$65,3,FALSE)</f>
        <v/>
      </c>
      <c r="C35" s="37">
        <f>Members!B34</f>
        <v/>
      </c>
      <c r="D35" s="41" t="n">
        <v>0</v>
      </c>
      <c r="E35" s="41">
        <f>INDIRECT("'Apr"&amp;Members!$F$2&amp;"-COLLECTION'!K"&amp;ROW()-1)</f>
        <v/>
      </c>
      <c r="F35" s="41">
        <f>INDIRECT("'Apr"&amp;Members!$F$2&amp;"-EXPENSE'!R"&amp;ROW()+3)</f>
        <v/>
      </c>
      <c r="G35" s="20" t="n"/>
      <c r="H35" s="41">
        <f>E35-(F35+G35)</f>
        <v/>
      </c>
      <c r="I35" s="41">
        <f>INDIRECT("'May"&amp;Members!$F$2&amp;"-COLLECTION'!K"&amp;ROW()-1)</f>
        <v/>
      </c>
      <c r="J35" s="41">
        <f>INDIRECT("'May"&amp;Members!$F$2&amp;"-EXPENSE'!R"&amp;ROW()+3)</f>
        <v/>
      </c>
      <c r="K35" s="21" t="n"/>
      <c r="L35" s="41">
        <f>I35-(J35+K35)</f>
        <v/>
      </c>
      <c r="M35" s="41">
        <f>INDIRECT("'June"&amp;Members!$F$2&amp;"-COLLECTION'!K"&amp;ROW()-1)</f>
        <v/>
      </c>
      <c r="N35" s="41">
        <f>INDIRECT("'June"&amp;Members!$F$2&amp;"-EXPENSE'!R"&amp;ROW()+3)</f>
        <v/>
      </c>
      <c r="O35" s="20" t="n"/>
      <c r="P35" s="41">
        <f>M35-(N35+O35)</f>
        <v/>
      </c>
      <c r="Q35" s="41">
        <f>INDIRECT("'July"&amp;Members!$F$2&amp;"-COLLECTION'!K"&amp;ROW()-1)</f>
        <v/>
      </c>
      <c r="R35" s="41">
        <f>INDIRECT("'July"&amp;Members!$F$2&amp;"-EXPENSE'!R"&amp;ROW()+3)</f>
        <v/>
      </c>
      <c r="S35" s="21" t="n"/>
      <c r="T35" s="41">
        <f>Q35-(R35+S35)</f>
        <v/>
      </c>
      <c r="U35" s="41">
        <f>INDIRECT("'Aug"&amp;Members!$F$2&amp;"-COLLECTION'!K"&amp;ROW()-1)</f>
        <v/>
      </c>
      <c r="V35" s="41">
        <f>INDIRECT("'Aug"&amp;Members!$F$2&amp;"-EXPENSE'!R"&amp;ROW()+3)</f>
        <v/>
      </c>
      <c r="W35" s="20" t="n"/>
      <c r="X35" s="41">
        <f>U35-(V35+W35)</f>
        <v/>
      </c>
      <c r="Y35" s="41">
        <f>INDIRECT("'Sep"&amp;Members!$F$2&amp;"-COLLECTION'!K"&amp;ROW()-1)</f>
        <v/>
      </c>
      <c r="Z35" s="41">
        <f>INDIRECT("'Sep"&amp;Members!$F$2&amp;"-EXPENSE'!R"&amp;ROW()+3)</f>
        <v/>
      </c>
      <c r="AA35" s="21" t="n"/>
      <c r="AB35" s="41">
        <f>Y35-(Z35+AA35)</f>
        <v/>
      </c>
      <c r="AC35" s="41">
        <f>INDIRECT("'Oct"&amp;Members!$F$2&amp;"-COLLECTION'!K"&amp;ROW()-1)</f>
        <v/>
      </c>
      <c r="AD35" s="41">
        <f>INDIRECT("'Oct"&amp;Members!$F$2&amp;"-EXPENSE'!R"&amp;ROW()+3)</f>
        <v/>
      </c>
      <c r="AE35" s="21" t="n"/>
      <c r="AF35" s="41">
        <f>AC35-(AD35+AE35)</f>
        <v/>
      </c>
      <c r="AG35" s="41">
        <f>INDIRECT("'Nov"&amp;Members!$F$2&amp;"-COLLECTION'!K"&amp;ROW()-1)</f>
        <v/>
      </c>
      <c r="AH35" s="41">
        <f>INDIRECT("'Nov"&amp;Members!$F$2&amp;"-EXPENSE'!R"&amp;ROW()+3)</f>
        <v/>
      </c>
      <c r="AI35" s="21" t="n"/>
      <c r="AJ35" s="41">
        <f>AG35-(AH35+AI35)</f>
        <v/>
      </c>
      <c r="AK35" s="41">
        <f>INDIRECT("'Dec"&amp;Members!$F$2&amp;"-COLLECTION'!K"&amp;ROW()-1)</f>
        <v/>
      </c>
      <c r="AL35" s="41">
        <f>INDIRECT("'Dec"&amp;Members!$F$2&amp;"-EXPENSE'!R"&amp;ROW()+3)</f>
        <v/>
      </c>
      <c r="AM35" s="21" t="n"/>
      <c r="AN35" s="41">
        <f>AK35-(AL35+AM35)</f>
        <v/>
      </c>
      <c r="AO35" s="41">
        <f>INDIRECT("'Jan"&amp;Members!$G$2&amp;"-COLLECTION'!K"&amp;ROW()-1)</f>
        <v/>
      </c>
      <c r="AP35" s="41">
        <f>INDIRECT("'Jan"&amp;Members!$G$2&amp;"-EXPENSE'!R"&amp;ROW()+3)</f>
        <v/>
      </c>
      <c r="AQ35" s="2" t="n"/>
      <c r="AR35" s="41">
        <f>AO35-(AP35+AQ35)</f>
        <v/>
      </c>
      <c r="AS35" s="41">
        <f>INDIRECT("'Feb"&amp;Members!$G$2&amp;"-COLLECTION'!K"&amp;ROW()-1)</f>
        <v/>
      </c>
      <c r="AT35" s="41">
        <f>INDIRECT("'Feb"&amp;Members!$G$2&amp;"-EXPENSE'!R"&amp;ROW()+3)</f>
        <v/>
      </c>
      <c r="AU35" s="2" t="n"/>
      <c r="AV35" s="41">
        <f>AS35-(AT35+AU35)</f>
        <v/>
      </c>
      <c r="AW35" s="41">
        <f>INDIRECT("'Mar"&amp;Members!$G$2&amp;"-COLLECTION'!K"&amp;ROW()-1)</f>
        <v/>
      </c>
      <c r="AX35" s="41">
        <f>INDIRECT("'Mar"&amp;Members!$G$2&amp;"-EXPENSE'!R"&amp;ROW()+3)</f>
        <v/>
      </c>
      <c r="AY35" s="2" t="n"/>
      <c r="AZ35" s="41">
        <f>AW35-(AX35+AY35)</f>
        <v/>
      </c>
      <c r="BA35" s="41">
        <f>SUM(E35,I35,M35,Q35,U35,Y35,AC35,AG35,AK35,AO35,AS35,AW35)</f>
        <v/>
      </c>
      <c r="BB35" s="41">
        <f>SUM(F35,J35,N35,R35,V35,Z35,AD35,AH35,AL35,AP35,AT35,AX35)</f>
        <v/>
      </c>
      <c r="BC35" s="41">
        <f>SUM(G35,K35,O35,S35,W35,AA35,AE35,AI35,AM35,AQ35,AU35,AY35)</f>
        <v/>
      </c>
      <c r="BD35" s="41">
        <f>BA35-(BB35+BC35)</f>
        <v/>
      </c>
      <c r="BE35" s="41">
        <f>BD35+D35</f>
        <v/>
      </c>
    </row>
    <row r="36" ht="15.75" customHeight="1">
      <c r="A36" s="36" t="inlineStr">
        <is>
          <t>S2</t>
        </is>
      </c>
      <c r="B36" s="42">
        <f>VLOOKUP(A36,Members!$A$2:$C$65,3,FALSE)</f>
        <v/>
      </c>
      <c r="C36" s="36">
        <f>Members!B35</f>
        <v/>
      </c>
      <c r="D36" s="43" t="n">
        <v>0</v>
      </c>
      <c r="E36" s="43">
        <f>INDIRECT("'Apr"&amp;Members!$F$2&amp;"-COLLECTION'!K"&amp;ROW()-1)</f>
        <v/>
      </c>
      <c r="F36" s="43">
        <f>INDIRECT("'Apr"&amp;Members!$F$2&amp;"-EXPENSE'!R"&amp;ROW()+3)</f>
        <v/>
      </c>
      <c r="G36" s="20" t="n"/>
      <c r="H36" s="43">
        <f>E36-(F36+G36)</f>
        <v/>
      </c>
      <c r="I36" s="43">
        <f>INDIRECT("'May"&amp;Members!$F$2&amp;"-COLLECTION'!K"&amp;ROW()-1)</f>
        <v/>
      </c>
      <c r="J36" s="43">
        <f>INDIRECT("'May"&amp;Members!$F$2&amp;"-EXPENSE'!R"&amp;ROW()+3)</f>
        <v/>
      </c>
      <c r="K36" s="21" t="n"/>
      <c r="L36" s="43">
        <f>I36-(J36+K36)</f>
        <v/>
      </c>
      <c r="M36" s="43">
        <f>INDIRECT("'June"&amp;Members!$F$2&amp;"-COLLECTION'!K"&amp;ROW()-1)</f>
        <v/>
      </c>
      <c r="N36" s="43">
        <f>INDIRECT("'June"&amp;Members!$F$2&amp;"-EXPENSE'!R"&amp;ROW()+3)</f>
        <v/>
      </c>
      <c r="O36" s="20" t="n"/>
      <c r="P36" s="43">
        <f>M36-(N36+O36)</f>
        <v/>
      </c>
      <c r="Q36" s="43">
        <f>INDIRECT("'July"&amp;Members!$F$2&amp;"-COLLECTION'!K"&amp;ROW()-1)</f>
        <v/>
      </c>
      <c r="R36" s="43">
        <f>INDIRECT("'July"&amp;Members!$F$2&amp;"-EXPENSE'!R"&amp;ROW()+3)</f>
        <v/>
      </c>
      <c r="S36" s="21" t="n"/>
      <c r="T36" s="43">
        <f>Q36-(R36+S36)</f>
        <v/>
      </c>
      <c r="U36" s="43">
        <f>INDIRECT("'Aug"&amp;Members!$F$2&amp;"-COLLECTION'!K"&amp;ROW()-1)</f>
        <v/>
      </c>
      <c r="V36" s="43">
        <f>INDIRECT("'Aug"&amp;Members!$F$2&amp;"-EXPENSE'!R"&amp;ROW()+3)</f>
        <v/>
      </c>
      <c r="W36" s="20" t="n"/>
      <c r="X36" s="43">
        <f>U36-(V36+W36)</f>
        <v/>
      </c>
      <c r="Y36" s="43">
        <f>INDIRECT("'Sep"&amp;Members!$F$2&amp;"-COLLECTION'!K"&amp;ROW()-1)</f>
        <v/>
      </c>
      <c r="Z36" s="43">
        <f>INDIRECT("'Sep"&amp;Members!$F$2&amp;"-EXPENSE'!R"&amp;ROW()+3)</f>
        <v/>
      </c>
      <c r="AA36" s="21" t="n"/>
      <c r="AB36" s="43">
        <f>Y36-(Z36+AA36)</f>
        <v/>
      </c>
      <c r="AC36" s="43">
        <f>INDIRECT("'Oct"&amp;Members!$F$2&amp;"-COLLECTION'!K"&amp;ROW()-1)</f>
        <v/>
      </c>
      <c r="AD36" s="43">
        <f>INDIRECT("'Oct"&amp;Members!$F$2&amp;"-EXPENSE'!R"&amp;ROW()+3)</f>
        <v/>
      </c>
      <c r="AE36" s="21" t="n"/>
      <c r="AF36" s="43">
        <f>AC36-(AD36+AE36)</f>
        <v/>
      </c>
      <c r="AG36" s="43">
        <f>INDIRECT("'Nov"&amp;Members!$F$2&amp;"-COLLECTION'!K"&amp;ROW()-1)</f>
        <v/>
      </c>
      <c r="AH36" s="43">
        <f>INDIRECT("'Nov"&amp;Members!$F$2&amp;"-EXPENSE'!R"&amp;ROW()+3)</f>
        <v/>
      </c>
      <c r="AI36" s="21" t="n"/>
      <c r="AJ36" s="43">
        <f>AG36-(AH36+AI36)</f>
        <v/>
      </c>
      <c r="AK36" s="43">
        <f>INDIRECT("'Dec"&amp;Members!$F$2&amp;"-COLLECTION'!K"&amp;ROW()-1)</f>
        <v/>
      </c>
      <c r="AL36" s="43">
        <f>INDIRECT("'Dec"&amp;Members!$F$2&amp;"-EXPENSE'!R"&amp;ROW()+3)</f>
        <v/>
      </c>
      <c r="AM36" s="21" t="n"/>
      <c r="AN36" s="43">
        <f>AK36-(AL36+AM36)</f>
        <v/>
      </c>
      <c r="AO36" s="43">
        <f>INDIRECT("'Jan"&amp;Members!$G$2&amp;"-COLLECTION'!K"&amp;ROW()-1)</f>
        <v/>
      </c>
      <c r="AP36" s="43">
        <f>INDIRECT("'Jan"&amp;Members!$G$2&amp;"-EXPENSE'!R"&amp;ROW()+3)</f>
        <v/>
      </c>
      <c r="AQ36" s="2" t="n"/>
      <c r="AR36" s="43">
        <f>AO36-(AP36+AQ36)</f>
        <v/>
      </c>
      <c r="AS36" s="43">
        <f>INDIRECT("'Feb"&amp;Members!$G$2&amp;"-COLLECTION'!K"&amp;ROW()-1)</f>
        <v/>
      </c>
      <c r="AT36" s="43">
        <f>INDIRECT("'Feb"&amp;Members!$G$2&amp;"-EXPENSE'!R"&amp;ROW()+3)</f>
        <v/>
      </c>
      <c r="AU36" s="2" t="n"/>
      <c r="AV36" s="43">
        <f>AS36-(AT36+AU36)</f>
        <v/>
      </c>
      <c r="AW36" s="43">
        <f>INDIRECT("'Mar"&amp;Members!$G$2&amp;"-COLLECTION'!K"&amp;ROW()-1)</f>
        <v/>
      </c>
      <c r="AX36" s="43">
        <f>INDIRECT("'Mar"&amp;Members!$G$2&amp;"-EXPENSE'!R"&amp;ROW()+3)</f>
        <v/>
      </c>
      <c r="AY36" s="2" t="n"/>
      <c r="AZ36" s="43">
        <f>AW36-(AX36+AY36)</f>
        <v/>
      </c>
      <c r="BA36" s="43">
        <f>SUM(E36,I36,M36,Q36,U36,Y36,AC36,AG36,AK36,AO36,AS36,AW36)</f>
        <v/>
      </c>
      <c r="BB36" s="43">
        <f>SUM(F36,J36,N36,R36,V36,Z36,AD36,AH36,AL36,AP36,AT36,AX36)</f>
        <v/>
      </c>
      <c r="BC36" s="43">
        <f>SUM(G36,K36,O36,S36,W36,AA36,AE36,AI36,AM36,AQ36,AU36,AY36)</f>
        <v/>
      </c>
      <c r="BD36" s="43">
        <f>BA36-(BB36+BC36)</f>
        <v/>
      </c>
      <c r="BE36" s="43">
        <f>BD36+D36</f>
        <v/>
      </c>
    </row>
    <row r="37" ht="15.75" customHeight="1">
      <c r="A37" s="37" t="inlineStr">
        <is>
          <t>S3</t>
        </is>
      </c>
      <c r="B37" s="40">
        <f>VLOOKUP(A37,Members!$A$2:$C$65,3,FALSE)</f>
        <v/>
      </c>
      <c r="C37" s="37">
        <f>Members!B36</f>
        <v/>
      </c>
      <c r="D37" s="41" t="n">
        <v>0</v>
      </c>
      <c r="E37" s="41">
        <f>INDIRECT("'Apr"&amp;Members!$F$2&amp;"-COLLECTION'!K"&amp;ROW()-1)</f>
        <v/>
      </c>
      <c r="F37" s="41">
        <f>INDIRECT("'Apr"&amp;Members!$F$2&amp;"-EXPENSE'!R"&amp;ROW()+3)</f>
        <v/>
      </c>
      <c r="G37" s="20" t="n"/>
      <c r="H37" s="41">
        <f>E37-(F37+G37)</f>
        <v/>
      </c>
      <c r="I37" s="41">
        <f>INDIRECT("'May"&amp;Members!$F$2&amp;"-COLLECTION'!K"&amp;ROW()-1)</f>
        <v/>
      </c>
      <c r="J37" s="41">
        <f>INDIRECT("'May"&amp;Members!$F$2&amp;"-EXPENSE'!R"&amp;ROW()+3)</f>
        <v/>
      </c>
      <c r="K37" s="21" t="n"/>
      <c r="L37" s="41">
        <f>I37-(J37+K37)</f>
        <v/>
      </c>
      <c r="M37" s="41">
        <f>INDIRECT("'June"&amp;Members!$F$2&amp;"-COLLECTION'!K"&amp;ROW()-1)</f>
        <v/>
      </c>
      <c r="N37" s="41">
        <f>INDIRECT("'June"&amp;Members!$F$2&amp;"-EXPENSE'!R"&amp;ROW()+3)</f>
        <v/>
      </c>
      <c r="O37" s="20" t="n"/>
      <c r="P37" s="41">
        <f>M37-(N37+O37)</f>
        <v/>
      </c>
      <c r="Q37" s="41">
        <f>INDIRECT("'July"&amp;Members!$F$2&amp;"-COLLECTION'!K"&amp;ROW()-1)</f>
        <v/>
      </c>
      <c r="R37" s="41">
        <f>INDIRECT("'July"&amp;Members!$F$2&amp;"-EXPENSE'!R"&amp;ROW()+3)</f>
        <v/>
      </c>
      <c r="S37" s="21" t="n"/>
      <c r="T37" s="41">
        <f>Q37-(R37+S37)</f>
        <v/>
      </c>
      <c r="U37" s="41">
        <f>INDIRECT("'Aug"&amp;Members!$F$2&amp;"-COLLECTION'!K"&amp;ROW()-1)</f>
        <v/>
      </c>
      <c r="V37" s="41">
        <f>INDIRECT("'Aug"&amp;Members!$F$2&amp;"-EXPENSE'!R"&amp;ROW()+3)</f>
        <v/>
      </c>
      <c r="W37" s="20" t="n"/>
      <c r="X37" s="41">
        <f>U37-(V37+W37)</f>
        <v/>
      </c>
      <c r="Y37" s="41">
        <f>INDIRECT("'Sep"&amp;Members!$F$2&amp;"-COLLECTION'!K"&amp;ROW()-1)</f>
        <v/>
      </c>
      <c r="Z37" s="41">
        <f>INDIRECT("'Sep"&amp;Members!$F$2&amp;"-EXPENSE'!R"&amp;ROW()+3)</f>
        <v/>
      </c>
      <c r="AA37" s="21" t="n"/>
      <c r="AB37" s="41">
        <f>Y37-(Z37+AA37)</f>
        <v/>
      </c>
      <c r="AC37" s="41">
        <f>INDIRECT("'Oct"&amp;Members!$F$2&amp;"-COLLECTION'!K"&amp;ROW()-1)</f>
        <v/>
      </c>
      <c r="AD37" s="41">
        <f>INDIRECT("'Oct"&amp;Members!$F$2&amp;"-EXPENSE'!R"&amp;ROW()+3)</f>
        <v/>
      </c>
      <c r="AE37" s="21" t="n"/>
      <c r="AF37" s="41">
        <f>AC37-(AD37+AE37)</f>
        <v/>
      </c>
      <c r="AG37" s="41">
        <f>INDIRECT("'Nov"&amp;Members!$F$2&amp;"-COLLECTION'!K"&amp;ROW()-1)</f>
        <v/>
      </c>
      <c r="AH37" s="41">
        <f>INDIRECT("'Nov"&amp;Members!$F$2&amp;"-EXPENSE'!R"&amp;ROW()+3)</f>
        <v/>
      </c>
      <c r="AI37" s="21" t="n"/>
      <c r="AJ37" s="41">
        <f>AG37-(AH37+AI37)</f>
        <v/>
      </c>
      <c r="AK37" s="41">
        <f>INDIRECT("'Dec"&amp;Members!$F$2&amp;"-COLLECTION'!K"&amp;ROW()-1)</f>
        <v/>
      </c>
      <c r="AL37" s="41">
        <f>INDIRECT("'Dec"&amp;Members!$F$2&amp;"-EXPENSE'!R"&amp;ROW()+3)</f>
        <v/>
      </c>
      <c r="AM37" s="21" t="n"/>
      <c r="AN37" s="41">
        <f>AK37-(AL37+AM37)</f>
        <v/>
      </c>
      <c r="AO37" s="41">
        <f>INDIRECT("'Jan"&amp;Members!$G$2&amp;"-COLLECTION'!K"&amp;ROW()-1)</f>
        <v/>
      </c>
      <c r="AP37" s="41">
        <f>INDIRECT("'Jan"&amp;Members!$G$2&amp;"-EXPENSE'!R"&amp;ROW()+3)</f>
        <v/>
      </c>
      <c r="AQ37" s="2" t="n"/>
      <c r="AR37" s="41">
        <f>AO37-(AP37+AQ37)</f>
        <v/>
      </c>
      <c r="AS37" s="41">
        <f>INDIRECT("'Feb"&amp;Members!$G$2&amp;"-COLLECTION'!K"&amp;ROW()-1)</f>
        <v/>
      </c>
      <c r="AT37" s="41">
        <f>INDIRECT("'Feb"&amp;Members!$G$2&amp;"-EXPENSE'!R"&amp;ROW()+3)</f>
        <v/>
      </c>
      <c r="AU37" s="2" t="n"/>
      <c r="AV37" s="41">
        <f>AS37-(AT37+AU37)</f>
        <v/>
      </c>
      <c r="AW37" s="41">
        <f>INDIRECT("'Mar"&amp;Members!$G$2&amp;"-COLLECTION'!K"&amp;ROW()-1)</f>
        <v/>
      </c>
      <c r="AX37" s="41">
        <f>INDIRECT("'Mar"&amp;Members!$G$2&amp;"-EXPENSE'!R"&amp;ROW()+3)</f>
        <v/>
      </c>
      <c r="AY37" s="2" t="n"/>
      <c r="AZ37" s="41">
        <f>AW37-(AX37+AY37)</f>
        <v/>
      </c>
      <c r="BA37" s="41">
        <f>SUM(E37,I37,M37,Q37,U37,Y37,AC37,AG37,AK37,AO37,AS37,AW37)</f>
        <v/>
      </c>
      <c r="BB37" s="41">
        <f>SUM(F37,J37,N37,R37,V37,Z37,AD37,AH37,AL37,AP37,AT37,AX37)</f>
        <v/>
      </c>
      <c r="BC37" s="41">
        <f>SUM(G37,K37,O37,S37,W37,AA37,AE37,AI37,AM37,AQ37,AU37,AY37)</f>
        <v/>
      </c>
      <c r="BD37" s="41">
        <f>BA37-(BB37+BC37)</f>
        <v/>
      </c>
      <c r="BE37" s="41">
        <f>BD37+D37</f>
        <v/>
      </c>
    </row>
    <row r="38" ht="15.75" customHeight="1">
      <c r="A38" s="36" t="inlineStr">
        <is>
          <t>S4</t>
        </is>
      </c>
      <c r="B38" s="42">
        <f>VLOOKUP(A38,Members!$A$2:$C$65,3,FALSE)</f>
        <v/>
      </c>
      <c r="C38" s="36">
        <f>Members!B37</f>
        <v/>
      </c>
      <c r="D38" s="43" t="n">
        <v>0</v>
      </c>
      <c r="E38" s="43">
        <f>INDIRECT("'Apr"&amp;Members!$F$2&amp;"-COLLECTION'!K"&amp;ROW()-1)</f>
        <v/>
      </c>
      <c r="F38" s="43">
        <f>INDIRECT("'Apr"&amp;Members!$F$2&amp;"-EXPENSE'!R"&amp;ROW()+3)</f>
        <v/>
      </c>
      <c r="G38" s="20" t="n"/>
      <c r="H38" s="43">
        <f>E38-(F38+G38)</f>
        <v/>
      </c>
      <c r="I38" s="43">
        <f>INDIRECT("'May"&amp;Members!$F$2&amp;"-COLLECTION'!K"&amp;ROW()-1)</f>
        <v/>
      </c>
      <c r="J38" s="43">
        <f>INDIRECT("'May"&amp;Members!$F$2&amp;"-EXPENSE'!R"&amp;ROW()+3)</f>
        <v/>
      </c>
      <c r="K38" s="21" t="n"/>
      <c r="L38" s="43">
        <f>I38-(J38+K38)</f>
        <v/>
      </c>
      <c r="M38" s="43">
        <f>INDIRECT("'June"&amp;Members!$F$2&amp;"-COLLECTION'!K"&amp;ROW()-1)</f>
        <v/>
      </c>
      <c r="N38" s="43">
        <f>INDIRECT("'June"&amp;Members!$F$2&amp;"-EXPENSE'!R"&amp;ROW()+3)</f>
        <v/>
      </c>
      <c r="O38" s="20" t="n"/>
      <c r="P38" s="43">
        <f>M38-(N38+O38)</f>
        <v/>
      </c>
      <c r="Q38" s="43">
        <f>INDIRECT("'July"&amp;Members!$F$2&amp;"-COLLECTION'!K"&amp;ROW()-1)</f>
        <v/>
      </c>
      <c r="R38" s="43">
        <f>INDIRECT("'July"&amp;Members!$F$2&amp;"-EXPENSE'!R"&amp;ROW()+3)</f>
        <v/>
      </c>
      <c r="S38" s="21" t="n"/>
      <c r="T38" s="43">
        <f>Q38-(R38+S38)</f>
        <v/>
      </c>
      <c r="U38" s="43">
        <f>INDIRECT("'Aug"&amp;Members!$F$2&amp;"-COLLECTION'!K"&amp;ROW()-1)</f>
        <v/>
      </c>
      <c r="V38" s="43">
        <f>INDIRECT("'Aug"&amp;Members!$F$2&amp;"-EXPENSE'!R"&amp;ROW()+3)</f>
        <v/>
      </c>
      <c r="W38" s="20" t="n"/>
      <c r="X38" s="43">
        <f>U38-(V38+W38)</f>
        <v/>
      </c>
      <c r="Y38" s="43">
        <f>INDIRECT("'Sep"&amp;Members!$F$2&amp;"-COLLECTION'!K"&amp;ROW()-1)</f>
        <v/>
      </c>
      <c r="Z38" s="43">
        <f>INDIRECT("'Sep"&amp;Members!$F$2&amp;"-EXPENSE'!R"&amp;ROW()+3)</f>
        <v/>
      </c>
      <c r="AA38" s="21" t="n"/>
      <c r="AB38" s="43">
        <f>Y38-(Z38+AA38)</f>
        <v/>
      </c>
      <c r="AC38" s="43">
        <f>INDIRECT("'Oct"&amp;Members!$F$2&amp;"-COLLECTION'!K"&amp;ROW()-1)</f>
        <v/>
      </c>
      <c r="AD38" s="43">
        <f>INDIRECT("'Oct"&amp;Members!$F$2&amp;"-EXPENSE'!R"&amp;ROW()+3)</f>
        <v/>
      </c>
      <c r="AE38" s="21" t="n"/>
      <c r="AF38" s="43">
        <f>AC38-(AD38+AE38)</f>
        <v/>
      </c>
      <c r="AG38" s="43">
        <f>INDIRECT("'Nov"&amp;Members!$F$2&amp;"-COLLECTION'!K"&amp;ROW()-1)</f>
        <v/>
      </c>
      <c r="AH38" s="43">
        <f>INDIRECT("'Nov"&amp;Members!$F$2&amp;"-EXPENSE'!R"&amp;ROW()+3)</f>
        <v/>
      </c>
      <c r="AI38" s="21" t="n"/>
      <c r="AJ38" s="43">
        <f>AG38-(AH38+AI38)</f>
        <v/>
      </c>
      <c r="AK38" s="43">
        <f>INDIRECT("'Dec"&amp;Members!$F$2&amp;"-COLLECTION'!K"&amp;ROW()-1)</f>
        <v/>
      </c>
      <c r="AL38" s="43">
        <f>INDIRECT("'Dec"&amp;Members!$F$2&amp;"-EXPENSE'!R"&amp;ROW()+3)</f>
        <v/>
      </c>
      <c r="AM38" s="21" t="n"/>
      <c r="AN38" s="43">
        <f>AK38-(AL38+AM38)</f>
        <v/>
      </c>
      <c r="AO38" s="43">
        <f>INDIRECT("'Jan"&amp;Members!$G$2&amp;"-COLLECTION'!K"&amp;ROW()-1)</f>
        <v/>
      </c>
      <c r="AP38" s="43">
        <f>INDIRECT("'Jan"&amp;Members!$G$2&amp;"-EXPENSE'!R"&amp;ROW()+3)</f>
        <v/>
      </c>
      <c r="AQ38" s="2" t="n"/>
      <c r="AR38" s="43">
        <f>AO38-(AP38+AQ38)</f>
        <v/>
      </c>
      <c r="AS38" s="43">
        <f>INDIRECT("'Feb"&amp;Members!$G$2&amp;"-COLLECTION'!K"&amp;ROW()-1)</f>
        <v/>
      </c>
      <c r="AT38" s="43">
        <f>INDIRECT("'Feb"&amp;Members!$G$2&amp;"-EXPENSE'!R"&amp;ROW()+3)</f>
        <v/>
      </c>
      <c r="AU38" s="2" t="n"/>
      <c r="AV38" s="43">
        <f>AS38-(AT38+AU38)</f>
        <v/>
      </c>
      <c r="AW38" s="43">
        <f>INDIRECT("'Mar"&amp;Members!$G$2&amp;"-COLLECTION'!K"&amp;ROW()-1)</f>
        <v/>
      </c>
      <c r="AX38" s="43">
        <f>INDIRECT("'Mar"&amp;Members!$G$2&amp;"-EXPENSE'!R"&amp;ROW()+3)</f>
        <v/>
      </c>
      <c r="AY38" s="2" t="n"/>
      <c r="AZ38" s="43">
        <f>AW38-(AX38+AY38)</f>
        <v/>
      </c>
      <c r="BA38" s="43">
        <f>SUM(E38,I38,M38,Q38,U38,Y38,AC38,AG38,AK38,AO38,AS38,AW38)</f>
        <v/>
      </c>
      <c r="BB38" s="43">
        <f>SUM(F38,J38,N38,R38,V38,Z38,AD38,AH38,AL38,AP38,AT38,AX38)</f>
        <v/>
      </c>
      <c r="BC38" s="43">
        <f>SUM(G38,K38,O38,S38,W38,AA38,AE38,AI38,AM38,AQ38,AU38,AY38)</f>
        <v/>
      </c>
      <c r="BD38" s="43">
        <f>BA38-(BB38+BC38)</f>
        <v/>
      </c>
      <c r="BE38" s="43">
        <f>BD38+D38</f>
        <v/>
      </c>
    </row>
    <row r="39" ht="15.75" customHeight="1">
      <c r="A39" s="37" t="inlineStr">
        <is>
          <t>S5</t>
        </is>
      </c>
      <c r="B39" s="40">
        <f>VLOOKUP(A39,Members!$A$2:$C$65,3,FALSE)</f>
        <v/>
      </c>
      <c r="C39" s="37">
        <f>Members!B38</f>
        <v/>
      </c>
      <c r="D39" s="41" t="n">
        <v>0</v>
      </c>
      <c r="E39" s="41">
        <f>INDIRECT("'Apr"&amp;Members!$F$2&amp;"-COLLECTION'!K"&amp;ROW()-1)</f>
        <v/>
      </c>
      <c r="F39" s="41">
        <f>INDIRECT("'Apr"&amp;Members!$F$2&amp;"-EXPENSE'!R"&amp;ROW()+3)</f>
        <v/>
      </c>
      <c r="G39" s="20" t="n"/>
      <c r="H39" s="41">
        <f>E39-(F39+G39)</f>
        <v/>
      </c>
      <c r="I39" s="41">
        <f>INDIRECT("'May"&amp;Members!$F$2&amp;"-COLLECTION'!K"&amp;ROW()-1)</f>
        <v/>
      </c>
      <c r="J39" s="41">
        <f>INDIRECT("'May"&amp;Members!$F$2&amp;"-EXPENSE'!R"&amp;ROW()+3)</f>
        <v/>
      </c>
      <c r="K39" s="21" t="n"/>
      <c r="L39" s="41">
        <f>I39-(J39+K39)</f>
        <v/>
      </c>
      <c r="M39" s="41">
        <f>INDIRECT("'June"&amp;Members!$F$2&amp;"-COLLECTION'!K"&amp;ROW()-1)</f>
        <v/>
      </c>
      <c r="N39" s="41">
        <f>INDIRECT("'June"&amp;Members!$F$2&amp;"-EXPENSE'!R"&amp;ROW()+3)</f>
        <v/>
      </c>
      <c r="O39" s="20" t="n"/>
      <c r="P39" s="41">
        <f>M39-(N39+O39)</f>
        <v/>
      </c>
      <c r="Q39" s="41">
        <f>INDIRECT("'July"&amp;Members!$F$2&amp;"-COLLECTION'!K"&amp;ROW()-1)</f>
        <v/>
      </c>
      <c r="R39" s="41">
        <f>INDIRECT("'July"&amp;Members!$F$2&amp;"-EXPENSE'!R"&amp;ROW()+3)</f>
        <v/>
      </c>
      <c r="S39" s="21" t="n"/>
      <c r="T39" s="41">
        <f>Q39-(R39+S39)</f>
        <v/>
      </c>
      <c r="U39" s="41">
        <f>INDIRECT("'Aug"&amp;Members!$F$2&amp;"-COLLECTION'!K"&amp;ROW()-1)</f>
        <v/>
      </c>
      <c r="V39" s="41">
        <f>INDIRECT("'Aug"&amp;Members!$F$2&amp;"-EXPENSE'!R"&amp;ROW()+3)</f>
        <v/>
      </c>
      <c r="W39" s="20" t="n"/>
      <c r="X39" s="41">
        <f>U39-(V39+W39)</f>
        <v/>
      </c>
      <c r="Y39" s="41">
        <f>INDIRECT("'Sep"&amp;Members!$F$2&amp;"-COLLECTION'!K"&amp;ROW()-1)</f>
        <v/>
      </c>
      <c r="Z39" s="41">
        <f>INDIRECT("'Sep"&amp;Members!$F$2&amp;"-EXPENSE'!R"&amp;ROW()+3)</f>
        <v/>
      </c>
      <c r="AA39" s="21" t="n"/>
      <c r="AB39" s="41">
        <f>Y39-(Z39+AA39)</f>
        <v/>
      </c>
      <c r="AC39" s="41">
        <f>INDIRECT("'Oct"&amp;Members!$F$2&amp;"-COLLECTION'!K"&amp;ROW()-1)</f>
        <v/>
      </c>
      <c r="AD39" s="41">
        <f>INDIRECT("'Oct"&amp;Members!$F$2&amp;"-EXPENSE'!R"&amp;ROW()+3)</f>
        <v/>
      </c>
      <c r="AE39" s="21" t="n"/>
      <c r="AF39" s="41">
        <f>AC39-(AD39+AE39)</f>
        <v/>
      </c>
      <c r="AG39" s="41">
        <f>INDIRECT("'Nov"&amp;Members!$F$2&amp;"-COLLECTION'!K"&amp;ROW()-1)</f>
        <v/>
      </c>
      <c r="AH39" s="41">
        <f>INDIRECT("'Nov"&amp;Members!$F$2&amp;"-EXPENSE'!R"&amp;ROW()+3)</f>
        <v/>
      </c>
      <c r="AI39" s="21" t="n"/>
      <c r="AJ39" s="41">
        <f>AG39-(AH39+AI39)</f>
        <v/>
      </c>
      <c r="AK39" s="41">
        <f>INDIRECT("'Dec"&amp;Members!$F$2&amp;"-COLLECTION'!K"&amp;ROW()-1)</f>
        <v/>
      </c>
      <c r="AL39" s="41">
        <f>INDIRECT("'Dec"&amp;Members!$F$2&amp;"-EXPENSE'!R"&amp;ROW()+3)</f>
        <v/>
      </c>
      <c r="AM39" s="21" t="n"/>
      <c r="AN39" s="41">
        <f>AK39-(AL39+AM39)</f>
        <v/>
      </c>
      <c r="AO39" s="41">
        <f>INDIRECT("'Jan"&amp;Members!$G$2&amp;"-COLLECTION'!K"&amp;ROW()-1)</f>
        <v/>
      </c>
      <c r="AP39" s="41">
        <f>INDIRECT("'Jan"&amp;Members!$G$2&amp;"-EXPENSE'!R"&amp;ROW()+3)</f>
        <v/>
      </c>
      <c r="AQ39" s="2" t="n"/>
      <c r="AR39" s="41">
        <f>AO39-(AP39+AQ39)</f>
        <v/>
      </c>
      <c r="AS39" s="41">
        <f>INDIRECT("'Feb"&amp;Members!$G$2&amp;"-COLLECTION'!K"&amp;ROW()-1)</f>
        <v/>
      </c>
      <c r="AT39" s="41">
        <f>INDIRECT("'Feb"&amp;Members!$G$2&amp;"-EXPENSE'!R"&amp;ROW()+3)</f>
        <v/>
      </c>
      <c r="AU39" s="2" t="n"/>
      <c r="AV39" s="41">
        <f>AS39-(AT39+AU39)</f>
        <v/>
      </c>
      <c r="AW39" s="41">
        <f>INDIRECT("'Mar"&amp;Members!$G$2&amp;"-COLLECTION'!K"&amp;ROW()-1)</f>
        <v/>
      </c>
      <c r="AX39" s="41">
        <f>INDIRECT("'Mar"&amp;Members!$G$2&amp;"-EXPENSE'!R"&amp;ROW()+3)</f>
        <v/>
      </c>
      <c r="AY39" s="2" t="n"/>
      <c r="AZ39" s="41">
        <f>AW39-(AX39+AY39)</f>
        <v/>
      </c>
      <c r="BA39" s="41">
        <f>SUM(E39,I39,M39,Q39,U39,Y39,AC39,AG39,AK39,AO39,AS39,AW39)</f>
        <v/>
      </c>
      <c r="BB39" s="41">
        <f>SUM(F39,J39,N39,R39,V39,Z39,AD39,AH39,AL39,AP39,AT39,AX39)</f>
        <v/>
      </c>
      <c r="BC39" s="41">
        <f>SUM(G39,K39,O39,S39,W39,AA39,AE39,AI39,AM39,AQ39,AU39,AY39)</f>
        <v/>
      </c>
      <c r="BD39" s="41">
        <f>BA39-(BB39+BC39)</f>
        <v/>
      </c>
      <c r="BE39" s="41">
        <f>BD39+D39</f>
        <v/>
      </c>
    </row>
    <row r="40" ht="15.75" customHeight="1">
      <c r="A40" s="36" t="inlineStr">
        <is>
          <t>S6</t>
        </is>
      </c>
      <c r="B40" s="42">
        <f>VLOOKUP(A40,Members!$A$2:$C$65,3,FALSE)</f>
        <v/>
      </c>
      <c r="C40" s="36">
        <f>Members!B39</f>
        <v/>
      </c>
      <c r="D40" s="43" t="n">
        <v>0</v>
      </c>
      <c r="E40" s="43">
        <f>INDIRECT("'Apr"&amp;Members!$F$2&amp;"-COLLECTION'!K"&amp;ROW()-1)</f>
        <v/>
      </c>
      <c r="F40" s="43">
        <f>INDIRECT("'Apr"&amp;Members!$F$2&amp;"-EXPENSE'!R"&amp;ROW()+3)</f>
        <v/>
      </c>
      <c r="G40" s="20" t="n"/>
      <c r="H40" s="43">
        <f>E40-(F40+G40)</f>
        <v/>
      </c>
      <c r="I40" s="43">
        <f>INDIRECT("'May"&amp;Members!$F$2&amp;"-COLLECTION'!K"&amp;ROW()-1)</f>
        <v/>
      </c>
      <c r="J40" s="43">
        <f>INDIRECT("'May"&amp;Members!$F$2&amp;"-EXPENSE'!R"&amp;ROW()+3)</f>
        <v/>
      </c>
      <c r="K40" s="21" t="n"/>
      <c r="L40" s="43">
        <f>I40-(J40+K40)</f>
        <v/>
      </c>
      <c r="M40" s="43">
        <f>INDIRECT("'June"&amp;Members!$F$2&amp;"-COLLECTION'!K"&amp;ROW()-1)</f>
        <v/>
      </c>
      <c r="N40" s="43">
        <f>INDIRECT("'June"&amp;Members!$F$2&amp;"-EXPENSE'!R"&amp;ROW()+3)</f>
        <v/>
      </c>
      <c r="O40" s="20" t="n"/>
      <c r="P40" s="43">
        <f>M40-(N40+O40)</f>
        <v/>
      </c>
      <c r="Q40" s="43">
        <f>INDIRECT("'July"&amp;Members!$F$2&amp;"-COLLECTION'!K"&amp;ROW()-1)</f>
        <v/>
      </c>
      <c r="R40" s="43">
        <f>INDIRECT("'July"&amp;Members!$F$2&amp;"-EXPENSE'!R"&amp;ROW()+3)</f>
        <v/>
      </c>
      <c r="S40" s="21" t="n"/>
      <c r="T40" s="43">
        <f>Q40-(R40+S40)</f>
        <v/>
      </c>
      <c r="U40" s="43">
        <f>INDIRECT("'Aug"&amp;Members!$F$2&amp;"-COLLECTION'!K"&amp;ROW()-1)</f>
        <v/>
      </c>
      <c r="V40" s="43">
        <f>INDIRECT("'Aug"&amp;Members!$F$2&amp;"-EXPENSE'!R"&amp;ROW()+3)</f>
        <v/>
      </c>
      <c r="W40" s="20" t="n"/>
      <c r="X40" s="43">
        <f>U40-(V40+W40)</f>
        <v/>
      </c>
      <c r="Y40" s="43">
        <f>INDIRECT("'Sep"&amp;Members!$F$2&amp;"-COLLECTION'!K"&amp;ROW()-1)</f>
        <v/>
      </c>
      <c r="Z40" s="43">
        <f>INDIRECT("'Sep"&amp;Members!$F$2&amp;"-EXPENSE'!R"&amp;ROW()+3)</f>
        <v/>
      </c>
      <c r="AA40" s="21" t="n"/>
      <c r="AB40" s="43">
        <f>Y40-(Z40+AA40)</f>
        <v/>
      </c>
      <c r="AC40" s="43">
        <f>INDIRECT("'Oct"&amp;Members!$F$2&amp;"-COLLECTION'!K"&amp;ROW()-1)</f>
        <v/>
      </c>
      <c r="AD40" s="43">
        <f>INDIRECT("'Oct"&amp;Members!$F$2&amp;"-EXPENSE'!R"&amp;ROW()+3)</f>
        <v/>
      </c>
      <c r="AE40" s="21" t="n"/>
      <c r="AF40" s="43">
        <f>AC40-(AD40+AE40)</f>
        <v/>
      </c>
      <c r="AG40" s="43">
        <f>INDIRECT("'Nov"&amp;Members!$F$2&amp;"-COLLECTION'!K"&amp;ROW()-1)</f>
        <v/>
      </c>
      <c r="AH40" s="43">
        <f>INDIRECT("'Nov"&amp;Members!$F$2&amp;"-EXPENSE'!R"&amp;ROW()+3)</f>
        <v/>
      </c>
      <c r="AI40" s="21" t="n"/>
      <c r="AJ40" s="43">
        <f>AG40-(AH40+AI40)</f>
        <v/>
      </c>
      <c r="AK40" s="43">
        <f>INDIRECT("'Dec"&amp;Members!$F$2&amp;"-COLLECTION'!K"&amp;ROW()-1)</f>
        <v/>
      </c>
      <c r="AL40" s="43">
        <f>INDIRECT("'Dec"&amp;Members!$F$2&amp;"-EXPENSE'!R"&amp;ROW()+3)</f>
        <v/>
      </c>
      <c r="AM40" s="21" t="n"/>
      <c r="AN40" s="43">
        <f>AK40-(AL40+AM40)</f>
        <v/>
      </c>
      <c r="AO40" s="43">
        <f>INDIRECT("'Jan"&amp;Members!$G$2&amp;"-COLLECTION'!K"&amp;ROW()-1)</f>
        <v/>
      </c>
      <c r="AP40" s="43">
        <f>INDIRECT("'Jan"&amp;Members!$G$2&amp;"-EXPENSE'!R"&amp;ROW()+3)</f>
        <v/>
      </c>
      <c r="AQ40" s="2" t="n"/>
      <c r="AR40" s="43">
        <f>AO40-(AP40+AQ40)</f>
        <v/>
      </c>
      <c r="AS40" s="43">
        <f>INDIRECT("'Feb"&amp;Members!$G$2&amp;"-COLLECTION'!K"&amp;ROW()-1)</f>
        <v/>
      </c>
      <c r="AT40" s="43">
        <f>INDIRECT("'Feb"&amp;Members!$G$2&amp;"-EXPENSE'!R"&amp;ROW()+3)</f>
        <v/>
      </c>
      <c r="AU40" s="2" t="n"/>
      <c r="AV40" s="43">
        <f>AS40-(AT40+AU40)</f>
        <v/>
      </c>
      <c r="AW40" s="43">
        <f>INDIRECT("'Mar"&amp;Members!$G$2&amp;"-COLLECTION'!K"&amp;ROW()-1)</f>
        <v/>
      </c>
      <c r="AX40" s="43">
        <f>INDIRECT("'Mar"&amp;Members!$G$2&amp;"-EXPENSE'!R"&amp;ROW()+3)</f>
        <v/>
      </c>
      <c r="AY40" s="2" t="n"/>
      <c r="AZ40" s="43">
        <f>AW40-(AX40+AY40)</f>
        <v/>
      </c>
      <c r="BA40" s="43">
        <f>SUM(E40,I40,M40,Q40,U40,Y40,AC40,AG40,AK40,AO40,AS40,AW40)</f>
        <v/>
      </c>
      <c r="BB40" s="43">
        <f>SUM(F40,J40,N40,R40,V40,Z40,AD40,AH40,AL40,AP40,AT40,AX40)</f>
        <v/>
      </c>
      <c r="BC40" s="43">
        <f>SUM(G40,K40,O40,S40,W40,AA40,AE40,AI40,AM40,AQ40,AU40,AY40)</f>
        <v/>
      </c>
      <c r="BD40" s="43">
        <f>BA40-(BB40+BC40)</f>
        <v/>
      </c>
      <c r="BE40" s="43">
        <f>BD40+D40</f>
        <v/>
      </c>
    </row>
    <row r="41" ht="15.75" customHeight="1">
      <c r="A41" s="37" t="inlineStr">
        <is>
          <t>S7</t>
        </is>
      </c>
      <c r="B41" s="40">
        <f>VLOOKUP(A41,Members!$A$2:$C$65,3,FALSE)</f>
        <v/>
      </c>
      <c r="C41" s="37">
        <f>Members!B40</f>
        <v/>
      </c>
      <c r="D41" s="41" t="n">
        <v>0</v>
      </c>
      <c r="E41" s="41">
        <f>INDIRECT("'Apr"&amp;Members!$F$2&amp;"-COLLECTION'!K"&amp;ROW()-1)</f>
        <v/>
      </c>
      <c r="F41" s="41">
        <f>INDIRECT("'Apr"&amp;Members!$F$2&amp;"-EXPENSE'!R"&amp;ROW()+3)</f>
        <v/>
      </c>
      <c r="G41" s="20" t="n"/>
      <c r="H41" s="41">
        <f>E41-(F41+G41)</f>
        <v/>
      </c>
      <c r="I41" s="41">
        <f>INDIRECT("'May"&amp;Members!$F$2&amp;"-COLLECTION'!K"&amp;ROW()-1)</f>
        <v/>
      </c>
      <c r="J41" s="41">
        <f>INDIRECT("'May"&amp;Members!$F$2&amp;"-EXPENSE'!R"&amp;ROW()+3)</f>
        <v/>
      </c>
      <c r="K41" s="21" t="n"/>
      <c r="L41" s="41">
        <f>I41-(J41+K41)</f>
        <v/>
      </c>
      <c r="M41" s="41">
        <f>INDIRECT("'June"&amp;Members!$F$2&amp;"-COLLECTION'!K"&amp;ROW()-1)</f>
        <v/>
      </c>
      <c r="N41" s="41">
        <f>INDIRECT("'June"&amp;Members!$F$2&amp;"-EXPENSE'!R"&amp;ROW()+3)</f>
        <v/>
      </c>
      <c r="O41" s="20" t="n"/>
      <c r="P41" s="41">
        <f>M41-(N41+O41)</f>
        <v/>
      </c>
      <c r="Q41" s="41">
        <f>INDIRECT("'July"&amp;Members!$F$2&amp;"-COLLECTION'!K"&amp;ROW()-1)</f>
        <v/>
      </c>
      <c r="R41" s="41">
        <f>INDIRECT("'July"&amp;Members!$F$2&amp;"-EXPENSE'!R"&amp;ROW()+3)</f>
        <v/>
      </c>
      <c r="S41" s="21" t="n"/>
      <c r="T41" s="41">
        <f>Q41-(R41+S41)</f>
        <v/>
      </c>
      <c r="U41" s="41">
        <f>INDIRECT("'Aug"&amp;Members!$F$2&amp;"-COLLECTION'!K"&amp;ROW()-1)</f>
        <v/>
      </c>
      <c r="V41" s="41">
        <f>INDIRECT("'Aug"&amp;Members!$F$2&amp;"-EXPENSE'!R"&amp;ROW()+3)</f>
        <v/>
      </c>
      <c r="W41" s="20" t="n"/>
      <c r="X41" s="41">
        <f>U41-(V41+W41)</f>
        <v/>
      </c>
      <c r="Y41" s="41">
        <f>INDIRECT("'Sep"&amp;Members!$F$2&amp;"-COLLECTION'!K"&amp;ROW()-1)</f>
        <v/>
      </c>
      <c r="Z41" s="41">
        <f>INDIRECT("'Sep"&amp;Members!$F$2&amp;"-EXPENSE'!R"&amp;ROW()+3)</f>
        <v/>
      </c>
      <c r="AA41" s="21" t="n"/>
      <c r="AB41" s="41">
        <f>Y41-(Z41+AA41)</f>
        <v/>
      </c>
      <c r="AC41" s="41">
        <f>INDIRECT("'Oct"&amp;Members!$F$2&amp;"-COLLECTION'!K"&amp;ROW()-1)</f>
        <v/>
      </c>
      <c r="AD41" s="41">
        <f>INDIRECT("'Oct"&amp;Members!$F$2&amp;"-EXPENSE'!R"&amp;ROW()+3)</f>
        <v/>
      </c>
      <c r="AE41" s="21" t="n"/>
      <c r="AF41" s="41">
        <f>AC41-(AD41+AE41)</f>
        <v/>
      </c>
      <c r="AG41" s="41">
        <f>INDIRECT("'Nov"&amp;Members!$F$2&amp;"-COLLECTION'!K"&amp;ROW()-1)</f>
        <v/>
      </c>
      <c r="AH41" s="41">
        <f>INDIRECT("'Nov"&amp;Members!$F$2&amp;"-EXPENSE'!R"&amp;ROW()+3)</f>
        <v/>
      </c>
      <c r="AI41" s="21" t="n"/>
      <c r="AJ41" s="41">
        <f>AG41-(AH41+AI41)</f>
        <v/>
      </c>
      <c r="AK41" s="41">
        <f>INDIRECT("'Dec"&amp;Members!$F$2&amp;"-COLLECTION'!K"&amp;ROW()-1)</f>
        <v/>
      </c>
      <c r="AL41" s="41">
        <f>INDIRECT("'Dec"&amp;Members!$F$2&amp;"-EXPENSE'!R"&amp;ROW()+3)</f>
        <v/>
      </c>
      <c r="AM41" s="21" t="n"/>
      <c r="AN41" s="41">
        <f>AK41-(AL41+AM41)</f>
        <v/>
      </c>
      <c r="AO41" s="41">
        <f>INDIRECT("'Jan"&amp;Members!$G$2&amp;"-COLLECTION'!K"&amp;ROW()-1)</f>
        <v/>
      </c>
      <c r="AP41" s="41">
        <f>INDIRECT("'Jan"&amp;Members!$G$2&amp;"-EXPENSE'!R"&amp;ROW()+3)</f>
        <v/>
      </c>
      <c r="AQ41" s="2" t="n"/>
      <c r="AR41" s="41">
        <f>AO41-(AP41+AQ41)</f>
        <v/>
      </c>
      <c r="AS41" s="41">
        <f>INDIRECT("'Feb"&amp;Members!$G$2&amp;"-COLLECTION'!K"&amp;ROW()-1)</f>
        <v/>
      </c>
      <c r="AT41" s="41">
        <f>INDIRECT("'Feb"&amp;Members!$G$2&amp;"-EXPENSE'!R"&amp;ROW()+3)</f>
        <v/>
      </c>
      <c r="AU41" s="2" t="n"/>
      <c r="AV41" s="41">
        <f>AS41-(AT41+AU41)</f>
        <v/>
      </c>
      <c r="AW41" s="41">
        <f>INDIRECT("'Mar"&amp;Members!$G$2&amp;"-COLLECTION'!K"&amp;ROW()-1)</f>
        <v/>
      </c>
      <c r="AX41" s="41">
        <f>INDIRECT("'Mar"&amp;Members!$G$2&amp;"-EXPENSE'!R"&amp;ROW()+3)</f>
        <v/>
      </c>
      <c r="AY41" s="2" t="n"/>
      <c r="AZ41" s="41">
        <f>AW41-(AX41+AY41)</f>
        <v/>
      </c>
      <c r="BA41" s="41">
        <f>SUM(E41,I41,M41,Q41,U41,Y41,AC41,AG41,AK41,AO41,AS41,AW41)</f>
        <v/>
      </c>
      <c r="BB41" s="41">
        <f>SUM(F41,J41,N41,R41,V41,Z41,AD41,AH41,AL41,AP41,AT41,AX41)</f>
        <v/>
      </c>
      <c r="BC41" s="41">
        <f>SUM(G41,K41,O41,S41,W41,AA41,AE41,AI41,AM41,AQ41,AU41,AY41)</f>
        <v/>
      </c>
      <c r="BD41" s="41">
        <f>BA41-(BB41+BC41)</f>
        <v/>
      </c>
      <c r="BE41" s="41">
        <f>BD41+D41</f>
        <v/>
      </c>
    </row>
    <row r="42" ht="15.75" customHeight="1">
      <c r="A42" s="36" t="inlineStr">
        <is>
          <t>S8</t>
        </is>
      </c>
      <c r="B42" s="42">
        <f>VLOOKUP(A42,Members!$A$2:$C$65,3,FALSE)</f>
        <v/>
      </c>
      <c r="C42" s="36">
        <f>Members!B41</f>
        <v/>
      </c>
      <c r="D42" s="43" t="n">
        <v>0</v>
      </c>
      <c r="E42" s="43">
        <f>INDIRECT("'Apr"&amp;Members!$F$2&amp;"-COLLECTION'!K"&amp;ROW()-1)</f>
        <v/>
      </c>
      <c r="F42" s="43">
        <f>INDIRECT("'Apr"&amp;Members!$F$2&amp;"-EXPENSE'!R"&amp;ROW()+3)</f>
        <v/>
      </c>
      <c r="G42" s="20" t="n"/>
      <c r="H42" s="43">
        <f>E42-(F42+G42)</f>
        <v/>
      </c>
      <c r="I42" s="43">
        <f>INDIRECT("'May"&amp;Members!$F$2&amp;"-COLLECTION'!K"&amp;ROW()-1)</f>
        <v/>
      </c>
      <c r="J42" s="43">
        <f>INDIRECT("'May"&amp;Members!$F$2&amp;"-EXPENSE'!R"&amp;ROW()+3)</f>
        <v/>
      </c>
      <c r="K42" s="21" t="n"/>
      <c r="L42" s="43">
        <f>I42-(J42+K42)</f>
        <v/>
      </c>
      <c r="M42" s="43">
        <f>INDIRECT("'June"&amp;Members!$F$2&amp;"-COLLECTION'!K"&amp;ROW()-1)</f>
        <v/>
      </c>
      <c r="N42" s="43">
        <f>INDIRECT("'June"&amp;Members!$F$2&amp;"-EXPENSE'!R"&amp;ROW()+3)</f>
        <v/>
      </c>
      <c r="O42" s="20" t="n"/>
      <c r="P42" s="43">
        <f>M42-(N42+O42)</f>
        <v/>
      </c>
      <c r="Q42" s="43">
        <f>INDIRECT("'July"&amp;Members!$F$2&amp;"-COLLECTION'!K"&amp;ROW()-1)</f>
        <v/>
      </c>
      <c r="R42" s="43">
        <f>INDIRECT("'July"&amp;Members!$F$2&amp;"-EXPENSE'!R"&amp;ROW()+3)</f>
        <v/>
      </c>
      <c r="S42" s="21" t="n"/>
      <c r="T42" s="43">
        <f>Q42-(R42+S42)</f>
        <v/>
      </c>
      <c r="U42" s="43">
        <f>INDIRECT("'Aug"&amp;Members!$F$2&amp;"-COLLECTION'!K"&amp;ROW()-1)</f>
        <v/>
      </c>
      <c r="V42" s="43">
        <f>INDIRECT("'Aug"&amp;Members!$F$2&amp;"-EXPENSE'!R"&amp;ROW()+3)</f>
        <v/>
      </c>
      <c r="W42" s="20" t="n"/>
      <c r="X42" s="43">
        <f>U42-(V42+W42)</f>
        <v/>
      </c>
      <c r="Y42" s="43">
        <f>INDIRECT("'Sep"&amp;Members!$F$2&amp;"-COLLECTION'!K"&amp;ROW()-1)</f>
        <v/>
      </c>
      <c r="Z42" s="43">
        <f>INDIRECT("'Sep"&amp;Members!$F$2&amp;"-EXPENSE'!R"&amp;ROW()+3)</f>
        <v/>
      </c>
      <c r="AA42" s="21" t="n"/>
      <c r="AB42" s="43">
        <f>Y42-(Z42+AA42)</f>
        <v/>
      </c>
      <c r="AC42" s="43">
        <f>INDIRECT("'Oct"&amp;Members!$F$2&amp;"-COLLECTION'!K"&amp;ROW()-1)</f>
        <v/>
      </c>
      <c r="AD42" s="43">
        <f>INDIRECT("'Oct"&amp;Members!$F$2&amp;"-EXPENSE'!R"&amp;ROW()+3)</f>
        <v/>
      </c>
      <c r="AE42" s="21" t="n"/>
      <c r="AF42" s="43">
        <f>AC42-(AD42+AE42)</f>
        <v/>
      </c>
      <c r="AG42" s="43">
        <f>INDIRECT("'Nov"&amp;Members!$F$2&amp;"-COLLECTION'!K"&amp;ROW()-1)</f>
        <v/>
      </c>
      <c r="AH42" s="43">
        <f>INDIRECT("'Nov"&amp;Members!$F$2&amp;"-EXPENSE'!R"&amp;ROW()+3)</f>
        <v/>
      </c>
      <c r="AI42" s="21" t="n"/>
      <c r="AJ42" s="43">
        <f>AG42-(AH42+AI42)</f>
        <v/>
      </c>
      <c r="AK42" s="43">
        <f>INDIRECT("'Dec"&amp;Members!$F$2&amp;"-COLLECTION'!K"&amp;ROW()-1)</f>
        <v/>
      </c>
      <c r="AL42" s="43">
        <f>INDIRECT("'Dec"&amp;Members!$F$2&amp;"-EXPENSE'!R"&amp;ROW()+3)</f>
        <v/>
      </c>
      <c r="AM42" s="21" t="n"/>
      <c r="AN42" s="43">
        <f>AK42-(AL42+AM42)</f>
        <v/>
      </c>
      <c r="AO42" s="43">
        <f>INDIRECT("'Jan"&amp;Members!$G$2&amp;"-COLLECTION'!K"&amp;ROW()-1)</f>
        <v/>
      </c>
      <c r="AP42" s="43">
        <f>INDIRECT("'Jan"&amp;Members!$G$2&amp;"-EXPENSE'!R"&amp;ROW()+3)</f>
        <v/>
      </c>
      <c r="AQ42" s="2" t="n"/>
      <c r="AR42" s="43">
        <f>AO42-(AP42+AQ42)</f>
        <v/>
      </c>
      <c r="AS42" s="43">
        <f>INDIRECT("'Feb"&amp;Members!$G$2&amp;"-COLLECTION'!K"&amp;ROW()-1)</f>
        <v/>
      </c>
      <c r="AT42" s="43">
        <f>INDIRECT("'Feb"&amp;Members!$G$2&amp;"-EXPENSE'!R"&amp;ROW()+3)</f>
        <v/>
      </c>
      <c r="AU42" s="2" t="n"/>
      <c r="AV42" s="43">
        <f>AS42-(AT42+AU42)</f>
        <v/>
      </c>
      <c r="AW42" s="43">
        <f>INDIRECT("'Mar"&amp;Members!$G$2&amp;"-COLLECTION'!K"&amp;ROW()-1)</f>
        <v/>
      </c>
      <c r="AX42" s="43">
        <f>INDIRECT("'Mar"&amp;Members!$G$2&amp;"-EXPENSE'!R"&amp;ROW()+3)</f>
        <v/>
      </c>
      <c r="AY42" s="2" t="n"/>
      <c r="AZ42" s="43">
        <f>AW42-(AX42+AY42)</f>
        <v/>
      </c>
      <c r="BA42" s="43">
        <f>SUM(E42,I42,M42,Q42,U42,Y42,AC42,AG42,AK42,AO42,AS42,AW42)</f>
        <v/>
      </c>
      <c r="BB42" s="43">
        <f>SUM(F42,J42,N42,R42,V42,Z42,AD42,AH42,AL42,AP42,AT42,AX42)</f>
        <v/>
      </c>
      <c r="BC42" s="43">
        <f>SUM(G42,K42,O42,S42,W42,AA42,AE42,AI42,AM42,AQ42,AU42,AY42)</f>
        <v/>
      </c>
      <c r="BD42" s="43">
        <f>BA42-(BB42+BC42)</f>
        <v/>
      </c>
      <c r="BE42" s="43">
        <f>BD42+D42</f>
        <v/>
      </c>
    </row>
    <row r="43" ht="15.75" customHeight="1">
      <c r="A43" s="37" t="inlineStr">
        <is>
          <t>S9</t>
        </is>
      </c>
      <c r="B43" s="40">
        <f>VLOOKUP(A43,Members!$A$2:$C$65,3,FALSE)</f>
        <v/>
      </c>
      <c r="C43" s="37">
        <f>Members!B42</f>
        <v/>
      </c>
      <c r="D43" s="41" t="n">
        <v>0</v>
      </c>
      <c r="E43" s="41">
        <f>INDIRECT("'Apr"&amp;Members!$F$2&amp;"-COLLECTION'!K"&amp;ROW()-1)</f>
        <v/>
      </c>
      <c r="F43" s="41">
        <f>INDIRECT("'Apr"&amp;Members!$F$2&amp;"-EXPENSE'!R"&amp;ROW()+3)</f>
        <v/>
      </c>
      <c r="G43" s="20" t="n"/>
      <c r="H43" s="41">
        <f>E43-(F43+G43)</f>
        <v/>
      </c>
      <c r="I43" s="41">
        <f>INDIRECT("'May"&amp;Members!$F$2&amp;"-COLLECTION'!K"&amp;ROW()-1)</f>
        <v/>
      </c>
      <c r="J43" s="41">
        <f>INDIRECT("'May"&amp;Members!$F$2&amp;"-EXPENSE'!R"&amp;ROW()+3)</f>
        <v/>
      </c>
      <c r="K43" s="21" t="n"/>
      <c r="L43" s="41">
        <f>I43-(J43+K43)</f>
        <v/>
      </c>
      <c r="M43" s="41">
        <f>INDIRECT("'June"&amp;Members!$F$2&amp;"-COLLECTION'!K"&amp;ROW()-1)</f>
        <v/>
      </c>
      <c r="N43" s="41">
        <f>INDIRECT("'June"&amp;Members!$F$2&amp;"-EXPENSE'!R"&amp;ROW()+3)</f>
        <v/>
      </c>
      <c r="O43" s="20" t="n"/>
      <c r="P43" s="41">
        <f>M43-(N43+O43)</f>
        <v/>
      </c>
      <c r="Q43" s="41">
        <f>INDIRECT("'July"&amp;Members!$F$2&amp;"-COLLECTION'!K"&amp;ROW()-1)</f>
        <v/>
      </c>
      <c r="R43" s="41">
        <f>INDIRECT("'July"&amp;Members!$F$2&amp;"-EXPENSE'!R"&amp;ROW()+3)</f>
        <v/>
      </c>
      <c r="S43" s="21" t="n"/>
      <c r="T43" s="41">
        <f>Q43-(R43+S43)</f>
        <v/>
      </c>
      <c r="U43" s="41">
        <f>INDIRECT("'Aug"&amp;Members!$F$2&amp;"-COLLECTION'!K"&amp;ROW()-1)</f>
        <v/>
      </c>
      <c r="V43" s="41">
        <f>INDIRECT("'Aug"&amp;Members!$F$2&amp;"-EXPENSE'!R"&amp;ROW()+3)</f>
        <v/>
      </c>
      <c r="W43" s="20" t="n"/>
      <c r="X43" s="41">
        <f>U43-(V43+W43)</f>
        <v/>
      </c>
      <c r="Y43" s="41">
        <f>INDIRECT("'Sep"&amp;Members!$F$2&amp;"-COLLECTION'!K"&amp;ROW()-1)</f>
        <v/>
      </c>
      <c r="Z43" s="41">
        <f>INDIRECT("'Sep"&amp;Members!$F$2&amp;"-EXPENSE'!R"&amp;ROW()+3)</f>
        <v/>
      </c>
      <c r="AA43" s="21" t="n"/>
      <c r="AB43" s="41">
        <f>Y43-(Z43+AA43)</f>
        <v/>
      </c>
      <c r="AC43" s="41">
        <f>INDIRECT("'Oct"&amp;Members!$F$2&amp;"-COLLECTION'!K"&amp;ROW()-1)</f>
        <v/>
      </c>
      <c r="AD43" s="41">
        <f>INDIRECT("'Oct"&amp;Members!$F$2&amp;"-EXPENSE'!R"&amp;ROW()+3)</f>
        <v/>
      </c>
      <c r="AE43" s="21" t="n"/>
      <c r="AF43" s="41">
        <f>AC43-(AD43+AE43)</f>
        <v/>
      </c>
      <c r="AG43" s="41">
        <f>INDIRECT("'Nov"&amp;Members!$F$2&amp;"-COLLECTION'!K"&amp;ROW()-1)</f>
        <v/>
      </c>
      <c r="AH43" s="41">
        <f>INDIRECT("'Nov"&amp;Members!$F$2&amp;"-EXPENSE'!R"&amp;ROW()+3)</f>
        <v/>
      </c>
      <c r="AI43" s="21" t="n"/>
      <c r="AJ43" s="41">
        <f>AG43-(AH43+AI43)</f>
        <v/>
      </c>
      <c r="AK43" s="41">
        <f>INDIRECT("'Dec"&amp;Members!$F$2&amp;"-COLLECTION'!K"&amp;ROW()-1)</f>
        <v/>
      </c>
      <c r="AL43" s="41">
        <f>INDIRECT("'Dec"&amp;Members!$F$2&amp;"-EXPENSE'!R"&amp;ROW()+3)</f>
        <v/>
      </c>
      <c r="AM43" s="21" t="n"/>
      <c r="AN43" s="41">
        <f>AK43-(AL43+AM43)</f>
        <v/>
      </c>
      <c r="AO43" s="41">
        <f>INDIRECT("'Jan"&amp;Members!$G$2&amp;"-COLLECTION'!K"&amp;ROW()-1)</f>
        <v/>
      </c>
      <c r="AP43" s="41">
        <f>INDIRECT("'Jan"&amp;Members!$G$2&amp;"-EXPENSE'!R"&amp;ROW()+3)</f>
        <v/>
      </c>
      <c r="AQ43" s="2" t="n"/>
      <c r="AR43" s="41">
        <f>AO43-(AP43+AQ43)</f>
        <v/>
      </c>
      <c r="AS43" s="41">
        <f>INDIRECT("'Feb"&amp;Members!$G$2&amp;"-COLLECTION'!K"&amp;ROW()-1)</f>
        <v/>
      </c>
      <c r="AT43" s="41">
        <f>INDIRECT("'Feb"&amp;Members!$G$2&amp;"-EXPENSE'!R"&amp;ROW()+3)</f>
        <v/>
      </c>
      <c r="AU43" s="2" t="n"/>
      <c r="AV43" s="41">
        <f>AS43-(AT43+AU43)</f>
        <v/>
      </c>
      <c r="AW43" s="41">
        <f>INDIRECT("'Mar"&amp;Members!$G$2&amp;"-COLLECTION'!K"&amp;ROW()-1)</f>
        <v/>
      </c>
      <c r="AX43" s="41">
        <f>INDIRECT("'Mar"&amp;Members!$G$2&amp;"-EXPENSE'!R"&amp;ROW()+3)</f>
        <v/>
      </c>
      <c r="AY43" s="2" t="n"/>
      <c r="AZ43" s="41">
        <f>AW43-(AX43+AY43)</f>
        <v/>
      </c>
      <c r="BA43" s="41">
        <f>SUM(E43,I43,M43,Q43,U43,Y43,AC43,AG43,AK43,AO43,AS43,AW43)</f>
        <v/>
      </c>
      <c r="BB43" s="41">
        <f>SUM(F43,J43,N43,R43,V43,Z43,AD43,AH43,AL43,AP43,AT43,AX43)</f>
        <v/>
      </c>
      <c r="BC43" s="41">
        <f>SUM(G43,K43,O43,S43,W43,AA43,AE43,AI43,AM43,AQ43,AU43,AY43)</f>
        <v/>
      </c>
      <c r="BD43" s="41">
        <f>BA43-(BB43+BC43)</f>
        <v/>
      </c>
      <c r="BE43" s="41">
        <f>BD43+D43</f>
        <v/>
      </c>
    </row>
    <row r="44" ht="15.75" customHeight="1">
      <c r="A44" s="36" t="inlineStr">
        <is>
          <t>S10</t>
        </is>
      </c>
      <c r="B44" s="42">
        <f>VLOOKUP(A44,Members!$A$2:$C$65,3,FALSE)</f>
        <v/>
      </c>
      <c r="C44" s="36">
        <f>Members!B43</f>
        <v/>
      </c>
      <c r="D44" s="43" t="n">
        <v>0</v>
      </c>
      <c r="E44" s="43">
        <f>INDIRECT("'Apr"&amp;Members!$F$2&amp;"-COLLECTION'!K"&amp;ROW()-1)</f>
        <v/>
      </c>
      <c r="F44" s="43">
        <f>INDIRECT("'Apr"&amp;Members!$F$2&amp;"-EXPENSE'!R"&amp;ROW()+3)</f>
        <v/>
      </c>
      <c r="G44" s="20" t="n"/>
      <c r="H44" s="43">
        <f>E44-(F44+G44)</f>
        <v/>
      </c>
      <c r="I44" s="43">
        <f>INDIRECT("'May"&amp;Members!$F$2&amp;"-COLLECTION'!K"&amp;ROW()-1)</f>
        <v/>
      </c>
      <c r="J44" s="43">
        <f>INDIRECT("'May"&amp;Members!$F$2&amp;"-EXPENSE'!R"&amp;ROW()+3)</f>
        <v/>
      </c>
      <c r="K44" s="21" t="n"/>
      <c r="L44" s="43">
        <f>I44-(J44+K44)</f>
        <v/>
      </c>
      <c r="M44" s="43">
        <f>INDIRECT("'June"&amp;Members!$F$2&amp;"-COLLECTION'!K"&amp;ROW()-1)</f>
        <v/>
      </c>
      <c r="N44" s="43">
        <f>INDIRECT("'June"&amp;Members!$F$2&amp;"-EXPENSE'!R"&amp;ROW()+3)</f>
        <v/>
      </c>
      <c r="O44" s="20" t="n"/>
      <c r="P44" s="43">
        <f>M44-(N44+O44)</f>
        <v/>
      </c>
      <c r="Q44" s="43">
        <f>INDIRECT("'July"&amp;Members!$F$2&amp;"-COLLECTION'!K"&amp;ROW()-1)</f>
        <v/>
      </c>
      <c r="R44" s="43">
        <f>INDIRECT("'July"&amp;Members!$F$2&amp;"-EXPENSE'!R"&amp;ROW()+3)</f>
        <v/>
      </c>
      <c r="S44" s="21" t="n"/>
      <c r="T44" s="43">
        <f>Q44-(R44+S44)</f>
        <v/>
      </c>
      <c r="U44" s="43">
        <f>INDIRECT("'Aug"&amp;Members!$F$2&amp;"-COLLECTION'!K"&amp;ROW()-1)</f>
        <v/>
      </c>
      <c r="V44" s="43">
        <f>INDIRECT("'Aug"&amp;Members!$F$2&amp;"-EXPENSE'!R"&amp;ROW()+3)</f>
        <v/>
      </c>
      <c r="W44" s="20" t="n"/>
      <c r="X44" s="43">
        <f>U44-(V44+W44)</f>
        <v/>
      </c>
      <c r="Y44" s="43">
        <f>INDIRECT("'Sep"&amp;Members!$F$2&amp;"-COLLECTION'!K"&amp;ROW()-1)</f>
        <v/>
      </c>
      <c r="Z44" s="43">
        <f>INDIRECT("'Sep"&amp;Members!$F$2&amp;"-EXPENSE'!R"&amp;ROW()+3)</f>
        <v/>
      </c>
      <c r="AA44" s="21" t="n"/>
      <c r="AB44" s="43">
        <f>Y44-(Z44+AA44)</f>
        <v/>
      </c>
      <c r="AC44" s="43">
        <f>INDIRECT("'Oct"&amp;Members!$F$2&amp;"-COLLECTION'!K"&amp;ROW()-1)</f>
        <v/>
      </c>
      <c r="AD44" s="43">
        <f>INDIRECT("'Oct"&amp;Members!$F$2&amp;"-EXPENSE'!R"&amp;ROW()+3)</f>
        <v/>
      </c>
      <c r="AE44" s="21" t="n"/>
      <c r="AF44" s="43">
        <f>AC44-(AD44+AE44)</f>
        <v/>
      </c>
      <c r="AG44" s="43">
        <f>INDIRECT("'Nov"&amp;Members!$F$2&amp;"-COLLECTION'!K"&amp;ROW()-1)</f>
        <v/>
      </c>
      <c r="AH44" s="43">
        <f>INDIRECT("'Nov"&amp;Members!$F$2&amp;"-EXPENSE'!R"&amp;ROW()+3)</f>
        <v/>
      </c>
      <c r="AI44" s="21" t="n"/>
      <c r="AJ44" s="43">
        <f>AG44-(AH44+AI44)</f>
        <v/>
      </c>
      <c r="AK44" s="43">
        <f>INDIRECT("'Dec"&amp;Members!$F$2&amp;"-COLLECTION'!K"&amp;ROW()-1)</f>
        <v/>
      </c>
      <c r="AL44" s="43">
        <f>INDIRECT("'Dec"&amp;Members!$F$2&amp;"-EXPENSE'!R"&amp;ROW()+3)</f>
        <v/>
      </c>
      <c r="AM44" s="21" t="n"/>
      <c r="AN44" s="43">
        <f>AK44-(AL44+AM44)</f>
        <v/>
      </c>
      <c r="AO44" s="43">
        <f>INDIRECT("'Jan"&amp;Members!$G$2&amp;"-COLLECTION'!K"&amp;ROW()-1)</f>
        <v/>
      </c>
      <c r="AP44" s="43">
        <f>INDIRECT("'Jan"&amp;Members!$G$2&amp;"-EXPENSE'!R"&amp;ROW()+3)</f>
        <v/>
      </c>
      <c r="AQ44" s="2" t="n"/>
      <c r="AR44" s="43">
        <f>AO44-(AP44+AQ44)</f>
        <v/>
      </c>
      <c r="AS44" s="43">
        <f>INDIRECT("'Feb"&amp;Members!$G$2&amp;"-COLLECTION'!K"&amp;ROW()-1)</f>
        <v/>
      </c>
      <c r="AT44" s="43">
        <f>INDIRECT("'Feb"&amp;Members!$G$2&amp;"-EXPENSE'!R"&amp;ROW()+3)</f>
        <v/>
      </c>
      <c r="AU44" s="2" t="n"/>
      <c r="AV44" s="43">
        <f>AS44-(AT44+AU44)</f>
        <v/>
      </c>
      <c r="AW44" s="43">
        <f>INDIRECT("'Mar"&amp;Members!$G$2&amp;"-COLLECTION'!K"&amp;ROW()-1)</f>
        <v/>
      </c>
      <c r="AX44" s="43">
        <f>INDIRECT("'Mar"&amp;Members!$G$2&amp;"-EXPENSE'!R"&amp;ROW()+3)</f>
        <v/>
      </c>
      <c r="AY44" s="2" t="n"/>
      <c r="AZ44" s="43">
        <f>AW44-(AX44+AY44)</f>
        <v/>
      </c>
      <c r="BA44" s="43">
        <f>SUM(E44,I44,M44,Q44,U44,Y44,AC44,AG44,AK44,AO44,AS44,AW44)</f>
        <v/>
      </c>
      <c r="BB44" s="43">
        <f>SUM(F44,J44,N44,R44,V44,Z44,AD44,AH44,AL44,AP44,AT44,AX44)</f>
        <v/>
      </c>
      <c r="BC44" s="43">
        <f>SUM(G44,K44,O44,S44,W44,AA44,AE44,AI44,AM44,AQ44,AU44,AY44)</f>
        <v/>
      </c>
      <c r="BD44" s="43">
        <f>BA44-(BB44+BC44)</f>
        <v/>
      </c>
      <c r="BE44" s="43">
        <f>BD44+D44</f>
        <v/>
      </c>
    </row>
    <row r="45" ht="15.75" customHeight="1">
      <c r="A45" s="37" t="inlineStr">
        <is>
          <t>S11</t>
        </is>
      </c>
      <c r="B45" s="40">
        <f>VLOOKUP(A45,Members!$A$2:$C$65,3,FALSE)</f>
        <v/>
      </c>
      <c r="C45" s="37">
        <f>Members!B44</f>
        <v/>
      </c>
      <c r="D45" s="41" t="n">
        <v>0</v>
      </c>
      <c r="E45" s="41">
        <f>INDIRECT("'Apr"&amp;Members!$F$2&amp;"-COLLECTION'!K"&amp;ROW()-1)</f>
        <v/>
      </c>
      <c r="F45" s="41">
        <f>INDIRECT("'Apr"&amp;Members!$F$2&amp;"-EXPENSE'!R"&amp;ROW()+3)</f>
        <v/>
      </c>
      <c r="G45" s="20" t="n"/>
      <c r="H45" s="41">
        <f>E45-(F45+G45)</f>
        <v/>
      </c>
      <c r="I45" s="41">
        <f>INDIRECT("'May"&amp;Members!$F$2&amp;"-COLLECTION'!K"&amp;ROW()-1)</f>
        <v/>
      </c>
      <c r="J45" s="41">
        <f>INDIRECT("'May"&amp;Members!$F$2&amp;"-EXPENSE'!R"&amp;ROW()+3)</f>
        <v/>
      </c>
      <c r="K45" s="21" t="n"/>
      <c r="L45" s="41">
        <f>I45-(J45+K45)</f>
        <v/>
      </c>
      <c r="M45" s="41">
        <f>INDIRECT("'June"&amp;Members!$F$2&amp;"-COLLECTION'!K"&amp;ROW()-1)</f>
        <v/>
      </c>
      <c r="N45" s="41">
        <f>INDIRECT("'June"&amp;Members!$F$2&amp;"-EXPENSE'!R"&amp;ROW()+3)</f>
        <v/>
      </c>
      <c r="O45" s="20" t="n"/>
      <c r="P45" s="41">
        <f>M45-(N45+O45)</f>
        <v/>
      </c>
      <c r="Q45" s="41">
        <f>INDIRECT("'July"&amp;Members!$F$2&amp;"-COLLECTION'!K"&amp;ROW()-1)</f>
        <v/>
      </c>
      <c r="R45" s="41">
        <f>INDIRECT("'July"&amp;Members!$F$2&amp;"-EXPENSE'!R"&amp;ROW()+3)</f>
        <v/>
      </c>
      <c r="S45" s="21" t="n"/>
      <c r="T45" s="41">
        <f>Q45-(R45+S45)</f>
        <v/>
      </c>
      <c r="U45" s="41">
        <f>INDIRECT("'Aug"&amp;Members!$F$2&amp;"-COLLECTION'!K"&amp;ROW()-1)</f>
        <v/>
      </c>
      <c r="V45" s="41">
        <f>INDIRECT("'Aug"&amp;Members!$F$2&amp;"-EXPENSE'!R"&amp;ROW()+3)</f>
        <v/>
      </c>
      <c r="W45" s="20" t="n"/>
      <c r="X45" s="41">
        <f>U45-(V45+W45)</f>
        <v/>
      </c>
      <c r="Y45" s="41">
        <f>INDIRECT("'Sep"&amp;Members!$F$2&amp;"-COLLECTION'!K"&amp;ROW()-1)</f>
        <v/>
      </c>
      <c r="Z45" s="41">
        <f>INDIRECT("'Sep"&amp;Members!$F$2&amp;"-EXPENSE'!R"&amp;ROW()+3)</f>
        <v/>
      </c>
      <c r="AA45" s="21" t="n"/>
      <c r="AB45" s="41">
        <f>Y45-(Z45+AA45)</f>
        <v/>
      </c>
      <c r="AC45" s="41">
        <f>INDIRECT("'Oct"&amp;Members!$F$2&amp;"-COLLECTION'!K"&amp;ROW()-1)</f>
        <v/>
      </c>
      <c r="AD45" s="41">
        <f>INDIRECT("'Oct"&amp;Members!$F$2&amp;"-EXPENSE'!R"&amp;ROW()+3)</f>
        <v/>
      </c>
      <c r="AE45" s="21" t="n"/>
      <c r="AF45" s="41">
        <f>AC45-(AD45+AE45)</f>
        <v/>
      </c>
      <c r="AG45" s="41">
        <f>INDIRECT("'Nov"&amp;Members!$F$2&amp;"-COLLECTION'!K"&amp;ROW()-1)</f>
        <v/>
      </c>
      <c r="AH45" s="41">
        <f>INDIRECT("'Nov"&amp;Members!$F$2&amp;"-EXPENSE'!R"&amp;ROW()+3)</f>
        <v/>
      </c>
      <c r="AI45" s="21" t="n"/>
      <c r="AJ45" s="41">
        <f>AG45-(AH45+AI45)</f>
        <v/>
      </c>
      <c r="AK45" s="41">
        <f>INDIRECT("'Dec"&amp;Members!$F$2&amp;"-COLLECTION'!K"&amp;ROW()-1)</f>
        <v/>
      </c>
      <c r="AL45" s="41">
        <f>INDIRECT("'Dec"&amp;Members!$F$2&amp;"-EXPENSE'!R"&amp;ROW()+3)</f>
        <v/>
      </c>
      <c r="AM45" s="21" t="n"/>
      <c r="AN45" s="41">
        <f>AK45-(AL45+AM45)</f>
        <v/>
      </c>
      <c r="AO45" s="41">
        <f>INDIRECT("'Jan"&amp;Members!$G$2&amp;"-COLLECTION'!K"&amp;ROW()-1)</f>
        <v/>
      </c>
      <c r="AP45" s="41">
        <f>INDIRECT("'Jan"&amp;Members!$G$2&amp;"-EXPENSE'!R"&amp;ROW()+3)</f>
        <v/>
      </c>
      <c r="AQ45" s="2" t="n"/>
      <c r="AR45" s="41">
        <f>AO45-(AP45+AQ45)</f>
        <v/>
      </c>
      <c r="AS45" s="41">
        <f>INDIRECT("'Feb"&amp;Members!$G$2&amp;"-COLLECTION'!K"&amp;ROW()-1)</f>
        <v/>
      </c>
      <c r="AT45" s="41">
        <f>INDIRECT("'Feb"&amp;Members!$G$2&amp;"-EXPENSE'!R"&amp;ROW()+3)</f>
        <v/>
      </c>
      <c r="AU45" s="2" t="n"/>
      <c r="AV45" s="41">
        <f>AS45-(AT45+AU45)</f>
        <v/>
      </c>
      <c r="AW45" s="41">
        <f>INDIRECT("'Mar"&amp;Members!$G$2&amp;"-COLLECTION'!K"&amp;ROW()-1)</f>
        <v/>
      </c>
      <c r="AX45" s="41">
        <f>INDIRECT("'Mar"&amp;Members!$G$2&amp;"-EXPENSE'!R"&amp;ROW()+3)</f>
        <v/>
      </c>
      <c r="AY45" s="2" t="n"/>
      <c r="AZ45" s="41">
        <f>AW45-(AX45+AY45)</f>
        <v/>
      </c>
      <c r="BA45" s="41">
        <f>SUM(E45,I45,M45,Q45,U45,Y45,AC45,AG45,AK45,AO45,AS45,AW45)</f>
        <v/>
      </c>
      <c r="BB45" s="41">
        <f>SUM(F45,J45,N45,R45,V45,Z45,AD45,AH45,AL45,AP45,AT45,AX45)</f>
        <v/>
      </c>
      <c r="BC45" s="41">
        <f>SUM(G45,K45,O45,S45,W45,AA45,AE45,AI45,AM45,AQ45,AU45,AY45)</f>
        <v/>
      </c>
      <c r="BD45" s="41">
        <f>BA45-(BB45+BC45)</f>
        <v/>
      </c>
      <c r="BE45" s="41">
        <f>BD45+D45</f>
        <v/>
      </c>
    </row>
    <row r="46" ht="15.75" customHeight="1">
      <c r="A46" s="36" t="inlineStr">
        <is>
          <t>S12</t>
        </is>
      </c>
      <c r="B46" s="42">
        <f>VLOOKUP(A46,Members!$A$2:$C$65,3,FALSE)</f>
        <v/>
      </c>
      <c r="C46" s="36">
        <f>Members!B45</f>
        <v/>
      </c>
      <c r="D46" s="43" t="n">
        <v>0</v>
      </c>
      <c r="E46" s="43">
        <f>INDIRECT("'Apr"&amp;Members!$F$2&amp;"-COLLECTION'!K"&amp;ROW()-1)</f>
        <v/>
      </c>
      <c r="F46" s="43">
        <f>INDIRECT("'Apr"&amp;Members!$F$2&amp;"-EXPENSE'!R"&amp;ROW()+3)</f>
        <v/>
      </c>
      <c r="G46" s="20" t="n"/>
      <c r="H46" s="43">
        <f>E46-(F46+G46)</f>
        <v/>
      </c>
      <c r="I46" s="43">
        <f>INDIRECT("'May"&amp;Members!$F$2&amp;"-COLLECTION'!K"&amp;ROW()-1)</f>
        <v/>
      </c>
      <c r="J46" s="43">
        <f>INDIRECT("'May"&amp;Members!$F$2&amp;"-EXPENSE'!R"&amp;ROW()+3)</f>
        <v/>
      </c>
      <c r="K46" s="21" t="n"/>
      <c r="L46" s="43">
        <f>I46-(J46+K46)</f>
        <v/>
      </c>
      <c r="M46" s="43">
        <f>INDIRECT("'June"&amp;Members!$F$2&amp;"-COLLECTION'!K"&amp;ROW()-1)</f>
        <v/>
      </c>
      <c r="N46" s="43">
        <f>INDIRECT("'June"&amp;Members!$F$2&amp;"-EXPENSE'!R"&amp;ROW()+3)</f>
        <v/>
      </c>
      <c r="O46" s="20" t="n"/>
      <c r="P46" s="43">
        <f>M46-(N46+O46)</f>
        <v/>
      </c>
      <c r="Q46" s="43">
        <f>INDIRECT("'July"&amp;Members!$F$2&amp;"-COLLECTION'!K"&amp;ROW()-1)</f>
        <v/>
      </c>
      <c r="R46" s="43">
        <f>INDIRECT("'July"&amp;Members!$F$2&amp;"-EXPENSE'!R"&amp;ROW()+3)</f>
        <v/>
      </c>
      <c r="S46" s="21" t="n"/>
      <c r="T46" s="43">
        <f>Q46-(R46+S46)</f>
        <v/>
      </c>
      <c r="U46" s="43">
        <f>INDIRECT("'Aug"&amp;Members!$F$2&amp;"-COLLECTION'!K"&amp;ROW()-1)</f>
        <v/>
      </c>
      <c r="V46" s="43">
        <f>INDIRECT("'Aug"&amp;Members!$F$2&amp;"-EXPENSE'!R"&amp;ROW()+3)</f>
        <v/>
      </c>
      <c r="W46" s="20" t="n"/>
      <c r="X46" s="43">
        <f>U46-(V46+W46)</f>
        <v/>
      </c>
      <c r="Y46" s="43">
        <f>INDIRECT("'Sep"&amp;Members!$F$2&amp;"-COLLECTION'!K"&amp;ROW()-1)</f>
        <v/>
      </c>
      <c r="Z46" s="43">
        <f>INDIRECT("'Sep"&amp;Members!$F$2&amp;"-EXPENSE'!R"&amp;ROW()+3)</f>
        <v/>
      </c>
      <c r="AA46" s="21" t="n"/>
      <c r="AB46" s="43">
        <f>Y46-(Z46+AA46)</f>
        <v/>
      </c>
      <c r="AC46" s="43">
        <f>INDIRECT("'Oct"&amp;Members!$F$2&amp;"-COLLECTION'!K"&amp;ROW()-1)</f>
        <v/>
      </c>
      <c r="AD46" s="43">
        <f>INDIRECT("'Oct"&amp;Members!$F$2&amp;"-EXPENSE'!R"&amp;ROW()+3)</f>
        <v/>
      </c>
      <c r="AE46" s="21" t="n"/>
      <c r="AF46" s="43">
        <f>AC46-(AD46+AE46)</f>
        <v/>
      </c>
      <c r="AG46" s="43">
        <f>INDIRECT("'Nov"&amp;Members!$F$2&amp;"-COLLECTION'!K"&amp;ROW()-1)</f>
        <v/>
      </c>
      <c r="AH46" s="43">
        <f>INDIRECT("'Nov"&amp;Members!$F$2&amp;"-EXPENSE'!R"&amp;ROW()+3)</f>
        <v/>
      </c>
      <c r="AI46" s="21" t="n"/>
      <c r="AJ46" s="43">
        <f>AG46-(AH46+AI46)</f>
        <v/>
      </c>
      <c r="AK46" s="43">
        <f>INDIRECT("'Dec"&amp;Members!$F$2&amp;"-COLLECTION'!K"&amp;ROW()-1)</f>
        <v/>
      </c>
      <c r="AL46" s="43">
        <f>INDIRECT("'Dec"&amp;Members!$F$2&amp;"-EXPENSE'!R"&amp;ROW()+3)</f>
        <v/>
      </c>
      <c r="AM46" s="21" t="n"/>
      <c r="AN46" s="43">
        <f>AK46-(AL46+AM46)</f>
        <v/>
      </c>
      <c r="AO46" s="43">
        <f>INDIRECT("'Jan"&amp;Members!$G$2&amp;"-COLLECTION'!K"&amp;ROW()-1)</f>
        <v/>
      </c>
      <c r="AP46" s="43">
        <f>INDIRECT("'Jan"&amp;Members!$G$2&amp;"-EXPENSE'!R"&amp;ROW()+3)</f>
        <v/>
      </c>
      <c r="AQ46" s="2" t="n"/>
      <c r="AR46" s="43">
        <f>AO46-(AP46+AQ46)</f>
        <v/>
      </c>
      <c r="AS46" s="43">
        <f>INDIRECT("'Feb"&amp;Members!$G$2&amp;"-COLLECTION'!K"&amp;ROW()-1)</f>
        <v/>
      </c>
      <c r="AT46" s="43">
        <f>INDIRECT("'Feb"&amp;Members!$G$2&amp;"-EXPENSE'!R"&amp;ROW()+3)</f>
        <v/>
      </c>
      <c r="AU46" s="2" t="n"/>
      <c r="AV46" s="43">
        <f>AS46-(AT46+AU46)</f>
        <v/>
      </c>
      <c r="AW46" s="43">
        <f>INDIRECT("'Mar"&amp;Members!$G$2&amp;"-COLLECTION'!K"&amp;ROW()-1)</f>
        <v/>
      </c>
      <c r="AX46" s="43">
        <f>INDIRECT("'Mar"&amp;Members!$G$2&amp;"-EXPENSE'!R"&amp;ROW()+3)</f>
        <v/>
      </c>
      <c r="AY46" s="2" t="n"/>
      <c r="AZ46" s="43">
        <f>AW46-(AX46+AY46)</f>
        <v/>
      </c>
      <c r="BA46" s="43">
        <f>SUM(E46,I46,M46,Q46,U46,Y46,AC46,AG46,AK46,AO46,AS46,AW46)</f>
        <v/>
      </c>
      <c r="BB46" s="43">
        <f>SUM(F46,J46,N46,R46,V46,Z46,AD46,AH46,AL46,AP46,AT46,AX46)</f>
        <v/>
      </c>
      <c r="BC46" s="43">
        <f>SUM(G46,K46,O46,S46,W46,AA46,AE46,AI46,AM46,AQ46,AU46,AY46)</f>
        <v/>
      </c>
      <c r="BD46" s="43">
        <f>BA46-(BB46+BC46)</f>
        <v/>
      </c>
      <c r="BE46" s="43">
        <f>BD46+D46</f>
        <v/>
      </c>
    </row>
    <row r="47" ht="15.75" customHeight="1">
      <c r="A47" s="37" t="inlineStr">
        <is>
          <t>S13</t>
        </is>
      </c>
      <c r="B47" s="40">
        <f>VLOOKUP(A47,Members!$A$2:$C$65,3,FALSE)</f>
        <v/>
      </c>
      <c r="C47" s="37">
        <f>Members!B46</f>
        <v/>
      </c>
      <c r="D47" s="41" t="n">
        <v>0</v>
      </c>
      <c r="E47" s="41">
        <f>INDIRECT("'Apr"&amp;Members!$F$2&amp;"-COLLECTION'!K"&amp;ROW()-1)</f>
        <v/>
      </c>
      <c r="F47" s="41">
        <f>INDIRECT("'Apr"&amp;Members!$F$2&amp;"-EXPENSE'!R"&amp;ROW()+3)</f>
        <v/>
      </c>
      <c r="G47" s="20" t="n"/>
      <c r="H47" s="41">
        <f>E47-(F47+G47)</f>
        <v/>
      </c>
      <c r="I47" s="41">
        <f>INDIRECT("'May"&amp;Members!$F$2&amp;"-COLLECTION'!K"&amp;ROW()-1)</f>
        <v/>
      </c>
      <c r="J47" s="41">
        <f>INDIRECT("'May"&amp;Members!$F$2&amp;"-EXPENSE'!R"&amp;ROW()+3)</f>
        <v/>
      </c>
      <c r="K47" s="21" t="n"/>
      <c r="L47" s="41">
        <f>I47-(J47+K47)</f>
        <v/>
      </c>
      <c r="M47" s="41">
        <f>INDIRECT("'June"&amp;Members!$F$2&amp;"-COLLECTION'!K"&amp;ROW()-1)</f>
        <v/>
      </c>
      <c r="N47" s="41">
        <f>INDIRECT("'June"&amp;Members!$F$2&amp;"-EXPENSE'!R"&amp;ROW()+3)</f>
        <v/>
      </c>
      <c r="O47" s="20" t="n"/>
      <c r="P47" s="41">
        <f>M47-(N47+O47)</f>
        <v/>
      </c>
      <c r="Q47" s="41">
        <f>INDIRECT("'July"&amp;Members!$F$2&amp;"-COLLECTION'!K"&amp;ROW()-1)</f>
        <v/>
      </c>
      <c r="R47" s="41">
        <f>INDIRECT("'July"&amp;Members!$F$2&amp;"-EXPENSE'!R"&amp;ROW()+3)</f>
        <v/>
      </c>
      <c r="S47" s="21" t="n"/>
      <c r="T47" s="41">
        <f>Q47-(R47+S47)</f>
        <v/>
      </c>
      <c r="U47" s="41">
        <f>INDIRECT("'Aug"&amp;Members!$F$2&amp;"-COLLECTION'!K"&amp;ROW()-1)</f>
        <v/>
      </c>
      <c r="V47" s="41">
        <f>INDIRECT("'Aug"&amp;Members!$F$2&amp;"-EXPENSE'!R"&amp;ROW()+3)</f>
        <v/>
      </c>
      <c r="W47" s="20" t="n"/>
      <c r="X47" s="41">
        <f>U47-(V47+W47)</f>
        <v/>
      </c>
      <c r="Y47" s="41">
        <f>INDIRECT("'Sep"&amp;Members!$F$2&amp;"-COLLECTION'!K"&amp;ROW()-1)</f>
        <v/>
      </c>
      <c r="Z47" s="41">
        <f>INDIRECT("'Sep"&amp;Members!$F$2&amp;"-EXPENSE'!R"&amp;ROW()+3)</f>
        <v/>
      </c>
      <c r="AA47" s="21" t="n"/>
      <c r="AB47" s="41">
        <f>Y47-(Z47+AA47)</f>
        <v/>
      </c>
      <c r="AC47" s="41">
        <f>INDIRECT("'Oct"&amp;Members!$F$2&amp;"-COLLECTION'!K"&amp;ROW()-1)</f>
        <v/>
      </c>
      <c r="AD47" s="41">
        <f>INDIRECT("'Oct"&amp;Members!$F$2&amp;"-EXPENSE'!R"&amp;ROW()+3)</f>
        <v/>
      </c>
      <c r="AE47" s="21" t="n"/>
      <c r="AF47" s="41">
        <f>AC47-(AD47+AE47)</f>
        <v/>
      </c>
      <c r="AG47" s="41">
        <f>INDIRECT("'Nov"&amp;Members!$F$2&amp;"-COLLECTION'!K"&amp;ROW()-1)</f>
        <v/>
      </c>
      <c r="AH47" s="41">
        <f>INDIRECT("'Nov"&amp;Members!$F$2&amp;"-EXPENSE'!R"&amp;ROW()+3)</f>
        <v/>
      </c>
      <c r="AI47" s="21" t="n"/>
      <c r="AJ47" s="41">
        <f>AG47-(AH47+AI47)</f>
        <v/>
      </c>
      <c r="AK47" s="41">
        <f>INDIRECT("'Dec"&amp;Members!$F$2&amp;"-COLLECTION'!K"&amp;ROW()-1)</f>
        <v/>
      </c>
      <c r="AL47" s="41">
        <f>INDIRECT("'Dec"&amp;Members!$F$2&amp;"-EXPENSE'!R"&amp;ROW()+3)</f>
        <v/>
      </c>
      <c r="AM47" s="21" t="n"/>
      <c r="AN47" s="41">
        <f>AK47-(AL47+AM47)</f>
        <v/>
      </c>
      <c r="AO47" s="41">
        <f>INDIRECT("'Jan"&amp;Members!$G$2&amp;"-COLLECTION'!K"&amp;ROW()-1)</f>
        <v/>
      </c>
      <c r="AP47" s="41">
        <f>INDIRECT("'Jan"&amp;Members!$G$2&amp;"-EXPENSE'!R"&amp;ROW()+3)</f>
        <v/>
      </c>
      <c r="AQ47" s="2" t="n"/>
      <c r="AR47" s="41">
        <f>AO47-(AP47+AQ47)</f>
        <v/>
      </c>
      <c r="AS47" s="41">
        <f>INDIRECT("'Feb"&amp;Members!$G$2&amp;"-COLLECTION'!K"&amp;ROW()-1)</f>
        <v/>
      </c>
      <c r="AT47" s="41">
        <f>INDIRECT("'Feb"&amp;Members!$G$2&amp;"-EXPENSE'!R"&amp;ROW()+3)</f>
        <v/>
      </c>
      <c r="AU47" s="2" t="n"/>
      <c r="AV47" s="41">
        <f>AS47-(AT47+AU47)</f>
        <v/>
      </c>
      <c r="AW47" s="41">
        <f>INDIRECT("'Mar"&amp;Members!$G$2&amp;"-COLLECTION'!K"&amp;ROW()-1)</f>
        <v/>
      </c>
      <c r="AX47" s="41">
        <f>INDIRECT("'Mar"&amp;Members!$G$2&amp;"-EXPENSE'!R"&amp;ROW()+3)</f>
        <v/>
      </c>
      <c r="AY47" s="2" t="n"/>
      <c r="AZ47" s="41">
        <f>AW47-(AX47+AY47)</f>
        <v/>
      </c>
      <c r="BA47" s="41">
        <f>SUM(E47,I47,M47,Q47,U47,Y47,AC47,AG47,AK47,AO47,AS47,AW47)</f>
        <v/>
      </c>
      <c r="BB47" s="41">
        <f>SUM(F47,J47,N47,R47,V47,Z47,AD47,AH47,AL47,AP47,AT47,AX47)</f>
        <v/>
      </c>
      <c r="BC47" s="41">
        <f>SUM(G47,K47,O47,S47,W47,AA47,AE47,AI47,AM47,AQ47,AU47,AY47)</f>
        <v/>
      </c>
      <c r="BD47" s="41">
        <f>BA47-(BB47+BC47)</f>
        <v/>
      </c>
      <c r="BE47" s="41">
        <f>BD47+D47</f>
        <v/>
      </c>
    </row>
    <row r="48" ht="15.75" customHeight="1">
      <c r="A48" s="36" t="inlineStr">
        <is>
          <t>S14</t>
        </is>
      </c>
      <c r="B48" s="42">
        <f>VLOOKUP(A48,Members!$A$2:$C$65,3,FALSE)</f>
        <v/>
      </c>
      <c r="C48" s="36">
        <f>Members!B47</f>
        <v/>
      </c>
      <c r="D48" s="43" t="n">
        <v>0</v>
      </c>
      <c r="E48" s="43">
        <f>INDIRECT("'Apr"&amp;Members!$F$2&amp;"-COLLECTION'!K"&amp;ROW()-1)</f>
        <v/>
      </c>
      <c r="F48" s="43">
        <f>INDIRECT("'Apr"&amp;Members!$F$2&amp;"-EXPENSE'!R"&amp;ROW()+3)</f>
        <v/>
      </c>
      <c r="G48" s="20" t="n"/>
      <c r="H48" s="43">
        <f>E48-(F48+G48)</f>
        <v/>
      </c>
      <c r="I48" s="43">
        <f>INDIRECT("'May"&amp;Members!$F$2&amp;"-COLLECTION'!K"&amp;ROW()-1)</f>
        <v/>
      </c>
      <c r="J48" s="43">
        <f>INDIRECT("'May"&amp;Members!$F$2&amp;"-EXPENSE'!R"&amp;ROW()+3)</f>
        <v/>
      </c>
      <c r="K48" s="21" t="n"/>
      <c r="L48" s="43">
        <f>I48-(J48+K48)</f>
        <v/>
      </c>
      <c r="M48" s="43">
        <f>INDIRECT("'June"&amp;Members!$F$2&amp;"-COLLECTION'!K"&amp;ROW()-1)</f>
        <v/>
      </c>
      <c r="N48" s="43">
        <f>INDIRECT("'June"&amp;Members!$F$2&amp;"-EXPENSE'!R"&amp;ROW()+3)</f>
        <v/>
      </c>
      <c r="O48" s="20" t="n"/>
      <c r="P48" s="43">
        <f>M48-(N48+O48)</f>
        <v/>
      </c>
      <c r="Q48" s="43">
        <f>INDIRECT("'July"&amp;Members!$F$2&amp;"-COLLECTION'!K"&amp;ROW()-1)</f>
        <v/>
      </c>
      <c r="R48" s="43">
        <f>INDIRECT("'July"&amp;Members!$F$2&amp;"-EXPENSE'!R"&amp;ROW()+3)</f>
        <v/>
      </c>
      <c r="S48" s="21" t="n"/>
      <c r="T48" s="43">
        <f>Q48-(R48+S48)</f>
        <v/>
      </c>
      <c r="U48" s="43">
        <f>INDIRECT("'Aug"&amp;Members!$F$2&amp;"-COLLECTION'!K"&amp;ROW()-1)</f>
        <v/>
      </c>
      <c r="V48" s="43">
        <f>INDIRECT("'Aug"&amp;Members!$F$2&amp;"-EXPENSE'!R"&amp;ROW()+3)</f>
        <v/>
      </c>
      <c r="W48" s="20" t="n"/>
      <c r="X48" s="43">
        <f>U48-(V48+W48)</f>
        <v/>
      </c>
      <c r="Y48" s="43">
        <f>INDIRECT("'Sep"&amp;Members!$F$2&amp;"-COLLECTION'!K"&amp;ROW()-1)</f>
        <v/>
      </c>
      <c r="Z48" s="43">
        <f>INDIRECT("'Sep"&amp;Members!$F$2&amp;"-EXPENSE'!R"&amp;ROW()+3)</f>
        <v/>
      </c>
      <c r="AA48" s="21" t="n"/>
      <c r="AB48" s="43">
        <f>Y48-(Z48+AA48)</f>
        <v/>
      </c>
      <c r="AC48" s="43">
        <f>INDIRECT("'Oct"&amp;Members!$F$2&amp;"-COLLECTION'!K"&amp;ROW()-1)</f>
        <v/>
      </c>
      <c r="AD48" s="43">
        <f>INDIRECT("'Oct"&amp;Members!$F$2&amp;"-EXPENSE'!R"&amp;ROW()+3)</f>
        <v/>
      </c>
      <c r="AE48" s="21" t="n"/>
      <c r="AF48" s="43">
        <f>AC48-(AD48+AE48)</f>
        <v/>
      </c>
      <c r="AG48" s="43">
        <f>INDIRECT("'Nov"&amp;Members!$F$2&amp;"-COLLECTION'!K"&amp;ROW()-1)</f>
        <v/>
      </c>
      <c r="AH48" s="43">
        <f>INDIRECT("'Nov"&amp;Members!$F$2&amp;"-EXPENSE'!R"&amp;ROW()+3)</f>
        <v/>
      </c>
      <c r="AI48" s="21" t="n"/>
      <c r="AJ48" s="43">
        <f>AG48-(AH48+AI48)</f>
        <v/>
      </c>
      <c r="AK48" s="43">
        <f>INDIRECT("'Dec"&amp;Members!$F$2&amp;"-COLLECTION'!K"&amp;ROW()-1)</f>
        <v/>
      </c>
      <c r="AL48" s="43">
        <f>INDIRECT("'Dec"&amp;Members!$F$2&amp;"-EXPENSE'!R"&amp;ROW()+3)</f>
        <v/>
      </c>
      <c r="AM48" s="21" t="n"/>
      <c r="AN48" s="43">
        <f>AK48-(AL48+AM48)</f>
        <v/>
      </c>
      <c r="AO48" s="43">
        <f>INDIRECT("'Jan"&amp;Members!$G$2&amp;"-COLLECTION'!K"&amp;ROW()-1)</f>
        <v/>
      </c>
      <c r="AP48" s="43">
        <f>INDIRECT("'Jan"&amp;Members!$G$2&amp;"-EXPENSE'!R"&amp;ROW()+3)</f>
        <v/>
      </c>
      <c r="AQ48" s="2" t="n"/>
      <c r="AR48" s="43">
        <f>AO48-(AP48+AQ48)</f>
        <v/>
      </c>
      <c r="AS48" s="43">
        <f>INDIRECT("'Feb"&amp;Members!$G$2&amp;"-COLLECTION'!K"&amp;ROW()-1)</f>
        <v/>
      </c>
      <c r="AT48" s="43">
        <f>INDIRECT("'Feb"&amp;Members!$G$2&amp;"-EXPENSE'!R"&amp;ROW()+3)</f>
        <v/>
      </c>
      <c r="AU48" s="2" t="n"/>
      <c r="AV48" s="43">
        <f>AS48-(AT48+AU48)</f>
        <v/>
      </c>
      <c r="AW48" s="43">
        <f>INDIRECT("'Mar"&amp;Members!$G$2&amp;"-COLLECTION'!K"&amp;ROW()-1)</f>
        <v/>
      </c>
      <c r="AX48" s="43">
        <f>INDIRECT("'Mar"&amp;Members!$G$2&amp;"-EXPENSE'!R"&amp;ROW()+3)</f>
        <v/>
      </c>
      <c r="AY48" s="2" t="n"/>
      <c r="AZ48" s="43">
        <f>AW48-(AX48+AY48)</f>
        <v/>
      </c>
      <c r="BA48" s="43">
        <f>SUM(E48,I48,M48,Q48,U48,Y48,AC48,AG48,AK48,AO48,AS48,AW48)</f>
        <v/>
      </c>
      <c r="BB48" s="43">
        <f>SUM(F48,J48,N48,R48,V48,Z48,AD48,AH48,AL48,AP48,AT48,AX48)</f>
        <v/>
      </c>
      <c r="BC48" s="43">
        <f>SUM(G48,K48,O48,S48,W48,AA48,AE48,AI48,AM48,AQ48,AU48,AY48)</f>
        <v/>
      </c>
      <c r="BD48" s="43">
        <f>BA48-(BB48+BC48)</f>
        <v/>
      </c>
      <c r="BE48" s="43">
        <f>BD48+D48</f>
        <v/>
      </c>
    </row>
    <row r="49" ht="15.75" customHeight="1">
      <c r="A49" s="37" t="inlineStr">
        <is>
          <t>S15</t>
        </is>
      </c>
      <c r="B49" s="40">
        <f>VLOOKUP(A49,Members!$A$2:$C$65,3,FALSE)</f>
        <v/>
      </c>
      <c r="C49" s="37">
        <f>Members!B48</f>
        <v/>
      </c>
      <c r="D49" s="41" t="n">
        <v>0</v>
      </c>
      <c r="E49" s="41">
        <f>INDIRECT("'Apr"&amp;Members!$F$2&amp;"-COLLECTION'!K"&amp;ROW()-1)</f>
        <v/>
      </c>
      <c r="F49" s="41">
        <f>INDIRECT("'Apr"&amp;Members!$F$2&amp;"-EXPENSE'!R"&amp;ROW()+3)</f>
        <v/>
      </c>
      <c r="G49" s="20" t="n"/>
      <c r="H49" s="41">
        <f>E49-(F49+G49)</f>
        <v/>
      </c>
      <c r="I49" s="41">
        <f>INDIRECT("'May"&amp;Members!$F$2&amp;"-COLLECTION'!K"&amp;ROW()-1)</f>
        <v/>
      </c>
      <c r="J49" s="41">
        <f>INDIRECT("'May"&amp;Members!$F$2&amp;"-EXPENSE'!R"&amp;ROW()+3)</f>
        <v/>
      </c>
      <c r="K49" s="21" t="n"/>
      <c r="L49" s="41">
        <f>I49-(J49+K49)</f>
        <v/>
      </c>
      <c r="M49" s="41">
        <f>INDIRECT("'June"&amp;Members!$F$2&amp;"-COLLECTION'!K"&amp;ROW()-1)</f>
        <v/>
      </c>
      <c r="N49" s="41">
        <f>INDIRECT("'June"&amp;Members!$F$2&amp;"-EXPENSE'!R"&amp;ROW()+3)</f>
        <v/>
      </c>
      <c r="O49" s="20" t="n"/>
      <c r="P49" s="41">
        <f>M49-(N49+O49)</f>
        <v/>
      </c>
      <c r="Q49" s="41">
        <f>INDIRECT("'July"&amp;Members!$F$2&amp;"-COLLECTION'!K"&amp;ROW()-1)</f>
        <v/>
      </c>
      <c r="R49" s="41">
        <f>INDIRECT("'July"&amp;Members!$F$2&amp;"-EXPENSE'!R"&amp;ROW()+3)</f>
        <v/>
      </c>
      <c r="S49" s="21" t="n"/>
      <c r="T49" s="41">
        <f>Q49-(R49+S49)</f>
        <v/>
      </c>
      <c r="U49" s="41">
        <f>INDIRECT("'Aug"&amp;Members!$F$2&amp;"-COLLECTION'!K"&amp;ROW()-1)</f>
        <v/>
      </c>
      <c r="V49" s="41">
        <f>INDIRECT("'Aug"&amp;Members!$F$2&amp;"-EXPENSE'!R"&amp;ROW()+3)</f>
        <v/>
      </c>
      <c r="W49" s="20" t="n"/>
      <c r="X49" s="41">
        <f>U49-(V49+W49)</f>
        <v/>
      </c>
      <c r="Y49" s="41">
        <f>INDIRECT("'Sep"&amp;Members!$F$2&amp;"-COLLECTION'!K"&amp;ROW()-1)</f>
        <v/>
      </c>
      <c r="Z49" s="41">
        <f>INDIRECT("'Sep"&amp;Members!$F$2&amp;"-EXPENSE'!R"&amp;ROW()+3)</f>
        <v/>
      </c>
      <c r="AA49" s="21" t="n"/>
      <c r="AB49" s="41">
        <f>Y49-(Z49+AA49)</f>
        <v/>
      </c>
      <c r="AC49" s="41">
        <f>INDIRECT("'Oct"&amp;Members!$F$2&amp;"-COLLECTION'!K"&amp;ROW()-1)</f>
        <v/>
      </c>
      <c r="AD49" s="41">
        <f>INDIRECT("'Oct"&amp;Members!$F$2&amp;"-EXPENSE'!R"&amp;ROW()+3)</f>
        <v/>
      </c>
      <c r="AE49" s="21" t="n"/>
      <c r="AF49" s="41">
        <f>AC49-(AD49+AE49)</f>
        <v/>
      </c>
      <c r="AG49" s="41">
        <f>INDIRECT("'Nov"&amp;Members!$F$2&amp;"-COLLECTION'!K"&amp;ROW()-1)</f>
        <v/>
      </c>
      <c r="AH49" s="41">
        <f>INDIRECT("'Nov"&amp;Members!$F$2&amp;"-EXPENSE'!R"&amp;ROW()+3)</f>
        <v/>
      </c>
      <c r="AI49" s="21" t="n"/>
      <c r="AJ49" s="41">
        <f>AG49-(AH49+AI49)</f>
        <v/>
      </c>
      <c r="AK49" s="41">
        <f>INDIRECT("'Dec"&amp;Members!$F$2&amp;"-COLLECTION'!K"&amp;ROW()-1)</f>
        <v/>
      </c>
      <c r="AL49" s="41">
        <f>INDIRECT("'Dec"&amp;Members!$F$2&amp;"-EXPENSE'!R"&amp;ROW()+3)</f>
        <v/>
      </c>
      <c r="AM49" s="21" t="n"/>
      <c r="AN49" s="41">
        <f>AK49-(AL49+AM49)</f>
        <v/>
      </c>
      <c r="AO49" s="41">
        <f>INDIRECT("'Jan"&amp;Members!$G$2&amp;"-COLLECTION'!K"&amp;ROW()-1)</f>
        <v/>
      </c>
      <c r="AP49" s="41">
        <f>INDIRECT("'Jan"&amp;Members!$G$2&amp;"-EXPENSE'!R"&amp;ROW()+3)</f>
        <v/>
      </c>
      <c r="AQ49" s="2" t="n"/>
      <c r="AR49" s="41">
        <f>AO49-(AP49+AQ49)</f>
        <v/>
      </c>
      <c r="AS49" s="41">
        <f>INDIRECT("'Feb"&amp;Members!$G$2&amp;"-COLLECTION'!K"&amp;ROW()-1)</f>
        <v/>
      </c>
      <c r="AT49" s="41">
        <f>INDIRECT("'Feb"&amp;Members!$G$2&amp;"-EXPENSE'!R"&amp;ROW()+3)</f>
        <v/>
      </c>
      <c r="AU49" s="2" t="n"/>
      <c r="AV49" s="41">
        <f>AS49-(AT49+AU49)</f>
        <v/>
      </c>
      <c r="AW49" s="41">
        <f>INDIRECT("'Mar"&amp;Members!$G$2&amp;"-COLLECTION'!K"&amp;ROW()-1)</f>
        <v/>
      </c>
      <c r="AX49" s="41">
        <f>INDIRECT("'Mar"&amp;Members!$G$2&amp;"-EXPENSE'!R"&amp;ROW()+3)</f>
        <v/>
      </c>
      <c r="AY49" s="2" t="n"/>
      <c r="AZ49" s="41">
        <f>AW49-(AX49+AY49)</f>
        <v/>
      </c>
      <c r="BA49" s="41">
        <f>SUM(E49,I49,M49,Q49,U49,Y49,AC49,AG49,AK49,AO49,AS49,AW49)</f>
        <v/>
      </c>
      <c r="BB49" s="41">
        <f>SUM(F49,J49,N49,R49,V49,Z49,AD49,AH49,AL49,AP49,AT49,AX49)</f>
        <v/>
      </c>
      <c r="BC49" s="41">
        <f>SUM(G49,K49,O49,S49,W49,AA49,AE49,AI49,AM49,AQ49,AU49,AY49)</f>
        <v/>
      </c>
      <c r="BD49" s="41">
        <f>BA49-(BB49+BC49)</f>
        <v/>
      </c>
      <c r="BE49" s="41">
        <f>BD49+D49</f>
        <v/>
      </c>
    </row>
    <row r="50" ht="15.75" customHeight="1">
      <c r="A50" s="36" t="inlineStr">
        <is>
          <t>S16</t>
        </is>
      </c>
      <c r="B50" s="42">
        <f>VLOOKUP(A50,Members!$A$2:$C$65,3,FALSE)</f>
        <v/>
      </c>
      <c r="C50" s="36">
        <f>Members!B49</f>
        <v/>
      </c>
      <c r="D50" s="43" t="n">
        <v>0</v>
      </c>
      <c r="E50" s="43">
        <f>INDIRECT("'Apr"&amp;Members!$F$2&amp;"-COLLECTION'!K"&amp;ROW()-1)</f>
        <v/>
      </c>
      <c r="F50" s="43">
        <f>INDIRECT("'Apr"&amp;Members!$F$2&amp;"-EXPENSE'!R"&amp;ROW()+3)</f>
        <v/>
      </c>
      <c r="G50" s="20" t="n"/>
      <c r="H50" s="43">
        <f>E50-(F50+G50)</f>
        <v/>
      </c>
      <c r="I50" s="43">
        <f>INDIRECT("'May"&amp;Members!$F$2&amp;"-COLLECTION'!K"&amp;ROW()-1)</f>
        <v/>
      </c>
      <c r="J50" s="43">
        <f>INDIRECT("'May"&amp;Members!$F$2&amp;"-EXPENSE'!R"&amp;ROW()+3)</f>
        <v/>
      </c>
      <c r="K50" s="21" t="n"/>
      <c r="L50" s="43">
        <f>I50-(J50+K50)</f>
        <v/>
      </c>
      <c r="M50" s="43">
        <f>INDIRECT("'June"&amp;Members!$F$2&amp;"-COLLECTION'!K"&amp;ROW()-1)</f>
        <v/>
      </c>
      <c r="N50" s="43">
        <f>INDIRECT("'June"&amp;Members!$F$2&amp;"-EXPENSE'!R"&amp;ROW()+3)</f>
        <v/>
      </c>
      <c r="O50" s="20" t="n"/>
      <c r="P50" s="43">
        <f>M50-(N50+O50)</f>
        <v/>
      </c>
      <c r="Q50" s="43">
        <f>INDIRECT("'July"&amp;Members!$F$2&amp;"-COLLECTION'!K"&amp;ROW()-1)</f>
        <v/>
      </c>
      <c r="R50" s="43">
        <f>INDIRECT("'July"&amp;Members!$F$2&amp;"-EXPENSE'!R"&amp;ROW()+3)</f>
        <v/>
      </c>
      <c r="S50" s="21" t="n"/>
      <c r="T50" s="43">
        <f>Q50-(R50+S50)</f>
        <v/>
      </c>
      <c r="U50" s="43">
        <f>INDIRECT("'Aug"&amp;Members!$F$2&amp;"-COLLECTION'!K"&amp;ROW()-1)</f>
        <v/>
      </c>
      <c r="V50" s="43">
        <f>INDIRECT("'Aug"&amp;Members!$F$2&amp;"-EXPENSE'!R"&amp;ROW()+3)</f>
        <v/>
      </c>
      <c r="W50" s="20" t="n"/>
      <c r="X50" s="43">
        <f>U50-(V50+W50)</f>
        <v/>
      </c>
      <c r="Y50" s="43">
        <f>INDIRECT("'Sep"&amp;Members!$F$2&amp;"-COLLECTION'!K"&amp;ROW()-1)</f>
        <v/>
      </c>
      <c r="Z50" s="43">
        <f>INDIRECT("'Sep"&amp;Members!$F$2&amp;"-EXPENSE'!R"&amp;ROW()+3)</f>
        <v/>
      </c>
      <c r="AA50" s="21" t="n"/>
      <c r="AB50" s="43">
        <f>Y50-(Z50+AA50)</f>
        <v/>
      </c>
      <c r="AC50" s="43">
        <f>INDIRECT("'Oct"&amp;Members!$F$2&amp;"-COLLECTION'!K"&amp;ROW()-1)</f>
        <v/>
      </c>
      <c r="AD50" s="43">
        <f>INDIRECT("'Oct"&amp;Members!$F$2&amp;"-EXPENSE'!R"&amp;ROW()+3)</f>
        <v/>
      </c>
      <c r="AE50" s="21" t="n"/>
      <c r="AF50" s="43">
        <f>AC50-(AD50+AE50)</f>
        <v/>
      </c>
      <c r="AG50" s="43">
        <f>INDIRECT("'Nov"&amp;Members!$F$2&amp;"-COLLECTION'!K"&amp;ROW()-1)</f>
        <v/>
      </c>
      <c r="AH50" s="43">
        <f>INDIRECT("'Nov"&amp;Members!$F$2&amp;"-EXPENSE'!R"&amp;ROW()+3)</f>
        <v/>
      </c>
      <c r="AI50" s="21" t="n"/>
      <c r="AJ50" s="43">
        <f>AG50-(AH50+AI50)</f>
        <v/>
      </c>
      <c r="AK50" s="43">
        <f>INDIRECT("'Dec"&amp;Members!$F$2&amp;"-COLLECTION'!K"&amp;ROW()-1)</f>
        <v/>
      </c>
      <c r="AL50" s="43">
        <f>INDIRECT("'Dec"&amp;Members!$F$2&amp;"-EXPENSE'!R"&amp;ROW()+3)</f>
        <v/>
      </c>
      <c r="AM50" s="21" t="n"/>
      <c r="AN50" s="43">
        <f>AK50-(AL50+AM50)</f>
        <v/>
      </c>
      <c r="AO50" s="43">
        <f>INDIRECT("'Jan"&amp;Members!$G$2&amp;"-COLLECTION'!K"&amp;ROW()-1)</f>
        <v/>
      </c>
      <c r="AP50" s="43">
        <f>INDIRECT("'Jan"&amp;Members!$G$2&amp;"-EXPENSE'!R"&amp;ROW()+3)</f>
        <v/>
      </c>
      <c r="AQ50" s="2" t="n"/>
      <c r="AR50" s="43">
        <f>AO50-(AP50+AQ50)</f>
        <v/>
      </c>
      <c r="AS50" s="43">
        <f>INDIRECT("'Feb"&amp;Members!$G$2&amp;"-COLLECTION'!K"&amp;ROW()-1)</f>
        <v/>
      </c>
      <c r="AT50" s="43">
        <f>INDIRECT("'Feb"&amp;Members!$G$2&amp;"-EXPENSE'!R"&amp;ROW()+3)</f>
        <v/>
      </c>
      <c r="AU50" s="2" t="n"/>
      <c r="AV50" s="43">
        <f>AS50-(AT50+AU50)</f>
        <v/>
      </c>
      <c r="AW50" s="43">
        <f>INDIRECT("'Mar"&amp;Members!$G$2&amp;"-COLLECTION'!K"&amp;ROW()-1)</f>
        <v/>
      </c>
      <c r="AX50" s="43">
        <f>INDIRECT("'Mar"&amp;Members!$G$2&amp;"-EXPENSE'!R"&amp;ROW()+3)</f>
        <v/>
      </c>
      <c r="AY50" s="2" t="n"/>
      <c r="AZ50" s="43">
        <f>AW50-(AX50+AY50)</f>
        <v/>
      </c>
      <c r="BA50" s="43">
        <f>SUM(E50,I50,M50,Q50,U50,Y50,AC50,AG50,AK50,AO50,AS50,AW50)</f>
        <v/>
      </c>
      <c r="BB50" s="43">
        <f>SUM(F50,J50,N50,R50,V50,Z50,AD50,AH50,AL50,AP50,AT50,AX50)</f>
        <v/>
      </c>
      <c r="BC50" s="43">
        <f>SUM(G50,K50,O50,S50,W50,AA50,AE50,AI50,AM50,AQ50,AU50,AY50)</f>
        <v/>
      </c>
      <c r="BD50" s="43">
        <f>BA50-(BB50+BC50)</f>
        <v/>
      </c>
      <c r="BE50" s="43">
        <f>BD50+D50</f>
        <v/>
      </c>
    </row>
    <row r="51" ht="15.75" customHeight="1">
      <c r="A51" s="37" t="inlineStr">
        <is>
          <t>T1</t>
        </is>
      </c>
      <c r="B51" s="40">
        <f>VLOOKUP(A51,Members!$A$2:$C$65,3,FALSE)</f>
        <v/>
      </c>
      <c r="C51" s="37">
        <f>Members!B50</f>
        <v/>
      </c>
      <c r="D51" s="41" t="n">
        <v>0</v>
      </c>
      <c r="E51" s="41">
        <f>INDIRECT("'Apr"&amp;Members!$F$2&amp;"-COLLECTION'!K"&amp;ROW()-1)</f>
        <v/>
      </c>
      <c r="F51" s="41">
        <f>INDIRECT("'Apr"&amp;Members!$F$2&amp;"-EXPENSE'!R"&amp;ROW()+3)</f>
        <v/>
      </c>
      <c r="G51" s="20" t="n"/>
      <c r="H51" s="41">
        <f>E51-(F51+G51)</f>
        <v/>
      </c>
      <c r="I51" s="41">
        <f>INDIRECT("'May"&amp;Members!$F$2&amp;"-COLLECTION'!K"&amp;ROW()-1)</f>
        <v/>
      </c>
      <c r="J51" s="41">
        <f>INDIRECT("'May"&amp;Members!$F$2&amp;"-EXPENSE'!R"&amp;ROW()+3)</f>
        <v/>
      </c>
      <c r="K51" s="21" t="n"/>
      <c r="L51" s="41">
        <f>I51-(J51+K51)</f>
        <v/>
      </c>
      <c r="M51" s="41">
        <f>INDIRECT("'June"&amp;Members!$F$2&amp;"-COLLECTION'!K"&amp;ROW()-1)</f>
        <v/>
      </c>
      <c r="N51" s="41">
        <f>INDIRECT("'June"&amp;Members!$F$2&amp;"-EXPENSE'!R"&amp;ROW()+3)</f>
        <v/>
      </c>
      <c r="O51" s="20" t="n"/>
      <c r="P51" s="41">
        <f>M51-(N51+O51)</f>
        <v/>
      </c>
      <c r="Q51" s="41">
        <f>INDIRECT("'July"&amp;Members!$F$2&amp;"-COLLECTION'!K"&amp;ROW()-1)</f>
        <v/>
      </c>
      <c r="R51" s="41">
        <f>INDIRECT("'July"&amp;Members!$F$2&amp;"-EXPENSE'!R"&amp;ROW()+3)</f>
        <v/>
      </c>
      <c r="S51" s="21" t="n"/>
      <c r="T51" s="41">
        <f>Q51-(R51+S51)</f>
        <v/>
      </c>
      <c r="U51" s="41">
        <f>INDIRECT("'Aug"&amp;Members!$F$2&amp;"-COLLECTION'!K"&amp;ROW()-1)</f>
        <v/>
      </c>
      <c r="V51" s="41">
        <f>INDIRECT("'Aug"&amp;Members!$F$2&amp;"-EXPENSE'!R"&amp;ROW()+3)</f>
        <v/>
      </c>
      <c r="W51" s="20" t="n"/>
      <c r="X51" s="41">
        <f>U51-(V51+W51)</f>
        <v/>
      </c>
      <c r="Y51" s="41">
        <f>INDIRECT("'Sep"&amp;Members!$F$2&amp;"-COLLECTION'!K"&amp;ROW()-1)</f>
        <v/>
      </c>
      <c r="Z51" s="41">
        <f>INDIRECT("'Sep"&amp;Members!$F$2&amp;"-EXPENSE'!R"&amp;ROW()+3)</f>
        <v/>
      </c>
      <c r="AA51" s="21" t="n"/>
      <c r="AB51" s="41">
        <f>Y51-(Z51+AA51)</f>
        <v/>
      </c>
      <c r="AC51" s="41">
        <f>INDIRECT("'Oct"&amp;Members!$F$2&amp;"-COLLECTION'!K"&amp;ROW()-1)</f>
        <v/>
      </c>
      <c r="AD51" s="41">
        <f>INDIRECT("'Oct"&amp;Members!$F$2&amp;"-EXPENSE'!R"&amp;ROW()+3)</f>
        <v/>
      </c>
      <c r="AE51" s="21" t="n"/>
      <c r="AF51" s="41">
        <f>AC51-(AD51+AE51)</f>
        <v/>
      </c>
      <c r="AG51" s="41">
        <f>INDIRECT("'Nov"&amp;Members!$F$2&amp;"-COLLECTION'!K"&amp;ROW()-1)</f>
        <v/>
      </c>
      <c r="AH51" s="41">
        <f>INDIRECT("'Nov"&amp;Members!$F$2&amp;"-EXPENSE'!R"&amp;ROW()+3)</f>
        <v/>
      </c>
      <c r="AI51" s="21" t="n"/>
      <c r="AJ51" s="41">
        <f>AG51-(AH51+AI51)</f>
        <v/>
      </c>
      <c r="AK51" s="41">
        <f>INDIRECT("'Dec"&amp;Members!$F$2&amp;"-COLLECTION'!K"&amp;ROW()-1)</f>
        <v/>
      </c>
      <c r="AL51" s="41">
        <f>INDIRECT("'Dec"&amp;Members!$F$2&amp;"-EXPENSE'!R"&amp;ROW()+3)</f>
        <v/>
      </c>
      <c r="AM51" s="21" t="n"/>
      <c r="AN51" s="41">
        <f>AK51-(AL51+AM51)</f>
        <v/>
      </c>
      <c r="AO51" s="41">
        <f>INDIRECT("'Jan"&amp;Members!$G$2&amp;"-COLLECTION'!K"&amp;ROW()-1)</f>
        <v/>
      </c>
      <c r="AP51" s="41">
        <f>INDIRECT("'Jan"&amp;Members!$G$2&amp;"-EXPENSE'!R"&amp;ROW()+3)</f>
        <v/>
      </c>
      <c r="AQ51" s="2" t="n"/>
      <c r="AR51" s="41">
        <f>AO51-(AP51+AQ51)</f>
        <v/>
      </c>
      <c r="AS51" s="41">
        <f>INDIRECT("'Feb"&amp;Members!$G$2&amp;"-COLLECTION'!K"&amp;ROW()-1)</f>
        <v/>
      </c>
      <c r="AT51" s="41">
        <f>INDIRECT("'Feb"&amp;Members!$G$2&amp;"-EXPENSE'!R"&amp;ROW()+3)</f>
        <v/>
      </c>
      <c r="AU51" s="2" t="n"/>
      <c r="AV51" s="41">
        <f>AS51-(AT51+AU51)</f>
        <v/>
      </c>
      <c r="AW51" s="41">
        <f>INDIRECT("'Mar"&amp;Members!$G$2&amp;"-COLLECTION'!K"&amp;ROW()-1)</f>
        <v/>
      </c>
      <c r="AX51" s="41">
        <f>INDIRECT("'Mar"&amp;Members!$G$2&amp;"-EXPENSE'!R"&amp;ROW()+3)</f>
        <v/>
      </c>
      <c r="AY51" s="2" t="n"/>
      <c r="AZ51" s="41">
        <f>AW51-(AX51+AY51)</f>
        <v/>
      </c>
      <c r="BA51" s="41">
        <f>SUM(E51,I51,M51,Q51,U51,Y51,AC51,AG51,AK51,AO51,AS51,AW51)</f>
        <v/>
      </c>
      <c r="BB51" s="41">
        <f>SUM(F51,J51,N51,R51,V51,Z51,AD51,AH51,AL51,AP51,AT51,AX51)</f>
        <v/>
      </c>
      <c r="BC51" s="41">
        <f>SUM(G51,K51,O51,S51,W51,AA51,AE51,AI51,AM51,AQ51,AU51,AY51)</f>
        <v/>
      </c>
      <c r="BD51" s="41">
        <f>BA51-(BB51+BC51)</f>
        <v/>
      </c>
      <c r="BE51" s="41">
        <f>BD51+D51</f>
        <v/>
      </c>
    </row>
    <row r="52" ht="15.75" customHeight="1">
      <c r="A52" s="36" t="inlineStr">
        <is>
          <t>T2</t>
        </is>
      </c>
      <c r="B52" s="42">
        <f>VLOOKUP(A52,Members!$A$2:$C$65,3,FALSE)</f>
        <v/>
      </c>
      <c r="C52" s="36">
        <f>Members!B51</f>
        <v/>
      </c>
      <c r="D52" s="43" t="n">
        <v>0</v>
      </c>
      <c r="E52" s="43">
        <f>INDIRECT("'Apr"&amp;Members!$F$2&amp;"-COLLECTION'!K"&amp;ROW()-1)</f>
        <v/>
      </c>
      <c r="F52" s="43">
        <f>INDIRECT("'Apr"&amp;Members!$F$2&amp;"-EXPENSE'!R"&amp;ROW()+3)</f>
        <v/>
      </c>
      <c r="G52" s="20" t="n"/>
      <c r="H52" s="43">
        <f>E52-(F52+G52)</f>
        <v/>
      </c>
      <c r="I52" s="43">
        <f>INDIRECT("'May"&amp;Members!$F$2&amp;"-COLLECTION'!K"&amp;ROW()-1)</f>
        <v/>
      </c>
      <c r="J52" s="43">
        <f>INDIRECT("'May"&amp;Members!$F$2&amp;"-EXPENSE'!R"&amp;ROW()+3)</f>
        <v/>
      </c>
      <c r="K52" s="21" t="n"/>
      <c r="L52" s="43">
        <f>I52-(J52+K52)</f>
        <v/>
      </c>
      <c r="M52" s="43">
        <f>INDIRECT("'June"&amp;Members!$F$2&amp;"-COLLECTION'!K"&amp;ROW()-1)</f>
        <v/>
      </c>
      <c r="N52" s="43">
        <f>INDIRECT("'June"&amp;Members!$F$2&amp;"-EXPENSE'!R"&amp;ROW()+3)</f>
        <v/>
      </c>
      <c r="O52" s="20" t="n"/>
      <c r="P52" s="43">
        <f>M52-(N52+O52)</f>
        <v/>
      </c>
      <c r="Q52" s="43">
        <f>INDIRECT("'July"&amp;Members!$F$2&amp;"-COLLECTION'!K"&amp;ROW()-1)</f>
        <v/>
      </c>
      <c r="R52" s="43">
        <f>INDIRECT("'July"&amp;Members!$F$2&amp;"-EXPENSE'!R"&amp;ROW()+3)</f>
        <v/>
      </c>
      <c r="S52" s="21" t="n"/>
      <c r="T52" s="43">
        <f>Q52-(R52+S52)</f>
        <v/>
      </c>
      <c r="U52" s="43">
        <f>INDIRECT("'Aug"&amp;Members!$F$2&amp;"-COLLECTION'!K"&amp;ROW()-1)</f>
        <v/>
      </c>
      <c r="V52" s="43">
        <f>INDIRECT("'Aug"&amp;Members!$F$2&amp;"-EXPENSE'!R"&amp;ROW()+3)</f>
        <v/>
      </c>
      <c r="W52" s="20" t="n"/>
      <c r="X52" s="43">
        <f>U52-(V52+W52)</f>
        <v/>
      </c>
      <c r="Y52" s="43">
        <f>INDIRECT("'Sep"&amp;Members!$F$2&amp;"-COLLECTION'!K"&amp;ROW()-1)</f>
        <v/>
      </c>
      <c r="Z52" s="43">
        <f>INDIRECT("'Sep"&amp;Members!$F$2&amp;"-EXPENSE'!R"&amp;ROW()+3)</f>
        <v/>
      </c>
      <c r="AA52" s="21" t="n"/>
      <c r="AB52" s="43">
        <f>Y52-(Z52+AA52)</f>
        <v/>
      </c>
      <c r="AC52" s="43">
        <f>INDIRECT("'Oct"&amp;Members!$F$2&amp;"-COLLECTION'!K"&amp;ROW()-1)</f>
        <v/>
      </c>
      <c r="AD52" s="43">
        <f>INDIRECT("'Oct"&amp;Members!$F$2&amp;"-EXPENSE'!R"&amp;ROW()+3)</f>
        <v/>
      </c>
      <c r="AE52" s="21" t="n"/>
      <c r="AF52" s="43">
        <f>AC52-(AD52+AE52)</f>
        <v/>
      </c>
      <c r="AG52" s="43">
        <f>INDIRECT("'Nov"&amp;Members!$F$2&amp;"-COLLECTION'!K"&amp;ROW()-1)</f>
        <v/>
      </c>
      <c r="AH52" s="43">
        <f>INDIRECT("'Nov"&amp;Members!$F$2&amp;"-EXPENSE'!R"&amp;ROW()+3)</f>
        <v/>
      </c>
      <c r="AI52" s="21" t="n"/>
      <c r="AJ52" s="43">
        <f>AG52-(AH52+AI52)</f>
        <v/>
      </c>
      <c r="AK52" s="43">
        <f>INDIRECT("'Dec"&amp;Members!$F$2&amp;"-COLLECTION'!K"&amp;ROW()-1)</f>
        <v/>
      </c>
      <c r="AL52" s="43">
        <f>INDIRECT("'Dec"&amp;Members!$F$2&amp;"-EXPENSE'!R"&amp;ROW()+3)</f>
        <v/>
      </c>
      <c r="AM52" s="21" t="n"/>
      <c r="AN52" s="43">
        <f>AK52-(AL52+AM52)</f>
        <v/>
      </c>
      <c r="AO52" s="43">
        <f>INDIRECT("'Jan"&amp;Members!$G$2&amp;"-COLLECTION'!K"&amp;ROW()-1)</f>
        <v/>
      </c>
      <c r="AP52" s="43">
        <f>INDIRECT("'Jan"&amp;Members!$G$2&amp;"-EXPENSE'!R"&amp;ROW()+3)</f>
        <v/>
      </c>
      <c r="AQ52" s="2" t="n"/>
      <c r="AR52" s="43">
        <f>AO52-(AP52+AQ52)</f>
        <v/>
      </c>
      <c r="AS52" s="43">
        <f>INDIRECT("'Feb"&amp;Members!$G$2&amp;"-COLLECTION'!K"&amp;ROW()-1)</f>
        <v/>
      </c>
      <c r="AT52" s="43">
        <f>INDIRECT("'Feb"&amp;Members!$G$2&amp;"-EXPENSE'!R"&amp;ROW()+3)</f>
        <v/>
      </c>
      <c r="AU52" s="2" t="n"/>
      <c r="AV52" s="43">
        <f>AS52-(AT52+AU52)</f>
        <v/>
      </c>
      <c r="AW52" s="43">
        <f>INDIRECT("'Mar"&amp;Members!$G$2&amp;"-COLLECTION'!K"&amp;ROW()-1)</f>
        <v/>
      </c>
      <c r="AX52" s="43">
        <f>INDIRECT("'Mar"&amp;Members!$G$2&amp;"-EXPENSE'!R"&amp;ROW()+3)</f>
        <v/>
      </c>
      <c r="AY52" s="2" t="n"/>
      <c r="AZ52" s="43">
        <f>AW52-(AX52+AY52)</f>
        <v/>
      </c>
      <c r="BA52" s="43">
        <f>SUM(E52,I52,M52,Q52,U52,Y52,AC52,AG52,AK52,AO52,AS52,AW52)</f>
        <v/>
      </c>
      <c r="BB52" s="43">
        <f>SUM(F52,J52,N52,R52,V52,Z52,AD52,AH52,AL52,AP52,AT52,AX52)</f>
        <v/>
      </c>
      <c r="BC52" s="43">
        <f>SUM(G52,K52,O52,S52,W52,AA52,AE52,AI52,AM52,AQ52,AU52,AY52)</f>
        <v/>
      </c>
      <c r="BD52" s="43">
        <f>BA52-(BB52+BC52)</f>
        <v/>
      </c>
      <c r="BE52" s="43">
        <f>BD52+D52</f>
        <v/>
      </c>
    </row>
    <row r="53" ht="15.75" customHeight="1">
      <c r="A53" s="37" t="inlineStr">
        <is>
          <t>T3</t>
        </is>
      </c>
      <c r="B53" s="40">
        <f>VLOOKUP(A53,Members!$A$2:$C$65,3,FALSE)</f>
        <v/>
      </c>
      <c r="C53" s="37">
        <f>Members!B52</f>
        <v/>
      </c>
      <c r="D53" s="41" t="n">
        <v>0</v>
      </c>
      <c r="E53" s="41">
        <f>INDIRECT("'Apr"&amp;Members!$F$2&amp;"-COLLECTION'!K"&amp;ROW()-1)</f>
        <v/>
      </c>
      <c r="F53" s="41">
        <f>INDIRECT("'Apr"&amp;Members!$F$2&amp;"-EXPENSE'!R"&amp;ROW()+3)</f>
        <v/>
      </c>
      <c r="G53" s="20" t="n"/>
      <c r="H53" s="41">
        <f>E53-(F53+G53)</f>
        <v/>
      </c>
      <c r="I53" s="41">
        <f>INDIRECT("'May"&amp;Members!$F$2&amp;"-COLLECTION'!K"&amp;ROW()-1)</f>
        <v/>
      </c>
      <c r="J53" s="41">
        <f>INDIRECT("'May"&amp;Members!$F$2&amp;"-EXPENSE'!R"&amp;ROW()+3)</f>
        <v/>
      </c>
      <c r="K53" s="21" t="n"/>
      <c r="L53" s="41">
        <f>I53-(J53+K53)</f>
        <v/>
      </c>
      <c r="M53" s="41">
        <f>INDIRECT("'June"&amp;Members!$F$2&amp;"-COLLECTION'!K"&amp;ROW()-1)</f>
        <v/>
      </c>
      <c r="N53" s="41">
        <f>INDIRECT("'June"&amp;Members!$F$2&amp;"-EXPENSE'!R"&amp;ROW()+3)</f>
        <v/>
      </c>
      <c r="O53" s="20" t="n"/>
      <c r="P53" s="41">
        <f>M53-(N53+O53)</f>
        <v/>
      </c>
      <c r="Q53" s="41">
        <f>INDIRECT("'July"&amp;Members!$F$2&amp;"-COLLECTION'!K"&amp;ROW()-1)</f>
        <v/>
      </c>
      <c r="R53" s="41">
        <f>INDIRECT("'July"&amp;Members!$F$2&amp;"-EXPENSE'!R"&amp;ROW()+3)</f>
        <v/>
      </c>
      <c r="S53" s="21" t="n"/>
      <c r="T53" s="41">
        <f>Q53-(R53+S53)</f>
        <v/>
      </c>
      <c r="U53" s="41">
        <f>INDIRECT("'Aug"&amp;Members!$F$2&amp;"-COLLECTION'!K"&amp;ROW()-1)</f>
        <v/>
      </c>
      <c r="V53" s="41">
        <f>INDIRECT("'Aug"&amp;Members!$F$2&amp;"-EXPENSE'!R"&amp;ROW()+3)</f>
        <v/>
      </c>
      <c r="W53" s="20" t="n"/>
      <c r="X53" s="41">
        <f>U53-(V53+W53)</f>
        <v/>
      </c>
      <c r="Y53" s="41">
        <f>INDIRECT("'Sep"&amp;Members!$F$2&amp;"-COLLECTION'!K"&amp;ROW()-1)</f>
        <v/>
      </c>
      <c r="Z53" s="41">
        <f>INDIRECT("'Sep"&amp;Members!$F$2&amp;"-EXPENSE'!R"&amp;ROW()+3)</f>
        <v/>
      </c>
      <c r="AA53" s="21" t="n"/>
      <c r="AB53" s="41">
        <f>Y53-(Z53+AA53)</f>
        <v/>
      </c>
      <c r="AC53" s="41">
        <f>INDIRECT("'Oct"&amp;Members!$F$2&amp;"-COLLECTION'!K"&amp;ROW()-1)</f>
        <v/>
      </c>
      <c r="AD53" s="41">
        <f>INDIRECT("'Oct"&amp;Members!$F$2&amp;"-EXPENSE'!R"&amp;ROW()+3)</f>
        <v/>
      </c>
      <c r="AE53" s="21" t="n"/>
      <c r="AF53" s="41">
        <f>AC53-(AD53+AE53)</f>
        <v/>
      </c>
      <c r="AG53" s="41">
        <f>INDIRECT("'Nov"&amp;Members!$F$2&amp;"-COLLECTION'!K"&amp;ROW()-1)</f>
        <v/>
      </c>
      <c r="AH53" s="41">
        <f>INDIRECT("'Nov"&amp;Members!$F$2&amp;"-EXPENSE'!R"&amp;ROW()+3)</f>
        <v/>
      </c>
      <c r="AI53" s="21" t="n"/>
      <c r="AJ53" s="41">
        <f>AG53-(AH53+AI53)</f>
        <v/>
      </c>
      <c r="AK53" s="41">
        <f>INDIRECT("'Dec"&amp;Members!$F$2&amp;"-COLLECTION'!K"&amp;ROW()-1)</f>
        <v/>
      </c>
      <c r="AL53" s="41">
        <f>INDIRECT("'Dec"&amp;Members!$F$2&amp;"-EXPENSE'!R"&amp;ROW()+3)</f>
        <v/>
      </c>
      <c r="AM53" s="21" t="n"/>
      <c r="AN53" s="41">
        <f>AK53-(AL53+AM53)</f>
        <v/>
      </c>
      <c r="AO53" s="41">
        <f>INDIRECT("'Jan"&amp;Members!$G$2&amp;"-COLLECTION'!K"&amp;ROW()-1)</f>
        <v/>
      </c>
      <c r="AP53" s="41">
        <f>INDIRECT("'Jan"&amp;Members!$G$2&amp;"-EXPENSE'!R"&amp;ROW()+3)</f>
        <v/>
      </c>
      <c r="AQ53" s="2" t="n"/>
      <c r="AR53" s="41">
        <f>AO53-(AP53+AQ53)</f>
        <v/>
      </c>
      <c r="AS53" s="41">
        <f>INDIRECT("'Feb"&amp;Members!$G$2&amp;"-COLLECTION'!K"&amp;ROW()-1)</f>
        <v/>
      </c>
      <c r="AT53" s="41">
        <f>INDIRECT("'Feb"&amp;Members!$G$2&amp;"-EXPENSE'!R"&amp;ROW()+3)</f>
        <v/>
      </c>
      <c r="AU53" s="2" t="n"/>
      <c r="AV53" s="41">
        <f>AS53-(AT53+AU53)</f>
        <v/>
      </c>
      <c r="AW53" s="41">
        <f>INDIRECT("'Mar"&amp;Members!$G$2&amp;"-COLLECTION'!K"&amp;ROW()-1)</f>
        <v/>
      </c>
      <c r="AX53" s="41">
        <f>INDIRECT("'Mar"&amp;Members!$G$2&amp;"-EXPENSE'!R"&amp;ROW()+3)</f>
        <v/>
      </c>
      <c r="AY53" s="2" t="n"/>
      <c r="AZ53" s="41">
        <f>AW53-(AX53+AY53)</f>
        <v/>
      </c>
      <c r="BA53" s="41">
        <f>SUM(E53,I53,M53,Q53,U53,Y53,AC53,AG53,AK53,AO53,AS53,AW53)</f>
        <v/>
      </c>
      <c r="BB53" s="41">
        <f>SUM(F53,J53,N53,R53,V53,Z53,AD53,AH53,AL53,AP53,AT53,AX53)</f>
        <v/>
      </c>
      <c r="BC53" s="41">
        <f>SUM(G53,K53,O53,S53,W53,AA53,AE53,AI53,AM53,AQ53,AU53,AY53)</f>
        <v/>
      </c>
      <c r="BD53" s="41">
        <f>BA53-(BB53+BC53)</f>
        <v/>
      </c>
      <c r="BE53" s="41">
        <f>BD53+D53</f>
        <v/>
      </c>
    </row>
    <row r="54" ht="15.75" customHeight="1">
      <c r="A54" s="36" t="inlineStr">
        <is>
          <t>T4</t>
        </is>
      </c>
      <c r="B54" s="42">
        <f>VLOOKUP(A54,Members!$A$2:$C$65,3,FALSE)</f>
        <v/>
      </c>
      <c r="C54" s="36">
        <f>Members!B53</f>
        <v/>
      </c>
      <c r="D54" s="43" t="n">
        <v>0</v>
      </c>
      <c r="E54" s="43">
        <f>INDIRECT("'Apr"&amp;Members!$F$2&amp;"-COLLECTION'!K"&amp;ROW()-1)</f>
        <v/>
      </c>
      <c r="F54" s="43">
        <f>INDIRECT("'Apr"&amp;Members!$F$2&amp;"-EXPENSE'!R"&amp;ROW()+3)</f>
        <v/>
      </c>
      <c r="G54" s="20" t="n"/>
      <c r="H54" s="43">
        <f>E54-(F54+G54)</f>
        <v/>
      </c>
      <c r="I54" s="43">
        <f>INDIRECT("'May"&amp;Members!$F$2&amp;"-COLLECTION'!K"&amp;ROW()-1)</f>
        <v/>
      </c>
      <c r="J54" s="43">
        <f>INDIRECT("'May"&amp;Members!$F$2&amp;"-EXPENSE'!R"&amp;ROW()+3)</f>
        <v/>
      </c>
      <c r="K54" s="21" t="n"/>
      <c r="L54" s="43">
        <f>I54-(J54+K54)</f>
        <v/>
      </c>
      <c r="M54" s="43">
        <f>INDIRECT("'June"&amp;Members!$F$2&amp;"-COLLECTION'!K"&amp;ROW()-1)</f>
        <v/>
      </c>
      <c r="N54" s="43">
        <f>INDIRECT("'June"&amp;Members!$F$2&amp;"-EXPENSE'!R"&amp;ROW()+3)</f>
        <v/>
      </c>
      <c r="O54" s="20" t="n"/>
      <c r="P54" s="43">
        <f>M54-(N54+O54)</f>
        <v/>
      </c>
      <c r="Q54" s="43">
        <f>INDIRECT("'July"&amp;Members!$F$2&amp;"-COLLECTION'!K"&amp;ROW()-1)</f>
        <v/>
      </c>
      <c r="R54" s="43">
        <f>INDIRECT("'July"&amp;Members!$F$2&amp;"-EXPENSE'!R"&amp;ROW()+3)</f>
        <v/>
      </c>
      <c r="S54" s="21" t="n"/>
      <c r="T54" s="43">
        <f>Q54-(R54+S54)</f>
        <v/>
      </c>
      <c r="U54" s="43">
        <f>INDIRECT("'Aug"&amp;Members!$F$2&amp;"-COLLECTION'!K"&amp;ROW()-1)</f>
        <v/>
      </c>
      <c r="V54" s="43">
        <f>INDIRECT("'Aug"&amp;Members!$F$2&amp;"-EXPENSE'!R"&amp;ROW()+3)</f>
        <v/>
      </c>
      <c r="W54" s="20" t="n"/>
      <c r="X54" s="43">
        <f>U54-(V54+W54)</f>
        <v/>
      </c>
      <c r="Y54" s="43">
        <f>INDIRECT("'Sep"&amp;Members!$F$2&amp;"-COLLECTION'!K"&amp;ROW()-1)</f>
        <v/>
      </c>
      <c r="Z54" s="43">
        <f>INDIRECT("'Sep"&amp;Members!$F$2&amp;"-EXPENSE'!R"&amp;ROW()+3)</f>
        <v/>
      </c>
      <c r="AA54" s="21" t="n"/>
      <c r="AB54" s="43">
        <f>Y54-(Z54+AA54)</f>
        <v/>
      </c>
      <c r="AC54" s="43">
        <f>INDIRECT("'Oct"&amp;Members!$F$2&amp;"-COLLECTION'!K"&amp;ROW()-1)</f>
        <v/>
      </c>
      <c r="AD54" s="43">
        <f>INDIRECT("'Oct"&amp;Members!$F$2&amp;"-EXPENSE'!R"&amp;ROW()+3)</f>
        <v/>
      </c>
      <c r="AE54" s="21" t="n"/>
      <c r="AF54" s="43">
        <f>AC54-(AD54+AE54)</f>
        <v/>
      </c>
      <c r="AG54" s="43">
        <f>INDIRECT("'Nov"&amp;Members!$F$2&amp;"-COLLECTION'!K"&amp;ROW()-1)</f>
        <v/>
      </c>
      <c r="AH54" s="43">
        <f>INDIRECT("'Nov"&amp;Members!$F$2&amp;"-EXPENSE'!R"&amp;ROW()+3)</f>
        <v/>
      </c>
      <c r="AI54" s="21" t="n"/>
      <c r="AJ54" s="43">
        <f>AG54-(AH54+AI54)</f>
        <v/>
      </c>
      <c r="AK54" s="43">
        <f>INDIRECT("'Dec"&amp;Members!$F$2&amp;"-COLLECTION'!K"&amp;ROW()-1)</f>
        <v/>
      </c>
      <c r="AL54" s="43">
        <f>INDIRECT("'Dec"&amp;Members!$F$2&amp;"-EXPENSE'!R"&amp;ROW()+3)</f>
        <v/>
      </c>
      <c r="AM54" s="21" t="n"/>
      <c r="AN54" s="43">
        <f>AK54-(AL54+AM54)</f>
        <v/>
      </c>
      <c r="AO54" s="43">
        <f>INDIRECT("'Jan"&amp;Members!$G$2&amp;"-COLLECTION'!K"&amp;ROW()-1)</f>
        <v/>
      </c>
      <c r="AP54" s="43">
        <f>INDIRECT("'Jan"&amp;Members!$G$2&amp;"-EXPENSE'!R"&amp;ROW()+3)</f>
        <v/>
      </c>
      <c r="AQ54" s="2" t="n"/>
      <c r="AR54" s="43">
        <f>AO54-(AP54+AQ54)</f>
        <v/>
      </c>
      <c r="AS54" s="43">
        <f>INDIRECT("'Feb"&amp;Members!$G$2&amp;"-COLLECTION'!K"&amp;ROW()-1)</f>
        <v/>
      </c>
      <c r="AT54" s="43">
        <f>INDIRECT("'Feb"&amp;Members!$G$2&amp;"-EXPENSE'!R"&amp;ROW()+3)</f>
        <v/>
      </c>
      <c r="AU54" s="2" t="n"/>
      <c r="AV54" s="43">
        <f>AS54-(AT54+AU54)</f>
        <v/>
      </c>
      <c r="AW54" s="43">
        <f>INDIRECT("'Mar"&amp;Members!$G$2&amp;"-COLLECTION'!K"&amp;ROW()-1)</f>
        <v/>
      </c>
      <c r="AX54" s="43">
        <f>INDIRECT("'Mar"&amp;Members!$G$2&amp;"-EXPENSE'!R"&amp;ROW()+3)</f>
        <v/>
      </c>
      <c r="AY54" s="2" t="n"/>
      <c r="AZ54" s="43">
        <f>AW54-(AX54+AY54)</f>
        <v/>
      </c>
      <c r="BA54" s="43">
        <f>SUM(E54,I54,M54,Q54,U54,Y54,AC54,AG54,AK54,AO54,AS54,AW54)</f>
        <v/>
      </c>
      <c r="BB54" s="43">
        <f>SUM(F54,J54,N54,R54,V54,Z54,AD54,AH54,AL54,AP54,AT54,AX54)</f>
        <v/>
      </c>
      <c r="BC54" s="43">
        <f>SUM(G54,K54,O54,S54,W54,AA54,AE54,AI54,AM54,AQ54,AU54,AY54)</f>
        <v/>
      </c>
      <c r="BD54" s="43">
        <f>BA54-(BB54+BC54)</f>
        <v/>
      </c>
      <c r="BE54" s="43">
        <f>BD54+D54</f>
        <v/>
      </c>
    </row>
    <row r="55" ht="15.75" customHeight="1">
      <c r="A55" s="37" t="inlineStr">
        <is>
          <t>T5</t>
        </is>
      </c>
      <c r="B55" s="40">
        <f>VLOOKUP(A55,Members!$A$2:$C$65,3,FALSE)</f>
        <v/>
      </c>
      <c r="C55" s="37">
        <f>Members!B54</f>
        <v/>
      </c>
      <c r="D55" s="41" t="n">
        <v>0</v>
      </c>
      <c r="E55" s="41">
        <f>INDIRECT("'Apr"&amp;Members!$F$2&amp;"-COLLECTION'!K"&amp;ROW()-1)</f>
        <v/>
      </c>
      <c r="F55" s="41">
        <f>INDIRECT("'Apr"&amp;Members!$F$2&amp;"-EXPENSE'!R"&amp;ROW()+3)</f>
        <v/>
      </c>
      <c r="G55" s="20" t="n"/>
      <c r="H55" s="41">
        <f>E55-(F55+G55)</f>
        <v/>
      </c>
      <c r="I55" s="41">
        <f>INDIRECT("'May"&amp;Members!$F$2&amp;"-COLLECTION'!K"&amp;ROW()-1)</f>
        <v/>
      </c>
      <c r="J55" s="41">
        <f>INDIRECT("'May"&amp;Members!$F$2&amp;"-EXPENSE'!R"&amp;ROW()+3)</f>
        <v/>
      </c>
      <c r="K55" s="21" t="n"/>
      <c r="L55" s="41">
        <f>I55-(J55+K55)</f>
        <v/>
      </c>
      <c r="M55" s="41">
        <f>INDIRECT("'June"&amp;Members!$F$2&amp;"-COLLECTION'!K"&amp;ROW()-1)</f>
        <v/>
      </c>
      <c r="N55" s="41">
        <f>INDIRECT("'June"&amp;Members!$F$2&amp;"-EXPENSE'!R"&amp;ROW()+3)</f>
        <v/>
      </c>
      <c r="O55" s="20" t="n"/>
      <c r="P55" s="41">
        <f>M55-(N55+O55)</f>
        <v/>
      </c>
      <c r="Q55" s="41">
        <f>INDIRECT("'July"&amp;Members!$F$2&amp;"-COLLECTION'!K"&amp;ROW()-1)</f>
        <v/>
      </c>
      <c r="R55" s="41">
        <f>INDIRECT("'July"&amp;Members!$F$2&amp;"-EXPENSE'!R"&amp;ROW()+3)</f>
        <v/>
      </c>
      <c r="S55" s="21" t="n"/>
      <c r="T55" s="41">
        <f>Q55-(R55+S55)</f>
        <v/>
      </c>
      <c r="U55" s="41">
        <f>INDIRECT("'Aug"&amp;Members!$F$2&amp;"-COLLECTION'!K"&amp;ROW()-1)</f>
        <v/>
      </c>
      <c r="V55" s="41">
        <f>INDIRECT("'Aug"&amp;Members!$F$2&amp;"-EXPENSE'!R"&amp;ROW()+3)</f>
        <v/>
      </c>
      <c r="W55" s="20" t="n"/>
      <c r="X55" s="41">
        <f>U55-(V55+W55)</f>
        <v/>
      </c>
      <c r="Y55" s="41">
        <f>INDIRECT("'Sep"&amp;Members!$F$2&amp;"-COLLECTION'!K"&amp;ROW()-1)</f>
        <v/>
      </c>
      <c r="Z55" s="41">
        <f>INDIRECT("'Sep"&amp;Members!$F$2&amp;"-EXPENSE'!R"&amp;ROW()+3)</f>
        <v/>
      </c>
      <c r="AA55" s="21" t="n"/>
      <c r="AB55" s="41">
        <f>Y55-(Z55+AA55)</f>
        <v/>
      </c>
      <c r="AC55" s="41">
        <f>INDIRECT("'Oct"&amp;Members!$F$2&amp;"-COLLECTION'!K"&amp;ROW()-1)</f>
        <v/>
      </c>
      <c r="AD55" s="41">
        <f>INDIRECT("'Oct"&amp;Members!$F$2&amp;"-EXPENSE'!R"&amp;ROW()+3)</f>
        <v/>
      </c>
      <c r="AE55" s="21" t="n"/>
      <c r="AF55" s="41">
        <f>AC55-(AD55+AE55)</f>
        <v/>
      </c>
      <c r="AG55" s="41">
        <f>INDIRECT("'Nov"&amp;Members!$F$2&amp;"-COLLECTION'!K"&amp;ROW()-1)</f>
        <v/>
      </c>
      <c r="AH55" s="41">
        <f>INDIRECT("'Nov"&amp;Members!$F$2&amp;"-EXPENSE'!R"&amp;ROW()+3)</f>
        <v/>
      </c>
      <c r="AI55" s="21" t="n"/>
      <c r="AJ55" s="41">
        <f>AG55-(AH55+AI55)</f>
        <v/>
      </c>
      <c r="AK55" s="41">
        <f>INDIRECT("'Dec"&amp;Members!$F$2&amp;"-COLLECTION'!K"&amp;ROW()-1)</f>
        <v/>
      </c>
      <c r="AL55" s="41">
        <f>INDIRECT("'Dec"&amp;Members!$F$2&amp;"-EXPENSE'!R"&amp;ROW()+3)</f>
        <v/>
      </c>
      <c r="AM55" s="21" t="n"/>
      <c r="AN55" s="41">
        <f>AK55-(AL55+AM55)</f>
        <v/>
      </c>
      <c r="AO55" s="41">
        <f>INDIRECT("'Jan"&amp;Members!$G$2&amp;"-COLLECTION'!K"&amp;ROW()-1)</f>
        <v/>
      </c>
      <c r="AP55" s="41">
        <f>INDIRECT("'Jan"&amp;Members!$G$2&amp;"-EXPENSE'!R"&amp;ROW()+3)</f>
        <v/>
      </c>
      <c r="AQ55" s="2" t="n"/>
      <c r="AR55" s="41">
        <f>AO55-(AP55+AQ55)</f>
        <v/>
      </c>
      <c r="AS55" s="41">
        <f>INDIRECT("'Feb"&amp;Members!$G$2&amp;"-COLLECTION'!K"&amp;ROW()-1)</f>
        <v/>
      </c>
      <c r="AT55" s="41">
        <f>INDIRECT("'Feb"&amp;Members!$G$2&amp;"-EXPENSE'!R"&amp;ROW()+3)</f>
        <v/>
      </c>
      <c r="AU55" s="2" t="n"/>
      <c r="AV55" s="41">
        <f>AS55-(AT55+AU55)</f>
        <v/>
      </c>
      <c r="AW55" s="41">
        <f>INDIRECT("'Mar"&amp;Members!$G$2&amp;"-COLLECTION'!K"&amp;ROW()-1)</f>
        <v/>
      </c>
      <c r="AX55" s="41">
        <f>INDIRECT("'Mar"&amp;Members!$G$2&amp;"-EXPENSE'!R"&amp;ROW()+3)</f>
        <v/>
      </c>
      <c r="AY55" s="2" t="n"/>
      <c r="AZ55" s="41">
        <f>AW55-(AX55+AY55)</f>
        <v/>
      </c>
      <c r="BA55" s="41">
        <f>SUM(E55,I55,M55,Q55,U55,Y55,AC55,AG55,AK55,AO55,AS55,AW55)</f>
        <v/>
      </c>
      <c r="BB55" s="41">
        <f>SUM(F55,J55,N55,R55,V55,Z55,AD55,AH55,AL55,AP55,AT55,AX55)</f>
        <v/>
      </c>
      <c r="BC55" s="41">
        <f>SUM(G55,K55,O55,S55,W55,AA55,AE55,AI55,AM55,AQ55,AU55,AY55)</f>
        <v/>
      </c>
      <c r="BD55" s="41">
        <f>BA55-(BB55+BC55)</f>
        <v/>
      </c>
      <c r="BE55" s="41">
        <f>BD55+D55</f>
        <v/>
      </c>
    </row>
    <row r="56" ht="15.75" customHeight="1">
      <c r="A56" s="36" t="inlineStr">
        <is>
          <t>T6</t>
        </is>
      </c>
      <c r="B56" s="42">
        <f>VLOOKUP(A56,Members!$A$2:$C$65,3,FALSE)</f>
        <v/>
      </c>
      <c r="C56" s="36">
        <f>Members!B55</f>
        <v/>
      </c>
      <c r="D56" s="43" t="n">
        <v>0</v>
      </c>
      <c r="E56" s="43">
        <f>INDIRECT("'Apr"&amp;Members!$F$2&amp;"-COLLECTION'!K"&amp;ROW()-1)</f>
        <v/>
      </c>
      <c r="F56" s="43">
        <f>INDIRECT("'Apr"&amp;Members!$F$2&amp;"-EXPENSE'!R"&amp;ROW()+3)</f>
        <v/>
      </c>
      <c r="G56" s="20" t="n"/>
      <c r="H56" s="43">
        <f>E56-(F56+G56)</f>
        <v/>
      </c>
      <c r="I56" s="43">
        <f>INDIRECT("'May"&amp;Members!$F$2&amp;"-COLLECTION'!K"&amp;ROW()-1)</f>
        <v/>
      </c>
      <c r="J56" s="43">
        <f>INDIRECT("'May"&amp;Members!$F$2&amp;"-EXPENSE'!R"&amp;ROW()+3)</f>
        <v/>
      </c>
      <c r="K56" s="21" t="n"/>
      <c r="L56" s="43">
        <f>I56-(J56+K56)</f>
        <v/>
      </c>
      <c r="M56" s="43">
        <f>INDIRECT("'June"&amp;Members!$F$2&amp;"-COLLECTION'!K"&amp;ROW()-1)</f>
        <v/>
      </c>
      <c r="N56" s="43">
        <f>INDIRECT("'June"&amp;Members!$F$2&amp;"-EXPENSE'!R"&amp;ROW()+3)</f>
        <v/>
      </c>
      <c r="O56" s="20" t="n"/>
      <c r="P56" s="43">
        <f>M56-(N56+O56)</f>
        <v/>
      </c>
      <c r="Q56" s="43">
        <f>INDIRECT("'July"&amp;Members!$F$2&amp;"-COLLECTION'!K"&amp;ROW()-1)</f>
        <v/>
      </c>
      <c r="R56" s="43">
        <f>INDIRECT("'July"&amp;Members!$F$2&amp;"-EXPENSE'!R"&amp;ROW()+3)</f>
        <v/>
      </c>
      <c r="S56" s="21" t="n"/>
      <c r="T56" s="43">
        <f>Q56-(R56+S56)</f>
        <v/>
      </c>
      <c r="U56" s="43">
        <f>INDIRECT("'Aug"&amp;Members!$F$2&amp;"-COLLECTION'!K"&amp;ROW()-1)</f>
        <v/>
      </c>
      <c r="V56" s="43">
        <f>INDIRECT("'Aug"&amp;Members!$F$2&amp;"-EXPENSE'!R"&amp;ROW()+3)</f>
        <v/>
      </c>
      <c r="W56" s="20" t="n"/>
      <c r="X56" s="43">
        <f>U56-(V56+W56)</f>
        <v/>
      </c>
      <c r="Y56" s="43">
        <f>INDIRECT("'Sep"&amp;Members!$F$2&amp;"-COLLECTION'!K"&amp;ROW()-1)</f>
        <v/>
      </c>
      <c r="Z56" s="43">
        <f>INDIRECT("'Sep"&amp;Members!$F$2&amp;"-EXPENSE'!R"&amp;ROW()+3)</f>
        <v/>
      </c>
      <c r="AA56" s="21" t="n"/>
      <c r="AB56" s="43">
        <f>Y56-(Z56+AA56)</f>
        <v/>
      </c>
      <c r="AC56" s="43">
        <f>INDIRECT("'Oct"&amp;Members!$F$2&amp;"-COLLECTION'!K"&amp;ROW()-1)</f>
        <v/>
      </c>
      <c r="AD56" s="43">
        <f>INDIRECT("'Oct"&amp;Members!$F$2&amp;"-EXPENSE'!R"&amp;ROW()+3)</f>
        <v/>
      </c>
      <c r="AE56" s="21" t="n"/>
      <c r="AF56" s="43">
        <f>AC56-(AD56+AE56)</f>
        <v/>
      </c>
      <c r="AG56" s="43">
        <f>INDIRECT("'Nov"&amp;Members!$F$2&amp;"-COLLECTION'!K"&amp;ROW()-1)</f>
        <v/>
      </c>
      <c r="AH56" s="43">
        <f>INDIRECT("'Nov"&amp;Members!$F$2&amp;"-EXPENSE'!R"&amp;ROW()+3)</f>
        <v/>
      </c>
      <c r="AI56" s="21" t="n"/>
      <c r="AJ56" s="43">
        <f>AG56-(AH56+AI56)</f>
        <v/>
      </c>
      <c r="AK56" s="43">
        <f>INDIRECT("'Dec"&amp;Members!$F$2&amp;"-COLLECTION'!K"&amp;ROW()-1)</f>
        <v/>
      </c>
      <c r="AL56" s="43">
        <f>INDIRECT("'Dec"&amp;Members!$F$2&amp;"-EXPENSE'!R"&amp;ROW()+3)</f>
        <v/>
      </c>
      <c r="AM56" s="21" t="n"/>
      <c r="AN56" s="43">
        <f>AK56-(AL56+AM56)</f>
        <v/>
      </c>
      <c r="AO56" s="43">
        <f>INDIRECT("'Jan"&amp;Members!$G$2&amp;"-COLLECTION'!K"&amp;ROW()-1)</f>
        <v/>
      </c>
      <c r="AP56" s="43">
        <f>INDIRECT("'Jan"&amp;Members!$G$2&amp;"-EXPENSE'!R"&amp;ROW()+3)</f>
        <v/>
      </c>
      <c r="AQ56" s="2" t="n"/>
      <c r="AR56" s="43">
        <f>AO56-(AP56+AQ56)</f>
        <v/>
      </c>
      <c r="AS56" s="43">
        <f>INDIRECT("'Feb"&amp;Members!$G$2&amp;"-COLLECTION'!K"&amp;ROW()-1)</f>
        <v/>
      </c>
      <c r="AT56" s="43">
        <f>INDIRECT("'Feb"&amp;Members!$G$2&amp;"-EXPENSE'!R"&amp;ROW()+3)</f>
        <v/>
      </c>
      <c r="AU56" s="2" t="n"/>
      <c r="AV56" s="43">
        <f>AS56-(AT56+AU56)</f>
        <v/>
      </c>
      <c r="AW56" s="43">
        <f>INDIRECT("'Mar"&amp;Members!$G$2&amp;"-COLLECTION'!K"&amp;ROW()-1)</f>
        <v/>
      </c>
      <c r="AX56" s="43">
        <f>INDIRECT("'Mar"&amp;Members!$G$2&amp;"-EXPENSE'!R"&amp;ROW()+3)</f>
        <v/>
      </c>
      <c r="AY56" s="2" t="n"/>
      <c r="AZ56" s="43">
        <f>AW56-(AX56+AY56)</f>
        <v/>
      </c>
      <c r="BA56" s="43">
        <f>SUM(E56,I56,M56,Q56,U56,Y56,AC56,AG56,AK56,AO56,AS56,AW56)</f>
        <v/>
      </c>
      <c r="BB56" s="43">
        <f>SUM(F56,J56,N56,R56,V56,Z56,AD56,AH56,AL56,AP56,AT56,AX56)</f>
        <v/>
      </c>
      <c r="BC56" s="43">
        <f>SUM(G56,K56,O56,S56,W56,AA56,AE56,AI56,AM56,AQ56,AU56,AY56)</f>
        <v/>
      </c>
      <c r="BD56" s="43">
        <f>BA56-(BB56+BC56)</f>
        <v/>
      </c>
      <c r="BE56" s="43">
        <f>BD56+D56</f>
        <v/>
      </c>
    </row>
    <row r="57" ht="15.75" customHeight="1">
      <c r="A57" s="37" t="inlineStr">
        <is>
          <t>T7</t>
        </is>
      </c>
      <c r="B57" s="40">
        <f>VLOOKUP(A57,Members!$A$2:$C$65,3,FALSE)</f>
        <v/>
      </c>
      <c r="C57" s="37">
        <f>Members!B56</f>
        <v/>
      </c>
      <c r="D57" s="41" t="n">
        <v>0</v>
      </c>
      <c r="E57" s="41">
        <f>INDIRECT("'Apr"&amp;Members!$F$2&amp;"-COLLECTION'!K"&amp;ROW()-1)</f>
        <v/>
      </c>
      <c r="F57" s="41">
        <f>INDIRECT("'Apr"&amp;Members!$F$2&amp;"-EXPENSE'!R"&amp;ROW()+3)</f>
        <v/>
      </c>
      <c r="G57" s="20" t="n"/>
      <c r="H57" s="41">
        <f>E57-(F57+G57)</f>
        <v/>
      </c>
      <c r="I57" s="41">
        <f>INDIRECT("'May"&amp;Members!$F$2&amp;"-COLLECTION'!K"&amp;ROW()-1)</f>
        <v/>
      </c>
      <c r="J57" s="41">
        <f>INDIRECT("'May"&amp;Members!$F$2&amp;"-EXPENSE'!R"&amp;ROW()+3)</f>
        <v/>
      </c>
      <c r="K57" s="21" t="n"/>
      <c r="L57" s="41">
        <f>I57-(J57+K57)</f>
        <v/>
      </c>
      <c r="M57" s="41">
        <f>INDIRECT("'June"&amp;Members!$F$2&amp;"-COLLECTION'!K"&amp;ROW()-1)</f>
        <v/>
      </c>
      <c r="N57" s="41">
        <f>INDIRECT("'June"&amp;Members!$F$2&amp;"-EXPENSE'!R"&amp;ROW()+3)</f>
        <v/>
      </c>
      <c r="O57" s="20" t="n"/>
      <c r="P57" s="41">
        <f>M57-(N57+O57)</f>
        <v/>
      </c>
      <c r="Q57" s="41">
        <f>INDIRECT("'July"&amp;Members!$F$2&amp;"-COLLECTION'!K"&amp;ROW()-1)</f>
        <v/>
      </c>
      <c r="R57" s="41">
        <f>INDIRECT("'July"&amp;Members!$F$2&amp;"-EXPENSE'!R"&amp;ROW()+3)</f>
        <v/>
      </c>
      <c r="S57" s="21" t="n"/>
      <c r="T57" s="41">
        <f>Q57-(R57+S57)</f>
        <v/>
      </c>
      <c r="U57" s="41">
        <f>INDIRECT("'Aug"&amp;Members!$F$2&amp;"-COLLECTION'!K"&amp;ROW()-1)</f>
        <v/>
      </c>
      <c r="V57" s="41">
        <f>INDIRECT("'Aug"&amp;Members!$F$2&amp;"-EXPENSE'!R"&amp;ROW()+3)</f>
        <v/>
      </c>
      <c r="W57" s="20" t="n"/>
      <c r="X57" s="41">
        <f>U57-(V57+W57)</f>
        <v/>
      </c>
      <c r="Y57" s="41">
        <f>INDIRECT("'Sep"&amp;Members!$F$2&amp;"-COLLECTION'!K"&amp;ROW()-1)</f>
        <v/>
      </c>
      <c r="Z57" s="41">
        <f>INDIRECT("'Sep"&amp;Members!$F$2&amp;"-EXPENSE'!R"&amp;ROW()+3)</f>
        <v/>
      </c>
      <c r="AA57" s="21" t="n"/>
      <c r="AB57" s="41">
        <f>Y57-(Z57+AA57)</f>
        <v/>
      </c>
      <c r="AC57" s="41">
        <f>INDIRECT("'Oct"&amp;Members!$F$2&amp;"-COLLECTION'!K"&amp;ROW()-1)</f>
        <v/>
      </c>
      <c r="AD57" s="41">
        <f>INDIRECT("'Oct"&amp;Members!$F$2&amp;"-EXPENSE'!R"&amp;ROW()+3)</f>
        <v/>
      </c>
      <c r="AE57" s="21" t="n"/>
      <c r="AF57" s="41">
        <f>AC57-(AD57+AE57)</f>
        <v/>
      </c>
      <c r="AG57" s="41">
        <f>INDIRECT("'Nov"&amp;Members!$F$2&amp;"-COLLECTION'!K"&amp;ROW()-1)</f>
        <v/>
      </c>
      <c r="AH57" s="41">
        <f>INDIRECT("'Nov"&amp;Members!$F$2&amp;"-EXPENSE'!R"&amp;ROW()+3)</f>
        <v/>
      </c>
      <c r="AI57" s="21" t="n"/>
      <c r="AJ57" s="41">
        <f>AG57-(AH57+AI57)</f>
        <v/>
      </c>
      <c r="AK57" s="41">
        <f>INDIRECT("'Dec"&amp;Members!$F$2&amp;"-COLLECTION'!K"&amp;ROW()-1)</f>
        <v/>
      </c>
      <c r="AL57" s="41">
        <f>INDIRECT("'Dec"&amp;Members!$F$2&amp;"-EXPENSE'!R"&amp;ROW()+3)</f>
        <v/>
      </c>
      <c r="AM57" s="21" t="n"/>
      <c r="AN57" s="41">
        <f>AK57-(AL57+AM57)</f>
        <v/>
      </c>
      <c r="AO57" s="41">
        <f>INDIRECT("'Jan"&amp;Members!$G$2&amp;"-COLLECTION'!K"&amp;ROW()-1)</f>
        <v/>
      </c>
      <c r="AP57" s="41">
        <f>INDIRECT("'Jan"&amp;Members!$G$2&amp;"-EXPENSE'!R"&amp;ROW()+3)</f>
        <v/>
      </c>
      <c r="AQ57" s="2" t="n"/>
      <c r="AR57" s="41">
        <f>AO57-(AP57+AQ57)</f>
        <v/>
      </c>
      <c r="AS57" s="41">
        <f>INDIRECT("'Feb"&amp;Members!$G$2&amp;"-COLLECTION'!K"&amp;ROW()-1)</f>
        <v/>
      </c>
      <c r="AT57" s="41">
        <f>INDIRECT("'Feb"&amp;Members!$G$2&amp;"-EXPENSE'!R"&amp;ROW()+3)</f>
        <v/>
      </c>
      <c r="AU57" s="2" t="n"/>
      <c r="AV57" s="41">
        <f>AS57-(AT57+AU57)</f>
        <v/>
      </c>
      <c r="AW57" s="41">
        <f>INDIRECT("'Mar"&amp;Members!$G$2&amp;"-COLLECTION'!K"&amp;ROW()-1)</f>
        <v/>
      </c>
      <c r="AX57" s="41">
        <f>INDIRECT("'Mar"&amp;Members!$G$2&amp;"-EXPENSE'!R"&amp;ROW()+3)</f>
        <v/>
      </c>
      <c r="AY57" s="2" t="n"/>
      <c r="AZ57" s="41">
        <f>AW57-(AX57+AY57)</f>
        <v/>
      </c>
      <c r="BA57" s="41">
        <f>SUM(E57,I57,M57,Q57,U57,Y57,AC57,AG57,AK57,AO57,AS57,AW57)</f>
        <v/>
      </c>
      <c r="BB57" s="41">
        <f>SUM(F57,J57,N57,R57,V57,Z57,AD57,AH57,AL57,AP57,AT57,AX57)</f>
        <v/>
      </c>
      <c r="BC57" s="41">
        <f>SUM(G57,K57,O57,S57,W57,AA57,AE57,AI57,AM57,AQ57,AU57,AY57)</f>
        <v/>
      </c>
      <c r="BD57" s="41">
        <f>BA57-(BB57+BC57)</f>
        <v/>
      </c>
      <c r="BE57" s="41">
        <f>BD57+D57</f>
        <v/>
      </c>
    </row>
    <row r="58" ht="15.75" customHeight="1">
      <c r="A58" s="36" t="inlineStr">
        <is>
          <t>T8</t>
        </is>
      </c>
      <c r="B58" s="42">
        <f>VLOOKUP(A58,Members!$A$2:$C$65,3,FALSE)</f>
        <v/>
      </c>
      <c r="C58" s="36">
        <f>Members!B57</f>
        <v/>
      </c>
      <c r="D58" s="43" t="n">
        <v>0</v>
      </c>
      <c r="E58" s="43">
        <f>INDIRECT("'Apr"&amp;Members!$F$2&amp;"-COLLECTION'!K"&amp;ROW()-1)</f>
        <v/>
      </c>
      <c r="F58" s="43">
        <f>INDIRECT("'Apr"&amp;Members!$F$2&amp;"-EXPENSE'!R"&amp;ROW()+3)</f>
        <v/>
      </c>
      <c r="G58" s="20" t="n"/>
      <c r="H58" s="43">
        <f>E58-(F58+G58)</f>
        <v/>
      </c>
      <c r="I58" s="43">
        <f>INDIRECT("'May"&amp;Members!$F$2&amp;"-COLLECTION'!K"&amp;ROW()-1)</f>
        <v/>
      </c>
      <c r="J58" s="43">
        <f>INDIRECT("'May"&amp;Members!$F$2&amp;"-EXPENSE'!R"&amp;ROW()+3)</f>
        <v/>
      </c>
      <c r="K58" s="21" t="n"/>
      <c r="L58" s="43">
        <f>I58-(J58+K58)</f>
        <v/>
      </c>
      <c r="M58" s="43">
        <f>INDIRECT("'June"&amp;Members!$F$2&amp;"-COLLECTION'!K"&amp;ROW()-1)</f>
        <v/>
      </c>
      <c r="N58" s="43">
        <f>INDIRECT("'June"&amp;Members!$F$2&amp;"-EXPENSE'!R"&amp;ROW()+3)</f>
        <v/>
      </c>
      <c r="O58" s="20" t="n"/>
      <c r="P58" s="43">
        <f>M58-(N58+O58)</f>
        <v/>
      </c>
      <c r="Q58" s="43">
        <f>INDIRECT("'July"&amp;Members!$F$2&amp;"-COLLECTION'!K"&amp;ROW()-1)</f>
        <v/>
      </c>
      <c r="R58" s="43">
        <f>INDIRECT("'July"&amp;Members!$F$2&amp;"-EXPENSE'!R"&amp;ROW()+3)</f>
        <v/>
      </c>
      <c r="S58" s="21" t="n"/>
      <c r="T58" s="43">
        <f>Q58-(R58+S58)</f>
        <v/>
      </c>
      <c r="U58" s="43">
        <f>INDIRECT("'Aug"&amp;Members!$F$2&amp;"-COLLECTION'!K"&amp;ROW()-1)</f>
        <v/>
      </c>
      <c r="V58" s="43">
        <f>INDIRECT("'Aug"&amp;Members!$F$2&amp;"-EXPENSE'!R"&amp;ROW()+3)</f>
        <v/>
      </c>
      <c r="W58" s="20" t="n"/>
      <c r="X58" s="43">
        <f>U58-(V58+W58)</f>
        <v/>
      </c>
      <c r="Y58" s="43">
        <f>INDIRECT("'Sep"&amp;Members!$F$2&amp;"-COLLECTION'!K"&amp;ROW()-1)</f>
        <v/>
      </c>
      <c r="Z58" s="43">
        <f>INDIRECT("'Sep"&amp;Members!$F$2&amp;"-EXPENSE'!R"&amp;ROW()+3)</f>
        <v/>
      </c>
      <c r="AA58" s="21" t="n"/>
      <c r="AB58" s="43">
        <f>Y58-(Z58+AA58)</f>
        <v/>
      </c>
      <c r="AC58" s="43">
        <f>INDIRECT("'Oct"&amp;Members!$F$2&amp;"-COLLECTION'!K"&amp;ROW()-1)</f>
        <v/>
      </c>
      <c r="AD58" s="43">
        <f>INDIRECT("'Oct"&amp;Members!$F$2&amp;"-EXPENSE'!R"&amp;ROW()+3)</f>
        <v/>
      </c>
      <c r="AE58" s="21" t="n"/>
      <c r="AF58" s="43">
        <f>AC58-(AD58+AE58)</f>
        <v/>
      </c>
      <c r="AG58" s="43">
        <f>INDIRECT("'Nov"&amp;Members!$F$2&amp;"-COLLECTION'!K"&amp;ROW()-1)</f>
        <v/>
      </c>
      <c r="AH58" s="43">
        <f>INDIRECT("'Nov"&amp;Members!$F$2&amp;"-EXPENSE'!R"&amp;ROW()+3)</f>
        <v/>
      </c>
      <c r="AI58" s="21" t="n"/>
      <c r="AJ58" s="43">
        <f>AG58-(AH58+AI58)</f>
        <v/>
      </c>
      <c r="AK58" s="43">
        <f>INDIRECT("'Dec"&amp;Members!$F$2&amp;"-COLLECTION'!K"&amp;ROW()-1)</f>
        <v/>
      </c>
      <c r="AL58" s="43">
        <f>INDIRECT("'Dec"&amp;Members!$F$2&amp;"-EXPENSE'!R"&amp;ROW()+3)</f>
        <v/>
      </c>
      <c r="AM58" s="21" t="n"/>
      <c r="AN58" s="43">
        <f>AK58-(AL58+AM58)</f>
        <v/>
      </c>
      <c r="AO58" s="43">
        <f>INDIRECT("'Jan"&amp;Members!$G$2&amp;"-COLLECTION'!K"&amp;ROW()-1)</f>
        <v/>
      </c>
      <c r="AP58" s="43">
        <f>INDIRECT("'Jan"&amp;Members!$G$2&amp;"-EXPENSE'!R"&amp;ROW()+3)</f>
        <v/>
      </c>
      <c r="AQ58" s="2" t="n"/>
      <c r="AR58" s="43">
        <f>AO58-(AP58+AQ58)</f>
        <v/>
      </c>
      <c r="AS58" s="43">
        <f>INDIRECT("'Feb"&amp;Members!$G$2&amp;"-COLLECTION'!K"&amp;ROW()-1)</f>
        <v/>
      </c>
      <c r="AT58" s="43">
        <f>INDIRECT("'Feb"&amp;Members!$G$2&amp;"-EXPENSE'!R"&amp;ROW()+3)</f>
        <v/>
      </c>
      <c r="AU58" s="2" t="n"/>
      <c r="AV58" s="43">
        <f>AS58-(AT58+AU58)</f>
        <v/>
      </c>
      <c r="AW58" s="43">
        <f>INDIRECT("'Mar"&amp;Members!$G$2&amp;"-COLLECTION'!K"&amp;ROW()-1)</f>
        <v/>
      </c>
      <c r="AX58" s="43">
        <f>INDIRECT("'Mar"&amp;Members!$G$2&amp;"-EXPENSE'!R"&amp;ROW()+3)</f>
        <v/>
      </c>
      <c r="AY58" s="2" t="n"/>
      <c r="AZ58" s="43">
        <f>AW58-(AX58+AY58)</f>
        <v/>
      </c>
      <c r="BA58" s="43">
        <f>SUM(E58,I58,M58,Q58,U58,Y58,AC58,AG58,AK58,AO58,AS58,AW58)</f>
        <v/>
      </c>
      <c r="BB58" s="43">
        <f>SUM(F58,J58,N58,R58,V58,Z58,AD58,AH58,AL58,AP58,AT58,AX58)</f>
        <v/>
      </c>
      <c r="BC58" s="43">
        <f>SUM(G58,K58,O58,S58,W58,AA58,AE58,AI58,AM58,AQ58,AU58,AY58)</f>
        <v/>
      </c>
      <c r="BD58" s="43">
        <f>BA58-(BB58+BC58)</f>
        <v/>
      </c>
      <c r="BE58" s="43">
        <f>BD58+D58</f>
        <v/>
      </c>
    </row>
    <row r="59" ht="15.75" customHeight="1">
      <c r="A59" s="37" t="inlineStr">
        <is>
          <t>T9</t>
        </is>
      </c>
      <c r="B59" s="40">
        <f>VLOOKUP(A59,Members!$A$2:$C$65,3,FALSE)</f>
        <v/>
      </c>
      <c r="C59" s="37">
        <f>Members!B58</f>
        <v/>
      </c>
      <c r="D59" s="41" t="n">
        <v>0</v>
      </c>
      <c r="E59" s="41">
        <f>INDIRECT("'Apr"&amp;Members!$F$2&amp;"-COLLECTION'!K"&amp;ROW()-1)</f>
        <v/>
      </c>
      <c r="F59" s="41">
        <f>INDIRECT("'Apr"&amp;Members!$F$2&amp;"-EXPENSE'!R"&amp;ROW()+3)</f>
        <v/>
      </c>
      <c r="G59" s="20" t="n"/>
      <c r="H59" s="41">
        <f>E59-(F59+G59)</f>
        <v/>
      </c>
      <c r="I59" s="41">
        <f>INDIRECT("'May"&amp;Members!$F$2&amp;"-COLLECTION'!K"&amp;ROW()-1)</f>
        <v/>
      </c>
      <c r="J59" s="41">
        <f>INDIRECT("'May"&amp;Members!$F$2&amp;"-EXPENSE'!R"&amp;ROW()+3)</f>
        <v/>
      </c>
      <c r="K59" s="21" t="n"/>
      <c r="L59" s="41">
        <f>I59-(J59+K59)</f>
        <v/>
      </c>
      <c r="M59" s="41">
        <f>INDIRECT("'June"&amp;Members!$F$2&amp;"-COLLECTION'!K"&amp;ROW()-1)</f>
        <v/>
      </c>
      <c r="N59" s="41">
        <f>INDIRECT("'June"&amp;Members!$F$2&amp;"-EXPENSE'!R"&amp;ROW()+3)</f>
        <v/>
      </c>
      <c r="O59" s="20" t="n"/>
      <c r="P59" s="41">
        <f>M59-(N59+O59)</f>
        <v/>
      </c>
      <c r="Q59" s="41">
        <f>INDIRECT("'July"&amp;Members!$F$2&amp;"-COLLECTION'!K"&amp;ROW()-1)</f>
        <v/>
      </c>
      <c r="R59" s="41">
        <f>INDIRECT("'July"&amp;Members!$F$2&amp;"-EXPENSE'!R"&amp;ROW()+3)</f>
        <v/>
      </c>
      <c r="S59" s="21" t="n"/>
      <c r="T59" s="41">
        <f>Q59-(R59+S59)</f>
        <v/>
      </c>
      <c r="U59" s="41">
        <f>INDIRECT("'Aug"&amp;Members!$F$2&amp;"-COLLECTION'!K"&amp;ROW()-1)</f>
        <v/>
      </c>
      <c r="V59" s="41">
        <f>INDIRECT("'Aug"&amp;Members!$F$2&amp;"-EXPENSE'!R"&amp;ROW()+3)</f>
        <v/>
      </c>
      <c r="W59" s="20" t="n"/>
      <c r="X59" s="41">
        <f>U59-(V59+W59)</f>
        <v/>
      </c>
      <c r="Y59" s="41">
        <f>INDIRECT("'Sep"&amp;Members!$F$2&amp;"-COLLECTION'!K"&amp;ROW()-1)</f>
        <v/>
      </c>
      <c r="Z59" s="41">
        <f>INDIRECT("'Sep"&amp;Members!$F$2&amp;"-EXPENSE'!R"&amp;ROW()+3)</f>
        <v/>
      </c>
      <c r="AA59" s="21" t="n"/>
      <c r="AB59" s="41">
        <f>Y59-(Z59+AA59)</f>
        <v/>
      </c>
      <c r="AC59" s="41">
        <f>INDIRECT("'Oct"&amp;Members!$F$2&amp;"-COLLECTION'!K"&amp;ROW()-1)</f>
        <v/>
      </c>
      <c r="AD59" s="41">
        <f>INDIRECT("'Oct"&amp;Members!$F$2&amp;"-EXPENSE'!R"&amp;ROW()+3)</f>
        <v/>
      </c>
      <c r="AE59" s="21" t="n"/>
      <c r="AF59" s="41">
        <f>AC59-(AD59+AE59)</f>
        <v/>
      </c>
      <c r="AG59" s="41">
        <f>INDIRECT("'Nov"&amp;Members!$F$2&amp;"-COLLECTION'!K"&amp;ROW()-1)</f>
        <v/>
      </c>
      <c r="AH59" s="41">
        <f>INDIRECT("'Nov"&amp;Members!$F$2&amp;"-EXPENSE'!R"&amp;ROW()+3)</f>
        <v/>
      </c>
      <c r="AI59" s="21" t="n"/>
      <c r="AJ59" s="41">
        <f>AG59-(AH59+AI59)</f>
        <v/>
      </c>
      <c r="AK59" s="41">
        <f>INDIRECT("'Dec"&amp;Members!$F$2&amp;"-COLLECTION'!K"&amp;ROW()-1)</f>
        <v/>
      </c>
      <c r="AL59" s="41">
        <f>INDIRECT("'Dec"&amp;Members!$F$2&amp;"-EXPENSE'!R"&amp;ROW()+3)</f>
        <v/>
      </c>
      <c r="AM59" s="21" t="n"/>
      <c r="AN59" s="41">
        <f>AK59-(AL59+AM59)</f>
        <v/>
      </c>
      <c r="AO59" s="41">
        <f>INDIRECT("'Jan"&amp;Members!$G$2&amp;"-COLLECTION'!K"&amp;ROW()-1)</f>
        <v/>
      </c>
      <c r="AP59" s="41">
        <f>INDIRECT("'Jan"&amp;Members!$G$2&amp;"-EXPENSE'!R"&amp;ROW()+3)</f>
        <v/>
      </c>
      <c r="AQ59" s="2" t="n"/>
      <c r="AR59" s="41">
        <f>AO59-(AP59+AQ59)</f>
        <v/>
      </c>
      <c r="AS59" s="41">
        <f>INDIRECT("'Feb"&amp;Members!$G$2&amp;"-COLLECTION'!K"&amp;ROW()-1)</f>
        <v/>
      </c>
      <c r="AT59" s="41">
        <f>INDIRECT("'Feb"&amp;Members!$G$2&amp;"-EXPENSE'!R"&amp;ROW()+3)</f>
        <v/>
      </c>
      <c r="AU59" s="2" t="n"/>
      <c r="AV59" s="41">
        <f>AS59-(AT59+AU59)</f>
        <v/>
      </c>
      <c r="AW59" s="41">
        <f>INDIRECT("'Mar"&amp;Members!$G$2&amp;"-COLLECTION'!K"&amp;ROW()-1)</f>
        <v/>
      </c>
      <c r="AX59" s="41">
        <f>INDIRECT("'Mar"&amp;Members!$G$2&amp;"-EXPENSE'!R"&amp;ROW()+3)</f>
        <v/>
      </c>
      <c r="AY59" s="2" t="n"/>
      <c r="AZ59" s="41">
        <f>AW59-(AX59+AY59)</f>
        <v/>
      </c>
      <c r="BA59" s="41">
        <f>SUM(E59,I59,M59,Q59,U59,Y59,AC59,AG59,AK59,AO59,AS59,AW59)</f>
        <v/>
      </c>
      <c r="BB59" s="41">
        <f>SUM(F59,J59,N59,R59,V59,Z59,AD59,AH59,AL59,AP59,AT59,AX59)</f>
        <v/>
      </c>
      <c r="BC59" s="41">
        <f>SUM(G59,K59,O59,S59,W59,AA59,AE59,AI59,AM59,AQ59,AU59,AY59)</f>
        <v/>
      </c>
      <c r="BD59" s="41">
        <f>BA59-(BB59+BC59)</f>
        <v/>
      </c>
      <c r="BE59" s="41">
        <f>BD59+D59</f>
        <v/>
      </c>
    </row>
    <row r="60" ht="15.75" customHeight="1">
      <c r="A60" s="36" t="inlineStr">
        <is>
          <t>T10</t>
        </is>
      </c>
      <c r="B60" s="42">
        <f>VLOOKUP(A60,Members!$A$2:$C$65,3,FALSE)</f>
        <v/>
      </c>
      <c r="C60" s="36">
        <f>Members!B59</f>
        <v/>
      </c>
      <c r="D60" s="43" t="n">
        <v>0</v>
      </c>
      <c r="E60" s="43">
        <f>INDIRECT("'Apr"&amp;Members!$F$2&amp;"-COLLECTION'!K"&amp;ROW()-1)</f>
        <v/>
      </c>
      <c r="F60" s="43">
        <f>INDIRECT("'Apr"&amp;Members!$F$2&amp;"-EXPENSE'!R"&amp;ROW()+3)</f>
        <v/>
      </c>
      <c r="G60" s="20" t="n"/>
      <c r="H60" s="43">
        <f>E60-(F60+G60)</f>
        <v/>
      </c>
      <c r="I60" s="43">
        <f>INDIRECT("'May"&amp;Members!$F$2&amp;"-COLLECTION'!K"&amp;ROW()-1)</f>
        <v/>
      </c>
      <c r="J60" s="43">
        <f>INDIRECT("'May"&amp;Members!$F$2&amp;"-EXPENSE'!R"&amp;ROW()+3)</f>
        <v/>
      </c>
      <c r="K60" s="21" t="n"/>
      <c r="L60" s="43">
        <f>I60-(J60+K60)</f>
        <v/>
      </c>
      <c r="M60" s="43">
        <f>INDIRECT("'June"&amp;Members!$F$2&amp;"-COLLECTION'!K"&amp;ROW()-1)</f>
        <v/>
      </c>
      <c r="N60" s="43">
        <f>INDIRECT("'June"&amp;Members!$F$2&amp;"-EXPENSE'!R"&amp;ROW()+3)</f>
        <v/>
      </c>
      <c r="O60" s="20" t="n"/>
      <c r="P60" s="43">
        <f>M60-(N60+O60)</f>
        <v/>
      </c>
      <c r="Q60" s="43">
        <f>INDIRECT("'July"&amp;Members!$F$2&amp;"-COLLECTION'!K"&amp;ROW()-1)</f>
        <v/>
      </c>
      <c r="R60" s="43">
        <f>INDIRECT("'July"&amp;Members!$F$2&amp;"-EXPENSE'!R"&amp;ROW()+3)</f>
        <v/>
      </c>
      <c r="S60" s="21" t="n"/>
      <c r="T60" s="43">
        <f>Q60-(R60+S60)</f>
        <v/>
      </c>
      <c r="U60" s="43">
        <f>INDIRECT("'Aug"&amp;Members!$F$2&amp;"-COLLECTION'!K"&amp;ROW()-1)</f>
        <v/>
      </c>
      <c r="V60" s="43">
        <f>INDIRECT("'Aug"&amp;Members!$F$2&amp;"-EXPENSE'!R"&amp;ROW()+3)</f>
        <v/>
      </c>
      <c r="W60" s="20" t="n"/>
      <c r="X60" s="43">
        <f>U60-(V60+W60)</f>
        <v/>
      </c>
      <c r="Y60" s="43">
        <f>INDIRECT("'Sep"&amp;Members!$F$2&amp;"-COLLECTION'!K"&amp;ROW()-1)</f>
        <v/>
      </c>
      <c r="Z60" s="43">
        <f>INDIRECT("'Sep"&amp;Members!$F$2&amp;"-EXPENSE'!R"&amp;ROW()+3)</f>
        <v/>
      </c>
      <c r="AA60" s="21" t="n"/>
      <c r="AB60" s="43">
        <f>Y60-(Z60+AA60)</f>
        <v/>
      </c>
      <c r="AC60" s="43">
        <f>INDIRECT("'Oct"&amp;Members!$F$2&amp;"-COLLECTION'!K"&amp;ROW()-1)</f>
        <v/>
      </c>
      <c r="AD60" s="43">
        <f>INDIRECT("'Oct"&amp;Members!$F$2&amp;"-EXPENSE'!R"&amp;ROW()+3)</f>
        <v/>
      </c>
      <c r="AE60" s="21" t="n"/>
      <c r="AF60" s="43">
        <f>AC60-(AD60+AE60)</f>
        <v/>
      </c>
      <c r="AG60" s="43">
        <f>INDIRECT("'Nov"&amp;Members!$F$2&amp;"-COLLECTION'!K"&amp;ROW()-1)</f>
        <v/>
      </c>
      <c r="AH60" s="43">
        <f>INDIRECT("'Nov"&amp;Members!$F$2&amp;"-EXPENSE'!R"&amp;ROW()+3)</f>
        <v/>
      </c>
      <c r="AI60" s="21" t="n"/>
      <c r="AJ60" s="43">
        <f>AG60-(AH60+AI60)</f>
        <v/>
      </c>
      <c r="AK60" s="43">
        <f>INDIRECT("'Dec"&amp;Members!$F$2&amp;"-COLLECTION'!K"&amp;ROW()-1)</f>
        <v/>
      </c>
      <c r="AL60" s="43">
        <f>INDIRECT("'Dec"&amp;Members!$F$2&amp;"-EXPENSE'!R"&amp;ROW()+3)</f>
        <v/>
      </c>
      <c r="AM60" s="21" t="n"/>
      <c r="AN60" s="43">
        <f>AK60-(AL60+AM60)</f>
        <v/>
      </c>
      <c r="AO60" s="43">
        <f>INDIRECT("'Jan"&amp;Members!$G$2&amp;"-COLLECTION'!K"&amp;ROW()-1)</f>
        <v/>
      </c>
      <c r="AP60" s="43">
        <f>INDIRECT("'Jan"&amp;Members!$G$2&amp;"-EXPENSE'!R"&amp;ROW()+3)</f>
        <v/>
      </c>
      <c r="AQ60" s="2" t="n"/>
      <c r="AR60" s="43">
        <f>AO60-(AP60+AQ60)</f>
        <v/>
      </c>
      <c r="AS60" s="43">
        <f>INDIRECT("'Feb"&amp;Members!$G$2&amp;"-COLLECTION'!K"&amp;ROW()-1)</f>
        <v/>
      </c>
      <c r="AT60" s="43">
        <f>INDIRECT("'Feb"&amp;Members!$G$2&amp;"-EXPENSE'!R"&amp;ROW()+3)</f>
        <v/>
      </c>
      <c r="AU60" s="2" t="n"/>
      <c r="AV60" s="43">
        <f>AS60-(AT60+AU60)</f>
        <v/>
      </c>
      <c r="AW60" s="43">
        <f>INDIRECT("'Mar"&amp;Members!$G$2&amp;"-COLLECTION'!K"&amp;ROW()-1)</f>
        <v/>
      </c>
      <c r="AX60" s="43">
        <f>INDIRECT("'Mar"&amp;Members!$G$2&amp;"-EXPENSE'!R"&amp;ROW()+3)</f>
        <v/>
      </c>
      <c r="AY60" s="2" t="n"/>
      <c r="AZ60" s="43">
        <f>AW60-(AX60+AY60)</f>
        <v/>
      </c>
      <c r="BA60" s="43">
        <f>SUM(E60,I60,M60,Q60,U60,Y60,AC60,AG60,AK60,AO60,AS60,AW60)</f>
        <v/>
      </c>
      <c r="BB60" s="43">
        <f>SUM(F60,J60,N60,R60,V60,Z60,AD60,AH60,AL60,AP60,AT60,AX60)</f>
        <v/>
      </c>
      <c r="BC60" s="43">
        <f>SUM(G60,K60,O60,S60,W60,AA60,AE60,AI60,AM60,AQ60,AU60,AY60)</f>
        <v/>
      </c>
      <c r="BD60" s="43">
        <f>BA60-(BB60+BC60)</f>
        <v/>
      </c>
      <c r="BE60" s="43">
        <f>BD60+D60</f>
        <v/>
      </c>
    </row>
    <row r="61" ht="15.75" customHeight="1">
      <c r="A61" s="37" t="inlineStr">
        <is>
          <t>T11</t>
        </is>
      </c>
      <c r="B61" s="40">
        <f>VLOOKUP(A61,Members!$A$2:$C$65,3,FALSE)</f>
        <v/>
      </c>
      <c r="C61" s="37">
        <f>Members!B60</f>
        <v/>
      </c>
      <c r="D61" s="41" t="n">
        <v>0</v>
      </c>
      <c r="E61" s="41">
        <f>INDIRECT("'Apr"&amp;Members!$F$2&amp;"-COLLECTION'!K"&amp;ROW()-1)</f>
        <v/>
      </c>
      <c r="F61" s="41">
        <f>INDIRECT("'Apr"&amp;Members!$F$2&amp;"-EXPENSE'!R"&amp;ROW()+3)</f>
        <v/>
      </c>
      <c r="G61" s="20" t="n"/>
      <c r="H61" s="41">
        <f>E61-(F61+G61)</f>
        <v/>
      </c>
      <c r="I61" s="41">
        <f>INDIRECT("'May"&amp;Members!$F$2&amp;"-COLLECTION'!K"&amp;ROW()-1)</f>
        <v/>
      </c>
      <c r="J61" s="41">
        <f>INDIRECT("'May"&amp;Members!$F$2&amp;"-EXPENSE'!R"&amp;ROW()+3)</f>
        <v/>
      </c>
      <c r="K61" s="21" t="n"/>
      <c r="L61" s="41">
        <f>I61-(J61+K61)</f>
        <v/>
      </c>
      <c r="M61" s="41">
        <f>INDIRECT("'June"&amp;Members!$F$2&amp;"-COLLECTION'!K"&amp;ROW()-1)</f>
        <v/>
      </c>
      <c r="N61" s="41">
        <f>INDIRECT("'June"&amp;Members!$F$2&amp;"-EXPENSE'!R"&amp;ROW()+3)</f>
        <v/>
      </c>
      <c r="O61" s="20" t="n"/>
      <c r="P61" s="41">
        <f>M61-(N61+O61)</f>
        <v/>
      </c>
      <c r="Q61" s="41">
        <f>INDIRECT("'July"&amp;Members!$F$2&amp;"-COLLECTION'!K"&amp;ROW()-1)</f>
        <v/>
      </c>
      <c r="R61" s="41">
        <f>INDIRECT("'July"&amp;Members!$F$2&amp;"-EXPENSE'!R"&amp;ROW()+3)</f>
        <v/>
      </c>
      <c r="S61" s="21" t="n"/>
      <c r="T61" s="41">
        <f>Q61-(R61+S61)</f>
        <v/>
      </c>
      <c r="U61" s="41">
        <f>INDIRECT("'Aug"&amp;Members!$F$2&amp;"-COLLECTION'!K"&amp;ROW()-1)</f>
        <v/>
      </c>
      <c r="V61" s="41">
        <f>INDIRECT("'Aug"&amp;Members!$F$2&amp;"-EXPENSE'!R"&amp;ROW()+3)</f>
        <v/>
      </c>
      <c r="W61" s="20" t="n"/>
      <c r="X61" s="41">
        <f>U61-(V61+W61)</f>
        <v/>
      </c>
      <c r="Y61" s="41">
        <f>INDIRECT("'Sep"&amp;Members!$F$2&amp;"-COLLECTION'!K"&amp;ROW()-1)</f>
        <v/>
      </c>
      <c r="Z61" s="41">
        <f>INDIRECT("'Sep"&amp;Members!$F$2&amp;"-EXPENSE'!R"&amp;ROW()+3)</f>
        <v/>
      </c>
      <c r="AA61" s="21" t="n"/>
      <c r="AB61" s="41">
        <f>Y61-(Z61+AA61)</f>
        <v/>
      </c>
      <c r="AC61" s="41">
        <f>INDIRECT("'Oct"&amp;Members!$F$2&amp;"-COLLECTION'!K"&amp;ROW()-1)</f>
        <v/>
      </c>
      <c r="AD61" s="41">
        <f>INDIRECT("'Oct"&amp;Members!$F$2&amp;"-EXPENSE'!R"&amp;ROW()+3)</f>
        <v/>
      </c>
      <c r="AE61" s="21" t="n"/>
      <c r="AF61" s="41">
        <f>AC61-(AD61+AE61)</f>
        <v/>
      </c>
      <c r="AG61" s="41">
        <f>INDIRECT("'Nov"&amp;Members!$F$2&amp;"-COLLECTION'!K"&amp;ROW()-1)</f>
        <v/>
      </c>
      <c r="AH61" s="41">
        <f>INDIRECT("'Nov"&amp;Members!$F$2&amp;"-EXPENSE'!R"&amp;ROW()+3)</f>
        <v/>
      </c>
      <c r="AI61" s="21" t="n"/>
      <c r="AJ61" s="41">
        <f>AG61-(AH61+AI61)</f>
        <v/>
      </c>
      <c r="AK61" s="41">
        <f>INDIRECT("'Dec"&amp;Members!$F$2&amp;"-COLLECTION'!K"&amp;ROW()-1)</f>
        <v/>
      </c>
      <c r="AL61" s="41">
        <f>INDIRECT("'Dec"&amp;Members!$F$2&amp;"-EXPENSE'!R"&amp;ROW()+3)</f>
        <v/>
      </c>
      <c r="AM61" s="21" t="n"/>
      <c r="AN61" s="41">
        <f>AK61-(AL61+AM61)</f>
        <v/>
      </c>
      <c r="AO61" s="41">
        <f>INDIRECT("'Jan"&amp;Members!$G$2&amp;"-COLLECTION'!K"&amp;ROW()-1)</f>
        <v/>
      </c>
      <c r="AP61" s="41">
        <f>INDIRECT("'Jan"&amp;Members!$G$2&amp;"-EXPENSE'!R"&amp;ROW()+3)</f>
        <v/>
      </c>
      <c r="AQ61" s="2" t="n"/>
      <c r="AR61" s="41">
        <f>AO61-(AP61+AQ61)</f>
        <v/>
      </c>
      <c r="AS61" s="41">
        <f>INDIRECT("'Feb"&amp;Members!$G$2&amp;"-COLLECTION'!K"&amp;ROW()-1)</f>
        <v/>
      </c>
      <c r="AT61" s="41">
        <f>INDIRECT("'Feb"&amp;Members!$G$2&amp;"-EXPENSE'!R"&amp;ROW()+3)</f>
        <v/>
      </c>
      <c r="AU61" s="2" t="n"/>
      <c r="AV61" s="41">
        <f>AS61-(AT61+AU61)</f>
        <v/>
      </c>
      <c r="AW61" s="41">
        <f>INDIRECT("'Mar"&amp;Members!$G$2&amp;"-COLLECTION'!K"&amp;ROW()-1)</f>
        <v/>
      </c>
      <c r="AX61" s="41">
        <f>INDIRECT("'Mar"&amp;Members!$G$2&amp;"-EXPENSE'!R"&amp;ROW()+3)</f>
        <v/>
      </c>
      <c r="AY61" s="2" t="n"/>
      <c r="AZ61" s="41">
        <f>AW61-(AX61+AY61)</f>
        <v/>
      </c>
      <c r="BA61" s="41">
        <f>SUM(E61,I61,M61,Q61,U61,Y61,AC61,AG61,AK61,AO61,AS61,AW61)</f>
        <v/>
      </c>
      <c r="BB61" s="41">
        <f>SUM(F61,J61,N61,R61,V61,Z61,AD61,AH61,AL61,AP61,AT61,AX61)</f>
        <v/>
      </c>
      <c r="BC61" s="41">
        <f>SUM(G61,K61,O61,S61,W61,AA61,AE61,AI61,AM61,AQ61,AU61,AY61)</f>
        <v/>
      </c>
      <c r="BD61" s="41">
        <f>BA61-(BB61+BC61)</f>
        <v/>
      </c>
      <c r="BE61" s="41">
        <f>BD61+D61</f>
        <v/>
      </c>
    </row>
    <row r="62" ht="15.75" customHeight="1">
      <c r="A62" s="36" t="inlineStr">
        <is>
          <t>T12</t>
        </is>
      </c>
      <c r="B62" s="42">
        <f>VLOOKUP(A62,Members!$A$2:$C$65,3,FALSE)</f>
        <v/>
      </c>
      <c r="C62" s="36">
        <f>Members!B61</f>
        <v/>
      </c>
      <c r="D62" s="43" t="n">
        <v>0</v>
      </c>
      <c r="E62" s="43">
        <f>INDIRECT("'Apr"&amp;Members!$F$2&amp;"-COLLECTION'!K"&amp;ROW()-1)</f>
        <v/>
      </c>
      <c r="F62" s="43">
        <f>INDIRECT("'Apr"&amp;Members!$F$2&amp;"-EXPENSE'!R"&amp;ROW()+3)</f>
        <v/>
      </c>
      <c r="G62" s="20" t="n"/>
      <c r="H62" s="43">
        <f>E62-(F62+G62)</f>
        <v/>
      </c>
      <c r="I62" s="43">
        <f>INDIRECT("'May"&amp;Members!$F$2&amp;"-COLLECTION'!K"&amp;ROW()-1)</f>
        <v/>
      </c>
      <c r="J62" s="43">
        <f>INDIRECT("'May"&amp;Members!$F$2&amp;"-EXPENSE'!R"&amp;ROW()+3)</f>
        <v/>
      </c>
      <c r="K62" s="21" t="n"/>
      <c r="L62" s="43">
        <f>I62-(J62+K62)</f>
        <v/>
      </c>
      <c r="M62" s="43">
        <f>INDIRECT("'June"&amp;Members!$F$2&amp;"-COLLECTION'!K"&amp;ROW()-1)</f>
        <v/>
      </c>
      <c r="N62" s="43">
        <f>INDIRECT("'June"&amp;Members!$F$2&amp;"-EXPENSE'!R"&amp;ROW()+3)</f>
        <v/>
      </c>
      <c r="O62" s="20" t="n"/>
      <c r="P62" s="43">
        <f>M62-(N62+O62)</f>
        <v/>
      </c>
      <c r="Q62" s="43">
        <f>INDIRECT("'July"&amp;Members!$F$2&amp;"-COLLECTION'!K"&amp;ROW()-1)</f>
        <v/>
      </c>
      <c r="R62" s="43">
        <f>INDIRECT("'July"&amp;Members!$F$2&amp;"-EXPENSE'!R"&amp;ROW()+3)</f>
        <v/>
      </c>
      <c r="S62" s="21" t="n"/>
      <c r="T62" s="43">
        <f>Q62-(R62+S62)</f>
        <v/>
      </c>
      <c r="U62" s="43">
        <f>INDIRECT("'Aug"&amp;Members!$F$2&amp;"-COLLECTION'!K"&amp;ROW()-1)</f>
        <v/>
      </c>
      <c r="V62" s="43">
        <f>INDIRECT("'Aug"&amp;Members!$F$2&amp;"-EXPENSE'!R"&amp;ROW()+3)</f>
        <v/>
      </c>
      <c r="W62" s="20" t="n"/>
      <c r="X62" s="43">
        <f>U62-(V62+W62)</f>
        <v/>
      </c>
      <c r="Y62" s="43">
        <f>INDIRECT("'Sep"&amp;Members!$F$2&amp;"-COLLECTION'!K"&amp;ROW()-1)</f>
        <v/>
      </c>
      <c r="Z62" s="43">
        <f>INDIRECT("'Sep"&amp;Members!$F$2&amp;"-EXPENSE'!R"&amp;ROW()+3)</f>
        <v/>
      </c>
      <c r="AA62" s="21" t="n"/>
      <c r="AB62" s="43">
        <f>Y62-(Z62+AA62)</f>
        <v/>
      </c>
      <c r="AC62" s="43">
        <f>INDIRECT("'Oct"&amp;Members!$F$2&amp;"-COLLECTION'!K"&amp;ROW()-1)</f>
        <v/>
      </c>
      <c r="AD62" s="43">
        <f>INDIRECT("'Oct"&amp;Members!$F$2&amp;"-EXPENSE'!R"&amp;ROW()+3)</f>
        <v/>
      </c>
      <c r="AE62" s="21" t="n"/>
      <c r="AF62" s="43">
        <f>AC62-(AD62+AE62)</f>
        <v/>
      </c>
      <c r="AG62" s="43">
        <f>INDIRECT("'Nov"&amp;Members!$F$2&amp;"-COLLECTION'!K"&amp;ROW()-1)</f>
        <v/>
      </c>
      <c r="AH62" s="43">
        <f>INDIRECT("'Nov"&amp;Members!$F$2&amp;"-EXPENSE'!R"&amp;ROW()+3)</f>
        <v/>
      </c>
      <c r="AI62" s="21" t="n"/>
      <c r="AJ62" s="43">
        <f>AG62-(AH62+AI62)</f>
        <v/>
      </c>
      <c r="AK62" s="43">
        <f>INDIRECT("'Dec"&amp;Members!$F$2&amp;"-COLLECTION'!K"&amp;ROW()-1)</f>
        <v/>
      </c>
      <c r="AL62" s="43">
        <f>INDIRECT("'Dec"&amp;Members!$F$2&amp;"-EXPENSE'!R"&amp;ROW()+3)</f>
        <v/>
      </c>
      <c r="AM62" s="21" t="n"/>
      <c r="AN62" s="43">
        <f>AK62-(AL62+AM62)</f>
        <v/>
      </c>
      <c r="AO62" s="43">
        <f>INDIRECT("'Jan"&amp;Members!$G$2&amp;"-COLLECTION'!K"&amp;ROW()-1)</f>
        <v/>
      </c>
      <c r="AP62" s="43">
        <f>INDIRECT("'Jan"&amp;Members!$G$2&amp;"-EXPENSE'!R"&amp;ROW()+3)</f>
        <v/>
      </c>
      <c r="AQ62" s="2" t="n"/>
      <c r="AR62" s="43">
        <f>AO62-(AP62+AQ62)</f>
        <v/>
      </c>
      <c r="AS62" s="43">
        <f>INDIRECT("'Feb"&amp;Members!$G$2&amp;"-COLLECTION'!K"&amp;ROW()-1)</f>
        <v/>
      </c>
      <c r="AT62" s="43">
        <f>INDIRECT("'Feb"&amp;Members!$G$2&amp;"-EXPENSE'!R"&amp;ROW()+3)</f>
        <v/>
      </c>
      <c r="AU62" s="2" t="n"/>
      <c r="AV62" s="43">
        <f>AS62-(AT62+AU62)</f>
        <v/>
      </c>
      <c r="AW62" s="43">
        <f>INDIRECT("'Mar"&amp;Members!$G$2&amp;"-COLLECTION'!K"&amp;ROW()-1)</f>
        <v/>
      </c>
      <c r="AX62" s="43">
        <f>INDIRECT("'Mar"&amp;Members!$G$2&amp;"-EXPENSE'!R"&amp;ROW()+3)</f>
        <v/>
      </c>
      <c r="AY62" s="2" t="n"/>
      <c r="AZ62" s="43">
        <f>AW62-(AX62+AY62)</f>
        <v/>
      </c>
      <c r="BA62" s="43">
        <f>SUM(E62,I62,M62,Q62,U62,Y62,AC62,AG62,AK62,AO62,AS62,AW62)</f>
        <v/>
      </c>
      <c r="BB62" s="43">
        <f>SUM(F62,J62,N62,R62,V62,Z62,AD62,AH62,AL62,AP62,AT62,AX62)</f>
        <v/>
      </c>
      <c r="BC62" s="43">
        <f>SUM(G62,K62,O62,S62,W62,AA62,AE62,AI62,AM62,AQ62,AU62,AY62)</f>
        <v/>
      </c>
      <c r="BD62" s="43">
        <f>BA62-(BB62+BC62)</f>
        <v/>
      </c>
      <c r="BE62" s="43">
        <f>BD62+D62</f>
        <v/>
      </c>
    </row>
    <row r="63" ht="15.75" customHeight="1">
      <c r="A63" s="37" t="inlineStr">
        <is>
          <t>T13</t>
        </is>
      </c>
      <c r="B63" s="40">
        <f>VLOOKUP(A63,Members!$A$2:$C$65,3,FALSE)</f>
        <v/>
      </c>
      <c r="C63" s="37">
        <f>Members!B62</f>
        <v/>
      </c>
      <c r="D63" s="41" t="n">
        <v>0</v>
      </c>
      <c r="E63" s="41">
        <f>INDIRECT("'Apr"&amp;Members!$F$2&amp;"-COLLECTION'!K"&amp;ROW()-1)</f>
        <v/>
      </c>
      <c r="F63" s="41">
        <f>INDIRECT("'Apr"&amp;Members!$F$2&amp;"-EXPENSE'!R"&amp;ROW()+3)</f>
        <v/>
      </c>
      <c r="G63" s="20" t="n"/>
      <c r="H63" s="41">
        <f>E63-(F63+G63)</f>
        <v/>
      </c>
      <c r="I63" s="41">
        <f>INDIRECT("'May"&amp;Members!$F$2&amp;"-COLLECTION'!K"&amp;ROW()-1)</f>
        <v/>
      </c>
      <c r="J63" s="41">
        <f>INDIRECT("'May"&amp;Members!$F$2&amp;"-EXPENSE'!R"&amp;ROW()+3)</f>
        <v/>
      </c>
      <c r="K63" s="21" t="n"/>
      <c r="L63" s="41">
        <f>I63-(J63+K63)</f>
        <v/>
      </c>
      <c r="M63" s="41">
        <f>INDIRECT("'June"&amp;Members!$F$2&amp;"-COLLECTION'!K"&amp;ROW()-1)</f>
        <v/>
      </c>
      <c r="N63" s="41">
        <f>INDIRECT("'June"&amp;Members!$F$2&amp;"-EXPENSE'!R"&amp;ROW()+3)</f>
        <v/>
      </c>
      <c r="O63" s="20" t="n"/>
      <c r="P63" s="41">
        <f>M63-(N63+O63)</f>
        <v/>
      </c>
      <c r="Q63" s="41">
        <f>INDIRECT("'July"&amp;Members!$F$2&amp;"-COLLECTION'!K"&amp;ROW()-1)</f>
        <v/>
      </c>
      <c r="R63" s="41">
        <f>INDIRECT("'July"&amp;Members!$F$2&amp;"-EXPENSE'!R"&amp;ROW()+3)</f>
        <v/>
      </c>
      <c r="S63" s="21" t="n"/>
      <c r="T63" s="41">
        <f>Q63-(R63+S63)</f>
        <v/>
      </c>
      <c r="U63" s="41">
        <f>INDIRECT("'Aug"&amp;Members!$F$2&amp;"-COLLECTION'!K"&amp;ROW()-1)</f>
        <v/>
      </c>
      <c r="V63" s="41">
        <f>INDIRECT("'Aug"&amp;Members!$F$2&amp;"-EXPENSE'!R"&amp;ROW()+3)</f>
        <v/>
      </c>
      <c r="W63" s="20" t="n"/>
      <c r="X63" s="41">
        <f>U63-(V63+W63)</f>
        <v/>
      </c>
      <c r="Y63" s="41">
        <f>INDIRECT("'Sep"&amp;Members!$F$2&amp;"-COLLECTION'!K"&amp;ROW()-1)</f>
        <v/>
      </c>
      <c r="Z63" s="41">
        <f>INDIRECT("'Sep"&amp;Members!$F$2&amp;"-EXPENSE'!R"&amp;ROW()+3)</f>
        <v/>
      </c>
      <c r="AA63" s="21" t="n"/>
      <c r="AB63" s="41">
        <f>Y63-(Z63+AA63)</f>
        <v/>
      </c>
      <c r="AC63" s="41">
        <f>INDIRECT("'Oct"&amp;Members!$F$2&amp;"-COLLECTION'!K"&amp;ROW()-1)</f>
        <v/>
      </c>
      <c r="AD63" s="41">
        <f>INDIRECT("'Oct"&amp;Members!$F$2&amp;"-EXPENSE'!R"&amp;ROW()+3)</f>
        <v/>
      </c>
      <c r="AE63" s="21" t="n"/>
      <c r="AF63" s="41">
        <f>AC63-(AD63+AE63)</f>
        <v/>
      </c>
      <c r="AG63" s="41">
        <f>INDIRECT("'Nov"&amp;Members!$F$2&amp;"-COLLECTION'!K"&amp;ROW()-1)</f>
        <v/>
      </c>
      <c r="AH63" s="41">
        <f>INDIRECT("'Nov"&amp;Members!$F$2&amp;"-EXPENSE'!R"&amp;ROW()+3)</f>
        <v/>
      </c>
      <c r="AI63" s="21" t="n"/>
      <c r="AJ63" s="41">
        <f>AG63-(AH63+AI63)</f>
        <v/>
      </c>
      <c r="AK63" s="41">
        <f>INDIRECT("'Dec"&amp;Members!$F$2&amp;"-COLLECTION'!K"&amp;ROW()-1)</f>
        <v/>
      </c>
      <c r="AL63" s="41">
        <f>INDIRECT("'Dec"&amp;Members!$F$2&amp;"-EXPENSE'!R"&amp;ROW()+3)</f>
        <v/>
      </c>
      <c r="AM63" s="21" t="n"/>
      <c r="AN63" s="41">
        <f>AK63-(AL63+AM63)</f>
        <v/>
      </c>
      <c r="AO63" s="41">
        <f>INDIRECT("'Jan"&amp;Members!$G$2&amp;"-COLLECTION'!K"&amp;ROW()-1)</f>
        <v/>
      </c>
      <c r="AP63" s="41">
        <f>INDIRECT("'Jan"&amp;Members!$G$2&amp;"-EXPENSE'!R"&amp;ROW()+3)</f>
        <v/>
      </c>
      <c r="AQ63" s="2" t="n"/>
      <c r="AR63" s="41">
        <f>AO63-(AP63+AQ63)</f>
        <v/>
      </c>
      <c r="AS63" s="41">
        <f>INDIRECT("'Feb"&amp;Members!$G$2&amp;"-COLLECTION'!K"&amp;ROW()-1)</f>
        <v/>
      </c>
      <c r="AT63" s="41">
        <f>INDIRECT("'Feb"&amp;Members!$G$2&amp;"-EXPENSE'!R"&amp;ROW()+3)</f>
        <v/>
      </c>
      <c r="AU63" s="2" t="n"/>
      <c r="AV63" s="41">
        <f>AS63-(AT63+AU63)</f>
        <v/>
      </c>
      <c r="AW63" s="41">
        <f>INDIRECT("'Mar"&amp;Members!$G$2&amp;"-COLLECTION'!K"&amp;ROW()-1)</f>
        <v/>
      </c>
      <c r="AX63" s="41">
        <f>INDIRECT("'Mar"&amp;Members!$G$2&amp;"-EXPENSE'!R"&amp;ROW()+3)</f>
        <v/>
      </c>
      <c r="AY63" s="2" t="n"/>
      <c r="AZ63" s="41">
        <f>AW63-(AX63+AY63)</f>
        <v/>
      </c>
      <c r="BA63" s="41">
        <f>SUM(E63,I63,M63,Q63,U63,Y63,AC63,AG63,AK63,AO63,AS63,AW63)</f>
        <v/>
      </c>
      <c r="BB63" s="41">
        <f>SUM(F63,J63,N63,R63,V63,Z63,AD63,AH63,AL63,AP63,AT63,AX63)</f>
        <v/>
      </c>
      <c r="BC63" s="41">
        <f>SUM(G63,K63,O63,S63,W63,AA63,AE63,AI63,AM63,AQ63,AU63,AY63)</f>
        <v/>
      </c>
      <c r="BD63" s="41">
        <f>BA63-(BB63+BC63)</f>
        <v/>
      </c>
      <c r="BE63" s="41">
        <f>BD63+D63</f>
        <v/>
      </c>
    </row>
    <row r="64" ht="15.75" customHeight="1">
      <c r="A64" s="36" t="inlineStr">
        <is>
          <t>T14</t>
        </is>
      </c>
      <c r="B64" s="42">
        <f>VLOOKUP(A64,Members!$A$2:$C$65,3,FALSE)</f>
        <v/>
      </c>
      <c r="C64" s="36">
        <f>Members!B63</f>
        <v/>
      </c>
      <c r="D64" s="43" t="n">
        <v>0</v>
      </c>
      <c r="E64" s="43">
        <f>INDIRECT("'Apr"&amp;Members!$F$2&amp;"-COLLECTION'!K"&amp;ROW()-1)</f>
        <v/>
      </c>
      <c r="F64" s="43">
        <f>INDIRECT("'Apr"&amp;Members!$F$2&amp;"-EXPENSE'!R"&amp;ROW()+3)</f>
        <v/>
      </c>
      <c r="G64" s="20" t="n"/>
      <c r="H64" s="43">
        <f>E64-(F64+G64)</f>
        <v/>
      </c>
      <c r="I64" s="43">
        <f>INDIRECT("'May"&amp;Members!$F$2&amp;"-COLLECTION'!K"&amp;ROW()-1)</f>
        <v/>
      </c>
      <c r="J64" s="43">
        <f>INDIRECT("'May"&amp;Members!$F$2&amp;"-EXPENSE'!R"&amp;ROW()+3)</f>
        <v/>
      </c>
      <c r="K64" s="21" t="n"/>
      <c r="L64" s="43">
        <f>I64-(J64+K64)</f>
        <v/>
      </c>
      <c r="M64" s="43">
        <f>INDIRECT("'June"&amp;Members!$F$2&amp;"-COLLECTION'!K"&amp;ROW()-1)</f>
        <v/>
      </c>
      <c r="N64" s="43">
        <f>INDIRECT("'June"&amp;Members!$F$2&amp;"-EXPENSE'!R"&amp;ROW()+3)</f>
        <v/>
      </c>
      <c r="O64" s="20" t="n"/>
      <c r="P64" s="43">
        <f>M64-(N64+O64)</f>
        <v/>
      </c>
      <c r="Q64" s="43">
        <f>INDIRECT("'July"&amp;Members!$F$2&amp;"-COLLECTION'!K"&amp;ROW()-1)</f>
        <v/>
      </c>
      <c r="R64" s="43">
        <f>INDIRECT("'July"&amp;Members!$F$2&amp;"-EXPENSE'!R"&amp;ROW()+3)</f>
        <v/>
      </c>
      <c r="S64" s="21" t="n"/>
      <c r="T64" s="43">
        <f>Q64-(R64+S64)</f>
        <v/>
      </c>
      <c r="U64" s="43">
        <f>INDIRECT("'Aug"&amp;Members!$F$2&amp;"-COLLECTION'!K"&amp;ROW()-1)</f>
        <v/>
      </c>
      <c r="V64" s="43">
        <f>INDIRECT("'Aug"&amp;Members!$F$2&amp;"-EXPENSE'!R"&amp;ROW()+3)</f>
        <v/>
      </c>
      <c r="W64" s="20" t="n"/>
      <c r="X64" s="43">
        <f>U64-(V64+W64)</f>
        <v/>
      </c>
      <c r="Y64" s="43">
        <f>INDIRECT("'Sep"&amp;Members!$F$2&amp;"-COLLECTION'!K"&amp;ROW()-1)</f>
        <v/>
      </c>
      <c r="Z64" s="43">
        <f>INDIRECT("'Sep"&amp;Members!$F$2&amp;"-EXPENSE'!R"&amp;ROW()+3)</f>
        <v/>
      </c>
      <c r="AA64" s="21" t="n"/>
      <c r="AB64" s="43">
        <f>Y64-(Z64+AA64)</f>
        <v/>
      </c>
      <c r="AC64" s="43">
        <f>INDIRECT("'Oct"&amp;Members!$F$2&amp;"-COLLECTION'!K"&amp;ROW()-1)</f>
        <v/>
      </c>
      <c r="AD64" s="43">
        <f>INDIRECT("'Oct"&amp;Members!$F$2&amp;"-EXPENSE'!R"&amp;ROW()+3)</f>
        <v/>
      </c>
      <c r="AE64" s="21" t="n"/>
      <c r="AF64" s="43">
        <f>AC64-(AD64+AE64)</f>
        <v/>
      </c>
      <c r="AG64" s="43">
        <f>INDIRECT("'Nov"&amp;Members!$F$2&amp;"-COLLECTION'!K"&amp;ROW()-1)</f>
        <v/>
      </c>
      <c r="AH64" s="43">
        <f>INDIRECT("'Nov"&amp;Members!$F$2&amp;"-EXPENSE'!R"&amp;ROW()+3)</f>
        <v/>
      </c>
      <c r="AI64" s="21" t="n"/>
      <c r="AJ64" s="43">
        <f>AG64-(AH64+AI64)</f>
        <v/>
      </c>
      <c r="AK64" s="43">
        <f>INDIRECT("'Dec"&amp;Members!$F$2&amp;"-COLLECTION'!K"&amp;ROW()-1)</f>
        <v/>
      </c>
      <c r="AL64" s="43">
        <f>INDIRECT("'Dec"&amp;Members!$F$2&amp;"-EXPENSE'!R"&amp;ROW()+3)</f>
        <v/>
      </c>
      <c r="AM64" s="21" t="n"/>
      <c r="AN64" s="43">
        <f>AK64-(AL64+AM64)</f>
        <v/>
      </c>
      <c r="AO64" s="43">
        <f>INDIRECT("'Jan"&amp;Members!$G$2&amp;"-COLLECTION'!K"&amp;ROW()-1)</f>
        <v/>
      </c>
      <c r="AP64" s="43">
        <f>INDIRECT("'Jan"&amp;Members!$G$2&amp;"-EXPENSE'!R"&amp;ROW()+3)</f>
        <v/>
      </c>
      <c r="AQ64" s="2" t="n"/>
      <c r="AR64" s="43">
        <f>AO64-(AP64+AQ64)</f>
        <v/>
      </c>
      <c r="AS64" s="43">
        <f>INDIRECT("'Feb"&amp;Members!$G$2&amp;"-COLLECTION'!K"&amp;ROW()-1)</f>
        <v/>
      </c>
      <c r="AT64" s="43">
        <f>INDIRECT("'Feb"&amp;Members!$G$2&amp;"-EXPENSE'!R"&amp;ROW()+3)</f>
        <v/>
      </c>
      <c r="AU64" s="2" t="n"/>
      <c r="AV64" s="43">
        <f>AS64-(AT64+AU64)</f>
        <v/>
      </c>
      <c r="AW64" s="43">
        <f>INDIRECT("'Mar"&amp;Members!$G$2&amp;"-COLLECTION'!K"&amp;ROW()-1)</f>
        <v/>
      </c>
      <c r="AX64" s="43">
        <f>INDIRECT("'Mar"&amp;Members!$G$2&amp;"-EXPENSE'!R"&amp;ROW()+3)</f>
        <v/>
      </c>
      <c r="AY64" s="2" t="n"/>
      <c r="AZ64" s="43">
        <f>AW64-(AX64+AY64)</f>
        <v/>
      </c>
      <c r="BA64" s="43">
        <f>SUM(E64,I64,M64,Q64,U64,Y64,AC64,AG64,AK64,AO64,AS64,AW64)</f>
        <v/>
      </c>
      <c r="BB64" s="43">
        <f>SUM(F64,J64,N64,R64,V64,Z64,AD64,AH64,AL64,AP64,AT64,AX64)</f>
        <v/>
      </c>
      <c r="BC64" s="43">
        <f>SUM(G64,K64,O64,S64,W64,AA64,AE64,AI64,AM64,AQ64,AU64,AY64)</f>
        <v/>
      </c>
      <c r="BD64" s="43">
        <f>BA64-(BB64+BC64)</f>
        <v/>
      </c>
      <c r="BE64" s="43">
        <f>BD64+D64</f>
        <v/>
      </c>
    </row>
    <row r="65" ht="15.75" customHeight="1">
      <c r="A65" s="37" t="inlineStr">
        <is>
          <t>T15</t>
        </is>
      </c>
      <c r="B65" s="40">
        <f>VLOOKUP(A65,Members!$A$2:$C$65,3,FALSE)</f>
        <v/>
      </c>
      <c r="C65" s="37">
        <f>Members!B64</f>
        <v/>
      </c>
      <c r="D65" s="41" t="n">
        <v>0</v>
      </c>
      <c r="E65" s="41">
        <f>INDIRECT("'Apr"&amp;Members!$F$2&amp;"-COLLECTION'!K"&amp;ROW()-1)</f>
        <v/>
      </c>
      <c r="F65" s="41">
        <f>INDIRECT("'Apr"&amp;Members!$F$2&amp;"-EXPENSE'!R"&amp;ROW()+3)</f>
        <v/>
      </c>
      <c r="G65" s="20" t="n"/>
      <c r="H65" s="41">
        <f>E65-(F65+G65)</f>
        <v/>
      </c>
      <c r="I65" s="41">
        <f>INDIRECT("'May"&amp;Members!$F$2&amp;"-COLLECTION'!K"&amp;ROW()-1)</f>
        <v/>
      </c>
      <c r="J65" s="41">
        <f>INDIRECT("'May"&amp;Members!$F$2&amp;"-EXPENSE'!R"&amp;ROW()+3)</f>
        <v/>
      </c>
      <c r="K65" s="21" t="n"/>
      <c r="L65" s="41">
        <f>I65-(J65+K65)</f>
        <v/>
      </c>
      <c r="M65" s="41">
        <f>INDIRECT("'June"&amp;Members!$F$2&amp;"-COLLECTION'!K"&amp;ROW()-1)</f>
        <v/>
      </c>
      <c r="N65" s="41">
        <f>INDIRECT("'June"&amp;Members!$F$2&amp;"-EXPENSE'!R"&amp;ROW()+3)</f>
        <v/>
      </c>
      <c r="O65" s="20" t="n"/>
      <c r="P65" s="41">
        <f>M65-(N65+O65)</f>
        <v/>
      </c>
      <c r="Q65" s="41">
        <f>INDIRECT("'July"&amp;Members!$F$2&amp;"-COLLECTION'!K"&amp;ROW()-1)</f>
        <v/>
      </c>
      <c r="R65" s="41">
        <f>INDIRECT("'July"&amp;Members!$F$2&amp;"-EXPENSE'!R"&amp;ROW()+3)</f>
        <v/>
      </c>
      <c r="S65" s="21" t="n"/>
      <c r="T65" s="41">
        <f>Q65-(R65+S65)</f>
        <v/>
      </c>
      <c r="U65" s="41">
        <f>INDIRECT("'Aug"&amp;Members!$F$2&amp;"-COLLECTION'!K"&amp;ROW()-1)</f>
        <v/>
      </c>
      <c r="V65" s="41">
        <f>INDIRECT("'Aug"&amp;Members!$F$2&amp;"-EXPENSE'!R"&amp;ROW()+3)</f>
        <v/>
      </c>
      <c r="W65" s="20" t="n"/>
      <c r="X65" s="41">
        <f>U65-(V65+W65)</f>
        <v/>
      </c>
      <c r="Y65" s="41">
        <f>INDIRECT("'Sep"&amp;Members!$F$2&amp;"-COLLECTION'!K"&amp;ROW()-1)</f>
        <v/>
      </c>
      <c r="Z65" s="41">
        <f>INDIRECT("'Sep"&amp;Members!$F$2&amp;"-EXPENSE'!R"&amp;ROW()+3)</f>
        <v/>
      </c>
      <c r="AA65" s="21" t="n"/>
      <c r="AB65" s="41">
        <f>Y65-(Z65+AA65)</f>
        <v/>
      </c>
      <c r="AC65" s="41">
        <f>INDIRECT("'Oct"&amp;Members!$F$2&amp;"-COLLECTION'!K"&amp;ROW()-1)</f>
        <v/>
      </c>
      <c r="AD65" s="41">
        <f>INDIRECT("'Oct"&amp;Members!$F$2&amp;"-EXPENSE'!R"&amp;ROW()+3)</f>
        <v/>
      </c>
      <c r="AE65" s="21" t="n"/>
      <c r="AF65" s="41">
        <f>AC65-(AD65+AE65)</f>
        <v/>
      </c>
      <c r="AG65" s="41">
        <f>INDIRECT("'Nov"&amp;Members!$F$2&amp;"-COLLECTION'!K"&amp;ROW()-1)</f>
        <v/>
      </c>
      <c r="AH65" s="41">
        <f>INDIRECT("'Nov"&amp;Members!$F$2&amp;"-EXPENSE'!R"&amp;ROW()+3)</f>
        <v/>
      </c>
      <c r="AI65" s="21" t="n"/>
      <c r="AJ65" s="41">
        <f>AG65-(AH65+AI65)</f>
        <v/>
      </c>
      <c r="AK65" s="41">
        <f>INDIRECT("'Dec"&amp;Members!$F$2&amp;"-COLLECTION'!K"&amp;ROW()-1)</f>
        <v/>
      </c>
      <c r="AL65" s="41">
        <f>INDIRECT("'Dec"&amp;Members!$F$2&amp;"-EXPENSE'!R"&amp;ROW()+3)</f>
        <v/>
      </c>
      <c r="AM65" s="21" t="n"/>
      <c r="AN65" s="41">
        <f>AK65-(AL65+AM65)</f>
        <v/>
      </c>
      <c r="AO65" s="41">
        <f>INDIRECT("'Jan"&amp;Members!$G$2&amp;"-COLLECTION'!K"&amp;ROW()-1)</f>
        <v/>
      </c>
      <c r="AP65" s="41">
        <f>INDIRECT("'Jan"&amp;Members!$G$2&amp;"-EXPENSE'!R"&amp;ROW()+3)</f>
        <v/>
      </c>
      <c r="AQ65" s="2" t="n"/>
      <c r="AR65" s="41">
        <f>AO65-(AP65+AQ65)</f>
        <v/>
      </c>
      <c r="AS65" s="41">
        <f>INDIRECT("'Feb"&amp;Members!$G$2&amp;"-COLLECTION'!K"&amp;ROW()-1)</f>
        <v/>
      </c>
      <c r="AT65" s="41">
        <f>INDIRECT("'Feb"&amp;Members!$G$2&amp;"-EXPENSE'!R"&amp;ROW()+3)</f>
        <v/>
      </c>
      <c r="AU65" s="2" t="n"/>
      <c r="AV65" s="41">
        <f>AS65-(AT65+AU65)</f>
        <v/>
      </c>
      <c r="AW65" s="41">
        <f>INDIRECT("'Mar"&amp;Members!$G$2&amp;"-COLLECTION'!K"&amp;ROW()-1)</f>
        <v/>
      </c>
      <c r="AX65" s="41">
        <f>INDIRECT("'Mar"&amp;Members!$G$2&amp;"-EXPENSE'!R"&amp;ROW()+3)</f>
        <v/>
      </c>
      <c r="AY65" s="2" t="n"/>
      <c r="AZ65" s="41">
        <f>AW65-(AX65+AY65)</f>
        <v/>
      </c>
      <c r="BA65" s="41">
        <f>SUM(E65,I65,M65,Q65,U65,Y65,AC65,AG65,AK65,AO65,AS65,AW65)</f>
        <v/>
      </c>
      <c r="BB65" s="41">
        <f>SUM(F65,J65,N65,R65,V65,Z65,AD65,AH65,AL65,AP65,AT65,AX65)</f>
        <v/>
      </c>
      <c r="BC65" s="41">
        <f>SUM(G65,K65,O65,S65,W65,AA65,AE65,AI65,AM65,AQ65,AU65,AY65)</f>
        <v/>
      </c>
      <c r="BD65" s="41">
        <f>BA65-(BB65+BC65)</f>
        <v/>
      </c>
      <c r="BE65" s="41">
        <f>BD65+D65</f>
        <v/>
      </c>
    </row>
    <row r="66" ht="15.75" customHeight="1">
      <c r="A66" s="36" t="inlineStr">
        <is>
          <t>T16</t>
        </is>
      </c>
      <c r="B66" s="42">
        <f>VLOOKUP(A66,Members!$A$2:$C$65,3,FALSE)</f>
        <v/>
      </c>
      <c r="C66" s="36">
        <f>Members!B65</f>
        <v/>
      </c>
      <c r="D66" s="43" t="n">
        <v>0</v>
      </c>
      <c r="E66" s="43">
        <f>INDIRECT("'Apr"&amp;Members!$F$2&amp;"-COLLECTION'!K"&amp;ROW()-1)</f>
        <v/>
      </c>
      <c r="F66" s="43">
        <f>INDIRECT("'Apr"&amp;Members!$F$2&amp;"-EXPENSE'!R"&amp;ROW()+3)</f>
        <v/>
      </c>
      <c r="G66" s="20" t="n"/>
      <c r="H66" s="43">
        <f>E66-(F66+G66)</f>
        <v/>
      </c>
      <c r="I66" s="43">
        <f>INDIRECT("'May"&amp;Members!$F$2&amp;"-COLLECTION'!K"&amp;ROW()-1)</f>
        <v/>
      </c>
      <c r="J66" s="43">
        <f>INDIRECT("'May"&amp;Members!$F$2&amp;"-EXPENSE'!R"&amp;ROW()+3)</f>
        <v/>
      </c>
      <c r="K66" s="21" t="n"/>
      <c r="L66" s="43">
        <f>I66-(J66+K66)</f>
        <v/>
      </c>
      <c r="M66" s="43">
        <f>INDIRECT("'June"&amp;Members!$F$2&amp;"-COLLECTION'!K"&amp;ROW()-1)</f>
        <v/>
      </c>
      <c r="N66" s="43">
        <f>INDIRECT("'June"&amp;Members!$F$2&amp;"-EXPENSE'!R"&amp;ROW()+3)</f>
        <v/>
      </c>
      <c r="O66" s="20" t="n"/>
      <c r="P66" s="43">
        <f>M66-(N66+O66)</f>
        <v/>
      </c>
      <c r="Q66" s="43">
        <f>INDIRECT("'July"&amp;Members!$F$2&amp;"-COLLECTION'!K"&amp;ROW()-1)</f>
        <v/>
      </c>
      <c r="R66" s="43">
        <f>INDIRECT("'July"&amp;Members!$F$2&amp;"-EXPENSE'!R"&amp;ROW()+3)</f>
        <v/>
      </c>
      <c r="S66" s="21" t="n"/>
      <c r="T66" s="43">
        <f>Q66-(R66+S66)</f>
        <v/>
      </c>
      <c r="U66" s="43">
        <f>INDIRECT("'Aug"&amp;Members!$F$2&amp;"-COLLECTION'!K"&amp;ROW()-1)</f>
        <v/>
      </c>
      <c r="V66" s="43">
        <f>INDIRECT("'Aug"&amp;Members!$F$2&amp;"-EXPENSE'!R"&amp;ROW()+3)</f>
        <v/>
      </c>
      <c r="W66" s="20" t="n"/>
      <c r="X66" s="43">
        <f>U66-(V66+W66)</f>
        <v/>
      </c>
      <c r="Y66" s="43">
        <f>INDIRECT("'Sep"&amp;Members!$F$2&amp;"-COLLECTION'!K"&amp;ROW()-1)</f>
        <v/>
      </c>
      <c r="Z66" s="43">
        <f>INDIRECT("'Sep"&amp;Members!$F$2&amp;"-EXPENSE'!R"&amp;ROW()+3)</f>
        <v/>
      </c>
      <c r="AA66" s="21" t="n"/>
      <c r="AB66" s="43">
        <f>Y66-(Z66+AA66)</f>
        <v/>
      </c>
      <c r="AC66" s="43">
        <f>INDIRECT("'Oct"&amp;Members!$F$2&amp;"-COLLECTION'!K"&amp;ROW()-1)</f>
        <v/>
      </c>
      <c r="AD66" s="43">
        <f>INDIRECT("'Oct"&amp;Members!$F$2&amp;"-EXPENSE'!R"&amp;ROW()+3)</f>
        <v/>
      </c>
      <c r="AE66" s="21" t="n"/>
      <c r="AF66" s="43">
        <f>AC66-(AD66+AE66)</f>
        <v/>
      </c>
      <c r="AG66" s="43">
        <f>INDIRECT("'Nov"&amp;Members!$F$2&amp;"-COLLECTION'!K"&amp;ROW()-1)</f>
        <v/>
      </c>
      <c r="AH66" s="43">
        <f>INDIRECT("'Nov"&amp;Members!$F$2&amp;"-EXPENSE'!R"&amp;ROW()+3)</f>
        <v/>
      </c>
      <c r="AI66" s="21" t="n"/>
      <c r="AJ66" s="43">
        <f>AG66-(AH66+AI66)</f>
        <v/>
      </c>
      <c r="AK66" s="43">
        <f>INDIRECT("'Dec"&amp;Members!$F$2&amp;"-COLLECTION'!K"&amp;ROW()-1)</f>
        <v/>
      </c>
      <c r="AL66" s="43">
        <f>INDIRECT("'Dec"&amp;Members!$F$2&amp;"-EXPENSE'!R"&amp;ROW()+3)</f>
        <v/>
      </c>
      <c r="AM66" s="21" t="n"/>
      <c r="AN66" s="43">
        <f>AK66-(AL66+AM66)</f>
        <v/>
      </c>
      <c r="AO66" s="43">
        <f>INDIRECT("'Jan"&amp;Members!$G$2&amp;"-COLLECTION'!K"&amp;ROW()-1)</f>
        <v/>
      </c>
      <c r="AP66" s="43">
        <f>INDIRECT("'Jan"&amp;Members!$G$2&amp;"-EXPENSE'!R"&amp;ROW()+3)</f>
        <v/>
      </c>
      <c r="AQ66" s="2" t="n"/>
      <c r="AR66" s="43">
        <f>AO66-(AP66+AQ66)</f>
        <v/>
      </c>
      <c r="AS66" s="43">
        <f>INDIRECT("'Feb"&amp;Members!$G$2&amp;"-COLLECTION'!K"&amp;ROW()-1)</f>
        <v/>
      </c>
      <c r="AT66" s="43">
        <f>INDIRECT("'Feb"&amp;Members!$G$2&amp;"-EXPENSE'!R"&amp;ROW()+3)</f>
        <v/>
      </c>
      <c r="AU66" s="2" t="n"/>
      <c r="AV66" s="43">
        <f>AS66-(AT66+AU66)</f>
        <v/>
      </c>
      <c r="AW66" s="43">
        <f>INDIRECT("'Mar"&amp;Members!$G$2&amp;"-COLLECTION'!K"&amp;ROW()-1)</f>
        <v/>
      </c>
      <c r="AX66" s="43">
        <f>INDIRECT("'Mar"&amp;Members!$G$2&amp;"-EXPENSE'!R"&amp;ROW()+3)</f>
        <v/>
      </c>
      <c r="AY66" s="2" t="n"/>
      <c r="AZ66" s="43">
        <f>AW66-(AX66+AY66)</f>
        <v/>
      </c>
      <c r="BA66" s="43">
        <f>SUM(E66,I66,M66,Q66,U66,Y66,AC66,AG66,AK66,AO66,AS66,AW66)</f>
        <v/>
      </c>
      <c r="BB66" s="43">
        <f>SUM(F66,J66,N66,R66,V66,Z66,AD66,AH66,AL66,AP66,AT66,AX66)</f>
        <v/>
      </c>
      <c r="BC66" s="43">
        <f>SUM(G66,K66,O66,S66,W66,AA66,AE66,AI66,AM66,AQ66,AU66,AY66)</f>
        <v/>
      </c>
      <c r="BD66" s="43">
        <f>BA66-(BB66+BC66)</f>
        <v/>
      </c>
      <c r="BE66" s="43">
        <f>BD66+D66</f>
        <v/>
      </c>
    </row>
    <row r="67" ht="15.75" customHeight="1">
      <c r="A67" s="19" t="n"/>
      <c r="B67" s="18" t="n"/>
      <c r="C67" s="19" t="inlineStr">
        <is>
          <t>TOTAL</t>
        </is>
      </c>
      <c r="D67" s="13">
        <f>SUM(D3:D66)</f>
        <v/>
      </c>
      <c r="E67" s="23">
        <f>SUM(E3:E66)</f>
        <v/>
      </c>
      <c r="F67" s="21">
        <f>SUM(F3:F66)</f>
        <v/>
      </c>
      <c r="G67" s="21">
        <f>SUM(G3:G66)</f>
        <v/>
      </c>
      <c r="H67" s="21">
        <f>SUM(H3:H66)</f>
        <v/>
      </c>
      <c r="I67" s="21">
        <f>SUM(I3:I66)</f>
        <v/>
      </c>
      <c r="J67" s="21">
        <f>SUM(J3:J66)</f>
        <v/>
      </c>
      <c r="K67" s="21">
        <f>SUM(K3:K66)</f>
        <v/>
      </c>
      <c r="L67" s="21">
        <f>SUM(L3:L66)</f>
        <v/>
      </c>
      <c r="M67" s="21">
        <f>SUM(M3:M66)</f>
        <v/>
      </c>
      <c r="N67" s="21">
        <f>SUM(N3:N66)</f>
        <v/>
      </c>
      <c r="O67" s="21">
        <f>SUM(O3:O66)</f>
        <v/>
      </c>
      <c r="P67" s="21">
        <f>SUM(P3:P66)</f>
        <v/>
      </c>
      <c r="Q67" s="21">
        <f>SUM(Q3:Q66)</f>
        <v/>
      </c>
      <c r="R67" s="21">
        <f>SUM(R3:R66)</f>
        <v/>
      </c>
      <c r="S67" s="21">
        <f>SUM(S3:S66)</f>
        <v/>
      </c>
      <c r="T67" s="21">
        <f>SUM(T3:T66)</f>
        <v/>
      </c>
      <c r="U67" s="21">
        <f>SUM(U3:U66)</f>
        <v/>
      </c>
      <c r="V67" s="21">
        <f>SUM(V3:V66)</f>
        <v/>
      </c>
      <c r="W67" s="21">
        <f>SUM(W3:W66)</f>
        <v/>
      </c>
      <c r="X67" s="21">
        <f>SUM(X3:X66)</f>
        <v/>
      </c>
      <c r="Y67" s="21">
        <f>SUM(Y3:Y66)</f>
        <v/>
      </c>
      <c r="Z67" s="21">
        <f>SUM(Z3:Z66)</f>
        <v/>
      </c>
      <c r="AA67" s="21">
        <f>SUM(AA3:AA66)</f>
        <v/>
      </c>
      <c r="AB67" s="21">
        <f>SUM(AB3:AB66)</f>
        <v/>
      </c>
      <c r="AC67" s="21">
        <f>SUM(AC3:AC66)</f>
        <v/>
      </c>
      <c r="AD67" s="21">
        <f>SUM(AD3:AD66)</f>
        <v/>
      </c>
      <c r="AE67" s="21">
        <f>SUM(AE3:AE66)</f>
        <v/>
      </c>
      <c r="AF67" s="21">
        <f>SUM(AF3:AF66)</f>
        <v/>
      </c>
      <c r="AG67" s="21">
        <f>SUM(AG3:AG66)</f>
        <v/>
      </c>
      <c r="AH67" s="21">
        <f>SUM(AH3:AH66)</f>
        <v/>
      </c>
      <c r="AI67" s="21">
        <f>SUM(AI3:AI66)</f>
        <v/>
      </c>
      <c r="AJ67" s="21">
        <f>SUM(AJ3:AJ66)</f>
        <v/>
      </c>
      <c r="AK67" s="21">
        <f>SUM(AK3:AK66)</f>
        <v/>
      </c>
      <c r="AL67" s="21">
        <f>SUM(AL3:AL66)</f>
        <v/>
      </c>
      <c r="AM67" s="21">
        <f>SUM(AM3:AM66)</f>
        <v/>
      </c>
      <c r="AN67" s="21">
        <f>SUM(AN3:AN66)</f>
        <v/>
      </c>
      <c r="AO67" s="1">
        <f>SUM(AO3:AO66)</f>
        <v/>
      </c>
      <c r="AP67" s="2">
        <f>SUM(AP3:AP66)</f>
        <v/>
      </c>
      <c r="AQ67" s="2">
        <f>SUM(AQ3:AQ66)</f>
        <v/>
      </c>
      <c r="AR67" s="2">
        <f>SUM(AR3:AR66)</f>
        <v/>
      </c>
      <c r="AS67" s="1">
        <f>SUM(AS3:AS66)</f>
        <v/>
      </c>
      <c r="AT67" s="2">
        <f>SUM(AT3:AT66)</f>
        <v/>
      </c>
      <c r="AU67" s="2">
        <f>SUM(AU3:AU66)</f>
        <v/>
      </c>
      <c r="AV67" s="2">
        <f>SUM(AV3:AV66)</f>
        <v/>
      </c>
      <c r="AW67" s="1">
        <f>SUM(AW3:AW66)</f>
        <v/>
      </c>
      <c r="AX67" s="2">
        <f>SUM(AX3:AX66)</f>
        <v/>
      </c>
      <c r="AY67" s="2">
        <f>SUM(AY3:AY66)</f>
        <v/>
      </c>
      <c r="AZ67" s="2">
        <f>SUM(AZ3:AZ66)</f>
        <v/>
      </c>
      <c r="BA67" s="21">
        <f>SUM(BA3:BA66)</f>
        <v/>
      </c>
      <c r="BB67" s="21">
        <f>SUM(BB3:BB66)</f>
        <v/>
      </c>
      <c r="BC67" s="21">
        <f>SUM(BC3:BC66)</f>
        <v/>
      </c>
      <c r="BD67" s="32">
        <f>SUM(BD3:BD66)</f>
        <v/>
      </c>
      <c r="BE67" s="33">
        <f>BD67+D67</f>
        <v/>
      </c>
    </row>
  </sheetData>
  <autoFilter ref="A2:BF67"/>
  <mergeCells count="12">
    <mergeCell ref="AW1:AZ1"/>
    <mergeCell ref="U1:X1"/>
    <mergeCell ref="AG1:AJ1"/>
    <mergeCell ref="I1:L1"/>
    <mergeCell ref="M1:P1"/>
    <mergeCell ref="Q1:T1"/>
    <mergeCell ref="AO1:AR1"/>
    <mergeCell ref="E1:H1"/>
    <mergeCell ref="AK1:AN1"/>
    <mergeCell ref="AC1:AF1"/>
    <mergeCell ref="Y1:AB1"/>
    <mergeCell ref="AS1:AV1"/>
  </mergeCells>
  <conditionalFormatting sqref="G2:H66 K1:L66 O2:P66 S2:T66 W2:X66 AA2:AB66 AE2:AF66 AI2:AJ66 AM2:AN66 AO2:AQ2 AR2:AR66 AS2:AU2 AV2:AV66 AW2:AY2 AZ2:AZ66">
    <cfRule type="cellIs" priority="1" operator="lessThan" dxfId="2">
      <formula>0</formula>
    </cfRule>
  </conditionalFormatting>
  <conditionalFormatting sqref="AE2:AF66 AI2:AJ66 AM2:AN66 AO2:AQ2 AR2:AR66 AS2:AU2 AV2:AV66 AW2:AY2 AZ2:AZ66 BC1:BD66 BE1">
    <cfRule type="cellIs" priority="2" operator="lessThan" dxfId="5">
      <formula>0</formula>
    </cfRule>
  </conditionalFormatting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G67"/>
  <sheetViews>
    <sheetView workbookViewId="0">
      <pane xSplit="3" ySplit="2" topLeftCell="D3" activePane="bottomRight" state="frozen"/>
      <selection pane="topRight" activeCell="A1" sqref="A1"/>
      <selection pane="bottomLeft" activeCell="A3" sqref="A3"/>
      <selection pane="bottomRight" activeCell="D3" sqref="D3"/>
    </sheetView>
  </sheetViews>
  <sheetFormatPr baseColWidth="8" defaultColWidth="14.42578125" defaultRowHeight="15" customHeight="1"/>
  <cols>
    <col width="12.42578125" customWidth="1" min="1" max="1"/>
    <col hidden="1" width="22.28515625" customWidth="1" min="2" max="2"/>
    <col width="26.85546875" customWidth="1" min="3" max="3"/>
    <col hidden="1" width="23.42578125" customWidth="1" min="4" max="4"/>
    <col width="23.42578125" customWidth="1" min="5" max="19"/>
    <col width="29" customWidth="1" min="20" max="21"/>
    <col width="23.42578125" customWidth="1" min="22" max="55"/>
    <col width="30.42578125" customWidth="1" min="56" max="59"/>
  </cols>
  <sheetData>
    <row r="1" ht="39" customHeight="1">
      <c r="A1" s="77" t="n"/>
      <c r="B1" s="77" t="n"/>
      <c r="C1" s="77" t="inlineStr">
        <is>
          <t>Tallied till 19 Sep'23</t>
        </is>
      </c>
      <c r="D1" s="78" t="inlineStr">
        <is>
          <t>COLLECTION CARRY OVER 
(Mar2013-Mar2022)</t>
        </is>
      </c>
      <c r="E1" s="101" t="inlineStr">
        <is>
          <t>2013-25 Pending Maintenance</t>
        </is>
      </c>
      <c r="F1" s="86" t="n">
        <v>46113</v>
      </c>
      <c r="G1" s="115" t="n"/>
      <c r="H1" s="115" t="n"/>
      <c r="I1" s="116" t="n"/>
      <c r="J1" s="85" t="n">
        <v>46143</v>
      </c>
      <c r="K1" s="115" t="n"/>
      <c r="L1" s="115" t="n"/>
      <c r="M1" s="116" t="n"/>
      <c r="N1" s="82" t="n">
        <v>46174</v>
      </c>
      <c r="O1" s="115" t="n"/>
      <c r="P1" s="115" t="n"/>
      <c r="Q1" s="116" t="n"/>
      <c r="R1" s="82" t="n">
        <v>46204</v>
      </c>
      <c r="S1" s="115" t="n"/>
      <c r="T1" s="115" t="n"/>
      <c r="U1" s="116" t="n"/>
      <c r="V1" s="82" t="n">
        <v>46235</v>
      </c>
      <c r="W1" s="115" t="n"/>
      <c r="X1" s="115" t="n"/>
      <c r="Y1" s="116" t="n"/>
      <c r="Z1" s="82" t="n">
        <v>46266</v>
      </c>
      <c r="AA1" s="115" t="n"/>
      <c r="AB1" s="115" t="n"/>
      <c r="AC1" s="116" t="n"/>
      <c r="AD1" s="82" t="n">
        <v>46296</v>
      </c>
      <c r="AE1" s="115" t="n"/>
      <c r="AF1" s="115" t="n"/>
      <c r="AG1" s="116" t="n"/>
      <c r="AH1" s="82" t="n">
        <v>46327</v>
      </c>
      <c r="AI1" s="115" t="n"/>
      <c r="AJ1" s="115" t="n"/>
      <c r="AK1" s="116" t="n"/>
      <c r="AL1" s="82" t="n">
        <v>46357</v>
      </c>
      <c r="AM1" s="115" t="n"/>
      <c r="AN1" s="115" t="n"/>
      <c r="AO1" s="116" t="n"/>
      <c r="AP1" s="82" t="n">
        <v>46388</v>
      </c>
      <c r="AQ1" s="115" t="n"/>
      <c r="AR1" s="115" t="n"/>
      <c r="AS1" s="116" t="n"/>
      <c r="AT1" s="82" t="n">
        <v>46419</v>
      </c>
      <c r="AU1" s="115" t="n"/>
      <c r="AV1" s="115" t="n"/>
      <c r="AW1" s="116" t="n"/>
      <c r="AX1" s="82" t="n">
        <v>46447</v>
      </c>
      <c r="AY1" s="115" t="n"/>
      <c r="AZ1" s="115" t="n"/>
      <c r="BA1" s="116" t="n"/>
      <c r="BB1" s="88" t="inlineStr">
        <is>
          <t>TOTAL COLLECTION</t>
        </is>
      </c>
      <c r="BC1" s="88" t="inlineStr">
        <is>
          <t>TOTAL EXPENSE</t>
        </is>
      </c>
      <c r="BD1" s="88" t="inlineStr">
        <is>
          <t>TOTAL LATE FEE</t>
        </is>
      </c>
      <c r="BE1" s="88" t="inlineStr">
        <is>
          <t>TOTAL COLLECTION - EXPENSE</t>
        </is>
      </c>
      <c r="BF1" s="88" t="inlineStr">
        <is>
          <t>Balance
(2013 till date)</t>
        </is>
      </c>
      <c r="BG1" s="79" t="n"/>
    </row>
    <row r="2">
      <c r="A2" s="100" t="inlineStr">
        <is>
          <t>FLAT#</t>
        </is>
      </c>
      <c r="B2" s="100" t="inlineStr">
        <is>
          <t>email id</t>
        </is>
      </c>
      <c r="C2" s="100" t="inlineStr">
        <is>
          <t>OCCUPANT</t>
        </is>
      </c>
      <c r="D2" s="39" t="n"/>
      <c r="E2" s="39" t="n"/>
      <c r="F2" s="39" t="inlineStr">
        <is>
          <t>COLLECTION</t>
        </is>
      </c>
      <c r="G2" s="39" t="inlineStr">
        <is>
          <t>EXPENSE</t>
        </is>
      </c>
      <c r="H2" s="39" t="inlineStr">
        <is>
          <t>LATE PAYMENT FEE</t>
        </is>
      </c>
      <c r="I2" s="39" t="inlineStr">
        <is>
          <t>COLLECTION - EXPENSE</t>
        </is>
      </c>
      <c r="J2" s="39" t="inlineStr">
        <is>
          <t>COLLECTION</t>
        </is>
      </c>
      <c r="K2" s="39" t="inlineStr">
        <is>
          <t>EXPENSE</t>
        </is>
      </c>
      <c r="L2" s="39" t="inlineStr">
        <is>
          <t>LATE PAYMENT FEE</t>
        </is>
      </c>
      <c r="M2" s="39" t="inlineStr">
        <is>
          <t>COLLECTION - EXPENSE</t>
        </is>
      </c>
      <c r="N2" s="39" t="inlineStr">
        <is>
          <t>COLLECTION</t>
        </is>
      </c>
      <c r="O2" s="39" t="inlineStr">
        <is>
          <t>EXPENSE</t>
        </is>
      </c>
      <c r="P2" s="39" t="inlineStr">
        <is>
          <t>LATE PAYMENT FEE</t>
        </is>
      </c>
      <c r="Q2" s="39" t="inlineStr">
        <is>
          <t>COLLECTION - EXPENSE</t>
        </is>
      </c>
      <c r="R2" s="39" t="inlineStr">
        <is>
          <t>COLLECTION</t>
        </is>
      </c>
      <c r="S2" s="39" t="inlineStr">
        <is>
          <t>EXPENSE</t>
        </is>
      </c>
      <c r="T2" s="39" t="inlineStr">
        <is>
          <t>LATE PAYMENT FEE</t>
        </is>
      </c>
      <c r="U2" s="39" t="inlineStr">
        <is>
          <t>COLLECTION - EXPENSE</t>
        </is>
      </c>
      <c r="V2" s="39" t="inlineStr">
        <is>
          <t>COLLECTION</t>
        </is>
      </c>
      <c r="W2" s="39" t="inlineStr">
        <is>
          <t>EXPENSE</t>
        </is>
      </c>
      <c r="X2" s="39" t="inlineStr">
        <is>
          <t>LATE PAYMENT FEE</t>
        </is>
      </c>
      <c r="Y2" s="39" t="inlineStr">
        <is>
          <t>COLLECTION - EXPENSE</t>
        </is>
      </c>
      <c r="Z2" s="39" t="inlineStr">
        <is>
          <t>COLLECTION</t>
        </is>
      </c>
      <c r="AA2" s="39" t="inlineStr">
        <is>
          <t>EXPENSE</t>
        </is>
      </c>
      <c r="AB2" s="39" t="inlineStr">
        <is>
          <t>LATE PAYMENT FEE</t>
        </is>
      </c>
      <c r="AC2" s="39" t="inlineStr">
        <is>
          <t>COLLECTION - EXPENSE</t>
        </is>
      </c>
      <c r="AD2" s="39" t="inlineStr">
        <is>
          <t>COLLECTION</t>
        </is>
      </c>
      <c r="AE2" s="39" t="inlineStr">
        <is>
          <t>EXPENSE</t>
        </is>
      </c>
      <c r="AF2" s="39" t="inlineStr">
        <is>
          <t>LATE PAYMENT FEE</t>
        </is>
      </c>
      <c r="AG2" s="39" t="inlineStr">
        <is>
          <t>COLLECTION - EXPENSE</t>
        </is>
      </c>
      <c r="AH2" s="39" t="inlineStr">
        <is>
          <t>COLLECTION</t>
        </is>
      </c>
      <c r="AI2" s="39" t="inlineStr">
        <is>
          <t>EXPENSE</t>
        </is>
      </c>
      <c r="AJ2" s="39" t="inlineStr">
        <is>
          <t>LATE PAYMENT FEE</t>
        </is>
      </c>
      <c r="AK2" s="39" t="inlineStr">
        <is>
          <t>COLLECTION - EXPENSE</t>
        </is>
      </c>
      <c r="AL2" s="39" t="inlineStr">
        <is>
          <t>COLLECTION</t>
        </is>
      </c>
      <c r="AM2" s="39" t="inlineStr">
        <is>
          <t>EXPENSE</t>
        </is>
      </c>
      <c r="AN2" s="39" t="inlineStr">
        <is>
          <t>LATE PAYMENT FEE</t>
        </is>
      </c>
      <c r="AO2" s="39" t="inlineStr">
        <is>
          <t>COLLECTION - EXPENSE</t>
        </is>
      </c>
      <c r="AP2" s="39" t="inlineStr">
        <is>
          <t>COLLECTION</t>
        </is>
      </c>
      <c r="AQ2" s="39" t="inlineStr">
        <is>
          <t>EXPENSE</t>
        </is>
      </c>
      <c r="AR2" s="39" t="inlineStr">
        <is>
          <t>LATE PAYMENT FEE</t>
        </is>
      </c>
      <c r="AS2" s="39" t="inlineStr">
        <is>
          <t>COLLECTION - EXPENSE</t>
        </is>
      </c>
      <c r="AT2" s="39" t="inlineStr">
        <is>
          <t>COLLECTION</t>
        </is>
      </c>
      <c r="AU2" s="39" t="inlineStr">
        <is>
          <t>EXPENSE</t>
        </is>
      </c>
      <c r="AV2" s="39" t="inlineStr">
        <is>
          <t>LATE PAYMENT FEE</t>
        </is>
      </c>
      <c r="AW2" s="39" t="inlineStr">
        <is>
          <t>COLLECTION - EXPENSE</t>
        </is>
      </c>
      <c r="AX2" s="39" t="inlineStr">
        <is>
          <t>COLLECTION</t>
        </is>
      </c>
      <c r="AY2" s="39" t="inlineStr">
        <is>
          <t>EXPENSE</t>
        </is>
      </c>
      <c r="AZ2" s="39" t="inlineStr">
        <is>
          <t>LATE PAYMENT FEE</t>
        </is>
      </c>
      <c r="BA2" s="39" t="inlineStr">
        <is>
          <t>COLLECTION - EXPENSE</t>
        </is>
      </c>
      <c r="BB2" s="39" t="n"/>
      <c r="BC2" s="39" t="n"/>
      <c r="BD2" s="39" t="n"/>
      <c r="BE2" s="39" t="n"/>
      <c r="BF2" s="39" t="n"/>
      <c r="BG2" s="39" t="n"/>
    </row>
    <row r="3" ht="32.1" customHeight="1">
      <c r="A3" s="37" t="inlineStr">
        <is>
          <t>F1</t>
        </is>
      </c>
      <c r="B3" s="40" t="n"/>
      <c r="C3" s="40" t="inlineStr">
        <is>
          <t>Shailesh Srivastava / Azeem Nawaz</t>
        </is>
      </c>
      <c r="D3" s="41" t="n">
        <v>0</v>
      </c>
      <c r="E3" s="41" t="n">
        <v>0</v>
      </c>
      <c r="F3" s="41">
        <f>'Apr2026-COLLECTION'!K2</f>
        <v/>
      </c>
      <c r="G3" s="41">
        <f>'Apr2026-EXPENSE'!R6</f>
        <v/>
      </c>
      <c r="H3" s="20" t="n"/>
      <c r="I3" s="41">
        <f>F3-(G3+H3)</f>
        <v/>
      </c>
      <c r="J3" s="41">
        <f>'May2026-COLLECTION'!K2</f>
        <v/>
      </c>
      <c r="K3" s="41">
        <f>'May2026-EXPENSE'!R6</f>
        <v/>
      </c>
      <c r="L3" s="21" t="n"/>
      <c r="M3" s="41">
        <f>J3-(K3+L3)</f>
        <v/>
      </c>
      <c r="N3" s="41">
        <f>'June2026-COLLECTION'!K2</f>
        <v/>
      </c>
      <c r="O3" s="41">
        <f>'June2026-EXPENSE'!R6</f>
        <v/>
      </c>
      <c r="P3" s="20" t="n"/>
      <c r="Q3" s="41">
        <f>N3-(O3+P3)</f>
        <v/>
      </c>
      <c r="R3" s="41">
        <f>'July2026-COLLECTION'!K2</f>
        <v/>
      </c>
      <c r="S3" s="41">
        <f>'July2026-EXPENSE'!R6</f>
        <v/>
      </c>
      <c r="T3" s="21" t="n"/>
      <c r="U3" s="41">
        <f>R3-(S3+T3)</f>
        <v/>
      </c>
      <c r="V3" s="41">
        <f>'Aug2026-COLLECTION'!K2</f>
        <v/>
      </c>
      <c r="W3" s="41">
        <f>'Aug2026-EXPENSE'!R6</f>
        <v/>
      </c>
      <c r="X3" s="20" t="n"/>
      <c r="Y3" s="41">
        <f>V3-(W3+X3)</f>
        <v/>
      </c>
      <c r="Z3" s="41">
        <f>'Sep2026-COLLECTION'!K2</f>
        <v/>
      </c>
      <c r="AA3" s="41">
        <f>'Sep2026-EXPENSE'!R6</f>
        <v/>
      </c>
      <c r="AB3" s="21" t="n"/>
      <c r="AC3" s="41">
        <f>Z3-(AA3+AB3)</f>
        <v/>
      </c>
      <c r="AD3" s="41">
        <f>'Oct2026-COLLECTION'!K2</f>
        <v/>
      </c>
      <c r="AE3" s="41">
        <f>'Oct2026-EXPENSE'!R6</f>
        <v/>
      </c>
      <c r="AF3" s="21" t="n"/>
      <c r="AG3" s="41">
        <f>AD3-(AE3+AF3)</f>
        <v/>
      </c>
      <c r="AH3" s="41">
        <f>'Nov2026-COLLECTION'!K2</f>
        <v/>
      </c>
      <c r="AI3" s="41">
        <f>'Nov2026-EXPENSE'!R6</f>
        <v/>
      </c>
      <c r="AJ3" s="21" t="n"/>
      <c r="AK3" s="41">
        <f>AH3-(AI3+AJ3)</f>
        <v/>
      </c>
      <c r="AL3" s="41">
        <f>'Dec2026-COLLECTION'!K2</f>
        <v/>
      </c>
      <c r="AM3" s="41">
        <f>'Dec2026-EXPENSE'!R6</f>
        <v/>
      </c>
      <c r="AN3" s="21" t="n"/>
      <c r="AO3" s="41">
        <f>AL3-(AM3+AN3)</f>
        <v/>
      </c>
      <c r="AP3" s="41">
        <f>'Jan2027-COLLECTION'!K2</f>
        <v/>
      </c>
      <c r="AQ3" s="41">
        <f>'Jan2027-EXPENSE'!R6</f>
        <v/>
      </c>
      <c r="AR3" s="2" t="n"/>
      <c r="AS3" s="41">
        <f>AP3-(AQ3+AR3)</f>
        <v/>
      </c>
      <c r="AT3" s="41">
        <f>'Feb2027-COLLECTION'!K2</f>
        <v/>
      </c>
      <c r="AU3" s="41">
        <f>'Feb2027-EXPENSE'!R6</f>
        <v/>
      </c>
      <c r="AV3" s="2" t="n"/>
      <c r="AW3" s="41">
        <f>AT3-(AU3+AV3)</f>
        <v/>
      </c>
      <c r="AX3" s="41">
        <f>'Mar2027-COLLECTION'!K2</f>
        <v/>
      </c>
      <c r="AY3" s="41">
        <f>'Mar2027-EXPENSE'!R6</f>
        <v/>
      </c>
      <c r="AZ3" s="2" t="n"/>
      <c r="BA3" s="41">
        <f>AX3-(AY3+AZ3)</f>
        <v/>
      </c>
      <c r="BB3" s="41">
        <f>SUM(F3,J3,N3,R3,V3,Z3,AD3,AH3,AL3,AP3,AT3,AX3)</f>
        <v/>
      </c>
      <c r="BC3" s="41">
        <f>SUM(G3,K3,O3,S3,W3,AA3,AE3,AI3,AM3,AQ3,AU3,AY3)</f>
        <v/>
      </c>
      <c r="BD3" s="41">
        <f>SUM(H3,L3,P3,T3,X3,AB3,AF3,AJ3,AN3,AR3,AV3,AZ3)</f>
        <v/>
      </c>
      <c r="BE3" s="41">
        <f>BB3-(BC3+BD3)</f>
        <v/>
      </c>
      <c r="BF3" s="41">
        <f>E3+BE3</f>
        <v/>
      </c>
      <c r="BG3" s="41" t="n">
        <v>0</v>
      </c>
    </row>
    <row r="4" ht="15.95" customHeight="1">
      <c r="A4" s="36" t="inlineStr">
        <is>
          <t>F2</t>
        </is>
      </c>
      <c r="B4" s="42" t="inlineStr">
        <is>
          <t>ramazen1@gmail.com</t>
        </is>
      </c>
      <c r="C4" s="42" t="inlineStr">
        <is>
          <t>Ramamurthy Pachaiyappan</t>
        </is>
      </c>
      <c r="D4" s="43" t="n">
        <v>0</v>
      </c>
      <c r="E4" s="43">
        <f>-43932</f>
        <v/>
      </c>
      <c r="F4" s="43">
        <f>'Apr2026-COLLECTION'!K3</f>
        <v/>
      </c>
      <c r="G4" s="43">
        <f>'Apr2026-EXPENSE'!R7</f>
        <v/>
      </c>
      <c r="H4" s="20" t="n"/>
      <c r="I4" s="43">
        <f>F4-(G4+H4)</f>
        <v/>
      </c>
      <c r="J4" s="43">
        <f>'May2026-COLLECTION'!K3</f>
        <v/>
      </c>
      <c r="K4" s="43">
        <f>'May2026-EXPENSE'!R7</f>
        <v/>
      </c>
      <c r="L4" s="43" t="n">
        <v>0</v>
      </c>
      <c r="M4" s="43">
        <f>J4-(K4+L4)</f>
        <v/>
      </c>
      <c r="N4" s="43">
        <f>'June2026-COLLECTION'!K3</f>
        <v/>
      </c>
      <c r="O4" s="43">
        <f>'June2026-EXPENSE'!R7</f>
        <v/>
      </c>
      <c r="P4" s="20" t="n"/>
      <c r="Q4" s="43">
        <f>N4-(O4+P4)</f>
        <v/>
      </c>
      <c r="R4" s="43">
        <f>'July2026-COLLECTION'!K3</f>
        <v/>
      </c>
      <c r="S4" s="43">
        <f>'July2026-EXPENSE'!R7</f>
        <v/>
      </c>
      <c r="T4" s="43" t="n">
        <v>0</v>
      </c>
      <c r="U4" s="43">
        <f>R4-(S4+T4)</f>
        <v/>
      </c>
      <c r="V4" s="43">
        <f>'Aug2026-COLLECTION'!K3</f>
        <v/>
      </c>
      <c r="W4" s="43">
        <f>'Aug2026-EXPENSE'!R7</f>
        <v/>
      </c>
      <c r="X4" s="20" t="n"/>
      <c r="Y4" s="43">
        <f>V4-(W4+X4)</f>
        <v/>
      </c>
      <c r="Z4" s="43">
        <f>'Sep2026-COLLECTION'!K3</f>
        <v/>
      </c>
      <c r="AA4" s="43">
        <f>'Sep2026-EXPENSE'!R7</f>
        <v/>
      </c>
      <c r="AB4" s="21" t="n"/>
      <c r="AC4" s="43">
        <f>Z4-(AA4+AB4)</f>
        <v/>
      </c>
      <c r="AD4" s="43">
        <f>'Oct2026-COLLECTION'!K3</f>
        <v/>
      </c>
      <c r="AE4" s="43">
        <f>'Oct2026-EXPENSE'!R7</f>
        <v/>
      </c>
      <c r="AF4" s="21" t="n"/>
      <c r="AG4" s="43">
        <f>AD4-(AE4+AF4)</f>
        <v/>
      </c>
      <c r="AH4" s="43">
        <f>'Nov2026-COLLECTION'!K3</f>
        <v/>
      </c>
      <c r="AI4" s="43">
        <f>'Nov2026-EXPENSE'!R7</f>
        <v/>
      </c>
      <c r="AJ4" s="21" t="n"/>
      <c r="AK4" s="43">
        <f>AH4-(AI4+AJ4)</f>
        <v/>
      </c>
      <c r="AL4" s="43">
        <f>'Dec2026-COLLECTION'!K3</f>
        <v/>
      </c>
      <c r="AM4" s="43">
        <f>'Dec2026-EXPENSE'!R7</f>
        <v/>
      </c>
      <c r="AN4" s="21" t="n"/>
      <c r="AO4" s="43">
        <f>AL4-(AM4+AN4)</f>
        <v/>
      </c>
      <c r="AP4" s="43">
        <f>'Jan2027-COLLECTION'!K3</f>
        <v/>
      </c>
      <c r="AQ4" s="43">
        <f>'Jan2027-EXPENSE'!R7</f>
        <v/>
      </c>
      <c r="AR4" s="2" t="n"/>
      <c r="AS4" s="43">
        <f>AP4-(AQ4+AR4)</f>
        <v/>
      </c>
      <c r="AT4" s="43">
        <f>'Feb2027-COLLECTION'!K3</f>
        <v/>
      </c>
      <c r="AU4" s="43">
        <f>'Feb2027-EXPENSE'!R7</f>
        <v/>
      </c>
      <c r="AV4" s="2" t="n"/>
      <c r="AW4" s="43">
        <f>AT4-(AU4+AV4)</f>
        <v/>
      </c>
      <c r="AX4" s="43">
        <f>'Mar2027-COLLECTION'!K3</f>
        <v/>
      </c>
      <c r="AY4" s="43">
        <f>'Mar2027-EXPENSE'!R7</f>
        <v/>
      </c>
      <c r="AZ4" s="2" t="n"/>
      <c r="BA4" s="43">
        <f>AX4-(AY4+AZ4)</f>
        <v/>
      </c>
      <c r="BB4" s="43">
        <f>SUM(F4,J4,N4,R4,V4,Z4,AD4,AH4,AL4,AP4,AT4,AX4)</f>
        <v/>
      </c>
      <c r="BC4" s="43">
        <f>SUM(G4,K4,O4,S4,W4,AA4,AE4,AI4,AM4,AQ4,AU4,AY4)</f>
        <v/>
      </c>
      <c r="BD4" s="43">
        <f>SUM(H4,L4,P4,T4,X4,AB4,AF4,AJ4,AN4,AR4,AV4,AZ4)</f>
        <v/>
      </c>
      <c r="BE4" s="43">
        <f>BB4-(BC4+BD4)</f>
        <v/>
      </c>
      <c r="BF4" s="43">
        <f>E4+BE4</f>
        <v/>
      </c>
      <c r="BG4" s="43" t="n">
        <v>0</v>
      </c>
    </row>
    <row r="5" ht="15.95" customHeight="1">
      <c r="A5" s="37" t="inlineStr">
        <is>
          <t>F3</t>
        </is>
      </c>
      <c r="B5" s="40" t="n"/>
      <c r="C5" s="40" t="inlineStr">
        <is>
          <t>Samrat Kar</t>
        </is>
      </c>
      <c r="D5" s="41" t="n">
        <v>0</v>
      </c>
      <c r="E5" s="41" t="n">
        <v>0</v>
      </c>
      <c r="F5" s="41">
        <f>'Apr2026-COLLECTION'!K4</f>
        <v/>
      </c>
      <c r="G5" s="41">
        <f>'Apr2026-EXPENSE'!R8</f>
        <v/>
      </c>
      <c r="H5" s="20" t="n"/>
      <c r="I5" s="41">
        <f>F5-(G5+H5)</f>
        <v/>
      </c>
      <c r="J5" s="41">
        <f>'May2026-COLLECTION'!K4</f>
        <v/>
      </c>
      <c r="K5" s="41">
        <f>'May2026-EXPENSE'!R8</f>
        <v/>
      </c>
      <c r="L5" s="21" t="n"/>
      <c r="M5" s="41">
        <f>J5-(K5+L5)</f>
        <v/>
      </c>
      <c r="N5" s="41">
        <f>'June2026-COLLECTION'!K4</f>
        <v/>
      </c>
      <c r="O5" s="41">
        <f>'June2026-EXPENSE'!R8</f>
        <v/>
      </c>
      <c r="P5" s="20" t="n"/>
      <c r="Q5" s="41">
        <f>N5-(O5+P5)</f>
        <v/>
      </c>
      <c r="R5" s="41">
        <f>'July2026-COLLECTION'!K4</f>
        <v/>
      </c>
      <c r="S5" s="41">
        <f>'July2026-EXPENSE'!R8</f>
        <v/>
      </c>
      <c r="T5" s="21" t="n"/>
      <c r="U5" s="41">
        <f>R5-(S5+T5)</f>
        <v/>
      </c>
      <c r="V5" s="41">
        <f>'Aug2026-COLLECTION'!K4</f>
        <v/>
      </c>
      <c r="W5" s="41">
        <f>'Aug2026-EXPENSE'!R8</f>
        <v/>
      </c>
      <c r="X5" s="20" t="n"/>
      <c r="Y5" s="41">
        <f>V5-(W5+X5)</f>
        <v/>
      </c>
      <c r="Z5" s="41">
        <f>'Sep2026-COLLECTION'!K4</f>
        <v/>
      </c>
      <c r="AA5" s="41">
        <f>'Sep2026-EXPENSE'!R8</f>
        <v/>
      </c>
      <c r="AB5" s="21" t="n"/>
      <c r="AC5" s="41">
        <f>Z5-(AA5+AB5)</f>
        <v/>
      </c>
      <c r="AD5" s="41">
        <f>'Oct2026-COLLECTION'!K4</f>
        <v/>
      </c>
      <c r="AE5" s="41">
        <f>'Oct2026-EXPENSE'!R8</f>
        <v/>
      </c>
      <c r="AF5" s="21" t="n"/>
      <c r="AG5" s="41">
        <f>AD5-(AE5+AF5)</f>
        <v/>
      </c>
      <c r="AH5" s="41">
        <f>'Nov2026-COLLECTION'!K4</f>
        <v/>
      </c>
      <c r="AI5" s="41">
        <f>'Nov2026-EXPENSE'!R8</f>
        <v/>
      </c>
      <c r="AJ5" s="21" t="n"/>
      <c r="AK5" s="41">
        <f>AH5-(AI5+AJ5)</f>
        <v/>
      </c>
      <c r="AL5" s="41">
        <f>'Dec2026-COLLECTION'!K4</f>
        <v/>
      </c>
      <c r="AM5" s="41">
        <f>'Dec2026-EXPENSE'!R8</f>
        <v/>
      </c>
      <c r="AN5" s="21" t="n"/>
      <c r="AO5" s="41">
        <f>AL5-(AM5+AN5)</f>
        <v/>
      </c>
      <c r="AP5" s="41">
        <f>'Jan2027-COLLECTION'!K4</f>
        <v/>
      </c>
      <c r="AQ5" s="41">
        <f>'Jan2027-EXPENSE'!R8</f>
        <v/>
      </c>
      <c r="AR5" s="2" t="n"/>
      <c r="AS5" s="41">
        <f>AP5-(AQ5+AR5)</f>
        <v/>
      </c>
      <c r="AT5" s="41">
        <f>'Feb2027-COLLECTION'!K4</f>
        <v/>
      </c>
      <c r="AU5" s="41">
        <f>'Feb2027-EXPENSE'!R8</f>
        <v/>
      </c>
      <c r="AV5" s="2" t="n"/>
      <c r="AW5" s="41">
        <f>AT5-(AU5+AV5)</f>
        <v/>
      </c>
      <c r="AX5" s="41">
        <f>'Mar2027-COLLECTION'!K4</f>
        <v/>
      </c>
      <c r="AY5" s="41">
        <f>'Mar2027-EXPENSE'!R8</f>
        <v/>
      </c>
      <c r="AZ5" s="2" t="n"/>
      <c r="BA5" s="41">
        <f>AX5-(AY5+AZ5)</f>
        <v/>
      </c>
      <c r="BB5" s="41">
        <f>SUM(F5,J5,N5,R5,V5,Z5,AD5,AH5,AL5,AP5,AT5,AX5)</f>
        <v/>
      </c>
      <c r="BC5" s="41">
        <f>SUM(G5,K5,O5,S5,W5,AA5,AE5,AI5,AM5,AQ5,AU5,AY5)</f>
        <v/>
      </c>
      <c r="BD5" s="41">
        <f>SUM(H5,L5,P5,T5,X5,AB5,AF5,AJ5,AN5,AR5,AV5,AZ5)</f>
        <v/>
      </c>
      <c r="BE5" s="41">
        <f>BB5-(BC5+BD5)</f>
        <v/>
      </c>
      <c r="BF5" s="41">
        <f>E5+BE5</f>
        <v/>
      </c>
      <c r="BG5" s="41" t="n">
        <v>0</v>
      </c>
    </row>
    <row r="6" ht="15.95" customHeight="1">
      <c r="A6" s="36" t="inlineStr">
        <is>
          <t>F4</t>
        </is>
      </c>
      <c r="B6" s="42" t="n"/>
      <c r="C6" s="42" t="inlineStr">
        <is>
          <t>Renu R</t>
        </is>
      </c>
      <c r="D6" s="43" t="n">
        <v>0</v>
      </c>
      <c r="E6" s="43" t="n">
        <v>0</v>
      </c>
      <c r="F6" s="43">
        <f>'Apr2026-COLLECTION'!K5</f>
        <v/>
      </c>
      <c r="G6" s="43">
        <f>'Apr2026-EXPENSE'!R9</f>
        <v/>
      </c>
      <c r="H6" s="20" t="n"/>
      <c r="I6" s="43">
        <f>F6-(G6+H6)</f>
        <v/>
      </c>
      <c r="J6" s="43">
        <f>'May2026-COLLECTION'!K5</f>
        <v/>
      </c>
      <c r="K6" s="43">
        <f>'May2026-EXPENSE'!R9</f>
        <v/>
      </c>
      <c r="L6" s="21" t="n"/>
      <c r="M6" s="43">
        <f>J6-(K6+L6)</f>
        <v/>
      </c>
      <c r="N6" s="43">
        <f>'June2026-COLLECTION'!K5</f>
        <v/>
      </c>
      <c r="O6" s="43">
        <f>'June2026-EXPENSE'!R9</f>
        <v/>
      </c>
      <c r="P6" s="20" t="n"/>
      <c r="Q6" s="43">
        <f>N6-(O6+P6)</f>
        <v/>
      </c>
      <c r="R6" s="43">
        <f>'July2026-COLLECTION'!K5</f>
        <v/>
      </c>
      <c r="S6" s="43">
        <f>'July2026-EXPENSE'!R9</f>
        <v/>
      </c>
      <c r="T6" s="21" t="n"/>
      <c r="U6" s="43">
        <f>R6-(S6+T6)</f>
        <v/>
      </c>
      <c r="V6" s="43">
        <f>'Aug2026-COLLECTION'!K5</f>
        <v/>
      </c>
      <c r="W6" s="43">
        <f>'Aug2026-EXPENSE'!R9</f>
        <v/>
      </c>
      <c r="X6" s="20" t="n"/>
      <c r="Y6" s="43">
        <f>V6-(W6+X6)</f>
        <v/>
      </c>
      <c r="Z6" s="43">
        <f>'Sep2026-COLLECTION'!K5</f>
        <v/>
      </c>
      <c r="AA6" s="43">
        <f>'Sep2026-EXPENSE'!R9</f>
        <v/>
      </c>
      <c r="AB6" s="21" t="n"/>
      <c r="AC6" s="43">
        <f>Z6-(AA6+AB6)</f>
        <v/>
      </c>
      <c r="AD6" s="43">
        <f>'Oct2026-COLLECTION'!K5</f>
        <v/>
      </c>
      <c r="AE6" s="43">
        <f>'Oct2026-EXPENSE'!R9</f>
        <v/>
      </c>
      <c r="AF6" s="21" t="n"/>
      <c r="AG6" s="43">
        <f>AD6-(AE6+AF6)</f>
        <v/>
      </c>
      <c r="AH6" s="43">
        <f>'Nov2026-COLLECTION'!K5</f>
        <v/>
      </c>
      <c r="AI6" s="43">
        <f>'Nov2026-EXPENSE'!R9</f>
        <v/>
      </c>
      <c r="AJ6" s="21" t="n"/>
      <c r="AK6" s="43">
        <f>AH6-(AI6+AJ6)</f>
        <v/>
      </c>
      <c r="AL6" s="43">
        <f>'Dec2026-COLLECTION'!K5</f>
        <v/>
      </c>
      <c r="AM6" s="43">
        <f>'Dec2026-EXPENSE'!R9</f>
        <v/>
      </c>
      <c r="AN6" s="21" t="n"/>
      <c r="AO6" s="43">
        <f>AL6-(AM6+AN6)</f>
        <v/>
      </c>
      <c r="AP6" s="43">
        <f>'Jan2027-COLLECTION'!K5</f>
        <v/>
      </c>
      <c r="AQ6" s="43">
        <f>'Jan2027-EXPENSE'!R9</f>
        <v/>
      </c>
      <c r="AR6" s="2" t="n"/>
      <c r="AS6" s="43">
        <f>AP6-(AQ6+AR6)</f>
        <v/>
      </c>
      <c r="AT6" s="43">
        <f>'Feb2027-COLLECTION'!K5</f>
        <v/>
      </c>
      <c r="AU6" s="43">
        <f>'Feb2027-EXPENSE'!R9</f>
        <v/>
      </c>
      <c r="AV6" s="2" t="n"/>
      <c r="AW6" s="43">
        <f>AT6-(AU6+AV6)</f>
        <v/>
      </c>
      <c r="AX6" s="43">
        <f>'Mar2027-COLLECTION'!K5</f>
        <v/>
      </c>
      <c r="AY6" s="43">
        <f>'Mar2027-EXPENSE'!R9</f>
        <v/>
      </c>
      <c r="AZ6" s="2" t="n"/>
      <c r="BA6" s="43">
        <f>AX6-(AY6+AZ6)</f>
        <v/>
      </c>
      <c r="BB6" s="43">
        <f>SUM(F6,J6,N6,R6,V6,Z6,AD6,AH6,AL6,AP6,AT6,AX6)</f>
        <v/>
      </c>
      <c r="BC6" s="43">
        <f>SUM(G6,K6,O6,S6,W6,AA6,AE6,AI6,AM6,AQ6,AU6,AY6)</f>
        <v/>
      </c>
      <c r="BD6" s="43">
        <f>SUM(H6,L6,P6,T6,X6,AB6,AF6,AJ6,AN6,AR6,AV6,AZ6)</f>
        <v/>
      </c>
      <c r="BE6" s="43">
        <f>BB6-(BC6+BD6)</f>
        <v/>
      </c>
      <c r="BF6" s="43">
        <f>E6+BE6</f>
        <v/>
      </c>
      <c r="BG6" s="43" t="n">
        <v>0</v>
      </c>
    </row>
    <row r="7" ht="32.1" customHeight="1">
      <c r="A7" s="37" t="inlineStr">
        <is>
          <t>F5</t>
        </is>
      </c>
      <c r="B7" s="40" t="n"/>
      <c r="C7" s="40" t="inlineStr">
        <is>
          <t>Vamsidhar Bethanabatla / Madhuri Anumula</t>
        </is>
      </c>
      <c r="D7" s="41" t="n">
        <v>0</v>
      </c>
      <c r="E7" s="41">
        <f>-1876.43+(-7566)</f>
        <v/>
      </c>
      <c r="F7" s="41">
        <f>'Apr2026-COLLECTION'!K6</f>
        <v/>
      </c>
      <c r="G7" s="41">
        <f>'Apr2026-EXPENSE'!R10</f>
        <v/>
      </c>
      <c r="H7" s="20" t="n"/>
      <c r="I7" s="41">
        <f>F7-(G7+H7)</f>
        <v/>
      </c>
      <c r="J7" s="41">
        <f>'May2026-COLLECTION'!K6</f>
        <v/>
      </c>
      <c r="K7" s="41">
        <f>'May2026-EXPENSE'!R10</f>
        <v/>
      </c>
      <c r="L7" s="21" t="n"/>
      <c r="M7" s="41">
        <f>J7-(K7+L7)</f>
        <v/>
      </c>
      <c r="N7" s="41">
        <f>'June2026-COLLECTION'!K6</f>
        <v/>
      </c>
      <c r="O7" s="41">
        <f>'June2026-EXPENSE'!R10</f>
        <v/>
      </c>
      <c r="P7" s="20" t="n"/>
      <c r="Q7" s="41">
        <f>N7-(O7+P7)</f>
        <v/>
      </c>
      <c r="R7" s="41">
        <f>'July2026-COLLECTION'!K6</f>
        <v/>
      </c>
      <c r="S7" s="41">
        <f>'July2026-EXPENSE'!R10</f>
        <v/>
      </c>
      <c r="T7" s="21" t="n"/>
      <c r="U7" s="41">
        <f>R7-(S7+T7)</f>
        <v/>
      </c>
      <c r="V7" s="41">
        <f>'Aug2026-COLLECTION'!K6</f>
        <v/>
      </c>
      <c r="W7" s="41">
        <f>'Aug2026-EXPENSE'!R10</f>
        <v/>
      </c>
      <c r="X7" s="20" t="n"/>
      <c r="Y7" s="41">
        <f>V7-(W7+X7)</f>
        <v/>
      </c>
      <c r="Z7" s="41">
        <f>'Sep2026-COLLECTION'!K6</f>
        <v/>
      </c>
      <c r="AA7" s="41">
        <f>'Sep2026-EXPENSE'!R10</f>
        <v/>
      </c>
      <c r="AB7" s="21" t="n"/>
      <c r="AC7" s="41">
        <f>Z7-(AA7+AB7)</f>
        <v/>
      </c>
      <c r="AD7" s="41">
        <f>'Oct2026-COLLECTION'!K6</f>
        <v/>
      </c>
      <c r="AE7" s="41">
        <f>'Oct2026-EXPENSE'!R10</f>
        <v/>
      </c>
      <c r="AF7" s="21" t="n"/>
      <c r="AG7" s="41">
        <f>AD7-(AE7+AF7)</f>
        <v/>
      </c>
      <c r="AH7" s="41">
        <f>'Nov2026-COLLECTION'!K6</f>
        <v/>
      </c>
      <c r="AI7" s="41">
        <f>'Nov2026-EXPENSE'!R10</f>
        <v/>
      </c>
      <c r="AJ7" s="21" t="n"/>
      <c r="AK7" s="41">
        <f>AH7-(AI7+AJ7)</f>
        <v/>
      </c>
      <c r="AL7" s="41">
        <f>'Dec2026-COLLECTION'!K6</f>
        <v/>
      </c>
      <c r="AM7" s="41">
        <f>'Dec2026-EXPENSE'!R10</f>
        <v/>
      </c>
      <c r="AN7" s="21" t="n"/>
      <c r="AO7" s="41">
        <f>AL7-(AM7+AN7)</f>
        <v/>
      </c>
      <c r="AP7" s="41">
        <f>'Jan2027-COLLECTION'!K6</f>
        <v/>
      </c>
      <c r="AQ7" s="41">
        <f>'Jan2027-EXPENSE'!R10</f>
        <v/>
      </c>
      <c r="AR7" s="2" t="n"/>
      <c r="AS7" s="41">
        <f>AP7-(AQ7+AR7)</f>
        <v/>
      </c>
      <c r="AT7" s="41">
        <f>'Feb2027-COLLECTION'!K6</f>
        <v/>
      </c>
      <c r="AU7" s="41">
        <f>'Feb2027-EXPENSE'!R10</f>
        <v/>
      </c>
      <c r="AV7" s="2" t="n"/>
      <c r="AW7" s="41">
        <f>AT7-(AU7+AV7)</f>
        <v/>
      </c>
      <c r="AX7" s="41">
        <f>'Mar2027-COLLECTION'!K6</f>
        <v/>
      </c>
      <c r="AY7" s="41">
        <f>'Mar2027-EXPENSE'!R10</f>
        <v/>
      </c>
      <c r="AZ7" s="2" t="n"/>
      <c r="BA7" s="41">
        <f>AX7-(AY7+AZ7)</f>
        <v/>
      </c>
      <c r="BB7" s="41">
        <f>SUM(F7,J7,N7,R7,V7,Z7,AD7,AH7,AL7,AP7,AT7,AX7)</f>
        <v/>
      </c>
      <c r="BC7" s="41">
        <f>SUM(G7,K7,O7,S7,W7,AA7,AE7,AI7,AM7,AQ7,AU7,AY7)</f>
        <v/>
      </c>
      <c r="BD7" s="41">
        <f>SUM(H7,L7,P7,T7,X7,AB7,AF7,AJ7,AN7,AR7,AV7,AZ7)</f>
        <v/>
      </c>
      <c r="BE7" s="41">
        <f>BB7-(BC7+BD7)</f>
        <v/>
      </c>
      <c r="BF7" s="41">
        <f>E7+BE7</f>
        <v/>
      </c>
      <c r="BG7" s="41" t="n">
        <v>0</v>
      </c>
    </row>
    <row r="8" ht="48" customHeight="1">
      <c r="A8" s="36" t="inlineStr">
        <is>
          <t>F6</t>
        </is>
      </c>
      <c r="B8" s="42" t="n"/>
      <c r="C8" s="42" t="inlineStr">
        <is>
          <t>Meghana Viral Shah and Vviral Shah (Owner) / Sangeet and Swagat (Tenent)</t>
        </is>
      </c>
      <c r="D8" s="43" t="n">
        <v>0</v>
      </c>
      <c r="E8" s="43" t="n">
        <v>0</v>
      </c>
      <c r="F8" s="43">
        <f>'Apr2026-COLLECTION'!K7</f>
        <v/>
      </c>
      <c r="G8" s="43">
        <f>'Apr2026-EXPENSE'!R11</f>
        <v/>
      </c>
      <c r="H8" s="20" t="n"/>
      <c r="I8" s="43">
        <f>F8-(G8+H8)</f>
        <v/>
      </c>
      <c r="J8" s="43">
        <f>'May2026-COLLECTION'!K7</f>
        <v/>
      </c>
      <c r="K8" s="43">
        <f>'May2026-EXPENSE'!R11</f>
        <v/>
      </c>
      <c r="L8" s="21" t="n"/>
      <c r="M8" s="43">
        <f>J8-(K8+L8)</f>
        <v/>
      </c>
      <c r="N8" s="43">
        <f>'June2026-COLLECTION'!K7</f>
        <v/>
      </c>
      <c r="O8" s="43">
        <f>'June2026-EXPENSE'!R11</f>
        <v/>
      </c>
      <c r="P8" s="20" t="n"/>
      <c r="Q8" s="43">
        <f>N8-(O8+P8)</f>
        <v/>
      </c>
      <c r="R8" s="43">
        <f>'July2026-COLLECTION'!K7</f>
        <v/>
      </c>
      <c r="S8" s="43">
        <f>'July2026-EXPENSE'!R11</f>
        <v/>
      </c>
      <c r="T8" s="21" t="n"/>
      <c r="U8" s="43">
        <f>R8-(S8+T8)</f>
        <v/>
      </c>
      <c r="V8" s="43">
        <f>'Aug2026-COLLECTION'!K7</f>
        <v/>
      </c>
      <c r="W8" s="43">
        <f>'Aug2026-EXPENSE'!R11</f>
        <v/>
      </c>
      <c r="X8" s="20" t="n"/>
      <c r="Y8" s="43">
        <f>V8-(W8+X8)</f>
        <v/>
      </c>
      <c r="Z8" s="43">
        <f>'Sep2026-COLLECTION'!K7</f>
        <v/>
      </c>
      <c r="AA8" s="43">
        <f>'Sep2026-EXPENSE'!R11</f>
        <v/>
      </c>
      <c r="AB8" s="21" t="n"/>
      <c r="AC8" s="43">
        <f>Z8-(AA8+AB8)</f>
        <v/>
      </c>
      <c r="AD8" s="43">
        <f>'Oct2026-COLLECTION'!K7</f>
        <v/>
      </c>
      <c r="AE8" s="43">
        <f>'Oct2026-EXPENSE'!R11</f>
        <v/>
      </c>
      <c r="AF8" s="21" t="n"/>
      <c r="AG8" s="43">
        <f>AD8-(AE8+AF8)</f>
        <v/>
      </c>
      <c r="AH8" s="43">
        <f>'Nov2026-COLLECTION'!K7</f>
        <v/>
      </c>
      <c r="AI8" s="43">
        <f>'Nov2026-EXPENSE'!R11</f>
        <v/>
      </c>
      <c r="AJ8" s="21" t="n"/>
      <c r="AK8" s="43">
        <f>AH8-(AI8+AJ8)</f>
        <v/>
      </c>
      <c r="AL8" s="43">
        <f>'Dec2026-COLLECTION'!K7</f>
        <v/>
      </c>
      <c r="AM8" s="43">
        <f>'Dec2026-EXPENSE'!R11</f>
        <v/>
      </c>
      <c r="AN8" s="21" t="n"/>
      <c r="AO8" s="43">
        <f>AL8-(AM8+AN8)</f>
        <v/>
      </c>
      <c r="AP8" s="43">
        <f>'Jan2027-COLLECTION'!K7</f>
        <v/>
      </c>
      <c r="AQ8" s="43">
        <f>'Jan2027-EXPENSE'!R11</f>
        <v/>
      </c>
      <c r="AR8" s="2" t="n"/>
      <c r="AS8" s="43">
        <f>AP8-(AQ8+AR8)</f>
        <v/>
      </c>
      <c r="AT8" s="43">
        <f>'Feb2027-COLLECTION'!K7</f>
        <v/>
      </c>
      <c r="AU8" s="43">
        <f>'Feb2027-EXPENSE'!R11</f>
        <v/>
      </c>
      <c r="AV8" s="2" t="n"/>
      <c r="AW8" s="43">
        <f>AT8-(AU8+AV8)</f>
        <v/>
      </c>
      <c r="AX8" s="43">
        <f>'Mar2027-COLLECTION'!K7</f>
        <v/>
      </c>
      <c r="AY8" s="43">
        <f>'Mar2027-EXPENSE'!R11</f>
        <v/>
      </c>
      <c r="AZ8" s="2" t="n"/>
      <c r="BA8" s="43">
        <f>AX8-(AY8+AZ8)</f>
        <v/>
      </c>
      <c r="BB8" s="43">
        <f>SUM(F8,J8,N8,R8,V8,Z8,AD8,AH8,AL8,AP8,AT8,AX8)</f>
        <v/>
      </c>
      <c r="BC8" s="43">
        <f>SUM(G8,K8,O8,S8,W8,AA8,AE8,AI8,AM8,AQ8,AU8,AY8)</f>
        <v/>
      </c>
      <c r="BD8" s="43">
        <f>SUM(H8,L8,P8,T8,X8,AB8,AF8,AJ8,AN8,AR8,AV8,AZ8)</f>
        <v/>
      </c>
      <c r="BE8" s="43">
        <f>BB8-(BC8+BD8)</f>
        <v/>
      </c>
      <c r="BF8" s="43">
        <f>E8+BE8</f>
        <v/>
      </c>
      <c r="BG8" s="43" t="n">
        <v>0</v>
      </c>
    </row>
    <row r="9" ht="15.95" customHeight="1">
      <c r="A9" s="37" t="inlineStr">
        <is>
          <t>F7</t>
        </is>
      </c>
      <c r="B9" s="40" t="n"/>
      <c r="C9" s="40" t="inlineStr">
        <is>
          <t>Vimal NK</t>
        </is>
      </c>
      <c r="D9" s="41" t="n">
        <v>0</v>
      </c>
      <c r="E9" s="41" t="n">
        <v>0</v>
      </c>
      <c r="F9" s="41">
        <f>'Apr2026-COLLECTION'!K8</f>
        <v/>
      </c>
      <c r="G9" s="41">
        <f>'Apr2026-EXPENSE'!R12</f>
        <v/>
      </c>
      <c r="H9" s="20" t="n"/>
      <c r="I9" s="41">
        <f>F9-(G9+H9)</f>
        <v/>
      </c>
      <c r="J9" s="41">
        <f>'May2026-COLLECTION'!K8</f>
        <v/>
      </c>
      <c r="K9" s="41">
        <f>'May2026-EXPENSE'!R12</f>
        <v/>
      </c>
      <c r="L9" s="21" t="n"/>
      <c r="M9" s="41">
        <f>J9-(K9+L9)</f>
        <v/>
      </c>
      <c r="N9" s="41">
        <f>'June2026-COLLECTION'!K8</f>
        <v/>
      </c>
      <c r="O9" s="41">
        <f>'June2026-EXPENSE'!R12</f>
        <v/>
      </c>
      <c r="P9" s="20" t="n"/>
      <c r="Q9" s="41">
        <f>N9-(O9+P9)</f>
        <v/>
      </c>
      <c r="R9" s="41">
        <f>'July2026-COLLECTION'!K8</f>
        <v/>
      </c>
      <c r="S9" s="41">
        <f>'July2026-EXPENSE'!R12</f>
        <v/>
      </c>
      <c r="T9" s="21" t="n"/>
      <c r="U9" s="41">
        <f>R9-(S9+T9)</f>
        <v/>
      </c>
      <c r="V9" s="41">
        <f>'Aug2026-COLLECTION'!K8</f>
        <v/>
      </c>
      <c r="W9" s="41">
        <f>'Aug2026-EXPENSE'!R12</f>
        <v/>
      </c>
      <c r="X9" s="20" t="n"/>
      <c r="Y9" s="41">
        <f>V9-(W9+X9)</f>
        <v/>
      </c>
      <c r="Z9" s="41">
        <f>'Sep2026-COLLECTION'!K8</f>
        <v/>
      </c>
      <c r="AA9" s="41">
        <f>'Sep2026-EXPENSE'!R12</f>
        <v/>
      </c>
      <c r="AB9" s="21" t="n"/>
      <c r="AC9" s="41">
        <f>Z9-(AA9+AB9)</f>
        <v/>
      </c>
      <c r="AD9" s="41">
        <f>'Oct2026-COLLECTION'!K8</f>
        <v/>
      </c>
      <c r="AE9" s="41">
        <f>'Oct2026-EXPENSE'!R12</f>
        <v/>
      </c>
      <c r="AF9" s="21" t="n"/>
      <c r="AG9" s="41">
        <f>AD9-(AE9+AF9)</f>
        <v/>
      </c>
      <c r="AH9" s="41">
        <f>'Nov2026-COLLECTION'!K8</f>
        <v/>
      </c>
      <c r="AI9" s="41">
        <f>'Nov2026-EXPENSE'!R12</f>
        <v/>
      </c>
      <c r="AJ9" s="21" t="n"/>
      <c r="AK9" s="41">
        <f>AH9-(AI9+AJ9)</f>
        <v/>
      </c>
      <c r="AL9" s="41">
        <f>'Dec2026-COLLECTION'!K8</f>
        <v/>
      </c>
      <c r="AM9" s="41">
        <f>'Dec2026-EXPENSE'!R12</f>
        <v/>
      </c>
      <c r="AN9" s="21" t="n"/>
      <c r="AO9" s="41">
        <f>AL9-(AM9+AN9)</f>
        <v/>
      </c>
      <c r="AP9" s="41">
        <f>'Jan2027-COLLECTION'!K8</f>
        <v/>
      </c>
      <c r="AQ9" s="41">
        <f>'Jan2027-EXPENSE'!R12</f>
        <v/>
      </c>
      <c r="AR9" s="2" t="n"/>
      <c r="AS9" s="41">
        <f>AP9-(AQ9+AR9)</f>
        <v/>
      </c>
      <c r="AT9" s="41">
        <f>'Feb2027-COLLECTION'!K8</f>
        <v/>
      </c>
      <c r="AU9" s="41">
        <f>'Feb2027-EXPENSE'!R12</f>
        <v/>
      </c>
      <c r="AV9" s="2" t="n"/>
      <c r="AW9" s="41">
        <f>AT9-(AU9+AV9)</f>
        <v/>
      </c>
      <c r="AX9" s="41">
        <f>'Mar2027-COLLECTION'!K8</f>
        <v/>
      </c>
      <c r="AY9" s="41">
        <f>'Mar2027-EXPENSE'!R12</f>
        <v/>
      </c>
      <c r="AZ9" s="2" t="n"/>
      <c r="BA9" s="41">
        <f>AX9-(AY9+AZ9)</f>
        <v/>
      </c>
      <c r="BB9" s="41">
        <f>SUM(F9,J9,N9,R9,V9,Z9,AD9,AH9,AL9,AP9,AT9,AX9)</f>
        <v/>
      </c>
      <c r="BC9" s="41">
        <f>SUM(G9,K9,O9,S9,W9,AA9,AE9,AI9,AM9,AQ9,AU9,AY9)</f>
        <v/>
      </c>
      <c r="BD9" s="41">
        <f>SUM(H9,L9,P9,T9,X9,AB9,AF9,AJ9,AN9,AR9,AV9,AZ9)</f>
        <v/>
      </c>
      <c r="BE9" s="41">
        <f>BB9-(BC9+BD9)</f>
        <v/>
      </c>
      <c r="BF9" s="41">
        <f>E9+BE9</f>
        <v/>
      </c>
      <c r="BG9" s="41" t="n">
        <v>0</v>
      </c>
    </row>
    <row r="10" ht="48" customHeight="1">
      <c r="A10" s="36" t="inlineStr">
        <is>
          <t>F8</t>
        </is>
      </c>
      <c r="B10" s="42" t="n"/>
      <c r="C10" s="42" t="inlineStr">
        <is>
          <t>Sujeet Kumar (Tenant)/Sreejith Menon (Owner)</t>
        </is>
      </c>
      <c r="D10" s="43" t="n">
        <v>0</v>
      </c>
      <c r="E10" s="43" t="n">
        <v>0</v>
      </c>
      <c r="F10" s="43">
        <f>'Apr2026-COLLECTION'!K9</f>
        <v/>
      </c>
      <c r="G10" s="43">
        <f>'Apr2026-EXPENSE'!R13</f>
        <v/>
      </c>
      <c r="H10" s="20" t="n"/>
      <c r="I10" s="43">
        <f>F10-(G10+H10)</f>
        <v/>
      </c>
      <c r="J10" s="43">
        <f>'May2026-COLLECTION'!K9</f>
        <v/>
      </c>
      <c r="K10" s="43">
        <f>'May2026-EXPENSE'!R13</f>
        <v/>
      </c>
      <c r="L10" s="21" t="n"/>
      <c r="M10" s="43">
        <f>J10-(K10+L10)</f>
        <v/>
      </c>
      <c r="N10" s="43">
        <f>'June2026-COLLECTION'!K9</f>
        <v/>
      </c>
      <c r="O10" s="43">
        <f>'June2026-EXPENSE'!R13</f>
        <v/>
      </c>
      <c r="P10" s="20" t="n"/>
      <c r="Q10" s="43">
        <f>N10-(O10+P10)</f>
        <v/>
      </c>
      <c r="R10" s="43">
        <f>'July2026-COLLECTION'!K9</f>
        <v/>
      </c>
      <c r="S10" s="43">
        <f>'July2026-EXPENSE'!R13</f>
        <v/>
      </c>
      <c r="T10" s="21" t="n"/>
      <c r="U10" s="43">
        <f>R10-(S10+T10)</f>
        <v/>
      </c>
      <c r="V10" s="43">
        <f>'Aug2026-COLLECTION'!K9</f>
        <v/>
      </c>
      <c r="W10" s="43">
        <f>'Aug2026-EXPENSE'!R13</f>
        <v/>
      </c>
      <c r="X10" s="20" t="n"/>
      <c r="Y10" s="43">
        <f>V10-(W10+X10)</f>
        <v/>
      </c>
      <c r="Z10" s="43">
        <f>'Sep2026-COLLECTION'!K9</f>
        <v/>
      </c>
      <c r="AA10" s="43">
        <f>'Sep2026-EXPENSE'!R13</f>
        <v/>
      </c>
      <c r="AB10" s="21" t="n"/>
      <c r="AC10" s="43">
        <f>Z10-(AA10+AB10)</f>
        <v/>
      </c>
      <c r="AD10" s="43">
        <f>'Oct2026-COLLECTION'!K9</f>
        <v/>
      </c>
      <c r="AE10" s="43">
        <f>'Oct2026-EXPENSE'!R13</f>
        <v/>
      </c>
      <c r="AF10" s="21" t="n"/>
      <c r="AG10" s="43">
        <f>AD10-(AE10+AF10)</f>
        <v/>
      </c>
      <c r="AH10" s="43">
        <f>'Nov2026-COLLECTION'!K9</f>
        <v/>
      </c>
      <c r="AI10" s="43">
        <f>'Nov2026-EXPENSE'!R13</f>
        <v/>
      </c>
      <c r="AJ10" s="21" t="n"/>
      <c r="AK10" s="43">
        <f>AH10-(AI10+AJ10)</f>
        <v/>
      </c>
      <c r="AL10" s="43">
        <f>'Dec2026-COLLECTION'!K9</f>
        <v/>
      </c>
      <c r="AM10" s="43">
        <f>'Dec2026-EXPENSE'!R13</f>
        <v/>
      </c>
      <c r="AN10" s="21" t="n"/>
      <c r="AO10" s="43">
        <f>AL10-(AM10+AN10)</f>
        <v/>
      </c>
      <c r="AP10" s="43">
        <f>'Jan2027-COLLECTION'!K9</f>
        <v/>
      </c>
      <c r="AQ10" s="43">
        <f>'Jan2027-EXPENSE'!R13</f>
        <v/>
      </c>
      <c r="AR10" s="2" t="n"/>
      <c r="AS10" s="43">
        <f>AP10-(AQ10+AR10)</f>
        <v/>
      </c>
      <c r="AT10" s="43">
        <f>'Feb2027-COLLECTION'!K9</f>
        <v/>
      </c>
      <c r="AU10" s="43">
        <f>'Feb2027-EXPENSE'!R13</f>
        <v/>
      </c>
      <c r="AV10" s="2" t="n"/>
      <c r="AW10" s="43">
        <f>AT10-(AU10+AV10)</f>
        <v/>
      </c>
      <c r="AX10" s="43">
        <f>'Mar2027-COLLECTION'!K9</f>
        <v/>
      </c>
      <c r="AY10" s="43">
        <f>'Mar2027-EXPENSE'!R13</f>
        <v/>
      </c>
      <c r="AZ10" s="2" t="n"/>
      <c r="BA10" s="43">
        <f>AX10-(AY10+AZ10)</f>
        <v/>
      </c>
      <c r="BB10" s="43">
        <f>SUM(F10,J10,N10,R10,V10,Z10,AD10,AH10,AL10,AP10,AT10,AX10)</f>
        <v/>
      </c>
      <c r="BC10" s="43">
        <f>SUM(G10,K10,O10,S10,W10,AA10,AE10,AI10,AM10,AQ10,AU10,AY10)</f>
        <v/>
      </c>
      <c r="BD10" s="43">
        <f>SUM(H10,L10,P10,T10,X10,AB10,AF10,AJ10,AN10,AR10,AV10,AZ10)</f>
        <v/>
      </c>
      <c r="BE10" s="43">
        <f>BB10-(BC10+BD10)</f>
        <v/>
      </c>
      <c r="BF10" s="43">
        <f>E10+BE10</f>
        <v/>
      </c>
      <c r="BG10" s="43" t="n">
        <v>0</v>
      </c>
    </row>
    <row r="11" ht="32.1" customHeight="1">
      <c r="A11" s="37" t="inlineStr">
        <is>
          <t>F9</t>
        </is>
      </c>
      <c r="B11" s="40" t="n"/>
      <c r="C11" s="40" t="inlineStr">
        <is>
          <t>Vijay Suswaram (Owner)  /   Divya Shikha (Tenant)</t>
        </is>
      </c>
      <c r="D11" s="41" t="n">
        <v>0</v>
      </c>
      <c r="E11" s="41" t="n">
        <v>0</v>
      </c>
      <c r="F11" s="41">
        <f>'Apr2026-COLLECTION'!K10</f>
        <v/>
      </c>
      <c r="G11" s="41">
        <f>'Apr2026-EXPENSE'!R14</f>
        <v/>
      </c>
      <c r="H11" s="20" t="n"/>
      <c r="I11" s="41">
        <f>F11-(G11+H11)</f>
        <v/>
      </c>
      <c r="J11" s="41">
        <f>'May2026-COLLECTION'!K10</f>
        <v/>
      </c>
      <c r="K11" s="41">
        <f>'May2026-EXPENSE'!R14</f>
        <v/>
      </c>
      <c r="L11" s="21" t="n"/>
      <c r="M11" s="41">
        <f>J11-(K11+L11)</f>
        <v/>
      </c>
      <c r="N11" s="41">
        <f>'June2026-COLLECTION'!K10</f>
        <v/>
      </c>
      <c r="O11" s="41">
        <f>'June2026-EXPENSE'!R14</f>
        <v/>
      </c>
      <c r="P11" s="20" t="n"/>
      <c r="Q11" s="41">
        <f>N11-(O11+P11)</f>
        <v/>
      </c>
      <c r="R11" s="41">
        <f>'July2026-COLLECTION'!K10</f>
        <v/>
      </c>
      <c r="S11" s="41">
        <f>'July2026-EXPENSE'!R14</f>
        <v/>
      </c>
      <c r="T11" s="21" t="n"/>
      <c r="U11" s="41">
        <f>R11-(S11+T11)</f>
        <v/>
      </c>
      <c r="V11" s="41">
        <f>'Aug2026-COLLECTION'!K10</f>
        <v/>
      </c>
      <c r="W11" s="41">
        <f>'Aug2026-EXPENSE'!R14</f>
        <v/>
      </c>
      <c r="X11" s="20" t="n"/>
      <c r="Y11" s="41">
        <f>V11-(W11+X11)</f>
        <v/>
      </c>
      <c r="Z11" s="41">
        <f>'Sep2026-COLLECTION'!K10</f>
        <v/>
      </c>
      <c r="AA11" s="41">
        <f>'Sep2026-EXPENSE'!R14</f>
        <v/>
      </c>
      <c r="AB11" s="21" t="n"/>
      <c r="AC11" s="41">
        <f>Z11-(AA11+AB11)</f>
        <v/>
      </c>
      <c r="AD11" s="41">
        <f>'Oct2026-COLLECTION'!K10</f>
        <v/>
      </c>
      <c r="AE11" s="41">
        <f>'Oct2026-EXPENSE'!R14</f>
        <v/>
      </c>
      <c r="AF11" s="21" t="n"/>
      <c r="AG11" s="41">
        <f>AD11-(AE11+AF11)</f>
        <v/>
      </c>
      <c r="AH11" s="41">
        <f>'Nov2026-COLLECTION'!K10</f>
        <v/>
      </c>
      <c r="AI11" s="41">
        <f>'Nov2026-EXPENSE'!R14</f>
        <v/>
      </c>
      <c r="AJ11" s="21" t="n"/>
      <c r="AK11" s="41">
        <f>AH11-(AI11+AJ11)</f>
        <v/>
      </c>
      <c r="AL11" s="41">
        <f>'Dec2026-COLLECTION'!K10</f>
        <v/>
      </c>
      <c r="AM11" s="41">
        <f>'Dec2026-EXPENSE'!R14</f>
        <v/>
      </c>
      <c r="AN11" s="21" t="n"/>
      <c r="AO11" s="41">
        <f>AL11-(AM11+AN11)</f>
        <v/>
      </c>
      <c r="AP11" s="41">
        <f>'Jan2027-COLLECTION'!K10</f>
        <v/>
      </c>
      <c r="AQ11" s="41">
        <f>'Jan2027-EXPENSE'!R14</f>
        <v/>
      </c>
      <c r="AR11" s="2" t="n"/>
      <c r="AS11" s="41">
        <f>AP11-(AQ11+AR11)</f>
        <v/>
      </c>
      <c r="AT11" s="41">
        <f>'Feb2027-COLLECTION'!K10</f>
        <v/>
      </c>
      <c r="AU11" s="41">
        <f>'Feb2027-EXPENSE'!R14</f>
        <v/>
      </c>
      <c r="AV11" s="2" t="n"/>
      <c r="AW11" s="41">
        <f>AT11-(AU11+AV11)</f>
        <v/>
      </c>
      <c r="AX11" s="41">
        <f>'Mar2027-COLLECTION'!K10</f>
        <v/>
      </c>
      <c r="AY11" s="41">
        <f>'Mar2027-EXPENSE'!R14</f>
        <v/>
      </c>
      <c r="AZ11" s="2" t="n"/>
      <c r="BA11" s="41">
        <f>AX11-(AY11+AZ11)</f>
        <v/>
      </c>
      <c r="BB11" s="41">
        <f>SUM(F11,J11,N11,R11,V11,Z11,AD11,AH11,AL11,AP11,AT11,AX11)</f>
        <v/>
      </c>
      <c r="BC11" s="41">
        <f>SUM(G11,K11,O11,S11,W11,AA11,AE11,AI11,AM11,AQ11,AU11,AY11)</f>
        <v/>
      </c>
      <c r="BD11" s="41">
        <f>SUM(H11,L11,P11,T11,X11,AB11,AF11,AJ11,AN11,AR11,AV11,AZ11)</f>
        <v/>
      </c>
      <c r="BE11" s="41">
        <f>BB11-(BC11+BD11)</f>
        <v/>
      </c>
      <c r="BF11" s="41">
        <f>E11+BE11</f>
        <v/>
      </c>
      <c r="BG11" s="41" t="n">
        <v>0</v>
      </c>
    </row>
    <row r="12" ht="15.95" customHeight="1">
      <c r="A12" s="36" t="inlineStr">
        <is>
          <t>F10</t>
        </is>
      </c>
      <c r="B12" s="42" t="n"/>
      <c r="C12" s="42" t="inlineStr">
        <is>
          <t>Aby Thomas</t>
        </is>
      </c>
      <c r="D12" s="43" t="n">
        <v>0</v>
      </c>
      <c r="E12" s="43" t="n">
        <v>0</v>
      </c>
      <c r="F12" s="43">
        <f>'Apr2026-COLLECTION'!K11</f>
        <v/>
      </c>
      <c r="G12" s="43">
        <f>'Apr2026-EXPENSE'!R15</f>
        <v/>
      </c>
      <c r="H12" s="20" t="n"/>
      <c r="I12" s="43">
        <f>F12-(G12+H12)</f>
        <v/>
      </c>
      <c r="J12" s="43">
        <f>'May2026-COLLECTION'!K11</f>
        <v/>
      </c>
      <c r="K12" s="43">
        <f>'May2026-EXPENSE'!R15</f>
        <v/>
      </c>
      <c r="L12" s="21" t="n"/>
      <c r="M12" s="43">
        <f>J12-(K12+L12)</f>
        <v/>
      </c>
      <c r="N12" s="43">
        <f>'June2026-COLLECTION'!K11</f>
        <v/>
      </c>
      <c r="O12" s="43">
        <f>'June2026-EXPENSE'!R15</f>
        <v/>
      </c>
      <c r="P12" s="20" t="n"/>
      <c r="Q12" s="43">
        <f>N12-(O12+P12)</f>
        <v/>
      </c>
      <c r="R12" s="43">
        <f>'July2026-COLLECTION'!K11</f>
        <v/>
      </c>
      <c r="S12" s="43">
        <f>'July2026-EXPENSE'!R15</f>
        <v/>
      </c>
      <c r="T12" s="21" t="n"/>
      <c r="U12" s="43">
        <f>R12-(S12+T12)</f>
        <v/>
      </c>
      <c r="V12" s="43">
        <f>'Aug2026-COLLECTION'!K11</f>
        <v/>
      </c>
      <c r="W12" s="43">
        <f>'Aug2026-EXPENSE'!R15</f>
        <v/>
      </c>
      <c r="X12" s="20" t="n"/>
      <c r="Y12" s="43">
        <f>V12-(W12+X12)</f>
        <v/>
      </c>
      <c r="Z12" s="43">
        <f>'Sep2026-COLLECTION'!K11</f>
        <v/>
      </c>
      <c r="AA12" s="43">
        <f>'Sep2026-EXPENSE'!R15</f>
        <v/>
      </c>
      <c r="AB12" s="21" t="n"/>
      <c r="AC12" s="43">
        <f>Z12-(AA12+AB12)</f>
        <v/>
      </c>
      <c r="AD12" s="43">
        <f>'Oct2026-COLLECTION'!K11</f>
        <v/>
      </c>
      <c r="AE12" s="43">
        <f>'Oct2026-EXPENSE'!R15</f>
        <v/>
      </c>
      <c r="AF12" s="21" t="n"/>
      <c r="AG12" s="43">
        <f>AD12-(AE12+AF12)</f>
        <v/>
      </c>
      <c r="AH12" s="43">
        <f>'Nov2026-COLLECTION'!K11</f>
        <v/>
      </c>
      <c r="AI12" s="43">
        <f>'Nov2026-EXPENSE'!R15</f>
        <v/>
      </c>
      <c r="AJ12" s="21" t="n"/>
      <c r="AK12" s="43">
        <f>AH12-(AI12+AJ12)</f>
        <v/>
      </c>
      <c r="AL12" s="43">
        <f>'Dec2026-COLLECTION'!K11</f>
        <v/>
      </c>
      <c r="AM12" s="43">
        <f>'Dec2026-EXPENSE'!R15</f>
        <v/>
      </c>
      <c r="AN12" s="21" t="n"/>
      <c r="AO12" s="43">
        <f>AL12-(AM12+AN12)</f>
        <v/>
      </c>
      <c r="AP12" s="43">
        <f>'Jan2027-COLLECTION'!K11</f>
        <v/>
      </c>
      <c r="AQ12" s="43">
        <f>'Jan2027-EXPENSE'!R15</f>
        <v/>
      </c>
      <c r="AR12" s="2" t="n"/>
      <c r="AS12" s="43">
        <f>AP12-(AQ12+AR12)</f>
        <v/>
      </c>
      <c r="AT12" s="43">
        <f>'Feb2027-COLLECTION'!K11</f>
        <v/>
      </c>
      <c r="AU12" s="43">
        <f>'Feb2027-EXPENSE'!R15</f>
        <v/>
      </c>
      <c r="AV12" s="2" t="n"/>
      <c r="AW12" s="43">
        <f>AT12-(AU12+AV12)</f>
        <v/>
      </c>
      <c r="AX12" s="43">
        <f>'Mar2027-COLLECTION'!K11</f>
        <v/>
      </c>
      <c r="AY12" s="43">
        <f>'Mar2027-EXPENSE'!R15</f>
        <v/>
      </c>
      <c r="AZ12" s="2" t="n"/>
      <c r="BA12" s="43">
        <f>AX12-(AY12+AZ12)</f>
        <v/>
      </c>
      <c r="BB12" s="43">
        <f>SUM(F12,J12,N12,R12,V12,Z12,AD12,AH12,AL12,AP12,AT12,AX12)</f>
        <v/>
      </c>
      <c r="BC12" s="43">
        <f>SUM(G12,K12,O12,S12,W12,AA12,AE12,AI12,AM12,AQ12,AU12,AY12)</f>
        <v/>
      </c>
      <c r="BD12" s="43">
        <f>SUM(H12,L12,P12,T12,X12,AB12,AF12,AJ12,AN12,AR12,AV12,AZ12)</f>
        <v/>
      </c>
      <c r="BE12" s="43">
        <f>BB12-(BC12+BD12)</f>
        <v/>
      </c>
      <c r="BF12" s="43">
        <f>E12+BE12</f>
        <v/>
      </c>
      <c r="BG12" s="43" t="n">
        <v>0</v>
      </c>
    </row>
    <row r="13" ht="15.95" customHeight="1">
      <c r="A13" s="37" t="inlineStr">
        <is>
          <t>F11</t>
        </is>
      </c>
      <c r="B13" s="40" t="n"/>
      <c r="C13" s="40" t="inlineStr">
        <is>
          <t>Niwin Anto</t>
        </is>
      </c>
      <c r="D13" s="41" t="n">
        <v>0</v>
      </c>
      <c r="E13" s="41" t="n">
        <v>0</v>
      </c>
      <c r="F13" s="41">
        <f>'Apr2026-COLLECTION'!K12</f>
        <v/>
      </c>
      <c r="G13" s="41">
        <f>'Apr2026-EXPENSE'!R16</f>
        <v/>
      </c>
      <c r="H13" s="20" t="n"/>
      <c r="I13" s="41">
        <f>F13-(G13+H13)</f>
        <v/>
      </c>
      <c r="J13" s="41">
        <f>'May2026-COLLECTION'!K12</f>
        <v/>
      </c>
      <c r="K13" s="41">
        <f>'May2026-EXPENSE'!R16</f>
        <v/>
      </c>
      <c r="L13" s="21" t="n"/>
      <c r="M13" s="41">
        <f>J13-(K13+L13)</f>
        <v/>
      </c>
      <c r="N13" s="41">
        <f>'June2026-COLLECTION'!K12</f>
        <v/>
      </c>
      <c r="O13" s="41">
        <f>'June2026-EXPENSE'!R16</f>
        <v/>
      </c>
      <c r="P13" s="20" t="n"/>
      <c r="Q13" s="41">
        <f>N13-(O13+P13)</f>
        <v/>
      </c>
      <c r="R13" s="41">
        <f>'July2026-COLLECTION'!K12</f>
        <v/>
      </c>
      <c r="S13" s="41">
        <f>'July2026-EXPENSE'!R16</f>
        <v/>
      </c>
      <c r="T13" s="21" t="n"/>
      <c r="U13" s="41">
        <f>R13-(S13+T13)</f>
        <v/>
      </c>
      <c r="V13" s="41">
        <f>'Aug2026-COLLECTION'!K12</f>
        <v/>
      </c>
      <c r="W13" s="41">
        <f>'Aug2026-EXPENSE'!R16</f>
        <v/>
      </c>
      <c r="X13" s="20" t="n"/>
      <c r="Y13" s="41">
        <f>V13-(W13+X13)</f>
        <v/>
      </c>
      <c r="Z13" s="41">
        <f>'Sep2026-COLLECTION'!K12</f>
        <v/>
      </c>
      <c r="AA13" s="41">
        <f>'Sep2026-EXPENSE'!R16</f>
        <v/>
      </c>
      <c r="AB13" s="21" t="n"/>
      <c r="AC13" s="41">
        <f>Z13-(AA13+AB13)</f>
        <v/>
      </c>
      <c r="AD13" s="41">
        <f>'Oct2026-COLLECTION'!K12</f>
        <v/>
      </c>
      <c r="AE13" s="41">
        <f>'Oct2026-EXPENSE'!R16</f>
        <v/>
      </c>
      <c r="AF13" s="21" t="n"/>
      <c r="AG13" s="41">
        <f>AD13-(AE13+AF13)</f>
        <v/>
      </c>
      <c r="AH13" s="41">
        <f>'Nov2026-COLLECTION'!K12</f>
        <v/>
      </c>
      <c r="AI13" s="41">
        <f>'Nov2026-EXPENSE'!R16</f>
        <v/>
      </c>
      <c r="AJ13" s="21" t="n"/>
      <c r="AK13" s="41">
        <f>AH13-(AI13+AJ13)</f>
        <v/>
      </c>
      <c r="AL13" s="41">
        <f>'Dec2026-COLLECTION'!K12</f>
        <v/>
      </c>
      <c r="AM13" s="41">
        <f>'Dec2026-EXPENSE'!R16</f>
        <v/>
      </c>
      <c r="AN13" s="21" t="n"/>
      <c r="AO13" s="41">
        <f>AL13-(AM13+AN13)</f>
        <v/>
      </c>
      <c r="AP13" s="41">
        <f>'Jan2027-COLLECTION'!K12</f>
        <v/>
      </c>
      <c r="AQ13" s="41">
        <f>'Jan2027-EXPENSE'!R16</f>
        <v/>
      </c>
      <c r="AR13" s="2" t="n"/>
      <c r="AS13" s="41">
        <f>AP13-(AQ13+AR13)</f>
        <v/>
      </c>
      <c r="AT13" s="41">
        <f>'Feb2027-COLLECTION'!K12</f>
        <v/>
      </c>
      <c r="AU13" s="41">
        <f>'Feb2027-EXPENSE'!R16</f>
        <v/>
      </c>
      <c r="AV13" s="2" t="n"/>
      <c r="AW13" s="41">
        <f>AT13-(AU13+AV13)</f>
        <v/>
      </c>
      <c r="AX13" s="41">
        <f>'Mar2027-COLLECTION'!K12</f>
        <v/>
      </c>
      <c r="AY13" s="41">
        <f>'Mar2027-EXPENSE'!R16</f>
        <v/>
      </c>
      <c r="AZ13" s="2" t="n"/>
      <c r="BA13" s="41">
        <f>AX13-(AY13+AZ13)</f>
        <v/>
      </c>
      <c r="BB13" s="41">
        <f>SUM(F13,J13,N13,R13,V13,Z13,AD13,AH13,AL13,AP13,AT13,AX13)</f>
        <v/>
      </c>
      <c r="BC13" s="41">
        <f>SUM(G13,K13,O13,S13,W13,AA13,AE13,AI13,AM13,AQ13,AU13,AY13)</f>
        <v/>
      </c>
      <c r="BD13" s="41">
        <f>SUM(H13,L13,P13,T13,X13,AB13,AF13,AJ13,AN13,AR13,AV13,AZ13)</f>
        <v/>
      </c>
      <c r="BE13" s="41">
        <f>BB13-(BC13+BD13)</f>
        <v/>
      </c>
      <c r="BF13" s="41">
        <f>E13+BE13</f>
        <v/>
      </c>
      <c r="BG13" s="41" t="n">
        <v>0</v>
      </c>
    </row>
    <row r="14" ht="15.95" customHeight="1">
      <c r="A14" s="36" t="inlineStr">
        <is>
          <t>F12</t>
        </is>
      </c>
      <c r="B14" s="42" t="n"/>
      <c r="C14" s="42" t="inlineStr">
        <is>
          <t>Anirudh Singh</t>
        </is>
      </c>
      <c r="D14" s="43" t="n">
        <v>0</v>
      </c>
      <c r="E14" s="43" t="n">
        <v>0</v>
      </c>
      <c r="F14" s="43">
        <f>'Apr2026-COLLECTION'!K13</f>
        <v/>
      </c>
      <c r="G14" s="43">
        <f>'Apr2026-EXPENSE'!R17</f>
        <v/>
      </c>
      <c r="H14" s="20" t="n"/>
      <c r="I14" s="43">
        <f>F14-(G14+H14)</f>
        <v/>
      </c>
      <c r="J14" s="43">
        <f>'May2026-COLLECTION'!K13</f>
        <v/>
      </c>
      <c r="K14" s="43">
        <f>'May2026-EXPENSE'!R17</f>
        <v/>
      </c>
      <c r="L14" s="21" t="n"/>
      <c r="M14" s="43">
        <f>J14-(K14+L14)</f>
        <v/>
      </c>
      <c r="N14" s="43">
        <f>'June2026-COLLECTION'!K13</f>
        <v/>
      </c>
      <c r="O14" s="43">
        <f>'June2026-EXPENSE'!R17</f>
        <v/>
      </c>
      <c r="P14" s="20" t="n"/>
      <c r="Q14" s="43">
        <f>N14-(O14+P14)</f>
        <v/>
      </c>
      <c r="R14" s="43">
        <f>'July2026-COLLECTION'!K13</f>
        <v/>
      </c>
      <c r="S14" s="43">
        <f>'July2026-EXPENSE'!R17</f>
        <v/>
      </c>
      <c r="T14" s="21" t="n"/>
      <c r="U14" s="43">
        <f>R14-(S14+T14)</f>
        <v/>
      </c>
      <c r="V14" s="43">
        <f>'Aug2026-COLLECTION'!K13</f>
        <v/>
      </c>
      <c r="W14" s="43">
        <f>'Aug2026-EXPENSE'!R17</f>
        <v/>
      </c>
      <c r="X14" s="20" t="n"/>
      <c r="Y14" s="43">
        <f>V14-(W14+X14)</f>
        <v/>
      </c>
      <c r="Z14" s="43">
        <f>'Sep2026-COLLECTION'!K13</f>
        <v/>
      </c>
      <c r="AA14" s="43">
        <f>'Sep2026-EXPENSE'!R17</f>
        <v/>
      </c>
      <c r="AB14" s="21" t="n"/>
      <c r="AC14" s="43">
        <f>Z14-(AA14+AB14)</f>
        <v/>
      </c>
      <c r="AD14" s="43">
        <f>'Oct2026-COLLECTION'!K13</f>
        <v/>
      </c>
      <c r="AE14" s="43">
        <f>'Oct2026-EXPENSE'!R17</f>
        <v/>
      </c>
      <c r="AF14" s="21" t="n"/>
      <c r="AG14" s="43">
        <f>AD14-(AE14+AF14)</f>
        <v/>
      </c>
      <c r="AH14" s="43">
        <f>'Nov2026-COLLECTION'!K13</f>
        <v/>
      </c>
      <c r="AI14" s="43">
        <f>'Nov2026-EXPENSE'!R17</f>
        <v/>
      </c>
      <c r="AJ14" s="21" t="n"/>
      <c r="AK14" s="43">
        <f>AH14-(AI14+AJ14)</f>
        <v/>
      </c>
      <c r="AL14" s="43">
        <f>'Dec2026-COLLECTION'!K13</f>
        <v/>
      </c>
      <c r="AM14" s="43">
        <f>'Dec2026-EXPENSE'!R17</f>
        <v/>
      </c>
      <c r="AN14" s="21" t="n"/>
      <c r="AO14" s="43">
        <f>AL14-(AM14+AN14)</f>
        <v/>
      </c>
      <c r="AP14" s="43">
        <f>'Jan2027-COLLECTION'!K13</f>
        <v/>
      </c>
      <c r="AQ14" s="43">
        <f>'Jan2027-EXPENSE'!R17</f>
        <v/>
      </c>
      <c r="AR14" s="2" t="n"/>
      <c r="AS14" s="43">
        <f>AP14-(AQ14+AR14)</f>
        <v/>
      </c>
      <c r="AT14" s="43">
        <f>'Feb2027-COLLECTION'!K13</f>
        <v/>
      </c>
      <c r="AU14" s="43">
        <f>'Feb2027-EXPENSE'!R17</f>
        <v/>
      </c>
      <c r="AV14" s="2" t="n"/>
      <c r="AW14" s="43">
        <f>AT14-(AU14+AV14)</f>
        <v/>
      </c>
      <c r="AX14" s="43">
        <f>'Mar2027-COLLECTION'!K13</f>
        <v/>
      </c>
      <c r="AY14" s="43">
        <f>'Mar2027-EXPENSE'!R17</f>
        <v/>
      </c>
      <c r="AZ14" s="2" t="n"/>
      <c r="BA14" s="43">
        <f>AX14-(AY14+AZ14)</f>
        <v/>
      </c>
      <c r="BB14" s="43">
        <f>SUM(F14,J14,N14,R14,V14,Z14,AD14,AH14,AL14,AP14,AT14,AX14)</f>
        <v/>
      </c>
      <c r="BC14" s="43">
        <f>SUM(G14,K14,O14,S14,W14,AA14,AE14,AI14,AM14,AQ14,AU14,AY14)</f>
        <v/>
      </c>
      <c r="BD14" s="43">
        <f>SUM(H14,L14,P14,T14,X14,AB14,AF14,AJ14,AN14,AR14,AV14,AZ14)</f>
        <v/>
      </c>
      <c r="BE14" s="43">
        <f>BB14-(BC14+BD14)</f>
        <v/>
      </c>
      <c r="BF14" s="43">
        <f>E14+BE14</f>
        <v/>
      </c>
      <c r="BG14" s="43" t="n">
        <v>0</v>
      </c>
    </row>
    <row r="15" ht="15.95" customHeight="1">
      <c r="A15" s="37" t="inlineStr">
        <is>
          <t>F13</t>
        </is>
      </c>
      <c r="B15" s="40" t="n"/>
      <c r="C15" s="40" t="inlineStr">
        <is>
          <t>Sanchay Saxena</t>
        </is>
      </c>
      <c r="D15" s="41" t="n">
        <v>0</v>
      </c>
      <c r="E15" s="41" t="n">
        <v>0</v>
      </c>
      <c r="F15" s="41">
        <f>'Apr2026-COLLECTION'!K14</f>
        <v/>
      </c>
      <c r="G15" s="41">
        <f>'Apr2026-EXPENSE'!R18</f>
        <v/>
      </c>
      <c r="H15" s="20" t="n"/>
      <c r="I15" s="41">
        <f>F15-(G15+H15)</f>
        <v/>
      </c>
      <c r="J15" s="41">
        <f>'May2026-COLLECTION'!K14</f>
        <v/>
      </c>
      <c r="K15" s="41">
        <f>'May2026-EXPENSE'!R18</f>
        <v/>
      </c>
      <c r="L15" s="41" t="n">
        <v>0</v>
      </c>
      <c r="M15" s="41">
        <f>J15-(K15+L15)</f>
        <v/>
      </c>
      <c r="N15" s="41">
        <f>'June2026-COLLECTION'!K14</f>
        <v/>
      </c>
      <c r="O15" s="41">
        <f>'June2026-EXPENSE'!R18</f>
        <v/>
      </c>
      <c r="P15" s="20" t="n"/>
      <c r="Q15" s="41">
        <f>N15-(O15+P15)</f>
        <v/>
      </c>
      <c r="R15" s="41">
        <f>'July2026-COLLECTION'!K14</f>
        <v/>
      </c>
      <c r="S15" s="41">
        <f>'July2026-EXPENSE'!R18</f>
        <v/>
      </c>
      <c r="T15" s="21" t="n"/>
      <c r="U15" s="41">
        <f>R15-(S15+T15)</f>
        <v/>
      </c>
      <c r="V15" s="41">
        <f>'Aug2026-COLLECTION'!K14</f>
        <v/>
      </c>
      <c r="W15" s="41">
        <f>'Aug2026-EXPENSE'!R18</f>
        <v/>
      </c>
      <c r="X15" s="20" t="n"/>
      <c r="Y15" s="41">
        <f>V15-(W15+X15)</f>
        <v/>
      </c>
      <c r="Z15" s="41">
        <f>'Sep2026-COLLECTION'!K14</f>
        <v/>
      </c>
      <c r="AA15" s="41">
        <f>'Sep2026-EXPENSE'!R18</f>
        <v/>
      </c>
      <c r="AB15" s="21" t="n"/>
      <c r="AC15" s="41">
        <f>Z15-(AA15+AB15)</f>
        <v/>
      </c>
      <c r="AD15" s="41">
        <f>'Oct2026-COLLECTION'!K14</f>
        <v/>
      </c>
      <c r="AE15" s="41">
        <f>'Oct2026-EXPENSE'!R18</f>
        <v/>
      </c>
      <c r="AF15" s="21" t="n"/>
      <c r="AG15" s="41">
        <f>AD15-(AE15+AF15)</f>
        <v/>
      </c>
      <c r="AH15" s="41">
        <f>'Nov2026-COLLECTION'!K14</f>
        <v/>
      </c>
      <c r="AI15" s="41">
        <f>'Nov2026-EXPENSE'!R18</f>
        <v/>
      </c>
      <c r="AJ15" s="21" t="n"/>
      <c r="AK15" s="41">
        <f>AH15-(AI15+AJ15)</f>
        <v/>
      </c>
      <c r="AL15" s="41">
        <f>'Dec2026-COLLECTION'!K14</f>
        <v/>
      </c>
      <c r="AM15" s="41">
        <f>'Dec2026-EXPENSE'!R18</f>
        <v/>
      </c>
      <c r="AN15" s="21" t="n"/>
      <c r="AO15" s="41">
        <f>AL15-(AM15+AN15)</f>
        <v/>
      </c>
      <c r="AP15" s="41">
        <f>'Jan2027-COLLECTION'!K14</f>
        <v/>
      </c>
      <c r="AQ15" s="41">
        <f>'Jan2027-EXPENSE'!R18</f>
        <v/>
      </c>
      <c r="AR15" s="2" t="n"/>
      <c r="AS15" s="41">
        <f>AP15-(AQ15+AR15)</f>
        <v/>
      </c>
      <c r="AT15" s="41">
        <f>'Feb2027-COLLECTION'!K14</f>
        <v/>
      </c>
      <c r="AU15" s="41">
        <f>'Feb2027-EXPENSE'!R18</f>
        <v/>
      </c>
      <c r="AV15" s="2" t="n"/>
      <c r="AW15" s="41">
        <f>AT15-(AU15+AV15)</f>
        <v/>
      </c>
      <c r="AX15" s="41">
        <f>'Mar2027-COLLECTION'!K14</f>
        <v/>
      </c>
      <c r="AY15" s="41">
        <f>'Mar2027-EXPENSE'!R18</f>
        <v/>
      </c>
      <c r="AZ15" s="2" t="n"/>
      <c r="BA15" s="41">
        <f>AX15-(AY15+AZ15)</f>
        <v/>
      </c>
      <c r="BB15" s="41">
        <f>SUM(F15,J15,N15,R15,V15,Z15,AD15,AH15,AL15,AP15,AT15,AX15)</f>
        <v/>
      </c>
      <c r="BC15" s="41">
        <f>SUM(G15,K15,O15,S15,W15,AA15,AE15,AI15,AM15,AQ15,AU15,AY15)</f>
        <v/>
      </c>
      <c r="BD15" s="41">
        <f>SUM(H15,L15,P15,T15,X15,AB15,AF15,AJ15,AN15,AR15,AV15,AZ15)</f>
        <v/>
      </c>
      <c r="BE15" s="41">
        <f>BB15-(BC15+BD15)</f>
        <v/>
      </c>
      <c r="BF15" s="41">
        <f>E15+BE15</f>
        <v/>
      </c>
      <c r="BG15" s="41" t="n">
        <v>0</v>
      </c>
    </row>
    <row r="16" ht="15.95" customHeight="1">
      <c r="A16" s="36" t="inlineStr">
        <is>
          <t>F14</t>
        </is>
      </c>
      <c r="B16" s="42" t="n"/>
      <c r="C16" s="42" t="inlineStr">
        <is>
          <t>Hemant Patel</t>
        </is>
      </c>
      <c r="D16" s="43" t="n">
        <v>0</v>
      </c>
      <c r="E16" s="43" t="n">
        <v>0</v>
      </c>
      <c r="F16" s="43">
        <f>'Apr2026-COLLECTION'!K15</f>
        <v/>
      </c>
      <c r="G16" s="43">
        <f>'Apr2026-EXPENSE'!R19</f>
        <v/>
      </c>
      <c r="H16" s="20" t="n"/>
      <c r="I16" s="43">
        <f>F16-(G16+H16)</f>
        <v/>
      </c>
      <c r="J16" s="43">
        <f>'May2026-COLLECTION'!K15</f>
        <v/>
      </c>
      <c r="K16" s="43">
        <f>'May2026-EXPENSE'!R19</f>
        <v/>
      </c>
      <c r="L16" s="21" t="n"/>
      <c r="M16" s="43">
        <f>J16-(K16+L16)</f>
        <v/>
      </c>
      <c r="N16" s="43">
        <f>'June2026-COLLECTION'!K15</f>
        <v/>
      </c>
      <c r="O16" s="43">
        <f>'June2026-EXPENSE'!R19</f>
        <v/>
      </c>
      <c r="P16" s="20" t="n"/>
      <c r="Q16" s="43">
        <f>N16-(O16+P16)</f>
        <v/>
      </c>
      <c r="R16" s="43">
        <f>'July2026-COLLECTION'!K15</f>
        <v/>
      </c>
      <c r="S16" s="43">
        <f>'July2026-EXPENSE'!R19</f>
        <v/>
      </c>
      <c r="T16" s="21" t="n"/>
      <c r="U16" s="43">
        <f>R16-(S16+T16)</f>
        <v/>
      </c>
      <c r="V16" s="43">
        <f>'Aug2026-COLLECTION'!K15</f>
        <v/>
      </c>
      <c r="W16" s="43">
        <f>'Aug2026-EXPENSE'!R19</f>
        <v/>
      </c>
      <c r="X16" s="20" t="n"/>
      <c r="Y16" s="43">
        <f>V16-(W16+X16)</f>
        <v/>
      </c>
      <c r="Z16" s="43">
        <f>'Sep2026-COLLECTION'!K15</f>
        <v/>
      </c>
      <c r="AA16" s="43">
        <f>'Sep2026-EXPENSE'!R19</f>
        <v/>
      </c>
      <c r="AB16" s="21" t="n"/>
      <c r="AC16" s="43">
        <f>Z16-(AA16+AB16)</f>
        <v/>
      </c>
      <c r="AD16" s="43">
        <f>'Oct2026-COLLECTION'!K15</f>
        <v/>
      </c>
      <c r="AE16" s="43">
        <f>'Oct2026-EXPENSE'!R19</f>
        <v/>
      </c>
      <c r="AF16" s="21" t="n"/>
      <c r="AG16" s="43">
        <f>AD16-(AE16+AF16)</f>
        <v/>
      </c>
      <c r="AH16" s="43">
        <f>'Nov2026-COLLECTION'!K15</f>
        <v/>
      </c>
      <c r="AI16" s="43">
        <f>'Nov2026-EXPENSE'!R19</f>
        <v/>
      </c>
      <c r="AJ16" s="21" t="n"/>
      <c r="AK16" s="43">
        <f>AH16-(AI16+AJ16)</f>
        <v/>
      </c>
      <c r="AL16" s="43">
        <f>'Dec2026-COLLECTION'!K15</f>
        <v/>
      </c>
      <c r="AM16" s="43">
        <f>'Dec2026-EXPENSE'!R19</f>
        <v/>
      </c>
      <c r="AN16" s="21" t="n"/>
      <c r="AO16" s="43">
        <f>AL16-(AM16+AN16)</f>
        <v/>
      </c>
      <c r="AP16" s="43">
        <f>'Jan2027-COLLECTION'!K15</f>
        <v/>
      </c>
      <c r="AQ16" s="43">
        <f>'Jan2027-EXPENSE'!R19</f>
        <v/>
      </c>
      <c r="AR16" s="2" t="n"/>
      <c r="AS16" s="43">
        <f>AP16-(AQ16+AR16)</f>
        <v/>
      </c>
      <c r="AT16" s="43">
        <f>'Feb2027-COLLECTION'!K15</f>
        <v/>
      </c>
      <c r="AU16" s="43">
        <f>'Feb2027-EXPENSE'!R19</f>
        <v/>
      </c>
      <c r="AV16" s="2" t="n"/>
      <c r="AW16" s="43">
        <f>AT16-(AU16+AV16)</f>
        <v/>
      </c>
      <c r="AX16" s="43">
        <f>'Mar2027-COLLECTION'!K15</f>
        <v/>
      </c>
      <c r="AY16" s="43">
        <f>'Mar2027-EXPENSE'!R19</f>
        <v/>
      </c>
      <c r="AZ16" s="2" t="n"/>
      <c r="BA16" s="43">
        <f>AX16-(AY16+AZ16)</f>
        <v/>
      </c>
      <c r="BB16" s="43">
        <f>SUM(F16,J16,N16,R16,V16,Z16,AD16,AH16,AL16,AP16,AT16,AX16)</f>
        <v/>
      </c>
      <c r="BC16" s="43">
        <f>SUM(G16,K16,O16,S16,W16,AA16,AE16,AI16,AM16,AQ16,AU16,AY16)</f>
        <v/>
      </c>
      <c r="BD16" s="43">
        <f>SUM(H16,L16,P16,T16,X16,AB16,AF16,AJ16,AN16,AR16,AV16,AZ16)</f>
        <v/>
      </c>
      <c r="BE16" s="43">
        <f>BB16-(BC16+BD16)</f>
        <v/>
      </c>
      <c r="BF16" s="43">
        <f>E16+BE16</f>
        <v/>
      </c>
      <c r="BG16" s="43" t="n">
        <v>0</v>
      </c>
    </row>
    <row r="17" ht="15.95" customHeight="1">
      <c r="A17" s="37" t="inlineStr">
        <is>
          <t>F15</t>
        </is>
      </c>
      <c r="B17" s="40" t="n"/>
      <c r="C17" s="40" t="inlineStr">
        <is>
          <t>Senthil.Vijayaragavan</t>
        </is>
      </c>
      <c r="D17" s="41" t="n">
        <v>0</v>
      </c>
      <c r="E17" s="41" t="n">
        <v>0</v>
      </c>
      <c r="F17" s="41">
        <f>'Apr2026-COLLECTION'!K16</f>
        <v/>
      </c>
      <c r="G17" s="41">
        <f>'Apr2026-EXPENSE'!R20</f>
        <v/>
      </c>
      <c r="H17" s="20" t="n"/>
      <c r="I17" s="41">
        <f>F17-(G17+H17)</f>
        <v/>
      </c>
      <c r="J17" s="41">
        <f>'May2026-COLLECTION'!K16</f>
        <v/>
      </c>
      <c r="K17" s="41">
        <f>'May2026-EXPENSE'!R20</f>
        <v/>
      </c>
      <c r="L17" s="21" t="n"/>
      <c r="M17" s="41">
        <f>J17-(K17+L17)</f>
        <v/>
      </c>
      <c r="N17" s="41">
        <f>'June2026-COLLECTION'!K16</f>
        <v/>
      </c>
      <c r="O17" s="41">
        <f>'June2026-EXPENSE'!R20</f>
        <v/>
      </c>
      <c r="P17" s="20" t="n"/>
      <c r="Q17" s="41">
        <f>N17-(O17+P17)</f>
        <v/>
      </c>
      <c r="R17" s="41">
        <f>'July2026-COLLECTION'!K16</f>
        <v/>
      </c>
      <c r="S17" s="41">
        <f>'July2026-EXPENSE'!R20</f>
        <v/>
      </c>
      <c r="T17" s="21" t="n"/>
      <c r="U17" s="41">
        <f>R17-(S17+T17)</f>
        <v/>
      </c>
      <c r="V17" s="41">
        <f>'Aug2026-COLLECTION'!K16</f>
        <v/>
      </c>
      <c r="W17" s="41">
        <f>'Aug2026-EXPENSE'!R20</f>
        <v/>
      </c>
      <c r="X17" s="20" t="n"/>
      <c r="Y17" s="41">
        <f>V17-(W17+X17)</f>
        <v/>
      </c>
      <c r="Z17" s="41">
        <f>'Sep2026-COLLECTION'!K16</f>
        <v/>
      </c>
      <c r="AA17" s="41">
        <f>'Sep2026-EXPENSE'!R20</f>
        <v/>
      </c>
      <c r="AB17" s="21" t="n"/>
      <c r="AC17" s="41">
        <f>Z17-(AA17+AB17)</f>
        <v/>
      </c>
      <c r="AD17" s="41">
        <f>'Oct2026-COLLECTION'!K16</f>
        <v/>
      </c>
      <c r="AE17" s="41">
        <f>'Oct2026-EXPENSE'!R20</f>
        <v/>
      </c>
      <c r="AF17" s="21" t="n"/>
      <c r="AG17" s="41">
        <f>AD17-(AE17+AF17)</f>
        <v/>
      </c>
      <c r="AH17" s="41">
        <f>'Nov2026-COLLECTION'!K16</f>
        <v/>
      </c>
      <c r="AI17" s="41">
        <f>'Nov2026-EXPENSE'!R20</f>
        <v/>
      </c>
      <c r="AJ17" s="21" t="n"/>
      <c r="AK17" s="41">
        <f>AH17-(AI17+AJ17)</f>
        <v/>
      </c>
      <c r="AL17" s="41">
        <f>'Dec2026-COLLECTION'!K16</f>
        <v/>
      </c>
      <c r="AM17" s="41">
        <f>'Dec2026-EXPENSE'!R20</f>
        <v/>
      </c>
      <c r="AN17" s="21" t="n"/>
      <c r="AO17" s="41">
        <f>AL17-(AM17+AN17)</f>
        <v/>
      </c>
      <c r="AP17" s="41">
        <f>'Jan2027-COLLECTION'!K16</f>
        <v/>
      </c>
      <c r="AQ17" s="41">
        <f>'Jan2027-EXPENSE'!R20</f>
        <v/>
      </c>
      <c r="AR17" s="2" t="n"/>
      <c r="AS17" s="41">
        <f>AP17-(AQ17+AR17)</f>
        <v/>
      </c>
      <c r="AT17" s="41">
        <f>'Feb2027-COLLECTION'!K16</f>
        <v/>
      </c>
      <c r="AU17" s="41">
        <f>'Feb2027-EXPENSE'!R20</f>
        <v/>
      </c>
      <c r="AV17" s="2" t="n"/>
      <c r="AW17" s="41">
        <f>AT17-(AU17+AV17)</f>
        <v/>
      </c>
      <c r="AX17" s="41">
        <f>'Mar2027-COLLECTION'!K16</f>
        <v/>
      </c>
      <c r="AY17" s="41">
        <f>'Mar2027-EXPENSE'!R20</f>
        <v/>
      </c>
      <c r="AZ17" s="2" t="n"/>
      <c r="BA17" s="41">
        <f>AX17-(AY17+AZ17)</f>
        <v/>
      </c>
      <c r="BB17" s="41">
        <f>SUM(F17,J17,N17,R17,V17,Z17,AD17,AH17,AL17,AP17,AT17,AX17)</f>
        <v/>
      </c>
      <c r="BC17" s="41">
        <f>SUM(G17,K17,O17,S17,W17,AA17,AE17,AI17,AM17,AQ17,AU17,AY17)</f>
        <v/>
      </c>
      <c r="BD17" s="41">
        <f>SUM(H17,L17,P17,T17,X17,AB17,AF17,AJ17,AN17,AR17,AV17,AZ17)</f>
        <v/>
      </c>
      <c r="BE17" s="41">
        <f>BB17-(BC17+BD17)</f>
        <v/>
      </c>
      <c r="BF17" s="41">
        <f>E17+BE17</f>
        <v/>
      </c>
      <c r="BG17" s="41" t="n">
        <v>0</v>
      </c>
    </row>
    <row r="18" ht="15.95" customHeight="1">
      <c r="A18" s="36" t="inlineStr">
        <is>
          <t>F16</t>
        </is>
      </c>
      <c r="B18" s="42" t="n"/>
      <c r="C18" s="42" t="inlineStr">
        <is>
          <t>Sreeja Sudharma</t>
        </is>
      </c>
      <c r="D18" s="43" t="n">
        <v>0</v>
      </c>
      <c r="E18" s="43" t="n">
        <v>0</v>
      </c>
      <c r="F18" s="43">
        <f>'Apr2026-COLLECTION'!K17</f>
        <v/>
      </c>
      <c r="G18" s="43">
        <f>'Apr2026-EXPENSE'!R21</f>
        <v/>
      </c>
      <c r="H18" s="20" t="n"/>
      <c r="I18" s="43">
        <f>F18-(G18+H18)</f>
        <v/>
      </c>
      <c r="J18" s="43">
        <f>'May2026-COLLECTION'!K17</f>
        <v/>
      </c>
      <c r="K18" s="43">
        <f>'May2026-EXPENSE'!R21</f>
        <v/>
      </c>
      <c r="L18" s="21" t="n"/>
      <c r="M18" s="43">
        <f>J18-(K18+L18)</f>
        <v/>
      </c>
      <c r="N18" s="43">
        <f>'June2026-COLLECTION'!K17</f>
        <v/>
      </c>
      <c r="O18" s="43">
        <f>'June2026-EXPENSE'!R21</f>
        <v/>
      </c>
      <c r="P18" s="20" t="n"/>
      <c r="Q18" s="43">
        <f>N18-(O18+P18)</f>
        <v/>
      </c>
      <c r="R18" s="43">
        <f>'July2026-COLLECTION'!K17</f>
        <v/>
      </c>
      <c r="S18" s="43">
        <f>'July2026-EXPENSE'!R21</f>
        <v/>
      </c>
      <c r="T18" s="21" t="n"/>
      <c r="U18" s="43">
        <f>R18-(S18+T18)</f>
        <v/>
      </c>
      <c r="V18" s="43">
        <f>'Aug2026-COLLECTION'!K17</f>
        <v/>
      </c>
      <c r="W18" s="43">
        <f>'Aug2026-EXPENSE'!R21</f>
        <v/>
      </c>
      <c r="X18" s="20" t="n"/>
      <c r="Y18" s="43">
        <f>V18-(W18+X18)</f>
        <v/>
      </c>
      <c r="Z18" s="43">
        <f>'Sep2026-COLLECTION'!K17</f>
        <v/>
      </c>
      <c r="AA18" s="43">
        <f>'Sep2026-EXPENSE'!R21</f>
        <v/>
      </c>
      <c r="AB18" s="21" t="n"/>
      <c r="AC18" s="43">
        <f>Z18-(AA18+AB18)</f>
        <v/>
      </c>
      <c r="AD18" s="43">
        <f>'Oct2026-COLLECTION'!K17</f>
        <v/>
      </c>
      <c r="AE18" s="43">
        <f>'Oct2026-EXPENSE'!R21</f>
        <v/>
      </c>
      <c r="AF18" s="21" t="n"/>
      <c r="AG18" s="43">
        <f>AD18-(AE18+AF18)</f>
        <v/>
      </c>
      <c r="AH18" s="43">
        <f>'Nov2026-COLLECTION'!K17</f>
        <v/>
      </c>
      <c r="AI18" s="43">
        <f>'Nov2026-EXPENSE'!R21</f>
        <v/>
      </c>
      <c r="AJ18" s="21" t="n"/>
      <c r="AK18" s="43">
        <f>AH18-(AI18+AJ18)</f>
        <v/>
      </c>
      <c r="AL18" s="43">
        <f>'Dec2026-COLLECTION'!K17</f>
        <v/>
      </c>
      <c r="AM18" s="43">
        <f>'Dec2026-EXPENSE'!R21</f>
        <v/>
      </c>
      <c r="AN18" s="21" t="n"/>
      <c r="AO18" s="43">
        <f>AL18-(AM18+AN18)</f>
        <v/>
      </c>
      <c r="AP18" s="43">
        <f>'Jan2027-COLLECTION'!K17</f>
        <v/>
      </c>
      <c r="AQ18" s="43">
        <f>'Jan2027-EXPENSE'!R21</f>
        <v/>
      </c>
      <c r="AR18" s="2" t="n"/>
      <c r="AS18" s="43">
        <f>AP18-(AQ18+AR18)</f>
        <v/>
      </c>
      <c r="AT18" s="43">
        <f>'Feb2027-COLLECTION'!K17</f>
        <v/>
      </c>
      <c r="AU18" s="43">
        <f>'Feb2027-EXPENSE'!R21</f>
        <v/>
      </c>
      <c r="AV18" s="2" t="n"/>
      <c r="AW18" s="43">
        <f>AT18-(AU18+AV18)</f>
        <v/>
      </c>
      <c r="AX18" s="43">
        <f>'Mar2027-COLLECTION'!K17</f>
        <v/>
      </c>
      <c r="AY18" s="43">
        <f>'Mar2027-EXPENSE'!R21</f>
        <v/>
      </c>
      <c r="AZ18" s="2" t="n"/>
      <c r="BA18" s="43">
        <f>AX18-(AY18+AZ18)</f>
        <v/>
      </c>
      <c r="BB18" s="43">
        <f>SUM(F18,J18,N18,R18,V18,Z18,AD18,AH18,AL18,AP18,AT18,AX18)</f>
        <v/>
      </c>
      <c r="BC18" s="43">
        <f>SUM(G18,K18,O18,S18,W18,AA18,AE18,AI18,AM18,AQ18,AU18,AY18)</f>
        <v/>
      </c>
      <c r="BD18" s="43">
        <f>SUM(H18,L18,P18,T18,X18,AB18,AF18,AJ18,AN18,AR18,AV18,AZ18)</f>
        <v/>
      </c>
      <c r="BE18" s="43">
        <f>BB18-(BC18+BD18)</f>
        <v/>
      </c>
      <c r="BF18" s="43">
        <f>E18+BE18</f>
        <v/>
      </c>
      <c r="BG18" s="43" t="n">
        <v>0</v>
      </c>
    </row>
    <row r="19" ht="15.95" customHeight="1">
      <c r="A19" s="37" t="inlineStr">
        <is>
          <t>G1</t>
        </is>
      </c>
      <c r="B19" s="40" t="inlineStr">
        <is>
          <t>jyothij1979@gmail.com</t>
        </is>
      </c>
      <c r="C19" s="40" t="inlineStr">
        <is>
          <t>Venkataramanan C</t>
        </is>
      </c>
      <c r="D19" s="41" t="n">
        <v>0</v>
      </c>
      <c r="E19" s="41" t="n">
        <v>0</v>
      </c>
      <c r="F19" s="41">
        <f>'Apr2026-COLLECTION'!K18</f>
        <v/>
      </c>
      <c r="G19" s="41">
        <f>'Apr2026-EXPENSE'!R22</f>
        <v/>
      </c>
      <c r="H19" s="20" t="n"/>
      <c r="I19" s="41">
        <f>F19-(G19+H19)</f>
        <v/>
      </c>
      <c r="J19" s="41">
        <f>'May2026-COLLECTION'!K18</f>
        <v/>
      </c>
      <c r="K19" s="41">
        <f>'May2026-EXPENSE'!R22</f>
        <v/>
      </c>
      <c r="L19" s="21" t="n"/>
      <c r="M19" s="41">
        <f>J19-(K19+L19)</f>
        <v/>
      </c>
      <c r="N19" s="41">
        <f>'June2026-COLLECTION'!K18</f>
        <v/>
      </c>
      <c r="O19" s="41">
        <f>'June2026-EXPENSE'!R22</f>
        <v/>
      </c>
      <c r="P19" s="20" t="n"/>
      <c r="Q19" s="41">
        <f>N19-(O19+P19)</f>
        <v/>
      </c>
      <c r="R19" s="41">
        <f>'July2026-COLLECTION'!K18</f>
        <v/>
      </c>
      <c r="S19" s="41">
        <f>'July2026-EXPENSE'!R22</f>
        <v/>
      </c>
      <c r="T19" s="21" t="n"/>
      <c r="U19" s="41">
        <f>R19-(S19+T19)</f>
        <v/>
      </c>
      <c r="V19" s="41">
        <f>'Aug2026-COLLECTION'!K18</f>
        <v/>
      </c>
      <c r="W19" s="41">
        <f>'Aug2026-EXPENSE'!R22</f>
        <v/>
      </c>
      <c r="X19" s="20" t="n"/>
      <c r="Y19" s="41">
        <f>V19-(W19+X19)</f>
        <v/>
      </c>
      <c r="Z19" s="41">
        <f>'Sep2026-COLLECTION'!K18</f>
        <v/>
      </c>
      <c r="AA19" s="41">
        <f>'Sep2026-EXPENSE'!R22</f>
        <v/>
      </c>
      <c r="AB19" s="21" t="n"/>
      <c r="AC19" s="41">
        <f>Z19-(AA19+AB19)</f>
        <v/>
      </c>
      <c r="AD19" s="41">
        <f>'Oct2026-COLLECTION'!K18</f>
        <v/>
      </c>
      <c r="AE19" s="41">
        <f>'Oct2026-EXPENSE'!R22</f>
        <v/>
      </c>
      <c r="AF19" s="21" t="n"/>
      <c r="AG19" s="41">
        <f>AD19-(AE19+AF19)</f>
        <v/>
      </c>
      <c r="AH19" s="41">
        <f>'Nov2026-COLLECTION'!K18</f>
        <v/>
      </c>
      <c r="AI19" s="41">
        <f>'Nov2026-EXPENSE'!R22</f>
        <v/>
      </c>
      <c r="AJ19" s="21" t="n"/>
      <c r="AK19" s="41">
        <f>AH19-(AI19+AJ19)</f>
        <v/>
      </c>
      <c r="AL19" s="41">
        <f>'Dec2026-COLLECTION'!K18</f>
        <v/>
      </c>
      <c r="AM19" s="41">
        <f>'Dec2026-EXPENSE'!R22</f>
        <v/>
      </c>
      <c r="AN19" s="21" t="n"/>
      <c r="AO19" s="41">
        <f>AL19-(AM19+AN19)</f>
        <v/>
      </c>
      <c r="AP19" s="41">
        <f>'Jan2027-COLLECTION'!K18</f>
        <v/>
      </c>
      <c r="AQ19" s="41">
        <f>'Jan2027-EXPENSE'!R22</f>
        <v/>
      </c>
      <c r="AR19" s="2" t="n"/>
      <c r="AS19" s="41">
        <f>AP19-(AQ19+AR19)</f>
        <v/>
      </c>
      <c r="AT19" s="41">
        <f>'Feb2027-COLLECTION'!K18</f>
        <v/>
      </c>
      <c r="AU19" s="41">
        <f>'Feb2027-EXPENSE'!R22</f>
        <v/>
      </c>
      <c r="AV19" s="2" t="n"/>
      <c r="AW19" s="41">
        <f>AT19-(AU19+AV19)</f>
        <v/>
      </c>
      <c r="AX19" s="41">
        <f>'Mar2027-COLLECTION'!K18</f>
        <v/>
      </c>
      <c r="AY19" s="41">
        <f>'Mar2027-EXPENSE'!R22</f>
        <v/>
      </c>
      <c r="AZ19" s="2" t="n"/>
      <c r="BA19" s="41">
        <f>AX19-(AY19+AZ19)</f>
        <v/>
      </c>
      <c r="BB19" s="41">
        <f>SUM(F19,J19,N19,R19,V19,Z19,AD19,AH19,AL19,AP19,AT19,AX19)</f>
        <v/>
      </c>
      <c r="BC19" s="41">
        <f>SUM(G19,K19,O19,S19,W19,AA19,AE19,AI19,AM19,AQ19,AU19,AY19)</f>
        <v/>
      </c>
      <c r="BD19" s="41">
        <f>SUM(H19,L19,P19,T19,X19,AB19,AF19,AJ19,AN19,AR19,AV19,AZ19)</f>
        <v/>
      </c>
      <c r="BE19" s="41">
        <f>BB19-(BC19+BD19)</f>
        <v/>
      </c>
      <c r="BF19" s="41">
        <f>E19+BE19</f>
        <v/>
      </c>
      <c r="BG19" s="41" t="n">
        <v>0</v>
      </c>
    </row>
    <row r="20" ht="15.95" customHeight="1">
      <c r="A20" s="36" t="inlineStr">
        <is>
          <t>G2</t>
        </is>
      </c>
      <c r="B20" s="42" t="n"/>
      <c r="C20" s="42" t="inlineStr">
        <is>
          <t>Kaushik Kasibhatla</t>
        </is>
      </c>
      <c r="D20" s="43" t="n">
        <v>0</v>
      </c>
      <c r="E20" s="43" t="n">
        <v>0</v>
      </c>
      <c r="F20" s="43">
        <f>'Apr2026-COLLECTION'!K19</f>
        <v/>
      </c>
      <c r="G20" s="43">
        <f>'Apr2026-EXPENSE'!R23</f>
        <v/>
      </c>
      <c r="H20" s="20" t="n"/>
      <c r="I20" s="43">
        <f>F20-(G20+H20)</f>
        <v/>
      </c>
      <c r="J20" s="43">
        <f>'May2026-COLLECTION'!K19</f>
        <v/>
      </c>
      <c r="K20" s="43">
        <f>'May2026-EXPENSE'!R23</f>
        <v/>
      </c>
      <c r="L20" s="21" t="n"/>
      <c r="M20" s="43">
        <f>J20-(K20+L20)</f>
        <v/>
      </c>
      <c r="N20" s="43">
        <f>'June2026-COLLECTION'!K19</f>
        <v/>
      </c>
      <c r="O20" s="43">
        <f>'June2026-EXPENSE'!R23</f>
        <v/>
      </c>
      <c r="P20" s="20" t="n"/>
      <c r="Q20" s="43">
        <f>N20-(O20+P20)</f>
        <v/>
      </c>
      <c r="R20" s="43">
        <f>'July2026-COLLECTION'!K19</f>
        <v/>
      </c>
      <c r="S20" s="43">
        <f>'July2026-EXPENSE'!R23</f>
        <v/>
      </c>
      <c r="T20" s="21" t="n"/>
      <c r="U20" s="43">
        <f>R20-(S20+T20)</f>
        <v/>
      </c>
      <c r="V20" s="43">
        <f>'Aug2026-COLLECTION'!K19</f>
        <v/>
      </c>
      <c r="W20" s="43">
        <f>'Aug2026-EXPENSE'!R23</f>
        <v/>
      </c>
      <c r="X20" s="20" t="n"/>
      <c r="Y20" s="43">
        <f>V20-(W20+X20)</f>
        <v/>
      </c>
      <c r="Z20" s="43">
        <f>'Sep2026-COLLECTION'!K19</f>
        <v/>
      </c>
      <c r="AA20" s="43">
        <f>'Sep2026-EXPENSE'!R23</f>
        <v/>
      </c>
      <c r="AB20" s="21" t="n"/>
      <c r="AC20" s="43">
        <f>Z20-(AA20+AB20)</f>
        <v/>
      </c>
      <c r="AD20" s="43">
        <f>'Oct2026-COLLECTION'!K19</f>
        <v/>
      </c>
      <c r="AE20" s="43">
        <f>'Oct2026-EXPENSE'!R23</f>
        <v/>
      </c>
      <c r="AF20" s="21" t="n"/>
      <c r="AG20" s="43">
        <f>AD20-(AE20+AF20)</f>
        <v/>
      </c>
      <c r="AH20" s="43">
        <f>'Nov2026-COLLECTION'!K19</f>
        <v/>
      </c>
      <c r="AI20" s="43">
        <f>'Nov2026-EXPENSE'!R23</f>
        <v/>
      </c>
      <c r="AJ20" s="21" t="n"/>
      <c r="AK20" s="43">
        <f>AH20-(AI20+AJ20)</f>
        <v/>
      </c>
      <c r="AL20" s="43">
        <f>'Dec2026-COLLECTION'!K19</f>
        <v/>
      </c>
      <c r="AM20" s="43">
        <f>'Dec2026-EXPENSE'!R23</f>
        <v/>
      </c>
      <c r="AN20" s="21" t="n"/>
      <c r="AO20" s="43">
        <f>AL20-(AM20+AN20)</f>
        <v/>
      </c>
      <c r="AP20" s="43">
        <f>'Jan2027-COLLECTION'!K19</f>
        <v/>
      </c>
      <c r="AQ20" s="43">
        <f>'Jan2027-EXPENSE'!R23</f>
        <v/>
      </c>
      <c r="AR20" s="2" t="n"/>
      <c r="AS20" s="43">
        <f>AP20-(AQ20+AR20)</f>
        <v/>
      </c>
      <c r="AT20" s="43">
        <f>'Feb2027-COLLECTION'!K19</f>
        <v/>
      </c>
      <c r="AU20" s="43">
        <f>'Feb2027-EXPENSE'!R23</f>
        <v/>
      </c>
      <c r="AV20" s="2" t="n"/>
      <c r="AW20" s="43">
        <f>AT20-(AU20+AV20)</f>
        <v/>
      </c>
      <c r="AX20" s="43">
        <f>'Mar2027-COLLECTION'!K19</f>
        <v/>
      </c>
      <c r="AY20" s="43">
        <f>'Mar2027-EXPENSE'!R23</f>
        <v/>
      </c>
      <c r="AZ20" s="2" t="n"/>
      <c r="BA20" s="43">
        <f>AX20-(AY20+AZ20)</f>
        <v/>
      </c>
      <c r="BB20" s="43">
        <f>SUM(F20,J20,N20,R20,V20,Z20,AD20,AH20,AL20,AP20,AT20,AX20)</f>
        <v/>
      </c>
      <c r="BC20" s="43">
        <f>SUM(G20,K20,O20,S20,W20,AA20,AE20,AI20,AM20,AQ20,AU20,AY20)</f>
        <v/>
      </c>
      <c r="BD20" s="43">
        <f>SUM(H20,L20,P20,T20,X20,AB20,AF20,AJ20,AN20,AR20,AV20,AZ20)</f>
        <v/>
      </c>
      <c r="BE20" s="43">
        <f>BB20-(BC20+BD20)</f>
        <v/>
      </c>
      <c r="BF20" s="43">
        <f>E20+BE20</f>
        <v/>
      </c>
      <c r="BG20" s="43" t="n">
        <v>0</v>
      </c>
    </row>
    <row r="21" ht="15.75" customHeight="1">
      <c r="A21" s="37" t="inlineStr">
        <is>
          <t>G3</t>
        </is>
      </c>
      <c r="B21" s="40" t="n"/>
      <c r="C21" s="40" t="inlineStr">
        <is>
          <t>Balakrishnan</t>
        </is>
      </c>
      <c r="D21" s="41" t="n">
        <v>0</v>
      </c>
      <c r="E21" s="41" t="n">
        <v>0</v>
      </c>
      <c r="F21" s="41">
        <f>'Apr2026-COLLECTION'!K20</f>
        <v/>
      </c>
      <c r="G21" s="41">
        <f>'Apr2026-EXPENSE'!R24</f>
        <v/>
      </c>
      <c r="H21" s="20" t="n"/>
      <c r="I21" s="41">
        <f>F21-(G21+H21)</f>
        <v/>
      </c>
      <c r="J21" s="41">
        <f>'May2026-COLLECTION'!K20</f>
        <v/>
      </c>
      <c r="K21" s="41">
        <f>'May2026-EXPENSE'!R24</f>
        <v/>
      </c>
      <c r="L21" s="21" t="n"/>
      <c r="M21" s="41">
        <f>J21-(K21+L21)</f>
        <v/>
      </c>
      <c r="N21" s="41">
        <f>'June2026-COLLECTION'!K20</f>
        <v/>
      </c>
      <c r="O21" s="41">
        <f>'June2026-EXPENSE'!R24</f>
        <v/>
      </c>
      <c r="P21" s="20" t="n"/>
      <c r="Q21" s="41">
        <f>N21-(O21+P21)</f>
        <v/>
      </c>
      <c r="R21" s="41">
        <f>'July2026-COLLECTION'!K20</f>
        <v/>
      </c>
      <c r="S21" s="41">
        <f>'July2026-EXPENSE'!R24</f>
        <v/>
      </c>
      <c r="T21" s="21" t="n"/>
      <c r="U21" s="41">
        <f>R21-(S21+T21)</f>
        <v/>
      </c>
      <c r="V21" s="41">
        <f>'Aug2026-COLLECTION'!K20</f>
        <v/>
      </c>
      <c r="W21" s="41">
        <f>'Aug2026-EXPENSE'!R24</f>
        <v/>
      </c>
      <c r="X21" s="20" t="n"/>
      <c r="Y21" s="41">
        <f>V21-(W21+X21)</f>
        <v/>
      </c>
      <c r="Z21" s="41">
        <f>'Sep2026-COLLECTION'!K20</f>
        <v/>
      </c>
      <c r="AA21" s="41">
        <f>'Sep2026-EXPENSE'!R24</f>
        <v/>
      </c>
      <c r="AB21" s="21" t="n"/>
      <c r="AC21" s="41">
        <f>Z21-(AA21+AB21)</f>
        <v/>
      </c>
      <c r="AD21" s="41">
        <f>'Oct2026-COLLECTION'!K20</f>
        <v/>
      </c>
      <c r="AE21" s="41">
        <f>'Oct2026-EXPENSE'!R24</f>
        <v/>
      </c>
      <c r="AF21" s="21" t="n"/>
      <c r="AG21" s="41">
        <f>AD21-(AE21+AF21)</f>
        <v/>
      </c>
      <c r="AH21" s="41">
        <f>'Nov2026-COLLECTION'!K20</f>
        <v/>
      </c>
      <c r="AI21" s="41">
        <f>'Nov2026-EXPENSE'!R24</f>
        <v/>
      </c>
      <c r="AJ21" s="21" t="n"/>
      <c r="AK21" s="41">
        <f>AH21-(AI21+AJ21)</f>
        <v/>
      </c>
      <c r="AL21" s="41">
        <f>'Dec2026-COLLECTION'!K20</f>
        <v/>
      </c>
      <c r="AM21" s="41">
        <f>'Dec2026-EXPENSE'!R24</f>
        <v/>
      </c>
      <c r="AN21" s="21" t="n"/>
      <c r="AO21" s="41">
        <f>AL21-(AM21+AN21)</f>
        <v/>
      </c>
      <c r="AP21" s="41">
        <f>'Jan2027-COLLECTION'!K20</f>
        <v/>
      </c>
      <c r="AQ21" s="41">
        <f>'Jan2027-EXPENSE'!R24</f>
        <v/>
      </c>
      <c r="AR21" s="2" t="n"/>
      <c r="AS21" s="41">
        <f>AP21-(AQ21+AR21)</f>
        <v/>
      </c>
      <c r="AT21" s="41">
        <f>'Feb2027-COLLECTION'!K20</f>
        <v/>
      </c>
      <c r="AU21" s="41">
        <f>'Feb2027-EXPENSE'!R24</f>
        <v/>
      </c>
      <c r="AV21" s="2" t="n"/>
      <c r="AW21" s="41">
        <f>AT21-(AU21+AV21)</f>
        <v/>
      </c>
      <c r="AX21" s="41">
        <f>'Mar2027-COLLECTION'!K20</f>
        <v/>
      </c>
      <c r="AY21" s="41">
        <f>'Mar2027-EXPENSE'!R24</f>
        <v/>
      </c>
      <c r="AZ21" s="2" t="n"/>
      <c r="BA21" s="41">
        <f>AX21-(AY21+AZ21)</f>
        <v/>
      </c>
      <c r="BB21" s="41">
        <f>SUM(F21,J21,N21,R21,V21,Z21,AD21,AH21,AL21,AP21,AT21,AX21)</f>
        <v/>
      </c>
      <c r="BC21" s="41">
        <f>SUM(G21,K21,O21,S21,W21,AA21,AE21,AI21,AM21,AQ21,AU21,AY21)</f>
        <v/>
      </c>
      <c r="BD21" s="41">
        <f>SUM(H21,L21,P21,T21,X21,AB21,AF21,AJ21,AN21,AR21,AV21,AZ21)</f>
        <v/>
      </c>
      <c r="BE21" s="41">
        <f>BB21-(BC21+BD21)</f>
        <v/>
      </c>
      <c r="BF21" s="41">
        <f>E21+BE21</f>
        <v/>
      </c>
      <c r="BG21" s="41" t="n">
        <v>0</v>
      </c>
    </row>
    <row r="22" ht="15.75" customHeight="1">
      <c r="A22" s="36" t="inlineStr">
        <is>
          <t>G4</t>
        </is>
      </c>
      <c r="B22" s="42" t="n"/>
      <c r="C22" s="42" t="inlineStr">
        <is>
          <t>Ashwin Pandith</t>
        </is>
      </c>
      <c r="D22" s="43" t="n">
        <v>0</v>
      </c>
      <c r="E22" s="43" t="n">
        <v>0</v>
      </c>
      <c r="F22" s="43">
        <f>'Apr2026-COLLECTION'!K21</f>
        <v/>
      </c>
      <c r="G22" s="43">
        <f>'Apr2026-EXPENSE'!R25</f>
        <v/>
      </c>
      <c r="H22" s="20" t="n"/>
      <c r="I22" s="43">
        <f>F22-(G22+H22)</f>
        <v/>
      </c>
      <c r="J22" s="43">
        <f>'May2026-COLLECTION'!K21</f>
        <v/>
      </c>
      <c r="K22" s="43">
        <f>'May2026-EXPENSE'!R25</f>
        <v/>
      </c>
      <c r="L22" s="21" t="n"/>
      <c r="M22" s="43">
        <f>J22-(K22+L22)</f>
        <v/>
      </c>
      <c r="N22" s="43">
        <f>'June2026-COLLECTION'!K21</f>
        <v/>
      </c>
      <c r="O22" s="43">
        <f>'June2026-EXPENSE'!R25</f>
        <v/>
      </c>
      <c r="P22" s="20" t="n"/>
      <c r="Q22" s="43">
        <f>N22-(O22+P22)</f>
        <v/>
      </c>
      <c r="R22" s="43">
        <f>'July2026-COLLECTION'!K21</f>
        <v/>
      </c>
      <c r="S22" s="43">
        <f>'July2026-EXPENSE'!R25</f>
        <v/>
      </c>
      <c r="T22" s="21" t="n"/>
      <c r="U22" s="43">
        <f>R22-(S22+T22)</f>
        <v/>
      </c>
      <c r="V22" s="43">
        <f>'Aug2026-COLLECTION'!K21</f>
        <v/>
      </c>
      <c r="W22" s="43">
        <f>'Aug2026-EXPENSE'!R25</f>
        <v/>
      </c>
      <c r="X22" s="20" t="n"/>
      <c r="Y22" s="43">
        <f>V22-(W22+X22)</f>
        <v/>
      </c>
      <c r="Z22" s="43">
        <f>'Sep2026-COLLECTION'!K21</f>
        <v/>
      </c>
      <c r="AA22" s="43">
        <f>'Sep2026-EXPENSE'!R25</f>
        <v/>
      </c>
      <c r="AB22" s="21" t="n"/>
      <c r="AC22" s="43">
        <f>Z22-(AA22+AB22)</f>
        <v/>
      </c>
      <c r="AD22" s="43">
        <f>'Oct2026-COLLECTION'!K21</f>
        <v/>
      </c>
      <c r="AE22" s="43">
        <f>'Oct2026-EXPENSE'!R25</f>
        <v/>
      </c>
      <c r="AF22" s="21" t="n"/>
      <c r="AG22" s="43">
        <f>AD22-(AE22+AF22)</f>
        <v/>
      </c>
      <c r="AH22" s="43">
        <f>'Nov2026-COLLECTION'!K21</f>
        <v/>
      </c>
      <c r="AI22" s="43">
        <f>'Nov2026-EXPENSE'!R25</f>
        <v/>
      </c>
      <c r="AJ22" s="21" t="n"/>
      <c r="AK22" s="43">
        <f>AH22-(AI22+AJ22)</f>
        <v/>
      </c>
      <c r="AL22" s="43">
        <f>'Dec2026-COLLECTION'!K21</f>
        <v/>
      </c>
      <c r="AM22" s="43">
        <f>'Dec2026-EXPENSE'!R25</f>
        <v/>
      </c>
      <c r="AN22" s="21" t="n"/>
      <c r="AO22" s="43">
        <f>AL22-(AM22+AN22)</f>
        <v/>
      </c>
      <c r="AP22" s="43">
        <f>'Jan2027-COLLECTION'!K21</f>
        <v/>
      </c>
      <c r="AQ22" s="43">
        <f>'Jan2027-EXPENSE'!R25</f>
        <v/>
      </c>
      <c r="AR22" s="2" t="n"/>
      <c r="AS22" s="43">
        <f>AP22-(AQ22+AR22)</f>
        <v/>
      </c>
      <c r="AT22" s="43">
        <f>'Feb2027-COLLECTION'!K21</f>
        <v/>
      </c>
      <c r="AU22" s="43">
        <f>'Feb2027-EXPENSE'!R25</f>
        <v/>
      </c>
      <c r="AV22" s="2" t="n"/>
      <c r="AW22" s="43">
        <f>AT22-(AU22+AV22)</f>
        <v/>
      </c>
      <c r="AX22" s="43">
        <f>'Mar2027-COLLECTION'!K21</f>
        <v/>
      </c>
      <c r="AY22" s="43">
        <f>'Mar2027-EXPENSE'!R25</f>
        <v/>
      </c>
      <c r="AZ22" s="2" t="n"/>
      <c r="BA22" s="43">
        <f>AX22-(AY22+AZ22)</f>
        <v/>
      </c>
      <c r="BB22" s="43">
        <f>SUM(F22,J22,N22,R22,V22,Z22,AD22,AH22,AL22,AP22,AT22,AX22)</f>
        <v/>
      </c>
      <c r="BC22" s="43">
        <f>SUM(G22,K22,O22,S22,W22,AA22,AE22,AI22,AM22,AQ22,AU22,AY22)</f>
        <v/>
      </c>
      <c r="BD22" s="43">
        <f>SUM(H22,L22,P22,T22,X22,AB22,AF22,AJ22,AN22,AR22,AV22,AZ22)</f>
        <v/>
      </c>
      <c r="BE22" s="43">
        <f>BB22-(BC22+BD22)</f>
        <v/>
      </c>
      <c r="BF22" s="43">
        <f>E22+BE22</f>
        <v/>
      </c>
      <c r="BG22" s="43" t="n">
        <v>0</v>
      </c>
    </row>
    <row r="23" ht="15.75" customHeight="1">
      <c r="A23" s="37" t="inlineStr">
        <is>
          <t>G5</t>
        </is>
      </c>
      <c r="B23" s="40" t="n"/>
      <c r="C23" s="40" t="inlineStr">
        <is>
          <t>Mayank Phophaliya</t>
        </is>
      </c>
      <c r="D23" s="41" t="n">
        <v>0</v>
      </c>
      <c r="E23" s="41" t="n">
        <v>0</v>
      </c>
      <c r="F23" s="41">
        <f>'Apr2026-COLLECTION'!K22</f>
        <v/>
      </c>
      <c r="G23" s="41">
        <f>'Apr2026-EXPENSE'!R26</f>
        <v/>
      </c>
      <c r="H23" s="20" t="n"/>
      <c r="I23" s="41">
        <f>F23-(G23+H23)</f>
        <v/>
      </c>
      <c r="J23" s="41">
        <f>'May2026-COLLECTION'!K22</f>
        <v/>
      </c>
      <c r="K23" s="41">
        <f>'May2026-EXPENSE'!R26</f>
        <v/>
      </c>
      <c r="L23" s="21" t="n"/>
      <c r="M23" s="41">
        <f>J23-(K23+L23)</f>
        <v/>
      </c>
      <c r="N23" s="41">
        <f>'June2026-COLLECTION'!K22</f>
        <v/>
      </c>
      <c r="O23" s="41">
        <f>'June2026-EXPENSE'!R26</f>
        <v/>
      </c>
      <c r="P23" s="20" t="n"/>
      <c r="Q23" s="41">
        <f>N23-(O23+P23)</f>
        <v/>
      </c>
      <c r="R23" s="41">
        <f>'July2026-COLLECTION'!K22</f>
        <v/>
      </c>
      <c r="S23" s="41">
        <f>'July2026-EXPENSE'!R26</f>
        <v/>
      </c>
      <c r="T23" s="21" t="n"/>
      <c r="U23" s="41">
        <f>R23-(S23+T23)</f>
        <v/>
      </c>
      <c r="V23" s="41">
        <f>'Aug2026-COLLECTION'!K22</f>
        <v/>
      </c>
      <c r="W23" s="41">
        <f>'Aug2026-EXPENSE'!R26</f>
        <v/>
      </c>
      <c r="X23" s="20" t="n"/>
      <c r="Y23" s="41">
        <f>V23-(W23+X23)</f>
        <v/>
      </c>
      <c r="Z23" s="41">
        <f>'Sep2026-COLLECTION'!K22</f>
        <v/>
      </c>
      <c r="AA23" s="41">
        <f>'Sep2026-EXPENSE'!R26</f>
        <v/>
      </c>
      <c r="AB23" s="21" t="n"/>
      <c r="AC23" s="41">
        <f>Z23-(AA23+AB23)</f>
        <v/>
      </c>
      <c r="AD23" s="41">
        <f>'Oct2026-COLLECTION'!K22</f>
        <v/>
      </c>
      <c r="AE23" s="41">
        <f>'Oct2026-EXPENSE'!R26</f>
        <v/>
      </c>
      <c r="AF23" s="21" t="n"/>
      <c r="AG23" s="41">
        <f>AD23-(AE23+AF23)</f>
        <v/>
      </c>
      <c r="AH23" s="41">
        <f>'Nov2026-COLLECTION'!K22</f>
        <v/>
      </c>
      <c r="AI23" s="41">
        <f>'Nov2026-EXPENSE'!R26</f>
        <v/>
      </c>
      <c r="AJ23" s="21" t="n"/>
      <c r="AK23" s="41">
        <f>AH23-(AI23+AJ23)</f>
        <v/>
      </c>
      <c r="AL23" s="41">
        <f>'Dec2026-COLLECTION'!K22</f>
        <v/>
      </c>
      <c r="AM23" s="41">
        <f>'Dec2026-EXPENSE'!R26</f>
        <v/>
      </c>
      <c r="AN23" s="21" t="n"/>
      <c r="AO23" s="41">
        <f>AL23-(AM23+AN23)</f>
        <v/>
      </c>
      <c r="AP23" s="41">
        <f>'Jan2027-COLLECTION'!K22</f>
        <v/>
      </c>
      <c r="AQ23" s="41">
        <f>'Jan2027-EXPENSE'!R26</f>
        <v/>
      </c>
      <c r="AR23" s="2" t="n"/>
      <c r="AS23" s="41">
        <f>AP23-(AQ23+AR23)</f>
        <v/>
      </c>
      <c r="AT23" s="41">
        <f>'Feb2027-COLLECTION'!K22</f>
        <v/>
      </c>
      <c r="AU23" s="41">
        <f>'Feb2027-EXPENSE'!R26</f>
        <v/>
      </c>
      <c r="AV23" s="2" t="n"/>
      <c r="AW23" s="41">
        <f>AT23-(AU23+AV23)</f>
        <v/>
      </c>
      <c r="AX23" s="41">
        <f>'Mar2027-COLLECTION'!K22</f>
        <v/>
      </c>
      <c r="AY23" s="41">
        <f>'Mar2027-EXPENSE'!R26</f>
        <v/>
      </c>
      <c r="AZ23" s="2" t="n"/>
      <c r="BA23" s="41">
        <f>AX23-(AY23+AZ23)</f>
        <v/>
      </c>
      <c r="BB23" s="41">
        <f>SUM(F23,J23,N23,R23,V23,Z23,AD23,AH23,AL23,AP23,AT23,AX23)</f>
        <v/>
      </c>
      <c r="BC23" s="41">
        <f>SUM(G23,K23,O23,S23,W23,AA23,AE23,AI23,AM23,AQ23,AU23,AY23)</f>
        <v/>
      </c>
      <c r="BD23" s="41">
        <f>SUM(H23,L23,P23,T23,X23,AB23,AF23,AJ23,AN23,AR23,AV23,AZ23)</f>
        <v/>
      </c>
      <c r="BE23" s="41">
        <f>BB23-(BC23+BD23)</f>
        <v/>
      </c>
      <c r="BF23" s="41">
        <f>E23+BE23</f>
        <v/>
      </c>
      <c r="BG23" s="41" t="n">
        <v>0</v>
      </c>
    </row>
    <row r="24" ht="15.75" customHeight="1">
      <c r="A24" s="36" t="inlineStr">
        <is>
          <t>G6</t>
        </is>
      </c>
      <c r="B24" s="42" t="n"/>
      <c r="C24" s="42" t="inlineStr">
        <is>
          <t>Srinath / Tenant - Mohit Daga</t>
        </is>
      </c>
      <c r="D24" s="43" t="n">
        <v>0</v>
      </c>
      <c r="E24" s="43">
        <f>-87741.03+10034+15000-9500-9500</f>
        <v/>
      </c>
      <c r="F24" s="43">
        <f>'Apr2026-COLLECTION'!K23</f>
        <v/>
      </c>
      <c r="G24" s="43">
        <f>'Apr2026-EXPENSE'!R27</f>
        <v/>
      </c>
      <c r="H24" s="20" t="n"/>
      <c r="I24" s="43">
        <f>F24-(G24+H24)</f>
        <v/>
      </c>
      <c r="J24" s="43">
        <f>'May2026-COLLECTION'!K23</f>
        <v/>
      </c>
      <c r="K24" s="43">
        <f>'May2026-EXPENSE'!R27</f>
        <v/>
      </c>
      <c r="L24" s="43" t="n">
        <v>0</v>
      </c>
      <c r="M24" s="43">
        <f>J24-(K24+L24)</f>
        <v/>
      </c>
      <c r="N24" s="43">
        <f>'June2026-COLLECTION'!K23</f>
        <v/>
      </c>
      <c r="O24" s="43">
        <f>'June2026-EXPENSE'!R27</f>
        <v/>
      </c>
      <c r="P24" s="20" t="n"/>
      <c r="Q24" s="43">
        <f>N24-(O24+P24)</f>
        <v/>
      </c>
      <c r="R24" s="43">
        <f>'July2026-COLLECTION'!K23</f>
        <v/>
      </c>
      <c r="S24" s="43">
        <f>'July2026-EXPENSE'!R27</f>
        <v/>
      </c>
      <c r="T24" s="21" t="n"/>
      <c r="U24" s="43">
        <f>R24-(S24+T24)</f>
        <v/>
      </c>
      <c r="V24" s="43">
        <f>'Aug2026-COLLECTION'!K23</f>
        <v/>
      </c>
      <c r="W24" s="43">
        <f>'Aug2026-EXPENSE'!R27</f>
        <v/>
      </c>
      <c r="X24" s="20" t="n"/>
      <c r="Y24" s="43">
        <f>V24-(W24+X24)</f>
        <v/>
      </c>
      <c r="Z24" s="43">
        <f>'Sep2026-COLLECTION'!K23</f>
        <v/>
      </c>
      <c r="AA24" s="43">
        <f>'Sep2026-EXPENSE'!R27</f>
        <v/>
      </c>
      <c r="AB24" s="21" t="n"/>
      <c r="AC24" s="43">
        <f>Z24-(AA24+AB24)</f>
        <v/>
      </c>
      <c r="AD24" s="43">
        <f>'Oct2026-COLLECTION'!K23</f>
        <v/>
      </c>
      <c r="AE24" s="43">
        <f>'Oct2026-EXPENSE'!R27</f>
        <v/>
      </c>
      <c r="AF24" s="21" t="n"/>
      <c r="AG24" s="43">
        <f>AD24-(AE24+AF24)</f>
        <v/>
      </c>
      <c r="AH24" s="43">
        <f>'Nov2026-COLLECTION'!K23</f>
        <v/>
      </c>
      <c r="AI24" s="43">
        <f>'Nov2026-EXPENSE'!R27</f>
        <v/>
      </c>
      <c r="AJ24" s="21" t="n"/>
      <c r="AK24" s="43">
        <f>AH24-(AI24+AJ24)</f>
        <v/>
      </c>
      <c r="AL24" s="43">
        <f>'Dec2026-COLLECTION'!K23</f>
        <v/>
      </c>
      <c r="AM24" s="43">
        <f>'Dec2026-EXPENSE'!R27</f>
        <v/>
      </c>
      <c r="AN24" s="21" t="n"/>
      <c r="AO24" s="43">
        <f>AL24-(AM24+AN24)</f>
        <v/>
      </c>
      <c r="AP24" s="43">
        <f>'Jan2027-COLLECTION'!K23</f>
        <v/>
      </c>
      <c r="AQ24" s="43">
        <f>'Jan2027-EXPENSE'!R27</f>
        <v/>
      </c>
      <c r="AR24" s="2" t="n"/>
      <c r="AS24" s="43">
        <f>AP24-(AQ24+AR24)</f>
        <v/>
      </c>
      <c r="AT24" s="43">
        <f>'Feb2027-COLLECTION'!K23</f>
        <v/>
      </c>
      <c r="AU24" s="43">
        <f>'Feb2027-EXPENSE'!R27</f>
        <v/>
      </c>
      <c r="AV24" s="2" t="n"/>
      <c r="AW24" s="43">
        <f>AT24-(AU24+AV24)</f>
        <v/>
      </c>
      <c r="AX24" s="43">
        <f>'Mar2027-COLLECTION'!K23</f>
        <v/>
      </c>
      <c r="AY24" s="43">
        <f>'Mar2027-EXPENSE'!R27</f>
        <v/>
      </c>
      <c r="AZ24" s="2" t="n"/>
      <c r="BA24" s="43">
        <f>AX24-(AY24+AZ24)</f>
        <v/>
      </c>
      <c r="BB24" s="43">
        <f>SUM(F24,J24,N24,R24,V24,Z24,AD24,AH24,AL24,AP24,AT24,AX24)</f>
        <v/>
      </c>
      <c r="BC24" s="43">
        <f>SUM(G24,K24,O24,S24,W24,AA24,AE24,AI24,AM24,AQ24,AU24,AY24)</f>
        <v/>
      </c>
      <c r="BD24" s="43">
        <f>SUM(H24,L24,P24,T24,X24,AB24,AF24,AJ24,AN24,AR24,AV24,AZ24)</f>
        <v/>
      </c>
      <c r="BE24" s="43">
        <f>BB24-(BC24+BD24)</f>
        <v/>
      </c>
      <c r="BF24" s="43">
        <f>E24+BE24</f>
        <v/>
      </c>
      <c r="BG24" s="43" t="n">
        <v>0</v>
      </c>
    </row>
    <row r="25" ht="15.75" customHeight="1">
      <c r="A25" s="37" t="inlineStr">
        <is>
          <t>G7</t>
        </is>
      </c>
      <c r="B25" s="40" t="n"/>
      <c r="C25" s="40" t="inlineStr">
        <is>
          <t>Prince Richfield</t>
        </is>
      </c>
      <c r="D25" s="41" t="n">
        <v>0</v>
      </c>
      <c r="E25" s="41" t="n">
        <v>0</v>
      </c>
      <c r="F25" s="41">
        <f>'Apr2026-COLLECTION'!K24</f>
        <v/>
      </c>
      <c r="G25" s="41">
        <f>'Apr2026-EXPENSE'!R28</f>
        <v/>
      </c>
      <c r="H25" s="20" t="n"/>
      <c r="I25" s="41">
        <f>F25-(G25+H25)</f>
        <v/>
      </c>
      <c r="J25" s="41">
        <f>'May2026-COLLECTION'!K24</f>
        <v/>
      </c>
      <c r="K25" s="41">
        <f>'May2026-EXPENSE'!R28</f>
        <v/>
      </c>
      <c r="L25" s="21" t="n"/>
      <c r="M25" s="41">
        <f>J25-(K25+L25)</f>
        <v/>
      </c>
      <c r="N25" s="41">
        <f>'June2026-COLLECTION'!K24</f>
        <v/>
      </c>
      <c r="O25" s="41">
        <f>'June2026-EXPENSE'!R28</f>
        <v/>
      </c>
      <c r="P25" s="20" t="n"/>
      <c r="Q25" s="41">
        <f>N25-(O25+P25)</f>
        <v/>
      </c>
      <c r="R25" s="41">
        <f>'July2026-COLLECTION'!K24</f>
        <v/>
      </c>
      <c r="S25" s="41">
        <f>'July2026-EXPENSE'!R28</f>
        <v/>
      </c>
      <c r="T25" s="21" t="n"/>
      <c r="U25" s="41">
        <f>R25-(S25+T25)</f>
        <v/>
      </c>
      <c r="V25" s="41">
        <f>'Aug2026-COLLECTION'!K24</f>
        <v/>
      </c>
      <c r="W25" s="41">
        <f>'Aug2026-EXPENSE'!R28</f>
        <v/>
      </c>
      <c r="X25" s="20" t="n"/>
      <c r="Y25" s="41">
        <f>V25-(W25+X25)</f>
        <v/>
      </c>
      <c r="Z25" s="41">
        <f>'Sep2026-COLLECTION'!K24</f>
        <v/>
      </c>
      <c r="AA25" s="41">
        <f>'Sep2026-EXPENSE'!R28</f>
        <v/>
      </c>
      <c r="AB25" s="21" t="n"/>
      <c r="AC25" s="41">
        <f>Z25-(AA25+AB25)</f>
        <v/>
      </c>
      <c r="AD25" s="41">
        <f>'Oct2026-COLLECTION'!K24</f>
        <v/>
      </c>
      <c r="AE25" s="41">
        <f>'Oct2026-EXPENSE'!R28</f>
        <v/>
      </c>
      <c r="AF25" s="21" t="n"/>
      <c r="AG25" s="41">
        <f>AD25-(AE25+AF25)</f>
        <v/>
      </c>
      <c r="AH25" s="41">
        <f>'Nov2026-COLLECTION'!K24</f>
        <v/>
      </c>
      <c r="AI25" s="41">
        <f>'Nov2026-EXPENSE'!R28</f>
        <v/>
      </c>
      <c r="AJ25" s="21" t="n"/>
      <c r="AK25" s="41">
        <f>AH25-(AI25+AJ25)</f>
        <v/>
      </c>
      <c r="AL25" s="41">
        <f>'Dec2026-COLLECTION'!K24</f>
        <v/>
      </c>
      <c r="AM25" s="41">
        <f>'Dec2026-EXPENSE'!R28</f>
        <v/>
      </c>
      <c r="AN25" s="21" t="n"/>
      <c r="AO25" s="41">
        <f>AL25-(AM25+AN25)</f>
        <v/>
      </c>
      <c r="AP25" s="41">
        <f>'Jan2027-COLLECTION'!K24</f>
        <v/>
      </c>
      <c r="AQ25" s="41">
        <f>'Jan2027-EXPENSE'!R28</f>
        <v/>
      </c>
      <c r="AR25" s="2" t="n"/>
      <c r="AS25" s="41">
        <f>AP25-(AQ25+AR25)</f>
        <v/>
      </c>
      <c r="AT25" s="41">
        <f>'Feb2027-COLLECTION'!K24</f>
        <v/>
      </c>
      <c r="AU25" s="41">
        <f>'Feb2027-EXPENSE'!R28</f>
        <v/>
      </c>
      <c r="AV25" s="2" t="n"/>
      <c r="AW25" s="41">
        <f>AT25-(AU25+AV25)</f>
        <v/>
      </c>
      <c r="AX25" s="41">
        <f>'Mar2027-COLLECTION'!K24</f>
        <v/>
      </c>
      <c r="AY25" s="41">
        <f>'Mar2027-EXPENSE'!R28</f>
        <v/>
      </c>
      <c r="AZ25" s="2" t="n"/>
      <c r="BA25" s="41">
        <f>AX25-(AY25+AZ25)</f>
        <v/>
      </c>
      <c r="BB25" s="41">
        <f>SUM(F25,J25,N25,R25,V25,Z25,AD25,AH25,AL25,AP25,AT25,AX25)</f>
        <v/>
      </c>
      <c r="BC25" s="41">
        <f>SUM(G25,K25,O25,S25,W25,AA25,AE25,AI25,AM25,AQ25,AU25,AY25)</f>
        <v/>
      </c>
      <c r="BD25" s="41">
        <f>SUM(H25,L25,P25,T25,X25,AB25,AF25,AJ25,AN25,AR25,AV25,AZ25)</f>
        <v/>
      </c>
      <c r="BE25" s="41">
        <f>BB25-(BC25+BD25)</f>
        <v/>
      </c>
      <c r="BF25" s="41">
        <f>E25+BE25</f>
        <v/>
      </c>
      <c r="BG25" s="41" t="n">
        <v>0</v>
      </c>
    </row>
    <row r="26" ht="15.75" customHeight="1">
      <c r="A26" s="36" t="inlineStr">
        <is>
          <t>G8</t>
        </is>
      </c>
      <c r="B26" s="42" t="n"/>
      <c r="C26" s="42" t="inlineStr">
        <is>
          <t>Ranjithkumar R / Sameer (tenant) / Princy (tenant)</t>
        </is>
      </c>
      <c r="D26" s="43" t="n">
        <v>0</v>
      </c>
      <c r="E26" s="43" t="n">
        <v>0</v>
      </c>
      <c r="F26" s="43">
        <f>'Apr2026-COLLECTION'!K25</f>
        <v/>
      </c>
      <c r="G26" s="43">
        <f>'Apr2026-EXPENSE'!R29</f>
        <v/>
      </c>
      <c r="H26" s="20" t="n"/>
      <c r="I26" s="43">
        <f>F26-(G26+H26)</f>
        <v/>
      </c>
      <c r="J26" s="43">
        <f>'May2026-COLLECTION'!K25</f>
        <v/>
      </c>
      <c r="K26" s="43">
        <f>'May2026-EXPENSE'!R29</f>
        <v/>
      </c>
      <c r="L26" s="21" t="n"/>
      <c r="M26" s="43">
        <f>J26-(K26+L26)</f>
        <v/>
      </c>
      <c r="N26" s="43">
        <f>'June2026-COLLECTION'!K25</f>
        <v/>
      </c>
      <c r="O26" s="43">
        <f>'June2026-EXPENSE'!R29</f>
        <v/>
      </c>
      <c r="P26" s="20" t="n"/>
      <c r="Q26" s="43">
        <f>N26-(O26+P26)</f>
        <v/>
      </c>
      <c r="R26" s="43">
        <f>'July2026-COLLECTION'!K25</f>
        <v/>
      </c>
      <c r="S26" s="43">
        <f>'July2026-EXPENSE'!R29</f>
        <v/>
      </c>
      <c r="T26" s="21" t="n"/>
      <c r="U26" s="43">
        <f>R26-(S26+T26)</f>
        <v/>
      </c>
      <c r="V26" s="43">
        <f>'Aug2026-COLLECTION'!K25</f>
        <v/>
      </c>
      <c r="W26" s="43">
        <f>'Aug2026-EXPENSE'!R29</f>
        <v/>
      </c>
      <c r="X26" s="20" t="n"/>
      <c r="Y26" s="43">
        <f>V26-(W26+X26)</f>
        <v/>
      </c>
      <c r="Z26" s="43">
        <f>'Sep2026-COLLECTION'!K25</f>
        <v/>
      </c>
      <c r="AA26" s="43">
        <f>'Sep2026-EXPENSE'!R29</f>
        <v/>
      </c>
      <c r="AB26" s="21" t="n"/>
      <c r="AC26" s="43">
        <f>Z26-(AA26+AB26)</f>
        <v/>
      </c>
      <c r="AD26" s="43">
        <f>'Oct2026-COLLECTION'!K25</f>
        <v/>
      </c>
      <c r="AE26" s="43">
        <f>'Oct2026-EXPENSE'!R29</f>
        <v/>
      </c>
      <c r="AF26" s="21" t="n"/>
      <c r="AG26" s="43">
        <f>AD26-(AE26+AF26)</f>
        <v/>
      </c>
      <c r="AH26" s="43">
        <f>'Nov2026-COLLECTION'!K25</f>
        <v/>
      </c>
      <c r="AI26" s="43">
        <f>'Nov2026-EXPENSE'!R29</f>
        <v/>
      </c>
      <c r="AJ26" s="21" t="n"/>
      <c r="AK26" s="43">
        <f>AH26-(AI26+AJ26)</f>
        <v/>
      </c>
      <c r="AL26" s="43">
        <f>'Dec2026-COLLECTION'!K25</f>
        <v/>
      </c>
      <c r="AM26" s="43">
        <f>'Dec2026-EXPENSE'!R29</f>
        <v/>
      </c>
      <c r="AN26" s="21" t="n"/>
      <c r="AO26" s="43">
        <f>AL26-(AM26+AN26)</f>
        <v/>
      </c>
      <c r="AP26" s="43">
        <f>'Jan2027-COLLECTION'!K25</f>
        <v/>
      </c>
      <c r="AQ26" s="43">
        <f>'Jan2027-EXPENSE'!R29</f>
        <v/>
      </c>
      <c r="AR26" s="2" t="n"/>
      <c r="AS26" s="43">
        <f>AP26-(AQ26+AR26)</f>
        <v/>
      </c>
      <c r="AT26" s="43">
        <f>'Feb2027-COLLECTION'!K25</f>
        <v/>
      </c>
      <c r="AU26" s="43">
        <f>'Feb2027-EXPENSE'!R29</f>
        <v/>
      </c>
      <c r="AV26" s="2" t="n"/>
      <c r="AW26" s="43">
        <f>AT26-(AU26+AV26)</f>
        <v/>
      </c>
      <c r="AX26" s="43">
        <f>'Mar2027-COLLECTION'!K25</f>
        <v/>
      </c>
      <c r="AY26" s="43">
        <f>'Mar2027-EXPENSE'!R29</f>
        <v/>
      </c>
      <c r="AZ26" s="2" t="n"/>
      <c r="BA26" s="43">
        <f>AX26-(AY26+AZ26)</f>
        <v/>
      </c>
      <c r="BB26" s="43">
        <f>SUM(F26,J26,N26,R26,V26,Z26,AD26,AH26,AL26,AP26,AT26,AX26)</f>
        <v/>
      </c>
      <c r="BC26" s="43">
        <f>SUM(G26,K26,O26,S26,W26,AA26,AE26,AI26,AM26,AQ26,AU26,AY26)</f>
        <v/>
      </c>
      <c r="BD26" s="43">
        <f>SUM(H26,L26,P26,T26,X26,AB26,AF26,AJ26,AN26,AR26,AV26,AZ26)</f>
        <v/>
      </c>
      <c r="BE26" s="43">
        <f>BB26-(BC26+BD26)</f>
        <v/>
      </c>
      <c r="BF26" s="43">
        <f>E26+BE26</f>
        <v/>
      </c>
      <c r="BG26" s="43" t="n">
        <v>0</v>
      </c>
    </row>
    <row r="27" ht="15.75" customHeight="1">
      <c r="A27" s="37" t="inlineStr">
        <is>
          <t>G9</t>
        </is>
      </c>
      <c r="B27" s="40" t="n"/>
      <c r="C27" s="40" t="inlineStr">
        <is>
          <t>Chandramouli</t>
        </is>
      </c>
      <c r="D27" s="41" t="n">
        <v>0</v>
      </c>
      <c r="E27" s="41" t="n">
        <v>0</v>
      </c>
      <c r="F27" s="41">
        <f>'Apr2026-COLLECTION'!K26</f>
        <v/>
      </c>
      <c r="G27" s="41">
        <f>'Apr2026-EXPENSE'!R30</f>
        <v/>
      </c>
      <c r="H27" s="20" t="n"/>
      <c r="I27" s="41">
        <f>F27-(G27+H27)</f>
        <v/>
      </c>
      <c r="J27" s="41">
        <f>'May2026-COLLECTION'!K26</f>
        <v/>
      </c>
      <c r="K27" s="41">
        <f>'May2026-EXPENSE'!R30</f>
        <v/>
      </c>
      <c r="L27" s="21" t="n"/>
      <c r="M27" s="41">
        <f>J27-(K27+L27)</f>
        <v/>
      </c>
      <c r="N27" s="41">
        <f>'June2026-COLLECTION'!K26</f>
        <v/>
      </c>
      <c r="O27" s="41">
        <f>'June2026-EXPENSE'!R30</f>
        <v/>
      </c>
      <c r="P27" s="20" t="n"/>
      <c r="Q27" s="41">
        <f>N27-(O27+P27)</f>
        <v/>
      </c>
      <c r="R27" s="41">
        <f>'July2026-COLLECTION'!K26</f>
        <v/>
      </c>
      <c r="S27" s="41">
        <f>'July2026-EXPENSE'!R30</f>
        <v/>
      </c>
      <c r="T27" s="21" t="n"/>
      <c r="U27" s="41">
        <f>R27-(S27+T27)</f>
        <v/>
      </c>
      <c r="V27" s="41">
        <f>'Aug2026-COLLECTION'!K26</f>
        <v/>
      </c>
      <c r="W27" s="41">
        <f>'Aug2026-EXPENSE'!R30</f>
        <v/>
      </c>
      <c r="X27" s="20" t="n"/>
      <c r="Y27" s="41">
        <f>V27-(W27+X27)</f>
        <v/>
      </c>
      <c r="Z27" s="41">
        <f>'Sep2026-COLLECTION'!K26</f>
        <v/>
      </c>
      <c r="AA27" s="41">
        <f>'Sep2026-EXPENSE'!R30</f>
        <v/>
      </c>
      <c r="AB27" s="21" t="n"/>
      <c r="AC27" s="41">
        <f>Z27-(AA27+AB27)</f>
        <v/>
      </c>
      <c r="AD27" s="41">
        <f>'Oct2026-COLLECTION'!K26</f>
        <v/>
      </c>
      <c r="AE27" s="41">
        <f>'Oct2026-EXPENSE'!R30</f>
        <v/>
      </c>
      <c r="AF27" s="21" t="n"/>
      <c r="AG27" s="41">
        <f>AD27-(AE27+AF27)</f>
        <v/>
      </c>
      <c r="AH27" s="41">
        <f>'Nov2026-COLLECTION'!K26</f>
        <v/>
      </c>
      <c r="AI27" s="41">
        <f>'Nov2026-EXPENSE'!R30</f>
        <v/>
      </c>
      <c r="AJ27" s="21" t="n"/>
      <c r="AK27" s="41">
        <f>AH27-(AI27+AJ27)</f>
        <v/>
      </c>
      <c r="AL27" s="41">
        <f>'Dec2026-COLLECTION'!K26</f>
        <v/>
      </c>
      <c r="AM27" s="41">
        <f>'Dec2026-EXPENSE'!R30</f>
        <v/>
      </c>
      <c r="AN27" s="21" t="n"/>
      <c r="AO27" s="41">
        <f>AL27-(AM27+AN27)</f>
        <v/>
      </c>
      <c r="AP27" s="41">
        <f>'Jan2027-COLLECTION'!K26</f>
        <v/>
      </c>
      <c r="AQ27" s="41">
        <f>'Jan2027-EXPENSE'!R30</f>
        <v/>
      </c>
      <c r="AR27" s="2" t="n"/>
      <c r="AS27" s="41">
        <f>AP27-(AQ27+AR27)</f>
        <v/>
      </c>
      <c r="AT27" s="41">
        <f>'Feb2027-COLLECTION'!K26</f>
        <v/>
      </c>
      <c r="AU27" s="41">
        <f>'Feb2027-EXPENSE'!R30</f>
        <v/>
      </c>
      <c r="AV27" s="2" t="n"/>
      <c r="AW27" s="41">
        <f>AT27-(AU27+AV27)</f>
        <v/>
      </c>
      <c r="AX27" s="41">
        <f>'Mar2027-COLLECTION'!K26</f>
        <v/>
      </c>
      <c r="AY27" s="41">
        <f>'Mar2027-EXPENSE'!R30</f>
        <v/>
      </c>
      <c r="AZ27" s="2" t="n"/>
      <c r="BA27" s="41">
        <f>AX27-(AY27+AZ27)</f>
        <v/>
      </c>
      <c r="BB27" s="41">
        <f>SUM(F27,J27,N27,R27,V27,Z27,AD27,AH27,AL27,AP27,AT27,AX27)</f>
        <v/>
      </c>
      <c r="BC27" s="41">
        <f>SUM(G27,K27,O27,S27,W27,AA27,AE27,AI27,AM27,AQ27,AU27,AY27)</f>
        <v/>
      </c>
      <c r="BD27" s="41">
        <f>SUM(H27,L27,P27,T27,X27,AB27,AF27,AJ27,AN27,AR27,AV27,AZ27)</f>
        <v/>
      </c>
      <c r="BE27" s="41">
        <f>BB27-(BC27+BD27)</f>
        <v/>
      </c>
      <c r="BF27" s="41">
        <f>E27+BE27</f>
        <v/>
      </c>
      <c r="BG27" s="41" t="n">
        <v>0</v>
      </c>
    </row>
    <row r="28" ht="15.75" customHeight="1">
      <c r="A28" s="36" t="inlineStr">
        <is>
          <t>G10</t>
        </is>
      </c>
      <c r="B28" s="42" t="n"/>
      <c r="C28" s="42" t="inlineStr">
        <is>
          <t xml:space="preserve">Cijo Jacob / Thara Joy </t>
        </is>
      </c>
      <c r="D28" s="43" t="n">
        <v>0</v>
      </c>
      <c r="E28" s="43" t="n">
        <v>0</v>
      </c>
      <c r="F28" s="43">
        <f>'Apr2026-COLLECTION'!K27</f>
        <v/>
      </c>
      <c r="G28" s="43">
        <f>'Apr2026-EXPENSE'!R31</f>
        <v/>
      </c>
      <c r="H28" s="20" t="n"/>
      <c r="I28" s="43">
        <f>F28-(G28+H28)</f>
        <v/>
      </c>
      <c r="J28" s="43">
        <f>'May2026-COLLECTION'!K27</f>
        <v/>
      </c>
      <c r="K28" s="43">
        <f>'May2026-EXPENSE'!R31</f>
        <v/>
      </c>
      <c r="L28" s="21" t="n"/>
      <c r="M28" s="43">
        <f>J28-(K28+L28)</f>
        <v/>
      </c>
      <c r="N28" s="43">
        <f>'June2026-COLLECTION'!K27</f>
        <v/>
      </c>
      <c r="O28" s="43">
        <f>'June2026-EXPENSE'!R31</f>
        <v/>
      </c>
      <c r="P28" s="20" t="n"/>
      <c r="Q28" s="43">
        <f>N28-(O28+P28)</f>
        <v/>
      </c>
      <c r="R28" s="43">
        <f>'July2026-COLLECTION'!K27</f>
        <v/>
      </c>
      <c r="S28" s="43">
        <f>'July2026-EXPENSE'!R31</f>
        <v/>
      </c>
      <c r="T28" s="21" t="n"/>
      <c r="U28" s="43">
        <f>R28-(S28+T28)</f>
        <v/>
      </c>
      <c r="V28" s="43">
        <f>'Aug2026-COLLECTION'!K27</f>
        <v/>
      </c>
      <c r="W28" s="43">
        <f>'Aug2026-EXPENSE'!R31</f>
        <v/>
      </c>
      <c r="X28" s="20" t="n"/>
      <c r="Y28" s="43">
        <f>V28-(W28+X28)</f>
        <v/>
      </c>
      <c r="Z28" s="43">
        <f>'Sep2026-COLLECTION'!K27</f>
        <v/>
      </c>
      <c r="AA28" s="43">
        <f>'Sep2026-EXPENSE'!R31</f>
        <v/>
      </c>
      <c r="AB28" s="21" t="n"/>
      <c r="AC28" s="43">
        <f>Z28-(AA28+AB28)</f>
        <v/>
      </c>
      <c r="AD28" s="43">
        <f>'Oct2026-COLLECTION'!K27</f>
        <v/>
      </c>
      <c r="AE28" s="43">
        <f>'Oct2026-EXPENSE'!R31</f>
        <v/>
      </c>
      <c r="AF28" s="21" t="n"/>
      <c r="AG28" s="43">
        <f>AD28-(AE28+AF28)</f>
        <v/>
      </c>
      <c r="AH28" s="43">
        <f>'Nov2026-COLLECTION'!K27</f>
        <v/>
      </c>
      <c r="AI28" s="43">
        <f>'Nov2026-EXPENSE'!R31</f>
        <v/>
      </c>
      <c r="AJ28" s="21" t="n"/>
      <c r="AK28" s="43">
        <f>AH28-(AI28+AJ28)</f>
        <v/>
      </c>
      <c r="AL28" s="43">
        <f>'Dec2026-COLLECTION'!K27</f>
        <v/>
      </c>
      <c r="AM28" s="43">
        <f>'Dec2026-EXPENSE'!R31</f>
        <v/>
      </c>
      <c r="AN28" s="21" t="n"/>
      <c r="AO28" s="43">
        <f>AL28-(AM28+AN28)</f>
        <v/>
      </c>
      <c r="AP28" s="43">
        <f>'Jan2027-COLLECTION'!K27</f>
        <v/>
      </c>
      <c r="AQ28" s="43">
        <f>'Jan2027-EXPENSE'!R31</f>
        <v/>
      </c>
      <c r="AR28" s="2" t="n"/>
      <c r="AS28" s="43">
        <f>AP28-(AQ28+AR28)</f>
        <v/>
      </c>
      <c r="AT28" s="43">
        <f>'Feb2027-COLLECTION'!K27</f>
        <v/>
      </c>
      <c r="AU28" s="43">
        <f>'Feb2027-EXPENSE'!R31</f>
        <v/>
      </c>
      <c r="AV28" s="2" t="n"/>
      <c r="AW28" s="43">
        <f>AT28-(AU28+AV28)</f>
        <v/>
      </c>
      <c r="AX28" s="43">
        <f>'Mar2027-COLLECTION'!K27</f>
        <v/>
      </c>
      <c r="AY28" s="43">
        <f>'Mar2027-EXPENSE'!R31</f>
        <v/>
      </c>
      <c r="AZ28" s="2" t="n"/>
      <c r="BA28" s="43">
        <f>AX28-(AY28+AZ28)</f>
        <v/>
      </c>
      <c r="BB28" s="43">
        <f>SUM(F28,J28,N28,R28,V28,Z28,AD28,AH28,AL28,AP28,AT28,AX28)</f>
        <v/>
      </c>
      <c r="BC28" s="43">
        <f>SUM(G28,K28,O28,S28,W28,AA28,AE28,AI28,AM28,AQ28,AU28,AY28)</f>
        <v/>
      </c>
      <c r="BD28" s="43">
        <f>SUM(H28,L28,P28,T28,X28,AB28,AF28,AJ28,AN28,AR28,AV28,AZ28)</f>
        <v/>
      </c>
      <c r="BE28" s="43">
        <f>BB28-(BC28+BD28)</f>
        <v/>
      </c>
      <c r="BF28" s="43">
        <f>E28+BE28</f>
        <v/>
      </c>
      <c r="BG28" s="43" t="n">
        <v>0</v>
      </c>
    </row>
    <row r="29" ht="15.75" customHeight="1">
      <c r="A29" s="37" t="inlineStr">
        <is>
          <t>G11</t>
        </is>
      </c>
      <c r="B29" s="40" t="n"/>
      <c r="C29" s="40" t="inlineStr">
        <is>
          <t>Ketan Verlekar</t>
        </is>
      </c>
      <c r="D29" s="41" t="n">
        <v>0</v>
      </c>
      <c r="E29" s="41" t="n">
        <v>0</v>
      </c>
      <c r="F29" s="41">
        <f>'Apr2026-COLLECTION'!K28</f>
        <v/>
      </c>
      <c r="G29" s="41">
        <f>'Apr2026-EXPENSE'!R32</f>
        <v/>
      </c>
      <c r="H29" s="20" t="n"/>
      <c r="I29" s="41">
        <f>F29-(G29+H29)</f>
        <v/>
      </c>
      <c r="J29" s="41">
        <f>'May2026-COLLECTION'!K28</f>
        <v/>
      </c>
      <c r="K29" s="41">
        <f>'May2026-EXPENSE'!R32</f>
        <v/>
      </c>
      <c r="L29" s="21" t="n"/>
      <c r="M29" s="41">
        <f>J29-(K29+L29)</f>
        <v/>
      </c>
      <c r="N29" s="41">
        <f>'June2026-COLLECTION'!K28</f>
        <v/>
      </c>
      <c r="O29" s="41">
        <f>'June2026-EXPENSE'!R32</f>
        <v/>
      </c>
      <c r="P29" s="20" t="n"/>
      <c r="Q29" s="41">
        <f>N29-(O29+P29)</f>
        <v/>
      </c>
      <c r="R29" s="41">
        <f>'July2026-COLLECTION'!K28</f>
        <v/>
      </c>
      <c r="S29" s="41">
        <f>'July2026-EXPENSE'!R32</f>
        <v/>
      </c>
      <c r="T29" s="21" t="n"/>
      <c r="U29" s="41">
        <f>R29-(S29+T29)</f>
        <v/>
      </c>
      <c r="V29" s="41">
        <f>'Aug2026-COLLECTION'!K28</f>
        <v/>
      </c>
      <c r="W29" s="41">
        <f>'Aug2026-EXPENSE'!R32</f>
        <v/>
      </c>
      <c r="X29" s="20" t="n"/>
      <c r="Y29" s="41">
        <f>V29-(W29+X29)</f>
        <v/>
      </c>
      <c r="Z29" s="41">
        <f>'Sep2026-COLLECTION'!K28</f>
        <v/>
      </c>
      <c r="AA29" s="41">
        <f>'Sep2026-EXPENSE'!R32</f>
        <v/>
      </c>
      <c r="AB29" s="21" t="n"/>
      <c r="AC29" s="41">
        <f>Z29-(AA29+AB29)</f>
        <v/>
      </c>
      <c r="AD29" s="41">
        <f>'Oct2026-COLLECTION'!K28</f>
        <v/>
      </c>
      <c r="AE29" s="41">
        <f>'Oct2026-EXPENSE'!R32</f>
        <v/>
      </c>
      <c r="AF29" s="21" t="n"/>
      <c r="AG29" s="41">
        <f>AD29-(AE29+AF29)</f>
        <v/>
      </c>
      <c r="AH29" s="41">
        <f>'Nov2026-COLLECTION'!K28</f>
        <v/>
      </c>
      <c r="AI29" s="41">
        <f>'Nov2026-EXPENSE'!R32</f>
        <v/>
      </c>
      <c r="AJ29" s="21" t="n"/>
      <c r="AK29" s="41">
        <f>AH29-(AI29+AJ29)</f>
        <v/>
      </c>
      <c r="AL29" s="41">
        <f>'Dec2026-COLLECTION'!K28</f>
        <v/>
      </c>
      <c r="AM29" s="41">
        <f>'Dec2026-EXPENSE'!R32</f>
        <v/>
      </c>
      <c r="AN29" s="21" t="n"/>
      <c r="AO29" s="41">
        <f>AL29-(AM29+AN29)</f>
        <v/>
      </c>
      <c r="AP29" s="41">
        <f>'Jan2027-COLLECTION'!K28</f>
        <v/>
      </c>
      <c r="AQ29" s="41">
        <f>'Jan2027-EXPENSE'!R32</f>
        <v/>
      </c>
      <c r="AR29" s="2" t="n"/>
      <c r="AS29" s="41">
        <f>AP29-(AQ29+AR29)</f>
        <v/>
      </c>
      <c r="AT29" s="41">
        <f>'Feb2027-COLLECTION'!K28</f>
        <v/>
      </c>
      <c r="AU29" s="41">
        <f>'Feb2027-EXPENSE'!R32</f>
        <v/>
      </c>
      <c r="AV29" s="2" t="n"/>
      <c r="AW29" s="41">
        <f>AT29-(AU29+AV29)</f>
        <v/>
      </c>
      <c r="AX29" s="41">
        <f>'Mar2027-COLLECTION'!K28</f>
        <v/>
      </c>
      <c r="AY29" s="41">
        <f>'Mar2027-EXPENSE'!R32</f>
        <v/>
      </c>
      <c r="AZ29" s="2" t="n"/>
      <c r="BA29" s="41">
        <f>AX29-(AY29+AZ29)</f>
        <v/>
      </c>
      <c r="BB29" s="41">
        <f>SUM(F29,J29,N29,R29,V29,Z29,AD29,AH29,AL29,AP29,AT29,AX29)</f>
        <v/>
      </c>
      <c r="BC29" s="41">
        <f>SUM(G29,K29,O29,S29,W29,AA29,AE29,AI29,AM29,AQ29,AU29,AY29)</f>
        <v/>
      </c>
      <c r="BD29" s="41">
        <f>SUM(H29,L29,P29,T29,X29,AB29,AF29,AJ29,AN29,AR29,AV29,AZ29)</f>
        <v/>
      </c>
      <c r="BE29" s="41">
        <f>BB29-(BC29+BD29)</f>
        <v/>
      </c>
      <c r="BF29" s="41">
        <f>E29+BE29</f>
        <v/>
      </c>
      <c r="BG29" s="41" t="n">
        <v>0</v>
      </c>
    </row>
    <row r="30" ht="15.75" customHeight="1">
      <c r="A30" s="36" t="inlineStr">
        <is>
          <t>G12</t>
        </is>
      </c>
      <c r="B30" s="42" t="n"/>
      <c r="C30" s="42" t="inlineStr">
        <is>
          <t>Shyam Nair</t>
        </is>
      </c>
      <c r="D30" s="43" t="n">
        <v>0</v>
      </c>
      <c r="E30" s="43" t="n">
        <v>0</v>
      </c>
      <c r="F30" s="43">
        <f>'Apr2026-COLLECTION'!K29</f>
        <v/>
      </c>
      <c r="G30" s="43">
        <f>'Apr2026-EXPENSE'!R33</f>
        <v/>
      </c>
      <c r="H30" s="20" t="n"/>
      <c r="I30" s="43">
        <f>F30-(G30+H30)</f>
        <v/>
      </c>
      <c r="J30" s="43">
        <f>'May2026-COLLECTION'!K29</f>
        <v/>
      </c>
      <c r="K30" s="43">
        <f>'May2026-EXPENSE'!R33</f>
        <v/>
      </c>
      <c r="L30" s="21" t="n"/>
      <c r="M30" s="43">
        <f>J30-(K30+L30)</f>
        <v/>
      </c>
      <c r="N30" s="43">
        <f>'June2026-COLLECTION'!K29</f>
        <v/>
      </c>
      <c r="O30" s="43">
        <f>'June2026-EXPENSE'!R33</f>
        <v/>
      </c>
      <c r="P30" s="20" t="n"/>
      <c r="Q30" s="43">
        <f>N30-(O30+P30)</f>
        <v/>
      </c>
      <c r="R30" s="43">
        <f>'July2026-COLLECTION'!K29</f>
        <v/>
      </c>
      <c r="S30" s="43">
        <f>'July2026-EXPENSE'!R33</f>
        <v/>
      </c>
      <c r="T30" s="21" t="n"/>
      <c r="U30" s="43">
        <f>R30-(S30+T30)</f>
        <v/>
      </c>
      <c r="V30" s="43">
        <f>'Aug2026-COLLECTION'!K29</f>
        <v/>
      </c>
      <c r="W30" s="43">
        <f>'Aug2026-EXPENSE'!R33</f>
        <v/>
      </c>
      <c r="X30" s="20" t="n"/>
      <c r="Y30" s="43">
        <f>V30-(W30+X30)</f>
        <v/>
      </c>
      <c r="Z30" s="43">
        <f>'Sep2026-COLLECTION'!K29</f>
        <v/>
      </c>
      <c r="AA30" s="43">
        <f>'Sep2026-EXPENSE'!R33</f>
        <v/>
      </c>
      <c r="AB30" s="21" t="n"/>
      <c r="AC30" s="43">
        <f>Z30-(AA30+AB30)</f>
        <v/>
      </c>
      <c r="AD30" s="43">
        <f>'Oct2026-COLLECTION'!K29</f>
        <v/>
      </c>
      <c r="AE30" s="43">
        <f>'Oct2026-EXPENSE'!R33</f>
        <v/>
      </c>
      <c r="AF30" s="21" t="n"/>
      <c r="AG30" s="43">
        <f>AD30-(AE30+AF30)</f>
        <v/>
      </c>
      <c r="AH30" s="43">
        <f>'Nov2026-COLLECTION'!K29</f>
        <v/>
      </c>
      <c r="AI30" s="43">
        <f>'Nov2026-EXPENSE'!R33</f>
        <v/>
      </c>
      <c r="AJ30" s="21" t="n"/>
      <c r="AK30" s="43">
        <f>AH30-(AI30+AJ30)</f>
        <v/>
      </c>
      <c r="AL30" s="43">
        <f>'Dec2026-COLLECTION'!K29</f>
        <v/>
      </c>
      <c r="AM30" s="43">
        <f>'Dec2026-EXPENSE'!R33</f>
        <v/>
      </c>
      <c r="AN30" s="21" t="n"/>
      <c r="AO30" s="43">
        <f>AL30-(AM30+AN30)</f>
        <v/>
      </c>
      <c r="AP30" s="43">
        <f>'Jan2027-COLLECTION'!K29</f>
        <v/>
      </c>
      <c r="AQ30" s="43">
        <f>'Jan2027-EXPENSE'!R33</f>
        <v/>
      </c>
      <c r="AR30" s="2" t="n"/>
      <c r="AS30" s="43">
        <f>AP30-(AQ30+AR30)</f>
        <v/>
      </c>
      <c r="AT30" s="43">
        <f>'Feb2027-COLLECTION'!K29</f>
        <v/>
      </c>
      <c r="AU30" s="43">
        <f>'Feb2027-EXPENSE'!R33</f>
        <v/>
      </c>
      <c r="AV30" s="2" t="n"/>
      <c r="AW30" s="43">
        <f>AT30-(AU30+AV30)</f>
        <v/>
      </c>
      <c r="AX30" s="43">
        <f>'Mar2027-COLLECTION'!K29</f>
        <v/>
      </c>
      <c r="AY30" s="43">
        <f>'Mar2027-EXPENSE'!R33</f>
        <v/>
      </c>
      <c r="AZ30" s="2" t="n"/>
      <c r="BA30" s="43">
        <f>AX30-(AY30+AZ30)</f>
        <v/>
      </c>
      <c r="BB30" s="43">
        <f>SUM(F30,J30,N30,R30,V30,Z30,AD30,AH30,AL30,AP30,AT30,AX30)</f>
        <v/>
      </c>
      <c r="BC30" s="43">
        <f>SUM(G30,K30,O30,S30,W30,AA30,AE30,AI30,AM30,AQ30,AU30,AY30)</f>
        <v/>
      </c>
      <c r="BD30" s="43">
        <f>SUM(H30,L30,P30,T30,X30,AB30,AF30,AJ30,AN30,AR30,AV30,AZ30)</f>
        <v/>
      </c>
      <c r="BE30" s="43">
        <f>BB30-(BC30+BD30)</f>
        <v/>
      </c>
      <c r="BF30" s="43">
        <f>E30+BE30</f>
        <v/>
      </c>
      <c r="BG30" s="43" t="n">
        <v>0</v>
      </c>
    </row>
    <row r="31" ht="15.75" customHeight="1">
      <c r="A31" s="37" t="inlineStr">
        <is>
          <t>G13</t>
        </is>
      </c>
      <c r="B31" s="40" t="n"/>
      <c r="C31" s="40" t="inlineStr">
        <is>
          <t>Ajai.B</t>
        </is>
      </c>
      <c r="D31" s="41" t="n">
        <v>0</v>
      </c>
      <c r="E31" s="41" t="n">
        <v>0</v>
      </c>
      <c r="F31" s="41">
        <f>'Apr2026-COLLECTION'!K30</f>
        <v/>
      </c>
      <c r="G31" s="41">
        <f>'Apr2026-EXPENSE'!R34</f>
        <v/>
      </c>
      <c r="H31" s="20" t="n"/>
      <c r="I31" s="41">
        <f>F31-(G31+H31)</f>
        <v/>
      </c>
      <c r="J31" s="41">
        <f>'May2026-COLLECTION'!K30</f>
        <v/>
      </c>
      <c r="K31" s="41">
        <f>'May2026-EXPENSE'!R34</f>
        <v/>
      </c>
      <c r="L31" s="41" t="n">
        <v>0</v>
      </c>
      <c r="M31" s="41">
        <f>J31-(K31+L31)</f>
        <v/>
      </c>
      <c r="N31" s="41">
        <f>'June2026-COLLECTION'!K30</f>
        <v/>
      </c>
      <c r="O31" s="41">
        <f>'June2026-EXPENSE'!R34</f>
        <v/>
      </c>
      <c r="P31" s="20" t="n"/>
      <c r="Q31" s="41">
        <f>N31-(O31+P31)</f>
        <v/>
      </c>
      <c r="R31" s="41">
        <f>'July2026-COLLECTION'!K30</f>
        <v/>
      </c>
      <c r="S31" s="41">
        <f>'July2026-EXPENSE'!R34</f>
        <v/>
      </c>
      <c r="T31" s="21" t="n"/>
      <c r="U31" s="41">
        <f>R31-(S31+T31)</f>
        <v/>
      </c>
      <c r="V31" s="41">
        <f>'Aug2026-COLLECTION'!K30</f>
        <v/>
      </c>
      <c r="W31" s="41">
        <f>'Aug2026-EXPENSE'!R34</f>
        <v/>
      </c>
      <c r="X31" s="20" t="n"/>
      <c r="Y31" s="41">
        <f>V31-(W31+X31)</f>
        <v/>
      </c>
      <c r="Z31" s="41">
        <f>'Sep2026-COLLECTION'!K30</f>
        <v/>
      </c>
      <c r="AA31" s="41">
        <f>'Sep2026-EXPENSE'!R34</f>
        <v/>
      </c>
      <c r="AB31" s="21" t="n"/>
      <c r="AC31" s="41">
        <f>Z31-(AA31+AB31)</f>
        <v/>
      </c>
      <c r="AD31" s="41">
        <f>'Oct2026-COLLECTION'!K30</f>
        <v/>
      </c>
      <c r="AE31" s="41">
        <f>'Oct2026-EXPENSE'!R34</f>
        <v/>
      </c>
      <c r="AF31" s="21" t="n"/>
      <c r="AG31" s="41">
        <f>AD31-(AE31+AF31)</f>
        <v/>
      </c>
      <c r="AH31" s="41">
        <f>'Nov2026-COLLECTION'!K30</f>
        <v/>
      </c>
      <c r="AI31" s="41">
        <f>'Nov2026-EXPENSE'!R34</f>
        <v/>
      </c>
      <c r="AJ31" s="21" t="n"/>
      <c r="AK31" s="41">
        <f>AH31-(AI31+AJ31)</f>
        <v/>
      </c>
      <c r="AL31" s="41">
        <f>'Dec2026-COLLECTION'!K30</f>
        <v/>
      </c>
      <c r="AM31" s="41">
        <f>'Dec2026-EXPENSE'!R34</f>
        <v/>
      </c>
      <c r="AN31" s="21" t="n"/>
      <c r="AO31" s="41">
        <f>AL31-(AM31+AN31)</f>
        <v/>
      </c>
      <c r="AP31" s="41">
        <f>'Jan2027-COLLECTION'!K30</f>
        <v/>
      </c>
      <c r="AQ31" s="41">
        <f>'Jan2027-EXPENSE'!R34</f>
        <v/>
      </c>
      <c r="AR31" s="2" t="n"/>
      <c r="AS31" s="41">
        <f>AP31-(AQ31+AR31)</f>
        <v/>
      </c>
      <c r="AT31" s="41">
        <f>'Feb2027-COLLECTION'!K30</f>
        <v/>
      </c>
      <c r="AU31" s="41">
        <f>'Feb2027-EXPENSE'!R34</f>
        <v/>
      </c>
      <c r="AV31" s="2" t="n"/>
      <c r="AW31" s="41">
        <f>AT31-(AU31+AV31)</f>
        <v/>
      </c>
      <c r="AX31" s="41">
        <f>'Mar2027-COLLECTION'!K30</f>
        <v/>
      </c>
      <c r="AY31" s="41">
        <f>'Mar2027-EXPENSE'!R34</f>
        <v/>
      </c>
      <c r="AZ31" s="2" t="n"/>
      <c r="BA31" s="41">
        <f>AX31-(AY31+AZ31)</f>
        <v/>
      </c>
      <c r="BB31" s="41">
        <f>SUM(F31,J31,N31,R31,V31,Z31,AD31,AH31,AL31,AP31,AT31,AX31)</f>
        <v/>
      </c>
      <c r="BC31" s="41">
        <f>SUM(G31,K31,O31,S31,W31,AA31,AE31,AI31,AM31,AQ31,AU31,AY31)</f>
        <v/>
      </c>
      <c r="BD31" s="41">
        <f>SUM(H31,L31,P31,T31,X31,AB31,AF31,AJ31,AN31,AR31,AV31,AZ31)</f>
        <v/>
      </c>
      <c r="BE31" s="41">
        <f>BB31-(BC31+BD31)</f>
        <v/>
      </c>
      <c r="BF31" s="41">
        <f>E31+BE31</f>
        <v/>
      </c>
      <c r="BG31" s="41" t="n">
        <v>0</v>
      </c>
    </row>
    <row r="32" ht="15.75" customHeight="1">
      <c r="A32" s="36" t="inlineStr">
        <is>
          <t>G14</t>
        </is>
      </c>
      <c r="B32" s="42" t="n"/>
      <c r="C32" s="42" t="inlineStr">
        <is>
          <t>Surajit Borah</t>
        </is>
      </c>
      <c r="D32" s="43" t="n">
        <v>0</v>
      </c>
      <c r="E32" s="43" t="n">
        <v>0</v>
      </c>
      <c r="F32" s="43">
        <f>'Apr2026-COLLECTION'!K31</f>
        <v/>
      </c>
      <c r="G32" s="43">
        <f>'Apr2026-EXPENSE'!R35</f>
        <v/>
      </c>
      <c r="H32" s="20" t="n"/>
      <c r="I32" s="43">
        <f>F32-(G32+H32)</f>
        <v/>
      </c>
      <c r="J32" s="43">
        <f>'May2026-COLLECTION'!K31</f>
        <v/>
      </c>
      <c r="K32" s="43">
        <f>'May2026-EXPENSE'!R35</f>
        <v/>
      </c>
      <c r="L32" s="21" t="n"/>
      <c r="M32" s="43">
        <f>J32-(K32+L32)</f>
        <v/>
      </c>
      <c r="N32" s="43">
        <f>'June2026-COLLECTION'!K31</f>
        <v/>
      </c>
      <c r="O32" s="43">
        <f>'June2026-EXPENSE'!R35</f>
        <v/>
      </c>
      <c r="P32" s="20" t="n"/>
      <c r="Q32" s="43">
        <f>N32-(O32+P32)</f>
        <v/>
      </c>
      <c r="R32" s="43">
        <f>'July2026-COLLECTION'!K31</f>
        <v/>
      </c>
      <c r="S32" s="43">
        <f>'July2026-EXPENSE'!R35</f>
        <v/>
      </c>
      <c r="T32" s="21" t="n"/>
      <c r="U32" s="43">
        <f>R32-(S32+T32)</f>
        <v/>
      </c>
      <c r="V32" s="43">
        <f>'Aug2026-COLLECTION'!K31</f>
        <v/>
      </c>
      <c r="W32" s="43">
        <f>'Aug2026-EXPENSE'!R35</f>
        <v/>
      </c>
      <c r="X32" s="20" t="n"/>
      <c r="Y32" s="43">
        <f>V32-(W32+X32)</f>
        <v/>
      </c>
      <c r="Z32" s="43">
        <f>'Sep2026-COLLECTION'!K31</f>
        <v/>
      </c>
      <c r="AA32" s="43">
        <f>'Sep2026-EXPENSE'!R35</f>
        <v/>
      </c>
      <c r="AB32" s="21" t="n"/>
      <c r="AC32" s="43">
        <f>Z32-(AA32+AB32)</f>
        <v/>
      </c>
      <c r="AD32" s="43">
        <f>'Oct2026-COLLECTION'!K31</f>
        <v/>
      </c>
      <c r="AE32" s="43">
        <f>'Oct2026-EXPENSE'!R35</f>
        <v/>
      </c>
      <c r="AF32" s="21" t="n"/>
      <c r="AG32" s="43">
        <f>AD32-(AE32+AF32)</f>
        <v/>
      </c>
      <c r="AH32" s="43">
        <f>'Nov2026-COLLECTION'!K31</f>
        <v/>
      </c>
      <c r="AI32" s="43">
        <f>'Nov2026-EXPENSE'!R35</f>
        <v/>
      </c>
      <c r="AJ32" s="21" t="n"/>
      <c r="AK32" s="43">
        <f>AH32-(AI32+AJ32)</f>
        <v/>
      </c>
      <c r="AL32" s="43">
        <f>'Dec2026-COLLECTION'!K31</f>
        <v/>
      </c>
      <c r="AM32" s="43">
        <f>'Dec2026-EXPENSE'!R35</f>
        <v/>
      </c>
      <c r="AN32" s="21" t="n"/>
      <c r="AO32" s="43">
        <f>AL32-(AM32+AN32)</f>
        <v/>
      </c>
      <c r="AP32" s="43">
        <f>'Jan2027-COLLECTION'!K31</f>
        <v/>
      </c>
      <c r="AQ32" s="43">
        <f>'Jan2027-EXPENSE'!R35</f>
        <v/>
      </c>
      <c r="AR32" s="2" t="n"/>
      <c r="AS32" s="43">
        <f>AP32-(AQ32+AR32)</f>
        <v/>
      </c>
      <c r="AT32" s="43">
        <f>'Feb2027-COLLECTION'!K31</f>
        <v/>
      </c>
      <c r="AU32" s="43">
        <f>'Feb2027-EXPENSE'!R35</f>
        <v/>
      </c>
      <c r="AV32" s="2" t="n"/>
      <c r="AW32" s="43">
        <f>AT32-(AU32+AV32)</f>
        <v/>
      </c>
      <c r="AX32" s="43">
        <f>'Mar2027-COLLECTION'!K31</f>
        <v/>
      </c>
      <c r="AY32" s="43">
        <f>'Mar2027-EXPENSE'!R35</f>
        <v/>
      </c>
      <c r="AZ32" s="2" t="n"/>
      <c r="BA32" s="43">
        <f>AX32-(AY32+AZ32)</f>
        <v/>
      </c>
      <c r="BB32" s="43">
        <f>SUM(F32,J32,N32,R32,V32,Z32,AD32,AH32,AL32,AP32,AT32,AX32)</f>
        <v/>
      </c>
      <c r="BC32" s="43">
        <f>SUM(G32,K32,O32,S32,W32,AA32,AE32,AI32,AM32,AQ32,AU32,AY32)</f>
        <v/>
      </c>
      <c r="BD32" s="43">
        <f>SUM(H32,L32,P32,T32,X32,AB32,AF32,AJ32,AN32,AR32,AV32,AZ32)</f>
        <v/>
      </c>
      <c r="BE32" s="43">
        <f>BB32-(BC32+BD32)</f>
        <v/>
      </c>
      <c r="BF32" s="43">
        <f>E32+BE32</f>
        <v/>
      </c>
      <c r="BG32" s="43" t="n">
        <v>0</v>
      </c>
    </row>
    <row r="33" ht="15.75" customHeight="1">
      <c r="A33" s="37" t="inlineStr">
        <is>
          <t>G15</t>
        </is>
      </c>
      <c r="B33" s="40" t="n"/>
      <c r="C33" s="40" t="inlineStr">
        <is>
          <t>Suresh Nallusamy / Antriksh (tenant)</t>
        </is>
      </c>
      <c r="D33" s="41" t="n">
        <v>0</v>
      </c>
      <c r="E33" s="41" t="n">
        <v>0</v>
      </c>
      <c r="F33" s="41">
        <f>'Apr2026-COLLECTION'!K32</f>
        <v/>
      </c>
      <c r="G33" s="41">
        <f>'Apr2026-EXPENSE'!R36</f>
        <v/>
      </c>
      <c r="H33" s="20" t="n"/>
      <c r="I33" s="41">
        <f>F33-(G33+H33)</f>
        <v/>
      </c>
      <c r="J33" s="41">
        <f>'May2026-COLLECTION'!K32</f>
        <v/>
      </c>
      <c r="K33" s="41">
        <f>'May2026-EXPENSE'!R36</f>
        <v/>
      </c>
      <c r="L33" s="21" t="n"/>
      <c r="M33" s="41">
        <f>J33-(K33+L33)</f>
        <v/>
      </c>
      <c r="N33" s="41">
        <f>'June2026-COLLECTION'!K32</f>
        <v/>
      </c>
      <c r="O33" s="41">
        <f>'June2026-EXPENSE'!R36</f>
        <v/>
      </c>
      <c r="P33" s="20" t="n"/>
      <c r="Q33" s="41">
        <f>N33-(O33+P33)</f>
        <v/>
      </c>
      <c r="R33" s="41">
        <f>'July2026-COLLECTION'!K32</f>
        <v/>
      </c>
      <c r="S33" s="41">
        <f>'July2026-EXPENSE'!R36</f>
        <v/>
      </c>
      <c r="T33" s="21" t="n"/>
      <c r="U33" s="41">
        <f>R33-(S33+T33)</f>
        <v/>
      </c>
      <c r="V33" s="41">
        <f>'Aug2026-COLLECTION'!K32</f>
        <v/>
      </c>
      <c r="W33" s="41">
        <f>'Aug2026-EXPENSE'!R36</f>
        <v/>
      </c>
      <c r="X33" s="20" t="n"/>
      <c r="Y33" s="41">
        <f>V33-(W33+X33)</f>
        <v/>
      </c>
      <c r="Z33" s="41">
        <f>'Sep2026-COLLECTION'!K32</f>
        <v/>
      </c>
      <c r="AA33" s="41">
        <f>'Sep2026-EXPENSE'!R36</f>
        <v/>
      </c>
      <c r="AB33" s="21" t="n"/>
      <c r="AC33" s="41">
        <f>Z33-(AA33+AB33)</f>
        <v/>
      </c>
      <c r="AD33" s="41">
        <f>'Oct2026-COLLECTION'!K32</f>
        <v/>
      </c>
      <c r="AE33" s="41">
        <f>'Oct2026-EXPENSE'!R36</f>
        <v/>
      </c>
      <c r="AF33" s="21" t="n"/>
      <c r="AG33" s="41">
        <f>AD33-(AE33+AF33)</f>
        <v/>
      </c>
      <c r="AH33" s="41">
        <f>'Nov2026-COLLECTION'!K32</f>
        <v/>
      </c>
      <c r="AI33" s="41">
        <f>'Nov2026-EXPENSE'!R36</f>
        <v/>
      </c>
      <c r="AJ33" s="21" t="n"/>
      <c r="AK33" s="41">
        <f>AH33-(AI33+AJ33)</f>
        <v/>
      </c>
      <c r="AL33" s="41">
        <f>'Dec2026-COLLECTION'!K32</f>
        <v/>
      </c>
      <c r="AM33" s="41">
        <f>'Dec2026-EXPENSE'!R36</f>
        <v/>
      </c>
      <c r="AN33" s="21" t="n"/>
      <c r="AO33" s="41">
        <f>AL33-(AM33+AN33)</f>
        <v/>
      </c>
      <c r="AP33" s="41">
        <f>'Jan2027-COLLECTION'!K32</f>
        <v/>
      </c>
      <c r="AQ33" s="41">
        <f>'Jan2027-EXPENSE'!R36</f>
        <v/>
      </c>
      <c r="AR33" s="2" t="n"/>
      <c r="AS33" s="41">
        <f>AP33-(AQ33+AR33)</f>
        <v/>
      </c>
      <c r="AT33" s="41">
        <f>'Feb2027-COLLECTION'!K32</f>
        <v/>
      </c>
      <c r="AU33" s="41">
        <f>'Feb2027-EXPENSE'!R36</f>
        <v/>
      </c>
      <c r="AV33" s="2" t="n"/>
      <c r="AW33" s="41">
        <f>AT33-(AU33+AV33)</f>
        <v/>
      </c>
      <c r="AX33" s="41">
        <f>'Mar2027-COLLECTION'!K32</f>
        <v/>
      </c>
      <c r="AY33" s="41">
        <f>'Mar2027-EXPENSE'!R36</f>
        <v/>
      </c>
      <c r="AZ33" s="2" t="n"/>
      <c r="BA33" s="41">
        <f>AX33-(AY33+AZ33)</f>
        <v/>
      </c>
      <c r="BB33" s="41">
        <f>SUM(F33,J33,N33,R33,V33,Z33,AD33,AH33,AL33,AP33,AT33,AX33)</f>
        <v/>
      </c>
      <c r="BC33" s="41">
        <f>SUM(G33,K33,O33,S33,W33,AA33,AE33,AI33,AM33,AQ33,AU33,AY33)</f>
        <v/>
      </c>
      <c r="BD33" s="41">
        <f>SUM(H33,L33,P33,T33,X33,AB33,AF33,AJ33,AN33,AR33,AV33,AZ33)</f>
        <v/>
      </c>
      <c r="BE33" s="41">
        <f>BB33-(BC33+BD33)</f>
        <v/>
      </c>
      <c r="BF33" s="41">
        <f>E33+BE33</f>
        <v/>
      </c>
      <c r="BG33" s="41" t="n">
        <v>0</v>
      </c>
    </row>
    <row r="34" ht="15.75" customHeight="1">
      <c r="A34" s="36" t="inlineStr">
        <is>
          <t>G16</t>
        </is>
      </c>
      <c r="B34" s="42" t="n"/>
      <c r="C34" s="42" t="inlineStr">
        <is>
          <t>Praveen Ganesan</t>
        </is>
      </c>
      <c r="D34" s="43" t="n">
        <v>0</v>
      </c>
      <c r="E34" s="47" t="n">
        <v>0</v>
      </c>
      <c r="F34" s="43">
        <f>'Apr2026-COLLECTION'!K33</f>
        <v/>
      </c>
      <c r="G34" s="43">
        <f>'Apr2026-EXPENSE'!R37</f>
        <v/>
      </c>
      <c r="H34" s="20" t="n"/>
      <c r="I34" s="43">
        <f>F34-(G34+H34)</f>
        <v/>
      </c>
      <c r="J34" s="43">
        <f>'May2026-COLLECTION'!K33</f>
        <v/>
      </c>
      <c r="K34" s="43">
        <f>'May2026-EXPENSE'!R37</f>
        <v/>
      </c>
      <c r="L34" s="43" t="n">
        <v>0</v>
      </c>
      <c r="M34" s="43">
        <f>J34-(K34+L34)</f>
        <v/>
      </c>
      <c r="N34" s="43">
        <f>'June2026-COLLECTION'!K33</f>
        <v/>
      </c>
      <c r="O34" s="43">
        <f>'June2026-EXPENSE'!R37</f>
        <v/>
      </c>
      <c r="P34" s="20" t="n"/>
      <c r="Q34" s="43">
        <f>N34-(O34+P34)</f>
        <v/>
      </c>
      <c r="R34" s="43">
        <f>'July2026-COLLECTION'!K33</f>
        <v/>
      </c>
      <c r="S34" s="43">
        <f>'July2026-EXPENSE'!R37</f>
        <v/>
      </c>
      <c r="T34" s="21" t="n"/>
      <c r="U34" s="43">
        <f>R34-(S34+T34)</f>
        <v/>
      </c>
      <c r="V34" s="43">
        <f>'Aug2026-COLLECTION'!K33</f>
        <v/>
      </c>
      <c r="W34" s="43">
        <f>'Aug2026-EXPENSE'!R37</f>
        <v/>
      </c>
      <c r="X34" s="20" t="n"/>
      <c r="Y34" s="43">
        <f>V34-(W34+X34)</f>
        <v/>
      </c>
      <c r="Z34" s="43">
        <f>'Sep2026-COLLECTION'!K33</f>
        <v/>
      </c>
      <c r="AA34" s="43">
        <f>'Sep2026-EXPENSE'!R37</f>
        <v/>
      </c>
      <c r="AB34" s="21" t="n"/>
      <c r="AC34" s="43">
        <f>Z34-(AA34+AB34)</f>
        <v/>
      </c>
      <c r="AD34" s="43">
        <f>'Oct2026-COLLECTION'!K33</f>
        <v/>
      </c>
      <c r="AE34" s="43">
        <f>'Oct2026-EXPENSE'!R37</f>
        <v/>
      </c>
      <c r="AF34" s="21" t="n"/>
      <c r="AG34" s="43">
        <f>AD34-(AE34+AF34)</f>
        <v/>
      </c>
      <c r="AH34" s="43">
        <f>'Nov2026-COLLECTION'!K33</f>
        <v/>
      </c>
      <c r="AI34" s="43">
        <f>'Nov2026-EXPENSE'!R37</f>
        <v/>
      </c>
      <c r="AJ34" s="21" t="n"/>
      <c r="AK34" s="43">
        <f>AH34-(AI34+AJ34)</f>
        <v/>
      </c>
      <c r="AL34" s="43">
        <f>'Dec2026-COLLECTION'!K33</f>
        <v/>
      </c>
      <c r="AM34" s="43">
        <f>'Dec2026-EXPENSE'!R37</f>
        <v/>
      </c>
      <c r="AN34" s="21" t="n"/>
      <c r="AO34" s="43">
        <f>AL34-(AM34+AN34)</f>
        <v/>
      </c>
      <c r="AP34" s="43">
        <f>'Jan2027-COLLECTION'!K33</f>
        <v/>
      </c>
      <c r="AQ34" s="43">
        <f>'Jan2027-EXPENSE'!R37</f>
        <v/>
      </c>
      <c r="AR34" s="2" t="n"/>
      <c r="AS34" s="43">
        <f>AP34-(AQ34+AR34)</f>
        <v/>
      </c>
      <c r="AT34" s="43">
        <f>'Feb2027-COLLECTION'!K33</f>
        <v/>
      </c>
      <c r="AU34" s="43">
        <f>'Feb2027-EXPENSE'!R37</f>
        <v/>
      </c>
      <c r="AV34" s="2" t="n"/>
      <c r="AW34" s="43">
        <f>AT34-(AU34+AV34)</f>
        <v/>
      </c>
      <c r="AX34" s="43">
        <f>'Mar2027-COLLECTION'!K33</f>
        <v/>
      </c>
      <c r="AY34" s="43">
        <f>'Mar2027-EXPENSE'!R37</f>
        <v/>
      </c>
      <c r="AZ34" s="2" t="n"/>
      <c r="BA34" s="43">
        <f>AX34-(AY34+AZ34)</f>
        <v/>
      </c>
      <c r="BB34" s="43">
        <f>SUM(F34,J34,N34,R34,V34,Z34,AD34,AH34,AL34,AP34,AT34,AX34)</f>
        <v/>
      </c>
      <c r="BC34" s="43">
        <f>SUM(G34,K34,O34,S34,W34,AA34,AE34,AI34,AM34,AQ34,AU34,AY34)</f>
        <v/>
      </c>
      <c r="BD34" s="43">
        <f>SUM(H34,L34,P34,T34,X34,AB34,AF34,AJ34,AN34,AR34,AV34,AZ34)</f>
        <v/>
      </c>
      <c r="BE34" s="43">
        <f>BB34-(BC34+BD34)</f>
        <v/>
      </c>
      <c r="BF34" s="43">
        <f>E34+BE34</f>
        <v/>
      </c>
      <c r="BG34" s="43" t="n">
        <v>0</v>
      </c>
    </row>
    <row r="35" ht="15.75" customHeight="1">
      <c r="A35" s="37" t="inlineStr">
        <is>
          <t>S1</t>
        </is>
      </c>
      <c r="B35" s="40" t="n"/>
      <c r="C35" s="40" t="inlineStr">
        <is>
          <t>S.N.Behera</t>
        </is>
      </c>
      <c r="D35" s="41" t="n">
        <v>0</v>
      </c>
      <c r="E35" s="41" t="n">
        <v>0</v>
      </c>
      <c r="F35" s="41">
        <f>'Apr2026-COLLECTION'!K34</f>
        <v/>
      </c>
      <c r="G35" s="41">
        <f>'Apr2026-EXPENSE'!R38</f>
        <v/>
      </c>
      <c r="H35" s="20" t="n"/>
      <c r="I35" s="41">
        <f>F35-(G35+H35)</f>
        <v/>
      </c>
      <c r="J35" s="41">
        <f>'May2026-COLLECTION'!K34</f>
        <v/>
      </c>
      <c r="K35" s="41">
        <f>'May2026-EXPENSE'!R38</f>
        <v/>
      </c>
      <c r="L35" s="41" t="n">
        <v>0</v>
      </c>
      <c r="M35" s="41">
        <f>J35-(K35+L35)</f>
        <v/>
      </c>
      <c r="N35" s="41">
        <f>'June2026-COLLECTION'!K34</f>
        <v/>
      </c>
      <c r="O35" s="41">
        <f>'June2026-EXPENSE'!R38</f>
        <v/>
      </c>
      <c r="P35" s="20" t="n"/>
      <c r="Q35" s="41">
        <f>N35-(O35+P35)</f>
        <v/>
      </c>
      <c r="R35" s="41">
        <f>'July2026-COLLECTION'!K34</f>
        <v/>
      </c>
      <c r="S35" s="41">
        <f>'July2026-EXPENSE'!R38</f>
        <v/>
      </c>
      <c r="T35" s="21" t="n"/>
      <c r="U35" s="41">
        <f>R35-(S35+T35)</f>
        <v/>
      </c>
      <c r="V35" s="41">
        <f>'Aug2026-COLLECTION'!K34</f>
        <v/>
      </c>
      <c r="W35" s="41">
        <f>'Aug2026-EXPENSE'!R38</f>
        <v/>
      </c>
      <c r="X35" s="20" t="n"/>
      <c r="Y35" s="41">
        <f>V35-(W35+X35)</f>
        <v/>
      </c>
      <c r="Z35" s="41">
        <f>'Sep2026-COLLECTION'!K34</f>
        <v/>
      </c>
      <c r="AA35" s="41">
        <f>'Sep2026-EXPENSE'!R38</f>
        <v/>
      </c>
      <c r="AB35" s="21" t="n"/>
      <c r="AC35" s="41">
        <f>Z35-(AA35+AB35)</f>
        <v/>
      </c>
      <c r="AD35" s="41">
        <f>'Oct2026-COLLECTION'!K34</f>
        <v/>
      </c>
      <c r="AE35" s="41">
        <f>'Oct2026-EXPENSE'!R38</f>
        <v/>
      </c>
      <c r="AF35" s="21" t="n"/>
      <c r="AG35" s="41">
        <f>AD35-(AE35+AF35)</f>
        <v/>
      </c>
      <c r="AH35" s="41">
        <f>'Nov2026-COLLECTION'!K34</f>
        <v/>
      </c>
      <c r="AI35" s="41">
        <f>'Nov2026-EXPENSE'!R38</f>
        <v/>
      </c>
      <c r="AJ35" s="21" t="n"/>
      <c r="AK35" s="41">
        <f>AH35-(AI35+AJ35)</f>
        <v/>
      </c>
      <c r="AL35" s="41">
        <f>'Dec2026-COLLECTION'!K34</f>
        <v/>
      </c>
      <c r="AM35" s="41">
        <f>'Dec2026-EXPENSE'!R38</f>
        <v/>
      </c>
      <c r="AN35" s="21" t="n"/>
      <c r="AO35" s="41">
        <f>AL35-(AM35+AN35)</f>
        <v/>
      </c>
      <c r="AP35" s="41">
        <f>'Jan2027-COLLECTION'!K34</f>
        <v/>
      </c>
      <c r="AQ35" s="41">
        <f>'Jan2027-EXPENSE'!R38</f>
        <v/>
      </c>
      <c r="AR35" s="2" t="n"/>
      <c r="AS35" s="41">
        <f>AP35-(AQ35+AR35)</f>
        <v/>
      </c>
      <c r="AT35" s="41">
        <f>'Feb2027-COLLECTION'!K34</f>
        <v/>
      </c>
      <c r="AU35" s="41">
        <f>'Feb2027-EXPENSE'!R38</f>
        <v/>
      </c>
      <c r="AV35" s="2" t="n"/>
      <c r="AW35" s="41">
        <f>AT35-(AU35+AV35)</f>
        <v/>
      </c>
      <c r="AX35" s="41">
        <f>'Mar2027-COLLECTION'!K34</f>
        <v/>
      </c>
      <c r="AY35" s="41">
        <f>'Mar2027-EXPENSE'!R38</f>
        <v/>
      </c>
      <c r="AZ35" s="2" t="n"/>
      <c r="BA35" s="41">
        <f>AX35-(AY35+AZ35)</f>
        <v/>
      </c>
      <c r="BB35" s="41">
        <f>SUM(F35,J35,N35,R35,V35,Z35,AD35,AH35,AL35,AP35,AT35,AX35)</f>
        <v/>
      </c>
      <c r="BC35" s="41">
        <f>SUM(G35,K35,O35,S35,W35,AA35,AE35,AI35,AM35,AQ35,AU35,AY35)</f>
        <v/>
      </c>
      <c r="BD35" s="41">
        <f>SUM(H35,L35,P35,T35,X35,AB35,AF35,AJ35,AN35,AR35,AV35,AZ35)</f>
        <v/>
      </c>
      <c r="BE35" s="41">
        <f>BB35-(BC35+BD35)</f>
        <v/>
      </c>
      <c r="BF35" s="41">
        <f>E35+BE35</f>
        <v/>
      </c>
      <c r="BG35" s="41" t="n">
        <v>0</v>
      </c>
    </row>
    <row r="36" ht="15.75" customHeight="1">
      <c r="A36" s="36" t="inlineStr">
        <is>
          <t>S2</t>
        </is>
      </c>
      <c r="B36" s="42" t="n"/>
      <c r="C36" s="42" t="inlineStr">
        <is>
          <t>Sonal Singhal</t>
        </is>
      </c>
      <c r="D36" s="43" t="n">
        <v>0</v>
      </c>
      <c r="E36" s="43" t="n">
        <v>0</v>
      </c>
      <c r="F36" s="43">
        <f>'Apr2026-COLLECTION'!K35</f>
        <v/>
      </c>
      <c r="G36" s="43">
        <f>'Apr2026-EXPENSE'!R39</f>
        <v/>
      </c>
      <c r="H36" s="20" t="n"/>
      <c r="I36" s="43">
        <f>F36-(G36+H36)</f>
        <v/>
      </c>
      <c r="J36" s="43">
        <f>'May2026-COLLECTION'!K35</f>
        <v/>
      </c>
      <c r="K36" s="43">
        <f>'May2026-EXPENSE'!R39</f>
        <v/>
      </c>
      <c r="L36" s="43" t="n">
        <v>0</v>
      </c>
      <c r="M36" s="43">
        <f>J36-(K36+L36)</f>
        <v/>
      </c>
      <c r="N36" s="43">
        <f>'June2026-COLLECTION'!K35</f>
        <v/>
      </c>
      <c r="O36" s="43">
        <f>'June2026-EXPENSE'!R39</f>
        <v/>
      </c>
      <c r="P36" s="20" t="n"/>
      <c r="Q36" s="43">
        <f>N36-(O36+P36)</f>
        <v/>
      </c>
      <c r="R36" s="43">
        <f>'July2026-COLLECTION'!K35</f>
        <v/>
      </c>
      <c r="S36" s="43">
        <f>'July2026-EXPENSE'!R39</f>
        <v/>
      </c>
      <c r="T36" s="43" t="n">
        <v>0</v>
      </c>
      <c r="U36" s="43">
        <f>R36-(S36+T36)</f>
        <v/>
      </c>
      <c r="V36" s="43">
        <f>'Aug2026-COLLECTION'!K35</f>
        <v/>
      </c>
      <c r="W36" s="43">
        <f>'Aug2026-EXPENSE'!R39</f>
        <v/>
      </c>
      <c r="X36" s="20" t="n"/>
      <c r="Y36" s="43">
        <f>V36-(W36+X36)</f>
        <v/>
      </c>
      <c r="Z36" s="43">
        <f>'Sep2026-COLLECTION'!K35</f>
        <v/>
      </c>
      <c r="AA36" s="43">
        <f>'Sep2026-EXPENSE'!R39</f>
        <v/>
      </c>
      <c r="AB36" s="21" t="n"/>
      <c r="AC36" s="43">
        <f>Z36-(AA36+AB36)</f>
        <v/>
      </c>
      <c r="AD36" s="43">
        <f>'Oct2026-COLLECTION'!K35</f>
        <v/>
      </c>
      <c r="AE36" s="43">
        <f>'Oct2026-EXPENSE'!R39</f>
        <v/>
      </c>
      <c r="AF36" s="21" t="n"/>
      <c r="AG36" s="43">
        <f>AD36-(AE36+AF36)</f>
        <v/>
      </c>
      <c r="AH36" s="43">
        <f>'Nov2026-COLLECTION'!K35</f>
        <v/>
      </c>
      <c r="AI36" s="43">
        <f>'Nov2026-EXPENSE'!R39</f>
        <v/>
      </c>
      <c r="AJ36" s="21" t="n"/>
      <c r="AK36" s="43">
        <f>AH36-(AI36+AJ36)</f>
        <v/>
      </c>
      <c r="AL36" s="43">
        <f>'Dec2026-COLLECTION'!K35</f>
        <v/>
      </c>
      <c r="AM36" s="43">
        <f>'Dec2026-EXPENSE'!R39</f>
        <v/>
      </c>
      <c r="AN36" s="21" t="n"/>
      <c r="AO36" s="43">
        <f>AL36-(AM36+AN36)</f>
        <v/>
      </c>
      <c r="AP36" s="43">
        <f>'Jan2027-COLLECTION'!K35</f>
        <v/>
      </c>
      <c r="AQ36" s="43">
        <f>'Jan2027-EXPENSE'!R39</f>
        <v/>
      </c>
      <c r="AR36" s="2" t="n"/>
      <c r="AS36" s="43">
        <f>AP36-(AQ36+AR36)</f>
        <v/>
      </c>
      <c r="AT36" s="43">
        <f>'Feb2027-COLLECTION'!K35</f>
        <v/>
      </c>
      <c r="AU36" s="43">
        <f>'Feb2027-EXPENSE'!R39</f>
        <v/>
      </c>
      <c r="AV36" s="2" t="n"/>
      <c r="AW36" s="43">
        <f>AT36-(AU36+AV36)</f>
        <v/>
      </c>
      <c r="AX36" s="43">
        <f>'Mar2027-COLLECTION'!K35</f>
        <v/>
      </c>
      <c r="AY36" s="43">
        <f>'Mar2027-EXPENSE'!R39</f>
        <v/>
      </c>
      <c r="AZ36" s="2" t="n"/>
      <c r="BA36" s="43">
        <f>AX36-(AY36+AZ36)</f>
        <v/>
      </c>
      <c r="BB36" s="43">
        <f>SUM(F36,J36,N36,R36,V36,Z36,AD36,AH36,AL36,AP36,AT36,AX36)</f>
        <v/>
      </c>
      <c r="BC36" s="43">
        <f>SUM(G36,K36,O36,S36,W36,AA36,AE36,AI36,AM36,AQ36,AU36,AY36)</f>
        <v/>
      </c>
      <c r="BD36" s="43">
        <f>SUM(H36,L36,P36,T36,X36,AB36,AF36,AJ36,AN36,AR36,AV36,AZ36)</f>
        <v/>
      </c>
      <c r="BE36" s="43">
        <f>BB36-(BC36+BD36)</f>
        <v/>
      </c>
      <c r="BF36" s="43">
        <f>E36+BE36</f>
        <v/>
      </c>
      <c r="BG36" s="43" t="n">
        <v>0</v>
      </c>
    </row>
    <row r="37" ht="15.75" customHeight="1">
      <c r="A37" s="37" t="inlineStr">
        <is>
          <t>S3</t>
        </is>
      </c>
      <c r="B37" s="40" t="inlineStr">
        <is>
          <t>manikandan.nj@gmail.com</t>
        </is>
      </c>
      <c r="C37" s="40" t="inlineStr">
        <is>
          <t>Manikandan NG</t>
        </is>
      </c>
      <c r="D37" s="41" t="n">
        <v>0</v>
      </c>
      <c r="E37" s="41">
        <f>-45044.64+0.23+10000</f>
        <v/>
      </c>
      <c r="F37" s="41">
        <f>'Apr2026-COLLECTION'!K36</f>
        <v/>
      </c>
      <c r="G37" s="41">
        <f>'Apr2026-EXPENSE'!R40</f>
        <v/>
      </c>
      <c r="H37" s="20" t="n"/>
      <c r="I37" s="41">
        <f>F37-(G37+H37)</f>
        <v/>
      </c>
      <c r="J37" s="41">
        <f>'May2026-COLLECTION'!K36</f>
        <v/>
      </c>
      <c r="K37" s="41">
        <f>'May2026-EXPENSE'!R40</f>
        <v/>
      </c>
      <c r="L37" s="21" t="n"/>
      <c r="M37" s="41">
        <f>J37-(K37+L37)</f>
        <v/>
      </c>
      <c r="N37" s="41">
        <f>'June2026-COLLECTION'!K36</f>
        <v/>
      </c>
      <c r="O37" s="41">
        <f>'June2026-EXPENSE'!R40</f>
        <v/>
      </c>
      <c r="P37" s="20" t="n"/>
      <c r="Q37" s="41">
        <f>N37-(O37+P37)</f>
        <v/>
      </c>
      <c r="R37" s="41">
        <f>'July2026-COLLECTION'!K36</f>
        <v/>
      </c>
      <c r="S37" s="41">
        <f>'July2026-EXPENSE'!R40</f>
        <v/>
      </c>
      <c r="T37" s="21" t="n"/>
      <c r="U37" s="41">
        <f>R37-(S37+T37)</f>
        <v/>
      </c>
      <c r="V37" s="41">
        <f>'Aug2026-COLLECTION'!K36</f>
        <v/>
      </c>
      <c r="W37" s="41">
        <f>'Aug2026-EXPENSE'!R40</f>
        <v/>
      </c>
      <c r="X37" s="20" t="n"/>
      <c r="Y37" s="41">
        <f>V37-(W37+X37)</f>
        <v/>
      </c>
      <c r="Z37" s="41">
        <f>'Sep2026-COLLECTION'!K36</f>
        <v/>
      </c>
      <c r="AA37" s="41">
        <f>'Sep2026-EXPENSE'!R40</f>
        <v/>
      </c>
      <c r="AB37" s="21" t="n"/>
      <c r="AC37" s="41">
        <f>Z37-(AA37+AB37)</f>
        <v/>
      </c>
      <c r="AD37" s="41">
        <f>'Oct2026-COLLECTION'!K36</f>
        <v/>
      </c>
      <c r="AE37" s="41">
        <f>'Oct2026-EXPENSE'!R40</f>
        <v/>
      </c>
      <c r="AF37" s="21" t="n"/>
      <c r="AG37" s="41">
        <f>AD37-(AE37+AF37)</f>
        <v/>
      </c>
      <c r="AH37" s="41">
        <f>'Nov2026-COLLECTION'!K36</f>
        <v/>
      </c>
      <c r="AI37" s="41">
        <f>'Nov2026-EXPENSE'!R40</f>
        <v/>
      </c>
      <c r="AJ37" s="21" t="n"/>
      <c r="AK37" s="41">
        <f>AH37-(AI37+AJ37)</f>
        <v/>
      </c>
      <c r="AL37" s="41">
        <f>'Dec2026-COLLECTION'!K36</f>
        <v/>
      </c>
      <c r="AM37" s="41">
        <f>'Dec2026-EXPENSE'!R40</f>
        <v/>
      </c>
      <c r="AN37" s="21" t="n"/>
      <c r="AO37" s="41">
        <f>AL37-(AM37+AN37)</f>
        <v/>
      </c>
      <c r="AP37" s="41">
        <f>'Jan2027-COLLECTION'!K36</f>
        <v/>
      </c>
      <c r="AQ37" s="41">
        <f>'Jan2027-EXPENSE'!R40</f>
        <v/>
      </c>
      <c r="AR37" s="2" t="n"/>
      <c r="AS37" s="41">
        <f>AP37-(AQ37+AR37)</f>
        <v/>
      </c>
      <c r="AT37" s="41">
        <f>'Feb2027-COLLECTION'!K36</f>
        <v/>
      </c>
      <c r="AU37" s="41">
        <f>'Feb2027-EXPENSE'!R40</f>
        <v/>
      </c>
      <c r="AV37" s="2" t="n"/>
      <c r="AW37" s="41">
        <f>AT37-(AU37+AV37)</f>
        <v/>
      </c>
      <c r="AX37" s="41">
        <f>'Mar2027-COLLECTION'!K36</f>
        <v/>
      </c>
      <c r="AY37" s="41">
        <f>'Mar2027-EXPENSE'!R40</f>
        <v/>
      </c>
      <c r="AZ37" s="2" t="n"/>
      <c r="BA37" s="41">
        <f>AX37-(AY37+AZ37)</f>
        <v/>
      </c>
      <c r="BB37" s="41">
        <f>SUM(F37,J37,N37,R37,V37,Z37,AD37,AH37,AL37,AP37,AT37,AX37)</f>
        <v/>
      </c>
      <c r="BC37" s="41">
        <f>SUM(G37,K37,O37,S37,W37,AA37,AE37,AI37,AM37,AQ37,AU37,AY37)</f>
        <v/>
      </c>
      <c r="BD37" s="41">
        <f>SUM(H37,L37,P37,T37,X37,AB37,AF37,AJ37,AN37,AR37,AV37,AZ37)</f>
        <v/>
      </c>
      <c r="BE37" s="41">
        <f>BB37-(BC37+BD37)</f>
        <v/>
      </c>
      <c r="BF37" s="41">
        <f>E37+BE37</f>
        <v/>
      </c>
      <c r="BG37" s="41" t="n">
        <v>0</v>
      </c>
    </row>
    <row r="38" ht="15.75" customHeight="1">
      <c r="A38" s="36" t="inlineStr">
        <is>
          <t>S4</t>
        </is>
      </c>
      <c r="B38" s="42" t="n"/>
      <c r="C38" s="42" t="inlineStr">
        <is>
          <t xml:space="preserve">Swaminathan </t>
        </is>
      </c>
      <c r="D38" s="43" t="n">
        <v>0</v>
      </c>
      <c r="E38" s="43" t="n">
        <v>0</v>
      </c>
      <c r="F38" s="43">
        <f>'Apr2026-COLLECTION'!K37</f>
        <v/>
      </c>
      <c r="G38" s="43">
        <f>'Apr2026-EXPENSE'!R41</f>
        <v/>
      </c>
      <c r="H38" s="20" t="n"/>
      <c r="I38" s="43">
        <f>F38-(G38+H38)</f>
        <v/>
      </c>
      <c r="J38" s="43">
        <f>'May2026-COLLECTION'!K37</f>
        <v/>
      </c>
      <c r="K38" s="43">
        <f>'May2026-EXPENSE'!R41</f>
        <v/>
      </c>
      <c r="L38" s="21" t="n"/>
      <c r="M38" s="43">
        <f>J38-(K38+L38)</f>
        <v/>
      </c>
      <c r="N38" s="43">
        <f>'June2026-COLLECTION'!K37</f>
        <v/>
      </c>
      <c r="O38" s="43">
        <f>'June2026-EXPENSE'!R41</f>
        <v/>
      </c>
      <c r="P38" s="20" t="n"/>
      <c r="Q38" s="43">
        <f>N38-(O38+P38)</f>
        <v/>
      </c>
      <c r="R38" s="43">
        <f>'July2026-COLLECTION'!K37</f>
        <v/>
      </c>
      <c r="S38" s="43">
        <f>'July2026-EXPENSE'!R41</f>
        <v/>
      </c>
      <c r="T38" s="21" t="n"/>
      <c r="U38" s="43">
        <f>R38-(S38+T38)</f>
        <v/>
      </c>
      <c r="V38" s="43">
        <f>'Aug2026-COLLECTION'!K37</f>
        <v/>
      </c>
      <c r="W38" s="43">
        <f>'Aug2026-EXPENSE'!R41</f>
        <v/>
      </c>
      <c r="X38" s="20" t="n"/>
      <c r="Y38" s="43">
        <f>V38-(W38+X38)</f>
        <v/>
      </c>
      <c r="Z38" s="43">
        <f>'Sep2026-COLLECTION'!K37</f>
        <v/>
      </c>
      <c r="AA38" s="43">
        <f>'Sep2026-EXPENSE'!R41</f>
        <v/>
      </c>
      <c r="AB38" s="21" t="n"/>
      <c r="AC38" s="43">
        <f>Z38-(AA38+AB38)</f>
        <v/>
      </c>
      <c r="AD38" s="43">
        <f>'Oct2026-COLLECTION'!K37</f>
        <v/>
      </c>
      <c r="AE38" s="43">
        <f>'Oct2026-EXPENSE'!R41</f>
        <v/>
      </c>
      <c r="AF38" s="21" t="n"/>
      <c r="AG38" s="43">
        <f>AD38-(AE38+AF38)</f>
        <v/>
      </c>
      <c r="AH38" s="43">
        <f>'Nov2026-COLLECTION'!K37</f>
        <v/>
      </c>
      <c r="AI38" s="43">
        <f>'Nov2026-EXPENSE'!R41</f>
        <v/>
      </c>
      <c r="AJ38" s="21" t="n"/>
      <c r="AK38" s="43">
        <f>AH38-(AI38+AJ38)</f>
        <v/>
      </c>
      <c r="AL38" s="43">
        <f>'Dec2026-COLLECTION'!K37</f>
        <v/>
      </c>
      <c r="AM38" s="43">
        <f>'Dec2026-EXPENSE'!R41</f>
        <v/>
      </c>
      <c r="AN38" s="21" t="n"/>
      <c r="AO38" s="43">
        <f>AL38-(AM38+AN38)</f>
        <v/>
      </c>
      <c r="AP38" s="43">
        <f>'Jan2027-COLLECTION'!K37</f>
        <v/>
      </c>
      <c r="AQ38" s="43">
        <f>'Jan2027-EXPENSE'!R41</f>
        <v/>
      </c>
      <c r="AR38" s="2" t="n"/>
      <c r="AS38" s="43">
        <f>AP38-(AQ38+AR38)</f>
        <v/>
      </c>
      <c r="AT38" s="43">
        <f>'Feb2027-COLLECTION'!K37</f>
        <v/>
      </c>
      <c r="AU38" s="43">
        <f>'Feb2027-EXPENSE'!R41</f>
        <v/>
      </c>
      <c r="AV38" s="2" t="n"/>
      <c r="AW38" s="43">
        <f>AT38-(AU38+AV38)</f>
        <v/>
      </c>
      <c r="AX38" s="43">
        <f>'Mar2027-COLLECTION'!K37</f>
        <v/>
      </c>
      <c r="AY38" s="43">
        <f>'Mar2027-EXPENSE'!R41</f>
        <v/>
      </c>
      <c r="AZ38" s="2" t="n"/>
      <c r="BA38" s="43">
        <f>AX38-(AY38+AZ38)</f>
        <v/>
      </c>
      <c r="BB38" s="43">
        <f>SUM(F38,J38,N38,R38,V38,Z38,AD38,AH38,AL38,AP38,AT38,AX38)</f>
        <v/>
      </c>
      <c r="BC38" s="43">
        <f>SUM(G38,K38,O38,S38,W38,AA38,AE38,AI38,AM38,AQ38,AU38,AY38)</f>
        <v/>
      </c>
      <c r="BD38" s="43">
        <f>SUM(H38,L38,P38,T38,X38,AB38,AF38,AJ38,AN38,AR38,AV38,AZ38)</f>
        <v/>
      </c>
      <c r="BE38" s="43">
        <f>BB38-(BC38+BD38)</f>
        <v/>
      </c>
      <c r="BF38" s="43">
        <f>E38+BE38</f>
        <v/>
      </c>
      <c r="BG38" s="43" t="n">
        <v>0</v>
      </c>
    </row>
    <row r="39" ht="15.75" customHeight="1">
      <c r="A39" s="37" t="inlineStr">
        <is>
          <t>S5</t>
        </is>
      </c>
      <c r="B39" s="40" t="n"/>
      <c r="C39" s="40" t="inlineStr">
        <is>
          <t>Abhishek Gopalakrishnan</t>
        </is>
      </c>
      <c r="D39" s="41" t="n">
        <v>0</v>
      </c>
      <c r="E39" s="41" t="n">
        <v>0</v>
      </c>
      <c r="F39" s="41">
        <f>'Apr2026-COLLECTION'!K38</f>
        <v/>
      </c>
      <c r="G39" s="41">
        <f>'Apr2026-EXPENSE'!R42</f>
        <v/>
      </c>
      <c r="H39" s="20" t="n"/>
      <c r="I39" s="41">
        <f>F39-(G39+H39)</f>
        <v/>
      </c>
      <c r="J39" s="41">
        <f>'May2026-COLLECTION'!K38</f>
        <v/>
      </c>
      <c r="K39" s="41">
        <f>'May2026-EXPENSE'!R42</f>
        <v/>
      </c>
      <c r="L39" s="21" t="n"/>
      <c r="M39" s="41">
        <f>J39-(K39+L39)</f>
        <v/>
      </c>
      <c r="N39" s="41">
        <f>'June2026-COLLECTION'!K38</f>
        <v/>
      </c>
      <c r="O39" s="41">
        <f>'June2026-EXPENSE'!R42</f>
        <v/>
      </c>
      <c r="P39" s="20" t="n"/>
      <c r="Q39" s="41">
        <f>N39-(O39+P39)</f>
        <v/>
      </c>
      <c r="R39" s="41">
        <f>'July2026-COLLECTION'!K38</f>
        <v/>
      </c>
      <c r="S39" s="41">
        <f>'July2026-EXPENSE'!R42</f>
        <v/>
      </c>
      <c r="T39" s="21" t="n"/>
      <c r="U39" s="41">
        <f>R39-(S39+T39)</f>
        <v/>
      </c>
      <c r="V39" s="41">
        <f>'Aug2026-COLLECTION'!K38</f>
        <v/>
      </c>
      <c r="W39" s="41">
        <f>'Aug2026-EXPENSE'!R42</f>
        <v/>
      </c>
      <c r="X39" s="20" t="n"/>
      <c r="Y39" s="41">
        <f>V39-(W39+X39)</f>
        <v/>
      </c>
      <c r="Z39" s="41">
        <f>'Sep2026-COLLECTION'!K38</f>
        <v/>
      </c>
      <c r="AA39" s="41">
        <f>'Sep2026-EXPENSE'!R42</f>
        <v/>
      </c>
      <c r="AB39" s="21" t="n"/>
      <c r="AC39" s="41">
        <f>Z39-(AA39+AB39)</f>
        <v/>
      </c>
      <c r="AD39" s="41">
        <f>'Oct2026-COLLECTION'!K38</f>
        <v/>
      </c>
      <c r="AE39" s="41">
        <f>'Oct2026-EXPENSE'!R42</f>
        <v/>
      </c>
      <c r="AF39" s="21" t="n"/>
      <c r="AG39" s="41">
        <f>AD39-(AE39+AF39)</f>
        <v/>
      </c>
      <c r="AH39" s="41">
        <f>'Nov2026-COLLECTION'!K38</f>
        <v/>
      </c>
      <c r="AI39" s="41">
        <f>'Nov2026-EXPENSE'!R42</f>
        <v/>
      </c>
      <c r="AJ39" s="21" t="n"/>
      <c r="AK39" s="41">
        <f>AH39-(AI39+AJ39)</f>
        <v/>
      </c>
      <c r="AL39" s="41">
        <f>'Dec2026-COLLECTION'!K38</f>
        <v/>
      </c>
      <c r="AM39" s="41">
        <f>'Dec2026-EXPENSE'!R42</f>
        <v/>
      </c>
      <c r="AN39" s="21" t="n"/>
      <c r="AO39" s="41">
        <f>AL39-(AM39+AN39)</f>
        <v/>
      </c>
      <c r="AP39" s="41">
        <f>'Jan2027-COLLECTION'!K38</f>
        <v/>
      </c>
      <c r="AQ39" s="41">
        <f>'Jan2027-EXPENSE'!R42</f>
        <v/>
      </c>
      <c r="AR39" s="2" t="n"/>
      <c r="AS39" s="41">
        <f>AP39-(AQ39+AR39)</f>
        <v/>
      </c>
      <c r="AT39" s="41">
        <f>'Feb2027-COLLECTION'!K38</f>
        <v/>
      </c>
      <c r="AU39" s="41">
        <f>'Feb2027-EXPENSE'!R42</f>
        <v/>
      </c>
      <c r="AV39" s="2" t="n"/>
      <c r="AW39" s="41">
        <f>AT39-(AU39+AV39)</f>
        <v/>
      </c>
      <c r="AX39" s="41">
        <f>'Mar2027-COLLECTION'!K38</f>
        <v/>
      </c>
      <c r="AY39" s="41">
        <f>'Mar2027-EXPENSE'!R42</f>
        <v/>
      </c>
      <c r="AZ39" s="2" t="n"/>
      <c r="BA39" s="41">
        <f>AX39-(AY39+AZ39)</f>
        <v/>
      </c>
      <c r="BB39" s="41">
        <f>SUM(F39,J39,N39,R39,V39,Z39,AD39,AH39,AL39,AP39,AT39,AX39)</f>
        <v/>
      </c>
      <c r="BC39" s="41">
        <f>SUM(G39,K39,O39,S39,W39,AA39,AE39,AI39,AM39,AQ39,AU39,AY39)</f>
        <v/>
      </c>
      <c r="BD39" s="41">
        <f>SUM(H39,L39,P39,T39,X39,AB39,AF39,AJ39,AN39,AR39,AV39,AZ39)</f>
        <v/>
      </c>
      <c r="BE39" s="41">
        <f>BB39-(BC39+BD39)</f>
        <v/>
      </c>
      <c r="BF39" s="41">
        <f>E39+BE39</f>
        <v/>
      </c>
      <c r="BG39" s="41" t="n">
        <v>0</v>
      </c>
    </row>
    <row r="40" ht="15.75" customHeight="1">
      <c r="A40" s="36" t="inlineStr">
        <is>
          <t>S6</t>
        </is>
      </c>
      <c r="B40" s="42" t="n"/>
      <c r="C40" s="42" t="inlineStr">
        <is>
          <t>Vivek Dhingra / Pratyush Das</t>
        </is>
      </c>
      <c r="D40" s="43" t="n">
        <v>0</v>
      </c>
      <c r="E40" s="43" t="n">
        <v>0</v>
      </c>
      <c r="F40" s="43">
        <f>'Apr2026-COLLECTION'!K39</f>
        <v/>
      </c>
      <c r="G40" s="43">
        <f>'Apr2026-EXPENSE'!R43</f>
        <v/>
      </c>
      <c r="H40" s="20" t="n"/>
      <c r="I40" s="43">
        <f>F40-(G40+H40)</f>
        <v/>
      </c>
      <c r="J40" s="43">
        <f>'May2026-COLLECTION'!K39</f>
        <v/>
      </c>
      <c r="K40" s="43">
        <f>'May2026-EXPENSE'!R43</f>
        <v/>
      </c>
      <c r="L40" s="21" t="n"/>
      <c r="M40" s="43">
        <f>J40-(K40+L40)</f>
        <v/>
      </c>
      <c r="N40" s="43">
        <f>'June2026-COLLECTION'!K39</f>
        <v/>
      </c>
      <c r="O40" s="43">
        <f>'June2026-EXPENSE'!R43</f>
        <v/>
      </c>
      <c r="P40" s="20" t="n"/>
      <c r="Q40" s="43">
        <f>N40-(O40+P40)</f>
        <v/>
      </c>
      <c r="R40" s="43">
        <f>'July2026-COLLECTION'!K39</f>
        <v/>
      </c>
      <c r="S40" s="43">
        <f>'July2026-EXPENSE'!R43</f>
        <v/>
      </c>
      <c r="T40" s="21" t="n"/>
      <c r="U40" s="43">
        <f>R40-(S40+T40)</f>
        <v/>
      </c>
      <c r="V40" s="43">
        <f>'Aug2026-COLLECTION'!K39</f>
        <v/>
      </c>
      <c r="W40" s="43">
        <f>'Aug2026-EXPENSE'!R43</f>
        <v/>
      </c>
      <c r="X40" s="20" t="n"/>
      <c r="Y40" s="43">
        <f>V40-(W40+X40)</f>
        <v/>
      </c>
      <c r="Z40" s="43">
        <f>'Sep2026-COLLECTION'!K39</f>
        <v/>
      </c>
      <c r="AA40" s="43">
        <f>'Sep2026-EXPENSE'!R43</f>
        <v/>
      </c>
      <c r="AB40" s="21" t="n"/>
      <c r="AC40" s="43">
        <f>Z40-(AA40+AB40)</f>
        <v/>
      </c>
      <c r="AD40" s="43">
        <f>'Oct2026-COLLECTION'!K39</f>
        <v/>
      </c>
      <c r="AE40" s="43">
        <f>'Oct2026-EXPENSE'!R43</f>
        <v/>
      </c>
      <c r="AF40" s="21" t="n"/>
      <c r="AG40" s="43">
        <f>AD40-(AE40+AF40)</f>
        <v/>
      </c>
      <c r="AH40" s="43">
        <f>'Nov2026-COLLECTION'!K39</f>
        <v/>
      </c>
      <c r="AI40" s="43">
        <f>'Nov2026-EXPENSE'!R43</f>
        <v/>
      </c>
      <c r="AJ40" s="21" t="n"/>
      <c r="AK40" s="43">
        <f>AH40-(AI40+AJ40)</f>
        <v/>
      </c>
      <c r="AL40" s="43">
        <f>'Dec2026-COLLECTION'!K39</f>
        <v/>
      </c>
      <c r="AM40" s="43">
        <f>'Dec2026-EXPENSE'!R43</f>
        <v/>
      </c>
      <c r="AN40" s="21" t="n"/>
      <c r="AO40" s="43">
        <f>AL40-(AM40+AN40)</f>
        <v/>
      </c>
      <c r="AP40" s="43">
        <f>'Jan2027-COLLECTION'!K39</f>
        <v/>
      </c>
      <c r="AQ40" s="43">
        <f>'Jan2027-EXPENSE'!R43</f>
        <v/>
      </c>
      <c r="AR40" s="2" t="n"/>
      <c r="AS40" s="43">
        <f>AP40-(AQ40+AR40)</f>
        <v/>
      </c>
      <c r="AT40" s="43">
        <f>'Feb2027-COLLECTION'!K39</f>
        <v/>
      </c>
      <c r="AU40" s="43">
        <f>'Feb2027-EXPENSE'!R43</f>
        <v/>
      </c>
      <c r="AV40" s="2" t="n"/>
      <c r="AW40" s="43">
        <f>AT40-(AU40+AV40)</f>
        <v/>
      </c>
      <c r="AX40" s="43">
        <f>'Mar2027-COLLECTION'!K39</f>
        <v/>
      </c>
      <c r="AY40" s="43">
        <f>'Mar2027-EXPENSE'!R43</f>
        <v/>
      </c>
      <c r="AZ40" s="2" t="n"/>
      <c r="BA40" s="43">
        <f>AX40-(AY40+AZ40)</f>
        <v/>
      </c>
      <c r="BB40" s="43">
        <f>SUM(F40,J40,N40,R40,V40,Z40,AD40,AH40,AL40,AP40,AT40,AX40)</f>
        <v/>
      </c>
      <c r="BC40" s="43">
        <f>SUM(G40,K40,O40,S40,W40,AA40,AE40,AI40,AM40,AQ40,AU40,AY40)</f>
        <v/>
      </c>
      <c r="BD40" s="43">
        <f>SUM(H40,L40,P40,T40,X40,AB40,AF40,AJ40,AN40,AR40,AV40,AZ40)</f>
        <v/>
      </c>
      <c r="BE40" s="43">
        <f>BB40-(BC40+BD40)</f>
        <v/>
      </c>
      <c r="BF40" s="43">
        <f>E40+BE40</f>
        <v/>
      </c>
      <c r="BG40" s="43" t="n">
        <v>0</v>
      </c>
    </row>
    <row r="41" ht="15.75" customHeight="1">
      <c r="A41" s="37" t="inlineStr">
        <is>
          <t>S7</t>
        </is>
      </c>
      <c r="B41" s="40" t="n"/>
      <c r="C41" s="40" t="inlineStr">
        <is>
          <t>Harish B</t>
        </is>
      </c>
      <c r="D41" s="41" t="n">
        <v>0</v>
      </c>
      <c r="E41" s="41" t="n">
        <v>0</v>
      </c>
      <c r="F41" s="41">
        <f>'Apr2026-COLLECTION'!K40</f>
        <v/>
      </c>
      <c r="G41" s="41">
        <f>'Apr2026-EXPENSE'!R44</f>
        <v/>
      </c>
      <c r="H41" s="20" t="n"/>
      <c r="I41" s="41">
        <f>F41-(G41+H41)</f>
        <v/>
      </c>
      <c r="J41" s="41">
        <f>'May2026-COLLECTION'!K40</f>
        <v/>
      </c>
      <c r="K41" s="41">
        <f>'May2026-EXPENSE'!R44</f>
        <v/>
      </c>
      <c r="L41" s="21" t="n"/>
      <c r="M41" s="41">
        <f>J41-(K41+L41)</f>
        <v/>
      </c>
      <c r="N41" s="41">
        <f>'June2026-COLLECTION'!K40</f>
        <v/>
      </c>
      <c r="O41" s="41">
        <f>'June2026-EXPENSE'!R44</f>
        <v/>
      </c>
      <c r="P41" s="20" t="n"/>
      <c r="Q41" s="41">
        <f>N41-(O41+P41)</f>
        <v/>
      </c>
      <c r="R41" s="41">
        <f>'July2026-COLLECTION'!K40</f>
        <v/>
      </c>
      <c r="S41" s="41">
        <f>'July2026-EXPENSE'!R44</f>
        <v/>
      </c>
      <c r="T41" s="21" t="n"/>
      <c r="U41" s="41">
        <f>R41-(S41+T41)</f>
        <v/>
      </c>
      <c r="V41" s="41">
        <f>'Aug2026-COLLECTION'!K40</f>
        <v/>
      </c>
      <c r="W41" s="41">
        <f>'Aug2026-EXPENSE'!R44</f>
        <v/>
      </c>
      <c r="X41" s="20" t="n"/>
      <c r="Y41" s="41">
        <f>V41-(W41+X41)</f>
        <v/>
      </c>
      <c r="Z41" s="41">
        <f>'Sep2026-COLLECTION'!K40</f>
        <v/>
      </c>
      <c r="AA41" s="41">
        <f>'Sep2026-EXPENSE'!R44</f>
        <v/>
      </c>
      <c r="AB41" s="21" t="n"/>
      <c r="AC41" s="41">
        <f>Z41-(AA41+AB41)</f>
        <v/>
      </c>
      <c r="AD41" s="41">
        <f>'Oct2026-COLLECTION'!K40</f>
        <v/>
      </c>
      <c r="AE41" s="41">
        <f>'Oct2026-EXPENSE'!R44</f>
        <v/>
      </c>
      <c r="AF41" s="21" t="n"/>
      <c r="AG41" s="41">
        <f>AD41-(AE41+AF41)</f>
        <v/>
      </c>
      <c r="AH41" s="41">
        <f>'Nov2026-COLLECTION'!K40</f>
        <v/>
      </c>
      <c r="AI41" s="41">
        <f>'Nov2026-EXPENSE'!R44</f>
        <v/>
      </c>
      <c r="AJ41" s="21" t="n"/>
      <c r="AK41" s="41">
        <f>AH41-(AI41+AJ41)</f>
        <v/>
      </c>
      <c r="AL41" s="41">
        <f>'Dec2026-COLLECTION'!K40</f>
        <v/>
      </c>
      <c r="AM41" s="41">
        <f>'Dec2026-EXPENSE'!R44</f>
        <v/>
      </c>
      <c r="AN41" s="21" t="n"/>
      <c r="AO41" s="41">
        <f>AL41-(AM41+AN41)</f>
        <v/>
      </c>
      <c r="AP41" s="41">
        <f>'Jan2027-COLLECTION'!K40</f>
        <v/>
      </c>
      <c r="AQ41" s="41">
        <f>'Jan2027-EXPENSE'!R44</f>
        <v/>
      </c>
      <c r="AR41" s="2" t="n"/>
      <c r="AS41" s="41">
        <f>AP41-(AQ41+AR41)</f>
        <v/>
      </c>
      <c r="AT41" s="41">
        <f>'Feb2027-COLLECTION'!K40</f>
        <v/>
      </c>
      <c r="AU41" s="41">
        <f>'Feb2027-EXPENSE'!R44</f>
        <v/>
      </c>
      <c r="AV41" s="2" t="n"/>
      <c r="AW41" s="41">
        <f>AT41-(AU41+AV41)</f>
        <v/>
      </c>
      <c r="AX41" s="41">
        <f>'Mar2027-COLLECTION'!K40</f>
        <v/>
      </c>
      <c r="AY41" s="41">
        <f>'Mar2027-EXPENSE'!R44</f>
        <v/>
      </c>
      <c r="AZ41" s="2" t="n"/>
      <c r="BA41" s="41">
        <f>AX41-(AY41+AZ41)</f>
        <v/>
      </c>
      <c r="BB41" s="41">
        <f>SUM(F41,J41,N41,R41,V41,Z41,AD41,AH41,AL41,AP41,AT41,AX41)</f>
        <v/>
      </c>
      <c r="BC41" s="41">
        <f>SUM(G41,K41,O41,S41,W41,AA41,AE41,AI41,AM41,AQ41,AU41,AY41)</f>
        <v/>
      </c>
      <c r="BD41" s="41">
        <f>SUM(H41,L41,P41,T41,X41,AB41,AF41,AJ41,AN41,AR41,AV41,AZ41)</f>
        <v/>
      </c>
      <c r="BE41" s="41">
        <f>BB41-(BC41+BD41)</f>
        <v/>
      </c>
      <c r="BF41" s="41">
        <f>E41+BE41</f>
        <v/>
      </c>
      <c r="BG41" s="41" t="n">
        <v>0</v>
      </c>
    </row>
    <row r="42" ht="15.75" customHeight="1">
      <c r="A42" s="36" t="inlineStr">
        <is>
          <t>S8</t>
        </is>
      </c>
      <c r="B42" s="42" t="n"/>
      <c r="C42" s="42" t="inlineStr">
        <is>
          <t>Irudayaraj Alwin</t>
        </is>
      </c>
      <c r="D42" s="43" t="n">
        <v>0</v>
      </c>
      <c r="E42" s="43" t="n">
        <v>0</v>
      </c>
      <c r="F42" s="43">
        <f>'Apr2026-COLLECTION'!K41</f>
        <v/>
      </c>
      <c r="G42" s="43">
        <f>'Apr2026-EXPENSE'!R45</f>
        <v/>
      </c>
      <c r="H42" s="20" t="n"/>
      <c r="I42" s="43">
        <f>F42-(G42+H42)</f>
        <v/>
      </c>
      <c r="J42" s="43">
        <f>'May2026-COLLECTION'!K41</f>
        <v/>
      </c>
      <c r="K42" s="43">
        <f>'May2026-EXPENSE'!R45</f>
        <v/>
      </c>
      <c r="L42" s="21" t="n"/>
      <c r="M42" s="43">
        <f>J42-(K42+L42)</f>
        <v/>
      </c>
      <c r="N42" s="43">
        <f>'June2026-COLLECTION'!K41</f>
        <v/>
      </c>
      <c r="O42" s="43">
        <f>'June2026-EXPENSE'!R45</f>
        <v/>
      </c>
      <c r="P42" s="20" t="n"/>
      <c r="Q42" s="43">
        <f>N42-(O42+P42)</f>
        <v/>
      </c>
      <c r="R42" s="43">
        <f>'July2026-COLLECTION'!K41</f>
        <v/>
      </c>
      <c r="S42" s="43">
        <f>'July2026-EXPENSE'!R45</f>
        <v/>
      </c>
      <c r="T42" s="21" t="n"/>
      <c r="U42" s="43">
        <f>R42-(S42+T42)</f>
        <v/>
      </c>
      <c r="V42" s="43">
        <f>'Aug2026-COLLECTION'!K41</f>
        <v/>
      </c>
      <c r="W42" s="43">
        <f>'Aug2026-EXPENSE'!R45</f>
        <v/>
      </c>
      <c r="X42" s="20" t="n"/>
      <c r="Y42" s="43">
        <f>V42-(W42+X42)</f>
        <v/>
      </c>
      <c r="Z42" s="43">
        <f>'Sep2026-COLLECTION'!K41</f>
        <v/>
      </c>
      <c r="AA42" s="43">
        <f>'Sep2026-EXPENSE'!R45</f>
        <v/>
      </c>
      <c r="AB42" s="21" t="n"/>
      <c r="AC42" s="43">
        <f>Z42-(AA42+AB42)</f>
        <v/>
      </c>
      <c r="AD42" s="43">
        <f>'Oct2026-COLLECTION'!K41</f>
        <v/>
      </c>
      <c r="AE42" s="43">
        <f>'Oct2026-EXPENSE'!R45</f>
        <v/>
      </c>
      <c r="AF42" s="21" t="n"/>
      <c r="AG42" s="43">
        <f>AD42-(AE42+AF42)</f>
        <v/>
      </c>
      <c r="AH42" s="43">
        <f>'Nov2026-COLLECTION'!K41</f>
        <v/>
      </c>
      <c r="AI42" s="43">
        <f>'Nov2026-EXPENSE'!R45</f>
        <v/>
      </c>
      <c r="AJ42" s="21" t="n"/>
      <c r="AK42" s="43">
        <f>AH42-(AI42+AJ42)</f>
        <v/>
      </c>
      <c r="AL42" s="43">
        <f>'Dec2026-COLLECTION'!K41</f>
        <v/>
      </c>
      <c r="AM42" s="43">
        <f>'Dec2026-EXPENSE'!R45</f>
        <v/>
      </c>
      <c r="AN42" s="21" t="n"/>
      <c r="AO42" s="43">
        <f>AL42-(AM42+AN42)</f>
        <v/>
      </c>
      <c r="AP42" s="43">
        <f>'Jan2027-COLLECTION'!K41</f>
        <v/>
      </c>
      <c r="AQ42" s="43">
        <f>'Jan2027-EXPENSE'!R45</f>
        <v/>
      </c>
      <c r="AR42" s="2" t="n"/>
      <c r="AS42" s="43">
        <f>AP42-(AQ42+AR42)</f>
        <v/>
      </c>
      <c r="AT42" s="43">
        <f>'Feb2027-COLLECTION'!K41</f>
        <v/>
      </c>
      <c r="AU42" s="43">
        <f>'Feb2027-EXPENSE'!R45</f>
        <v/>
      </c>
      <c r="AV42" s="2" t="n"/>
      <c r="AW42" s="43">
        <f>AT42-(AU42+AV42)</f>
        <v/>
      </c>
      <c r="AX42" s="43">
        <f>'Mar2027-COLLECTION'!K41</f>
        <v/>
      </c>
      <c r="AY42" s="43">
        <f>'Mar2027-EXPENSE'!R45</f>
        <v/>
      </c>
      <c r="AZ42" s="2" t="n"/>
      <c r="BA42" s="43">
        <f>AX42-(AY42+AZ42)</f>
        <v/>
      </c>
      <c r="BB42" s="43">
        <f>SUM(F42,J42,N42,R42,V42,Z42,AD42,AH42,AL42,AP42,AT42,AX42)</f>
        <v/>
      </c>
      <c r="BC42" s="43">
        <f>SUM(G42,K42,O42,S42,W42,AA42,AE42,AI42,AM42,AQ42,AU42,AY42)</f>
        <v/>
      </c>
      <c r="BD42" s="43">
        <f>SUM(H42,L42,P42,T42,X42,AB42,AF42,AJ42,AN42,AR42,AV42,AZ42)</f>
        <v/>
      </c>
      <c r="BE42" s="43">
        <f>BB42-(BC42+BD42)</f>
        <v/>
      </c>
      <c r="BF42" s="43">
        <f>E42+BE42</f>
        <v/>
      </c>
      <c r="BG42" s="43" t="n">
        <v>0</v>
      </c>
    </row>
    <row r="43" ht="15.75" customHeight="1">
      <c r="A43" s="37" t="inlineStr">
        <is>
          <t>S9</t>
        </is>
      </c>
      <c r="B43" s="40" t="n"/>
      <c r="C43" s="40" t="inlineStr">
        <is>
          <t>Pawan GS</t>
        </is>
      </c>
      <c r="D43" s="41" t="n">
        <v>0</v>
      </c>
      <c r="E43" s="41" t="n">
        <v>0</v>
      </c>
      <c r="F43" s="41">
        <f>'Apr2026-COLLECTION'!K42</f>
        <v/>
      </c>
      <c r="G43" s="41">
        <f>'Apr2026-EXPENSE'!R46</f>
        <v/>
      </c>
      <c r="H43" s="20" t="n"/>
      <c r="I43" s="41">
        <f>F43-(G43+H43)</f>
        <v/>
      </c>
      <c r="J43" s="41">
        <f>'May2026-COLLECTION'!K42</f>
        <v/>
      </c>
      <c r="K43" s="41">
        <f>'May2026-EXPENSE'!R46</f>
        <v/>
      </c>
      <c r="L43" s="21" t="n"/>
      <c r="M43" s="41">
        <f>J43-(K43+L43)</f>
        <v/>
      </c>
      <c r="N43" s="41">
        <f>'June2026-COLLECTION'!K42</f>
        <v/>
      </c>
      <c r="O43" s="41">
        <f>'June2026-EXPENSE'!R46</f>
        <v/>
      </c>
      <c r="P43" s="20" t="n"/>
      <c r="Q43" s="41">
        <f>N43-(O43+P43)</f>
        <v/>
      </c>
      <c r="R43" s="41">
        <f>'July2026-COLLECTION'!K42</f>
        <v/>
      </c>
      <c r="S43" s="41">
        <f>'July2026-EXPENSE'!R46</f>
        <v/>
      </c>
      <c r="T43" s="21" t="n"/>
      <c r="U43" s="41">
        <f>R43-(S43+T43)</f>
        <v/>
      </c>
      <c r="V43" s="41">
        <f>'Aug2026-COLLECTION'!K42</f>
        <v/>
      </c>
      <c r="W43" s="41">
        <f>'Aug2026-EXPENSE'!R46</f>
        <v/>
      </c>
      <c r="X43" s="20" t="n"/>
      <c r="Y43" s="41">
        <f>V43-(W43+X43)</f>
        <v/>
      </c>
      <c r="Z43" s="41">
        <f>'Sep2026-COLLECTION'!K42</f>
        <v/>
      </c>
      <c r="AA43" s="41">
        <f>'Sep2026-EXPENSE'!R46</f>
        <v/>
      </c>
      <c r="AB43" s="21" t="n"/>
      <c r="AC43" s="41">
        <f>Z43-(AA43+AB43)</f>
        <v/>
      </c>
      <c r="AD43" s="41">
        <f>'Oct2026-COLLECTION'!K42</f>
        <v/>
      </c>
      <c r="AE43" s="41">
        <f>'Oct2026-EXPENSE'!R46</f>
        <v/>
      </c>
      <c r="AF43" s="21" t="n"/>
      <c r="AG43" s="41">
        <f>AD43-(AE43+AF43)</f>
        <v/>
      </c>
      <c r="AH43" s="41">
        <f>'Nov2026-COLLECTION'!K42</f>
        <v/>
      </c>
      <c r="AI43" s="41">
        <f>'Nov2026-EXPENSE'!R46</f>
        <v/>
      </c>
      <c r="AJ43" s="21" t="n"/>
      <c r="AK43" s="41">
        <f>AH43-(AI43+AJ43)</f>
        <v/>
      </c>
      <c r="AL43" s="41">
        <f>'Dec2026-COLLECTION'!K42</f>
        <v/>
      </c>
      <c r="AM43" s="41">
        <f>'Dec2026-EXPENSE'!R46</f>
        <v/>
      </c>
      <c r="AN43" s="21" t="n"/>
      <c r="AO43" s="41">
        <f>AL43-(AM43+AN43)</f>
        <v/>
      </c>
      <c r="AP43" s="41">
        <f>'Jan2027-COLLECTION'!K42</f>
        <v/>
      </c>
      <c r="AQ43" s="41">
        <f>'Jan2027-EXPENSE'!R46</f>
        <v/>
      </c>
      <c r="AR43" s="2" t="n"/>
      <c r="AS43" s="41">
        <f>AP43-(AQ43+AR43)</f>
        <v/>
      </c>
      <c r="AT43" s="41">
        <f>'Feb2027-COLLECTION'!K42</f>
        <v/>
      </c>
      <c r="AU43" s="41">
        <f>'Feb2027-EXPENSE'!R46</f>
        <v/>
      </c>
      <c r="AV43" s="2" t="n"/>
      <c r="AW43" s="41">
        <f>AT43-(AU43+AV43)</f>
        <v/>
      </c>
      <c r="AX43" s="41">
        <f>'Mar2027-COLLECTION'!K42</f>
        <v/>
      </c>
      <c r="AY43" s="41">
        <f>'Mar2027-EXPENSE'!R46</f>
        <v/>
      </c>
      <c r="AZ43" s="2" t="n"/>
      <c r="BA43" s="41">
        <f>AX43-(AY43+AZ43)</f>
        <v/>
      </c>
      <c r="BB43" s="41">
        <f>SUM(F43,J43,N43,R43,V43,Z43,AD43,AH43,AL43,AP43,AT43,AX43)</f>
        <v/>
      </c>
      <c r="BC43" s="41">
        <f>SUM(G43,K43,O43,S43,W43,AA43,AE43,AI43,AM43,AQ43,AU43,AY43)</f>
        <v/>
      </c>
      <c r="BD43" s="41">
        <f>SUM(H43,L43,P43,T43,X43,AB43,AF43,AJ43,AN43,AR43,AV43,AZ43)</f>
        <v/>
      </c>
      <c r="BE43" s="41">
        <f>BB43-(BC43+BD43)</f>
        <v/>
      </c>
      <c r="BF43" s="41">
        <f>E43+BE43</f>
        <v/>
      </c>
      <c r="BG43" s="41" t="n">
        <v>0</v>
      </c>
    </row>
    <row r="44" ht="15.75" customHeight="1">
      <c r="A44" s="36" t="inlineStr">
        <is>
          <t>S10</t>
        </is>
      </c>
      <c r="B44" s="42" t="inlineStr">
        <is>
          <t>esky2524@gmail.com</t>
        </is>
      </c>
      <c r="C44" s="42" t="inlineStr">
        <is>
          <t>Previous owner - Rohith. New owner name not known</t>
        </is>
      </c>
      <c r="D44" s="43" t="n">
        <v>0</v>
      </c>
      <c r="E44" s="43" t="n">
        <v>0</v>
      </c>
      <c r="F44" s="43">
        <f>'Apr2026-COLLECTION'!K43</f>
        <v/>
      </c>
      <c r="G44" s="43">
        <f>'Apr2026-EXPENSE'!R47</f>
        <v/>
      </c>
      <c r="H44" s="20" t="n"/>
      <c r="I44" s="43">
        <f>F44-(G44+H44)</f>
        <v/>
      </c>
      <c r="J44" s="43">
        <f>'May2026-COLLECTION'!K43</f>
        <v/>
      </c>
      <c r="K44" s="43">
        <f>'May2026-EXPENSE'!R47</f>
        <v/>
      </c>
      <c r="L44" s="43" t="n">
        <v>0</v>
      </c>
      <c r="M44" s="43">
        <f>J44-(K44+L44)</f>
        <v/>
      </c>
      <c r="N44" s="43">
        <f>'June2026-COLLECTION'!K43</f>
        <v/>
      </c>
      <c r="O44" s="43">
        <f>'June2026-EXPENSE'!R47</f>
        <v/>
      </c>
      <c r="P44" s="20" t="n"/>
      <c r="Q44" s="43">
        <f>N44-(O44+P44)</f>
        <v/>
      </c>
      <c r="R44" s="43">
        <f>'July2026-COLLECTION'!K43</f>
        <v/>
      </c>
      <c r="S44" s="43">
        <f>'July2026-EXPENSE'!R47</f>
        <v/>
      </c>
      <c r="T44" s="43" t="n">
        <v>0</v>
      </c>
      <c r="U44" s="43">
        <f>R44-(S44+T44)</f>
        <v/>
      </c>
      <c r="V44" s="43">
        <f>'Aug2026-COLLECTION'!K43</f>
        <v/>
      </c>
      <c r="W44" s="43">
        <f>'Aug2026-EXPENSE'!R47</f>
        <v/>
      </c>
      <c r="X44" s="20" t="n"/>
      <c r="Y44" s="43">
        <f>V44-(W44+X44)</f>
        <v/>
      </c>
      <c r="Z44" s="43">
        <f>'Sep2026-COLLECTION'!K43</f>
        <v/>
      </c>
      <c r="AA44" s="43">
        <f>'Sep2026-EXPENSE'!R47</f>
        <v/>
      </c>
      <c r="AB44" s="21" t="n"/>
      <c r="AC44" s="43">
        <f>Z44-(AA44+AB44)</f>
        <v/>
      </c>
      <c r="AD44" s="43">
        <f>'Oct2026-COLLECTION'!K43</f>
        <v/>
      </c>
      <c r="AE44" s="43">
        <f>'Oct2026-EXPENSE'!R47</f>
        <v/>
      </c>
      <c r="AF44" s="21" t="n"/>
      <c r="AG44" s="43">
        <f>AD44-(AE44+AF44)</f>
        <v/>
      </c>
      <c r="AH44" s="43">
        <f>'Nov2026-COLLECTION'!K43</f>
        <v/>
      </c>
      <c r="AI44" s="43">
        <f>'Nov2026-EXPENSE'!R47</f>
        <v/>
      </c>
      <c r="AJ44" s="21" t="n"/>
      <c r="AK44" s="43">
        <f>AH44-(AI44+AJ44)</f>
        <v/>
      </c>
      <c r="AL44" s="43">
        <f>'Dec2026-COLLECTION'!K43</f>
        <v/>
      </c>
      <c r="AM44" s="43">
        <f>'Dec2026-EXPENSE'!R47</f>
        <v/>
      </c>
      <c r="AN44" s="21" t="n"/>
      <c r="AO44" s="43">
        <f>AL44-(AM44+AN44)</f>
        <v/>
      </c>
      <c r="AP44" s="43">
        <f>'Jan2027-COLLECTION'!K43</f>
        <v/>
      </c>
      <c r="AQ44" s="43">
        <f>'Jan2027-EXPENSE'!R47</f>
        <v/>
      </c>
      <c r="AR44" s="2" t="n"/>
      <c r="AS44" s="43">
        <f>AP44-(AQ44+AR44)</f>
        <v/>
      </c>
      <c r="AT44" s="43">
        <f>'Feb2027-COLLECTION'!K43</f>
        <v/>
      </c>
      <c r="AU44" s="43">
        <f>'Feb2027-EXPENSE'!R47</f>
        <v/>
      </c>
      <c r="AV44" s="2" t="n"/>
      <c r="AW44" s="43">
        <f>AT44-(AU44+AV44)</f>
        <v/>
      </c>
      <c r="AX44" s="43">
        <f>'Mar2027-COLLECTION'!K43</f>
        <v/>
      </c>
      <c r="AY44" s="43">
        <f>'Mar2027-EXPENSE'!R47</f>
        <v/>
      </c>
      <c r="AZ44" s="2" t="n"/>
      <c r="BA44" s="43">
        <f>AX44-(AY44+AZ44)</f>
        <v/>
      </c>
      <c r="BB44" s="43">
        <f>SUM(F44,J44,N44,R44,V44,Z44,AD44,AH44,AL44,AP44,AT44,AX44)</f>
        <v/>
      </c>
      <c r="BC44" s="43">
        <f>SUM(G44,K44,O44,S44,W44,AA44,AE44,AI44,AM44,AQ44,AU44,AY44)</f>
        <v/>
      </c>
      <c r="BD44" s="43">
        <f>SUM(H44,L44,P44,T44,X44,AB44,AF44,AJ44,AN44,AR44,AV44,AZ44)</f>
        <v/>
      </c>
      <c r="BE44" s="43">
        <f>BB44-(BC44+BD44)</f>
        <v/>
      </c>
      <c r="BF44" s="43">
        <f>E44+BE44</f>
        <v/>
      </c>
      <c r="BG44" s="43" t="n">
        <v>0</v>
      </c>
    </row>
    <row r="45" ht="15.75" customHeight="1">
      <c r="A45" s="37" t="inlineStr">
        <is>
          <t>S11</t>
        </is>
      </c>
      <c r="B45" s="40" t="n"/>
      <c r="C45" s="40" t="inlineStr">
        <is>
          <t>Gowrish Patnaik / Somananth GM</t>
        </is>
      </c>
      <c r="D45" s="41" t="n">
        <v>0</v>
      </c>
      <c r="E45" s="41" t="n">
        <v>0</v>
      </c>
      <c r="F45" s="41">
        <f>'Apr2026-COLLECTION'!K44</f>
        <v/>
      </c>
      <c r="G45" s="41">
        <f>'Apr2026-EXPENSE'!R48</f>
        <v/>
      </c>
      <c r="H45" s="20" t="n"/>
      <c r="I45" s="41">
        <f>F45-(G45+H45)</f>
        <v/>
      </c>
      <c r="J45" s="41">
        <f>'May2026-COLLECTION'!K44</f>
        <v/>
      </c>
      <c r="K45" s="41">
        <f>'May2026-EXPENSE'!R48</f>
        <v/>
      </c>
      <c r="L45" s="41" t="n">
        <v>0</v>
      </c>
      <c r="M45" s="41">
        <f>J45-(K45+L45)</f>
        <v/>
      </c>
      <c r="N45" s="41">
        <f>'June2026-COLLECTION'!K44</f>
        <v/>
      </c>
      <c r="O45" s="41">
        <f>'June2026-EXPENSE'!R48</f>
        <v/>
      </c>
      <c r="P45" s="20" t="n"/>
      <c r="Q45" s="41">
        <f>N45-(O45+P45)</f>
        <v/>
      </c>
      <c r="R45" s="41">
        <f>'July2026-COLLECTION'!K44</f>
        <v/>
      </c>
      <c r="S45" s="41">
        <f>'July2026-EXPENSE'!R48</f>
        <v/>
      </c>
      <c r="T45" s="21" t="n"/>
      <c r="U45" s="41">
        <f>R45-(S45+T45)</f>
        <v/>
      </c>
      <c r="V45" s="41">
        <f>'Aug2026-COLLECTION'!K44</f>
        <v/>
      </c>
      <c r="W45" s="41">
        <f>'Aug2026-EXPENSE'!R48</f>
        <v/>
      </c>
      <c r="X45" s="20" t="n"/>
      <c r="Y45" s="41">
        <f>V45-(W45+X45)</f>
        <v/>
      </c>
      <c r="Z45" s="41">
        <f>'Sep2026-COLLECTION'!K44</f>
        <v/>
      </c>
      <c r="AA45" s="41">
        <f>'Sep2026-EXPENSE'!R48</f>
        <v/>
      </c>
      <c r="AB45" s="21" t="n"/>
      <c r="AC45" s="41">
        <f>Z45-(AA45+AB45)</f>
        <v/>
      </c>
      <c r="AD45" s="41">
        <f>'Oct2026-COLLECTION'!K44</f>
        <v/>
      </c>
      <c r="AE45" s="41">
        <f>'Oct2026-EXPENSE'!R48</f>
        <v/>
      </c>
      <c r="AF45" s="21" t="n"/>
      <c r="AG45" s="41">
        <f>AD45-(AE45+AF45)</f>
        <v/>
      </c>
      <c r="AH45" s="41">
        <f>'Nov2026-COLLECTION'!K44</f>
        <v/>
      </c>
      <c r="AI45" s="41">
        <f>'Nov2026-EXPENSE'!R48</f>
        <v/>
      </c>
      <c r="AJ45" s="21" t="n"/>
      <c r="AK45" s="41">
        <f>AH45-(AI45+AJ45)</f>
        <v/>
      </c>
      <c r="AL45" s="41">
        <f>'Dec2026-COLLECTION'!K44</f>
        <v/>
      </c>
      <c r="AM45" s="41">
        <f>'Dec2026-EXPENSE'!R48</f>
        <v/>
      </c>
      <c r="AN45" s="21" t="n"/>
      <c r="AO45" s="41">
        <f>AL45-(AM45+AN45)</f>
        <v/>
      </c>
      <c r="AP45" s="41">
        <f>'Jan2027-COLLECTION'!K44</f>
        <v/>
      </c>
      <c r="AQ45" s="41">
        <f>'Jan2027-EXPENSE'!R48</f>
        <v/>
      </c>
      <c r="AR45" s="2" t="n"/>
      <c r="AS45" s="41">
        <f>AP45-(AQ45+AR45)</f>
        <v/>
      </c>
      <c r="AT45" s="41">
        <f>'Feb2027-COLLECTION'!K44</f>
        <v/>
      </c>
      <c r="AU45" s="41">
        <f>'Feb2027-EXPENSE'!R48</f>
        <v/>
      </c>
      <c r="AV45" s="2" t="n"/>
      <c r="AW45" s="41">
        <f>AT45-(AU45+AV45)</f>
        <v/>
      </c>
      <c r="AX45" s="41">
        <f>'Mar2027-COLLECTION'!K44</f>
        <v/>
      </c>
      <c r="AY45" s="41">
        <f>'Mar2027-EXPENSE'!R48</f>
        <v/>
      </c>
      <c r="AZ45" s="2" t="n"/>
      <c r="BA45" s="41">
        <f>AX45-(AY45+AZ45)</f>
        <v/>
      </c>
      <c r="BB45" s="41">
        <f>SUM(F45,J45,N45,R45,V45,Z45,AD45,AH45,AL45,AP45,AT45,AX45)</f>
        <v/>
      </c>
      <c r="BC45" s="41">
        <f>SUM(G45,K45,O45,S45,W45,AA45,AE45,AI45,AM45,AQ45,AU45,AY45)</f>
        <v/>
      </c>
      <c r="BD45" s="41">
        <f>SUM(H45,L45,P45,T45,X45,AB45,AF45,AJ45,AN45,AR45,AV45,AZ45)</f>
        <v/>
      </c>
      <c r="BE45" s="41">
        <f>BB45-(BC45+BD45)</f>
        <v/>
      </c>
      <c r="BF45" s="41">
        <f>E45+BE45</f>
        <v/>
      </c>
      <c r="BG45" s="41" t="n">
        <v>0</v>
      </c>
    </row>
    <row r="46" ht="15.75" customHeight="1">
      <c r="A46" s="36" t="inlineStr">
        <is>
          <t>S12</t>
        </is>
      </c>
      <c r="B46" s="42" t="n"/>
      <c r="C46" s="42" t="inlineStr">
        <is>
          <t>Saovik Mondal</t>
        </is>
      </c>
      <c r="D46" s="43" t="n">
        <v>0</v>
      </c>
      <c r="E46" s="43" t="n">
        <v>0</v>
      </c>
      <c r="F46" s="43">
        <f>'Apr2026-COLLECTION'!K45</f>
        <v/>
      </c>
      <c r="G46" s="43">
        <f>'Apr2026-EXPENSE'!R49</f>
        <v/>
      </c>
      <c r="H46" s="20" t="n"/>
      <c r="I46" s="43">
        <f>F46-(G46+H46)</f>
        <v/>
      </c>
      <c r="J46" s="43">
        <f>'May2026-COLLECTION'!K45</f>
        <v/>
      </c>
      <c r="K46" s="43">
        <f>'May2026-EXPENSE'!R49</f>
        <v/>
      </c>
      <c r="L46" s="21" t="n"/>
      <c r="M46" s="43">
        <f>J46-(K46+L46)</f>
        <v/>
      </c>
      <c r="N46" s="43">
        <f>'June2026-COLLECTION'!K45</f>
        <v/>
      </c>
      <c r="O46" s="43">
        <f>'June2026-EXPENSE'!R49</f>
        <v/>
      </c>
      <c r="P46" s="20" t="n"/>
      <c r="Q46" s="43">
        <f>N46-(O46+P46)</f>
        <v/>
      </c>
      <c r="R46" s="43">
        <f>'July2026-COLLECTION'!K45</f>
        <v/>
      </c>
      <c r="S46" s="43">
        <f>'July2026-EXPENSE'!R49</f>
        <v/>
      </c>
      <c r="T46" s="21" t="n"/>
      <c r="U46" s="43">
        <f>R46-(S46+T46)</f>
        <v/>
      </c>
      <c r="V46" s="43">
        <f>'Aug2026-COLLECTION'!K45</f>
        <v/>
      </c>
      <c r="W46" s="43">
        <f>'Aug2026-EXPENSE'!R49</f>
        <v/>
      </c>
      <c r="X46" s="20" t="n"/>
      <c r="Y46" s="43">
        <f>V46-(W46+X46)</f>
        <v/>
      </c>
      <c r="Z46" s="43">
        <f>'Sep2026-COLLECTION'!K45</f>
        <v/>
      </c>
      <c r="AA46" s="43">
        <f>'Sep2026-EXPENSE'!R49</f>
        <v/>
      </c>
      <c r="AB46" s="21" t="n"/>
      <c r="AC46" s="43">
        <f>Z46-(AA46+AB46)</f>
        <v/>
      </c>
      <c r="AD46" s="43">
        <f>'Oct2026-COLLECTION'!K45</f>
        <v/>
      </c>
      <c r="AE46" s="43">
        <f>'Oct2026-EXPENSE'!R49</f>
        <v/>
      </c>
      <c r="AF46" s="21" t="n"/>
      <c r="AG46" s="43">
        <f>AD46-(AE46+AF46)</f>
        <v/>
      </c>
      <c r="AH46" s="43">
        <f>'Nov2026-COLLECTION'!K45</f>
        <v/>
      </c>
      <c r="AI46" s="43">
        <f>'Nov2026-EXPENSE'!R49</f>
        <v/>
      </c>
      <c r="AJ46" s="21" t="n"/>
      <c r="AK46" s="43">
        <f>AH46-(AI46+AJ46)</f>
        <v/>
      </c>
      <c r="AL46" s="43">
        <f>'Dec2026-COLLECTION'!K45</f>
        <v/>
      </c>
      <c r="AM46" s="43">
        <f>'Dec2026-EXPENSE'!R49</f>
        <v/>
      </c>
      <c r="AN46" s="21" t="n"/>
      <c r="AO46" s="43">
        <f>AL46-(AM46+AN46)</f>
        <v/>
      </c>
      <c r="AP46" s="43">
        <f>'Jan2027-COLLECTION'!K45</f>
        <v/>
      </c>
      <c r="AQ46" s="43">
        <f>'Jan2027-EXPENSE'!R49</f>
        <v/>
      </c>
      <c r="AR46" s="2" t="n"/>
      <c r="AS46" s="43">
        <f>AP46-(AQ46+AR46)</f>
        <v/>
      </c>
      <c r="AT46" s="43">
        <f>'Feb2027-COLLECTION'!K45</f>
        <v/>
      </c>
      <c r="AU46" s="43">
        <f>'Feb2027-EXPENSE'!R49</f>
        <v/>
      </c>
      <c r="AV46" s="2" t="n"/>
      <c r="AW46" s="43">
        <f>AT46-(AU46+AV46)</f>
        <v/>
      </c>
      <c r="AX46" s="43">
        <f>'Mar2027-COLLECTION'!K45</f>
        <v/>
      </c>
      <c r="AY46" s="43">
        <f>'Mar2027-EXPENSE'!R49</f>
        <v/>
      </c>
      <c r="AZ46" s="2" t="n"/>
      <c r="BA46" s="43">
        <f>AX46-(AY46+AZ46)</f>
        <v/>
      </c>
      <c r="BB46" s="43">
        <f>SUM(F46,J46,N46,R46,V46,Z46,AD46,AH46,AL46,AP46,AT46,AX46)</f>
        <v/>
      </c>
      <c r="BC46" s="43">
        <f>SUM(G46,K46,O46,S46,W46,AA46,AE46,AI46,AM46,AQ46,AU46,AY46)</f>
        <v/>
      </c>
      <c r="BD46" s="43">
        <f>SUM(H46,L46,P46,T46,X46,AB46,AF46,AJ46,AN46,AR46,AV46,AZ46)</f>
        <v/>
      </c>
      <c r="BE46" s="43">
        <f>BB46-(BC46+BD46)</f>
        <v/>
      </c>
      <c r="BF46" s="43">
        <f>E46+BE46</f>
        <v/>
      </c>
      <c r="BG46" s="43" t="n">
        <v>0</v>
      </c>
    </row>
    <row r="47" ht="15.75" customHeight="1">
      <c r="A47" s="37" t="inlineStr">
        <is>
          <t>S13</t>
        </is>
      </c>
      <c r="B47" s="40" t="n"/>
      <c r="C47" s="40" t="inlineStr">
        <is>
          <t>Ramadevi S.</t>
        </is>
      </c>
      <c r="D47" s="41" t="n">
        <v>0</v>
      </c>
      <c r="E47" s="41" t="n">
        <v>0</v>
      </c>
      <c r="F47" s="41">
        <f>'Apr2026-COLLECTION'!K46</f>
        <v/>
      </c>
      <c r="G47" s="41">
        <f>'Apr2026-EXPENSE'!R50</f>
        <v/>
      </c>
      <c r="H47" s="20" t="n"/>
      <c r="I47" s="41">
        <f>F47-(G47+H47)</f>
        <v/>
      </c>
      <c r="J47" s="41">
        <f>'May2026-COLLECTION'!K46</f>
        <v/>
      </c>
      <c r="K47" s="41">
        <f>'May2026-EXPENSE'!R50</f>
        <v/>
      </c>
      <c r="L47" s="41" t="n">
        <v>0</v>
      </c>
      <c r="M47" s="41">
        <f>J47-(K47+L47)</f>
        <v/>
      </c>
      <c r="N47" s="41">
        <f>'June2026-COLLECTION'!K46</f>
        <v/>
      </c>
      <c r="O47" s="41">
        <f>'June2026-EXPENSE'!R50</f>
        <v/>
      </c>
      <c r="P47" s="20" t="n"/>
      <c r="Q47" s="41">
        <f>N47-(O47+P47)</f>
        <v/>
      </c>
      <c r="R47" s="41">
        <f>'July2026-COLLECTION'!K46</f>
        <v/>
      </c>
      <c r="S47" s="41">
        <f>'July2026-EXPENSE'!R50</f>
        <v/>
      </c>
      <c r="T47" s="21" t="n"/>
      <c r="U47" s="41">
        <f>R47-(S47+T47)</f>
        <v/>
      </c>
      <c r="V47" s="41">
        <f>'Aug2026-COLLECTION'!K46</f>
        <v/>
      </c>
      <c r="W47" s="41">
        <f>'Aug2026-EXPENSE'!R50</f>
        <v/>
      </c>
      <c r="X47" s="20" t="n"/>
      <c r="Y47" s="41">
        <f>V47-(W47+X47)</f>
        <v/>
      </c>
      <c r="Z47" s="41">
        <f>'Sep2026-COLLECTION'!K46</f>
        <v/>
      </c>
      <c r="AA47" s="41">
        <f>'Sep2026-EXPENSE'!R50</f>
        <v/>
      </c>
      <c r="AB47" s="21" t="n"/>
      <c r="AC47" s="41">
        <f>Z47-(AA47+AB47)</f>
        <v/>
      </c>
      <c r="AD47" s="41">
        <f>'Oct2026-COLLECTION'!K46</f>
        <v/>
      </c>
      <c r="AE47" s="41">
        <f>'Oct2026-EXPENSE'!R50</f>
        <v/>
      </c>
      <c r="AF47" s="21" t="n"/>
      <c r="AG47" s="41">
        <f>AD47-(AE47+AF47)</f>
        <v/>
      </c>
      <c r="AH47" s="41">
        <f>'Nov2026-COLLECTION'!K46</f>
        <v/>
      </c>
      <c r="AI47" s="41">
        <f>'Nov2026-EXPENSE'!R50</f>
        <v/>
      </c>
      <c r="AJ47" s="21" t="n"/>
      <c r="AK47" s="41">
        <f>AH47-(AI47+AJ47)</f>
        <v/>
      </c>
      <c r="AL47" s="41">
        <f>'Dec2026-COLLECTION'!K46</f>
        <v/>
      </c>
      <c r="AM47" s="41">
        <f>'Dec2026-EXPENSE'!R50</f>
        <v/>
      </c>
      <c r="AN47" s="21" t="n"/>
      <c r="AO47" s="41">
        <f>AL47-(AM47+AN47)</f>
        <v/>
      </c>
      <c r="AP47" s="41">
        <f>'Jan2027-COLLECTION'!K46</f>
        <v/>
      </c>
      <c r="AQ47" s="41">
        <f>'Jan2027-EXPENSE'!R50</f>
        <v/>
      </c>
      <c r="AR47" s="2" t="n"/>
      <c r="AS47" s="41">
        <f>AP47-(AQ47+AR47)</f>
        <v/>
      </c>
      <c r="AT47" s="41">
        <f>'Feb2027-COLLECTION'!K46</f>
        <v/>
      </c>
      <c r="AU47" s="41">
        <f>'Feb2027-EXPENSE'!R50</f>
        <v/>
      </c>
      <c r="AV47" s="2" t="n"/>
      <c r="AW47" s="41">
        <f>AT47-(AU47+AV47)</f>
        <v/>
      </c>
      <c r="AX47" s="41">
        <f>'Mar2027-COLLECTION'!K46</f>
        <v/>
      </c>
      <c r="AY47" s="41">
        <f>'Mar2027-EXPENSE'!R50</f>
        <v/>
      </c>
      <c r="AZ47" s="2" t="n"/>
      <c r="BA47" s="41">
        <f>AX47-(AY47+AZ47)</f>
        <v/>
      </c>
      <c r="BB47" s="41">
        <f>SUM(F47,J47,N47,R47,V47,Z47,AD47,AH47,AL47,AP47,AT47,AX47)</f>
        <v/>
      </c>
      <c r="BC47" s="41">
        <f>SUM(G47,K47,O47,S47,W47,AA47,AE47,AI47,AM47,AQ47,AU47,AY47)</f>
        <v/>
      </c>
      <c r="BD47" s="41">
        <f>SUM(H47,L47,P47,T47,X47,AB47,AF47,AJ47,AN47,AR47,AV47,AZ47)</f>
        <v/>
      </c>
      <c r="BE47" s="41">
        <f>BB47-(BC47+BD47)</f>
        <v/>
      </c>
      <c r="BF47" s="41">
        <f>E47+BE47</f>
        <v/>
      </c>
      <c r="BG47" s="41" t="n">
        <v>0</v>
      </c>
    </row>
    <row r="48" ht="15.75" customHeight="1">
      <c r="A48" s="36" t="inlineStr">
        <is>
          <t>S14</t>
        </is>
      </c>
      <c r="B48" s="42" t="n"/>
      <c r="C48" s="42" t="inlineStr">
        <is>
          <t>Nishant Upadhyay(Owner)/ Fabian (Tenant)</t>
        </is>
      </c>
      <c r="D48" s="43" t="n">
        <v>0</v>
      </c>
      <c r="E48" s="43" t="n">
        <v>0</v>
      </c>
      <c r="F48" s="43">
        <f>'Apr2026-COLLECTION'!K47</f>
        <v/>
      </c>
      <c r="G48" s="43">
        <f>'Apr2026-EXPENSE'!R51</f>
        <v/>
      </c>
      <c r="H48" s="20" t="n"/>
      <c r="I48" s="43">
        <f>F48-(G48+H48)</f>
        <v/>
      </c>
      <c r="J48" s="43">
        <f>'May2026-COLLECTION'!K47</f>
        <v/>
      </c>
      <c r="K48" s="43">
        <f>'May2026-EXPENSE'!R51</f>
        <v/>
      </c>
      <c r="L48" s="43" t="n">
        <v>0</v>
      </c>
      <c r="M48" s="43">
        <f>J48-(K48+L48)</f>
        <v/>
      </c>
      <c r="N48" s="43">
        <f>'June2026-COLLECTION'!K47</f>
        <v/>
      </c>
      <c r="O48" s="43">
        <f>'June2026-EXPENSE'!R51</f>
        <v/>
      </c>
      <c r="P48" s="20" t="n"/>
      <c r="Q48" s="43">
        <f>N48-(O48+P48)</f>
        <v/>
      </c>
      <c r="R48" s="43">
        <f>'July2026-COLLECTION'!K47</f>
        <v/>
      </c>
      <c r="S48" s="43">
        <f>'July2026-EXPENSE'!R51</f>
        <v/>
      </c>
      <c r="T48" s="43" t="n">
        <v>0</v>
      </c>
      <c r="U48" s="43">
        <f>R48-(S48+T48)</f>
        <v/>
      </c>
      <c r="V48" s="43">
        <f>'Aug2026-COLLECTION'!K47</f>
        <v/>
      </c>
      <c r="W48" s="43">
        <f>'Aug2026-EXPENSE'!R51</f>
        <v/>
      </c>
      <c r="X48" s="20" t="n"/>
      <c r="Y48" s="43">
        <f>V48-(W48+X48)</f>
        <v/>
      </c>
      <c r="Z48" s="43">
        <f>'Sep2026-COLLECTION'!K47</f>
        <v/>
      </c>
      <c r="AA48" s="43">
        <f>'Sep2026-EXPENSE'!R51</f>
        <v/>
      </c>
      <c r="AB48" s="21" t="n"/>
      <c r="AC48" s="43">
        <f>Z48-(AA48+AB48)</f>
        <v/>
      </c>
      <c r="AD48" s="43">
        <f>'Oct2026-COLLECTION'!K47</f>
        <v/>
      </c>
      <c r="AE48" s="43">
        <f>'Oct2026-EXPENSE'!R51</f>
        <v/>
      </c>
      <c r="AF48" s="21" t="n"/>
      <c r="AG48" s="43">
        <f>AD48-(AE48+AF48)</f>
        <v/>
      </c>
      <c r="AH48" s="43">
        <f>'Nov2026-COLLECTION'!K47</f>
        <v/>
      </c>
      <c r="AI48" s="43">
        <f>'Nov2026-EXPENSE'!R51</f>
        <v/>
      </c>
      <c r="AJ48" s="21" t="n"/>
      <c r="AK48" s="43">
        <f>AH48-(AI48+AJ48)</f>
        <v/>
      </c>
      <c r="AL48" s="43">
        <f>'Dec2026-COLLECTION'!K47</f>
        <v/>
      </c>
      <c r="AM48" s="43">
        <f>'Dec2026-EXPENSE'!R51</f>
        <v/>
      </c>
      <c r="AN48" s="21" t="n"/>
      <c r="AO48" s="43">
        <f>AL48-(AM48+AN48)</f>
        <v/>
      </c>
      <c r="AP48" s="43">
        <f>'Jan2027-COLLECTION'!K47</f>
        <v/>
      </c>
      <c r="AQ48" s="43">
        <f>'Jan2027-EXPENSE'!R51</f>
        <v/>
      </c>
      <c r="AR48" s="2" t="n"/>
      <c r="AS48" s="43">
        <f>AP48-(AQ48+AR48)</f>
        <v/>
      </c>
      <c r="AT48" s="43">
        <f>'Feb2027-COLLECTION'!K47</f>
        <v/>
      </c>
      <c r="AU48" s="43">
        <f>'Feb2027-EXPENSE'!R51</f>
        <v/>
      </c>
      <c r="AV48" s="2" t="n"/>
      <c r="AW48" s="43">
        <f>AT48-(AU48+AV48)</f>
        <v/>
      </c>
      <c r="AX48" s="43">
        <f>'Mar2027-COLLECTION'!K47</f>
        <v/>
      </c>
      <c r="AY48" s="43">
        <f>'Mar2027-EXPENSE'!R51</f>
        <v/>
      </c>
      <c r="AZ48" s="2" t="n"/>
      <c r="BA48" s="43">
        <f>AX48-(AY48+AZ48)</f>
        <v/>
      </c>
      <c r="BB48" s="43">
        <f>SUM(F48,J48,N48,R48,V48,Z48,AD48,AH48,AL48,AP48,AT48,AX48)</f>
        <v/>
      </c>
      <c r="BC48" s="43">
        <f>SUM(G48,K48,O48,S48,W48,AA48,AE48,AI48,AM48,AQ48,AU48,AY48)</f>
        <v/>
      </c>
      <c r="BD48" s="43">
        <f>SUM(H48,L48,P48,T48,X48,AB48,AF48,AJ48,AN48,AR48,AV48,AZ48)</f>
        <v/>
      </c>
      <c r="BE48" s="43">
        <f>BB48-(BC48+BD48)</f>
        <v/>
      </c>
      <c r="BF48" s="43">
        <f>E48+BE48</f>
        <v/>
      </c>
      <c r="BG48" s="43" t="n">
        <v>0</v>
      </c>
    </row>
    <row r="49" ht="15.75" customHeight="1">
      <c r="A49" s="37" t="inlineStr">
        <is>
          <t>S15</t>
        </is>
      </c>
      <c r="B49" s="40" t="n"/>
      <c r="C49" s="40" t="inlineStr">
        <is>
          <t>Manas Dasgupta</t>
        </is>
      </c>
      <c r="D49" s="41" t="n">
        <v>0</v>
      </c>
      <c r="E49" s="41" t="n">
        <v>0</v>
      </c>
      <c r="F49" s="41">
        <f>'Apr2026-COLLECTION'!K48</f>
        <v/>
      </c>
      <c r="G49" s="41">
        <f>'Apr2026-EXPENSE'!R52</f>
        <v/>
      </c>
      <c r="H49" s="20" t="n"/>
      <c r="I49" s="41">
        <f>F49-(G49+H49)</f>
        <v/>
      </c>
      <c r="J49" s="41">
        <f>'May2026-COLLECTION'!K48</f>
        <v/>
      </c>
      <c r="K49" s="41">
        <f>'May2026-EXPENSE'!R52</f>
        <v/>
      </c>
      <c r="L49" s="41" t="n">
        <v>0</v>
      </c>
      <c r="M49" s="41">
        <f>J49-(K49+L49)</f>
        <v/>
      </c>
      <c r="N49" s="41">
        <f>'June2026-COLLECTION'!K48</f>
        <v/>
      </c>
      <c r="O49" s="41">
        <f>'June2026-EXPENSE'!R52</f>
        <v/>
      </c>
      <c r="P49" s="20" t="n"/>
      <c r="Q49" s="41">
        <f>N49-(O49+P49)</f>
        <v/>
      </c>
      <c r="R49" s="41">
        <f>'July2026-COLLECTION'!K48</f>
        <v/>
      </c>
      <c r="S49" s="41">
        <f>'July2026-EXPENSE'!R52</f>
        <v/>
      </c>
      <c r="T49" s="21" t="n"/>
      <c r="U49" s="41">
        <f>R49-(S49+T49)</f>
        <v/>
      </c>
      <c r="V49" s="41">
        <f>'Aug2026-COLLECTION'!K48</f>
        <v/>
      </c>
      <c r="W49" s="41">
        <f>'Aug2026-EXPENSE'!R52</f>
        <v/>
      </c>
      <c r="X49" s="20" t="n"/>
      <c r="Y49" s="41">
        <f>V49-(W49+X49)</f>
        <v/>
      </c>
      <c r="Z49" s="41">
        <f>'Sep2026-COLLECTION'!K48</f>
        <v/>
      </c>
      <c r="AA49" s="41">
        <f>'Sep2026-EXPENSE'!R52</f>
        <v/>
      </c>
      <c r="AB49" s="21" t="n"/>
      <c r="AC49" s="41">
        <f>Z49-(AA49+AB49)</f>
        <v/>
      </c>
      <c r="AD49" s="41">
        <f>'Oct2026-COLLECTION'!K48</f>
        <v/>
      </c>
      <c r="AE49" s="41">
        <f>'Oct2026-EXPENSE'!R52</f>
        <v/>
      </c>
      <c r="AF49" s="21" t="n"/>
      <c r="AG49" s="41">
        <f>AD49-(AE49+AF49)</f>
        <v/>
      </c>
      <c r="AH49" s="41">
        <f>'Nov2026-COLLECTION'!K48</f>
        <v/>
      </c>
      <c r="AI49" s="41">
        <f>'Nov2026-EXPENSE'!R52</f>
        <v/>
      </c>
      <c r="AJ49" s="21" t="n"/>
      <c r="AK49" s="41">
        <f>AH49-(AI49+AJ49)</f>
        <v/>
      </c>
      <c r="AL49" s="41">
        <f>'Dec2026-COLLECTION'!K48</f>
        <v/>
      </c>
      <c r="AM49" s="41">
        <f>'Dec2026-EXPENSE'!R52</f>
        <v/>
      </c>
      <c r="AN49" s="21" t="n"/>
      <c r="AO49" s="41">
        <f>AL49-(AM49+AN49)</f>
        <v/>
      </c>
      <c r="AP49" s="41">
        <f>'Jan2027-COLLECTION'!K48</f>
        <v/>
      </c>
      <c r="AQ49" s="41">
        <f>'Jan2027-EXPENSE'!R52</f>
        <v/>
      </c>
      <c r="AR49" s="2" t="n"/>
      <c r="AS49" s="41">
        <f>AP49-(AQ49+AR49)</f>
        <v/>
      </c>
      <c r="AT49" s="41">
        <f>'Feb2027-COLLECTION'!K48</f>
        <v/>
      </c>
      <c r="AU49" s="41">
        <f>'Feb2027-EXPENSE'!R52</f>
        <v/>
      </c>
      <c r="AV49" s="2" t="n"/>
      <c r="AW49" s="41">
        <f>AT49-(AU49+AV49)</f>
        <v/>
      </c>
      <c r="AX49" s="41">
        <f>'Mar2027-COLLECTION'!K48</f>
        <v/>
      </c>
      <c r="AY49" s="41">
        <f>'Mar2027-EXPENSE'!R52</f>
        <v/>
      </c>
      <c r="AZ49" s="2" t="n"/>
      <c r="BA49" s="41">
        <f>AX49-(AY49+AZ49)</f>
        <v/>
      </c>
      <c r="BB49" s="41">
        <f>SUM(F49,J49,N49,R49,V49,Z49,AD49,AH49,AL49,AP49,AT49,AX49)</f>
        <v/>
      </c>
      <c r="BC49" s="41">
        <f>SUM(G49,K49,O49,S49,W49,AA49,AE49,AI49,AM49,AQ49,AU49,AY49)</f>
        <v/>
      </c>
      <c r="BD49" s="41">
        <f>SUM(H49,L49,P49,T49,X49,AB49,AF49,AJ49,AN49,AR49,AV49,AZ49)</f>
        <v/>
      </c>
      <c r="BE49" s="41">
        <f>BB49-(BC49+BD49)</f>
        <v/>
      </c>
      <c r="BF49" s="41">
        <f>E49+BE49</f>
        <v/>
      </c>
      <c r="BG49" s="41" t="n">
        <v>0</v>
      </c>
    </row>
    <row r="50" ht="15.75" customHeight="1">
      <c r="A50" s="36" t="inlineStr">
        <is>
          <t>S16</t>
        </is>
      </c>
      <c r="B50" s="42" t="n"/>
      <c r="C50" s="42" t="inlineStr">
        <is>
          <t>Devendra Singh Rawat / Nancy</t>
        </is>
      </c>
      <c r="D50" s="43" t="n">
        <v>0</v>
      </c>
      <c r="E50" s="43" t="n">
        <v>0</v>
      </c>
      <c r="F50" s="43">
        <f>'Apr2026-COLLECTION'!K49</f>
        <v/>
      </c>
      <c r="G50" s="43">
        <f>'Apr2026-EXPENSE'!R53</f>
        <v/>
      </c>
      <c r="H50" s="20" t="n"/>
      <c r="I50" s="43">
        <f>F50-(G50+H50)</f>
        <v/>
      </c>
      <c r="J50" s="43">
        <f>'May2026-COLLECTION'!K49</f>
        <v/>
      </c>
      <c r="K50" s="43">
        <f>'May2026-EXPENSE'!R53</f>
        <v/>
      </c>
      <c r="L50" s="21" t="n"/>
      <c r="M50" s="43">
        <f>J50-(K50+L50)</f>
        <v/>
      </c>
      <c r="N50" s="43">
        <f>'June2026-COLLECTION'!K49</f>
        <v/>
      </c>
      <c r="O50" s="43">
        <f>'June2026-EXPENSE'!R53</f>
        <v/>
      </c>
      <c r="P50" s="20" t="n"/>
      <c r="Q50" s="43">
        <f>N50-(O50+P50)</f>
        <v/>
      </c>
      <c r="R50" s="43">
        <f>'July2026-COLLECTION'!K49</f>
        <v/>
      </c>
      <c r="S50" s="43">
        <f>'July2026-EXPENSE'!R53</f>
        <v/>
      </c>
      <c r="T50" s="21" t="n"/>
      <c r="U50" s="43">
        <f>R50-(S50+T50)</f>
        <v/>
      </c>
      <c r="V50" s="43">
        <f>'Aug2026-COLLECTION'!K49</f>
        <v/>
      </c>
      <c r="W50" s="43">
        <f>'Aug2026-EXPENSE'!R53</f>
        <v/>
      </c>
      <c r="X50" s="20" t="n"/>
      <c r="Y50" s="43">
        <f>V50-(W50+X50)</f>
        <v/>
      </c>
      <c r="Z50" s="43">
        <f>'Sep2026-COLLECTION'!K49</f>
        <v/>
      </c>
      <c r="AA50" s="43">
        <f>'Sep2026-EXPENSE'!R53</f>
        <v/>
      </c>
      <c r="AB50" s="21" t="n"/>
      <c r="AC50" s="43">
        <f>Z50-(AA50+AB50)</f>
        <v/>
      </c>
      <c r="AD50" s="43">
        <f>'Oct2026-COLLECTION'!K49</f>
        <v/>
      </c>
      <c r="AE50" s="43">
        <f>'Oct2026-EXPENSE'!R53</f>
        <v/>
      </c>
      <c r="AF50" s="21" t="n"/>
      <c r="AG50" s="43">
        <f>AD50-(AE50+AF50)</f>
        <v/>
      </c>
      <c r="AH50" s="43">
        <f>'Nov2026-COLLECTION'!K49</f>
        <v/>
      </c>
      <c r="AI50" s="43">
        <f>'Nov2026-EXPENSE'!R53</f>
        <v/>
      </c>
      <c r="AJ50" s="21" t="n"/>
      <c r="AK50" s="43">
        <f>AH50-(AI50+AJ50)</f>
        <v/>
      </c>
      <c r="AL50" s="43">
        <f>'Dec2026-COLLECTION'!K49</f>
        <v/>
      </c>
      <c r="AM50" s="43">
        <f>'Dec2026-EXPENSE'!R53</f>
        <v/>
      </c>
      <c r="AN50" s="21" t="n"/>
      <c r="AO50" s="43">
        <f>AL50-(AM50+AN50)</f>
        <v/>
      </c>
      <c r="AP50" s="43">
        <f>'Jan2027-COLLECTION'!K49</f>
        <v/>
      </c>
      <c r="AQ50" s="43">
        <f>'Jan2027-EXPENSE'!R53</f>
        <v/>
      </c>
      <c r="AR50" s="2" t="n"/>
      <c r="AS50" s="43">
        <f>AP50-(AQ50+AR50)</f>
        <v/>
      </c>
      <c r="AT50" s="43">
        <f>'Feb2027-COLLECTION'!K49</f>
        <v/>
      </c>
      <c r="AU50" s="43">
        <f>'Feb2027-EXPENSE'!R53</f>
        <v/>
      </c>
      <c r="AV50" s="2" t="n"/>
      <c r="AW50" s="43">
        <f>AT50-(AU50+AV50)</f>
        <v/>
      </c>
      <c r="AX50" s="43">
        <f>'Mar2027-COLLECTION'!K49</f>
        <v/>
      </c>
      <c r="AY50" s="43">
        <f>'Mar2027-EXPENSE'!R53</f>
        <v/>
      </c>
      <c r="AZ50" s="2" t="n"/>
      <c r="BA50" s="43">
        <f>AX50-(AY50+AZ50)</f>
        <v/>
      </c>
      <c r="BB50" s="43">
        <f>SUM(F50,J50,N50,R50,V50,Z50,AD50,AH50,AL50,AP50,AT50,AX50)</f>
        <v/>
      </c>
      <c r="BC50" s="43">
        <f>SUM(G50,K50,O50,S50,W50,AA50,AE50,AI50,AM50,AQ50,AU50,AY50)</f>
        <v/>
      </c>
      <c r="BD50" s="43">
        <f>SUM(H50,L50,P50,T50,X50,AB50,AF50,AJ50,AN50,AR50,AV50,AZ50)</f>
        <v/>
      </c>
      <c r="BE50" s="43">
        <f>BB50-(BC50+BD50)</f>
        <v/>
      </c>
      <c r="BF50" s="43">
        <f>E50+BE50</f>
        <v/>
      </c>
      <c r="BG50" s="43" t="n">
        <v>0</v>
      </c>
    </row>
    <row r="51" ht="15.75" customHeight="1">
      <c r="A51" s="37" t="inlineStr">
        <is>
          <t>T1</t>
        </is>
      </c>
      <c r="B51" s="40" t="n"/>
      <c r="C51" s="40" t="inlineStr">
        <is>
          <t>Prashant Sikdar</t>
        </is>
      </c>
      <c r="D51" s="41" t="n">
        <v>0</v>
      </c>
      <c r="E51" s="41" t="n">
        <v>0</v>
      </c>
      <c r="F51" s="41">
        <f>'Apr2026-COLLECTION'!K50</f>
        <v/>
      </c>
      <c r="G51" s="41">
        <f>'Apr2026-EXPENSE'!R54</f>
        <v/>
      </c>
      <c r="H51" s="20" t="n"/>
      <c r="I51" s="41">
        <f>F51-(G51+H51)</f>
        <v/>
      </c>
      <c r="J51" s="41">
        <f>'May2026-COLLECTION'!K50</f>
        <v/>
      </c>
      <c r="K51" s="41">
        <f>'May2026-EXPENSE'!R54</f>
        <v/>
      </c>
      <c r="L51" s="21" t="n"/>
      <c r="M51" s="41">
        <f>J51-(K51+L51)</f>
        <v/>
      </c>
      <c r="N51" s="41">
        <f>'June2026-COLLECTION'!K50</f>
        <v/>
      </c>
      <c r="O51" s="41">
        <f>'June2026-EXPENSE'!R54</f>
        <v/>
      </c>
      <c r="P51" s="20" t="n"/>
      <c r="Q51" s="41">
        <f>N51-(O51+P51)</f>
        <v/>
      </c>
      <c r="R51" s="41">
        <f>'July2026-COLLECTION'!K50</f>
        <v/>
      </c>
      <c r="S51" s="41">
        <f>'July2026-EXPENSE'!R54</f>
        <v/>
      </c>
      <c r="T51" s="21" t="n"/>
      <c r="U51" s="41">
        <f>R51-(S51+T51)</f>
        <v/>
      </c>
      <c r="V51" s="41">
        <f>'Aug2026-COLLECTION'!K50</f>
        <v/>
      </c>
      <c r="W51" s="41">
        <f>'Aug2026-EXPENSE'!R54</f>
        <v/>
      </c>
      <c r="X51" s="20" t="n"/>
      <c r="Y51" s="41">
        <f>V51-(W51+X51)</f>
        <v/>
      </c>
      <c r="Z51" s="41">
        <f>'Sep2026-COLLECTION'!K50</f>
        <v/>
      </c>
      <c r="AA51" s="41">
        <f>'Sep2026-EXPENSE'!R54</f>
        <v/>
      </c>
      <c r="AB51" s="21" t="n"/>
      <c r="AC51" s="41">
        <f>Z51-(AA51+AB51)</f>
        <v/>
      </c>
      <c r="AD51" s="41">
        <f>'Oct2026-COLLECTION'!K50</f>
        <v/>
      </c>
      <c r="AE51" s="41">
        <f>'Oct2026-EXPENSE'!R54</f>
        <v/>
      </c>
      <c r="AF51" s="21" t="n"/>
      <c r="AG51" s="41">
        <f>AD51-(AE51+AF51)</f>
        <v/>
      </c>
      <c r="AH51" s="41">
        <f>'Nov2026-COLLECTION'!K50</f>
        <v/>
      </c>
      <c r="AI51" s="41">
        <f>'Nov2026-EXPENSE'!R54</f>
        <v/>
      </c>
      <c r="AJ51" s="21" t="n"/>
      <c r="AK51" s="41">
        <f>AH51-(AI51+AJ51)</f>
        <v/>
      </c>
      <c r="AL51" s="41">
        <f>'Dec2026-COLLECTION'!K50</f>
        <v/>
      </c>
      <c r="AM51" s="41">
        <f>'Dec2026-EXPENSE'!R54</f>
        <v/>
      </c>
      <c r="AN51" s="21" t="n"/>
      <c r="AO51" s="41">
        <f>AL51-(AM51+AN51)</f>
        <v/>
      </c>
      <c r="AP51" s="41">
        <f>'Jan2027-COLLECTION'!K50</f>
        <v/>
      </c>
      <c r="AQ51" s="41">
        <f>'Jan2027-EXPENSE'!R54</f>
        <v/>
      </c>
      <c r="AR51" s="2" t="n"/>
      <c r="AS51" s="41">
        <f>AP51-(AQ51+AR51)</f>
        <v/>
      </c>
      <c r="AT51" s="41">
        <f>'Feb2027-COLLECTION'!K50</f>
        <v/>
      </c>
      <c r="AU51" s="41">
        <f>'Feb2027-EXPENSE'!R54</f>
        <v/>
      </c>
      <c r="AV51" s="2" t="n"/>
      <c r="AW51" s="41">
        <f>AT51-(AU51+AV51)</f>
        <v/>
      </c>
      <c r="AX51" s="41">
        <f>'Mar2027-COLLECTION'!K50</f>
        <v/>
      </c>
      <c r="AY51" s="41">
        <f>'Mar2027-EXPENSE'!R54</f>
        <v/>
      </c>
      <c r="AZ51" s="2" t="n"/>
      <c r="BA51" s="41">
        <f>AX51-(AY51+AZ51)</f>
        <v/>
      </c>
      <c r="BB51" s="41">
        <f>SUM(F51,J51,N51,R51,V51,Z51,AD51,AH51,AL51,AP51,AT51,AX51)</f>
        <v/>
      </c>
      <c r="BC51" s="41">
        <f>SUM(G51,K51,O51,S51,W51,AA51,AE51,AI51,AM51,AQ51,AU51,AY51)</f>
        <v/>
      </c>
      <c r="BD51" s="41">
        <f>SUM(H51,L51,P51,T51,X51,AB51,AF51,AJ51,AN51,AR51,AV51,AZ51)</f>
        <v/>
      </c>
      <c r="BE51" s="41">
        <f>BB51-(BC51+BD51)</f>
        <v/>
      </c>
      <c r="BF51" s="41">
        <f>E51+BE51</f>
        <v/>
      </c>
      <c r="BG51" s="41" t="n">
        <v>0</v>
      </c>
    </row>
    <row r="52" ht="15.75" customHeight="1">
      <c r="A52" s="36" t="inlineStr">
        <is>
          <t>T2</t>
        </is>
      </c>
      <c r="B52" s="42" t="n"/>
      <c r="C52" s="42" t="inlineStr">
        <is>
          <t>Kunal Mehta</t>
        </is>
      </c>
      <c r="D52" s="43" t="n">
        <v>0</v>
      </c>
      <c r="E52" s="43">
        <f>-77968.56+10034</f>
        <v/>
      </c>
      <c r="F52" s="43">
        <f>'Apr2026-COLLECTION'!K51</f>
        <v/>
      </c>
      <c r="G52" s="43">
        <f>'Apr2026-EXPENSE'!R55</f>
        <v/>
      </c>
      <c r="H52" s="20" t="n"/>
      <c r="I52" s="43">
        <f>F52-(G52+H52)</f>
        <v/>
      </c>
      <c r="J52" s="43">
        <f>'May2026-COLLECTION'!K51</f>
        <v/>
      </c>
      <c r="K52" s="43">
        <f>'May2026-EXPENSE'!R55</f>
        <v/>
      </c>
      <c r="L52" s="43" t="n">
        <v>0</v>
      </c>
      <c r="M52" s="43">
        <f>J52-(K52+L52)</f>
        <v/>
      </c>
      <c r="N52" s="43">
        <f>'June2026-COLLECTION'!K51</f>
        <v/>
      </c>
      <c r="O52" s="43">
        <f>'June2026-EXPENSE'!R55</f>
        <v/>
      </c>
      <c r="P52" s="20" t="n"/>
      <c r="Q52" s="43">
        <f>N52-(O52+P52)</f>
        <v/>
      </c>
      <c r="R52" s="43">
        <f>'July2026-COLLECTION'!K51</f>
        <v/>
      </c>
      <c r="S52" s="43">
        <f>'July2026-EXPENSE'!R55</f>
        <v/>
      </c>
      <c r="T52" s="43" t="n">
        <v>0</v>
      </c>
      <c r="U52" s="43">
        <f>R52-(S52+T52)</f>
        <v/>
      </c>
      <c r="V52" s="43">
        <f>'Aug2026-COLLECTION'!K51</f>
        <v/>
      </c>
      <c r="W52" s="43">
        <f>'Aug2026-EXPENSE'!R55</f>
        <v/>
      </c>
      <c r="X52" s="20" t="n"/>
      <c r="Y52" s="43">
        <f>V52-(W52+X52)</f>
        <v/>
      </c>
      <c r="Z52" s="43">
        <f>'Sep2026-COLLECTION'!K51</f>
        <v/>
      </c>
      <c r="AA52" s="43">
        <f>'Sep2026-EXPENSE'!R55</f>
        <v/>
      </c>
      <c r="AB52" s="21" t="n"/>
      <c r="AC52" s="43">
        <f>Z52-(AA52+AB52)</f>
        <v/>
      </c>
      <c r="AD52" s="43">
        <f>'Oct2026-COLLECTION'!K51</f>
        <v/>
      </c>
      <c r="AE52" s="43">
        <f>'Oct2026-EXPENSE'!R55</f>
        <v/>
      </c>
      <c r="AF52" s="21" t="n"/>
      <c r="AG52" s="43">
        <f>AD52-(AE52+AF52)</f>
        <v/>
      </c>
      <c r="AH52" s="43">
        <f>'Nov2026-COLLECTION'!K51</f>
        <v/>
      </c>
      <c r="AI52" s="43">
        <f>'Nov2026-EXPENSE'!R55</f>
        <v/>
      </c>
      <c r="AJ52" s="21" t="n"/>
      <c r="AK52" s="43">
        <f>AH52-(AI52+AJ52)</f>
        <v/>
      </c>
      <c r="AL52" s="43">
        <f>'Dec2026-COLLECTION'!K51</f>
        <v/>
      </c>
      <c r="AM52" s="43">
        <f>'Dec2026-EXPENSE'!R55</f>
        <v/>
      </c>
      <c r="AN52" s="21" t="n"/>
      <c r="AO52" s="43">
        <f>AL52-(AM52+AN52)</f>
        <v/>
      </c>
      <c r="AP52" s="43">
        <f>'Jan2027-COLLECTION'!K51</f>
        <v/>
      </c>
      <c r="AQ52" s="43">
        <f>'Jan2027-EXPENSE'!R55</f>
        <v/>
      </c>
      <c r="AR52" s="2" t="n"/>
      <c r="AS52" s="43">
        <f>AP52-(AQ52+AR52)</f>
        <v/>
      </c>
      <c r="AT52" s="43">
        <f>'Feb2027-COLLECTION'!K51</f>
        <v/>
      </c>
      <c r="AU52" s="43">
        <f>'Feb2027-EXPENSE'!R55</f>
        <v/>
      </c>
      <c r="AV52" s="2" t="n"/>
      <c r="AW52" s="43">
        <f>AT52-(AU52+AV52)</f>
        <v/>
      </c>
      <c r="AX52" s="43">
        <f>'Mar2027-COLLECTION'!K51</f>
        <v/>
      </c>
      <c r="AY52" s="43">
        <f>'Mar2027-EXPENSE'!R55</f>
        <v/>
      </c>
      <c r="AZ52" s="2" t="n"/>
      <c r="BA52" s="43">
        <f>AX52-(AY52+AZ52)</f>
        <v/>
      </c>
      <c r="BB52" s="43">
        <f>SUM(F52,J52,N52,R52,V52,Z52,AD52,AH52,AL52,AP52,AT52,AX52)</f>
        <v/>
      </c>
      <c r="BC52" s="43">
        <f>SUM(G52,K52,O52,S52,W52,AA52,AE52,AI52,AM52,AQ52,AU52,AY52)</f>
        <v/>
      </c>
      <c r="BD52" s="43">
        <f>SUM(H52,L52,P52,T52,X52,AB52,AF52,AJ52,AN52,AR52,AV52,AZ52)</f>
        <v/>
      </c>
      <c r="BE52" s="43">
        <f>BB52-(BC52+BD52)</f>
        <v/>
      </c>
      <c r="BF52" s="43">
        <f>E52+BE52</f>
        <v/>
      </c>
      <c r="BG52" s="43" t="n">
        <v>0</v>
      </c>
    </row>
    <row r="53" ht="15.75" customHeight="1">
      <c r="A53" s="37" t="inlineStr">
        <is>
          <t>T3</t>
        </is>
      </c>
      <c r="B53" s="40" t="n"/>
      <c r="C53" s="40" t="inlineStr">
        <is>
          <t>Kapil Garg</t>
        </is>
      </c>
      <c r="D53" s="41" t="n">
        <v>0</v>
      </c>
      <c r="E53" s="41" t="n">
        <v>0</v>
      </c>
      <c r="F53" s="41">
        <f>'Apr2026-COLLECTION'!K52</f>
        <v/>
      </c>
      <c r="G53" s="41">
        <f>'Apr2026-EXPENSE'!R56</f>
        <v/>
      </c>
      <c r="H53" s="20" t="n"/>
      <c r="I53" s="41">
        <f>F53-(G53+H53)</f>
        <v/>
      </c>
      <c r="J53" s="41">
        <f>'May2026-COLLECTION'!K52</f>
        <v/>
      </c>
      <c r="K53" s="41">
        <f>'May2026-EXPENSE'!R56</f>
        <v/>
      </c>
      <c r="L53" s="41" t="n">
        <v>0</v>
      </c>
      <c r="M53" s="41">
        <f>J53-(K53+L53)</f>
        <v/>
      </c>
      <c r="N53" s="41">
        <f>'June2026-COLLECTION'!K52</f>
        <v/>
      </c>
      <c r="O53" s="41">
        <f>'June2026-EXPENSE'!R56</f>
        <v/>
      </c>
      <c r="P53" s="20" t="n"/>
      <c r="Q53" s="41">
        <f>N53-(O53+P53)</f>
        <v/>
      </c>
      <c r="R53" s="41">
        <f>'July2026-COLLECTION'!K52</f>
        <v/>
      </c>
      <c r="S53" s="41">
        <f>'July2026-EXPENSE'!R56</f>
        <v/>
      </c>
      <c r="T53" s="21" t="n"/>
      <c r="U53" s="41">
        <f>R53-(S53+T53)</f>
        <v/>
      </c>
      <c r="V53" s="41">
        <f>'Aug2026-COLLECTION'!K52</f>
        <v/>
      </c>
      <c r="W53" s="41">
        <f>'Aug2026-EXPENSE'!R56</f>
        <v/>
      </c>
      <c r="X53" s="20" t="n"/>
      <c r="Y53" s="41">
        <f>V53-(W53+X53)</f>
        <v/>
      </c>
      <c r="Z53" s="41">
        <f>'Sep2026-COLLECTION'!K52</f>
        <v/>
      </c>
      <c r="AA53" s="41">
        <f>'Sep2026-EXPENSE'!R56</f>
        <v/>
      </c>
      <c r="AB53" s="21" t="n"/>
      <c r="AC53" s="41">
        <f>Z53-(AA53+AB53)</f>
        <v/>
      </c>
      <c r="AD53" s="41">
        <f>'Oct2026-COLLECTION'!K52</f>
        <v/>
      </c>
      <c r="AE53" s="41">
        <f>'Oct2026-EXPENSE'!R56</f>
        <v/>
      </c>
      <c r="AF53" s="21" t="n"/>
      <c r="AG53" s="41">
        <f>AD53-(AE53+AF53)</f>
        <v/>
      </c>
      <c r="AH53" s="41">
        <f>'Nov2026-COLLECTION'!K52</f>
        <v/>
      </c>
      <c r="AI53" s="41">
        <f>'Nov2026-EXPENSE'!R56</f>
        <v/>
      </c>
      <c r="AJ53" s="21" t="n"/>
      <c r="AK53" s="41">
        <f>AH53-(AI53+AJ53)</f>
        <v/>
      </c>
      <c r="AL53" s="41">
        <f>'Dec2026-COLLECTION'!K52</f>
        <v/>
      </c>
      <c r="AM53" s="41">
        <f>'Dec2026-EXPENSE'!R56</f>
        <v/>
      </c>
      <c r="AN53" s="21" t="n"/>
      <c r="AO53" s="41">
        <f>AL53-(AM53+AN53)</f>
        <v/>
      </c>
      <c r="AP53" s="41">
        <f>'Jan2027-COLLECTION'!K52</f>
        <v/>
      </c>
      <c r="AQ53" s="41">
        <f>'Jan2027-EXPENSE'!R56</f>
        <v/>
      </c>
      <c r="AR53" s="2" t="n"/>
      <c r="AS53" s="41">
        <f>AP53-(AQ53+AR53)</f>
        <v/>
      </c>
      <c r="AT53" s="41">
        <f>'Feb2027-COLLECTION'!K52</f>
        <v/>
      </c>
      <c r="AU53" s="41">
        <f>'Feb2027-EXPENSE'!R56</f>
        <v/>
      </c>
      <c r="AV53" s="2" t="n"/>
      <c r="AW53" s="41">
        <f>AT53-(AU53+AV53)</f>
        <v/>
      </c>
      <c r="AX53" s="41">
        <f>'Mar2027-COLLECTION'!K52</f>
        <v/>
      </c>
      <c r="AY53" s="41">
        <f>'Mar2027-EXPENSE'!R56</f>
        <v/>
      </c>
      <c r="AZ53" s="2" t="n"/>
      <c r="BA53" s="41">
        <f>AX53-(AY53+AZ53)</f>
        <v/>
      </c>
      <c r="BB53" s="41">
        <f>SUM(F53,J53,N53,R53,V53,Z53,AD53,AH53,AL53,AP53,AT53,AX53)</f>
        <v/>
      </c>
      <c r="BC53" s="41">
        <f>SUM(G53,K53,O53,S53,W53,AA53,AE53,AI53,AM53,AQ53,AU53,AY53)</f>
        <v/>
      </c>
      <c r="BD53" s="41">
        <f>SUM(H53,L53,P53,T53,X53,AB53,AF53,AJ53,AN53,AR53,AV53,AZ53)</f>
        <v/>
      </c>
      <c r="BE53" s="41">
        <f>BB53-(BC53+BD53)</f>
        <v/>
      </c>
      <c r="BF53" s="41">
        <f>E53+BE53</f>
        <v/>
      </c>
      <c r="BG53" s="41" t="n">
        <v>0</v>
      </c>
    </row>
    <row r="54" ht="15.75" customHeight="1">
      <c r="A54" s="36" t="inlineStr">
        <is>
          <t>T4</t>
        </is>
      </c>
      <c r="B54" s="42" t="n"/>
      <c r="C54" s="42" t="inlineStr">
        <is>
          <t>Vijet Alva (Owner)    -    Masood (Tenant)</t>
        </is>
      </c>
      <c r="D54" s="43" t="n">
        <v>0</v>
      </c>
      <c r="E54" s="43" t="n">
        <v>0</v>
      </c>
      <c r="F54" s="43">
        <f>'Apr2026-COLLECTION'!K53</f>
        <v/>
      </c>
      <c r="G54" s="43">
        <f>'Apr2026-EXPENSE'!R57</f>
        <v/>
      </c>
      <c r="H54" s="20" t="n"/>
      <c r="I54" s="43">
        <f>F54-(G54+H54)</f>
        <v/>
      </c>
      <c r="J54" s="43">
        <f>'May2026-COLLECTION'!K53</f>
        <v/>
      </c>
      <c r="K54" s="43">
        <f>'May2026-EXPENSE'!R57</f>
        <v/>
      </c>
      <c r="L54" s="21" t="n"/>
      <c r="M54" s="43">
        <f>J54-(K54+L54)</f>
        <v/>
      </c>
      <c r="N54" s="43">
        <f>'June2026-COLLECTION'!K53</f>
        <v/>
      </c>
      <c r="O54" s="43">
        <f>'June2026-EXPENSE'!R57</f>
        <v/>
      </c>
      <c r="P54" s="20" t="n"/>
      <c r="Q54" s="43">
        <f>N54-(O54+P54)</f>
        <v/>
      </c>
      <c r="R54" s="43">
        <f>'July2026-COLLECTION'!K53</f>
        <v/>
      </c>
      <c r="S54" s="43">
        <f>'July2026-EXPENSE'!R57</f>
        <v/>
      </c>
      <c r="T54" s="21" t="n"/>
      <c r="U54" s="43">
        <f>R54-(S54+T54)</f>
        <v/>
      </c>
      <c r="V54" s="43">
        <f>'Aug2026-COLLECTION'!K53</f>
        <v/>
      </c>
      <c r="W54" s="43">
        <f>'Aug2026-EXPENSE'!R57</f>
        <v/>
      </c>
      <c r="X54" s="20" t="n"/>
      <c r="Y54" s="43">
        <f>V54-(W54+X54)</f>
        <v/>
      </c>
      <c r="Z54" s="43">
        <f>'Sep2026-COLLECTION'!K53</f>
        <v/>
      </c>
      <c r="AA54" s="43">
        <f>'Sep2026-EXPENSE'!R57</f>
        <v/>
      </c>
      <c r="AB54" s="21" t="n"/>
      <c r="AC54" s="43">
        <f>Z54-(AA54+AB54)</f>
        <v/>
      </c>
      <c r="AD54" s="43">
        <f>'Oct2026-COLLECTION'!K53</f>
        <v/>
      </c>
      <c r="AE54" s="43">
        <f>'Oct2026-EXPENSE'!R57</f>
        <v/>
      </c>
      <c r="AF54" s="21" t="n"/>
      <c r="AG54" s="43">
        <f>AD54-(AE54+AF54)</f>
        <v/>
      </c>
      <c r="AH54" s="43">
        <f>'Nov2026-COLLECTION'!K53</f>
        <v/>
      </c>
      <c r="AI54" s="43">
        <f>'Nov2026-EXPENSE'!R57</f>
        <v/>
      </c>
      <c r="AJ54" s="21" t="n"/>
      <c r="AK54" s="43">
        <f>AH54-(AI54+AJ54)</f>
        <v/>
      </c>
      <c r="AL54" s="43">
        <f>'Dec2026-COLLECTION'!K53</f>
        <v/>
      </c>
      <c r="AM54" s="43">
        <f>'Dec2026-EXPENSE'!R57</f>
        <v/>
      </c>
      <c r="AN54" s="21" t="n"/>
      <c r="AO54" s="43">
        <f>AL54-(AM54+AN54)</f>
        <v/>
      </c>
      <c r="AP54" s="43">
        <f>'Jan2027-COLLECTION'!K53</f>
        <v/>
      </c>
      <c r="AQ54" s="43">
        <f>'Jan2027-EXPENSE'!R57</f>
        <v/>
      </c>
      <c r="AR54" s="2" t="n"/>
      <c r="AS54" s="43">
        <f>AP54-(AQ54+AR54)</f>
        <v/>
      </c>
      <c r="AT54" s="43">
        <f>'Feb2027-COLLECTION'!K53</f>
        <v/>
      </c>
      <c r="AU54" s="43">
        <f>'Feb2027-EXPENSE'!R57</f>
        <v/>
      </c>
      <c r="AV54" s="2" t="n"/>
      <c r="AW54" s="43">
        <f>AT54-(AU54+AV54)</f>
        <v/>
      </c>
      <c r="AX54" s="43">
        <f>'Mar2027-COLLECTION'!K53</f>
        <v/>
      </c>
      <c r="AY54" s="43">
        <f>'Mar2027-EXPENSE'!R57</f>
        <v/>
      </c>
      <c r="AZ54" s="2" t="n"/>
      <c r="BA54" s="43">
        <f>AX54-(AY54+AZ54)</f>
        <v/>
      </c>
      <c r="BB54" s="43">
        <f>SUM(F54,J54,N54,R54,V54,Z54,AD54,AH54,AL54,AP54,AT54,AX54)</f>
        <v/>
      </c>
      <c r="BC54" s="43">
        <f>SUM(G54,K54,O54,S54,W54,AA54,AE54,AI54,AM54,AQ54,AU54,AY54)</f>
        <v/>
      </c>
      <c r="BD54" s="43">
        <f>SUM(H54,L54,P54,T54,X54,AB54,AF54,AJ54,AN54,AR54,AV54,AZ54)</f>
        <v/>
      </c>
      <c r="BE54" s="43">
        <f>BB54-(BC54+BD54)</f>
        <v/>
      </c>
      <c r="BF54" s="43">
        <f>E54+BE54</f>
        <v/>
      </c>
      <c r="BG54" s="43" t="n">
        <v>0</v>
      </c>
    </row>
    <row r="55" ht="15.75" customHeight="1">
      <c r="A55" s="37" t="inlineStr">
        <is>
          <t>T5</t>
        </is>
      </c>
      <c r="B55" s="40" t="n"/>
      <c r="C55" s="40" t="inlineStr">
        <is>
          <t>Ganesh Iyer and Latha Iyer( owner) Richa (Tenant)</t>
        </is>
      </c>
      <c r="D55" s="41" t="n">
        <v>0</v>
      </c>
      <c r="E55" s="41" t="n">
        <v>0</v>
      </c>
      <c r="F55" s="41">
        <f>'Apr2026-COLLECTION'!K54</f>
        <v/>
      </c>
      <c r="G55" s="41">
        <f>'Apr2026-EXPENSE'!R58</f>
        <v/>
      </c>
      <c r="H55" s="20" t="n"/>
      <c r="I55" s="41">
        <f>F55-(G55+H55)</f>
        <v/>
      </c>
      <c r="J55" s="41">
        <f>'May2026-COLLECTION'!K54</f>
        <v/>
      </c>
      <c r="K55" s="41">
        <f>'May2026-EXPENSE'!R58</f>
        <v/>
      </c>
      <c r="L55" s="21" t="n"/>
      <c r="M55" s="41">
        <f>J55-(K55+L55)</f>
        <v/>
      </c>
      <c r="N55" s="41">
        <f>'June2026-COLLECTION'!K54</f>
        <v/>
      </c>
      <c r="O55" s="41">
        <f>'June2026-EXPENSE'!R58</f>
        <v/>
      </c>
      <c r="P55" s="20" t="n"/>
      <c r="Q55" s="41">
        <f>N55-(O55+P55)</f>
        <v/>
      </c>
      <c r="R55" s="41">
        <f>'July2026-COLLECTION'!K54</f>
        <v/>
      </c>
      <c r="S55" s="41">
        <f>'July2026-EXPENSE'!R58</f>
        <v/>
      </c>
      <c r="T55" s="21" t="n"/>
      <c r="U55" s="41">
        <f>R55-(S55+T55)</f>
        <v/>
      </c>
      <c r="V55" s="41">
        <f>'Aug2026-COLLECTION'!K54</f>
        <v/>
      </c>
      <c r="W55" s="41">
        <f>'Aug2026-EXPENSE'!R58</f>
        <v/>
      </c>
      <c r="X55" s="20" t="n"/>
      <c r="Y55" s="41">
        <f>V55-(W55+X55)</f>
        <v/>
      </c>
      <c r="Z55" s="41">
        <f>'Sep2026-COLLECTION'!K54</f>
        <v/>
      </c>
      <c r="AA55" s="41">
        <f>'Sep2026-EXPENSE'!R58</f>
        <v/>
      </c>
      <c r="AB55" s="21" t="n"/>
      <c r="AC55" s="41">
        <f>Z55-(AA55+AB55)</f>
        <v/>
      </c>
      <c r="AD55" s="41">
        <f>'Oct2026-COLLECTION'!K54</f>
        <v/>
      </c>
      <c r="AE55" s="41">
        <f>'Oct2026-EXPENSE'!R58</f>
        <v/>
      </c>
      <c r="AF55" s="21" t="n"/>
      <c r="AG55" s="41">
        <f>AD55-(AE55+AF55)</f>
        <v/>
      </c>
      <c r="AH55" s="41">
        <f>'Nov2026-COLLECTION'!K54</f>
        <v/>
      </c>
      <c r="AI55" s="41">
        <f>'Nov2026-EXPENSE'!R58</f>
        <v/>
      </c>
      <c r="AJ55" s="21" t="n"/>
      <c r="AK55" s="41">
        <f>AH55-(AI55+AJ55)</f>
        <v/>
      </c>
      <c r="AL55" s="41">
        <f>'Dec2026-COLLECTION'!K54</f>
        <v/>
      </c>
      <c r="AM55" s="41">
        <f>'Dec2026-EXPENSE'!R58</f>
        <v/>
      </c>
      <c r="AN55" s="21" t="n"/>
      <c r="AO55" s="41">
        <f>AL55-(AM55+AN55)</f>
        <v/>
      </c>
      <c r="AP55" s="41">
        <f>'Jan2027-COLLECTION'!K54</f>
        <v/>
      </c>
      <c r="AQ55" s="41">
        <f>'Jan2027-EXPENSE'!R58</f>
        <v/>
      </c>
      <c r="AR55" s="2" t="n"/>
      <c r="AS55" s="41">
        <f>AP55-(AQ55+AR55)</f>
        <v/>
      </c>
      <c r="AT55" s="41">
        <f>'Feb2027-COLLECTION'!K54</f>
        <v/>
      </c>
      <c r="AU55" s="41">
        <f>'Feb2027-EXPENSE'!R58</f>
        <v/>
      </c>
      <c r="AV55" s="2" t="n"/>
      <c r="AW55" s="41">
        <f>AT55-(AU55+AV55)</f>
        <v/>
      </c>
      <c r="AX55" s="41">
        <f>'Mar2027-COLLECTION'!K54</f>
        <v/>
      </c>
      <c r="AY55" s="41">
        <f>'Mar2027-EXPENSE'!R58</f>
        <v/>
      </c>
      <c r="AZ55" s="2" t="n"/>
      <c r="BA55" s="41">
        <f>AX55-(AY55+AZ55)</f>
        <v/>
      </c>
      <c r="BB55" s="41">
        <f>SUM(F55,J55,N55,R55,V55,Z55,AD55,AH55,AL55,AP55,AT55,AX55)</f>
        <v/>
      </c>
      <c r="BC55" s="41">
        <f>SUM(G55,K55,O55,S55,W55,AA55,AE55,AI55,AM55,AQ55,AU55,AY55)</f>
        <v/>
      </c>
      <c r="BD55" s="41">
        <f>SUM(H55,L55,P55,T55,X55,AB55,AF55,AJ55,AN55,AR55,AV55,AZ55)</f>
        <v/>
      </c>
      <c r="BE55" s="41">
        <f>BB55-(BC55+BD55)</f>
        <v/>
      </c>
      <c r="BF55" s="41">
        <f>E55+BE55</f>
        <v/>
      </c>
      <c r="BG55" s="41" t="n">
        <v>0</v>
      </c>
    </row>
    <row r="56" ht="15.75" customHeight="1">
      <c r="A56" s="36" t="inlineStr">
        <is>
          <t>T6</t>
        </is>
      </c>
      <c r="B56" s="42" t="n"/>
      <c r="C56" s="42" t="inlineStr">
        <is>
          <t>Mythili Ramesh</t>
        </is>
      </c>
      <c r="D56" s="43" t="n">
        <v>0</v>
      </c>
      <c r="E56" s="43" t="n">
        <v>0</v>
      </c>
      <c r="F56" s="43">
        <f>'Apr2026-COLLECTION'!K55</f>
        <v/>
      </c>
      <c r="G56" s="43">
        <f>'Apr2026-EXPENSE'!R59</f>
        <v/>
      </c>
      <c r="H56" s="20" t="n"/>
      <c r="I56" s="43">
        <f>F56-(G56+H56)</f>
        <v/>
      </c>
      <c r="J56" s="43">
        <f>'May2026-COLLECTION'!K55</f>
        <v/>
      </c>
      <c r="K56" s="43">
        <f>'May2026-EXPENSE'!R59</f>
        <v/>
      </c>
      <c r="L56" s="21" t="n"/>
      <c r="M56" s="43">
        <f>J56-(K56+L56)</f>
        <v/>
      </c>
      <c r="N56" s="43">
        <f>'June2026-COLLECTION'!K55</f>
        <v/>
      </c>
      <c r="O56" s="43">
        <f>'June2026-EXPENSE'!R59</f>
        <v/>
      </c>
      <c r="P56" s="20" t="n"/>
      <c r="Q56" s="43">
        <f>N56-(O56+P56)</f>
        <v/>
      </c>
      <c r="R56" s="43">
        <f>'July2026-COLLECTION'!K55</f>
        <v/>
      </c>
      <c r="S56" s="43">
        <f>'July2026-EXPENSE'!R59</f>
        <v/>
      </c>
      <c r="T56" s="21" t="n"/>
      <c r="U56" s="43">
        <f>R56-(S56+T56)</f>
        <v/>
      </c>
      <c r="V56" s="43">
        <f>'Aug2026-COLLECTION'!K55</f>
        <v/>
      </c>
      <c r="W56" s="43">
        <f>'Aug2026-EXPENSE'!R59</f>
        <v/>
      </c>
      <c r="X56" s="20" t="n"/>
      <c r="Y56" s="43">
        <f>V56-(W56+X56)</f>
        <v/>
      </c>
      <c r="Z56" s="43">
        <f>'Sep2026-COLLECTION'!K55</f>
        <v/>
      </c>
      <c r="AA56" s="43">
        <f>'Sep2026-EXPENSE'!R59</f>
        <v/>
      </c>
      <c r="AB56" s="21" t="n"/>
      <c r="AC56" s="43">
        <f>Z56-(AA56+AB56)</f>
        <v/>
      </c>
      <c r="AD56" s="43">
        <f>'Oct2026-COLLECTION'!K55</f>
        <v/>
      </c>
      <c r="AE56" s="43">
        <f>'Oct2026-EXPENSE'!R59</f>
        <v/>
      </c>
      <c r="AF56" s="21" t="n"/>
      <c r="AG56" s="43">
        <f>AD56-(AE56+AF56)</f>
        <v/>
      </c>
      <c r="AH56" s="43">
        <f>'Nov2026-COLLECTION'!K55</f>
        <v/>
      </c>
      <c r="AI56" s="43">
        <f>'Nov2026-EXPENSE'!R59</f>
        <v/>
      </c>
      <c r="AJ56" s="21" t="n"/>
      <c r="AK56" s="43">
        <f>AH56-(AI56+AJ56)</f>
        <v/>
      </c>
      <c r="AL56" s="43">
        <f>'Dec2026-COLLECTION'!K55</f>
        <v/>
      </c>
      <c r="AM56" s="43">
        <f>'Dec2026-EXPENSE'!R59</f>
        <v/>
      </c>
      <c r="AN56" s="21" t="n"/>
      <c r="AO56" s="43">
        <f>AL56-(AM56+AN56)</f>
        <v/>
      </c>
      <c r="AP56" s="43">
        <f>'Jan2027-COLLECTION'!K55</f>
        <v/>
      </c>
      <c r="AQ56" s="43">
        <f>'Jan2027-EXPENSE'!R59</f>
        <v/>
      </c>
      <c r="AR56" s="2" t="n"/>
      <c r="AS56" s="43">
        <f>AP56-(AQ56+AR56)</f>
        <v/>
      </c>
      <c r="AT56" s="43">
        <f>'Feb2027-COLLECTION'!K55</f>
        <v/>
      </c>
      <c r="AU56" s="43">
        <f>'Feb2027-EXPENSE'!R59</f>
        <v/>
      </c>
      <c r="AV56" s="2" t="n"/>
      <c r="AW56" s="43">
        <f>AT56-(AU56+AV56)</f>
        <v/>
      </c>
      <c r="AX56" s="43">
        <f>'Mar2027-COLLECTION'!K55</f>
        <v/>
      </c>
      <c r="AY56" s="43">
        <f>'Mar2027-EXPENSE'!R59</f>
        <v/>
      </c>
      <c r="AZ56" s="2" t="n"/>
      <c r="BA56" s="43">
        <f>AX56-(AY56+AZ56)</f>
        <v/>
      </c>
      <c r="BB56" s="43">
        <f>SUM(F56,J56,N56,R56,V56,Z56,AD56,AH56,AL56,AP56,AT56,AX56)</f>
        <v/>
      </c>
      <c r="BC56" s="43">
        <f>SUM(G56,K56,O56,S56,W56,AA56,AE56,AI56,AM56,AQ56,AU56,AY56)</f>
        <v/>
      </c>
      <c r="BD56" s="43">
        <f>SUM(H56,L56,P56,T56,X56,AB56,AF56,AJ56,AN56,AR56,AV56,AZ56)</f>
        <v/>
      </c>
      <c r="BE56" s="43">
        <f>BB56-(BC56+BD56)</f>
        <v/>
      </c>
      <c r="BF56" s="43">
        <f>E56+BE56</f>
        <v/>
      </c>
      <c r="BG56" s="43" t="n">
        <v>0</v>
      </c>
    </row>
    <row r="57" ht="15.75" customHeight="1">
      <c r="A57" s="37" t="inlineStr">
        <is>
          <t>T7</t>
        </is>
      </c>
      <c r="B57" s="40" t="n"/>
      <c r="C57" s="40" t="inlineStr">
        <is>
          <t>Vinyas Ramachandra / Shwetha Marnamikatta / Katari Siva Rama Raju</t>
        </is>
      </c>
      <c r="D57" s="41" t="n">
        <v>0</v>
      </c>
      <c r="E57" s="41" t="n">
        <v>0</v>
      </c>
      <c r="F57" s="41">
        <f>'Apr2026-COLLECTION'!K56</f>
        <v/>
      </c>
      <c r="G57" s="41">
        <f>'Apr2026-EXPENSE'!R60</f>
        <v/>
      </c>
      <c r="H57" s="20" t="n"/>
      <c r="I57" s="41">
        <f>F57-(G57+H57)</f>
        <v/>
      </c>
      <c r="J57" s="41">
        <f>'May2026-COLLECTION'!K56</f>
        <v/>
      </c>
      <c r="K57" s="41">
        <f>'May2026-EXPENSE'!R60</f>
        <v/>
      </c>
      <c r="L57" s="21" t="n"/>
      <c r="M57" s="41">
        <f>J57-(K57+L57)</f>
        <v/>
      </c>
      <c r="N57" s="41">
        <f>'June2026-COLLECTION'!K56</f>
        <v/>
      </c>
      <c r="O57" s="41">
        <f>'June2026-EXPENSE'!R60</f>
        <v/>
      </c>
      <c r="P57" s="20" t="n"/>
      <c r="Q57" s="41">
        <f>N57-(O57+P57)</f>
        <v/>
      </c>
      <c r="R57" s="41">
        <f>'July2026-COLLECTION'!K56</f>
        <v/>
      </c>
      <c r="S57" s="41">
        <f>'July2026-EXPENSE'!R60</f>
        <v/>
      </c>
      <c r="T57" s="21" t="n"/>
      <c r="U57" s="41">
        <f>R57-(S57+T57)</f>
        <v/>
      </c>
      <c r="V57" s="41">
        <f>'Aug2026-COLLECTION'!K56</f>
        <v/>
      </c>
      <c r="W57" s="41">
        <f>'Aug2026-EXPENSE'!R60</f>
        <v/>
      </c>
      <c r="X57" s="20" t="n"/>
      <c r="Y57" s="41">
        <f>V57-(W57+X57)</f>
        <v/>
      </c>
      <c r="Z57" s="41">
        <f>'Sep2026-COLLECTION'!K56</f>
        <v/>
      </c>
      <c r="AA57" s="41">
        <f>'Sep2026-EXPENSE'!R60</f>
        <v/>
      </c>
      <c r="AB57" s="21" t="n"/>
      <c r="AC57" s="41">
        <f>Z57-(AA57+AB57)</f>
        <v/>
      </c>
      <c r="AD57" s="41">
        <f>'Oct2026-COLLECTION'!K56</f>
        <v/>
      </c>
      <c r="AE57" s="41">
        <f>'Oct2026-EXPENSE'!R60</f>
        <v/>
      </c>
      <c r="AF57" s="21" t="n"/>
      <c r="AG57" s="41">
        <f>AD57-(AE57+AF57)</f>
        <v/>
      </c>
      <c r="AH57" s="41">
        <f>'Nov2026-COLLECTION'!K56</f>
        <v/>
      </c>
      <c r="AI57" s="41">
        <f>'Nov2026-EXPENSE'!R60</f>
        <v/>
      </c>
      <c r="AJ57" s="21" t="n"/>
      <c r="AK57" s="41">
        <f>AH57-(AI57+AJ57)</f>
        <v/>
      </c>
      <c r="AL57" s="41">
        <f>'Dec2026-COLLECTION'!K56</f>
        <v/>
      </c>
      <c r="AM57" s="41">
        <f>'Dec2026-EXPENSE'!R60</f>
        <v/>
      </c>
      <c r="AN57" s="21" t="n"/>
      <c r="AO57" s="41">
        <f>AL57-(AM57+AN57)</f>
        <v/>
      </c>
      <c r="AP57" s="41">
        <f>'Jan2027-COLLECTION'!K56</f>
        <v/>
      </c>
      <c r="AQ57" s="41">
        <f>'Jan2027-EXPENSE'!R60</f>
        <v/>
      </c>
      <c r="AR57" s="2" t="n"/>
      <c r="AS57" s="41">
        <f>AP57-(AQ57+AR57)</f>
        <v/>
      </c>
      <c r="AT57" s="41">
        <f>'Feb2027-COLLECTION'!K56</f>
        <v/>
      </c>
      <c r="AU57" s="41">
        <f>'Feb2027-EXPENSE'!R60</f>
        <v/>
      </c>
      <c r="AV57" s="2" t="n"/>
      <c r="AW57" s="41">
        <f>AT57-(AU57+AV57)</f>
        <v/>
      </c>
      <c r="AX57" s="41">
        <f>'Mar2027-COLLECTION'!K56</f>
        <v/>
      </c>
      <c r="AY57" s="41">
        <f>'Mar2027-EXPENSE'!R60</f>
        <v/>
      </c>
      <c r="AZ57" s="2" t="n"/>
      <c r="BA57" s="41">
        <f>AX57-(AY57+AZ57)</f>
        <v/>
      </c>
      <c r="BB57" s="41">
        <f>SUM(F57,J57,N57,R57,V57,Z57,AD57,AH57,AL57,AP57,AT57,AX57)</f>
        <v/>
      </c>
      <c r="BC57" s="41">
        <f>SUM(G57,K57,O57,S57,W57,AA57,AE57,AI57,AM57,AQ57,AU57,AY57)</f>
        <v/>
      </c>
      <c r="BD57" s="41">
        <f>SUM(H57,L57,P57,T57,X57,AB57,AF57,AJ57,AN57,AR57,AV57,AZ57)</f>
        <v/>
      </c>
      <c r="BE57" s="41">
        <f>BB57-(BC57+BD57)</f>
        <v/>
      </c>
      <c r="BF57" s="41">
        <f>E57+BE57</f>
        <v/>
      </c>
      <c r="BG57" s="41" t="n">
        <v>0</v>
      </c>
    </row>
    <row r="58" ht="15.75" customHeight="1">
      <c r="A58" s="36" t="inlineStr">
        <is>
          <t>T8</t>
        </is>
      </c>
      <c r="B58" s="42" t="n"/>
      <c r="C58" s="42" t="inlineStr">
        <is>
          <t>Lalit Kumar Sharma</t>
        </is>
      </c>
      <c r="D58" s="43" t="n">
        <v>0</v>
      </c>
      <c r="E58" s="43" t="n">
        <v>0</v>
      </c>
      <c r="F58" s="43">
        <f>'Apr2026-COLLECTION'!K57</f>
        <v/>
      </c>
      <c r="G58" s="43">
        <f>'Apr2026-EXPENSE'!R61</f>
        <v/>
      </c>
      <c r="H58" s="20" t="n"/>
      <c r="I58" s="43">
        <f>F58-(G58+H58)</f>
        <v/>
      </c>
      <c r="J58" s="43">
        <f>'May2026-COLLECTION'!K57</f>
        <v/>
      </c>
      <c r="K58" s="43">
        <f>'May2026-EXPENSE'!R61</f>
        <v/>
      </c>
      <c r="L58" s="21" t="n"/>
      <c r="M58" s="43">
        <f>J58-(K58+L58)</f>
        <v/>
      </c>
      <c r="N58" s="43">
        <f>'June2026-COLLECTION'!K57</f>
        <v/>
      </c>
      <c r="O58" s="43">
        <f>'June2026-EXPENSE'!R61</f>
        <v/>
      </c>
      <c r="P58" s="20" t="n"/>
      <c r="Q58" s="43">
        <f>N58-(O58+P58)</f>
        <v/>
      </c>
      <c r="R58" s="43">
        <f>'July2026-COLLECTION'!K57</f>
        <v/>
      </c>
      <c r="S58" s="43">
        <f>'July2026-EXPENSE'!R61</f>
        <v/>
      </c>
      <c r="T58" s="21" t="n"/>
      <c r="U58" s="43">
        <f>R58-(S58+T58)</f>
        <v/>
      </c>
      <c r="V58" s="43">
        <f>'Aug2026-COLLECTION'!K57</f>
        <v/>
      </c>
      <c r="W58" s="43">
        <f>'Aug2026-EXPENSE'!R61</f>
        <v/>
      </c>
      <c r="X58" s="20" t="n"/>
      <c r="Y58" s="43">
        <f>V58-(W58+X58)</f>
        <v/>
      </c>
      <c r="Z58" s="43">
        <f>'Sep2026-COLLECTION'!K57</f>
        <v/>
      </c>
      <c r="AA58" s="43">
        <f>'Sep2026-EXPENSE'!R61</f>
        <v/>
      </c>
      <c r="AB58" s="21" t="n"/>
      <c r="AC58" s="43">
        <f>Z58-(AA58+AB58)</f>
        <v/>
      </c>
      <c r="AD58" s="43">
        <f>'Oct2026-COLLECTION'!K57</f>
        <v/>
      </c>
      <c r="AE58" s="43">
        <f>'Oct2026-EXPENSE'!R61</f>
        <v/>
      </c>
      <c r="AF58" s="21" t="n"/>
      <c r="AG58" s="43">
        <f>AD58-(AE58+AF58)</f>
        <v/>
      </c>
      <c r="AH58" s="43">
        <f>'Nov2026-COLLECTION'!K57</f>
        <v/>
      </c>
      <c r="AI58" s="43">
        <f>'Nov2026-EXPENSE'!R61</f>
        <v/>
      </c>
      <c r="AJ58" s="21" t="n"/>
      <c r="AK58" s="43">
        <f>AH58-(AI58+AJ58)</f>
        <v/>
      </c>
      <c r="AL58" s="43">
        <f>'Dec2026-COLLECTION'!K57</f>
        <v/>
      </c>
      <c r="AM58" s="43">
        <f>'Dec2026-EXPENSE'!R61</f>
        <v/>
      </c>
      <c r="AN58" s="21" t="n"/>
      <c r="AO58" s="43">
        <f>AL58-(AM58+AN58)</f>
        <v/>
      </c>
      <c r="AP58" s="43">
        <f>'Jan2027-COLLECTION'!K57</f>
        <v/>
      </c>
      <c r="AQ58" s="43">
        <f>'Jan2027-EXPENSE'!R61</f>
        <v/>
      </c>
      <c r="AR58" s="2" t="n"/>
      <c r="AS58" s="43">
        <f>AP58-(AQ58+AR58)</f>
        <v/>
      </c>
      <c r="AT58" s="43">
        <f>'Feb2027-COLLECTION'!K57</f>
        <v/>
      </c>
      <c r="AU58" s="43">
        <f>'Feb2027-EXPENSE'!R61</f>
        <v/>
      </c>
      <c r="AV58" s="2" t="n"/>
      <c r="AW58" s="43">
        <f>AT58-(AU58+AV58)</f>
        <v/>
      </c>
      <c r="AX58" s="43">
        <f>'Mar2027-COLLECTION'!K57</f>
        <v/>
      </c>
      <c r="AY58" s="43">
        <f>'Mar2027-EXPENSE'!R61</f>
        <v/>
      </c>
      <c r="AZ58" s="2" t="n"/>
      <c r="BA58" s="43">
        <f>AX58-(AY58+AZ58)</f>
        <v/>
      </c>
      <c r="BB58" s="43">
        <f>SUM(F58,J58,N58,R58,V58,Z58,AD58,AH58,AL58,AP58,AT58,AX58)</f>
        <v/>
      </c>
      <c r="BC58" s="43">
        <f>SUM(G58,K58,O58,S58,W58,AA58,AE58,AI58,AM58,AQ58,AU58,AY58)</f>
        <v/>
      </c>
      <c r="BD58" s="43">
        <f>SUM(H58,L58,P58,T58,X58,AB58,AF58,AJ58,AN58,AR58,AV58,AZ58)</f>
        <v/>
      </c>
      <c r="BE58" s="43">
        <f>BB58-(BC58+BD58)</f>
        <v/>
      </c>
      <c r="BF58" s="43">
        <f>E58+BE58</f>
        <v/>
      </c>
      <c r="BG58" s="43" t="n">
        <v>0</v>
      </c>
    </row>
    <row r="59" ht="15.75" customHeight="1">
      <c r="A59" s="37" t="inlineStr">
        <is>
          <t>T9</t>
        </is>
      </c>
      <c r="B59" s="40" t="n"/>
      <c r="C59" s="40" t="inlineStr">
        <is>
          <t>Nishith Sahu and Priyanka Rani (Owner)/ Anmol Verma (Tenant)</t>
        </is>
      </c>
      <c r="D59" s="41" t="n">
        <v>0</v>
      </c>
      <c r="E59" s="41" t="n">
        <v>0</v>
      </c>
      <c r="F59" s="41">
        <f>'Apr2026-COLLECTION'!K58</f>
        <v/>
      </c>
      <c r="G59" s="41">
        <f>'Apr2026-EXPENSE'!R62</f>
        <v/>
      </c>
      <c r="H59" s="20" t="n"/>
      <c r="I59" s="41">
        <f>F59-(G59+H59)</f>
        <v/>
      </c>
      <c r="J59" s="41">
        <f>'May2026-COLLECTION'!K58</f>
        <v/>
      </c>
      <c r="K59" s="41">
        <f>'May2026-EXPENSE'!R62</f>
        <v/>
      </c>
      <c r="L59" s="21" t="n"/>
      <c r="M59" s="41">
        <f>J59-(K59+L59)</f>
        <v/>
      </c>
      <c r="N59" s="41">
        <f>'June2026-COLLECTION'!K58</f>
        <v/>
      </c>
      <c r="O59" s="41">
        <f>'June2026-EXPENSE'!R62</f>
        <v/>
      </c>
      <c r="P59" s="20" t="n"/>
      <c r="Q59" s="41">
        <f>N59-(O59+P59)</f>
        <v/>
      </c>
      <c r="R59" s="41">
        <f>'July2026-COLLECTION'!K58</f>
        <v/>
      </c>
      <c r="S59" s="41">
        <f>'July2026-EXPENSE'!R62</f>
        <v/>
      </c>
      <c r="T59" s="21" t="n"/>
      <c r="U59" s="41">
        <f>R59-(S59+T59)</f>
        <v/>
      </c>
      <c r="V59" s="41">
        <f>'Aug2026-COLLECTION'!K58</f>
        <v/>
      </c>
      <c r="W59" s="41">
        <f>'Aug2026-EXPENSE'!R62</f>
        <v/>
      </c>
      <c r="X59" s="20" t="n"/>
      <c r="Y59" s="41">
        <f>V59-(W59+X59)</f>
        <v/>
      </c>
      <c r="Z59" s="41">
        <f>'Sep2026-COLLECTION'!K58</f>
        <v/>
      </c>
      <c r="AA59" s="41">
        <f>'Sep2026-EXPENSE'!R62</f>
        <v/>
      </c>
      <c r="AB59" s="21" t="n"/>
      <c r="AC59" s="41">
        <f>Z59-(AA59+AB59)</f>
        <v/>
      </c>
      <c r="AD59" s="41">
        <f>'Oct2026-COLLECTION'!K58</f>
        <v/>
      </c>
      <c r="AE59" s="41">
        <f>'Oct2026-EXPENSE'!R62</f>
        <v/>
      </c>
      <c r="AF59" s="21" t="n"/>
      <c r="AG59" s="41">
        <f>AD59-(AE59+AF59)</f>
        <v/>
      </c>
      <c r="AH59" s="41">
        <f>'Nov2026-COLLECTION'!K58</f>
        <v/>
      </c>
      <c r="AI59" s="41">
        <f>'Nov2026-EXPENSE'!R62</f>
        <v/>
      </c>
      <c r="AJ59" s="21" t="n"/>
      <c r="AK59" s="41">
        <f>AH59-(AI59+AJ59)</f>
        <v/>
      </c>
      <c r="AL59" s="41">
        <f>'Dec2026-COLLECTION'!K58</f>
        <v/>
      </c>
      <c r="AM59" s="41">
        <f>'Dec2026-EXPENSE'!R62</f>
        <v/>
      </c>
      <c r="AN59" s="21" t="n"/>
      <c r="AO59" s="41">
        <f>AL59-(AM59+AN59)</f>
        <v/>
      </c>
      <c r="AP59" s="41">
        <f>'Jan2027-COLLECTION'!K58</f>
        <v/>
      </c>
      <c r="AQ59" s="41">
        <f>'Jan2027-EXPENSE'!R62</f>
        <v/>
      </c>
      <c r="AR59" s="2" t="n"/>
      <c r="AS59" s="41">
        <f>AP59-(AQ59+AR59)</f>
        <v/>
      </c>
      <c r="AT59" s="41">
        <f>'Feb2027-COLLECTION'!K58</f>
        <v/>
      </c>
      <c r="AU59" s="41">
        <f>'Feb2027-EXPENSE'!R62</f>
        <v/>
      </c>
      <c r="AV59" s="2" t="n"/>
      <c r="AW59" s="41">
        <f>AT59-(AU59+AV59)</f>
        <v/>
      </c>
      <c r="AX59" s="41">
        <f>'Mar2027-COLLECTION'!K58</f>
        <v/>
      </c>
      <c r="AY59" s="41">
        <f>'Mar2027-EXPENSE'!R62</f>
        <v/>
      </c>
      <c r="AZ59" s="2" t="n"/>
      <c r="BA59" s="41">
        <f>AX59-(AY59+AZ59)</f>
        <v/>
      </c>
      <c r="BB59" s="41">
        <f>SUM(F59,J59,N59,R59,V59,Z59,AD59,AH59,AL59,AP59,AT59,AX59)</f>
        <v/>
      </c>
      <c r="BC59" s="41">
        <f>SUM(G59,K59,O59,S59,W59,AA59,AE59,AI59,AM59,AQ59,AU59,AY59)</f>
        <v/>
      </c>
      <c r="BD59" s="41">
        <f>SUM(H59,L59,P59,T59,X59,AB59,AF59,AJ59,AN59,AR59,AV59,AZ59)</f>
        <v/>
      </c>
      <c r="BE59" s="41">
        <f>BB59-(BC59+BD59)</f>
        <v/>
      </c>
      <c r="BF59" s="41">
        <f>E59+BE59</f>
        <v/>
      </c>
      <c r="BG59" s="41" t="n">
        <v>0</v>
      </c>
    </row>
    <row r="60" ht="15.75" customHeight="1">
      <c r="A60" s="36" t="inlineStr">
        <is>
          <t>T10</t>
        </is>
      </c>
      <c r="B60" s="42" t="n"/>
      <c r="C60" s="42" t="inlineStr">
        <is>
          <t>Vamsidhar Bethanabatla / Madhuri Anumula</t>
        </is>
      </c>
      <c r="D60" s="43" t="n">
        <v>0</v>
      </c>
      <c r="E60" s="43" t="n">
        <v>0</v>
      </c>
      <c r="F60" s="43">
        <f>'Apr2026-COLLECTION'!K59</f>
        <v/>
      </c>
      <c r="G60" s="43">
        <f>'Apr2026-EXPENSE'!R63</f>
        <v/>
      </c>
      <c r="H60" s="20" t="n"/>
      <c r="I60" s="43">
        <f>F60-(G60+H60)</f>
        <v/>
      </c>
      <c r="J60" s="43">
        <f>'May2026-COLLECTION'!K59</f>
        <v/>
      </c>
      <c r="K60" s="43">
        <f>'May2026-EXPENSE'!R63</f>
        <v/>
      </c>
      <c r="L60" s="21" t="n"/>
      <c r="M60" s="43">
        <f>J60-(K60+L60)</f>
        <v/>
      </c>
      <c r="N60" s="43">
        <f>'June2026-COLLECTION'!K59</f>
        <v/>
      </c>
      <c r="O60" s="43">
        <f>'June2026-EXPENSE'!R63</f>
        <v/>
      </c>
      <c r="P60" s="20" t="n"/>
      <c r="Q60" s="43">
        <f>N60-(O60+P60)</f>
        <v/>
      </c>
      <c r="R60" s="43">
        <f>'July2026-COLLECTION'!K59</f>
        <v/>
      </c>
      <c r="S60" s="43">
        <f>'July2026-EXPENSE'!R63</f>
        <v/>
      </c>
      <c r="T60" s="21" t="n"/>
      <c r="U60" s="43">
        <f>R60-(S60+T60)</f>
        <v/>
      </c>
      <c r="V60" s="43">
        <f>'Aug2026-COLLECTION'!K59</f>
        <v/>
      </c>
      <c r="W60" s="43">
        <f>'Aug2026-EXPENSE'!R63</f>
        <v/>
      </c>
      <c r="X60" s="20" t="n"/>
      <c r="Y60" s="43">
        <f>V60-(W60+X60)</f>
        <v/>
      </c>
      <c r="Z60" s="43">
        <f>'Sep2026-COLLECTION'!K59</f>
        <v/>
      </c>
      <c r="AA60" s="43">
        <f>'Sep2026-EXPENSE'!R63</f>
        <v/>
      </c>
      <c r="AB60" s="21" t="n"/>
      <c r="AC60" s="43">
        <f>Z60-(AA60+AB60)</f>
        <v/>
      </c>
      <c r="AD60" s="43">
        <f>'Oct2026-COLLECTION'!K59</f>
        <v/>
      </c>
      <c r="AE60" s="43">
        <f>'Oct2026-EXPENSE'!R63</f>
        <v/>
      </c>
      <c r="AF60" s="21" t="n"/>
      <c r="AG60" s="43">
        <f>AD60-(AE60+AF60)</f>
        <v/>
      </c>
      <c r="AH60" s="43">
        <f>'Nov2026-COLLECTION'!K59</f>
        <v/>
      </c>
      <c r="AI60" s="43">
        <f>'Nov2026-EXPENSE'!R63</f>
        <v/>
      </c>
      <c r="AJ60" s="21" t="n"/>
      <c r="AK60" s="43">
        <f>AH60-(AI60+AJ60)</f>
        <v/>
      </c>
      <c r="AL60" s="43">
        <f>'Dec2026-COLLECTION'!K59</f>
        <v/>
      </c>
      <c r="AM60" s="43">
        <f>'Dec2026-EXPENSE'!R63</f>
        <v/>
      </c>
      <c r="AN60" s="21" t="n"/>
      <c r="AO60" s="43">
        <f>AL60-(AM60+AN60)</f>
        <v/>
      </c>
      <c r="AP60" s="43">
        <f>'Jan2027-COLLECTION'!K59</f>
        <v/>
      </c>
      <c r="AQ60" s="43">
        <f>'Jan2027-EXPENSE'!R63</f>
        <v/>
      </c>
      <c r="AR60" s="2" t="n"/>
      <c r="AS60" s="43">
        <f>AP60-(AQ60+AR60)</f>
        <v/>
      </c>
      <c r="AT60" s="43">
        <f>'Feb2027-COLLECTION'!K59</f>
        <v/>
      </c>
      <c r="AU60" s="43">
        <f>'Feb2027-EXPENSE'!R63</f>
        <v/>
      </c>
      <c r="AV60" s="2" t="n"/>
      <c r="AW60" s="43">
        <f>AT60-(AU60+AV60)</f>
        <v/>
      </c>
      <c r="AX60" s="43">
        <f>'Mar2027-COLLECTION'!K59</f>
        <v/>
      </c>
      <c r="AY60" s="43">
        <f>'Mar2027-EXPENSE'!R63</f>
        <v/>
      </c>
      <c r="AZ60" s="2" t="n"/>
      <c r="BA60" s="43">
        <f>AX60-(AY60+AZ60)</f>
        <v/>
      </c>
      <c r="BB60" s="43">
        <f>SUM(F60,J60,N60,R60,V60,Z60,AD60,AH60,AL60,AP60,AT60,AX60)</f>
        <v/>
      </c>
      <c r="BC60" s="43">
        <f>SUM(G60,K60,O60,S60,W60,AA60,AE60,AI60,AM60,AQ60,AU60,AY60)</f>
        <v/>
      </c>
      <c r="BD60" s="43">
        <f>SUM(H60,L60,P60,T60,X60,AB60,AF60,AJ60,AN60,AR60,AV60,AZ60)</f>
        <v/>
      </c>
      <c r="BE60" s="43">
        <f>BB60-(BC60+BD60)</f>
        <v/>
      </c>
      <c r="BF60" s="43">
        <f>E60+BE60</f>
        <v/>
      </c>
      <c r="BG60" s="43" t="n">
        <v>0</v>
      </c>
    </row>
    <row r="61" ht="15.75" customHeight="1">
      <c r="A61" s="37" t="inlineStr">
        <is>
          <t>T11</t>
        </is>
      </c>
      <c r="B61" s="40" t="n"/>
      <c r="C61" s="40" t="inlineStr">
        <is>
          <t>Arvind Balasubramanian</t>
        </is>
      </c>
      <c r="D61" s="41" t="n">
        <v>0</v>
      </c>
      <c r="E61" s="41" t="n">
        <v>0</v>
      </c>
      <c r="F61" s="41">
        <f>'Apr2026-COLLECTION'!K60</f>
        <v/>
      </c>
      <c r="G61" s="41">
        <f>'Apr2026-EXPENSE'!R64</f>
        <v/>
      </c>
      <c r="H61" s="20" t="n"/>
      <c r="I61" s="41">
        <f>F61-(G61+H61)</f>
        <v/>
      </c>
      <c r="J61" s="41">
        <f>'May2026-COLLECTION'!K60</f>
        <v/>
      </c>
      <c r="K61" s="41">
        <f>'May2026-EXPENSE'!R64</f>
        <v/>
      </c>
      <c r="L61" s="41" t="n">
        <v>0</v>
      </c>
      <c r="M61" s="41">
        <f>J61-(K61+L61)</f>
        <v/>
      </c>
      <c r="N61" s="41">
        <f>'June2026-COLLECTION'!K60</f>
        <v/>
      </c>
      <c r="O61" s="41">
        <f>'June2026-EXPENSE'!R64</f>
        <v/>
      </c>
      <c r="P61" s="20" t="n"/>
      <c r="Q61" s="41">
        <f>N61-(O61+P61)</f>
        <v/>
      </c>
      <c r="R61" s="41">
        <f>'July2026-COLLECTION'!K60</f>
        <v/>
      </c>
      <c r="S61" s="41">
        <f>'July2026-EXPENSE'!R64</f>
        <v/>
      </c>
      <c r="T61" s="21" t="n"/>
      <c r="U61" s="41">
        <f>R61-(S61+T61)</f>
        <v/>
      </c>
      <c r="V61" s="41">
        <f>'Aug2026-COLLECTION'!K60</f>
        <v/>
      </c>
      <c r="W61" s="41">
        <f>'Aug2026-EXPENSE'!R64</f>
        <v/>
      </c>
      <c r="X61" s="20" t="n"/>
      <c r="Y61" s="41">
        <f>V61-(W61+X61)</f>
        <v/>
      </c>
      <c r="Z61" s="41">
        <f>'Sep2026-COLLECTION'!K60</f>
        <v/>
      </c>
      <c r="AA61" s="41">
        <f>'Sep2026-EXPENSE'!R64</f>
        <v/>
      </c>
      <c r="AB61" s="21" t="n"/>
      <c r="AC61" s="41">
        <f>Z61-(AA61+AB61)</f>
        <v/>
      </c>
      <c r="AD61" s="41">
        <f>'Oct2026-COLLECTION'!K60</f>
        <v/>
      </c>
      <c r="AE61" s="41">
        <f>'Oct2026-EXPENSE'!R64</f>
        <v/>
      </c>
      <c r="AF61" s="21" t="n"/>
      <c r="AG61" s="41">
        <f>AD61-(AE61+AF61)</f>
        <v/>
      </c>
      <c r="AH61" s="41">
        <f>'Nov2026-COLLECTION'!K60</f>
        <v/>
      </c>
      <c r="AI61" s="41">
        <f>'Nov2026-EXPENSE'!R64</f>
        <v/>
      </c>
      <c r="AJ61" s="21" t="n"/>
      <c r="AK61" s="41">
        <f>AH61-(AI61+AJ61)</f>
        <v/>
      </c>
      <c r="AL61" s="41">
        <f>'Dec2026-COLLECTION'!K60</f>
        <v/>
      </c>
      <c r="AM61" s="41">
        <f>'Dec2026-EXPENSE'!R64</f>
        <v/>
      </c>
      <c r="AN61" s="21" t="n"/>
      <c r="AO61" s="41">
        <f>AL61-(AM61+AN61)</f>
        <v/>
      </c>
      <c r="AP61" s="41">
        <f>'Jan2027-COLLECTION'!K60</f>
        <v/>
      </c>
      <c r="AQ61" s="41">
        <f>'Jan2027-EXPENSE'!R64</f>
        <v/>
      </c>
      <c r="AR61" s="2" t="n"/>
      <c r="AS61" s="41">
        <f>AP61-(AQ61+AR61)</f>
        <v/>
      </c>
      <c r="AT61" s="41">
        <f>'Feb2027-COLLECTION'!K60</f>
        <v/>
      </c>
      <c r="AU61" s="41">
        <f>'Feb2027-EXPENSE'!R64</f>
        <v/>
      </c>
      <c r="AV61" s="2" t="n"/>
      <c r="AW61" s="41">
        <f>AT61-(AU61+AV61)</f>
        <v/>
      </c>
      <c r="AX61" s="41">
        <f>'Mar2027-COLLECTION'!K60</f>
        <v/>
      </c>
      <c r="AY61" s="41">
        <f>'Mar2027-EXPENSE'!R64</f>
        <v/>
      </c>
      <c r="AZ61" s="2" t="n"/>
      <c r="BA61" s="41">
        <f>AX61-(AY61+AZ61)</f>
        <v/>
      </c>
      <c r="BB61" s="41">
        <f>SUM(F61,J61,N61,R61,V61,Z61,AD61,AH61,AL61,AP61,AT61,AX61)</f>
        <v/>
      </c>
      <c r="BC61" s="41">
        <f>SUM(G61,K61,O61,S61,W61,AA61,AE61,AI61,AM61,AQ61,AU61,AY61)</f>
        <v/>
      </c>
      <c r="BD61" s="41">
        <f>SUM(H61,L61,P61,T61,X61,AB61,AF61,AJ61,AN61,AR61,AV61,AZ61)</f>
        <v/>
      </c>
      <c r="BE61" s="41">
        <f>BB61-(BC61+BD61)</f>
        <v/>
      </c>
      <c r="BF61" s="41">
        <f>E61+BE61</f>
        <v/>
      </c>
      <c r="BG61" s="41" t="n">
        <v>0</v>
      </c>
    </row>
    <row r="62" ht="15.75" customHeight="1">
      <c r="A62" s="36" t="inlineStr">
        <is>
          <t>T12</t>
        </is>
      </c>
      <c r="B62" s="42" t="n"/>
      <c r="C62" s="42" t="inlineStr">
        <is>
          <t>Prasenjit</t>
        </is>
      </c>
      <c r="D62" s="43" t="n">
        <v>0</v>
      </c>
      <c r="E62" s="43" t="n">
        <v>0</v>
      </c>
      <c r="F62" s="43">
        <f>'Apr2026-COLLECTION'!K61</f>
        <v/>
      </c>
      <c r="G62" s="43">
        <f>'Apr2026-EXPENSE'!R65</f>
        <v/>
      </c>
      <c r="H62" s="20" t="n"/>
      <c r="I62" s="43">
        <f>F62-(G62+H62)</f>
        <v/>
      </c>
      <c r="J62" s="43">
        <f>'May2026-COLLECTION'!K61</f>
        <v/>
      </c>
      <c r="K62" s="43">
        <f>'May2026-EXPENSE'!R65</f>
        <v/>
      </c>
      <c r="L62" s="43" t="n">
        <v>0</v>
      </c>
      <c r="M62" s="43">
        <f>J62-(K62+L62)</f>
        <v/>
      </c>
      <c r="N62" s="43">
        <f>'June2026-COLLECTION'!K61</f>
        <v/>
      </c>
      <c r="O62" s="43">
        <f>'June2026-EXPENSE'!R65</f>
        <v/>
      </c>
      <c r="P62" s="20" t="n"/>
      <c r="Q62" s="43">
        <f>N62-(O62+P62)</f>
        <v/>
      </c>
      <c r="R62" s="43">
        <f>'July2026-COLLECTION'!K61</f>
        <v/>
      </c>
      <c r="S62" s="43">
        <f>'July2026-EXPENSE'!R65</f>
        <v/>
      </c>
      <c r="T62" s="21" t="n"/>
      <c r="U62" s="43">
        <f>R62-(S62+T62)</f>
        <v/>
      </c>
      <c r="V62" s="43">
        <f>'Aug2026-COLLECTION'!K61</f>
        <v/>
      </c>
      <c r="W62" s="43">
        <f>'Aug2026-EXPENSE'!R65</f>
        <v/>
      </c>
      <c r="X62" s="20" t="n"/>
      <c r="Y62" s="43">
        <f>V62-(W62+X62)</f>
        <v/>
      </c>
      <c r="Z62" s="43">
        <f>'Sep2026-COLLECTION'!K61</f>
        <v/>
      </c>
      <c r="AA62" s="43">
        <f>'Sep2026-EXPENSE'!R65</f>
        <v/>
      </c>
      <c r="AB62" s="21" t="n"/>
      <c r="AC62" s="43">
        <f>Z62-(AA62+AB62)</f>
        <v/>
      </c>
      <c r="AD62" s="43">
        <f>'Oct2026-COLLECTION'!K61</f>
        <v/>
      </c>
      <c r="AE62" s="43">
        <f>'Oct2026-EXPENSE'!R65</f>
        <v/>
      </c>
      <c r="AF62" s="21" t="n"/>
      <c r="AG62" s="43">
        <f>AD62-(AE62+AF62)</f>
        <v/>
      </c>
      <c r="AH62" s="43">
        <f>'Nov2026-COLLECTION'!K61</f>
        <v/>
      </c>
      <c r="AI62" s="43">
        <f>'Nov2026-EXPENSE'!R65</f>
        <v/>
      </c>
      <c r="AJ62" s="21" t="n"/>
      <c r="AK62" s="43">
        <f>AH62-(AI62+AJ62)</f>
        <v/>
      </c>
      <c r="AL62" s="43">
        <f>'Dec2026-COLLECTION'!K61</f>
        <v/>
      </c>
      <c r="AM62" s="43">
        <f>'Dec2026-EXPENSE'!R65</f>
        <v/>
      </c>
      <c r="AN62" s="21" t="n"/>
      <c r="AO62" s="43">
        <f>AL62-(AM62+AN62)</f>
        <v/>
      </c>
      <c r="AP62" s="43">
        <f>'Jan2027-COLLECTION'!K61</f>
        <v/>
      </c>
      <c r="AQ62" s="43">
        <f>'Jan2027-EXPENSE'!R65</f>
        <v/>
      </c>
      <c r="AR62" s="2" t="n"/>
      <c r="AS62" s="43">
        <f>AP62-(AQ62+AR62)</f>
        <v/>
      </c>
      <c r="AT62" s="43">
        <f>'Feb2027-COLLECTION'!K61</f>
        <v/>
      </c>
      <c r="AU62" s="43">
        <f>'Feb2027-EXPENSE'!R65</f>
        <v/>
      </c>
      <c r="AV62" s="2" t="n"/>
      <c r="AW62" s="43">
        <f>AT62-(AU62+AV62)</f>
        <v/>
      </c>
      <c r="AX62" s="43">
        <f>'Mar2027-COLLECTION'!K61</f>
        <v/>
      </c>
      <c r="AY62" s="43">
        <f>'Mar2027-EXPENSE'!R65</f>
        <v/>
      </c>
      <c r="AZ62" s="2" t="n"/>
      <c r="BA62" s="43">
        <f>AX62-(AY62+AZ62)</f>
        <v/>
      </c>
      <c r="BB62" s="43">
        <f>SUM(F62,J62,N62,R62,V62,Z62,AD62,AH62,AL62,AP62,AT62,AX62)</f>
        <v/>
      </c>
      <c r="BC62" s="43">
        <f>SUM(G62,K62,O62,S62,W62,AA62,AE62,AI62,AM62,AQ62,AU62,AY62)</f>
        <v/>
      </c>
      <c r="BD62" s="43">
        <f>SUM(H62,L62,P62,T62,X62,AB62,AF62,AJ62,AN62,AR62,AV62,AZ62)</f>
        <v/>
      </c>
      <c r="BE62" s="43">
        <f>BB62-(BC62+BD62)</f>
        <v/>
      </c>
      <c r="BF62" s="43">
        <f>E62+BE62</f>
        <v/>
      </c>
      <c r="BG62" s="43" t="n">
        <v>0</v>
      </c>
    </row>
    <row r="63" ht="15.75" customHeight="1">
      <c r="A63" s="37" t="inlineStr">
        <is>
          <t>T13</t>
        </is>
      </c>
      <c r="B63" s="40" t="n"/>
      <c r="C63" s="40" t="inlineStr">
        <is>
          <t>Rahul Kumar</t>
        </is>
      </c>
      <c r="D63" s="41" t="n">
        <v>0</v>
      </c>
      <c r="E63" s="41" t="n">
        <v>0</v>
      </c>
      <c r="F63" s="41">
        <f>'Apr2026-COLLECTION'!K62</f>
        <v/>
      </c>
      <c r="G63" s="41">
        <f>'Apr2026-EXPENSE'!R66</f>
        <v/>
      </c>
      <c r="H63" s="20" t="n"/>
      <c r="I63" s="41">
        <f>F63-(G63+H63)</f>
        <v/>
      </c>
      <c r="J63" s="41">
        <f>'May2026-COLLECTION'!K62</f>
        <v/>
      </c>
      <c r="K63" s="41">
        <f>'May2026-EXPENSE'!R66</f>
        <v/>
      </c>
      <c r="L63" s="41" t="n">
        <v>0</v>
      </c>
      <c r="M63" s="41">
        <f>J63-(K63+L63)</f>
        <v/>
      </c>
      <c r="N63" s="41">
        <f>'June2026-COLLECTION'!K62</f>
        <v/>
      </c>
      <c r="O63" s="41">
        <f>'June2026-EXPENSE'!R66</f>
        <v/>
      </c>
      <c r="P63" s="20" t="n"/>
      <c r="Q63" s="41">
        <f>N63-(O63+P63)</f>
        <v/>
      </c>
      <c r="R63" s="41">
        <f>'July2026-COLLECTION'!K62</f>
        <v/>
      </c>
      <c r="S63" s="41">
        <f>'July2026-EXPENSE'!R66</f>
        <v/>
      </c>
      <c r="T63" s="21" t="n"/>
      <c r="U63" s="41">
        <f>R63-(S63+T63)</f>
        <v/>
      </c>
      <c r="V63" s="41">
        <f>'Aug2026-COLLECTION'!K62</f>
        <v/>
      </c>
      <c r="W63" s="41">
        <f>'Aug2026-EXPENSE'!R66</f>
        <v/>
      </c>
      <c r="X63" s="20" t="n"/>
      <c r="Y63" s="41">
        <f>V63-(W63+X63)</f>
        <v/>
      </c>
      <c r="Z63" s="41">
        <f>'Sep2026-COLLECTION'!K62</f>
        <v/>
      </c>
      <c r="AA63" s="41">
        <f>'Sep2026-EXPENSE'!R66</f>
        <v/>
      </c>
      <c r="AB63" s="21" t="n"/>
      <c r="AC63" s="41">
        <f>Z63-(AA63+AB63)</f>
        <v/>
      </c>
      <c r="AD63" s="41">
        <f>'Oct2026-COLLECTION'!K62</f>
        <v/>
      </c>
      <c r="AE63" s="41">
        <f>'Oct2026-EXPENSE'!R66</f>
        <v/>
      </c>
      <c r="AF63" s="21" t="n"/>
      <c r="AG63" s="41">
        <f>AD63-(AE63+AF63)</f>
        <v/>
      </c>
      <c r="AH63" s="41">
        <f>'Nov2026-COLLECTION'!K62</f>
        <v/>
      </c>
      <c r="AI63" s="41">
        <f>'Nov2026-EXPENSE'!R66</f>
        <v/>
      </c>
      <c r="AJ63" s="21" t="n"/>
      <c r="AK63" s="41">
        <f>AH63-(AI63+AJ63)</f>
        <v/>
      </c>
      <c r="AL63" s="41">
        <f>'Dec2026-COLLECTION'!K62</f>
        <v/>
      </c>
      <c r="AM63" s="41">
        <f>'Dec2026-EXPENSE'!R66</f>
        <v/>
      </c>
      <c r="AN63" s="21" t="n"/>
      <c r="AO63" s="41">
        <f>AL63-(AM63+AN63)</f>
        <v/>
      </c>
      <c r="AP63" s="41">
        <f>'Jan2027-COLLECTION'!K62</f>
        <v/>
      </c>
      <c r="AQ63" s="41">
        <f>'Jan2027-EXPENSE'!R66</f>
        <v/>
      </c>
      <c r="AR63" s="2" t="n"/>
      <c r="AS63" s="41">
        <f>AP63-(AQ63+AR63)</f>
        <v/>
      </c>
      <c r="AT63" s="41">
        <f>'Feb2027-COLLECTION'!K62</f>
        <v/>
      </c>
      <c r="AU63" s="41">
        <f>'Feb2027-EXPENSE'!R66</f>
        <v/>
      </c>
      <c r="AV63" s="2" t="n"/>
      <c r="AW63" s="41">
        <f>AT63-(AU63+AV63)</f>
        <v/>
      </c>
      <c r="AX63" s="41">
        <f>'Mar2027-COLLECTION'!K62</f>
        <v/>
      </c>
      <c r="AY63" s="41">
        <f>'Mar2027-EXPENSE'!R66</f>
        <v/>
      </c>
      <c r="AZ63" s="2" t="n"/>
      <c r="BA63" s="41">
        <f>AX63-(AY63+AZ63)</f>
        <v/>
      </c>
      <c r="BB63" s="41">
        <f>SUM(F63,J63,N63,R63,V63,Z63,AD63,AH63,AL63,AP63,AT63,AX63)</f>
        <v/>
      </c>
      <c r="BC63" s="41">
        <f>SUM(G63,K63,O63,S63,W63,AA63,AE63,AI63,AM63,AQ63,AU63,AY63)</f>
        <v/>
      </c>
      <c r="BD63" s="41">
        <f>SUM(H63,L63,P63,T63,X63,AB63,AF63,AJ63,AN63,AR63,AV63,AZ63)</f>
        <v/>
      </c>
      <c r="BE63" s="41">
        <f>BB63-(BC63+BD63)</f>
        <v/>
      </c>
      <c r="BF63" s="41">
        <f>E63+BE63</f>
        <v/>
      </c>
      <c r="BG63" s="41" t="n">
        <v>0</v>
      </c>
    </row>
    <row r="64" ht="15.75" customHeight="1">
      <c r="A64" s="36" t="inlineStr">
        <is>
          <t>T14</t>
        </is>
      </c>
      <c r="B64" s="42" t="n"/>
      <c r="C64" s="42" t="inlineStr">
        <is>
          <t>Jeya / Kanda / Satya (tenant)/Vinuta (tenant)</t>
        </is>
      </c>
      <c r="D64" s="43" t="n">
        <v>0</v>
      </c>
      <c r="E64" s="43" t="n">
        <v>0</v>
      </c>
      <c r="F64" s="43">
        <f>'Apr2026-COLLECTION'!K63</f>
        <v/>
      </c>
      <c r="G64" s="43">
        <f>'Apr2026-EXPENSE'!R67</f>
        <v/>
      </c>
      <c r="H64" s="20" t="n"/>
      <c r="I64" s="43">
        <f>F64-(G64+H64)</f>
        <v/>
      </c>
      <c r="J64" s="43">
        <f>'May2026-COLLECTION'!K63</f>
        <v/>
      </c>
      <c r="K64" s="43">
        <f>'May2026-EXPENSE'!R67</f>
        <v/>
      </c>
      <c r="L64" s="21" t="n"/>
      <c r="M64" s="43">
        <f>J64-(K64+L64)</f>
        <v/>
      </c>
      <c r="N64" s="43">
        <f>'June2026-COLLECTION'!K63</f>
        <v/>
      </c>
      <c r="O64" s="43">
        <f>'June2026-EXPENSE'!R67</f>
        <v/>
      </c>
      <c r="P64" s="20" t="n"/>
      <c r="Q64" s="43">
        <f>N64-(O64+P64)</f>
        <v/>
      </c>
      <c r="R64" s="43">
        <f>'July2026-COLLECTION'!K63</f>
        <v/>
      </c>
      <c r="S64" s="43">
        <f>'July2026-EXPENSE'!R67</f>
        <v/>
      </c>
      <c r="T64" s="21" t="n"/>
      <c r="U64" s="43">
        <f>R64-(S64+T64)</f>
        <v/>
      </c>
      <c r="V64" s="43">
        <f>'Aug2026-COLLECTION'!K63</f>
        <v/>
      </c>
      <c r="W64" s="43">
        <f>'Aug2026-EXPENSE'!R67</f>
        <v/>
      </c>
      <c r="X64" s="20" t="n"/>
      <c r="Y64" s="43">
        <f>V64-(W64+X64)</f>
        <v/>
      </c>
      <c r="Z64" s="43">
        <f>'Sep2026-COLLECTION'!K63</f>
        <v/>
      </c>
      <c r="AA64" s="43">
        <f>'Sep2026-EXPENSE'!R67</f>
        <v/>
      </c>
      <c r="AB64" s="21" t="n"/>
      <c r="AC64" s="43">
        <f>Z64-(AA64+AB64)</f>
        <v/>
      </c>
      <c r="AD64" s="43">
        <f>'Oct2026-COLLECTION'!K63</f>
        <v/>
      </c>
      <c r="AE64" s="43">
        <f>'Oct2026-EXPENSE'!R67</f>
        <v/>
      </c>
      <c r="AF64" s="21" t="n"/>
      <c r="AG64" s="43">
        <f>AD64-(AE64+AF64)</f>
        <v/>
      </c>
      <c r="AH64" s="43">
        <f>'Nov2026-COLLECTION'!K63</f>
        <v/>
      </c>
      <c r="AI64" s="43">
        <f>'Nov2026-EXPENSE'!R67</f>
        <v/>
      </c>
      <c r="AJ64" s="21" t="n"/>
      <c r="AK64" s="43">
        <f>AH64-(AI64+AJ64)</f>
        <v/>
      </c>
      <c r="AL64" s="43">
        <f>'Dec2026-COLLECTION'!K63</f>
        <v/>
      </c>
      <c r="AM64" s="43">
        <f>'Dec2026-EXPENSE'!R67</f>
        <v/>
      </c>
      <c r="AN64" s="21" t="n"/>
      <c r="AO64" s="43">
        <f>AL64-(AM64+AN64)</f>
        <v/>
      </c>
      <c r="AP64" s="43">
        <f>'Jan2027-COLLECTION'!K63</f>
        <v/>
      </c>
      <c r="AQ64" s="43">
        <f>'Jan2027-EXPENSE'!R67</f>
        <v/>
      </c>
      <c r="AR64" s="2" t="n"/>
      <c r="AS64" s="43">
        <f>AP64-(AQ64+AR64)</f>
        <v/>
      </c>
      <c r="AT64" s="43">
        <f>'Feb2027-COLLECTION'!K63</f>
        <v/>
      </c>
      <c r="AU64" s="43">
        <f>'Feb2027-EXPENSE'!R67</f>
        <v/>
      </c>
      <c r="AV64" s="2" t="n"/>
      <c r="AW64" s="43">
        <f>AT64-(AU64+AV64)</f>
        <v/>
      </c>
      <c r="AX64" s="43">
        <f>'Mar2027-COLLECTION'!K63</f>
        <v/>
      </c>
      <c r="AY64" s="43">
        <f>'Mar2027-EXPENSE'!R67</f>
        <v/>
      </c>
      <c r="AZ64" s="2" t="n"/>
      <c r="BA64" s="43">
        <f>AX64-(AY64+AZ64)</f>
        <v/>
      </c>
      <c r="BB64" s="43">
        <f>SUM(F64,J64,N64,R64,V64,Z64,AD64,AH64,AL64,AP64,AT64,AX64)</f>
        <v/>
      </c>
      <c r="BC64" s="43">
        <f>SUM(G64,K64,O64,S64,W64,AA64,AE64,AI64,AM64,AQ64,AU64,AY64)</f>
        <v/>
      </c>
      <c r="BD64" s="43">
        <f>SUM(H64,L64,P64,T64,X64,AB64,AF64,AJ64,AN64,AR64,AV64,AZ64)</f>
        <v/>
      </c>
      <c r="BE64" s="43">
        <f>BB64-(BC64+BD64)</f>
        <v/>
      </c>
      <c r="BF64" s="43">
        <f>E64+BE64</f>
        <v/>
      </c>
      <c r="BG64" s="43" t="n">
        <v>0</v>
      </c>
    </row>
    <row r="65" ht="15.75" customHeight="1">
      <c r="A65" s="37" t="inlineStr">
        <is>
          <t>T15</t>
        </is>
      </c>
      <c r="B65" s="40" t="n"/>
      <c r="C65" s="40" t="inlineStr">
        <is>
          <t>Trevor</t>
        </is>
      </c>
      <c r="D65" s="41" t="n">
        <v>0</v>
      </c>
      <c r="E65" s="41" t="n">
        <v>0</v>
      </c>
      <c r="F65" s="41">
        <f>'Apr2026-COLLECTION'!K64</f>
        <v/>
      </c>
      <c r="G65" s="41">
        <f>'Apr2026-EXPENSE'!R68</f>
        <v/>
      </c>
      <c r="H65" s="20" t="n"/>
      <c r="I65" s="41">
        <f>F65-(G65+H65)</f>
        <v/>
      </c>
      <c r="J65" s="41">
        <f>'May2026-COLLECTION'!K64</f>
        <v/>
      </c>
      <c r="K65" s="41">
        <f>'May2026-EXPENSE'!R68</f>
        <v/>
      </c>
      <c r="L65" s="21" t="n"/>
      <c r="M65" s="41">
        <f>J65-(K65+L65)</f>
        <v/>
      </c>
      <c r="N65" s="41">
        <f>'June2026-COLLECTION'!K64</f>
        <v/>
      </c>
      <c r="O65" s="41">
        <f>'June2026-EXPENSE'!R68</f>
        <v/>
      </c>
      <c r="P65" s="20" t="n"/>
      <c r="Q65" s="41">
        <f>N65-(O65+P65)</f>
        <v/>
      </c>
      <c r="R65" s="41">
        <f>'July2026-COLLECTION'!K64</f>
        <v/>
      </c>
      <c r="S65" s="41">
        <f>'July2026-EXPENSE'!R68</f>
        <v/>
      </c>
      <c r="T65" s="21" t="n"/>
      <c r="U65" s="41">
        <f>R65-(S65+T65)</f>
        <v/>
      </c>
      <c r="V65" s="41">
        <f>'Aug2026-COLLECTION'!K64</f>
        <v/>
      </c>
      <c r="W65" s="41">
        <f>'Aug2026-EXPENSE'!R68</f>
        <v/>
      </c>
      <c r="X65" s="20" t="n"/>
      <c r="Y65" s="41">
        <f>V65-(W65+X65)</f>
        <v/>
      </c>
      <c r="Z65" s="41">
        <f>'Sep2026-COLLECTION'!K64</f>
        <v/>
      </c>
      <c r="AA65" s="41">
        <f>'Sep2026-EXPENSE'!R68</f>
        <v/>
      </c>
      <c r="AB65" s="21" t="n"/>
      <c r="AC65" s="41">
        <f>Z65-(AA65+AB65)</f>
        <v/>
      </c>
      <c r="AD65" s="41">
        <f>'Oct2026-COLLECTION'!K64</f>
        <v/>
      </c>
      <c r="AE65" s="41">
        <f>'Oct2026-EXPENSE'!R68</f>
        <v/>
      </c>
      <c r="AF65" s="21" t="n"/>
      <c r="AG65" s="41">
        <f>AD65-(AE65+AF65)</f>
        <v/>
      </c>
      <c r="AH65" s="41">
        <f>'Nov2026-COLLECTION'!K64</f>
        <v/>
      </c>
      <c r="AI65" s="41">
        <f>'Nov2026-EXPENSE'!R68</f>
        <v/>
      </c>
      <c r="AJ65" s="21" t="n"/>
      <c r="AK65" s="41">
        <f>AH65-(AI65+AJ65)</f>
        <v/>
      </c>
      <c r="AL65" s="41">
        <f>'Dec2026-COLLECTION'!K64</f>
        <v/>
      </c>
      <c r="AM65" s="41">
        <f>'Dec2026-EXPENSE'!R68</f>
        <v/>
      </c>
      <c r="AN65" s="21" t="n"/>
      <c r="AO65" s="41">
        <f>AL65-(AM65+AN65)</f>
        <v/>
      </c>
      <c r="AP65" s="41">
        <f>'Jan2027-COLLECTION'!K64</f>
        <v/>
      </c>
      <c r="AQ65" s="41">
        <f>'Jan2027-EXPENSE'!R68</f>
        <v/>
      </c>
      <c r="AR65" s="2" t="n"/>
      <c r="AS65" s="41">
        <f>AP65-(AQ65+AR65)</f>
        <v/>
      </c>
      <c r="AT65" s="41">
        <f>'Feb2027-COLLECTION'!K64</f>
        <v/>
      </c>
      <c r="AU65" s="41">
        <f>'Feb2027-EXPENSE'!R68</f>
        <v/>
      </c>
      <c r="AV65" s="2" t="n"/>
      <c r="AW65" s="41">
        <f>AT65-(AU65+AV65)</f>
        <v/>
      </c>
      <c r="AX65" s="41">
        <f>'Mar2027-COLLECTION'!K64</f>
        <v/>
      </c>
      <c r="AY65" s="41">
        <f>'Mar2027-EXPENSE'!R68</f>
        <v/>
      </c>
      <c r="AZ65" s="2" t="n"/>
      <c r="BA65" s="41">
        <f>AX65-(AY65+AZ65)</f>
        <v/>
      </c>
      <c r="BB65" s="41">
        <f>SUM(F65,J65,N65,R65,V65,Z65,AD65,AH65,AL65,AP65,AT65,AX65)</f>
        <v/>
      </c>
      <c r="BC65" s="41">
        <f>SUM(G65,K65,O65,S65,W65,AA65,AE65,AI65,AM65,AQ65,AU65,AY65)</f>
        <v/>
      </c>
      <c r="BD65" s="41">
        <f>SUM(H65,L65,P65,T65,X65,AB65,AF65,AJ65,AN65,AR65,AV65,AZ65)</f>
        <v/>
      </c>
      <c r="BE65" s="41">
        <f>BB65-(BC65+BD65)</f>
        <v/>
      </c>
      <c r="BF65" s="41">
        <f>E65+BE65</f>
        <v/>
      </c>
      <c r="BG65" s="41" t="n">
        <v>0</v>
      </c>
    </row>
    <row r="66" ht="15.75" customHeight="1">
      <c r="A66" s="36" t="inlineStr">
        <is>
          <t>T16</t>
        </is>
      </c>
      <c r="B66" s="42" t="n"/>
      <c r="C66" s="42" t="inlineStr">
        <is>
          <t>Madhusoodanan P.R.</t>
        </is>
      </c>
      <c r="D66" s="43" t="n">
        <v>0</v>
      </c>
      <c r="E66" s="43" t="n">
        <v>0</v>
      </c>
      <c r="F66" s="43">
        <f>'Apr2026-COLLECTION'!K65</f>
        <v/>
      </c>
      <c r="G66" s="43">
        <f>'Apr2026-EXPENSE'!R69</f>
        <v/>
      </c>
      <c r="H66" s="20" t="n"/>
      <c r="I66" s="43">
        <f>F66-(G66+H66)</f>
        <v/>
      </c>
      <c r="J66" s="43">
        <f>'May2026-COLLECTION'!K65</f>
        <v/>
      </c>
      <c r="K66" s="43">
        <f>'May2026-EXPENSE'!R69</f>
        <v/>
      </c>
      <c r="L66" s="21" t="n"/>
      <c r="M66" s="43">
        <f>J66-(K66+L66)</f>
        <v/>
      </c>
      <c r="N66" s="43">
        <f>'June2026-COLLECTION'!K65</f>
        <v/>
      </c>
      <c r="O66" s="43">
        <f>'June2026-EXPENSE'!R69</f>
        <v/>
      </c>
      <c r="P66" s="20" t="n"/>
      <c r="Q66" s="43">
        <f>N66-(O66+P66)</f>
        <v/>
      </c>
      <c r="R66" s="43">
        <f>'July2026-COLLECTION'!K65</f>
        <v/>
      </c>
      <c r="S66" s="43">
        <f>'July2026-EXPENSE'!R69</f>
        <v/>
      </c>
      <c r="T66" s="21" t="n"/>
      <c r="U66" s="43">
        <f>R66-(S66+T66)</f>
        <v/>
      </c>
      <c r="V66" s="43">
        <f>'Aug2026-COLLECTION'!K65</f>
        <v/>
      </c>
      <c r="W66" s="43">
        <f>'Aug2026-EXPENSE'!R69</f>
        <v/>
      </c>
      <c r="X66" s="20" t="n"/>
      <c r="Y66" s="43">
        <f>V66-(W66+X66)</f>
        <v/>
      </c>
      <c r="Z66" s="43">
        <f>'Sep2026-COLLECTION'!K65</f>
        <v/>
      </c>
      <c r="AA66" s="43">
        <f>'Sep2026-EXPENSE'!R69</f>
        <v/>
      </c>
      <c r="AB66" s="21" t="n"/>
      <c r="AC66" s="43">
        <f>Z66-(AA66+AB66)</f>
        <v/>
      </c>
      <c r="AD66" s="43">
        <f>'Oct2026-COLLECTION'!K65</f>
        <v/>
      </c>
      <c r="AE66" s="43">
        <f>'Oct2026-EXPENSE'!R69</f>
        <v/>
      </c>
      <c r="AF66" s="21" t="n"/>
      <c r="AG66" s="43">
        <f>AD66-(AE66+AF66)</f>
        <v/>
      </c>
      <c r="AH66" s="43">
        <f>'Nov2026-COLLECTION'!K65</f>
        <v/>
      </c>
      <c r="AI66" s="43">
        <f>'Nov2026-EXPENSE'!R69</f>
        <v/>
      </c>
      <c r="AJ66" s="21" t="n"/>
      <c r="AK66" s="43">
        <f>AH66-(AI66+AJ66)</f>
        <v/>
      </c>
      <c r="AL66" s="43">
        <f>'Dec2026-COLLECTION'!K65</f>
        <v/>
      </c>
      <c r="AM66" s="43">
        <f>'Dec2026-EXPENSE'!R69</f>
        <v/>
      </c>
      <c r="AN66" s="21" t="n"/>
      <c r="AO66" s="43">
        <f>AL66-(AM66+AN66)</f>
        <v/>
      </c>
      <c r="AP66" s="43">
        <f>'Jan2027-COLLECTION'!K65</f>
        <v/>
      </c>
      <c r="AQ66" s="43">
        <f>'Jan2027-EXPENSE'!R69</f>
        <v/>
      </c>
      <c r="AR66" s="2" t="n"/>
      <c r="AS66" s="43">
        <f>AP66-(AQ66+AR66)</f>
        <v/>
      </c>
      <c r="AT66" s="43">
        <f>'Feb2027-COLLECTION'!K65</f>
        <v/>
      </c>
      <c r="AU66" s="43">
        <f>'Feb2027-EXPENSE'!R69</f>
        <v/>
      </c>
      <c r="AV66" s="2" t="n"/>
      <c r="AW66" s="43">
        <f>AT66-(AU66+AV66)</f>
        <v/>
      </c>
      <c r="AX66" s="43">
        <f>'Mar2027-COLLECTION'!K65</f>
        <v/>
      </c>
      <c r="AY66" s="43">
        <f>'Mar2027-EXPENSE'!R69</f>
        <v/>
      </c>
      <c r="AZ66" s="2" t="n"/>
      <c r="BA66" s="43">
        <f>AX66-(AY66+AZ66)</f>
        <v/>
      </c>
      <c r="BB66" s="43">
        <f>SUM(F66,J66,N66,R66,V66,Z66,AD66,AH66,AL66,AP66,AT66,AX66)</f>
        <v/>
      </c>
      <c r="BC66" s="43">
        <f>SUM(G66,K66,O66,S66,W66,AA66,AE66,AI66,AM66,AQ66,AU66,AY66)</f>
        <v/>
      </c>
      <c r="BD66" s="43">
        <f>SUM(H66,L66,P66,T66,X66,AB66,AF66,AJ66,AN66,AR66,AV66,AZ66)</f>
        <v/>
      </c>
      <c r="BE66" s="43">
        <f>BB66-(BC66+BD66)</f>
        <v/>
      </c>
      <c r="BF66" s="43">
        <f>E66+BE66</f>
        <v/>
      </c>
      <c r="BG66" s="43" t="n">
        <v>0</v>
      </c>
    </row>
    <row r="67" ht="15.75" customHeight="1">
      <c r="A67" s="19" t="n"/>
      <c r="B67" s="18" t="n"/>
      <c r="C67" s="18" t="inlineStr">
        <is>
          <t>TOTAL</t>
        </is>
      </c>
      <c r="D67" s="22">
        <f>SUM(D3:D66)</f>
        <v/>
      </c>
      <c r="E67" s="13">
        <f>SUM(E3:E66)</f>
        <v/>
      </c>
      <c r="F67" s="23">
        <f>SUM(F3:F66)</f>
        <v/>
      </c>
      <c r="G67" s="21">
        <f>SUM(G3:G66)</f>
        <v/>
      </c>
      <c r="H67" s="21">
        <f>SUM(H3:H66)</f>
        <v/>
      </c>
      <c r="I67" s="21">
        <f>SUM(I3:I66)</f>
        <v/>
      </c>
      <c r="J67" s="21">
        <f>SUM(J3:J66)</f>
        <v/>
      </c>
      <c r="K67" s="21">
        <f>SUM(K3:K66)</f>
        <v/>
      </c>
      <c r="L67" s="21">
        <f>SUM(L3:L66)</f>
        <v/>
      </c>
      <c r="M67" s="21">
        <f>SUM(M3:M66)</f>
        <v/>
      </c>
      <c r="N67" s="21">
        <f>SUM(N3:N66)</f>
        <v/>
      </c>
      <c r="O67" s="21">
        <f>SUM(O3:O66)</f>
        <v/>
      </c>
      <c r="P67" s="21">
        <f>SUM(P3:P66)</f>
        <v/>
      </c>
      <c r="Q67" s="21">
        <f>SUM(Q3:Q66)</f>
        <v/>
      </c>
      <c r="R67" s="21">
        <f>SUM(R3:R66)</f>
        <v/>
      </c>
      <c r="S67" s="21">
        <f>SUM(S3:S66)</f>
        <v/>
      </c>
      <c r="T67" s="21">
        <f>SUM(T3:T66)</f>
        <v/>
      </c>
      <c r="U67" s="21">
        <f>SUM(U3:U66)</f>
        <v/>
      </c>
      <c r="V67" s="21">
        <f>SUM(V3:V66)</f>
        <v/>
      </c>
      <c r="W67" s="21">
        <f>SUM(W3:W66)</f>
        <v/>
      </c>
      <c r="X67" s="21">
        <f>SUM(X3:X66)</f>
        <v/>
      </c>
      <c r="Y67" s="21">
        <f>SUM(Y3:Y66)</f>
        <v/>
      </c>
      <c r="Z67" s="21">
        <f>SUM(Z3:Z66)</f>
        <v/>
      </c>
      <c r="AA67" s="21">
        <f>SUM(AA3:AA66)</f>
        <v/>
      </c>
      <c r="AB67" s="21">
        <f>SUM(AB3:AB66)</f>
        <v/>
      </c>
      <c r="AC67" s="21">
        <f>SUM(AC3:AC66)</f>
        <v/>
      </c>
      <c r="AD67" s="21">
        <f>SUM(AD3:AD66)</f>
        <v/>
      </c>
      <c r="AE67" s="21">
        <f>SUM(AE3:AE66)</f>
        <v/>
      </c>
      <c r="AF67" s="21">
        <f>SUM(AF3:AF66)</f>
        <v/>
      </c>
      <c r="AG67" s="21">
        <f>SUM(AG3:AG66)</f>
        <v/>
      </c>
      <c r="AH67" s="21">
        <f>SUM(AH3:AH66)</f>
        <v/>
      </c>
      <c r="AI67" s="21">
        <f>SUM(AI3:AI66)</f>
        <v/>
      </c>
      <c r="AJ67" s="21">
        <f>SUM(AJ3:AJ66)</f>
        <v/>
      </c>
      <c r="AK67" s="21">
        <f>SUM(AK3:AK66)</f>
        <v/>
      </c>
      <c r="AL67" s="21">
        <f>SUM(AL3:AL66)</f>
        <v/>
      </c>
      <c r="AM67" s="21">
        <f>SUM(AM3:AM66)</f>
        <v/>
      </c>
      <c r="AN67" s="21">
        <f>SUM(AN3:AN66)</f>
        <v/>
      </c>
      <c r="AO67" s="21">
        <f>SUM(AO3:AO66)</f>
        <v/>
      </c>
      <c r="AP67" s="1">
        <f>SUM(AP3:AP66)</f>
        <v/>
      </c>
      <c r="AQ67" s="2">
        <f>SUM(AQ3:AQ66)</f>
        <v/>
      </c>
      <c r="AR67" s="2">
        <f>SUM(AR3:AR66)</f>
        <v/>
      </c>
      <c r="AS67" s="2">
        <f>SUM(AS3:AS66)</f>
        <v/>
      </c>
      <c r="AT67" s="1">
        <f>SUM(AT3:AT66)</f>
        <v/>
      </c>
      <c r="AU67" s="2">
        <f>SUM(AU3:AU66)</f>
        <v/>
      </c>
      <c r="AV67" s="2">
        <f>SUM(AV3:AV66)</f>
        <v/>
      </c>
      <c r="AW67" s="2">
        <f>SUM(AW3:AW66)</f>
        <v/>
      </c>
      <c r="AX67" s="1">
        <f>SUM(AX3:AX66)</f>
        <v/>
      </c>
      <c r="AY67" s="2">
        <f>SUM(AY3:AY66)</f>
        <v/>
      </c>
      <c r="AZ67" s="2">
        <f>SUM(AZ3:AZ66)</f>
        <v/>
      </c>
      <c r="BA67" s="2">
        <f>SUM(BA3:BA66)</f>
        <v/>
      </c>
      <c r="BB67" s="21">
        <f>SUM(BB3:BB66)</f>
        <v/>
      </c>
      <c r="BC67" s="21">
        <f>SUM(BC3:BC66)</f>
        <v/>
      </c>
      <c r="BD67" s="21">
        <f>SUM(BD3:BD66)</f>
        <v/>
      </c>
      <c r="BE67" s="21">
        <f>SUM(BE3:BE66)</f>
        <v/>
      </c>
      <c r="BF67" s="21">
        <f>E67+BE67</f>
        <v/>
      </c>
      <c r="BG67" s="14" t="n"/>
    </row>
  </sheetData>
  <autoFilter ref="A2:BF67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H2:I66 L2:M66 P2:Q66 T2:U66 X2:Y66 AB2:AC66 AF2:AG66 AJ2:AK66 AN2:AO66 AP2:AR2 AS2:AS66 AT2:AV2 AW2:AW66 AX2:AZ2 BA2:BA66">
    <cfRule type="cellIs" priority="1" operator="lessThan" dxfId="2">
      <formula>0</formula>
    </cfRule>
  </conditionalFormatting>
  <conditionalFormatting sqref="AF2:AG66 AJ2:AK66 AN2:AO66 AP2:AR2 AS2:AS66 AT2:AV2 AW2:AW66 AX2:AZ2 BA2:BA66 BD1:BG66">
    <cfRule type="cellIs" priority="2" operator="lessThan" dxfId="5">
      <formula>0</formula>
    </cfRule>
  </conditionalFormatting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J67"/>
  <sheetViews>
    <sheetView workbookViewId="0">
      <pane xSplit="3" ySplit="2" topLeftCell="D3" activePane="bottomRight" state="frozen"/>
      <selection pane="topRight" activeCell="A1" sqref="A1"/>
      <selection pane="bottomLeft" activeCell="A3" sqref="A3"/>
      <selection pane="bottomRight" activeCell="D3" sqref="D3"/>
    </sheetView>
  </sheetViews>
  <sheetFormatPr baseColWidth="8" defaultColWidth="14.42578125" defaultRowHeight="15" customHeight="1"/>
  <cols>
    <col width="12.42578125" customWidth="1" min="1" max="1"/>
    <col hidden="1" width="22.28515625" customWidth="1" min="2" max="2"/>
    <col width="26.85546875" customWidth="1" min="3" max="3"/>
    <col hidden="1" width="23.42578125" customWidth="1" min="4" max="4"/>
    <col width="23.42578125" customWidth="1" min="5" max="19"/>
    <col width="29" customWidth="1" min="20" max="21"/>
    <col width="23.42578125" customWidth="1" min="22" max="56"/>
    <col width="30.42578125" customWidth="1" min="57" max="62"/>
  </cols>
  <sheetData>
    <row r="1" ht="39" customHeight="1">
      <c r="A1" s="77" t="n"/>
      <c r="B1" s="77" t="n"/>
      <c r="C1" s="77" t="inlineStr">
        <is>
          <t>Tallied till 19 Sep'23</t>
        </is>
      </c>
      <c r="D1" s="78" t="inlineStr">
        <is>
          <t>COLLECTION CARRY OVER 
(Mar2013-Mar2022)</t>
        </is>
      </c>
      <c r="E1" s="101" t="inlineStr">
        <is>
          <t>2013-25 Pending Maintenance</t>
        </is>
      </c>
      <c r="F1" s="86" t="n">
        <v>46113</v>
      </c>
      <c r="G1" s="115" t="n"/>
      <c r="H1" s="115" t="n"/>
      <c r="I1" s="116" t="n"/>
      <c r="J1" s="85" t="n">
        <v>46143</v>
      </c>
      <c r="K1" s="115" t="n"/>
      <c r="L1" s="115" t="n"/>
      <c r="M1" s="116" t="n"/>
      <c r="N1" s="82" t="n">
        <v>46174</v>
      </c>
      <c r="O1" s="115" t="n"/>
      <c r="P1" s="115" t="n"/>
      <c r="Q1" s="116" t="n"/>
      <c r="R1" s="82" t="n">
        <v>46204</v>
      </c>
      <c r="S1" s="115" t="n"/>
      <c r="T1" s="115" t="n"/>
      <c r="U1" s="116" t="n"/>
      <c r="V1" s="82" t="n">
        <v>46235</v>
      </c>
      <c r="W1" s="115" t="n"/>
      <c r="X1" s="115" t="n"/>
      <c r="Y1" s="116" t="n"/>
      <c r="Z1" s="82" t="n">
        <v>46266</v>
      </c>
      <c r="AA1" s="115" t="n"/>
      <c r="AB1" s="115" t="n"/>
      <c r="AC1" s="116" t="n"/>
      <c r="AD1" s="82" t="n">
        <v>46296</v>
      </c>
      <c r="AE1" s="115" t="n"/>
      <c r="AF1" s="115" t="n"/>
      <c r="AG1" s="116" t="n"/>
      <c r="AH1" s="82" t="n">
        <v>46327</v>
      </c>
      <c r="AI1" s="115" t="n"/>
      <c r="AJ1" s="115" t="n"/>
      <c r="AK1" s="116" t="n"/>
      <c r="AL1" s="82" t="n">
        <v>46357</v>
      </c>
      <c r="AM1" s="115" t="n"/>
      <c r="AN1" s="115" t="n"/>
      <c r="AO1" s="116" t="n"/>
      <c r="AP1" s="82" t="n">
        <v>46388</v>
      </c>
      <c r="AQ1" s="115" t="n"/>
      <c r="AR1" s="115" t="n"/>
      <c r="AS1" s="116" t="n"/>
      <c r="AT1" s="82" t="n">
        <v>46419</v>
      </c>
      <c r="AU1" s="115" t="n"/>
      <c r="AV1" s="115" t="n"/>
      <c r="AW1" s="116" t="n"/>
      <c r="AX1" s="82" t="n">
        <v>46447</v>
      </c>
      <c r="AY1" s="115" t="n"/>
      <c r="AZ1" s="115" t="n"/>
      <c r="BA1" s="116" t="n"/>
      <c r="BB1" s="88" t="inlineStr">
        <is>
          <t>TOTAL COLLECTION</t>
        </is>
      </c>
      <c r="BC1" s="88" t="inlineStr">
        <is>
          <t>TOTAL COLLECTION</t>
        </is>
      </c>
      <c r="BD1" s="88" t="inlineStr">
        <is>
          <t>TOTAL EXPENSE</t>
        </is>
      </c>
      <c r="BE1" s="88" t="inlineStr">
        <is>
          <t>TOTAL LATE FEE</t>
        </is>
      </c>
      <c r="BF1" s="88" t="inlineStr">
        <is>
          <t>TOTAL COLLECTION - EXPENSE</t>
        </is>
      </c>
      <c r="BG1" s="88" t="inlineStr">
        <is>
          <t>FY 2026-27 Balance</t>
        </is>
      </c>
      <c r="BH1" s="88" t="inlineStr">
        <is>
          <t>Balance
(2013 till date)</t>
        </is>
      </c>
      <c r="BI1" s="79" t="n"/>
      <c r="BJ1" s="79" t="n"/>
    </row>
    <row r="2">
      <c r="A2" s="100" t="inlineStr">
        <is>
          <t>FLAT#</t>
        </is>
      </c>
      <c r="B2" s="100" t="inlineStr">
        <is>
          <t>email id</t>
        </is>
      </c>
      <c r="C2" s="100" t="inlineStr">
        <is>
          <t>OCCUPANT</t>
        </is>
      </c>
      <c r="D2" s="39" t="n"/>
      <c r="E2" s="39" t="n"/>
      <c r="F2" s="39" t="inlineStr">
        <is>
          <t>COLLECTION</t>
        </is>
      </c>
      <c r="G2" s="39" t="inlineStr">
        <is>
          <t>EXPENSE</t>
        </is>
      </c>
      <c r="H2" s="39" t="inlineStr">
        <is>
          <t>LATE PAYMENT FEE</t>
        </is>
      </c>
      <c r="I2" s="39" t="inlineStr">
        <is>
          <t>COLLECTION - EXPENSE</t>
        </is>
      </c>
      <c r="J2" s="39" t="inlineStr">
        <is>
          <t>COLLECTION</t>
        </is>
      </c>
      <c r="K2" s="39" t="inlineStr">
        <is>
          <t>EXPENSE</t>
        </is>
      </c>
      <c r="L2" s="39" t="inlineStr">
        <is>
          <t>LATE PAYMENT FEE</t>
        </is>
      </c>
      <c r="M2" s="39" t="inlineStr">
        <is>
          <t>COLLECTION - EXPENSE</t>
        </is>
      </c>
      <c r="N2" s="39" t="inlineStr">
        <is>
          <t>COLLECTION</t>
        </is>
      </c>
      <c r="O2" s="39" t="inlineStr">
        <is>
          <t>EXPENSE</t>
        </is>
      </c>
      <c r="P2" s="39" t="inlineStr">
        <is>
          <t>LATE PAYMENT FEE</t>
        </is>
      </c>
      <c r="Q2" s="39" t="inlineStr">
        <is>
          <t>COLLECTION - EXPENSE</t>
        </is>
      </c>
      <c r="R2" s="39" t="inlineStr">
        <is>
          <t>COLLECTION</t>
        </is>
      </c>
      <c r="S2" s="39" t="inlineStr">
        <is>
          <t>EXPENSE</t>
        </is>
      </c>
      <c r="T2" s="39" t="inlineStr">
        <is>
          <t>LATE PAYMENT FEE</t>
        </is>
      </c>
      <c r="U2" s="39" t="inlineStr">
        <is>
          <t>COLLECTION - EXPENSE</t>
        </is>
      </c>
      <c r="V2" s="39" t="inlineStr">
        <is>
          <t>COLLECTION</t>
        </is>
      </c>
      <c r="W2" s="39" t="inlineStr">
        <is>
          <t>EXPENSE</t>
        </is>
      </c>
      <c r="X2" s="39" t="inlineStr">
        <is>
          <t>LATE PAYMENT FEE</t>
        </is>
      </c>
      <c r="Y2" s="39" t="inlineStr">
        <is>
          <t>COLLECTION - EXPENSE</t>
        </is>
      </c>
      <c r="Z2" s="39" t="inlineStr">
        <is>
          <t>COLLECTION</t>
        </is>
      </c>
      <c r="AA2" s="39" t="inlineStr">
        <is>
          <t>EXPENSE</t>
        </is>
      </c>
      <c r="AB2" s="39" t="inlineStr">
        <is>
          <t>LATE PAYMENT FEE</t>
        </is>
      </c>
      <c r="AC2" s="39" t="inlineStr">
        <is>
          <t>COLLECTION - EXPENSE</t>
        </is>
      </c>
      <c r="AD2" s="39" t="inlineStr">
        <is>
          <t>COLLECTION</t>
        </is>
      </c>
      <c r="AE2" s="39" t="inlineStr">
        <is>
          <t>EXPENSE</t>
        </is>
      </c>
      <c r="AF2" s="39" t="inlineStr">
        <is>
          <t>LATE PAYMENT FEE</t>
        </is>
      </c>
      <c r="AG2" s="39" t="inlineStr">
        <is>
          <t>COLLECTION - EXPENSE</t>
        </is>
      </c>
      <c r="AH2" s="39" t="inlineStr">
        <is>
          <t>COLLECTION</t>
        </is>
      </c>
      <c r="AI2" s="39" t="inlineStr">
        <is>
          <t>EXPENSE</t>
        </is>
      </c>
      <c r="AJ2" s="39" t="inlineStr">
        <is>
          <t>LATE PAYMENT FEE</t>
        </is>
      </c>
      <c r="AK2" s="39" t="inlineStr">
        <is>
          <t>COLLECTION - EXPENSE</t>
        </is>
      </c>
      <c r="AL2" s="39" t="inlineStr">
        <is>
          <t>COLLECTION</t>
        </is>
      </c>
      <c r="AM2" s="39" t="inlineStr">
        <is>
          <t>EXPENSE</t>
        </is>
      </c>
      <c r="AN2" s="39" t="inlineStr">
        <is>
          <t>LATE PAYMENT FEE</t>
        </is>
      </c>
      <c r="AO2" s="39" t="inlineStr">
        <is>
          <t>COLLECTION - EXPENSE</t>
        </is>
      </c>
      <c r="AP2" s="39" t="inlineStr">
        <is>
          <t>COLLECTION</t>
        </is>
      </c>
      <c r="AQ2" s="39" t="inlineStr">
        <is>
          <t>EXPENSE</t>
        </is>
      </c>
      <c r="AR2" s="39" t="inlineStr">
        <is>
          <t>LATE PAYMENT FEE</t>
        </is>
      </c>
      <c r="AS2" s="39" t="inlineStr">
        <is>
          <t>COLLECTION - EXPENSE</t>
        </is>
      </c>
      <c r="AT2" s="39" t="inlineStr">
        <is>
          <t>COLLECTION</t>
        </is>
      </c>
      <c r="AU2" s="39" t="inlineStr">
        <is>
          <t>EXPENSE</t>
        </is>
      </c>
      <c r="AV2" s="39" t="inlineStr">
        <is>
          <t>LATE PAYMENT FEE</t>
        </is>
      </c>
      <c r="AW2" s="39" t="inlineStr">
        <is>
          <t>COLLECTION - EXPENSE</t>
        </is>
      </c>
      <c r="AX2" s="39" t="inlineStr">
        <is>
          <t>COLLECTION</t>
        </is>
      </c>
      <c r="AY2" s="39" t="inlineStr">
        <is>
          <t>EXPENSE</t>
        </is>
      </c>
      <c r="AZ2" s="39" t="inlineStr">
        <is>
          <t>LATE PAYMENT FEE</t>
        </is>
      </c>
      <c r="BA2" s="39" t="inlineStr">
        <is>
          <t>COLLECTION - EXPENSE</t>
        </is>
      </c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</row>
    <row r="3" ht="32.1" customHeight="1">
      <c r="A3" s="37" t="inlineStr">
        <is>
          <t>F1</t>
        </is>
      </c>
      <c r="B3" s="40" t="n"/>
      <c r="C3" s="40" t="inlineStr">
        <is>
          <t>Shailesh Srivastava / Azeem Nawaz</t>
        </is>
      </c>
      <c r="D3" s="41" t="n">
        <v>0</v>
      </c>
      <c r="E3" s="41" t="n">
        <v>0</v>
      </c>
      <c r="F3" s="41">
        <f>'Apr2026-COLLECTION'!K2</f>
        <v/>
      </c>
      <c r="G3" s="41">
        <f>'Apr2026-EXPENSE'!R6</f>
        <v/>
      </c>
      <c r="H3" s="20" t="n"/>
      <c r="I3" s="41">
        <f>F3-(G3+H3)</f>
        <v/>
      </c>
      <c r="J3" s="41">
        <f>'May2026-COLLECTION'!K2</f>
        <v/>
      </c>
      <c r="K3" s="41">
        <f>'May2026-EXPENSE'!R6</f>
        <v/>
      </c>
      <c r="L3" s="21" t="n"/>
      <c r="M3" s="41">
        <f>J3-(K3+L3)</f>
        <v/>
      </c>
      <c r="N3" s="41">
        <f>'June2026-COLLECTION'!K2</f>
        <v/>
      </c>
      <c r="O3" s="41">
        <f>'June2026-EXPENSE'!R6</f>
        <v/>
      </c>
      <c r="P3" s="20" t="n"/>
      <c r="Q3" s="41">
        <f>N3-(O3+P3)</f>
        <v/>
      </c>
      <c r="R3" s="41">
        <f>'July2026-COLLECTION'!K2</f>
        <v/>
      </c>
      <c r="S3" s="41">
        <f>'July2026-EXPENSE'!R6</f>
        <v/>
      </c>
      <c r="T3" s="21" t="n"/>
      <c r="U3" s="41">
        <f>R3-(S3+T3)</f>
        <v/>
      </c>
      <c r="V3" s="41">
        <f>'Aug2026-COLLECTION'!K2</f>
        <v/>
      </c>
      <c r="W3" s="41">
        <f>'Aug2026-EXPENSE'!R6</f>
        <v/>
      </c>
      <c r="X3" s="20" t="n"/>
      <c r="Y3" s="41">
        <f>V3-(W3+X3)</f>
        <v/>
      </c>
      <c r="Z3" s="41">
        <f>'Sep2026-COLLECTION'!K2</f>
        <v/>
      </c>
      <c r="AA3" s="41">
        <f>'Sep2026-EXPENSE'!R6</f>
        <v/>
      </c>
      <c r="AB3" s="21" t="n"/>
      <c r="AC3" s="41">
        <f>Z3-(AA3+AB3)</f>
        <v/>
      </c>
      <c r="AD3" s="41">
        <f>'Oct2026-COLLECTION'!K2</f>
        <v/>
      </c>
      <c r="AE3" s="41">
        <f>'Oct2026-EXPENSE'!R6</f>
        <v/>
      </c>
      <c r="AF3" s="21" t="n"/>
      <c r="AG3" s="41">
        <f>AD3-(AE3+AF3)</f>
        <v/>
      </c>
      <c r="AH3" s="41">
        <f>'Nov2026-COLLECTION'!K2</f>
        <v/>
      </c>
      <c r="AI3" s="41">
        <f>'Nov2026-EXPENSE'!R6</f>
        <v/>
      </c>
      <c r="AJ3" s="21" t="n"/>
      <c r="AK3" s="41">
        <f>AH3-(AI3+AJ3)</f>
        <v/>
      </c>
      <c r="AL3" s="41">
        <f>'Dec2026-COLLECTION'!K2</f>
        <v/>
      </c>
      <c r="AM3" s="41">
        <f>'Dec2026-EXPENSE'!R6</f>
        <v/>
      </c>
      <c r="AN3" s="21" t="n"/>
      <c r="AO3" s="41">
        <f>AL3-(AM3+AN3)</f>
        <v/>
      </c>
      <c r="AP3" s="41">
        <f>'Jan2027-COLLECTION'!K2</f>
        <v/>
      </c>
      <c r="AQ3" s="41">
        <f>'Jan2027-EXPENSE'!R6</f>
        <v/>
      </c>
      <c r="AR3" s="2" t="n"/>
      <c r="AS3" s="41">
        <f>AP3-(AQ3+AR3)</f>
        <v/>
      </c>
      <c r="AT3" s="41">
        <f>'Feb2027-COLLECTION'!K2</f>
        <v/>
      </c>
      <c r="AU3" s="41">
        <f>'Feb2027-EXPENSE'!R6</f>
        <v/>
      </c>
      <c r="AV3" s="2" t="n"/>
      <c r="AW3" s="41">
        <f>AT3-(AU3+AV3)</f>
        <v/>
      </c>
      <c r="AX3" s="41">
        <f>'Mar2027-COLLECTION'!K2</f>
        <v/>
      </c>
      <c r="AY3" s="41">
        <f>'Mar2027-EXPENSE'!R6</f>
        <v/>
      </c>
      <c r="AZ3" s="2" t="n"/>
      <c r="BA3" s="41">
        <f>AX3-(AY3+AZ3)</f>
        <v/>
      </c>
      <c r="BB3" s="41">
        <f>SUM(F3,J3,N3,R3,V3,Z3,AD3,AH3,AL3,AP3,AT3,AX3)</f>
        <v/>
      </c>
      <c r="BC3" s="41">
        <f>SUM(J3,N3,R3,V3,Z3,AD3,AH3,AL3,AP3,AT3,AX3)</f>
        <v/>
      </c>
      <c r="BD3" s="41">
        <f>SUM(G3,K3,O3,S3,W3,AA3,AE3,AI3,AM3,AQ3,AU3,AY3)</f>
        <v/>
      </c>
      <c r="BE3" s="41" t="n">
        <v>0</v>
      </c>
      <c r="BF3" s="41">
        <f>BB3-(BD3+BE3)</f>
        <v/>
      </c>
      <c r="BG3" s="41">
        <f>BC3-(BD3+BE3)</f>
        <v/>
      </c>
      <c r="BH3" s="41">
        <f>E3+BF3</f>
        <v/>
      </c>
      <c r="BI3" s="41">
        <f>E3+F3+IF(BG3&gt;=0,BG3,0)</f>
        <v/>
      </c>
      <c r="BJ3" s="41" t="n">
        <v>0</v>
      </c>
    </row>
    <row r="4" ht="15.95" customHeight="1">
      <c r="A4" s="36" t="inlineStr">
        <is>
          <t>F2</t>
        </is>
      </c>
      <c r="B4" s="42" t="inlineStr">
        <is>
          <t>ramazen1@gmail.com</t>
        </is>
      </c>
      <c r="C4" s="42" t="inlineStr">
        <is>
          <t>Ramamurthy Pachaiyappan</t>
        </is>
      </c>
      <c r="D4" s="43" t="n">
        <v>0</v>
      </c>
      <c r="E4" s="43" t="n">
        <v>0</v>
      </c>
      <c r="F4" s="43">
        <f>'Apr2026-COLLECTION'!K3</f>
        <v/>
      </c>
      <c r="G4" s="43">
        <f>'Apr2026-EXPENSE'!R7</f>
        <v/>
      </c>
      <c r="H4" s="20" t="n"/>
      <c r="I4" s="43">
        <f>F4-(G4+H4)</f>
        <v/>
      </c>
      <c r="J4" s="43">
        <f>'May2026-COLLECTION'!K3</f>
        <v/>
      </c>
      <c r="K4" s="43">
        <f>'May2026-EXPENSE'!R7</f>
        <v/>
      </c>
      <c r="L4" s="43" t="n">
        <v>0</v>
      </c>
      <c r="M4" s="43">
        <f>J4-(K4+L4)</f>
        <v/>
      </c>
      <c r="N4" s="43">
        <f>'June2026-COLLECTION'!K3</f>
        <v/>
      </c>
      <c r="O4" s="43">
        <f>'June2026-EXPENSE'!R7</f>
        <v/>
      </c>
      <c r="P4" s="20" t="n"/>
      <c r="Q4" s="43">
        <f>N4-(O4+P4)</f>
        <v/>
      </c>
      <c r="R4" s="43">
        <f>'July2026-COLLECTION'!K3</f>
        <v/>
      </c>
      <c r="S4" s="43">
        <f>'July2026-EXPENSE'!R7</f>
        <v/>
      </c>
      <c r="T4" s="43" t="n">
        <v>0</v>
      </c>
      <c r="U4" s="43">
        <f>R4-(S4+T4)</f>
        <v/>
      </c>
      <c r="V4" s="43">
        <f>'Aug2026-COLLECTION'!K3</f>
        <v/>
      </c>
      <c r="W4" s="43">
        <f>'Aug2026-EXPENSE'!R7</f>
        <v/>
      </c>
      <c r="X4" s="20" t="n"/>
      <c r="Y4" s="43">
        <f>V4-(W4+X4)</f>
        <v/>
      </c>
      <c r="Z4" s="43">
        <f>'Sep2026-COLLECTION'!K3</f>
        <v/>
      </c>
      <c r="AA4" s="43">
        <f>'Sep2026-EXPENSE'!R7</f>
        <v/>
      </c>
      <c r="AB4" s="21" t="n"/>
      <c r="AC4" s="43">
        <f>Z4-(AA4+AB4)</f>
        <v/>
      </c>
      <c r="AD4" s="43">
        <f>'Oct2026-COLLECTION'!K3</f>
        <v/>
      </c>
      <c r="AE4" s="43">
        <f>'Oct2026-EXPENSE'!R7</f>
        <v/>
      </c>
      <c r="AF4" s="21" t="n"/>
      <c r="AG4" s="43">
        <f>AD4-(AE4+AF4)</f>
        <v/>
      </c>
      <c r="AH4" s="43">
        <f>'Nov2026-COLLECTION'!K3</f>
        <v/>
      </c>
      <c r="AI4" s="43">
        <f>'Nov2026-EXPENSE'!R7</f>
        <v/>
      </c>
      <c r="AJ4" s="21" t="n"/>
      <c r="AK4" s="43">
        <f>AH4-(AI4+AJ4)</f>
        <v/>
      </c>
      <c r="AL4" s="43">
        <f>'Dec2026-COLLECTION'!K3</f>
        <v/>
      </c>
      <c r="AM4" s="43">
        <f>'Dec2026-EXPENSE'!R7</f>
        <v/>
      </c>
      <c r="AN4" s="21" t="n"/>
      <c r="AO4" s="43">
        <f>AL4-(AM4+AN4)</f>
        <v/>
      </c>
      <c r="AP4" s="43">
        <f>'Jan2027-COLLECTION'!K3</f>
        <v/>
      </c>
      <c r="AQ4" s="43">
        <f>'Jan2027-EXPENSE'!R7</f>
        <v/>
      </c>
      <c r="AR4" s="2" t="n"/>
      <c r="AS4" s="43">
        <f>AP4-(AQ4+AR4)</f>
        <v/>
      </c>
      <c r="AT4" s="43">
        <f>'Feb2027-COLLECTION'!K3</f>
        <v/>
      </c>
      <c r="AU4" s="43">
        <f>'Feb2027-EXPENSE'!R7</f>
        <v/>
      </c>
      <c r="AV4" s="2" t="n"/>
      <c r="AW4" s="43">
        <f>AT4-(AU4+AV4)</f>
        <v/>
      </c>
      <c r="AX4" s="43">
        <f>'Mar2027-COLLECTION'!K3</f>
        <v/>
      </c>
      <c r="AY4" s="43">
        <f>'Mar2027-EXPENSE'!R7</f>
        <v/>
      </c>
      <c r="AZ4" s="2" t="n"/>
      <c r="BA4" s="43">
        <f>AX4-(AY4+AZ4)</f>
        <v/>
      </c>
      <c r="BB4" s="43">
        <f>SUM(F4,J4,N4,R4,V4,Z4,AD4,AH4,AL4,AP4,AT4,AX4)</f>
        <v/>
      </c>
      <c r="BC4" s="43">
        <f>SUM(J4,N4,R4,V4,Z4,AD4,AH4,AL4,AP4,AT4,AX4)</f>
        <v/>
      </c>
      <c r="BD4" s="43">
        <f>SUM(G4,K4,O4,S4,W4,AA4,AE4,AI4,AM4,AQ4,AU4,AY4)</f>
        <v/>
      </c>
      <c r="BE4" s="43" t="n">
        <v>0</v>
      </c>
      <c r="BF4" s="43">
        <f>BB4-(BD4+BE4)</f>
        <v/>
      </c>
      <c r="BG4" s="43">
        <f>BC4-(BD4+BE4)</f>
        <v/>
      </c>
      <c r="BH4" s="43">
        <f>E4+BF4</f>
        <v/>
      </c>
      <c r="BI4" s="43">
        <f>E4+F4+IF(BG4&gt;=0,BG4,0)</f>
        <v/>
      </c>
      <c r="BJ4" s="43" t="n">
        <v>0</v>
      </c>
    </row>
    <row r="5" ht="15.95" customHeight="1">
      <c r="A5" s="37" t="inlineStr">
        <is>
          <t>F3</t>
        </is>
      </c>
      <c r="B5" s="40" t="n"/>
      <c r="C5" s="40" t="inlineStr">
        <is>
          <t>Samrat Kar</t>
        </is>
      </c>
      <c r="D5" s="41" t="n">
        <v>0</v>
      </c>
      <c r="E5" s="41" t="n">
        <v>0</v>
      </c>
      <c r="F5" s="41">
        <f>'Apr2026-COLLECTION'!K4</f>
        <v/>
      </c>
      <c r="G5" s="41">
        <f>'Apr2026-EXPENSE'!R8</f>
        <v/>
      </c>
      <c r="H5" s="20" t="n"/>
      <c r="I5" s="41">
        <f>F5-(G5+H5)</f>
        <v/>
      </c>
      <c r="J5" s="41">
        <f>'May2026-COLLECTION'!K4</f>
        <v/>
      </c>
      <c r="K5" s="41">
        <f>'May2026-EXPENSE'!R8</f>
        <v/>
      </c>
      <c r="L5" s="21" t="n"/>
      <c r="M5" s="41">
        <f>J5-(K5+L5)</f>
        <v/>
      </c>
      <c r="N5" s="41">
        <f>'June2026-COLLECTION'!K4</f>
        <v/>
      </c>
      <c r="O5" s="41">
        <f>'June2026-EXPENSE'!R8</f>
        <v/>
      </c>
      <c r="P5" s="20" t="n"/>
      <c r="Q5" s="41">
        <f>N5-(O5+P5)</f>
        <v/>
      </c>
      <c r="R5" s="41">
        <f>'July2026-COLLECTION'!K4</f>
        <v/>
      </c>
      <c r="S5" s="41">
        <f>'July2026-EXPENSE'!R8</f>
        <v/>
      </c>
      <c r="T5" s="21" t="n"/>
      <c r="U5" s="41">
        <f>R5-(S5+T5)</f>
        <v/>
      </c>
      <c r="V5" s="41">
        <f>'Aug2026-COLLECTION'!K4</f>
        <v/>
      </c>
      <c r="W5" s="41">
        <f>'Aug2026-EXPENSE'!R8</f>
        <v/>
      </c>
      <c r="X5" s="20" t="n"/>
      <c r="Y5" s="41">
        <f>V5-(W5+X5)</f>
        <v/>
      </c>
      <c r="Z5" s="41">
        <f>'Sep2026-COLLECTION'!K4</f>
        <v/>
      </c>
      <c r="AA5" s="41">
        <f>'Sep2026-EXPENSE'!R8</f>
        <v/>
      </c>
      <c r="AB5" s="21" t="n"/>
      <c r="AC5" s="41">
        <f>Z5-(AA5+AB5)</f>
        <v/>
      </c>
      <c r="AD5" s="41">
        <f>'Oct2026-COLLECTION'!K4</f>
        <v/>
      </c>
      <c r="AE5" s="41">
        <f>'Oct2026-EXPENSE'!R8</f>
        <v/>
      </c>
      <c r="AF5" s="21" t="n"/>
      <c r="AG5" s="41">
        <f>AD5-(AE5+AF5)</f>
        <v/>
      </c>
      <c r="AH5" s="41">
        <f>'Nov2026-COLLECTION'!K4</f>
        <v/>
      </c>
      <c r="AI5" s="41">
        <f>'Nov2026-EXPENSE'!R8</f>
        <v/>
      </c>
      <c r="AJ5" s="21" t="n"/>
      <c r="AK5" s="41">
        <f>AH5-(AI5+AJ5)</f>
        <v/>
      </c>
      <c r="AL5" s="41">
        <f>'Dec2026-COLLECTION'!K4</f>
        <v/>
      </c>
      <c r="AM5" s="41">
        <f>'Dec2026-EXPENSE'!R8</f>
        <v/>
      </c>
      <c r="AN5" s="21" t="n"/>
      <c r="AO5" s="41">
        <f>AL5-(AM5+AN5)</f>
        <v/>
      </c>
      <c r="AP5" s="41">
        <f>'Jan2027-COLLECTION'!K4</f>
        <v/>
      </c>
      <c r="AQ5" s="41">
        <f>'Jan2027-EXPENSE'!R8</f>
        <v/>
      </c>
      <c r="AR5" s="2" t="n"/>
      <c r="AS5" s="41">
        <f>AP5-(AQ5+AR5)</f>
        <v/>
      </c>
      <c r="AT5" s="41">
        <f>'Feb2027-COLLECTION'!K4</f>
        <v/>
      </c>
      <c r="AU5" s="41">
        <f>'Feb2027-EXPENSE'!R8</f>
        <v/>
      </c>
      <c r="AV5" s="2" t="n"/>
      <c r="AW5" s="41">
        <f>AT5-(AU5+AV5)</f>
        <v/>
      </c>
      <c r="AX5" s="41">
        <f>'Mar2027-COLLECTION'!K4</f>
        <v/>
      </c>
      <c r="AY5" s="41">
        <f>'Mar2027-EXPENSE'!R8</f>
        <v/>
      </c>
      <c r="AZ5" s="2" t="n"/>
      <c r="BA5" s="41">
        <f>AX5-(AY5+AZ5)</f>
        <v/>
      </c>
      <c r="BB5" s="41">
        <f>SUM(F5,J5,N5,R5,V5,Z5,AD5,AH5,AL5,AP5,AT5,AX5)</f>
        <v/>
      </c>
      <c r="BC5" s="41">
        <f>SUM(J5,N5,R5,V5,Z5,AD5,AH5,AL5,AP5,AT5,AX5)</f>
        <v/>
      </c>
      <c r="BD5" s="41">
        <f>SUM(G5,K5,O5,S5,W5,AA5,AE5,AI5,AM5,AQ5,AU5,AY5)</f>
        <v/>
      </c>
      <c r="BE5" s="41" t="n">
        <v>0</v>
      </c>
      <c r="BF5" s="41">
        <f>BB5-(BD5+BE5)</f>
        <v/>
      </c>
      <c r="BG5" s="41">
        <f>BC5-(BD5+BE5)</f>
        <v/>
      </c>
      <c r="BH5" s="41">
        <f>E5+BF5</f>
        <v/>
      </c>
      <c r="BI5" s="41">
        <f>E5+F5+IF(BG5&gt;=0,BG5,0)</f>
        <v/>
      </c>
      <c r="BJ5" s="41" t="n">
        <v>0</v>
      </c>
    </row>
    <row r="6" ht="15.95" customHeight="1">
      <c r="A6" s="36" t="inlineStr">
        <is>
          <t>F4</t>
        </is>
      </c>
      <c r="B6" s="42" t="n"/>
      <c r="C6" s="42" t="inlineStr">
        <is>
          <t>Renu R</t>
        </is>
      </c>
      <c r="D6" s="43" t="n">
        <v>0</v>
      </c>
      <c r="E6" s="43" t="n">
        <v>0</v>
      </c>
      <c r="F6" s="43">
        <f>'Apr2026-COLLECTION'!K5</f>
        <v/>
      </c>
      <c r="G6" s="43">
        <f>'Apr2026-EXPENSE'!R9</f>
        <v/>
      </c>
      <c r="H6" s="20" t="n"/>
      <c r="I6" s="43">
        <f>F6-(G6+H6)</f>
        <v/>
      </c>
      <c r="J6" s="43">
        <f>'May2026-COLLECTION'!K5</f>
        <v/>
      </c>
      <c r="K6" s="43">
        <f>'May2026-EXPENSE'!R9</f>
        <v/>
      </c>
      <c r="L6" s="21" t="n"/>
      <c r="M6" s="43">
        <f>J6-(K6+L6)</f>
        <v/>
      </c>
      <c r="N6" s="43">
        <f>'June2026-COLLECTION'!K5</f>
        <v/>
      </c>
      <c r="O6" s="43">
        <f>'June2026-EXPENSE'!R9</f>
        <v/>
      </c>
      <c r="P6" s="20" t="n"/>
      <c r="Q6" s="43">
        <f>N6-(O6+P6)</f>
        <v/>
      </c>
      <c r="R6" s="43">
        <f>'July2026-COLLECTION'!K5</f>
        <v/>
      </c>
      <c r="S6" s="43">
        <f>'July2026-EXPENSE'!R9</f>
        <v/>
      </c>
      <c r="T6" s="21" t="n"/>
      <c r="U6" s="43">
        <f>R6-(S6+T6)</f>
        <v/>
      </c>
      <c r="V6" s="43">
        <f>'Aug2026-COLLECTION'!K5</f>
        <v/>
      </c>
      <c r="W6" s="43">
        <f>'Aug2026-EXPENSE'!R9</f>
        <v/>
      </c>
      <c r="X6" s="20" t="n"/>
      <c r="Y6" s="43">
        <f>V6-(W6+X6)</f>
        <v/>
      </c>
      <c r="Z6" s="43">
        <f>'Sep2026-COLLECTION'!K5</f>
        <v/>
      </c>
      <c r="AA6" s="43">
        <f>'Sep2026-EXPENSE'!R9</f>
        <v/>
      </c>
      <c r="AB6" s="21" t="n"/>
      <c r="AC6" s="43">
        <f>Z6-(AA6+AB6)</f>
        <v/>
      </c>
      <c r="AD6" s="43">
        <f>'Oct2026-COLLECTION'!K5</f>
        <v/>
      </c>
      <c r="AE6" s="43">
        <f>'Oct2026-EXPENSE'!R9</f>
        <v/>
      </c>
      <c r="AF6" s="21" t="n"/>
      <c r="AG6" s="43">
        <f>AD6-(AE6+AF6)</f>
        <v/>
      </c>
      <c r="AH6" s="43">
        <f>'Nov2026-COLLECTION'!K5</f>
        <v/>
      </c>
      <c r="AI6" s="43">
        <f>'Nov2026-EXPENSE'!R9</f>
        <v/>
      </c>
      <c r="AJ6" s="21" t="n"/>
      <c r="AK6" s="43">
        <f>AH6-(AI6+AJ6)</f>
        <v/>
      </c>
      <c r="AL6" s="43">
        <f>'Dec2026-COLLECTION'!K5</f>
        <v/>
      </c>
      <c r="AM6" s="43">
        <f>'Dec2026-EXPENSE'!R9</f>
        <v/>
      </c>
      <c r="AN6" s="21" t="n"/>
      <c r="AO6" s="43">
        <f>AL6-(AM6+AN6)</f>
        <v/>
      </c>
      <c r="AP6" s="43">
        <f>'Jan2027-COLLECTION'!K5</f>
        <v/>
      </c>
      <c r="AQ6" s="43">
        <f>'Jan2027-EXPENSE'!R9</f>
        <v/>
      </c>
      <c r="AR6" s="2" t="n"/>
      <c r="AS6" s="43">
        <f>AP6-(AQ6+AR6)</f>
        <v/>
      </c>
      <c r="AT6" s="43">
        <f>'Feb2027-COLLECTION'!K5</f>
        <v/>
      </c>
      <c r="AU6" s="43">
        <f>'Feb2027-EXPENSE'!R9</f>
        <v/>
      </c>
      <c r="AV6" s="2" t="n"/>
      <c r="AW6" s="43">
        <f>AT6-(AU6+AV6)</f>
        <v/>
      </c>
      <c r="AX6" s="43">
        <f>'Mar2027-COLLECTION'!K5</f>
        <v/>
      </c>
      <c r="AY6" s="43">
        <f>'Mar2027-EXPENSE'!R9</f>
        <v/>
      </c>
      <c r="AZ6" s="2" t="n"/>
      <c r="BA6" s="43">
        <f>AX6-(AY6+AZ6)</f>
        <v/>
      </c>
      <c r="BB6" s="43">
        <f>SUM(F6,J6,N6,R6,V6,Z6,AD6,AH6,AL6,AP6,AT6,AX6)</f>
        <v/>
      </c>
      <c r="BC6" s="43">
        <f>SUM(J6,N6,R6,V6,Z6,AD6,AH6,AL6,AP6,AT6,AX6)</f>
        <v/>
      </c>
      <c r="BD6" s="43">
        <f>SUM(G6,K6,O6,S6,W6,AA6,AE6,AI6,AM6,AQ6,AU6,AY6)</f>
        <v/>
      </c>
      <c r="BE6" s="43" t="n">
        <v>0</v>
      </c>
      <c r="BF6" s="43">
        <f>BB6-(BD6+BE6)</f>
        <v/>
      </c>
      <c r="BG6" s="43">
        <f>BC6-(BD6+BE6)</f>
        <v/>
      </c>
      <c r="BH6" s="43">
        <f>E6+BF6</f>
        <v/>
      </c>
      <c r="BI6" s="43">
        <f>E6+F6+IF(BG6&gt;=0,BG6,0)</f>
        <v/>
      </c>
      <c r="BJ6" s="43" t="n">
        <v>0</v>
      </c>
    </row>
    <row r="7" ht="32.1" customHeight="1">
      <c r="A7" s="37" t="inlineStr">
        <is>
          <t>F5</t>
        </is>
      </c>
      <c r="B7" s="40" t="n"/>
      <c r="C7" s="40" t="inlineStr">
        <is>
          <t>Vamsidhar Bethanabatla / Madhuri Anumula</t>
        </is>
      </c>
      <c r="D7" s="41" t="n">
        <v>0</v>
      </c>
      <c r="E7" s="41">
        <f>-1876.43+(-7566)</f>
        <v/>
      </c>
      <c r="F7" s="41">
        <f>'Apr2026-COLLECTION'!K6</f>
        <v/>
      </c>
      <c r="G7" s="41">
        <f>'Apr2026-EXPENSE'!R10</f>
        <v/>
      </c>
      <c r="H7" s="20" t="n"/>
      <c r="I7" s="41">
        <f>F7-(G7+H7)</f>
        <v/>
      </c>
      <c r="J7" s="41">
        <f>'May2026-COLLECTION'!K6</f>
        <v/>
      </c>
      <c r="K7" s="41">
        <f>'May2026-EXPENSE'!R10</f>
        <v/>
      </c>
      <c r="L7" s="21" t="n"/>
      <c r="M7" s="41">
        <f>J7-(K7+L7)</f>
        <v/>
      </c>
      <c r="N7" s="41">
        <f>'June2026-COLLECTION'!K6</f>
        <v/>
      </c>
      <c r="O7" s="41">
        <f>'June2026-EXPENSE'!R10</f>
        <v/>
      </c>
      <c r="P7" s="20" t="n"/>
      <c r="Q7" s="41">
        <f>N7-(O7+P7)</f>
        <v/>
      </c>
      <c r="R7" s="41">
        <f>'July2026-COLLECTION'!K6</f>
        <v/>
      </c>
      <c r="S7" s="41">
        <f>'July2026-EXPENSE'!R10</f>
        <v/>
      </c>
      <c r="T7" s="21" t="n"/>
      <c r="U7" s="41">
        <f>R7-(S7+T7)</f>
        <v/>
      </c>
      <c r="V7" s="41">
        <f>'Aug2026-COLLECTION'!K6</f>
        <v/>
      </c>
      <c r="W7" s="41">
        <f>'Aug2026-EXPENSE'!R10</f>
        <v/>
      </c>
      <c r="X7" s="20" t="n"/>
      <c r="Y7" s="41">
        <f>V7-(W7+X7)</f>
        <v/>
      </c>
      <c r="Z7" s="41">
        <f>'Sep2026-COLLECTION'!K6</f>
        <v/>
      </c>
      <c r="AA7" s="41">
        <f>'Sep2026-EXPENSE'!R10</f>
        <v/>
      </c>
      <c r="AB7" s="21" t="n"/>
      <c r="AC7" s="41">
        <f>Z7-(AA7+AB7)</f>
        <v/>
      </c>
      <c r="AD7" s="41">
        <f>'Oct2026-COLLECTION'!K6</f>
        <v/>
      </c>
      <c r="AE7" s="41">
        <f>'Oct2026-EXPENSE'!R10</f>
        <v/>
      </c>
      <c r="AF7" s="21" t="n"/>
      <c r="AG7" s="41">
        <f>AD7-(AE7+AF7)</f>
        <v/>
      </c>
      <c r="AH7" s="41">
        <f>'Nov2026-COLLECTION'!K6</f>
        <v/>
      </c>
      <c r="AI7" s="41">
        <f>'Nov2026-EXPENSE'!R10</f>
        <v/>
      </c>
      <c r="AJ7" s="21" t="n"/>
      <c r="AK7" s="41">
        <f>AH7-(AI7+AJ7)</f>
        <v/>
      </c>
      <c r="AL7" s="41">
        <f>'Dec2026-COLLECTION'!K6</f>
        <v/>
      </c>
      <c r="AM7" s="41">
        <f>'Dec2026-EXPENSE'!R10</f>
        <v/>
      </c>
      <c r="AN7" s="21" t="n"/>
      <c r="AO7" s="41">
        <f>AL7-(AM7+AN7)</f>
        <v/>
      </c>
      <c r="AP7" s="41">
        <f>'Jan2027-COLLECTION'!K6</f>
        <v/>
      </c>
      <c r="AQ7" s="41">
        <f>'Jan2027-EXPENSE'!R10</f>
        <v/>
      </c>
      <c r="AR7" s="2" t="n"/>
      <c r="AS7" s="41">
        <f>AP7-(AQ7+AR7)</f>
        <v/>
      </c>
      <c r="AT7" s="41">
        <f>'Feb2027-COLLECTION'!K6</f>
        <v/>
      </c>
      <c r="AU7" s="41">
        <f>'Feb2027-EXPENSE'!R10</f>
        <v/>
      </c>
      <c r="AV7" s="2" t="n"/>
      <c r="AW7" s="41">
        <f>AT7-(AU7+AV7)</f>
        <v/>
      </c>
      <c r="AX7" s="41">
        <f>'Mar2027-COLLECTION'!K6</f>
        <v/>
      </c>
      <c r="AY7" s="41">
        <f>'Mar2027-EXPENSE'!R10</f>
        <v/>
      </c>
      <c r="AZ7" s="2" t="n"/>
      <c r="BA7" s="41">
        <f>AX7-(AY7+AZ7)</f>
        <v/>
      </c>
      <c r="BB7" s="41">
        <f>SUM(F7,J7,N7,R7,V7,Z7,AD7,AH7,AL7,AP7,AT7,AX7)</f>
        <v/>
      </c>
      <c r="BC7" s="41">
        <f>SUM(J7,N7,R7,V7,Z7,AD7,AH7,AL7,AP7,AT7,AX7)</f>
        <v/>
      </c>
      <c r="BD7" s="41">
        <f>SUM(G7,K7,O7,S7,W7,AA7,AE7,AI7,AM7,AQ7,AU7,AY7)</f>
        <v/>
      </c>
      <c r="BE7" s="41" t="n">
        <v>0</v>
      </c>
      <c r="BF7" s="41">
        <f>BB7-(BD7+BE7)</f>
        <v/>
      </c>
      <c r="BG7" s="41">
        <f>BC7-(BD7+BE7)</f>
        <v/>
      </c>
      <c r="BH7" s="41">
        <f>E7+BF7</f>
        <v/>
      </c>
      <c r="BI7" s="41">
        <f>E7+F7+IF(BG7&gt;=0,BG7,0)</f>
        <v/>
      </c>
      <c r="BJ7" s="41" t="n">
        <v>0</v>
      </c>
    </row>
    <row r="8" ht="48" customHeight="1">
      <c r="A8" s="36" t="inlineStr">
        <is>
          <t>F6</t>
        </is>
      </c>
      <c r="B8" s="42" t="n"/>
      <c r="C8" s="42" t="inlineStr">
        <is>
          <t>Meghana Viral Shah and Vviral Shah (Owner) / Sangeet and Swagat (Tenent)</t>
        </is>
      </c>
      <c r="D8" s="43" t="n">
        <v>0</v>
      </c>
      <c r="E8" s="43" t="n">
        <v>0</v>
      </c>
      <c r="F8" s="43">
        <f>'Apr2026-COLLECTION'!K7</f>
        <v/>
      </c>
      <c r="G8" s="43">
        <f>'Apr2026-EXPENSE'!R11</f>
        <v/>
      </c>
      <c r="H8" s="20" t="n"/>
      <c r="I8" s="43">
        <f>F8-(G8+H8)</f>
        <v/>
      </c>
      <c r="J8" s="43">
        <f>'May2026-COLLECTION'!K7</f>
        <v/>
      </c>
      <c r="K8" s="43">
        <f>'May2026-EXPENSE'!R11</f>
        <v/>
      </c>
      <c r="L8" s="21" t="n"/>
      <c r="M8" s="43">
        <f>J8-(K8+L8)</f>
        <v/>
      </c>
      <c r="N8" s="43">
        <f>'June2026-COLLECTION'!K7</f>
        <v/>
      </c>
      <c r="O8" s="43">
        <f>'June2026-EXPENSE'!R11</f>
        <v/>
      </c>
      <c r="P8" s="20" t="n"/>
      <c r="Q8" s="43">
        <f>N8-(O8+P8)</f>
        <v/>
      </c>
      <c r="R8" s="43">
        <f>'July2026-COLLECTION'!K7</f>
        <v/>
      </c>
      <c r="S8" s="43">
        <f>'July2026-EXPENSE'!R11</f>
        <v/>
      </c>
      <c r="T8" s="21" t="n"/>
      <c r="U8" s="43">
        <f>R8-(S8+T8)</f>
        <v/>
      </c>
      <c r="V8" s="43">
        <f>'Aug2026-COLLECTION'!K7</f>
        <v/>
      </c>
      <c r="W8" s="43">
        <f>'Aug2026-EXPENSE'!R11</f>
        <v/>
      </c>
      <c r="X8" s="20" t="n"/>
      <c r="Y8" s="43">
        <f>V8-(W8+X8)</f>
        <v/>
      </c>
      <c r="Z8" s="43">
        <f>'Sep2026-COLLECTION'!K7</f>
        <v/>
      </c>
      <c r="AA8" s="43">
        <f>'Sep2026-EXPENSE'!R11</f>
        <v/>
      </c>
      <c r="AB8" s="21" t="n"/>
      <c r="AC8" s="43">
        <f>Z8-(AA8+AB8)</f>
        <v/>
      </c>
      <c r="AD8" s="43">
        <f>'Oct2026-COLLECTION'!K7</f>
        <v/>
      </c>
      <c r="AE8" s="43">
        <f>'Oct2026-EXPENSE'!R11</f>
        <v/>
      </c>
      <c r="AF8" s="21" t="n"/>
      <c r="AG8" s="43">
        <f>AD8-(AE8+AF8)</f>
        <v/>
      </c>
      <c r="AH8" s="43">
        <f>'Nov2026-COLLECTION'!K7</f>
        <v/>
      </c>
      <c r="AI8" s="43">
        <f>'Nov2026-EXPENSE'!R11</f>
        <v/>
      </c>
      <c r="AJ8" s="21" t="n"/>
      <c r="AK8" s="43">
        <f>AH8-(AI8+AJ8)</f>
        <v/>
      </c>
      <c r="AL8" s="43">
        <f>'Dec2026-COLLECTION'!K7</f>
        <v/>
      </c>
      <c r="AM8" s="43">
        <f>'Dec2026-EXPENSE'!R11</f>
        <v/>
      </c>
      <c r="AN8" s="21" t="n"/>
      <c r="AO8" s="43">
        <f>AL8-(AM8+AN8)</f>
        <v/>
      </c>
      <c r="AP8" s="43">
        <f>'Jan2027-COLLECTION'!K7</f>
        <v/>
      </c>
      <c r="AQ8" s="43">
        <f>'Jan2027-EXPENSE'!R11</f>
        <v/>
      </c>
      <c r="AR8" s="2" t="n"/>
      <c r="AS8" s="43">
        <f>AP8-(AQ8+AR8)</f>
        <v/>
      </c>
      <c r="AT8" s="43">
        <f>'Feb2027-COLLECTION'!K7</f>
        <v/>
      </c>
      <c r="AU8" s="43">
        <f>'Feb2027-EXPENSE'!R11</f>
        <v/>
      </c>
      <c r="AV8" s="2" t="n"/>
      <c r="AW8" s="43">
        <f>AT8-(AU8+AV8)</f>
        <v/>
      </c>
      <c r="AX8" s="43">
        <f>'Mar2027-COLLECTION'!K7</f>
        <v/>
      </c>
      <c r="AY8" s="43">
        <f>'Mar2027-EXPENSE'!R11</f>
        <v/>
      </c>
      <c r="AZ8" s="2" t="n"/>
      <c r="BA8" s="43">
        <f>AX8-(AY8+AZ8)</f>
        <v/>
      </c>
      <c r="BB8" s="43">
        <f>SUM(F8,J8,N8,R8,V8,Z8,AD8,AH8,AL8,AP8,AT8,AX8)</f>
        <v/>
      </c>
      <c r="BC8" s="43">
        <f>SUM(J8,N8,R8,V8,Z8,AD8,AH8,AL8,AP8,AT8,AX8)</f>
        <v/>
      </c>
      <c r="BD8" s="43">
        <f>SUM(G8,K8,O8,S8,W8,AA8,AE8,AI8,AM8,AQ8,AU8,AY8)</f>
        <v/>
      </c>
      <c r="BE8" s="43" t="n">
        <v>0</v>
      </c>
      <c r="BF8" s="43">
        <f>BB8-(BD8+BE8)</f>
        <v/>
      </c>
      <c r="BG8" s="43">
        <f>BC8-(BD8+BE8)</f>
        <v/>
      </c>
      <c r="BH8" s="43">
        <f>E8+BF8</f>
        <v/>
      </c>
      <c r="BI8" s="43">
        <f>E8+F8+IF(BG8&gt;=0,BG8,0)</f>
        <v/>
      </c>
      <c r="BJ8" s="43" t="n">
        <v>0</v>
      </c>
    </row>
    <row r="9" ht="15.95" customHeight="1">
      <c r="A9" s="37" t="inlineStr">
        <is>
          <t>F7</t>
        </is>
      </c>
      <c r="B9" s="40" t="n"/>
      <c r="C9" s="40" t="inlineStr">
        <is>
          <t>Vimal NK</t>
        </is>
      </c>
      <c r="D9" s="41" t="n">
        <v>0</v>
      </c>
      <c r="E9" s="41" t="n">
        <v>0</v>
      </c>
      <c r="F9" s="41">
        <f>'Apr2026-COLLECTION'!K8</f>
        <v/>
      </c>
      <c r="G9" s="41">
        <f>'Apr2026-EXPENSE'!R12</f>
        <v/>
      </c>
      <c r="H9" s="20" t="n"/>
      <c r="I9" s="41">
        <f>F9-(G9+H9)</f>
        <v/>
      </c>
      <c r="J9" s="41">
        <f>'May2026-COLLECTION'!K8</f>
        <v/>
      </c>
      <c r="K9" s="41">
        <f>'May2026-EXPENSE'!R12</f>
        <v/>
      </c>
      <c r="L9" s="21" t="n"/>
      <c r="M9" s="41">
        <f>J9-(K9+L9)</f>
        <v/>
      </c>
      <c r="N9" s="41">
        <f>'June2026-COLLECTION'!K8</f>
        <v/>
      </c>
      <c r="O9" s="41">
        <f>'June2026-EXPENSE'!R12</f>
        <v/>
      </c>
      <c r="P9" s="20" t="n"/>
      <c r="Q9" s="41">
        <f>N9-(O9+P9)</f>
        <v/>
      </c>
      <c r="R9" s="41">
        <f>'July2026-COLLECTION'!K8</f>
        <v/>
      </c>
      <c r="S9" s="41">
        <f>'July2026-EXPENSE'!R12</f>
        <v/>
      </c>
      <c r="T9" s="21" t="n"/>
      <c r="U9" s="41">
        <f>R9-(S9+T9)</f>
        <v/>
      </c>
      <c r="V9" s="41">
        <f>'Aug2026-COLLECTION'!K8</f>
        <v/>
      </c>
      <c r="W9" s="41">
        <f>'Aug2026-EXPENSE'!R12</f>
        <v/>
      </c>
      <c r="X9" s="20" t="n"/>
      <c r="Y9" s="41">
        <f>V9-(W9+X9)</f>
        <v/>
      </c>
      <c r="Z9" s="41">
        <f>'Sep2026-COLLECTION'!K8</f>
        <v/>
      </c>
      <c r="AA9" s="41">
        <f>'Sep2026-EXPENSE'!R12</f>
        <v/>
      </c>
      <c r="AB9" s="21" t="n"/>
      <c r="AC9" s="41">
        <f>Z9-(AA9+AB9)</f>
        <v/>
      </c>
      <c r="AD9" s="41">
        <f>'Oct2026-COLLECTION'!K8</f>
        <v/>
      </c>
      <c r="AE9" s="41">
        <f>'Oct2026-EXPENSE'!R12</f>
        <v/>
      </c>
      <c r="AF9" s="21" t="n"/>
      <c r="AG9" s="41">
        <f>AD9-(AE9+AF9)</f>
        <v/>
      </c>
      <c r="AH9" s="41">
        <f>'Nov2026-COLLECTION'!K8</f>
        <v/>
      </c>
      <c r="AI9" s="41">
        <f>'Nov2026-EXPENSE'!R12</f>
        <v/>
      </c>
      <c r="AJ9" s="21" t="n"/>
      <c r="AK9" s="41">
        <f>AH9-(AI9+AJ9)</f>
        <v/>
      </c>
      <c r="AL9" s="41">
        <f>'Dec2026-COLLECTION'!K8</f>
        <v/>
      </c>
      <c r="AM9" s="41">
        <f>'Dec2026-EXPENSE'!R12</f>
        <v/>
      </c>
      <c r="AN9" s="21" t="n"/>
      <c r="AO9" s="41">
        <f>AL9-(AM9+AN9)</f>
        <v/>
      </c>
      <c r="AP9" s="41">
        <f>'Jan2027-COLLECTION'!K8</f>
        <v/>
      </c>
      <c r="AQ9" s="41">
        <f>'Jan2027-EXPENSE'!R12</f>
        <v/>
      </c>
      <c r="AR9" s="2" t="n"/>
      <c r="AS9" s="41">
        <f>AP9-(AQ9+AR9)</f>
        <v/>
      </c>
      <c r="AT9" s="41">
        <f>'Feb2027-COLLECTION'!K8</f>
        <v/>
      </c>
      <c r="AU9" s="41">
        <f>'Feb2027-EXPENSE'!R12</f>
        <v/>
      </c>
      <c r="AV9" s="2" t="n"/>
      <c r="AW9" s="41">
        <f>AT9-(AU9+AV9)</f>
        <v/>
      </c>
      <c r="AX9" s="41">
        <f>'Mar2027-COLLECTION'!K8</f>
        <v/>
      </c>
      <c r="AY9" s="41">
        <f>'Mar2027-EXPENSE'!R12</f>
        <v/>
      </c>
      <c r="AZ9" s="2" t="n"/>
      <c r="BA9" s="41">
        <f>AX9-(AY9+AZ9)</f>
        <v/>
      </c>
      <c r="BB9" s="41">
        <f>SUM(F9,J9,N9,R9,V9,Z9,AD9,AH9,AL9,AP9,AT9,AX9)</f>
        <v/>
      </c>
      <c r="BC9" s="41">
        <f>SUM(J9,N9,R9,V9,Z9,AD9,AH9,AL9,AP9,AT9,AX9)</f>
        <v/>
      </c>
      <c r="BD9" s="41">
        <f>SUM(G9,K9,O9,S9,W9,AA9,AE9,AI9,AM9,AQ9,AU9,AY9)</f>
        <v/>
      </c>
      <c r="BE9" s="41" t="n">
        <v>0</v>
      </c>
      <c r="BF9" s="41">
        <f>BB9-(BD9+BE9)</f>
        <v/>
      </c>
      <c r="BG9" s="41">
        <f>BC9-(BD9+BE9)</f>
        <v/>
      </c>
      <c r="BH9" s="41">
        <f>E9+BF9</f>
        <v/>
      </c>
      <c r="BI9" s="41">
        <f>E9+F9+IF(BG9&gt;=0,BG9,0)</f>
        <v/>
      </c>
      <c r="BJ9" s="41" t="n">
        <v>0</v>
      </c>
    </row>
    <row r="10" ht="48" customHeight="1">
      <c r="A10" s="36" t="inlineStr">
        <is>
          <t>F8</t>
        </is>
      </c>
      <c r="B10" s="42" t="n"/>
      <c r="C10" s="42" t="inlineStr">
        <is>
          <t>Sujeet Kumar (Tenant)/Sreejith Menon (Owner)</t>
        </is>
      </c>
      <c r="D10" s="43" t="n">
        <v>0</v>
      </c>
      <c r="E10" s="43" t="n">
        <v>0</v>
      </c>
      <c r="F10" s="43">
        <f>'Apr2026-COLLECTION'!K9</f>
        <v/>
      </c>
      <c r="G10" s="43">
        <f>'Apr2026-EXPENSE'!R13</f>
        <v/>
      </c>
      <c r="H10" s="20" t="n"/>
      <c r="I10" s="43">
        <f>F10-(G10+H10)</f>
        <v/>
      </c>
      <c r="J10" s="43">
        <f>'May2026-COLLECTION'!K9</f>
        <v/>
      </c>
      <c r="K10" s="43">
        <f>'May2026-EXPENSE'!R13</f>
        <v/>
      </c>
      <c r="L10" s="21" t="n"/>
      <c r="M10" s="43">
        <f>J10-(K10+L10)</f>
        <v/>
      </c>
      <c r="N10" s="43">
        <f>'June2026-COLLECTION'!K9</f>
        <v/>
      </c>
      <c r="O10" s="43">
        <f>'June2026-EXPENSE'!R13</f>
        <v/>
      </c>
      <c r="P10" s="20" t="n"/>
      <c r="Q10" s="43">
        <f>N10-(O10+P10)</f>
        <v/>
      </c>
      <c r="R10" s="43">
        <f>'July2026-COLLECTION'!K9</f>
        <v/>
      </c>
      <c r="S10" s="43">
        <f>'July2026-EXPENSE'!R13</f>
        <v/>
      </c>
      <c r="T10" s="21" t="n"/>
      <c r="U10" s="43">
        <f>R10-(S10+T10)</f>
        <v/>
      </c>
      <c r="V10" s="43">
        <f>'Aug2026-COLLECTION'!K9</f>
        <v/>
      </c>
      <c r="W10" s="43">
        <f>'Aug2026-EXPENSE'!R13</f>
        <v/>
      </c>
      <c r="X10" s="20" t="n"/>
      <c r="Y10" s="43">
        <f>V10-(W10+X10)</f>
        <v/>
      </c>
      <c r="Z10" s="43">
        <f>'Sep2026-COLLECTION'!K9</f>
        <v/>
      </c>
      <c r="AA10" s="43">
        <f>'Sep2026-EXPENSE'!R13</f>
        <v/>
      </c>
      <c r="AB10" s="21" t="n"/>
      <c r="AC10" s="43">
        <f>Z10-(AA10+AB10)</f>
        <v/>
      </c>
      <c r="AD10" s="43">
        <f>'Oct2026-COLLECTION'!K9</f>
        <v/>
      </c>
      <c r="AE10" s="43">
        <f>'Oct2026-EXPENSE'!R13</f>
        <v/>
      </c>
      <c r="AF10" s="21" t="n"/>
      <c r="AG10" s="43">
        <f>AD10-(AE10+AF10)</f>
        <v/>
      </c>
      <c r="AH10" s="43">
        <f>'Nov2026-COLLECTION'!K9</f>
        <v/>
      </c>
      <c r="AI10" s="43">
        <f>'Nov2026-EXPENSE'!R13</f>
        <v/>
      </c>
      <c r="AJ10" s="21" t="n"/>
      <c r="AK10" s="43">
        <f>AH10-(AI10+AJ10)</f>
        <v/>
      </c>
      <c r="AL10" s="43">
        <f>'Dec2026-COLLECTION'!K9</f>
        <v/>
      </c>
      <c r="AM10" s="43">
        <f>'Dec2026-EXPENSE'!R13</f>
        <v/>
      </c>
      <c r="AN10" s="21" t="n"/>
      <c r="AO10" s="43">
        <f>AL10-(AM10+AN10)</f>
        <v/>
      </c>
      <c r="AP10" s="43">
        <f>'Jan2027-COLLECTION'!K9</f>
        <v/>
      </c>
      <c r="AQ10" s="43">
        <f>'Jan2027-EXPENSE'!R13</f>
        <v/>
      </c>
      <c r="AR10" s="2" t="n"/>
      <c r="AS10" s="43">
        <f>AP10-(AQ10+AR10)</f>
        <v/>
      </c>
      <c r="AT10" s="43">
        <f>'Feb2027-COLLECTION'!K9</f>
        <v/>
      </c>
      <c r="AU10" s="43">
        <f>'Feb2027-EXPENSE'!R13</f>
        <v/>
      </c>
      <c r="AV10" s="2" t="n"/>
      <c r="AW10" s="43">
        <f>AT10-(AU10+AV10)</f>
        <v/>
      </c>
      <c r="AX10" s="43">
        <f>'Mar2027-COLLECTION'!K9</f>
        <v/>
      </c>
      <c r="AY10" s="43">
        <f>'Mar2027-EXPENSE'!R13</f>
        <v/>
      </c>
      <c r="AZ10" s="2" t="n"/>
      <c r="BA10" s="43">
        <f>AX10-(AY10+AZ10)</f>
        <v/>
      </c>
      <c r="BB10" s="43">
        <f>SUM(F10,J10,N10,R10,V10,Z10,AD10,AH10,AL10,AP10,AT10,AX10)</f>
        <v/>
      </c>
      <c r="BC10" s="43">
        <f>SUM(J10,N10,R10,V10,Z10,AD10,AH10,AL10,AP10,AT10,AX10)</f>
        <v/>
      </c>
      <c r="BD10" s="43">
        <f>SUM(G10,K10,O10,S10,W10,AA10,AE10,AI10,AM10,AQ10,AU10,AY10)</f>
        <v/>
      </c>
      <c r="BE10" s="43" t="n">
        <v>0</v>
      </c>
      <c r="BF10" s="43">
        <f>BB10-(BD10+BE10)</f>
        <v/>
      </c>
      <c r="BG10" s="43">
        <f>BC10-(BD10+BE10)</f>
        <v/>
      </c>
      <c r="BH10" s="43">
        <f>E10+BF10</f>
        <v/>
      </c>
      <c r="BI10" s="43">
        <f>E10+F10+IF(BG10&gt;=0,BG10,0)</f>
        <v/>
      </c>
      <c r="BJ10" s="43" t="n">
        <v>0</v>
      </c>
    </row>
    <row r="11" ht="32.1" customHeight="1">
      <c r="A11" s="37" t="inlineStr">
        <is>
          <t>F9</t>
        </is>
      </c>
      <c r="B11" s="40" t="n"/>
      <c r="C11" s="40" t="inlineStr">
        <is>
          <t>Vijay Suswaram (Owner)  /   Divya Shikha (Tenant)</t>
        </is>
      </c>
      <c r="D11" s="41" t="n">
        <v>0</v>
      </c>
      <c r="E11" s="41" t="n">
        <v>0</v>
      </c>
      <c r="F11" s="41">
        <f>'Apr2026-COLLECTION'!K10</f>
        <v/>
      </c>
      <c r="G11" s="41">
        <f>'Apr2026-EXPENSE'!R14</f>
        <v/>
      </c>
      <c r="H11" s="20" t="n"/>
      <c r="I11" s="41">
        <f>F11-(G11+H11)</f>
        <v/>
      </c>
      <c r="J11" s="41">
        <f>'May2026-COLLECTION'!K10</f>
        <v/>
      </c>
      <c r="K11" s="41">
        <f>'May2026-EXPENSE'!R14</f>
        <v/>
      </c>
      <c r="L11" s="21" t="n"/>
      <c r="M11" s="41">
        <f>J11-(K11+L11)</f>
        <v/>
      </c>
      <c r="N11" s="41">
        <f>'June2026-COLLECTION'!K10</f>
        <v/>
      </c>
      <c r="O11" s="41">
        <f>'June2026-EXPENSE'!R14</f>
        <v/>
      </c>
      <c r="P11" s="20" t="n"/>
      <c r="Q11" s="41">
        <f>N11-(O11+P11)</f>
        <v/>
      </c>
      <c r="R11" s="41">
        <f>'July2026-COLLECTION'!K10</f>
        <v/>
      </c>
      <c r="S11" s="41">
        <f>'July2026-EXPENSE'!R14</f>
        <v/>
      </c>
      <c r="T11" s="21" t="n"/>
      <c r="U11" s="41">
        <f>R11-(S11+T11)</f>
        <v/>
      </c>
      <c r="V11" s="41">
        <f>'Aug2026-COLLECTION'!K10</f>
        <v/>
      </c>
      <c r="W11" s="41">
        <f>'Aug2026-EXPENSE'!R14</f>
        <v/>
      </c>
      <c r="X11" s="20" t="n"/>
      <c r="Y11" s="41">
        <f>V11-(W11+X11)</f>
        <v/>
      </c>
      <c r="Z11" s="41">
        <f>'Sep2026-COLLECTION'!K10</f>
        <v/>
      </c>
      <c r="AA11" s="41">
        <f>'Sep2026-EXPENSE'!R14</f>
        <v/>
      </c>
      <c r="AB11" s="21" t="n"/>
      <c r="AC11" s="41">
        <f>Z11-(AA11+AB11)</f>
        <v/>
      </c>
      <c r="AD11" s="41">
        <f>'Oct2026-COLLECTION'!K10</f>
        <v/>
      </c>
      <c r="AE11" s="41">
        <f>'Oct2026-EXPENSE'!R14</f>
        <v/>
      </c>
      <c r="AF11" s="21" t="n"/>
      <c r="AG11" s="41">
        <f>AD11-(AE11+AF11)</f>
        <v/>
      </c>
      <c r="AH11" s="41">
        <f>'Nov2026-COLLECTION'!K10</f>
        <v/>
      </c>
      <c r="AI11" s="41">
        <f>'Nov2026-EXPENSE'!R14</f>
        <v/>
      </c>
      <c r="AJ11" s="21" t="n"/>
      <c r="AK11" s="41">
        <f>AH11-(AI11+AJ11)</f>
        <v/>
      </c>
      <c r="AL11" s="41">
        <f>'Dec2026-COLLECTION'!K10</f>
        <v/>
      </c>
      <c r="AM11" s="41">
        <f>'Dec2026-EXPENSE'!R14</f>
        <v/>
      </c>
      <c r="AN11" s="21" t="n"/>
      <c r="AO11" s="41">
        <f>AL11-(AM11+AN11)</f>
        <v/>
      </c>
      <c r="AP11" s="41">
        <f>'Jan2027-COLLECTION'!K10</f>
        <v/>
      </c>
      <c r="AQ11" s="41">
        <f>'Jan2027-EXPENSE'!R14</f>
        <v/>
      </c>
      <c r="AR11" s="2" t="n"/>
      <c r="AS11" s="41">
        <f>AP11-(AQ11+AR11)</f>
        <v/>
      </c>
      <c r="AT11" s="41">
        <f>'Feb2027-COLLECTION'!K10</f>
        <v/>
      </c>
      <c r="AU11" s="41">
        <f>'Feb2027-EXPENSE'!R14</f>
        <v/>
      </c>
      <c r="AV11" s="2" t="n"/>
      <c r="AW11" s="41">
        <f>AT11-(AU11+AV11)</f>
        <v/>
      </c>
      <c r="AX11" s="41">
        <f>'Mar2027-COLLECTION'!K10</f>
        <v/>
      </c>
      <c r="AY11" s="41">
        <f>'Mar2027-EXPENSE'!R14</f>
        <v/>
      </c>
      <c r="AZ11" s="2" t="n"/>
      <c r="BA11" s="41">
        <f>AX11-(AY11+AZ11)</f>
        <v/>
      </c>
      <c r="BB11" s="41">
        <f>SUM(F11,J11,N11,R11,V11,Z11,AD11,AH11,AL11,AP11,AT11,AX11)</f>
        <v/>
      </c>
      <c r="BC11" s="41">
        <f>SUM(J11,N11,R11,V11,Z11,AD11,AH11,AL11,AP11,AT11,AX11)</f>
        <v/>
      </c>
      <c r="BD11" s="41">
        <f>SUM(G11,K11,O11,S11,W11,AA11,AE11,AI11,AM11,AQ11,AU11,AY11)</f>
        <v/>
      </c>
      <c r="BE11" s="41" t="n">
        <v>0</v>
      </c>
      <c r="BF11" s="41">
        <f>BB11-(BD11+BE11)</f>
        <v/>
      </c>
      <c r="BG11" s="41">
        <f>BC11-(BD11+BE11)</f>
        <v/>
      </c>
      <c r="BH11" s="41">
        <f>E11+BF11</f>
        <v/>
      </c>
      <c r="BI11" s="41">
        <f>E11+F11+IF(BG11&gt;=0,BG11,0)</f>
        <v/>
      </c>
      <c r="BJ11" s="41" t="n">
        <v>0</v>
      </c>
    </row>
    <row r="12" ht="15.95" customHeight="1">
      <c r="A12" s="36" t="inlineStr">
        <is>
          <t>F10</t>
        </is>
      </c>
      <c r="B12" s="42" t="n"/>
      <c r="C12" s="42" t="inlineStr">
        <is>
          <t>Aby Thomas</t>
        </is>
      </c>
      <c r="D12" s="43" t="n">
        <v>0</v>
      </c>
      <c r="E12" s="43" t="n">
        <v>0</v>
      </c>
      <c r="F12" s="43">
        <f>'Apr2026-COLLECTION'!K11</f>
        <v/>
      </c>
      <c r="G12" s="43">
        <f>'Apr2026-EXPENSE'!R15</f>
        <v/>
      </c>
      <c r="H12" s="20" t="n"/>
      <c r="I12" s="43">
        <f>F12-(G12+H12)</f>
        <v/>
      </c>
      <c r="J12" s="43">
        <f>'May2026-COLLECTION'!K11</f>
        <v/>
      </c>
      <c r="K12" s="43">
        <f>'May2026-EXPENSE'!R15</f>
        <v/>
      </c>
      <c r="L12" s="21" t="n"/>
      <c r="M12" s="43">
        <f>J12-(K12+L12)</f>
        <v/>
      </c>
      <c r="N12" s="43">
        <f>'June2026-COLLECTION'!K11</f>
        <v/>
      </c>
      <c r="O12" s="43">
        <f>'June2026-EXPENSE'!R15</f>
        <v/>
      </c>
      <c r="P12" s="20" t="n"/>
      <c r="Q12" s="43">
        <f>N12-(O12+P12)</f>
        <v/>
      </c>
      <c r="R12" s="43">
        <f>'July2026-COLLECTION'!K11</f>
        <v/>
      </c>
      <c r="S12" s="43">
        <f>'July2026-EXPENSE'!R15</f>
        <v/>
      </c>
      <c r="T12" s="21" t="n"/>
      <c r="U12" s="43">
        <f>R12-(S12+T12)</f>
        <v/>
      </c>
      <c r="V12" s="43">
        <f>'Aug2026-COLLECTION'!K11</f>
        <v/>
      </c>
      <c r="W12" s="43">
        <f>'Aug2026-EXPENSE'!R15</f>
        <v/>
      </c>
      <c r="X12" s="20" t="n"/>
      <c r="Y12" s="43">
        <f>V12-(W12+X12)</f>
        <v/>
      </c>
      <c r="Z12" s="43">
        <f>'Sep2026-COLLECTION'!K11</f>
        <v/>
      </c>
      <c r="AA12" s="43">
        <f>'Sep2026-EXPENSE'!R15</f>
        <v/>
      </c>
      <c r="AB12" s="21" t="n"/>
      <c r="AC12" s="43">
        <f>Z12-(AA12+AB12)</f>
        <v/>
      </c>
      <c r="AD12" s="43">
        <f>'Oct2026-COLLECTION'!K11</f>
        <v/>
      </c>
      <c r="AE12" s="43">
        <f>'Oct2026-EXPENSE'!R15</f>
        <v/>
      </c>
      <c r="AF12" s="21" t="n"/>
      <c r="AG12" s="43">
        <f>AD12-(AE12+AF12)</f>
        <v/>
      </c>
      <c r="AH12" s="43">
        <f>'Nov2026-COLLECTION'!K11</f>
        <v/>
      </c>
      <c r="AI12" s="43">
        <f>'Nov2026-EXPENSE'!R15</f>
        <v/>
      </c>
      <c r="AJ12" s="21" t="n"/>
      <c r="AK12" s="43">
        <f>AH12-(AI12+AJ12)</f>
        <v/>
      </c>
      <c r="AL12" s="43">
        <f>'Dec2026-COLLECTION'!K11</f>
        <v/>
      </c>
      <c r="AM12" s="43">
        <f>'Dec2026-EXPENSE'!R15</f>
        <v/>
      </c>
      <c r="AN12" s="21" t="n"/>
      <c r="AO12" s="43">
        <f>AL12-(AM12+AN12)</f>
        <v/>
      </c>
      <c r="AP12" s="43">
        <f>'Jan2027-COLLECTION'!K11</f>
        <v/>
      </c>
      <c r="AQ12" s="43">
        <f>'Jan2027-EXPENSE'!R15</f>
        <v/>
      </c>
      <c r="AR12" s="2" t="n"/>
      <c r="AS12" s="43">
        <f>AP12-(AQ12+AR12)</f>
        <v/>
      </c>
      <c r="AT12" s="43">
        <f>'Feb2027-COLLECTION'!K11</f>
        <v/>
      </c>
      <c r="AU12" s="43">
        <f>'Feb2027-EXPENSE'!R15</f>
        <v/>
      </c>
      <c r="AV12" s="2" t="n"/>
      <c r="AW12" s="43">
        <f>AT12-(AU12+AV12)</f>
        <v/>
      </c>
      <c r="AX12" s="43">
        <f>'Mar2027-COLLECTION'!K11</f>
        <v/>
      </c>
      <c r="AY12" s="43">
        <f>'Mar2027-EXPENSE'!R15</f>
        <v/>
      </c>
      <c r="AZ12" s="2" t="n"/>
      <c r="BA12" s="43">
        <f>AX12-(AY12+AZ12)</f>
        <v/>
      </c>
      <c r="BB12" s="43">
        <f>SUM(F12,J12,N12,R12,V12,Z12,AD12,AH12,AL12,AP12,AT12,AX12)</f>
        <v/>
      </c>
      <c r="BC12" s="43">
        <f>SUM(J12,N12,R12,V12,Z12,AD12,AH12,AL12,AP12,AT12,AX12)</f>
        <v/>
      </c>
      <c r="BD12" s="43">
        <f>SUM(G12,K12,O12,S12,W12,AA12,AE12,AI12,AM12,AQ12,AU12,AY12)</f>
        <v/>
      </c>
      <c r="BE12" s="43" t="n">
        <v>0</v>
      </c>
      <c r="BF12" s="43">
        <f>BB12-(BD12+BE12)</f>
        <v/>
      </c>
      <c r="BG12" s="43">
        <f>BC12-(BD12+BE12)</f>
        <v/>
      </c>
      <c r="BH12" s="43">
        <f>E12+BF12</f>
        <v/>
      </c>
      <c r="BI12" s="43">
        <f>E12+F12+IF(BG12&gt;=0,BG12,0)</f>
        <v/>
      </c>
      <c r="BJ12" s="43" t="n">
        <v>0</v>
      </c>
    </row>
    <row r="13" ht="15.95" customHeight="1">
      <c r="A13" s="37" t="inlineStr">
        <is>
          <t>F11</t>
        </is>
      </c>
      <c r="B13" s="40" t="n"/>
      <c r="C13" s="40" t="inlineStr">
        <is>
          <t>Niwin Anto</t>
        </is>
      </c>
      <c r="D13" s="41" t="n">
        <v>0</v>
      </c>
      <c r="E13" s="41" t="n">
        <v>0</v>
      </c>
      <c r="F13" s="41">
        <f>'Apr2026-COLLECTION'!K12</f>
        <v/>
      </c>
      <c r="G13" s="41">
        <f>'Apr2026-EXPENSE'!R16</f>
        <v/>
      </c>
      <c r="H13" s="20" t="n"/>
      <c r="I13" s="41">
        <f>F13-(G13+H13)</f>
        <v/>
      </c>
      <c r="J13" s="41">
        <f>'May2026-COLLECTION'!K12</f>
        <v/>
      </c>
      <c r="K13" s="41">
        <f>'May2026-EXPENSE'!R16</f>
        <v/>
      </c>
      <c r="L13" s="21" t="n"/>
      <c r="M13" s="41">
        <f>J13-(K13+L13)</f>
        <v/>
      </c>
      <c r="N13" s="41">
        <f>'June2026-COLLECTION'!K12</f>
        <v/>
      </c>
      <c r="O13" s="41">
        <f>'June2026-EXPENSE'!R16</f>
        <v/>
      </c>
      <c r="P13" s="20" t="n"/>
      <c r="Q13" s="41">
        <f>N13-(O13+P13)</f>
        <v/>
      </c>
      <c r="R13" s="41">
        <f>'July2026-COLLECTION'!K12</f>
        <v/>
      </c>
      <c r="S13" s="41">
        <f>'July2026-EXPENSE'!R16</f>
        <v/>
      </c>
      <c r="T13" s="21" t="n"/>
      <c r="U13" s="41">
        <f>R13-(S13+T13)</f>
        <v/>
      </c>
      <c r="V13" s="41">
        <f>'Aug2026-COLLECTION'!K12</f>
        <v/>
      </c>
      <c r="W13" s="41">
        <f>'Aug2026-EXPENSE'!R16</f>
        <v/>
      </c>
      <c r="X13" s="20" t="n"/>
      <c r="Y13" s="41">
        <f>V13-(W13+X13)</f>
        <v/>
      </c>
      <c r="Z13" s="41">
        <f>'Sep2026-COLLECTION'!K12</f>
        <v/>
      </c>
      <c r="AA13" s="41">
        <f>'Sep2026-EXPENSE'!R16</f>
        <v/>
      </c>
      <c r="AB13" s="21" t="n"/>
      <c r="AC13" s="41">
        <f>Z13-(AA13+AB13)</f>
        <v/>
      </c>
      <c r="AD13" s="41">
        <f>'Oct2026-COLLECTION'!K12</f>
        <v/>
      </c>
      <c r="AE13" s="41">
        <f>'Oct2026-EXPENSE'!R16</f>
        <v/>
      </c>
      <c r="AF13" s="21" t="n"/>
      <c r="AG13" s="41">
        <f>AD13-(AE13+AF13)</f>
        <v/>
      </c>
      <c r="AH13" s="41">
        <f>'Nov2026-COLLECTION'!K12</f>
        <v/>
      </c>
      <c r="AI13" s="41">
        <f>'Nov2026-EXPENSE'!R16</f>
        <v/>
      </c>
      <c r="AJ13" s="21" t="n"/>
      <c r="AK13" s="41">
        <f>AH13-(AI13+AJ13)</f>
        <v/>
      </c>
      <c r="AL13" s="41">
        <f>'Dec2026-COLLECTION'!K12</f>
        <v/>
      </c>
      <c r="AM13" s="41">
        <f>'Dec2026-EXPENSE'!R16</f>
        <v/>
      </c>
      <c r="AN13" s="21" t="n"/>
      <c r="AO13" s="41">
        <f>AL13-(AM13+AN13)</f>
        <v/>
      </c>
      <c r="AP13" s="41">
        <f>'Jan2027-COLLECTION'!K12</f>
        <v/>
      </c>
      <c r="AQ13" s="41">
        <f>'Jan2027-EXPENSE'!R16</f>
        <v/>
      </c>
      <c r="AR13" s="2" t="n"/>
      <c r="AS13" s="41">
        <f>AP13-(AQ13+AR13)</f>
        <v/>
      </c>
      <c r="AT13" s="41">
        <f>'Feb2027-COLLECTION'!K12</f>
        <v/>
      </c>
      <c r="AU13" s="41">
        <f>'Feb2027-EXPENSE'!R16</f>
        <v/>
      </c>
      <c r="AV13" s="2" t="n"/>
      <c r="AW13" s="41">
        <f>AT13-(AU13+AV13)</f>
        <v/>
      </c>
      <c r="AX13" s="41">
        <f>'Mar2027-COLLECTION'!K12</f>
        <v/>
      </c>
      <c r="AY13" s="41">
        <f>'Mar2027-EXPENSE'!R16</f>
        <v/>
      </c>
      <c r="AZ13" s="2" t="n"/>
      <c r="BA13" s="41">
        <f>AX13-(AY13+AZ13)</f>
        <v/>
      </c>
      <c r="BB13" s="41">
        <f>SUM(F13,J13,N13,R13,V13,Z13,AD13,AH13,AL13,AP13,AT13,AX13)</f>
        <v/>
      </c>
      <c r="BC13" s="41">
        <f>SUM(J13,N13,R13,V13,Z13,AD13,AH13,AL13,AP13,AT13,AX13)</f>
        <v/>
      </c>
      <c r="BD13" s="41">
        <f>SUM(G13,K13,O13,S13,W13,AA13,AE13,AI13,AM13,AQ13,AU13,AY13)</f>
        <v/>
      </c>
      <c r="BE13" s="41" t="n">
        <v>0</v>
      </c>
      <c r="BF13" s="41">
        <f>BB13-(BD13+BE13)</f>
        <v/>
      </c>
      <c r="BG13" s="41">
        <f>BC13-(BD13+BE13)</f>
        <v/>
      </c>
      <c r="BH13" s="41">
        <f>E13+BF13</f>
        <v/>
      </c>
      <c r="BI13" s="41">
        <f>E13+F13+IF(BG13&gt;=0,BG13,0)</f>
        <v/>
      </c>
      <c r="BJ13" s="41" t="n">
        <v>0</v>
      </c>
    </row>
    <row r="14" ht="15.95" customHeight="1">
      <c r="A14" s="36" t="inlineStr">
        <is>
          <t>F12</t>
        </is>
      </c>
      <c r="B14" s="42" t="n"/>
      <c r="C14" s="42" t="inlineStr">
        <is>
          <t>Anirudh Singh</t>
        </is>
      </c>
      <c r="D14" s="43" t="n">
        <v>0</v>
      </c>
      <c r="E14" s="43" t="n">
        <v>0</v>
      </c>
      <c r="F14" s="43">
        <f>'Apr2026-COLLECTION'!K13</f>
        <v/>
      </c>
      <c r="G14" s="43">
        <f>'Apr2026-EXPENSE'!R17</f>
        <v/>
      </c>
      <c r="H14" s="20" t="n"/>
      <c r="I14" s="43">
        <f>F14-(G14+H14)</f>
        <v/>
      </c>
      <c r="J14" s="43">
        <f>'May2026-COLLECTION'!K13</f>
        <v/>
      </c>
      <c r="K14" s="43">
        <f>'May2026-EXPENSE'!R17</f>
        <v/>
      </c>
      <c r="L14" s="21" t="n"/>
      <c r="M14" s="43">
        <f>J14-(K14+L14)</f>
        <v/>
      </c>
      <c r="N14" s="43">
        <f>'June2026-COLLECTION'!K13</f>
        <v/>
      </c>
      <c r="O14" s="43">
        <f>'June2026-EXPENSE'!R17</f>
        <v/>
      </c>
      <c r="P14" s="20" t="n"/>
      <c r="Q14" s="43">
        <f>N14-(O14+P14)</f>
        <v/>
      </c>
      <c r="R14" s="43">
        <f>'July2026-COLLECTION'!K13</f>
        <v/>
      </c>
      <c r="S14" s="43">
        <f>'July2026-EXPENSE'!R17</f>
        <v/>
      </c>
      <c r="T14" s="21" t="n"/>
      <c r="U14" s="43">
        <f>R14-(S14+T14)</f>
        <v/>
      </c>
      <c r="V14" s="43">
        <f>'Aug2026-COLLECTION'!K13</f>
        <v/>
      </c>
      <c r="W14" s="43">
        <f>'Aug2026-EXPENSE'!R17</f>
        <v/>
      </c>
      <c r="X14" s="20" t="n"/>
      <c r="Y14" s="43">
        <f>V14-(W14+X14)</f>
        <v/>
      </c>
      <c r="Z14" s="43">
        <f>'Sep2026-COLLECTION'!K13</f>
        <v/>
      </c>
      <c r="AA14" s="43">
        <f>'Sep2026-EXPENSE'!R17</f>
        <v/>
      </c>
      <c r="AB14" s="21" t="n"/>
      <c r="AC14" s="43">
        <f>Z14-(AA14+AB14)</f>
        <v/>
      </c>
      <c r="AD14" s="43">
        <f>'Oct2026-COLLECTION'!K13</f>
        <v/>
      </c>
      <c r="AE14" s="43">
        <f>'Oct2026-EXPENSE'!R17</f>
        <v/>
      </c>
      <c r="AF14" s="21" t="n"/>
      <c r="AG14" s="43">
        <f>AD14-(AE14+AF14)</f>
        <v/>
      </c>
      <c r="AH14" s="43">
        <f>'Nov2026-COLLECTION'!K13</f>
        <v/>
      </c>
      <c r="AI14" s="43">
        <f>'Nov2026-EXPENSE'!R17</f>
        <v/>
      </c>
      <c r="AJ14" s="21" t="n"/>
      <c r="AK14" s="43">
        <f>AH14-(AI14+AJ14)</f>
        <v/>
      </c>
      <c r="AL14" s="43">
        <f>'Dec2026-COLLECTION'!K13</f>
        <v/>
      </c>
      <c r="AM14" s="43">
        <f>'Dec2026-EXPENSE'!R17</f>
        <v/>
      </c>
      <c r="AN14" s="21" t="n"/>
      <c r="AO14" s="43">
        <f>AL14-(AM14+AN14)</f>
        <v/>
      </c>
      <c r="AP14" s="43">
        <f>'Jan2027-COLLECTION'!K13</f>
        <v/>
      </c>
      <c r="AQ14" s="43">
        <f>'Jan2027-EXPENSE'!R17</f>
        <v/>
      </c>
      <c r="AR14" s="2" t="n"/>
      <c r="AS14" s="43">
        <f>AP14-(AQ14+AR14)</f>
        <v/>
      </c>
      <c r="AT14" s="43">
        <f>'Feb2027-COLLECTION'!K13</f>
        <v/>
      </c>
      <c r="AU14" s="43">
        <f>'Feb2027-EXPENSE'!R17</f>
        <v/>
      </c>
      <c r="AV14" s="2" t="n"/>
      <c r="AW14" s="43">
        <f>AT14-(AU14+AV14)</f>
        <v/>
      </c>
      <c r="AX14" s="43">
        <f>'Mar2027-COLLECTION'!K13</f>
        <v/>
      </c>
      <c r="AY14" s="43">
        <f>'Mar2027-EXPENSE'!R17</f>
        <v/>
      </c>
      <c r="AZ14" s="2" t="n"/>
      <c r="BA14" s="43">
        <f>AX14-(AY14+AZ14)</f>
        <v/>
      </c>
      <c r="BB14" s="43">
        <f>SUM(F14,J14,N14,R14,V14,Z14,AD14,AH14,AL14,AP14,AT14,AX14)</f>
        <v/>
      </c>
      <c r="BC14" s="43">
        <f>SUM(J14,N14,R14,V14,Z14,AD14,AH14,AL14,AP14,AT14,AX14)</f>
        <v/>
      </c>
      <c r="BD14" s="43">
        <f>SUM(G14,K14,O14,S14,W14,AA14,AE14,AI14,AM14,AQ14,AU14,AY14)</f>
        <v/>
      </c>
      <c r="BE14" s="43" t="n">
        <v>0</v>
      </c>
      <c r="BF14" s="43">
        <f>BB14-(BD14+BE14)</f>
        <v/>
      </c>
      <c r="BG14" s="43">
        <f>BC14-(BD14+BE14)</f>
        <v/>
      </c>
      <c r="BH14" s="43">
        <f>E14+BF14</f>
        <v/>
      </c>
      <c r="BI14" s="43">
        <f>E14+F14+IF(BG14&gt;=0,BG14,0)</f>
        <v/>
      </c>
      <c r="BJ14" s="43" t="n">
        <v>0</v>
      </c>
    </row>
    <row r="15" ht="15.95" customHeight="1">
      <c r="A15" s="37" t="inlineStr">
        <is>
          <t>F13</t>
        </is>
      </c>
      <c r="B15" s="40" t="n"/>
      <c r="C15" s="40" t="inlineStr">
        <is>
          <t>Sanchay Saxena</t>
        </is>
      </c>
      <c r="D15" s="41" t="n">
        <v>0</v>
      </c>
      <c r="E15" s="41" t="n">
        <v>0</v>
      </c>
      <c r="F15" s="41">
        <f>'Apr2026-COLLECTION'!K14</f>
        <v/>
      </c>
      <c r="G15" s="41">
        <f>'Apr2026-EXPENSE'!R18</f>
        <v/>
      </c>
      <c r="H15" s="20" t="n"/>
      <c r="I15" s="41">
        <f>F15-(G15+H15)</f>
        <v/>
      </c>
      <c r="J15" s="41">
        <f>'May2026-COLLECTION'!K14</f>
        <v/>
      </c>
      <c r="K15" s="41">
        <f>'May2026-EXPENSE'!R18</f>
        <v/>
      </c>
      <c r="L15" s="41" t="n">
        <v>0</v>
      </c>
      <c r="M15" s="41">
        <f>J15-(K15+L15)</f>
        <v/>
      </c>
      <c r="N15" s="41">
        <f>'June2026-COLLECTION'!K14</f>
        <v/>
      </c>
      <c r="O15" s="41">
        <f>'June2026-EXPENSE'!R18</f>
        <v/>
      </c>
      <c r="P15" s="20" t="n"/>
      <c r="Q15" s="41">
        <f>N15-(O15+P15)</f>
        <v/>
      </c>
      <c r="R15" s="41">
        <f>'July2026-COLLECTION'!K14</f>
        <v/>
      </c>
      <c r="S15" s="41">
        <f>'July2026-EXPENSE'!R18</f>
        <v/>
      </c>
      <c r="T15" s="21" t="n"/>
      <c r="U15" s="41">
        <f>R15-(S15+T15)</f>
        <v/>
      </c>
      <c r="V15" s="41">
        <f>'Aug2026-COLLECTION'!K14</f>
        <v/>
      </c>
      <c r="W15" s="41">
        <f>'Aug2026-EXPENSE'!R18</f>
        <v/>
      </c>
      <c r="X15" s="20" t="n"/>
      <c r="Y15" s="41">
        <f>V15-(W15+X15)</f>
        <v/>
      </c>
      <c r="Z15" s="41">
        <f>'Sep2026-COLLECTION'!K14</f>
        <v/>
      </c>
      <c r="AA15" s="41">
        <f>'Sep2026-EXPENSE'!R18</f>
        <v/>
      </c>
      <c r="AB15" s="21" t="n"/>
      <c r="AC15" s="41">
        <f>Z15-(AA15+AB15)</f>
        <v/>
      </c>
      <c r="AD15" s="41">
        <f>'Oct2026-COLLECTION'!K14</f>
        <v/>
      </c>
      <c r="AE15" s="41">
        <f>'Oct2026-EXPENSE'!R18</f>
        <v/>
      </c>
      <c r="AF15" s="21" t="n"/>
      <c r="AG15" s="41">
        <f>AD15-(AE15+AF15)</f>
        <v/>
      </c>
      <c r="AH15" s="41">
        <f>'Nov2026-COLLECTION'!K14</f>
        <v/>
      </c>
      <c r="AI15" s="41">
        <f>'Nov2026-EXPENSE'!R18</f>
        <v/>
      </c>
      <c r="AJ15" s="21" t="n"/>
      <c r="AK15" s="41">
        <f>AH15-(AI15+AJ15)</f>
        <v/>
      </c>
      <c r="AL15" s="41">
        <f>'Dec2026-COLLECTION'!K14</f>
        <v/>
      </c>
      <c r="AM15" s="41">
        <f>'Dec2026-EXPENSE'!R18</f>
        <v/>
      </c>
      <c r="AN15" s="21" t="n"/>
      <c r="AO15" s="41">
        <f>AL15-(AM15+AN15)</f>
        <v/>
      </c>
      <c r="AP15" s="41">
        <f>'Jan2027-COLLECTION'!K14</f>
        <v/>
      </c>
      <c r="AQ15" s="41">
        <f>'Jan2027-EXPENSE'!R18</f>
        <v/>
      </c>
      <c r="AR15" s="2" t="n"/>
      <c r="AS15" s="41">
        <f>AP15-(AQ15+AR15)</f>
        <v/>
      </c>
      <c r="AT15" s="41">
        <f>'Feb2027-COLLECTION'!K14</f>
        <v/>
      </c>
      <c r="AU15" s="41">
        <f>'Feb2027-EXPENSE'!R18</f>
        <v/>
      </c>
      <c r="AV15" s="2" t="n"/>
      <c r="AW15" s="41">
        <f>AT15-(AU15+AV15)</f>
        <v/>
      </c>
      <c r="AX15" s="41">
        <f>'Mar2027-COLLECTION'!K14</f>
        <v/>
      </c>
      <c r="AY15" s="41">
        <f>'Mar2027-EXPENSE'!R18</f>
        <v/>
      </c>
      <c r="AZ15" s="2" t="n"/>
      <c r="BA15" s="41">
        <f>AX15-(AY15+AZ15)</f>
        <v/>
      </c>
      <c r="BB15" s="41">
        <f>SUM(F15,J15,N15,R15,V15,Z15,AD15,AH15,AL15,AP15,AT15,AX15)</f>
        <v/>
      </c>
      <c r="BC15" s="41">
        <f>SUM(J15,N15,R15,V15,Z15,AD15,AH15,AL15,AP15,AT15,AX15)</f>
        <v/>
      </c>
      <c r="BD15" s="41">
        <f>SUM(G15,K15,O15,S15,W15,AA15,AE15,AI15,AM15,AQ15,AU15,AY15)</f>
        <v/>
      </c>
      <c r="BE15" s="41" t="n">
        <v>0</v>
      </c>
      <c r="BF15" s="41">
        <f>BB15-(BD15+BE15)</f>
        <v/>
      </c>
      <c r="BG15" s="41">
        <f>BC15-(BD15+BE15)</f>
        <v/>
      </c>
      <c r="BH15" s="41">
        <f>E15+BF15</f>
        <v/>
      </c>
      <c r="BI15" s="41">
        <f>E15+F15+IF(BG15&gt;=0,BG15,0)</f>
        <v/>
      </c>
      <c r="BJ15" s="41" t="n">
        <v>0</v>
      </c>
    </row>
    <row r="16" ht="15.95" customHeight="1">
      <c r="A16" s="36" t="inlineStr">
        <is>
          <t>F14</t>
        </is>
      </c>
      <c r="B16" s="42" t="n"/>
      <c r="C16" s="42" t="inlineStr">
        <is>
          <t>Hemant Patel</t>
        </is>
      </c>
      <c r="D16" s="43" t="n">
        <v>0</v>
      </c>
      <c r="E16" s="43" t="n">
        <v>0</v>
      </c>
      <c r="F16" s="43">
        <f>'Apr2026-COLLECTION'!K15</f>
        <v/>
      </c>
      <c r="G16" s="43">
        <f>'Apr2026-EXPENSE'!R19</f>
        <v/>
      </c>
      <c r="H16" s="20" t="n"/>
      <c r="I16" s="43">
        <f>F16-(G16+H16)</f>
        <v/>
      </c>
      <c r="J16" s="43">
        <f>'May2026-COLLECTION'!K15</f>
        <v/>
      </c>
      <c r="K16" s="43">
        <f>'May2026-EXPENSE'!R19</f>
        <v/>
      </c>
      <c r="L16" s="21" t="n"/>
      <c r="M16" s="43">
        <f>J16-(K16+L16)</f>
        <v/>
      </c>
      <c r="N16" s="43">
        <f>'June2026-COLLECTION'!K15</f>
        <v/>
      </c>
      <c r="O16" s="43">
        <f>'June2026-EXPENSE'!R19</f>
        <v/>
      </c>
      <c r="P16" s="20" t="n"/>
      <c r="Q16" s="43">
        <f>N16-(O16+P16)</f>
        <v/>
      </c>
      <c r="R16" s="43">
        <f>'July2026-COLLECTION'!K15</f>
        <v/>
      </c>
      <c r="S16" s="43">
        <f>'July2026-EXPENSE'!R19</f>
        <v/>
      </c>
      <c r="T16" s="21" t="n"/>
      <c r="U16" s="43">
        <f>R16-(S16+T16)</f>
        <v/>
      </c>
      <c r="V16" s="43">
        <f>'Aug2026-COLLECTION'!K15</f>
        <v/>
      </c>
      <c r="W16" s="43">
        <f>'Aug2026-EXPENSE'!R19</f>
        <v/>
      </c>
      <c r="X16" s="20" t="n"/>
      <c r="Y16" s="43">
        <f>V16-(W16+X16)</f>
        <v/>
      </c>
      <c r="Z16" s="43">
        <f>'Sep2026-COLLECTION'!K15</f>
        <v/>
      </c>
      <c r="AA16" s="43">
        <f>'Sep2026-EXPENSE'!R19</f>
        <v/>
      </c>
      <c r="AB16" s="21" t="n"/>
      <c r="AC16" s="43">
        <f>Z16-(AA16+AB16)</f>
        <v/>
      </c>
      <c r="AD16" s="43">
        <f>'Oct2026-COLLECTION'!K15</f>
        <v/>
      </c>
      <c r="AE16" s="43">
        <f>'Oct2026-EXPENSE'!R19</f>
        <v/>
      </c>
      <c r="AF16" s="21" t="n"/>
      <c r="AG16" s="43">
        <f>AD16-(AE16+AF16)</f>
        <v/>
      </c>
      <c r="AH16" s="43">
        <f>'Nov2026-COLLECTION'!K15</f>
        <v/>
      </c>
      <c r="AI16" s="43">
        <f>'Nov2026-EXPENSE'!R19</f>
        <v/>
      </c>
      <c r="AJ16" s="21" t="n"/>
      <c r="AK16" s="43">
        <f>AH16-(AI16+AJ16)</f>
        <v/>
      </c>
      <c r="AL16" s="43">
        <f>'Dec2026-COLLECTION'!K15</f>
        <v/>
      </c>
      <c r="AM16" s="43">
        <f>'Dec2026-EXPENSE'!R19</f>
        <v/>
      </c>
      <c r="AN16" s="21" t="n"/>
      <c r="AO16" s="43">
        <f>AL16-(AM16+AN16)</f>
        <v/>
      </c>
      <c r="AP16" s="43">
        <f>'Jan2027-COLLECTION'!K15</f>
        <v/>
      </c>
      <c r="AQ16" s="43">
        <f>'Jan2027-EXPENSE'!R19</f>
        <v/>
      </c>
      <c r="AR16" s="2" t="n"/>
      <c r="AS16" s="43">
        <f>AP16-(AQ16+AR16)</f>
        <v/>
      </c>
      <c r="AT16" s="43">
        <f>'Feb2027-COLLECTION'!K15</f>
        <v/>
      </c>
      <c r="AU16" s="43">
        <f>'Feb2027-EXPENSE'!R19</f>
        <v/>
      </c>
      <c r="AV16" s="2" t="n"/>
      <c r="AW16" s="43">
        <f>AT16-(AU16+AV16)</f>
        <v/>
      </c>
      <c r="AX16" s="43">
        <f>'Mar2027-COLLECTION'!K15</f>
        <v/>
      </c>
      <c r="AY16" s="43">
        <f>'Mar2027-EXPENSE'!R19</f>
        <v/>
      </c>
      <c r="AZ16" s="2" t="n"/>
      <c r="BA16" s="43">
        <f>AX16-(AY16+AZ16)</f>
        <v/>
      </c>
      <c r="BB16" s="43">
        <f>SUM(F16,J16,N16,R16,V16,Z16,AD16,AH16,AL16,AP16,AT16,AX16)</f>
        <v/>
      </c>
      <c r="BC16" s="43">
        <f>SUM(J16,N16,R16,V16,Z16,AD16,AH16,AL16,AP16,AT16,AX16)</f>
        <v/>
      </c>
      <c r="BD16" s="43">
        <f>SUM(G16,K16,O16,S16,W16,AA16,AE16,AI16,AM16,AQ16,AU16,AY16)</f>
        <v/>
      </c>
      <c r="BE16" s="43" t="n">
        <v>0</v>
      </c>
      <c r="BF16" s="43">
        <f>BB16-(BD16+BE16)</f>
        <v/>
      </c>
      <c r="BG16" s="43">
        <f>BC16-(BD16+BE16)</f>
        <v/>
      </c>
      <c r="BH16" s="43">
        <f>E16+BF16</f>
        <v/>
      </c>
      <c r="BI16" s="43">
        <f>E16+F16+IF(BG16&gt;=0,BG16,0)</f>
        <v/>
      </c>
      <c r="BJ16" s="43" t="n">
        <v>0</v>
      </c>
    </row>
    <row r="17" ht="15.95" customHeight="1">
      <c r="A17" s="37" t="inlineStr">
        <is>
          <t>F15</t>
        </is>
      </c>
      <c r="B17" s="40" t="n"/>
      <c r="C17" s="40" t="inlineStr">
        <is>
          <t>Senthil.Vijayaragavan</t>
        </is>
      </c>
      <c r="D17" s="41" t="n">
        <v>0</v>
      </c>
      <c r="E17" s="41" t="n">
        <v>0</v>
      </c>
      <c r="F17" s="41">
        <f>'Apr2026-COLLECTION'!K16</f>
        <v/>
      </c>
      <c r="G17" s="41">
        <f>'Apr2026-EXPENSE'!R20</f>
        <v/>
      </c>
      <c r="H17" s="20" t="n"/>
      <c r="I17" s="41">
        <f>F17-(G17+H17)</f>
        <v/>
      </c>
      <c r="J17" s="41">
        <f>'May2026-COLLECTION'!K16</f>
        <v/>
      </c>
      <c r="K17" s="41">
        <f>'May2026-EXPENSE'!R20</f>
        <v/>
      </c>
      <c r="L17" s="21" t="n"/>
      <c r="M17" s="41">
        <f>J17-(K17+L17)</f>
        <v/>
      </c>
      <c r="N17" s="41">
        <f>'June2026-COLLECTION'!K16</f>
        <v/>
      </c>
      <c r="O17" s="41">
        <f>'June2026-EXPENSE'!R20</f>
        <v/>
      </c>
      <c r="P17" s="20" t="n"/>
      <c r="Q17" s="41">
        <f>N17-(O17+P17)</f>
        <v/>
      </c>
      <c r="R17" s="41">
        <f>'July2026-COLLECTION'!K16</f>
        <v/>
      </c>
      <c r="S17" s="41">
        <f>'July2026-EXPENSE'!R20</f>
        <v/>
      </c>
      <c r="T17" s="21" t="n"/>
      <c r="U17" s="41">
        <f>R17-(S17+T17)</f>
        <v/>
      </c>
      <c r="V17" s="41">
        <f>'Aug2026-COLLECTION'!K16</f>
        <v/>
      </c>
      <c r="W17" s="41">
        <f>'Aug2026-EXPENSE'!R20</f>
        <v/>
      </c>
      <c r="X17" s="20" t="n"/>
      <c r="Y17" s="41">
        <f>V17-(W17+X17)</f>
        <v/>
      </c>
      <c r="Z17" s="41">
        <f>'Sep2026-COLLECTION'!K16</f>
        <v/>
      </c>
      <c r="AA17" s="41">
        <f>'Sep2026-EXPENSE'!R20</f>
        <v/>
      </c>
      <c r="AB17" s="21" t="n"/>
      <c r="AC17" s="41">
        <f>Z17-(AA17+AB17)</f>
        <v/>
      </c>
      <c r="AD17" s="41">
        <f>'Oct2026-COLLECTION'!K16</f>
        <v/>
      </c>
      <c r="AE17" s="41">
        <f>'Oct2026-EXPENSE'!R20</f>
        <v/>
      </c>
      <c r="AF17" s="21" t="n"/>
      <c r="AG17" s="41">
        <f>AD17-(AE17+AF17)</f>
        <v/>
      </c>
      <c r="AH17" s="41">
        <f>'Nov2026-COLLECTION'!K16</f>
        <v/>
      </c>
      <c r="AI17" s="41">
        <f>'Nov2026-EXPENSE'!R20</f>
        <v/>
      </c>
      <c r="AJ17" s="21" t="n"/>
      <c r="AK17" s="41">
        <f>AH17-(AI17+AJ17)</f>
        <v/>
      </c>
      <c r="AL17" s="41">
        <f>'Dec2026-COLLECTION'!K16</f>
        <v/>
      </c>
      <c r="AM17" s="41">
        <f>'Dec2026-EXPENSE'!R20</f>
        <v/>
      </c>
      <c r="AN17" s="21" t="n"/>
      <c r="AO17" s="41">
        <f>AL17-(AM17+AN17)</f>
        <v/>
      </c>
      <c r="AP17" s="41">
        <f>'Jan2027-COLLECTION'!K16</f>
        <v/>
      </c>
      <c r="AQ17" s="41">
        <f>'Jan2027-EXPENSE'!R20</f>
        <v/>
      </c>
      <c r="AR17" s="2" t="n"/>
      <c r="AS17" s="41">
        <f>AP17-(AQ17+AR17)</f>
        <v/>
      </c>
      <c r="AT17" s="41">
        <f>'Feb2027-COLLECTION'!K16</f>
        <v/>
      </c>
      <c r="AU17" s="41">
        <f>'Feb2027-EXPENSE'!R20</f>
        <v/>
      </c>
      <c r="AV17" s="2" t="n"/>
      <c r="AW17" s="41">
        <f>AT17-(AU17+AV17)</f>
        <v/>
      </c>
      <c r="AX17" s="41">
        <f>'Mar2027-COLLECTION'!K16</f>
        <v/>
      </c>
      <c r="AY17" s="41">
        <f>'Mar2027-EXPENSE'!R20</f>
        <v/>
      </c>
      <c r="AZ17" s="2" t="n"/>
      <c r="BA17" s="41">
        <f>AX17-(AY17+AZ17)</f>
        <v/>
      </c>
      <c r="BB17" s="41">
        <f>SUM(F17,J17,N17,R17,V17,Z17,AD17,AH17,AL17,AP17,AT17,AX17)</f>
        <v/>
      </c>
      <c r="BC17" s="41">
        <f>SUM(J17,N17,R17,V17,Z17,AD17,AH17,AL17,AP17,AT17,AX17)</f>
        <v/>
      </c>
      <c r="BD17" s="41">
        <f>SUM(G17,K17,O17,S17,W17,AA17,AE17,AI17,AM17,AQ17,AU17,AY17)</f>
        <v/>
      </c>
      <c r="BE17" s="41" t="n">
        <v>0</v>
      </c>
      <c r="BF17" s="41">
        <f>BB17-(BD17+BE17)</f>
        <v/>
      </c>
      <c r="BG17" s="41">
        <f>BC17-(BD17+BE17)</f>
        <v/>
      </c>
      <c r="BH17" s="41">
        <f>E17+BF17</f>
        <v/>
      </c>
      <c r="BI17" s="41">
        <f>E17+F17+IF(BG17&gt;=0,BG17,0)</f>
        <v/>
      </c>
      <c r="BJ17" s="41" t="n">
        <v>0</v>
      </c>
    </row>
    <row r="18" ht="15.95" customHeight="1">
      <c r="A18" s="36" t="inlineStr">
        <is>
          <t>F16</t>
        </is>
      </c>
      <c r="B18" s="42" t="n"/>
      <c r="C18" s="42" t="inlineStr">
        <is>
          <t>Sreeja Sudharma</t>
        </is>
      </c>
      <c r="D18" s="43" t="n">
        <v>0</v>
      </c>
      <c r="E18" s="43" t="n">
        <v>0</v>
      </c>
      <c r="F18" s="43">
        <f>'Apr2026-COLLECTION'!K17</f>
        <v/>
      </c>
      <c r="G18" s="43">
        <f>'Apr2026-EXPENSE'!R21</f>
        <v/>
      </c>
      <c r="H18" s="20" t="n"/>
      <c r="I18" s="43">
        <f>F18-(G18+H18)</f>
        <v/>
      </c>
      <c r="J18" s="43">
        <f>'May2026-COLLECTION'!K17</f>
        <v/>
      </c>
      <c r="K18" s="43">
        <f>'May2026-EXPENSE'!R21</f>
        <v/>
      </c>
      <c r="L18" s="21" t="n"/>
      <c r="M18" s="43">
        <f>J18-(K18+L18)</f>
        <v/>
      </c>
      <c r="N18" s="43">
        <f>'June2026-COLLECTION'!K17</f>
        <v/>
      </c>
      <c r="O18" s="43">
        <f>'June2026-EXPENSE'!R21</f>
        <v/>
      </c>
      <c r="P18" s="20" t="n"/>
      <c r="Q18" s="43">
        <f>N18-(O18+P18)</f>
        <v/>
      </c>
      <c r="R18" s="43">
        <f>'July2026-COLLECTION'!K17</f>
        <v/>
      </c>
      <c r="S18" s="43">
        <f>'July2026-EXPENSE'!R21</f>
        <v/>
      </c>
      <c r="T18" s="21" t="n"/>
      <c r="U18" s="43">
        <f>R18-(S18+T18)</f>
        <v/>
      </c>
      <c r="V18" s="43">
        <f>'Aug2026-COLLECTION'!K17</f>
        <v/>
      </c>
      <c r="W18" s="43">
        <f>'Aug2026-EXPENSE'!R21</f>
        <v/>
      </c>
      <c r="X18" s="20" t="n"/>
      <c r="Y18" s="43">
        <f>V18-(W18+X18)</f>
        <v/>
      </c>
      <c r="Z18" s="43">
        <f>'Sep2026-COLLECTION'!K17</f>
        <v/>
      </c>
      <c r="AA18" s="43">
        <f>'Sep2026-EXPENSE'!R21</f>
        <v/>
      </c>
      <c r="AB18" s="21" t="n"/>
      <c r="AC18" s="43">
        <f>Z18-(AA18+AB18)</f>
        <v/>
      </c>
      <c r="AD18" s="43">
        <f>'Oct2026-COLLECTION'!K17</f>
        <v/>
      </c>
      <c r="AE18" s="43">
        <f>'Oct2026-EXPENSE'!R21</f>
        <v/>
      </c>
      <c r="AF18" s="21" t="n"/>
      <c r="AG18" s="43">
        <f>AD18-(AE18+AF18)</f>
        <v/>
      </c>
      <c r="AH18" s="43">
        <f>'Nov2026-COLLECTION'!K17</f>
        <v/>
      </c>
      <c r="AI18" s="43">
        <f>'Nov2026-EXPENSE'!R21</f>
        <v/>
      </c>
      <c r="AJ18" s="21" t="n"/>
      <c r="AK18" s="43">
        <f>AH18-(AI18+AJ18)</f>
        <v/>
      </c>
      <c r="AL18" s="43">
        <f>'Dec2026-COLLECTION'!K17</f>
        <v/>
      </c>
      <c r="AM18" s="43">
        <f>'Dec2026-EXPENSE'!R21</f>
        <v/>
      </c>
      <c r="AN18" s="21" t="n"/>
      <c r="AO18" s="43">
        <f>AL18-(AM18+AN18)</f>
        <v/>
      </c>
      <c r="AP18" s="43">
        <f>'Jan2027-COLLECTION'!K17</f>
        <v/>
      </c>
      <c r="AQ18" s="43">
        <f>'Jan2027-EXPENSE'!R21</f>
        <v/>
      </c>
      <c r="AR18" s="2" t="n"/>
      <c r="AS18" s="43">
        <f>AP18-(AQ18+AR18)</f>
        <v/>
      </c>
      <c r="AT18" s="43">
        <f>'Feb2027-COLLECTION'!K17</f>
        <v/>
      </c>
      <c r="AU18" s="43">
        <f>'Feb2027-EXPENSE'!R21</f>
        <v/>
      </c>
      <c r="AV18" s="2" t="n"/>
      <c r="AW18" s="43">
        <f>AT18-(AU18+AV18)</f>
        <v/>
      </c>
      <c r="AX18" s="43">
        <f>'Mar2027-COLLECTION'!K17</f>
        <v/>
      </c>
      <c r="AY18" s="43">
        <f>'Mar2027-EXPENSE'!R21</f>
        <v/>
      </c>
      <c r="AZ18" s="2" t="n"/>
      <c r="BA18" s="43">
        <f>AX18-(AY18+AZ18)</f>
        <v/>
      </c>
      <c r="BB18" s="43">
        <f>SUM(F18,J18,N18,R18,V18,Z18,AD18,AH18,AL18,AP18,AT18,AX18)</f>
        <v/>
      </c>
      <c r="BC18" s="43">
        <f>SUM(J18,N18,R18,V18,Z18,AD18,AH18,AL18,AP18,AT18,AX18)</f>
        <v/>
      </c>
      <c r="BD18" s="43">
        <f>SUM(G18,K18,O18,S18,W18,AA18,AE18,AI18,AM18,AQ18,AU18,AY18)</f>
        <v/>
      </c>
      <c r="BE18" s="43" t="n">
        <v>0</v>
      </c>
      <c r="BF18" s="43">
        <f>BB18-(BD18+BE18)</f>
        <v/>
      </c>
      <c r="BG18" s="43">
        <f>BC18-(BD18+BE18)</f>
        <v/>
      </c>
      <c r="BH18" s="43">
        <f>E18+BF18</f>
        <v/>
      </c>
      <c r="BI18" s="43">
        <f>E18+F18+IF(BG18&gt;=0,BG18,0)</f>
        <v/>
      </c>
      <c r="BJ18" s="43" t="n">
        <v>0</v>
      </c>
    </row>
    <row r="19" ht="15.95" customHeight="1">
      <c r="A19" s="37" t="inlineStr">
        <is>
          <t>G1</t>
        </is>
      </c>
      <c r="B19" s="40" t="inlineStr">
        <is>
          <t>jyothij1979@gmail.com</t>
        </is>
      </c>
      <c r="C19" s="40" t="inlineStr">
        <is>
          <t>Venkataramanan C</t>
        </is>
      </c>
      <c r="D19" s="41" t="n">
        <v>0</v>
      </c>
      <c r="E19" s="41" t="n">
        <v>0</v>
      </c>
      <c r="F19" s="41">
        <f>'Apr2026-COLLECTION'!K18</f>
        <v/>
      </c>
      <c r="G19" s="41">
        <f>'Apr2026-EXPENSE'!R22</f>
        <v/>
      </c>
      <c r="H19" s="20" t="n"/>
      <c r="I19" s="41">
        <f>F19-(G19+H19)</f>
        <v/>
      </c>
      <c r="J19" s="41">
        <f>'May2026-COLLECTION'!K18</f>
        <v/>
      </c>
      <c r="K19" s="41">
        <f>'May2026-EXPENSE'!R22</f>
        <v/>
      </c>
      <c r="L19" s="21" t="n"/>
      <c r="M19" s="41">
        <f>J19-(K19+L19)</f>
        <v/>
      </c>
      <c r="N19" s="41">
        <f>'June2026-COLLECTION'!K18</f>
        <v/>
      </c>
      <c r="O19" s="41">
        <f>'June2026-EXPENSE'!R22</f>
        <v/>
      </c>
      <c r="P19" s="20" t="n"/>
      <c r="Q19" s="41">
        <f>N19-(O19+P19)</f>
        <v/>
      </c>
      <c r="R19" s="41">
        <f>'July2026-COLLECTION'!K18</f>
        <v/>
      </c>
      <c r="S19" s="41">
        <f>'July2026-EXPENSE'!R22</f>
        <v/>
      </c>
      <c r="T19" s="21" t="n"/>
      <c r="U19" s="41">
        <f>R19-(S19+T19)</f>
        <v/>
      </c>
      <c r="V19" s="41">
        <f>'Aug2026-COLLECTION'!K18</f>
        <v/>
      </c>
      <c r="W19" s="41">
        <f>'Aug2026-EXPENSE'!R22</f>
        <v/>
      </c>
      <c r="X19" s="20" t="n"/>
      <c r="Y19" s="41">
        <f>V19-(W19+X19)</f>
        <v/>
      </c>
      <c r="Z19" s="41">
        <f>'Sep2026-COLLECTION'!K18</f>
        <v/>
      </c>
      <c r="AA19" s="41">
        <f>'Sep2026-EXPENSE'!R22</f>
        <v/>
      </c>
      <c r="AB19" s="21" t="n"/>
      <c r="AC19" s="41">
        <f>Z19-(AA19+AB19)</f>
        <v/>
      </c>
      <c r="AD19" s="41">
        <f>'Oct2026-COLLECTION'!K18</f>
        <v/>
      </c>
      <c r="AE19" s="41">
        <f>'Oct2026-EXPENSE'!R22</f>
        <v/>
      </c>
      <c r="AF19" s="21" t="n"/>
      <c r="AG19" s="41">
        <f>AD19-(AE19+AF19)</f>
        <v/>
      </c>
      <c r="AH19" s="41">
        <f>'Nov2026-COLLECTION'!K18</f>
        <v/>
      </c>
      <c r="AI19" s="41">
        <f>'Nov2026-EXPENSE'!R22</f>
        <v/>
      </c>
      <c r="AJ19" s="21" t="n"/>
      <c r="AK19" s="41">
        <f>AH19-(AI19+AJ19)</f>
        <v/>
      </c>
      <c r="AL19" s="41">
        <f>'Dec2026-COLLECTION'!K18</f>
        <v/>
      </c>
      <c r="AM19" s="41">
        <f>'Dec2026-EXPENSE'!R22</f>
        <v/>
      </c>
      <c r="AN19" s="21" t="n"/>
      <c r="AO19" s="41">
        <f>AL19-(AM19+AN19)</f>
        <v/>
      </c>
      <c r="AP19" s="41">
        <f>'Jan2027-COLLECTION'!K18</f>
        <v/>
      </c>
      <c r="AQ19" s="41">
        <f>'Jan2027-EXPENSE'!R22</f>
        <v/>
      </c>
      <c r="AR19" s="2" t="n"/>
      <c r="AS19" s="41">
        <f>AP19-(AQ19+AR19)</f>
        <v/>
      </c>
      <c r="AT19" s="41">
        <f>'Feb2027-COLLECTION'!K18</f>
        <v/>
      </c>
      <c r="AU19" s="41">
        <f>'Feb2027-EXPENSE'!R22</f>
        <v/>
      </c>
      <c r="AV19" s="2" t="n"/>
      <c r="AW19" s="41">
        <f>AT19-(AU19+AV19)</f>
        <v/>
      </c>
      <c r="AX19" s="41">
        <f>'Mar2027-COLLECTION'!K18</f>
        <v/>
      </c>
      <c r="AY19" s="41">
        <f>'Mar2027-EXPENSE'!R22</f>
        <v/>
      </c>
      <c r="AZ19" s="2" t="n"/>
      <c r="BA19" s="41">
        <f>AX19-(AY19+AZ19)</f>
        <v/>
      </c>
      <c r="BB19" s="41">
        <f>SUM(F19,J19,N19,R19,V19,Z19,AD19,AH19,AL19,AP19,AT19,AX19)</f>
        <v/>
      </c>
      <c r="BC19" s="41">
        <f>SUM(J19,N19,R19,V19,Z19,AD19,AH19,AL19,AP19,AT19,AX19)</f>
        <v/>
      </c>
      <c r="BD19" s="41">
        <f>SUM(G19,K19,O19,S19,W19,AA19,AE19,AI19,AM19,AQ19,AU19,AY19)</f>
        <v/>
      </c>
      <c r="BE19" s="41" t="n">
        <v>0</v>
      </c>
      <c r="BF19" s="41">
        <f>BB19-(BD19+BE19)</f>
        <v/>
      </c>
      <c r="BG19" s="41">
        <f>BC19-(BD19+BE19)</f>
        <v/>
      </c>
      <c r="BH19" s="41">
        <f>E19+BF19</f>
        <v/>
      </c>
      <c r="BI19" s="41">
        <f>E19+F19+IF(BG19&gt;=0,BG19,0)</f>
        <v/>
      </c>
      <c r="BJ19" s="41" t="n">
        <v>0</v>
      </c>
    </row>
    <row r="20" ht="15.95" customHeight="1">
      <c r="A20" s="36" t="inlineStr">
        <is>
          <t>G2</t>
        </is>
      </c>
      <c r="B20" s="42" t="n"/>
      <c r="C20" s="42" t="inlineStr">
        <is>
          <t>Kaushik Kasibhatla</t>
        </is>
      </c>
      <c r="D20" s="43" t="n">
        <v>0</v>
      </c>
      <c r="E20" s="43" t="n">
        <v>0</v>
      </c>
      <c r="F20" s="43">
        <f>'Apr2026-COLLECTION'!K19</f>
        <v/>
      </c>
      <c r="G20" s="43">
        <f>'Apr2026-EXPENSE'!R23</f>
        <v/>
      </c>
      <c r="H20" s="20" t="n"/>
      <c r="I20" s="43">
        <f>F20-(G20+H20)</f>
        <v/>
      </c>
      <c r="J20" s="43">
        <f>'May2026-COLLECTION'!K19</f>
        <v/>
      </c>
      <c r="K20" s="43">
        <f>'May2026-EXPENSE'!R23</f>
        <v/>
      </c>
      <c r="L20" s="21" t="n"/>
      <c r="M20" s="43">
        <f>J20-(K20+L20)</f>
        <v/>
      </c>
      <c r="N20" s="43">
        <f>'June2026-COLLECTION'!K19</f>
        <v/>
      </c>
      <c r="O20" s="43">
        <f>'June2026-EXPENSE'!R23</f>
        <v/>
      </c>
      <c r="P20" s="20" t="n"/>
      <c r="Q20" s="43">
        <f>N20-(O20+P20)</f>
        <v/>
      </c>
      <c r="R20" s="43">
        <f>'July2026-COLLECTION'!K19</f>
        <v/>
      </c>
      <c r="S20" s="43">
        <f>'July2026-EXPENSE'!R23</f>
        <v/>
      </c>
      <c r="T20" s="21" t="n"/>
      <c r="U20" s="43">
        <f>R20-(S20+T20)</f>
        <v/>
      </c>
      <c r="V20" s="43">
        <f>'Aug2026-COLLECTION'!K19</f>
        <v/>
      </c>
      <c r="W20" s="43">
        <f>'Aug2026-EXPENSE'!R23</f>
        <v/>
      </c>
      <c r="X20" s="20" t="n"/>
      <c r="Y20" s="43">
        <f>V20-(W20+X20)</f>
        <v/>
      </c>
      <c r="Z20" s="43">
        <f>'Sep2026-COLLECTION'!K19</f>
        <v/>
      </c>
      <c r="AA20" s="43">
        <f>'Sep2026-EXPENSE'!R23</f>
        <v/>
      </c>
      <c r="AB20" s="21" t="n"/>
      <c r="AC20" s="43">
        <f>Z20-(AA20+AB20)</f>
        <v/>
      </c>
      <c r="AD20" s="43">
        <f>'Oct2026-COLLECTION'!K19</f>
        <v/>
      </c>
      <c r="AE20" s="43">
        <f>'Oct2026-EXPENSE'!R23</f>
        <v/>
      </c>
      <c r="AF20" s="21" t="n"/>
      <c r="AG20" s="43">
        <f>AD20-(AE20+AF20)</f>
        <v/>
      </c>
      <c r="AH20" s="43">
        <f>'Nov2026-COLLECTION'!K19</f>
        <v/>
      </c>
      <c r="AI20" s="43">
        <f>'Nov2026-EXPENSE'!R23</f>
        <v/>
      </c>
      <c r="AJ20" s="21" t="n"/>
      <c r="AK20" s="43">
        <f>AH20-(AI20+AJ20)</f>
        <v/>
      </c>
      <c r="AL20" s="43">
        <f>'Dec2026-COLLECTION'!K19</f>
        <v/>
      </c>
      <c r="AM20" s="43">
        <f>'Dec2026-EXPENSE'!R23</f>
        <v/>
      </c>
      <c r="AN20" s="21" t="n"/>
      <c r="AO20" s="43">
        <f>AL20-(AM20+AN20)</f>
        <v/>
      </c>
      <c r="AP20" s="43">
        <f>'Jan2027-COLLECTION'!K19</f>
        <v/>
      </c>
      <c r="AQ20" s="43">
        <f>'Jan2027-EXPENSE'!R23</f>
        <v/>
      </c>
      <c r="AR20" s="2" t="n"/>
      <c r="AS20" s="43">
        <f>AP20-(AQ20+AR20)</f>
        <v/>
      </c>
      <c r="AT20" s="43">
        <f>'Feb2027-COLLECTION'!K19</f>
        <v/>
      </c>
      <c r="AU20" s="43">
        <f>'Feb2027-EXPENSE'!R23</f>
        <v/>
      </c>
      <c r="AV20" s="2" t="n"/>
      <c r="AW20" s="43">
        <f>AT20-(AU20+AV20)</f>
        <v/>
      </c>
      <c r="AX20" s="43">
        <f>'Mar2027-COLLECTION'!K19</f>
        <v/>
      </c>
      <c r="AY20" s="43">
        <f>'Mar2027-EXPENSE'!R23</f>
        <v/>
      </c>
      <c r="AZ20" s="2" t="n"/>
      <c r="BA20" s="43">
        <f>AX20-(AY20+AZ20)</f>
        <v/>
      </c>
      <c r="BB20" s="43">
        <f>SUM(F20,J20,N20,R20,V20,Z20,AD20,AH20,AL20,AP20,AT20,AX20)</f>
        <v/>
      </c>
      <c r="BC20" s="43">
        <f>SUM(J20,N20,R20,V20,Z20,AD20,AH20,AL20,AP20,AT20,AX20)</f>
        <v/>
      </c>
      <c r="BD20" s="43">
        <f>SUM(G20,K20,O20,S20,W20,AA20,AE20,AI20,AM20,AQ20,AU20,AY20)</f>
        <v/>
      </c>
      <c r="BE20" s="43" t="n">
        <v>0</v>
      </c>
      <c r="BF20" s="43">
        <f>BB20-(BD20+BE20)</f>
        <v/>
      </c>
      <c r="BG20" s="43">
        <f>BC20-(BD20+BE20)</f>
        <v/>
      </c>
      <c r="BH20" s="43">
        <f>E20+BF20</f>
        <v/>
      </c>
      <c r="BI20" s="43">
        <f>E20+F20+IF(BG20&gt;=0,BG20,0)</f>
        <v/>
      </c>
      <c r="BJ20" s="43" t="n">
        <v>0</v>
      </c>
    </row>
    <row r="21" ht="15.75" customHeight="1">
      <c r="A21" s="37" t="inlineStr">
        <is>
          <t>G3</t>
        </is>
      </c>
      <c r="B21" s="40" t="n"/>
      <c r="C21" s="40" t="inlineStr">
        <is>
          <t>Balakrishnan</t>
        </is>
      </c>
      <c r="D21" s="41" t="n">
        <v>0</v>
      </c>
      <c r="E21" s="41" t="n">
        <v>0</v>
      </c>
      <c r="F21" s="41">
        <f>'Apr2026-COLLECTION'!K20</f>
        <v/>
      </c>
      <c r="G21" s="41">
        <f>'Apr2026-EXPENSE'!R24</f>
        <v/>
      </c>
      <c r="H21" s="20" t="n"/>
      <c r="I21" s="41">
        <f>F21-(G21+H21)</f>
        <v/>
      </c>
      <c r="J21" s="41">
        <f>'May2026-COLLECTION'!K20</f>
        <v/>
      </c>
      <c r="K21" s="41">
        <f>'May2026-EXPENSE'!R24</f>
        <v/>
      </c>
      <c r="L21" s="21" t="n"/>
      <c r="M21" s="41">
        <f>J21-(K21+L21)</f>
        <v/>
      </c>
      <c r="N21" s="41">
        <f>'June2026-COLLECTION'!K20</f>
        <v/>
      </c>
      <c r="O21" s="41">
        <f>'June2026-EXPENSE'!R24</f>
        <v/>
      </c>
      <c r="P21" s="20" t="n"/>
      <c r="Q21" s="41">
        <f>N21-(O21+P21)</f>
        <v/>
      </c>
      <c r="R21" s="41">
        <f>'July2026-COLLECTION'!K20</f>
        <v/>
      </c>
      <c r="S21" s="41">
        <f>'July2026-EXPENSE'!R24</f>
        <v/>
      </c>
      <c r="T21" s="21" t="n"/>
      <c r="U21" s="41">
        <f>R21-(S21+T21)</f>
        <v/>
      </c>
      <c r="V21" s="41">
        <f>'Aug2026-COLLECTION'!K20</f>
        <v/>
      </c>
      <c r="W21" s="41">
        <f>'Aug2026-EXPENSE'!R24</f>
        <v/>
      </c>
      <c r="X21" s="20" t="n"/>
      <c r="Y21" s="41">
        <f>V21-(W21+X21)</f>
        <v/>
      </c>
      <c r="Z21" s="41">
        <f>'Sep2026-COLLECTION'!K20</f>
        <v/>
      </c>
      <c r="AA21" s="41">
        <f>'Sep2026-EXPENSE'!R24</f>
        <v/>
      </c>
      <c r="AB21" s="21" t="n"/>
      <c r="AC21" s="41">
        <f>Z21-(AA21+AB21)</f>
        <v/>
      </c>
      <c r="AD21" s="41">
        <f>'Oct2026-COLLECTION'!K20</f>
        <v/>
      </c>
      <c r="AE21" s="41">
        <f>'Oct2026-EXPENSE'!R24</f>
        <v/>
      </c>
      <c r="AF21" s="21" t="n"/>
      <c r="AG21" s="41">
        <f>AD21-(AE21+AF21)</f>
        <v/>
      </c>
      <c r="AH21" s="41">
        <f>'Nov2026-COLLECTION'!K20</f>
        <v/>
      </c>
      <c r="AI21" s="41">
        <f>'Nov2026-EXPENSE'!R24</f>
        <v/>
      </c>
      <c r="AJ21" s="21" t="n"/>
      <c r="AK21" s="41">
        <f>AH21-(AI21+AJ21)</f>
        <v/>
      </c>
      <c r="AL21" s="41">
        <f>'Dec2026-COLLECTION'!K20</f>
        <v/>
      </c>
      <c r="AM21" s="41">
        <f>'Dec2026-EXPENSE'!R24</f>
        <v/>
      </c>
      <c r="AN21" s="21" t="n"/>
      <c r="AO21" s="41">
        <f>AL21-(AM21+AN21)</f>
        <v/>
      </c>
      <c r="AP21" s="41">
        <f>'Jan2027-COLLECTION'!K20</f>
        <v/>
      </c>
      <c r="AQ21" s="41">
        <f>'Jan2027-EXPENSE'!R24</f>
        <v/>
      </c>
      <c r="AR21" s="2" t="n"/>
      <c r="AS21" s="41">
        <f>AP21-(AQ21+AR21)</f>
        <v/>
      </c>
      <c r="AT21" s="41">
        <f>'Feb2027-COLLECTION'!K20</f>
        <v/>
      </c>
      <c r="AU21" s="41">
        <f>'Feb2027-EXPENSE'!R24</f>
        <v/>
      </c>
      <c r="AV21" s="2" t="n"/>
      <c r="AW21" s="41">
        <f>AT21-(AU21+AV21)</f>
        <v/>
      </c>
      <c r="AX21" s="41">
        <f>'Mar2027-COLLECTION'!K20</f>
        <v/>
      </c>
      <c r="AY21" s="41">
        <f>'Mar2027-EXPENSE'!R24</f>
        <v/>
      </c>
      <c r="AZ21" s="2" t="n"/>
      <c r="BA21" s="41">
        <f>AX21-(AY21+AZ21)</f>
        <v/>
      </c>
      <c r="BB21" s="41">
        <f>SUM(F21,J21,N21,R21,V21,Z21,AD21,AH21,AL21,AP21,AT21,AX21)</f>
        <v/>
      </c>
      <c r="BC21" s="41">
        <f>SUM(J21,N21,R21,V21,Z21,AD21,AH21,AL21,AP21,AT21,AX21)</f>
        <v/>
      </c>
      <c r="BD21" s="41">
        <f>SUM(G21,K21,O21,S21,W21,AA21,AE21,AI21,AM21,AQ21,AU21,AY21)</f>
        <v/>
      </c>
      <c r="BE21" s="41" t="n">
        <v>0</v>
      </c>
      <c r="BF21" s="41">
        <f>BB21-(BD21+BE21)</f>
        <v/>
      </c>
      <c r="BG21" s="41">
        <f>BC21-(BD21+BE21)</f>
        <v/>
      </c>
      <c r="BH21" s="41">
        <f>E21+BF21</f>
        <v/>
      </c>
      <c r="BI21" s="41">
        <f>E21+F21+IF(BG21&gt;=0,BG21,0)</f>
        <v/>
      </c>
      <c r="BJ21" s="41" t="n">
        <v>0</v>
      </c>
    </row>
    <row r="22" ht="15.75" customHeight="1">
      <c r="A22" s="36" t="inlineStr">
        <is>
          <t>G4</t>
        </is>
      </c>
      <c r="B22" s="42" t="n"/>
      <c r="C22" s="42" t="inlineStr">
        <is>
          <t>Ashwin Pandith</t>
        </is>
      </c>
      <c r="D22" s="43" t="n">
        <v>0</v>
      </c>
      <c r="E22" s="43" t="n">
        <v>0</v>
      </c>
      <c r="F22" s="43">
        <f>'Apr2026-COLLECTION'!K21</f>
        <v/>
      </c>
      <c r="G22" s="43">
        <f>'Apr2026-EXPENSE'!R25</f>
        <v/>
      </c>
      <c r="H22" s="20" t="n"/>
      <c r="I22" s="43">
        <f>F22-(G22+H22)</f>
        <v/>
      </c>
      <c r="J22" s="43">
        <f>'May2026-COLLECTION'!K21</f>
        <v/>
      </c>
      <c r="K22" s="43">
        <f>'May2026-EXPENSE'!R25</f>
        <v/>
      </c>
      <c r="L22" s="21" t="n"/>
      <c r="M22" s="43">
        <f>J22-(K22+L22)</f>
        <v/>
      </c>
      <c r="N22" s="43">
        <f>'June2026-COLLECTION'!K21</f>
        <v/>
      </c>
      <c r="O22" s="43">
        <f>'June2026-EXPENSE'!R25</f>
        <v/>
      </c>
      <c r="P22" s="20" t="n"/>
      <c r="Q22" s="43">
        <f>N22-(O22+P22)</f>
        <v/>
      </c>
      <c r="R22" s="43">
        <f>'July2026-COLLECTION'!K21</f>
        <v/>
      </c>
      <c r="S22" s="43">
        <f>'July2026-EXPENSE'!R25</f>
        <v/>
      </c>
      <c r="T22" s="21" t="n"/>
      <c r="U22" s="43">
        <f>R22-(S22+T22)</f>
        <v/>
      </c>
      <c r="V22" s="43">
        <f>'Aug2026-COLLECTION'!K21</f>
        <v/>
      </c>
      <c r="W22" s="43">
        <f>'Aug2026-EXPENSE'!R25</f>
        <v/>
      </c>
      <c r="X22" s="20" t="n"/>
      <c r="Y22" s="43">
        <f>V22-(W22+X22)</f>
        <v/>
      </c>
      <c r="Z22" s="43">
        <f>'Sep2026-COLLECTION'!K21</f>
        <v/>
      </c>
      <c r="AA22" s="43">
        <f>'Sep2026-EXPENSE'!R25</f>
        <v/>
      </c>
      <c r="AB22" s="21" t="n"/>
      <c r="AC22" s="43">
        <f>Z22-(AA22+AB22)</f>
        <v/>
      </c>
      <c r="AD22" s="43">
        <f>'Oct2026-COLLECTION'!K21</f>
        <v/>
      </c>
      <c r="AE22" s="43">
        <f>'Oct2026-EXPENSE'!R25</f>
        <v/>
      </c>
      <c r="AF22" s="21" t="n"/>
      <c r="AG22" s="43">
        <f>AD22-(AE22+AF22)</f>
        <v/>
      </c>
      <c r="AH22" s="43">
        <f>'Nov2026-COLLECTION'!K21</f>
        <v/>
      </c>
      <c r="AI22" s="43">
        <f>'Nov2026-EXPENSE'!R25</f>
        <v/>
      </c>
      <c r="AJ22" s="21" t="n"/>
      <c r="AK22" s="43">
        <f>AH22-(AI22+AJ22)</f>
        <v/>
      </c>
      <c r="AL22" s="43">
        <f>'Dec2026-COLLECTION'!K21</f>
        <v/>
      </c>
      <c r="AM22" s="43">
        <f>'Dec2026-EXPENSE'!R25</f>
        <v/>
      </c>
      <c r="AN22" s="21" t="n"/>
      <c r="AO22" s="43">
        <f>AL22-(AM22+AN22)</f>
        <v/>
      </c>
      <c r="AP22" s="43">
        <f>'Jan2027-COLLECTION'!K21</f>
        <v/>
      </c>
      <c r="AQ22" s="43">
        <f>'Jan2027-EXPENSE'!R25</f>
        <v/>
      </c>
      <c r="AR22" s="2" t="n"/>
      <c r="AS22" s="43">
        <f>AP22-(AQ22+AR22)</f>
        <v/>
      </c>
      <c r="AT22" s="43">
        <f>'Feb2027-COLLECTION'!K21</f>
        <v/>
      </c>
      <c r="AU22" s="43">
        <f>'Feb2027-EXPENSE'!R25</f>
        <v/>
      </c>
      <c r="AV22" s="2" t="n"/>
      <c r="AW22" s="43">
        <f>AT22-(AU22+AV22)</f>
        <v/>
      </c>
      <c r="AX22" s="43">
        <f>'Mar2027-COLLECTION'!K21</f>
        <v/>
      </c>
      <c r="AY22" s="43">
        <f>'Mar2027-EXPENSE'!R25</f>
        <v/>
      </c>
      <c r="AZ22" s="2" t="n"/>
      <c r="BA22" s="43">
        <f>AX22-(AY22+AZ22)</f>
        <v/>
      </c>
      <c r="BB22" s="43">
        <f>SUM(F22,J22,N22,R22,V22,Z22,AD22,AH22,AL22,AP22,AT22,AX22)</f>
        <v/>
      </c>
      <c r="BC22" s="43">
        <f>SUM(J22,N22,R22,V22,Z22,AD22,AH22,AL22,AP22,AT22,AX22)</f>
        <v/>
      </c>
      <c r="BD22" s="43">
        <f>SUM(G22,K22,O22,S22,W22,AA22,AE22,AI22,AM22,AQ22,AU22,AY22)</f>
        <v/>
      </c>
      <c r="BE22" s="43" t="n">
        <v>0</v>
      </c>
      <c r="BF22" s="43">
        <f>BB22-(BD22+BE22)</f>
        <v/>
      </c>
      <c r="BG22" s="43">
        <f>BC22-(BD22+BE22)</f>
        <v/>
      </c>
      <c r="BH22" s="43">
        <f>E22+BF22</f>
        <v/>
      </c>
      <c r="BI22" s="43">
        <f>E22+F22+IF(BG22&gt;=0,BG22,0)</f>
        <v/>
      </c>
      <c r="BJ22" s="43" t="n">
        <v>0</v>
      </c>
    </row>
    <row r="23" ht="15.75" customHeight="1">
      <c r="A23" s="37" t="inlineStr">
        <is>
          <t>G5</t>
        </is>
      </c>
      <c r="B23" s="40" t="n"/>
      <c r="C23" s="40" t="inlineStr">
        <is>
          <t>Mayank Phophaliya</t>
        </is>
      </c>
      <c r="D23" s="41" t="n">
        <v>0</v>
      </c>
      <c r="E23" s="41" t="n">
        <v>0</v>
      </c>
      <c r="F23" s="41">
        <f>'Apr2026-COLLECTION'!K22</f>
        <v/>
      </c>
      <c r="G23" s="41">
        <f>'Apr2026-EXPENSE'!R26</f>
        <v/>
      </c>
      <c r="H23" s="20" t="n"/>
      <c r="I23" s="41">
        <f>F23-(G23+H23)</f>
        <v/>
      </c>
      <c r="J23" s="41">
        <f>'May2026-COLLECTION'!K22</f>
        <v/>
      </c>
      <c r="K23" s="41">
        <f>'May2026-EXPENSE'!R26</f>
        <v/>
      </c>
      <c r="L23" s="21" t="n"/>
      <c r="M23" s="41">
        <f>J23-(K23+L23)</f>
        <v/>
      </c>
      <c r="N23" s="41">
        <f>'June2026-COLLECTION'!K22</f>
        <v/>
      </c>
      <c r="O23" s="41">
        <f>'June2026-EXPENSE'!R26</f>
        <v/>
      </c>
      <c r="P23" s="20" t="n"/>
      <c r="Q23" s="41">
        <f>N23-(O23+P23)</f>
        <v/>
      </c>
      <c r="R23" s="41">
        <f>'July2026-COLLECTION'!K22</f>
        <v/>
      </c>
      <c r="S23" s="41">
        <f>'July2026-EXPENSE'!R26</f>
        <v/>
      </c>
      <c r="T23" s="21" t="n"/>
      <c r="U23" s="41">
        <f>R23-(S23+T23)</f>
        <v/>
      </c>
      <c r="V23" s="41">
        <f>'Aug2026-COLLECTION'!K22</f>
        <v/>
      </c>
      <c r="W23" s="41">
        <f>'Aug2026-EXPENSE'!R26</f>
        <v/>
      </c>
      <c r="X23" s="20" t="n"/>
      <c r="Y23" s="41">
        <f>V23-(W23+X23)</f>
        <v/>
      </c>
      <c r="Z23" s="41">
        <f>'Sep2026-COLLECTION'!K22</f>
        <v/>
      </c>
      <c r="AA23" s="41">
        <f>'Sep2026-EXPENSE'!R26</f>
        <v/>
      </c>
      <c r="AB23" s="21" t="n"/>
      <c r="AC23" s="41">
        <f>Z23-(AA23+AB23)</f>
        <v/>
      </c>
      <c r="AD23" s="41">
        <f>'Oct2026-COLLECTION'!K22</f>
        <v/>
      </c>
      <c r="AE23" s="41">
        <f>'Oct2026-EXPENSE'!R26</f>
        <v/>
      </c>
      <c r="AF23" s="21" t="n"/>
      <c r="AG23" s="41">
        <f>AD23-(AE23+AF23)</f>
        <v/>
      </c>
      <c r="AH23" s="41">
        <f>'Nov2026-COLLECTION'!K22</f>
        <v/>
      </c>
      <c r="AI23" s="41">
        <f>'Nov2026-EXPENSE'!R26</f>
        <v/>
      </c>
      <c r="AJ23" s="21" t="n"/>
      <c r="AK23" s="41">
        <f>AH23-(AI23+AJ23)</f>
        <v/>
      </c>
      <c r="AL23" s="41">
        <f>'Dec2026-COLLECTION'!K22</f>
        <v/>
      </c>
      <c r="AM23" s="41">
        <f>'Dec2026-EXPENSE'!R26</f>
        <v/>
      </c>
      <c r="AN23" s="21" t="n"/>
      <c r="AO23" s="41">
        <f>AL23-(AM23+AN23)</f>
        <v/>
      </c>
      <c r="AP23" s="41">
        <f>'Jan2027-COLLECTION'!K22</f>
        <v/>
      </c>
      <c r="AQ23" s="41">
        <f>'Jan2027-EXPENSE'!R26</f>
        <v/>
      </c>
      <c r="AR23" s="2" t="n"/>
      <c r="AS23" s="41">
        <f>AP23-(AQ23+AR23)</f>
        <v/>
      </c>
      <c r="AT23" s="41">
        <f>'Feb2027-COLLECTION'!K22</f>
        <v/>
      </c>
      <c r="AU23" s="41">
        <f>'Feb2027-EXPENSE'!R26</f>
        <v/>
      </c>
      <c r="AV23" s="2" t="n"/>
      <c r="AW23" s="41">
        <f>AT23-(AU23+AV23)</f>
        <v/>
      </c>
      <c r="AX23" s="41">
        <f>'Mar2027-COLLECTION'!K22</f>
        <v/>
      </c>
      <c r="AY23" s="41">
        <f>'Mar2027-EXPENSE'!R26</f>
        <v/>
      </c>
      <c r="AZ23" s="2" t="n"/>
      <c r="BA23" s="41">
        <f>AX23-(AY23+AZ23)</f>
        <v/>
      </c>
      <c r="BB23" s="41">
        <f>SUM(F23,J23,N23,R23,V23,Z23,AD23,AH23,AL23,AP23,AT23,AX23)</f>
        <v/>
      </c>
      <c r="BC23" s="41">
        <f>SUM(J23,N23,R23,V23,Z23,AD23,AH23,AL23,AP23,AT23,AX23)</f>
        <v/>
      </c>
      <c r="BD23" s="41">
        <f>SUM(G23,K23,O23,S23,W23,AA23,AE23,AI23,AM23,AQ23,AU23,AY23)</f>
        <v/>
      </c>
      <c r="BE23" s="41" t="n">
        <v>0</v>
      </c>
      <c r="BF23" s="41">
        <f>BB23-(BD23+BE23)</f>
        <v/>
      </c>
      <c r="BG23" s="41">
        <f>BC23-(BD23+BE23)</f>
        <v/>
      </c>
      <c r="BH23" s="41">
        <f>E23+BF23</f>
        <v/>
      </c>
      <c r="BI23" s="41">
        <f>E23+F23+IF(BG23&gt;=0,BG23,0)</f>
        <v/>
      </c>
      <c r="BJ23" s="41" t="n">
        <v>0</v>
      </c>
    </row>
    <row r="24" ht="15.75" customHeight="1">
      <c r="A24" s="36" t="inlineStr">
        <is>
          <t>G6</t>
        </is>
      </c>
      <c r="B24" s="42" t="n"/>
      <c r="C24" s="42" t="inlineStr">
        <is>
          <t>Srinath / Tenant - Mohit Daga</t>
        </is>
      </c>
      <c r="D24" s="43" t="n">
        <v>0</v>
      </c>
      <c r="E24" s="43">
        <f>-87741.03+10034+15000-9500-9500</f>
        <v/>
      </c>
      <c r="F24" s="43">
        <f>'Apr2026-COLLECTION'!K23</f>
        <v/>
      </c>
      <c r="G24" s="43">
        <f>'Apr2026-EXPENSE'!R27</f>
        <v/>
      </c>
      <c r="H24" s="20" t="n"/>
      <c r="I24" s="43">
        <f>F24-(G24+H24)</f>
        <v/>
      </c>
      <c r="J24" s="43">
        <f>'May2026-COLLECTION'!K23</f>
        <v/>
      </c>
      <c r="K24" s="43">
        <f>'May2026-EXPENSE'!R27</f>
        <v/>
      </c>
      <c r="L24" s="43" t="n">
        <v>0</v>
      </c>
      <c r="M24" s="43">
        <f>J24-(K24+L24)</f>
        <v/>
      </c>
      <c r="N24" s="43">
        <f>'June2026-COLLECTION'!K23</f>
        <v/>
      </c>
      <c r="O24" s="43">
        <f>'June2026-EXPENSE'!R27</f>
        <v/>
      </c>
      <c r="P24" s="20" t="n"/>
      <c r="Q24" s="43">
        <f>N24-(O24+P24)</f>
        <v/>
      </c>
      <c r="R24" s="43">
        <f>'July2026-COLLECTION'!K23</f>
        <v/>
      </c>
      <c r="S24" s="43">
        <f>'July2026-EXPENSE'!R27</f>
        <v/>
      </c>
      <c r="T24" s="21" t="n"/>
      <c r="U24" s="43">
        <f>R24-(S24+T24)</f>
        <v/>
      </c>
      <c r="V24" s="43">
        <f>'Aug2026-COLLECTION'!K23</f>
        <v/>
      </c>
      <c r="W24" s="43">
        <f>'Aug2026-EXPENSE'!R27</f>
        <v/>
      </c>
      <c r="X24" s="20" t="n"/>
      <c r="Y24" s="43">
        <f>V24-(W24+X24)</f>
        <v/>
      </c>
      <c r="Z24" s="43">
        <f>'Sep2026-COLLECTION'!K23</f>
        <v/>
      </c>
      <c r="AA24" s="43">
        <f>'Sep2026-EXPENSE'!R27</f>
        <v/>
      </c>
      <c r="AB24" s="21" t="n"/>
      <c r="AC24" s="43">
        <f>Z24-(AA24+AB24)</f>
        <v/>
      </c>
      <c r="AD24" s="43">
        <f>'Oct2026-COLLECTION'!K23</f>
        <v/>
      </c>
      <c r="AE24" s="43">
        <f>'Oct2026-EXPENSE'!R27</f>
        <v/>
      </c>
      <c r="AF24" s="21" t="n"/>
      <c r="AG24" s="43">
        <f>AD24-(AE24+AF24)</f>
        <v/>
      </c>
      <c r="AH24" s="43">
        <f>'Nov2026-COLLECTION'!K23</f>
        <v/>
      </c>
      <c r="AI24" s="43">
        <f>'Nov2026-EXPENSE'!R27</f>
        <v/>
      </c>
      <c r="AJ24" s="21" t="n"/>
      <c r="AK24" s="43">
        <f>AH24-(AI24+AJ24)</f>
        <v/>
      </c>
      <c r="AL24" s="43">
        <f>'Dec2026-COLLECTION'!K23</f>
        <v/>
      </c>
      <c r="AM24" s="43">
        <f>'Dec2026-EXPENSE'!R27</f>
        <v/>
      </c>
      <c r="AN24" s="21" t="n"/>
      <c r="AO24" s="43">
        <f>AL24-(AM24+AN24)</f>
        <v/>
      </c>
      <c r="AP24" s="43">
        <f>'Jan2027-COLLECTION'!K23</f>
        <v/>
      </c>
      <c r="AQ24" s="43">
        <f>'Jan2027-EXPENSE'!R27</f>
        <v/>
      </c>
      <c r="AR24" s="2" t="n"/>
      <c r="AS24" s="43">
        <f>AP24-(AQ24+AR24)</f>
        <v/>
      </c>
      <c r="AT24" s="43">
        <f>'Feb2027-COLLECTION'!K23</f>
        <v/>
      </c>
      <c r="AU24" s="43">
        <f>'Feb2027-EXPENSE'!R27</f>
        <v/>
      </c>
      <c r="AV24" s="2" t="n"/>
      <c r="AW24" s="43">
        <f>AT24-(AU24+AV24)</f>
        <v/>
      </c>
      <c r="AX24" s="43">
        <f>'Mar2027-COLLECTION'!K23</f>
        <v/>
      </c>
      <c r="AY24" s="43">
        <f>'Mar2027-EXPENSE'!R27</f>
        <v/>
      </c>
      <c r="AZ24" s="2" t="n"/>
      <c r="BA24" s="43">
        <f>AX24-(AY24+AZ24)</f>
        <v/>
      </c>
      <c r="BB24" s="43">
        <f>SUM(F24,J24,N24,R24,V24,Z24,AD24,AH24,AL24,AP24,AT24,AX24)</f>
        <v/>
      </c>
      <c r="BC24" s="43">
        <f>SUM(J24,N24,R24,V24,Z24,AD24,AH24,AL24,AP24,AT24,AX24)</f>
        <v/>
      </c>
      <c r="BD24" s="43">
        <f>SUM(G24,K24,O24,S24,W24,AA24,AE24,AI24,AM24,AQ24,AU24,AY24)</f>
        <v/>
      </c>
      <c r="BE24" s="43" t="n">
        <v>0</v>
      </c>
      <c r="BF24" s="43">
        <f>BB24-(BD24+BE24)</f>
        <v/>
      </c>
      <c r="BG24" s="43">
        <f>BC24-(BD24+BE24)</f>
        <v/>
      </c>
      <c r="BH24" s="43">
        <f>E24+BF24</f>
        <v/>
      </c>
      <c r="BI24" s="43">
        <f>E24+F24+IF(BG24&gt;=0,BG24,0)</f>
        <v/>
      </c>
      <c r="BJ24" s="43" t="n">
        <v>0</v>
      </c>
    </row>
    <row r="25" ht="15.75" customHeight="1">
      <c r="A25" s="37" t="inlineStr">
        <is>
          <t>G7</t>
        </is>
      </c>
      <c r="B25" s="40" t="n"/>
      <c r="C25" s="40" t="inlineStr">
        <is>
          <t>Prince Richfield</t>
        </is>
      </c>
      <c r="D25" s="41" t="n">
        <v>0</v>
      </c>
      <c r="E25" s="41" t="n">
        <v>0</v>
      </c>
      <c r="F25" s="41">
        <f>'Apr2026-COLLECTION'!K24</f>
        <v/>
      </c>
      <c r="G25" s="41">
        <f>'Apr2026-EXPENSE'!R28</f>
        <v/>
      </c>
      <c r="H25" s="20" t="n"/>
      <c r="I25" s="41">
        <f>F25-(G25+H25)</f>
        <v/>
      </c>
      <c r="J25" s="41">
        <f>'May2026-COLLECTION'!K24</f>
        <v/>
      </c>
      <c r="K25" s="41">
        <f>'May2026-EXPENSE'!R28</f>
        <v/>
      </c>
      <c r="L25" s="21" t="n"/>
      <c r="M25" s="41">
        <f>J25-(K25+L25)</f>
        <v/>
      </c>
      <c r="N25" s="41">
        <f>'June2026-COLLECTION'!K24</f>
        <v/>
      </c>
      <c r="O25" s="41">
        <f>'June2026-EXPENSE'!R28</f>
        <v/>
      </c>
      <c r="P25" s="20" t="n"/>
      <c r="Q25" s="41">
        <f>N25-(O25+P25)</f>
        <v/>
      </c>
      <c r="R25" s="41">
        <f>'July2026-COLLECTION'!K24</f>
        <v/>
      </c>
      <c r="S25" s="41">
        <f>'July2026-EXPENSE'!R28</f>
        <v/>
      </c>
      <c r="T25" s="21" t="n"/>
      <c r="U25" s="41">
        <f>R25-(S25+T25)</f>
        <v/>
      </c>
      <c r="V25" s="41">
        <f>'Aug2026-COLLECTION'!K24</f>
        <v/>
      </c>
      <c r="W25" s="41">
        <f>'Aug2026-EXPENSE'!R28</f>
        <v/>
      </c>
      <c r="X25" s="20" t="n"/>
      <c r="Y25" s="41">
        <f>V25-(W25+X25)</f>
        <v/>
      </c>
      <c r="Z25" s="41">
        <f>'Sep2026-COLLECTION'!K24</f>
        <v/>
      </c>
      <c r="AA25" s="41">
        <f>'Sep2026-EXPENSE'!R28</f>
        <v/>
      </c>
      <c r="AB25" s="21" t="n"/>
      <c r="AC25" s="41">
        <f>Z25-(AA25+AB25)</f>
        <v/>
      </c>
      <c r="AD25" s="41">
        <f>'Oct2026-COLLECTION'!K24</f>
        <v/>
      </c>
      <c r="AE25" s="41">
        <f>'Oct2026-EXPENSE'!R28</f>
        <v/>
      </c>
      <c r="AF25" s="21" t="n"/>
      <c r="AG25" s="41">
        <f>AD25-(AE25+AF25)</f>
        <v/>
      </c>
      <c r="AH25" s="41">
        <f>'Nov2026-COLLECTION'!K24</f>
        <v/>
      </c>
      <c r="AI25" s="41">
        <f>'Nov2026-EXPENSE'!R28</f>
        <v/>
      </c>
      <c r="AJ25" s="21" t="n"/>
      <c r="AK25" s="41">
        <f>AH25-(AI25+AJ25)</f>
        <v/>
      </c>
      <c r="AL25" s="41">
        <f>'Dec2026-COLLECTION'!K24</f>
        <v/>
      </c>
      <c r="AM25" s="41">
        <f>'Dec2026-EXPENSE'!R28</f>
        <v/>
      </c>
      <c r="AN25" s="21" t="n"/>
      <c r="AO25" s="41">
        <f>AL25-(AM25+AN25)</f>
        <v/>
      </c>
      <c r="AP25" s="41">
        <f>'Jan2027-COLLECTION'!K24</f>
        <v/>
      </c>
      <c r="AQ25" s="41">
        <f>'Jan2027-EXPENSE'!R28</f>
        <v/>
      </c>
      <c r="AR25" s="2" t="n"/>
      <c r="AS25" s="41">
        <f>AP25-(AQ25+AR25)</f>
        <v/>
      </c>
      <c r="AT25" s="41">
        <f>'Feb2027-COLLECTION'!K24</f>
        <v/>
      </c>
      <c r="AU25" s="41">
        <f>'Feb2027-EXPENSE'!R28</f>
        <v/>
      </c>
      <c r="AV25" s="2" t="n"/>
      <c r="AW25" s="41">
        <f>AT25-(AU25+AV25)</f>
        <v/>
      </c>
      <c r="AX25" s="41">
        <f>'Mar2027-COLLECTION'!K24</f>
        <v/>
      </c>
      <c r="AY25" s="41">
        <f>'Mar2027-EXPENSE'!R28</f>
        <v/>
      </c>
      <c r="AZ25" s="2" t="n"/>
      <c r="BA25" s="41">
        <f>AX25-(AY25+AZ25)</f>
        <v/>
      </c>
      <c r="BB25" s="41">
        <f>SUM(F25,J25,N25,R25,V25,Z25,AD25,AH25,AL25,AP25,AT25,AX25)</f>
        <v/>
      </c>
      <c r="BC25" s="41">
        <f>SUM(J25,N25,R25,V25,Z25,AD25,AH25,AL25,AP25,AT25,AX25)</f>
        <v/>
      </c>
      <c r="BD25" s="41">
        <f>SUM(G25,K25,O25,S25,W25,AA25,AE25,AI25,AM25,AQ25,AU25,AY25)</f>
        <v/>
      </c>
      <c r="BE25" s="41" t="n">
        <v>0</v>
      </c>
      <c r="BF25" s="41">
        <f>BB25-(BD25+BE25)</f>
        <v/>
      </c>
      <c r="BG25" s="41">
        <f>BC25-(BD25+BE25)</f>
        <v/>
      </c>
      <c r="BH25" s="41">
        <f>E25+BF25</f>
        <v/>
      </c>
      <c r="BI25" s="41">
        <f>E25+F25+IF(BG25&gt;=0,BG25,0)</f>
        <v/>
      </c>
      <c r="BJ25" s="41" t="n">
        <v>0</v>
      </c>
    </row>
    <row r="26" ht="15.75" customHeight="1">
      <c r="A26" s="36" t="inlineStr">
        <is>
          <t>G8</t>
        </is>
      </c>
      <c r="B26" s="42" t="n"/>
      <c r="C26" s="42" t="inlineStr">
        <is>
          <t>Ranjithkumar R / Sameer (tenant) / Princy (tenant)</t>
        </is>
      </c>
      <c r="D26" s="43" t="n">
        <v>0</v>
      </c>
      <c r="E26" s="43" t="n">
        <v>0</v>
      </c>
      <c r="F26" s="43">
        <f>'Apr2026-COLLECTION'!K25</f>
        <v/>
      </c>
      <c r="G26" s="43">
        <f>'Apr2026-EXPENSE'!R29</f>
        <v/>
      </c>
      <c r="H26" s="20" t="n"/>
      <c r="I26" s="43">
        <f>F26-(G26+H26)</f>
        <v/>
      </c>
      <c r="J26" s="43">
        <f>'May2026-COLLECTION'!K25</f>
        <v/>
      </c>
      <c r="K26" s="43">
        <f>'May2026-EXPENSE'!R29</f>
        <v/>
      </c>
      <c r="L26" s="21" t="n"/>
      <c r="M26" s="43">
        <f>J26-(K26+L26)</f>
        <v/>
      </c>
      <c r="N26" s="43">
        <f>'June2026-COLLECTION'!K25</f>
        <v/>
      </c>
      <c r="O26" s="43">
        <f>'June2026-EXPENSE'!R29</f>
        <v/>
      </c>
      <c r="P26" s="20" t="n"/>
      <c r="Q26" s="43">
        <f>N26-(O26+P26)</f>
        <v/>
      </c>
      <c r="R26" s="43">
        <f>'July2026-COLLECTION'!K25</f>
        <v/>
      </c>
      <c r="S26" s="43">
        <f>'July2026-EXPENSE'!R29</f>
        <v/>
      </c>
      <c r="T26" s="21" t="n"/>
      <c r="U26" s="43">
        <f>R26-(S26+T26)</f>
        <v/>
      </c>
      <c r="V26" s="43">
        <f>'Aug2026-COLLECTION'!K25</f>
        <v/>
      </c>
      <c r="W26" s="43">
        <f>'Aug2026-EXPENSE'!R29</f>
        <v/>
      </c>
      <c r="X26" s="20" t="n"/>
      <c r="Y26" s="43">
        <f>V26-(W26+X26)</f>
        <v/>
      </c>
      <c r="Z26" s="43">
        <f>'Sep2026-COLLECTION'!K25</f>
        <v/>
      </c>
      <c r="AA26" s="43">
        <f>'Sep2026-EXPENSE'!R29</f>
        <v/>
      </c>
      <c r="AB26" s="21" t="n"/>
      <c r="AC26" s="43">
        <f>Z26-(AA26+AB26)</f>
        <v/>
      </c>
      <c r="AD26" s="43">
        <f>'Oct2026-COLLECTION'!K25</f>
        <v/>
      </c>
      <c r="AE26" s="43">
        <f>'Oct2026-EXPENSE'!R29</f>
        <v/>
      </c>
      <c r="AF26" s="21" t="n"/>
      <c r="AG26" s="43">
        <f>AD26-(AE26+AF26)</f>
        <v/>
      </c>
      <c r="AH26" s="43">
        <f>'Nov2026-COLLECTION'!K25</f>
        <v/>
      </c>
      <c r="AI26" s="43">
        <f>'Nov2026-EXPENSE'!R29</f>
        <v/>
      </c>
      <c r="AJ26" s="21" t="n"/>
      <c r="AK26" s="43">
        <f>AH26-(AI26+AJ26)</f>
        <v/>
      </c>
      <c r="AL26" s="43">
        <f>'Dec2026-COLLECTION'!K25</f>
        <v/>
      </c>
      <c r="AM26" s="43">
        <f>'Dec2026-EXPENSE'!R29</f>
        <v/>
      </c>
      <c r="AN26" s="21" t="n"/>
      <c r="AO26" s="43">
        <f>AL26-(AM26+AN26)</f>
        <v/>
      </c>
      <c r="AP26" s="43">
        <f>'Jan2027-COLLECTION'!K25</f>
        <v/>
      </c>
      <c r="AQ26" s="43">
        <f>'Jan2027-EXPENSE'!R29</f>
        <v/>
      </c>
      <c r="AR26" s="2" t="n"/>
      <c r="AS26" s="43">
        <f>AP26-(AQ26+AR26)</f>
        <v/>
      </c>
      <c r="AT26" s="43">
        <f>'Feb2027-COLLECTION'!K25</f>
        <v/>
      </c>
      <c r="AU26" s="43">
        <f>'Feb2027-EXPENSE'!R29</f>
        <v/>
      </c>
      <c r="AV26" s="2" t="n"/>
      <c r="AW26" s="43">
        <f>AT26-(AU26+AV26)</f>
        <v/>
      </c>
      <c r="AX26" s="43">
        <f>'Mar2027-COLLECTION'!K25</f>
        <v/>
      </c>
      <c r="AY26" s="43">
        <f>'Mar2027-EXPENSE'!R29</f>
        <v/>
      </c>
      <c r="AZ26" s="2" t="n"/>
      <c r="BA26" s="43">
        <f>AX26-(AY26+AZ26)</f>
        <v/>
      </c>
      <c r="BB26" s="43">
        <f>SUM(F26,J26,N26,R26,V26,Z26,AD26,AH26,AL26,AP26,AT26,AX26)</f>
        <v/>
      </c>
      <c r="BC26" s="43">
        <f>SUM(J26,N26,R26,V26,Z26,AD26,AH26,AL26,AP26,AT26,AX26)</f>
        <v/>
      </c>
      <c r="BD26" s="43">
        <f>SUM(G26,K26,O26,S26,W26,AA26,AE26,AI26,AM26,AQ26,AU26,AY26)</f>
        <v/>
      </c>
      <c r="BE26" s="43" t="n">
        <v>0</v>
      </c>
      <c r="BF26" s="43">
        <f>BB26-(BD26+BE26)</f>
        <v/>
      </c>
      <c r="BG26" s="43">
        <f>BC26-(BD26+BE26)</f>
        <v/>
      </c>
      <c r="BH26" s="43">
        <f>E26+BF26</f>
        <v/>
      </c>
      <c r="BI26" s="43">
        <f>E26+F26+IF(BG26&gt;=0,BG26,0)</f>
        <v/>
      </c>
      <c r="BJ26" s="43" t="n">
        <v>0</v>
      </c>
    </row>
    <row r="27" ht="15.75" customHeight="1">
      <c r="A27" s="37" t="inlineStr">
        <is>
          <t>G9</t>
        </is>
      </c>
      <c r="B27" s="40" t="n"/>
      <c r="C27" s="40" t="inlineStr">
        <is>
          <t>Chandramouli</t>
        </is>
      </c>
      <c r="D27" s="41" t="n">
        <v>0</v>
      </c>
      <c r="E27" s="41" t="n">
        <v>0</v>
      </c>
      <c r="F27" s="41">
        <f>'Apr2026-COLLECTION'!K26</f>
        <v/>
      </c>
      <c r="G27" s="41">
        <f>'Apr2026-EXPENSE'!R30</f>
        <v/>
      </c>
      <c r="H27" s="20" t="n"/>
      <c r="I27" s="41">
        <f>F27-(G27+H27)</f>
        <v/>
      </c>
      <c r="J27" s="41">
        <f>'May2026-COLLECTION'!K26</f>
        <v/>
      </c>
      <c r="K27" s="41">
        <f>'May2026-EXPENSE'!R30</f>
        <v/>
      </c>
      <c r="L27" s="21" t="n"/>
      <c r="M27" s="41">
        <f>J27-(K27+L27)</f>
        <v/>
      </c>
      <c r="N27" s="41">
        <f>'June2026-COLLECTION'!K26</f>
        <v/>
      </c>
      <c r="O27" s="41">
        <f>'June2026-EXPENSE'!R30</f>
        <v/>
      </c>
      <c r="P27" s="20" t="n"/>
      <c r="Q27" s="41">
        <f>N27-(O27+P27)</f>
        <v/>
      </c>
      <c r="R27" s="41">
        <f>'July2026-COLLECTION'!K26</f>
        <v/>
      </c>
      <c r="S27" s="41">
        <f>'July2026-EXPENSE'!R30</f>
        <v/>
      </c>
      <c r="T27" s="21" t="n"/>
      <c r="U27" s="41">
        <f>R27-(S27+T27)</f>
        <v/>
      </c>
      <c r="V27" s="41">
        <f>'Aug2026-COLLECTION'!K26</f>
        <v/>
      </c>
      <c r="W27" s="41">
        <f>'Aug2026-EXPENSE'!R30</f>
        <v/>
      </c>
      <c r="X27" s="20" t="n"/>
      <c r="Y27" s="41">
        <f>V27-(W27+X27)</f>
        <v/>
      </c>
      <c r="Z27" s="41">
        <f>'Sep2026-COLLECTION'!K26</f>
        <v/>
      </c>
      <c r="AA27" s="41">
        <f>'Sep2026-EXPENSE'!R30</f>
        <v/>
      </c>
      <c r="AB27" s="21" t="n"/>
      <c r="AC27" s="41">
        <f>Z27-(AA27+AB27)</f>
        <v/>
      </c>
      <c r="AD27" s="41">
        <f>'Oct2026-COLLECTION'!K26</f>
        <v/>
      </c>
      <c r="AE27" s="41">
        <f>'Oct2026-EXPENSE'!R30</f>
        <v/>
      </c>
      <c r="AF27" s="21" t="n"/>
      <c r="AG27" s="41">
        <f>AD27-(AE27+AF27)</f>
        <v/>
      </c>
      <c r="AH27" s="41">
        <f>'Nov2026-COLLECTION'!K26</f>
        <v/>
      </c>
      <c r="AI27" s="41">
        <f>'Nov2026-EXPENSE'!R30</f>
        <v/>
      </c>
      <c r="AJ27" s="21" t="n"/>
      <c r="AK27" s="41">
        <f>AH27-(AI27+AJ27)</f>
        <v/>
      </c>
      <c r="AL27" s="41">
        <f>'Dec2026-COLLECTION'!K26</f>
        <v/>
      </c>
      <c r="AM27" s="41">
        <f>'Dec2026-EXPENSE'!R30</f>
        <v/>
      </c>
      <c r="AN27" s="21" t="n"/>
      <c r="AO27" s="41">
        <f>AL27-(AM27+AN27)</f>
        <v/>
      </c>
      <c r="AP27" s="41">
        <f>'Jan2027-COLLECTION'!K26</f>
        <v/>
      </c>
      <c r="AQ27" s="41">
        <f>'Jan2027-EXPENSE'!R30</f>
        <v/>
      </c>
      <c r="AR27" s="2" t="n"/>
      <c r="AS27" s="41">
        <f>AP27-(AQ27+AR27)</f>
        <v/>
      </c>
      <c r="AT27" s="41">
        <f>'Feb2027-COLLECTION'!K26</f>
        <v/>
      </c>
      <c r="AU27" s="41">
        <f>'Feb2027-EXPENSE'!R30</f>
        <v/>
      </c>
      <c r="AV27" s="2" t="n"/>
      <c r="AW27" s="41">
        <f>AT27-(AU27+AV27)</f>
        <v/>
      </c>
      <c r="AX27" s="41">
        <f>'Mar2027-COLLECTION'!K26</f>
        <v/>
      </c>
      <c r="AY27" s="41">
        <f>'Mar2027-EXPENSE'!R30</f>
        <v/>
      </c>
      <c r="AZ27" s="2" t="n"/>
      <c r="BA27" s="41">
        <f>AX27-(AY27+AZ27)</f>
        <v/>
      </c>
      <c r="BB27" s="41">
        <f>SUM(F27,J27,N27,R27,V27,Z27,AD27,AH27,AL27,AP27,AT27,AX27)</f>
        <v/>
      </c>
      <c r="BC27" s="41">
        <f>SUM(J27,N27,R27,V27,Z27,AD27,AH27,AL27,AP27,AT27,AX27)</f>
        <v/>
      </c>
      <c r="BD27" s="41">
        <f>SUM(G27,K27,O27,S27,W27,AA27,AE27,AI27,AM27,AQ27,AU27,AY27)</f>
        <v/>
      </c>
      <c r="BE27" s="41" t="n">
        <v>0</v>
      </c>
      <c r="BF27" s="41">
        <f>BB27-(BD27+BE27)</f>
        <v/>
      </c>
      <c r="BG27" s="41">
        <f>BC27-(BD27+BE27)</f>
        <v/>
      </c>
      <c r="BH27" s="41">
        <f>E27+BF27</f>
        <v/>
      </c>
      <c r="BI27" s="41">
        <f>E27+F27+IF(BG27&gt;=0,BG27,0)</f>
        <v/>
      </c>
      <c r="BJ27" s="41" t="n">
        <v>0</v>
      </c>
    </row>
    <row r="28" ht="15.75" customHeight="1">
      <c r="A28" s="36" t="inlineStr">
        <is>
          <t>G10</t>
        </is>
      </c>
      <c r="B28" s="42" t="n"/>
      <c r="C28" s="42" t="inlineStr">
        <is>
          <t xml:space="preserve">Cijo Jacob / Thara Joy </t>
        </is>
      </c>
      <c r="D28" s="43" t="n">
        <v>0</v>
      </c>
      <c r="E28" s="43" t="n">
        <v>0</v>
      </c>
      <c r="F28" s="43">
        <f>'Apr2026-COLLECTION'!K27</f>
        <v/>
      </c>
      <c r="G28" s="43">
        <f>'Apr2026-EXPENSE'!R31</f>
        <v/>
      </c>
      <c r="H28" s="20" t="n"/>
      <c r="I28" s="43">
        <f>F28-(G28+H28)</f>
        <v/>
      </c>
      <c r="J28" s="43">
        <f>'May2026-COLLECTION'!K27</f>
        <v/>
      </c>
      <c r="K28" s="43">
        <f>'May2026-EXPENSE'!R31</f>
        <v/>
      </c>
      <c r="L28" s="21" t="n"/>
      <c r="M28" s="43">
        <f>J28-(K28+L28)</f>
        <v/>
      </c>
      <c r="N28" s="43">
        <f>'June2026-COLLECTION'!K27</f>
        <v/>
      </c>
      <c r="O28" s="43">
        <f>'June2026-EXPENSE'!R31</f>
        <v/>
      </c>
      <c r="P28" s="20" t="n"/>
      <c r="Q28" s="43">
        <f>N28-(O28+P28)</f>
        <v/>
      </c>
      <c r="R28" s="43">
        <f>'July2026-COLLECTION'!K27</f>
        <v/>
      </c>
      <c r="S28" s="43">
        <f>'July2026-EXPENSE'!R31</f>
        <v/>
      </c>
      <c r="T28" s="21" t="n"/>
      <c r="U28" s="43">
        <f>R28-(S28+T28)</f>
        <v/>
      </c>
      <c r="V28" s="43">
        <f>'Aug2026-COLLECTION'!K27</f>
        <v/>
      </c>
      <c r="W28" s="43">
        <f>'Aug2026-EXPENSE'!R31</f>
        <v/>
      </c>
      <c r="X28" s="20" t="n"/>
      <c r="Y28" s="43">
        <f>V28-(W28+X28)</f>
        <v/>
      </c>
      <c r="Z28" s="43">
        <f>'Sep2026-COLLECTION'!K27</f>
        <v/>
      </c>
      <c r="AA28" s="43">
        <f>'Sep2026-EXPENSE'!R31</f>
        <v/>
      </c>
      <c r="AB28" s="21" t="n"/>
      <c r="AC28" s="43">
        <f>Z28-(AA28+AB28)</f>
        <v/>
      </c>
      <c r="AD28" s="43">
        <f>'Oct2026-COLLECTION'!K27</f>
        <v/>
      </c>
      <c r="AE28" s="43">
        <f>'Oct2026-EXPENSE'!R31</f>
        <v/>
      </c>
      <c r="AF28" s="21" t="n"/>
      <c r="AG28" s="43">
        <f>AD28-(AE28+AF28)</f>
        <v/>
      </c>
      <c r="AH28" s="43">
        <f>'Nov2026-COLLECTION'!K27</f>
        <v/>
      </c>
      <c r="AI28" s="43">
        <f>'Nov2026-EXPENSE'!R31</f>
        <v/>
      </c>
      <c r="AJ28" s="21" t="n"/>
      <c r="AK28" s="43">
        <f>AH28-(AI28+AJ28)</f>
        <v/>
      </c>
      <c r="AL28" s="43">
        <f>'Dec2026-COLLECTION'!K27</f>
        <v/>
      </c>
      <c r="AM28" s="43">
        <f>'Dec2026-EXPENSE'!R31</f>
        <v/>
      </c>
      <c r="AN28" s="21" t="n"/>
      <c r="AO28" s="43">
        <f>AL28-(AM28+AN28)</f>
        <v/>
      </c>
      <c r="AP28" s="43">
        <f>'Jan2027-COLLECTION'!K27</f>
        <v/>
      </c>
      <c r="AQ28" s="43">
        <f>'Jan2027-EXPENSE'!R31</f>
        <v/>
      </c>
      <c r="AR28" s="2" t="n"/>
      <c r="AS28" s="43">
        <f>AP28-(AQ28+AR28)</f>
        <v/>
      </c>
      <c r="AT28" s="43">
        <f>'Feb2027-COLLECTION'!K27</f>
        <v/>
      </c>
      <c r="AU28" s="43">
        <f>'Feb2027-EXPENSE'!R31</f>
        <v/>
      </c>
      <c r="AV28" s="2" t="n"/>
      <c r="AW28" s="43">
        <f>AT28-(AU28+AV28)</f>
        <v/>
      </c>
      <c r="AX28" s="43">
        <f>'Mar2027-COLLECTION'!K27</f>
        <v/>
      </c>
      <c r="AY28" s="43">
        <f>'Mar2027-EXPENSE'!R31</f>
        <v/>
      </c>
      <c r="AZ28" s="2" t="n"/>
      <c r="BA28" s="43">
        <f>AX28-(AY28+AZ28)</f>
        <v/>
      </c>
      <c r="BB28" s="43">
        <f>SUM(F28,J28,N28,R28,V28,Z28,AD28,AH28,AL28,AP28,AT28,AX28)</f>
        <v/>
      </c>
      <c r="BC28" s="43">
        <f>SUM(J28,N28,R28,V28,Z28,AD28,AH28,AL28,AP28,AT28,AX28)</f>
        <v/>
      </c>
      <c r="BD28" s="43">
        <f>SUM(G28,K28,O28,S28,W28,AA28,AE28,AI28,AM28,AQ28,AU28,AY28)</f>
        <v/>
      </c>
      <c r="BE28" s="43" t="n">
        <v>0</v>
      </c>
      <c r="BF28" s="43">
        <f>BB28-(BD28+BE28)</f>
        <v/>
      </c>
      <c r="BG28" s="43">
        <f>BC28-(BD28+BE28)</f>
        <v/>
      </c>
      <c r="BH28" s="43">
        <f>E28+BF28</f>
        <v/>
      </c>
      <c r="BI28" s="43">
        <f>E28+F28+IF(BG28&gt;=0,BG28,0)</f>
        <v/>
      </c>
      <c r="BJ28" s="43" t="n">
        <v>0</v>
      </c>
    </row>
    <row r="29" ht="15.75" customHeight="1">
      <c r="A29" s="37" t="inlineStr">
        <is>
          <t>G11</t>
        </is>
      </c>
      <c r="B29" s="40" t="n"/>
      <c r="C29" s="40" t="inlineStr">
        <is>
          <t>Ketan Verlekar</t>
        </is>
      </c>
      <c r="D29" s="41" t="n">
        <v>0</v>
      </c>
      <c r="E29" s="41" t="n">
        <v>0</v>
      </c>
      <c r="F29" s="41">
        <f>'Apr2026-COLLECTION'!K28</f>
        <v/>
      </c>
      <c r="G29" s="41">
        <f>'Apr2026-EXPENSE'!R32</f>
        <v/>
      </c>
      <c r="H29" s="20" t="n"/>
      <c r="I29" s="41">
        <f>F29-(G29+H29)</f>
        <v/>
      </c>
      <c r="J29" s="41">
        <f>'May2026-COLLECTION'!K28</f>
        <v/>
      </c>
      <c r="K29" s="41">
        <f>'May2026-EXPENSE'!R32</f>
        <v/>
      </c>
      <c r="L29" s="21" t="n"/>
      <c r="M29" s="41">
        <f>J29-(K29+L29)</f>
        <v/>
      </c>
      <c r="N29" s="41">
        <f>'June2026-COLLECTION'!K28</f>
        <v/>
      </c>
      <c r="O29" s="41">
        <f>'June2026-EXPENSE'!R32</f>
        <v/>
      </c>
      <c r="P29" s="20" t="n"/>
      <c r="Q29" s="41">
        <f>N29-(O29+P29)</f>
        <v/>
      </c>
      <c r="R29" s="41">
        <f>'July2026-COLLECTION'!K28</f>
        <v/>
      </c>
      <c r="S29" s="41">
        <f>'July2026-EXPENSE'!R32</f>
        <v/>
      </c>
      <c r="T29" s="21" t="n"/>
      <c r="U29" s="41">
        <f>R29-(S29+T29)</f>
        <v/>
      </c>
      <c r="V29" s="41">
        <f>'Aug2026-COLLECTION'!K28</f>
        <v/>
      </c>
      <c r="W29" s="41">
        <f>'Aug2026-EXPENSE'!R32</f>
        <v/>
      </c>
      <c r="X29" s="20" t="n"/>
      <c r="Y29" s="41">
        <f>V29-(W29+X29)</f>
        <v/>
      </c>
      <c r="Z29" s="41">
        <f>'Sep2026-COLLECTION'!K28</f>
        <v/>
      </c>
      <c r="AA29" s="41">
        <f>'Sep2026-EXPENSE'!R32</f>
        <v/>
      </c>
      <c r="AB29" s="21" t="n"/>
      <c r="AC29" s="41">
        <f>Z29-(AA29+AB29)</f>
        <v/>
      </c>
      <c r="AD29" s="41">
        <f>'Oct2026-COLLECTION'!K28</f>
        <v/>
      </c>
      <c r="AE29" s="41">
        <f>'Oct2026-EXPENSE'!R32</f>
        <v/>
      </c>
      <c r="AF29" s="21" t="n"/>
      <c r="AG29" s="41">
        <f>AD29-(AE29+AF29)</f>
        <v/>
      </c>
      <c r="AH29" s="41">
        <f>'Nov2026-COLLECTION'!K28</f>
        <v/>
      </c>
      <c r="AI29" s="41">
        <f>'Nov2026-EXPENSE'!R32</f>
        <v/>
      </c>
      <c r="AJ29" s="21" t="n"/>
      <c r="AK29" s="41">
        <f>AH29-(AI29+AJ29)</f>
        <v/>
      </c>
      <c r="AL29" s="41">
        <f>'Dec2026-COLLECTION'!K28</f>
        <v/>
      </c>
      <c r="AM29" s="41">
        <f>'Dec2026-EXPENSE'!R32</f>
        <v/>
      </c>
      <c r="AN29" s="21" t="n"/>
      <c r="AO29" s="41">
        <f>AL29-(AM29+AN29)</f>
        <v/>
      </c>
      <c r="AP29" s="41">
        <f>'Jan2027-COLLECTION'!K28</f>
        <v/>
      </c>
      <c r="AQ29" s="41">
        <f>'Jan2027-EXPENSE'!R32</f>
        <v/>
      </c>
      <c r="AR29" s="2" t="n"/>
      <c r="AS29" s="41">
        <f>AP29-(AQ29+AR29)</f>
        <v/>
      </c>
      <c r="AT29" s="41">
        <f>'Feb2027-COLLECTION'!K28</f>
        <v/>
      </c>
      <c r="AU29" s="41">
        <f>'Feb2027-EXPENSE'!R32</f>
        <v/>
      </c>
      <c r="AV29" s="2" t="n"/>
      <c r="AW29" s="41">
        <f>AT29-(AU29+AV29)</f>
        <v/>
      </c>
      <c r="AX29" s="41">
        <f>'Mar2027-COLLECTION'!K28</f>
        <v/>
      </c>
      <c r="AY29" s="41">
        <f>'Mar2027-EXPENSE'!R32</f>
        <v/>
      </c>
      <c r="AZ29" s="2" t="n"/>
      <c r="BA29" s="41">
        <f>AX29-(AY29+AZ29)</f>
        <v/>
      </c>
      <c r="BB29" s="41">
        <f>SUM(F29,J29,N29,R29,V29,Z29,AD29,AH29,AL29,AP29,AT29,AX29)</f>
        <v/>
      </c>
      <c r="BC29" s="41">
        <f>SUM(J29,N29,R29,V29,Z29,AD29,AH29,AL29,AP29,AT29,AX29)</f>
        <v/>
      </c>
      <c r="BD29" s="41">
        <f>SUM(G29,K29,O29,S29,W29,AA29,AE29,AI29,AM29,AQ29,AU29,AY29)</f>
        <v/>
      </c>
      <c r="BE29" s="41" t="n">
        <v>0</v>
      </c>
      <c r="BF29" s="41">
        <f>BB29-(BD29+BE29)</f>
        <v/>
      </c>
      <c r="BG29" s="41">
        <f>BC29-(BD29+BE29)</f>
        <v/>
      </c>
      <c r="BH29" s="41">
        <f>E29+BF29</f>
        <v/>
      </c>
      <c r="BI29" s="41">
        <f>E29+F29+IF(BG29&gt;=0,BG29,0)</f>
        <v/>
      </c>
      <c r="BJ29" s="41" t="n">
        <v>0</v>
      </c>
    </row>
    <row r="30" ht="15.75" customHeight="1">
      <c r="A30" s="36" t="inlineStr">
        <is>
          <t>G12</t>
        </is>
      </c>
      <c r="B30" s="42" t="n"/>
      <c r="C30" s="42" t="inlineStr">
        <is>
          <t>Shyam Nair</t>
        </is>
      </c>
      <c r="D30" s="43" t="n">
        <v>0</v>
      </c>
      <c r="E30" s="43" t="n">
        <v>0</v>
      </c>
      <c r="F30" s="43">
        <f>'Apr2026-COLLECTION'!K29</f>
        <v/>
      </c>
      <c r="G30" s="43">
        <f>'Apr2026-EXPENSE'!R33</f>
        <v/>
      </c>
      <c r="H30" s="20" t="n"/>
      <c r="I30" s="43">
        <f>F30-(G30+H30)</f>
        <v/>
      </c>
      <c r="J30" s="43">
        <f>'May2026-COLLECTION'!K29</f>
        <v/>
      </c>
      <c r="K30" s="43">
        <f>'May2026-EXPENSE'!R33</f>
        <v/>
      </c>
      <c r="L30" s="21" t="n"/>
      <c r="M30" s="43">
        <f>J30-(K30+L30)</f>
        <v/>
      </c>
      <c r="N30" s="43">
        <f>'June2026-COLLECTION'!K29</f>
        <v/>
      </c>
      <c r="O30" s="43">
        <f>'June2026-EXPENSE'!R33</f>
        <v/>
      </c>
      <c r="P30" s="20" t="n"/>
      <c r="Q30" s="43">
        <f>N30-(O30+P30)</f>
        <v/>
      </c>
      <c r="R30" s="43">
        <f>'July2026-COLLECTION'!K29</f>
        <v/>
      </c>
      <c r="S30" s="43">
        <f>'July2026-EXPENSE'!R33</f>
        <v/>
      </c>
      <c r="T30" s="21" t="n"/>
      <c r="U30" s="43">
        <f>R30-(S30+T30)</f>
        <v/>
      </c>
      <c r="V30" s="43">
        <f>'Aug2026-COLLECTION'!K29</f>
        <v/>
      </c>
      <c r="W30" s="43">
        <f>'Aug2026-EXPENSE'!R33</f>
        <v/>
      </c>
      <c r="X30" s="20" t="n"/>
      <c r="Y30" s="43">
        <f>V30-(W30+X30)</f>
        <v/>
      </c>
      <c r="Z30" s="43">
        <f>'Sep2026-COLLECTION'!K29</f>
        <v/>
      </c>
      <c r="AA30" s="43">
        <f>'Sep2026-EXPENSE'!R33</f>
        <v/>
      </c>
      <c r="AB30" s="21" t="n"/>
      <c r="AC30" s="43">
        <f>Z30-(AA30+AB30)</f>
        <v/>
      </c>
      <c r="AD30" s="43">
        <f>'Oct2026-COLLECTION'!K29</f>
        <v/>
      </c>
      <c r="AE30" s="43">
        <f>'Oct2026-EXPENSE'!R33</f>
        <v/>
      </c>
      <c r="AF30" s="21" t="n"/>
      <c r="AG30" s="43">
        <f>AD30-(AE30+AF30)</f>
        <v/>
      </c>
      <c r="AH30" s="43">
        <f>'Nov2026-COLLECTION'!K29</f>
        <v/>
      </c>
      <c r="AI30" s="43">
        <f>'Nov2026-EXPENSE'!R33</f>
        <v/>
      </c>
      <c r="AJ30" s="21" t="n"/>
      <c r="AK30" s="43">
        <f>AH30-(AI30+AJ30)</f>
        <v/>
      </c>
      <c r="AL30" s="43">
        <f>'Dec2026-COLLECTION'!K29</f>
        <v/>
      </c>
      <c r="AM30" s="43">
        <f>'Dec2026-EXPENSE'!R33</f>
        <v/>
      </c>
      <c r="AN30" s="21" t="n"/>
      <c r="AO30" s="43">
        <f>AL30-(AM30+AN30)</f>
        <v/>
      </c>
      <c r="AP30" s="43">
        <f>'Jan2027-COLLECTION'!K29</f>
        <v/>
      </c>
      <c r="AQ30" s="43">
        <f>'Jan2027-EXPENSE'!R33</f>
        <v/>
      </c>
      <c r="AR30" s="2" t="n"/>
      <c r="AS30" s="43">
        <f>AP30-(AQ30+AR30)</f>
        <v/>
      </c>
      <c r="AT30" s="43">
        <f>'Feb2027-COLLECTION'!K29</f>
        <v/>
      </c>
      <c r="AU30" s="43">
        <f>'Feb2027-EXPENSE'!R33</f>
        <v/>
      </c>
      <c r="AV30" s="2" t="n"/>
      <c r="AW30" s="43">
        <f>AT30-(AU30+AV30)</f>
        <v/>
      </c>
      <c r="AX30" s="43">
        <f>'Mar2027-COLLECTION'!K29</f>
        <v/>
      </c>
      <c r="AY30" s="43">
        <f>'Mar2027-EXPENSE'!R33</f>
        <v/>
      </c>
      <c r="AZ30" s="2" t="n"/>
      <c r="BA30" s="43">
        <f>AX30-(AY30+AZ30)</f>
        <v/>
      </c>
      <c r="BB30" s="43">
        <f>SUM(F30,J30,N30,R30,V30,Z30,AD30,AH30,AL30,AP30,AT30,AX30)</f>
        <v/>
      </c>
      <c r="BC30" s="43">
        <f>SUM(J30,N30,R30,V30,Z30,AD30,AH30,AL30,AP30,AT30,AX30)</f>
        <v/>
      </c>
      <c r="BD30" s="43">
        <f>SUM(G30,K30,O30,S30,W30,AA30,AE30,AI30,AM30,AQ30,AU30,AY30)</f>
        <v/>
      </c>
      <c r="BE30" s="43" t="n">
        <v>0</v>
      </c>
      <c r="BF30" s="43">
        <f>BB30-(BD30+BE30)</f>
        <v/>
      </c>
      <c r="BG30" s="43">
        <f>BC30-(BD30+BE30)</f>
        <v/>
      </c>
      <c r="BH30" s="43">
        <f>E30+BF30</f>
        <v/>
      </c>
      <c r="BI30" s="43">
        <f>E30+F30+IF(BG30&gt;=0,BG30,0)</f>
        <v/>
      </c>
      <c r="BJ30" s="43" t="n">
        <v>0</v>
      </c>
    </row>
    <row r="31" ht="15.75" customHeight="1">
      <c r="A31" s="37" t="inlineStr">
        <is>
          <t>G13</t>
        </is>
      </c>
      <c r="B31" s="40" t="n"/>
      <c r="C31" s="40" t="inlineStr">
        <is>
          <t>Ajai.B</t>
        </is>
      </c>
      <c r="D31" s="41" t="n">
        <v>0</v>
      </c>
      <c r="E31" s="41" t="n">
        <v>0</v>
      </c>
      <c r="F31" s="41">
        <f>'Apr2026-COLLECTION'!K30</f>
        <v/>
      </c>
      <c r="G31" s="41">
        <f>'Apr2026-EXPENSE'!R34</f>
        <v/>
      </c>
      <c r="H31" s="20" t="n"/>
      <c r="I31" s="41">
        <f>F31-(G31+H31)</f>
        <v/>
      </c>
      <c r="J31" s="41">
        <f>'May2026-COLLECTION'!K30</f>
        <v/>
      </c>
      <c r="K31" s="41">
        <f>'May2026-EXPENSE'!R34</f>
        <v/>
      </c>
      <c r="L31" s="41" t="n">
        <v>0</v>
      </c>
      <c r="M31" s="41">
        <f>J31-(K31+L31)</f>
        <v/>
      </c>
      <c r="N31" s="41">
        <f>'June2026-COLLECTION'!K30</f>
        <v/>
      </c>
      <c r="O31" s="41">
        <f>'June2026-EXPENSE'!R34</f>
        <v/>
      </c>
      <c r="P31" s="20" t="n"/>
      <c r="Q31" s="41">
        <f>N31-(O31+P31)</f>
        <v/>
      </c>
      <c r="R31" s="41">
        <f>'July2026-COLLECTION'!K30</f>
        <v/>
      </c>
      <c r="S31" s="41">
        <f>'July2026-EXPENSE'!R34</f>
        <v/>
      </c>
      <c r="T31" s="21" t="n"/>
      <c r="U31" s="41">
        <f>R31-(S31+T31)</f>
        <v/>
      </c>
      <c r="V31" s="41">
        <f>'Aug2026-COLLECTION'!K30</f>
        <v/>
      </c>
      <c r="W31" s="41">
        <f>'Aug2026-EXPENSE'!R34</f>
        <v/>
      </c>
      <c r="X31" s="20" t="n"/>
      <c r="Y31" s="41">
        <f>V31-(W31+X31)</f>
        <v/>
      </c>
      <c r="Z31" s="41">
        <f>'Sep2026-COLLECTION'!K30</f>
        <v/>
      </c>
      <c r="AA31" s="41">
        <f>'Sep2026-EXPENSE'!R34</f>
        <v/>
      </c>
      <c r="AB31" s="21" t="n"/>
      <c r="AC31" s="41">
        <f>Z31-(AA31+AB31)</f>
        <v/>
      </c>
      <c r="AD31" s="41">
        <f>'Oct2026-COLLECTION'!K30</f>
        <v/>
      </c>
      <c r="AE31" s="41">
        <f>'Oct2026-EXPENSE'!R34</f>
        <v/>
      </c>
      <c r="AF31" s="21" t="n"/>
      <c r="AG31" s="41">
        <f>AD31-(AE31+AF31)</f>
        <v/>
      </c>
      <c r="AH31" s="41">
        <f>'Nov2026-COLLECTION'!K30</f>
        <v/>
      </c>
      <c r="AI31" s="41">
        <f>'Nov2026-EXPENSE'!R34</f>
        <v/>
      </c>
      <c r="AJ31" s="21" t="n"/>
      <c r="AK31" s="41">
        <f>AH31-(AI31+AJ31)</f>
        <v/>
      </c>
      <c r="AL31" s="41">
        <f>'Dec2026-COLLECTION'!K30</f>
        <v/>
      </c>
      <c r="AM31" s="41">
        <f>'Dec2026-EXPENSE'!R34</f>
        <v/>
      </c>
      <c r="AN31" s="21" t="n"/>
      <c r="AO31" s="41">
        <f>AL31-(AM31+AN31)</f>
        <v/>
      </c>
      <c r="AP31" s="41">
        <f>'Jan2027-COLLECTION'!K30</f>
        <v/>
      </c>
      <c r="AQ31" s="41">
        <f>'Jan2027-EXPENSE'!R34</f>
        <v/>
      </c>
      <c r="AR31" s="2" t="n"/>
      <c r="AS31" s="41">
        <f>AP31-(AQ31+AR31)</f>
        <v/>
      </c>
      <c r="AT31" s="41">
        <f>'Feb2027-COLLECTION'!K30</f>
        <v/>
      </c>
      <c r="AU31" s="41">
        <f>'Feb2027-EXPENSE'!R34</f>
        <v/>
      </c>
      <c r="AV31" s="2" t="n"/>
      <c r="AW31" s="41">
        <f>AT31-(AU31+AV31)</f>
        <v/>
      </c>
      <c r="AX31" s="41">
        <f>'Mar2027-COLLECTION'!K30</f>
        <v/>
      </c>
      <c r="AY31" s="41">
        <f>'Mar2027-EXPENSE'!R34</f>
        <v/>
      </c>
      <c r="AZ31" s="2" t="n"/>
      <c r="BA31" s="41">
        <f>AX31-(AY31+AZ31)</f>
        <v/>
      </c>
      <c r="BB31" s="41">
        <f>SUM(F31,J31,N31,R31,V31,Z31,AD31,AH31,AL31,AP31,AT31,AX31)</f>
        <v/>
      </c>
      <c r="BC31" s="41">
        <f>SUM(J31,N31,R31,V31,Z31,AD31,AH31,AL31,AP31,AT31,AX31)</f>
        <v/>
      </c>
      <c r="BD31" s="41">
        <f>SUM(G31,K31,O31,S31,W31,AA31,AE31,AI31,AM31,AQ31,AU31,AY31)</f>
        <v/>
      </c>
      <c r="BE31" s="41" t="n">
        <v>0</v>
      </c>
      <c r="BF31" s="41">
        <f>BB31-(BD31+BE31)</f>
        <v/>
      </c>
      <c r="BG31" s="41">
        <f>BC31-(BD31+BE31)</f>
        <v/>
      </c>
      <c r="BH31" s="41">
        <f>E31+BF31</f>
        <v/>
      </c>
      <c r="BI31" s="41">
        <f>E31+F31+IF(BG31&gt;=0,BG31,0)</f>
        <v/>
      </c>
      <c r="BJ31" s="41" t="n">
        <v>0</v>
      </c>
    </row>
    <row r="32" ht="15.75" customHeight="1">
      <c r="A32" s="36" t="inlineStr">
        <is>
          <t>G14</t>
        </is>
      </c>
      <c r="B32" s="42" t="n"/>
      <c r="C32" s="42" t="inlineStr">
        <is>
          <t>Surajit Borah</t>
        </is>
      </c>
      <c r="D32" s="43" t="n">
        <v>0</v>
      </c>
      <c r="E32" s="43" t="n">
        <v>0</v>
      </c>
      <c r="F32" s="43">
        <f>'Apr2026-COLLECTION'!K31</f>
        <v/>
      </c>
      <c r="G32" s="43">
        <f>'Apr2026-EXPENSE'!R35</f>
        <v/>
      </c>
      <c r="H32" s="20" t="n"/>
      <c r="I32" s="43">
        <f>F32-(G32+H32)</f>
        <v/>
      </c>
      <c r="J32" s="43">
        <f>'May2026-COLLECTION'!K31</f>
        <v/>
      </c>
      <c r="K32" s="43">
        <f>'May2026-EXPENSE'!R35</f>
        <v/>
      </c>
      <c r="L32" s="21" t="n"/>
      <c r="M32" s="43">
        <f>J32-(K32+L32)</f>
        <v/>
      </c>
      <c r="N32" s="43">
        <f>'June2026-COLLECTION'!K31</f>
        <v/>
      </c>
      <c r="O32" s="43">
        <f>'June2026-EXPENSE'!R35</f>
        <v/>
      </c>
      <c r="P32" s="20" t="n"/>
      <c r="Q32" s="43">
        <f>N32-(O32+P32)</f>
        <v/>
      </c>
      <c r="R32" s="43">
        <f>'July2026-COLLECTION'!K31</f>
        <v/>
      </c>
      <c r="S32" s="43">
        <f>'July2026-EXPENSE'!R35</f>
        <v/>
      </c>
      <c r="T32" s="21" t="n"/>
      <c r="U32" s="43">
        <f>R32-(S32+T32)</f>
        <v/>
      </c>
      <c r="V32" s="43">
        <f>'Aug2026-COLLECTION'!K31</f>
        <v/>
      </c>
      <c r="W32" s="43">
        <f>'Aug2026-EXPENSE'!R35</f>
        <v/>
      </c>
      <c r="X32" s="20" t="n"/>
      <c r="Y32" s="43">
        <f>V32-(W32+X32)</f>
        <v/>
      </c>
      <c r="Z32" s="43">
        <f>'Sep2026-COLLECTION'!K31</f>
        <v/>
      </c>
      <c r="AA32" s="43">
        <f>'Sep2026-EXPENSE'!R35</f>
        <v/>
      </c>
      <c r="AB32" s="21" t="n"/>
      <c r="AC32" s="43">
        <f>Z32-(AA32+AB32)</f>
        <v/>
      </c>
      <c r="AD32" s="43">
        <f>'Oct2026-COLLECTION'!K31</f>
        <v/>
      </c>
      <c r="AE32" s="43">
        <f>'Oct2026-EXPENSE'!R35</f>
        <v/>
      </c>
      <c r="AF32" s="21" t="n"/>
      <c r="AG32" s="43">
        <f>AD32-(AE32+AF32)</f>
        <v/>
      </c>
      <c r="AH32" s="43">
        <f>'Nov2026-COLLECTION'!K31</f>
        <v/>
      </c>
      <c r="AI32" s="43">
        <f>'Nov2026-EXPENSE'!R35</f>
        <v/>
      </c>
      <c r="AJ32" s="21" t="n"/>
      <c r="AK32" s="43">
        <f>AH32-(AI32+AJ32)</f>
        <v/>
      </c>
      <c r="AL32" s="43">
        <f>'Dec2026-COLLECTION'!K31</f>
        <v/>
      </c>
      <c r="AM32" s="43">
        <f>'Dec2026-EXPENSE'!R35</f>
        <v/>
      </c>
      <c r="AN32" s="21" t="n"/>
      <c r="AO32" s="43">
        <f>AL32-(AM32+AN32)</f>
        <v/>
      </c>
      <c r="AP32" s="43">
        <f>'Jan2027-COLLECTION'!K31</f>
        <v/>
      </c>
      <c r="AQ32" s="43">
        <f>'Jan2027-EXPENSE'!R35</f>
        <v/>
      </c>
      <c r="AR32" s="2" t="n"/>
      <c r="AS32" s="43">
        <f>AP32-(AQ32+AR32)</f>
        <v/>
      </c>
      <c r="AT32" s="43">
        <f>'Feb2027-COLLECTION'!K31</f>
        <v/>
      </c>
      <c r="AU32" s="43">
        <f>'Feb2027-EXPENSE'!R35</f>
        <v/>
      </c>
      <c r="AV32" s="2" t="n"/>
      <c r="AW32" s="43">
        <f>AT32-(AU32+AV32)</f>
        <v/>
      </c>
      <c r="AX32" s="43">
        <f>'Mar2027-COLLECTION'!K31</f>
        <v/>
      </c>
      <c r="AY32" s="43">
        <f>'Mar2027-EXPENSE'!R35</f>
        <v/>
      </c>
      <c r="AZ32" s="2" t="n"/>
      <c r="BA32" s="43">
        <f>AX32-(AY32+AZ32)</f>
        <v/>
      </c>
      <c r="BB32" s="43">
        <f>SUM(F32,J32,N32,R32,V32,Z32,AD32,AH32,AL32,AP32,AT32,AX32)</f>
        <v/>
      </c>
      <c r="BC32" s="43">
        <f>SUM(J32,N32,R32,V32,Z32,AD32,AH32,AL32,AP32,AT32,AX32)</f>
        <v/>
      </c>
      <c r="BD32" s="43">
        <f>SUM(G32,K32,O32,S32,W32,AA32,AE32,AI32,AM32,AQ32,AU32,AY32)</f>
        <v/>
      </c>
      <c r="BE32" s="43" t="n">
        <v>0</v>
      </c>
      <c r="BF32" s="43">
        <f>BB32-(BD32+BE32)</f>
        <v/>
      </c>
      <c r="BG32" s="43">
        <f>BC32-(BD32+BE32)</f>
        <v/>
      </c>
      <c r="BH32" s="43">
        <f>E32+BF32</f>
        <v/>
      </c>
      <c r="BI32" s="43">
        <f>E32+F32+IF(BG32&gt;=0,BG32,0)</f>
        <v/>
      </c>
      <c r="BJ32" s="43" t="n">
        <v>0</v>
      </c>
    </row>
    <row r="33" ht="15.75" customHeight="1">
      <c r="A33" s="37" t="inlineStr">
        <is>
          <t>G15</t>
        </is>
      </c>
      <c r="B33" s="40" t="n"/>
      <c r="C33" s="40" t="inlineStr">
        <is>
          <t>Suresh Nallusamy / Antriksh (tenant)</t>
        </is>
      </c>
      <c r="D33" s="41" t="n">
        <v>0</v>
      </c>
      <c r="E33" s="41" t="n">
        <v>0</v>
      </c>
      <c r="F33" s="41">
        <f>'Apr2026-COLLECTION'!K32</f>
        <v/>
      </c>
      <c r="G33" s="41">
        <f>'Apr2026-EXPENSE'!R36</f>
        <v/>
      </c>
      <c r="H33" s="20" t="n"/>
      <c r="I33" s="41">
        <f>F33-(G33+H33)</f>
        <v/>
      </c>
      <c r="J33" s="41">
        <f>'May2026-COLLECTION'!K32</f>
        <v/>
      </c>
      <c r="K33" s="41">
        <f>'May2026-EXPENSE'!R36</f>
        <v/>
      </c>
      <c r="L33" s="21" t="n"/>
      <c r="M33" s="41">
        <f>J33-(K33+L33)</f>
        <v/>
      </c>
      <c r="N33" s="41">
        <f>'June2026-COLLECTION'!K32</f>
        <v/>
      </c>
      <c r="O33" s="41">
        <f>'June2026-EXPENSE'!R36</f>
        <v/>
      </c>
      <c r="P33" s="20" t="n"/>
      <c r="Q33" s="41">
        <f>N33-(O33+P33)</f>
        <v/>
      </c>
      <c r="R33" s="41">
        <f>'July2026-COLLECTION'!K32</f>
        <v/>
      </c>
      <c r="S33" s="41">
        <f>'July2026-EXPENSE'!R36</f>
        <v/>
      </c>
      <c r="T33" s="21" t="n"/>
      <c r="U33" s="41">
        <f>R33-(S33+T33)</f>
        <v/>
      </c>
      <c r="V33" s="41">
        <f>'Aug2026-COLLECTION'!K32</f>
        <v/>
      </c>
      <c r="W33" s="41">
        <f>'Aug2026-EXPENSE'!R36</f>
        <v/>
      </c>
      <c r="X33" s="20" t="n"/>
      <c r="Y33" s="41">
        <f>V33-(W33+X33)</f>
        <v/>
      </c>
      <c r="Z33" s="41">
        <f>'Sep2026-COLLECTION'!K32</f>
        <v/>
      </c>
      <c r="AA33" s="41">
        <f>'Sep2026-EXPENSE'!R36</f>
        <v/>
      </c>
      <c r="AB33" s="21" t="n"/>
      <c r="AC33" s="41">
        <f>Z33-(AA33+AB33)</f>
        <v/>
      </c>
      <c r="AD33" s="41">
        <f>'Oct2026-COLLECTION'!K32</f>
        <v/>
      </c>
      <c r="AE33" s="41">
        <f>'Oct2026-EXPENSE'!R36</f>
        <v/>
      </c>
      <c r="AF33" s="21" t="n"/>
      <c r="AG33" s="41">
        <f>AD33-(AE33+AF33)</f>
        <v/>
      </c>
      <c r="AH33" s="41">
        <f>'Nov2026-COLLECTION'!K32</f>
        <v/>
      </c>
      <c r="AI33" s="41">
        <f>'Nov2026-EXPENSE'!R36</f>
        <v/>
      </c>
      <c r="AJ33" s="21" t="n"/>
      <c r="AK33" s="41">
        <f>AH33-(AI33+AJ33)</f>
        <v/>
      </c>
      <c r="AL33" s="41">
        <f>'Dec2026-COLLECTION'!K32</f>
        <v/>
      </c>
      <c r="AM33" s="41">
        <f>'Dec2026-EXPENSE'!R36</f>
        <v/>
      </c>
      <c r="AN33" s="21" t="n"/>
      <c r="AO33" s="41">
        <f>AL33-(AM33+AN33)</f>
        <v/>
      </c>
      <c r="AP33" s="41">
        <f>'Jan2027-COLLECTION'!K32</f>
        <v/>
      </c>
      <c r="AQ33" s="41">
        <f>'Jan2027-EXPENSE'!R36</f>
        <v/>
      </c>
      <c r="AR33" s="2" t="n"/>
      <c r="AS33" s="41">
        <f>AP33-(AQ33+AR33)</f>
        <v/>
      </c>
      <c r="AT33" s="41">
        <f>'Feb2027-COLLECTION'!K32</f>
        <v/>
      </c>
      <c r="AU33" s="41">
        <f>'Feb2027-EXPENSE'!R36</f>
        <v/>
      </c>
      <c r="AV33" s="2" t="n"/>
      <c r="AW33" s="41">
        <f>AT33-(AU33+AV33)</f>
        <v/>
      </c>
      <c r="AX33" s="41">
        <f>'Mar2027-COLLECTION'!K32</f>
        <v/>
      </c>
      <c r="AY33" s="41">
        <f>'Mar2027-EXPENSE'!R36</f>
        <v/>
      </c>
      <c r="AZ33" s="2" t="n"/>
      <c r="BA33" s="41">
        <f>AX33-(AY33+AZ33)</f>
        <v/>
      </c>
      <c r="BB33" s="41">
        <f>SUM(F33,J33,N33,R33,V33,Z33,AD33,AH33,AL33,AP33,AT33,AX33)</f>
        <v/>
      </c>
      <c r="BC33" s="41">
        <f>SUM(J33,N33,R33,V33,Z33,AD33,AH33,AL33,AP33,AT33,AX33)</f>
        <v/>
      </c>
      <c r="BD33" s="41">
        <f>SUM(G33,K33,O33,S33,W33,AA33,AE33,AI33,AM33,AQ33,AU33,AY33)</f>
        <v/>
      </c>
      <c r="BE33" s="41" t="n">
        <v>0</v>
      </c>
      <c r="BF33" s="41">
        <f>BB33-(BD33+BE33)</f>
        <v/>
      </c>
      <c r="BG33" s="41">
        <f>BC33-(BD33+BE33)</f>
        <v/>
      </c>
      <c r="BH33" s="41">
        <f>E33+BF33</f>
        <v/>
      </c>
      <c r="BI33" s="41">
        <f>E33+F33+IF(BG33&gt;=0,BG33,0)</f>
        <v/>
      </c>
      <c r="BJ33" s="41" t="n">
        <v>0</v>
      </c>
    </row>
    <row r="34" ht="15.75" customHeight="1">
      <c r="A34" s="36" t="inlineStr">
        <is>
          <t>G16</t>
        </is>
      </c>
      <c r="B34" s="42" t="n"/>
      <c r="C34" s="42" t="inlineStr">
        <is>
          <t>Praveen Ganesan</t>
        </is>
      </c>
      <c r="D34" s="43" t="n">
        <v>0</v>
      </c>
      <c r="E34" s="43" t="n">
        <v>0</v>
      </c>
      <c r="F34" s="43">
        <f>'Apr2026-COLLECTION'!K33</f>
        <v/>
      </c>
      <c r="G34" s="43">
        <f>'Apr2026-EXPENSE'!R37</f>
        <v/>
      </c>
      <c r="H34" s="20" t="n"/>
      <c r="I34" s="43">
        <f>F34-(G34+H34)</f>
        <v/>
      </c>
      <c r="J34" s="43">
        <f>'May2026-COLLECTION'!K33</f>
        <v/>
      </c>
      <c r="K34" s="43">
        <f>'May2026-EXPENSE'!R37</f>
        <v/>
      </c>
      <c r="L34" s="43" t="n">
        <v>0</v>
      </c>
      <c r="M34" s="43">
        <f>J34-(K34+L34)</f>
        <v/>
      </c>
      <c r="N34" s="43">
        <f>'June2026-COLLECTION'!K33</f>
        <v/>
      </c>
      <c r="O34" s="43">
        <f>'June2026-EXPENSE'!R37</f>
        <v/>
      </c>
      <c r="P34" s="20" t="n"/>
      <c r="Q34" s="43">
        <f>N34-(O34+P34)</f>
        <v/>
      </c>
      <c r="R34" s="43">
        <f>'July2026-COLLECTION'!K33</f>
        <v/>
      </c>
      <c r="S34" s="43">
        <f>'July2026-EXPENSE'!R37</f>
        <v/>
      </c>
      <c r="T34" s="21" t="n"/>
      <c r="U34" s="43">
        <f>R34-(S34+T34)</f>
        <v/>
      </c>
      <c r="V34" s="43">
        <f>'Aug2026-COLLECTION'!K33</f>
        <v/>
      </c>
      <c r="W34" s="43">
        <f>'Aug2026-EXPENSE'!R37</f>
        <v/>
      </c>
      <c r="X34" s="20" t="n"/>
      <c r="Y34" s="43">
        <f>V34-(W34+X34)</f>
        <v/>
      </c>
      <c r="Z34" s="43">
        <f>'Sep2026-COLLECTION'!K33</f>
        <v/>
      </c>
      <c r="AA34" s="43">
        <f>'Sep2026-EXPENSE'!R37</f>
        <v/>
      </c>
      <c r="AB34" s="21" t="n"/>
      <c r="AC34" s="43">
        <f>Z34-(AA34+AB34)</f>
        <v/>
      </c>
      <c r="AD34" s="43">
        <f>'Oct2026-COLLECTION'!K33</f>
        <v/>
      </c>
      <c r="AE34" s="43">
        <f>'Oct2026-EXPENSE'!R37</f>
        <v/>
      </c>
      <c r="AF34" s="21" t="n"/>
      <c r="AG34" s="43">
        <f>AD34-(AE34+AF34)</f>
        <v/>
      </c>
      <c r="AH34" s="43">
        <f>'Nov2026-COLLECTION'!K33</f>
        <v/>
      </c>
      <c r="AI34" s="43">
        <f>'Nov2026-EXPENSE'!R37</f>
        <v/>
      </c>
      <c r="AJ34" s="21" t="n"/>
      <c r="AK34" s="43">
        <f>AH34-(AI34+AJ34)</f>
        <v/>
      </c>
      <c r="AL34" s="43">
        <f>'Dec2026-COLLECTION'!K33</f>
        <v/>
      </c>
      <c r="AM34" s="43">
        <f>'Dec2026-EXPENSE'!R37</f>
        <v/>
      </c>
      <c r="AN34" s="21" t="n"/>
      <c r="AO34" s="43">
        <f>AL34-(AM34+AN34)</f>
        <v/>
      </c>
      <c r="AP34" s="43">
        <f>'Jan2027-COLLECTION'!K33</f>
        <v/>
      </c>
      <c r="AQ34" s="43">
        <f>'Jan2027-EXPENSE'!R37</f>
        <v/>
      </c>
      <c r="AR34" s="2" t="n"/>
      <c r="AS34" s="43">
        <f>AP34-(AQ34+AR34)</f>
        <v/>
      </c>
      <c r="AT34" s="43">
        <f>'Feb2027-COLLECTION'!K33</f>
        <v/>
      </c>
      <c r="AU34" s="43">
        <f>'Feb2027-EXPENSE'!R37</f>
        <v/>
      </c>
      <c r="AV34" s="2" t="n"/>
      <c r="AW34" s="43">
        <f>AT34-(AU34+AV34)</f>
        <v/>
      </c>
      <c r="AX34" s="43">
        <f>'Mar2027-COLLECTION'!K33</f>
        <v/>
      </c>
      <c r="AY34" s="43">
        <f>'Mar2027-EXPENSE'!R37</f>
        <v/>
      </c>
      <c r="AZ34" s="2" t="n"/>
      <c r="BA34" s="43">
        <f>AX34-(AY34+AZ34)</f>
        <v/>
      </c>
      <c r="BB34" s="43">
        <f>SUM(F34,J34,N34,R34,V34,Z34,AD34,AH34,AL34,AP34,AT34,AX34)</f>
        <v/>
      </c>
      <c r="BC34" s="43">
        <f>SUM(J34,N34,R34,V34,Z34,AD34,AH34,AL34,AP34,AT34,AX34)</f>
        <v/>
      </c>
      <c r="BD34" s="43">
        <f>SUM(G34,K34,O34,S34,W34,AA34,AE34,AI34,AM34,AQ34,AU34,AY34)</f>
        <v/>
      </c>
      <c r="BE34" s="43" t="n">
        <v>0</v>
      </c>
      <c r="BF34" s="43">
        <f>BB34-(BD34+BE34)</f>
        <v/>
      </c>
      <c r="BG34" s="43">
        <f>BC34-(BD34+BE34)</f>
        <v/>
      </c>
      <c r="BH34" s="43">
        <f>E34+BF34</f>
        <v/>
      </c>
      <c r="BI34" s="43">
        <f>E34+F34+IF(BG34&gt;=0,BG34,0)</f>
        <v/>
      </c>
      <c r="BJ34" s="43" t="n">
        <v>0</v>
      </c>
    </row>
    <row r="35" ht="15.75" customHeight="1">
      <c r="A35" s="37" t="inlineStr">
        <is>
          <t>S1</t>
        </is>
      </c>
      <c r="B35" s="40" t="n"/>
      <c r="C35" s="40" t="inlineStr">
        <is>
          <t>S.N.Behera</t>
        </is>
      </c>
      <c r="D35" s="41" t="n">
        <v>0</v>
      </c>
      <c r="E35" s="41" t="n">
        <v>0</v>
      </c>
      <c r="F35" s="41">
        <f>'Apr2026-COLLECTION'!K34</f>
        <v/>
      </c>
      <c r="G35" s="41">
        <f>'Apr2026-EXPENSE'!R38</f>
        <v/>
      </c>
      <c r="H35" s="20" t="n"/>
      <c r="I35" s="41">
        <f>F35-(G35+H35)</f>
        <v/>
      </c>
      <c r="J35" s="41">
        <f>'May2026-COLLECTION'!K34</f>
        <v/>
      </c>
      <c r="K35" s="41">
        <f>'May2026-EXPENSE'!R38</f>
        <v/>
      </c>
      <c r="L35" s="41" t="n">
        <v>0</v>
      </c>
      <c r="M35" s="41">
        <f>J35-(K35+L35)</f>
        <v/>
      </c>
      <c r="N35" s="41">
        <f>'June2026-COLLECTION'!K34</f>
        <v/>
      </c>
      <c r="O35" s="41">
        <f>'June2026-EXPENSE'!R38</f>
        <v/>
      </c>
      <c r="P35" s="20" t="n"/>
      <c r="Q35" s="41">
        <f>N35-(O35+P35)</f>
        <v/>
      </c>
      <c r="R35" s="41">
        <f>'July2026-COLLECTION'!K34</f>
        <v/>
      </c>
      <c r="S35" s="41">
        <f>'July2026-EXPENSE'!R38</f>
        <v/>
      </c>
      <c r="T35" s="21" t="n"/>
      <c r="U35" s="41">
        <f>R35-(S35+T35)</f>
        <v/>
      </c>
      <c r="V35" s="41">
        <f>'Aug2026-COLLECTION'!K34</f>
        <v/>
      </c>
      <c r="W35" s="41">
        <f>'Aug2026-EXPENSE'!R38</f>
        <v/>
      </c>
      <c r="X35" s="20" t="n"/>
      <c r="Y35" s="41">
        <f>V35-(W35+X35)</f>
        <v/>
      </c>
      <c r="Z35" s="41">
        <f>'Sep2026-COLLECTION'!K34</f>
        <v/>
      </c>
      <c r="AA35" s="41">
        <f>'Sep2026-EXPENSE'!R38</f>
        <v/>
      </c>
      <c r="AB35" s="21" t="n"/>
      <c r="AC35" s="41">
        <f>Z35-(AA35+AB35)</f>
        <v/>
      </c>
      <c r="AD35" s="41">
        <f>'Oct2026-COLLECTION'!K34</f>
        <v/>
      </c>
      <c r="AE35" s="41">
        <f>'Oct2026-EXPENSE'!R38</f>
        <v/>
      </c>
      <c r="AF35" s="21" t="n"/>
      <c r="AG35" s="41">
        <f>AD35-(AE35+AF35)</f>
        <v/>
      </c>
      <c r="AH35" s="41">
        <f>'Nov2026-COLLECTION'!K34</f>
        <v/>
      </c>
      <c r="AI35" s="41">
        <f>'Nov2026-EXPENSE'!R38</f>
        <v/>
      </c>
      <c r="AJ35" s="21" t="n"/>
      <c r="AK35" s="41">
        <f>AH35-(AI35+AJ35)</f>
        <v/>
      </c>
      <c r="AL35" s="41">
        <f>'Dec2026-COLLECTION'!K34</f>
        <v/>
      </c>
      <c r="AM35" s="41">
        <f>'Dec2026-EXPENSE'!R38</f>
        <v/>
      </c>
      <c r="AN35" s="21" t="n"/>
      <c r="AO35" s="41">
        <f>AL35-(AM35+AN35)</f>
        <v/>
      </c>
      <c r="AP35" s="41">
        <f>'Jan2027-COLLECTION'!K34</f>
        <v/>
      </c>
      <c r="AQ35" s="41">
        <f>'Jan2027-EXPENSE'!R38</f>
        <v/>
      </c>
      <c r="AR35" s="2" t="n"/>
      <c r="AS35" s="41">
        <f>AP35-(AQ35+AR35)</f>
        <v/>
      </c>
      <c r="AT35" s="41">
        <f>'Feb2027-COLLECTION'!K34</f>
        <v/>
      </c>
      <c r="AU35" s="41">
        <f>'Feb2027-EXPENSE'!R38</f>
        <v/>
      </c>
      <c r="AV35" s="2" t="n"/>
      <c r="AW35" s="41">
        <f>AT35-(AU35+AV35)</f>
        <v/>
      </c>
      <c r="AX35" s="41">
        <f>'Mar2027-COLLECTION'!K34</f>
        <v/>
      </c>
      <c r="AY35" s="41">
        <f>'Mar2027-EXPENSE'!R38</f>
        <v/>
      </c>
      <c r="AZ35" s="2" t="n"/>
      <c r="BA35" s="41">
        <f>AX35-(AY35+AZ35)</f>
        <v/>
      </c>
      <c r="BB35" s="41">
        <f>SUM(F35,J35,N35,R35,V35,Z35,AD35,AH35,AL35,AP35,AT35,AX35)</f>
        <v/>
      </c>
      <c r="BC35" s="41">
        <f>SUM(J35,N35,R35,V35,Z35,AD35,AH35,AL35,AP35,AT35,AX35)</f>
        <v/>
      </c>
      <c r="BD35" s="41">
        <f>SUM(G35,K35,O35,S35,W35,AA35,AE35,AI35,AM35,AQ35,AU35,AY35)</f>
        <v/>
      </c>
      <c r="BE35" s="41" t="n">
        <v>0</v>
      </c>
      <c r="BF35" s="41">
        <f>BB35-(BD35+BE35)</f>
        <v/>
      </c>
      <c r="BG35" s="41">
        <f>BC35-(BD35+BE35)</f>
        <v/>
      </c>
      <c r="BH35" s="41">
        <f>E35+BF35</f>
        <v/>
      </c>
      <c r="BI35" s="41">
        <f>E35+F35+IF(BG35&gt;=0,BG35,0)</f>
        <v/>
      </c>
      <c r="BJ35" s="41" t="n">
        <v>0</v>
      </c>
    </row>
    <row r="36" ht="15.75" customHeight="1">
      <c r="A36" s="36" t="inlineStr">
        <is>
          <t>S2</t>
        </is>
      </c>
      <c r="B36" s="42" t="n"/>
      <c r="C36" s="42" t="inlineStr">
        <is>
          <t>Sonal Singhal</t>
        </is>
      </c>
      <c r="D36" s="43" t="n">
        <v>0</v>
      </c>
      <c r="E36" s="43" t="n">
        <v>0</v>
      </c>
      <c r="F36" s="43">
        <f>'Apr2026-COLLECTION'!K35</f>
        <v/>
      </c>
      <c r="G36" s="43">
        <f>'Apr2026-EXPENSE'!R39</f>
        <v/>
      </c>
      <c r="H36" s="20" t="n"/>
      <c r="I36" s="43">
        <f>F36-(G36+H36)</f>
        <v/>
      </c>
      <c r="J36" s="43">
        <f>'May2026-COLLECTION'!K35</f>
        <v/>
      </c>
      <c r="K36" s="43">
        <f>'May2026-EXPENSE'!R39</f>
        <v/>
      </c>
      <c r="L36" s="43" t="n">
        <v>0</v>
      </c>
      <c r="M36" s="43">
        <f>J36-(K36+L36)</f>
        <v/>
      </c>
      <c r="N36" s="43">
        <f>'June2026-COLLECTION'!K35</f>
        <v/>
      </c>
      <c r="O36" s="43">
        <f>'June2026-EXPENSE'!R39</f>
        <v/>
      </c>
      <c r="P36" s="20" t="n"/>
      <c r="Q36" s="43">
        <f>N36-(O36+P36)</f>
        <v/>
      </c>
      <c r="R36" s="43">
        <f>'July2026-COLLECTION'!K35</f>
        <v/>
      </c>
      <c r="S36" s="43">
        <f>'July2026-EXPENSE'!R39</f>
        <v/>
      </c>
      <c r="T36" s="43" t="n">
        <v>0</v>
      </c>
      <c r="U36" s="43">
        <f>R36-(S36+T36)</f>
        <v/>
      </c>
      <c r="V36" s="43">
        <f>'Aug2026-COLLECTION'!K35</f>
        <v/>
      </c>
      <c r="W36" s="43">
        <f>'Aug2026-EXPENSE'!R39</f>
        <v/>
      </c>
      <c r="X36" s="20" t="n"/>
      <c r="Y36" s="43">
        <f>V36-(W36+X36)</f>
        <v/>
      </c>
      <c r="Z36" s="43">
        <f>'Sep2026-COLLECTION'!K35</f>
        <v/>
      </c>
      <c r="AA36" s="43">
        <f>'Sep2026-EXPENSE'!R39</f>
        <v/>
      </c>
      <c r="AB36" s="21" t="n"/>
      <c r="AC36" s="43">
        <f>Z36-(AA36+AB36)</f>
        <v/>
      </c>
      <c r="AD36" s="43">
        <f>'Oct2026-COLLECTION'!K35</f>
        <v/>
      </c>
      <c r="AE36" s="43">
        <f>'Oct2026-EXPENSE'!R39</f>
        <v/>
      </c>
      <c r="AF36" s="21" t="n"/>
      <c r="AG36" s="43">
        <f>AD36-(AE36+AF36)</f>
        <v/>
      </c>
      <c r="AH36" s="43">
        <f>'Nov2026-COLLECTION'!K35</f>
        <v/>
      </c>
      <c r="AI36" s="43">
        <f>'Nov2026-EXPENSE'!R39</f>
        <v/>
      </c>
      <c r="AJ36" s="21" t="n"/>
      <c r="AK36" s="43">
        <f>AH36-(AI36+AJ36)</f>
        <v/>
      </c>
      <c r="AL36" s="43">
        <f>'Dec2026-COLLECTION'!K35</f>
        <v/>
      </c>
      <c r="AM36" s="43">
        <f>'Dec2026-EXPENSE'!R39</f>
        <v/>
      </c>
      <c r="AN36" s="21" t="n"/>
      <c r="AO36" s="43">
        <f>AL36-(AM36+AN36)</f>
        <v/>
      </c>
      <c r="AP36" s="43">
        <f>'Jan2027-COLLECTION'!K35</f>
        <v/>
      </c>
      <c r="AQ36" s="43">
        <f>'Jan2027-EXPENSE'!R39</f>
        <v/>
      </c>
      <c r="AR36" s="2" t="n"/>
      <c r="AS36" s="43">
        <f>AP36-(AQ36+AR36)</f>
        <v/>
      </c>
      <c r="AT36" s="43">
        <f>'Feb2027-COLLECTION'!K35</f>
        <v/>
      </c>
      <c r="AU36" s="43">
        <f>'Feb2027-EXPENSE'!R39</f>
        <v/>
      </c>
      <c r="AV36" s="2" t="n"/>
      <c r="AW36" s="43">
        <f>AT36-(AU36+AV36)</f>
        <v/>
      </c>
      <c r="AX36" s="43">
        <f>'Mar2027-COLLECTION'!K35</f>
        <v/>
      </c>
      <c r="AY36" s="43">
        <f>'Mar2027-EXPENSE'!R39</f>
        <v/>
      </c>
      <c r="AZ36" s="2" t="n"/>
      <c r="BA36" s="43">
        <f>AX36-(AY36+AZ36)</f>
        <v/>
      </c>
      <c r="BB36" s="43">
        <f>SUM(F36,J36,N36,R36,V36,Z36,AD36,AH36,AL36,AP36,AT36,AX36)</f>
        <v/>
      </c>
      <c r="BC36" s="43">
        <f>SUM(J36,N36,R36,V36,Z36,AD36,AH36,AL36,AP36,AT36,AX36)</f>
        <v/>
      </c>
      <c r="BD36" s="43">
        <f>SUM(G36,K36,O36,S36,W36,AA36,AE36,AI36,AM36,AQ36,AU36,AY36)</f>
        <v/>
      </c>
      <c r="BE36" s="43" t="n">
        <v>0</v>
      </c>
      <c r="BF36" s="43">
        <f>BB36-(BD36+BE36)</f>
        <v/>
      </c>
      <c r="BG36" s="43">
        <f>BC36-(BD36+BE36)</f>
        <v/>
      </c>
      <c r="BH36" s="43">
        <f>E36+BF36</f>
        <v/>
      </c>
      <c r="BI36" s="43">
        <f>E36+F36+IF(BG36&gt;=0,BG36,0)</f>
        <v/>
      </c>
      <c r="BJ36" s="43" t="n">
        <v>0</v>
      </c>
    </row>
    <row r="37" ht="15.75" customHeight="1">
      <c r="A37" s="37" t="inlineStr">
        <is>
          <t>S3</t>
        </is>
      </c>
      <c r="B37" s="40" t="inlineStr">
        <is>
          <t>manikandan.nj@gmail.com</t>
        </is>
      </c>
      <c r="C37" s="40" t="inlineStr">
        <is>
          <t>Manikandan NG</t>
        </is>
      </c>
      <c r="D37" s="41" t="n">
        <v>0</v>
      </c>
      <c r="E37" s="41">
        <f>-45044.64+0.23+10000</f>
        <v/>
      </c>
      <c r="F37" s="41">
        <f>'Apr2026-COLLECTION'!K36</f>
        <v/>
      </c>
      <c r="G37" s="41">
        <f>'Apr2026-EXPENSE'!R40</f>
        <v/>
      </c>
      <c r="H37" s="20" t="n"/>
      <c r="I37" s="41">
        <f>F37-(G37+H37)</f>
        <v/>
      </c>
      <c r="J37" s="41">
        <f>'May2026-COLLECTION'!K36</f>
        <v/>
      </c>
      <c r="K37" s="41">
        <f>'May2026-EXPENSE'!R40</f>
        <v/>
      </c>
      <c r="L37" s="21" t="n"/>
      <c r="M37" s="41">
        <f>J37-(K37+L37)</f>
        <v/>
      </c>
      <c r="N37" s="41">
        <f>'June2026-COLLECTION'!K36</f>
        <v/>
      </c>
      <c r="O37" s="41">
        <f>'June2026-EXPENSE'!R40</f>
        <v/>
      </c>
      <c r="P37" s="20" t="n"/>
      <c r="Q37" s="41">
        <f>N37-(O37+P37)</f>
        <v/>
      </c>
      <c r="R37" s="41">
        <f>'July2026-COLLECTION'!K36</f>
        <v/>
      </c>
      <c r="S37" s="41">
        <f>'July2026-EXPENSE'!R40</f>
        <v/>
      </c>
      <c r="T37" s="21" t="n"/>
      <c r="U37" s="41">
        <f>R37-(S37+T37)</f>
        <v/>
      </c>
      <c r="V37" s="41">
        <f>'Aug2026-COLLECTION'!K36</f>
        <v/>
      </c>
      <c r="W37" s="41">
        <f>'Aug2026-EXPENSE'!R40</f>
        <v/>
      </c>
      <c r="X37" s="20" t="n"/>
      <c r="Y37" s="41">
        <f>V37-(W37+X37)</f>
        <v/>
      </c>
      <c r="Z37" s="41">
        <f>'Sep2026-COLLECTION'!K36</f>
        <v/>
      </c>
      <c r="AA37" s="41">
        <f>'Sep2026-EXPENSE'!R40</f>
        <v/>
      </c>
      <c r="AB37" s="21" t="n"/>
      <c r="AC37" s="41">
        <f>Z37-(AA37+AB37)</f>
        <v/>
      </c>
      <c r="AD37" s="41">
        <f>'Oct2026-COLLECTION'!K36</f>
        <v/>
      </c>
      <c r="AE37" s="41">
        <f>'Oct2026-EXPENSE'!R40</f>
        <v/>
      </c>
      <c r="AF37" s="21" t="n"/>
      <c r="AG37" s="41">
        <f>AD37-(AE37+AF37)</f>
        <v/>
      </c>
      <c r="AH37" s="41">
        <f>'Nov2026-COLLECTION'!K36</f>
        <v/>
      </c>
      <c r="AI37" s="41">
        <f>'Nov2026-EXPENSE'!R40</f>
        <v/>
      </c>
      <c r="AJ37" s="21" t="n"/>
      <c r="AK37" s="41">
        <f>AH37-(AI37+AJ37)</f>
        <v/>
      </c>
      <c r="AL37" s="41">
        <f>'Dec2026-COLLECTION'!K36</f>
        <v/>
      </c>
      <c r="AM37" s="41">
        <f>'Dec2026-EXPENSE'!R40</f>
        <v/>
      </c>
      <c r="AN37" s="21" t="n"/>
      <c r="AO37" s="41">
        <f>AL37-(AM37+AN37)</f>
        <v/>
      </c>
      <c r="AP37" s="41">
        <f>'Jan2027-COLLECTION'!K36</f>
        <v/>
      </c>
      <c r="AQ37" s="41">
        <f>'Jan2027-EXPENSE'!R40</f>
        <v/>
      </c>
      <c r="AR37" s="2" t="n"/>
      <c r="AS37" s="41">
        <f>AP37-(AQ37+AR37)</f>
        <v/>
      </c>
      <c r="AT37" s="41">
        <f>'Feb2027-COLLECTION'!K36</f>
        <v/>
      </c>
      <c r="AU37" s="41">
        <f>'Feb2027-EXPENSE'!R40</f>
        <v/>
      </c>
      <c r="AV37" s="2" t="n"/>
      <c r="AW37" s="41">
        <f>AT37-(AU37+AV37)</f>
        <v/>
      </c>
      <c r="AX37" s="41">
        <f>'Mar2027-COLLECTION'!K36</f>
        <v/>
      </c>
      <c r="AY37" s="41">
        <f>'Mar2027-EXPENSE'!R40</f>
        <v/>
      </c>
      <c r="AZ37" s="2" t="n"/>
      <c r="BA37" s="41">
        <f>AX37-(AY37+AZ37)</f>
        <v/>
      </c>
      <c r="BB37" s="41">
        <f>SUM(F37,J37,N37,R37,V37,Z37,AD37,AH37,AL37,AP37,AT37,AX37)</f>
        <v/>
      </c>
      <c r="BC37" s="41">
        <f>SUM(J37,N37,R37,V37,Z37,AD37,AH37,AL37,AP37,AT37,AX37)</f>
        <v/>
      </c>
      <c r="BD37" s="41">
        <f>SUM(G37,K37,O37,S37,W37,AA37,AE37,AI37,AM37,AQ37,AU37,AY37)</f>
        <v/>
      </c>
      <c r="BE37" s="41" t="n">
        <v>0</v>
      </c>
      <c r="BF37" s="41">
        <f>BB37-(BD37+BE37)</f>
        <v/>
      </c>
      <c r="BG37" s="41">
        <f>BC37-(BD37+BE37)</f>
        <v/>
      </c>
      <c r="BH37" s="41">
        <f>E37+BF37</f>
        <v/>
      </c>
      <c r="BI37" s="41">
        <f>E37+F37+IF(BG37&gt;=0,BG37,0)</f>
        <v/>
      </c>
      <c r="BJ37" s="41" t="n">
        <v>0</v>
      </c>
    </row>
    <row r="38" ht="15.75" customHeight="1">
      <c r="A38" s="36" t="inlineStr">
        <is>
          <t>S4</t>
        </is>
      </c>
      <c r="B38" s="42" t="n"/>
      <c r="C38" s="42" t="inlineStr">
        <is>
          <t xml:space="preserve">Swaminathan </t>
        </is>
      </c>
      <c r="D38" s="43" t="n">
        <v>0</v>
      </c>
      <c r="E38" s="43" t="n">
        <v>0</v>
      </c>
      <c r="F38" s="43">
        <f>'Apr2026-COLLECTION'!K37</f>
        <v/>
      </c>
      <c r="G38" s="43">
        <f>'Apr2026-EXPENSE'!R41</f>
        <v/>
      </c>
      <c r="H38" s="20" t="n"/>
      <c r="I38" s="43">
        <f>F38-(G38+H38)</f>
        <v/>
      </c>
      <c r="J38" s="43">
        <f>'May2026-COLLECTION'!K37</f>
        <v/>
      </c>
      <c r="K38" s="43">
        <f>'May2026-EXPENSE'!R41</f>
        <v/>
      </c>
      <c r="L38" s="21" t="n"/>
      <c r="M38" s="43">
        <f>J38-(K38+L38)</f>
        <v/>
      </c>
      <c r="N38" s="43">
        <f>'June2026-COLLECTION'!K37</f>
        <v/>
      </c>
      <c r="O38" s="43">
        <f>'June2026-EXPENSE'!R41</f>
        <v/>
      </c>
      <c r="P38" s="20" t="n"/>
      <c r="Q38" s="43">
        <f>N38-(O38+P38)</f>
        <v/>
      </c>
      <c r="R38" s="43">
        <f>'July2026-COLLECTION'!K37</f>
        <v/>
      </c>
      <c r="S38" s="43">
        <f>'July2026-EXPENSE'!R41</f>
        <v/>
      </c>
      <c r="T38" s="21" t="n"/>
      <c r="U38" s="43">
        <f>R38-(S38+T38)</f>
        <v/>
      </c>
      <c r="V38" s="43">
        <f>'Aug2026-COLLECTION'!K37</f>
        <v/>
      </c>
      <c r="W38" s="43">
        <f>'Aug2026-EXPENSE'!R41</f>
        <v/>
      </c>
      <c r="X38" s="20" t="n"/>
      <c r="Y38" s="43">
        <f>V38-(W38+X38)</f>
        <v/>
      </c>
      <c r="Z38" s="43">
        <f>'Sep2026-COLLECTION'!K37</f>
        <v/>
      </c>
      <c r="AA38" s="43">
        <f>'Sep2026-EXPENSE'!R41</f>
        <v/>
      </c>
      <c r="AB38" s="21" t="n"/>
      <c r="AC38" s="43">
        <f>Z38-(AA38+AB38)</f>
        <v/>
      </c>
      <c r="AD38" s="43">
        <f>'Oct2026-COLLECTION'!K37</f>
        <v/>
      </c>
      <c r="AE38" s="43">
        <f>'Oct2026-EXPENSE'!R41</f>
        <v/>
      </c>
      <c r="AF38" s="21" t="n"/>
      <c r="AG38" s="43">
        <f>AD38-(AE38+AF38)</f>
        <v/>
      </c>
      <c r="AH38" s="43">
        <f>'Nov2026-COLLECTION'!K37</f>
        <v/>
      </c>
      <c r="AI38" s="43">
        <f>'Nov2026-EXPENSE'!R41</f>
        <v/>
      </c>
      <c r="AJ38" s="21" t="n"/>
      <c r="AK38" s="43">
        <f>AH38-(AI38+AJ38)</f>
        <v/>
      </c>
      <c r="AL38" s="43">
        <f>'Dec2026-COLLECTION'!K37</f>
        <v/>
      </c>
      <c r="AM38" s="43">
        <f>'Dec2026-EXPENSE'!R41</f>
        <v/>
      </c>
      <c r="AN38" s="21" t="n"/>
      <c r="AO38" s="43">
        <f>AL38-(AM38+AN38)</f>
        <v/>
      </c>
      <c r="AP38" s="43">
        <f>'Jan2027-COLLECTION'!K37</f>
        <v/>
      </c>
      <c r="AQ38" s="43">
        <f>'Jan2027-EXPENSE'!R41</f>
        <v/>
      </c>
      <c r="AR38" s="2" t="n"/>
      <c r="AS38" s="43">
        <f>AP38-(AQ38+AR38)</f>
        <v/>
      </c>
      <c r="AT38" s="43">
        <f>'Feb2027-COLLECTION'!K37</f>
        <v/>
      </c>
      <c r="AU38" s="43">
        <f>'Feb2027-EXPENSE'!R41</f>
        <v/>
      </c>
      <c r="AV38" s="2" t="n"/>
      <c r="AW38" s="43">
        <f>AT38-(AU38+AV38)</f>
        <v/>
      </c>
      <c r="AX38" s="43">
        <f>'Mar2027-COLLECTION'!K37</f>
        <v/>
      </c>
      <c r="AY38" s="43">
        <f>'Mar2027-EXPENSE'!R41</f>
        <v/>
      </c>
      <c r="AZ38" s="2" t="n"/>
      <c r="BA38" s="43">
        <f>AX38-(AY38+AZ38)</f>
        <v/>
      </c>
      <c r="BB38" s="43">
        <f>SUM(F38,J38,N38,R38,V38,Z38,AD38,AH38,AL38,AP38,AT38,AX38)</f>
        <v/>
      </c>
      <c r="BC38" s="43">
        <f>SUM(J38,N38,R38,V38,Z38,AD38,AH38,AL38,AP38,AT38,AX38)</f>
        <v/>
      </c>
      <c r="BD38" s="43">
        <f>SUM(G38,K38,O38,S38,W38,AA38,AE38,AI38,AM38,AQ38,AU38,AY38)</f>
        <v/>
      </c>
      <c r="BE38" s="43" t="n">
        <v>0</v>
      </c>
      <c r="BF38" s="43">
        <f>BB38-(BD38+BE38)</f>
        <v/>
      </c>
      <c r="BG38" s="43">
        <f>BC38-(BD38+BE38)</f>
        <v/>
      </c>
      <c r="BH38" s="43">
        <f>E38+BF38</f>
        <v/>
      </c>
      <c r="BI38" s="43">
        <f>E38+F38+IF(BG38&gt;=0,BG38,0)</f>
        <v/>
      </c>
      <c r="BJ38" s="43" t="n">
        <v>0</v>
      </c>
    </row>
    <row r="39" ht="15.75" customHeight="1">
      <c r="A39" s="37" t="inlineStr">
        <is>
          <t>S5</t>
        </is>
      </c>
      <c r="B39" s="40" t="n"/>
      <c r="C39" s="40" t="inlineStr">
        <is>
          <t>Abhishek Gopalakrishnan</t>
        </is>
      </c>
      <c r="D39" s="41" t="n">
        <v>0</v>
      </c>
      <c r="E39" s="41" t="n">
        <v>0</v>
      </c>
      <c r="F39" s="41">
        <f>'Apr2026-COLLECTION'!K38</f>
        <v/>
      </c>
      <c r="G39" s="41">
        <f>'Apr2026-EXPENSE'!R42</f>
        <v/>
      </c>
      <c r="H39" s="20" t="n"/>
      <c r="I39" s="41">
        <f>F39-(G39+H39)</f>
        <v/>
      </c>
      <c r="J39" s="41">
        <f>'May2026-COLLECTION'!K38</f>
        <v/>
      </c>
      <c r="K39" s="41">
        <f>'May2026-EXPENSE'!R42</f>
        <v/>
      </c>
      <c r="L39" s="21" t="n"/>
      <c r="M39" s="41">
        <f>J39-(K39+L39)</f>
        <v/>
      </c>
      <c r="N39" s="41">
        <f>'June2026-COLLECTION'!K38</f>
        <v/>
      </c>
      <c r="O39" s="41">
        <f>'June2026-EXPENSE'!R42</f>
        <v/>
      </c>
      <c r="P39" s="20" t="n"/>
      <c r="Q39" s="41">
        <f>N39-(O39+P39)</f>
        <v/>
      </c>
      <c r="R39" s="41">
        <f>'July2026-COLLECTION'!K38</f>
        <v/>
      </c>
      <c r="S39" s="41">
        <f>'July2026-EXPENSE'!R42</f>
        <v/>
      </c>
      <c r="T39" s="21" t="n"/>
      <c r="U39" s="41">
        <f>R39-(S39+T39)</f>
        <v/>
      </c>
      <c r="V39" s="41">
        <f>'Aug2026-COLLECTION'!K38</f>
        <v/>
      </c>
      <c r="W39" s="41">
        <f>'Aug2026-EXPENSE'!R42</f>
        <v/>
      </c>
      <c r="X39" s="20" t="n"/>
      <c r="Y39" s="41">
        <f>V39-(W39+X39)</f>
        <v/>
      </c>
      <c r="Z39" s="41">
        <f>'Sep2026-COLLECTION'!K38</f>
        <v/>
      </c>
      <c r="AA39" s="41">
        <f>'Sep2026-EXPENSE'!R42</f>
        <v/>
      </c>
      <c r="AB39" s="21" t="n"/>
      <c r="AC39" s="41">
        <f>Z39-(AA39+AB39)</f>
        <v/>
      </c>
      <c r="AD39" s="41">
        <f>'Oct2026-COLLECTION'!K38</f>
        <v/>
      </c>
      <c r="AE39" s="41">
        <f>'Oct2026-EXPENSE'!R42</f>
        <v/>
      </c>
      <c r="AF39" s="21" t="n"/>
      <c r="AG39" s="41">
        <f>AD39-(AE39+AF39)</f>
        <v/>
      </c>
      <c r="AH39" s="41">
        <f>'Nov2026-COLLECTION'!K38</f>
        <v/>
      </c>
      <c r="AI39" s="41">
        <f>'Nov2026-EXPENSE'!R42</f>
        <v/>
      </c>
      <c r="AJ39" s="21" t="n"/>
      <c r="AK39" s="41">
        <f>AH39-(AI39+AJ39)</f>
        <v/>
      </c>
      <c r="AL39" s="41">
        <f>'Dec2026-COLLECTION'!K38</f>
        <v/>
      </c>
      <c r="AM39" s="41">
        <f>'Dec2026-EXPENSE'!R42</f>
        <v/>
      </c>
      <c r="AN39" s="21" t="n"/>
      <c r="AO39" s="41">
        <f>AL39-(AM39+AN39)</f>
        <v/>
      </c>
      <c r="AP39" s="41">
        <f>'Jan2027-COLLECTION'!K38</f>
        <v/>
      </c>
      <c r="AQ39" s="41">
        <f>'Jan2027-EXPENSE'!R42</f>
        <v/>
      </c>
      <c r="AR39" s="2" t="n"/>
      <c r="AS39" s="41">
        <f>AP39-(AQ39+AR39)</f>
        <v/>
      </c>
      <c r="AT39" s="41">
        <f>'Feb2027-COLLECTION'!K38</f>
        <v/>
      </c>
      <c r="AU39" s="41">
        <f>'Feb2027-EXPENSE'!R42</f>
        <v/>
      </c>
      <c r="AV39" s="2" t="n"/>
      <c r="AW39" s="41">
        <f>AT39-(AU39+AV39)</f>
        <v/>
      </c>
      <c r="AX39" s="41">
        <f>'Mar2027-COLLECTION'!K38</f>
        <v/>
      </c>
      <c r="AY39" s="41">
        <f>'Mar2027-EXPENSE'!R42</f>
        <v/>
      </c>
      <c r="AZ39" s="2" t="n"/>
      <c r="BA39" s="41">
        <f>AX39-(AY39+AZ39)</f>
        <v/>
      </c>
      <c r="BB39" s="41">
        <f>SUM(F39,J39,N39,R39,V39,Z39,AD39,AH39,AL39,AP39,AT39,AX39)</f>
        <v/>
      </c>
      <c r="BC39" s="41">
        <f>SUM(J39,N39,R39,V39,Z39,AD39,AH39,AL39,AP39,AT39,AX39)</f>
        <v/>
      </c>
      <c r="BD39" s="41">
        <f>SUM(G39,K39,O39,S39,W39,AA39,AE39,AI39,AM39,AQ39,AU39,AY39)</f>
        <v/>
      </c>
      <c r="BE39" s="41" t="n">
        <v>0</v>
      </c>
      <c r="BF39" s="41">
        <f>BB39-(BD39+BE39)</f>
        <v/>
      </c>
      <c r="BG39" s="41">
        <f>BC39-(BD39+BE39)</f>
        <v/>
      </c>
      <c r="BH39" s="41">
        <f>E39+BF39</f>
        <v/>
      </c>
      <c r="BI39" s="41">
        <f>E39+F39+IF(BG39&gt;=0,BG39,0)</f>
        <v/>
      </c>
      <c r="BJ39" s="41" t="n">
        <v>0</v>
      </c>
    </row>
    <row r="40" ht="15.75" customHeight="1">
      <c r="A40" s="36" t="inlineStr">
        <is>
          <t>S6</t>
        </is>
      </c>
      <c r="B40" s="42" t="n"/>
      <c r="C40" s="42" t="inlineStr">
        <is>
          <t>Vivek Dhingra / Pratyush Das</t>
        </is>
      </c>
      <c r="D40" s="43" t="n">
        <v>0</v>
      </c>
      <c r="E40" s="43" t="n">
        <v>0</v>
      </c>
      <c r="F40" s="43">
        <f>'Apr2026-COLLECTION'!K39</f>
        <v/>
      </c>
      <c r="G40" s="43">
        <f>'Apr2026-EXPENSE'!R43</f>
        <v/>
      </c>
      <c r="H40" s="20" t="n"/>
      <c r="I40" s="43">
        <f>F40-(G40+H40)</f>
        <v/>
      </c>
      <c r="J40" s="43">
        <f>'May2026-COLLECTION'!K39</f>
        <v/>
      </c>
      <c r="K40" s="43">
        <f>'May2026-EXPENSE'!R43</f>
        <v/>
      </c>
      <c r="L40" s="21" t="n"/>
      <c r="M40" s="43">
        <f>J40-(K40+L40)</f>
        <v/>
      </c>
      <c r="N40" s="43">
        <f>'June2026-COLLECTION'!K39</f>
        <v/>
      </c>
      <c r="O40" s="43">
        <f>'June2026-EXPENSE'!R43</f>
        <v/>
      </c>
      <c r="P40" s="20" t="n"/>
      <c r="Q40" s="43">
        <f>N40-(O40+P40)</f>
        <v/>
      </c>
      <c r="R40" s="43">
        <f>'July2026-COLLECTION'!K39</f>
        <v/>
      </c>
      <c r="S40" s="43">
        <f>'July2026-EXPENSE'!R43</f>
        <v/>
      </c>
      <c r="T40" s="21" t="n"/>
      <c r="U40" s="43">
        <f>R40-(S40+T40)</f>
        <v/>
      </c>
      <c r="V40" s="43">
        <f>'Aug2026-COLLECTION'!K39</f>
        <v/>
      </c>
      <c r="W40" s="43">
        <f>'Aug2026-EXPENSE'!R43</f>
        <v/>
      </c>
      <c r="X40" s="20" t="n"/>
      <c r="Y40" s="43">
        <f>V40-(W40+X40)</f>
        <v/>
      </c>
      <c r="Z40" s="43">
        <f>'Sep2026-COLLECTION'!K39</f>
        <v/>
      </c>
      <c r="AA40" s="43">
        <f>'Sep2026-EXPENSE'!R43</f>
        <v/>
      </c>
      <c r="AB40" s="21" t="n"/>
      <c r="AC40" s="43">
        <f>Z40-(AA40+AB40)</f>
        <v/>
      </c>
      <c r="AD40" s="43">
        <f>'Oct2026-COLLECTION'!K39</f>
        <v/>
      </c>
      <c r="AE40" s="43">
        <f>'Oct2026-EXPENSE'!R43</f>
        <v/>
      </c>
      <c r="AF40" s="21" t="n"/>
      <c r="AG40" s="43">
        <f>AD40-(AE40+AF40)</f>
        <v/>
      </c>
      <c r="AH40" s="43">
        <f>'Nov2026-COLLECTION'!K39</f>
        <v/>
      </c>
      <c r="AI40" s="43">
        <f>'Nov2026-EXPENSE'!R43</f>
        <v/>
      </c>
      <c r="AJ40" s="21" t="n"/>
      <c r="AK40" s="43">
        <f>AH40-(AI40+AJ40)</f>
        <v/>
      </c>
      <c r="AL40" s="43">
        <f>'Dec2026-COLLECTION'!K39</f>
        <v/>
      </c>
      <c r="AM40" s="43">
        <f>'Dec2026-EXPENSE'!R43</f>
        <v/>
      </c>
      <c r="AN40" s="21" t="n"/>
      <c r="AO40" s="43">
        <f>AL40-(AM40+AN40)</f>
        <v/>
      </c>
      <c r="AP40" s="43">
        <f>'Jan2027-COLLECTION'!K39</f>
        <v/>
      </c>
      <c r="AQ40" s="43">
        <f>'Jan2027-EXPENSE'!R43</f>
        <v/>
      </c>
      <c r="AR40" s="2" t="n"/>
      <c r="AS40" s="43">
        <f>AP40-(AQ40+AR40)</f>
        <v/>
      </c>
      <c r="AT40" s="43">
        <f>'Feb2027-COLLECTION'!K39</f>
        <v/>
      </c>
      <c r="AU40" s="43">
        <f>'Feb2027-EXPENSE'!R43</f>
        <v/>
      </c>
      <c r="AV40" s="2" t="n"/>
      <c r="AW40" s="43">
        <f>AT40-(AU40+AV40)</f>
        <v/>
      </c>
      <c r="AX40" s="43">
        <f>'Mar2027-COLLECTION'!K39</f>
        <v/>
      </c>
      <c r="AY40" s="43">
        <f>'Mar2027-EXPENSE'!R43</f>
        <v/>
      </c>
      <c r="AZ40" s="2" t="n"/>
      <c r="BA40" s="43">
        <f>AX40-(AY40+AZ40)</f>
        <v/>
      </c>
      <c r="BB40" s="43">
        <f>SUM(F40,J40,N40,R40,V40,Z40,AD40,AH40,AL40,AP40,AT40,AX40)</f>
        <v/>
      </c>
      <c r="BC40" s="43">
        <f>SUM(J40,N40,R40,V40,Z40,AD40,AH40,AL40,AP40,AT40,AX40)</f>
        <v/>
      </c>
      <c r="BD40" s="43">
        <f>SUM(G40,K40,O40,S40,W40,AA40,AE40,AI40,AM40,AQ40,AU40,AY40)</f>
        <v/>
      </c>
      <c r="BE40" s="43" t="n">
        <v>0</v>
      </c>
      <c r="BF40" s="43">
        <f>BB40-(BD40+BE40)</f>
        <v/>
      </c>
      <c r="BG40" s="43">
        <f>BC40-(BD40+BE40)</f>
        <v/>
      </c>
      <c r="BH40" s="43">
        <f>E40+BF40</f>
        <v/>
      </c>
      <c r="BI40" s="43">
        <f>E40+F40+IF(BG40&gt;=0,BG40,0)</f>
        <v/>
      </c>
      <c r="BJ40" s="43" t="n">
        <v>0</v>
      </c>
    </row>
    <row r="41" ht="15.75" customHeight="1">
      <c r="A41" s="37" t="inlineStr">
        <is>
          <t>S7</t>
        </is>
      </c>
      <c r="B41" s="40" t="n"/>
      <c r="C41" s="40" t="inlineStr">
        <is>
          <t>Harish B</t>
        </is>
      </c>
      <c r="D41" s="41" t="n">
        <v>0</v>
      </c>
      <c r="E41" s="41" t="n">
        <v>0</v>
      </c>
      <c r="F41" s="41">
        <f>'Apr2026-COLLECTION'!K40</f>
        <v/>
      </c>
      <c r="G41" s="41">
        <f>'Apr2026-EXPENSE'!R44</f>
        <v/>
      </c>
      <c r="H41" s="20" t="n"/>
      <c r="I41" s="41">
        <f>F41-(G41+H41)</f>
        <v/>
      </c>
      <c r="J41" s="41">
        <f>'May2026-COLLECTION'!K40</f>
        <v/>
      </c>
      <c r="K41" s="41">
        <f>'May2026-EXPENSE'!R44</f>
        <v/>
      </c>
      <c r="L41" s="21" t="n"/>
      <c r="M41" s="41">
        <f>J41-(K41+L41)</f>
        <v/>
      </c>
      <c r="N41" s="41">
        <f>'June2026-COLLECTION'!K40</f>
        <v/>
      </c>
      <c r="O41" s="41">
        <f>'June2026-EXPENSE'!R44</f>
        <v/>
      </c>
      <c r="P41" s="20" t="n"/>
      <c r="Q41" s="41">
        <f>N41-(O41+P41)</f>
        <v/>
      </c>
      <c r="R41" s="41">
        <f>'July2026-COLLECTION'!K40</f>
        <v/>
      </c>
      <c r="S41" s="41">
        <f>'July2026-EXPENSE'!R44</f>
        <v/>
      </c>
      <c r="T41" s="21" t="n"/>
      <c r="U41" s="41">
        <f>R41-(S41+T41)</f>
        <v/>
      </c>
      <c r="V41" s="41">
        <f>'Aug2026-COLLECTION'!K40</f>
        <v/>
      </c>
      <c r="W41" s="41">
        <f>'Aug2026-EXPENSE'!R44</f>
        <v/>
      </c>
      <c r="X41" s="20" t="n"/>
      <c r="Y41" s="41">
        <f>V41-(W41+X41)</f>
        <v/>
      </c>
      <c r="Z41" s="41">
        <f>'Sep2026-COLLECTION'!K40</f>
        <v/>
      </c>
      <c r="AA41" s="41">
        <f>'Sep2026-EXPENSE'!R44</f>
        <v/>
      </c>
      <c r="AB41" s="21" t="n"/>
      <c r="AC41" s="41">
        <f>Z41-(AA41+AB41)</f>
        <v/>
      </c>
      <c r="AD41" s="41">
        <f>'Oct2026-COLLECTION'!K40</f>
        <v/>
      </c>
      <c r="AE41" s="41">
        <f>'Oct2026-EXPENSE'!R44</f>
        <v/>
      </c>
      <c r="AF41" s="21" t="n"/>
      <c r="AG41" s="41">
        <f>AD41-(AE41+AF41)</f>
        <v/>
      </c>
      <c r="AH41" s="41">
        <f>'Nov2026-COLLECTION'!K40</f>
        <v/>
      </c>
      <c r="AI41" s="41">
        <f>'Nov2026-EXPENSE'!R44</f>
        <v/>
      </c>
      <c r="AJ41" s="21" t="n"/>
      <c r="AK41" s="41">
        <f>AH41-(AI41+AJ41)</f>
        <v/>
      </c>
      <c r="AL41" s="41">
        <f>'Dec2026-COLLECTION'!K40</f>
        <v/>
      </c>
      <c r="AM41" s="41">
        <f>'Dec2026-EXPENSE'!R44</f>
        <v/>
      </c>
      <c r="AN41" s="21" t="n"/>
      <c r="AO41" s="41">
        <f>AL41-(AM41+AN41)</f>
        <v/>
      </c>
      <c r="AP41" s="41">
        <f>'Jan2027-COLLECTION'!K40</f>
        <v/>
      </c>
      <c r="AQ41" s="41">
        <f>'Jan2027-EXPENSE'!R44</f>
        <v/>
      </c>
      <c r="AR41" s="2" t="n"/>
      <c r="AS41" s="41">
        <f>AP41-(AQ41+AR41)</f>
        <v/>
      </c>
      <c r="AT41" s="41">
        <f>'Feb2027-COLLECTION'!K40</f>
        <v/>
      </c>
      <c r="AU41" s="41">
        <f>'Feb2027-EXPENSE'!R44</f>
        <v/>
      </c>
      <c r="AV41" s="2" t="n"/>
      <c r="AW41" s="41">
        <f>AT41-(AU41+AV41)</f>
        <v/>
      </c>
      <c r="AX41" s="41">
        <f>'Mar2027-COLLECTION'!K40</f>
        <v/>
      </c>
      <c r="AY41" s="41">
        <f>'Mar2027-EXPENSE'!R44</f>
        <v/>
      </c>
      <c r="AZ41" s="2" t="n"/>
      <c r="BA41" s="41">
        <f>AX41-(AY41+AZ41)</f>
        <v/>
      </c>
      <c r="BB41" s="41">
        <f>SUM(F41,J41,N41,R41,V41,Z41,AD41,AH41,AL41,AP41,AT41,AX41)</f>
        <v/>
      </c>
      <c r="BC41" s="41">
        <f>SUM(J41,N41,R41,V41,Z41,AD41,AH41,AL41,AP41,AT41,AX41)</f>
        <v/>
      </c>
      <c r="BD41" s="41">
        <f>SUM(G41,K41,O41,S41,W41,AA41,AE41,AI41,AM41,AQ41,AU41,AY41)</f>
        <v/>
      </c>
      <c r="BE41" s="41" t="n">
        <v>0</v>
      </c>
      <c r="BF41" s="41">
        <f>BB41-(BD41+BE41)</f>
        <v/>
      </c>
      <c r="BG41" s="41">
        <f>BC41-(BD41+BE41)</f>
        <v/>
      </c>
      <c r="BH41" s="41">
        <f>E41+BF41</f>
        <v/>
      </c>
      <c r="BI41" s="41">
        <f>E41+F41+IF(BG41&gt;=0,BG41,0)</f>
        <v/>
      </c>
      <c r="BJ41" s="41" t="n">
        <v>0</v>
      </c>
    </row>
    <row r="42" ht="15.75" customHeight="1">
      <c r="A42" s="36" t="inlineStr">
        <is>
          <t>S8</t>
        </is>
      </c>
      <c r="B42" s="42" t="n"/>
      <c r="C42" s="42" t="inlineStr">
        <is>
          <t>Irudayaraj Alwin</t>
        </is>
      </c>
      <c r="D42" s="43" t="n">
        <v>0</v>
      </c>
      <c r="E42" s="43" t="n">
        <v>0</v>
      </c>
      <c r="F42" s="43">
        <f>'Apr2026-COLLECTION'!K41</f>
        <v/>
      </c>
      <c r="G42" s="43">
        <f>'Apr2026-EXPENSE'!R45</f>
        <v/>
      </c>
      <c r="H42" s="20" t="n"/>
      <c r="I42" s="43">
        <f>F42-(G42+H42)</f>
        <v/>
      </c>
      <c r="J42" s="43">
        <f>'May2026-COLLECTION'!K41</f>
        <v/>
      </c>
      <c r="K42" s="43">
        <f>'May2026-EXPENSE'!R45</f>
        <v/>
      </c>
      <c r="L42" s="21" t="n"/>
      <c r="M42" s="43">
        <f>J42-(K42+L42)</f>
        <v/>
      </c>
      <c r="N42" s="43">
        <f>'June2026-COLLECTION'!K41</f>
        <v/>
      </c>
      <c r="O42" s="43">
        <f>'June2026-EXPENSE'!R45</f>
        <v/>
      </c>
      <c r="P42" s="20" t="n"/>
      <c r="Q42" s="43">
        <f>N42-(O42+P42)</f>
        <v/>
      </c>
      <c r="R42" s="43">
        <f>'July2026-COLLECTION'!K41</f>
        <v/>
      </c>
      <c r="S42" s="43">
        <f>'July2026-EXPENSE'!R45</f>
        <v/>
      </c>
      <c r="T42" s="21" t="n"/>
      <c r="U42" s="43">
        <f>R42-(S42+T42)</f>
        <v/>
      </c>
      <c r="V42" s="43">
        <f>'Aug2026-COLLECTION'!K41</f>
        <v/>
      </c>
      <c r="W42" s="43">
        <f>'Aug2026-EXPENSE'!R45</f>
        <v/>
      </c>
      <c r="X42" s="20" t="n"/>
      <c r="Y42" s="43">
        <f>V42-(W42+X42)</f>
        <v/>
      </c>
      <c r="Z42" s="43">
        <f>'Sep2026-COLLECTION'!K41</f>
        <v/>
      </c>
      <c r="AA42" s="43">
        <f>'Sep2026-EXPENSE'!R45</f>
        <v/>
      </c>
      <c r="AB42" s="21" t="n"/>
      <c r="AC42" s="43">
        <f>Z42-(AA42+AB42)</f>
        <v/>
      </c>
      <c r="AD42" s="43">
        <f>'Oct2026-COLLECTION'!K41</f>
        <v/>
      </c>
      <c r="AE42" s="43">
        <f>'Oct2026-EXPENSE'!R45</f>
        <v/>
      </c>
      <c r="AF42" s="21" t="n"/>
      <c r="AG42" s="43">
        <f>AD42-(AE42+AF42)</f>
        <v/>
      </c>
      <c r="AH42" s="43">
        <f>'Nov2026-COLLECTION'!K41</f>
        <v/>
      </c>
      <c r="AI42" s="43">
        <f>'Nov2026-EXPENSE'!R45</f>
        <v/>
      </c>
      <c r="AJ42" s="21" t="n"/>
      <c r="AK42" s="43">
        <f>AH42-(AI42+AJ42)</f>
        <v/>
      </c>
      <c r="AL42" s="43">
        <f>'Dec2026-COLLECTION'!K41</f>
        <v/>
      </c>
      <c r="AM42" s="43">
        <f>'Dec2026-EXPENSE'!R45</f>
        <v/>
      </c>
      <c r="AN42" s="21" t="n"/>
      <c r="AO42" s="43">
        <f>AL42-(AM42+AN42)</f>
        <v/>
      </c>
      <c r="AP42" s="43">
        <f>'Jan2027-COLLECTION'!K41</f>
        <v/>
      </c>
      <c r="AQ42" s="43">
        <f>'Jan2027-EXPENSE'!R45</f>
        <v/>
      </c>
      <c r="AR42" s="2" t="n"/>
      <c r="AS42" s="43">
        <f>AP42-(AQ42+AR42)</f>
        <v/>
      </c>
      <c r="AT42" s="43">
        <f>'Feb2027-COLLECTION'!K41</f>
        <v/>
      </c>
      <c r="AU42" s="43">
        <f>'Feb2027-EXPENSE'!R45</f>
        <v/>
      </c>
      <c r="AV42" s="2" t="n"/>
      <c r="AW42" s="43">
        <f>AT42-(AU42+AV42)</f>
        <v/>
      </c>
      <c r="AX42" s="43">
        <f>'Mar2027-COLLECTION'!K41</f>
        <v/>
      </c>
      <c r="AY42" s="43">
        <f>'Mar2027-EXPENSE'!R45</f>
        <v/>
      </c>
      <c r="AZ42" s="2" t="n"/>
      <c r="BA42" s="43">
        <f>AX42-(AY42+AZ42)</f>
        <v/>
      </c>
      <c r="BB42" s="43">
        <f>SUM(F42,J42,N42,R42,V42,Z42,AD42,AH42,AL42,AP42,AT42,AX42)</f>
        <v/>
      </c>
      <c r="BC42" s="43">
        <f>SUM(J42,N42,R42,V42,Z42,AD42,AH42,AL42,AP42,AT42,AX42)</f>
        <v/>
      </c>
      <c r="BD42" s="43">
        <f>SUM(G42,K42,O42,S42,W42,AA42,AE42,AI42,AM42,AQ42,AU42,AY42)</f>
        <v/>
      </c>
      <c r="BE42" s="43" t="n">
        <v>0</v>
      </c>
      <c r="BF42" s="43">
        <f>BB42-(BD42+BE42)</f>
        <v/>
      </c>
      <c r="BG42" s="43">
        <f>BC42-(BD42+BE42)</f>
        <v/>
      </c>
      <c r="BH42" s="43">
        <f>E42+BF42</f>
        <v/>
      </c>
      <c r="BI42" s="43">
        <f>E42+F42+IF(BG42&gt;=0,BG42,0)</f>
        <v/>
      </c>
      <c r="BJ42" s="43" t="n">
        <v>0</v>
      </c>
    </row>
    <row r="43" ht="15.75" customHeight="1">
      <c r="A43" s="37" t="inlineStr">
        <is>
          <t>S9</t>
        </is>
      </c>
      <c r="B43" s="40" t="n"/>
      <c r="C43" s="40" t="inlineStr">
        <is>
          <t>Pawan GS</t>
        </is>
      </c>
      <c r="D43" s="41" t="n">
        <v>0</v>
      </c>
      <c r="E43" s="41" t="n">
        <v>0</v>
      </c>
      <c r="F43" s="41">
        <f>'Apr2026-COLLECTION'!K42</f>
        <v/>
      </c>
      <c r="G43" s="41">
        <f>'Apr2026-EXPENSE'!R46</f>
        <v/>
      </c>
      <c r="H43" s="20" t="n"/>
      <c r="I43" s="41">
        <f>F43-(G43+H43)</f>
        <v/>
      </c>
      <c r="J43" s="41">
        <f>'May2026-COLLECTION'!K42</f>
        <v/>
      </c>
      <c r="K43" s="41">
        <f>'May2026-EXPENSE'!R46</f>
        <v/>
      </c>
      <c r="L43" s="21" t="n"/>
      <c r="M43" s="41">
        <f>J43-(K43+L43)</f>
        <v/>
      </c>
      <c r="N43" s="41">
        <f>'June2026-COLLECTION'!K42</f>
        <v/>
      </c>
      <c r="O43" s="41">
        <f>'June2026-EXPENSE'!R46</f>
        <v/>
      </c>
      <c r="P43" s="20" t="n"/>
      <c r="Q43" s="41">
        <f>N43-(O43+P43)</f>
        <v/>
      </c>
      <c r="R43" s="41">
        <f>'July2026-COLLECTION'!K42</f>
        <v/>
      </c>
      <c r="S43" s="41">
        <f>'July2026-EXPENSE'!R46</f>
        <v/>
      </c>
      <c r="T43" s="21" t="n"/>
      <c r="U43" s="41">
        <f>R43-(S43+T43)</f>
        <v/>
      </c>
      <c r="V43" s="41">
        <f>'Aug2026-COLLECTION'!K42</f>
        <v/>
      </c>
      <c r="W43" s="41">
        <f>'Aug2026-EXPENSE'!R46</f>
        <v/>
      </c>
      <c r="X43" s="20" t="n"/>
      <c r="Y43" s="41">
        <f>V43-(W43+X43)</f>
        <v/>
      </c>
      <c r="Z43" s="41">
        <f>'Sep2026-COLLECTION'!K42</f>
        <v/>
      </c>
      <c r="AA43" s="41">
        <f>'Sep2026-EXPENSE'!R46</f>
        <v/>
      </c>
      <c r="AB43" s="21" t="n"/>
      <c r="AC43" s="41">
        <f>Z43-(AA43+AB43)</f>
        <v/>
      </c>
      <c r="AD43" s="41">
        <f>'Oct2026-COLLECTION'!K42</f>
        <v/>
      </c>
      <c r="AE43" s="41">
        <f>'Oct2026-EXPENSE'!R46</f>
        <v/>
      </c>
      <c r="AF43" s="21" t="n"/>
      <c r="AG43" s="41">
        <f>AD43-(AE43+AF43)</f>
        <v/>
      </c>
      <c r="AH43" s="41">
        <f>'Nov2026-COLLECTION'!K42</f>
        <v/>
      </c>
      <c r="AI43" s="41">
        <f>'Nov2026-EXPENSE'!R46</f>
        <v/>
      </c>
      <c r="AJ43" s="21" t="n"/>
      <c r="AK43" s="41">
        <f>AH43-(AI43+AJ43)</f>
        <v/>
      </c>
      <c r="AL43" s="41">
        <f>'Dec2026-COLLECTION'!K42</f>
        <v/>
      </c>
      <c r="AM43" s="41">
        <f>'Dec2026-EXPENSE'!R46</f>
        <v/>
      </c>
      <c r="AN43" s="21" t="n"/>
      <c r="AO43" s="41">
        <f>AL43-(AM43+AN43)</f>
        <v/>
      </c>
      <c r="AP43" s="41">
        <f>'Jan2027-COLLECTION'!K42</f>
        <v/>
      </c>
      <c r="AQ43" s="41">
        <f>'Jan2027-EXPENSE'!R46</f>
        <v/>
      </c>
      <c r="AR43" s="2" t="n"/>
      <c r="AS43" s="41">
        <f>AP43-(AQ43+AR43)</f>
        <v/>
      </c>
      <c r="AT43" s="41">
        <f>'Feb2027-COLLECTION'!K42</f>
        <v/>
      </c>
      <c r="AU43" s="41">
        <f>'Feb2027-EXPENSE'!R46</f>
        <v/>
      </c>
      <c r="AV43" s="2" t="n"/>
      <c r="AW43" s="41">
        <f>AT43-(AU43+AV43)</f>
        <v/>
      </c>
      <c r="AX43" s="41">
        <f>'Mar2027-COLLECTION'!K42</f>
        <v/>
      </c>
      <c r="AY43" s="41">
        <f>'Mar2027-EXPENSE'!R46</f>
        <v/>
      </c>
      <c r="AZ43" s="2" t="n"/>
      <c r="BA43" s="41">
        <f>AX43-(AY43+AZ43)</f>
        <v/>
      </c>
      <c r="BB43" s="41">
        <f>SUM(F43,J43,N43,R43,V43,Z43,AD43,AH43,AL43,AP43,AT43,AX43)</f>
        <v/>
      </c>
      <c r="BC43" s="41">
        <f>SUM(J43,N43,R43,V43,Z43,AD43,AH43,AL43,AP43,AT43,AX43)</f>
        <v/>
      </c>
      <c r="BD43" s="41">
        <f>SUM(G43,K43,O43,S43,W43,AA43,AE43,AI43,AM43,AQ43,AU43,AY43)</f>
        <v/>
      </c>
      <c r="BE43" s="41" t="n">
        <v>0</v>
      </c>
      <c r="BF43" s="41">
        <f>BB43-(BD43+BE43)</f>
        <v/>
      </c>
      <c r="BG43" s="41">
        <f>BC43-(BD43+BE43)</f>
        <v/>
      </c>
      <c r="BH43" s="41">
        <f>E43+BF43</f>
        <v/>
      </c>
      <c r="BI43" s="41">
        <f>E43+F43+IF(BG43&gt;=0,BG43,0)</f>
        <v/>
      </c>
      <c r="BJ43" s="41" t="n">
        <v>0</v>
      </c>
    </row>
    <row r="44" ht="15.75" customHeight="1">
      <c r="A44" s="36" t="inlineStr">
        <is>
          <t>S10</t>
        </is>
      </c>
      <c r="B44" s="42" t="inlineStr">
        <is>
          <t>esky2524@gmail.com</t>
        </is>
      </c>
      <c r="C44" s="42" t="inlineStr">
        <is>
          <t>Previous owner - Rohith. New owner name not known</t>
        </is>
      </c>
      <c r="D44" s="43" t="n">
        <v>0</v>
      </c>
      <c r="E44" s="43" t="n">
        <v>0</v>
      </c>
      <c r="F44" s="43">
        <f>'Apr2026-COLLECTION'!K43</f>
        <v/>
      </c>
      <c r="G44" s="43">
        <f>'Apr2026-EXPENSE'!R47</f>
        <v/>
      </c>
      <c r="H44" s="20" t="n"/>
      <c r="I44" s="43">
        <f>F44-(G44+H44)</f>
        <v/>
      </c>
      <c r="J44" s="43">
        <f>'May2026-COLLECTION'!K43</f>
        <v/>
      </c>
      <c r="K44" s="43">
        <f>'May2026-EXPENSE'!R47</f>
        <v/>
      </c>
      <c r="L44" s="43" t="n">
        <v>0</v>
      </c>
      <c r="M44" s="43">
        <f>J44-(K44+L44)</f>
        <v/>
      </c>
      <c r="N44" s="43">
        <f>'June2026-COLLECTION'!K43</f>
        <v/>
      </c>
      <c r="O44" s="43">
        <f>'June2026-EXPENSE'!R47</f>
        <v/>
      </c>
      <c r="P44" s="20" t="n"/>
      <c r="Q44" s="43">
        <f>N44-(O44+P44)</f>
        <v/>
      </c>
      <c r="R44" s="43">
        <f>'July2026-COLLECTION'!K43</f>
        <v/>
      </c>
      <c r="S44" s="43">
        <f>'July2026-EXPENSE'!R47</f>
        <v/>
      </c>
      <c r="T44" s="43" t="n">
        <v>0</v>
      </c>
      <c r="U44" s="43">
        <f>R44-(S44+T44)</f>
        <v/>
      </c>
      <c r="V44" s="43">
        <f>'Aug2026-COLLECTION'!K43</f>
        <v/>
      </c>
      <c r="W44" s="43">
        <f>'Aug2026-EXPENSE'!R47</f>
        <v/>
      </c>
      <c r="X44" s="20" t="n"/>
      <c r="Y44" s="43">
        <f>V44-(W44+X44)</f>
        <v/>
      </c>
      <c r="Z44" s="43">
        <f>'Sep2026-COLLECTION'!K43</f>
        <v/>
      </c>
      <c r="AA44" s="43">
        <f>'Sep2026-EXPENSE'!R47</f>
        <v/>
      </c>
      <c r="AB44" s="21" t="n"/>
      <c r="AC44" s="43">
        <f>Z44-(AA44+AB44)</f>
        <v/>
      </c>
      <c r="AD44" s="43">
        <f>'Oct2026-COLLECTION'!K43</f>
        <v/>
      </c>
      <c r="AE44" s="43">
        <f>'Oct2026-EXPENSE'!R47</f>
        <v/>
      </c>
      <c r="AF44" s="21" t="n"/>
      <c r="AG44" s="43">
        <f>AD44-(AE44+AF44)</f>
        <v/>
      </c>
      <c r="AH44" s="43">
        <f>'Nov2026-COLLECTION'!K43</f>
        <v/>
      </c>
      <c r="AI44" s="43">
        <f>'Nov2026-EXPENSE'!R47</f>
        <v/>
      </c>
      <c r="AJ44" s="21" t="n"/>
      <c r="AK44" s="43">
        <f>AH44-(AI44+AJ44)</f>
        <v/>
      </c>
      <c r="AL44" s="43">
        <f>'Dec2026-COLLECTION'!K43</f>
        <v/>
      </c>
      <c r="AM44" s="43">
        <f>'Dec2026-EXPENSE'!R47</f>
        <v/>
      </c>
      <c r="AN44" s="21" t="n"/>
      <c r="AO44" s="43">
        <f>AL44-(AM44+AN44)</f>
        <v/>
      </c>
      <c r="AP44" s="43">
        <f>'Jan2027-COLLECTION'!K43</f>
        <v/>
      </c>
      <c r="AQ44" s="43">
        <f>'Jan2027-EXPENSE'!R47</f>
        <v/>
      </c>
      <c r="AR44" s="2" t="n"/>
      <c r="AS44" s="43">
        <f>AP44-(AQ44+AR44)</f>
        <v/>
      </c>
      <c r="AT44" s="43">
        <f>'Feb2027-COLLECTION'!K43</f>
        <v/>
      </c>
      <c r="AU44" s="43">
        <f>'Feb2027-EXPENSE'!R47</f>
        <v/>
      </c>
      <c r="AV44" s="2" t="n"/>
      <c r="AW44" s="43">
        <f>AT44-(AU44+AV44)</f>
        <v/>
      </c>
      <c r="AX44" s="43">
        <f>'Mar2027-COLLECTION'!K43</f>
        <v/>
      </c>
      <c r="AY44" s="43">
        <f>'Mar2027-EXPENSE'!R47</f>
        <v/>
      </c>
      <c r="AZ44" s="2" t="n"/>
      <c r="BA44" s="43">
        <f>AX44-(AY44+AZ44)</f>
        <v/>
      </c>
      <c r="BB44" s="43">
        <f>SUM(F44,J44,N44,R44,V44,Z44,AD44,AH44,AL44,AP44,AT44,AX44)</f>
        <v/>
      </c>
      <c r="BC44" s="43">
        <f>SUM(J44,N44,R44,V44,Z44,AD44,AH44,AL44,AP44,AT44,AX44)</f>
        <v/>
      </c>
      <c r="BD44" s="43">
        <f>SUM(G44,K44,O44,S44,W44,AA44,AE44,AI44,AM44,AQ44,AU44,AY44)</f>
        <v/>
      </c>
      <c r="BE44" s="43" t="n">
        <v>0</v>
      </c>
      <c r="BF44" s="43">
        <f>BB44-(BD44+BE44)</f>
        <v/>
      </c>
      <c r="BG44" s="43">
        <f>BC44-(BD44+BE44)</f>
        <v/>
      </c>
      <c r="BH44" s="43">
        <f>E44+BF44</f>
        <v/>
      </c>
      <c r="BI44" s="43">
        <f>E44+F44+IF(BG44&gt;=0,BG44,0)</f>
        <v/>
      </c>
      <c r="BJ44" s="43" t="n">
        <v>0</v>
      </c>
    </row>
    <row r="45" ht="15.75" customHeight="1">
      <c r="A45" s="37" t="inlineStr">
        <is>
          <t>S11</t>
        </is>
      </c>
      <c r="B45" s="40" t="n"/>
      <c r="C45" s="40" t="inlineStr">
        <is>
          <t>Gowrish Patnaik / Somananth GM</t>
        </is>
      </c>
      <c r="D45" s="41" t="n">
        <v>0</v>
      </c>
      <c r="E45" s="41" t="n">
        <v>0</v>
      </c>
      <c r="F45" s="41">
        <f>'Apr2026-COLLECTION'!K44</f>
        <v/>
      </c>
      <c r="G45" s="41">
        <f>'Apr2026-EXPENSE'!R48</f>
        <v/>
      </c>
      <c r="H45" s="20" t="n"/>
      <c r="I45" s="41">
        <f>F45-(G45+H45)</f>
        <v/>
      </c>
      <c r="J45" s="41">
        <f>'May2026-COLLECTION'!K44</f>
        <v/>
      </c>
      <c r="K45" s="41">
        <f>'May2026-EXPENSE'!R48</f>
        <v/>
      </c>
      <c r="L45" s="41" t="n">
        <v>0</v>
      </c>
      <c r="M45" s="41">
        <f>J45-(K45+L45)</f>
        <v/>
      </c>
      <c r="N45" s="41">
        <f>'June2026-COLLECTION'!K44</f>
        <v/>
      </c>
      <c r="O45" s="41">
        <f>'June2026-EXPENSE'!R48</f>
        <v/>
      </c>
      <c r="P45" s="20" t="n"/>
      <c r="Q45" s="41">
        <f>N45-(O45+P45)</f>
        <v/>
      </c>
      <c r="R45" s="41">
        <f>'July2026-COLLECTION'!K44</f>
        <v/>
      </c>
      <c r="S45" s="41">
        <f>'July2026-EXPENSE'!R48</f>
        <v/>
      </c>
      <c r="T45" s="21" t="n"/>
      <c r="U45" s="41">
        <f>R45-(S45+T45)</f>
        <v/>
      </c>
      <c r="V45" s="41">
        <f>'Aug2026-COLLECTION'!K44</f>
        <v/>
      </c>
      <c r="W45" s="41">
        <f>'Aug2026-EXPENSE'!R48</f>
        <v/>
      </c>
      <c r="X45" s="20" t="n"/>
      <c r="Y45" s="41">
        <f>V45-(W45+X45)</f>
        <v/>
      </c>
      <c r="Z45" s="41">
        <f>'Sep2026-COLLECTION'!K44</f>
        <v/>
      </c>
      <c r="AA45" s="41">
        <f>'Sep2026-EXPENSE'!R48</f>
        <v/>
      </c>
      <c r="AB45" s="21" t="n"/>
      <c r="AC45" s="41">
        <f>Z45-(AA45+AB45)</f>
        <v/>
      </c>
      <c r="AD45" s="41">
        <f>'Oct2026-COLLECTION'!K44</f>
        <v/>
      </c>
      <c r="AE45" s="41">
        <f>'Oct2026-EXPENSE'!R48</f>
        <v/>
      </c>
      <c r="AF45" s="21" t="n"/>
      <c r="AG45" s="41">
        <f>AD45-(AE45+AF45)</f>
        <v/>
      </c>
      <c r="AH45" s="41">
        <f>'Nov2026-COLLECTION'!K44</f>
        <v/>
      </c>
      <c r="AI45" s="41">
        <f>'Nov2026-EXPENSE'!R48</f>
        <v/>
      </c>
      <c r="AJ45" s="21" t="n"/>
      <c r="AK45" s="41">
        <f>AH45-(AI45+AJ45)</f>
        <v/>
      </c>
      <c r="AL45" s="41">
        <f>'Dec2026-COLLECTION'!K44</f>
        <v/>
      </c>
      <c r="AM45" s="41">
        <f>'Dec2026-EXPENSE'!R48</f>
        <v/>
      </c>
      <c r="AN45" s="21" t="n"/>
      <c r="AO45" s="41">
        <f>AL45-(AM45+AN45)</f>
        <v/>
      </c>
      <c r="AP45" s="41">
        <f>'Jan2027-COLLECTION'!K44</f>
        <v/>
      </c>
      <c r="AQ45" s="41">
        <f>'Jan2027-EXPENSE'!R48</f>
        <v/>
      </c>
      <c r="AR45" s="2" t="n"/>
      <c r="AS45" s="41">
        <f>AP45-(AQ45+AR45)</f>
        <v/>
      </c>
      <c r="AT45" s="41">
        <f>'Feb2027-COLLECTION'!K44</f>
        <v/>
      </c>
      <c r="AU45" s="41">
        <f>'Feb2027-EXPENSE'!R48</f>
        <v/>
      </c>
      <c r="AV45" s="2" t="n"/>
      <c r="AW45" s="41">
        <f>AT45-(AU45+AV45)</f>
        <v/>
      </c>
      <c r="AX45" s="41">
        <f>'Mar2027-COLLECTION'!K44</f>
        <v/>
      </c>
      <c r="AY45" s="41">
        <f>'Mar2027-EXPENSE'!R48</f>
        <v/>
      </c>
      <c r="AZ45" s="2" t="n"/>
      <c r="BA45" s="41">
        <f>AX45-(AY45+AZ45)</f>
        <v/>
      </c>
      <c r="BB45" s="41">
        <f>SUM(F45,J45,N45,R45,V45,Z45,AD45,AH45,AL45,AP45,AT45,AX45)</f>
        <v/>
      </c>
      <c r="BC45" s="41">
        <f>SUM(J45,N45,R45,V45,Z45,AD45,AH45,AL45,AP45,AT45,AX45)</f>
        <v/>
      </c>
      <c r="BD45" s="41">
        <f>SUM(G45,K45,O45,S45,W45,AA45,AE45,AI45,AM45,AQ45,AU45,AY45)</f>
        <v/>
      </c>
      <c r="BE45" s="41" t="n">
        <v>0</v>
      </c>
      <c r="BF45" s="41">
        <f>BB45-(BD45+BE45)</f>
        <v/>
      </c>
      <c r="BG45" s="41">
        <f>BC45-(BD45+BE45)</f>
        <v/>
      </c>
      <c r="BH45" s="41">
        <f>E45+BF45</f>
        <v/>
      </c>
      <c r="BI45" s="41">
        <f>E45+F45+IF(BG45&gt;=0,BG45,0)</f>
        <v/>
      </c>
      <c r="BJ45" s="41" t="n">
        <v>0</v>
      </c>
    </row>
    <row r="46" ht="15.75" customHeight="1">
      <c r="A46" s="36" t="inlineStr">
        <is>
          <t>S12</t>
        </is>
      </c>
      <c r="B46" s="42" t="n"/>
      <c r="C46" s="42" t="inlineStr">
        <is>
          <t>Saovik Mondal</t>
        </is>
      </c>
      <c r="D46" s="43" t="n">
        <v>0</v>
      </c>
      <c r="E46" s="43" t="n">
        <v>0</v>
      </c>
      <c r="F46" s="43">
        <f>'Apr2026-COLLECTION'!K45</f>
        <v/>
      </c>
      <c r="G46" s="43">
        <f>'Apr2026-EXPENSE'!R49</f>
        <v/>
      </c>
      <c r="H46" s="20" t="n"/>
      <c r="I46" s="43">
        <f>F46-(G46+H46)</f>
        <v/>
      </c>
      <c r="J46" s="43">
        <f>'May2026-COLLECTION'!K45</f>
        <v/>
      </c>
      <c r="K46" s="43">
        <f>'May2026-EXPENSE'!R49</f>
        <v/>
      </c>
      <c r="L46" s="21" t="n"/>
      <c r="M46" s="43">
        <f>J46-(K46+L46)</f>
        <v/>
      </c>
      <c r="N46" s="43">
        <f>'June2026-COLLECTION'!K45</f>
        <v/>
      </c>
      <c r="O46" s="43">
        <f>'June2026-EXPENSE'!R49</f>
        <v/>
      </c>
      <c r="P46" s="20" t="n"/>
      <c r="Q46" s="43">
        <f>N46-(O46+P46)</f>
        <v/>
      </c>
      <c r="R46" s="43">
        <f>'July2026-COLLECTION'!K45</f>
        <v/>
      </c>
      <c r="S46" s="43">
        <f>'July2026-EXPENSE'!R49</f>
        <v/>
      </c>
      <c r="T46" s="21" t="n"/>
      <c r="U46" s="43">
        <f>R46-(S46+T46)</f>
        <v/>
      </c>
      <c r="V46" s="43">
        <f>'Aug2026-COLLECTION'!K45</f>
        <v/>
      </c>
      <c r="W46" s="43">
        <f>'Aug2026-EXPENSE'!R49</f>
        <v/>
      </c>
      <c r="X46" s="20" t="n"/>
      <c r="Y46" s="43">
        <f>V46-(W46+X46)</f>
        <v/>
      </c>
      <c r="Z46" s="43">
        <f>'Sep2026-COLLECTION'!K45</f>
        <v/>
      </c>
      <c r="AA46" s="43">
        <f>'Sep2026-EXPENSE'!R49</f>
        <v/>
      </c>
      <c r="AB46" s="21" t="n"/>
      <c r="AC46" s="43">
        <f>Z46-(AA46+AB46)</f>
        <v/>
      </c>
      <c r="AD46" s="43">
        <f>'Oct2026-COLLECTION'!K45</f>
        <v/>
      </c>
      <c r="AE46" s="43">
        <f>'Oct2026-EXPENSE'!R49</f>
        <v/>
      </c>
      <c r="AF46" s="21" t="n"/>
      <c r="AG46" s="43">
        <f>AD46-(AE46+AF46)</f>
        <v/>
      </c>
      <c r="AH46" s="43">
        <f>'Nov2026-COLLECTION'!K45</f>
        <v/>
      </c>
      <c r="AI46" s="43">
        <f>'Nov2026-EXPENSE'!R49</f>
        <v/>
      </c>
      <c r="AJ46" s="21" t="n"/>
      <c r="AK46" s="43">
        <f>AH46-(AI46+AJ46)</f>
        <v/>
      </c>
      <c r="AL46" s="43">
        <f>'Dec2026-COLLECTION'!K45</f>
        <v/>
      </c>
      <c r="AM46" s="43">
        <f>'Dec2026-EXPENSE'!R49</f>
        <v/>
      </c>
      <c r="AN46" s="21" t="n"/>
      <c r="AO46" s="43">
        <f>AL46-(AM46+AN46)</f>
        <v/>
      </c>
      <c r="AP46" s="43">
        <f>'Jan2027-COLLECTION'!K45</f>
        <v/>
      </c>
      <c r="AQ46" s="43">
        <f>'Jan2027-EXPENSE'!R49</f>
        <v/>
      </c>
      <c r="AR46" s="2" t="n"/>
      <c r="AS46" s="43">
        <f>AP46-(AQ46+AR46)</f>
        <v/>
      </c>
      <c r="AT46" s="43">
        <f>'Feb2027-COLLECTION'!K45</f>
        <v/>
      </c>
      <c r="AU46" s="43">
        <f>'Feb2027-EXPENSE'!R49</f>
        <v/>
      </c>
      <c r="AV46" s="2" t="n"/>
      <c r="AW46" s="43">
        <f>AT46-(AU46+AV46)</f>
        <v/>
      </c>
      <c r="AX46" s="43">
        <f>'Mar2027-COLLECTION'!K45</f>
        <v/>
      </c>
      <c r="AY46" s="43">
        <f>'Mar2027-EXPENSE'!R49</f>
        <v/>
      </c>
      <c r="AZ46" s="2" t="n"/>
      <c r="BA46" s="43">
        <f>AX46-(AY46+AZ46)</f>
        <v/>
      </c>
      <c r="BB46" s="43">
        <f>SUM(F46,J46,N46,R46,V46,Z46,AD46,AH46,AL46,AP46,AT46,AX46)</f>
        <v/>
      </c>
      <c r="BC46" s="43">
        <f>SUM(J46,N46,R46,V46,Z46,AD46,AH46,AL46,AP46,AT46,AX46)</f>
        <v/>
      </c>
      <c r="BD46" s="43">
        <f>SUM(G46,K46,O46,S46,W46,AA46,AE46,AI46,AM46,AQ46,AU46,AY46)</f>
        <v/>
      </c>
      <c r="BE46" s="43" t="n">
        <v>0</v>
      </c>
      <c r="BF46" s="43">
        <f>BB46-(BD46+BE46)</f>
        <v/>
      </c>
      <c r="BG46" s="43">
        <f>BC46-(BD46+BE46)</f>
        <v/>
      </c>
      <c r="BH46" s="43">
        <f>E46+BF46</f>
        <v/>
      </c>
      <c r="BI46" s="43">
        <f>E46+F46+IF(BG46&gt;=0,BG46,0)</f>
        <v/>
      </c>
      <c r="BJ46" s="43" t="n">
        <v>0</v>
      </c>
    </row>
    <row r="47" ht="15.75" customHeight="1">
      <c r="A47" s="37" t="inlineStr">
        <is>
          <t>S13</t>
        </is>
      </c>
      <c r="B47" s="40" t="n"/>
      <c r="C47" s="40" t="inlineStr">
        <is>
          <t>Ramadevi S.</t>
        </is>
      </c>
      <c r="D47" s="41" t="n">
        <v>0</v>
      </c>
      <c r="E47" s="41" t="n">
        <v>0</v>
      </c>
      <c r="F47" s="41">
        <f>'Apr2026-COLLECTION'!K46</f>
        <v/>
      </c>
      <c r="G47" s="41">
        <f>'Apr2026-EXPENSE'!R50</f>
        <v/>
      </c>
      <c r="H47" s="20" t="n"/>
      <c r="I47" s="41">
        <f>F47-(G47+H47)</f>
        <v/>
      </c>
      <c r="J47" s="41">
        <f>'May2026-COLLECTION'!K46</f>
        <v/>
      </c>
      <c r="K47" s="41">
        <f>'May2026-EXPENSE'!R50</f>
        <v/>
      </c>
      <c r="L47" s="41" t="n">
        <v>0</v>
      </c>
      <c r="M47" s="41">
        <f>J47-(K47+L47)</f>
        <v/>
      </c>
      <c r="N47" s="41">
        <f>'June2026-COLLECTION'!K46</f>
        <v/>
      </c>
      <c r="O47" s="41">
        <f>'June2026-EXPENSE'!R50</f>
        <v/>
      </c>
      <c r="P47" s="20" t="n"/>
      <c r="Q47" s="41">
        <f>N47-(O47+P47)</f>
        <v/>
      </c>
      <c r="R47" s="41">
        <f>'July2026-COLLECTION'!K46</f>
        <v/>
      </c>
      <c r="S47" s="41">
        <f>'July2026-EXPENSE'!R50</f>
        <v/>
      </c>
      <c r="T47" s="21" t="n"/>
      <c r="U47" s="41">
        <f>R47-(S47+T47)</f>
        <v/>
      </c>
      <c r="V47" s="41">
        <f>'Aug2026-COLLECTION'!K46</f>
        <v/>
      </c>
      <c r="W47" s="41">
        <f>'Aug2026-EXPENSE'!R50</f>
        <v/>
      </c>
      <c r="X47" s="20" t="n"/>
      <c r="Y47" s="41">
        <f>V47-(W47+X47)</f>
        <v/>
      </c>
      <c r="Z47" s="41">
        <f>'Sep2026-COLLECTION'!K46</f>
        <v/>
      </c>
      <c r="AA47" s="41">
        <f>'Sep2026-EXPENSE'!R50</f>
        <v/>
      </c>
      <c r="AB47" s="21" t="n"/>
      <c r="AC47" s="41">
        <f>Z47-(AA47+AB47)</f>
        <v/>
      </c>
      <c r="AD47" s="41">
        <f>'Oct2026-COLLECTION'!K46</f>
        <v/>
      </c>
      <c r="AE47" s="41">
        <f>'Oct2026-EXPENSE'!R50</f>
        <v/>
      </c>
      <c r="AF47" s="21" t="n"/>
      <c r="AG47" s="41">
        <f>AD47-(AE47+AF47)</f>
        <v/>
      </c>
      <c r="AH47" s="41">
        <f>'Nov2026-COLLECTION'!K46</f>
        <v/>
      </c>
      <c r="AI47" s="41">
        <f>'Nov2026-EXPENSE'!R50</f>
        <v/>
      </c>
      <c r="AJ47" s="21" t="n"/>
      <c r="AK47" s="41">
        <f>AH47-(AI47+AJ47)</f>
        <v/>
      </c>
      <c r="AL47" s="41">
        <f>'Dec2026-COLLECTION'!K46</f>
        <v/>
      </c>
      <c r="AM47" s="41">
        <f>'Dec2026-EXPENSE'!R50</f>
        <v/>
      </c>
      <c r="AN47" s="21" t="n"/>
      <c r="AO47" s="41">
        <f>AL47-(AM47+AN47)</f>
        <v/>
      </c>
      <c r="AP47" s="41">
        <f>'Jan2027-COLLECTION'!K46</f>
        <v/>
      </c>
      <c r="AQ47" s="41">
        <f>'Jan2027-EXPENSE'!R50</f>
        <v/>
      </c>
      <c r="AR47" s="2" t="n"/>
      <c r="AS47" s="41">
        <f>AP47-(AQ47+AR47)</f>
        <v/>
      </c>
      <c r="AT47" s="41">
        <f>'Feb2027-COLLECTION'!K46</f>
        <v/>
      </c>
      <c r="AU47" s="41">
        <f>'Feb2027-EXPENSE'!R50</f>
        <v/>
      </c>
      <c r="AV47" s="2" t="n"/>
      <c r="AW47" s="41">
        <f>AT47-(AU47+AV47)</f>
        <v/>
      </c>
      <c r="AX47" s="41">
        <f>'Mar2027-COLLECTION'!K46</f>
        <v/>
      </c>
      <c r="AY47" s="41">
        <f>'Mar2027-EXPENSE'!R50</f>
        <v/>
      </c>
      <c r="AZ47" s="2" t="n"/>
      <c r="BA47" s="41">
        <f>AX47-(AY47+AZ47)</f>
        <v/>
      </c>
      <c r="BB47" s="41">
        <f>SUM(F47,J47,N47,R47,V47,Z47,AD47,AH47,AL47,AP47,AT47,AX47)</f>
        <v/>
      </c>
      <c r="BC47" s="41">
        <f>SUM(J47,N47,R47,V47,Z47,AD47,AH47,AL47,AP47,AT47,AX47)</f>
        <v/>
      </c>
      <c r="BD47" s="41">
        <f>SUM(G47,K47,O47,S47,W47,AA47,AE47,AI47,AM47,AQ47,AU47,AY47)</f>
        <v/>
      </c>
      <c r="BE47" s="41" t="n">
        <v>0</v>
      </c>
      <c r="BF47" s="41">
        <f>BB47-(BD47+BE47)</f>
        <v/>
      </c>
      <c r="BG47" s="41">
        <f>BC47-(BD47+BE47)</f>
        <v/>
      </c>
      <c r="BH47" s="41">
        <f>E47+BF47</f>
        <v/>
      </c>
      <c r="BI47" s="41">
        <f>E47+F47+IF(BG47&gt;=0,BG47,0)</f>
        <v/>
      </c>
      <c r="BJ47" s="41" t="n">
        <v>0</v>
      </c>
    </row>
    <row r="48" ht="15.75" customHeight="1">
      <c r="A48" s="36" t="inlineStr">
        <is>
          <t>S14</t>
        </is>
      </c>
      <c r="B48" s="42" t="n"/>
      <c r="C48" s="42" t="inlineStr">
        <is>
          <t>Nishant Upadhyay(Owner)/ Fabian (Tenant)</t>
        </is>
      </c>
      <c r="D48" s="43" t="n">
        <v>0</v>
      </c>
      <c r="E48" s="43" t="n">
        <v>0</v>
      </c>
      <c r="F48" s="43">
        <f>'Apr2026-COLLECTION'!K47</f>
        <v/>
      </c>
      <c r="G48" s="43">
        <f>'Apr2026-EXPENSE'!R51</f>
        <v/>
      </c>
      <c r="H48" s="20" t="n"/>
      <c r="I48" s="43">
        <f>F48-(G48+H48)</f>
        <v/>
      </c>
      <c r="J48" s="43">
        <f>'May2026-COLLECTION'!K47</f>
        <v/>
      </c>
      <c r="K48" s="43">
        <f>'May2026-EXPENSE'!R51</f>
        <v/>
      </c>
      <c r="L48" s="43" t="n">
        <v>0</v>
      </c>
      <c r="M48" s="43">
        <f>J48-(K48+L48)</f>
        <v/>
      </c>
      <c r="N48" s="43">
        <f>'June2026-COLLECTION'!K47</f>
        <v/>
      </c>
      <c r="O48" s="43">
        <f>'June2026-EXPENSE'!R51</f>
        <v/>
      </c>
      <c r="P48" s="20" t="n"/>
      <c r="Q48" s="43">
        <f>N48-(O48+P48)</f>
        <v/>
      </c>
      <c r="R48" s="43">
        <f>'July2026-COLLECTION'!K47</f>
        <v/>
      </c>
      <c r="S48" s="43">
        <f>'July2026-EXPENSE'!R51</f>
        <v/>
      </c>
      <c r="T48" s="43" t="n">
        <v>0</v>
      </c>
      <c r="U48" s="43">
        <f>R48-(S48+T48)</f>
        <v/>
      </c>
      <c r="V48" s="43">
        <f>'Aug2026-COLLECTION'!K47</f>
        <v/>
      </c>
      <c r="W48" s="43">
        <f>'Aug2026-EXPENSE'!R51</f>
        <v/>
      </c>
      <c r="X48" s="20" t="n"/>
      <c r="Y48" s="43">
        <f>V48-(W48+X48)</f>
        <v/>
      </c>
      <c r="Z48" s="43">
        <f>'Sep2026-COLLECTION'!K47</f>
        <v/>
      </c>
      <c r="AA48" s="43">
        <f>'Sep2026-EXPENSE'!R51</f>
        <v/>
      </c>
      <c r="AB48" s="21" t="n"/>
      <c r="AC48" s="43">
        <f>Z48-(AA48+AB48)</f>
        <v/>
      </c>
      <c r="AD48" s="43">
        <f>'Oct2026-COLLECTION'!K47</f>
        <v/>
      </c>
      <c r="AE48" s="43">
        <f>'Oct2026-EXPENSE'!R51</f>
        <v/>
      </c>
      <c r="AF48" s="21" t="n"/>
      <c r="AG48" s="43">
        <f>AD48-(AE48+AF48)</f>
        <v/>
      </c>
      <c r="AH48" s="43">
        <f>'Nov2026-COLLECTION'!K47</f>
        <v/>
      </c>
      <c r="AI48" s="43">
        <f>'Nov2026-EXPENSE'!R51</f>
        <v/>
      </c>
      <c r="AJ48" s="21" t="n"/>
      <c r="AK48" s="43">
        <f>AH48-(AI48+AJ48)</f>
        <v/>
      </c>
      <c r="AL48" s="43">
        <f>'Dec2026-COLLECTION'!K47</f>
        <v/>
      </c>
      <c r="AM48" s="43">
        <f>'Dec2026-EXPENSE'!R51</f>
        <v/>
      </c>
      <c r="AN48" s="21" t="n"/>
      <c r="AO48" s="43">
        <f>AL48-(AM48+AN48)</f>
        <v/>
      </c>
      <c r="AP48" s="43">
        <f>'Jan2027-COLLECTION'!K47</f>
        <v/>
      </c>
      <c r="AQ48" s="43">
        <f>'Jan2027-EXPENSE'!R51</f>
        <v/>
      </c>
      <c r="AR48" s="2" t="n"/>
      <c r="AS48" s="43">
        <f>AP48-(AQ48+AR48)</f>
        <v/>
      </c>
      <c r="AT48" s="43">
        <f>'Feb2027-COLLECTION'!K47</f>
        <v/>
      </c>
      <c r="AU48" s="43">
        <f>'Feb2027-EXPENSE'!R51</f>
        <v/>
      </c>
      <c r="AV48" s="2" t="n"/>
      <c r="AW48" s="43">
        <f>AT48-(AU48+AV48)</f>
        <v/>
      </c>
      <c r="AX48" s="43">
        <f>'Mar2027-COLLECTION'!K47</f>
        <v/>
      </c>
      <c r="AY48" s="43">
        <f>'Mar2027-EXPENSE'!R51</f>
        <v/>
      </c>
      <c r="AZ48" s="2" t="n"/>
      <c r="BA48" s="43">
        <f>AX48-(AY48+AZ48)</f>
        <v/>
      </c>
      <c r="BB48" s="43">
        <f>SUM(F48,J48,N48,R48,V48,Z48,AD48,AH48,AL48,AP48,AT48,AX48)</f>
        <v/>
      </c>
      <c r="BC48" s="43">
        <f>SUM(J48,N48,R48,V48,Z48,AD48,AH48,AL48,AP48,AT48,AX48)</f>
        <v/>
      </c>
      <c r="BD48" s="43">
        <f>SUM(G48,K48,O48,S48,W48,AA48,AE48,AI48,AM48,AQ48,AU48,AY48)</f>
        <v/>
      </c>
      <c r="BE48" s="43" t="n">
        <v>0</v>
      </c>
      <c r="BF48" s="43">
        <f>BB48-(BD48+BE48)</f>
        <v/>
      </c>
      <c r="BG48" s="43">
        <f>BC48-(BD48+BE48)</f>
        <v/>
      </c>
      <c r="BH48" s="43">
        <f>E48+BF48</f>
        <v/>
      </c>
      <c r="BI48" s="43">
        <f>E48+F48+IF(BG48&gt;=0,BG48,0)</f>
        <v/>
      </c>
      <c r="BJ48" s="43" t="n">
        <v>0</v>
      </c>
    </row>
    <row r="49" ht="15.75" customHeight="1">
      <c r="A49" s="37" t="inlineStr">
        <is>
          <t>S15</t>
        </is>
      </c>
      <c r="B49" s="40" t="n"/>
      <c r="C49" s="40" t="inlineStr">
        <is>
          <t>Manas Dasgupta</t>
        </is>
      </c>
      <c r="D49" s="41" t="n">
        <v>0</v>
      </c>
      <c r="E49" s="41" t="n">
        <v>0</v>
      </c>
      <c r="F49" s="41">
        <f>'Apr2026-COLLECTION'!K48</f>
        <v/>
      </c>
      <c r="G49" s="41">
        <f>'Apr2026-EXPENSE'!R52</f>
        <v/>
      </c>
      <c r="H49" s="20" t="n"/>
      <c r="I49" s="41">
        <f>F49-(G49+H49)</f>
        <v/>
      </c>
      <c r="J49" s="41">
        <f>'May2026-COLLECTION'!K48</f>
        <v/>
      </c>
      <c r="K49" s="41">
        <f>'May2026-EXPENSE'!R52</f>
        <v/>
      </c>
      <c r="L49" s="41" t="n">
        <v>0</v>
      </c>
      <c r="M49" s="41">
        <f>J49-(K49+L49)</f>
        <v/>
      </c>
      <c r="N49" s="41">
        <f>'June2026-COLLECTION'!K48</f>
        <v/>
      </c>
      <c r="O49" s="41">
        <f>'June2026-EXPENSE'!R52</f>
        <v/>
      </c>
      <c r="P49" s="20" t="n"/>
      <c r="Q49" s="41">
        <f>N49-(O49+P49)</f>
        <v/>
      </c>
      <c r="R49" s="41">
        <f>'July2026-COLLECTION'!K48</f>
        <v/>
      </c>
      <c r="S49" s="41">
        <f>'July2026-EXPENSE'!R52</f>
        <v/>
      </c>
      <c r="T49" s="21" t="n"/>
      <c r="U49" s="41">
        <f>R49-(S49+T49)</f>
        <v/>
      </c>
      <c r="V49" s="41">
        <f>'Aug2026-COLLECTION'!K48</f>
        <v/>
      </c>
      <c r="W49" s="41">
        <f>'Aug2026-EXPENSE'!R52</f>
        <v/>
      </c>
      <c r="X49" s="20" t="n"/>
      <c r="Y49" s="41">
        <f>V49-(W49+X49)</f>
        <v/>
      </c>
      <c r="Z49" s="41">
        <f>'Sep2026-COLLECTION'!K48</f>
        <v/>
      </c>
      <c r="AA49" s="41">
        <f>'Sep2026-EXPENSE'!R52</f>
        <v/>
      </c>
      <c r="AB49" s="21" t="n"/>
      <c r="AC49" s="41">
        <f>Z49-(AA49+AB49)</f>
        <v/>
      </c>
      <c r="AD49" s="41">
        <f>'Oct2026-COLLECTION'!K48</f>
        <v/>
      </c>
      <c r="AE49" s="41">
        <f>'Oct2026-EXPENSE'!R52</f>
        <v/>
      </c>
      <c r="AF49" s="21" t="n"/>
      <c r="AG49" s="41">
        <f>AD49-(AE49+AF49)</f>
        <v/>
      </c>
      <c r="AH49" s="41">
        <f>'Nov2026-COLLECTION'!K48</f>
        <v/>
      </c>
      <c r="AI49" s="41">
        <f>'Nov2026-EXPENSE'!R52</f>
        <v/>
      </c>
      <c r="AJ49" s="21" t="n"/>
      <c r="AK49" s="41">
        <f>AH49-(AI49+AJ49)</f>
        <v/>
      </c>
      <c r="AL49" s="41">
        <f>'Dec2026-COLLECTION'!K48</f>
        <v/>
      </c>
      <c r="AM49" s="41">
        <f>'Dec2026-EXPENSE'!R52</f>
        <v/>
      </c>
      <c r="AN49" s="21" t="n"/>
      <c r="AO49" s="41">
        <f>AL49-(AM49+AN49)</f>
        <v/>
      </c>
      <c r="AP49" s="41">
        <f>'Jan2027-COLLECTION'!K48</f>
        <v/>
      </c>
      <c r="AQ49" s="41">
        <f>'Jan2027-EXPENSE'!R52</f>
        <v/>
      </c>
      <c r="AR49" s="2" t="n"/>
      <c r="AS49" s="41">
        <f>AP49-(AQ49+AR49)</f>
        <v/>
      </c>
      <c r="AT49" s="41">
        <f>'Feb2027-COLLECTION'!K48</f>
        <v/>
      </c>
      <c r="AU49" s="41">
        <f>'Feb2027-EXPENSE'!R52</f>
        <v/>
      </c>
      <c r="AV49" s="2" t="n"/>
      <c r="AW49" s="41">
        <f>AT49-(AU49+AV49)</f>
        <v/>
      </c>
      <c r="AX49" s="41">
        <f>'Mar2027-COLLECTION'!K48</f>
        <v/>
      </c>
      <c r="AY49" s="41">
        <f>'Mar2027-EXPENSE'!R52</f>
        <v/>
      </c>
      <c r="AZ49" s="2" t="n"/>
      <c r="BA49" s="41">
        <f>AX49-(AY49+AZ49)</f>
        <v/>
      </c>
      <c r="BB49" s="41">
        <f>SUM(F49,J49,N49,R49,V49,Z49,AD49,AH49,AL49,AP49,AT49,AX49)</f>
        <v/>
      </c>
      <c r="BC49" s="41">
        <f>SUM(J49,N49,R49,V49,Z49,AD49,AH49,AL49,AP49,AT49,AX49)</f>
        <v/>
      </c>
      <c r="BD49" s="41">
        <f>SUM(G49,K49,O49,S49,W49,AA49,AE49,AI49,AM49,AQ49,AU49,AY49)</f>
        <v/>
      </c>
      <c r="BE49" s="41" t="n">
        <v>0</v>
      </c>
      <c r="BF49" s="41">
        <f>BB49-(BD49+BE49)</f>
        <v/>
      </c>
      <c r="BG49" s="41">
        <f>BC49-(BD49+BE49)</f>
        <v/>
      </c>
      <c r="BH49" s="41">
        <f>E49+BF49</f>
        <v/>
      </c>
      <c r="BI49" s="41">
        <f>E49+F49+IF(BG49&gt;=0,BG49,0)</f>
        <v/>
      </c>
      <c r="BJ49" s="41" t="n">
        <v>0</v>
      </c>
    </row>
    <row r="50" ht="15.75" customHeight="1">
      <c r="A50" s="36" t="inlineStr">
        <is>
          <t>S16</t>
        </is>
      </c>
      <c r="B50" s="42" t="n"/>
      <c r="C50" s="42" t="inlineStr">
        <is>
          <t>Devendra Singh Rawat / Nancy</t>
        </is>
      </c>
      <c r="D50" s="43" t="n">
        <v>0</v>
      </c>
      <c r="E50" s="43" t="n">
        <v>0</v>
      </c>
      <c r="F50" s="43">
        <f>'Apr2026-COLLECTION'!K49</f>
        <v/>
      </c>
      <c r="G50" s="43">
        <f>'Apr2026-EXPENSE'!R53</f>
        <v/>
      </c>
      <c r="H50" s="20" t="n"/>
      <c r="I50" s="43">
        <f>F50-(G50+H50)</f>
        <v/>
      </c>
      <c r="J50" s="43">
        <f>'May2026-COLLECTION'!K49</f>
        <v/>
      </c>
      <c r="K50" s="43">
        <f>'May2026-EXPENSE'!R53</f>
        <v/>
      </c>
      <c r="L50" s="21" t="n"/>
      <c r="M50" s="43">
        <f>J50-(K50+L50)</f>
        <v/>
      </c>
      <c r="N50" s="43">
        <f>'June2026-COLLECTION'!K49</f>
        <v/>
      </c>
      <c r="O50" s="43">
        <f>'June2026-EXPENSE'!R53</f>
        <v/>
      </c>
      <c r="P50" s="20" t="n"/>
      <c r="Q50" s="43">
        <f>N50-(O50+P50)</f>
        <v/>
      </c>
      <c r="R50" s="43">
        <f>'July2026-COLLECTION'!K49</f>
        <v/>
      </c>
      <c r="S50" s="43">
        <f>'July2026-EXPENSE'!R53</f>
        <v/>
      </c>
      <c r="T50" s="21" t="n"/>
      <c r="U50" s="43">
        <f>R50-(S50+T50)</f>
        <v/>
      </c>
      <c r="V50" s="43">
        <f>'Aug2026-COLLECTION'!K49</f>
        <v/>
      </c>
      <c r="W50" s="43">
        <f>'Aug2026-EXPENSE'!R53</f>
        <v/>
      </c>
      <c r="X50" s="20" t="n"/>
      <c r="Y50" s="43">
        <f>V50-(W50+X50)</f>
        <v/>
      </c>
      <c r="Z50" s="43">
        <f>'Sep2026-COLLECTION'!K49</f>
        <v/>
      </c>
      <c r="AA50" s="43">
        <f>'Sep2026-EXPENSE'!R53</f>
        <v/>
      </c>
      <c r="AB50" s="21" t="n"/>
      <c r="AC50" s="43">
        <f>Z50-(AA50+AB50)</f>
        <v/>
      </c>
      <c r="AD50" s="43">
        <f>'Oct2026-COLLECTION'!K49</f>
        <v/>
      </c>
      <c r="AE50" s="43">
        <f>'Oct2026-EXPENSE'!R53</f>
        <v/>
      </c>
      <c r="AF50" s="21" t="n"/>
      <c r="AG50" s="43">
        <f>AD50-(AE50+AF50)</f>
        <v/>
      </c>
      <c r="AH50" s="43">
        <f>'Nov2026-COLLECTION'!K49</f>
        <v/>
      </c>
      <c r="AI50" s="43">
        <f>'Nov2026-EXPENSE'!R53</f>
        <v/>
      </c>
      <c r="AJ50" s="21" t="n"/>
      <c r="AK50" s="43">
        <f>AH50-(AI50+AJ50)</f>
        <v/>
      </c>
      <c r="AL50" s="43">
        <f>'Dec2026-COLLECTION'!K49</f>
        <v/>
      </c>
      <c r="AM50" s="43">
        <f>'Dec2026-EXPENSE'!R53</f>
        <v/>
      </c>
      <c r="AN50" s="21" t="n"/>
      <c r="AO50" s="43">
        <f>AL50-(AM50+AN50)</f>
        <v/>
      </c>
      <c r="AP50" s="43">
        <f>'Jan2027-COLLECTION'!K49</f>
        <v/>
      </c>
      <c r="AQ50" s="43">
        <f>'Jan2027-EXPENSE'!R53</f>
        <v/>
      </c>
      <c r="AR50" s="2" t="n"/>
      <c r="AS50" s="43">
        <f>AP50-(AQ50+AR50)</f>
        <v/>
      </c>
      <c r="AT50" s="43">
        <f>'Feb2027-COLLECTION'!K49</f>
        <v/>
      </c>
      <c r="AU50" s="43">
        <f>'Feb2027-EXPENSE'!R53</f>
        <v/>
      </c>
      <c r="AV50" s="2" t="n"/>
      <c r="AW50" s="43">
        <f>AT50-(AU50+AV50)</f>
        <v/>
      </c>
      <c r="AX50" s="43">
        <f>'Mar2027-COLLECTION'!K49</f>
        <v/>
      </c>
      <c r="AY50" s="43">
        <f>'Mar2027-EXPENSE'!R53</f>
        <v/>
      </c>
      <c r="AZ50" s="2" t="n"/>
      <c r="BA50" s="43">
        <f>AX50-(AY50+AZ50)</f>
        <v/>
      </c>
      <c r="BB50" s="43">
        <f>SUM(F50,J50,N50,R50,V50,Z50,AD50,AH50,AL50,AP50,AT50,AX50)</f>
        <v/>
      </c>
      <c r="BC50" s="43">
        <f>SUM(J50,N50,R50,V50,Z50,AD50,AH50,AL50,AP50,AT50,AX50)</f>
        <v/>
      </c>
      <c r="BD50" s="43">
        <f>SUM(G50,K50,O50,S50,W50,AA50,AE50,AI50,AM50,AQ50,AU50,AY50)</f>
        <v/>
      </c>
      <c r="BE50" s="43" t="n">
        <v>0</v>
      </c>
      <c r="BF50" s="43">
        <f>BB50-(BD50+BE50)</f>
        <v/>
      </c>
      <c r="BG50" s="43">
        <f>BC50-(BD50+BE50)</f>
        <v/>
      </c>
      <c r="BH50" s="43">
        <f>E50+BF50</f>
        <v/>
      </c>
      <c r="BI50" s="43">
        <f>E50+F50+IF(BG50&gt;=0,BG50,0)</f>
        <v/>
      </c>
      <c r="BJ50" s="43" t="n">
        <v>0</v>
      </c>
    </row>
    <row r="51" ht="15.75" customHeight="1">
      <c r="A51" s="37" t="inlineStr">
        <is>
          <t>T1</t>
        </is>
      </c>
      <c r="B51" s="40" t="n"/>
      <c r="C51" s="40" t="inlineStr">
        <is>
          <t>Prashant Sikdar</t>
        </is>
      </c>
      <c r="D51" s="41" t="n">
        <v>0</v>
      </c>
      <c r="E51" s="41" t="n">
        <v>0</v>
      </c>
      <c r="F51" s="41">
        <f>'Apr2026-COLLECTION'!K50</f>
        <v/>
      </c>
      <c r="G51" s="41">
        <f>'Apr2026-EXPENSE'!R54</f>
        <v/>
      </c>
      <c r="H51" s="20" t="n"/>
      <c r="I51" s="41">
        <f>F51-(G51+H51)</f>
        <v/>
      </c>
      <c r="J51" s="41">
        <f>'May2026-COLLECTION'!K50</f>
        <v/>
      </c>
      <c r="K51" s="41">
        <f>'May2026-EXPENSE'!R54</f>
        <v/>
      </c>
      <c r="L51" s="21" t="n"/>
      <c r="M51" s="41">
        <f>J51-(K51+L51)</f>
        <v/>
      </c>
      <c r="N51" s="41">
        <f>'June2026-COLLECTION'!K50</f>
        <v/>
      </c>
      <c r="O51" s="41">
        <f>'June2026-EXPENSE'!R54</f>
        <v/>
      </c>
      <c r="P51" s="20" t="n"/>
      <c r="Q51" s="41">
        <f>N51-(O51+P51)</f>
        <v/>
      </c>
      <c r="R51" s="41">
        <f>'July2026-COLLECTION'!K50</f>
        <v/>
      </c>
      <c r="S51" s="41">
        <f>'July2026-EXPENSE'!R54</f>
        <v/>
      </c>
      <c r="T51" s="21" t="n"/>
      <c r="U51" s="41">
        <f>R51-(S51+T51)</f>
        <v/>
      </c>
      <c r="V51" s="41">
        <f>'Aug2026-COLLECTION'!K50</f>
        <v/>
      </c>
      <c r="W51" s="41">
        <f>'Aug2026-EXPENSE'!R54</f>
        <v/>
      </c>
      <c r="X51" s="20" t="n"/>
      <c r="Y51" s="41">
        <f>V51-(W51+X51)</f>
        <v/>
      </c>
      <c r="Z51" s="41">
        <f>'Sep2026-COLLECTION'!K50</f>
        <v/>
      </c>
      <c r="AA51" s="41">
        <f>'Sep2026-EXPENSE'!R54</f>
        <v/>
      </c>
      <c r="AB51" s="21" t="n"/>
      <c r="AC51" s="41">
        <f>Z51-(AA51+AB51)</f>
        <v/>
      </c>
      <c r="AD51" s="41">
        <f>'Oct2026-COLLECTION'!K50</f>
        <v/>
      </c>
      <c r="AE51" s="41">
        <f>'Oct2026-EXPENSE'!R54</f>
        <v/>
      </c>
      <c r="AF51" s="21" t="n"/>
      <c r="AG51" s="41">
        <f>AD51-(AE51+AF51)</f>
        <v/>
      </c>
      <c r="AH51" s="41">
        <f>'Nov2026-COLLECTION'!K50</f>
        <v/>
      </c>
      <c r="AI51" s="41">
        <f>'Nov2026-EXPENSE'!R54</f>
        <v/>
      </c>
      <c r="AJ51" s="21" t="n"/>
      <c r="AK51" s="41">
        <f>AH51-(AI51+AJ51)</f>
        <v/>
      </c>
      <c r="AL51" s="41">
        <f>'Dec2026-COLLECTION'!K50</f>
        <v/>
      </c>
      <c r="AM51" s="41">
        <f>'Dec2026-EXPENSE'!R54</f>
        <v/>
      </c>
      <c r="AN51" s="21" t="n"/>
      <c r="AO51" s="41">
        <f>AL51-(AM51+AN51)</f>
        <v/>
      </c>
      <c r="AP51" s="41">
        <f>'Jan2027-COLLECTION'!K50</f>
        <v/>
      </c>
      <c r="AQ51" s="41">
        <f>'Jan2027-EXPENSE'!R54</f>
        <v/>
      </c>
      <c r="AR51" s="2" t="n"/>
      <c r="AS51" s="41">
        <f>AP51-(AQ51+AR51)</f>
        <v/>
      </c>
      <c r="AT51" s="41">
        <f>'Feb2027-COLLECTION'!K50</f>
        <v/>
      </c>
      <c r="AU51" s="41">
        <f>'Feb2027-EXPENSE'!R54</f>
        <v/>
      </c>
      <c r="AV51" s="2" t="n"/>
      <c r="AW51" s="41">
        <f>AT51-(AU51+AV51)</f>
        <v/>
      </c>
      <c r="AX51" s="41">
        <f>'Mar2027-COLLECTION'!K50</f>
        <v/>
      </c>
      <c r="AY51" s="41">
        <f>'Mar2027-EXPENSE'!R54</f>
        <v/>
      </c>
      <c r="AZ51" s="2" t="n"/>
      <c r="BA51" s="41">
        <f>AX51-(AY51+AZ51)</f>
        <v/>
      </c>
      <c r="BB51" s="41">
        <f>SUM(F51,J51,N51,R51,V51,Z51,AD51,AH51,AL51,AP51,AT51,AX51)</f>
        <v/>
      </c>
      <c r="BC51" s="41">
        <f>SUM(J51,N51,R51,V51,Z51,AD51,AH51,AL51,AP51,AT51,AX51)</f>
        <v/>
      </c>
      <c r="BD51" s="41">
        <f>SUM(G51,K51,O51,S51,W51,AA51,AE51,AI51,AM51,AQ51,AU51,AY51)</f>
        <v/>
      </c>
      <c r="BE51" s="41" t="n">
        <v>0</v>
      </c>
      <c r="BF51" s="41">
        <f>BB51-(BD51+BE51)</f>
        <v/>
      </c>
      <c r="BG51" s="41">
        <f>BC51-(BD51+BE51)</f>
        <v/>
      </c>
      <c r="BH51" s="41">
        <f>E51+BF51</f>
        <v/>
      </c>
      <c r="BI51" s="41">
        <f>E51+F51+IF(BG51&gt;=0,BG51,0)</f>
        <v/>
      </c>
      <c r="BJ51" s="41" t="n">
        <v>0</v>
      </c>
    </row>
    <row r="52" ht="15.75" customHeight="1">
      <c r="A52" s="36" t="inlineStr">
        <is>
          <t>T2</t>
        </is>
      </c>
      <c r="B52" s="42" t="n"/>
      <c r="C52" s="42" t="inlineStr">
        <is>
          <t>Kunal Mehta</t>
        </is>
      </c>
      <c r="D52" s="43" t="n">
        <v>0</v>
      </c>
      <c r="E52" s="43">
        <f>-77968.56+10034</f>
        <v/>
      </c>
      <c r="F52" s="43">
        <f>'Apr2026-COLLECTION'!K51</f>
        <v/>
      </c>
      <c r="G52" s="43">
        <f>'Apr2026-EXPENSE'!R55</f>
        <v/>
      </c>
      <c r="H52" s="20" t="n"/>
      <c r="I52" s="43">
        <f>F52-(G52+H52)</f>
        <v/>
      </c>
      <c r="J52" s="43">
        <f>'May2026-COLLECTION'!K51</f>
        <v/>
      </c>
      <c r="K52" s="43">
        <f>'May2026-EXPENSE'!R55</f>
        <v/>
      </c>
      <c r="L52" s="43" t="n">
        <v>0</v>
      </c>
      <c r="M52" s="43">
        <f>J52-(K52+L52)</f>
        <v/>
      </c>
      <c r="N52" s="43">
        <f>'June2026-COLLECTION'!K51</f>
        <v/>
      </c>
      <c r="O52" s="43">
        <f>'June2026-EXPENSE'!R55</f>
        <v/>
      </c>
      <c r="P52" s="20" t="n"/>
      <c r="Q52" s="43">
        <f>N52-(O52+P52)</f>
        <v/>
      </c>
      <c r="R52" s="43">
        <f>'July2026-COLLECTION'!K51</f>
        <v/>
      </c>
      <c r="S52" s="43">
        <f>'July2026-EXPENSE'!R55</f>
        <v/>
      </c>
      <c r="T52" s="43" t="n">
        <v>0</v>
      </c>
      <c r="U52" s="43">
        <f>R52-(S52+T52)</f>
        <v/>
      </c>
      <c r="V52" s="43">
        <f>'Aug2026-COLLECTION'!K51</f>
        <v/>
      </c>
      <c r="W52" s="43">
        <f>'Aug2026-EXPENSE'!R55</f>
        <v/>
      </c>
      <c r="X52" s="20" t="n"/>
      <c r="Y52" s="43">
        <f>V52-(W52+X52)</f>
        <v/>
      </c>
      <c r="Z52" s="43">
        <f>'Sep2026-COLLECTION'!K51</f>
        <v/>
      </c>
      <c r="AA52" s="43">
        <f>'Sep2026-EXPENSE'!R55</f>
        <v/>
      </c>
      <c r="AB52" s="21" t="n"/>
      <c r="AC52" s="43">
        <f>Z52-(AA52+AB52)</f>
        <v/>
      </c>
      <c r="AD52" s="43">
        <f>'Oct2026-COLLECTION'!K51</f>
        <v/>
      </c>
      <c r="AE52" s="43">
        <f>'Oct2026-EXPENSE'!R55</f>
        <v/>
      </c>
      <c r="AF52" s="21" t="n"/>
      <c r="AG52" s="43">
        <f>AD52-(AE52+AF52)</f>
        <v/>
      </c>
      <c r="AH52" s="43">
        <f>'Nov2026-COLLECTION'!K51</f>
        <v/>
      </c>
      <c r="AI52" s="43">
        <f>'Nov2026-EXPENSE'!R55</f>
        <v/>
      </c>
      <c r="AJ52" s="21" t="n"/>
      <c r="AK52" s="43">
        <f>AH52-(AI52+AJ52)</f>
        <v/>
      </c>
      <c r="AL52" s="43">
        <f>'Dec2026-COLLECTION'!K51</f>
        <v/>
      </c>
      <c r="AM52" s="43">
        <f>'Dec2026-EXPENSE'!R55</f>
        <v/>
      </c>
      <c r="AN52" s="21" t="n"/>
      <c r="AO52" s="43">
        <f>AL52-(AM52+AN52)</f>
        <v/>
      </c>
      <c r="AP52" s="43">
        <f>'Jan2027-COLLECTION'!K51</f>
        <v/>
      </c>
      <c r="AQ52" s="43">
        <f>'Jan2027-EXPENSE'!R55</f>
        <v/>
      </c>
      <c r="AR52" s="2" t="n"/>
      <c r="AS52" s="43">
        <f>AP52-(AQ52+AR52)</f>
        <v/>
      </c>
      <c r="AT52" s="43">
        <f>'Feb2027-COLLECTION'!K51</f>
        <v/>
      </c>
      <c r="AU52" s="43">
        <f>'Feb2027-EXPENSE'!R55</f>
        <v/>
      </c>
      <c r="AV52" s="2" t="n"/>
      <c r="AW52" s="43">
        <f>AT52-(AU52+AV52)</f>
        <v/>
      </c>
      <c r="AX52" s="43">
        <f>'Mar2027-COLLECTION'!K51</f>
        <v/>
      </c>
      <c r="AY52" s="43">
        <f>'Mar2027-EXPENSE'!R55</f>
        <v/>
      </c>
      <c r="AZ52" s="2" t="n"/>
      <c r="BA52" s="43">
        <f>AX52-(AY52+AZ52)</f>
        <v/>
      </c>
      <c r="BB52" s="43">
        <f>SUM(F52,J52,N52,R52,V52,Z52,AD52,AH52,AL52,AP52,AT52,AX52)</f>
        <v/>
      </c>
      <c r="BC52" s="43">
        <f>SUM(J52,N52,R52,V52,Z52,AD52,AH52,AL52,AP52,AT52,AX52)</f>
        <v/>
      </c>
      <c r="BD52" s="43">
        <f>SUM(G52,K52,O52,S52,W52,AA52,AE52,AI52,AM52,AQ52,AU52,AY52)</f>
        <v/>
      </c>
      <c r="BE52" s="43" t="n">
        <v>0</v>
      </c>
      <c r="BF52" s="43">
        <f>BB52-(BD52+BE52)</f>
        <v/>
      </c>
      <c r="BG52" s="43">
        <f>BC52-(BD52+BE52)</f>
        <v/>
      </c>
      <c r="BH52" s="43">
        <f>E52+BF52</f>
        <v/>
      </c>
      <c r="BI52" s="43">
        <f>E52+F52+IF(BG52&gt;=0,BG52,0)</f>
        <v/>
      </c>
      <c r="BJ52" s="43" t="n">
        <v>0</v>
      </c>
    </row>
    <row r="53" ht="15.75" customHeight="1">
      <c r="A53" s="37" t="inlineStr">
        <is>
          <t>T3</t>
        </is>
      </c>
      <c r="B53" s="40" t="n"/>
      <c r="C53" s="40" t="inlineStr">
        <is>
          <t>Kapil Garg</t>
        </is>
      </c>
      <c r="D53" s="41" t="n">
        <v>0</v>
      </c>
      <c r="E53" s="41" t="n">
        <v>0</v>
      </c>
      <c r="F53" s="41">
        <f>'Apr2026-COLLECTION'!K52</f>
        <v/>
      </c>
      <c r="G53" s="41">
        <f>'Apr2026-EXPENSE'!R56</f>
        <v/>
      </c>
      <c r="H53" s="20" t="n"/>
      <c r="I53" s="41">
        <f>F53-(G53+H53)</f>
        <v/>
      </c>
      <c r="J53" s="41">
        <f>'May2026-COLLECTION'!K52</f>
        <v/>
      </c>
      <c r="K53" s="41">
        <f>'May2026-EXPENSE'!R56</f>
        <v/>
      </c>
      <c r="L53" s="41" t="n">
        <v>0</v>
      </c>
      <c r="M53" s="41">
        <f>J53-(K53+L53)</f>
        <v/>
      </c>
      <c r="N53" s="41">
        <f>'June2026-COLLECTION'!K52</f>
        <v/>
      </c>
      <c r="O53" s="41">
        <f>'June2026-EXPENSE'!R56</f>
        <v/>
      </c>
      <c r="P53" s="20" t="n"/>
      <c r="Q53" s="41">
        <f>N53-(O53+P53)</f>
        <v/>
      </c>
      <c r="R53" s="41">
        <f>'July2026-COLLECTION'!K52</f>
        <v/>
      </c>
      <c r="S53" s="41">
        <f>'July2026-EXPENSE'!R56</f>
        <v/>
      </c>
      <c r="T53" s="21" t="n"/>
      <c r="U53" s="41">
        <f>R53-(S53+T53)</f>
        <v/>
      </c>
      <c r="V53" s="41">
        <f>'Aug2026-COLLECTION'!K52</f>
        <v/>
      </c>
      <c r="W53" s="41">
        <f>'Aug2026-EXPENSE'!R56</f>
        <v/>
      </c>
      <c r="X53" s="20" t="n"/>
      <c r="Y53" s="41">
        <f>V53-(W53+X53)</f>
        <v/>
      </c>
      <c r="Z53" s="41">
        <f>'Sep2026-COLLECTION'!K52</f>
        <v/>
      </c>
      <c r="AA53" s="41">
        <f>'Sep2026-EXPENSE'!R56</f>
        <v/>
      </c>
      <c r="AB53" s="21" t="n"/>
      <c r="AC53" s="41">
        <f>Z53-(AA53+AB53)</f>
        <v/>
      </c>
      <c r="AD53" s="41">
        <f>'Oct2026-COLLECTION'!K52</f>
        <v/>
      </c>
      <c r="AE53" s="41">
        <f>'Oct2026-EXPENSE'!R56</f>
        <v/>
      </c>
      <c r="AF53" s="21" t="n"/>
      <c r="AG53" s="41">
        <f>AD53-(AE53+AF53)</f>
        <v/>
      </c>
      <c r="AH53" s="41">
        <f>'Nov2026-COLLECTION'!K52</f>
        <v/>
      </c>
      <c r="AI53" s="41">
        <f>'Nov2026-EXPENSE'!R56</f>
        <v/>
      </c>
      <c r="AJ53" s="21" t="n"/>
      <c r="AK53" s="41">
        <f>AH53-(AI53+AJ53)</f>
        <v/>
      </c>
      <c r="AL53" s="41">
        <f>'Dec2026-COLLECTION'!K52</f>
        <v/>
      </c>
      <c r="AM53" s="41">
        <f>'Dec2026-EXPENSE'!R56</f>
        <v/>
      </c>
      <c r="AN53" s="21" t="n"/>
      <c r="AO53" s="41">
        <f>AL53-(AM53+AN53)</f>
        <v/>
      </c>
      <c r="AP53" s="41">
        <f>'Jan2027-COLLECTION'!K52</f>
        <v/>
      </c>
      <c r="AQ53" s="41">
        <f>'Jan2027-EXPENSE'!R56</f>
        <v/>
      </c>
      <c r="AR53" s="2" t="n"/>
      <c r="AS53" s="41">
        <f>AP53-(AQ53+AR53)</f>
        <v/>
      </c>
      <c r="AT53" s="41">
        <f>'Feb2027-COLLECTION'!K52</f>
        <v/>
      </c>
      <c r="AU53" s="41">
        <f>'Feb2027-EXPENSE'!R56</f>
        <v/>
      </c>
      <c r="AV53" s="2" t="n"/>
      <c r="AW53" s="41">
        <f>AT53-(AU53+AV53)</f>
        <v/>
      </c>
      <c r="AX53" s="41">
        <f>'Mar2027-COLLECTION'!K52</f>
        <v/>
      </c>
      <c r="AY53" s="41">
        <f>'Mar2027-EXPENSE'!R56</f>
        <v/>
      </c>
      <c r="AZ53" s="2" t="n"/>
      <c r="BA53" s="41">
        <f>AX53-(AY53+AZ53)</f>
        <v/>
      </c>
      <c r="BB53" s="41">
        <f>SUM(F53,J53,N53,R53,V53,Z53,AD53,AH53,AL53,AP53,AT53,AX53)</f>
        <v/>
      </c>
      <c r="BC53" s="41">
        <f>SUM(J53,N53,R53,V53,Z53,AD53,AH53,AL53,AP53,AT53,AX53)</f>
        <v/>
      </c>
      <c r="BD53" s="41">
        <f>SUM(G53,K53,O53,S53,W53,AA53,AE53,AI53,AM53,AQ53,AU53,AY53)</f>
        <v/>
      </c>
      <c r="BE53" s="41" t="n">
        <v>0</v>
      </c>
      <c r="BF53" s="41">
        <f>BB53-(BD53+BE53)</f>
        <v/>
      </c>
      <c r="BG53" s="41">
        <f>BC53-(BD53+BE53)</f>
        <v/>
      </c>
      <c r="BH53" s="41">
        <f>E53+BF53</f>
        <v/>
      </c>
      <c r="BI53" s="41">
        <f>E53+F53+IF(BG53&gt;=0,BG53,0)</f>
        <v/>
      </c>
      <c r="BJ53" s="41" t="n">
        <v>0</v>
      </c>
    </row>
    <row r="54" ht="15.75" customHeight="1">
      <c r="A54" s="36" t="inlineStr">
        <is>
          <t>T4</t>
        </is>
      </c>
      <c r="B54" s="42" t="n"/>
      <c r="C54" s="42" t="inlineStr">
        <is>
          <t>Vijet Alva (Owner)    -    Masood (Tenant)</t>
        </is>
      </c>
      <c r="D54" s="43" t="n">
        <v>0</v>
      </c>
      <c r="E54" s="43" t="n">
        <v>0</v>
      </c>
      <c r="F54" s="43">
        <f>'Apr2026-COLLECTION'!K53</f>
        <v/>
      </c>
      <c r="G54" s="43">
        <f>'Apr2026-EXPENSE'!R57</f>
        <v/>
      </c>
      <c r="H54" s="20" t="n"/>
      <c r="I54" s="43">
        <f>F54-(G54+H54)</f>
        <v/>
      </c>
      <c r="J54" s="43">
        <f>'May2026-COLLECTION'!K53</f>
        <v/>
      </c>
      <c r="K54" s="43">
        <f>'May2026-EXPENSE'!R57</f>
        <v/>
      </c>
      <c r="L54" s="21" t="n"/>
      <c r="M54" s="43">
        <f>J54-(K54+L54)</f>
        <v/>
      </c>
      <c r="N54" s="43">
        <f>'June2026-COLLECTION'!K53</f>
        <v/>
      </c>
      <c r="O54" s="43">
        <f>'June2026-EXPENSE'!R57</f>
        <v/>
      </c>
      <c r="P54" s="20" t="n"/>
      <c r="Q54" s="43">
        <f>N54-(O54+P54)</f>
        <v/>
      </c>
      <c r="R54" s="43">
        <f>'July2026-COLLECTION'!K53</f>
        <v/>
      </c>
      <c r="S54" s="43">
        <f>'July2026-EXPENSE'!R57</f>
        <v/>
      </c>
      <c r="T54" s="21" t="n"/>
      <c r="U54" s="43">
        <f>R54-(S54+T54)</f>
        <v/>
      </c>
      <c r="V54" s="43">
        <f>'Aug2026-COLLECTION'!K53</f>
        <v/>
      </c>
      <c r="W54" s="43">
        <f>'Aug2026-EXPENSE'!R57</f>
        <v/>
      </c>
      <c r="X54" s="20" t="n"/>
      <c r="Y54" s="43">
        <f>V54-(W54+X54)</f>
        <v/>
      </c>
      <c r="Z54" s="43">
        <f>'Sep2026-COLLECTION'!K53</f>
        <v/>
      </c>
      <c r="AA54" s="43">
        <f>'Sep2026-EXPENSE'!R57</f>
        <v/>
      </c>
      <c r="AB54" s="21" t="n"/>
      <c r="AC54" s="43">
        <f>Z54-(AA54+AB54)</f>
        <v/>
      </c>
      <c r="AD54" s="43">
        <f>'Oct2026-COLLECTION'!K53</f>
        <v/>
      </c>
      <c r="AE54" s="43">
        <f>'Oct2026-EXPENSE'!R57</f>
        <v/>
      </c>
      <c r="AF54" s="21" t="n"/>
      <c r="AG54" s="43">
        <f>AD54-(AE54+AF54)</f>
        <v/>
      </c>
      <c r="AH54" s="43">
        <f>'Nov2026-COLLECTION'!K53</f>
        <v/>
      </c>
      <c r="AI54" s="43">
        <f>'Nov2026-EXPENSE'!R57</f>
        <v/>
      </c>
      <c r="AJ54" s="21" t="n"/>
      <c r="AK54" s="43">
        <f>AH54-(AI54+AJ54)</f>
        <v/>
      </c>
      <c r="AL54" s="43">
        <f>'Dec2026-COLLECTION'!K53</f>
        <v/>
      </c>
      <c r="AM54" s="43">
        <f>'Dec2026-EXPENSE'!R57</f>
        <v/>
      </c>
      <c r="AN54" s="21" t="n"/>
      <c r="AO54" s="43">
        <f>AL54-(AM54+AN54)</f>
        <v/>
      </c>
      <c r="AP54" s="43">
        <f>'Jan2027-COLLECTION'!K53</f>
        <v/>
      </c>
      <c r="AQ54" s="43">
        <f>'Jan2027-EXPENSE'!R57</f>
        <v/>
      </c>
      <c r="AR54" s="2" t="n"/>
      <c r="AS54" s="43">
        <f>AP54-(AQ54+AR54)</f>
        <v/>
      </c>
      <c r="AT54" s="43">
        <f>'Feb2027-COLLECTION'!K53</f>
        <v/>
      </c>
      <c r="AU54" s="43">
        <f>'Feb2027-EXPENSE'!R57</f>
        <v/>
      </c>
      <c r="AV54" s="2" t="n"/>
      <c r="AW54" s="43">
        <f>AT54-(AU54+AV54)</f>
        <v/>
      </c>
      <c r="AX54" s="43">
        <f>'Mar2027-COLLECTION'!K53</f>
        <v/>
      </c>
      <c r="AY54" s="43">
        <f>'Mar2027-EXPENSE'!R57</f>
        <v/>
      </c>
      <c r="AZ54" s="2" t="n"/>
      <c r="BA54" s="43">
        <f>AX54-(AY54+AZ54)</f>
        <v/>
      </c>
      <c r="BB54" s="43">
        <f>SUM(F54,J54,N54,R54,V54,Z54,AD54,AH54,AL54,AP54,AT54,AX54)</f>
        <v/>
      </c>
      <c r="BC54" s="43">
        <f>SUM(J54,N54,R54,V54,Z54,AD54,AH54,AL54,AP54,AT54,AX54)</f>
        <v/>
      </c>
      <c r="BD54" s="43">
        <f>SUM(G54,K54,O54,S54,W54,AA54,AE54,AI54,AM54,AQ54,AU54,AY54)</f>
        <v/>
      </c>
      <c r="BE54" s="43" t="n">
        <v>0</v>
      </c>
      <c r="BF54" s="43">
        <f>BB54-(BD54+BE54)</f>
        <v/>
      </c>
      <c r="BG54" s="43">
        <f>BC54-(BD54+BE54)</f>
        <v/>
      </c>
      <c r="BH54" s="43">
        <f>E54+BF54</f>
        <v/>
      </c>
      <c r="BI54" s="43">
        <f>E54+F54+IF(BG54&gt;=0,BG54,0)</f>
        <v/>
      </c>
      <c r="BJ54" s="43" t="n">
        <v>0</v>
      </c>
    </row>
    <row r="55" ht="15.75" customHeight="1">
      <c r="A55" s="37" t="inlineStr">
        <is>
          <t>T5</t>
        </is>
      </c>
      <c r="B55" s="40" t="n"/>
      <c r="C55" s="40" t="inlineStr">
        <is>
          <t>Ganesh Iyer and Latha Iyer( owner) Richa (Tenant)</t>
        </is>
      </c>
      <c r="D55" s="41" t="n">
        <v>0</v>
      </c>
      <c r="E55" s="41" t="n">
        <v>0</v>
      </c>
      <c r="F55" s="41">
        <f>'Apr2026-COLLECTION'!K54</f>
        <v/>
      </c>
      <c r="G55" s="41">
        <f>'Apr2026-EXPENSE'!R58</f>
        <v/>
      </c>
      <c r="H55" s="20" t="n"/>
      <c r="I55" s="41">
        <f>F55-(G55+H55)</f>
        <v/>
      </c>
      <c r="J55" s="41">
        <f>'May2026-COLLECTION'!K54</f>
        <v/>
      </c>
      <c r="K55" s="41">
        <f>'May2026-EXPENSE'!R58</f>
        <v/>
      </c>
      <c r="L55" s="21" t="n"/>
      <c r="M55" s="41">
        <f>J55-(K55+L55)</f>
        <v/>
      </c>
      <c r="N55" s="41">
        <f>'June2026-COLLECTION'!K54</f>
        <v/>
      </c>
      <c r="O55" s="41">
        <f>'June2026-EXPENSE'!R58</f>
        <v/>
      </c>
      <c r="P55" s="20" t="n"/>
      <c r="Q55" s="41">
        <f>N55-(O55+P55)</f>
        <v/>
      </c>
      <c r="R55" s="41">
        <f>'July2026-COLLECTION'!K54</f>
        <v/>
      </c>
      <c r="S55" s="41">
        <f>'July2026-EXPENSE'!R58</f>
        <v/>
      </c>
      <c r="T55" s="21" t="n"/>
      <c r="U55" s="41">
        <f>R55-(S55+T55)</f>
        <v/>
      </c>
      <c r="V55" s="41">
        <f>'Aug2026-COLLECTION'!K54</f>
        <v/>
      </c>
      <c r="W55" s="41">
        <f>'Aug2026-EXPENSE'!R58</f>
        <v/>
      </c>
      <c r="X55" s="20" t="n"/>
      <c r="Y55" s="41">
        <f>V55-(W55+X55)</f>
        <v/>
      </c>
      <c r="Z55" s="41">
        <f>'Sep2026-COLLECTION'!K54</f>
        <v/>
      </c>
      <c r="AA55" s="41">
        <f>'Sep2026-EXPENSE'!R58</f>
        <v/>
      </c>
      <c r="AB55" s="21" t="n"/>
      <c r="AC55" s="41">
        <f>Z55-(AA55+AB55)</f>
        <v/>
      </c>
      <c r="AD55" s="41">
        <f>'Oct2026-COLLECTION'!K54</f>
        <v/>
      </c>
      <c r="AE55" s="41">
        <f>'Oct2026-EXPENSE'!R58</f>
        <v/>
      </c>
      <c r="AF55" s="21" t="n"/>
      <c r="AG55" s="41">
        <f>AD55-(AE55+AF55)</f>
        <v/>
      </c>
      <c r="AH55" s="41">
        <f>'Nov2026-COLLECTION'!K54</f>
        <v/>
      </c>
      <c r="AI55" s="41">
        <f>'Nov2026-EXPENSE'!R58</f>
        <v/>
      </c>
      <c r="AJ55" s="21" t="n"/>
      <c r="AK55" s="41">
        <f>AH55-(AI55+AJ55)</f>
        <v/>
      </c>
      <c r="AL55" s="41">
        <f>'Dec2026-COLLECTION'!K54</f>
        <v/>
      </c>
      <c r="AM55" s="41">
        <f>'Dec2026-EXPENSE'!R58</f>
        <v/>
      </c>
      <c r="AN55" s="21" t="n"/>
      <c r="AO55" s="41">
        <f>AL55-(AM55+AN55)</f>
        <v/>
      </c>
      <c r="AP55" s="41">
        <f>'Jan2027-COLLECTION'!K54</f>
        <v/>
      </c>
      <c r="AQ55" s="41">
        <f>'Jan2027-EXPENSE'!R58</f>
        <v/>
      </c>
      <c r="AR55" s="2" t="n"/>
      <c r="AS55" s="41">
        <f>AP55-(AQ55+AR55)</f>
        <v/>
      </c>
      <c r="AT55" s="41">
        <f>'Feb2027-COLLECTION'!K54</f>
        <v/>
      </c>
      <c r="AU55" s="41">
        <f>'Feb2027-EXPENSE'!R58</f>
        <v/>
      </c>
      <c r="AV55" s="2" t="n"/>
      <c r="AW55" s="41">
        <f>AT55-(AU55+AV55)</f>
        <v/>
      </c>
      <c r="AX55" s="41">
        <f>'Mar2027-COLLECTION'!K54</f>
        <v/>
      </c>
      <c r="AY55" s="41">
        <f>'Mar2027-EXPENSE'!R58</f>
        <v/>
      </c>
      <c r="AZ55" s="2" t="n"/>
      <c r="BA55" s="41">
        <f>AX55-(AY55+AZ55)</f>
        <v/>
      </c>
      <c r="BB55" s="41">
        <f>SUM(F55,J55,N55,R55,V55,Z55,AD55,AH55,AL55,AP55,AT55,AX55)</f>
        <v/>
      </c>
      <c r="BC55" s="41">
        <f>SUM(J55,N55,R55,V55,Z55,AD55,AH55,AL55,AP55,AT55,AX55)</f>
        <v/>
      </c>
      <c r="BD55" s="41">
        <f>SUM(G55,K55,O55,S55,W55,AA55,AE55,AI55,AM55,AQ55,AU55,AY55)</f>
        <v/>
      </c>
      <c r="BE55" s="41" t="n">
        <v>0</v>
      </c>
      <c r="BF55" s="41">
        <f>BB55-(BD55+BE55)</f>
        <v/>
      </c>
      <c r="BG55" s="41">
        <f>BC55-(BD55+BE55)</f>
        <v/>
      </c>
      <c r="BH55" s="41">
        <f>E55+BF55</f>
        <v/>
      </c>
      <c r="BI55" s="41">
        <f>E55+F55+IF(BG55&gt;=0,BG55,0)</f>
        <v/>
      </c>
      <c r="BJ55" s="41" t="n">
        <v>0</v>
      </c>
    </row>
    <row r="56" ht="15.75" customHeight="1">
      <c r="A56" s="36" t="inlineStr">
        <is>
          <t>T6</t>
        </is>
      </c>
      <c r="B56" s="42" t="n"/>
      <c r="C56" s="42" t="inlineStr">
        <is>
          <t>Mythili Ramesh</t>
        </is>
      </c>
      <c r="D56" s="43" t="n">
        <v>0</v>
      </c>
      <c r="E56" s="43" t="n">
        <v>0</v>
      </c>
      <c r="F56" s="43">
        <f>'Apr2026-COLLECTION'!K55</f>
        <v/>
      </c>
      <c r="G56" s="43">
        <f>'Apr2026-EXPENSE'!R59</f>
        <v/>
      </c>
      <c r="H56" s="20" t="n"/>
      <c r="I56" s="43">
        <f>F56-(G56+H56)</f>
        <v/>
      </c>
      <c r="J56" s="43">
        <f>'May2026-COLLECTION'!K55</f>
        <v/>
      </c>
      <c r="K56" s="43">
        <f>'May2026-EXPENSE'!R59</f>
        <v/>
      </c>
      <c r="L56" s="21" t="n"/>
      <c r="M56" s="43">
        <f>J56-(K56+L56)</f>
        <v/>
      </c>
      <c r="N56" s="43">
        <f>'June2026-COLLECTION'!K55</f>
        <v/>
      </c>
      <c r="O56" s="43">
        <f>'June2026-EXPENSE'!R59</f>
        <v/>
      </c>
      <c r="P56" s="20" t="n"/>
      <c r="Q56" s="43">
        <f>N56-(O56+P56)</f>
        <v/>
      </c>
      <c r="R56" s="43">
        <f>'July2026-COLLECTION'!K55</f>
        <v/>
      </c>
      <c r="S56" s="43">
        <f>'July2026-EXPENSE'!R59</f>
        <v/>
      </c>
      <c r="T56" s="21" t="n"/>
      <c r="U56" s="43">
        <f>R56-(S56+T56)</f>
        <v/>
      </c>
      <c r="V56" s="43">
        <f>'Aug2026-COLLECTION'!K55</f>
        <v/>
      </c>
      <c r="W56" s="43">
        <f>'Aug2026-EXPENSE'!R59</f>
        <v/>
      </c>
      <c r="X56" s="20" t="n"/>
      <c r="Y56" s="43">
        <f>V56-(W56+X56)</f>
        <v/>
      </c>
      <c r="Z56" s="43">
        <f>'Sep2026-COLLECTION'!K55</f>
        <v/>
      </c>
      <c r="AA56" s="43">
        <f>'Sep2026-EXPENSE'!R59</f>
        <v/>
      </c>
      <c r="AB56" s="21" t="n"/>
      <c r="AC56" s="43">
        <f>Z56-(AA56+AB56)</f>
        <v/>
      </c>
      <c r="AD56" s="43">
        <f>'Oct2026-COLLECTION'!K55</f>
        <v/>
      </c>
      <c r="AE56" s="43">
        <f>'Oct2026-EXPENSE'!R59</f>
        <v/>
      </c>
      <c r="AF56" s="21" t="n"/>
      <c r="AG56" s="43">
        <f>AD56-(AE56+AF56)</f>
        <v/>
      </c>
      <c r="AH56" s="43">
        <f>'Nov2026-COLLECTION'!K55</f>
        <v/>
      </c>
      <c r="AI56" s="43">
        <f>'Nov2026-EXPENSE'!R59</f>
        <v/>
      </c>
      <c r="AJ56" s="21" t="n"/>
      <c r="AK56" s="43">
        <f>AH56-(AI56+AJ56)</f>
        <v/>
      </c>
      <c r="AL56" s="43">
        <f>'Dec2026-COLLECTION'!K55</f>
        <v/>
      </c>
      <c r="AM56" s="43">
        <f>'Dec2026-EXPENSE'!R59</f>
        <v/>
      </c>
      <c r="AN56" s="21" t="n"/>
      <c r="AO56" s="43">
        <f>AL56-(AM56+AN56)</f>
        <v/>
      </c>
      <c r="AP56" s="43">
        <f>'Jan2027-COLLECTION'!K55</f>
        <v/>
      </c>
      <c r="AQ56" s="43">
        <f>'Jan2027-EXPENSE'!R59</f>
        <v/>
      </c>
      <c r="AR56" s="2" t="n"/>
      <c r="AS56" s="43">
        <f>AP56-(AQ56+AR56)</f>
        <v/>
      </c>
      <c r="AT56" s="43">
        <f>'Feb2027-COLLECTION'!K55</f>
        <v/>
      </c>
      <c r="AU56" s="43">
        <f>'Feb2027-EXPENSE'!R59</f>
        <v/>
      </c>
      <c r="AV56" s="2" t="n"/>
      <c r="AW56" s="43">
        <f>AT56-(AU56+AV56)</f>
        <v/>
      </c>
      <c r="AX56" s="43">
        <f>'Mar2027-COLLECTION'!K55</f>
        <v/>
      </c>
      <c r="AY56" s="43">
        <f>'Mar2027-EXPENSE'!R59</f>
        <v/>
      </c>
      <c r="AZ56" s="2" t="n"/>
      <c r="BA56" s="43">
        <f>AX56-(AY56+AZ56)</f>
        <v/>
      </c>
      <c r="BB56" s="43">
        <f>SUM(F56,J56,N56,R56,V56,Z56,AD56,AH56,AL56,AP56,AT56,AX56)</f>
        <v/>
      </c>
      <c r="BC56" s="43">
        <f>SUM(J56,N56,R56,V56,Z56,AD56,AH56,AL56,AP56,AT56,AX56)</f>
        <v/>
      </c>
      <c r="BD56" s="43">
        <f>SUM(G56,K56,O56,S56,W56,AA56,AE56,AI56,AM56,AQ56,AU56,AY56)</f>
        <v/>
      </c>
      <c r="BE56" s="43" t="n">
        <v>0</v>
      </c>
      <c r="BF56" s="43">
        <f>BB56-(BD56+BE56)</f>
        <v/>
      </c>
      <c r="BG56" s="43">
        <f>BC56-(BD56+BE56)</f>
        <v/>
      </c>
      <c r="BH56" s="43">
        <f>E56+BF56</f>
        <v/>
      </c>
      <c r="BI56" s="43">
        <f>E56+F56+IF(BG56&gt;=0,BG56,0)</f>
        <v/>
      </c>
      <c r="BJ56" s="43" t="n">
        <v>0</v>
      </c>
    </row>
    <row r="57" ht="15.75" customHeight="1">
      <c r="A57" s="37" t="inlineStr">
        <is>
          <t>T7</t>
        </is>
      </c>
      <c r="B57" s="40" t="n"/>
      <c r="C57" s="40" t="inlineStr">
        <is>
          <t>Vinyas Ramachandra / Shwetha Marnamikatta / Katari Siva Rama Raju</t>
        </is>
      </c>
      <c r="D57" s="41" t="n">
        <v>0</v>
      </c>
      <c r="E57" s="41" t="n">
        <v>0</v>
      </c>
      <c r="F57" s="41">
        <f>'Apr2026-COLLECTION'!K56</f>
        <v/>
      </c>
      <c r="G57" s="41">
        <f>'Apr2026-EXPENSE'!R60</f>
        <v/>
      </c>
      <c r="H57" s="20" t="n"/>
      <c r="I57" s="41">
        <f>F57-(G57+H57)</f>
        <v/>
      </c>
      <c r="J57" s="41">
        <f>'May2026-COLLECTION'!K56</f>
        <v/>
      </c>
      <c r="K57" s="41">
        <f>'May2026-EXPENSE'!R60</f>
        <v/>
      </c>
      <c r="L57" s="21" t="n"/>
      <c r="M57" s="41">
        <f>J57-(K57+L57)</f>
        <v/>
      </c>
      <c r="N57" s="41">
        <f>'June2026-COLLECTION'!K56</f>
        <v/>
      </c>
      <c r="O57" s="41">
        <f>'June2026-EXPENSE'!R60</f>
        <v/>
      </c>
      <c r="P57" s="20" t="n"/>
      <c r="Q57" s="41">
        <f>N57-(O57+P57)</f>
        <v/>
      </c>
      <c r="R57" s="41">
        <f>'July2026-COLLECTION'!K56</f>
        <v/>
      </c>
      <c r="S57" s="41">
        <f>'July2026-EXPENSE'!R60</f>
        <v/>
      </c>
      <c r="T57" s="21" t="n"/>
      <c r="U57" s="41">
        <f>R57-(S57+T57)</f>
        <v/>
      </c>
      <c r="V57" s="41">
        <f>'Aug2026-COLLECTION'!K56</f>
        <v/>
      </c>
      <c r="W57" s="41">
        <f>'Aug2026-EXPENSE'!R60</f>
        <v/>
      </c>
      <c r="X57" s="20" t="n"/>
      <c r="Y57" s="41">
        <f>V57-(W57+X57)</f>
        <v/>
      </c>
      <c r="Z57" s="41">
        <f>'Sep2026-COLLECTION'!K56</f>
        <v/>
      </c>
      <c r="AA57" s="41">
        <f>'Sep2026-EXPENSE'!R60</f>
        <v/>
      </c>
      <c r="AB57" s="21" t="n"/>
      <c r="AC57" s="41">
        <f>Z57-(AA57+AB57)</f>
        <v/>
      </c>
      <c r="AD57" s="41">
        <f>'Oct2026-COLLECTION'!K56</f>
        <v/>
      </c>
      <c r="AE57" s="41">
        <f>'Oct2026-EXPENSE'!R60</f>
        <v/>
      </c>
      <c r="AF57" s="21" t="n"/>
      <c r="AG57" s="41">
        <f>AD57-(AE57+AF57)</f>
        <v/>
      </c>
      <c r="AH57" s="41">
        <f>'Nov2026-COLLECTION'!K56</f>
        <v/>
      </c>
      <c r="AI57" s="41">
        <f>'Nov2026-EXPENSE'!R60</f>
        <v/>
      </c>
      <c r="AJ57" s="21" t="n"/>
      <c r="AK57" s="41">
        <f>AH57-(AI57+AJ57)</f>
        <v/>
      </c>
      <c r="AL57" s="41">
        <f>'Dec2026-COLLECTION'!K56</f>
        <v/>
      </c>
      <c r="AM57" s="41">
        <f>'Dec2026-EXPENSE'!R60</f>
        <v/>
      </c>
      <c r="AN57" s="21" t="n"/>
      <c r="AO57" s="41">
        <f>AL57-(AM57+AN57)</f>
        <v/>
      </c>
      <c r="AP57" s="41">
        <f>'Jan2027-COLLECTION'!K56</f>
        <v/>
      </c>
      <c r="AQ57" s="41">
        <f>'Jan2027-EXPENSE'!R60</f>
        <v/>
      </c>
      <c r="AR57" s="2" t="n"/>
      <c r="AS57" s="41">
        <f>AP57-(AQ57+AR57)</f>
        <v/>
      </c>
      <c r="AT57" s="41">
        <f>'Feb2027-COLLECTION'!K56</f>
        <v/>
      </c>
      <c r="AU57" s="41">
        <f>'Feb2027-EXPENSE'!R60</f>
        <v/>
      </c>
      <c r="AV57" s="2" t="n"/>
      <c r="AW57" s="41">
        <f>AT57-(AU57+AV57)</f>
        <v/>
      </c>
      <c r="AX57" s="41">
        <f>'Mar2027-COLLECTION'!K56</f>
        <v/>
      </c>
      <c r="AY57" s="41">
        <f>'Mar2027-EXPENSE'!R60</f>
        <v/>
      </c>
      <c r="AZ57" s="2" t="n"/>
      <c r="BA57" s="41">
        <f>AX57-(AY57+AZ57)</f>
        <v/>
      </c>
      <c r="BB57" s="41">
        <f>SUM(F57,J57,N57,R57,V57,Z57,AD57,AH57,AL57,AP57,AT57,AX57)</f>
        <v/>
      </c>
      <c r="BC57" s="41">
        <f>SUM(J57,N57,R57,V57,Z57,AD57,AH57,AL57,AP57,AT57,AX57)</f>
        <v/>
      </c>
      <c r="BD57" s="41">
        <f>SUM(G57,K57,O57,S57,W57,AA57,AE57,AI57,AM57,AQ57,AU57,AY57)</f>
        <v/>
      </c>
      <c r="BE57" s="41" t="n">
        <v>0</v>
      </c>
      <c r="BF57" s="41">
        <f>BB57-(BD57+BE57)</f>
        <v/>
      </c>
      <c r="BG57" s="41">
        <f>BC57-(BD57+BE57)</f>
        <v/>
      </c>
      <c r="BH57" s="41">
        <f>E57+BF57</f>
        <v/>
      </c>
      <c r="BI57" s="41">
        <f>E57+F57+IF(BG57&gt;=0,BG57,0)</f>
        <v/>
      </c>
      <c r="BJ57" s="41" t="n">
        <v>0</v>
      </c>
    </row>
    <row r="58" ht="15.75" customHeight="1">
      <c r="A58" s="36" t="inlineStr">
        <is>
          <t>T8</t>
        </is>
      </c>
      <c r="B58" s="42" t="n"/>
      <c r="C58" s="42" t="inlineStr">
        <is>
          <t>Lalit Kumar Sharma</t>
        </is>
      </c>
      <c r="D58" s="43" t="n">
        <v>0</v>
      </c>
      <c r="E58" s="43" t="n">
        <v>0</v>
      </c>
      <c r="F58" s="43">
        <f>'Apr2026-COLLECTION'!K57</f>
        <v/>
      </c>
      <c r="G58" s="43">
        <f>'Apr2026-EXPENSE'!R61</f>
        <v/>
      </c>
      <c r="H58" s="20" t="n"/>
      <c r="I58" s="43">
        <f>F58-(G58+H58)</f>
        <v/>
      </c>
      <c r="J58" s="43">
        <f>'May2026-COLLECTION'!K57</f>
        <v/>
      </c>
      <c r="K58" s="43">
        <f>'May2026-EXPENSE'!R61</f>
        <v/>
      </c>
      <c r="L58" s="21" t="n"/>
      <c r="M58" s="43">
        <f>J58-(K58+L58)</f>
        <v/>
      </c>
      <c r="N58" s="43">
        <f>'June2026-COLLECTION'!K57</f>
        <v/>
      </c>
      <c r="O58" s="43">
        <f>'June2026-EXPENSE'!R61</f>
        <v/>
      </c>
      <c r="P58" s="20" t="n"/>
      <c r="Q58" s="43">
        <f>N58-(O58+P58)</f>
        <v/>
      </c>
      <c r="R58" s="43">
        <f>'July2026-COLLECTION'!K57</f>
        <v/>
      </c>
      <c r="S58" s="43">
        <f>'July2026-EXPENSE'!R61</f>
        <v/>
      </c>
      <c r="T58" s="21" t="n"/>
      <c r="U58" s="43">
        <f>R58-(S58+T58)</f>
        <v/>
      </c>
      <c r="V58" s="43">
        <f>'Aug2026-COLLECTION'!K57</f>
        <v/>
      </c>
      <c r="W58" s="43">
        <f>'Aug2026-EXPENSE'!R61</f>
        <v/>
      </c>
      <c r="X58" s="20" t="n"/>
      <c r="Y58" s="43">
        <f>V58-(W58+X58)</f>
        <v/>
      </c>
      <c r="Z58" s="43">
        <f>'Sep2026-COLLECTION'!K57</f>
        <v/>
      </c>
      <c r="AA58" s="43">
        <f>'Sep2026-EXPENSE'!R61</f>
        <v/>
      </c>
      <c r="AB58" s="21" t="n"/>
      <c r="AC58" s="43">
        <f>Z58-(AA58+AB58)</f>
        <v/>
      </c>
      <c r="AD58" s="43">
        <f>'Oct2026-COLLECTION'!K57</f>
        <v/>
      </c>
      <c r="AE58" s="43">
        <f>'Oct2026-EXPENSE'!R61</f>
        <v/>
      </c>
      <c r="AF58" s="21" t="n"/>
      <c r="AG58" s="43">
        <f>AD58-(AE58+AF58)</f>
        <v/>
      </c>
      <c r="AH58" s="43">
        <f>'Nov2026-COLLECTION'!K57</f>
        <v/>
      </c>
      <c r="AI58" s="43">
        <f>'Nov2026-EXPENSE'!R61</f>
        <v/>
      </c>
      <c r="AJ58" s="21" t="n"/>
      <c r="AK58" s="43">
        <f>AH58-(AI58+AJ58)</f>
        <v/>
      </c>
      <c r="AL58" s="43">
        <f>'Dec2026-COLLECTION'!K57</f>
        <v/>
      </c>
      <c r="AM58" s="43">
        <f>'Dec2026-EXPENSE'!R61</f>
        <v/>
      </c>
      <c r="AN58" s="21" t="n"/>
      <c r="AO58" s="43">
        <f>AL58-(AM58+AN58)</f>
        <v/>
      </c>
      <c r="AP58" s="43">
        <f>'Jan2027-COLLECTION'!K57</f>
        <v/>
      </c>
      <c r="AQ58" s="43">
        <f>'Jan2027-EXPENSE'!R61</f>
        <v/>
      </c>
      <c r="AR58" s="2" t="n"/>
      <c r="AS58" s="43">
        <f>AP58-(AQ58+AR58)</f>
        <v/>
      </c>
      <c r="AT58" s="43">
        <f>'Feb2027-COLLECTION'!K57</f>
        <v/>
      </c>
      <c r="AU58" s="43">
        <f>'Feb2027-EXPENSE'!R61</f>
        <v/>
      </c>
      <c r="AV58" s="2" t="n"/>
      <c r="AW58" s="43">
        <f>AT58-(AU58+AV58)</f>
        <v/>
      </c>
      <c r="AX58" s="43">
        <f>'Mar2027-COLLECTION'!K57</f>
        <v/>
      </c>
      <c r="AY58" s="43">
        <f>'Mar2027-EXPENSE'!R61</f>
        <v/>
      </c>
      <c r="AZ58" s="2" t="n"/>
      <c r="BA58" s="43">
        <f>AX58-(AY58+AZ58)</f>
        <v/>
      </c>
      <c r="BB58" s="43">
        <f>SUM(F58,J58,N58,R58,V58,Z58,AD58,AH58,AL58,AP58,AT58,AX58)</f>
        <v/>
      </c>
      <c r="BC58" s="43">
        <f>SUM(J58,N58,R58,V58,Z58,AD58,AH58,AL58,AP58,AT58,AX58)</f>
        <v/>
      </c>
      <c r="BD58" s="43">
        <f>SUM(G58,K58,O58,S58,W58,AA58,AE58,AI58,AM58,AQ58,AU58,AY58)</f>
        <v/>
      </c>
      <c r="BE58" s="43" t="n">
        <v>0</v>
      </c>
      <c r="BF58" s="43">
        <f>BB58-(BD58+BE58)</f>
        <v/>
      </c>
      <c r="BG58" s="43">
        <f>BC58-(BD58+BE58)</f>
        <v/>
      </c>
      <c r="BH58" s="43">
        <f>E58+BF58</f>
        <v/>
      </c>
      <c r="BI58" s="43">
        <f>E58+F58+IF(BG58&gt;=0,BG58,0)</f>
        <v/>
      </c>
      <c r="BJ58" s="43" t="n">
        <v>0</v>
      </c>
    </row>
    <row r="59" ht="15.75" customHeight="1">
      <c r="A59" s="37" t="inlineStr">
        <is>
          <t>T9</t>
        </is>
      </c>
      <c r="B59" s="40" t="n"/>
      <c r="C59" s="40" t="inlineStr">
        <is>
          <t>Nishith Sahu and Priyanka Rani (Owner)/ Anmol Verma (Tenant)</t>
        </is>
      </c>
      <c r="D59" s="41" t="n">
        <v>0</v>
      </c>
      <c r="E59" s="41" t="n">
        <v>0</v>
      </c>
      <c r="F59" s="41">
        <f>'Apr2026-COLLECTION'!K58</f>
        <v/>
      </c>
      <c r="G59" s="41">
        <f>'Apr2026-EXPENSE'!R62</f>
        <v/>
      </c>
      <c r="H59" s="20" t="n"/>
      <c r="I59" s="41">
        <f>F59-(G59+H59)</f>
        <v/>
      </c>
      <c r="J59" s="41">
        <f>'May2026-COLLECTION'!K58</f>
        <v/>
      </c>
      <c r="K59" s="41">
        <f>'May2026-EXPENSE'!R62</f>
        <v/>
      </c>
      <c r="L59" s="21" t="n"/>
      <c r="M59" s="41">
        <f>J59-(K59+L59)</f>
        <v/>
      </c>
      <c r="N59" s="41">
        <f>'June2026-COLLECTION'!K58</f>
        <v/>
      </c>
      <c r="O59" s="41">
        <f>'June2026-EXPENSE'!R62</f>
        <v/>
      </c>
      <c r="P59" s="20" t="n"/>
      <c r="Q59" s="41">
        <f>N59-(O59+P59)</f>
        <v/>
      </c>
      <c r="R59" s="41">
        <f>'July2026-COLLECTION'!K58</f>
        <v/>
      </c>
      <c r="S59" s="41">
        <f>'July2026-EXPENSE'!R62</f>
        <v/>
      </c>
      <c r="T59" s="21" t="n"/>
      <c r="U59" s="41">
        <f>R59-(S59+T59)</f>
        <v/>
      </c>
      <c r="V59" s="41">
        <f>'Aug2026-COLLECTION'!K58</f>
        <v/>
      </c>
      <c r="W59" s="41">
        <f>'Aug2026-EXPENSE'!R62</f>
        <v/>
      </c>
      <c r="X59" s="20" t="n"/>
      <c r="Y59" s="41">
        <f>V59-(W59+X59)</f>
        <v/>
      </c>
      <c r="Z59" s="41">
        <f>'Sep2026-COLLECTION'!K58</f>
        <v/>
      </c>
      <c r="AA59" s="41">
        <f>'Sep2026-EXPENSE'!R62</f>
        <v/>
      </c>
      <c r="AB59" s="21" t="n"/>
      <c r="AC59" s="41">
        <f>Z59-(AA59+AB59)</f>
        <v/>
      </c>
      <c r="AD59" s="41">
        <f>'Oct2026-COLLECTION'!K58</f>
        <v/>
      </c>
      <c r="AE59" s="41">
        <f>'Oct2026-EXPENSE'!R62</f>
        <v/>
      </c>
      <c r="AF59" s="21" t="n"/>
      <c r="AG59" s="41">
        <f>AD59-(AE59+AF59)</f>
        <v/>
      </c>
      <c r="AH59" s="41">
        <f>'Nov2026-COLLECTION'!K58</f>
        <v/>
      </c>
      <c r="AI59" s="41">
        <f>'Nov2026-EXPENSE'!R62</f>
        <v/>
      </c>
      <c r="AJ59" s="21" t="n"/>
      <c r="AK59" s="41">
        <f>AH59-(AI59+AJ59)</f>
        <v/>
      </c>
      <c r="AL59" s="41">
        <f>'Dec2026-COLLECTION'!K58</f>
        <v/>
      </c>
      <c r="AM59" s="41">
        <f>'Dec2026-EXPENSE'!R62</f>
        <v/>
      </c>
      <c r="AN59" s="21" t="n"/>
      <c r="AO59" s="41">
        <f>AL59-(AM59+AN59)</f>
        <v/>
      </c>
      <c r="AP59" s="41">
        <f>'Jan2027-COLLECTION'!K58</f>
        <v/>
      </c>
      <c r="AQ59" s="41">
        <f>'Jan2027-EXPENSE'!R62</f>
        <v/>
      </c>
      <c r="AR59" s="2" t="n"/>
      <c r="AS59" s="41">
        <f>AP59-(AQ59+AR59)</f>
        <v/>
      </c>
      <c r="AT59" s="41">
        <f>'Feb2027-COLLECTION'!K58</f>
        <v/>
      </c>
      <c r="AU59" s="41">
        <f>'Feb2027-EXPENSE'!R62</f>
        <v/>
      </c>
      <c r="AV59" s="2" t="n"/>
      <c r="AW59" s="41">
        <f>AT59-(AU59+AV59)</f>
        <v/>
      </c>
      <c r="AX59" s="41">
        <f>'Mar2027-COLLECTION'!K58</f>
        <v/>
      </c>
      <c r="AY59" s="41">
        <f>'Mar2027-EXPENSE'!R62</f>
        <v/>
      </c>
      <c r="AZ59" s="2" t="n"/>
      <c r="BA59" s="41">
        <f>AX59-(AY59+AZ59)</f>
        <v/>
      </c>
      <c r="BB59" s="41">
        <f>SUM(F59,J59,N59,R59,V59,Z59,AD59,AH59,AL59,AP59,AT59,AX59)</f>
        <v/>
      </c>
      <c r="BC59" s="41">
        <f>SUM(J59,N59,R59,V59,Z59,AD59,AH59,AL59,AP59,AT59,AX59)</f>
        <v/>
      </c>
      <c r="BD59" s="41">
        <f>SUM(G59,K59,O59,S59,W59,AA59,AE59,AI59,AM59,AQ59,AU59,AY59)</f>
        <v/>
      </c>
      <c r="BE59" s="41" t="n">
        <v>0</v>
      </c>
      <c r="BF59" s="41">
        <f>BB59-(BD59+BE59)</f>
        <v/>
      </c>
      <c r="BG59" s="41">
        <f>BC59-(BD59+BE59)</f>
        <v/>
      </c>
      <c r="BH59" s="41">
        <f>E59+BF59</f>
        <v/>
      </c>
      <c r="BI59" s="41">
        <f>E59+F59+IF(BG59&gt;=0,BG59,0)</f>
        <v/>
      </c>
      <c r="BJ59" s="41" t="n">
        <v>0</v>
      </c>
    </row>
    <row r="60" ht="15.75" customHeight="1">
      <c r="A60" s="36" t="inlineStr">
        <is>
          <t>T10</t>
        </is>
      </c>
      <c r="B60" s="42" t="n"/>
      <c r="C60" s="42" t="inlineStr">
        <is>
          <t>Vamsidhar Bethanabatla / Madhuri Anumula</t>
        </is>
      </c>
      <c r="D60" s="43" t="n">
        <v>0</v>
      </c>
      <c r="E60" s="43" t="n">
        <v>0</v>
      </c>
      <c r="F60" s="43">
        <f>'Apr2026-COLLECTION'!K59</f>
        <v/>
      </c>
      <c r="G60" s="43">
        <f>'Apr2026-EXPENSE'!R63</f>
        <v/>
      </c>
      <c r="H60" s="20" t="n"/>
      <c r="I60" s="43">
        <f>F60-(G60+H60)</f>
        <v/>
      </c>
      <c r="J60" s="43">
        <f>'May2026-COLLECTION'!K59</f>
        <v/>
      </c>
      <c r="K60" s="43">
        <f>'May2026-EXPENSE'!R63</f>
        <v/>
      </c>
      <c r="L60" s="21" t="n"/>
      <c r="M60" s="43">
        <f>J60-(K60+L60)</f>
        <v/>
      </c>
      <c r="N60" s="43">
        <f>'June2026-COLLECTION'!K59</f>
        <v/>
      </c>
      <c r="O60" s="43">
        <f>'June2026-EXPENSE'!R63</f>
        <v/>
      </c>
      <c r="P60" s="20" t="n"/>
      <c r="Q60" s="43">
        <f>N60-(O60+P60)</f>
        <v/>
      </c>
      <c r="R60" s="43">
        <f>'July2026-COLLECTION'!K59</f>
        <v/>
      </c>
      <c r="S60" s="43">
        <f>'July2026-EXPENSE'!R63</f>
        <v/>
      </c>
      <c r="T60" s="21" t="n"/>
      <c r="U60" s="43">
        <f>R60-(S60+T60)</f>
        <v/>
      </c>
      <c r="V60" s="43">
        <f>'Aug2026-COLLECTION'!K59</f>
        <v/>
      </c>
      <c r="W60" s="43">
        <f>'Aug2026-EXPENSE'!R63</f>
        <v/>
      </c>
      <c r="X60" s="20" t="n"/>
      <c r="Y60" s="43">
        <f>V60-(W60+X60)</f>
        <v/>
      </c>
      <c r="Z60" s="43">
        <f>'Sep2026-COLLECTION'!K59</f>
        <v/>
      </c>
      <c r="AA60" s="43">
        <f>'Sep2026-EXPENSE'!R63</f>
        <v/>
      </c>
      <c r="AB60" s="21" t="n"/>
      <c r="AC60" s="43">
        <f>Z60-(AA60+AB60)</f>
        <v/>
      </c>
      <c r="AD60" s="43">
        <f>'Oct2026-COLLECTION'!K59</f>
        <v/>
      </c>
      <c r="AE60" s="43">
        <f>'Oct2026-EXPENSE'!R63</f>
        <v/>
      </c>
      <c r="AF60" s="21" t="n"/>
      <c r="AG60" s="43">
        <f>AD60-(AE60+AF60)</f>
        <v/>
      </c>
      <c r="AH60" s="43">
        <f>'Nov2026-COLLECTION'!K59</f>
        <v/>
      </c>
      <c r="AI60" s="43">
        <f>'Nov2026-EXPENSE'!R63</f>
        <v/>
      </c>
      <c r="AJ60" s="21" t="n"/>
      <c r="AK60" s="43">
        <f>AH60-(AI60+AJ60)</f>
        <v/>
      </c>
      <c r="AL60" s="43">
        <f>'Dec2026-COLLECTION'!K59</f>
        <v/>
      </c>
      <c r="AM60" s="43">
        <f>'Dec2026-EXPENSE'!R63</f>
        <v/>
      </c>
      <c r="AN60" s="21" t="n"/>
      <c r="AO60" s="43">
        <f>AL60-(AM60+AN60)</f>
        <v/>
      </c>
      <c r="AP60" s="43">
        <f>'Jan2027-COLLECTION'!K59</f>
        <v/>
      </c>
      <c r="AQ60" s="43">
        <f>'Jan2027-EXPENSE'!R63</f>
        <v/>
      </c>
      <c r="AR60" s="2" t="n"/>
      <c r="AS60" s="43">
        <f>AP60-(AQ60+AR60)</f>
        <v/>
      </c>
      <c r="AT60" s="43">
        <f>'Feb2027-COLLECTION'!K59</f>
        <v/>
      </c>
      <c r="AU60" s="43">
        <f>'Feb2027-EXPENSE'!R63</f>
        <v/>
      </c>
      <c r="AV60" s="2" t="n"/>
      <c r="AW60" s="43">
        <f>AT60-(AU60+AV60)</f>
        <v/>
      </c>
      <c r="AX60" s="43">
        <f>'Mar2027-COLLECTION'!K59</f>
        <v/>
      </c>
      <c r="AY60" s="43">
        <f>'Mar2027-EXPENSE'!R63</f>
        <v/>
      </c>
      <c r="AZ60" s="2" t="n"/>
      <c r="BA60" s="43">
        <f>AX60-(AY60+AZ60)</f>
        <v/>
      </c>
      <c r="BB60" s="43">
        <f>SUM(F60,J60,N60,R60,V60,Z60,AD60,AH60,AL60,AP60,AT60,AX60)</f>
        <v/>
      </c>
      <c r="BC60" s="43">
        <f>SUM(J60,N60,R60,V60,Z60,AD60,AH60,AL60,AP60,AT60,AX60)</f>
        <v/>
      </c>
      <c r="BD60" s="43">
        <f>SUM(G60,K60,O60,S60,W60,AA60,AE60,AI60,AM60,AQ60,AU60,AY60)</f>
        <v/>
      </c>
      <c r="BE60" s="43" t="n">
        <v>0</v>
      </c>
      <c r="BF60" s="43">
        <f>BB60-(BD60+BE60)</f>
        <v/>
      </c>
      <c r="BG60" s="43">
        <f>BC60-(BD60+BE60)</f>
        <v/>
      </c>
      <c r="BH60" s="43">
        <f>E60+BF60</f>
        <v/>
      </c>
      <c r="BI60" s="43">
        <f>E60+F60+IF(BG60&gt;=0,BG60,0)</f>
        <v/>
      </c>
      <c r="BJ60" s="43" t="n">
        <v>0</v>
      </c>
    </row>
    <row r="61" ht="15.75" customHeight="1">
      <c r="A61" s="37" t="inlineStr">
        <is>
          <t>T11</t>
        </is>
      </c>
      <c r="B61" s="40" t="n"/>
      <c r="C61" s="40" t="inlineStr">
        <is>
          <t>Arvind Balasubramanian</t>
        </is>
      </c>
      <c r="D61" s="41" t="n">
        <v>0</v>
      </c>
      <c r="E61" s="41" t="n">
        <v>0</v>
      </c>
      <c r="F61" s="41">
        <f>'Apr2026-COLLECTION'!K60</f>
        <v/>
      </c>
      <c r="G61" s="41">
        <f>'Apr2026-EXPENSE'!R64</f>
        <v/>
      </c>
      <c r="H61" s="20" t="n"/>
      <c r="I61" s="41">
        <f>F61-(G61+H61)</f>
        <v/>
      </c>
      <c r="J61" s="41">
        <f>'May2026-COLLECTION'!K60</f>
        <v/>
      </c>
      <c r="K61" s="41">
        <f>'May2026-EXPENSE'!R64</f>
        <v/>
      </c>
      <c r="L61" s="41" t="n">
        <v>0</v>
      </c>
      <c r="M61" s="41">
        <f>J61-(K61+L61)</f>
        <v/>
      </c>
      <c r="N61" s="41">
        <f>'June2026-COLLECTION'!K60</f>
        <v/>
      </c>
      <c r="O61" s="41">
        <f>'June2026-EXPENSE'!R64</f>
        <v/>
      </c>
      <c r="P61" s="20" t="n"/>
      <c r="Q61" s="41">
        <f>N61-(O61+P61)</f>
        <v/>
      </c>
      <c r="R61" s="41">
        <f>'July2026-COLLECTION'!K60</f>
        <v/>
      </c>
      <c r="S61" s="41">
        <f>'July2026-EXPENSE'!R64</f>
        <v/>
      </c>
      <c r="T61" s="21" t="n"/>
      <c r="U61" s="41">
        <f>R61-(S61+T61)</f>
        <v/>
      </c>
      <c r="V61" s="41">
        <f>'Aug2026-COLLECTION'!K60</f>
        <v/>
      </c>
      <c r="W61" s="41">
        <f>'Aug2026-EXPENSE'!R64</f>
        <v/>
      </c>
      <c r="X61" s="20" t="n"/>
      <c r="Y61" s="41">
        <f>V61-(W61+X61)</f>
        <v/>
      </c>
      <c r="Z61" s="41">
        <f>'Sep2026-COLLECTION'!K60</f>
        <v/>
      </c>
      <c r="AA61" s="41">
        <f>'Sep2026-EXPENSE'!R64</f>
        <v/>
      </c>
      <c r="AB61" s="21" t="n"/>
      <c r="AC61" s="41">
        <f>Z61-(AA61+AB61)</f>
        <v/>
      </c>
      <c r="AD61" s="41">
        <f>'Oct2026-COLLECTION'!K60</f>
        <v/>
      </c>
      <c r="AE61" s="41">
        <f>'Oct2026-EXPENSE'!R64</f>
        <v/>
      </c>
      <c r="AF61" s="21" t="n"/>
      <c r="AG61" s="41">
        <f>AD61-(AE61+AF61)</f>
        <v/>
      </c>
      <c r="AH61" s="41">
        <f>'Nov2026-COLLECTION'!K60</f>
        <v/>
      </c>
      <c r="AI61" s="41">
        <f>'Nov2026-EXPENSE'!R64</f>
        <v/>
      </c>
      <c r="AJ61" s="21" t="n"/>
      <c r="AK61" s="41">
        <f>AH61-(AI61+AJ61)</f>
        <v/>
      </c>
      <c r="AL61" s="41">
        <f>'Dec2026-COLLECTION'!K60</f>
        <v/>
      </c>
      <c r="AM61" s="41">
        <f>'Dec2026-EXPENSE'!R64</f>
        <v/>
      </c>
      <c r="AN61" s="21" t="n"/>
      <c r="AO61" s="41">
        <f>AL61-(AM61+AN61)</f>
        <v/>
      </c>
      <c r="AP61" s="41">
        <f>'Jan2027-COLLECTION'!K60</f>
        <v/>
      </c>
      <c r="AQ61" s="41">
        <f>'Jan2027-EXPENSE'!R64</f>
        <v/>
      </c>
      <c r="AR61" s="2" t="n"/>
      <c r="AS61" s="41">
        <f>AP61-(AQ61+AR61)</f>
        <v/>
      </c>
      <c r="AT61" s="41">
        <f>'Feb2027-COLLECTION'!K60</f>
        <v/>
      </c>
      <c r="AU61" s="41">
        <f>'Feb2027-EXPENSE'!R64</f>
        <v/>
      </c>
      <c r="AV61" s="2" t="n"/>
      <c r="AW61" s="41">
        <f>AT61-(AU61+AV61)</f>
        <v/>
      </c>
      <c r="AX61" s="41">
        <f>'Mar2027-COLLECTION'!K60</f>
        <v/>
      </c>
      <c r="AY61" s="41">
        <f>'Mar2027-EXPENSE'!R64</f>
        <v/>
      </c>
      <c r="AZ61" s="2" t="n"/>
      <c r="BA61" s="41">
        <f>AX61-(AY61+AZ61)</f>
        <v/>
      </c>
      <c r="BB61" s="41">
        <f>SUM(F61,J61,N61,R61,V61,Z61,AD61,AH61,AL61,AP61,AT61,AX61)</f>
        <v/>
      </c>
      <c r="BC61" s="41">
        <f>SUM(J61,N61,R61,V61,Z61,AD61,AH61,AL61,AP61,AT61,AX61)</f>
        <v/>
      </c>
      <c r="BD61" s="41">
        <f>SUM(G61,K61,O61,S61,W61,AA61,AE61,AI61,AM61,AQ61,AU61,AY61)</f>
        <v/>
      </c>
      <c r="BE61" s="41" t="n">
        <v>0</v>
      </c>
      <c r="BF61" s="41">
        <f>BB61-(BD61+BE61)</f>
        <v/>
      </c>
      <c r="BG61" s="41">
        <f>BC61-(BD61+BE61)</f>
        <v/>
      </c>
      <c r="BH61" s="41">
        <f>E61+BF61</f>
        <v/>
      </c>
      <c r="BI61" s="41">
        <f>E61+F61+IF(BG61&gt;=0,BG61,0)</f>
        <v/>
      </c>
      <c r="BJ61" s="41" t="n">
        <v>0</v>
      </c>
    </row>
    <row r="62" ht="15.75" customHeight="1">
      <c r="A62" s="36" t="inlineStr">
        <is>
          <t>T12</t>
        </is>
      </c>
      <c r="B62" s="42" t="n"/>
      <c r="C62" s="42" t="inlineStr">
        <is>
          <t>Prasenjit</t>
        </is>
      </c>
      <c r="D62" s="43" t="n">
        <v>0</v>
      </c>
      <c r="E62" s="43" t="n">
        <v>0</v>
      </c>
      <c r="F62" s="43">
        <f>'Apr2026-COLLECTION'!K61</f>
        <v/>
      </c>
      <c r="G62" s="43">
        <f>'Apr2026-EXPENSE'!R65</f>
        <v/>
      </c>
      <c r="H62" s="20" t="n"/>
      <c r="I62" s="43">
        <f>F62-(G62+H62)</f>
        <v/>
      </c>
      <c r="J62" s="43">
        <f>'May2026-COLLECTION'!K61</f>
        <v/>
      </c>
      <c r="K62" s="43">
        <f>'May2026-EXPENSE'!R65</f>
        <v/>
      </c>
      <c r="L62" s="43" t="n">
        <v>0</v>
      </c>
      <c r="M62" s="43">
        <f>J62-(K62+L62)</f>
        <v/>
      </c>
      <c r="N62" s="43">
        <f>'June2026-COLLECTION'!K61</f>
        <v/>
      </c>
      <c r="O62" s="43">
        <f>'June2026-EXPENSE'!R65</f>
        <v/>
      </c>
      <c r="P62" s="20" t="n"/>
      <c r="Q62" s="43">
        <f>N62-(O62+P62)</f>
        <v/>
      </c>
      <c r="R62" s="43">
        <f>'July2026-COLLECTION'!K61</f>
        <v/>
      </c>
      <c r="S62" s="43">
        <f>'July2026-EXPENSE'!R65</f>
        <v/>
      </c>
      <c r="T62" s="21" t="n"/>
      <c r="U62" s="43">
        <f>R62-(S62+T62)</f>
        <v/>
      </c>
      <c r="V62" s="43">
        <f>'Aug2026-COLLECTION'!K61</f>
        <v/>
      </c>
      <c r="W62" s="43">
        <f>'Aug2026-EXPENSE'!R65</f>
        <v/>
      </c>
      <c r="X62" s="20" t="n"/>
      <c r="Y62" s="43">
        <f>V62-(W62+X62)</f>
        <v/>
      </c>
      <c r="Z62" s="43">
        <f>'Sep2026-COLLECTION'!K61</f>
        <v/>
      </c>
      <c r="AA62" s="43">
        <f>'Sep2026-EXPENSE'!R65</f>
        <v/>
      </c>
      <c r="AB62" s="21" t="n"/>
      <c r="AC62" s="43">
        <f>Z62-(AA62+AB62)</f>
        <v/>
      </c>
      <c r="AD62" s="43">
        <f>'Oct2026-COLLECTION'!K61</f>
        <v/>
      </c>
      <c r="AE62" s="43">
        <f>'Oct2026-EXPENSE'!R65</f>
        <v/>
      </c>
      <c r="AF62" s="21" t="n"/>
      <c r="AG62" s="43">
        <f>AD62-(AE62+AF62)</f>
        <v/>
      </c>
      <c r="AH62" s="43">
        <f>'Nov2026-COLLECTION'!K61</f>
        <v/>
      </c>
      <c r="AI62" s="43">
        <f>'Nov2026-EXPENSE'!R65</f>
        <v/>
      </c>
      <c r="AJ62" s="21" t="n"/>
      <c r="AK62" s="43">
        <f>AH62-(AI62+AJ62)</f>
        <v/>
      </c>
      <c r="AL62" s="43">
        <f>'Dec2026-COLLECTION'!K61</f>
        <v/>
      </c>
      <c r="AM62" s="43">
        <f>'Dec2026-EXPENSE'!R65</f>
        <v/>
      </c>
      <c r="AN62" s="21" t="n"/>
      <c r="AO62" s="43">
        <f>AL62-(AM62+AN62)</f>
        <v/>
      </c>
      <c r="AP62" s="43">
        <f>'Jan2027-COLLECTION'!K61</f>
        <v/>
      </c>
      <c r="AQ62" s="43">
        <f>'Jan2027-EXPENSE'!R65</f>
        <v/>
      </c>
      <c r="AR62" s="2" t="n"/>
      <c r="AS62" s="43">
        <f>AP62-(AQ62+AR62)</f>
        <v/>
      </c>
      <c r="AT62" s="43">
        <f>'Feb2027-COLLECTION'!K61</f>
        <v/>
      </c>
      <c r="AU62" s="43">
        <f>'Feb2027-EXPENSE'!R65</f>
        <v/>
      </c>
      <c r="AV62" s="2" t="n"/>
      <c r="AW62" s="43">
        <f>AT62-(AU62+AV62)</f>
        <v/>
      </c>
      <c r="AX62" s="43">
        <f>'Mar2027-COLLECTION'!K61</f>
        <v/>
      </c>
      <c r="AY62" s="43">
        <f>'Mar2027-EXPENSE'!R65</f>
        <v/>
      </c>
      <c r="AZ62" s="2" t="n"/>
      <c r="BA62" s="43">
        <f>AX62-(AY62+AZ62)</f>
        <v/>
      </c>
      <c r="BB62" s="43">
        <f>SUM(F62,J62,N62,R62,V62,Z62,AD62,AH62,AL62,AP62,AT62,AX62)</f>
        <v/>
      </c>
      <c r="BC62" s="43">
        <f>SUM(J62,N62,R62,V62,Z62,AD62,AH62,AL62,AP62,AT62,AX62)</f>
        <v/>
      </c>
      <c r="BD62" s="43">
        <f>SUM(G62,K62,O62,S62,W62,AA62,AE62,AI62,AM62,AQ62,AU62,AY62)</f>
        <v/>
      </c>
      <c r="BE62" s="43" t="n">
        <v>0</v>
      </c>
      <c r="BF62" s="43">
        <f>BB62-(BD62+BE62)</f>
        <v/>
      </c>
      <c r="BG62" s="43">
        <f>BC62-(BD62+BE62)</f>
        <v/>
      </c>
      <c r="BH62" s="43">
        <f>E62+BF62</f>
        <v/>
      </c>
      <c r="BI62" s="43">
        <f>E62+F62+IF(BG62&gt;=0,BG62,0)</f>
        <v/>
      </c>
      <c r="BJ62" s="43" t="n">
        <v>0</v>
      </c>
    </row>
    <row r="63" ht="15.75" customHeight="1">
      <c r="A63" s="37" t="inlineStr">
        <is>
          <t>T13</t>
        </is>
      </c>
      <c r="B63" s="40" t="n"/>
      <c r="C63" s="40" t="inlineStr">
        <is>
          <t>Rahul Kumar</t>
        </is>
      </c>
      <c r="D63" s="41" t="n">
        <v>0</v>
      </c>
      <c r="E63" s="41" t="n">
        <v>0</v>
      </c>
      <c r="F63" s="41">
        <f>'Apr2026-COLLECTION'!K62</f>
        <v/>
      </c>
      <c r="G63" s="41">
        <f>'Apr2026-EXPENSE'!R66</f>
        <v/>
      </c>
      <c r="H63" s="20" t="n"/>
      <c r="I63" s="41">
        <f>F63-(G63+H63)</f>
        <v/>
      </c>
      <c r="J63" s="41">
        <f>'May2026-COLLECTION'!K62</f>
        <v/>
      </c>
      <c r="K63" s="41">
        <f>'May2026-EXPENSE'!R66</f>
        <v/>
      </c>
      <c r="L63" s="41" t="n">
        <v>0</v>
      </c>
      <c r="M63" s="41">
        <f>J63-(K63+L63)</f>
        <v/>
      </c>
      <c r="N63" s="41">
        <f>'June2026-COLLECTION'!K62</f>
        <v/>
      </c>
      <c r="O63" s="41">
        <f>'June2026-EXPENSE'!R66</f>
        <v/>
      </c>
      <c r="P63" s="20" t="n"/>
      <c r="Q63" s="41">
        <f>N63-(O63+P63)</f>
        <v/>
      </c>
      <c r="R63" s="41">
        <f>'July2026-COLLECTION'!K62</f>
        <v/>
      </c>
      <c r="S63" s="41">
        <f>'July2026-EXPENSE'!R66</f>
        <v/>
      </c>
      <c r="T63" s="21" t="n"/>
      <c r="U63" s="41">
        <f>R63-(S63+T63)</f>
        <v/>
      </c>
      <c r="V63" s="41">
        <f>'Aug2026-COLLECTION'!K62</f>
        <v/>
      </c>
      <c r="W63" s="41">
        <f>'Aug2026-EXPENSE'!R66</f>
        <v/>
      </c>
      <c r="X63" s="20" t="n"/>
      <c r="Y63" s="41">
        <f>V63-(W63+X63)</f>
        <v/>
      </c>
      <c r="Z63" s="41">
        <f>'Sep2026-COLLECTION'!K62</f>
        <v/>
      </c>
      <c r="AA63" s="41">
        <f>'Sep2026-EXPENSE'!R66</f>
        <v/>
      </c>
      <c r="AB63" s="21" t="n"/>
      <c r="AC63" s="41">
        <f>Z63-(AA63+AB63)</f>
        <v/>
      </c>
      <c r="AD63" s="41">
        <f>'Oct2026-COLLECTION'!K62</f>
        <v/>
      </c>
      <c r="AE63" s="41">
        <f>'Oct2026-EXPENSE'!R66</f>
        <v/>
      </c>
      <c r="AF63" s="21" t="n"/>
      <c r="AG63" s="41">
        <f>AD63-(AE63+AF63)</f>
        <v/>
      </c>
      <c r="AH63" s="41">
        <f>'Nov2026-COLLECTION'!K62</f>
        <v/>
      </c>
      <c r="AI63" s="41">
        <f>'Nov2026-EXPENSE'!R66</f>
        <v/>
      </c>
      <c r="AJ63" s="21" t="n"/>
      <c r="AK63" s="41">
        <f>AH63-(AI63+AJ63)</f>
        <v/>
      </c>
      <c r="AL63" s="41">
        <f>'Dec2026-COLLECTION'!K62</f>
        <v/>
      </c>
      <c r="AM63" s="41">
        <f>'Dec2026-EXPENSE'!R66</f>
        <v/>
      </c>
      <c r="AN63" s="21" t="n"/>
      <c r="AO63" s="41">
        <f>AL63-(AM63+AN63)</f>
        <v/>
      </c>
      <c r="AP63" s="41">
        <f>'Jan2027-COLLECTION'!K62</f>
        <v/>
      </c>
      <c r="AQ63" s="41">
        <f>'Jan2027-EXPENSE'!R66</f>
        <v/>
      </c>
      <c r="AR63" s="2" t="n"/>
      <c r="AS63" s="41">
        <f>AP63-(AQ63+AR63)</f>
        <v/>
      </c>
      <c r="AT63" s="41">
        <f>'Feb2027-COLLECTION'!K62</f>
        <v/>
      </c>
      <c r="AU63" s="41">
        <f>'Feb2027-EXPENSE'!R66</f>
        <v/>
      </c>
      <c r="AV63" s="2" t="n"/>
      <c r="AW63" s="41">
        <f>AT63-(AU63+AV63)</f>
        <v/>
      </c>
      <c r="AX63" s="41">
        <f>'Mar2027-COLLECTION'!K62</f>
        <v/>
      </c>
      <c r="AY63" s="41">
        <f>'Mar2027-EXPENSE'!R66</f>
        <v/>
      </c>
      <c r="AZ63" s="2" t="n"/>
      <c r="BA63" s="41">
        <f>AX63-(AY63+AZ63)</f>
        <v/>
      </c>
      <c r="BB63" s="41">
        <f>SUM(F63,J63,N63,R63,V63,Z63,AD63,AH63,AL63,AP63,AT63,AX63)</f>
        <v/>
      </c>
      <c r="BC63" s="41">
        <f>SUM(J63,N63,R63,V63,Z63,AD63,AH63,AL63,AP63,AT63,AX63)</f>
        <v/>
      </c>
      <c r="BD63" s="41">
        <f>SUM(G63,K63,O63,S63,W63,AA63,AE63,AI63,AM63,AQ63,AU63,AY63)</f>
        <v/>
      </c>
      <c r="BE63" s="41" t="n">
        <v>0</v>
      </c>
      <c r="BF63" s="41">
        <f>BB63-(BD63+BE63)</f>
        <v/>
      </c>
      <c r="BG63" s="41">
        <f>BC63-(BD63+BE63)</f>
        <v/>
      </c>
      <c r="BH63" s="41">
        <f>E63+BF63</f>
        <v/>
      </c>
      <c r="BI63" s="41">
        <f>E63+F63+IF(BG63&gt;=0,BG63,0)</f>
        <v/>
      </c>
      <c r="BJ63" s="41" t="n">
        <v>0</v>
      </c>
    </row>
    <row r="64" ht="15.75" customHeight="1">
      <c r="A64" s="36" t="inlineStr">
        <is>
          <t>T14</t>
        </is>
      </c>
      <c r="B64" s="42" t="n"/>
      <c r="C64" s="42" t="inlineStr">
        <is>
          <t>Jeya / Kanda / Satya (tenant)/Vinuta (tenant)</t>
        </is>
      </c>
      <c r="D64" s="43" t="n">
        <v>0</v>
      </c>
      <c r="E64" s="43" t="n">
        <v>0</v>
      </c>
      <c r="F64" s="43">
        <f>'Apr2026-COLLECTION'!K63</f>
        <v/>
      </c>
      <c r="G64" s="43">
        <f>'Apr2026-EXPENSE'!R67</f>
        <v/>
      </c>
      <c r="H64" s="20" t="n"/>
      <c r="I64" s="43">
        <f>F64-(G64+H64)</f>
        <v/>
      </c>
      <c r="J64" s="43">
        <f>'May2026-COLLECTION'!K63</f>
        <v/>
      </c>
      <c r="K64" s="43">
        <f>'May2026-EXPENSE'!R67</f>
        <v/>
      </c>
      <c r="L64" s="21" t="n"/>
      <c r="M64" s="43">
        <f>J64-(K64+L64)</f>
        <v/>
      </c>
      <c r="N64" s="43">
        <f>'June2026-COLLECTION'!K63</f>
        <v/>
      </c>
      <c r="O64" s="43">
        <f>'June2026-EXPENSE'!R67</f>
        <v/>
      </c>
      <c r="P64" s="20" t="n"/>
      <c r="Q64" s="43">
        <f>N64-(O64+P64)</f>
        <v/>
      </c>
      <c r="R64" s="43">
        <f>'July2026-COLLECTION'!K63</f>
        <v/>
      </c>
      <c r="S64" s="43">
        <f>'July2026-EXPENSE'!R67</f>
        <v/>
      </c>
      <c r="T64" s="21" t="n"/>
      <c r="U64" s="43">
        <f>R64-(S64+T64)</f>
        <v/>
      </c>
      <c r="V64" s="43">
        <f>'Aug2026-COLLECTION'!K63</f>
        <v/>
      </c>
      <c r="W64" s="43">
        <f>'Aug2026-EXPENSE'!R67</f>
        <v/>
      </c>
      <c r="X64" s="20" t="n"/>
      <c r="Y64" s="43">
        <f>V64-(W64+X64)</f>
        <v/>
      </c>
      <c r="Z64" s="43">
        <f>'Sep2026-COLLECTION'!K63</f>
        <v/>
      </c>
      <c r="AA64" s="43">
        <f>'Sep2026-EXPENSE'!R67</f>
        <v/>
      </c>
      <c r="AB64" s="21" t="n"/>
      <c r="AC64" s="43">
        <f>Z64-(AA64+AB64)</f>
        <v/>
      </c>
      <c r="AD64" s="43">
        <f>'Oct2026-COLLECTION'!K63</f>
        <v/>
      </c>
      <c r="AE64" s="43">
        <f>'Oct2026-EXPENSE'!R67</f>
        <v/>
      </c>
      <c r="AF64" s="21" t="n"/>
      <c r="AG64" s="43">
        <f>AD64-(AE64+AF64)</f>
        <v/>
      </c>
      <c r="AH64" s="43">
        <f>'Nov2026-COLLECTION'!K63</f>
        <v/>
      </c>
      <c r="AI64" s="43">
        <f>'Nov2026-EXPENSE'!R67</f>
        <v/>
      </c>
      <c r="AJ64" s="21" t="n"/>
      <c r="AK64" s="43">
        <f>AH64-(AI64+AJ64)</f>
        <v/>
      </c>
      <c r="AL64" s="43">
        <f>'Dec2026-COLLECTION'!K63</f>
        <v/>
      </c>
      <c r="AM64" s="43">
        <f>'Dec2026-EXPENSE'!R67</f>
        <v/>
      </c>
      <c r="AN64" s="21" t="n"/>
      <c r="AO64" s="43">
        <f>AL64-(AM64+AN64)</f>
        <v/>
      </c>
      <c r="AP64" s="43">
        <f>'Jan2027-COLLECTION'!K63</f>
        <v/>
      </c>
      <c r="AQ64" s="43">
        <f>'Jan2027-EXPENSE'!R67</f>
        <v/>
      </c>
      <c r="AR64" s="2" t="n"/>
      <c r="AS64" s="43">
        <f>AP64-(AQ64+AR64)</f>
        <v/>
      </c>
      <c r="AT64" s="43">
        <f>'Feb2027-COLLECTION'!K63</f>
        <v/>
      </c>
      <c r="AU64" s="43">
        <f>'Feb2027-EXPENSE'!R67</f>
        <v/>
      </c>
      <c r="AV64" s="2" t="n"/>
      <c r="AW64" s="43">
        <f>AT64-(AU64+AV64)</f>
        <v/>
      </c>
      <c r="AX64" s="43">
        <f>'Mar2027-COLLECTION'!K63</f>
        <v/>
      </c>
      <c r="AY64" s="43">
        <f>'Mar2027-EXPENSE'!R67</f>
        <v/>
      </c>
      <c r="AZ64" s="2" t="n"/>
      <c r="BA64" s="43">
        <f>AX64-(AY64+AZ64)</f>
        <v/>
      </c>
      <c r="BB64" s="43">
        <f>SUM(F64,J64,N64,R64,V64,Z64,AD64,AH64,AL64,AP64,AT64,AX64)</f>
        <v/>
      </c>
      <c r="BC64" s="43">
        <f>SUM(J64,N64,R64,V64,Z64,AD64,AH64,AL64,AP64,AT64,AX64)</f>
        <v/>
      </c>
      <c r="BD64" s="43">
        <f>SUM(G64,K64,O64,S64,W64,AA64,AE64,AI64,AM64,AQ64,AU64,AY64)</f>
        <v/>
      </c>
      <c r="BE64" s="43" t="n">
        <v>0</v>
      </c>
      <c r="BF64" s="43">
        <f>BB64-(BD64+BE64)</f>
        <v/>
      </c>
      <c r="BG64" s="43">
        <f>BC64-(BD64+BE64)</f>
        <v/>
      </c>
      <c r="BH64" s="43">
        <f>E64+BF64</f>
        <v/>
      </c>
      <c r="BI64" s="43">
        <f>E64+F64+IF(BG64&gt;=0,BG64,0)</f>
        <v/>
      </c>
      <c r="BJ64" s="43" t="n">
        <v>0</v>
      </c>
    </row>
    <row r="65" ht="15.75" customHeight="1">
      <c r="A65" s="37" t="inlineStr">
        <is>
          <t>T15</t>
        </is>
      </c>
      <c r="B65" s="40" t="n"/>
      <c r="C65" s="40" t="inlineStr">
        <is>
          <t>Trevor</t>
        </is>
      </c>
      <c r="D65" s="41" t="n">
        <v>0</v>
      </c>
      <c r="E65" s="41" t="n">
        <v>0</v>
      </c>
      <c r="F65" s="41">
        <f>'Apr2026-COLLECTION'!K64</f>
        <v/>
      </c>
      <c r="G65" s="41">
        <f>'Apr2026-EXPENSE'!R68</f>
        <v/>
      </c>
      <c r="H65" s="20" t="n"/>
      <c r="I65" s="41">
        <f>F65-(G65+H65)</f>
        <v/>
      </c>
      <c r="J65" s="41">
        <f>'May2026-COLLECTION'!K64</f>
        <v/>
      </c>
      <c r="K65" s="41">
        <f>'May2026-EXPENSE'!R68</f>
        <v/>
      </c>
      <c r="L65" s="21" t="n"/>
      <c r="M65" s="41">
        <f>J65-(K65+L65)</f>
        <v/>
      </c>
      <c r="N65" s="41">
        <f>'June2026-COLLECTION'!K64</f>
        <v/>
      </c>
      <c r="O65" s="41">
        <f>'June2026-EXPENSE'!R68</f>
        <v/>
      </c>
      <c r="P65" s="20" t="n"/>
      <c r="Q65" s="41">
        <f>N65-(O65+P65)</f>
        <v/>
      </c>
      <c r="R65" s="41">
        <f>'July2026-COLLECTION'!K64</f>
        <v/>
      </c>
      <c r="S65" s="41">
        <f>'July2026-EXPENSE'!R68</f>
        <v/>
      </c>
      <c r="T65" s="21" t="n"/>
      <c r="U65" s="41">
        <f>R65-(S65+T65)</f>
        <v/>
      </c>
      <c r="V65" s="41">
        <f>'Aug2026-COLLECTION'!K64</f>
        <v/>
      </c>
      <c r="W65" s="41">
        <f>'Aug2026-EXPENSE'!R68</f>
        <v/>
      </c>
      <c r="X65" s="20" t="n"/>
      <c r="Y65" s="41">
        <f>V65-(W65+X65)</f>
        <v/>
      </c>
      <c r="Z65" s="41">
        <f>'Sep2026-COLLECTION'!K64</f>
        <v/>
      </c>
      <c r="AA65" s="41">
        <f>'Sep2026-EXPENSE'!R68</f>
        <v/>
      </c>
      <c r="AB65" s="21" t="n"/>
      <c r="AC65" s="41">
        <f>Z65-(AA65+AB65)</f>
        <v/>
      </c>
      <c r="AD65" s="41">
        <f>'Oct2026-COLLECTION'!K64</f>
        <v/>
      </c>
      <c r="AE65" s="41">
        <f>'Oct2026-EXPENSE'!R68</f>
        <v/>
      </c>
      <c r="AF65" s="21" t="n"/>
      <c r="AG65" s="41">
        <f>AD65-(AE65+AF65)</f>
        <v/>
      </c>
      <c r="AH65" s="41">
        <f>'Nov2026-COLLECTION'!K64</f>
        <v/>
      </c>
      <c r="AI65" s="41">
        <f>'Nov2026-EXPENSE'!R68</f>
        <v/>
      </c>
      <c r="AJ65" s="21" t="n"/>
      <c r="AK65" s="41">
        <f>AH65-(AI65+AJ65)</f>
        <v/>
      </c>
      <c r="AL65" s="41">
        <f>'Dec2026-COLLECTION'!K64</f>
        <v/>
      </c>
      <c r="AM65" s="41">
        <f>'Dec2026-EXPENSE'!R68</f>
        <v/>
      </c>
      <c r="AN65" s="21" t="n"/>
      <c r="AO65" s="41">
        <f>AL65-(AM65+AN65)</f>
        <v/>
      </c>
      <c r="AP65" s="41">
        <f>'Jan2027-COLLECTION'!K64</f>
        <v/>
      </c>
      <c r="AQ65" s="41">
        <f>'Jan2027-EXPENSE'!R68</f>
        <v/>
      </c>
      <c r="AR65" s="2" t="n"/>
      <c r="AS65" s="41">
        <f>AP65-(AQ65+AR65)</f>
        <v/>
      </c>
      <c r="AT65" s="41">
        <f>'Feb2027-COLLECTION'!K64</f>
        <v/>
      </c>
      <c r="AU65" s="41">
        <f>'Feb2027-EXPENSE'!R68</f>
        <v/>
      </c>
      <c r="AV65" s="2" t="n"/>
      <c r="AW65" s="41">
        <f>AT65-(AU65+AV65)</f>
        <v/>
      </c>
      <c r="AX65" s="41">
        <f>'Mar2027-COLLECTION'!K64</f>
        <v/>
      </c>
      <c r="AY65" s="41">
        <f>'Mar2027-EXPENSE'!R68</f>
        <v/>
      </c>
      <c r="AZ65" s="2" t="n"/>
      <c r="BA65" s="41">
        <f>AX65-(AY65+AZ65)</f>
        <v/>
      </c>
      <c r="BB65" s="41">
        <f>SUM(F65,J65,N65,R65,V65,Z65,AD65,AH65,AL65,AP65,AT65,AX65)</f>
        <v/>
      </c>
      <c r="BC65" s="41">
        <f>SUM(J65,N65,R65,V65,Z65,AD65,AH65,AL65,AP65,AT65,AX65)</f>
        <v/>
      </c>
      <c r="BD65" s="41">
        <f>SUM(G65,K65,O65,S65,W65,AA65,AE65,AI65,AM65,AQ65,AU65,AY65)</f>
        <v/>
      </c>
      <c r="BE65" s="41" t="n">
        <v>0</v>
      </c>
      <c r="BF65" s="41">
        <f>BB65-(BD65+BE65)</f>
        <v/>
      </c>
      <c r="BG65" s="41">
        <f>BC65-(BD65+BE65)</f>
        <v/>
      </c>
      <c r="BH65" s="41">
        <f>E65+BF65</f>
        <v/>
      </c>
      <c r="BI65" s="41">
        <f>E65+F65+IF(BG65&gt;=0,BG65,0)</f>
        <v/>
      </c>
      <c r="BJ65" s="41" t="n">
        <v>0</v>
      </c>
    </row>
    <row r="66" ht="15.75" customHeight="1">
      <c r="A66" s="36" t="inlineStr">
        <is>
          <t>T16</t>
        </is>
      </c>
      <c r="B66" s="42" t="n"/>
      <c r="C66" s="42" t="inlineStr">
        <is>
          <t>Madhusoodanan P.R.</t>
        </is>
      </c>
      <c r="D66" s="43" t="n">
        <v>0</v>
      </c>
      <c r="E66" s="43" t="n">
        <v>0</v>
      </c>
      <c r="F66" s="43">
        <f>'Apr2026-COLLECTION'!K65</f>
        <v/>
      </c>
      <c r="G66" s="43">
        <f>'Apr2026-EXPENSE'!R69</f>
        <v/>
      </c>
      <c r="H66" s="20" t="n"/>
      <c r="I66" s="43">
        <f>F66-(G66+H66)</f>
        <v/>
      </c>
      <c r="J66" s="43">
        <f>'May2026-COLLECTION'!K65</f>
        <v/>
      </c>
      <c r="K66" s="43">
        <f>'May2026-EXPENSE'!R69</f>
        <v/>
      </c>
      <c r="L66" s="21" t="n"/>
      <c r="M66" s="43">
        <f>J66-(K66+L66)</f>
        <v/>
      </c>
      <c r="N66" s="43">
        <f>'June2026-COLLECTION'!K65</f>
        <v/>
      </c>
      <c r="O66" s="43">
        <f>'June2026-EXPENSE'!R69</f>
        <v/>
      </c>
      <c r="P66" s="20" t="n"/>
      <c r="Q66" s="43">
        <f>N66-(O66+P66)</f>
        <v/>
      </c>
      <c r="R66" s="43">
        <f>'July2026-COLLECTION'!K65</f>
        <v/>
      </c>
      <c r="S66" s="43">
        <f>'July2026-EXPENSE'!R69</f>
        <v/>
      </c>
      <c r="T66" s="21" t="n"/>
      <c r="U66" s="43">
        <f>R66-(S66+T66)</f>
        <v/>
      </c>
      <c r="V66" s="43">
        <f>'Aug2026-COLLECTION'!K65</f>
        <v/>
      </c>
      <c r="W66" s="43">
        <f>'Aug2026-EXPENSE'!R69</f>
        <v/>
      </c>
      <c r="X66" s="20" t="n"/>
      <c r="Y66" s="43">
        <f>V66-(W66+X66)</f>
        <v/>
      </c>
      <c r="Z66" s="43">
        <f>'Sep2026-COLLECTION'!K65</f>
        <v/>
      </c>
      <c r="AA66" s="43">
        <f>'Sep2026-EXPENSE'!R69</f>
        <v/>
      </c>
      <c r="AB66" s="21" t="n"/>
      <c r="AC66" s="43">
        <f>Z66-(AA66+AB66)</f>
        <v/>
      </c>
      <c r="AD66" s="43">
        <f>'Oct2026-COLLECTION'!K65</f>
        <v/>
      </c>
      <c r="AE66" s="43">
        <f>'Oct2026-EXPENSE'!R69</f>
        <v/>
      </c>
      <c r="AF66" s="21" t="n"/>
      <c r="AG66" s="43">
        <f>AD66-(AE66+AF66)</f>
        <v/>
      </c>
      <c r="AH66" s="43">
        <f>'Nov2026-COLLECTION'!K65</f>
        <v/>
      </c>
      <c r="AI66" s="43">
        <f>'Nov2026-EXPENSE'!R69</f>
        <v/>
      </c>
      <c r="AJ66" s="21" t="n"/>
      <c r="AK66" s="43">
        <f>AH66-(AI66+AJ66)</f>
        <v/>
      </c>
      <c r="AL66" s="43">
        <f>'Dec2026-COLLECTION'!K65</f>
        <v/>
      </c>
      <c r="AM66" s="43">
        <f>'Dec2026-EXPENSE'!R69</f>
        <v/>
      </c>
      <c r="AN66" s="21" t="n"/>
      <c r="AO66" s="43">
        <f>AL66-(AM66+AN66)</f>
        <v/>
      </c>
      <c r="AP66" s="43">
        <f>'Jan2027-COLLECTION'!K65</f>
        <v/>
      </c>
      <c r="AQ66" s="43">
        <f>'Jan2027-EXPENSE'!R69</f>
        <v/>
      </c>
      <c r="AR66" s="2" t="n"/>
      <c r="AS66" s="43">
        <f>AP66-(AQ66+AR66)</f>
        <v/>
      </c>
      <c r="AT66" s="43">
        <f>'Feb2027-COLLECTION'!K65</f>
        <v/>
      </c>
      <c r="AU66" s="43">
        <f>'Feb2027-EXPENSE'!R69</f>
        <v/>
      </c>
      <c r="AV66" s="2" t="n"/>
      <c r="AW66" s="43">
        <f>AT66-(AU66+AV66)</f>
        <v/>
      </c>
      <c r="AX66" s="43">
        <f>'Mar2027-COLLECTION'!K65</f>
        <v/>
      </c>
      <c r="AY66" s="43">
        <f>'Mar2027-EXPENSE'!R69</f>
        <v/>
      </c>
      <c r="AZ66" s="2" t="n"/>
      <c r="BA66" s="43">
        <f>AX66-(AY66+AZ66)</f>
        <v/>
      </c>
      <c r="BB66" s="43">
        <f>SUM(F66,J66,N66,R66,V66,Z66,AD66,AH66,AL66,AP66,AT66,AX66)</f>
        <v/>
      </c>
      <c r="BC66" s="43">
        <f>SUM(J66,N66,R66,V66,Z66,AD66,AH66,AL66,AP66,AT66,AX66)</f>
        <v/>
      </c>
      <c r="BD66" s="43">
        <f>SUM(G66,K66,O66,S66,W66,AA66,AE66,AI66,AM66,AQ66,AU66,AY66)</f>
        <v/>
      </c>
      <c r="BE66" s="43" t="n">
        <v>0</v>
      </c>
      <c r="BF66" s="43">
        <f>BB66-(BD66+BE66)</f>
        <v/>
      </c>
      <c r="BG66" s="43">
        <f>BC66-(BD66+BE66)</f>
        <v/>
      </c>
      <c r="BH66" s="43">
        <f>E66+BF66</f>
        <v/>
      </c>
      <c r="BI66" s="43">
        <f>E66+F66+IF(BG66&gt;=0,BG66,0)</f>
        <v/>
      </c>
      <c r="BJ66" s="43" t="n">
        <v>0</v>
      </c>
    </row>
    <row r="67" ht="15.75" customHeight="1">
      <c r="A67" s="19" t="n"/>
      <c r="B67" s="18" t="n"/>
      <c r="C67" s="18" t="inlineStr">
        <is>
          <t>TOTAL</t>
        </is>
      </c>
      <c r="D67" s="22">
        <f>SUM(D3:D66)</f>
        <v/>
      </c>
      <c r="E67" s="13">
        <f>SUM(E3:E66)</f>
        <v/>
      </c>
      <c r="F67" s="23">
        <f>SUM(F3:F66)</f>
        <v/>
      </c>
      <c r="G67" s="21">
        <f>SUM(G3:G66)</f>
        <v/>
      </c>
      <c r="H67" s="21">
        <f>SUM(H3:H66)</f>
        <v/>
      </c>
      <c r="I67" s="21">
        <f>SUM(I3:I66)</f>
        <v/>
      </c>
      <c r="J67" s="21">
        <f>SUM(J3:J66)</f>
        <v/>
      </c>
      <c r="K67" s="21">
        <f>SUM(K3:K66)</f>
        <v/>
      </c>
      <c r="L67" s="21">
        <f>SUM(L3:L66)</f>
        <v/>
      </c>
      <c r="M67" s="21">
        <f>SUM(M3:M66)</f>
        <v/>
      </c>
      <c r="N67" s="21">
        <f>SUM(N3:N66)</f>
        <v/>
      </c>
      <c r="O67" s="21">
        <f>SUM(O3:O66)</f>
        <v/>
      </c>
      <c r="P67" s="21">
        <f>SUM(P3:P66)</f>
        <v/>
      </c>
      <c r="Q67" s="21">
        <f>SUM(Q3:Q66)</f>
        <v/>
      </c>
      <c r="R67" s="21">
        <f>SUM(R3:R66)</f>
        <v/>
      </c>
      <c r="S67" s="21">
        <f>SUM(S3:S66)</f>
        <v/>
      </c>
      <c r="T67" s="21">
        <f>SUM(T3:T66)</f>
        <v/>
      </c>
      <c r="U67" s="21">
        <f>SUM(U3:U66)</f>
        <v/>
      </c>
      <c r="V67" s="21">
        <f>SUM(V3:V66)</f>
        <v/>
      </c>
      <c r="W67" s="21">
        <f>SUM(W3:W66)</f>
        <v/>
      </c>
      <c r="X67" s="21">
        <f>SUM(X3:X66)</f>
        <v/>
      </c>
      <c r="Y67" s="21">
        <f>SUM(Y3:Y66)</f>
        <v/>
      </c>
      <c r="Z67" s="21">
        <f>SUM(Z3:Z66)</f>
        <v/>
      </c>
      <c r="AA67" s="21">
        <f>SUM(AA3:AA66)</f>
        <v/>
      </c>
      <c r="AB67" s="21">
        <f>SUM(AB3:AB66)</f>
        <v/>
      </c>
      <c r="AC67" s="21">
        <f>SUM(AC3:AC66)</f>
        <v/>
      </c>
      <c r="AD67" s="21">
        <f>SUM(AD3:AD66)</f>
        <v/>
      </c>
      <c r="AE67" s="21">
        <f>SUM(AE3:AE66)</f>
        <v/>
      </c>
      <c r="AF67" s="21">
        <f>SUM(AF3:AF66)</f>
        <v/>
      </c>
      <c r="AG67" s="21">
        <f>SUM(AG3:AG66)</f>
        <v/>
      </c>
      <c r="AH67" s="21">
        <f>SUM(AH3:AH66)</f>
        <v/>
      </c>
      <c r="AI67" s="21">
        <f>SUM(AI3:AI66)</f>
        <v/>
      </c>
      <c r="AJ67" s="21">
        <f>SUM(AJ3:AJ66)</f>
        <v/>
      </c>
      <c r="AK67" s="21">
        <f>SUM(AK3:AK66)</f>
        <v/>
      </c>
      <c r="AL67" s="21">
        <f>SUM(AL3:AL66)</f>
        <v/>
      </c>
      <c r="AM67" s="21">
        <f>SUM(AM3:AM66)</f>
        <v/>
      </c>
      <c r="AN67" s="21">
        <f>SUM(AN3:AN66)</f>
        <v/>
      </c>
      <c r="AO67" s="21">
        <f>SUM(AO3:AO66)</f>
        <v/>
      </c>
      <c r="AP67" s="1">
        <f>SUM(AP3:AP66)</f>
        <v/>
      </c>
      <c r="AQ67" s="2">
        <f>SUM(AQ3:AQ66)</f>
        <v/>
      </c>
      <c r="AR67" s="2">
        <f>SUM(AR3:AR66)</f>
        <v/>
      </c>
      <c r="AS67" s="2">
        <f>SUM(AS3:AS66)</f>
        <v/>
      </c>
      <c r="AT67" s="1">
        <f>SUM(AT3:AT66)</f>
        <v/>
      </c>
      <c r="AU67" s="2">
        <f>SUM(AU3:AU66)</f>
        <v/>
      </c>
      <c r="AV67" s="2">
        <f>SUM(AV3:AV66)</f>
        <v/>
      </c>
      <c r="AW67" s="2">
        <f>SUM(AW3:AW66)</f>
        <v/>
      </c>
      <c r="AX67" s="1">
        <f>SUM(AX3:AX66)</f>
        <v/>
      </c>
      <c r="AY67" s="2">
        <f>SUM(AY3:AY66)</f>
        <v/>
      </c>
      <c r="AZ67" s="2">
        <f>SUM(AZ3:AZ66)</f>
        <v/>
      </c>
      <c r="BA67" s="2">
        <f>SUM(BA3:BA66)</f>
        <v/>
      </c>
      <c r="BB67" s="21">
        <f>SUM(BB3:BB66)</f>
        <v/>
      </c>
      <c r="BC67" s="20">
        <f>SUM(J67,N67,R67,V67,Z67,AD67,AH67,AL67,AP67,AT67,AX67)</f>
        <v/>
      </c>
      <c r="BD67" s="21">
        <f>SUM(BD3:BD66)</f>
        <v/>
      </c>
      <c r="BE67" s="21">
        <f>SUM(BE3:BE66)</f>
        <v/>
      </c>
      <c r="BF67" s="21">
        <f>SUM(BF3:BF66)</f>
        <v/>
      </c>
      <c r="BG67" s="20">
        <f>BC67-(BD67+BE67)</f>
        <v/>
      </c>
      <c r="BH67" s="21">
        <f>E67+BF67</f>
        <v/>
      </c>
      <c r="BI67" s="14" t="n"/>
      <c r="BJ67" s="14" t="n"/>
    </row>
  </sheetData>
  <autoFilter ref="A2:BH67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H2:I66 L2:M66 P2:Q66 T2:U66 X2:Y66 AB2:AC66 AF2:AG66 AJ2:AK66 AN2:AO66 AP2:AR2 AS2:AS66 AT2:AV2 AW2:AW66 AX2:AZ2 BA2:BA66">
    <cfRule type="cellIs" priority="1" operator="lessThan" dxfId="2">
      <formula>0</formula>
    </cfRule>
  </conditionalFormatting>
  <conditionalFormatting sqref="AF2:AG66 AJ2:AK66 AN2:AO66 AP2:AR2 AS2:AS66 AT2:AV2 AW2:AW66 AX2:AZ2 BA2:BA66 BE1:BF66 BG1:BG67 BH1:BJ66">
    <cfRule type="cellIs" priority="2" operator="lessThan" dxfId="5">
      <formula>0</formula>
    </cfRule>
  </conditionalFormatting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G67"/>
  <sheetViews>
    <sheetView workbookViewId="0">
      <pane xSplit="3" ySplit="2" topLeftCell="D3" activePane="bottomRight" state="frozen"/>
      <selection pane="topRight" activeCell="A1" sqref="A1"/>
      <selection pane="bottomLeft" activeCell="A3" sqref="A3"/>
      <selection pane="bottomRight" activeCell="D3" sqref="D3"/>
    </sheetView>
  </sheetViews>
  <sheetFormatPr baseColWidth="8" defaultColWidth="14.42578125" defaultRowHeight="15" customHeight="1"/>
  <cols>
    <col width="12.42578125" customWidth="1" min="1" max="1"/>
    <col hidden="1" width="22.28515625" customWidth="1" min="2" max="2"/>
    <col width="26.85546875" customWidth="1" min="3" max="3"/>
    <col hidden="1" width="23.42578125" customWidth="1" min="4" max="4"/>
    <col width="23.42578125" customWidth="1" min="5" max="19"/>
    <col width="29" customWidth="1" min="20" max="21"/>
    <col width="23.42578125" customWidth="1" min="22" max="55"/>
    <col width="30.42578125" customWidth="1" min="56" max="59"/>
  </cols>
  <sheetData>
    <row r="1" ht="39" customHeight="1">
      <c r="A1" s="77" t="n"/>
      <c r="B1" s="77" t="n"/>
      <c r="C1" s="77" t="inlineStr">
        <is>
          <t>Tallied till 19 Sep'23</t>
        </is>
      </c>
      <c r="D1" s="78" t="inlineStr">
        <is>
          <t>COLLECTION CARRY OVER 
(Mar2013-Mar2022)</t>
        </is>
      </c>
      <c r="E1" s="101" t="inlineStr">
        <is>
          <t>2013-25 Pending Maintenance</t>
        </is>
      </c>
      <c r="F1" s="86" t="n">
        <v>46113</v>
      </c>
      <c r="G1" s="115" t="n"/>
      <c r="H1" s="115" t="n"/>
      <c r="I1" s="116" t="n"/>
      <c r="J1" s="85" t="n">
        <v>46143</v>
      </c>
      <c r="K1" s="115" t="n"/>
      <c r="L1" s="115" t="n"/>
      <c r="M1" s="116" t="n"/>
      <c r="N1" s="82" t="n">
        <v>46174</v>
      </c>
      <c r="O1" s="115" t="n"/>
      <c r="P1" s="115" t="n"/>
      <c r="Q1" s="116" t="n"/>
      <c r="R1" s="82" t="n">
        <v>46204</v>
      </c>
      <c r="S1" s="115" t="n"/>
      <c r="T1" s="115" t="n"/>
      <c r="U1" s="116" t="n"/>
      <c r="V1" s="82" t="n">
        <v>46235</v>
      </c>
      <c r="W1" s="115" t="n"/>
      <c r="X1" s="115" t="n"/>
      <c r="Y1" s="116" t="n"/>
      <c r="Z1" s="82" t="n">
        <v>46266</v>
      </c>
      <c r="AA1" s="115" t="n"/>
      <c r="AB1" s="115" t="n"/>
      <c r="AC1" s="116" t="n"/>
      <c r="AD1" s="82" t="n">
        <v>46296</v>
      </c>
      <c r="AE1" s="115" t="n"/>
      <c r="AF1" s="115" t="n"/>
      <c r="AG1" s="116" t="n"/>
      <c r="AH1" s="82" t="n">
        <v>46327</v>
      </c>
      <c r="AI1" s="115" t="n"/>
      <c r="AJ1" s="115" t="n"/>
      <c r="AK1" s="116" t="n"/>
      <c r="AL1" s="82" t="n">
        <v>46357</v>
      </c>
      <c r="AM1" s="115" t="n"/>
      <c r="AN1" s="115" t="n"/>
      <c r="AO1" s="116" t="n"/>
      <c r="AP1" s="82" t="n">
        <v>46388</v>
      </c>
      <c r="AQ1" s="115" t="n"/>
      <c r="AR1" s="115" t="n"/>
      <c r="AS1" s="116" t="n"/>
      <c r="AT1" s="82" t="n">
        <v>46419</v>
      </c>
      <c r="AU1" s="115" t="n"/>
      <c r="AV1" s="115" t="n"/>
      <c r="AW1" s="116" t="n"/>
      <c r="AX1" s="82" t="n">
        <v>46447</v>
      </c>
      <c r="AY1" s="115" t="n"/>
      <c r="AZ1" s="115" t="n"/>
      <c r="BA1" s="116" t="n"/>
      <c r="BB1" s="88" t="inlineStr">
        <is>
          <t>TOTAL COLLECTION</t>
        </is>
      </c>
      <c r="BC1" s="88" t="inlineStr">
        <is>
          <t>TOTAL EXPENSE</t>
        </is>
      </c>
      <c r="BD1" s="88" t="inlineStr">
        <is>
          <t>TOTAL LATE FEE</t>
        </is>
      </c>
      <c r="BE1" s="88" t="inlineStr">
        <is>
          <t>TOTAL COLLECTION - EXPENSE</t>
        </is>
      </c>
      <c r="BF1" s="88" t="inlineStr">
        <is>
          <t>Balance
(2013 till date)</t>
        </is>
      </c>
      <c r="BG1" s="79" t="n"/>
    </row>
    <row r="2">
      <c r="A2" s="100" t="inlineStr">
        <is>
          <t>FLAT#</t>
        </is>
      </c>
      <c r="B2" s="100" t="inlineStr">
        <is>
          <t>email id</t>
        </is>
      </c>
      <c r="C2" s="100" t="inlineStr">
        <is>
          <t>OCCUPANT</t>
        </is>
      </c>
      <c r="D2" s="39" t="n"/>
      <c r="E2" s="39" t="n"/>
      <c r="F2" s="39" t="inlineStr">
        <is>
          <t>COLLECTION</t>
        </is>
      </c>
      <c r="G2" s="39" t="inlineStr">
        <is>
          <t>EXPENSE</t>
        </is>
      </c>
      <c r="H2" s="39" t="inlineStr">
        <is>
          <t>LATE PAYMENT FEE</t>
        </is>
      </c>
      <c r="I2" s="39" t="inlineStr">
        <is>
          <t>COLLECTION - EXPENSE</t>
        </is>
      </c>
      <c r="J2" s="39" t="inlineStr">
        <is>
          <t>COLLECTION</t>
        </is>
      </c>
      <c r="K2" s="39" t="inlineStr">
        <is>
          <t>EXPENSE</t>
        </is>
      </c>
      <c r="L2" s="39" t="inlineStr">
        <is>
          <t>LATE PAYMENT FEE</t>
        </is>
      </c>
      <c r="M2" s="39" t="inlineStr">
        <is>
          <t>COLLECTION - EXPENSE</t>
        </is>
      </c>
      <c r="N2" s="39" t="inlineStr">
        <is>
          <t>COLLECTION</t>
        </is>
      </c>
      <c r="O2" s="39" t="inlineStr">
        <is>
          <t>EXPENSE</t>
        </is>
      </c>
      <c r="P2" s="39" t="inlineStr">
        <is>
          <t>LATE PAYMENT FEE</t>
        </is>
      </c>
      <c r="Q2" s="39" t="inlineStr">
        <is>
          <t>COLLECTION - EXPENSE</t>
        </is>
      </c>
      <c r="R2" s="39" t="inlineStr">
        <is>
          <t>COLLECTION</t>
        </is>
      </c>
      <c r="S2" s="39" t="inlineStr">
        <is>
          <t>EXPENSE</t>
        </is>
      </c>
      <c r="T2" s="39" t="inlineStr">
        <is>
          <t>LATE PAYMENT FEE</t>
        </is>
      </c>
      <c r="U2" s="39" t="inlineStr">
        <is>
          <t>COLLECTION - EXPENSE</t>
        </is>
      </c>
      <c r="V2" s="39" t="inlineStr">
        <is>
          <t>COLLECTION</t>
        </is>
      </c>
      <c r="W2" s="39" t="inlineStr">
        <is>
          <t>EXPENSE</t>
        </is>
      </c>
      <c r="X2" s="39" t="inlineStr">
        <is>
          <t>LATE PAYMENT FEE</t>
        </is>
      </c>
      <c r="Y2" s="39" t="inlineStr">
        <is>
          <t>COLLECTION - EXPENSE</t>
        </is>
      </c>
      <c r="Z2" s="39" t="inlineStr">
        <is>
          <t>COLLECTION</t>
        </is>
      </c>
      <c r="AA2" s="39" t="inlineStr">
        <is>
          <t>EXPENSE</t>
        </is>
      </c>
      <c r="AB2" s="39" t="inlineStr">
        <is>
          <t>LATE PAYMENT FEE</t>
        </is>
      </c>
      <c r="AC2" s="39" t="inlineStr">
        <is>
          <t>COLLECTION - EXPENSE</t>
        </is>
      </c>
      <c r="AD2" s="39" t="inlineStr">
        <is>
          <t>COLLECTION</t>
        </is>
      </c>
      <c r="AE2" s="39" t="inlineStr">
        <is>
          <t>EXPENSE</t>
        </is>
      </c>
      <c r="AF2" s="39" t="inlineStr">
        <is>
          <t>LATE PAYMENT FEE</t>
        </is>
      </c>
      <c r="AG2" s="39" t="inlineStr">
        <is>
          <t>COLLECTION - EXPENSE</t>
        </is>
      </c>
      <c r="AH2" s="39" t="inlineStr">
        <is>
          <t>COLLECTION</t>
        </is>
      </c>
      <c r="AI2" s="39" t="inlineStr">
        <is>
          <t>EXPENSE</t>
        </is>
      </c>
      <c r="AJ2" s="39" t="inlineStr">
        <is>
          <t>LATE PAYMENT FEE</t>
        </is>
      </c>
      <c r="AK2" s="39" t="inlineStr">
        <is>
          <t>COLLECTION - EXPENSE</t>
        </is>
      </c>
      <c r="AL2" s="39" t="inlineStr">
        <is>
          <t>COLLECTION</t>
        </is>
      </c>
      <c r="AM2" s="39" t="inlineStr">
        <is>
          <t>EXPENSE</t>
        </is>
      </c>
      <c r="AN2" s="39" t="inlineStr">
        <is>
          <t>LATE PAYMENT FEE</t>
        </is>
      </c>
      <c r="AO2" s="39" t="inlineStr">
        <is>
          <t>COLLECTION - EXPENSE</t>
        </is>
      </c>
      <c r="AP2" s="39" t="inlineStr">
        <is>
          <t>COLLECTION</t>
        </is>
      </c>
      <c r="AQ2" s="39" t="inlineStr">
        <is>
          <t>EXPENSE</t>
        </is>
      </c>
      <c r="AR2" s="39" t="inlineStr">
        <is>
          <t>LATE PAYMENT FEE</t>
        </is>
      </c>
      <c r="AS2" s="39" t="inlineStr">
        <is>
          <t>COLLECTION - EXPENSE</t>
        </is>
      </c>
      <c r="AT2" s="39" t="inlineStr">
        <is>
          <t>COLLECTION</t>
        </is>
      </c>
      <c r="AU2" s="39" t="inlineStr">
        <is>
          <t>EXPENSE</t>
        </is>
      </c>
      <c r="AV2" s="39" t="inlineStr">
        <is>
          <t>LATE PAYMENT FEE</t>
        </is>
      </c>
      <c r="AW2" s="39" t="inlineStr">
        <is>
          <t>COLLECTION - EXPENSE</t>
        </is>
      </c>
      <c r="AX2" s="39" t="inlineStr">
        <is>
          <t>COLLECTION</t>
        </is>
      </c>
      <c r="AY2" s="39" t="inlineStr">
        <is>
          <t>EXPENSE</t>
        </is>
      </c>
      <c r="AZ2" s="39" t="inlineStr">
        <is>
          <t>LATE PAYMENT FEE</t>
        </is>
      </c>
      <c r="BA2" s="39" t="inlineStr">
        <is>
          <t>COLLECTION - EXPENSE</t>
        </is>
      </c>
      <c r="BB2" s="39" t="n"/>
      <c r="BC2" s="39" t="n"/>
      <c r="BD2" s="39" t="n"/>
      <c r="BE2" s="39" t="n"/>
      <c r="BF2" s="39" t="n"/>
      <c r="BG2" s="39" t="n"/>
    </row>
    <row r="3" ht="32.1" customHeight="1">
      <c r="A3" s="37" t="inlineStr">
        <is>
          <t>F1</t>
        </is>
      </c>
      <c r="B3" s="40" t="n"/>
      <c r="C3" s="40" t="inlineStr">
        <is>
          <t>Shailesh Srivastava / Azeem Nawaz</t>
        </is>
      </c>
      <c r="D3" s="41" t="n">
        <v>0</v>
      </c>
      <c r="E3" s="41" t="n">
        <v>0</v>
      </c>
      <c r="F3" s="41">
        <f>'Apr2026-COLLECTION'!K2</f>
        <v/>
      </c>
      <c r="G3" s="41">
        <f>'Apr2026-EXPENSE'!R6</f>
        <v/>
      </c>
      <c r="H3" s="20" t="n"/>
      <c r="I3" s="41">
        <f>F3-(G3+H3)</f>
        <v/>
      </c>
      <c r="J3" s="41">
        <f>'May2026-COLLECTION'!K2</f>
        <v/>
      </c>
      <c r="K3" s="41">
        <f>'May2026-EXPENSE'!R6</f>
        <v/>
      </c>
      <c r="L3" s="21" t="n"/>
      <c r="M3" s="41">
        <f>J3-(K3+L3)</f>
        <v/>
      </c>
      <c r="N3" s="41">
        <f>'June2026-COLLECTION'!K2</f>
        <v/>
      </c>
      <c r="O3" s="41">
        <f>'June2026-EXPENSE'!R6</f>
        <v/>
      </c>
      <c r="P3" s="20" t="n"/>
      <c r="Q3" s="41">
        <f>N3-(O3+P3)</f>
        <v/>
      </c>
      <c r="R3" s="41">
        <f>'July2026-COLLECTION'!K2</f>
        <v/>
      </c>
      <c r="S3" s="41">
        <f>'July2026-EXPENSE'!R6</f>
        <v/>
      </c>
      <c r="T3" s="21" t="n"/>
      <c r="U3" s="41">
        <f>R3-(S3+T3)</f>
        <v/>
      </c>
      <c r="V3" s="41">
        <f>'Aug2026-COLLECTION'!K2</f>
        <v/>
      </c>
      <c r="W3" s="41">
        <f>'Aug2026-EXPENSE'!R6</f>
        <v/>
      </c>
      <c r="X3" s="20" t="n"/>
      <c r="Y3" s="41">
        <f>V3-(W3+X3)</f>
        <v/>
      </c>
      <c r="Z3" s="41">
        <f>'Sep2026-COLLECTION'!K2</f>
        <v/>
      </c>
      <c r="AA3" s="41">
        <f>'Sep2026-EXPENSE'!R6</f>
        <v/>
      </c>
      <c r="AB3" s="21" t="n"/>
      <c r="AC3" s="41">
        <f>Z3-(AA3+AB3)</f>
        <v/>
      </c>
      <c r="AD3" s="41">
        <f>'Oct2026-COLLECTION'!K2</f>
        <v/>
      </c>
      <c r="AE3" s="41">
        <f>'Oct2026-EXPENSE'!R6</f>
        <v/>
      </c>
      <c r="AF3" s="21" t="n"/>
      <c r="AG3" s="41">
        <f>AD3-(AE3+AF3)</f>
        <v/>
      </c>
      <c r="AH3" s="41">
        <f>'Nov2026-COLLECTION'!K2</f>
        <v/>
      </c>
      <c r="AI3" s="41">
        <f>'Nov2026-EXPENSE'!R6</f>
        <v/>
      </c>
      <c r="AJ3" s="21" t="n"/>
      <c r="AK3" s="41">
        <f>AH3-(AI3+AJ3)</f>
        <v/>
      </c>
      <c r="AL3" s="41">
        <f>'Dec2026-COLLECTION'!K2</f>
        <v/>
      </c>
      <c r="AM3" s="41">
        <f>'Dec2026-EXPENSE'!R6</f>
        <v/>
      </c>
      <c r="AN3" s="21" t="n"/>
      <c r="AO3" s="41">
        <f>AL3-(AM3+AN3)</f>
        <v/>
      </c>
      <c r="AP3" s="41">
        <f>'Jan2027-COLLECTION'!K2</f>
        <v/>
      </c>
      <c r="AQ3" s="41">
        <f>'Jan2027-EXPENSE'!R6</f>
        <v/>
      </c>
      <c r="AR3" s="2" t="n"/>
      <c r="AS3" s="41">
        <f>AP3-(AQ3+AR3)</f>
        <v/>
      </c>
      <c r="AT3" s="41">
        <f>'Feb2027-COLLECTION'!K2</f>
        <v/>
      </c>
      <c r="AU3" s="41">
        <f>'Feb2027-EXPENSE'!R6</f>
        <v/>
      </c>
      <c r="AV3" s="2" t="n"/>
      <c r="AW3" s="41">
        <f>AT3-(AU3+AV3)</f>
        <v/>
      </c>
      <c r="AX3" s="41">
        <f>'Mar2027-COLLECTION'!K2</f>
        <v/>
      </c>
      <c r="AY3" s="41">
        <f>'Mar2027-EXPENSE'!R6</f>
        <v/>
      </c>
      <c r="AZ3" s="2" t="n"/>
      <c r="BA3" s="41">
        <f>AX3-(AY3+AZ3)</f>
        <v/>
      </c>
      <c r="BB3" s="41">
        <f>SUM(F3,J3,N3,R3,V3,Z3,AD3,AH3,AL3,AP3,AT3,AX3)</f>
        <v/>
      </c>
      <c r="BC3" s="41">
        <f>SUM(G3,K3,O3,S3,W3,AA3,AE3,AI3,AM3,AQ3,AU3,AY3)</f>
        <v/>
      </c>
      <c r="BD3" s="41">
        <f>SUM(H3,L3,P3,T3,X3,AB3,AF3,AJ3,AN3,AR3,AV3,AZ3)</f>
        <v/>
      </c>
      <c r="BE3" s="41">
        <f>BB3-(BC3+BD3)</f>
        <v/>
      </c>
      <c r="BF3" s="41">
        <f>E3+BE3</f>
        <v/>
      </c>
      <c r="BG3" s="41" t="n">
        <v>0</v>
      </c>
    </row>
    <row r="4" ht="15.95" customHeight="1">
      <c r="A4" s="36" t="inlineStr">
        <is>
          <t>F2</t>
        </is>
      </c>
      <c r="B4" s="42" t="inlineStr">
        <is>
          <t>ramazen1@gmail.com</t>
        </is>
      </c>
      <c r="C4" s="42" t="inlineStr">
        <is>
          <t>Ramamurthy Pachaiyappan</t>
        </is>
      </c>
      <c r="D4" s="43" t="n">
        <v>0</v>
      </c>
      <c r="E4" s="43" t="n">
        <v>0</v>
      </c>
      <c r="F4" s="43">
        <f>'Apr2026-COLLECTION'!K3</f>
        <v/>
      </c>
      <c r="G4" s="43">
        <f>'Apr2026-EXPENSE'!R7</f>
        <v/>
      </c>
      <c r="H4" s="20" t="n"/>
      <c r="I4" s="43">
        <f>F4-(G4+H4)</f>
        <v/>
      </c>
      <c r="J4" s="43">
        <f>'May2026-COLLECTION'!K3</f>
        <v/>
      </c>
      <c r="K4" s="43">
        <f>'May2026-EXPENSE'!R7</f>
        <v/>
      </c>
      <c r="L4" s="43" t="n">
        <v>0</v>
      </c>
      <c r="M4" s="43">
        <f>J4-(K4+L4)</f>
        <v/>
      </c>
      <c r="N4" s="43">
        <f>'June2026-COLLECTION'!K3</f>
        <v/>
      </c>
      <c r="O4" s="43">
        <f>'June2026-EXPENSE'!R7</f>
        <v/>
      </c>
      <c r="P4" s="20" t="n"/>
      <c r="Q4" s="43">
        <f>N4-(O4+P4)</f>
        <v/>
      </c>
      <c r="R4" s="43">
        <f>'July2026-COLLECTION'!K3</f>
        <v/>
      </c>
      <c r="S4" s="43">
        <f>'July2026-EXPENSE'!R7</f>
        <v/>
      </c>
      <c r="T4" s="43" t="n">
        <v>0</v>
      </c>
      <c r="U4" s="43">
        <f>R4-(S4+T4)</f>
        <v/>
      </c>
      <c r="V4" s="43">
        <f>'Aug2026-COLLECTION'!K3</f>
        <v/>
      </c>
      <c r="W4" s="43">
        <f>'Aug2026-EXPENSE'!R7</f>
        <v/>
      </c>
      <c r="X4" s="20" t="n"/>
      <c r="Y4" s="43">
        <f>V4-(W4+X4)</f>
        <v/>
      </c>
      <c r="Z4" s="43">
        <f>'Sep2026-COLLECTION'!K3</f>
        <v/>
      </c>
      <c r="AA4" s="43">
        <f>'Sep2026-EXPENSE'!R7</f>
        <v/>
      </c>
      <c r="AB4" s="21" t="n"/>
      <c r="AC4" s="43">
        <f>Z4-(AA4+AB4)</f>
        <v/>
      </c>
      <c r="AD4" s="43">
        <f>'Oct2026-COLLECTION'!K3</f>
        <v/>
      </c>
      <c r="AE4" s="43">
        <f>'Oct2026-EXPENSE'!R7</f>
        <v/>
      </c>
      <c r="AF4" s="21" t="n"/>
      <c r="AG4" s="43">
        <f>AD4-(AE4+AF4)</f>
        <v/>
      </c>
      <c r="AH4" s="43">
        <f>'Nov2026-COLLECTION'!K3</f>
        <v/>
      </c>
      <c r="AI4" s="43">
        <f>'Nov2026-EXPENSE'!R7</f>
        <v/>
      </c>
      <c r="AJ4" s="21" t="n"/>
      <c r="AK4" s="43">
        <f>AH4-(AI4+AJ4)</f>
        <v/>
      </c>
      <c r="AL4" s="43">
        <f>'Dec2026-COLLECTION'!K3</f>
        <v/>
      </c>
      <c r="AM4" s="43">
        <f>'Dec2026-EXPENSE'!R7</f>
        <v/>
      </c>
      <c r="AN4" s="21" t="n"/>
      <c r="AO4" s="43">
        <f>AL4-(AM4+AN4)</f>
        <v/>
      </c>
      <c r="AP4" s="43">
        <f>'Jan2027-COLLECTION'!K3</f>
        <v/>
      </c>
      <c r="AQ4" s="43">
        <f>'Jan2027-EXPENSE'!R7</f>
        <v/>
      </c>
      <c r="AR4" s="2" t="n"/>
      <c r="AS4" s="43">
        <f>AP4-(AQ4+AR4)</f>
        <v/>
      </c>
      <c r="AT4" s="43">
        <f>'Feb2027-COLLECTION'!K3</f>
        <v/>
      </c>
      <c r="AU4" s="43">
        <f>'Feb2027-EXPENSE'!R7</f>
        <v/>
      </c>
      <c r="AV4" s="2" t="n"/>
      <c r="AW4" s="43">
        <f>AT4-(AU4+AV4)</f>
        <v/>
      </c>
      <c r="AX4" s="43">
        <f>'Mar2027-COLLECTION'!K3</f>
        <v/>
      </c>
      <c r="AY4" s="43">
        <f>'Mar2027-EXPENSE'!R7</f>
        <v/>
      </c>
      <c r="AZ4" s="2" t="n"/>
      <c r="BA4" s="43">
        <f>AX4-(AY4+AZ4)</f>
        <v/>
      </c>
      <c r="BB4" s="43">
        <f>SUM(F4,J4,N4,R4,V4,Z4,AD4,AH4,AL4,AP4,AT4,AX4)</f>
        <v/>
      </c>
      <c r="BC4" s="43">
        <f>SUM(G4,K4,O4,S4,W4,AA4,AE4,AI4,AM4,AQ4,AU4,AY4)</f>
        <v/>
      </c>
      <c r="BD4" s="43">
        <f>SUM(H4,L4,P4,T4,X4,AB4,AF4,AJ4,AN4,AR4,AV4,AZ4)</f>
        <v/>
      </c>
      <c r="BE4" s="43">
        <f>BB4-(BC4+BD4)</f>
        <v/>
      </c>
      <c r="BF4" s="43">
        <f>E4+BE4</f>
        <v/>
      </c>
      <c r="BG4" s="43" t="n">
        <v>0</v>
      </c>
    </row>
    <row r="5" ht="15.95" customHeight="1">
      <c r="A5" s="37" t="inlineStr">
        <is>
          <t>F3</t>
        </is>
      </c>
      <c r="B5" s="40" t="n"/>
      <c r="C5" s="40" t="inlineStr">
        <is>
          <t>Samrat Kar</t>
        </is>
      </c>
      <c r="D5" s="41" t="n">
        <v>0</v>
      </c>
      <c r="E5" s="41" t="n">
        <v>0</v>
      </c>
      <c r="F5" s="41">
        <f>'Apr2026-COLLECTION'!K4</f>
        <v/>
      </c>
      <c r="G5" s="41">
        <f>'Apr2026-EXPENSE'!R8</f>
        <v/>
      </c>
      <c r="H5" s="20" t="n"/>
      <c r="I5" s="41">
        <f>F5-(G5+H5)</f>
        <v/>
      </c>
      <c r="J5" s="41">
        <f>'May2026-COLLECTION'!K4</f>
        <v/>
      </c>
      <c r="K5" s="41">
        <f>'May2026-EXPENSE'!R8</f>
        <v/>
      </c>
      <c r="L5" s="21" t="n"/>
      <c r="M5" s="41">
        <f>J5-(K5+L5)</f>
        <v/>
      </c>
      <c r="N5" s="41">
        <f>'June2026-COLLECTION'!K4</f>
        <v/>
      </c>
      <c r="O5" s="41">
        <f>'June2026-EXPENSE'!R8</f>
        <v/>
      </c>
      <c r="P5" s="20" t="n"/>
      <c r="Q5" s="41">
        <f>N5-(O5+P5)</f>
        <v/>
      </c>
      <c r="R5" s="41">
        <f>'July2026-COLLECTION'!K4</f>
        <v/>
      </c>
      <c r="S5" s="41">
        <f>'July2026-EXPENSE'!R8</f>
        <v/>
      </c>
      <c r="T5" s="21" t="n"/>
      <c r="U5" s="41">
        <f>R5-(S5+T5)</f>
        <v/>
      </c>
      <c r="V5" s="41">
        <f>'Aug2026-COLLECTION'!K4</f>
        <v/>
      </c>
      <c r="W5" s="41">
        <f>'Aug2026-EXPENSE'!R8</f>
        <v/>
      </c>
      <c r="X5" s="20" t="n"/>
      <c r="Y5" s="41">
        <f>V5-(W5+X5)</f>
        <v/>
      </c>
      <c r="Z5" s="41">
        <f>'Sep2026-COLLECTION'!K4</f>
        <v/>
      </c>
      <c r="AA5" s="41">
        <f>'Sep2026-EXPENSE'!R8</f>
        <v/>
      </c>
      <c r="AB5" s="21" t="n"/>
      <c r="AC5" s="41">
        <f>Z5-(AA5+AB5)</f>
        <v/>
      </c>
      <c r="AD5" s="41">
        <f>'Oct2026-COLLECTION'!K4</f>
        <v/>
      </c>
      <c r="AE5" s="41">
        <f>'Oct2026-EXPENSE'!R8</f>
        <v/>
      </c>
      <c r="AF5" s="21" t="n"/>
      <c r="AG5" s="41">
        <f>AD5-(AE5+AF5)</f>
        <v/>
      </c>
      <c r="AH5" s="41">
        <f>'Nov2026-COLLECTION'!K4</f>
        <v/>
      </c>
      <c r="AI5" s="41">
        <f>'Nov2026-EXPENSE'!R8</f>
        <v/>
      </c>
      <c r="AJ5" s="21" t="n"/>
      <c r="AK5" s="41">
        <f>AH5-(AI5+AJ5)</f>
        <v/>
      </c>
      <c r="AL5" s="41">
        <f>'Dec2026-COLLECTION'!K4</f>
        <v/>
      </c>
      <c r="AM5" s="41">
        <f>'Dec2026-EXPENSE'!R8</f>
        <v/>
      </c>
      <c r="AN5" s="21" t="n"/>
      <c r="AO5" s="41">
        <f>AL5-(AM5+AN5)</f>
        <v/>
      </c>
      <c r="AP5" s="41">
        <f>'Jan2027-COLLECTION'!K4</f>
        <v/>
      </c>
      <c r="AQ5" s="41">
        <f>'Jan2027-EXPENSE'!R8</f>
        <v/>
      </c>
      <c r="AR5" s="2" t="n"/>
      <c r="AS5" s="41">
        <f>AP5-(AQ5+AR5)</f>
        <v/>
      </c>
      <c r="AT5" s="41">
        <f>'Feb2027-COLLECTION'!K4</f>
        <v/>
      </c>
      <c r="AU5" s="41">
        <f>'Feb2027-EXPENSE'!R8</f>
        <v/>
      </c>
      <c r="AV5" s="2" t="n"/>
      <c r="AW5" s="41">
        <f>AT5-(AU5+AV5)</f>
        <v/>
      </c>
      <c r="AX5" s="41">
        <f>'Mar2027-COLLECTION'!K4</f>
        <v/>
      </c>
      <c r="AY5" s="41">
        <f>'Mar2027-EXPENSE'!R8</f>
        <v/>
      </c>
      <c r="AZ5" s="2" t="n"/>
      <c r="BA5" s="41">
        <f>AX5-(AY5+AZ5)</f>
        <v/>
      </c>
      <c r="BB5" s="41">
        <f>SUM(F5,J5,N5,R5,V5,Z5,AD5,AH5,AL5,AP5,AT5,AX5)</f>
        <v/>
      </c>
      <c r="BC5" s="41">
        <f>SUM(G5,K5,O5,S5,W5,AA5,AE5,AI5,AM5,AQ5,AU5,AY5)</f>
        <v/>
      </c>
      <c r="BD5" s="41">
        <f>SUM(H5,L5,P5,T5,X5,AB5,AF5,AJ5,AN5,AR5,AV5,AZ5)</f>
        <v/>
      </c>
      <c r="BE5" s="41">
        <f>BB5-(BC5+BD5)</f>
        <v/>
      </c>
      <c r="BF5" s="41">
        <f>E5+BE5</f>
        <v/>
      </c>
      <c r="BG5" s="41" t="n">
        <v>0</v>
      </c>
    </row>
    <row r="6" ht="15.95" customHeight="1">
      <c r="A6" s="36" t="inlineStr">
        <is>
          <t>F4</t>
        </is>
      </c>
      <c r="B6" s="42" t="n"/>
      <c r="C6" s="42" t="inlineStr">
        <is>
          <t>Renu R</t>
        </is>
      </c>
      <c r="D6" s="43" t="n">
        <v>0</v>
      </c>
      <c r="E6" s="43" t="n">
        <v>0</v>
      </c>
      <c r="F6" s="43">
        <f>'Apr2026-COLLECTION'!K5</f>
        <v/>
      </c>
      <c r="G6" s="43">
        <f>'Apr2026-EXPENSE'!R9</f>
        <v/>
      </c>
      <c r="H6" s="20" t="n"/>
      <c r="I6" s="43">
        <f>F6-(G6+H6)</f>
        <v/>
      </c>
      <c r="J6" s="43">
        <f>'May2026-COLLECTION'!K5</f>
        <v/>
      </c>
      <c r="K6" s="43">
        <f>'May2026-EXPENSE'!R9</f>
        <v/>
      </c>
      <c r="L6" s="21" t="n"/>
      <c r="M6" s="43">
        <f>J6-(K6+L6)</f>
        <v/>
      </c>
      <c r="N6" s="43">
        <f>'June2026-COLLECTION'!K5</f>
        <v/>
      </c>
      <c r="O6" s="43">
        <f>'June2026-EXPENSE'!R9</f>
        <v/>
      </c>
      <c r="P6" s="20" t="n"/>
      <c r="Q6" s="43">
        <f>N6-(O6+P6)</f>
        <v/>
      </c>
      <c r="R6" s="43">
        <f>'July2026-COLLECTION'!K5</f>
        <v/>
      </c>
      <c r="S6" s="43">
        <f>'July2026-EXPENSE'!R9</f>
        <v/>
      </c>
      <c r="T6" s="21" t="n"/>
      <c r="U6" s="43">
        <f>R6-(S6+T6)</f>
        <v/>
      </c>
      <c r="V6" s="43">
        <f>'Aug2026-COLLECTION'!K5</f>
        <v/>
      </c>
      <c r="W6" s="43">
        <f>'Aug2026-EXPENSE'!R9</f>
        <v/>
      </c>
      <c r="X6" s="20" t="n"/>
      <c r="Y6" s="43">
        <f>V6-(W6+X6)</f>
        <v/>
      </c>
      <c r="Z6" s="43">
        <f>'Sep2026-COLLECTION'!K5</f>
        <v/>
      </c>
      <c r="AA6" s="43">
        <f>'Sep2026-EXPENSE'!R9</f>
        <v/>
      </c>
      <c r="AB6" s="21" t="n"/>
      <c r="AC6" s="43">
        <f>Z6-(AA6+AB6)</f>
        <v/>
      </c>
      <c r="AD6" s="43">
        <f>'Oct2026-COLLECTION'!K5</f>
        <v/>
      </c>
      <c r="AE6" s="43">
        <f>'Oct2026-EXPENSE'!R9</f>
        <v/>
      </c>
      <c r="AF6" s="21" t="n"/>
      <c r="AG6" s="43">
        <f>AD6-(AE6+AF6)</f>
        <v/>
      </c>
      <c r="AH6" s="43">
        <f>'Nov2026-COLLECTION'!K5</f>
        <v/>
      </c>
      <c r="AI6" s="43">
        <f>'Nov2026-EXPENSE'!R9</f>
        <v/>
      </c>
      <c r="AJ6" s="21" t="n"/>
      <c r="AK6" s="43">
        <f>AH6-(AI6+AJ6)</f>
        <v/>
      </c>
      <c r="AL6" s="43">
        <f>'Dec2026-COLLECTION'!K5</f>
        <v/>
      </c>
      <c r="AM6" s="43">
        <f>'Dec2026-EXPENSE'!R9</f>
        <v/>
      </c>
      <c r="AN6" s="21" t="n"/>
      <c r="AO6" s="43">
        <f>AL6-(AM6+AN6)</f>
        <v/>
      </c>
      <c r="AP6" s="43">
        <f>'Jan2027-COLLECTION'!K5</f>
        <v/>
      </c>
      <c r="AQ6" s="43">
        <f>'Jan2027-EXPENSE'!R9</f>
        <v/>
      </c>
      <c r="AR6" s="2" t="n"/>
      <c r="AS6" s="43">
        <f>AP6-(AQ6+AR6)</f>
        <v/>
      </c>
      <c r="AT6" s="43">
        <f>'Feb2027-COLLECTION'!K5</f>
        <v/>
      </c>
      <c r="AU6" s="43">
        <f>'Feb2027-EXPENSE'!R9</f>
        <v/>
      </c>
      <c r="AV6" s="2" t="n"/>
      <c r="AW6" s="43">
        <f>AT6-(AU6+AV6)</f>
        <v/>
      </c>
      <c r="AX6" s="43">
        <f>'Mar2027-COLLECTION'!K5</f>
        <v/>
      </c>
      <c r="AY6" s="43">
        <f>'Mar2027-EXPENSE'!R9</f>
        <v/>
      </c>
      <c r="AZ6" s="2" t="n"/>
      <c r="BA6" s="43">
        <f>AX6-(AY6+AZ6)</f>
        <v/>
      </c>
      <c r="BB6" s="43">
        <f>SUM(F6,J6,N6,R6,V6,Z6,AD6,AH6,AL6,AP6,AT6,AX6)</f>
        <v/>
      </c>
      <c r="BC6" s="43">
        <f>SUM(G6,K6,O6,S6,W6,AA6,AE6,AI6,AM6,AQ6,AU6,AY6)</f>
        <v/>
      </c>
      <c r="BD6" s="43">
        <f>SUM(H6,L6,P6,T6,X6,AB6,AF6,AJ6,AN6,AR6,AV6,AZ6)</f>
        <v/>
      </c>
      <c r="BE6" s="43">
        <f>BB6-(BC6+BD6)</f>
        <v/>
      </c>
      <c r="BF6" s="43">
        <f>E6+BE6</f>
        <v/>
      </c>
      <c r="BG6" s="43" t="n">
        <v>0</v>
      </c>
    </row>
    <row r="7" ht="32.1" customHeight="1">
      <c r="A7" s="37" t="inlineStr">
        <is>
          <t>F5</t>
        </is>
      </c>
      <c r="B7" s="40" t="n"/>
      <c r="C7" s="40" t="inlineStr">
        <is>
          <t>Vamsidhar Bethanabatla / Madhuri Anumula</t>
        </is>
      </c>
      <c r="D7" s="41" t="n">
        <v>0</v>
      </c>
      <c r="E7" s="41" t="n">
        <v>0</v>
      </c>
      <c r="F7" s="41">
        <f>'Apr2026-COLLECTION'!K6</f>
        <v/>
      </c>
      <c r="G7" s="41">
        <f>'Apr2026-EXPENSE'!R10</f>
        <v/>
      </c>
      <c r="H7" s="20" t="n"/>
      <c r="I7" s="41">
        <f>F7-(G7+H7)</f>
        <v/>
      </c>
      <c r="J7" s="41">
        <f>'May2026-COLLECTION'!K6</f>
        <v/>
      </c>
      <c r="K7" s="41">
        <f>'May2026-EXPENSE'!R10</f>
        <v/>
      </c>
      <c r="L7" s="21" t="n"/>
      <c r="M7" s="41">
        <f>J7-(K7+L7)</f>
        <v/>
      </c>
      <c r="N7" s="41">
        <f>'June2026-COLLECTION'!K6</f>
        <v/>
      </c>
      <c r="O7" s="41">
        <f>'June2026-EXPENSE'!R10</f>
        <v/>
      </c>
      <c r="P7" s="20" t="n"/>
      <c r="Q7" s="41">
        <f>N7-(O7+P7)</f>
        <v/>
      </c>
      <c r="R7" s="41">
        <f>'July2026-COLLECTION'!K6</f>
        <v/>
      </c>
      <c r="S7" s="41">
        <f>'July2026-EXPENSE'!R10</f>
        <v/>
      </c>
      <c r="T7" s="21" t="n"/>
      <c r="U7" s="41">
        <f>R7-(S7+T7)</f>
        <v/>
      </c>
      <c r="V7" s="41">
        <f>'Aug2026-COLLECTION'!K6</f>
        <v/>
      </c>
      <c r="W7" s="41">
        <f>'Aug2026-EXPENSE'!R10</f>
        <v/>
      </c>
      <c r="X7" s="20" t="n"/>
      <c r="Y7" s="41">
        <f>V7-(W7+X7)</f>
        <v/>
      </c>
      <c r="Z7" s="41">
        <f>'Sep2026-COLLECTION'!K6</f>
        <v/>
      </c>
      <c r="AA7" s="41">
        <f>'Sep2026-EXPENSE'!R10</f>
        <v/>
      </c>
      <c r="AB7" s="21" t="n"/>
      <c r="AC7" s="41">
        <f>Z7-(AA7+AB7)</f>
        <v/>
      </c>
      <c r="AD7" s="41">
        <f>'Oct2026-COLLECTION'!K6</f>
        <v/>
      </c>
      <c r="AE7" s="41">
        <f>'Oct2026-EXPENSE'!R10</f>
        <v/>
      </c>
      <c r="AF7" s="21" t="n"/>
      <c r="AG7" s="41">
        <f>AD7-(AE7+AF7)</f>
        <v/>
      </c>
      <c r="AH7" s="41">
        <f>'Nov2026-COLLECTION'!K6</f>
        <v/>
      </c>
      <c r="AI7" s="41">
        <f>'Nov2026-EXPENSE'!R10</f>
        <v/>
      </c>
      <c r="AJ7" s="21" t="n"/>
      <c r="AK7" s="41">
        <f>AH7-(AI7+AJ7)</f>
        <v/>
      </c>
      <c r="AL7" s="41">
        <f>'Dec2026-COLLECTION'!K6</f>
        <v/>
      </c>
      <c r="AM7" s="41">
        <f>'Dec2026-EXPENSE'!R10</f>
        <v/>
      </c>
      <c r="AN7" s="21" t="n"/>
      <c r="AO7" s="41">
        <f>AL7-(AM7+AN7)</f>
        <v/>
      </c>
      <c r="AP7" s="41">
        <f>'Jan2027-COLLECTION'!K6</f>
        <v/>
      </c>
      <c r="AQ7" s="41">
        <f>'Jan2027-EXPENSE'!R10</f>
        <v/>
      </c>
      <c r="AR7" s="2" t="n"/>
      <c r="AS7" s="41">
        <f>AP7-(AQ7+AR7)</f>
        <v/>
      </c>
      <c r="AT7" s="41">
        <f>'Feb2027-COLLECTION'!K6</f>
        <v/>
      </c>
      <c r="AU7" s="41">
        <f>'Feb2027-EXPENSE'!R10</f>
        <v/>
      </c>
      <c r="AV7" s="2" t="n"/>
      <c r="AW7" s="41">
        <f>AT7-(AU7+AV7)</f>
        <v/>
      </c>
      <c r="AX7" s="41">
        <f>'Mar2027-COLLECTION'!K6</f>
        <v/>
      </c>
      <c r="AY7" s="41">
        <f>'Mar2027-EXPENSE'!R10</f>
        <v/>
      </c>
      <c r="AZ7" s="2" t="n"/>
      <c r="BA7" s="41">
        <f>AX7-(AY7+AZ7)</f>
        <v/>
      </c>
      <c r="BB7" s="41">
        <f>SUM(F7,J7,N7,R7,V7,Z7,AD7,AH7,AL7,AP7,AT7,AX7)</f>
        <v/>
      </c>
      <c r="BC7" s="41">
        <f>SUM(G7,K7,O7,S7,W7,AA7,AE7,AI7,AM7,AQ7,AU7,AY7)</f>
        <v/>
      </c>
      <c r="BD7" s="41">
        <f>SUM(H7,L7,P7,T7,X7,AB7,AF7,AJ7,AN7,AR7,AV7,AZ7)</f>
        <v/>
      </c>
      <c r="BE7" s="41">
        <f>BB7-(BC7+BD7)</f>
        <v/>
      </c>
      <c r="BF7" s="41">
        <f>E7+BE7</f>
        <v/>
      </c>
      <c r="BG7" s="41" t="n">
        <v>0</v>
      </c>
    </row>
    <row r="8" ht="48" customHeight="1">
      <c r="A8" s="36" t="inlineStr">
        <is>
          <t>F6</t>
        </is>
      </c>
      <c r="B8" s="42" t="n"/>
      <c r="C8" s="42" t="inlineStr">
        <is>
          <t>Meghana Viral Shah and Vviral Shah (Owner) / Sangeet and Swagat (Tenent)</t>
        </is>
      </c>
      <c r="D8" s="43" t="n">
        <v>0</v>
      </c>
      <c r="E8" s="43" t="n">
        <v>0</v>
      </c>
      <c r="F8" s="43">
        <f>'Apr2026-COLLECTION'!K7</f>
        <v/>
      </c>
      <c r="G8" s="43">
        <f>'Apr2026-EXPENSE'!R11</f>
        <v/>
      </c>
      <c r="H8" s="20" t="n"/>
      <c r="I8" s="43">
        <f>F8-(G8+H8)</f>
        <v/>
      </c>
      <c r="J8" s="43">
        <f>'May2026-COLLECTION'!K7</f>
        <v/>
      </c>
      <c r="K8" s="43">
        <f>'May2026-EXPENSE'!R11</f>
        <v/>
      </c>
      <c r="L8" s="21" t="n"/>
      <c r="M8" s="43">
        <f>J8-(K8+L8)</f>
        <v/>
      </c>
      <c r="N8" s="43">
        <f>'June2026-COLLECTION'!K7</f>
        <v/>
      </c>
      <c r="O8" s="43">
        <f>'June2026-EXPENSE'!R11</f>
        <v/>
      </c>
      <c r="P8" s="20" t="n"/>
      <c r="Q8" s="43">
        <f>N8-(O8+P8)</f>
        <v/>
      </c>
      <c r="R8" s="43">
        <f>'July2026-COLLECTION'!K7</f>
        <v/>
      </c>
      <c r="S8" s="43">
        <f>'July2026-EXPENSE'!R11</f>
        <v/>
      </c>
      <c r="T8" s="21" t="n"/>
      <c r="U8" s="43">
        <f>R8-(S8+T8)</f>
        <v/>
      </c>
      <c r="V8" s="43">
        <f>'Aug2026-COLLECTION'!K7</f>
        <v/>
      </c>
      <c r="W8" s="43">
        <f>'Aug2026-EXPENSE'!R11</f>
        <v/>
      </c>
      <c r="X8" s="20" t="n"/>
      <c r="Y8" s="43">
        <f>V8-(W8+X8)</f>
        <v/>
      </c>
      <c r="Z8" s="43">
        <f>'Sep2026-COLLECTION'!K7</f>
        <v/>
      </c>
      <c r="AA8" s="43">
        <f>'Sep2026-EXPENSE'!R11</f>
        <v/>
      </c>
      <c r="AB8" s="21" t="n"/>
      <c r="AC8" s="43">
        <f>Z8-(AA8+AB8)</f>
        <v/>
      </c>
      <c r="AD8" s="43">
        <f>'Oct2026-COLLECTION'!K7</f>
        <v/>
      </c>
      <c r="AE8" s="43">
        <f>'Oct2026-EXPENSE'!R11</f>
        <v/>
      </c>
      <c r="AF8" s="21" t="n"/>
      <c r="AG8" s="43">
        <f>AD8-(AE8+AF8)</f>
        <v/>
      </c>
      <c r="AH8" s="43">
        <f>'Nov2026-COLLECTION'!K7</f>
        <v/>
      </c>
      <c r="AI8" s="43">
        <f>'Nov2026-EXPENSE'!R11</f>
        <v/>
      </c>
      <c r="AJ8" s="21" t="n"/>
      <c r="AK8" s="43">
        <f>AH8-(AI8+AJ8)</f>
        <v/>
      </c>
      <c r="AL8" s="43">
        <f>'Dec2026-COLLECTION'!K7</f>
        <v/>
      </c>
      <c r="AM8" s="43">
        <f>'Dec2026-EXPENSE'!R11</f>
        <v/>
      </c>
      <c r="AN8" s="21" t="n"/>
      <c r="AO8" s="43">
        <f>AL8-(AM8+AN8)</f>
        <v/>
      </c>
      <c r="AP8" s="43">
        <f>'Jan2027-COLLECTION'!K7</f>
        <v/>
      </c>
      <c r="AQ8" s="43">
        <f>'Jan2027-EXPENSE'!R11</f>
        <v/>
      </c>
      <c r="AR8" s="2" t="n"/>
      <c r="AS8" s="43">
        <f>AP8-(AQ8+AR8)</f>
        <v/>
      </c>
      <c r="AT8" s="43">
        <f>'Feb2027-COLLECTION'!K7</f>
        <v/>
      </c>
      <c r="AU8" s="43">
        <f>'Feb2027-EXPENSE'!R11</f>
        <v/>
      </c>
      <c r="AV8" s="2" t="n"/>
      <c r="AW8" s="43">
        <f>AT8-(AU8+AV8)</f>
        <v/>
      </c>
      <c r="AX8" s="43">
        <f>'Mar2027-COLLECTION'!K7</f>
        <v/>
      </c>
      <c r="AY8" s="43">
        <f>'Mar2027-EXPENSE'!R11</f>
        <v/>
      </c>
      <c r="AZ8" s="2" t="n"/>
      <c r="BA8" s="43">
        <f>AX8-(AY8+AZ8)</f>
        <v/>
      </c>
      <c r="BB8" s="43">
        <f>SUM(F8,J8,N8,R8,V8,Z8,AD8,AH8,AL8,AP8,AT8,AX8)</f>
        <v/>
      </c>
      <c r="BC8" s="43">
        <f>SUM(G8,K8,O8,S8,W8,AA8,AE8,AI8,AM8,AQ8,AU8,AY8)</f>
        <v/>
      </c>
      <c r="BD8" s="43">
        <f>SUM(H8,L8,P8,T8,X8,AB8,AF8,AJ8,AN8,AR8,AV8,AZ8)</f>
        <v/>
      </c>
      <c r="BE8" s="43">
        <f>BB8-(BC8+BD8)</f>
        <v/>
      </c>
      <c r="BF8" s="43">
        <f>E8+BE8</f>
        <v/>
      </c>
      <c r="BG8" s="43" t="n">
        <v>0</v>
      </c>
    </row>
    <row r="9" ht="15.95" customHeight="1">
      <c r="A9" s="37" t="inlineStr">
        <is>
          <t>F7</t>
        </is>
      </c>
      <c r="B9" s="40" t="n"/>
      <c r="C9" s="40" t="inlineStr">
        <is>
          <t>Vimal NK</t>
        </is>
      </c>
      <c r="D9" s="41" t="n">
        <v>0</v>
      </c>
      <c r="E9" s="41" t="n">
        <v>0</v>
      </c>
      <c r="F9" s="41">
        <f>'Apr2026-COLLECTION'!K8</f>
        <v/>
      </c>
      <c r="G9" s="41">
        <f>'Apr2026-EXPENSE'!R12</f>
        <v/>
      </c>
      <c r="H9" s="20" t="n"/>
      <c r="I9" s="41">
        <f>F9-(G9+H9)</f>
        <v/>
      </c>
      <c r="J9" s="41">
        <f>'May2026-COLLECTION'!K8</f>
        <v/>
      </c>
      <c r="K9" s="41">
        <f>'May2026-EXPENSE'!R12</f>
        <v/>
      </c>
      <c r="L9" s="21" t="n"/>
      <c r="M9" s="41">
        <f>J9-(K9+L9)</f>
        <v/>
      </c>
      <c r="N9" s="41">
        <f>'June2026-COLLECTION'!K8</f>
        <v/>
      </c>
      <c r="O9" s="41">
        <f>'June2026-EXPENSE'!R12</f>
        <v/>
      </c>
      <c r="P9" s="20" t="n"/>
      <c r="Q9" s="41">
        <f>N9-(O9+P9)</f>
        <v/>
      </c>
      <c r="R9" s="41">
        <f>'July2026-COLLECTION'!K8</f>
        <v/>
      </c>
      <c r="S9" s="41">
        <f>'July2026-EXPENSE'!R12</f>
        <v/>
      </c>
      <c r="T9" s="21" t="n"/>
      <c r="U9" s="41">
        <f>R9-(S9+T9)</f>
        <v/>
      </c>
      <c r="V9" s="41">
        <f>'Aug2026-COLLECTION'!K8</f>
        <v/>
      </c>
      <c r="W9" s="41">
        <f>'Aug2026-EXPENSE'!R12</f>
        <v/>
      </c>
      <c r="X9" s="20" t="n"/>
      <c r="Y9" s="41">
        <f>V9-(W9+X9)</f>
        <v/>
      </c>
      <c r="Z9" s="41">
        <f>'Sep2026-COLLECTION'!K8</f>
        <v/>
      </c>
      <c r="AA9" s="41">
        <f>'Sep2026-EXPENSE'!R12</f>
        <v/>
      </c>
      <c r="AB9" s="21" t="n"/>
      <c r="AC9" s="41">
        <f>Z9-(AA9+AB9)</f>
        <v/>
      </c>
      <c r="AD9" s="41">
        <f>'Oct2026-COLLECTION'!K8</f>
        <v/>
      </c>
      <c r="AE9" s="41">
        <f>'Oct2026-EXPENSE'!R12</f>
        <v/>
      </c>
      <c r="AF9" s="21" t="n"/>
      <c r="AG9" s="41">
        <f>AD9-(AE9+AF9)</f>
        <v/>
      </c>
      <c r="AH9" s="41">
        <f>'Nov2026-COLLECTION'!K8</f>
        <v/>
      </c>
      <c r="AI9" s="41">
        <f>'Nov2026-EXPENSE'!R12</f>
        <v/>
      </c>
      <c r="AJ9" s="21" t="n"/>
      <c r="AK9" s="41">
        <f>AH9-(AI9+AJ9)</f>
        <v/>
      </c>
      <c r="AL9" s="41">
        <f>'Dec2026-COLLECTION'!K8</f>
        <v/>
      </c>
      <c r="AM9" s="41">
        <f>'Dec2026-EXPENSE'!R12</f>
        <v/>
      </c>
      <c r="AN9" s="21" t="n"/>
      <c r="AO9" s="41">
        <f>AL9-(AM9+AN9)</f>
        <v/>
      </c>
      <c r="AP9" s="41">
        <f>'Jan2027-COLLECTION'!K8</f>
        <v/>
      </c>
      <c r="AQ9" s="41">
        <f>'Jan2027-EXPENSE'!R12</f>
        <v/>
      </c>
      <c r="AR9" s="2" t="n"/>
      <c r="AS9" s="41">
        <f>AP9-(AQ9+AR9)</f>
        <v/>
      </c>
      <c r="AT9" s="41">
        <f>'Feb2027-COLLECTION'!K8</f>
        <v/>
      </c>
      <c r="AU9" s="41">
        <f>'Feb2027-EXPENSE'!R12</f>
        <v/>
      </c>
      <c r="AV9" s="2" t="n"/>
      <c r="AW9" s="41">
        <f>AT9-(AU9+AV9)</f>
        <v/>
      </c>
      <c r="AX9" s="41">
        <f>'Mar2027-COLLECTION'!K8</f>
        <v/>
      </c>
      <c r="AY9" s="41">
        <f>'Mar2027-EXPENSE'!R12</f>
        <v/>
      </c>
      <c r="AZ9" s="2" t="n"/>
      <c r="BA9" s="41">
        <f>AX9-(AY9+AZ9)</f>
        <v/>
      </c>
      <c r="BB9" s="41">
        <f>SUM(F9,J9,N9,R9,V9,Z9,AD9,AH9,AL9,AP9,AT9,AX9)</f>
        <v/>
      </c>
      <c r="BC9" s="41">
        <f>SUM(G9,K9,O9,S9,W9,AA9,AE9,AI9,AM9,AQ9,AU9,AY9)</f>
        <v/>
      </c>
      <c r="BD9" s="41">
        <f>SUM(H9,L9,P9,T9,X9,AB9,AF9,AJ9,AN9,AR9,AV9,AZ9)</f>
        <v/>
      </c>
      <c r="BE9" s="41">
        <f>BB9-(BC9+BD9)</f>
        <v/>
      </c>
      <c r="BF9" s="41">
        <f>E9+BE9</f>
        <v/>
      </c>
      <c r="BG9" s="41" t="n">
        <v>0</v>
      </c>
    </row>
    <row r="10" ht="48" customHeight="1">
      <c r="A10" s="36" t="inlineStr">
        <is>
          <t>F8</t>
        </is>
      </c>
      <c r="B10" s="42" t="n"/>
      <c r="C10" s="42" t="inlineStr">
        <is>
          <t>Sujeet Kumar (Tenant)/Sreejith Menon (Owner)</t>
        </is>
      </c>
      <c r="D10" s="43" t="n">
        <v>0</v>
      </c>
      <c r="E10" s="43" t="n">
        <v>0</v>
      </c>
      <c r="F10" s="43">
        <f>'Apr2026-COLLECTION'!K9</f>
        <v/>
      </c>
      <c r="G10" s="43">
        <f>'Apr2026-EXPENSE'!R13</f>
        <v/>
      </c>
      <c r="H10" s="20" t="n"/>
      <c r="I10" s="43">
        <f>F10-(G10+H10)</f>
        <v/>
      </c>
      <c r="J10" s="43">
        <f>'May2026-COLLECTION'!K9</f>
        <v/>
      </c>
      <c r="K10" s="43">
        <f>'May2026-EXPENSE'!R13</f>
        <v/>
      </c>
      <c r="L10" s="21" t="n"/>
      <c r="M10" s="43">
        <f>J10-(K10+L10)</f>
        <v/>
      </c>
      <c r="N10" s="43">
        <f>'June2026-COLLECTION'!K9</f>
        <v/>
      </c>
      <c r="O10" s="43">
        <f>'June2026-EXPENSE'!R13</f>
        <v/>
      </c>
      <c r="P10" s="20" t="n"/>
      <c r="Q10" s="43">
        <f>N10-(O10+P10)</f>
        <v/>
      </c>
      <c r="R10" s="43">
        <f>'July2026-COLLECTION'!K9</f>
        <v/>
      </c>
      <c r="S10" s="43">
        <f>'July2026-EXPENSE'!R13</f>
        <v/>
      </c>
      <c r="T10" s="21" t="n"/>
      <c r="U10" s="43">
        <f>R10-(S10+T10)</f>
        <v/>
      </c>
      <c r="V10" s="43">
        <f>'Aug2026-COLLECTION'!K9</f>
        <v/>
      </c>
      <c r="W10" s="43">
        <f>'Aug2026-EXPENSE'!R13</f>
        <v/>
      </c>
      <c r="X10" s="20" t="n"/>
      <c r="Y10" s="43">
        <f>V10-(W10+X10)</f>
        <v/>
      </c>
      <c r="Z10" s="43">
        <f>'Sep2026-COLLECTION'!K9</f>
        <v/>
      </c>
      <c r="AA10" s="43">
        <f>'Sep2026-EXPENSE'!R13</f>
        <v/>
      </c>
      <c r="AB10" s="21" t="n"/>
      <c r="AC10" s="43">
        <f>Z10-(AA10+AB10)</f>
        <v/>
      </c>
      <c r="AD10" s="43">
        <f>'Oct2026-COLLECTION'!K9</f>
        <v/>
      </c>
      <c r="AE10" s="43">
        <f>'Oct2026-EXPENSE'!R13</f>
        <v/>
      </c>
      <c r="AF10" s="21" t="n"/>
      <c r="AG10" s="43">
        <f>AD10-(AE10+AF10)</f>
        <v/>
      </c>
      <c r="AH10" s="43">
        <f>'Nov2026-COLLECTION'!K9</f>
        <v/>
      </c>
      <c r="AI10" s="43">
        <f>'Nov2026-EXPENSE'!R13</f>
        <v/>
      </c>
      <c r="AJ10" s="21" t="n"/>
      <c r="AK10" s="43">
        <f>AH10-(AI10+AJ10)</f>
        <v/>
      </c>
      <c r="AL10" s="43">
        <f>'Dec2026-COLLECTION'!K9</f>
        <v/>
      </c>
      <c r="AM10" s="43">
        <f>'Dec2026-EXPENSE'!R13</f>
        <v/>
      </c>
      <c r="AN10" s="21" t="n"/>
      <c r="AO10" s="43">
        <f>AL10-(AM10+AN10)</f>
        <v/>
      </c>
      <c r="AP10" s="43">
        <f>'Jan2027-COLLECTION'!K9</f>
        <v/>
      </c>
      <c r="AQ10" s="43">
        <f>'Jan2027-EXPENSE'!R13</f>
        <v/>
      </c>
      <c r="AR10" s="2" t="n"/>
      <c r="AS10" s="43">
        <f>AP10-(AQ10+AR10)</f>
        <v/>
      </c>
      <c r="AT10" s="43">
        <f>'Feb2027-COLLECTION'!K9</f>
        <v/>
      </c>
      <c r="AU10" s="43">
        <f>'Feb2027-EXPENSE'!R13</f>
        <v/>
      </c>
      <c r="AV10" s="2" t="n"/>
      <c r="AW10" s="43">
        <f>AT10-(AU10+AV10)</f>
        <v/>
      </c>
      <c r="AX10" s="43">
        <f>'Mar2027-COLLECTION'!K9</f>
        <v/>
      </c>
      <c r="AY10" s="43">
        <f>'Mar2027-EXPENSE'!R13</f>
        <v/>
      </c>
      <c r="AZ10" s="2" t="n"/>
      <c r="BA10" s="43">
        <f>AX10-(AY10+AZ10)</f>
        <v/>
      </c>
      <c r="BB10" s="43">
        <f>SUM(F10,J10,N10,R10,V10,Z10,AD10,AH10,AL10,AP10,AT10,AX10)</f>
        <v/>
      </c>
      <c r="BC10" s="43">
        <f>SUM(G10,K10,O10,S10,W10,AA10,AE10,AI10,AM10,AQ10,AU10,AY10)</f>
        <v/>
      </c>
      <c r="BD10" s="43">
        <f>SUM(H10,L10,P10,T10,X10,AB10,AF10,AJ10,AN10,AR10,AV10,AZ10)</f>
        <v/>
      </c>
      <c r="BE10" s="43">
        <f>BB10-(BC10+BD10)</f>
        <v/>
      </c>
      <c r="BF10" s="43">
        <f>E10+BE10</f>
        <v/>
      </c>
      <c r="BG10" s="43" t="n">
        <v>0</v>
      </c>
    </row>
    <row r="11" ht="32.1" customHeight="1">
      <c r="A11" s="37" t="inlineStr">
        <is>
          <t>F9</t>
        </is>
      </c>
      <c r="B11" s="40" t="n"/>
      <c r="C11" s="40" t="inlineStr">
        <is>
          <t>Vijay Suswaram (Owner)  /   Divya Shikha (Tenant)</t>
        </is>
      </c>
      <c r="D11" s="41" t="n">
        <v>0</v>
      </c>
      <c r="E11" s="41" t="n">
        <v>0</v>
      </c>
      <c r="F11" s="41">
        <f>'Apr2026-COLLECTION'!K10</f>
        <v/>
      </c>
      <c r="G11" s="41">
        <f>'Apr2026-EXPENSE'!R14</f>
        <v/>
      </c>
      <c r="H11" s="20" t="n"/>
      <c r="I11" s="41">
        <f>F11-(G11+H11)</f>
        <v/>
      </c>
      <c r="J11" s="41">
        <f>'May2026-COLLECTION'!K10</f>
        <v/>
      </c>
      <c r="K11" s="41">
        <f>'May2026-EXPENSE'!R14</f>
        <v/>
      </c>
      <c r="L11" s="21" t="n"/>
      <c r="M11" s="41">
        <f>J11-(K11+L11)</f>
        <v/>
      </c>
      <c r="N11" s="41">
        <f>'June2026-COLLECTION'!K10</f>
        <v/>
      </c>
      <c r="O11" s="41">
        <f>'June2026-EXPENSE'!R14</f>
        <v/>
      </c>
      <c r="P11" s="20" t="n"/>
      <c r="Q11" s="41">
        <f>N11-(O11+P11)</f>
        <v/>
      </c>
      <c r="R11" s="41">
        <f>'July2026-COLLECTION'!K10</f>
        <v/>
      </c>
      <c r="S11" s="41">
        <f>'July2026-EXPENSE'!R14</f>
        <v/>
      </c>
      <c r="T11" s="21" t="n"/>
      <c r="U11" s="41">
        <f>R11-(S11+T11)</f>
        <v/>
      </c>
      <c r="V11" s="41">
        <f>'Aug2026-COLLECTION'!K10</f>
        <v/>
      </c>
      <c r="W11" s="41">
        <f>'Aug2026-EXPENSE'!R14</f>
        <v/>
      </c>
      <c r="X11" s="20" t="n"/>
      <c r="Y11" s="41">
        <f>V11-(W11+X11)</f>
        <v/>
      </c>
      <c r="Z11" s="41">
        <f>'Sep2026-COLLECTION'!K10</f>
        <v/>
      </c>
      <c r="AA11" s="41">
        <f>'Sep2026-EXPENSE'!R14</f>
        <v/>
      </c>
      <c r="AB11" s="21" t="n"/>
      <c r="AC11" s="41">
        <f>Z11-(AA11+AB11)</f>
        <v/>
      </c>
      <c r="AD11" s="41">
        <f>'Oct2026-COLLECTION'!K10</f>
        <v/>
      </c>
      <c r="AE11" s="41">
        <f>'Oct2026-EXPENSE'!R14</f>
        <v/>
      </c>
      <c r="AF11" s="21" t="n"/>
      <c r="AG11" s="41">
        <f>AD11-(AE11+AF11)</f>
        <v/>
      </c>
      <c r="AH11" s="41">
        <f>'Nov2026-COLLECTION'!K10</f>
        <v/>
      </c>
      <c r="AI11" s="41">
        <f>'Nov2026-EXPENSE'!R14</f>
        <v/>
      </c>
      <c r="AJ11" s="21" t="n"/>
      <c r="AK11" s="41">
        <f>AH11-(AI11+AJ11)</f>
        <v/>
      </c>
      <c r="AL11" s="41">
        <f>'Dec2026-COLLECTION'!K10</f>
        <v/>
      </c>
      <c r="AM11" s="41">
        <f>'Dec2026-EXPENSE'!R14</f>
        <v/>
      </c>
      <c r="AN11" s="21" t="n"/>
      <c r="AO11" s="41">
        <f>AL11-(AM11+AN11)</f>
        <v/>
      </c>
      <c r="AP11" s="41">
        <f>'Jan2027-COLLECTION'!K10</f>
        <v/>
      </c>
      <c r="AQ11" s="41">
        <f>'Jan2027-EXPENSE'!R14</f>
        <v/>
      </c>
      <c r="AR11" s="2" t="n"/>
      <c r="AS11" s="41">
        <f>AP11-(AQ11+AR11)</f>
        <v/>
      </c>
      <c r="AT11" s="41">
        <f>'Feb2027-COLLECTION'!K10</f>
        <v/>
      </c>
      <c r="AU11" s="41">
        <f>'Feb2027-EXPENSE'!R14</f>
        <v/>
      </c>
      <c r="AV11" s="2" t="n"/>
      <c r="AW11" s="41">
        <f>AT11-(AU11+AV11)</f>
        <v/>
      </c>
      <c r="AX11" s="41">
        <f>'Mar2027-COLLECTION'!K10</f>
        <v/>
      </c>
      <c r="AY11" s="41">
        <f>'Mar2027-EXPENSE'!R14</f>
        <v/>
      </c>
      <c r="AZ11" s="2" t="n"/>
      <c r="BA11" s="41">
        <f>AX11-(AY11+AZ11)</f>
        <v/>
      </c>
      <c r="BB11" s="41">
        <f>SUM(F11,J11,N11,R11,V11,Z11,AD11,AH11,AL11,AP11,AT11,AX11)</f>
        <v/>
      </c>
      <c r="BC11" s="41">
        <f>SUM(G11,K11,O11,S11,W11,AA11,AE11,AI11,AM11,AQ11,AU11,AY11)</f>
        <v/>
      </c>
      <c r="BD11" s="41">
        <f>SUM(H11,L11,P11,T11,X11,AB11,AF11,AJ11,AN11,AR11,AV11,AZ11)</f>
        <v/>
      </c>
      <c r="BE11" s="41">
        <f>BB11-(BC11+BD11)</f>
        <v/>
      </c>
      <c r="BF11" s="41">
        <f>E11+BE11</f>
        <v/>
      </c>
      <c r="BG11" s="41" t="n">
        <v>0</v>
      </c>
    </row>
    <row r="12" ht="15.95" customHeight="1">
      <c r="A12" s="36" t="inlineStr">
        <is>
          <t>F10</t>
        </is>
      </c>
      <c r="B12" s="42" t="n"/>
      <c r="C12" s="42" t="inlineStr">
        <is>
          <t>Aby Thomas</t>
        </is>
      </c>
      <c r="D12" s="43" t="n">
        <v>0</v>
      </c>
      <c r="E12" s="43" t="n">
        <v>0</v>
      </c>
      <c r="F12" s="43">
        <f>'Apr2026-COLLECTION'!K11</f>
        <v/>
      </c>
      <c r="G12" s="43">
        <f>'Apr2026-EXPENSE'!R15</f>
        <v/>
      </c>
      <c r="H12" s="20" t="n"/>
      <c r="I12" s="43">
        <f>F12-(G12+H12)</f>
        <v/>
      </c>
      <c r="J12" s="43">
        <f>'May2026-COLLECTION'!K11</f>
        <v/>
      </c>
      <c r="K12" s="43">
        <f>'May2026-EXPENSE'!R15</f>
        <v/>
      </c>
      <c r="L12" s="21" t="n"/>
      <c r="M12" s="43">
        <f>J12-(K12+L12)</f>
        <v/>
      </c>
      <c r="N12" s="43">
        <f>'June2026-COLLECTION'!K11</f>
        <v/>
      </c>
      <c r="O12" s="43">
        <f>'June2026-EXPENSE'!R15</f>
        <v/>
      </c>
      <c r="P12" s="20" t="n"/>
      <c r="Q12" s="43">
        <f>N12-(O12+P12)</f>
        <v/>
      </c>
      <c r="R12" s="43">
        <f>'July2026-COLLECTION'!K11</f>
        <v/>
      </c>
      <c r="S12" s="43">
        <f>'July2026-EXPENSE'!R15</f>
        <v/>
      </c>
      <c r="T12" s="21" t="n"/>
      <c r="U12" s="43">
        <f>R12-(S12+T12)</f>
        <v/>
      </c>
      <c r="V12" s="43">
        <f>'Aug2026-COLLECTION'!K11</f>
        <v/>
      </c>
      <c r="W12" s="43">
        <f>'Aug2026-EXPENSE'!R15</f>
        <v/>
      </c>
      <c r="X12" s="20" t="n"/>
      <c r="Y12" s="43">
        <f>V12-(W12+X12)</f>
        <v/>
      </c>
      <c r="Z12" s="43">
        <f>'Sep2026-COLLECTION'!K11</f>
        <v/>
      </c>
      <c r="AA12" s="43">
        <f>'Sep2026-EXPENSE'!R15</f>
        <v/>
      </c>
      <c r="AB12" s="21" t="n"/>
      <c r="AC12" s="43">
        <f>Z12-(AA12+AB12)</f>
        <v/>
      </c>
      <c r="AD12" s="43">
        <f>'Oct2026-COLLECTION'!K11</f>
        <v/>
      </c>
      <c r="AE12" s="43">
        <f>'Oct2026-EXPENSE'!R15</f>
        <v/>
      </c>
      <c r="AF12" s="21" t="n"/>
      <c r="AG12" s="43">
        <f>AD12-(AE12+AF12)</f>
        <v/>
      </c>
      <c r="AH12" s="43">
        <f>'Nov2026-COLLECTION'!K11</f>
        <v/>
      </c>
      <c r="AI12" s="43">
        <f>'Nov2026-EXPENSE'!R15</f>
        <v/>
      </c>
      <c r="AJ12" s="21" t="n"/>
      <c r="AK12" s="43">
        <f>AH12-(AI12+AJ12)</f>
        <v/>
      </c>
      <c r="AL12" s="43">
        <f>'Dec2026-COLLECTION'!K11</f>
        <v/>
      </c>
      <c r="AM12" s="43">
        <f>'Dec2026-EXPENSE'!R15</f>
        <v/>
      </c>
      <c r="AN12" s="21" t="n"/>
      <c r="AO12" s="43">
        <f>AL12-(AM12+AN12)</f>
        <v/>
      </c>
      <c r="AP12" s="43">
        <f>'Jan2027-COLLECTION'!K11</f>
        <v/>
      </c>
      <c r="AQ12" s="43">
        <f>'Jan2027-EXPENSE'!R15</f>
        <v/>
      </c>
      <c r="AR12" s="2" t="n"/>
      <c r="AS12" s="43">
        <f>AP12-(AQ12+AR12)</f>
        <v/>
      </c>
      <c r="AT12" s="43">
        <f>'Feb2027-COLLECTION'!K11</f>
        <v/>
      </c>
      <c r="AU12" s="43">
        <f>'Feb2027-EXPENSE'!R15</f>
        <v/>
      </c>
      <c r="AV12" s="2" t="n"/>
      <c r="AW12" s="43">
        <f>AT12-(AU12+AV12)</f>
        <v/>
      </c>
      <c r="AX12" s="43">
        <f>'Mar2027-COLLECTION'!K11</f>
        <v/>
      </c>
      <c r="AY12" s="43">
        <f>'Mar2027-EXPENSE'!R15</f>
        <v/>
      </c>
      <c r="AZ12" s="2" t="n"/>
      <c r="BA12" s="43">
        <f>AX12-(AY12+AZ12)</f>
        <v/>
      </c>
      <c r="BB12" s="43">
        <f>SUM(F12,J12,N12,R12,V12,Z12,AD12,AH12,AL12,AP12,AT12,AX12)</f>
        <v/>
      </c>
      <c r="BC12" s="43">
        <f>SUM(G12,K12,O12,S12,W12,AA12,AE12,AI12,AM12,AQ12,AU12,AY12)</f>
        <v/>
      </c>
      <c r="BD12" s="43">
        <f>SUM(H12,L12,P12,T12,X12,AB12,AF12,AJ12,AN12,AR12,AV12,AZ12)</f>
        <v/>
      </c>
      <c r="BE12" s="43">
        <f>BB12-(BC12+BD12)</f>
        <v/>
      </c>
      <c r="BF12" s="43">
        <f>E12+BE12</f>
        <v/>
      </c>
      <c r="BG12" s="43" t="n">
        <v>0</v>
      </c>
    </row>
    <row r="13" ht="15.95" customHeight="1">
      <c r="A13" s="37" t="inlineStr">
        <is>
          <t>F11</t>
        </is>
      </c>
      <c r="B13" s="40" t="n"/>
      <c r="C13" s="40" t="inlineStr">
        <is>
          <t>Niwin Anto</t>
        </is>
      </c>
      <c r="D13" s="41" t="n">
        <v>0</v>
      </c>
      <c r="E13" s="41" t="n">
        <v>0</v>
      </c>
      <c r="F13" s="41">
        <f>'Apr2026-COLLECTION'!K12</f>
        <v/>
      </c>
      <c r="G13" s="41">
        <f>'Apr2026-EXPENSE'!R16</f>
        <v/>
      </c>
      <c r="H13" s="20" t="n"/>
      <c r="I13" s="41">
        <f>F13-(G13+H13)</f>
        <v/>
      </c>
      <c r="J13" s="41">
        <f>'May2026-COLLECTION'!K12</f>
        <v/>
      </c>
      <c r="K13" s="41">
        <f>'May2026-EXPENSE'!R16</f>
        <v/>
      </c>
      <c r="L13" s="21" t="n"/>
      <c r="M13" s="41">
        <f>J13-(K13+L13)</f>
        <v/>
      </c>
      <c r="N13" s="41">
        <f>'June2026-COLLECTION'!K12</f>
        <v/>
      </c>
      <c r="O13" s="41">
        <f>'June2026-EXPENSE'!R16</f>
        <v/>
      </c>
      <c r="P13" s="20" t="n"/>
      <c r="Q13" s="41">
        <f>N13-(O13+P13)</f>
        <v/>
      </c>
      <c r="R13" s="41">
        <f>'July2026-COLLECTION'!K12</f>
        <v/>
      </c>
      <c r="S13" s="41">
        <f>'July2026-EXPENSE'!R16</f>
        <v/>
      </c>
      <c r="T13" s="21" t="n"/>
      <c r="U13" s="41">
        <f>R13-(S13+T13)</f>
        <v/>
      </c>
      <c r="V13" s="41">
        <f>'Aug2026-COLLECTION'!K12</f>
        <v/>
      </c>
      <c r="W13" s="41">
        <f>'Aug2026-EXPENSE'!R16</f>
        <v/>
      </c>
      <c r="X13" s="20" t="n"/>
      <c r="Y13" s="41">
        <f>V13-(W13+X13)</f>
        <v/>
      </c>
      <c r="Z13" s="41">
        <f>'Sep2026-COLLECTION'!K12</f>
        <v/>
      </c>
      <c r="AA13" s="41">
        <f>'Sep2026-EXPENSE'!R16</f>
        <v/>
      </c>
      <c r="AB13" s="21" t="n"/>
      <c r="AC13" s="41">
        <f>Z13-(AA13+AB13)</f>
        <v/>
      </c>
      <c r="AD13" s="41">
        <f>'Oct2026-COLLECTION'!K12</f>
        <v/>
      </c>
      <c r="AE13" s="41">
        <f>'Oct2026-EXPENSE'!R16</f>
        <v/>
      </c>
      <c r="AF13" s="21" t="n"/>
      <c r="AG13" s="41">
        <f>AD13-(AE13+AF13)</f>
        <v/>
      </c>
      <c r="AH13" s="41">
        <f>'Nov2026-COLLECTION'!K12</f>
        <v/>
      </c>
      <c r="AI13" s="41">
        <f>'Nov2026-EXPENSE'!R16</f>
        <v/>
      </c>
      <c r="AJ13" s="21" t="n"/>
      <c r="AK13" s="41">
        <f>AH13-(AI13+AJ13)</f>
        <v/>
      </c>
      <c r="AL13" s="41">
        <f>'Dec2026-COLLECTION'!K12</f>
        <v/>
      </c>
      <c r="AM13" s="41">
        <f>'Dec2026-EXPENSE'!R16</f>
        <v/>
      </c>
      <c r="AN13" s="21" t="n"/>
      <c r="AO13" s="41">
        <f>AL13-(AM13+AN13)</f>
        <v/>
      </c>
      <c r="AP13" s="41">
        <f>'Jan2027-COLLECTION'!K12</f>
        <v/>
      </c>
      <c r="AQ13" s="41">
        <f>'Jan2027-EXPENSE'!R16</f>
        <v/>
      </c>
      <c r="AR13" s="2" t="n"/>
      <c r="AS13" s="41">
        <f>AP13-(AQ13+AR13)</f>
        <v/>
      </c>
      <c r="AT13" s="41">
        <f>'Feb2027-COLLECTION'!K12</f>
        <v/>
      </c>
      <c r="AU13" s="41">
        <f>'Feb2027-EXPENSE'!R16</f>
        <v/>
      </c>
      <c r="AV13" s="2" t="n"/>
      <c r="AW13" s="41">
        <f>AT13-(AU13+AV13)</f>
        <v/>
      </c>
      <c r="AX13" s="41">
        <f>'Mar2027-COLLECTION'!K12</f>
        <v/>
      </c>
      <c r="AY13" s="41">
        <f>'Mar2027-EXPENSE'!R16</f>
        <v/>
      </c>
      <c r="AZ13" s="2" t="n"/>
      <c r="BA13" s="41">
        <f>AX13-(AY13+AZ13)</f>
        <v/>
      </c>
      <c r="BB13" s="41">
        <f>SUM(F13,J13,N13,R13,V13,Z13,AD13,AH13,AL13,AP13,AT13,AX13)</f>
        <v/>
      </c>
      <c r="BC13" s="41">
        <f>SUM(G13,K13,O13,S13,W13,AA13,AE13,AI13,AM13,AQ13,AU13,AY13)</f>
        <v/>
      </c>
      <c r="BD13" s="41">
        <f>SUM(H13,L13,P13,T13,X13,AB13,AF13,AJ13,AN13,AR13,AV13,AZ13)</f>
        <v/>
      </c>
      <c r="BE13" s="41">
        <f>BB13-(BC13+BD13)</f>
        <v/>
      </c>
      <c r="BF13" s="41">
        <f>E13+BE13</f>
        <v/>
      </c>
      <c r="BG13" s="41" t="n">
        <v>0</v>
      </c>
    </row>
    <row r="14" ht="15.95" customHeight="1">
      <c r="A14" s="36" t="inlineStr">
        <is>
          <t>F12</t>
        </is>
      </c>
      <c r="B14" s="42" t="n"/>
      <c r="C14" s="42" t="inlineStr">
        <is>
          <t>Anirudh Singh</t>
        </is>
      </c>
      <c r="D14" s="43" t="n">
        <v>0</v>
      </c>
      <c r="E14" s="43" t="n">
        <v>0</v>
      </c>
      <c r="F14" s="43">
        <f>'Apr2026-COLLECTION'!K13</f>
        <v/>
      </c>
      <c r="G14" s="43">
        <f>'Apr2026-EXPENSE'!R17</f>
        <v/>
      </c>
      <c r="H14" s="20" t="n"/>
      <c r="I14" s="43">
        <f>F14-(G14+H14)</f>
        <v/>
      </c>
      <c r="J14" s="43">
        <f>'May2026-COLLECTION'!K13</f>
        <v/>
      </c>
      <c r="K14" s="43">
        <f>'May2026-EXPENSE'!R17</f>
        <v/>
      </c>
      <c r="L14" s="21" t="n"/>
      <c r="M14" s="43">
        <f>J14-(K14+L14)</f>
        <v/>
      </c>
      <c r="N14" s="43">
        <f>'June2026-COLLECTION'!K13</f>
        <v/>
      </c>
      <c r="O14" s="43">
        <f>'June2026-EXPENSE'!R17</f>
        <v/>
      </c>
      <c r="P14" s="20" t="n"/>
      <c r="Q14" s="43">
        <f>N14-(O14+P14)</f>
        <v/>
      </c>
      <c r="R14" s="43">
        <f>'July2026-COLLECTION'!K13</f>
        <v/>
      </c>
      <c r="S14" s="43">
        <f>'July2026-EXPENSE'!R17</f>
        <v/>
      </c>
      <c r="T14" s="21" t="n"/>
      <c r="U14" s="43">
        <f>R14-(S14+T14)</f>
        <v/>
      </c>
      <c r="V14" s="43">
        <f>'Aug2026-COLLECTION'!K13</f>
        <v/>
      </c>
      <c r="W14" s="43">
        <f>'Aug2026-EXPENSE'!R17</f>
        <v/>
      </c>
      <c r="X14" s="20" t="n"/>
      <c r="Y14" s="43">
        <f>V14-(W14+X14)</f>
        <v/>
      </c>
      <c r="Z14" s="43">
        <f>'Sep2026-COLLECTION'!K13</f>
        <v/>
      </c>
      <c r="AA14" s="43">
        <f>'Sep2026-EXPENSE'!R17</f>
        <v/>
      </c>
      <c r="AB14" s="21" t="n"/>
      <c r="AC14" s="43">
        <f>Z14-(AA14+AB14)</f>
        <v/>
      </c>
      <c r="AD14" s="43">
        <f>'Oct2026-COLLECTION'!K13</f>
        <v/>
      </c>
      <c r="AE14" s="43">
        <f>'Oct2026-EXPENSE'!R17</f>
        <v/>
      </c>
      <c r="AF14" s="21" t="n"/>
      <c r="AG14" s="43">
        <f>AD14-(AE14+AF14)</f>
        <v/>
      </c>
      <c r="AH14" s="43">
        <f>'Nov2026-COLLECTION'!K13</f>
        <v/>
      </c>
      <c r="AI14" s="43">
        <f>'Nov2026-EXPENSE'!R17</f>
        <v/>
      </c>
      <c r="AJ14" s="21" t="n"/>
      <c r="AK14" s="43">
        <f>AH14-(AI14+AJ14)</f>
        <v/>
      </c>
      <c r="AL14" s="43">
        <f>'Dec2026-COLLECTION'!K13</f>
        <v/>
      </c>
      <c r="AM14" s="43">
        <f>'Dec2026-EXPENSE'!R17</f>
        <v/>
      </c>
      <c r="AN14" s="21" t="n"/>
      <c r="AO14" s="43">
        <f>AL14-(AM14+AN14)</f>
        <v/>
      </c>
      <c r="AP14" s="43">
        <f>'Jan2027-COLLECTION'!K13</f>
        <v/>
      </c>
      <c r="AQ14" s="43">
        <f>'Jan2027-EXPENSE'!R17</f>
        <v/>
      </c>
      <c r="AR14" s="2" t="n"/>
      <c r="AS14" s="43">
        <f>AP14-(AQ14+AR14)</f>
        <v/>
      </c>
      <c r="AT14" s="43">
        <f>'Feb2027-COLLECTION'!K13</f>
        <v/>
      </c>
      <c r="AU14" s="43">
        <f>'Feb2027-EXPENSE'!R17</f>
        <v/>
      </c>
      <c r="AV14" s="2" t="n"/>
      <c r="AW14" s="43">
        <f>AT14-(AU14+AV14)</f>
        <v/>
      </c>
      <c r="AX14" s="43">
        <f>'Mar2027-COLLECTION'!K13</f>
        <v/>
      </c>
      <c r="AY14" s="43">
        <f>'Mar2027-EXPENSE'!R17</f>
        <v/>
      </c>
      <c r="AZ14" s="2" t="n"/>
      <c r="BA14" s="43">
        <f>AX14-(AY14+AZ14)</f>
        <v/>
      </c>
      <c r="BB14" s="43">
        <f>SUM(F14,J14,N14,R14,V14,Z14,AD14,AH14,AL14,AP14,AT14,AX14)</f>
        <v/>
      </c>
      <c r="BC14" s="43">
        <f>SUM(G14,K14,O14,S14,W14,AA14,AE14,AI14,AM14,AQ14,AU14,AY14)</f>
        <v/>
      </c>
      <c r="BD14" s="43">
        <f>SUM(H14,L14,P14,T14,X14,AB14,AF14,AJ14,AN14,AR14,AV14,AZ14)</f>
        <v/>
      </c>
      <c r="BE14" s="43">
        <f>BB14-(BC14+BD14)</f>
        <v/>
      </c>
      <c r="BF14" s="43">
        <f>E14+BE14</f>
        <v/>
      </c>
      <c r="BG14" s="43" t="n">
        <v>0</v>
      </c>
    </row>
    <row r="15" ht="15.95" customHeight="1">
      <c r="A15" s="37" t="inlineStr">
        <is>
          <t>F13</t>
        </is>
      </c>
      <c r="B15" s="40" t="n"/>
      <c r="C15" s="40" t="inlineStr">
        <is>
          <t>Sanchay Saxena</t>
        </is>
      </c>
      <c r="D15" s="41" t="n">
        <v>0</v>
      </c>
      <c r="E15" s="41" t="n">
        <v>0</v>
      </c>
      <c r="F15" s="41">
        <f>'Apr2026-COLLECTION'!K14</f>
        <v/>
      </c>
      <c r="G15" s="41">
        <f>'Apr2026-EXPENSE'!R18</f>
        <v/>
      </c>
      <c r="H15" s="20" t="n"/>
      <c r="I15" s="41">
        <f>F15-(G15+H15)</f>
        <v/>
      </c>
      <c r="J15" s="41">
        <f>'May2026-COLLECTION'!K14</f>
        <v/>
      </c>
      <c r="K15" s="41">
        <f>'May2026-EXPENSE'!R18</f>
        <v/>
      </c>
      <c r="L15" s="41" t="n">
        <v>0</v>
      </c>
      <c r="M15" s="41">
        <f>J15-(K15+L15)</f>
        <v/>
      </c>
      <c r="N15" s="41">
        <f>'June2026-COLLECTION'!K14</f>
        <v/>
      </c>
      <c r="O15" s="41">
        <f>'June2026-EXPENSE'!R18</f>
        <v/>
      </c>
      <c r="P15" s="20" t="n"/>
      <c r="Q15" s="41">
        <f>N15-(O15+P15)</f>
        <v/>
      </c>
      <c r="R15" s="41">
        <f>'July2026-COLLECTION'!K14</f>
        <v/>
      </c>
      <c r="S15" s="41">
        <f>'July2026-EXPENSE'!R18</f>
        <v/>
      </c>
      <c r="T15" s="21" t="n"/>
      <c r="U15" s="41">
        <f>R15-(S15+T15)</f>
        <v/>
      </c>
      <c r="V15" s="41">
        <f>'Aug2026-COLLECTION'!K14</f>
        <v/>
      </c>
      <c r="W15" s="41">
        <f>'Aug2026-EXPENSE'!R18</f>
        <v/>
      </c>
      <c r="X15" s="20" t="n"/>
      <c r="Y15" s="41">
        <f>V15-(W15+X15)</f>
        <v/>
      </c>
      <c r="Z15" s="41">
        <f>'Sep2026-COLLECTION'!K14</f>
        <v/>
      </c>
      <c r="AA15" s="41">
        <f>'Sep2026-EXPENSE'!R18</f>
        <v/>
      </c>
      <c r="AB15" s="21" t="n"/>
      <c r="AC15" s="41">
        <f>Z15-(AA15+AB15)</f>
        <v/>
      </c>
      <c r="AD15" s="41">
        <f>'Oct2026-COLLECTION'!K14</f>
        <v/>
      </c>
      <c r="AE15" s="41">
        <f>'Oct2026-EXPENSE'!R18</f>
        <v/>
      </c>
      <c r="AF15" s="21" t="n"/>
      <c r="AG15" s="41">
        <f>AD15-(AE15+AF15)</f>
        <v/>
      </c>
      <c r="AH15" s="41">
        <f>'Nov2026-COLLECTION'!K14</f>
        <v/>
      </c>
      <c r="AI15" s="41">
        <f>'Nov2026-EXPENSE'!R18</f>
        <v/>
      </c>
      <c r="AJ15" s="21" t="n"/>
      <c r="AK15" s="41">
        <f>AH15-(AI15+AJ15)</f>
        <v/>
      </c>
      <c r="AL15" s="41">
        <f>'Dec2026-COLLECTION'!K14</f>
        <v/>
      </c>
      <c r="AM15" s="41">
        <f>'Dec2026-EXPENSE'!R18</f>
        <v/>
      </c>
      <c r="AN15" s="21" t="n"/>
      <c r="AO15" s="41">
        <f>AL15-(AM15+AN15)</f>
        <v/>
      </c>
      <c r="AP15" s="41">
        <f>'Jan2027-COLLECTION'!K14</f>
        <v/>
      </c>
      <c r="AQ15" s="41">
        <f>'Jan2027-EXPENSE'!R18</f>
        <v/>
      </c>
      <c r="AR15" s="2" t="n"/>
      <c r="AS15" s="41">
        <f>AP15-(AQ15+AR15)</f>
        <v/>
      </c>
      <c r="AT15" s="41">
        <f>'Feb2027-COLLECTION'!K14</f>
        <v/>
      </c>
      <c r="AU15" s="41">
        <f>'Feb2027-EXPENSE'!R18</f>
        <v/>
      </c>
      <c r="AV15" s="2" t="n"/>
      <c r="AW15" s="41">
        <f>AT15-(AU15+AV15)</f>
        <v/>
      </c>
      <c r="AX15" s="41">
        <f>'Mar2027-COLLECTION'!K14</f>
        <v/>
      </c>
      <c r="AY15" s="41">
        <f>'Mar2027-EXPENSE'!R18</f>
        <v/>
      </c>
      <c r="AZ15" s="2" t="n"/>
      <c r="BA15" s="41">
        <f>AX15-(AY15+AZ15)</f>
        <v/>
      </c>
      <c r="BB15" s="41">
        <f>SUM(F15,J15,N15,R15,V15,Z15,AD15,AH15,AL15,AP15,AT15,AX15)</f>
        <v/>
      </c>
      <c r="BC15" s="41">
        <f>SUM(G15,K15,O15,S15,W15,AA15,AE15,AI15,AM15,AQ15,AU15,AY15)</f>
        <v/>
      </c>
      <c r="BD15" s="41">
        <f>SUM(H15,L15,P15,T15,X15,AB15,AF15,AJ15,AN15,AR15,AV15,AZ15)</f>
        <v/>
      </c>
      <c r="BE15" s="41">
        <f>BB15-(BC15+BD15)</f>
        <v/>
      </c>
      <c r="BF15" s="41">
        <f>E15+BE15</f>
        <v/>
      </c>
      <c r="BG15" s="41" t="n">
        <v>0</v>
      </c>
    </row>
    <row r="16" ht="15.95" customHeight="1">
      <c r="A16" s="36" t="inlineStr">
        <is>
          <t>F14</t>
        </is>
      </c>
      <c r="B16" s="42" t="n"/>
      <c r="C16" s="42" t="inlineStr">
        <is>
          <t>Hemant Patel</t>
        </is>
      </c>
      <c r="D16" s="43" t="n">
        <v>0</v>
      </c>
      <c r="E16" s="43" t="n">
        <v>0</v>
      </c>
      <c r="F16" s="43">
        <f>'Apr2026-COLLECTION'!K15</f>
        <v/>
      </c>
      <c r="G16" s="43">
        <f>'Apr2026-EXPENSE'!R19</f>
        <v/>
      </c>
      <c r="H16" s="20" t="n"/>
      <c r="I16" s="43">
        <f>F16-(G16+H16)</f>
        <v/>
      </c>
      <c r="J16" s="43">
        <f>'May2026-COLLECTION'!K15</f>
        <v/>
      </c>
      <c r="K16" s="43">
        <f>'May2026-EXPENSE'!R19</f>
        <v/>
      </c>
      <c r="L16" s="21" t="n"/>
      <c r="M16" s="43">
        <f>J16-(K16+L16)</f>
        <v/>
      </c>
      <c r="N16" s="43">
        <f>'June2026-COLLECTION'!K15</f>
        <v/>
      </c>
      <c r="O16" s="43">
        <f>'June2026-EXPENSE'!R19</f>
        <v/>
      </c>
      <c r="P16" s="20" t="n"/>
      <c r="Q16" s="43">
        <f>N16-(O16+P16)</f>
        <v/>
      </c>
      <c r="R16" s="43">
        <f>'July2026-COLLECTION'!K15</f>
        <v/>
      </c>
      <c r="S16" s="43">
        <f>'July2026-EXPENSE'!R19</f>
        <v/>
      </c>
      <c r="T16" s="21" t="n"/>
      <c r="U16" s="43">
        <f>R16-(S16+T16)</f>
        <v/>
      </c>
      <c r="V16" s="43">
        <f>'Aug2026-COLLECTION'!K15</f>
        <v/>
      </c>
      <c r="W16" s="43">
        <f>'Aug2026-EXPENSE'!R19</f>
        <v/>
      </c>
      <c r="X16" s="20" t="n"/>
      <c r="Y16" s="43">
        <f>V16-(W16+X16)</f>
        <v/>
      </c>
      <c r="Z16" s="43">
        <f>'Sep2026-COLLECTION'!K15</f>
        <v/>
      </c>
      <c r="AA16" s="43">
        <f>'Sep2026-EXPENSE'!R19</f>
        <v/>
      </c>
      <c r="AB16" s="21" t="n"/>
      <c r="AC16" s="43">
        <f>Z16-(AA16+AB16)</f>
        <v/>
      </c>
      <c r="AD16" s="43">
        <f>'Oct2026-COLLECTION'!K15</f>
        <v/>
      </c>
      <c r="AE16" s="43">
        <f>'Oct2026-EXPENSE'!R19</f>
        <v/>
      </c>
      <c r="AF16" s="21" t="n"/>
      <c r="AG16" s="43">
        <f>AD16-(AE16+AF16)</f>
        <v/>
      </c>
      <c r="AH16" s="43">
        <f>'Nov2026-COLLECTION'!K15</f>
        <v/>
      </c>
      <c r="AI16" s="43">
        <f>'Nov2026-EXPENSE'!R19</f>
        <v/>
      </c>
      <c r="AJ16" s="21" t="n"/>
      <c r="AK16" s="43">
        <f>AH16-(AI16+AJ16)</f>
        <v/>
      </c>
      <c r="AL16" s="43">
        <f>'Dec2026-COLLECTION'!K15</f>
        <v/>
      </c>
      <c r="AM16" s="43">
        <f>'Dec2026-EXPENSE'!R19</f>
        <v/>
      </c>
      <c r="AN16" s="21" t="n"/>
      <c r="AO16" s="43">
        <f>AL16-(AM16+AN16)</f>
        <v/>
      </c>
      <c r="AP16" s="43">
        <f>'Jan2027-COLLECTION'!K15</f>
        <v/>
      </c>
      <c r="AQ16" s="43">
        <f>'Jan2027-EXPENSE'!R19</f>
        <v/>
      </c>
      <c r="AR16" s="2" t="n"/>
      <c r="AS16" s="43">
        <f>AP16-(AQ16+AR16)</f>
        <v/>
      </c>
      <c r="AT16" s="43">
        <f>'Feb2027-COLLECTION'!K15</f>
        <v/>
      </c>
      <c r="AU16" s="43">
        <f>'Feb2027-EXPENSE'!R19</f>
        <v/>
      </c>
      <c r="AV16" s="2" t="n"/>
      <c r="AW16" s="43">
        <f>AT16-(AU16+AV16)</f>
        <v/>
      </c>
      <c r="AX16" s="43">
        <f>'Mar2027-COLLECTION'!K15</f>
        <v/>
      </c>
      <c r="AY16" s="43">
        <f>'Mar2027-EXPENSE'!R19</f>
        <v/>
      </c>
      <c r="AZ16" s="2" t="n"/>
      <c r="BA16" s="43">
        <f>AX16-(AY16+AZ16)</f>
        <v/>
      </c>
      <c r="BB16" s="43">
        <f>SUM(F16,J16,N16,R16,V16,Z16,AD16,AH16,AL16,AP16,AT16,AX16)</f>
        <v/>
      </c>
      <c r="BC16" s="43">
        <f>SUM(G16,K16,O16,S16,W16,AA16,AE16,AI16,AM16,AQ16,AU16,AY16)</f>
        <v/>
      </c>
      <c r="BD16" s="43">
        <f>SUM(H16,L16,P16,T16,X16,AB16,AF16,AJ16,AN16,AR16,AV16,AZ16)</f>
        <v/>
      </c>
      <c r="BE16" s="43">
        <f>BB16-(BC16+BD16)</f>
        <v/>
      </c>
      <c r="BF16" s="43">
        <f>E16+BE16</f>
        <v/>
      </c>
      <c r="BG16" s="43" t="n">
        <v>0</v>
      </c>
    </row>
    <row r="17" ht="15.95" customHeight="1">
      <c r="A17" s="37" t="inlineStr">
        <is>
          <t>F15</t>
        </is>
      </c>
      <c r="B17" s="40" t="n"/>
      <c r="C17" s="40" t="inlineStr">
        <is>
          <t>Senthil.Vijayaragavan</t>
        </is>
      </c>
      <c r="D17" s="41" t="n">
        <v>0</v>
      </c>
      <c r="E17" s="41" t="n">
        <v>0</v>
      </c>
      <c r="F17" s="41">
        <f>'Apr2026-COLLECTION'!K16</f>
        <v/>
      </c>
      <c r="G17" s="41">
        <f>'Apr2026-EXPENSE'!R20</f>
        <v/>
      </c>
      <c r="H17" s="20" t="n"/>
      <c r="I17" s="41">
        <f>F17-(G17+H17)</f>
        <v/>
      </c>
      <c r="J17" s="41">
        <f>'May2026-COLLECTION'!K16</f>
        <v/>
      </c>
      <c r="K17" s="41">
        <f>'May2026-EXPENSE'!R20</f>
        <v/>
      </c>
      <c r="L17" s="21" t="n"/>
      <c r="M17" s="41">
        <f>J17-(K17+L17)</f>
        <v/>
      </c>
      <c r="N17" s="41">
        <f>'June2026-COLLECTION'!K16</f>
        <v/>
      </c>
      <c r="O17" s="41">
        <f>'June2026-EXPENSE'!R20</f>
        <v/>
      </c>
      <c r="P17" s="20" t="n"/>
      <c r="Q17" s="41">
        <f>N17-(O17+P17)</f>
        <v/>
      </c>
      <c r="R17" s="41">
        <f>'July2026-COLLECTION'!K16</f>
        <v/>
      </c>
      <c r="S17" s="41">
        <f>'July2026-EXPENSE'!R20</f>
        <v/>
      </c>
      <c r="T17" s="21" t="n"/>
      <c r="U17" s="41">
        <f>R17-(S17+T17)</f>
        <v/>
      </c>
      <c r="V17" s="41">
        <f>'Aug2026-COLLECTION'!K16</f>
        <v/>
      </c>
      <c r="W17" s="41">
        <f>'Aug2026-EXPENSE'!R20</f>
        <v/>
      </c>
      <c r="X17" s="20" t="n"/>
      <c r="Y17" s="41">
        <f>V17-(W17+X17)</f>
        <v/>
      </c>
      <c r="Z17" s="41">
        <f>'Sep2026-COLLECTION'!K16</f>
        <v/>
      </c>
      <c r="AA17" s="41">
        <f>'Sep2026-EXPENSE'!R20</f>
        <v/>
      </c>
      <c r="AB17" s="21" t="n"/>
      <c r="AC17" s="41">
        <f>Z17-(AA17+AB17)</f>
        <v/>
      </c>
      <c r="AD17" s="41">
        <f>'Oct2026-COLLECTION'!K16</f>
        <v/>
      </c>
      <c r="AE17" s="41">
        <f>'Oct2026-EXPENSE'!R20</f>
        <v/>
      </c>
      <c r="AF17" s="21" t="n"/>
      <c r="AG17" s="41">
        <f>AD17-(AE17+AF17)</f>
        <v/>
      </c>
      <c r="AH17" s="41">
        <f>'Nov2026-COLLECTION'!K16</f>
        <v/>
      </c>
      <c r="AI17" s="41">
        <f>'Nov2026-EXPENSE'!R20</f>
        <v/>
      </c>
      <c r="AJ17" s="21" t="n"/>
      <c r="AK17" s="41">
        <f>AH17-(AI17+AJ17)</f>
        <v/>
      </c>
      <c r="AL17" s="41">
        <f>'Dec2026-COLLECTION'!K16</f>
        <v/>
      </c>
      <c r="AM17" s="41">
        <f>'Dec2026-EXPENSE'!R20</f>
        <v/>
      </c>
      <c r="AN17" s="21" t="n"/>
      <c r="AO17" s="41">
        <f>AL17-(AM17+AN17)</f>
        <v/>
      </c>
      <c r="AP17" s="41">
        <f>'Jan2027-COLLECTION'!K16</f>
        <v/>
      </c>
      <c r="AQ17" s="41">
        <f>'Jan2027-EXPENSE'!R20</f>
        <v/>
      </c>
      <c r="AR17" s="2" t="n"/>
      <c r="AS17" s="41">
        <f>AP17-(AQ17+AR17)</f>
        <v/>
      </c>
      <c r="AT17" s="41">
        <f>'Feb2027-COLLECTION'!K16</f>
        <v/>
      </c>
      <c r="AU17" s="41">
        <f>'Feb2027-EXPENSE'!R20</f>
        <v/>
      </c>
      <c r="AV17" s="2" t="n"/>
      <c r="AW17" s="41">
        <f>AT17-(AU17+AV17)</f>
        <v/>
      </c>
      <c r="AX17" s="41">
        <f>'Mar2027-COLLECTION'!K16</f>
        <v/>
      </c>
      <c r="AY17" s="41">
        <f>'Mar2027-EXPENSE'!R20</f>
        <v/>
      </c>
      <c r="AZ17" s="2" t="n"/>
      <c r="BA17" s="41">
        <f>AX17-(AY17+AZ17)</f>
        <v/>
      </c>
      <c r="BB17" s="41">
        <f>SUM(F17,J17,N17,R17,V17,Z17,AD17,AH17,AL17,AP17,AT17,AX17)</f>
        <v/>
      </c>
      <c r="BC17" s="41">
        <f>SUM(G17,K17,O17,S17,W17,AA17,AE17,AI17,AM17,AQ17,AU17,AY17)</f>
        <v/>
      </c>
      <c r="BD17" s="41">
        <f>SUM(H17,L17,P17,T17,X17,AB17,AF17,AJ17,AN17,AR17,AV17,AZ17)</f>
        <v/>
      </c>
      <c r="BE17" s="41">
        <f>BB17-(BC17+BD17)</f>
        <v/>
      </c>
      <c r="BF17" s="41">
        <f>E17+BE17</f>
        <v/>
      </c>
      <c r="BG17" s="41" t="n">
        <v>0</v>
      </c>
    </row>
    <row r="18" ht="15.95" customHeight="1">
      <c r="A18" s="36" t="inlineStr">
        <is>
          <t>F16</t>
        </is>
      </c>
      <c r="B18" s="42" t="n"/>
      <c r="C18" s="42" t="inlineStr">
        <is>
          <t>Sreeja Sudharma</t>
        </is>
      </c>
      <c r="D18" s="43" t="n">
        <v>0</v>
      </c>
      <c r="E18" s="43" t="n">
        <v>0</v>
      </c>
      <c r="F18" s="43">
        <f>'Apr2026-COLLECTION'!K17</f>
        <v/>
      </c>
      <c r="G18" s="43">
        <f>'Apr2026-EXPENSE'!R21</f>
        <v/>
      </c>
      <c r="H18" s="20" t="n"/>
      <c r="I18" s="43">
        <f>F18-(G18+H18)</f>
        <v/>
      </c>
      <c r="J18" s="43">
        <f>'May2026-COLLECTION'!K17</f>
        <v/>
      </c>
      <c r="K18" s="43">
        <f>'May2026-EXPENSE'!R21</f>
        <v/>
      </c>
      <c r="L18" s="21" t="n"/>
      <c r="M18" s="43">
        <f>J18-(K18+L18)</f>
        <v/>
      </c>
      <c r="N18" s="43">
        <f>'June2026-COLLECTION'!K17</f>
        <v/>
      </c>
      <c r="O18" s="43">
        <f>'June2026-EXPENSE'!R21</f>
        <v/>
      </c>
      <c r="P18" s="20" t="n"/>
      <c r="Q18" s="43">
        <f>N18-(O18+P18)</f>
        <v/>
      </c>
      <c r="R18" s="43">
        <f>'July2026-COLLECTION'!K17</f>
        <v/>
      </c>
      <c r="S18" s="43">
        <f>'July2026-EXPENSE'!R21</f>
        <v/>
      </c>
      <c r="T18" s="21" t="n"/>
      <c r="U18" s="43">
        <f>R18-(S18+T18)</f>
        <v/>
      </c>
      <c r="V18" s="43">
        <f>'Aug2026-COLLECTION'!K17</f>
        <v/>
      </c>
      <c r="W18" s="43">
        <f>'Aug2026-EXPENSE'!R21</f>
        <v/>
      </c>
      <c r="X18" s="20" t="n"/>
      <c r="Y18" s="43">
        <f>V18-(W18+X18)</f>
        <v/>
      </c>
      <c r="Z18" s="43">
        <f>'Sep2026-COLLECTION'!K17</f>
        <v/>
      </c>
      <c r="AA18" s="43">
        <f>'Sep2026-EXPENSE'!R21</f>
        <v/>
      </c>
      <c r="AB18" s="21" t="n"/>
      <c r="AC18" s="43">
        <f>Z18-(AA18+AB18)</f>
        <v/>
      </c>
      <c r="AD18" s="43">
        <f>'Oct2026-COLLECTION'!K17</f>
        <v/>
      </c>
      <c r="AE18" s="43">
        <f>'Oct2026-EXPENSE'!R21</f>
        <v/>
      </c>
      <c r="AF18" s="21" t="n"/>
      <c r="AG18" s="43">
        <f>AD18-(AE18+AF18)</f>
        <v/>
      </c>
      <c r="AH18" s="43">
        <f>'Nov2026-COLLECTION'!K17</f>
        <v/>
      </c>
      <c r="AI18" s="43">
        <f>'Nov2026-EXPENSE'!R21</f>
        <v/>
      </c>
      <c r="AJ18" s="21" t="n"/>
      <c r="AK18" s="43">
        <f>AH18-(AI18+AJ18)</f>
        <v/>
      </c>
      <c r="AL18" s="43">
        <f>'Dec2026-COLLECTION'!K17</f>
        <v/>
      </c>
      <c r="AM18" s="43">
        <f>'Dec2026-EXPENSE'!R21</f>
        <v/>
      </c>
      <c r="AN18" s="21" t="n"/>
      <c r="AO18" s="43">
        <f>AL18-(AM18+AN18)</f>
        <v/>
      </c>
      <c r="AP18" s="43">
        <f>'Jan2027-COLLECTION'!K17</f>
        <v/>
      </c>
      <c r="AQ18" s="43">
        <f>'Jan2027-EXPENSE'!R21</f>
        <v/>
      </c>
      <c r="AR18" s="2" t="n"/>
      <c r="AS18" s="43">
        <f>AP18-(AQ18+AR18)</f>
        <v/>
      </c>
      <c r="AT18" s="43">
        <f>'Feb2027-COLLECTION'!K17</f>
        <v/>
      </c>
      <c r="AU18" s="43">
        <f>'Feb2027-EXPENSE'!R21</f>
        <v/>
      </c>
      <c r="AV18" s="2" t="n"/>
      <c r="AW18" s="43">
        <f>AT18-(AU18+AV18)</f>
        <v/>
      </c>
      <c r="AX18" s="43">
        <f>'Mar2027-COLLECTION'!K17</f>
        <v/>
      </c>
      <c r="AY18" s="43">
        <f>'Mar2027-EXPENSE'!R21</f>
        <v/>
      </c>
      <c r="AZ18" s="2" t="n"/>
      <c r="BA18" s="43">
        <f>AX18-(AY18+AZ18)</f>
        <v/>
      </c>
      <c r="BB18" s="43">
        <f>SUM(F18,J18,N18,R18,V18,Z18,AD18,AH18,AL18,AP18,AT18,AX18)</f>
        <v/>
      </c>
      <c r="BC18" s="43">
        <f>SUM(G18,K18,O18,S18,W18,AA18,AE18,AI18,AM18,AQ18,AU18,AY18)</f>
        <v/>
      </c>
      <c r="BD18" s="43">
        <f>SUM(H18,L18,P18,T18,X18,AB18,AF18,AJ18,AN18,AR18,AV18,AZ18)</f>
        <v/>
      </c>
      <c r="BE18" s="43">
        <f>BB18-(BC18+BD18)</f>
        <v/>
      </c>
      <c r="BF18" s="43">
        <f>E18+BE18</f>
        <v/>
      </c>
      <c r="BG18" s="43" t="n">
        <v>0</v>
      </c>
    </row>
    <row r="19" ht="15.95" customHeight="1">
      <c r="A19" s="37" t="inlineStr">
        <is>
          <t>G1</t>
        </is>
      </c>
      <c r="B19" s="40" t="inlineStr">
        <is>
          <t>jyothij1979@gmail.com</t>
        </is>
      </c>
      <c r="C19" s="40" t="inlineStr">
        <is>
          <t>Venkataramanan C</t>
        </is>
      </c>
      <c r="D19" s="41" t="n">
        <v>0</v>
      </c>
      <c r="E19" s="41" t="n">
        <v>0</v>
      </c>
      <c r="F19" s="41">
        <f>'Apr2026-COLLECTION'!K18</f>
        <v/>
      </c>
      <c r="G19" s="41">
        <f>'Apr2026-EXPENSE'!R22</f>
        <v/>
      </c>
      <c r="H19" s="20" t="n"/>
      <c r="I19" s="41">
        <f>F19-(G19+H19)</f>
        <v/>
      </c>
      <c r="J19" s="41">
        <f>'May2026-COLLECTION'!K18</f>
        <v/>
      </c>
      <c r="K19" s="41">
        <f>'May2026-EXPENSE'!R22</f>
        <v/>
      </c>
      <c r="L19" s="21" t="n"/>
      <c r="M19" s="41">
        <f>J19-(K19+L19)</f>
        <v/>
      </c>
      <c r="N19" s="41">
        <f>'June2026-COLLECTION'!K18</f>
        <v/>
      </c>
      <c r="O19" s="41">
        <f>'June2026-EXPENSE'!R22</f>
        <v/>
      </c>
      <c r="P19" s="20" t="n"/>
      <c r="Q19" s="41">
        <f>N19-(O19+P19)</f>
        <v/>
      </c>
      <c r="R19" s="41">
        <f>'July2026-COLLECTION'!K18</f>
        <v/>
      </c>
      <c r="S19" s="41">
        <f>'July2026-EXPENSE'!R22</f>
        <v/>
      </c>
      <c r="T19" s="21" t="n"/>
      <c r="U19" s="41">
        <f>R19-(S19+T19)</f>
        <v/>
      </c>
      <c r="V19" s="41">
        <f>'Aug2026-COLLECTION'!K18</f>
        <v/>
      </c>
      <c r="W19" s="41">
        <f>'Aug2026-EXPENSE'!R22</f>
        <v/>
      </c>
      <c r="X19" s="20" t="n"/>
      <c r="Y19" s="41">
        <f>V19-(W19+X19)</f>
        <v/>
      </c>
      <c r="Z19" s="41">
        <f>'Sep2026-COLLECTION'!K18</f>
        <v/>
      </c>
      <c r="AA19" s="41">
        <f>'Sep2026-EXPENSE'!R22</f>
        <v/>
      </c>
      <c r="AB19" s="21" t="n"/>
      <c r="AC19" s="41">
        <f>Z19-(AA19+AB19)</f>
        <v/>
      </c>
      <c r="AD19" s="41">
        <f>'Oct2026-COLLECTION'!K18</f>
        <v/>
      </c>
      <c r="AE19" s="41">
        <f>'Oct2026-EXPENSE'!R22</f>
        <v/>
      </c>
      <c r="AF19" s="21" t="n"/>
      <c r="AG19" s="41">
        <f>AD19-(AE19+AF19)</f>
        <v/>
      </c>
      <c r="AH19" s="41">
        <f>'Nov2026-COLLECTION'!K18</f>
        <v/>
      </c>
      <c r="AI19" s="41">
        <f>'Nov2026-EXPENSE'!R22</f>
        <v/>
      </c>
      <c r="AJ19" s="21" t="n"/>
      <c r="AK19" s="41">
        <f>AH19-(AI19+AJ19)</f>
        <v/>
      </c>
      <c r="AL19" s="41">
        <f>'Dec2026-COLLECTION'!K18</f>
        <v/>
      </c>
      <c r="AM19" s="41">
        <f>'Dec2026-EXPENSE'!R22</f>
        <v/>
      </c>
      <c r="AN19" s="21" t="n"/>
      <c r="AO19" s="41">
        <f>AL19-(AM19+AN19)</f>
        <v/>
      </c>
      <c r="AP19" s="41">
        <f>'Jan2027-COLLECTION'!K18</f>
        <v/>
      </c>
      <c r="AQ19" s="41">
        <f>'Jan2027-EXPENSE'!R22</f>
        <v/>
      </c>
      <c r="AR19" s="2" t="n"/>
      <c r="AS19" s="41">
        <f>AP19-(AQ19+AR19)</f>
        <v/>
      </c>
      <c r="AT19" s="41">
        <f>'Feb2027-COLLECTION'!K18</f>
        <v/>
      </c>
      <c r="AU19" s="41">
        <f>'Feb2027-EXPENSE'!R22</f>
        <v/>
      </c>
      <c r="AV19" s="2" t="n"/>
      <c r="AW19" s="41">
        <f>AT19-(AU19+AV19)</f>
        <v/>
      </c>
      <c r="AX19" s="41">
        <f>'Mar2027-COLLECTION'!K18</f>
        <v/>
      </c>
      <c r="AY19" s="41">
        <f>'Mar2027-EXPENSE'!R22</f>
        <v/>
      </c>
      <c r="AZ19" s="2" t="n"/>
      <c r="BA19" s="41">
        <f>AX19-(AY19+AZ19)</f>
        <v/>
      </c>
      <c r="BB19" s="41">
        <f>SUM(F19,J19,N19,R19,V19,Z19,AD19,AH19,AL19,AP19,AT19,AX19)</f>
        <v/>
      </c>
      <c r="BC19" s="41">
        <f>SUM(G19,K19,O19,S19,W19,AA19,AE19,AI19,AM19,AQ19,AU19,AY19)</f>
        <v/>
      </c>
      <c r="BD19" s="41">
        <f>SUM(H19,L19,P19,T19,X19,AB19,AF19,AJ19,AN19,AR19,AV19,AZ19)</f>
        <v/>
      </c>
      <c r="BE19" s="41">
        <f>BB19-(BC19+BD19)</f>
        <v/>
      </c>
      <c r="BF19" s="41">
        <f>E19+BE19</f>
        <v/>
      </c>
      <c r="BG19" s="41" t="n">
        <v>0</v>
      </c>
    </row>
    <row r="20" ht="15.95" customHeight="1">
      <c r="A20" s="36" t="inlineStr">
        <is>
          <t>G2</t>
        </is>
      </c>
      <c r="B20" s="42" t="n"/>
      <c r="C20" s="42" t="inlineStr">
        <is>
          <t>Kaushik Kasibhatla</t>
        </is>
      </c>
      <c r="D20" s="43" t="n">
        <v>0</v>
      </c>
      <c r="E20" s="43" t="n">
        <v>0</v>
      </c>
      <c r="F20" s="43">
        <f>'Apr2026-COLLECTION'!K19</f>
        <v/>
      </c>
      <c r="G20" s="43">
        <f>'Apr2026-EXPENSE'!R23</f>
        <v/>
      </c>
      <c r="H20" s="20" t="n"/>
      <c r="I20" s="43">
        <f>F20-(G20+H20)</f>
        <v/>
      </c>
      <c r="J20" s="43">
        <f>'May2026-COLLECTION'!K19</f>
        <v/>
      </c>
      <c r="K20" s="43">
        <f>'May2026-EXPENSE'!R23</f>
        <v/>
      </c>
      <c r="L20" s="21" t="n"/>
      <c r="M20" s="43">
        <f>J20-(K20+L20)</f>
        <v/>
      </c>
      <c r="N20" s="43">
        <f>'June2026-COLLECTION'!K19</f>
        <v/>
      </c>
      <c r="O20" s="43">
        <f>'June2026-EXPENSE'!R23</f>
        <v/>
      </c>
      <c r="P20" s="20" t="n"/>
      <c r="Q20" s="43">
        <f>N20-(O20+P20)</f>
        <v/>
      </c>
      <c r="R20" s="43">
        <f>'July2026-COLLECTION'!K19</f>
        <v/>
      </c>
      <c r="S20" s="43">
        <f>'July2026-EXPENSE'!R23</f>
        <v/>
      </c>
      <c r="T20" s="21" t="n"/>
      <c r="U20" s="43">
        <f>R20-(S20+T20)</f>
        <v/>
      </c>
      <c r="V20" s="43">
        <f>'Aug2026-COLLECTION'!K19</f>
        <v/>
      </c>
      <c r="W20" s="43">
        <f>'Aug2026-EXPENSE'!R23</f>
        <v/>
      </c>
      <c r="X20" s="20" t="n"/>
      <c r="Y20" s="43">
        <f>V20-(W20+X20)</f>
        <v/>
      </c>
      <c r="Z20" s="43">
        <f>'Sep2026-COLLECTION'!K19</f>
        <v/>
      </c>
      <c r="AA20" s="43">
        <f>'Sep2026-EXPENSE'!R23</f>
        <v/>
      </c>
      <c r="AB20" s="21" t="n"/>
      <c r="AC20" s="43">
        <f>Z20-(AA20+AB20)</f>
        <v/>
      </c>
      <c r="AD20" s="43">
        <f>'Oct2026-COLLECTION'!K19</f>
        <v/>
      </c>
      <c r="AE20" s="43">
        <f>'Oct2026-EXPENSE'!R23</f>
        <v/>
      </c>
      <c r="AF20" s="21" t="n"/>
      <c r="AG20" s="43">
        <f>AD20-(AE20+AF20)</f>
        <v/>
      </c>
      <c r="AH20" s="43">
        <f>'Nov2026-COLLECTION'!K19</f>
        <v/>
      </c>
      <c r="AI20" s="43">
        <f>'Nov2026-EXPENSE'!R23</f>
        <v/>
      </c>
      <c r="AJ20" s="21" t="n"/>
      <c r="AK20" s="43">
        <f>AH20-(AI20+AJ20)</f>
        <v/>
      </c>
      <c r="AL20" s="43">
        <f>'Dec2026-COLLECTION'!K19</f>
        <v/>
      </c>
      <c r="AM20" s="43">
        <f>'Dec2026-EXPENSE'!R23</f>
        <v/>
      </c>
      <c r="AN20" s="21" t="n"/>
      <c r="AO20" s="43">
        <f>AL20-(AM20+AN20)</f>
        <v/>
      </c>
      <c r="AP20" s="43">
        <f>'Jan2027-COLLECTION'!K19</f>
        <v/>
      </c>
      <c r="AQ20" s="43">
        <f>'Jan2027-EXPENSE'!R23</f>
        <v/>
      </c>
      <c r="AR20" s="2" t="n"/>
      <c r="AS20" s="43">
        <f>AP20-(AQ20+AR20)</f>
        <v/>
      </c>
      <c r="AT20" s="43">
        <f>'Feb2027-COLLECTION'!K19</f>
        <v/>
      </c>
      <c r="AU20" s="43">
        <f>'Feb2027-EXPENSE'!R23</f>
        <v/>
      </c>
      <c r="AV20" s="2" t="n"/>
      <c r="AW20" s="43">
        <f>AT20-(AU20+AV20)</f>
        <v/>
      </c>
      <c r="AX20" s="43">
        <f>'Mar2027-COLLECTION'!K19</f>
        <v/>
      </c>
      <c r="AY20" s="43">
        <f>'Mar2027-EXPENSE'!R23</f>
        <v/>
      </c>
      <c r="AZ20" s="2" t="n"/>
      <c r="BA20" s="43">
        <f>AX20-(AY20+AZ20)</f>
        <v/>
      </c>
      <c r="BB20" s="43">
        <f>SUM(F20,J20,N20,R20,V20,Z20,AD20,AH20,AL20,AP20,AT20,AX20)</f>
        <v/>
      </c>
      <c r="BC20" s="43">
        <f>SUM(G20,K20,O20,S20,W20,AA20,AE20,AI20,AM20,AQ20,AU20,AY20)</f>
        <v/>
      </c>
      <c r="BD20" s="43">
        <f>SUM(H20,L20,P20,T20,X20,AB20,AF20,AJ20,AN20,AR20,AV20,AZ20)</f>
        <v/>
      </c>
      <c r="BE20" s="43">
        <f>BB20-(BC20+BD20)</f>
        <v/>
      </c>
      <c r="BF20" s="43">
        <f>E20+BE20</f>
        <v/>
      </c>
      <c r="BG20" s="43" t="n">
        <v>0</v>
      </c>
    </row>
    <row r="21" ht="15.75" customHeight="1">
      <c r="A21" s="37" t="inlineStr">
        <is>
          <t>G3</t>
        </is>
      </c>
      <c r="B21" s="40" t="n"/>
      <c r="C21" s="40" t="inlineStr">
        <is>
          <t>Balakrishnan</t>
        </is>
      </c>
      <c r="D21" s="41" t="n">
        <v>0</v>
      </c>
      <c r="E21" s="41" t="n">
        <v>0</v>
      </c>
      <c r="F21" s="41">
        <f>'Apr2026-COLLECTION'!K20</f>
        <v/>
      </c>
      <c r="G21" s="41">
        <f>'Apr2026-EXPENSE'!R24</f>
        <v/>
      </c>
      <c r="H21" s="20" t="n"/>
      <c r="I21" s="41">
        <f>F21-(G21+H21)</f>
        <v/>
      </c>
      <c r="J21" s="41">
        <f>'May2026-COLLECTION'!K20</f>
        <v/>
      </c>
      <c r="K21" s="41">
        <f>'May2026-EXPENSE'!R24</f>
        <v/>
      </c>
      <c r="L21" s="21" t="n"/>
      <c r="M21" s="41">
        <f>J21-(K21+L21)</f>
        <v/>
      </c>
      <c r="N21" s="41">
        <f>'June2026-COLLECTION'!K20</f>
        <v/>
      </c>
      <c r="O21" s="41">
        <f>'June2026-EXPENSE'!R24</f>
        <v/>
      </c>
      <c r="P21" s="20" t="n"/>
      <c r="Q21" s="41">
        <f>N21-(O21+P21)</f>
        <v/>
      </c>
      <c r="R21" s="41">
        <f>'July2026-COLLECTION'!K20</f>
        <v/>
      </c>
      <c r="S21" s="41">
        <f>'July2026-EXPENSE'!R24</f>
        <v/>
      </c>
      <c r="T21" s="21" t="n"/>
      <c r="U21" s="41">
        <f>R21-(S21+T21)</f>
        <v/>
      </c>
      <c r="V21" s="41">
        <f>'Aug2026-COLLECTION'!K20</f>
        <v/>
      </c>
      <c r="W21" s="41">
        <f>'Aug2026-EXPENSE'!R24</f>
        <v/>
      </c>
      <c r="X21" s="20" t="n"/>
      <c r="Y21" s="41">
        <f>V21-(W21+X21)</f>
        <v/>
      </c>
      <c r="Z21" s="41">
        <f>'Sep2026-COLLECTION'!K20</f>
        <v/>
      </c>
      <c r="AA21" s="41">
        <f>'Sep2026-EXPENSE'!R24</f>
        <v/>
      </c>
      <c r="AB21" s="21" t="n"/>
      <c r="AC21" s="41">
        <f>Z21-(AA21+AB21)</f>
        <v/>
      </c>
      <c r="AD21" s="41">
        <f>'Oct2026-COLLECTION'!K20</f>
        <v/>
      </c>
      <c r="AE21" s="41">
        <f>'Oct2026-EXPENSE'!R24</f>
        <v/>
      </c>
      <c r="AF21" s="21" t="n"/>
      <c r="AG21" s="41">
        <f>AD21-(AE21+AF21)</f>
        <v/>
      </c>
      <c r="AH21" s="41">
        <f>'Nov2026-COLLECTION'!K20</f>
        <v/>
      </c>
      <c r="AI21" s="41">
        <f>'Nov2026-EXPENSE'!R24</f>
        <v/>
      </c>
      <c r="AJ21" s="21" t="n"/>
      <c r="AK21" s="41">
        <f>AH21-(AI21+AJ21)</f>
        <v/>
      </c>
      <c r="AL21" s="41">
        <f>'Dec2026-COLLECTION'!K20</f>
        <v/>
      </c>
      <c r="AM21" s="41">
        <f>'Dec2026-EXPENSE'!R24</f>
        <v/>
      </c>
      <c r="AN21" s="21" t="n"/>
      <c r="AO21" s="41">
        <f>AL21-(AM21+AN21)</f>
        <v/>
      </c>
      <c r="AP21" s="41">
        <f>'Jan2027-COLLECTION'!K20</f>
        <v/>
      </c>
      <c r="AQ21" s="41">
        <f>'Jan2027-EXPENSE'!R24</f>
        <v/>
      </c>
      <c r="AR21" s="2" t="n"/>
      <c r="AS21" s="41">
        <f>AP21-(AQ21+AR21)</f>
        <v/>
      </c>
      <c r="AT21" s="41">
        <f>'Feb2027-COLLECTION'!K20</f>
        <v/>
      </c>
      <c r="AU21" s="41">
        <f>'Feb2027-EXPENSE'!R24</f>
        <v/>
      </c>
      <c r="AV21" s="2" t="n"/>
      <c r="AW21" s="41">
        <f>AT21-(AU21+AV21)</f>
        <v/>
      </c>
      <c r="AX21" s="41">
        <f>'Mar2027-COLLECTION'!K20</f>
        <v/>
      </c>
      <c r="AY21" s="41">
        <f>'Mar2027-EXPENSE'!R24</f>
        <v/>
      </c>
      <c r="AZ21" s="2" t="n"/>
      <c r="BA21" s="41">
        <f>AX21-(AY21+AZ21)</f>
        <v/>
      </c>
      <c r="BB21" s="41">
        <f>SUM(F21,J21,N21,R21,V21,Z21,AD21,AH21,AL21,AP21,AT21,AX21)</f>
        <v/>
      </c>
      <c r="BC21" s="41">
        <f>SUM(G21,K21,O21,S21,W21,AA21,AE21,AI21,AM21,AQ21,AU21,AY21)</f>
        <v/>
      </c>
      <c r="BD21" s="41">
        <f>SUM(H21,L21,P21,T21,X21,AB21,AF21,AJ21,AN21,AR21,AV21,AZ21)</f>
        <v/>
      </c>
      <c r="BE21" s="41">
        <f>BB21-(BC21+BD21)</f>
        <v/>
      </c>
      <c r="BF21" s="41">
        <f>E21+BE21</f>
        <v/>
      </c>
      <c r="BG21" s="41" t="n">
        <v>0</v>
      </c>
    </row>
    <row r="22" ht="15.75" customHeight="1">
      <c r="A22" s="36" t="inlineStr">
        <is>
          <t>G4</t>
        </is>
      </c>
      <c r="B22" s="42" t="n"/>
      <c r="C22" s="42" t="inlineStr">
        <is>
          <t>Ashwin Pandith</t>
        </is>
      </c>
      <c r="D22" s="43" t="n">
        <v>0</v>
      </c>
      <c r="E22" s="43" t="n">
        <v>0</v>
      </c>
      <c r="F22" s="43">
        <f>'Apr2026-COLLECTION'!K21</f>
        <v/>
      </c>
      <c r="G22" s="43">
        <f>'Apr2026-EXPENSE'!R25</f>
        <v/>
      </c>
      <c r="H22" s="20" t="n"/>
      <c r="I22" s="43">
        <f>F22-(G22+H22)</f>
        <v/>
      </c>
      <c r="J22" s="43">
        <f>'May2026-COLLECTION'!K21</f>
        <v/>
      </c>
      <c r="K22" s="43">
        <f>'May2026-EXPENSE'!R25</f>
        <v/>
      </c>
      <c r="L22" s="21" t="n"/>
      <c r="M22" s="43">
        <f>J22-(K22+L22)</f>
        <v/>
      </c>
      <c r="N22" s="43">
        <f>'June2026-COLLECTION'!K21</f>
        <v/>
      </c>
      <c r="O22" s="43">
        <f>'June2026-EXPENSE'!R25</f>
        <v/>
      </c>
      <c r="P22" s="20" t="n"/>
      <c r="Q22" s="43">
        <f>N22-(O22+P22)</f>
        <v/>
      </c>
      <c r="R22" s="43">
        <f>'July2026-COLLECTION'!K21</f>
        <v/>
      </c>
      <c r="S22" s="43">
        <f>'July2026-EXPENSE'!R25</f>
        <v/>
      </c>
      <c r="T22" s="21" t="n"/>
      <c r="U22" s="43">
        <f>R22-(S22+T22)</f>
        <v/>
      </c>
      <c r="V22" s="43">
        <f>'Aug2026-COLLECTION'!K21</f>
        <v/>
      </c>
      <c r="W22" s="43">
        <f>'Aug2026-EXPENSE'!R25</f>
        <v/>
      </c>
      <c r="X22" s="20" t="n"/>
      <c r="Y22" s="43">
        <f>V22-(W22+X22)</f>
        <v/>
      </c>
      <c r="Z22" s="43">
        <f>'Sep2026-COLLECTION'!K21</f>
        <v/>
      </c>
      <c r="AA22" s="43">
        <f>'Sep2026-EXPENSE'!R25</f>
        <v/>
      </c>
      <c r="AB22" s="21" t="n"/>
      <c r="AC22" s="43">
        <f>Z22-(AA22+AB22)</f>
        <v/>
      </c>
      <c r="AD22" s="43">
        <f>'Oct2026-COLLECTION'!K21</f>
        <v/>
      </c>
      <c r="AE22" s="43">
        <f>'Oct2026-EXPENSE'!R25</f>
        <v/>
      </c>
      <c r="AF22" s="21" t="n"/>
      <c r="AG22" s="43">
        <f>AD22-(AE22+AF22)</f>
        <v/>
      </c>
      <c r="AH22" s="43">
        <f>'Nov2026-COLLECTION'!K21</f>
        <v/>
      </c>
      <c r="AI22" s="43">
        <f>'Nov2026-EXPENSE'!R25</f>
        <v/>
      </c>
      <c r="AJ22" s="21" t="n"/>
      <c r="AK22" s="43">
        <f>AH22-(AI22+AJ22)</f>
        <v/>
      </c>
      <c r="AL22" s="43">
        <f>'Dec2026-COLLECTION'!K21</f>
        <v/>
      </c>
      <c r="AM22" s="43">
        <f>'Dec2026-EXPENSE'!R25</f>
        <v/>
      </c>
      <c r="AN22" s="21" t="n"/>
      <c r="AO22" s="43">
        <f>AL22-(AM22+AN22)</f>
        <v/>
      </c>
      <c r="AP22" s="43">
        <f>'Jan2027-COLLECTION'!K21</f>
        <v/>
      </c>
      <c r="AQ22" s="43">
        <f>'Jan2027-EXPENSE'!R25</f>
        <v/>
      </c>
      <c r="AR22" s="2" t="n"/>
      <c r="AS22" s="43">
        <f>AP22-(AQ22+AR22)</f>
        <v/>
      </c>
      <c r="AT22" s="43">
        <f>'Feb2027-COLLECTION'!K21</f>
        <v/>
      </c>
      <c r="AU22" s="43">
        <f>'Feb2027-EXPENSE'!R25</f>
        <v/>
      </c>
      <c r="AV22" s="2" t="n"/>
      <c r="AW22" s="43">
        <f>AT22-(AU22+AV22)</f>
        <v/>
      </c>
      <c r="AX22" s="43">
        <f>'Mar2027-COLLECTION'!K21</f>
        <v/>
      </c>
      <c r="AY22" s="43">
        <f>'Mar2027-EXPENSE'!R25</f>
        <v/>
      </c>
      <c r="AZ22" s="2" t="n"/>
      <c r="BA22" s="43">
        <f>AX22-(AY22+AZ22)</f>
        <v/>
      </c>
      <c r="BB22" s="43">
        <f>SUM(F22,J22,N22,R22,V22,Z22,AD22,AH22,AL22,AP22,AT22,AX22)</f>
        <v/>
      </c>
      <c r="BC22" s="43">
        <f>SUM(G22,K22,O22,S22,W22,AA22,AE22,AI22,AM22,AQ22,AU22,AY22)</f>
        <v/>
      </c>
      <c r="BD22" s="43">
        <f>SUM(H22,L22,P22,T22,X22,AB22,AF22,AJ22,AN22,AR22,AV22,AZ22)</f>
        <v/>
      </c>
      <c r="BE22" s="43">
        <f>BB22-(BC22+BD22)</f>
        <v/>
      </c>
      <c r="BF22" s="43">
        <f>E22+BE22</f>
        <v/>
      </c>
      <c r="BG22" s="43" t="n">
        <v>0</v>
      </c>
    </row>
    <row r="23" ht="15.75" customHeight="1">
      <c r="A23" s="37" t="inlineStr">
        <is>
          <t>G5</t>
        </is>
      </c>
      <c r="B23" s="40" t="n"/>
      <c r="C23" s="40" t="inlineStr">
        <is>
          <t>Mayank Phophaliya</t>
        </is>
      </c>
      <c r="D23" s="41" t="n">
        <v>0</v>
      </c>
      <c r="E23" s="41" t="n">
        <v>0</v>
      </c>
      <c r="F23" s="41">
        <f>'Apr2026-COLLECTION'!K22</f>
        <v/>
      </c>
      <c r="G23" s="41">
        <f>'Apr2026-EXPENSE'!R26</f>
        <v/>
      </c>
      <c r="H23" s="20" t="n"/>
      <c r="I23" s="41">
        <f>F23-(G23+H23)</f>
        <v/>
      </c>
      <c r="J23" s="41">
        <f>'May2026-COLLECTION'!K22</f>
        <v/>
      </c>
      <c r="K23" s="41">
        <f>'May2026-EXPENSE'!R26</f>
        <v/>
      </c>
      <c r="L23" s="21" t="n"/>
      <c r="M23" s="41">
        <f>J23-(K23+L23)</f>
        <v/>
      </c>
      <c r="N23" s="41">
        <f>'June2026-COLLECTION'!K22</f>
        <v/>
      </c>
      <c r="O23" s="41">
        <f>'June2026-EXPENSE'!R26</f>
        <v/>
      </c>
      <c r="P23" s="20" t="n"/>
      <c r="Q23" s="41">
        <f>N23-(O23+P23)</f>
        <v/>
      </c>
      <c r="R23" s="41">
        <f>'July2026-COLLECTION'!K22</f>
        <v/>
      </c>
      <c r="S23" s="41">
        <f>'July2026-EXPENSE'!R26</f>
        <v/>
      </c>
      <c r="T23" s="21" t="n"/>
      <c r="U23" s="41">
        <f>R23-(S23+T23)</f>
        <v/>
      </c>
      <c r="V23" s="41">
        <f>'Aug2026-COLLECTION'!K22</f>
        <v/>
      </c>
      <c r="W23" s="41">
        <f>'Aug2026-EXPENSE'!R26</f>
        <v/>
      </c>
      <c r="X23" s="20" t="n"/>
      <c r="Y23" s="41">
        <f>V23-(W23+X23)</f>
        <v/>
      </c>
      <c r="Z23" s="41">
        <f>'Sep2026-COLLECTION'!K22</f>
        <v/>
      </c>
      <c r="AA23" s="41">
        <f>'Sep2026-EXPENSE'!R26</f>
        <v/>
      </c>
      <c r="AB23" s="21" t="n"/>
      <c r="AC23" s="41">
        <f>Z23-(AA23+AB23)</f>
        <v/>
      </c>
      <c r="AD23" s="41">
        <f>'Oct2026-COLLECTION'!K22</f>
        <v/>
      </c>
      <c r="AE23" s="41">
        <f>'Oct2026-EXPENSE'!R26</f>
        <v/>
      </c>
      <c r="AF23" s="21" t="n"/>
      <c r="AG23" s="41">
        <f>AD23-(AE23+AF23)</f>
        <v/>
      </c>
      <c r="AH23" s="41">
        <f>'Nov2026-COLLECTION'!K22</f>
        <v/>
      </c>
      <c r="AI23" s="41">
        <f>'Nov2026-EXPENSE'!R26</f>
        <v/>
      </c>
      <c r="AJ23" s="21" t="n"/>
      <c r="AK23" s="41">
        <f>AH23-(AI23+AJ23)</f>
        <v/>
      </c>
      <c r="AL23" s="41">
        <f>'Dec2026-COLLECTION'!K22</f>
        <v/>
      </c>
      <c r="AM23" s="41">
        <f>'Dec2026-EXPENSE'!R26</f>
        <v/>
      </c>
      <c r="AN23" s="21" t="n"/>
      <c r="AO23" s="41">
        <f>AL23-(AM23+AN23)</f>
        <v/>
      </c>
      <c r="AP23" s="41">
        <f>'Jan2027-COLLECTION'!K22</f>
        <v/>
      </c>
      <c r="AQ23" s="41">
        <f>'Jan2027-EXPENSE'!R26</f>
        <v/>
      </c>
      <c r="AR23" s="2" t="n"/>
      <c r="AS23" s="41">
        <f>AP23-(AQ23+AR23)</f>
        <v/>
      </c>
      <c r="AT23" s="41">
        <f>'Feb2027-COLLECTION'!K22</f>
        <v/>
      </c>
      <c r="AU23" s="41">
        <f>'Feb2027-EXPENSE'!R26</f>
        <v/>
      </c>
      <c r="AV23" s="2" t="n"/>
      <c r="AW23" s="41">
        <f>AT23-(AU23+AV23)</f>
        <v/>
      </c>
      <c r="AX23" s="41">
        <f>'Mar2027-COLLECTION'!K22</f>
        <v/>
      </c>
      <c r="AY23" s="41">
        <f>'Mar2027-EXPENSE'!R26</f>
        <v/>
      </c>
      <c r="AZ23" s="2" t="n"/>
      <c r="BA23" s="41">
        <f>AX23-(AY23+AZ23)</f>
        <v/>
      </c>
      <c r="BB23" s="41">
        <f>SUM(F23,J23,N23,R23,V23,Z23,AD23,AH23,AL23,AP23,AT23,AX23)</f>
        <v/>
      </c>
      <c r="BC23" s="41">
        <f>SUM(G23,K23,O23,S23,W23,AA23,AE23,AI23,AM23,AQ23,AU23,AY23)</f>
        <v/>
      </c>
      <c r="BD23" s="41">
        <f>SUM(H23,L23,P23,T23,X23,AB23,AF23,AJ23,AN23,AR23,AV23,AZ23)</f>
        <v/>
      </c>
      <c r="BE23" s="41">
        <f>BB23-(BC23+BD23)</f>
        <v/>
      </c>
      <c r="BF23" s="41">
        <f>E23+BE23</f>
        <v/>
      </c>
      <c r="BG23" s="41" t="n">
        <v>0</v>
      </c>
    </row>
    <row r="24" ht="15.75" customHeight="1">
      <c r="A24" s="36" t="inlineStr">
        <is>
          <t>G6</t>
        </is>
      </c>
      <c r="B24" s="42" t="n"/>
      <c r="C24" s="42" t="inlineStr">
        <is>
          <t>Srinath / Tenant - Mohit Daga</t>
        </is>
      </c>
      <c r="D24" s="43" t="n">
        <v>0</v>
      </c>
      <c r="E24" s="43" t="n">
        <v>0</v>
      </c>
      <c r="F24" s="43">
        <f>'Apr2026-COLLECTION'!K23</f>
        <v/>
      </c>
      <c r="G24" s="43">
        <f>'Apr2026-EXPENSE'!R27</f>
        <v/>
      </c>
      <c r="H24" s="20" t="n"/>
      <c r="I24" s="43">
        <f>F24-(G24+H24)</f>
        <v/>
      </c>
      <c r="J24" s="43">
        <f>'May2026-COLLECTION'!K23</f>
        <v/>
      </c>
      <c r="K24" s="43">
        <f>'May2026-EXPENSE'!R27</f>
        <v/>
      </c>
      <c r="L24" s="43" t="n">
        <v>0</v>
      </c>
      <c r="M24" s="43">
        <f>J24-(K24+L24)</f>
        <v/>
      </c>
      <c r="N24" s="43">
        <f>'June2026-COLLECTION'!K23</f>
        <v/>
      </c>
      <c r="O24" s="43">
        <f>'June2026-EXPENSE'!R27</f>
        <v/>
      </c>
      <c r="P24" s="20" t="n"/>
      <c r="Q24" s="43">
        <f>N24-(O24+P24)</f>
        <v/>
      </c>
      <c r="R24" s="43">
        <f>'July2026-COLLECTION'!K23</f>
        <v/>
      </c>
      <c r="S24" s="43">
        <f>'July2026-EXPENSE'!R27</f>
        <v/>
      </c>
      <c r="T24" s="21" t="n"/>
      <c r="U24" s="43">
        <f>R24-(S24+T24)</f>
        <v/>
      </c>
      <c r="V24" s="43">
        <f>'Aug2026-COLLECTION'!K23</f>
        <v/>
      </c>
      <c r="W24" s="43">
        <f>'Aug2026-EXPENSE'!R27</f>
        <v/>
      </c>
      <c r="X24" s="20" t="n"/>
      <c r="Y24" s="43">
        <f>V24-(W24+X24)</f>
        <v/>
      </c>
      <c r="Z24" s="43">
        <f>'Sep2026-COLLECTION'!K23</f>
        <v/>
      </c>
      <c r="AA24" s="43">
        <f>'Sep2026-EXPENSE'!R27</f>
        <v/>
      </c>
      <c r="AB24" s="21" t="n"/>
      <c r="AC24" s="43">
        <f>Z24-(AA24+AB24)</f>
        <v/>
      </c>
      <c r="AD24" s="43">
        <f>'Oct2026-COLLECTION'!K23</f>
        <v/>
      </c>
      <c r="AE24" s="43">
        <f>'Oct2026-EXPENSE'!R27</f>
        <v/>
      </c>
      <c r="AF24" s="21" t="n"/>
      <c r="AG24" s="43">
        <f>AD24-(AE24+AF24)</f>
        <v/>
      </c>
      <c r="AH24" s="43">
        <f>'Nov2026-COLLECTION'!K23</f>
        <v/>
      </c>
      <c r="AI24" s="43">
        <f>'Nov2026-EXPENSE'!R27</f>
        <v/>
      </c>
      <c r="AJ24" s="21" t="n"/>
      <c r="AK24" s="43">
        <f>AH24-(AI24+AJ24)</f>
        <v/>
      </c>
      <c r="AL24" s="43">
        <f>'Dec2026-COLLECTION'!K23</f>
        <v/>
      </c>
      <c r="AM24" s="43">
        <f>'Dec2026-EXPENSE'!R27</f>
        <v/>
      </c>
      <c r="AN24" s="21" t="n"/>
      <c r="AO24" s="43">
        <f>AL24-(AM24+AN24)</f>
        <v/>
      </c>
      <c r="AP24" s="43">
        <f>'Jan2027-COLLECTION'!K23</f>
        <v/>
      </c>
      <c r="AQ24" s="43">
        <f>'Jan2027-EXPENSE'!R27</f>
        <v/>
      </c>
      <c r="AR24" s="2" t="n"/>
      <c r="AS24" s="43">
        <f>AP24-(AQ24+AR24)</f>
        <v/>
      </c>
      <c r="AT24" s="43">
        <f>'Feb2027-COLLECTION'!K23</f>
        <v/>
      </c>
      <c r="AU24" s="43">
        <f>'Feb2027-EXPENSE'!R27</f>
        <v/>
      </c>
      <c r="AV24" s="2" t="n"/>
      <c r="AW24" s="43">
        <f>AT24-(AU24+AV24)</f>
        <v/>
      </c>
      <c r="AX24" s="43">
        <f>'Mar2027-COLLECTION'!K23</f>
        <v/>
      </c>
      <c r="AY24" s="43">
        <f>'Mar2027-EXPENSE'!R27</f>
        <v/>
      </c>
      <c r="AZ24" s="2" t="n"/>
      <c r="BA24" s="43">
        <f>AX24-(AY24+AZ24)</f>
        <v/>
      </c>
      <c r="BB24" s="43">
        <f>SUM(F24,J24,N24,R24,V24,Z24,AD24,AH24,AL24,AP24,AT24,AX24)</f>
        <v/>
      </c>
      <c r="BC24" s="43">
        <f>SUM(G24,K24,O24,S24,W24,AA24,AE24,AI24,AM24,AQ24,AU24,AY24)</f>
        <v/>
      </c>
      <c r="BD24" s="43">
        <f>SUM(H24,L24,P24,T24,X24,AB24,AF24,AJ24,AN24,AR24,AV24,AZ24)</f>
        <v/>
      </c>
      <c r="BE24" s="43">
        <f>BB24-(BC24+BD24)</f>
        <v/>
      </c>
      <c r="BF24" s="43">
        <f>E24+BE24</f>
        <v/>
      </c>
      <c r="BG24" s="43" t="n">
        <v>0</v>
      </c>
    </row>
    <row r="25" ht="15.75" customHeight="1">
      <c r="A25" s="37" t="inlineStr">
        <is>
          <t>G7</t>
        </is>
      </c>
      <c r="B25" s="40" t="n"/>
      <c r="C25" s="40" t="inlineStr">
        <is>
          <t>Prince Richfield</t>
        </is>
      </c>
      <c r="D25" s="41" t="n">
        <v>0</v>
      </c>
      <c r="E25" s="41" t="n">
        <v>0</v>
      </c>
      <c r="F25" s="41">
        <f>'Apr2026-COLLECTION'!K24</f>
        <v/>
      </c>
      <c r="G25" s="41">
        <f>'Apr2026-EXPENSE'!R28</f>
        <v/>
      </c>
      <c r="H25" s="20" t="n"/>
      <c r="I25" s="41">
        <f>F25-(G25+H25)</f>
        <v/>
      </c>
      <c r="J25" s="41">
        <f>'May2026-COLLECTION'!K24</f>
        <v/>
      </c>
      <c r="K25" s="41">
        <f>'May2026-EXPENSE'!R28</f>
        <v/>
      </c>
      <c r="L25" s="21" t="n"/>
      <c r="M25" s="41">
        <f>J25-(K25+L25)</f>
        <v/>
      </c>
      <c r="N25" s="41">
        <f>'June2026-COLLECTION'!K24</f>
        <v/>
      </c>
      <c r="O25" s="41">
        <f>'June2026-EXPENSE'!R28</f>
        <v/>
      </c>
      <c r="P25" s="20" t="n"/>
      <c r="Q25" s="41">
        <f>N25-(O25+P25)</f>
        <v/>
      </c>
      <c r="R25" s="41">
        <f>'July2026-COLLECTION'!K24</f>
        <v/>
      </c>
      <c r="S25" s="41">
        <f>'July2026-EXPENSE'!R28</f>
        <v/>
      </c>
      <c r="T25" s="21" t="n"/>
      <c r="U25" s="41">
        <f>R25-(S25+T25)</f>
        <v/>
      </c>
      <c r="V25" s="41">
        <f>'Aug2026-COLLECTION'!K24</f>
        <v/>
      </c>
      <c r="W25" s="41">
        <f>'Aug2026-EXPENSE'!R28</f>
        <v/>
      </c>
      <c r="X25" s="20" t="n"/>
      <c r="Y25" s="41">
        <f>V25-(W25+X25)</f>
        <v/>
      </c>
      <c r="Z25" s="41">
        <f>'Sep2026-COLLECTION'!K24</f>
        <v/>
      </c>
      <c r="AA25" s="41">
        <f>'Sep2026-EXPENSE'!R28</f>
        <v/>
      </c>
      <c r="AB25" s="21" t="n"/>
      <c r="AC25" s="41">
        <f>Z25-(AA25+AB25)</f>
        <v/>
      </c>
      <c r="AD25" s="41">
        <f>'Oct2026-COLLECTION'!K24</f>
        <v/>
      </c>
      <c r="AE25" s="41">
        <f>'Oct2026-EXPENSE'!R28</f>
        <v/>
      </c>
      <c r="AF25" s="21" t="n"/>
      <c r="AG25" s="41">
        <f>AD25-(AE25+AF25)</f>
        <v/>
      </c>
      <c r="AH25" s="41">
        <f>'Nov2026-COLLECTION'!K24</f>
        <v/>
      </c>
      <c r="AI25" s="41">
        <f>'Nov2026-EXPENSE'!R28</f>
        <v/>
      </c>
      <c r="AJ25" s="21" t="n"/>
      <c r="AK25" s="41">
        <f>AH25-(AI25+AJ25)</f>
        <v/>
      </c>
      <c r="AL25" s="41">
        <f>'Dec2026-COLLECTION'!K24</f>
        <v/>
      </c>
      <c r="AM25" s="41">
        <f>'Dec2026-EXPENSE'!R28</f>
        <v/>
      </c>
      <c r="AN25" s="21" t="n"/>
      <c r="AO25" s="41">
        <f>AL25-(AM25+AN25)</f>
        <v/>
      </c>
      <c r="AP25" s="41">
        <f>'Jan2027-COLLECTION'!K24</f>
        <v/>
      </c>
      <c r="AQ25" s="41">
        <f>'Jan2027-EXPENSE'!R28</f>
        <v/>
      </c>
      <c r="AR25" s="2" t="n"/>
      <c r="AS25" s="41">
        <f>AP25-(AQ25+AR25)</f>
        <v/>
      </c>
      <c r="AT25" s="41">
        <f>'Feb2027-COLLECTION'!K24</f>
        <v/>
      </c>
      <c r="AU25" s="41">
        <f>'Feb2027-EXPENSE'!R28</f>
        <v/>
      </c>
      <c r="AV25" s="2" t="n"/>
      <c r="AW25" s="41">
        <f>AT25-(AU25+AV25)</f>
        <v/>
      </c>
      <c r="AX25" s="41">
        <f>'Mar2027-COLLECTION'!K24</f>
        <v/>
      </c>
      <c r="AY25" s="41">
        <f>'Mar2027-EXPENSE'!R28</f>
        <v/>
      </c>
      <c r="AZ25" s="2" t="n"/>
      <c r="BA25" s="41">
        <f>AX25-(AY25+AZ25)</f>
        <v/>
      </c>
      <c r="BB25" s="41">
        <f>SUM(F25,J25,N25,R25,V25,Z25,AD25,AH25,AL25,AP25,AT25,AX25)</f>
        <v/>
      </c>
      <c r="BC25" s="41">
        <f>SUM(G25,K25,O25,S25,W25,AA25,AE25,AI25,AM25,AQ25,AU25,AY25)</f>
        <v/>
      </c>
      <c r="BD25" s="41">
        <f>SUM(H25,L25,P25,T25,X25,AB25,AF25,AJ25,AN25,AR25,AV25,AZ25)</f>
        <v/>
      </c>
      <c r="BE25" s="41">
        <f>BB25-(BC25+BD25)</f>
        <v/>
      </c>
      <c r="BF25" s="41">
        <f>E25+BE25</f>
        <v/>
      </c>
      <c r="BG25" s="41" t="n">
        <v>0</v>
      </c>
    </row>
    <row r="26" ht="15.75" customHeight="1">
      <c r="A26" s="36" t="inlineStr">
        <is>
          <t>G8</t>
        </is>
      </c>
      <c r="B26" s="42" t="n"/>
      <c r="C26" s="42" t="inlineStr">
        <is>
          <t>Ranjithkumar R / Sameer (tenant) / Princy (tenant)</t>
        </is>
      </c>
      <c r="D26" s="43" t="n">
        <v>0</v>
      </c>
      <c r="E26" s="43" t="n">
        <v>0</v>
      </c>
      <c r="F26" s="43">
        <f>'Apr2026-COLLECTION'!K25</f>
        <v/>
      </c>
      <c r="G26" s="43">
        <f>'Apr2026-EXPENSE'!R29</f>
        <v/>
      </c>
      <c r="H26" s="20" t="n"/>
      <c r="I26" s="43">
        <f>F26-(G26+H26)</f>
        <v/>
      </c>
      <c r="J26" s="43">
        <f>'May2026-COLLECTION'!K25</f>
        <v/>
      </c>
      <c r="K26" s="43">
        <f>'May2026-EXPENSE'!R29</f>
        <v/>
      </c>
      <c r="L26" s="21" t="n"/>
      <c r="M26" s="43">
        <f>J26-(K26+L26)</f>
        <v/>
      </c>
      <c r="N26" s="43">
        <f>'June2026-COLLECTION'!K25</f>
        <v/>
      </c>
      <c r="O26" s="43">
        <f>'June2026-EXPENSE'!R29</f>
        <v/>
      </c>
      <c r="P26" s="20" t="n"/>
      <c r="Q26" s="43">
        <f>N26-(O26+P26)</f>
        <v/>
      </c>
      <c r="R26" s="43">
        <f>'July2026-COLLECTION'!K25</f>
        <v/>
      </c>
      <c r="S26" s="43">
        <f>'July2026-EXPENSE'!R29</f>
        <v/>
      </c>
      <c r="T26" s="21" t="n"/>
      <c r="U26" s="43">
        <f>R26-(S26+T26)</f>
        <v/>
      </c>
      <c r="V26" s="43">
        <f>'Aug2026-COLLECTION'!K25</f>
        <v/>
      </c>
      <c r="W26" s="43">
        <f>'Aug2026-EXPENSE'!R29</f>
        <v/>
      </c>
      <c r="X26" s="20" t="n"/>
      <c r="Y26" s="43">
        <f>V26-(W26+X26)</f>
        <v/>
      </c>
      <c r="Z26" s="43">
        <f>'Sep2026-COLLECTION'!K25</f>
        <v/>
      </c>
      <c r="AA26" s="43">
        <f>'Sep2026-EXPENSE'!R29</f>
        <v/>
      </c>
      <c r="AB26" s="21" t="n"/>
      <c r="AC26" s="43">
        <f>Z26-(AA26+AB26)</f>
        <v/>
      </c>
      <c r="AD26" s="43">
        <f>'Oct2026-COLLECTION'!K25</f>
        <v/>
      </c>
      <c r="AE26" s="43">
        <f>'Oct2026-EXPENSE'!R29</f>
        <v/>
      </c>
      <c r="AF26" s="21" t="n"/>
      <c r="AG26" s="43">
        <f>AD26-(AE26+AF26)</f>
        <v/>
      </c>
      <c r="AH26" s="43">
        <f>'Nov2026-COLLECTION'!K25</f>
        <v/>
      </c>
      <c r="AI26" s="43">
        <f>'Nov2026-EXPENSE'!R29</f>
        <v/>
      </c>
      <c r="AJ26" s="21" t="n"/>
      <c r="AK26" s="43">
        <f>AH26-(AI26+AJ26)</f>
        <v/>
      </c>
      <c r="AL26" s="43">
        <f>'Dec2026-COLLECTION'!K25</f>
        <v/>
      </c>
      <c r="AM26" s="43">
        <f>'Dec2026-EXPENSE'!R29</f>
        <v/>
      </c>
      <c r="AN26" s="21" t="n"/>
      <c r="AO26" s="43">
        <f>AL26-(AM26+AN26)</f>
        <v/>
      </c>
      <c r="AP26" s="43">
        <f>'Jan2027-COLLECTION'!K25</f>
        <v/>
      </c>
      <c r="AQ26" s="43">
        <f>'Jan2027-EXPENSE'!R29</f>
        <v/>
      </c>
      <c r="AR26" s="2" t="n"/>
      <c r="AS26" s="43">
        <f>AP26-(AQ26+AR26)</f>
        <v/>
      </c>
      <c r="AT26" s="43">
        <f>'Feb2027-COLLECTION'!K25</f>
        <v/>
      </c>
      <c r="AU26" s="43">
        <f>'Feb2027-EXPENSE'!R29</f>
        <v/>
      </c>
      <c r="AV26" s="2" t="n"/>
      <c r="AW26" s="43">
        <f>AT26-(AU26+AV26)</f>
        <v/>
      </c>
      <c r="AX26" s="43">
        <f>'Mar2027-COLLECTION'!K25</f>
        <v/>
      </c>
      <c r="AY26" s="43">
        <f>'Mar2027-EXPENSE'!R29</f>
        <v/>
      </c>
      <c r="AZ26" s="2" t="n"/>
      <c r="BA26" s="43">
        <f>AX26-(AY26+AZ26)</f>
        <v/>
      </c>
      <c r="BB26" s="43">
        <f>SUM(F26,J26,N26,R26,V26,Z26,AD26,AH26,AL26,AP26,AT26,AX26)</f>
        <v/>
      </c>
      <c r="BC26" s="43">
        <f>SUM(G26,K26,O26,S26,W26,AA26,AE26,AI26,AM26,AQ26,AU26,AY26)</f>
        <v/>
      </c>
      <c r="BD26" s="43">
        <f>SUM(H26,L26,P26,T26,X26,AB26,AF26,AJ26,AN26,AR26,AV26,AZ26)</f>
        <v/>
      </c>
      <c r="BE26" s="43">
        <f>BB26-(BC26+BD26)</f>
        <v/>
      </c>
      <c r="BF26" s="43">
        <f>E26+BE26</f>
        <v/>
      </c>
      <c r="BG26" s="43" t="n">
        <v>0</v>
      </c>
    </row>
    <row r="27" ht="15.75" customHeight="1">
      <c r="A27" s="37" t="inlineStr">
        <is>
          <t>G9</t>
        </is>
      </c>
      <c r="B27" s="40" t="n"/>
      <c r="C27" s="40" t="inlineStr">
        <is>
          <t>Chandramouli</t>
        </is>
      </c>
      <c r="D27" s="41" t="n">
        <v>0</v>
      </c>
      <c r="E27" s="41" t="n">
        <v>0</v>
      </c>
      <c r="F27" s="41">
        <f>'Apr2026-COLLECTION'!K26</f>
        <v/>
      </c>
      <c r="G27" s="41">
        <f>'Apr2026-EXPENSE'!R30</f>
        <v/>
      </c>
      <c r="H27" s="20" t="n"/>
      <c r="I27" s="41">
        <f>F27-(G27+H27)</f>
        <v/>
      </c>
      <c r="J27" s="41">
        <f>'May2026-COLLECTION'!K26</f>
        <v/>
      </c>
      <c r="K27" s="41">
        <f>'May2026-EXPENSE'!R30</f>
        <v/>
      </c>
      <c r="L27" s="21" t="n"/>
      <c r="M27" s="41">
        <f>J27-(K27+L27)</f>
        <v/>
      </c>
      <c r="N27" s="41">
        <f>'June2026-COLLECTION'!K26</f>
        <v/>
      </c>
      <c r="O27" s="41">
        <f>'June2026-EXPENSE'!R30</f>
        <v/>
      </c>
      <c r="P27" s="20" t="n"/>
      <c r="Q27" s="41">
        <f>N27-(O27+P27)</f>
        <v/>
      </c>
      <c r="R27" s="41">
        <f>'July2026-COLLECTION'!K26</f>
        <v/>
      </c>
      <c r="S27" s="41">
        <f>'July2026-EXPENSE'!R30</f>
        <v/>
      </c>
      <c r="T27" s="21" t="n"/>
      <c r="U27" s="41">
        <f>R27-(S27+T27)</f>
        <v/>
      </c>
      <c r="V27" s="41">
        <f>'Aug2026-COLLECTION'!K26</f>
        <v/>
      </c>
      <c r="W27" s="41">
        <f>'Aug2026-EXPENSE'!R30</f>
        <v/>
      </c>
      <c r="X27" s="20" t="n"/>
      <c r="Y27" s="41">
        <f>V27-(W27+X27)</f>
        <v/>
      </c>
      <c r="Z27" s="41">
        <f>'Sep2026-COLLECTION'!K26</f>
        <v/>
      </c>
      <c r="AA27" s="41">
        <f>'Sep2026-EXPENSE'!R30</f>
        <v/>
      </c>
      <c r="AB27" s="21" t="n"/>
      <c r="AC27" s="41">
        <f>Z27-(AA27+AB27)</f>
        <v/>
      </c>
      <c r="AD27" s="41">
        <f>'Oct2026-COLLECTION'!K26</f>
        <v/>
      </c>
      <c r="AE27" s="41">
        <f>'Oct2026-EXPENSE'!R30</f>
        <v/>
      </c>
      <c r="AF27" s="21" t="n"/>
      <c r="AG27" s="41">
        <f>AD27-(AE27+AF27)</f>
        <v/>
      </c>
      <c r="AH27" s="41">
        <f>'Nov2026-COLLECTION'!K26</f>
        <v/>
      </c>
      <c r="AI27" s="41">
        <f>'Nov2026-EXPENSE'!R30</f>
        <v/>
      </c>
      <c r="AJ27" s="21" t="n"/>
      <c r="AK27" s="41">
        <f>AH27-(AI27+AJ27)</f>
        <v/>
      </c>
      <c r="AL27" s="41">
        <f>'Dec2026-COLLECTION'!K26</f>
        <v/>
      </c>
      <c r="AM27" s="41">
        <f>'Dec2026-EXPENSE'!R30</f>
        <v/>
      </c>
      <c r="AN27" s="21" t="n"/>
      <c r="AO27" s="41">
        <f>AL27-(AM27+AN27)</f>
        <v/>
      </c>
      <c r="AP27" s="41">
        <f>'Jan2027-COLLECTION'!K26</f>
        <v/>
      </c>
      <c r="AQ27" s="41">
        <f>'Jan2027-EXPENSE'!R30</f>
        <v/>
      </c>
      <c r="AR27" s="2" t="n"/>
      <c r="AS27" s="41">
        <f>AP27-(AQ27+AR27)</f>
        <v/>
      </c>
      <c r="AT27" s="41">
        <f>'Feb2027-COLLECTION'!K26</f>
        <v/>
      </c>
      <c r="AU27" s="41">
        <f>'Feb2027-EXPENSE'!R30</f>
        <v/>
      </c>
      <c r="AV27" s="2" t="n"/>
      <c r="AW27" s="41">
        <f>AT27-(AU27+AV27)</f>
        <v/>
      </c>
      <c r="AX27" s="41">
        <f>'Mar2027-COLLECTION'!K26</f>
        <v/>
      </c>
      <c r="AY27" s="41">
        <f>'Mar2027-EXPENSE'!R30</f>
        <v/>
      </c>
      <c r="AZ27" s="2" t="n"/>
      <c r="BA27" s="41">
        <f>AX27-(AY27+AZ27)</f>
        <v/>
      </c>
      <c r="BB27" s="41">
        <f>SUM(F27,J27,N27,R27,V27,Z27,AD27,AH27,AL27,AP27,AT27,AX27)</f>
        <v/>
      </c>
      <c r="BC27" s="41">
        <f>SUM(G27,K27,O27,S27,W27,AA27,AE27,AI27,AM27,AQ27,AU27,AY27)</f>
        <v/>
      </c>
      <c r="BD27" s="41">
        <f>SUM(H27,L27,P27,T27,X27,AB27,AF27,AJ27,AN27,AR27,AV27,AZ27)</f>
        <v/>
      </c>
      <c r="BE27" s="41">
        <f>BB27-(BC27+BD27)</f>
        <v/>
      </c>
      <c r="BF27" s="41">
        <f>E27+BE27</f>
        <v/>
      </c>
      <c r="BG27" s="41" t="n">
        <v>0</v>
      </c>
    </row>
    <row r="28" ht="15.75" customHeight="1">
      <c r="A28" s="36" t="inlineStr">
        <is>
          <t>G10</t>
        </is>
      </c>
      <c r="B28" s="42" t="n"/>
      <c r="C28" s="42" t="inlineStr">
        <is>
          <t xml:space="preserve">Cijo Jacob / Thara Joy </t>
        </is>
      </c>
      <c r="D28" s="43" t="n">
        <v>0</v>
      </c>
      <c r="E28" s="43" t="n">
        <v>0</v>
      </c>
      <c r="F28" s="43">
        <f>'Apr2026-COLLECTION'!K27</f>
        <v/>
      </c>
      <c r="G28" s="43">
        <f>'Apr2026-EXPENSE'!R31</f>
        <v/>
      </c>
      <c r="H28" s="20" t="n"/>
      <c r="I28" s="43">
        <f>F28-(G28+H28)</f>
        <v/>
      </c>
      <c r="J28" s="43">
        <f>'May2026-COLLECTION'!K27</f>
        <v/>
      </c>
      <c r="K28" s="43">
        <f>'May2026-EXPENSE'!R31</f>
        <v/>
      </c>
      <c r="L28" s="21" t="n"/>
      <c r="M28" s="43">
        <f>J28-(K28+L28)</f>
        <v/>
      </c>
      <c r="N28" s="43">
        <f>'June2026-COLLECTION'!K27</f>
        <v/>
      </c>
      <c r="O28" s="43">
        <f>'June2026-EXPENSE'!R31</f>
        <v/>
      </c>
      <c r="P28" s="20" t="n"/>
      <c r="Q28" s="43">
        <f>N28-(O28+P28)</f>
        <v/>
      </c>
      <c r="R28" s="43">
        <f>'July2026-COLLECTION'!K27</f>
        <v/>
      </c>
      <c r="S28" s="43">
        <f>'July2026-EXPENSE'!R31</f>
        <v/>
      </c>
      <c r="T28" s="21" t="n"/>
      <c r="U28" s="43">
        <f>R28-(S28+T28)</f>
        <v/>
      </c>
      <c r="V28" s="43">
        <f>'Aug2026-COLLECTION'!K27</f>
        <v/>
      </c>
      <c r="W28" s="43">
        <f>'Aug2026-EXPENSE'!R31</f>
        <v/>
      </c>
      <c r="X28" s="20" t="n"/>
      <c r="Y28" s="43">
        <f>V28-(W28+X28)</f>
        <v/>
      </c>
      <c r="Z28" s="43">
        <f>'Sep2026-COLLECTION'!K27</f>
        <v/>
      </c>
      <c r="AA28" s="43">
        <f>'Sep2026-EXPENSE'!R31</f>
        <v/>
      </c>
      <c r="AB28" s="21" t="n"/>
      <c r="AC28" s="43">
        <f>Z28-(AA28+AB28)</f>
        <v/>
      </c>
      <c r="AD28" s="43">
        <f>'Oct2026-COLLECTION'!K27</f>
        <v/>
      </c>
      <c r="AE28" s="43">
        <f>'Oct2026-EXPENSE'!R31</f>
        <v/>
      </c>
      <c r="AF28" s="21" t="n"/>
      <c r="AG28" s="43">
        <f>AD28-(AE28+AF28)</f>
        <v/>
      </c>
      <c r="AH28" s="43">
        <f>'Nov2026-COLLECTION'!K27</f>
        <v/>
      </c>
      <c r="AI28" s="43">
        <f>'Nov2026-EXPENSE'!R31</f>
        <v/>
      </c>
      <c r="AJ28" s="21" t="n"/>
      <c r="AK28" s="43">
        <f>AH28-(AI28+AJ28)</f>
        <v/>
      </c>
      <c r="AL28" s="43">
        <f>'Dec2026-COLLECTION'!K27</f>
        <v/>
      </c>
      <c r="AM28" s="43">
        <f>'Dec2026-EXPENSE'!R31</f>
        <v/>
      </c>
      <c r="AN28" s="21" t="n"/>
      <c r="AO28" s="43">
        <f>AL28-(AM28+AN28)</f>
        <v/>
      </c>
      <c r="AP28" s="43">
        <f>'Jan2027-COLLECTION'!K27</f>
        <v/>
      </c>
      <c r="AQ28" s="43">
        <f>'Jan2027-EXPENSE'!R31</f>
        <v/>
      </c>
      <c r="AR28" s="2" t="n"/>
      <c r="AS28" s="43">
        <f>AP28-(AQ28+AR28)</f>
        <v/>
      </c>
      <c r="AT28" s="43">
        <f>'Feb2027-COLLECTION'!K27</f>
        <v/>
      </c>
      <c r="AU28" s="43">
        <f>'Feb2027-EXPENSE'!R31</f>
        <v/>
      </c>
      <c r="AV28" s="2" t="n"/>
      <c r="AW28" s="43">
        <f>AT28-(AU28+AV28)</f>
        <v/>
      </c>
      <c r="AX28" s="43">
        <f>'Mar2027-COLLECTION'!K27</f>
        <v/>
      </c>
      <c r="AY28" s="43">
        <f>'Mar2027-EXPENSE'!R31</f>
        <v/>
      </c>
      <c r="AZ28" s="2" t="n"/>
      <c r="BA28" s="43">
        <f>AX28-(AY28+AZ28)</f>
        <v/>
      </c>
      <c r="BB28" s="43">
        <f>SUM(F28,J28,N28,R28,V28,Z28,AD28,AH28,AL28,AP28,AT28,AX28)</f>
        <v/>
      </c>
      <c r="BC28" s="43">
        <f>SUM(G28,K28,O28,S28,W28,AA28,AE28,AI28,AM28,AQ28,AU28,AY28)</f>
        <v/>
      </c>
      <c r="BD28" s="43">
        <f>SUM(H28,L28,P28,T28,X28,AB28,AF28,AJ28,AN28,AR28,AV28,AZ28)</f>
        <v/>
      </c>
      <c r="BE28" s="43">
        <f>BB28-(BC28+BD28)</f>
        <v/>
      </c>
      <c r="BF28" s="43">
        <f>E28+BE28</f>
        <v/>
      </c>
      <c r="BG28" s="43" t="n">
        <v>0</v>
      </c>
    </row>
    <row r="29" ht="15.75" customHeight="1">
      <c r="A29" s="37" t="inlineStr">
        <is>
          <t>G11</t>
        </is>
      </c>
      <c r="B29" s="40" t="n"/>
      <c r="C29" s="40" t="inlineStr">
        <is>
          <t>Ketan Verlekar</t>
        </is>
      </c>
      <c r="D29" s="41" t="n">
        <v>0</v>
      </c>
      <c r="E29" s="41" t="n">
        <v>0</v>
      </c>
      <c r="F29" s="41">
        <f>'Apr2026-COLLECTION'!K28</f>
        <v/>
      </c>
      <c r="G29" s="41">
        <f>'Apr2026-EXPENSE'!R32</f>
        <v/>
      </c>
      <c r="H29" s="20" t="n"/>
      <c r="I29" s="41">
        <f>F29-(G29+H29)</f>
        <v/>
      </c>
      <c r="J29" s="41">
        <f>'May2026-COLLECTION'!K28</f>
        <v/>
      </c>
      <c r="K29" s="41">
        <f>'May2026-EXPENSE'!R32</f>
        <v/>
      </c>
      <c r="L29" s="21" t="n"/>
      <c r="M29" s="41">
        <f>J29-(K29+L29)</f>
        <v/>
      </c>
      <c r="N29" s="41">
        <f>'June2026-COLLECTION'!K28</f>
        <v/>
      </c>
      <c r="O29" s="41">
        <f>'June2026-EXPENSE'!R32</f>
        <v/>
      </c>
      <c r="P29" s="20" t="n"/>
      <c r="Q29" s="41">
        <f>N29-(O29+P29)</f>
        <v/>
      </c>
      <c r="R29" s="41">
        <f>'July2026-COLLECTION'!K28</f>
        <v/>
      </c>
      <c r="S29" s="41">
        <f>'July2026-EXPENSE'!R32</f>
        <v/>
      </c>
      <c r="T29" s="21" t="n"/>
      <c r="U29" s="41">
        <f>R29-(S29+T29)</f>
        <v/>
      </c>
      <c r="V29" s="41">
        <f>'Aug2026-COLLECTION'!K28</f>
        <v/>
      </c>
      <c r="W29" s="41">
        <f>'Aug2026-EXPENSE'!R32</f>
        <v/>
      </c>
      <c r="X29" s="20" t="n"/>
      <c r="Y29" s="41">
        <f>V29-(W29+X29)</f>
        <v/>
      </c>
      <c r="Z29" s="41">
        <f>'Sep2026-COLLECTION'!K28</f>
        <v/>
      </c>
      <c r="AA29" s="41">
        <f>'Sep2026-EXPENSE'!R32</f>
        <v/>
      </c>
      <c r="AB29" s="21" t="n"/>
      <c r="AC29" s="41">
        <f>Z29-(AA29+AB29)</f>
        <v/>
      </c>
      <c r="AD29" s="41">
        <f>'Oct2026-COLLECTION'!K28</f>
        <v/>
      </c>
      <c r="AE29" s="41">
        <f>'Oct2026-EXPENSE'!R32</f>
        <v/>
      </c>
      <c r="AF29" s="21" t="n"/>
      <c r="AG29" s="41">
        <f>AD29-(AE29+AF29)</f>
        <v/>
      </c>
      <c r="AH29" s="41">
        <f>'Nov2026-COLLECTION'!K28</f>
        <v/>
      </c>
      <c r="AI29" s="41">
        <f>'Nov2026-EXPENSE'!R32</f>
        <v/>
      </c>
      <c r="AJ29" s="21" t="n"/>
      <c r="AK29" s="41">
        <f>AH29-(AI29+AJ29)</f>
        <v/>
      </c>
      <c r="AL29" s="41">
        <f>'Dec2026-COLLECTION'!K28</f>
        <v/>
      </c>
      <c r="AM29" s="41">
        <f>'Dec2026-EXPENSE'!R32</f>
        <v/>
      </c>
      <c r="AN29" s="21" t="n"/>
      <c r="AO29" s="41">
        <f>AL29-(AM29+AN29)</f>
        <v/>
      </c>
      <c r="AP29" s="41">
        <f>'Jan2027-COLLECTION'!K28</f>
        <v/>
      </c>
      <c r="AQ29" s="41">
        <f>'Jan2027-EXPENSE'!R32</f>
        <v/>
      </c>
      <c r="AR29" s="2" t="n"/>
      <c r="AS29" s="41">
        <f>AP29-(AQ29+AR29)</f>
        <v/>
      </c>
      <c r="AT29" s="41">
        <f>'Feb2027-COLLECTION'!K28</f>
        <v/>
      </c>
      <c r="AU29" s="41">
        <f>'Feb2027-EXPENSE'!R32</f>
        <v/>
      </c>
      <c r="AV29" s="2" t="n"/>
      <c r="AW29" s="41">
        <f>AT29-(AU29+AV29)</f>
        <v/>
      </c>
      <c r="AX29" s="41">
        <f>'Mar2027-COLLECTION'!K28</f>
        <v/>
      </c>
      <c r="AY29" s="41">
        <f>'Mar2027-EXPENSE'!R32</f>
        <v/>
      </c>
      <c r="AZ29" s="2" t="n"/>
      <c r="BA29" s="41">
        <f>AX29-(AY29+AZ29)</f>
        <v/>
      </c>
      <c r="BB29" s="41">
        <f>SUM(F29,J29,N29,R29,V29,Z29,AD29,AH29,AL29,AP29,AT29,AX29)</f>
        <v/>
      </c>
      <c r="BC29" s="41">
        <f>SUM(G29,K29,O29,S29,W29,AA29,AE29,AI29,AM29,AQ29,AU29,AY29)</f>
        <v/>
      </c>
      <c r="BD29" s="41">
        <f>SUM(H29,L29,P29,T29,X29,AB29,AF29,AJ29,AN29,AR29,AV29,AZ29)</f>
        <v/>
      </c>
      <c r="BE29" s="41">
        <f>BB29-(BC29+BD29)</f>
        <v/>
      </c>
      <c r="BF29" s="41">
        <f>E29+BE29</f>
        <v/>
      </c>
      <c r="BG29" s="41" t="n">
        <v>0</v>
      </c>
    </row>
    <row r="30" ht="15.75" customHeight="1">
      <c r="A30" s="36" t="inlineStr">
        <is>
          <t>G12</t>
        </is>
      </c>
      <c r="B30" s="42" t="n"/>
      <c r="C30" s="42" t="inlineStr">
        <is>
          <t>Shyam Nair</t>
        </is>
      </c>
      <c r="D30" s="43" t="n">
        <v>0</v>
      </c>
      <c r="E30" s="43" t="n">
        <v>0</v>
      </c>
      <c r="F30" s="43">
        <f>'Apr2026-COLLECTION'!K29</f>
        <v/>
      </c>
      <c r="G30" s="43">
        <f>'Apr2026-EXPENSE'!R33</f>
        <v/>
      </c>
      <c r="H30" s="20" t="n"/>
      <c r="I30" s="43">
        <f>F30-(G30+H30)</f>
        <v/>
      </c>
      <c r="J30" s="43">
        <f>'May2026-COLLECTION'!K29</f>
        <v/>
      </c>
      <c r="K30" s="43">
        <f>'May2026-EXPENSE'!R33</f>
        <v/>
      </c>
      <c r="L30" s="21" t="n"/>
      <c r="M30" s="43">
        <f>J30-(K30+L30)</f>
        <v/>
      </c>
      <c r="N30" s="43">
        <f>'June2026-COLLECTION'!K29</f>
        <v/>
      </c>
      <c r="O30" s="43">
        <f>'June2026-EXPENSE'!R33</f>
        <v/>
      </c>
      <c r="P30" s="20" t="n"/>
      <c r="Q30" s="43">
        <f>N30-(O30+P30)</f>
        <v/>
      </c>
      <c r="R30" s="43">
        <f>'July2026-COLLECTION'!K29</f>
        <v/>
      </c>
      <c r="S30" s="43">
        <f>'July2026-EXPENSE'!R33</f>
        <v/>
      </c>
      <c r="T30" s="21" t="n"/>
      <c r="U30" s="43">
        <f>R30-(S30+T30)</f>
        <v/>
      </c>
      <c r="V30" s="43">
        <f>'Aug2026-COLLECTION'!K29</f>
        <v/>
      </c>
      <c r="W30" s="43">
        <f>'Aug2026-EXPENSE'!R33</f>
        <v/>
      </c>
      <c r="X30" s="20" t="n"/>
      <c r="Y30" s="43">
        <f>V30-(W30+X30)</f>
        <v/>
      </c>
      <c r="Z30" s="43">
        <f>'Sep2026-COLLECTION'!K29</f>
        <v/>
      </c>
      <c r="AA30" s="43">
        <f>'Sep2026-EXPENSE'!R33</f>
        <v/>
      </c>
      <c r="AB30" s="21" t="n"/>
      <c r="AC30" s="43">
        <f>Z30-(AA30+AB30)</f>
        <v/>
      </c>
      <c r="AD30" s="43">
        <f>'Oct2026-COLLECTION'!K29</f>
        <v/>
      </c>
      <c r="AE30" s="43">
        <f>'Oct2026-EXPENSE'!R33</f>
        <v/>
      </c>
      <c r="AF30" s="21" t="n"/>
      <c r="AG30" s="43">
        <f>AD30-(AE30+AF30)</f>
        <v/>
      </c>
      <c r="AH30" s="43">
        <f>'Nov2026-COLLECTION'!K29</f>
        <v/>
      </c>
      <c r="AI30" s="43">
        <f>'Nov2026-EXPENSE'!R33</f>
        <v/>
      </c>
      <c r="AJ30" s="21" t="n"/>
      <c r="AK30" s="43">
        <f>AH30-(AI30+AJ30)</f>
        <v/>
      </c>
      <c r="AL30" s="43">
        <f>'Dec2026-COLLECTION'!K29</f>
        <v/>
      </c>
      <c r="AM30" s="43">
        <f>'Dec2026-EXPENSE'!R33</f>
        <v/>
      </c>
      <c r="AN30" s="21" t="n"/>
      <c r="AO30" s="43">
        <f>AL30-(AM30+AN30)</f>
        <v/>
      </c>
      <c r="AP30" s="43">
        <f>'Jan2027-COLLECTION'!K29</f>
        <v/>
      </c>
      <c r="AQ30" s="43">
        <f>'Jan2027-EXPENSE'!R33</f>
        <v/>
      </c>
      <c r="AR30" s="2" t="n"/>
      <c r="AS30" s="43">
        <f>AP30-(AQ30+AR30)</f>
        <v/>
      </c>
      <c r="AT30" s="43">
        <f>'Feb2027-COLLECTION'!K29</f>
        <v/>
      </c>
      <c r="AU30" s="43">
        <f>'Feb2027-EXPENSE'!R33</f>
        <v/>
      </c>
      <c r="AV30" s="2" t="n"/>
      <c r="AW30" s="43">
        <f>AT30-(AU30+AV30)</f>
        <v/>
      </c>
      <c r="AX30" s="43">
        <f>'Mar2027-COLLECTION'!K29</f>
        <v/>
      </c>
      <c r="AY30" s="43">
        <f>'Mar2027-EXPENSE'!R33</f>
        <v/>
      </c>
      <c r="AZ30" s="2" t="n"/>
      <c r="BA30" s="43">
        <f>AX30-(AY30+AZ30)</f>
        <v/>
      </c>
      <c r="BB30" s="43">
        <f>SUM(F30,J30,N30,R30,V30,Z30,AD30,AH30,AL30,AP30,AT30,AX30)</f>
        <v/>
      </c>
      <c r="BC30" s="43">
        <f>SUM(G30,K30,O30,S30,W30,AA30,AE30,AI30,AM30,AQ30,AU30,AY30)</f>
        <v/>
      </c>
      <c r="BD30" s="43">
        <f>SUM(H30,L30,P30,T30,X30,AB30,AF30,AJ30,AN30,AR30,AV30,AZ30)</f>
        <v/>
      </c>
      <c r="BE30" s="43">
        <f>BB30-(BC30+BD30)</f>
        <v/>
      </c>
      <c r="BF30" s="43">
        <f>E30+BE30</f>
        <v/>
      </c>
      <c r="BG30" s="43" t="n">
        <v>0</v>
      </c>
    </row>
    <row r="31" ht="15.75" customHeight="1">
      <c r="A31" s="37" t="inlineStr">
        <is>
          <t>G13</t>
        </is>
      </c>
      <c r="B31" s="40" t="n"/>
      <c r="C31" s="40" t="inlineStr">
        <is>
          <t>Ajai.B</t>
        </is>
      </c>
      <c r="D31" s="41" t="n">
        <v>0</v>
      </c>
      <c r="E31" s="41" t="n">
        <v>0</v>
      </c>
      <c r="F31" s="41">
        <f>'Apr2026-COLLECTION'!K30</f>
        <v/>
      </c>
      <c r="G31" s="41">
        <f>'Apr2026-EXPENSE'!R34</f>
        <v/>
      </c>
      <c r="H31" s="20" t="n"/>
      <c r="I31" s="41">
        <f>F31-(G31+H31)</f>
        <v/>
      </c>
      <c r="J31" s="41">
        <f>'May2026-COLLECTION'!K30</f>
        <v/>
      </c>
      <c r="K31" s="41">
        <f>'May2026-EXPENSE'!R34</f>
        <v/>
      </c>
      <c r="L31" s="41" t="n">
        <v>0</v>
      </c>
      <c r="M31" s="41">
        <f>J31-(K31+L31)</f>
        <v/>
      </c>
      <c r="N31" s="41">
        <f>'June2026-COLLECTION'!K30</f>
        <v/>
      </c>
      <c r="O31" s="41">
        <f>'June2026-EXPENSE'!R34</f>
        <v/>
      </c>
      <c r="P31" s="20" t="n"/>
      <c r="Q31" s="41">
        <f>N31-(O31+P31)</f>
        <v/>
      </c>
      <c r="R31" s="41">
        <f>'July2026-COLLECTION'!K30</f>
        <v/>
      </c>
      <c r="S31" s="41">
        <f>'July2026-EXPENSE'!R34</f>
        <v/>
      </c>
      <c r="T31" s="21" t="n"/>
      <c r="U31" s="41">
        <f>R31-(S31+T31)</f>
        <v/>
      </c>
      <c r="V31" s="41">
        <f>'Aug2026-COLLECTION'!K30</f>
        <v/>
      </c>
      <c r="W31" s="41">
        <f>'Aug2026-EXPENSE'!R34</f>
        <v/>
      </c>
      <c r="X31" s="20" t="n"/>
      <c r="Y31" s="41">
        <f>V31-(W31+X31)</f>
        <v/>
      </c>
      <c r="Z31" s="41">
        <f>'Sep2026-COLLECTION'!K30</f>
        <v/>
      </c>
      <c r="AA31" s="41">
        <f>'Sep2026-EXPENSE'!R34</f>
        <v/>
      </c>
      <c r="AB31" s="21" t="n"/>
      <c r="AC31" s="41">
        <f>Z31-(AA31+AB31)</f>
        <v/>
      </c>
      <c r="AD31" s="41">
        <f>'Oct2026-COLLECTION'!K30</f>
        <v/>
      </c>
      <c r="AE31" s="41">
        <f>'Oct2026-EXPENSE'!R34</f>
        <v/>
      </c>
      <c r="AF31" s="21" t="n"/>
      <c r="AG31" s="41">
        <f>AD31-(AE31+AF31)</f>
        <v/>
      </c>
      <c r="AH31" s="41">
        <f>'Nov2026-COLLECTION'!K30</f>
        <v/>
      </c>
      <c r="AI31" s="41">
        <f>'Nov2026-EXPENSE'!R34</f>
        <v/>
      </c>
      <c r="AJ31" s="21" t="n"/>
      <c r="AK31" s="41">
        <f>AH31-(AI31+AJ31)</f>
        <v/>
      </c>
      <c r="AL31" s="41">
        <f>'Dec2026-COLLECTION'!K30</f>
        <v/>
      </c>
      <c r="AM31" s="41">
        <f>'Dec2026-EXPENSE'!R34</f>
        <v/>
      </c>
      <c r="AN31" s="21" t="n"/>
      <c r="AO31" s="41">
        <f>AL31-(AM31+AN31)</f>
        <v/>
      </c>
      <c r="AP31" s="41">
        <f>'Jan2027-COLLECTION'!K30</f>
        <v/>
      </c>
      <c r="AQ31" s="41">
        <f>'Jan2027-EXPENSE'!R34</f>
        <v/>
      </c>
      <c r="AR31" s="2" t="n"/>
      <c r="AS31" s="41">
        <f>AP31-(AQ31+AR31)</f>
        <v/>
      </c>
      <c r="AT31" s="41">
        <f>'Feb2027-COLLECTION'!K30</f>
        <v/>
      </c>
      <c r="AU31" s="41">
        <f>'Feb2027-EXPENSE'!R34</f>
        <v/>
      </c>
      <c r="AV31" s="2" t="n"/>
      <c r="AW31" s="41">
        <f>AT31-(AU31+AV31)</f>
        <v/>
      </c>
      <c r="AX31" s="41">
        <f>'Mar2027-COLLECTION'!K30</f>
        <v/>
      </c>
      <c r="AY31" s="41">
        <f>'Mar2027-EXPENSE'!R34</f>
        <v/>
      </c>
      <c r="AZ31" s="2" t="n"/>
      <c r="BA31" s="41">
        <f>AX31-(AY31+AZ31)</f>
        <v/>
      </c>
      <c r="BB31" s="41">
        <f>SUM(F31,J31,N31,R31,V31,Z31,AD31,AH31,AL31,AP31,AT31,AX31)</f>
        <v/>
      </c>
      <c r="BC31" s="41">
        <f>SUM(G31,K31,O31,S31,W31,AA31,AE31,AI31,AM31,AQ31,AU31,AY31)</f>
        <v/>
      </c>
      <c r="BD31" s="41">
        <f>SUM(H31,L31,P31,T31,X31,AB31,AF31,AJ31,AN31,AR31,AV31,AZ31)</f>
        <v/>
      </c>
      <c r="BE31" s="41">
        <f>BB31-(BC31+BD31)</f>
        <v/>
      </c>
      <c r="BF31" s="41">
        <f>E31+BE31</f>
        <v/>
      </c>
      <c r="BG31" s="41" t="n">
        <v>0</v>
      </c>
    </row>
    <row r="32" ht="15.75" customHeight="1">
      <c r="A32" s="36" t="inlineStr">
        <is>
          <t>G14</t>
        </is>
      </c>
      <c r="B32" s="42" t="n"/>
      <c r="C32" s="42" t="inlineStr">
        <is>
          <t>Surajit Borah</t>
        </is>
      </c>
      <c r="D32" s="43" t="n">
        <v>0</v>
      </c>
      <c r="E32" s="43" t="n">
        <v>0</v>
      </c>
      <c r="F32" s="43">
        <f>'Apr2026-COLLECTION'!K31</f>
        <v/>
      </c>
      <c r="G32" s="43">
        <f>'Apr2026-EXPENSE'!R35</f>
        <v/>
      </c>
      <c r="H32" s="20" t="n"/>
      <c r="I32" s="43">
        <f>F32-(G32+H32)</f>
        <v/>
      </c>
      <c r="J32" s="43">
        <f>'May2026-COLLECTION'!K31</f>
        <v/>
      </c>
      <c r="K32" s="43">
        <f>'May2026-EXPENSE'!R35</f>
        <v/>
      </c>
      <c r="L32" s="21" t="n"/>
      <c r="M32" s="43">
        <f>J32-(K32+L32)</f>
        <v/>
      </c>
      <c r="N32" s="43">
        <f>'June2026-COLLECTION'!K31</f>
        <v/>
      </c>
      <c r="O32" s="43">
        <f>'June2026-EXPENSE'!R35</f>
        <v/>
      </c>
      <c r="P32" s="20" t="n"/>
      <c r="Q32" s="43">
        <f>N32-(O32+P32)</f>
        <v/>
      </c>
      <c r="R32" s="43">
        <f>'July2026-COLLECTION'!K31</f>
        <v/>
      </c>
      <c r="S32" s="43">
        <f>'July2026-EXPENSE'!R35</f>
        <v/>
      </c>
      <c r="T32" s="21" t="n"/>
      <c r="U32" s="43">
        <f>R32-(S32+T32)</f>
        <v/>
      </c>
      <c r="V32" s="43">
        <f>'Aug2026-COLLECTION'!K31</f>
        <v/>
      </c>
      <c r="W32" s="43">
        <f>'Aug2026-EXPENSE'!R35</f>
        <v/>
      </c>
      <c r="X32" s="20" t="n"/>
      <c r="Y32" s="43">
        <f>V32-(W32+X32)</f>
        <v/>
      </c>
      <c r="Z32" s="43">
        <f>'Sep2026-COLLECTION'!K31</f>
        <v/>
      </c>
      <c r="AA32" s="43">
        <f>'Sep2026-EXPENSE'!R35</f>
        <v/>
      </c>
      <c r="AB32" s="21" t="n"/>
      <c r="AC32" s="43">
        <f>Z32-(AA32+AB32)</f>
        <v/>
      </c>
      <c r="AD32" s="43">
        <f>'Oct2026-COLLECTION'!K31</f>
        <v/>
      </c>
      <c r="AE32" s="43">
        <f>'Oct2026-EXPENSE'!R35</f>
        <v/>
      </c>
      <c r="AF32" s="21" t="n"/>
      <c r="AG32" s="43">
        <f>AD32-(AE32+AF32)</f>
        <v/>
      </c>
      <c r="AH32" s="43">
        <f>'Nov2026-COLLECTION'!K31</f>
        <v/>
      </c>
      <c r="AI32" s="43">
        <f>'Nov2026-EXPENSE'!R35</f>
        <v/>
      </c>
      <c r="AJ32" s="21" t="n"/>
      <c r="AK32" s="43">
        <f>AH32-(AI32+AJ32)</f>
        <v/>
      </c>
      <c r="AL32" s="43">
        <f>'Dec2026-COLLECTION'!K31</f>
        <v/>
      </c>
      <c r="AM32" s="43">
        <f>'Dec2026-EXPENSE'!R35</f>
        <v/>
      </c>
      <c r="AN32" s="21" t="n"/>
      <c r="AO32" s="43">
        <f>AL32-(AM32+AN32)</f>
        <v/>
      </c>
      <c r="AP32" s="43">
        <f>'Jan2027-COLLECTION'!K31</f>
        <v/>
      </c>
      <c r="AQ32" s="43">
        <f>'Jan2027-EXPENSE'!R35</f>
        <v/>
      </c>
      <c r="AR32" s="2" t="n"/>
      <c r="AS32" s="43">
        <f>AP32-(AQ32+AR32)</f>
        <v/>
      </c>
      <c r="AT32" s="43">
        <f>'Feb2027-COLLECTION'!K31</f>
        <v/>
      </c>
      <c r="AU32" s="43">
        <f>'Feb2027-EXPENSE'!R35</f>
        <v/>
      </c>
      <c r="AV32" s="2" t="n"/>
      <c r="AW32" s="43">
        <f>AT32-(AU32+AV32)</f>
        <v/>
      </c>
      <c r="AX32" s="43">
        <f>'Mar2027-COLLECTION'!K31</f>
        <v/>
      </c>
      <c r="AY32" s="43">
        <f>'Mar2027-EXPENSE'!R35</f>
        <v/>
      </c>
      <c r="AZ32" s="2" t="n"/>
      <c r="BA32" s="43">
        <f>AX32-(AY32+AZ32)</f>
        <v/>
      </c>
      <c r="BB32" s="43">
        <f>SUM(F32,J32,N32,R32,V32,Z32,AD32,AH32,AL32,AP32,AT32,AX32)</f>
        <v/>
      </c>
      <c r="BC32" s="43">
        <f>SUM(G32,K32,O32,S32,W32,AA32,AE32,AI32,AM32,AQ32,AU32,AY32)</f>
        <v/>
      </c>
      <c r="BD32" s="43">
        <f>SUM(H32,L32,P32,T32,X32,AB32,AF32,AJ32,AN32,AR32,AV32,AZ32)</f>
        <v/>
      </c>
      <c r="BE32" s="43">
        <f>BB32-(BC32+BD32)</f>
        <v/>
      </c>
      <c r="BF32" s="43">
        <f>E32+BE32</f>
        <v/>
      </c>
      <c r="BG32" s="43" t="n">
        <v>0</v>
      </c>
    </row>
    <row r="33" ht="15.75" customHeight="1">
      <c r="A33" s="37" t="inlineStr">
        <is>
          <t>G15</t>
        </is>
      </c>
      <c r="B33" s="40" t="n"/>
      <c r="C33" s="40" t="inlineStr">
        <is>
          <t>Suresh Nallusamy / Antriksh (tenant)</t>
        </is>
      </c>
      <c r="D33" s="41" t="n">
        <v>0</v>
      </c>
      <c r="E33" s="41" t="n">
        <v>0</v>
      </c>
      <c r="F33" s="41">
        <f>'Apr2026-COLLECTION'!K32</f>
        <v/>
      </c>
      <c r="G33" s="41">
        <f>'Apr2026-EXPENSE'!R36</f>
        <v/>
      </c>
      <c r="H33" s="20" t="n"/>
      <c r="I33" s="41">
        <f>F33-(G33+H33)</f>
        <v/>
      </c>
      <c r="J33" s="41">
        <f>'May2026-COLLECTION'!K32</f>
        <v/>
      </c>
      <c r="K33" s="41">
        <f>'May2026-EXPENSE'!R36</f>
        <v/>
      </c>
      <c r="L33" s="21" t="n"/>
      <c r="M33" s="41">
        <f>J33-(K33+L33)</f>
        <v/>
      </c>
      <c r="N33" s="41">
        <f>'June2026-COLLECTION'!K32</f>
        <v/>
      </c>
      <c r="O33" s="41">
        <f>'June2026-EXPENSE'!R36</f>
        <v/>
      </c>
      <c r="P33" s="20" t="n"/>
      <c r="Q33" s="41">
        <f>N33-(O33+P33)</f>
        <v/>
      </c>
      <c r="R33" s="41">
        <f>'July2026-COLLECTION'!K32</f>
        <v/>
      </c>
      <c r="S33" s="41">
        <f>'July2026-EXPENSE'!R36</f>
        <v/>
      </c>
      <c r="T33" s="21" t="n"/>
      <c r="U33" s="41">
        <f>R33-(S33+T33)</f>
        <v/>
      </c>
      <c r="V33" s="41">
        <f>'Aug2026-COLLECTION'!K32</f>
        <v/>
      </c>
      <c r="W33" s="41">
        <f>'Aug2026-EXPENSE'!R36</f>
        <v/>
      </c>
      <c r="X33" s="20" t="n"/>
      <c r="Y33" s="41">
        <f>V33-(W33+X33)</f>
        <v/>
      </c>
      <c r="Z33" s="41">
        <f>'Sep2026-COLLECTION'!K32</f>
        <v/>
      </c>
      <c r="AA33" s="41">
        <f>'Sep2026-EXPENSE'!R36</f>
        <v/>
      </c>
      <c r="AB33" s="21" t="n"/>
      <c r="AC33" s="41">
        <f>Z33-(AA33+AB33)</f>
        <v/>
      </c>
      <c r="AD33" s="41">
        <f>'Oct2026-COLLECTION'!K32</f>
        <v/>
      </c>
      <c r="AE33" s="41">
        <f>'Oct2026-EXPENSE'!R36</f>
        <v/>
      </c>
      <c r="AF33" s="21" t="n"/>
      <c r="AG33" s="41">
        <f>AD33-(AE33+AF33)</f>
        <v/>
      </c>
      <c r="AH33" s="41">
        <f>'Nov2026-COLLECTION'!K32</f>
        <v/>
      </c>
      <c r="AI33" s="41">
        <f>'Nov2026-EXPENSE'!R36</f>
        <v/>
      </c>
      <c r="AJ33" s="21" t="n"/>
      <c r="AK33" s="41">
        <f>AH33-(AI33+AJ33)</f>
        <v/>
      </c>
      <c r="AL33" s="41">
        <f>'Dec2026-COLLECTION'!K32</f>
        <v/>
      </c>
      <c r="AM33" s="41">
        <f>'Dec2026-EXPENSE'!R36</f>
        <v/>
      </c>
      <c r="AN33" s="21" t="n"/>
      <c r="AO33" s="41">
        <f>AL33-(AM33+AN33)</f>
        <v/>
      </c>
      <c r="AP33" s="41">
        <f>'Jan2027-COLLECTION'!K32</f>
        <v/>
      </c>
      <c r="AQ33" s="41">
        <f>'Jan2027-EXPENSE'!R36</f>
        <v/>
      </c>
      <c r="AR33" s="2" t="n"/>
      <c r="AS33" s="41">
        <f>AP33-(AQ33+AR33)</f>
        <v/>
      </c>
      <c r="AT33" s="41">
        <f>'Feb2027-COLLECTION'!K32</f>
        <v/>
      </c>
      <c r="AU33" s="41">
        <f>'Feb2027-EXPENSE'!R36</f>
        <v/>
      </c>
      <c r="AV33" s="2" t="n"/>
      <c r="AW33" s="41">
        <f>AT33-(AU33+AV33)</f>
        <v/>
      </c>
      <c r="AX33" s="41">
        <f>'Mar2027-COLLECTION'!K32</f>
        <v/>
      </c>
      <c r="AY33" s="41">
        <f>'Mar2027-EXPENSE'!R36</f>
        <v/>
      </c>
      <c r="AZ33" s="2" t="n"/>
      <c r="BA33" s="41">
        <f>AX33-(AY33+AZ33)</f>
        <v/>
      </c>
      <c r="BB33" s="41">
        <f>SUM(F33,J33,N33,R33,V33,Z33,AD33,AH33,AL33,AP33,AT33,AX33)</f>
        <v/>
      </c>
      <c r="BC33" s="41">
        <f>SUM(G33,K33,O33,S33,W33,AA33,AE33,AI33,AM33,AQ33,AU33,AY33)</f>
        <v/>
      </c>
      <c r="BD33" s="41">
        <f>SUM(H33,L33,P33,T33,X33,AB33,AF33,AJ33,AN33,AR33,AV33,AZ33)</f>
        <v/>
      </c>
      <c r="BE33" s="41">
        <f>BB33-(BC33+BD33)</f>
        <v/>
      </c>
      <c r="BF33" s="41">
        <f>E33+BE33</f>
        <v/>
      </c>
      <c r="BG33" s="41" t="n">
        <v>0</v>
      </c>
    </row>
    <row r="34" ht="15.75" customHeight="1">
      <c r="A34" s="36" t="inlineStr">
        <is>
          <t>G16</t>
        </is>
      </c>
      <c r="B34" s="42" t="n"/>
      <c r="C34" s="42" t="inlineStr">
        <is>
          <t>Praveen Ganesan</t>
        </is>
      </c>
      <c r="D34" s="43" t="n">
        <v>0</v>
      </c>
      <c r="E34" s="43" t="n">
        <v>0</v>
      </c>
      <c r="F34" s="43">
        <f>'Apr2026-COLLECTION'!K33</f>
        <v/>
      </c>
      <c r="G34" s="43">
        <f>'Apr2026-EXPENSE'!R37</f>
        <v/>
      </c>
      <c r="H34" s="20" t="n"/>
      <c r="I34" s="43">
        <f>F34-(G34+H34)</f>
        <v/>
      </c>
      <c r="J34" s="43">
        <f>'May2026-COLLECTION'!K33</f>
        <v/>
      </c>
      <c r="K34" s="43">
        <f>'May2026-EXPENSE'!R37</f>
        <v/>
      </c>
      <c r="L34" s="43" t="n">
        <v>0</v>
      </c>
      <c r="M34" s="43">
        <f>J34-(K34+L34)</f>
        <v/>
      </c>
      <c r="N34" s="43">
        <f>'June2026-COLLECTION'!K33</f>
        <v/>
      </c>
      <c r="O34" s="43">
        <f>'June2026-EXPENSE'!R37</f>
        <v/>
      </c>
      <c r="P34" s="20" t="n"/>
      <c r="Q34" s="43">
        <f>N34-(O34+P34)</f>
        <v/>
      </c>
      <c r="R34" s="43">
        <f>'July2026-COLLECTION'!K33</f>
        <v/>
      </c>
      <c r="S34" s="43">
        <f>'July2026-EXPENSE'!R37</f>
        <v/>
      </c>
      <c r="T34" s="21" t="n"/>
      <c r="U34" s="43">
        <f>R34-(S34+T34)</f>
        <v/>
      </c>
      <c r="V34" s="43">
        <f>'Aug2026-COLLECTION'!K33</f>
        <v/>
      </c>
      <c r="W34" s="43">
        <f>'Aug2026-EXPENSE'!R37</f>
        <v/>
      </c>
      <c r="X34" s="20" t="n"/>
      <c r="Y34" s="43">
        <f>V34-(W34+X34)</f>
        <v/>
      </c>
      <c r="Z34" s="43">
        <f>'Sep2026-COLLECTION'!K33</f>
        <v/>
      </c>
      <c r="AA34" s="43">
        <f>'Sep2026-EXPENSE'!R37</f>
        <v/>
      </c>
      <c r="AB34" s="21" t="n"/>
      <c r="AC34" s="43">
        <f>Z34-(AA34+AB34)</f>
        <v/>
      </c>
      <c r="AD34" s="43">
        <f>'Oct2026-COLLECTION'!K33</f>
        <v/>
      </c>
      <c r="AE34" s="43">
        <f>'Oct2026-EXPENSE'!R37</f>
        <v/>
      </c>
      <c r="AF34" s="21" t="n"/>
      <c r="AG34" s="43">
        <f>AD34-(AE34+AF34)</f>
        <v/>
      </c>
      <c r="AH34" s="43">
        <f>'Nov2026-COLLECTION'!K33</f>
        <v/>
      </c>
      <c r="AI34" s="43">
        <f>'Nov2026-EXPENSE'!R37</f>
        <v/>
      </c>
      <c r="AJ34" s="21" t="n"/>
      <c r="AK34" s="43">
        <f>AH34-(AI34+AJ34)</f>
        <v/>
      </c>
      <c r="AL34" s="43">
        <f>'Dec2026-COLLECTION'!K33</f>
        <v/>
      </c>
      <c r="AM34" s="43">
        <f>'Dec2026-EXPENSE'!R37</f>
        <v/>
      </c>
      <c r="AN34" s="21" t="n"/>
      <c r="AO34" s="43">
        <f>AL34-(AM34+AN34)</f>
        <v/>
      </c>
      <c r="AP34" s="43">
        <f>'Jan2027-COLLECTION'!K33</f>
        <v/>
      </c>
      <c r="AQ34" s="43">
        <f>'Jan2027-EXPENSE'!R37</f>
        <v/>
      </c>
      <c r="AR34" s="2" t="n"/>
      <c r="AS34" s="43">
        <f>AP34-(AQ34+AR34)</f>
        <v/>
      </c>
      <c r="AT34" s="43">
        <f>'Feb2027-COLLECTION'!K33</f>
        <v/>
      </c>
      <c r="AU34" s="43">
        <f>'Feb2027-EXPENSE'!R37</f>
        <v/>
      </c>
      <c r="AV34" s="2" t="n"/>
      <c r="AW34" s="43">
        <f>AT34-(AU34+AV34)</f>
        <v/>
      </c>
      <c r="AX34" s="43">
        <f>'Mar2027-COLLECTION'!K33</f>
        <v/>
      </c>
      <c r="AY34" s="43">
        <f>'Mar2027-EXPENSE'!R37</f>
        <v/>
      </c>
      <c r="AZ34" s="2" t="n"/>
      <c r="BA34" s="43">
        <f>AX34-(AY34+AZ34)</f>
        <v/>
      </c>
      <c r="BB34" s="43">
        <f>SUM(F34,J34,N34,R34,V34,Z34,AD34,AH34,AL34,AP34,AT34,AX34)</f>
        <v/>
      </c>
      <c r="BC34" s="43">
        <f>SUM(G34,K34,O34,S34,W34,AA34,AE34,AI34,AM34,AQ34,AU34,AY34)</f>
        <v/>
      </c>
      <c r="BD34" s="43">
        <f>SUM(H34,L34,P34,T34,X34,AB34,AF34,AJ34,AN34,AR34,AV34,AZ34)</f>
        <v/>
      </c>
      <c r="BE34" s="43">
        <f>BB34-(BC34+BD34)</f>
        <v/>
      </c>
      <c r="BF34" s="43">
        <f>E34+BE34</f>
        <v/>
      </c>
      <c r="BG34" s="43" t="n">
        <v>0</v>
      </c>
    </row>
    <row r="35" ht="15.75" customHeight="1">
      <c r="A35" s="37" t="inlineStr">
        <is>
          <t>S1</t>
        </is>
      </c>
      <c r="B35" s="40" t="n"/>
      <c r="C35" s="40" t="inlineStr">
        <is>
          <t>S.N.Behera</t>
        </is>
      </c>
      <c r="D35" s="41" t="n">
        <v>0</v>
      </c>
      <c r="E35" s="41" t="n">
        <v>0</v>
      </c>
      <c r="F35" s="41">
        <f>'Apr2026-COLLECTION'!K34</f>
        <v/>
      </c>
      <c r="G35" s="41">
        <f>'Apr2026-EXPENSE'!R38</f>
        <v/>
      </c>
      <c r="H35" s="20" t="n"/>
      <c r="I35" s="41">
        <f>F35-(G35+H35)</f>
        <v/>
      </c>
      <c r="J35" s="41">
        <f>'May2026-COLLECTION'!K34</f>
        <v/>
      </c>
      <c r="K35" s="41">
        <f>'May2026-EXPENSE'!R38</f>
        <v/>
      </c>
      <c r="L35" s="41" t="n">
        <v>0</v>
      </c>
      <c r="M35" s="41">
        <f>J35-(K35+L35)</f>
        <v/>
      </c>
      <c r="N35" s="41">
        <f>'June2026-COLLECTION'!K34</f>
        <v/>
      </c>
      <c r="O35" s="41">
        <f>'June2026-EXPENSE'!R38</f>
        <v/>
      </c>
      <c r="P35" s="20" t="n"/>
      <c r="Q35" s="41">
        <f>N35-(O35+P35)</f>
        <v/>
      </c>
      <c r="R35" s="41">
        <f>'July2026-COLLECTION'!K34</f>
        <v/>
      </c>
      <c r="S35" s="41">
        <f>'July2026-EXPENSE'!R38</f>
        <v/>
      </c>
      <c r="T35" s="21" t="n"/>
      <c r="U35" s="41">
        <f>R35-(S35+T35)</f>
        <v/>
      </c>
      <c r="V35" s="41">
        <f>'Aug2026-COLLECTION'!K34</f>
        <v/>
      </c>
      <c r="W35" s="41">
        <f>'Aug2026-EXPENSE'!R38</f>
        <v/>
      </c>
      <c r="X35" s="20" t="n"/>
      <c r="Y35" s="41">
        <f>V35-(W35+X35)</f>
        <v/>
      </c>
      <c r="Z35" s="41">
        <f>'Sep2026-COLLECTION'!K34</f>
        <v/>
      </c>
      <c r="AA35" s="41">
        <f>'Sep2026-EXPENSE'!R38</f>
        <v/>
      </c>
      <c r="AB35" s="21" t="n"/>
      <c r="AC35" s="41">
        <f>Z35-(AA35+AB35)</f>
        <v/>
      </c>
      <c r="AD35" s="41">
        <f>'Oct2026-COLLECTION'!K34</f>
        <v/>
      </c>
      <c r="AE35" s="41">
        <f>'Oct2026-EXPENSE'!R38</f>
        <v/>
      </c>
      <c r="AF35" s="21" t="n"/>
      <c r="AG35" s="41">
        <f>AD35-(AE35+AF35)</f>
        <v/>
      </c>
      <c r="AH35" s="41">
        <f>'Nov2026-COLLECTION'!K34</f>
        <v/>
      </c>
      <c r="AI35" s="41">
        <f>'Nov2026-EXPENSE'!R38</f>
        <v/>
      </c>
      <c r="AJ35" s="21" t="n"/>
      <c r="AK35" s="41">
        <f>AH35-(AI35+AJ35)</f>
        <v/>
      </c>
      <c r="AL35" s="41">
        <f>'Dec2026-COLLECTION'!K34</f>
        <v/>
      </c>
      <c r="AM35" s="41">
        <f>'Dec2026-EXPENSE'!R38</f>
        <v/>
      </c>
      <c r="AN35" s="21" t="n"/>
      <c r="AO35" s="41">
        <f>AL35-(AM35+AN35)</f>
        <v/>
      </c>
      <c r="AP35" s="41">
        <f>'Jan2027-COLLECTION'!K34</f>
        <v/>
      </c>
      <c r="AQ35" s="41">
        <f>'Jan2027-EXPENSE'!R38</f>
        <v/>
      </c>
      <c r="AR35" s="2" t="n"/>
      <c r="AS35" s="41">
        <f>AP35-(AQ35+AR35)</f>
        <v/>
      </c>
      <c r="AT35" s="41">
        <f>'Feb2027-COLLECTION'!K34</f>
        <v/>
      </c>
      <c r="AU35" s="41">
        <f>'Feb2027-EXPENSE'!R38</f>
        <v/>
      </c>
      <c r="AV35" s="2" t="n"/>
      <c r="AW35" s="41">
        <f>AT35-(AU35+AV35)</f>
        <v/>
      </c>
      <c r="AX35" s="41">
        <f>'Mar2027-COLLECTION'!K34</f>
        <v/>
      </c>
      <c r="AY35" s="41">
        <f>'Mar2027-EXPENSE'!R38</f>
        <v/>
      </c>
      <c r="AZ35" s="2" t="n"/>
      <c r="BA35" s="41">
        <f>AX35-(AY35+AZ35)</f>
        <v/>
      </c>
      <c r="BB35" s="41">
        <f>SUM(F35,J35,N35,R35,V35,Z35,AD35,AH35,AL35,AP35,AT35,AX35)</f>
        <v/>
      </c>
      <c r="BC35" s="41">
        <f>SUM(G35,K35,O35,S35,W35,AA35,AE35,AI35,AM35,AQ35,AU35,AY35)</f>
        <v/>
      </c>
      <c r="BD35" s="41">
        <f>SUM(H35,L35,P35,T35,X35,AB35,AF35,AJ35,AN35,AR35,AV35,AZ35)</f>
        <v/>
      </c>
      <c r="BE35" s="41">
        <f>BB35-(BC35+BD35)</f>
        <v/>
      </c>
      <c r="BF35" s="41">
        <f>E35+BE35</f>
        <v/>
      </c>
      <c r="BG35" s="41" t="n">
        <v>0</v>
      </c>
    </row>
    <row r="36" ht="15.75" customHeight="1">
      <c r="A36" s="36" t="inlineStr">
        <is>
          <t>S2</t>
        </is>
      </c>
      <c r="B36" s="42" t="n"/>
      <c r="C36" s="42" t="inlineStr">
        <is>
          <t>Sonal Singhal</t>
        </is>
      </c>
      <c r="D36" s="43" t="n">
        <v>0</v>
      </c>
      <c r="E36" s="43" t="n">
        <v>0</v>
      </c>
      <c r="F36" s="43">
        <f>'Apr2026-COLLECTION'!K35</f>
        <v/>
      </c>
      <c r="G36" s="43">
        <f>'Apr2026-EXPENSE'!R39</f>
        <v/>
      </c>
      <c r="H36" s="20" t="n"/>
      <c r="I36" s="43">
        <f>F36-(G36+H36)</f>
        <v/>
      </c>
      <c r="J36" s="43">
        <f>'May2026-COLLECTION'!K35</f>
        <v/>
      </c>
      <c r="K36" s="43">
        <f>'May2026-EXPENSE'!R39</f>
        <v/>
      </c>
      <c r="L36" s="43" t="n">
        <v>0</v>
      </c>
      <c r="M36" s="43">
        <f>J36-(K36+L36)</f>
        <v/>
      </c>
      <c r="N36" s="43">
        <f>'June2026-COLLECTION'!K35</f>
        <v/>
      </c>
      <c r="O36" s="43">
        <f>'June2026-EXPENSE'!R39</f>
        <v/>
      </c>
      <c r="P36" s="20" t="n"/>
      <c r="Q36" s="43">
        <f>N36-(O36+P36)</f>
        <v/>
      </c>
      <c r="R36" s="43">
        <f>'July2026-COLLECTION'!K35</f>
        <v/>
      </c>
      <c r="S36" s="43">
        <f>'July2026-EXPENSE'!R39</f>
        <v/>
      </c>
      <c r="T36" s="43" t="n">
        <v>0</v>
      </c>
      <c r="U36" s="43">
        <f>R36-(S36+T36)</f>
        <v/>
      </c>
      <c r="V36" s="43">
        <f>'Aug2026-COLLECTION'!K35</f>
        <v/>
      </c>
      <c r="W36" s="43">
        <f>'Aug2026-EXPENSE'!R39</f>
        <v/>
      </c>
      <c r="X36" s="20" t="n"/>
      <c r="Y36" s="43">
        <f>V36-(W36+X36)</f>
        <v/>
      </c>
      <c r="Z36" s="43">
        <f>'Sep2026-COLLECTION'!K35</f>
        <v/>
      </c>
      <c r="AA36" s="43">
        <f>'Sep2026-EXPENSE'!R39</f>
        <v/>
      </c>
      <c r="AB36" s="21" t="n"/>
      <c r="AC36" s="43">
        <f>Z36-(AA36+AB36)</f>
        <v/>
      </c>
      <c r="AD36" s="43">
        <f>'Oct2026-COLLECTION'!K35</f>
        <v/>
      </c>
      <c r="AE36" s="43">
        <f>'Oct2026-EXPENSE'!R39</f>
        <v/>
      </c>
      <c r="AF36" s="21" t="n"/>
      <c r="AG36" s="43">
        <f>AD36-(AE36+AF36)</f>
        <v/>
      </c>
      <c r="AH36" s="43">
        <f>'Nov2026-COLLECTION'!K35</f>
        <v/>
      </c>
      <c r="AI36" s="43">
        <f>'Nov2026-EXPENSE'!R39</f>
        <v/>
      </c>
      <c r="AJ36" s="21" t="n"/>
      <c r="AK36" s="43">
        <f>AH36-(AI36+AJ36)</f>
        <v/>
      </c>
      <c r="AL36" s="43">
        <f>'Dec2026-COLLECTION'!K35</f>
        <v/>
      </c>
      <c r="AM36" s="43">
        <f>'Dec2026-EXPENSE'!R39</f>
        <v/>
      </c>
      <c r="AN36" s="21" t="n"/>
      <c r="AO36" s="43">
        <f>AL36-(AM36+AN36)</f>
        <v/>
      </c>
      <c r="AP36" s="43">
        <f>'Jan2027-COLLECTION'!K35</f>
        <v/>
      </c>
      <c r="AQ36" s="43">
        <f>'Jan2027-EXPENSE'!R39</f>
        <v/>
      </c>
      <c r="AR36" s="2" t="n"/>
      <c r="AS36" s="43">
        <f>AP36-(AQ36+AR36)</f>
        <v/>
      </c>
      <c r="AT36" s="43">
        <f>'Feb2027-COLLECTION'!K35</f>
        <v/>
      </c>
      <c r="AU36" s="43">
        <f>'Feb2027-EXPENSE'!R39</f>
        <v/>
      </c>
      <c r="AV36" s="2" t="n"/>
      <c r="AW36" s="43">
        <f>AT36-(AU36+AV36)</f>
        <v/>
      </c>
      <c r="AX36" s="43">
        <f>'Mar2027-COLLECTION'!K35</f>
        <v/>
      </c>
      <c r="AY36" s="43">
        <f>'Mar2027-EXPENSE'!R39</f>
        <v/>
      </c>
      <c r="AZ36" s="2" t="n"/>
      <c r="BA36" s="43">
        <f>AX36-(AY36+AZ36)</f>
        <v/>
      </c>
      <c r="BB36" s="43">
        <f>SUM(F36,J36,N36,R36,V36,Z36,AD36,AH36,AL36,AP36,AT36,AX36)</f>
        <v/>
      </c>
      <c r="BC36" s="43">
        <f>SUM(G36,K36,O36,S36,W36,AA36,AE36,AI36,AM36,AQ36,AU36,AY36)</f>
        <v/>
      </c>
      <c r="BD36" s="43">
        <f>SUM(H36,L36,P36,T36,X36,AB36,AF36,AJ36,AN36,AR36,AV36,AZ36)</f>
        <v/>
      </c>
      <c r="BE36" s="43">
        <f>BB36-(BC36+BD36)</f>
        <v/>
      </c>
      <c r="BF36" s="43">
        <f>E36+BE36</f>
        <v/>
      </c>
      <c r="BG36" s="43" t="n">
        <v>0</v>
      </c>
    </row>
    <row r="37" ht="15.75" customHeight="1">
      <c r="A37" s="37" t="inlineStr">
        <is>
          <t>S3</t>
        </is>
      </c>
      <c r="B37" s="40" t="inlineStr">
        <is>
          <t>manikandan.nj@gmail.com</t>
        </is>
      </c>
      <c r="C37" s="40" t="inlineStr">
        <is>
          <t>Manikandan NG</t>
        </is>
      </c>
      <c r="D37" s="41" t="n">
        <v>0</v>
      </c>
      <c r="E37" s="41" t="n">
        <v>0</v>
      </c>
      <c r="F37" s="41">
        <f>'Apr2026-COLLECTION'!K36</f>
        <v/>
      </c>
      <c r="G37" s="41">
        <f>'Apr2026-EXPENSE'!R40</f>
        <v/>
      </c>
      <c r="H37" s="20" t="n"/>
      <c r="I37" s="41">
        <f>F37-(G37+H37)</f>
        <v/>
      </c>
      <c r="J37" s="41">
        <f>'May2026-COLLECTION'!K36</f>
        <v/>
      </c>
      <c r="K37" s="41">
        <f>'May2026-EXPENSE'!R40</f>
        <v/>
      </c>
      <c r="L37" s="21" t="n"/>
      <c r="M37" s="41">
        <f>J37-(K37+L37)</f>
        <v/>
      </c>
      <c r="N37" s="41">
        <f>'June2026-COLLECTION'!K36</f>
        <v/>
      </c>
      <c r="O37" s="41">
        <f>'June2026-EXPENSE'!R40</f>
        <v/>
      </c>
      <c r="P37" s="20" t="n"/>
      <c r="Q37" s="41">
        <f>N37-(O37+P37)</f>
        <v/>
      </c>
      <c r="R37" s="41">
        <f>'July2026-COLLECTION'!K36</f>
        <v/>
      </c>
      <c r="S37" s="41">
        <f>'July2026-EXPENSE'!R40</f>
        <v/>
      </c>
      <c r="T37" s="21" t="n"/>
      <c r="U37" s="41">
        <f>R37-(S37+T37)</f>
        <v/>
      </c>
      <c r="V37" s="41">
        <f>'Aug2026-COLLECTION'!K36</f>
        <v/>
      </c>
      <c r="W37" s="41">
        <f>'Aug2026-EXPENSE'!R40</f>
        <v/>
      </c>
      <c r="X37" s="20" t="n"/>
      <c r="Y37" s="41">
        <f>V37-(W37+X37)</f>
        <v/>
      </c>
      <c r="Z37" s="41">
        <f>'Sep2026-COLLECTION'!K36</f>
        <v/>
      </c>
      <c r="AA37" s="41">
        <f>'Sep2026-EXPENSE'!R40</f>
        <v/>
      </c>
      <c r="AB37" s="21" t="n"/>
      <c r="AC37" s="41">
        <f>Z37-(AA37+AB37)</f>
        <v/>
      </c>
      <c r="AD37" s="41">
        <f>'Oct2026-COLLECTION'!K36</f>
        <v/>
      </c>
      <c r="AE37" s="41">
        <f>'Oct2026-EXPENSE'!R40</f>
        <v/>
      </c>
      <c r="AF37" s="21" t="n"/>
      <c r="AG37" s="41">
        <f>AD37-(AE37+AF37)</f>
        <v/>
      </c>
      <c r="AH37" s="41">
        <f>'Nov2026-COLLECTION'!K36</f>
        <v/>
      </c>
      <c r="AI37" s="41">
        <f>'Nov2026-EXPENSE'!R40</f>
        <v/>
      </c>
      <c r="AJ37" s="21" t="n"/>
      <c r="AK37" s="41">
        <f>AH37-(AI37+AJ37)</f>
        <v/>
      </c>
      <c r="AL37" s="41">
        <f>'Dec2026-COLLECTION'!K36</f>
        <v/>
      </c>
      <c r="AM37" s="41">
        <f>'Dec2026-EXPENSE'!R40</f>
        <v/>
      </c>
      <c r="AN37" s="21" t="n"/>
      <c r="AO37" s="41">
        <f>AL37-(AM37+AN37)</f>
        <v/>
      </c>
      <c r="AP37" s="41">
        <f>'Jan2027-COLLECTION'!K36</f>
        <v/>
      </c>
      <c r="AQ37" s="41">
        <f>'Jan2027-EXPENSE'!R40</f>
        <v/>
      </c>
      <c r="AR37" s="2" t="n"/>
      <c r="AS37" s="41">
        <f>AP37-(AQ37+AR37)</f>
        <v/>
      </c>
      <c r="AT37" s="41">
        <f>'Feb2027-COLLECTION'!K36</f>
        <v/>
      </c>
      <c r="AU37" s="41">
        <f>'Feb2027-EXPENSE'!R40</f>
        <v/>
      </c>
      <c r="AV37" s="2" t="n"/>
      <c r="AW37" s="41">
        <f>AT37-(AU37+AV37)</f>
        <v/>
      </c>
      <c r="AX37" s="41">
        <f>'Mar2027-COLLECTION'!K36</f>
        <v/>
      </c>
      <c r="AY37" s="41">
        <f>'Mar2027-EXPENSE'!R40</f>
        <v/>
      </c>
      <c r="AZ37" s="2" t="n"/>
      <c r="BA37" s="41">
        <f>AX37-(AY37+AZ37)</f>
        <v/>
      </c>
      <c r="BB37" s="41">
        <f>SUM(F37,J37,N37,R37,V37,Z37,AD37,AH37,AL37,AP37,AT37,AX37)</f>
        <v/>
      </c>
      <c r="BC37" s="41">
        <f>SUM(G37,K37,O37,S37,W37,AA37,AE37,AI37,AM37,AQ37,AU37,AY37)</f>
        <v/>
      </c>
      <c r="BD37" s="41">
        <f>SUM(H37,L37,P37,T37,X37,AB37,AF37,AJ37,AN37,AR37,AV37,AZ37)</f>
        <v/>
      </c>
      <c r="BE37" s="41">
        <f>BB37-(BC37+BD37)</f>
        <v/>
      </c>
      <c r="BF37" s="41">
        <f>E37+BE37</f>
        <v/>
      </c>
      <c r="BG37" s="41" t="n">
        <v>0</v>
      </c>
    </row>
    <row r="38" ht="15.75" customHeight="1">
      <c r="A38" s="36" t="inlineStr">
        <is>
          <t>S4</t>
        </is>
      </c>
      <c r="B38" s="42" t="n"/>
      <c r="C38" s="42" t="inlineStr">
        <is>
          <t xml:space="preserve">Swaminathan </t>
        </is>
      </c>
      <c r="D38" s="43" t="n">
        <v>0</v>
      </c>
      <c r="E38" s="43" t="n">
        <v>0</v>
      </c>
      <c r="F38" s="43">
        <f>'Apr2026-COLLECTION'!K37</f>
        <v/>
      </c>
      <c r="G38" s="43">
        <f>'Apr2026-EXPENSE'!R41</f>
        <v/>
      </c>
      <c r="H38" s="20" t="n"/>
      <c r="I38" s="43">
        <f>F38-(G38+H38)</f>
        <v/>
      </c>
      <c r="J38" s="43">
        <f>'May2026-COLLECTION'!K37</f>
        <v/>
      </c>
      <c r="K38" s="43">
        <f>'May2026-EXPENSE'!R41</f>
        <v/>
      </c>
      <c r="L38" s="21" t="n"/>
      <c r="M38" s="43">
        <f>J38-(K38+L38)</f>
        <v/>
      </c>
      <c r="N38" s="43">
        <f>'June2026-COLLECTION'!K37</f>
        <v/>
      </c>
      <c r="O38" s="43">
        <f>'June2026-EXPENSE'!R41</f>
        <v/>
      </c>
      <c r="P38" s="20" t="n"/>
      <c r="Q38" s="43">
        <f>N38-(O38+P38)</f>
        <v/>
      </c>
      <c r="R38" s="43">
        <f>'July2026-COLLECTION'!K37</f>
        <v/>
      </c>
      <c r="S38" s="43">
        <f>'July2026-EXPENSE'!R41</f>
        <v/>
      </c>
      <c r="T38" s="21" t="n"/>
      <c r="U38" s="43">
        <f>R38-(S38+T38)</f>
        <v/>
      </c>
      <c r="V38" s="43">
        <f>'Aug2026-COLLECTION'!K37</f>
        <v/>
      </c>
      <c r="W38" s="43">
        <f>'Aug2026-EXPENSE'!R41</f>
        <v/>
      </c>
      <c r="X38" s="20" t="n"/>
      <c r="Y38" s="43">
        <f>V38-(W38+X38)</f>
        <v/>
      </c>
      <c r="Z38" s="43">
        <f>'Sep2026-COLLECTION'!K37</f>
        <v/>
      </c>
      <c r="AA38" s="43">
        <f>'Sep2026-EXPENSE'!R41</f>
        <v/>
      </c>
      <c r="AB38" s="21" t="n"/>
      <c r="AC38" s="43">
        <f>Z38-(AA38+AB38)</f>
        <v/>
      </c>
      <c r="AD38" s="43">
        <f>'Oct2026-COLLECTION'!K37</f>
        <v/>
      </c>
      <c r="AE38" s="43">
        <f>'Oct2026-EXPENSE'!R41</f>
        <v/>
      </c>
      <c r="AF38" s="21" t="n"/>
      <c r="AG38" s="43">
        <f>AD38-(AE38+AF38)</f>
        <v/>
      </c>
      <c r="AH38" s="43">
        <f>'Nov2026-COLLECTION'!K37</f>
        <v/>
      </c>
      <c r="AI38" s="43">
        <f>'Nov2026-EXPENSE'!R41</f>
        <v/>
      </c>
      <c r="AJ38" s="21" t="n"/>
      <c r="AK38" s="43">
        <f>AH38-(AI38+AJ38)</f>
        <v/>
      </c>
      <c r="AL38" s="43">
        <f>'Dec2026-COLLECTION'!K37</f>
        <v/>
      </c>
      <c r="AM38" s="43">
        <f>'Dec2026-EXPENSE'!R41</f>
        <v/>
      </c>
      <c r="AN38" s="21" t="n"/>
      <c r="AO38" s="43">
        <f>AL38-(AM38+AN38)</f>
        <v/>
      </c>
      <c r="AP38" s="43">
        <f>'Jan2027-COLLECTION'!K37</f>
        <v/>
      </c>
      <c r="AQ38" s="43">
        <f>'Jan2027-EXPENSE'!R41</f>
        <v/>
      </c>
      <c r="AR38" s="2" t="n"/>
      <c r="AS38" s="43">
        <f>AP38-(AQ38+AR38)</f>
        <v/>
      </c>
      <c r="AT38" s="43">
        <f>'Feb2027-COLLECTION'!K37</f>
        <v/>
      </c>
      <c r="AU38" s="43">
        <f>'Feb2027-EXPENSE'!R41</f>
        <v/>
      </c>
      <c r="AV38" s="2" t="n"/>
      <c r="AW38" s="43">
        <f>AT38-(AU38+AV38)</f>
        <v/>
      </c>
      <c r="AX38" s="43">
        <f>'Mar2027-COLLECTION'!K37</f>
        <v/>
      </c>
      <c r="AY38" s="43">
        <f>'Mar2027-EXPENSE'!R41</f>
        <v/>
      </c>
      <c r="AZ38" s="2" t="n"/>
      <c r="BA38" s="43">
        <f>AX38-(AY38+AZ38)</f>
        <v/>
      </c>
      <c r="BB38" s="43">
        <f>SUM(F38,J38,N38,R38,V38,Z38,AD38,AH38,AL38,AP38,AT38,AX38)</f>
        <v/>
      </c>
      <c r="BC38" s="43">
        <f>SUM(G38,K38,O38,S38,W38,AA38,AE38,AI38,AM38,AQ38,AU38,AY38)</f>
        <v/>
      </c>
      <c r="BD38" s="43">
        <f>SUM(H38,L38,P38,T38,X38,AB38,AF38,AJ38,AN38,AR38,AV38,AZ38)</f>
        <v/>
      </c>
      <c r="BE38" s="43">
        <f>BB38-(BC38+BD38)</f>
        <v/>
      </c>
      <c r="BF38" s="43">
        <f>E38+BE38</f>
        <v/>
      </c>
      <c r="BG38" s="43" t="n">
        <v>0</v>
      </c>
    </row>
    <row r="39" ht="15.75" customHeight="1">
      <c r="A39" s="37" t="inlineStr">
        <is>
          <t>S5</t>
        </is>
      </c>
      <c r="B39" s="40" t="n"/>
      <c r="C39" s="40" t="inlineStr">
        <is>
          <t>Abhishek Gopalakrishnan</t>
        </is>
      </c>
      <c r="D39" s="41" t="n">
        <v>0</v>
      </c>
      <c r="E39" s="41" t="n">
        <v>0</v>
      </c>
      <c r="F39" s="41">
        <f>'Apr2026-COLLECTION'!K38</f>
        <v/>
      </c>
      <c r="G39" s="41">
        <f>'Apr2026-EXPENSE'!R42</f>
        <v/>
      </c>
      <c r="H39" s="20" t="n"/>
      <c r="I39" s="41">
        <f>F39-(G39+H39)</f>
        <v/>
      </c>
      <c r="J39" s="41">
        <f>'May2026-COLLECTION'!K38</f>
        <v/>
      </c>
      <c r="K39" s="41">
        <f>'May2026-EXPENSE'!R42</f>
        <v/>
      </c>
      <c r="L39" s="21" t="n"/>
      <c r="M39" s="41">
        <f>J39-(K39+L39)</f>
        <v/>
      </c>
      <c r="N39" s="41">
        <f>'June2026-COLLECTION'!K38</f>
        <v/>
      </c>
      <c r="O39" s="41">
        <f>'June2026-EXPENSE'!R42</f>
        <v/>
      </c>
      <c r="P39" s="20" t="n"/>
      <c r="Q39" s="41">
        <f>N39-(O39+P39)</f>
        <v/>
      </c>
      <c r="R39" s="41">
        <f>'July2026-COLLECTION'!K38</f>
        <v/>
      </c>
      <c r="S39" s="41">
        <f>'July2026-EXPENSE'!R42</f>
        <v/>
      </c>
      <c r="T39" s="21" t="n"/>
      <c r="U39" s="41">
        <f>R39-(S39+T39)</f>
        <v/>
      </c>
      <c r="V39" s="41">
        <f>'Aug2026-COLLECTION'!K38</f>
        <v/>
      </c>
      <c r="W39" s="41">
        <f>'Aug2026-EXPENSE'!R42</f>
        <v/>
      </c>
      <c r="X39" s="20" t="n"/>
      <c r="Y39" s="41">
        <f>V39-(W39+X39)</f>
        <v/>
      </c>
      <c r="Z39" s="41">
        <f>'Sep2026-COLLECTION'!K38</f>
        <v/>
      </c>
      <c r="AA39" s="41">
        <f>'Sep2026-EXPENSE'!R42</f>
        <v/>
      </c>
      <c r="AB39" s="21" t="n"/>
      <c r="AC39" s="41">
        <f>Z39-(AA39+AB39)</f>
        <v/>
      </c>
      <c r="AD39" s="41">
        <f>'Oct2026-COLLECTION'!K38</f>
        <v/>
      </c>
      <c r="AE39" s="41">
        <f>'Oct2026-EXPENSE'!R42</f>
        <v/>
      </c>
      <c r="AF39" s="21" t="n"/>
      <c r="AG39" s="41">
        <f>AD39-(AE39+AF39)</f>
        <v/>
      </c>
      <c r="AH39" s="41">
        <f>'Nov2026-COLLECTION'!K38</f>
        <v/>
      </c>
      <c r="AI39" s="41">
        <f>'Nov2026-EXPENSE'!R42</f>
        <v/>
      </c>
      <c r="AJ39" s="21" t="n"/>
      <c r="AK39" s="41">
        <f>AH39-(AI39+AJ39)</f>
        <v/>
      </c>
      <c r="AL39" s="41">
        <f>'Dec2026-COLLECTION'!K38</f>
        <v/>
      </c>
      <c r="AM39" s="41">
        <f>'Dec2026-EXPENSE'!R42</f>
        <v/>
      </c>
      <c r="AN39" s="21" t="n"/>
      <c r="AO39" s="41">
        <f>AL39-(AM39+AN39)</f>
        <v/>
      </c>
      <c r="AP39" s="41">
        <f>'Jan2027-COLLECTION'!K38</f>
        <v/>
      </c>
      <c r="AQ39" s="41">
        <f>'Jan2027-EXPENSE'!R42</f>
        <v/>
      </c>
      <c r="AR39" s="2" t="n"/>
      <c r="AS39" s="41">
        <f>AP39-(AQ39+AR39)</f>
        <v/>
      </c>
      <c r="AT39" s="41">
        <f>'Feb2027-COLLECTION'!K38</f>
        <v/>
      </c>
      <c r="AU39" s="41">
        <f>'Feb2027-EXPENSE'!R42</f>
        <v/>
      </c>
      <c r="AV39" s="2" t="n"/>
      <c r="AW39" s="41">
        <f>AT39-(AU39+AV39)</f>
        <v/>
      </c>
      <c r="AX39" s="41">
        <f>'Mar2027-COLLECTION'!K38</f>
        <v/>
      </c>
      <c r="AY39" s="41">
        <f>'Mar2027-EXPENSE'!R42</f>
        <v/>
      </c>
      <c r="AZ39" s="2" t="n"/>
      <c r="BA39" s="41">
        <f>AX39-(AY39+AZ39)</f>
        <v/>
      </c>
      <c r="BB39" s="41">
        <f>SUM(F39,J39,N39,R39,V39,Z39,AD39,AH39,AL39,AP39,AT39,AX39)</f>
        <v/>
      </c>
      <c r="BC39" s="41">
        <f>SUM(G39,K39,O39,S39,W39,AA39,AE39,AI39,AM39,AQ39,AU39,AY39)</f>
        <v/>
      </c>
      <c r="BD39" s="41">
        <f>SUM(H39,L39,P39,T39,X39,AB39,AF39,AJ39,AN39,AR39,AV39,AZ39)</f>
        <v/>
      </c>
      <c r="BE39" s="41">
        <f>BB39-(BC39+BD39)</f>
        <v/>
      </c>
      <c r="BF39" s="41">
        <f>E39+BE39</f>
        <v/>
      </c>
      <c r="BG39" s="41" t="n">
        <v>0</v>
      </c>
    </row>
    <row r="40" ht="15.75" customHeight="1">
      <c r="A40" s="36" t="inlineStr">
        <is>
          <t>S6</t>
        </is>
      </c>
      <c r="B40" s="42" t="n"/>
      <c r="C40" s="42" t="inlineStr">
        <is>
          <t>Vivek Dhingra / Pratyush Das</t>
        </is>
      </c>
      <c r="D40" s="43" t="n">
        <v>0</v>
      </c>
      <c r="E40" s="43" t="n">
        <v>0</v>
      </c>
      <c r="F40" s="43">
        <f>'Apr2026-COLLECTION'!K39</f>
        <v/>
      </c>
      <c r="G40" s="43">
        <f>'Apr2026-EXPENSE'!R43</f>
        <v/>
      </c>
      <c r="H40" s="20" t="n"/>
      <c r="I40" s="43">
        <f>F40-(G40+H40)</f>
        <v/>
      </c>
      <c r="J40" s="43">
        <f>'May2026-COLLECTION'!K39</f>
        <v/>
      </c>
      <c r="K40" s="43">
        <f>'May2026-EXPENSE'!R43</f>
        <v/>
      </c>
      <c r="L40" s="21" t="n"/>
      <c r="M40" s="43">
        <f>J40-(K40+L40)</f>
        <v/>
      </c>
      <c r="N40" s="43">
        <f>'June2026-COLLECTION'!K39</f>
        <v/>
      </c>
      <c r="O40" s="43">
        <f>'June2026-EXPENSE'!R43</f>
        <v/>
      </c>
      <c r="P40" s="20" t="n"/>
      <c r="Q40" s="43">
        <f>N40-(O40+P40)</f>
        <v/>
      </c>
      <c r="R40" s="43">
        <f>'July2026-COLLECTION'!K39</f>
        <v/>
      </c>
      <c r="S40" s="43">
        <f>'July2026-EXPENSE'!R43</f>
        <v/>
      </c>
      <c r="T40" s="21" t="n"/>
      <c r="U40" s="43">
        <f>R40-(S40+T40)</f>
        <v/>
      </c>
      <c r="V40" s="43">
        <f>'Aug2026-COLLECTION'!K39</f>
        <v/>
      </c>
      <c r="W40" s="43">
        <f>'Aug2026-EXPENSE'!R43</f>
        <v/>
      </c>
      <c r="X40" s="20" t="n"/>
      <c r="Y40" s="43">
        <f>V40-(W40+X40)</f>
        <v/>
      </c>
      <c r="Z40" s="43">
        <f>'Sep2026-COLLECTION'!K39</f>
        <v/>
      </c>
      <c r="AA40" s="43">
        <f>'Sep2026-EXPENSE'!R43</f>
        <v/>
      </c>
      <c r="AB40" s="21" t="n"/>
      <c r="AC40" s="43">
        <f>Z40-(AA40+AB40)</f>
        <v/>
      </c>
      <c r="AD40" s="43">
        <f>'Oct2026-COLLECTION'!K39</f>
        <v/>
      </c>
      <c r="AE40" s="43">
        <f>'Oct2026-EXPENSE'!R43</f>
        <v/>
      </c>
      <c r="AF40" s="21" t="n"/>
      <c r="AG40" s="43">
        <f>AD40-(AE40+AF40)</f>
        <v/>
      </c>
      <c r="AH40" s="43">
        <f>'Nov2026-COLLECTION'!K39</f>
        <v/>
      </c>
      <c r="AI40" s="43">
        <f>'Nov2026-EXPENSE'!R43</f>
        <v/>
      </c>
      <c r="AJ40" s="21" t="n"/>
      <c r="AK40" s="43">
        <f>AH40-(AI40+AJ40)</f>
        <v/>
      </c>
      <c r="AL40" s="43">
        <f>'Dec2026-COLLECTION'!K39</f>
        <v/>
      </c>
      <c r="AM40" s="43">
        <f>'Dec2026-EXPENSE'!R43</f>
        <v/>
      </c>
      <c r="AN40" s="21" t="n"/>
      <c r="AO40" s="43">
        <f>AL40-(AM40+AN40)</f>
        <v/>
      </c>
      <c r="AP40" s="43">
        <f>'Jan2027-COLLECTION'!K39</f>
        <v/>
      </c>
      <c r="AQ40" s="43">
        <f>'Jan2027-EXPENSE'!R43</f>
        <v/>
      </c>
      <c r="AR40" s="2" t="n"/>
      <c r="AS40" s="43">
        <f>AP40-(AQ40+AR40)</f>
        <v/>
      </c>
      <c r="AT40" s="43">
        <f>'Feb2027-COLLECTION'!K39</f>
        <v/>
      </c>
      <c r="AU40" s="43">
        <f>'Feb2027-EXPENSE'!R43</f>
        <v/>
      </c>
      <c r="AV40" s="2" t="n"/>
      <c r="AW40" s="43">
        <f>AT40-(AU40+AV40)</f>
        <v/>
      </c>
      <c r="AX40" s="43">
        <f>'Mar2027-COLLECTION'!K39</f>
        <v/>
      </c>
      <c r="AY40" s="43">
        <f>'Mar2027-EXPENSE'!R43</f>
        <v/>
      </c>
      <c r="AZ40" s="2" t="n"/>
      <c r="BA40" s="43">
        <f>AX40-(AY40+AZ40)</f>
        <v/>
      </c>
      <c r="BB40" s="43">
        <f>SUM(F40,J40,N40,R40,V40,Z40,AD40,AH40,AL40,AP40,AT40,AX40)</f>
        <v/>
      </c>
      <c r="BC40" s="43">
        <f>SUM(G40,K40,O40,S40,W40,AA40,AE40,AI40,AM40,AQ40,AU40,AY40)</f>
        <v/>
      </c>
      <c r="BD40" s="43">
        <f>SUM(H40,L40,P40,T40,X40,AB40,AF40,AJ40,AN40,AR40,AV40,AZ40)</f>
        <v/>
      </c>
      <c r="BE40" s="43">
        <f>BB40-(BC40+BD40)</f>
        <v/>
      </c>
      <c r="BF40" s="43">
        <f>E40+BE40</f>
        <v/>
      </c>
      <c r="BG40" s="43" t="n">
        <v>0</v>
      </c>
    </row>
    <row r="41" ht="15.75" customHeight="1">
      <c r="A41" s="37" t="inlineStr">
        <is>
          <t>S7</t>
        </is>
      </c>
      <c r="B41" s="40" t="n"/>
      <c r="C41" s="40" t="inlineStr">
        <is>
          <t>Harish B</t>
        </is>
      </c>
      <c r="D41" s="41" t="n">
        <v>0</v>
      </c>
      <c r="E41" s="41" t="n">
        <v>0</v>
      </c>
      <c r="F41" s="41">
        <f>'Apr2026-COLLECTION'!K40</f>
        <v/>
      </c>
      <c r="G41" s="41">
        <f>'Apr2026-EXPENSE'!R44</f>
        <v/>
      </c>
      <c r="H41" s="20" t="n"/>
      <c r="I41" s="41">
        <f>F41-(G41+H41)</f>
        <v/>
      </c>
      <c r="J41" s="41">
        <f>'May2026-COLLECTION'!K40</f>
        <v/>
      </c>
      <c r="K41" s="41">
        <f>'May2026-EXPENSE'!R44</f>
        <v/>
      </c>
      <c r="L41" s="21" t="n"/>
      <c r="M41" s="41">
        <f>J41-(K41+L41)</f>
        <v/>
      </c>
      <c r="N41" s="41">
        <f>'June2026-COLLECTION'!K40</f>
        <v/>
      </c>
      <c r="O41" s="41">
        <f>'June2026-EXPENSE'!R44</f>
        <v/>
      </c>
      <c r="P41" s="20" t="n"/>
      <c r="Q41" s="41">
        <f>N41-(O41+P41)</f>
        <v/>
      </c>
      <c r="R41" s="41">
        <f>'July2026-COLLECTION'!K40</f>
        <v/>
      </c>
      <c r="S41" s="41">
        <f>'July2026-EXPENSE'!R44</f>
        <v/>
      </c>
      <c r="T41" s="21" t="n"/>
      <c r="U41" s="41">
        <f>R41-(S41+T41)</f>
        <v/>
      </c>
      <c r="V41" s="41">
        <f>'Aug2026-COLLECTION'!K40</f>
        <v/>
      </c>
      <c r="W41" s="41">
        <f>'Aug2026-EXPENSE'!R44</f>
        <v/>
      </c>
      <c r="X41" s="20" t="n"/>
      <c r="Y41" s="41">
        <f>V41-(W41+X41)</f>
        <v/>
      </c>
      <c r="Z41" s="41">
        <f>'Sep2026-COLLECTION'!K40</f>
        <v/>
      </c>
      <c r="AA41" s="41">
        <f>'Sep2026-EXPENSE'!R44</f>
        <v/>
      </c>
      <c r="AB41" s="21" t="n"/>
      <c r="AC41" s="41">
        <f>Z41-(AA41+AB41)</f>
        <v/>
      </c>
      <c r="AD41" s="41">
        <f>'Oct2026-COLLECTION'!K40</f>
        <v/>
      </c>
      <c r="AE41" s="41">
        <f>'Oct2026-EXPENSE'!R44</f>
        <v/>
      </c>
      <c r="AF41" s="21" t="n"/>
      <c r="AG41" s="41">
        <f>AD41-(AE41+AF41)</f>
        <v/>
      </c>
      <c r="AH41" s="41">
        <f>'Nov2026-COLLECTION'!K40</f>
        <v/>
      </c>
      <c r="AI41" s="41">
        <f>'Nov2026-EXPENSE'!R44</f>
        <v/>
      </c>
      <c r="AJ41" s="21" t="n"/>
      <c r="AK41" s="41">
        <f>AH41-(AI41+AJ41)</f>
        <v/>
      </c>
      <c r="AL41" s="41">
        <f>'Dec2026-COLLECTION'!K40</f>
        <v/>
      </c>
      <c r="AM41" s="41">
        <f>'Dec2026-EXPENSE'!R44</f>
        <v/>
      </c>
      <c r="AN41" s="21" t="n"/>
      <c r="AO41" s="41">
        <f>AL41-(AM41+AN41)</f>
        <v/>
      </c>
      <c r="AP41" s="41">
        <f>'Jan2027-COLLECTION'!K40</f>
        <v/>
      </c>
      <c r="AQ41" s="41">
        <f>'Jan2027-EXPENSE'!R44</f>
        <v/>
      </c>
      <c r="AR41" s="2" t="n"/>
      <c r="AS41" s="41">
        <f>AP41-(AQ41+AR41)</f>
        <v/>
      </c>
      <c r="AT41" s="41">
        <f>'Feb2027-COLLECTION'!K40</f>
        <v/>
      </c>
      <c r="AU41" s="41">
        <f>'Feb2027-EXPENSE'!R44</f>
        <v/>
      </c>
      <c r="AV41" s="2" t="n"/>
      <c r="AW41" s="41">
        <f>AT41-(AU41+AV41)</f>
        <v/>
      </c>
      <c r="AX41" s="41">
        <f>'Mar2027-COLLECTION'!K40</f>
        <v/>
      </c>
      <c r="AY41" s="41">
        <f>'Mar2027-EXPENSE'!R44</f>
        <v/>
      </c>
      <c r="AZ41" s="2" t="n"/>
      <c r="BA41" s="41">
        <f>AX41-(AY41+AZ41)</f>
        <v/>
      </c>
      <c r="BB41" s="41">
        <f>SUM(F41,J41,N41,R41,V41,Z41,AD41,AH41,AL41,AP41,AT41,AX41)</f>
        <v/>
      </c>
      <c r="BC41" s="41">
        <f>SUM(G41,K41,O41,S41,W41,AA41,AE41,AI41,AM41,AQ41,AU41,AY41)</f>
        <v/>
      </c>
      <c r="BD41" s="41">
        <f>SUM(H41,L41,P41,T41,X41,AB41,AF41,AJ41,AN41,AR41,AV41,AZ41)</f>
        <v/>
      </c>
      <c r="BE41" s="41">
        <f>BB41-(BC41+BD41)</f>
        <v/>
      </c>
      <c r="BF41" s="41">
        <f>E41+BE41</f>
        <v/>
      </c>
      <c r="BG41" s="41" t="n">
        <v>0</v>
      </c>
    </row>
    <row r="42" ht="15.75" customHeight="1">
      <c r="A42" s="36" t="inlineStr">
        <is>
          <t>S8</t>
        </is>
      </c>
      <c r="B42" s="42" t="n"/>
      <c r="C42" s="42" t="inlineStr">
        <is>
          <t>Irudayaraj Alwin</t>
        </is>
      </c>
      <c r="D42" s="43" t="n">
        <v>0</v>
      </c>
      <c r="E42" s="43" t="n">
        <v>0</v>
      </c>
      <c r="F42" s="43">
        <f>'Apr2026-COLLECTION'!K41</f>
        <v/>
      </c>
      <c r="G42" s="43">
        <f>'Apr2026-EXPENSE'!R45</f>
        <v/>
      </c>
      <c r="H42" s="20" t="n"/>
      <c r="I42" s="43">
        <f>F42-(G42+H42)</f>
        <v/>
      </c>
      <c r="J42" s="43">
        <f>'May2026-COLLECTION'!K41</f>
        <v/>
      </c>
      <c r="K42" s="43">
        <f>'May2026-EXPENSE'!R45</f>
        <v/>
      </c>
      <c r="L42" s="21" t="n"/>
      <c r="M42" s="43">
        <f>J42-(K42+L42)</f>
        <v/>
      </c>
      <c r="N42" s="43">
        <f>'June2026-COLLECTION'!K41</f>
        <v/>
      </c>
      <c r="O42" s="43">
        <f>'June2026-EXPENSE'!R45</f>
        <v/>
      </c>
      <c r="P42" s="20" t="n"/>
      <c r="Q42" s="43">
        <f>N42-(O42+P42)</f>
        <v/>
      </c>
      <c r="R42" s="43">
        <f>'July2026-COLLECTION'!K41</f>
        <v/>
      </c>
      <c r="S42" s="43">
        <f>'July2026-EXPENSE'!R45</f>
        <v/>
      </c>
      <c r="T42" s="21" t="n"/>
      <c r="U42" s="43">
        <f>R42-(S42+T42)</f>
        <v/>
      </c>
      <c r="V42" s="43">
        <f>'Aug2026-COLLECTION'!K41</f>
        <v/>
      </c>
      <c r="W42" s="43">
        <f>'Aug2026-EXPENSE'!R45</f>
        <v/>
      </c>
      <c r="X42" s="20" t="n"/>
      <c r="Y42" s="43">
        <f>V42-(W42+X42)</f>
        <v/>
      </c>
      <c r="Z42" s="43">
        <f>'Sep2026-COLLECTION'!K41</f>
        <v/>
      </c>
      <c r="AA42" s="43">
        <f>'Sep2026-EXPENSE'!R45</f>
        <v/>
      </c>
      <c r="AB42" s="21" t="n"/>
      <c r="AC42" s="43">
        <f>Z42-(AA42+AB42)</f>
        <v/>
      </c>
      <c r="AD42" s="43">
        <f>'Oct2026-COLLECTION'!K41</f>
        <v/>
      </c>
      <c r="AE42" s="43">
        <f>'Oct2026-EXPENSE'!R45</f>
        <v/>
      </c>
      <c r="AF42" s="21" t="n"/>
      <c r="AG42" s="43">
        <f>AD42-(AE42+AF42)</f>
        <v/>
      </c>
      <c r="AH42" s="43">
        <f>'Nov2026-COLLECTION'!K41</f>
        <v/>
      </c>
      <c r="AI42" s="43">
        <f>'Nov2026-EXPENSE'!R45</f>
        <v/>
      </c>
      <c r="AJ42" s="21" t="n"/>
      <c r="AK42" s="43">
        <f>AH42-(AI42+AJ42)</f>
        <v/>
      </c>
      <c r="AL42" s="43">
        <f>'Dec2026-COLLECTION'!K41</f>
        <v/>
      </c>
      <c r="AM42" s="43">
        <f>'Dec2026-EXPENSE'!R45</f>
        <v/>
      </c>
      <c r="AN42" s="21" t="n"/>
      <c r="AO42" s="43">
        <f>AL42-(AM42+AN42)</f>
        <v/>
      </c>
      <c r="AP42" s="43">
        <f>'Jan2027-COLLECTION'!K41</f>
        <v/>
      </c>
      <c r="AQ42" s="43">
        <f>'Jan2027-EXPENSE'!R45</f>
        <v/>
      </c>
      <c r="AR42" s="2" t="n"/>
      <c r="AS42" s="43">
        <f>AP42-(AQ42+AR42)</f>
        <v/>
      </c>
      <c r="AT42" s="43">
        <f>'Feb2027-COLLECTION'!K41</f>
        <v/>
      </c>
      <c r="AU42" s="43">
        <f>'Feb2027-EXPENSE'!R45</f>
        <v/>
      </c>
      <c r="AV42" s="2" t="n"/>
      <c r="AW42" s="43">
        <f>AT42-(AU42+AV42)</f>
        <v/>
      </c>
      <c r="AX42" s="43">
        <f>'Mar2027-COLLECTION'!K41</f>
        <v/>
      </c>
      <c r="AY42" s="43">
        <f>'Mar2027-EXPENSE'!R45</f>
        <v/>
      </c>
      <c r="AZ42" s="2" t="n"/>
      <c r="BA42" s="43">
        <f>AX42-(AY42+AZ42)</f>
        <v/>
      </c>
      <c r="BB42" s="43">
        <f>SUM(F42,J42,N42,R42,V42,Z42,AD42,AH42,AL42,AP42,AT42,AX42)</f>
        <v/>
      </c>
      <c r="BC42" s="43">
        <f>SUM(G42,K42,O42,S42,W42,AA42,AE42,AI42,AM42,AQ42,AU42,AY42)</f>
        <v/>
      </c>
      <c r="BD42" s="43">
        <f>SUM(H42,L42,P42,T42,X42,AB42,AF42,AJ42,AN42,AR42,AV42,AZ42)</f>
        <v/>
      </c>
      <c r="BE42" s="43">
        <f>BB42-(BC42+BD42)</f>
        <v/>
      </c>
      <c r="BF42" s="43">
        <f>E42+BE42</f>
        <v/>
      </c>
      <c r="BG42" s="43" t="n">
        <v>0</v>
      </c>
    </row>
    <row r="43" ht="15.75" customHeight="1">
      <c r="A43" s="37" t="inlineStr">
        <is>
          <t>S9</t>
        </is>
      </c>
      <c r="B43" s="40" t="n"/>
      <c r="C43" s="40" t="inlineStr">
        <is>
          <t>Pawan GS</t>
        </is>
      </c>
      <c r="D43" s="41" t="n">
        <v>0</v>
      </c>
      <c r="E43" s="41" t="n">
        <v>0</v>
      </c>
      <c r="F43" s="41">
        <f>'Apr2026-COLLECTION'!K42</f>
        <v/>
      </c>
      <c r="G43" s="41">
        <f>'Apr2026-EXPENSE'!R46</f>
        <v/>
      </c>
      <c r="H43" s="20" t="n"/>
      <c r="I43" s="41">
        <f>F43-(G43+H43)</f>
        <v/>
      </c>
      <c r="J43" s="41">
        <f>'May2026-COLLECTION'!K42</f>
        <v/>
      </c>
      <c r="K43" s="41">
        <f>'May2026-EXPENSE'!R46</f>
        <v/>
      </c>
      <c r="L43" s="21" t="n"/>
      <c r="M43" s="41">
        <f>J43-(K43+L43)</f>
        <v/>
      </c>
      <c r="N43" s="41">
        <f>'June2026-COLLECTION'!K42</f>
        <v/>
      </c>
      <c r="O43" s="41">
        <f>'June2026-EXPENSE'!R46</f>
        <v/>
      </c>
      <c r="P43" s="20" t="n"/>
      <c r="Q43" s="41">
        <f>N43-(O43+P43)</f>
        <v/>
      </c>
      <c r="R43" s="41">
        <f>'July2026-COLLECTION'!K42</f>
        <v/>
      </c>
      <c r="S43" s="41">
        <f>'July2026-EXPENSE'!R46</f>
        <v/>
      </c>
      <c r="T43" s="21" t="n"/>
      <c r="U43" s="41">
        <f>R43-(S43+T43)</f>
        <v/>
      </c>
      <c r="V43" s="41">
        <f>'Aug2026-COLLECTION'!K42</f>
        <v/>
      </c>
      <c r="W43" s="41">
        <f>'Aug2026-EXPENSE'!R46</f>
        <v/>
      </c>
      <c r="X43" s="20" t="n"/>
      <c r="Y43" s="41">
        <f>V43-(W43+X43)</f>
        <v/>
      </c>
      <c r="Z43" s="41">
        <f>'Sep2026-COLLECTION'!K42</f>
        <v/>
      </c>
      <c r="AA43" s="41">
        <f>'Sep2026-EXPENSE'!R46</f>
        <v/>
      </c>
      <c r="AB43" s="21" t="n"/>
      <c r="AC43" s="41">
        <f>Z43-(AA43+AB43)</f>
        <v/>
      </c>
      <c r="AD43" s="41">
        <f>'Oct2026-COLLECTION'!K42</f>
        <v/>
      </c>
      <c r="AE43" s="41">
        <f>'Oct2026-EXPENSE'!R46</f>
        <v/>
      </c>
      <c r="AF43" s="21" t="n"/>
      <c r="AG43" s="41">
        <f>AD43-(AE43+AF43)</f>
        <v/>
      </c>
      <c r="AH43" s="41">
        <f>'Nov2026-COLLECTION'!K42</f>
        <v/>
      </c>
      <c r="AI43" s="41">
        <f>'Nov2026-EXPENSE'!R46</f>
        <v/>
      </c>
      <c r="AJ43" s="21" t="n"/>
      <c r="AK43" s="41">
        <f>AH43-(AI43+AJ43)</f>
        <v/>
      </c>
      <c r="AL43" s="41">
        <f>'Dec2026-COLLECTION'!K42</f>
        <v/>
      </c>
      <c r="AM43" s="41">
        <f>'Dec2026-EXPENSE'!R46</f>
        <v/>
      </c>
      <c r="AN43" s="21" t="n"/>
      <c r="AO43" s="41">
        <f>AL43-(AM43+AN43)</f>
        <v/>
      </c>
      <c r="AP43" s="41">
        <f>'Jan2027-COLLECTION'!K42</f>
        <v/>
      </c>
      <c r="AQ43" s="41">
        <f>'Jan2027-EXPENSE'!R46</f>
        <v/>
      </c>
      <c r="AR43" s="2" t="n"/>
      <c r="AS43" s="41">
        <f>AP43-(AQ43+AR43)</f>
        <v/>
      </c>
      <c r="AT43" s="41">
        <f>'Feb2027-COLLECTION'!K42</f>
        <v/>
      </c>
      <c r="AU43" s="41">
        <f>'Feb2027-EXPENSE'!R46</f>
        <v/>
      </c>
      <c r="AV43" s="2" t="n"/>
      <c r="AW43" s="41">
        <f>AT43-(AU43+AV43)</f>
        <v/>
      </c>
      <c r="AX43" s="41">
        <f>'Mar2027-COLLECTION'!K42</f>
        <v/>
      </c>
      <c r="AY43" s="41">
        <f>'Mar2027-EXPENSE'!R46</f>
        <v/>
      </c>
      <c r="AZ43" s="2" t="n"/>
      <c r="BA43" s="41">
        <f>AX43-(AY43+AZ43)</f>
        <v/>
      </c>
      <c r="BB43" s="41">
        <f>SUM(F43,J43,N43,R43,V43,Z43,AD43,AH43,AL43,AP43,AT43,AX43)</f>
        <v/>
      </c>
      <c r="BC43" s="41">
        <f>SUM(G43,K43,O43,S43,W43,AA43,AE43,AI43,AM43,AQ43,AU43,AY43)</f>
        <v/>
      </c>
      <c r="BD43" s="41">
        <f>SUM(H43,L43,P43,T43,X43,AB43,AF43,AJ43,AN43,AR43,AV43,AZ43)</f>
        <v/>
      </c>
      <c r="BE43" s="41">
        <f>BB43-(BC43+BD43)</f>
        <v/>
      </c>
      <c r="BF43" s="41">
        <f>E43+BE43</f>
        <v/>
      </c>
      <c r="BG43" s="41" t="n">
        <v>0</v>
      </c>
    </row>
    <row r="44" ht="15.75" customHeight="1">
      <c r="A44" s="36" t="inlineStr">
        <is>
          <t>S10</t>
        </is>
      </c>
      <c r="B44" s="42" t="inlineStr">
        <is>
          <t>esky2524@gmail.com</t>
        </is>
      </c>
      <c r="C44" s="42" t="inlineStr">
        <is>
          <t>Previous owner - Rohith. New owner name not known</t>
        </is>
      </c>
      <c r="D44" s="43" t="n">
        <v>0</v>
      </c>
      <c r="E44" s="43" t="n">
        <v>0</v>
      </c>
      <c r="F44" s="43">
        <f>'Apr2026-COLLECTION'!K43</f>
        <v/>
      </c>
      <c r="G44" s="43">
        <f>'Apr2026-EXPENSE'!R47</f>
        <v/>
      </c>
      <c r="H44" s="20" t="n"/>
      <c r="I44" s="43">
        <f>F44-(G44+H44)</f>
        <v/>
      </c>
      <c r="J44" s="43">
        <f>'May2026-COLLECTION'!K43</f>
        <v/>
      </c>
      <c r="K44" s="43">
        <f>'May2026-EXPENSE'!R47</f>
        <v/>
      </c>
      <c r="L44" s="43" t="n">
        <v>0</v>
      </c>
      <c r="M44" s="43">
        <f>J44-(K44+L44)</f>
        <v/>
      </c>
      <c r="N44" s="43">
        <f>'June2026-COLLECTION'!K43</f>
        <v/>
      </c>
      <c r="O44" s="43">
        <f>'June2026-EXPENSE'!R47</f>
        <v/>
      </c>
      <c r="P44" s="20" t="n"/>
      <c r="Q44" s="43">
        <f>N44-(O44+P44)</f>
        <v/>
      </c>
      <c r="R44" s="43">
        <f>'July2026-COLLECTION'!K43</f>
        <v/>
      </c>
      <c r="S44" s="43">
        <f>'July2026-EXPENSE'!R47</f>
        <v/>
      </c>
      <c r="T44" s="43" t="n">
        <v>0</v>
      </c>
      <c r="U44" s="43">
        <f>R44-(S44+T44)</f>
        <v/>
      </c>
      <c r="V44" s="43">
        <f>'Aug2026-COLLECTION'!K43</f>
        <v/>
      </c>
      <c r="W44" s="43">
        <f>'Aug2026-EXPENSE'!R47</f>
        <v/>
      </c>
      <c r="X44" s="20" t="n"/>
      <c r="Y44" s="43">
        <f>V44-(W44+X44)</f>
        <v/>
      </c>
      <c r="Z44" s="43">
        <f>'Sep2026-COLLECTION'!K43</f>
        <v/>
      </c>
      <c r="AA44" s="43">
        <f>'Sep2026-EXPENSE'!R47</f>
        <v/>
      </c>
      <c r="AB44" s="21" t="n"/>
      <c r="AC44" s="43">
        <f>Z44-(AA44+AB44)</f>
        <v/>
      </c>
      <c r="AD44" s="43">
        <f>'Oct2026-COLLECTION'!K43</f>
        <v/>
      </c>
      <c r="AE44" s="43">
        <f>'Oct2026-EXPENSE'!R47</f>
        <v/>
      </c>
      <c r="AF44" s="21" t="n"/>
      <c r="AG44" s="43">
        <f>AD44-(AE44+AF44)</f>
        <v/>
      </c>
      <c r="AH44" s="43">
        <f>'Nov2026-COLLECTION'!K43</f>
        <v/>
      </c>
      <c r="AI44" s="43">
        <f>'Nov2026-EXPENSE'!R47</f>
        <v/>
      </c>
      <c r="AJ44" s="21" t="n"/>
      <c r="AK44" s="43">
        <f>AH44-(AI44+AJ44)</f>
        <v/>
      </c>
      <c r="AL44" s="43">
        <f>'Dec2026-COLLECTION'!K43</f>
        <v/>
      </c>
      <c r="AM44" s="43">
        <f>'Dec2026-EXPENSE'!R47</f>
        <v/>
      </c>
      <c r="AN44" s="21" t="n"/>
      <c r="AO44" s="43">
        <f>AL44-(AM44+AN44)</f>
        <v/>
      </c>
      <c r="AP44" s="43">
        <f>'Jan2027-COLLECTION'!K43</f>
        <v/>
      </c>
      <c r="AQ44" s="43">
        <f>'Jan2027-EXPENSE'!R47</f>
        <v/>
      </c>
      <c r="AR44" s="2" t="n"/>
      <c r="AS44" s="43">
        <f>AP44-(AQ44+AR44)</f>
        <v/>
      </c>
      <c r="AT44" s="43">
        <f>'Feb2027-COLLECTION'!K43</f>
        <v/>
      </c>
      <c r="AU44" s="43">
        <f>'Feb2027-EXPENSE'!R47</f>
        <v/>
      </c>
      <c r="AV44" s="2" t="n"/>
      <c r="AW44" s="43">
        <f>AT44-(AU44+AV44)</f>
        <v/>
      </c>
      <c r="AX44" s="43">
        <f>'Mar2027-COLLECTION'!K43</f>
        <v/>
      </c>
      <c r="AY44" s="43">
        <f>'Mar2027-EXPENSE'!R47</f>
        <v/>
      </c>
      <c r="AZ44" s="2" t="n"/>
      <c r="BA44" s="43">
        <f>AX44-(AY44+AZ44)</f>
        <v/>
      </c>
      <c r="BB44" s="43">
        <f>SUM(F44,J44,N44,R44,V44,Z44,AD44,AH44,AL44,AP44,AT44,AX44)</f>
        <v/>
      </c>
      <c r="BC44" s="43">
        <f>SUM(G44,K44,O44,S44,W44,AA44,AE44,AI44,AM44,AQ44,AU44,AY44)</f>
        <v/>
      </c>
      <c r="BD44" s="43">
        <f>SUM(H44,L44,P44,T44,X44,AB44,AF44,AJ44,AN44,AR44,AV44,AZ44)</f>
        <v/>
      </c>
      <c r="BE44" s="43">
        <f>BB44-(BC44+BD44)</f>
        <v/>
      </c>
      <c r="BF44" s="43">
        <f>E44+BE44</f>
        <v/>
      </c>
      <c r="BG44" s="43" t="n">
        <v>0</v>
      </c>
    </row>
    <row r="45" ht="15.75" customHeight="1">
      <c r="A45" s="37" t="inlineStr">
        <is>
          <t>S11</t>
        </is>
      </c>
      <c r="B45" s="40" t="n"/>
      <c r="C45" s="40" t="inlineStr">
        <is>
          <t>Gowrish Patnaik / Somananth GM</t>
        </is>
      </c>
      <c r="D45" s="41" t="n">
        <v>0</v>
      </c>
      <c r="E45" s="41" t="n">
        <v>0</v>
      </c>
      <c r="F45" s="41">
        <f>'Apr2026-COLLECTION'!K44</f>
        <v/>
      </c>
      <c r="G45" s="41">
        <f>'Apr2026-EXPENSE'!R48</f>
        <v/>
      </c>
      <c r="H45" s="20" t="n"/>
      <c r="I45" s="41">
        <f>F45-(G45+H45)</f>
        <v/>
      </c>
      <c r="J45" s="41">
        <f>'May2026-COLLECTION'!K44</f>
        <v/>
      </c>
      <c r="K45" s="41">
        <f>'May2026-EXPENSE'!R48</f>
        <v/>
      </c>
      <c r="L45" s="41" t="n">
        <v>0</v>
      </c>
      <c r="M45" s="41">
        <f>J45-(K45+L45)</f>
        <v/>
      </c>
      <c r="N45" s="41">
        <f>'June2026-COLLECTION'!K44</f>
        <v/>
      </c>
      <c r="O45" s="41">
        <f>'June2026-EXPENSE'!R48</f>
        <v/>
      </c>
      <c r="P45" s="20" t="n"/>
      <c r="Q45" s="41">
        <f>N45-(O45+P45)</f>
        <v/>
      </c>
      <c r="R45" s="41">
        <f>'July2026-COLLECTION'!K44</f>
        <v/>
      </c>
      <c r="S45" s="41">
        <f>'July2026-EXPENSE'!R48</f>
        <v/>
      </c>
      <c r="T45" s="21" t="n"/>
      <c r="U45" s="41">
        <f>R45-(S45+T45)</f>
        <v/>
      </c>
      <c r="V45" s="41">
        <f>'Aug2026-COLLECTION'!K44</f>
        <v/>
      </c>
      <c r="W45" s="41">
        <f>'Aug2026-EXPENSE'!R48</f>
        <v/>
      </c>
      <c r="X45" s="20" t="n"/>
      <c r="Y45" s="41">
        <f>V45-(W45+X45)</f>
        <v/>
      </c>
      <c r="Z45" s="41">
        <f>'Sep2026-COLLECTION'!K44</f>
        <v/>
      </c>
      <c r="AA45" s="41">
        <f>'Sep2026-EXPENSE'!R48</f>
        <v/>
      </c>
      <c r="AB45" s="21" t="n"/>
      <c r="AC45" s="41">
        <f>Z45-(AA45+AB45)</f>
        <v/>
      </c>
      <c r="AD45" s="41">
        <f>'Oct2026-COLLECTION'!K44</f>
        <v/>
      </c>
      <c r="AE45" s="41">
        <f>'Oct2026-EXPENSE'!R48</f>
        <v/>
      </c>
      <c r="AF45" s="21" t="n"/>
      <c r="AG45" s="41">
        <f>AD45-(AE45+AF45)</f>
        <v/>
      </c>
      <c r="AH45" s="41">
        <f>'Nov2026-COLLECTION'!K44</f>
        <v/>
      </c>
      <c r="AI45" s="41">
        <f>'Nov2026-EXPENSE'!R48</f>
        <v/>
      </c>
      <c r="AJ45" s="21" t="n"/>
      <c r="AK45" s="41">
        <f>AH45-(AI45+AJ45)</f>
        <v/>
      </c>
      <c r="AL45" s="41">
        <f>'Dec2026-COLLECTION'!K44</f>
        <v/>
      </c>
      <c r="AM45" s="41">
        <f>'Dec2026-EXPENSE'!R48</f>
        <v/>
      </c>
      <c r="AN45" s="21" t="n"/>
      <c r="AO45" s="41">
        <f>AL45-(AM45+AN45)</f>
        <v/>
      </c>
      <c r="AP45" s="41">
        <f>'Jan2027-COLLECTION'!K44</f>
        <v/>
      </c>
      <c r="AQ45" s="41">
        <f>'Jan2027-EXPENSE'!R48</f>
        <v/>
      </c>
      <c r="AR45" s="2" t="n"/>
      <c r="AS45" s="41">
        <f>AP45-(AQ45+AR45)</f>
        <v/>
      </c>
      <c r="AT45" s="41">
        <f>'Feb2027-COLLECTION'!K44</f>
        <v/>
      </c>
      <c r="AU45" s="41">
        <f>'Feb2027-EXPENSE'!R48</f>
        <v/>
      </c>
      <c r="AV45" s="2" t="n"/>
      <c r="AW45" s="41">
        <f>AT45-(AU45+AV45)</f>
        <v/>
      </c>
      <c r="AX45" s="41">
        <f>'Mar2027-COLLECTION'!K44</f>
        <v/>
      </c>
      <c r="AY45" s="41">
        <f>'Mar2027-EXPENSE'!R48</f>
        <v/>
      </c>
      <c r="AZ45" s="2" t="n"/>
      <c r="BA45" s="41">
        <f>AX45-(AY45+AZ45)</f>
        <v/>
      </c>
      <c r="BB45" s="41">
        <f>SUM(F45,J45,N45,R45,V45,Z45,AD45,AH45,AL45,AP45,AT45,AX45)</f>
        <v/>
      </c>
      <c r="BC45" s="41">
        <f>SUM(G45,K45,O45,S45,W45,AA45,AE45,AI45,AM45,AQ45,AU45,AY45)</f>
        <v/>
      </c>
      <c r="BD45" s="41">
        <f>SUM(H45,L45,P45,T45,X45,AB45,AF45,AJ45,AN45,AR45,AV45,AZ45)</f>
        <v/>
      </c>
      <c r="BE45" s="41">
        <f>BB45-(BC45+BD45)</f>
        <v/>
      </c>
      <c r="BF45" s="41">
        <f>E45+BE45</f>
        <v/>
      </c>
      <c r="BG45" s="41" t="n">
        <v>0</v>
      </c>
    </row>
    <row r="46" ht="15.75" customHeight="1">
      <c r="A46" s="36" t="inlineStr">
        <is>
          <t>S12</t>
        </is>
      </c>
      <c r="B46" s="42" t="n"/>
      <c r="C46" s="42" t="inlineStr">
        <is>
          <t>Saovik Mondal</t>
        </is>
      </c>
      <c r="D46" s="43" t="n">
        <v>0</v>
      </c>
      <c r="E46" s="43" t="n">
        <v>0</v>
      </c>
      <c r="F46" s="43">
        <f>'Apr2026-COLLECTION'!K45</f>
        <v/>
      </c>
      <c r="G46" s="43">
        <f>'Apr2026-EXPENSE'!R49</f>
        <v/>
      </c>
      <c r="H46" s="20" t="n"/>
      <c r="I46" s="43">
        <f>F46-(G46+H46)</f>
        <v/>
      </c>
      <c r="J46" s="43">
        <f>'May2026-COLLECTION'!K45</f>
        <v/>
      </c>
      <c r="K46" s="43">
        <f>'May2026-EXPENSE'!R49</f>
        <v/>
      </c>
      <c r="L46" s="21" t="n"/>
      <c r="M46" s="43">
        <f>J46-(K46+L46)</f>
        <v/>
      </c>
      <c r="N46" s="43">
        <f>'June2026-COLLECTION'!K45</f>
        <v/>
      </c>
      <c r="O46" s="43">
        <f>'June2026-EXPENSE'!R49</f>
        <v/>
      </c>
      <c r="P46" s="20" t="n"/>
      <c r="Q46" s="43">
        <f>N46-(O46+P46)</f>
        <v/>
      </c>
      <c r="R46" s="43">
        <f>'July2026-COLLECTION'!K45</f>
        <v/>
      </c>
      <c r="S46" s="43">
        <f>'July2026-EXPENSE'!R49</f>
        <v/>
      </c>
      <c r="T46" s="21" t="n"/>
      <c r="U46" s="43">
        <f>R46-(S46+T46)</f>
        <v/>
      </c>
      <c r="V46" s="43">
        <f>'Aug2026-COLLECTION'!K45</f>
        <v/>
      </c>
      <c r="W46" s="43">
        <f>'Aug2026-EXPENSE'!R49</f>
        <v/>
      </c>
      <c r="X46" s="20" t="n"/>
      <c r="Y46" s="43">
        <f>V46-(W46+X46)</f>
        <v/>
      </c>
      <c r="Z46" s="43">
        <f>'Sep2026-COLLECTION'!K45</f>
        <v/>
      </c>
      <c r="AA46" s="43">
        <f>'Sep2026-EXPENSE'!R49</f>
        <v/>
      </c>
      <c r="AB46" s="21" t="n"/>
      <c r="AC46" s="43">
        <f>Z46-(AA46+AB46)</f>
        <v/>
      </c>
      <c r="AD46" s="43">
        <f>'Oct2026-COLLECTION'!K45</f>
        <v/>
      </c>
      <c r="AE46" s="43">
        <f>'Oct2026-EXPENSE'!R49</f>
        <v/>
      </c>
      <c r="AF46" s="21" t="n"/>
      <c r="AG46" s="43">
        <f>AD46-(AE46+AF46)</f>
        <v/>
      </c>
      <c r="AH46" s="43">
        <f>'Nov2026-COLLECTION'!K45</f>
        <v/>
      </c>
      <c r="AI46" s="43">
        <f>'Nov2026-EXPENSE'!R49</f>
        <v/>
      </c>
      <c r="AJ46" s="21" t="n"/>
      <c r="AK46" s="43">
        <f>AH46-(AI46+AJ46)</f>
        <v/>
      </c>
      <c r="AL46" s="43">
        <f>'Dec2026-COLLECTION'!K45</f>
        <v/>
      </c>
      <c r="AM46" s="43">
        <f>'Dec2026-EXPENSE'!R49</f>
        <v/>
      </c>
      <c r="AN46" s="21" t="n"/>
      <c r="AO46" s="43">
        <f>AL46-(AM46+AN46)</f>
        <v/>
      </c>
      <c r="AP46" s="43">
        <f>'Jan2027-COLLECTION'!K45</f>
        <v/>
      </c>
      <c r="AQ46" s="43">
        <f>'Jan2027-EXPENSE'!R49</f>
        <v/>
      </c>
      <c r="AR46" s="2" t="n"/>
      <c r="AS46" s="43">
        <f>AP46-(AQ46+AR46)</f>
        <v/>
      </c>
      <c r="AT46" s="43">
        <f>'Feb2027-COLLECTION'!K45</f>
        <v/>
      </c>
      <c r="AU46" s="43">
        <f>'Feb2027-EXPENSE'!R49</f>
        <v/>
      </c>
      <c r="AV46" s="2" t="n"/>
      <c r="AW46" s="43">
        <f>AT46-(AU46+AV46)</f>
        <v/>
      </c>
      <c r="AX46" s="43">
        <f>'Mar2027-COLLECTION'!K45</f>
        <v/>
      </c>
      <c r="AY46" s="43">
        <f>'Mar2027-EXPENSE'!R49</f>
        <v/>
      </c>
      <c r="AZ46" s="2" t="n"/>
      <c r="BA46" s="43">
        <f>AX46-(AY46+AZ46)</f>
        <v/>
      </c>
      <c r="BB46" s="43">
        <f>SUM(F46,J46,N46,R46,V46,Z46,AD46,AH46,AL46,AP46,AT46,AX46)</f>
        <v/>
      </c>
      <c r="BC46" s="43">
        <f>SUM(G46,K46,O46,S46,W46,AA46,AE46,AI46,AM46,AQ46,AU46,AY46)</f>
        <v/>
      </c>
      <c r="BD46" s="43">
        <f>SUM(H46,L46,P46,T46,X46,AB46,AF46,AJ46,AN46,AR46,AV46,AZ46)</f>
        <v/>
      </c>
      <c r="BE46" s="43">
        <f>BB46-(BC46+BD46)</f>
        <v/>
      </c>
      <c r="BF46" s="43">
        <f>E46+BE46</f>
        <v/>
      </c>
      <c r="BG46" s="43" t="n">
        <v>0</v>
      </c>
    </row>
    <row r="47" ht="15.75" customHeight="1">
      <c r="A47" s="37" t="inlineStr">
        <is>
          <t>S13</t>
        </is>
      </c>
      <c r="B47" s="40" t="n"/>
      <c r="C47" s="40" t="inlineStr">
        <is>
          <t>Ramadevi S.</t>
        </is>
      </c>
      <c r="D47" s="41" t="n">
        <v>0</v>
      </c>
      <c r="E47" s="41" t="n">
        <v>0</v>
      </c>
      <c r="F47" s="41">
        <f>'Apr2026-COLLECTION'!K46</f>
        <v/>
      </c>
      <c r="G47" s="41">
        <f>'Apr2026-EXPENSE'!R50</f>
        <v/>
      </c>
      <c r="H47" s="20" t="n"/>
      <c r="I47" s="41">
        <f>F47-(G47+H47)</f>
        <v/>
      </c>
      <c r="J47" s="41">
        <f>'May2026-COLLECTION'!K46</f>
        <v/>
      </c>
      <c r="K47" s="41">
        <f>'May2026-EXPENSE'!R50</f>
        <v/>
      </c>
      <c r="L47" s="41" t="n">
        <v>0</v>
      </c>
      <c r="M47" s="41">
        <f>J47-(K47+L47)</f>
        <v/>
      </c>
      <c r="N47" s="41">
        <f>'June2026-COLLECTION'!K46</f>
        <v/>
      </c>
      <c r="O47" s="41">
        <f>'June2026-EXPENSE'!R50</f>
        <v/>
      </c>
      <c r="P47" s="20" t="n"/>
      <c r="Q47" s="41">
        <f>N47-(O47+P47)</f>
        <v/>
      </c>
      <c r="R47" s="41">
        <f>'July2026-COLLECTION'!K46</f>
        <v/>
      </c>
      <c r="S47" s="41">
        <f>'July2026-EXPENSE'!R50</f>
        <v/>
      </c>
      <c r="T47" s="21" t="n"/>
      <c r="U47" s="41">
        <f>R47-(S47+T47)</f>
        <v/>
      </c>
      <c r="V47" s="41">
        <f>'Aug2026-COLLECTION'!K46</f>
        <v/>
      </c>
      <c r="W47" s="41">
        <f>'Aug2026-EXPENSE'!R50</f>
        <v/>
      </c>
      <c r="X47" s="20" t="n"/>
      <c r="Y47" s="41">
        <f>V47-(W47+X47)</f>
        <v/>
      </c>
      <c r="Z47" s="41">
        <f>'Sep2026-COLLECTION'!K46</f>
        <v/>
      </c>
      <c r="AA47" s="41">
        <f>'Sep2026-EXPENSE'!R50</f>
        <v/>
      </c>
      <c r="AB47" s="21" t="n"/>
      <c r="AC47" s="41">
        <f>Z47-(AA47+AB47)</f>
        <v/>
      </c>
      <c r="AD47" s="41">
        <f>'Oct2026-COLLECTION'!K46</f>
        <v/>
      </c>
      <c r="AE47" s="41">
        <f>'Oct2026-EXPENSE'!R50</f>
        <v/>
      </c>
      <c r="AF47" s="21" t="n"/>
      <c r="AG47" s="41">
        <f>AD47-(AE47+AF47)</f>
        <v/>
      </c>
      <c r="AH47" s="41">
        <f>'Nov2026-COLLECTION'!K46</f>
        <v/>
      </c>
      <c r="AI47" s="41">
        <f>'Nov2026-EXPENSE'!R50</f>
        <v/>
      </c>
      <c r="AJ47" s="21" t="n"/>
      <c r="AK47" s="41">
        <f>AH47-(AI47+AJ47)</f>
        <v/>
      </c>
      <c r="AL47" s="41">
        <f>'Dec2026-COLLECTION'!K46</f>
        <v/>
      </c>
      <c r="AM47" s="41">
        <f>'Dec2026-EXPENSE'!R50</f>
        <v/>
      </c>
      <c r="AN47" s="21" t="n"/>
      <c r="AO47" s="41">
        <f>AL47-(AM47+AN47)</f>
        <v/>
      </c>
      <c r="AP47" s="41">
        <f>'Jan2027-COLLECTION'!K46</f>
        <v/>
      </c>
      <c r="AQ47" s="41">
        <f>'Jan2027-EXPENSE'!R50</f>
        <v/>
      </c>
      <c r="AR47" s="2" t="n"/>
      <c r="AS47" s="41">
        <f>AP47-(AQ47+AR47)</f>
        <v/>
      </c>
      <c r="AT47" s="41">
        <f>'Feb2027-COLLECTION'!K46</f>
        <v/>
      </c>
      <c r="AU47" s="41">
        <f>'Feb2027-EXPENSE'!R50</f>
        <v/>
      </c>
      <c r="AV47" s="2" t="n"/>
      <c r="AW47" s="41">
        <f>AT47-(AU47+AV47)</f>
        <v/>
      </c>
      <c r="AX47" s="41">
        <f>'Mar2027-COLLECTION'!K46</f>
        <v/>
      </c>
      <c r="AY47" s="41">
        <f>'Mar2027-EXPENSE'!R50</f>
        <v/>
      </c>
      <c r="AZ47" s="2" t="n"/>
      <c r="BA47" s="41">
        <f>AX47-(AY47+AZ47)</f>
        <v/>
      </c>
      <c r="BB47" s="41">
        <f>SUM(F47,J47,N47,R47,V47,Z47,AD47,AH47,AL47,AP47,AT47,AX47)</f>
        <v/>
      </c>
      <c r="BC47" s="41">
        <f>SUM(G47,K47,O47,S47,W47,AA47,AE47,AI47,AM47,AQ47,AU47,AY47)</f>
        <v/>
      </c>
      <c r="BD47" s="41">
        <f>SUM(H47,L47,P47,T47,X47,AB47,AF47,AJ47,AN47,AR47,AV47,AZ47)</f>
        <v/>
      </c>
      <c r="BE47" s="41">
        <f>BB47-(BC47+BD47)</f>
        <v/>
      </c>
      <c r="BF47" s="41">
        <f>E47+BE47</f>
        <v/>
      </c>
      <c r="BG47" s="41" t="n">
        <v>0</v>
      </c>
    </row>
    <row r="48" ht="15.75" customHeight="1">
      <c r="A48" s="36" t="inlineStr">
        <is>
          <t>S14</t>
        </is>
      </c>
      <c r="B48" s="42" t="n"/>
      <c r="C48" s="42" t="inlineStr">
        <is>
          <t>Nishant Upadhyay(Owner)/ Fabian (Tenant)</t>
        </is>
      </c>
      <c r="D48" s="43" t="n">
        <v>0</v>
      </c>
      <c r="E48" s="43" t="n">
        <v>0</v>
      </c>
      <c r="F48" s="43">
        <f>'Apr2026-COLLECTION'!K47</f>
        <v/>
      </c>
      <c r="G48" s="43">
        <f>'Apr2026-EXPENSE'!R51</f>
        <v/>
      </c>
      <c r="H48" s="20" t="n"/>
      <c r="I48" s="43">
        <f>F48-(G48+H48)</f>
        <v/>
      </c>
      <c r="J48" s="43">
        <f>'May2026-COLLECTION'!K47</f>
        <v/>
      </c>
      <c r="K48" s="43">
        <f>'May2026-EXPENSE'!R51</f>
        <v/>
      </c>
      <c r="L48" s="43" t="n">
        <v>0</v>
      </c>
      <c r="M48" s="43">
        <f>J48-(K48+L48)</f>
        <v/>
      </c>
      <c r="N48" s="43">
        <f>'June2026-COLLECTION'!K47</f>
        <v/>
      </c>
      <c r="O48" s="43">
        <f>'June2026-EXPENSE'!R51</f>
        <v/>
      </c>
      <c r="P48" s="20" t="n"/>
      <c r="Q48" s="43">
        <f>N48-(O48+P48)</f>
        <v/>
      </c>
      <c r="R48" s="43">
        <f>'July2026-COLLECTION'!K47</f>
        <v/>
      </c>
      <c r="S48" s="43">
        <f>'July2026-EXPENSE'!R51</f>
        <v/>
      </c>
      <c r="T48" s="43" t="n">
        <v>0</v>
      </c>
      <c r="U48" s="43">
        <f>R48-(S48+T48)</f>
        <v/>
      </c>
      <c r="V48" s="43">
        <f>'Aug2026-COLLECTION'!K47</f>
        <v/>
      </c>
      <c r="W48" s="43">
        <f>'Aug2026-EXPENSE'!R51</f>
        <v/>
      </c>
      <c r="X48" s="20" t="n"/>
      <c r="Y48" s="43">
        <f>V48-(W48+X48)</f>
        <v/>
      </c>
      <c r="Z48" s="43">
        <f>'Sep2026-COLLECTION'!K47</f>
        <v/>
      </c>
      <c r="AA48" s="43">
        <f>'Sep2026-EXPENSE'!R51</f>
        <v/>
      </c>
      <c r="AB48" s="21" t="n"/>
      <c r="AC48" s="43">
        <f>Z48-(AA48+AB48)</f>
        <v/>
      </c>
      <c r="AD48" s="43">
        <f>'Oct2026-COLLECTION'!K47</f>
        <v/>
      </c>
      <c r="AE48" s="43">
        <f>'Oct2026-EXPENSE'!R51</f>
        <v/>
      </c>
      <c r="AF48" s="21" t="n"/>
      <c r="AG48" s="43">
        <f>AD48-(AE48+AF48)</f>
        <v/>
      </c>
      <c r="AH48" s="43">
        <f>'Nov2026-COLLECTION'!K47</f>
        <v/>
      </c>
      <c r="AI48" s="43">
        <f>'Nov2026-EXPENSE'!R51</f>
        <v/>
      </c>
      <c r="AJ48" s="21" t="n"/>
      <c r="AK48" s="43">
        <f>AH48-(AI48+AJ48)</f>
        <v/>
      </c>
      <c r="AL48" s="43">
        <f>'Dec2026-COLLECTION'!K47</f>
        <v/>
      </c>
      <c r="AM48" s="43">
        <f>'Dec2026-EXPENSE'!R51</f>
        <v/>
      </c>
      <c r="AN48" s="21" t="n"/>
      <c r="AO48" s="43">
        <f>AL48-(AM48+AN48)</f>
        <v/>
      </c>
      <c r="AP48" s="43">
        <f>'Jan2027-COLLECTION'!K47</f>
        <v/>
      </c>
      <c r="AQ48" s="43">
        <f>'Jan2027-EXPENSE'!R51</f>
        <v/>
      </c>
      <c r="AR48" s="2" t="n"/>
      <c r="AS48" s="43">
        <f>AP48-(AQ48+AR48)</f>
        <v/>
      </c>
      <c r="AT48" s="43">
        <f>'Feb2027-COLLECTION'!K47</f>
        <v/>
      </c>
      <c r="AU48" s="43">
        <f>'Feb2027-EXPENSE'!R51</f>
        <v/>
      </c>
      <c r="AV48" s="2" t="n"/>
      <c r="AW48" s="43">
        <f>AT48-(AU48+AV48)</f>
        <v/>
      </c>
      <c r="AX48" s="43">
        <f>'Mar2027-COLLECTION'!K47</f>
        <v/>
      </c>
      <c r="AY48" s="43">
        <f>'Mar2027-EXPENSE'!R51</f>
        <v/>
      </c>
      <c r="AZ48" s="2" t="n"/>
      <c r="BA48" s="43">
        <f>AX48-(AY48+AZ48)</f>
        <v/>
      </c>
      <c r="BB48" s="43">
        <f>SUM(F48,J48,N48,R48,V48,Z48,AD48,AH48,AL48,AP48,AT48,AX48)</f>
        <v/>
      </c>
      <c r="BC48" s="43">
        <f>SUM(G48,K48,O48,S48,W48,AA48,AE48,AI48,AM48,AQ48,AU48,AY48)</f>
        <v/>
      </c>
      <c r="BD48" s="43">
        <f>SUM(H48,L48,P48,T48,X48,AB48,AF48,AJ48,AN48,AR48,AV48,AZ48)</f>
        <v/>
      </c>
      <c r="BE48" s="43">
        <f>BB48-(BC48+BD48)</f>
        <v/>
      </c>
      <c r="BF48" s="43">
        <f>E48+BE48</f>
        <v/>
      </c>
      <c r="BG48" s="43" t="n">
        <v>0</v>
      </c>
    </row>
    <row r="49" ht="15.75" customHeight="1">
      <c r="A49" s="37" t="inlineStr">
        <is>
          <t>S15</t>
        </is>
      </c>
      <c r="B49" s="40" t="n"/>
      <c r="C49" s="40" t="inlineStr">
        <is>
          <t>Manas Dasgupta</t>
        </is>
      </c>
      <c r="D49" s="41" t="n">
        <v>0</v>
      </c>
      <c r="E49" s="41" t="n">
        <v>0</v>
      </c>
      <c r="F49" s="41">
        <f>'Apr2026-COLLECTION'!K48</f>
        <v/>
      </c>
      <c r="G49" s="41">
        <f>'Apr2026-EXPENSE'!R52</f>
        <v/>
      </c>
      <c r="H49" s="20" t="n"/>
      <c r="I49" s="41">
        <f>F49-(G49+H49)</f>
        <v/>
      </c>
      <c r="J49" s="41">
        <f>'May2026-COLLECTION'!K48</f>
        <v/>
      </c>
      <c r="K49" s="41">
        <f>'May2026-EXPENSE'!R52</f>
        <v/>
      </c>
      <c r="L49" s="41" t="n">
        <v>0</v>
      </c>
      <c r="M49" s="41">
        <f>J49-(K49+L49)</f>
        <v/>
      </c>
      <c r="N49" s="41">
        <f>'June2026-COLLECTION'!K48</f>
        <v/>
      </c>
      <c r="O49" s="41">
        <f>'June2026-EXPENSE'!R52</f>
        <v/>
      </c>
      <c r="P49" s="20" t="n"/>
      <c r="Q49" s="41">
        <f>N49-(O49+P49)</f>
        <v/>
      </c>
      <c r="R49" s="41">
        <f>'July2026-COLLECTION'!K48</f>
        <v/>
      </c>
      <c r="S49" s="41">
        <f>'July2026-EXPENSE'!R52</f>
        <v/>
      </c>
      <c r="T49" s="21" t="n"/>
      <c r="U49" s="41">
        <f>R49-(S49+T49)</f>
        <v/>
      </c>
      <c r="V49" s="41">
        <f>'Aug2026-COLLECTION'!K48</f>
        <v/>
      </c>
      <c r="W49" s="41">
        <f>'Aug2026-EXPENSE'!R52</f>
        <v/>
      </c>
      <c r="X49" s="20" t="n"/>
      <c r="Y49" s="41">
        <f>V49-(W49+X49)</f>
        <v/>
      </c>
      <c r="Z49" s="41">
        <f>'Sep2026-COLLECTION'!K48</f>
        <v/>
      </c>
      <c r="AA49" s="41">
        <f>'Sep2026-EXPENSE'!R52</f>
        <v/>
      </c>
      <c r="AB49" s="21" t="n"/>
      <c r="AC49" s="41">
        <f>Z49-(AA49+AB49)</f>
        <v/>
      </c>
      <c r="AD49" s="41">
        <f>'Oct2026-COLLECTION'!K48</f>
        <v/>
      </c>
      <c r="AE49" s="41">
        <f>'Oct2026-EXPENSE'!R52</f>
        <v/>
      </c>
      <c r="AF49" s="21" t="n"/>
      <c r="AG49" s="41">
        <f>AD49-(AE49+AF49)</f>
        <v/>
      </c>
      <c r="AH49" s="41">
        <f>'Nov2026-COLLECTION'!K48</f>
        <v/>
      </c>
      <c r="AI49" s="41">
        <f>'Nov2026-EXPENSE'!R52</f>
        <v/>
      </c>
      <c r="AJ49" s="21" t="n"/>
      <c r="AK49" s="41">
        <f>AH49-(AI49+AJ49)</f>
        <v/>
      </c>
      <c r="AL49" s="41">
        <f>'Dec2026-COLLECTION'!K48</f>
        <v/>
      </c>
      <c r="AM49" s="41">
        <f>'Dec2026-EXPENSE'!R52</f>
        <v/>
      </c>
      <c r="AN49" s="21" t="n"/>
      <c r="AO49" s="41">
        <f>AL49-(AM49+AN49)</f>
        <v/>
      </c>
      <c r="AP49" s="41">
        <f>'Jan2027-COLLECTION'!K48</f>
        <v/>
      </c>
      <c r="AQ49" s="41">
        <f>'Jan2027-EXPENSE'!R52</f>
        <v/>
      </c>
      <c r="AR49" s="2" t="n"/>
      <c r="AS49" s="41">
        <f>AP49-(AQ49+AR49)</f>
        <v/>
      </c>
      <c r="AT49" s="41">
        <f>'Feb2027-COLLECTION'!K48</f>
        <v/>
      </c>
      <c r="AU49" s="41">
        <f>'Feb2027-EXPENSE'!R52</f>
        <v/>
      </c>
      <c r="AV49" s="2" t="n"/>
      <c r="AW49" s="41">
        <f>AT49-(AU49+AV49)</f>
        <v/>
      </c>
      <c r="AX49" s="41">
        <f>'Mar2027-COLLECTION'!K48</f>
        <v/>
      </c>
      <c r="AY49" s="41">
        <f>'Mar2027-EXPENSE'!R52</f>
        <v/>
      </c>
      <c r="AZ49" s="2" t="n"/>
      <c r="BA49" s="41">
        <f>AX49-(AY49+AZ49)</f>
        <v/>
      </c>
      <c r="BB49" s="41">
        <f>SUM(F49,J49,N49,R49,V49,Z49,AD49,AH49,AL49,AP49,AT49,AX49)</f>
        <v/>
      </c>
      <c r="BC49" s="41">
        <f>SUM(G49,K49,O49,S49,W49,AA49,AE49,AI49,AM49,AQ49,AU49,AY49)</f>
        <v/>
      </c>
      <c r="BD49" s="41">
        <f>SUM(H49,L49,P49,T49,X49,AB49,AF49,AJ49,AN49,AR49,AV49,AZ49)</f>
        <v/>
      </c>
      <c r="BE49" s="41">
        <f>BB49-(BC49+BD49)</f>
        <v/>
      </c>
      <c r="BF49" s="41">
        <f>E49+BE49</f>
        <v/>
      </c>
      <c r="BG49" s="41" t="n">
        <v>0</v>
      </c>
    </row>
    <row r="50" ht="15.75" customHeight="1">
      <c r="A50" s="36" t="inlineStr">
        <is>
          <t>S16</t>
        </is>
      </c>
      <c r="B50" s="42" t="n"/>
      <c r="C50" s="42" t="inlineStr">
        <is>
          <t>Devendra Singh Rawat / Nancy</t>
        </is>
      </c>
      <c r="D50" s="43" t="n">
        <v>0</v>
      </c>
      <c r="E50" s="43" t="n">
        <v>0</v>
      </c>
      <c r="F50" s="43">
        <f>'Apr2026-COLLECTION'!K49</f>
        <v/>
      </c>
      <c r="G50" s="43">
        <f>'Apr2026-EXPENSE'!R53</f>
        <v/>
      </c>
      <c r="H50" s="20" t="n"/>
      <c r="I50" s="43">
        <f>F50-(G50+H50)</f>
        <v/>
      </c>
      <c r="J50" s="43">
        <f>'May2026-COLLECTION'!K49</f>
        <v/>
      </c>
      <c r="K50" s="43">
        <f>'May2026-EXPENSE'!R53</f>
        <v/>
      </c>
      <c r="L50" s="21" t="n"/>
      <c r="M50" s="43">
        <f>J50-(K50+L50)</f>
        <v/>
      </c>
      <c r="N50" s="43">
        <f>'June2026-COLLECTION'!K49</f>
        <v/>
      </c>
      <c r="O50" s="43">
        <f>'June2026-EXPENSE'!R53</f>
        <v/>
      </c>
      <c r="P50" s="20" t="n"/>
      <c r="Q50" s="43">
        <f>N50-(O50+P50)</f>
        <v/>
      </c>
      <c r="R50" s="43">
        <f>'July2026-COLLECTION'!K49</f>
        <v/>
      </c>
      <c r="S50" s="43">
        <f>'July2026-EXPENSE'!R53</f>
        <v/>
      </c>
      <c r="T50" s="21" t="n"/>
      <c r="U50" s="43">
        <f>R50-(S50+T50)</f>
        <v/>
      </c>
      <c r="V50" s="43">
        <f>'Aug2026-COLLECTION'!K49</f>
        <v/>
      </c>
      <c r="W50" s="43">
        <f>'Aug2026-EXPENSE'!R53</f>
        <v/>
      </c>
      <c r="X50" s="20" t="n"/>
      <c r="Y50" s="43">
        <f>V50-(W50+X50)</f>
        <v/>
      </c>
      <c r="Z50" s="43">
        <f>'Sep2026-COLLECTION'!K49</f>
        <v/>
      </c>
      <c r="AA50" s="43">
        <f>'Sep2026-EXPENSE'!R53</f>
        <v/>
      </c>
      <c r="AB50" s="21" t="n"/>
      <c r="AC50" s="43">
        <f>Z50-(AA50+AB50)</f>
        <v/>
      </c>
      <c r="AD50" s="43">
        <f>'Oct2026-COLLECTION'!K49</f>
        <v/>
      </c>
      <c r="AE50" s="43">
        <f>'Oct2026-EXPENSE'!R53</f>
        <v/>
      </c>
      <c r="AF50" s="21" t="n"/>
      <c r="AG50" s="43">
        <f>AD50-(AE50+AF50)</f>
        <v/>
      </c>
      <c r="AH50" s="43">
        <f>'Nov2026-COLLECTION'!K49</f>
        <v/>
      </c>
      <c r="AI50" s="43">
        <f>'Nov2026-EXPENSE'!R53</f>
        <v/>
      </c>
      <c r="AJ50" s="21" t="n"/>
      <c r="AK50" s="43">
        <f>AH50-(AI50+AJ50)</f>
        <v/>
      </c>
      <c r="AL50" s="43">
        <f>'Dec2026-COLLECTION'!K49</f>
        <v/>
      </c>
      <c r="AM50" s="43">
        <f>'Dec2026-EXPENSE'!R53</f>
        <v/>
      </c>
      <c r="AN50" s="21" t="n"/>
      <c r="AO50" s="43">
        <f>AL50-(AM50+AN50)</f>
        <v/>
      </c>
      <c r="AP50" s="43">
        <f>'Jan2027-COLLECTION'!K49</f>
        <v/>
      </c>
      <c r="AQ50" s="43">
        <f>'Jan2027-EXPENSE'!R53</f>
        <v/>
      </c>
      <c r="AR50" s="2" t="n"/>
      <c r="AS50" s="43">
        <f>AP50-(AQ50+AR50)</f>
        <v/>
      </c>
      <c r="AT50" s="43">
        <f>'Feb2027-COLLECTION'!K49</f>
        <v/>
      </c>
      <c r="AU50" s="43">
        <f>'Feb2027-EXPENSE'!R53</f>
        <v/>
      </c>
      <c r="AV50" s="2" t="n"/>
      <c r="AW50" s="43">
        <f>AT50-(AU50+AV50)</f>
        <v/>
      </c>
      <c r="AX50" s="43">
        <f>'Mar2027-COLLECTION'!K49</f>
        <v/>
      </c>
      <c r="AY50" s="43">
        <f>'Mar2027-EXPENSE'!R53</f>
        <v/>
      </c>
      <c r="AZ50" s="2" t="n"/>
      <c r="BA50" s="43">
        <f>AX50-(AY50+AZ50)</f>
        <v/>
      </c>
      <c r="BB50" s="43">
        <f>SUM(F50,J50,N50,R50,V50,Z50,AD50,AH50,AL50,AP50,AT50,AX50)</f>
        <v/>
      </c>
      <c r="BC50" s="43">
        <f>SUM(G50,K50,O50,S50,W50,AA50,AE50,AI50,AM50,AQ50,AU50,AY50)</f>
        <v/>
      </c>
      <c r="BD50" s="43">
        <f>SUM(H50,L50,P50,T50,X50,AB50,AF50,AJ50,AN50,AR50,AV50,AZ50)</f>
        <v/>
      </c>
      <c r="BE50" s="43">
        <f>BB50-(BC50+BD50)</f>
        <v/>
      </c>
      <c r="BF50" s="43">
        <f>E50+BE50</f>
        <v/>
      </c>
      <c r="BG50" s="43" t="n">
        <v>0</v>
      </c>
    </row>
    <row r="51" ht="15.75" customHeight="1">
      <c r="A51" s="37" t="inlineStr">
        <is>
          <t>T1</t>
        </is>
      </c>
      <c r="B51" s="40" t="n"/>
      <c r="C51" s="40" t="inlineStr">
        <is>
          <t>Prashant Sikdar</t>
        </is>
      </c>
      <c r="D51" s="41" t="n">
        <v>0</v>
      </c>
      <c r="E51" s="41" t="n">
        <v>0</v>
      </c>
      <c r="F51" s="41">
        <f>'Apr2026-COLLECTION'!K50</f>
        <v/>
      </c>
      <c r="G51" s="41">
        <f>'Apr2026-EXPENSE'!R54</f>
        <v/>
      </c>
      <c r="H51" s="20" t="n"/>
      <c r="I51" s="41">
        <f>F51-(G51+H51)</f>
        <v/>
      </c>
      <c r="J51" s="41">
        <f>'May2026-COLLECTION'!K50</f>
        <v/>
      </c>
      <c r="K51" s="41">
        <f>'May2026-EXPENSE'!R54</f>
        <v/>
      </c>
      <c r="L51" s="21" t="n"/>
      <c r="M51" s="41">
        <f>J51-(K51+L51)</f>
        <v/>
      </c>
      <c r="N51" s="41">
        <f>'June2026-COLLECTION'!K50</f>
        <v/>
      </c>
      <c r="O51" s="41">
        <f>'June2026-EXPENSE'!R54</f>
        <v/>
      </c>
      <c r="P51" s="20" t="n"/>
      <c r="Q51" s="41">
        <f>N51-(O51+P51)</f>
        <v/>
      </c>
      <c r="R51" s="41">
        <f>'July2026-COLLECTION'!K50</f>
        <v/>
      </c>
      <c r="S51" s="41">
        <f>'July2026-EXPENSE'!R54</f>
        <v/>
      </c>
      <c r="T51" s="21" t="n"/>
      <c r="U51" s="41">
        <f>R51-(S51+T51)</f>
        <v/>
      </c>
      <c r="V51" s="41">
        <f>'Aug2026-COLLECTION'!K50</f>
        <v/>
      </c>
      <c r="W51" s="41">
        <f>'Aug2026-EXPENSE'!R54</f>
        <v/>
      </c>
      <c r="X51" s="20" t="n"/>
      <c r="Y51" s="41">
        <f>V51-(W51+X51)</f>
        <v/>
      </c>
      <c r="Z51" s="41">
        <f>'Sep2026-COLLECTION'!K50</f>
        <v/>
      </c>
      <c r="AA51" s="41">
        <f>'Sep2026-EXPENSE'!R54</f>
        <v/>
      </c>
      <c r="AB51" s="21" t="n"/>
      <c r="AC51" s="41">
        <f>Z51-(AA51+AB51)</f>
        <v/>
      </c>
      <c r="AD51" s="41">
        <f>'Oct2026-COLLECTION'!K50</f>
        <v/>
      </c>
      <c r="AE51" s="41">
        <f>'Oct2026-EXPENSE'!R54</f>
        <v/>
      </c>
      <c r="AF51" s="21" t="n"/>
      <c r="AG51" s="41">
        <f>AD51-(AE51+AF51)</f>
        <v/>
      </c>
      <c r="AH51" s="41">
        <f>'Nov2026-COLLECTION'!K50</f>
        <v/>
      </c>
      <c r="AI51" s="41">
        <f>'Nov2026-EXPENSE'!R54</f>
        <v/>
      </c>
      <c r="AJ51" s="21" t="n"/>
      <c r="AK51" s="41">
        <f>AH51-(AI51+AJ51)</f>
        <v/>
      </c>
      <c r="AL51" s="41">
        <f>'Dec2026-COLLECTION'!K50</f>
        <v/>
      </c>
      <c r="AM51" s="41">
        <f>'Dec2026-EXPENSE'!R54</f>
        <v/>
      </c>
      <c r="AN51" s="21" t="n"/>
      <c r="AO51" s="41">
        <f>AL51-(AM51+AN51)</f>
        <v/>
      </c>
      <c r="AP51" s="41">
        <f>'Jan2027-COLLECTION'!K50</f>
        <v/>
      </c>
      <c r="AQ51" s="41">
        <f>'Jan2027-EXPENSE'!R54</f>
        <v/>
      </c>
      <c r="AR51" s="2" t="n"/>
      <c r="AS51" s="41">
        <f>AP51-(AQ51+AR51)</f>
        <v/>
      </c>
      <c r="AT51" s="41">
        <f>'Feb2027-COLLECTION'!K50</f>
        <v/>
      </c>
      <c r="AU51" s="41">
        <f>'Feb2027-EXPENSE'!R54</f>
        <v/>
      </c>
      <c r="AV51" s="2" t="n"/>
      <c r="AW51" s="41">
        <f>AT51-(AU51+AV51)</f>
        <v/>
      </c>
      <c r="AX51" s="41">
        <f>'Mar2027-COLLECTION'!K50</f>
        <v/>
      </c>
      <c r="AY51" s="41">
        <f>'Mar2027-EXPENSE'!R54</f>
        <v/>
      </c>
      <c r="AZ51" s="2" t="n"/>
      <c r="BA51" s="41">
        <f>AX51-(AY51+AZ51)</f>
        <v/>
      </c>
      <c r="BB51" s="41">
        <f>SUM(F51,J51,N51,R51,V51,Z51,AD51,AH51,AL51,AP51,AT51,AX51)</f>
        <v/>
      </c>
      <c r="BC51" s="41">
        <f>SUM(G51,K51,O51,S51,W51,AA51,AE51,AI51,AM51,AQ51,AU51,AY51)</f>
        <v/>
      </c>
      <c r="BD51" s="41">
        <f>SUM(H51,L51,P51,T51,X51,AB51,AF51,AJ51,AN51,AR51,AV51,AZ51)</f>
        <v/>
      </c>
      <c r="BE51" s="41">
        <f>BB51-(BC51+BD51)</f>
        <v/>
      </c>
      <c r="BF51" s="41">
        <f>E51+BE51</f>
        <v/>
      </c>
      <c r="BG51" s="41" t="n">
        <v>0</v>
      </c>
    </row>
    <row r="52" ht="15.75" customHeight="1">
      <c r="A52" s="36" t="inlineStr">
        <is>
          <t>T2</t>
        </is>
      </c>
      <c r="B52" s="42" t="n"/>
      <c r="C52" s="42" t="inlineStr">
        <is>
          <t>Kunal Mehta</t>
        </is>
      </c>
      <c r="D52" s="43" t="n">
        <v>0</v>
      </c>
      <c r="E52" s="43" t="n">
        <v>0</v>
      </c>
      <c r="F52" s="43">
        <f>'Apr2026-COLLECTION'!K51</f>
        <v/>
      </c>
      <c r="G52" s="43">
        <f>'Apr2026-EXPENSE'!R55</f>
        <v/>
      </c>
      <c r="H52" s="20" t="n"/>
      <c r="I52" s="43">
        <f>F52-(G52+H52)</f>
        <v/>
      </c>
      <c r="J52" s="43">
        <f>'May2026-COLLECTION'!K51</f>
        <v/>
      </c>
      <c r="K52" s="43">
        <f>'May2026-EXPENSE'!R55</f>
        <v/>
      </c>
      <c r="L52" s="43" t="n">
        <v>0</v>
      </c>
      <c r="M52" s="43">
        <f>J52-(K52+L52)</f>
        <v/>
      </c>
      <c r="N52" s="43">
        <f>'June2026-COLLECTION'!K51</f>
        <v/>
      </c>
      <c r="O52" s="43">
        <f>'June2026-EXPENSE'!R55</f>
        <v/>
      </c>
      <c r="P52" s="20" t="n"/>
      <c r="Q52" s="43">
        <f>N52-(O52+P52)</f>
        <v/>
      </c>
      <c r="R52" s="43">
        <f>'July2026-COLLECTION'!K51</f>
        <v/>
      </c>
      <c r="S52" s="43">
        <f>'July2026-EXPENSE'!R55</f>
        <v/>
      </c>
      <c r="T52" s="43" t="n">
        <v>0</v>
      </c>
      <c r="U52" s="43">
        <f>R52-(S52+T52)</f>
        <v/>
      </c>
      <c r="V52" s="43">
        <f>'Aug2026-COLLECTION'!K51</f>
        <v/>
      </c>
      <c r="W52" s="43">
        <f>'Aug2026-EXPENSE'!R55</f>
        <v/>
      </c>
      <c r="X52" s="20" t="n"/>
      <c r="Y52" s="43">
        <f>V52-(W52+X52)</f>
        <v/>
      </c>
      <c r="Z52" s="43">
        <f>'Sep2026-COLLECTION'!K51</f>
        <v/>
      </c>
      <c r="AA52" s="43">
        <f>'Sep2026-EXPENSE'!R55</f>
        <v/>
      </c>
      <c r="AB52" s="21" t="n"/>
      <c r="AC52" s="43">
        <f>Z52-(AA52+AB52)</f>
        <v/>
      </c>
      <c r="AD52" s="43">
        <f>'Oct2026-COLLECTION'!K51</f>
        <v/>
      </c>
      <c r="AE52" s="43">
        <f>'Oct2026-EXPENSE'!R55</f>
        <v/>
      </c>
      <c r="AF52" s="21" t="n"/>
      <c r="AG52" s="43">
        <f>AD52-(AE52+AF52)</f>
        <v/>
      </c>
      <c r="AH52" s="43">
        <f>'Nov2026-COLLECTION'!K51</f>
        <v/>
      </c>
      <c r="AI52" s="43">
        <f>'Nov2026-EXPENSE'!R55</f>
        <v/>
      </c>
      <c r="AJ52" s="21" t="n"/>
      <c r="AK52" s="43">
        <f>AH52-(AI52+AJ52)</f>
        <v/>
      </c>
      <c r="AL52" s="43">
        <f>'Dec2026-COLLECTION'!K51</f>
        <v/>
      </c>
      <c r="AM52" s="43">
        <f>'Dec2026-EXPENSE'!R55</f>
        <v/>
      </c>
      <c r="AN52" s="21" t="n"/>
      <c r="AO52" s="43">
        <f>AL52-(AM52+AN52)</f>
        <v/>
      </c>
      <c r="AP52" s="43">
        <f>'Jan2027-COLLECTION'!K51</f>
        <v/>
      </c>
      <c r="AQ52" s="43">
        <f>'Jan2027-EXPENSE'!R55</f>
        <v/>
      </c>
      <c r="AR52" s="2" t="n"/>
      <c r="AS52" s="43">
        <f>AP52-(AQ52+AR52)</f>
        <v/>
      </c>
      <c r="AT52" s="43">
        <f>'Feb2027-COLLECTION'!K51</f>
        <v/>
      </c>
      <c r="AU52" s="43">
        <f>'Feb2027-EXPENSE'!R55</f>
        <v/>
      </c>
      <c r="AV52" s="2" t="n"/>
      <c r="AW52" s="43">
        <f>AT52-(AU52+AV52)</f>
        <v/>
      </c>
      <c r="AX52" s="43">
        <f>'Mar2027-COLLECTION'!K51</f>
        <v/>
      </c>
      <c r="AY52" s="43">
        <f>'Mar2027-EXPENSE'!R55</f>
        <v/>
      </c>
      <c r="AZ52" s="2" t="n"/>
      <c r="BA52" s="43">
        <f>AX52-(AY52+AZ52)</f>
        <v/>
      </c>
      <c r="BB52" s="43">
        <f>SUM(F52,J52,N52,R52,V52,Z52,AD52,AH52,AL52,AP52,AT52,AX52)</f>
        <v/>
      </c>
      <c r="BC52" s="43">
        <f>SUM(G52,K52,O52,S52,W52,AA52,AE52,AI52,AM52,AQ52,AU52,AY52)</f>
        <v/>
      </c>
      <c r="BD52" s="43">
        <f>SUM(H52,L52,P52,T52,X52,AB52,AF52,AJ52,AN52,AR52,AV52,AZ52)</f>
        <v/>
      </c>
      <c r="BE52" s="43">
        <f>BB52-(BC52+BD52)</f>
        <v/>
      </c>
      <c r="BF52" s="43">
        <f>E52+BE52</f>
        <v/>
      </c>
      <c r="BG52" s="43" t="n">
        <v>0</v>
      </c>
    </row>
    <row r="53" ht="15.75" customHeight="1">
      <c r="A53" s="37" t="inlineStr">
        <is>
          <t>T3</t>
        </is>
      </c>
      <c r="B53" s="40" t="n"/>
      <c r="C53" s="40" t="inlineStr">
        <is>
          <t>Kapil Garg</t>
        </is>
      </c>
      <c r="D53" s="41" t="n">
        <v>0</v>
      </c>
      <c r="E53" s="41" t="n">
        <v>0</v>
      </c>
      <c r="F53" s="41">
        <f>'Apr2026-COLLECTION'!K52</f>
        <v/>
      </c>
      <c r="G53" s="41">
        <f>'Apr2026-EXPENSE'!R56</f>
        <v/>
      </c>
      <c r="H53" s="20" t="n"/>
      <c r="I53" s="41">
        <f>F53-(G53+H53)</f>
        <v/>
      </c>
      <c r="J53" s="41">
        <f>'May2026-COLLECTION'!K52</f>
        <v/>
      </c>
      <c r="K53" s="41">
        <f>'May2026-EXPENSE'!R56</f>
        <v/>
      </c>
      <c r="L53" s="41" t="n">
        <v>0</v>
      </c>
      <c r="M53" s="41">
        <f>J53-(K53+L53)</f>
        <v/>
      </c>
      <c r="N53" s="41">
        <f>'June2026-COLLECTION'!K52</f>
        <v/>
      </c>
      <c r="O53" s="41">
        <f>'June2026-EXPENSE'!R56</f>
        <v/>
      </c>
      <c r="P53" s="20" t="n"/>
      <c r="Q53" s="41">
        <f>N53-(O53+P53)</f>
        <v/>
      </c>
      <c r="R53" s="41">
        <f>'July2026-COLLECTION'!K52</f>
        <v/>
      </c>
      <c r="S53" s="41">
        <f>'July2026-EXPENSE'!R56</f>
        <v/>
      </c>
      <c r="T53" s="21" t="n"/>
      <c r="U53" s="41">
        <f>R53-(S53+T53)</f>
        <v/>
      </c>
      <c r="V53" s="41">
        <f>'Aug2026-COLLECTION'!K52</f>
        <v/>
      </c>
      <c r="W53" s="41">
        <f>'Aug2026-EXPENSE'!R56</f>
        <v/>
      </c>
      <c r="X53" s="20" t="n"/>
      <c r="Y53" s="41">
        <f>V53-(W53+X53)</f>
        <v/>
      </c>
      <c r="Z53" s="41">
        <f>'Sep2026-COLLECTION'!K52</f>
        <v/>
      </c>
      <c r="AA53" s="41">
        <f>'Sep2026-EXPENSE'!R56</f>
        <v/>
      </c>
      <c r="AB53" s="21" t="n"/>
      <c r="AC53" s="41">
        <f>Z53-(AA53+AB53)</f>
        <v/>
      </c>
      <c r="AD53" s="41">
        <f>'Oct2026-COLLECTION'!K52</f>
        <v/>
      </c>
      <c r="AE53" s="41">
        <f>'Oct2026-EXPENSE'!R56</f>
        <v/>
      </c>
      <c r="AF53" s="21" t="n"/>
      <c r="AG53" s="41">
        <f>AD53-(AE53+AF53)</f>
        <v/>
      </c>
      <c r="AH53" s="41">
        <f>'Nov2026-COLLECTION'!K52</f>
        <v/>
      </c>
      <c r="AI53" s="41">
        <f>'Nov2026-EXPENSE'!R56</f>
        <v/>
      </c>
      <c r="AJ53" s="21" t="n"/>
      <c r="AK53" s="41">
        <f>AH53-(AI53+AJ53)</f>
        <v/>
      </c>
      <c r="AL53" s="41">
        <f>'Dec2026-COLLECTION'!K52</f>
        <v/>
      </c>
      <c r="AM53" s="41">
        <f>'Dec2026-EXPENSE'!R56</f>
        <v/>
      </c>
      <c r="AN53" s="21" t="n"/>
      <c r="AO53" s="41">
        <f>AL53-(AM53+AN53)</f>
        <v/>
      </c>
      <c r="AP53" s="41">
        <f>'Jan2027-COLLECTION'!K52</f>
        <v/>
      </c>
      <c r="AQ53" s="41">
        <f>'Jan2027-EXPENSE'!R56</f>
        <v/>
      </c>
      <c r="AR53" s="2" t="n"/>
      <c r="AS53" s="41">
        <f>AP53-(AQ53+AR53)</f>
        <v/>
      </c>
      <c r="AT53" s="41">
        <f>'Feb2027-COLLECTION'!K52</f>
        <v/>
      </c>
      <c r="AU53" s="41">
        <f>'Feb2027-EXPENSE'!R56</f>
        <v/>
      </c>
      <c r="AV53" s="2" t="n"/>
      <c r="AW53" s="41">
        <f>AT53-(AU53+AV53)</f>
        <v/>
      </c>
      <c r="AX53" s="41">
        <f>'Mar2027-COLLECTION'!K52</f>
        <v/>
      </c>
      <c r="AY53" s="41">
        <f>'Mar2027-EXPENSE'!R56</f>
        <v/>
      </c>
      <c r="AZ53" s="2" t="n"/>
      <c r="BA53" s="41">
        <f>AX53-(AY53+AZ53)</f>
        <v/>
      </c>
      <c r="BB53" s="41">
        <f>SUM(F53,J53,N53,R53,V53,Z53,AD53,AH53,AL53,AP53,AT53,AX53)</f>
        <v/>
      </c>
      <c r="BC53" s="41">
        <f>SUM(G53,K53,O53,S53,W53,AA53,AE53,AI53,AM53,AQ53,AU53,AY53)</f>
        <v/>
      </c>
      <c r="BD53" s="41">
        <f>SUM(H53,L53,P53,T53,X53,AB53,AF53,AJ53,AN53,AR53,AV53,AZ53)</f>
        <v/>
      </c>
      <c r="BE53" s="41">
        <f>BB53-(BC53+BD53)</f>
        <v/>
      </c>
      <c r="BF53" s="41">
        <f>E53+BE53</f>
        <v/>
      </c>
      <c r="BG53" s="41" t="n">
        <v>0</v>
      </c>
    </row>
    <row r="54" ht="15.75" customHeight="1">
      <c r="A54" s="36" t="inlineStr">
        <is>
          <t>T4</t>
        </is>
      </c>
      <c r="B54" s="42" t="n"/>
      <c r="C54" s="42" t="inlineStr">
        <is>
          <t>Vijet Alva (Owner)    -    Masood (Tenant)</t>
        </is>
      </c>
      <c r="D54" s="43" t="n">
        <v>0</v>
      </c>
      <c r="E54" s="43" t="n">
        <v>0</v>
      </c>
      <c r="F54" s="43">
        <f>'Apr2026-COLLECTION'!K53</f>
        <v/>
      </c>
      <c r="G54" s="43">
        <f>'Apr2026-EXPENSE'!R57</f>
        <v/>
      </c>
      <c r="H54" s="20" t="n"/>
      <c r="I54" s="43">
        <f>F54-(G54+H54)</f>
        <v/>
      </c>
      <c r="J54" s="43">
        <f>'May2026-COLLECTION'!K53</f>
        <v/>
      </c>
      <c r="K54" s="43">
        <f>'May2026-EXPENSE'!R57</f>
        <v/>
      </c>
      <c r="L54" s="21" t="n"/>
      <c r="M54" s="43">
        <f>J54-(K54+L54)</f>
        <v/>
      </c>
      <c r="N54" s="43">
        <f>'June2026-COLLECTION'!K53</f>
        <v/>
      </c>
      <c r="O54" s="43">
        <f>'June2026-EXPENSE'!R57</f>
        <v/>
      </c>
      <c r="P54" s="20" t="n"/>
      <c r="Q54" s="43">
        <f>N54-(O54+P54)</f>
        <v/>
      </c>
      <c r="R54" s="43">
        <f>'July2026-COLLECTION'!K53</f>
        <v/>
      </c>
      <c r="S54" s="43">
        <f>'July2026-EXPENSE'!R57</f>
        <v/>
      </c>
      <c r="T54" s="21" t="n"/>
      <c r="U54" s="43">
        <f>R54-(S54+T54)</f>
        <v/>
      </c>
      <c r="V54" s="43">
        <f>'Aug2026-COLLECTION'!K53</f>
        <v/>
      </c>
      <c r="W54" s="43">
        <f>'Aug2026-EXPENSE'!R57</f>
        <v/>
      </c>
      <c r="X54" s="20" t="n"/>
      <c r="Y54" s="43">
        <f>V54-(W54+X54)</f>
        <v/>
      </c>
      <c r="Z54" s="43">
        <f>'Sep2026-COLLECTION'!K53</f>
        <v/>
      </c>
      <c r="AA54" s="43">
        <f>'Sep2026-EXPENSE'!R57</f>
        <v/>
      </c>
      <c r="AB54" s="21" t="n"/>
      <c r="AC54" s="43">
        <f>Z54-(AA54+AB54)</f>
        <v/>
      </c>
      <c r="AD54" s="43">
        <f>'Oct2026-COLLECTION'!K53</f>
        <v/>
      </c>
      <c r="AE54" s="43">
        <f>'Oct2026-EXPENSE'!R57</f>
        <v/>
      </c>
      <c r="AF54" s="21" t="n"/>
      <c r="AG54" s="43">
        <f>AD54-(AE54+AF54)</f>
        <v/>
      </c>
      <c r="AH54" s="43">
        <f>'Nov2026-COLLECTION'!K53</f>
        <v/>
      </c>
      <c r="AI54" s="43">
        <f>'Nov2026-EXPENSE'!R57</f>
        <v/>
      </c>
      <c r="AJ54" s="21" t="n"/>
      <c r="AK54" s="43">
        <f>AH54-(AI54+AJ54)</f>
        <v/>
      </c>
      <c r="AL54" s="43">
        <f>'Dec2026-COLLECTION'!K53</f>
        <v/>
      </c>
      <c r="AM54" s="43">
        <f>'Dec2026-EXPENSE'!R57</f>
        <v/>
      </c>
      <c r="AN54" s="21" t="n"/>
      <c r="AO54" s="43">
        <f>AL54-(AM54+AN54)</f>
        <v/>
      </c>
      <c r="AP54" s="43">
        <f>'Jan2027-COLLECTION'!K53</f>
        <v/>
      </c>
      <c r="AQ54" s="43">
        <f>'Jan2027-EXPENSE'!R57</f>
        <v/>
      </c>
      <c r="AR54" s="2" t="n"/>
      <c r="AS54" s="43">
        <f>AP54-(AQ54+AR54)</f>
        <v/>
      </c>
      <c r="AT54" s="43">
        <f>'Feb2027-COLLECTION'!K53</f>
        <v/>
      </c>
      <c r="AU54" s="43">
        <f>'Feb2027-EXPENSE'!R57</f>
        <v/>
      </c>
      <c r="AV54" s="2" t="n"/>
      <c r="AW54" s="43">
        <f>AT54-(AU54+AV54)</f>
        <v/>
      </c>
      <c r="AX54" s="43">
        <f>'Mar2027-COLLECTION'!K53</f>
        <v/>
      </c>
      <c r="AY54" s="43">
        <f>'Mar2027-EXPENSE'!R57</f>
        <v/>
      </c>
      <c r="AZ54" s="2" t="n"/>
      <c r="BA54" s="43">
        <f>AX54-(AY54+AZ54)</f>
        <v/>
      </c>
      <c r="BB54" s="43">
        <f>SUM(F54,J54,N54,R54,V54,Z54,AD54,AH54,AL54,AP54,AT54,AX54)</f>
        <v/>
      </c>
      <c r="BC54" s="43">
        <f>SUM(G54,K54,O54,S54,W54,AA54,AE54,AI54,AM54,AQ54,AU54,AY54)</f>
        <v/>
      </c>
      <c r="BD54" s="43">
        <f>SUM(H54,L54,P54,T54,X54,AB54,AF54,AJ54,AN54,AR54,AV54,AZ54)</f>
        <v/>
      </c>
      <c r="BE54" s="43">
        <f>BB54-(BC54+BD54)</f>
        <v/>
      </c>
      <c r="BF54" s="43">
        <f>E54+BE54</f>
        <v/>
      </c>
      <c r="BG54" s="43" t="n">
        <v>0</v>
      </c>
    </row>
    <row r="55" ht="15.75" customHeight="1">
      <c r="A55" s="37" t="inlineStr">
        <is>
          <t>T5</t>
        </is>
      </c>
      <c r="B55" s="40" t="n"/>
      <c r="C55" s="40" t="inlineStr">
        <is>
          <t>Ganesh Iyer and Latha Iyer( owner) Richa (Tenant)</t>
        </is>
      </c>
      <c r="D55" s="41" t="n">
        <v>0</v>
      </c>
      <c r="E55" s="41" t="n">
        <v>0</v>
      </c>
      <c r="F55" s="41">
        <f>'Apr2026-COLLECTION'!K54</f>
        <v/>
      </c>
      <c r="G55" s="41">
        <f>'Apr2026-EXPENSE'!R58</f>
        <v/>
      </c>
      <c r="H55" s="20" t="n"/>
      <c r="I55" s="41">
        <f>F55-(G55+H55)</f>
        <v/>
      </c>
      <c r="J55" s="41">
        <f>'May2026-COLLECTION'!K54</f>
        <v/>
      </c>
      <c r="K55" s="41">
        <f>'May2026-EXPENSE'!R58</f>
        <v/>
      </c>
      <c r="L55" s="21" t="n"/>
      <c r="M55" s="41">
        <f>J55-(K55+L55)</f>
        <v/>
      </c>
      <c r="N55" s="41">
        <f>'June2026-COLLECTION'!K54</f>
        <v/>
      </c>
      <c r="O55" s="41">
        <f>'June2026-EXPENSE'!R58</f>
        <v/>
      </c>
      <c r="P55" s="20" t="n"/>
      <c r="Q55" s="41">
        <f>N55-(O55+P55)</f>
        <v/>
      </c>
      <c r="R55" s="41">
        <f>'July2026-COLLECTION'!K54</f>
        <v/>
      </c>
      <c r="S55" s="41">
        <f>'July2026-EXPENSE'!R58</f>
        <v/>
      </c>
      <c r="T55" s="21" t="n"/>
      <c r="U55" s="41">
        <f>R55-(S55+T55)</f>
        <v/>
      </c>
      <c r="V55" s="41">
        <f>'Aug2026-COLLECTION'!K54</f>
        <v/>
      </c>
      <c r="W55" s="41">
        <f>'Aug2026-EXPENSE'!R58</f>
        <v/>
      </c>
      <c r="X55" s="20" t="n"/>
      <c r="Y55" s="41">
        <f>V55-(W55+X55)</f>
        <v/>
      </c>
      <c r="Z55" s="41">
        <f>'Sep2026-COLLECTION'!K54</f>
        <v/>
      </c>
      <c r="AA55" s="41">
        <f>'Sep2026-EXPENSE'!R58</f>
        <v/>
      </c>
      <c r="AB55" s="21" t="n"/>
      <c r="AC55" s="41">
        <f>Z55-(AA55+AB55)</f>
        <v/>
      </c>
      <c r="AD55" s="41">
        <f>'Oct2026-COLLECTION'!K54</f>
        <v/>
      </c>
      <c r="AE55" s="41">
        <f>'Oct2026-EXPENSE'!R58</f>
        <v/>
      </c>
      <c r="AF55" s="21" t="n"/>
      <c r="AG55" s="41">
        <f>AD55-(AE55+AF55)</f>
        <v/>
      </c>
      <c r="AH55" s="41">
        <f>'Nov2026-COLLECTION'!K54</f>
        <v/>
      </c>
      <c r="AI55" s="41">
        <f>'Nov2026-EXPENSE'!R58</f>
        <v/>
      </c>
      <c r="AJ55" s="21" t="n"/>
      <c r="AK55" s="41">
        <f>AH55-(AI55+AJ55)</f>
        <v/>
      </c>
      <c r="AL55" s="41">
        <f>'Dec2026-COLLECTION'!K54</f>
        <v/>
      </c>
      <c r="AM55" s="41">
        <f>'Dec2026-EXPENSE'!R58</f>
        <v/>
      </c>
      <c r="AN55" s="21" t="n"/>
      <c r="AO55" s="41">
        <f>AL55-(AM55+AN55)</f>
        <v/>
      </c>
      <c r="AP55" s="41">
        <f>'Jan2027-COLLECTION'!K54</f>
        <v/>
      </c>
      <c r="AQ55" s="41">
        <f>'Jan2027-EXPENSE'!R58</f>
        <v/>
      </c>
      <c r="AR55" s="2" t="n"/>
      <c r="AS55" s="41">
        <f>AP55-(AQ55+AR55)</f>
        <v/>
      </c>
      <c r="AT55" s="41">
        <f>'Feb2027-COLLECTION'!K54</f>
        <v/>
      </c>
      <c r="AU55" s="41">
        <f>'Feb2027-EXPENSE'!R58</f>
        <v/>
      </c>
      <c r="AV55" s="2" t="n"/>
      <c r="AW55" s="41">
        <f>AT55-(AU55+AV55)</f>
        <v/>
      </c>
      <c r="AX55" s="41">
        <f>'Mar2027-COLLECTION'!K54</f>
        <v/>
      </c>
      <c r="AY55" s="41">
        <f>'Mar2027-EXPENSE'!R58</f>
        <v/>
      </c>
      <c r="AZ55" s="2" t="n"/>
      <c r="BA55" s="41">
        <f>AX55-(AY55+AZ55)</f>
        <v/>
      </c>
      <c r="BB55" s="41">
        <f>SUM(F55,J55,N55,R55,V55,Z55,AD55,AH55,AL55,AP55,AT55,AX55)</f>
        <v/>
      </c>
      <c r="BC55" s="41">
        <f>SUM(G55,K55,O55,S55,W55,AA55,AE55,AI55,AM55,AQ55,AU55,AY55)</f>
        <v/>
      </c>
      <c r="BD55" s="41">
        <f>SUM(H55,L55,P55,T55,X55,AB55,AF55,AJ55,AN55,AR55,AV55,AZ55)</f>
        <v/>
      </c>
      <c r="BE55" s="41">
        <f>BB55-(BC55+BD55)</f>
        <v/>
      </c>
      <c r="BF55" s="41">
        <f>E55+BE55</f>
        <v/>
      </c>
      <c r="BG55" s="41" t="n">
        <v>0</v>
      </c>
    </row>
    <row r="56" ht="15.75" customHeight="1">
      <c r="A56" s="36" t="inlineStr">
        <is>
          <t>T6</t>
        </is>
      </c>
      <c r="B56" s="42" t="n"/>
      <c r="C56" s="42" t="inlineStr">
        <is>
          <t>Mythili Ramesh</t>
        </is>
      </c>
      <c r="D56" s="43" t="n">
        <v>0</v>
      </c>
      <c r="E56" s="43" t="n">
        <v>0</v>
      </c>
      <c r="F56" s="43">
        <f>'Apr2026-COLLECTION'!K55</f>
        <v/>
      </c>
      <c r="G56" s="43">
        <f>'Apr2026-EXPENSE'!R59</f>
        <v/>
      </c>
      <c r="H56" s="20" t="n"/>
      <c r="I56" s="43">
        <f>F56-(G56+H56)</f>
        <v/>
      </c>
      <c r="J56" s="43">
        <f>'May2026-COLLECTION'!K55</f>
        <v/>
      </c>
      <c r="K56" s="43">
        <f>'May2026-EXPENSE'!R59</f>
        <v/>
      </c>
      <c r="L56" s="21" t="n"/>
      <c r="M56" s="43">
        <f>J56-(K56+L56)</f>
        <v/>
      </c>
      <c r="N56" s="43">
        <f>'June2026-COLLECTION'!K55</f>
        <v/>
      </c>
      <c r="O56" s="43">
        <f>'June2026-EXPENSE'!R59</f>
        <v/>
      </c>
      <c r="P56" s="20" t="n"/>
      <c r="Q56" s="43">
        <f>N56-(O56+P56)</f>
        <v/>
      </c>
      <c r="R56" s="43">
        <f>'July2026-COLLECTION'!K55</f>
        <v/>
      </c>
      <c r="S56" s="43">
        <f>'July2026-EXPENSE'!R59</f>
        <v/>
      </c>
      <c r="T56" s="21" t="n"/>
      <c r="U56" s="43">
        <f>R56-(S56+T56)</f>
        <v/>
      </c>
      <c r="V56" s="43">
        <f>'Aug2026-COLLECTION'!K55</f>
        <v/>
      </c>
      <c r="W56" s="43">
        <f>'Aug2026-EXPENSE'!R59</f>
        <v/>
      </c>
      <c r="X56" s="20" t="n"/>
      <c r="Y56" s="43">
        <f>V56-(W56+X56)</f>
        <v/>
      </c>
      <c r="Z56" s="43">
        <f>'Sep2026-COLLECTION'!K55</f>
        <v/>
      </c>
      <c r="AA56" s="43">
        <f>'Sep2026-EXPENSE'!R59</f>
        <v/>
      </c>
      <c r="AB56" s="21" t="n"/>
      <c r="AC56" s="43">
        <f>Z56-(AA56+AB56)</f>
        <v/>
      </c>
      <c r="AD56" s="43">
        <f>'Oct2026-COLLECTION'!K55</f>
        <v/>
      </c>
      <c r="AE56" s="43">
        <f>'Oct2026-EXPENSE'!R59</f>
        <v/>
      </c>
      <c r="AF56" s="21" t="n"/>
      <c r="AG56" s="43">
        <f>AD56-(AE56+AF56)</f>
        <v/>
      </c>
      <c r="AH56" s="43">
        <f>'Nov2026-COLLECTION'!K55</f>
        <v/>
      </c>
      <c r="AI56" s="43">
        <f>'Nov2026-EXPENSE'!R59</f>
        <v/>
      </c>
      <c r="AJ56" s="21" t="n"/>
      <c r="AK56" s="43">
        <f>AH56-(AI56+AJ56)</f>
        <v/>
      </c>
      <c r="AL56" s="43">
        <f>'Dec2026-COLLECTION'!K55</f>
        <v/>
      </c>
      <c r="AM56" s="43">
        <f>'Dec2026-EXPENSE'!R59</f>
        <v/>
      </c>
      <c r="AN56" s="21" t="n"/>
      <c r="AO56" s="43">
        <f>AL56-(AM56+AN56)</f>
        <v/>
      </c>
      <c r="AP56" s="43">
        <f>'Jan2027-COLLECTION'!K55</f>
        <v/>
      </c>
      <c r="AQ56" s="43">
        <f>'Jan2027-EXPENSE'!R59</f>
        <v/>
      </c>
      <c r="AR56" s="2" t="n"/>
      <c r="AS56" s="43">
        <f>AP56-(AQ56+AR56)</f>
        <v/>
      </c>
      <c r="AT56" s="43">
        <f>'Feb2027-COLLECTION'!K55</f>
        <v/>
      </c>
      <c r="AU56" s="43">
        <f>'Feb2027-EXPENSE'!R59</f>
        <v/>
      </c>
      <c r="AV56" s="2" t="n"/>
      <c r="AW56" s="43">
        <f>AT56-(AU56+AV56)</f>
        <v/>
      </c>
      <c r="AX56" s="43">
        <f>'Mar2027-COLLECTION'!K55</f>
        <v/>
      </c>
      <c r="AY56" s="43">
        <f>'Mar2027-EXPENSE'!R59</f>
        <v/>
      </c>
      <c r="AZ56" s="2" t="n"/>
      <c r="BA56" s="43">
        <f>AX56-(AY56+AZ56)</f>
        <v/>
      </c>
      <c r="BB56" s="43">
        <f>SUM(F56,J56,N56,R56,V56,Z56,AD56,AH56,AL56,AP56,AT56,AX56)</f>
        <v/>
      </c>
      <c r="BC56" s="43">
        <f>SUM(G56,K56,O56,S56,W56,AA56,AE56,AI56,AM56,AQ56,AU56,AY56)</f>
        <v/>
      </c>
      <c r="BD56" s="43">
        <f>SUM(H56,L56,P56,T56,X56,AB56,AF56,AJ56,AN56,AR56,AV56,AZ56)</f>
        <v/>
      </c>
      <c r="BE56" s="43">
        <f>BB56-(BC56+BD56)</f>
        <v/>
      </c>
      <c r="BF56" s="43">
        <f>E56+BE56</f>
        <v/>
      </c>
      <c r="BG56" s="43" t="n">
        <v>0</v>
      </c>
    </row>
    <row r="57" ht="15.75" customHeight="1">
      <c r="A57" s="37" t="inlineStr">
        <is>
          <t>T7</t>
        </is>
      </c>
      <c r="B57" s="40" t="n"/>
      <c r="C57" s="40" t="inlineStr">
        <is>
          <t>Vinyas Ramachandra / Shwetha Marnamikatta / Katari Siva Rama Raju</t>
        </is>
      </c>
      <c r="D57" s="41" t="n">
        <v>0</v>
      </c>
      <c r="E57" s="41" t="n">
        <v>0</v>
      </c>
      <c r="F57" s="41">
        <f>'Apr2026-COLLECTION'!K56</f>
        <v/>
      </c>
      <c r="G57" s="41">
        <f>'Apr2026-EXPENSE'!R60</f>
        <v/>
      </c>
      <c r="H57" s="20" t="n"/>
      <c r="I57" s="41">
        <f>F57-(G57+H57)</f>
        <v/>
      </c>
      <c r="J57" s="41">
        <f>'May2026-COLLECTION'!K56</f>
        <v/>
      </c>
      <c r="K57" s="41">
        <f>'May2026-EXPENSE'!R60</f>
        <v/>
      </c>
      <c r="L57" s="21" t="n"/>
      <c r="M57" s="41">
        <f>J57-(K57+L57)</f>
        <v/>
      </c>
      <c r="N57" s="41">
        <f>'June2026-COLLECTION'!K56</f>
        <v/>
      </c>
      <c r="O57" s="41">
        <f>'June2026-EXPENSE'!R60</f>
        <v/>
      </c>
      <c r="P57" s="20" t="n"/>
      <c r="Q57" s="41">
        <f>N57-(O57+P57)</f>
        <v/>
      </c>
      <c r="R57" s="41">
        <f>'July2026-COLLECTION'!K56</f>
        <v/>
      </c>
      <c r="S57" s="41">
        <f>'July2026-EXPENSE'!R60</f>
        <v/>
      </c>
      <c r="T57" s="21" t="n"/>
      <c r="U57" s="41">
        <f>R57-(S57+T57)</f>
        <v/>
      </c>
      <c r="V57" s="41">
        <f>'Aug2026-COLLECTION'!K56</f>
        <v/>
      </c>
      <c r="W57" s="41">
        <f>'Aug2026-EXPENSE'!R60</f>
        <v/>
      </c>
      <c r="X57" s="20" t="n"/>
      <c r="Y57" s="41">
        <f>V57-(W57+X57)</f>
        <v/>
      </c>
      <c r="Z57" s="41">
        <f>'Sep2026-COLLECTION'!K56</f>
        <v/>
      </c>
      <c r="AA57" s="41">
        <f>'Sep2026-EXPENSE'!R60</f>
        <v/>
      </c>
      <c r="AB57" s="21" t="n"/>
      <c r="AC57" s="41">
        <f>Z57-(AA57+AB57)</f>
        <v/>
      </c>
      <c r="AD57" s="41">
        <f>'Oct2026-COLLECTION'!K56</f>
        <v/>
      </c>
      <c r="AE57" s="41">
        <f>'Oct2026-EXPENSE'!R60</f>
        <v/>
      </c>
      <c r="AF57" s="21" t="n"/>
      <c r="AG57" s="41">
        <f>AD57-(AE57+AF57)</f>
        <v/>
      </c>
      <c r="AH57" s="41">
        <f>'Nov2026-COLLECTION'!K56</f>
        <v/>
      </c>
      <c r="AI57" s="41">
        <f>'Nov2026-EXPENSE'!R60</f>
        <v/>
      </c>
      <c r="AJ57" s="21" t="n"/>
      <c r="AK57" s="41">
        <f>AH57-(AI57+AJ57)</f>
        <v/>
      </c>
      <c r="AL57" s="41">
        <f>'Dec2026-COLLECTION'!K56</f>
        <v/>
      </c>
      <c r="AM57" s="41">
        <f>'Dec2026-EXPENSE'!R60</f>
        <v/>
      </c>
      <c r="AN57" s="21" t="n"/>
      <c r="AO57" s="41">
        <f>AL57-(AM57+AN57)</f>
        <v/>
      </c>
      <c r="AP57" s="41">
        <f>'Jan2027-COLLECTION'!K56</f>
        <v/>
      </c>
      <c r="AQ57" s="41">
        <f>'Jan2027-EXPENSE'!R60</f>
        <v/>
      </c>
      <c r="AR57" s="2" t="n"/>
      <c r="AS57" s="41">
        <f>AP57-(AQ57+AR57)</f>
        <v/>
      </c>
      <c r="AT57" s="41">
        <f>'Feb2027-COLLECTION'!K56</f>
        <v/>
      </c>
      <c r="AU57" s="41">
        <f>'Feb2027-EXPENSE'!R60</f>
        <v/>
      </c>
      <c r="AV57" s="2" t="n"/>
      <c r="AW57" s="41">
        <f>AT57-(AU57+AV57)</f>
        <v/>
      </c>
      <c r="AX57" s="41">
        <f>'Mar2027-COLLECTION'!K56</f>
        <v/>
      </c>
      <c r="AY57" s="41">
        <f>'Mar2027-EXPENSE'!R60</f>
        <v/>
      </c>
      <c r="AZ57" s="2" t="n"/>
      <c r="BA57" s="41">
        <f>AX57-(AY57+AZ57)</f>
        <v/>
      </c>
      <c r="BB57" s="41">
        <f>SUM(F57,J57,N57,R57,V57,Z57,AD57,AH57,AL57,AP57,AT57,AX57)</f>
        <v/>
      </c>
      <c r="BC57" s="41">
        <f>SUM(G57,K57,O57,S57,W57,AA57,AE57,AI57,AM57,AQ57,AU57,AY57)</f>
        <v/>
      </c>
      <c r="BD57" s="41">
        <f>SUM(H57,L57,P57,T57,X57,AB57,AF57,AJ57,AN57,AR57,AV57,AZ57)</f>
        <v/>
      </c>
      <c r="BE57" s="41">
        <f>BB57-(BC57+BD57)</f>
        <v/>
      </c>
      <c r="BF57" s="41">
        <f>E57+BE57</f>
        <v/>
      </c>
      <c r="BG57" s="41" t="n">
        <v>0</v>
      </c>
    </row>
    <row r="58" ht="15.75" customHeight="1">
      <c r="A58" s="36" t="inlineStr">
        <is>
          <t>T8</t>
        </is>
      </c>
      <c r="B58" s="42" t="n"/>
      <c r="C58" s="42" t="inlineStr">
        <is>
          <t>Lalit Kumar Sharma</t>
        </is>
      </c>
      <c r="D58" s="43" t="n">
        <v>0</v>
      </c>
      <c r="E58" s="43" t="n">
        <v>0</v>
      </c>
      <c r="F58" s="43">
        <f>'Apr2026-COLLECTION'!K57</f>
        <v/>
      </c>
      <c r="G58" s="43">
        <f>'Apr2026-EXPENSE'!R61</f>
        <v/>
      </c>
      <c r="H58" s="20" t="n"/>
      <c r="I58" s="43">
        <f>F58-(G58+H58)</f>
        <v/>
      </c>
      <c r="J58" s="43">
        <f>'May2026-COLLECTION'!K57</f>
        <v/>
      </c>
      <c r="K58" s="43">
        <f>'May2026-EXPENSE'!R61</f>
        <v/>
      </c>
      <c r="L58" s="21" t="n"/>
      <c r="M58" s="43">
        <f>J58-(K58+L58)</f>
        <v/>
      </c>
      <c r="N58" s="43">
        <f>'June2026-COLLECTION'!K57</f>
        <v/>
      </c>
      <c r="O58" s="43">
        <f>'June2026-EXPENSE'!R61</f>
        <v/>
      </c>
      <c r="P58" s="20" t="n"/>
      <c r="Q58" s="43">
        <f>N58-(O58+P58)</f>
        <v/>
      </c>
      <c r="R58" s="43">
        <f>'July2026-COLLECTION'!K57</f>
        <v/>
      </c>
      <c r="S58" s="43">
        <f>'July2026-EXPENSE'!R61</f>
        <v/>
      </c>
      <c r="T58" s="21" t="n"/>
      <c r="U58" s="43">
        <f>R58-(S58+T58)</f>
        <v/>
      </c>
      <c r="V58" s="43">
        <f>'Aug2026-COLLECTION'!K57</f>
        <v/>
      </c>
      <c r="W58" s="43">
        <f>'Aug2026-EXPENSE'!R61</f>
        <v/>
      </c>
      <c r="X58" s="20" t="n"/>
      <c r="Y58" s="43">
        <f>V58-(W58+X58)</f>
        <v/>
      </c>
      <c r="Z58" s="43">
        <f>'Sep2026-COLLECTION'!K57</f>
        <v/>
      </c>
      <c r="AA58" s="43">
        <f>'Sep2026-EXPENSE'!R61</f>
        <v/>
      </c>
      <c r="AB58" s="21" t="n"/>
      <c r="AC58" s="43">
        <f>Z58-(AA58+AB58)</f>
        <v/>
      </c>
      <c r="AD58" s="43">
        <f>'Oct2026-COLLECTION'!K57</f>
        <v/>
      </c>
      <c r="AE58" s="43">
        <f>'Oct2026-EXPENSE'!R61</f>
        <v/>
      </c>
      <c r="AF58" s="21" t="n"/>
      <c r="AG58" s="43">
        <f>AD58-(AE58+AF58)</f>
        <v/>
      </c>
      <c r="AH58" s="43">
        <f>'Nov2026-COLLECTION'!K57</f>
        <v/>
      </c>
      <c r="AI58" s="43">
        <f>'Nov2026-EXPENSE'!R61</f>
        <v/>
      </c>
      <c r="AJ58" s="21" t="n"/>
      <c r="AK58" s="43">
        <f>AH58-(AI58+AJ58)</f>
        <v/>
      </c>
      <c r="AL58" s="43">
        <f>'Dec2026-COLLECTION'!K57</f>
        <v/>
      </c>
      <c r="AM58" s="43">
        <f>'Dec2026-EXPENSE'!R61</f>
        <v/>
      </c>
      <c r="AN58" s="21" t="n"/>
      <c r="AO58" s="43">
        <f>AL58-(AM58+AN58)</f>
        <v/>
      </c>
      <c r="AP58" s="43">
        <f>'Jan2027-COLLECTION'!K57</f>
        <v/>
      </c>
      <c r="AQ58" s="43">
        <f>'Jan2027-EXPENSE'!R61</f>
        <v/>
      </c>
      <c r="AR58" s="2" t="n"/>
      <c r="AS58" s="43">
        <f>AP58-(AQ58+AR58)</f>
        <v/>
      </c>
      <c r="AT58" s="43">
        <f>'Feb2027-COLLECTION'!K57</f>
        <v/>
      </c>
      <c r="AU58" s="43">
        <f>'Feb2027-EXPENSE'!R61</f>
        <v/>
      </c>
      <c r="AV58" s="2" t="n"/>
      <c r="AW58" s="43">
        <f>AT58-(AU58+AV58)</f>
        <v/>
      </c>
      <c r="AX58" s="43">
        <f>'Mar2027-COLLECTION'!K57</f>
        <v/>
      </c>
      <c r="AY58" s="43">
        <f>'Mar2027-EXPENSE'!R61</f>
        <v/>
      </c>
      <c r="AZ58" s="2" t="n"/>
      <c r="BA58" s="43">
        <f>AX58-(AY58+AZ58)</f>
        <v/>
      </c>
      <c r="BB58" s="43">
        <f>SUM(F58,J58,N58,R58,V58,Z58,AD58,AH58,AL58,AP58,AT58,AX58)</f>
        <v/>
      </c>
      <c r="BC58" s="43">
        <f>SUM(G58,K58,O58,S58,W58,AA58,AE58,AI58,AM58,AQ58,AU58,AY58)</f>
        <v/>
      </c>
      <c r="BD58" s="43">
        <f>SUM(H58,L58,P58,T58,X58,AB58,AF58,AJ58,AN58,AR58,AV58,AZ58)</f>
        <v/>
      </c>
      <c r="BE58" s="43">
        <f>BB58-(BC58+BD58)</f>
        <v/>
      </c>
      <c r="BF58" s="43">
        <f>E58+BE58</f>
        <v/>
      </c>
      <c r="BG58" s="43" t="n">
        <v>0</v>
      </c>
    </row>
    <row r="59" ht="15.75" customHeight="1">
      <c r="A59" s="37" t="inlineStr">
        <is>
          <t>T9</t>
        </is>
      </c>
      <c r="B59" s="40" t="n"/>
      <c r="C59" s="40" t="inlineStr">
        <is>
          <t>Nishith Sahu and Priyanka Rani (Owner)/ Anmol Verma (Tenant)</t>
        </is>
      </c>
      <c r="D59" s="41" t="n">
        <v>0</v>
      </c>
      <c r="E59" s="41" t="n">
        <v>0</v>
      </c>
      <c r="F59" s="41">
        <f>'Apr2026-COLLECTION'!K58</f>
        <v/>
      </c>
      <c r="G59" s="41">
        <f>'Apr2026-EXPENSE'!R62</f>
        <v/>
      </c>
      <c r="H59" s="20" t="n"/>
      <c r="I59" s="41">
        <f>F59-(G59+H59)</f>
        <v/>
      </c>
      <c r="J59" s="41">
        <f>'May2026-COLLECTION'!K58</f>
        <v/>
      </c>
      <c r="K59" s="41">
        <f>'May2026-EXPENSE'!R62</f>
        <v/>
      </c>
      <c r="L59" s="21" t="n"/>
      <c r="M59" s="41">
        <f>J59-(K59+L59)</f>
        <v/>
      </c>
      <c r="N59" s="41">
        <f>'June2026-COLLECTION'!K58</f>
        <v/>
      </c>
      <c r="O59" s="41">
        <f>'June2026-EXPENSE'!R62</f>
        <v/>
      </c>
      <c r="P59" s="20" t="n"/>
      <c r="Q59" s="41">
        <f>N59-(O59+P59)</f>
        <v/>
      </c>
      <c r="R59" s="41">
        <f>'July2026-COLLECTION'!K58</f>
        <v/>
      </c>
      <c r="S59" s="41">
        <f>'July2026-EXPENSE'!R62</f>
        <v/>
      </c>
      <c r="T59" s="21" t="n"/>
      <c r="U59" s="41">
        <f>R59-(S59+T59)</f>
        <v/>
      </c>
      <c r="V59" s="41">
        <f>'Aug2026-COLLECTION'!K58</f>
        <v/>
      </c>
      <c r="W59" s="41">
        <f>'Aug2026-EXPENSE'!R62</f>
        <v/>
      </c>
      <c r="X59" s="20" t="n"/>
      <c r="Y59" s="41">
        <f>V59-(W59+X59)</f>
        <v/>
      </c>
      <c r="Z59" s="41">
        <f>'Sep2026-COLLECTION'!K58</f>
        <v/>
      </c>
      <c r="AA59" s="41">
        <f>'Sep2026-EXPENSE'!R62</f>
        <v/>
      </c>
      <c r="AB59" s="21" t="n"/>
      <c r="AC59" s="41">
        <f>Z59-(AA59+AB59)</f>
        <v/>
      </c>
      <c r="AD59" s="41">
        <f>'Oct2026-COLLECTION'!K58</f>
        <v/>
      </c>
      <c r="AE59" s="41">
        <f>'Oct2026-EXPENSE'!R62</f>
        <v/>
      </c>
      <c r="AF59" s="21" t="n"/>
      <c r="AG59" s="41">
        <f>AD59-(AE59+AF59)</f>
        <v/>
      </c>
      <c r="AH59" s="41">
        <f>'Nov2026-COLLECTION'!K58</f>
        <v/>
      </c>
      <c r="AI59" s="41">
        <f>'Nov2026-EXPENSE'!R62</f>
        <v/>
      </c>
      <c r="AJ59" s="21" t="n"/>
      <c r="AK59" s="41">
        <f>AH59-(AI59+AJ59)</f>
        <v/>
      </c>
      <c r="AL59" s="41">
        <f>'Dec2026-COLLECTION'!K58</f>
        <v/>
      </c>
      <c r="AM59" s="41">
        <f>'Dec2026-EXPENSE'!R62</f>
        <v/>
      </c>
      <c r="AN59" s="21" t="n"/>
      <c r="AO59" s="41">
        <f>AL59-(AM59+AN59)</f>
        <v/>
      </c>
      <c r="AP59" s="41">
        <f>'Jan2027-COLLECTION'!K58</f>
        <v/>
      </c>
      <c r="AQ59" s="41">
        <f>'Jan2027-EXPENSE'!R62</f>
        <v/>
      </c>
      <c r="AR59" s="2" t="n"/>
      <c r="AS59" s="41">
        <f>AP59-(AQ59+AR59)</f>
        <v/>
      </c>
      <c r="AT59" s="41">
        <f>'Feb2027-COLLECTION'!K58</f>
        <v/>
      </c>
      <c r="AU59" s="41">
        <f>'Feb2027-EXPENSE'!R62</f>
        <v/>
      </c>
      <c r="AV59" s="2" t="n"/>
      <c r="AW59" s="41">
        <f>AT59-(AU59+AV59)</f>
        <v/>
      </c>
      <c r="AX59" s="41">
        <f>'Mar2027-COLLECTION'!K58</f>
        <v/>
      </c>
      <c r="AY59" s="41">
        <f>'Mar2027-EXPENSE'!R62</f>
        <v/>
      </c>
      <c r="AZ59" s="2" t="n"/>
      <c r="BA59" s="41">
        <f>AX59-(AY59+AZ59)</f>
        <v/>
      </c>
      <c r="BB59" s="41">
        <f>SUM(F59,J59,N59,R59,V59,Z59,AD59,AH59,AL59,AP59,AT59,AX59)</f>
        <v/>
      </c>
      <c r="BC59" s="41">
        <f>SUM(G59,K59,O59,S59,W59,AA59,AE59,AI59,AM59,AQ59,AU59,AY59)</f>
        <v/>
      </c>
      <c r="BD59" s="41">
        <f>SUM(H59,L59,P59,T59,X59,AB59,AF59,AJ59,AN59,AR59,AV59,AZ59)</f>
        <v/>
      </c>
      <c r="BE59" s="41">
        <f>BB59-(BC59+BD59)</f>
        <v/>
      </c>
      <c r="BF59" s="41">
        <f>E59+BE59</f>
        <v/>
      </c>
      <c r="BG59" s="41" t="n">
        <v>0</v>
      </c>
    </row>
    <row r="60" ht="15.75" customHeight="1">
      <c r="A60" s="36" t="inlineStr">
        <is>
          <t>T10</t>
        </is>
      </c>
      <c r="B60" s="42" t="n"/>
      <c r="C60" s="42" t="inlineStr">
        <is>
          <t>Vamsidhar Bethanabatla / Madhuri Anumula</t>
        </is>
      </c>
      <c r="D60" s="43" t="n">
        <v>0</v>
      </c>
      <c r="E60" s="43" t="n">
        <v>0</v>
      </c>
      <c r="F60" s="43">
        <f>'Apr2026-COLLECTION'!K59</f>
        <v/>
      </c>
      <c r="G60" s="43">
        <f>'Apr2026-EXPENSE'!R63</f>
        <v/>
      </c>
      <c r="H60" s="20" t="n"/>
      <c r="I60" s="43">
        <f>F60-(G60+H60)</f>
        <v/>
      </c>
      <c r="J60" s="43">
        <f>'May2026-COLLECTION'!K59</f>
        <v/>
      </c>
      <c r="K60" s="43">
        <f>'May2026-EXPENSE'!R63</f>
        <v/>
      </c>
      <c r="L60" s="21" t="n"/>
      <c r="M60" s="43">
        <f>J60-(K60+L60)</f>
        <v/>
      </c>
      <c r="N60" s="43">
        <f>'June2026-COLLECTION'!K59</f>
        <v/>
      </c>
      <c r="O60" s="43">
        <f>'June2026-EXPENSE'!R63</f>
        <v/>
      </c>
      <c r="P60" s="20" t="n"/>
      <c r="Q60" s="43">
        <f>N60-(O60+P60)</f>
        <v/>
      </c>
      <c r="R60" s="43">
        <f>'July2026-COLLECTION'!K59</f>
        <v/>
      </c>
      <c r="S60" s="43">
        <f>'July2026-EXPENSE'!R63</f>
        <v/>
      </c>
      <c r="T60" s="21" t="n"/>
      <c r="U60" s="43">
        <f>R60-(S60+T60)</f>
        <v/>
      </c>
      <c r="V60" s="43">
        <f>'Aug2026-COLLECTION'!K59</f>
        <v/>
      </c>
      <c r="W60" s="43">
        <f>'Aug2026-EXPENSE'!R63</f>
        <v/>
      </c>
      <c r="X60" s="20" t="n"/>
      <c r="Y60" s="43">
        <f>V60-(W60+X60)</f>
        <v/>
      </c>
      <c r="Z60" s="43">
        <f>'Sep2026-COLLECTION'!K59</f>
        <v/>
      </c>
      <c r="AA60" s="43">
        <f>'Sep2026-EXPENSE'!R63</f>
        <v/>
      </c>
      <c r="AB60" s="21" t="n"/>
      <c r="AC60" s="43">
        <f>Z60-(AA60+AB60)</f>
        <v/>
      </c>
      <c r="AD60" s="43">
        <f>'Oct2026-COLLECTION'!K59</f>
        <v/>
      </c>
      <c r="AE60" s="43">
        <f>'Oct2026-EXPENSE'!R63</f>
        <v/>
      </c>
      <c r="AF60" s="21" t="n"/>
      <c r="AG60" s="43">
        <f>AD60-(AE60+AF60)</f>
        <v/>
      </c>
      <c r="AH60" s="43">
        <f>'Nov2026-COLLECTION'!K59</f>
        <v/>
      </c>
      <c r="AI60" s="43">
        <f>'Nov2026-EXPENSE'!R63</f>
        <v/>
      </c>
      <c r="AJ60" s="21" t="n"/>
      <c r="AK60" s="43">
        <f>AH60-(AI60+AJ60)</f>
        <v/>
      </c>
      <c r="AL60" s="43">
        <f>'Dec2026-COLLECTION'!K59</f>
        <v/>
      </c>
      <c r="AM60" s="43">
        <f>'Dec2026-EXPENSE'!R63</f>
        <v/>
      </c>
      <c r="AN60" s="21" t="n"/>
      <c r="AO60" s="43">
        <f>AL60-(AM60+AN60)</f>
        <v/>
      </c>
      <c r="AP60" s="43">
        <f>'Jan2027-COLLECTION'!K59</f>
        <v/>
      </c>
      <c r="AQ60" s="43">
        <f>'Jan2027-EXPENSE'!R63</f>
        <v/>
      </c>
      <c r="AR60" s="2" t="n"/>
      <c r="AS60" s="43">
        <f>AP60-(AQ60+AR60)</f>
        <v/>
      </c>
      <c r="AT60" s="43">
        <f>'Feb2027-COLLECTION'!K59</f>
        <v/>
      </c>
      <c r="AU60" s="43">
        <f>'Feb2027-EXPENSE'!R63</f>
        <v/>
      </c>
      <c r="AV60" s="2" t="n"/>
      <c r="AW60" s="43">
        <f>AT60-(AU60+AV60)</f>
        <v/>
      </c>
      <c r="AX60" s="43">
        <f>'Mar2027-COLLECTION'!K59</f>
        <v/>
      </c>
      <c r="AY60" s="43">
        <f>'Mar2027-EXPENSE'!R63</f>
        <v/>
      </c>
      <c r="AZ60" s="2" t="n"/>
      <c r="BA60" s="43">
        <f>AX60-(AY60+AZ60)</f>
        <v/>
      </c>
      <c r="BB60" s="43">
        <f>SUM(F60,J60,N60,R60,V60,Z60,AD60,AH60,AL60,AP60,AT60,AX60)</f>
        <v/>
      </c>
      <c r="BC60" s="43">
        <f>SUM(G60,K60,O60,S60,W60,AA60,AE60,AI60,AM60,AQ60,AU60,AY60)</f>
        <v/>
      </c>
      <c r="BD60" s="43">
        <f>SUM(H60,L60,P60,T60,X60,AB60,AF60,AJ60,AN60,AR60,AV60,AZ60)</f>
        <v/>
      </c>
      <c r="BE60" s="43">
        <f>BB60-(BC60+BD60)</f>
        <v/>
      </c>
      <c r="BF60" s="43">
        <f>E60+BE60</f>
        <v/>
      </c>
      <c r="BG60" s="43" t="n">
        <v>0</v>
      </c>
    </row>
    <row r="61" ht="15.75" customHeight="1">
      <c r="A61" s="37" t="inlineStr">
        <is>
          <t>T11</t>
        </is>
      </c>
      <c r="B61" s="40" t="n"/>
      <c r="C61" s="40" t="inlineStr">
        <is>
          <t>Arvind Balasubramanian</t>
        </is>
      </c>
      <c r="D61" s="41" t="n">
        <v>0</v>
      </c>
      <c r="E61" s="41" t="n">
        <v>0</v>
      </c>
      <c r="F61" s="41">
        <f>'Apr2026-COLLECTION'!K60</f>
        <v/>
      </c>
      <c r="G61" s="41">
        <f>'Apr2026-EXPENSE'!R64</f>
        <v/>
      </c>
      <c r="H61" s="20" t="n"/>
      <c r="I61" s="41">
        <f>F61-(G61+H61)</f>
        <v/>
      </c>
      <c r="J61" s="41">
        <f>'May2026-COLLECTION'!K60</f>
        <v/>
      </c>
      <c r="K61" s="41">
        <f>'May2026-EXPENSE'!R64</f>
        <v/>
      </c>
      <c r="L61" s="41" t="n">
        <v>0</v>
      </c>
      <c r="M61" s="41">
        <f>J61-(K61+L61)</f>
        <v/>
      </c>
      <c r="N61" s="41">
        <f>'June2026-COLLECTION'!K60</f>
        <v/>
      </c>
      <c r="O61" s="41">
        <f>'June2026-EXPENSE'!R64</f>
        <v/>
      </c>
      <c r="P61" s="20" t="n"/>
      <c r="Q61" s="41">
        <f>N61-(O61+P61)</f>
        <v/>
      </c>
      <c r="R61" s="41">
        <f>'July2026-COLLECTION'!K60</f>
        <v/>
      </c>
      <c r="S61" s="41">
        <f>'July2026-EXPENSE'!R64</f>
        <v/>
      </c>
      <c r="T61" s="21" t="n"/>
      <c r="U61" s="41">
        <f>R61-(S61+T61)</f>
        <v/>
      </c>
      <c r="V61" s="41">
        <f>'Aug2026-COLLECTION'!K60</f>
        <v/>
      </c>
      <c r="W61" s="41">
        <f>'Aug2026-EXPENSE'!R64</f>
        <v/>
      </c>
      <c r="X61" s="20" t="n"/>
      <c r="Y61" s="41">
        <f>V61-(W61+X61)</f>
        <v/>
      </c>
      <c r="Z61" s="41">
        <f>'Sep2026-COLLECTION'!K60</f>
        <v/>
      </c>
      <c r="AA61" s="41">
        <f>'Sep2026-EXPENSE'!R64</f>
        <v/>
      </c>
      <c r="AB61" s="21" t="n"/>
      <c r="AC61" s="41">
        <f>Z61-(AA61+AB61)</f>
        <v/>
      </c>
      <c r="AD61" s="41">
        <f>'Oct2026-COLLECTION'!K60</f>
        <v/>
      </c>
      <c r="AE61" s="41">
        <f>'Oct2026-EXPENSE'!R64</f>
        <v/>
      </c>
      <c r="AF61" s="21" t="n"/>
      <c r="AG61" s="41">
        <f>AD61-(AE61+AF61)</f>
        <v/>
      </c>
      <c r="AH61" s="41">
        <f>'Nov2026-COLLECTION'!K60</f>
        <v/>
      </c>
      <c r="AI61" s="41">
        <f>'Nov2026-EXPENSE'!R64</f>
        <v/>
      </c>
      <c r="AJ61" s="21" t="n"/>
      <c r="AK61" s="41">
        <f>AH61-(AI61+AJ61)</f>
        <v/>
      </c>
      <c r="AL61" s="41">
        <f>'Dec2026-COLLECTION'!K60</f>
        <v/>
      </c>
      <c r="AM61" s="41">
        <f>'Dec2026-EXPENSE'!R64</f>
        <v/>
      </c>
      <c r="AN61" s="21" t="n"/>
      <c r="AO61" s="41">
        <f>AL61-(AM61+AN61)</f>
        <v/>
      </c>
      <c r="AP61" s="41">
        <f>'Jan2027-COLLECTION'!K60</f>
        <v/>
      </c>
      <c r="AQ61" s="41">
        <f>'Jan2027-EXPENSE'!R64</f>
        <v/>
      </c>
      <c r="AR61" s="2" t="n"/>
      <c r="AS61" s="41">
        <f>AP61-(AQ61+AR61)</f>
        <v/>
      </c>
      <c r="AT61" s="41">
        <f>'Feb2027-COLLECTION'!K60</f>
        <v/>
      </c>
      <c r="AU61" s="41">
        <f>'Feb2027-EXPENSE'!R64</f>
        <v/>
      </c>
      <c r="AV61" s="2" t="n"/>
      <c r="AW61" s="41">
        <f>AT61-(AU61+AV61)</f>
        <v/>
      </c>
      <c r="AX61" s="41">
        <f>'Mar2027-COLLECTION'!K60</f>
        <v/>
      </c>
      <c r="AY61" s="41">
        <f>'Mar2027-EXPENSE'!R64</f>
        <v/>
      </c>
      <c r="AZ61" s="2" t="n"/>
      <c r="BA61" s="41">
        <f>AX61-(AY61+AZ61)</f>
        <v/>
      </c>
      <c r="BB61" s="41">
        <f>SUM(F61,J61,N61,R61,V61,Z61,AD61,AH61,AL61,AP61,AT61,AX61)</f>
        <v/>
      </c>
      <c r="BC61" s="41">
        <f>SUM(G61,K61,O61,S61,W61,AA61,AE61,AI61,AM61,AQ61,AU61,AY61)</f>
        <v/>
      </c>
      <c r="BD61" s="41">
        <f>SUM(H61,L61,P61,T61,X61,AB61,AF61,AJ61,AN61,AR61,AV61,AZ61)</f>
        <v/>
      </c>
      <c r="BE61" s="41">
        <f>BB61-(BC61+BD61)</f>
        <v/>
      </c>
      <c r="BF61" s="41">
        <f>E61+BE61</f>
        <v/>
      </c>
      <c r="BG61" s="41" t="n">
        <v>0</v>
      </c>
    </row>
    <row r="62" ht="15.75" customHeight="1">
      <c r="A62" s="36" t="inlineStr">
        <is>
          <t>T12</t>
        </is>
      </c>
      <c r="B62" s="42" t="n"/>
      <c r="C62" s="42" t="inlineStr">
        <is>
          <t>Prasenjit</t>
        </is>
      </c>
      <c r="D62" s="43" t="n">
        <v>0</v>
      </c>
      <c r="E62" s="43" t="n">
        <v>0</v>
      </c>
      <c r="F62" s="43">
        <f>'Apr2026-COLLECTION'!K61</f>
        <v/>
      </c>
      <c r="G62" s="43">
        <f>'Apr2026-EXPENSE'!R65</f>
        <v/>
      </c>
      <c r="H62" s="20" t="n"/>
      <c r="I62" s="43">
        <f>F62-(G62+H62)</f>
        <v/>
      </c>
      <c r="J62" s="43">
        <f>'May2026-COLLECTION'!K61</f>
        <v/>
      </c>
      <c r="K62" s="43">
        <f>'May2026-EXPENSE'!R65</f>
        <v/>
      </c>
      <c r="L62" s="43" t="n">
        <v>0</v>
      </c>
      <c r="M62" s="43">
        <f>J62-(K62+L62)</f>
        <v/>
      </c>
      <c r="N62" s="43">
        <f>'June2026-COLLECTION'!K61</f>
        <v/>
      </c>
      <c r="O62" s="43">
        <f>'June2026-EXPENSE'!R65</f>
        <v/>
      </c>
      <c r="P62" s="20" t="n"/>
      <c r="Q62" s="43">
        <f>N62-(O62+P62)</f>
        <v/>
      </c>
      <c r="R62" s="43">
        <f>'July2026-COLLECTION'!K61</f>
        <v/>
      </c>
      <c r="S62" s="43">
        <f>'July2026-EXPENSE'!R65</f>
        <v/>
      </c>
      <c r="T62" s="21" t="n"/>
      <c r="U62" s="43">
        <f>R62-(S62+T62)</f>
        <v/>
      </c>
      <c r="V62" s="43">
        <f>'Aug2026-COLLECTION'!K61</f>
        <v/>
      </c>
      <c r="W62" s="43">
        <f>'Aug2026-EXPENSE'!R65</f>
        <v/>
      </c>
      <c r="X62" s="20" t="n"/>
      <c r="Y62" s="43">
        <f>V62-(W62+X62)</f>
        <v/>
      </c>
      <c r="Z62" s="43">
        <f>'Sep2026-COLLECTION'!K61</f>
        <v/>
      </c>
      <c r="AA62" s="43">
        <f>'Sep2026-EXPENSE'!R65</f>
        <v/>
      </c>
      <c r="AB62" s="21" t="n"/>
      <c r="AC62" s="43">
        <f>Z62-(AA62+AB62)</f>
        <v/>
      </c>
      <c r="AD62" s="43">
        <f>'Oct2026-COLLECTION'!K61</f>
        <v/>
      </c>
      <c r="AE62" s="43">
        <f>'Oct2026-EXPENSE'!R65</f>
        <v/>
      </c>
      <c r="AF62" s="21" t="n"/>
      <c r="AG62" s="43">
        <f>AD62-(AE62+AF62)</f>
        <v/>
      </c>
      <c r="AH62" s="43">
        <f>'Nov2026-COLLECTION'!K61</f>
        <v/>
      </c>
      <c r="AI62" s="43">
        <f>'Nov2026-EXPENSE'!R65</f>
        <v/>
      </c>
      <c r="AJ62" s="21" t="n"/>
      <c r="AK62" s="43">
        <f>AH62-(AI62+AJ62)</f>
        <v/>
      </c>
      <c r="AL62" s="43">
        <f>'Dec2026-COLLECTION'!K61</f>
        <v/>
      </c>
      <c r="AM62" s="43">
        <f>'Dec2026-EXPENSE'!R65</f>
        <v/>
      </c>
      <c r="AN62" s="21" t="n"/>
      <c r="AO62" s="43">
        <f>AL62-(AM62+AN62)</f>
        <v/>
      </c>
      <c r="AP62" s="43">
        <f>'Jan2027-COLLECTION'!K61</f>
        <v/>
      </c>
      <c r="AQ62" s="43">
        <f>'Jan2027-EXPENSE'!R65</f>
        <v/>
      </c>
      <c r="AR62" s="2" t="n"/>
      <c r="AS62" s="43">
        <f>AP62-(AQ62+AR62)</f>
        <v/>
      </c>
      <c r="AT62" s="43">
        <f>'Feb2027-COLLECTION'!K61</f>
        <v/>
      </c>
      <c r="AU62" s="43">
        <f>'Feb2027-EXPENSE'!R65</f>
        <v/>
      </c>
      <c r="AV62" s="2" t="n"/>
      <c r="AW62" s="43">
        <f>AT62-(AU62+AV62)</f>
        <v/>
      </c>
      <c r="AX62" s="43">
        <f>'Mar2027-COLLECTION'!K61</f>
        <v/>
      </c>
      <c r="AY62" s="43">
        <f>'Mar2027-EXPENSE'!R65</f>
        <v/>
      </c>
      <c r="AZ62" s="2" t="n"/>
      <c r="BA62" s="43">
        <f>AX62-(AY62+AZ62)</f>
        <v/>
      </c>
      <c r="BB62" s="43">
        <f>SUM(F62,J62,N62,R62,V62,Z62,AD62,AH62,AL62,AP62,AT62,AX62)</f>
        <v/>
      </c>
      <c r="BC62" s="43">
        <f>SUM(G62,K62,O62,S62,W62,AA62,AE62,AI62,AM62,AQ62,AU62,AY62)</f>
        <v/>
      </c>
      <c r="BD62" s="43">
        <f>SUM(H62,L62,P62,T62,X62,AB62,AF62,AJ62,AN62,AR62,AV62,AZ62)</f>
        <v/>
      </c>
      <c r="BE62" s="43">
        <f>BB62-(BC62+BD62)</f>
        <v/>
      </c>
      <c r="BF62" s="43">
        <f>E62+BE62</f>
        <v/>
      </c>
      <c r="BG62" s="43" t="n">
        <v>0</v>
      </c>
    </row>
    <row r="63" ht="15.75" customHeight="1">
      <c r="A63" s="37" t="inlineStr">
        <is>
          <t>T13</t>
        </is>
      </c>
      <c r="B63" s="40" t="n"/>
      <c r="C63" s="40" t="inlineStr">
        <is>
          <t>Rahul Kumar</t>
        </is>
      </c>
      <c r="D63" s="41" t="n">
        <v>0</v>
      </c>
      <c r="E63" s="41" t="n">
        <v>0</v>
      </c>
      <c r="F63" s="41">
        <f>'Apr2026-COLLECTION'!K62</f>
        <v/>
      </c>
      <c r="G63" s="41">
        <f>'Apr2026-EXPENSE'!R66</f>
        <v/>
      </c>
      <c r="H63" s="20" t="n"/>
      <c r="I63" s="41">
        <f>F63-(G63+H63)</f>
        <v/>
      </c>
      <c r="J63" s="41">
        <f>'May2026-COLLECTION'!K62</f>
        <v/>
      </c>
      <c r="K63" s="41">
        <f>'May2026-EXPENSE'!R66</f>
        <v/>
      </c>
      <c r="L63" s="41" t="n">
        <v>0</v>
      </c>
      <c r="M63" s="41">
        <f>J63-(K63+L63)</f>
        <v/>
      </c>
      <c r="N63" s="41">
        <f>'June2026-COLLECTION'!K62</f>
        <v/>
      </c>
      <c r="O63" s="41">
        <f>'June2026-EXPENSE'!R66</f>
        <v/>
      </c>
      <c r="P63" s="20" t="n"/>
      <c r="Q63" s="41">
        <f>N63-(O63+P63)</f>
        <v/>
      </c>
      <c r="R63" s="41">
        <f>'July2026-COLLECTION'!K62</f>
        <v/>
      </c>
      <c r="S63" s="41">
        <f>'July2026-EXPENSE'!R66</f>
        <v/>
      </c>
      <c r="T63" s="21" t="n"/>
      <c r="U63" s="41">
        <f>R63-(S63+T63)</f>
        <v/>
      </c>
      <c r="V63" s="41">
        <f>'Aug2026-COLLECTION'!K62</f>
        <v/>
      </c>
      <c r="W63" s="41">
        <f>'Aug2026-EXPENSE'!R66</f>
        <v/>
      </c>
      <c r="X63" s="20" t="n"/>
      <c r="Y63" s="41">
        <f>V63-(W63+X63)</f>
        <v/>
      </c>
      <c r="Z63" s="41">
        <f>'Sep2026-COLLECTION'!K62</f>
        <v/>
      </c>
      <c r="AA63" s="41">
        <f>'Sep2026-EXPENSE'!R66</f>
        <v/>
      </c>
      <c r="AB63" s="21" t="n"/>
      <c r="AC63" s="41">
        <f>Z63-(AA63+AB63)</f>
        <v/>
      </c>
      <c r="AD63" s="41">
        <f>'Oct2026-COLLECTION'!K62</f>
        <v/>
      </c>
      <c r="AE63" s="41">
        <f>'Oct2026-EXPENSE'!R66</f>
        <v/>
      </c>
      <c r="AF63" s="21" t="n"/>
      <c r="AG63" s="41">
        <f>AD63-(AE63+AF63)</f>
        <v/>
      </c>
      <c r="AH63" s="41">
        <f>'Nov2026-COLLECTION'!K62</f>
        <v/>
      </c>
      <c r="AI63" s="41">
        <f>'Nov2026-EXPENSE'!R66</f>
        <v/>
      </c>
      <c r="AJ63" s="21" t="n"/>
      <c r="AK63" s="41">
        <f>AH63-(AI63+AJ63)</f>
        <v/>
      </c>
      <c r="AL63" s="41">
        <f>'Dec2026-COLLECTION'!K62</f>
        <v/>
      </c>
      <c r="AM63" s="41">
        <f>'Dec2026-EXPENSE'!R66</f>
        <v/>
      </c>
      <c r="AN63" s="21" t="n"/>
      <c r="AO63" s="41">
        <f>AL63-(AM63+AN63)</f>
        <v/>
      </c>
      <c r="AP63" s="41">
        <f>'Jan2027-COLLECTION'!K62</f>
        <v/>
      </c>
      <c r="AQ63" s="41">
        <f>'Jan2027-EXPENSE'!R66</f>
        <v/>
      </c>
      <c r="AR63" s="2" t="n"/>
      <c r="AS63" s="41">
        <f>AP63-(AQ63+AR63)</f>
        <v/>
      </c>
      <c r="AT63" s="41">
        <f>'Feb2027-COLLECTION'!K62</f>
        <v/>
      </c>
      <c r="AU63" s="41">
        <f>'Feb2027-EXPENSE'!R66</f>
        <v/>
      </c>
      <c r="AV63" s="2" t="n"/>
      <c r="AW63" s="41">
        <f>AT63-(AU63+AV63)</f>
        <v/>
      </c>
      <c r="AX63" s="41">
        <f>'Mar2027-COLLECTION'!K62</f>
        <v/>
      </c>
      <c r="AY63" s="41">
        <f>'Mar2027-EXPENSE'!R66</f>
        <v/>
      </c>
      <c r="AZ63" s="2" t="n"/>
      <c r="BA63" s="41">
        <f>AX63-(AY63+AZ63)</f>
        <v/>
      </c>
      <c r="BB63" s="41">
        <f>SUM(F63,J63,N63,R63,V63,Z63,AD63,AH63,AL63,AP63,AT63,AX63)</f>
        <v/>
      </c>
      <c r="BC63" s="41">
        <f>SUM(G63,K63,O63,S63,W63,AA63,AE63,AI63,AM63,AQ63,AU63,AY63)</f>
        <v/>
      </c>
      <c r="BD63" s="41">
        <f>SUM(H63,L63,P63,T63,X63,AB63,AF63,AJ63,AN63,AR63,AV63,AZ63)</f>
        <v/>
      </c>
      <c r="BE63" s="41">
        <f>BB63-(BC63+BD63)</f>
        <v/>
      </c>
      <c r="BF63" s="41">
        <f>E63+BE63</f>
        <v/>
      </c>
      <c r="BG63" s="41" t="n">
        <v>0</v>
      </c>
    </row>
    <row r="64" ht="15.75" customHeight="1">
      <c r="A64" s="36" t="inlineStr">
        <is>
          <t>T14</t>
        </is>
      </c>
      <c r="B64" s="42" t="n"/>
      <c r="C64" s="42" t="inlineStr">
        <is>
          <t>Jeya / Kanda / Satya (tenant)/Vinuta (tenant)</t>
        </is>
      </c>
      <c r="D64" s="43" t="n">
        <v>0</v>
      </c>
      <c r="E64" s="43" t="n">
        <v>0</v>
      </c>
      <c r="F64" s="43">
        <f>'Apr2026-COLLECTION'!K63</f>
        <v/>
      </c>
      <c r="G64" s="43">
        <f>'Apr2026-EXPENSE'!R67</f>
        <v/>
      </c>
      <c r="H64" s="20" t="n"/>
      <c r="I64" s="43">
        <f>F64-(G64+H64)</f>
        <v/>
      </c>
      <c r="J64" s="43">
        <f>'May2026-COLLECTION'!K63</f>
        <v/>
      </c>
      <c r="K64" s="43">
        <f>'May2026-EXPENSE'!R67</f>
        <v/>
      </c>
      <c r="L64" s="21" t="n"/>
      <c r="M64" s="43">
        <f>J64-(K64+L64)</f>
        <v/>
      </c>
      <c r="N64" s="43">
        <f>'June2026-COLLECTION'!K63</f>
        <v/>
      </c>
      <c r="O64" s="43">
        <f>'June2026-EXPENSE'!R67</f>
        <v/>
      </c>
      <c r="P64" s="20" t="n"/>
      <c r="Q64" s="43">
        <f>N64-(O64+P64)</f>
        <v/>
      </c>
      <c r="R64" s="43">
        <f>'July2026-COLLECTION'!K63</f>
        <v/>
      </c>
      <c r="S64" s="43">
        <f>'July2026-EXPENSE'!R67</f>
        <v/>
      </c>
      <c r="T64" s="21" t="n"/>
      <c r="U64" s="43">
        <f>R64-(S64+T64)</f>
        <v/>
      </c>
      <c r="V64" s="43">
        <f>'Aug2026-COLLECTION'!K63</f>
        <v/>
      </c>
      <c r="W64" s="43">
        <f>'Aug2026-EXPENSE'!R67</f>
        <v/>
      </c>
      <c r="X64" s="20" t="n"/>
      <c r="Y64" s="43">
        <f>V64-(W64+X64)</f>
        <v/>
      </c>
      <c r="Z64" s="43">
        <f>'Sep2026-COLLECTION'!K63</f>
        <v/>
      </c>
      <c r="AA64" s="43">
        <f>'Sep2026-EXPENSE'!R67</f>
        <v/>
      </c>
      <c r="AB64" s="21" t="n"/>
      <c r="AC64" s="43">
        <f>Z64-(AA64+AB64)</f>
        <v/>
      </c>
      <c r="AD64" s="43">
        <f>'Oct2026-COLLECTION'!K63</f>
        <v/>
      </c>
      <c r="AE64" s="43">
        <f>'Oct2026-EXPENSE'!R67</f>
        <v/>
      </c>
      <c r="AF64" s="21" t="n"/>
      <c r="AG64" s="43">
        <f>AD64-(AE64+AF64)</f>
        <v/>
      </c>
      <c r="AH64" s="43">
        <f>'Nov2026-COLLECTION'!K63</f>
        <v/>
      </c>
      <c r="AI64" s="43">
        <f>'Nov2026-EXPENSE'!R67</f>
        <v/>
      </c>
      <c r="AJ64" s="21" t="n"/>
      <c r="AK64" s="43">
        <f>AH64-(AI64+AJ64)</f>
        <v/>
      </c>
      <c r="AL64" s="43">
        <f>'Dec2026-COLLECTION'!K63</f>
        <v/>
      </c>
      <c r="AM64" s="43">
        <f>'Dec2026-EXPENSE'!R67</f>
        <v/>
      </c>
      <c r="AN64" s="21" t="n"/>
      <c r="AO64" s="43">
        <f>AL64-(AM64+AN64)</f>
        <v/>
      </c>
      <c r="AP64" s="43">
        <f>'Jan2027-COLLECTION'!K63</f>
        <v/>
      </c>
      <c r="AQ64" s="43">
        <f>'Jan2027-EXPENSE'!R67</f>
        <v/>
      </c>
      <c r="AR64" s="2" t="n"/>
      <c r="AS64" s="43">
        <f>AP64-(AQ64+AR64)</f>
        <v/>
      </c>
      <c r="AT64" s="43">
        <f>'Feb2027-COLLECTION'!K63</f>
        <v/>
      </c>
      <c r="AU64" s="43">
        <f>'Feb2027-EXPENSE'!R67</f>
        <v/>
      </c>
      <c r="AV64" s="2" t="n"/>
      <c r="AW64" s="43">
        <f>AT64-(AU64+AV64)</f>
        <v/>
      </c>
      <c r="AX64" s="43">
        <f>'Mar2027-COLLECTION'!K63</f>
        <v/>
      </c>
      <c r="AY64" s="43">
        <f>'Mar2027-EXPENSE'!R67</f>
        <v/>
      </c>
      <c r="AZ64" s="2" t="n"/>
      <c r="BA64" s="43">
        <f>AX64-(AY64+AZ64)</f>
        <v/>
      </c>
      <c r="BB64" s="43">
        <f>SUM(F64,J64,N64,R64,V64,Z64,AD64,AH64,AL64,AP64,AT64,AX64)</f>
        <v/>
      </c>
      <c r="BC64" s="43">
        <f>SUM(G64,K64,O64,S64,W64,AA64,AE64,AI64,AM64,AQ64,AU64,AY64)</f>
        <v/>
      </c>
      <c r="BD64" s="43">
        <f>SUM(H64,L64,P64,T64,X64,AB64,AF64,AJ64,AN64,AR64,AV64,AZ64)</f>
        <v/>
      </c>
      <c r="BE64" s="43">
        <f>BB64-(BC64+BD64)</f>
        <v/>
      </c>
      <c r="BF64" s="43">
        <f>E64+BE64</f>
        <v/>
      </c>
      <c r="BG64" s="43" t="n">
        <v>0</v>
      </c>
    </row>
    <row r="65" ht="15.75" customHeight="1">
      <c r="A65" s="37" t="inlineStr">
        <is>
          <t>T15</t>
        </is>
      </c>
      <c r="B65" s="40" t="n"/>
      <c r="C65" s="40" t="inlineStr">
        <is>
          <t>Trevor</t>
        </is>
      </c>
      <c r="D65" s="41" t="n">
        <v>0</v>
      </c>
      <c r="E65" s="41" t="n">
        <v>0</v>
      </c>
      <c r="F65" s="41">
        <f>'Apr2026-COLLECTION'!K64</f>
        <v/>
      </c>
      <c r="G65" s="41">
        <f>'Apr2026-EXPENSE'!R68</f>
        <v/>
      </c>
      <c r="H65" s="20" t="n"/>
      <c r="I65" s="41">
        <f>F65-(G65+H65)</f>
        <v/>
      </c>
      <c r="J65" s="41">
        <f>'May2026-COLLECTION'!K64</f>
        <v/>
      </c>
      <c r="K65" s="41">
        <f>'May2026-EXPENSE'!R68</f>
        <v/>
      </c>
      <c r="L65" s="21" t="n"/>
      <c r="M65" s="41">
        <f>J65-(K65+L65)</f>
        <v/>
      </c>
      <c r="N65" s="41">
        <f>'June2026-COLLECTION'!K64</f>
        <v/>
      </c>
      <c r="O65" s="41">
        <f>'June2026-EXPENSE'!R68</f>
        <v/>
      </c>
      <c r="P65" s="20" t="n"/>
      <c r="Q65" s="41">
        <f>N65-(O65+P65)</f>
        <v/>
      </c>
      <c r="R65" s="41">
        <f>'July2026-COLLECTION'!K64</f>
        <v/>
      </c>
      <c r="S65" s="41">
        <f>'July2026-EXPENSE'!R68</f>
        <v/>
      </c>
      <c r="T65" s="21" t="n"/>
      <c r="U65" s="41">
        <f>R65-(S65+T65)</f>
        <v/>
      </c>
      <c r="V65" s="41">
        <f>'Aug2026-COLLECTION'!K64</f>
        <v/>
      </c>
      <c r="W65" s="41">
        <f>'Aug2026-EXPENSE'!R68</f>
        <v/>
      </c>
      <c r="X65" s="20" t="n"/>
      <c r="Y65" s="41">
        <f>V65-(W65+X65)</f>
        <v/>
      </c>
      <c r="Z65" s="41">
        <f>'Sep2026-COLLECTION'!K64</f>
        <v/>
      </c>
      <c r="AA65" s="41">
        <f>'Sep2026-EXPENSE'!R68</f>
        <v/>
      </c>
      <c r="AB65" s="21" t="n"/>
      <c r="AC65" s="41">
        <f>Z65-(AA65+AB65)</f>
        <v/>
      </c>
      <c r="AD65" s="41">
        <f>'Oct2026-COLLECTION'!K64</f>
        <v/>
      </c>
      <c r="AE65" s="41">
        <f>'Oct2026-EXPENSE'!R68</f>
        <v/>
      </c>
      <c r="AF65" s="21" t="n"/>
      <c r="AG65" s="41">
        <f>AD65-(AE65+AF65)</f>
        <v/>
      </c>
      <c r="AH65" s="41">
        <f>'Nov2026-COLLECTION'!K64</f>
        <v/>
      </c>
      <c r="AI65" s="41">
        <f>'Nov2026-EXPENSE'!R68</f>
        <v/>
      </c>
      <c r="AJ65" s="21" t="n"/>
      <c r="AK65" s="41">
        <f>AH65-(AI65+AJ65)</f>
        <v/>
      </c>
      <c r="AL65" s="41">
        <f>'Dec2026-COLLECTION'!K64</f>
        <v/>
      </c>
      <c r="AM65" s="41">
        <f>'Dec2026-EXPENSE'!R68</f>
        <v/>
      </c>
      <c r="AN65" s="21" t="n"/>
      <c r="AO65" s="41">
        <f>AL65-(AM65+AN65)</f>
        <v/>
      </c>
      <c r="AP65" s="41">
        <f>'Jan2027-COLLECTION'!K64</f>
        <v/>
      </c>
      <c r="AQ65" s="41">
        <f>'Jan2027-EXPENSE'!R68</f>
        <v/>
      </c>
      <c r="AR65" s="2" t="n"/>
      <c r="AS65" s="41">
        <f>AP65-(AQ65+AR65)</f>
        <v/>
      </c>
      <c r="AT65" s="41">
        <f>'Feb2027-COLLECTION'!K64</f>
        <v/>
      </c>
      <c r="AU65" s="41">
        <f>'Feb2027-EXPENSE'!R68</f>
        <v/>
      </c>
      <c r="AV65" s="2" t="n"/>
      <c r="AW65" s="41">
        <f>AT65-(AU65+AV65)</f>
        <v/>
      </c>
      <c r="AX65" s="41">
        <f>'Mar2027-COLLECTION'!K64</f>
        <v/>
      </c>
      <c r="AY65" s="41">
        <f>'Mar2027-EXPENSE'!R68</f>
        <v/>
      </c>
      <c r="AZ65" s="2" t="n"/>
      <c r="BA65" s="41">
        <f>AX65-(AY65+AZ65)</f>
        <v/>
      </c>
      <c r="BB65" s="41">
        <f>SUM(F65,J65,N65,R65,V65,Z65,AD65,AH65,AL65,AP65,AT65,AX65)</f>
        <v/>
      </c>
      <c r="BC65" s="41">
        <f>SUM(G65,K65,O65,S65,W65,AA65,AE65,AI65,AM65,AQ65,AU65,AY65)</f>
        <v/>
      </c>
      <c r="BD65" s="41">
        <f>SUM(H65,L65,P65,T65,X65,AB65,AF65,AJ65,AN65,AR65,AV65,AZ65)</f>
        <v/>
      </c>
      <c r="BE65" s="41">
        <f>BB65-(BC65+BD65)</f>
        <v/>
      </c>
      <c r="BF65" s="41">
        <f>E65+BE65</f>
        <v/>
      </c>
      <c r="BG65" s="41" t="n">
        <v>0</v>
      </c>
    </row>
    <row r="66" ht="15.75" customHeight="1">
      <c r="A66" s="36" t="inlineStr">
        <is>
          <t>T16</t>
        </is>
      </c>
      <c r="B66" s="42" t="n"/>
      <c r="C66" s="42" t="inlineStr">
        <is>
          <t>Madhusoodanan P.R.</t>
        </is>
      </c>
      <c r="D66" s="43" t="n">
        <v>0</v>
      </c>
      <c r="E66" s="43" t="n">
        <v>0</v>
      </c>
      <c r="F66" s="43">
        <f>'Apr2026-COLLECTION'!K65</f>
        <v/>
      </c>
      <c r="G66" s="43">
        <f>'Apr2026-EXPENSE'!R69</f>
        <v/>
      </c>
      <c r="H66" s="20" t="n"/>
      <c r="I66" s="43">
        <f>F66-(G66+H66)</f>
        <v/>
      </c>
      <c r="J66" s="43">
        <f>'May2026-COLLECTION'!K65</f>
        <v/>
      </c>
      <c r="K66" s="43">
        <f>'May2026-EXPENSE'!R69</f>
        <v/>
      </c>
      <c r="L66" s="21" t="n"/>
      <c r="M66" s="43">
        <f>J66-(K66+L66)</f>
        <v/>
      </c>
      <c r="N66" s="43">
        <f>'June2026-COLLECTION'!K65</f>
        <v/>
      </c>
      <c r="O66" s="43">
        <f>'June2026-EXPENSE'!R69</f>
        <v/>
      </c>
      <c r="P66" s="20" t="n"/>
      <c r="Q66" s="43">
        <f>N66-(O66+P66)</f>
        <v/>
      </c>
      <c r="R66" s="43">
        <f>'July2026-COLLECTION'!K65</f>
        <v/>
      </c>
      <c r="S66" s="43">
        <f>'July2026-EXPENSE'!R69</f>
        <v/>
      </c>
      <c r="T66" s="21" t="n"/>
      <c r="U66" s="43">
        <f>R66-(S66+T66)</f>
        <v/>
      </c>
      <c r="V66" s="43">
        <f>'Aug2026-COLLECTION'!K65</f>
        <v/>
      </c>
      <c r="W66" s="43">
        <f>'Aug2026-EXPENSE'!R69</f>
        <v/>
      </c>
      <c r="X66" s="20" t="n"/>
      <c r="Y66" s="43">
        <f>V66-(W66+X66)</f>
        <v/>
      </c>
      <c r="Z66" s="43">
        <f>'Sep2026-COLLECTION'!K65</f>
        <v/>
      </c>
      <c r="AA66" s="43">
        <f>'Sep2026-EXPENSE'!R69</f>
        <v/>
      </c>
      <c r="AB66" s="21" t="n"/>
      <c r="AC66" s="43">
        <f>Z66-(AA66+AB66)</f>
        <v/>
      </c>
      <c r="AD66" s="43">
        <f>'Oct2026-COLLECTION'!K65</f>
        <v/>
      </c>
      <c r="AE66" s="43">
        <f>'Oct2026-EXPENSE'!R69</f>
        <v/>
      </c>
      <c r="AF66" s="21" t="n"/>
      <c r="AG66" s="43">
        <f>AD66-(AE66+AF66)</f>
        <v/>
      </c>
      <c r="AH66" s="43">
        <f>'Nov2026-COLLECTION'!K65</f>
        <v/>
      </c>
      <c r="AI66" s="43">
        <f>'Nov2026-EXPENSE'!R69</f>
        <v/>
      </c>
      <c r="AJ66" s="21" t="n"/>
      <c r="AK66" s="43">
        <f>AH66-(AI66+AJ66)</f>
        <v/>
      </c>
      <c r="AL66" s="43">
        <f>'Dec2026-COLLECTION'!K65</f>
        <v/>
      </c>
      <c r="AM66" s="43">
        <f>'Dec2026-EXPENSE'!R69</f>
        <v/>
      </c>
      <c r="AN66" s="21" t="n"/>
      <c r="AO66" s="43">
        <f>AL66-(AM66+AN66)</f>
        <v/>
      </c>
      <c r="AP66" s="43">
        <f>'Jan2027-COLLECTION'!K65</f>
        <v/>
      </c>
      <c r="AQ66" s="43">
        <f>'Jan2027-EXPENSE'!R69</f>
        <v/>
      </c>
      <c r="AR66" s="2" t="n"/>
      <c r="AS66" s="43">
        <f>AP66-(AQ66+AR66)</f>
        <v/>
      </c>
      <c r="AT66" s="43">
        <f>'Feb2027-COLLECTION'!K65</f>
        <v/>
      </c>
      <c r="AU66" s="43">
        <f>'Feb2027-EXPENSE'!R69</f>
        <v/>
      </c>
      <c r="AV66" s="2" t="n"/>
      <c r="AW66" s="43">
        <f>AT66-(AU66+AV66)</f>
        <v/>
      </c>
      <c r="AX66" s="43">
        <f>'Mar2027-COLLECTION'!K65</f>
        <v/>
      </c>
      <c r="AY66" s="43">
        <f>'Mar2027-EXPENSE'!R69</f>
        <v/>
      </c>
      <c r="AZ66" s="2" t="n"/>
      <c r="BA66" s="43">
        <f>AX66-(AY66+AZ66)</f>
        <v/>
      </c>
      <c r="BB66" s="43">
        <f>SUM(F66,J66,N66,R66,V66,Z66,AD66,AH66,AL66,AP66,AT66,AX66)</f>
        <v/>
      </c>
      <c r="BC66" s="43">
        <f>SUM(G66,K66,O66,S66,W66,AA66,AE66,AI66,AM66,AQ66,AU66,AY66)</f>
        <v/>
      </c>
      <c r="BD66" s="43">
        <f>SUM(H66,L66,P66,T66,X66,AB66,AF66,AJ66,AN66,AR66,AV66,AZ66)</f>
        <v/>
      </c>
      <c r="BE66" s="43">
        <f>BB66-(BC66+BD66)</f>
        <v/>
      </c>
      <c r="BF66" s="43">
        <f>E66+BE66</f>
        <v/>
      </c>
      <c r="BG66" s="43" t="n">
        <v>0</v>
      </c>
    </row>
    <row r="67" ht="15.75" customHeight="1">
      <c r="A67" s="19" t="n"/>
      <c r="B67" s="18" t="n"/>
      <c r="C67" s="18" t="inlineStr">
        <is>
          <t>TOTAL</t>
        </is>
      </c>
      <c r="D67" s="22">
        <f>SUM(D3:D66)</f>
        <v/>
      </c>
      <c r="E67" s="13">
        <f>SUM(E3:E66)</f>
        <v/>
      </c>
      <c r="F67" s="23">
        <f>SUM(F3:F66)</f>
        <v/>
      </c>
      <c r="G67" s="21">
        <f>SUM(G3:G66)</f>
        <v/>
      </c>
      <c r="H67" s="21">
        <f>SUM(H3:H66)</f>
        <v/>
      </c>
      <c r="I67" s="21">
        <f>SUM(I3:I66)</f>
        <v/>
      </c>
      <c r="J67" s="21">
        <f>SUM(J3:J66)</f>
        <v/>
      </c>
      <c r="K67" s="21">
        <f>SUM(K3:K66)</f>
        <v/>
      </c>
      <c r="L67" s="21">
        <f>SUM(L3:L66)</f>
        <v/>
      </c>
      <c r="M67" s="21">
        <f>SUM(M3:M66)</f>
        <v/>
      </c>
      <c r="N67" s="21">
        <f>SUM(N3:N66)</f>
        <v/>
      </c>
      <c r="O67" s="21">
        <f>SUM(O3:O66)</f>
        <v/>
      </c>
      <c r="P67" s="21">
        <f>SUM(P3:P66)</f>
        <v/>
      </c>
      <c r="Q67" s="21">
        <f>SUM(Q3:Q66)</f>
        <v/>
      </c>
      <c r="R67" s="21">
        <f>SUM(R3:R66)</f>
        <v/>
      </c>
      <c r="S67" s="21">
        <f>SUM(S3:S66)</f>
        <v/>
      </c>
      <c r="T67" s="21">
        <f>SUM(T3:T66)</f>
        <v/>
      </c>
      <c r="U67" s="21">
        <f>SUM(U3:U66)</f>
        <v/>
      </c>
      <c r="V67" s="21">
        <f>SUM(V3:V66)</f>
        <v/>
      </c>
      <c r="W67" s="21">
        <f>SUM(W3:W66)</f>
        <v/>
      </c>
      <c r="X67" s="21">
        <f>SUM(X3:X66)</f>
        <v/>
      </c>
      <c r="Y67" s="21">
        <f>SUM(Y3:Y66)</f>
        <v/>
      </c>
      <c r="Z67" s="21">
        <f>SUM(Z3:Z66)</f>
        <v/>
      </c>
      <c r="AA67" s="21">
        <f>SUM(AA3:AA66)</f>
        <v/>
      </c>
      <c r="AB67" s="21">
        <f>SUM(AB3:AB66)</f>
        <v/>
      </c>
      <c r="AC67" s="21">
        <f>SUM(AC3:AC66)</f>
        <v/>
      </c>
      <c r="AD67" s="21">
        <f>SUM(AD3:AD66)</f>
        <v/>
      </c>
      <c r="AE67" s="21">
        <f>SUM(AE3:AE66)</f>
        <v/>
      </c>
      <c r="AF67" s="21">
        <f>SUM(AF3:AF66)</f>
        <v/>
      </c>
      <c r="AG67" s="21">
        <f>SUM(AG3:AG66)</f>
        <v/>
      </c>
      <c r="AH67" s="21">
        <f>SUM(AH3:AH66)</f>
        <v/>
      </c>
      <c r="AI67" s="21">
        <f>SUM(AI3:AI66)</f>
        <v/>
      </c>
      <c r="AJ67" s="21">
        <f>SUM(AJ3:AJ66)</f>
        <v/>
      </c>
      <c r="AK67" s="21">
        <f>SUM(AK3:AK66)</f>
        <v/>
      </c>
      <c r="AL67" s="21">
        <f>SUM(AL3:AL66)</f>
        <v/>
      </c>
      <c r="AM67" s="21">
        <f>SUM(AM3:AM66)</f>
        <v/>
      </c>
      <c r="AN67" s="21">
        <f>SUM(AN3:AN66)</f>
        <v/>
      </c>
      <c r="AO67" s="21">
        <f>SUM(AO3:AO66)</f>
        <v/>
      </c>
      <c r="AP67" s="1">
        <f>SUM(AP3:AP66)</f>
        <v/>
      </c>
      <c r="AQ67" s="2">
        <f>SUM(AQ3:AQ66)</f>
        <v/>
      </c>
      <c r="AR67" s="2">
        <f>SUM(AR3:AR66)</f>
        <v/>
      </c>
      <c r="AS67" s="2">
        <f>SUM(AS3:AS66)</f>
        <v/>
      </c>
      <c r="AT67" s="1">
        <f>SUM(AT3:AT66)</f>
        <v/>
      </c>
      <c r="AU67" s="2">
        <f>SUM(AU3:AU66)</f>
        <v/>
      </c>
      <c r="AV67" s="2">
        <f>SUM(AV3:AV66)</f>
        <v/>
      </c>
      <c r="AW67" s="2">
        <f>SUM(AW3:AW66)</f>
        <v/>
      </c>
      <c r="AX67" s="1">
        <f>SUM(AX3:AX66)</f>
        <v/>
      </c>
      <c r="AY67" s="2">
        <f>SUM(AY3:AY66)</f>
        <v/>
      </c>
      <c r="AZ67" s="2">
        <f>SUM(AZ3:AZ66)</f>
        <v/>
      </c>
      <c r="BA67" s="2">
        <f>SUM(BA3:BA66)</f>
        <v/>
      </c>
      <c r="BB67" s="21">
        <f>SUM(BB3:BB66)</f>
        <v/>
      </c>
      <c r="BC67" s="21">
        <f>SUM(BC3:BC66)</f>
        <v/>
      </c>
      <c r="BD67" s="21">
        <f>SUM(BD3:BD66)</f>
        <v/>
      </c>
      <c r="BE67" s="21">
        <f>SUM(BE3:BE66)</f>
        <v/>
      </c>
      <c r="BF67" s="21">
        <f>E67+BE67</f>
        <v/>
      </c>
      <c r="BG67" s="14" t="n"/>
    </row>
  </sheetData>
  <autoFilter ref="A2:BF67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H2:I66 L2:M66 P2:Q66 T2:U66 X2:Y66 AB2:AC66 AF2:AG66 AJ2:AK66 AN2:AO66 AP2:AR2 AS2:AS66 AT2:AV2 AW2:AW66 AX2:AZ2 BA2:BA66">
    <cfRule type="cellIs" priority="1" operator="lessThan" dxfId="2">
      <formula>0</formula>
    </cfRule>
  </conditionalFormatting>
  <conditionalFormatting sqref="E3:E66 AF2:AG66 AJ2:AK66 AN2:AO66 AP2:AR2 AS2:AS66 AT2:AV2 AW2:AW66 AX2:AZ2 BA2:BA66 BD1:BG66">
    <cfRule type="cellIs" priority="2" operator="lessThan" dxfId="5">
      <formula>0</formula>
    </cfRule>
  </conditionalFormatting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0" summaryRight="0"/>
    <pageSetUpPr fitToPage="1"/>
  </sheetPr>
  <dimension ref="A1:I1119"/>
  <sheetViews>
    <sheetView workbookViewId="0">
      <selection activeCell="A1" sqref="A1"/>
    </sheetView>
  </sheetViews>
  <sheetFormatPr baseColWidth="8" defaultColWidth="14.42578125" defaultRowHeight="15" customHeight="1"/>
  <sheetData>
    <row r="1">
      <c r="A1" s="100" t="inlineStr">
        <is>
          <t>F1</t>
        </is>
      </c>
      <c r="B1" s="100" t="inlineStr">
        <is>
          <t>G1</t>
        </is>
      </c>
      <c r="C1" s="100" t="inlineStr">
        <is>
          <t>S1</t>
        </is>
      </c>
      <c r="D1" s="100" t="inlineStr">
        <is>
          <t>T1</t>
        </is>
      </c>
      <c r="E1" s="100" t="n"/>
      <c r="F1" s="100" t="n"/>
      <c r="G1" s="100" t="n"/>
      <c r="H1" s="100" t="n"/>
      <c r="I1" s="100" t="n"/>
    </row>
    <row r="2">
      <c r="A2" s="24" t="n"/>
      <c r="B2" s="25" t="n"/>
      <c r="C2" s="4" t="n"/>
      <c r="D2" s="4" t="n"/>
      <c r="E2" s="4" t="n"/>
      <c r="F2" s="24" t="n"/>
      <c r="G2" s="4" t="n"/>
      <c r="H2" s="4" t="n"/>
      <c r="I2" s="4" t="n"/>
    </row>
    <row r="3">
      <c r="A3" s="37" t="inlineStr">
        <is>
          <t>F2</t>
        </is>
      </c>
      <c r="B3" s="37" t="inlineStr">
        <is>
          <t>G2</t>
        </is>
      </c>
      <c r="C3" s="104" t="inlineStr">
        <is>
          <t>S2</t>
        </is>
      </c>
      <c r="D3" s="104" t="inlineStr">
        <is>
          <t>T2</t>
        </is>
      </c>
      <c r="E3" s="104" t="n"/>
      <c r="F3" s="104" t="n"/>
      <c r="G3" s="104" t="n"/>
      <c r="H3" s="104" t="n"/>
      <c r="I3" s="104" t="n"/>
    </row>
    <row r="4">
      <c r="A4" s="24" t="n"/>
      <c r="B4" s="25" t="n"/>
      <c r="C4" s="4" t="n"/>
      <c r="D4" s="4" t="n"/>
      <c r="E4" s="4" t="n"/>
      <c r="F4" s="24" t="n"/>
      <c r="G4" s="4" t="n"/>
      <c r="H4" s="4" t="n"/>
      <c r="I4" s="4" t="n"/>
    </row>
    <row r="5">
      <c r="A5" s="37" t="inlineStr">
        <is>
          <t>F3</t>
        </is>
      </c>
      <c r="B5" s="37" t="inlineStr">
        <is>
          <t>G3</t>
        </is>
      </c>
      <c r="C5" s="104" t="inlineStr">
        <is>
          <t>S3</t>
        </is>
      </c>
      <c r="D5" s="104" t="inlineStr">
        <is>
          <t>T3</t>
        </is>
      </c>
      <c r="E5" s="104" t="n"/>
      <c r="F5" s="104" t="n"/>
      <c r="G5" s="104" t="n"/>
      <c r="H5" s="104" t="n"/>
      <c r="I5" s="104" t="n"/>
    </row>
    <row r="6">
      <c r="A6" s="24" t="n"/>
      <c r="B6" s="25" t="n"/>
      <c r="C6" s="4" t="n"/>
      <c r="D6" s="4" t="n"/>
      <c r="E6" s="4" t="n"/>
      <c r="F6" s="24" t="n"/>
      <c r="G6" s="4" t="n"/>
      <c r="H6" s="4" t="n"/>
      <c r="I6" s="4" t="n"/>
    </row>
    <row r="7">
      <c r="A7" s="37" t="inlineStr">
        <is>
          <t>F4</t>
        </is>
      </c>
      <c r="B7" s="37" t="inlineStr">
        <is>
          <t>G4</t>
        </is>
      </c>
      <c r="C7" s="104" t="inlineStr">
        <is>
          <t>S4</t>
        </is>
      </c>
      <c r="D7" s="104" t="inlineStr">
        <is>
          <t>T4</t>
        </is>
      </c>
      <c r="E7" s="104" t="n"/>
      <c r="F7" s="104" t="n"/>
      <c r="G7" s="104" t="n"/>
      <c r="H7" s="104" t="n"/>
      <c r="I7" s="104" t="n"/>
    </row>
    <row r="8">
      <c r="A8" s="24" t="n"/>
      <c r="B8" s="25" t="n"/>
      <c r="C8" s="4" t="n"/>
      <c r="D8" s="4" t="n"/>
      <c r="E8" s="4" t="n"/>
      <c r="F8" s="24" t="n"/>
      <c r="G8" s="4" t="n"/>
      <c r="H8" s="4" t="n"/>
      <c r="I8" s="4" t="n"/>
    </row>
    <row r="9">
      <c r="A9" s="37" t="inlineStr">
        <is>
          <t>F5</t>
        </is>
      </c>
      <c r="B9" s="37" t="inlineStr">
        <is>
          <t>G5</t>
        </is>
      </c>
      <c r="C9" s="104" t="inlineStr">
        <is>
          <t>S5</t>
        </is>
      </c>
      <c r="D9" s="104" t="inlineStr">
        <is>
          <t>T5</t>
        </is>
      </c>
      <c r="E9" s="104" t="n"/>
      <c r="F9" s="104" t="n"/>
      <c r="G9" s="104" t="n"/>
      <c r="H9" s="104" t="n"/>
      <c r="I9" s="104" t="n"/>
    </row>
    <row r="10">
      <c r="A10" s="24" t="n"/>
      <c r="B10" s="4" t="n"/>
      <c r="C10" s="4" t="n"/>
      <c r="D10" s="4" t="n"/>
      <c r="E10" s="4" t="n"/>
      <c r="F10" s="24" t="n"/>
      <c r="G10" s="4" t="n"/>
      <c r="H10" s="4" t="n"/>
      <c r="I10" s="4" t="n"/>
    </row>
    <row r="11">
      <c r="A11" s="37" t="inlineStr">
        <is>
          <t>F6</t>
        </is>
      </c>
      <c r="B11" s="37" t="inlineStr">
        <is>
          <t>G6</t>
        </is>
      </c>
      <c r="C11" s="104" t="inlineStr">
        <is>
          <t>S6</t>
        </is>
      </c>
      <c r="D11" s="104" t="inlineStr">
        <is>
          <t>T6</t>
        </is>
      </c>
      <c r="E11" s="104" t="n"/>
      <c r="F11" s="104" t="n"/>
      <c r="G11" s="104" t="n"/>
      <c r="H11" s="104" t="n"/>
      <c r="I11" s="104" t="n"/>
    </row>
    <row r="12">
      <c r="A12" s="24" t="n"/>
      <c r="B12" s="4" t="n"/>
      <c r="C12" s="4" t="n"/>
      <c r="D12" s="4" t="n"/>
      <c r="E12" s="4" t="n"/>
      <c r="F12" s="24" t="n"/>
      <c r="G12" s="4" t="n"/>
      <c r="H12" s="4" t="n"/>
      <c r="I12" s="4" t="n"/>
    </row>
    <row r="13">
      <c r="A13" s="37" t="inlineStr">
        <is>
          <t>F7</t>
        </is>
      </c>
      <c r="B13" s="37" t="inlineStr">
        <is>
          <t>G7</t>
        </is>
      </c>
      <c r="C13" s="104" t="inlineStr">
        <is>
          <t>S7</t>
        </is>
      </c>
      <c r="D13" s="104" t="inlineStr">
        <is>
          <t>T7</t>
        </is>
      </c>
      <c r="E13" s="104" t="n"/>
      <c r="F13" s="104" t="n"/>
      <c r="G13" s="104" t="n"/>
      <c r="H13" s="104" t="n"/>
      <c r="I13" s="104" t="n"/>
    </row>
    <row r="14">
      <c r="A14" s="4" t="n"/>
      <c r="B14" s="4" t="n"/>
      <c r="C14" s="4" t="n"/>
      <c r="D14" s="4" t="n"/>
      <c r="E14" s="4" t="n"/>
      <c r="F14" s="24" t="n"/>
      <c r="G14" s="4" t="n"/>
      <c r="H14" s="4" t="n"/>
      <c r="I14" s="4" t="n"/>
    </row>
    <row r="15">
      <c r="A15" s="37" t="inlineStr">
        <is>
          <t>F8</t>
        </is>
      </c>
      <c r="B15" s="37" t="inlineStr">
        <is>
          <t>G8</t>
        </is>
      </c>
      <c r="C15" s="104" t="inlineStr">
        <is>
          <t>S8</t>
        </is>
      </c>
      <c r="D15" s="104" t="inlineStr">
        <is>
          <t>T8</t>
        </is>
      </c>
      <c r="E15" s="104" t="n"/>
      <c r="F15" s="104" t="n"/>
      <c r="G15" s="104" t="n"/>
      <c r="H15" s="104" t="n"/>
      <c r="I15" s="104" t="n"/>
    </row>
    <row r="16">
      <c r="A16" s="4" t="n"/>
      <c r="B16" s="4" t="n"/>
      <c r="C16" s="4" t="n"/>
      <c r="D16" s="4" t="n"/>
      <c r="E16" s="4" t="n"/>
      <c r="F16" s="24" t="n"/>
      <c r="G16" s="4" t="n"/>
      <c r="H16" s="4" t="n"/>
      <c r="I16" s="4" t="n"/>
    </row>
    <row r="17">
      <c r="A17" s="37" t="inlineStr">
        <is>
          <t>F9</t>
        </is>
      </c>
      <c r="B17" s="37" t="inlineStr">
        <is>
          <t>G9</t>
        </is>
      </c>
      <c r="C17" s="104" t="inlineStr">
        <is>
          <t>S9</t>
        </is>
      </c>
      <c r="D17" s="104" t="inlineStr">
        <is>
          <t>T9</t>
        </is>
      </c>
      <c r="E17" s="104" t="n"/>
      <c r="F17" s="104" t="n"/>
      <c r="G17" s="104" t="n"/>
      <c r="H17" s="104" t="n"/>
      <c r="I17" s="104" t="n"/>
    </row>
    <row r="18">
      <c r="A18" s="4" t="n"/>
      <c r="B18" s="4" t="n"/>
      <c r="C18" s="4" t="n"/>
      <c r="D18" s="4" t="n"/>
      <c r="E18" s="4" t="n"/>
      <c r="F18" s="24" t="n"/>
      <c r="G18" s="4" t="n"/>
      <c r="H18" s="4" t="n"/>
      <c r="I18" s="4" t="n"/>
    </row>
    <row r="19">
      <c r="A19" s="37" t="inlineStr">
        <is>
          <t>F10</t>
        </is>
      </c>
      <c r="B19" s="37" t="inlineStr">
        <is>
          <t>G10</t>
        </is>
      </c>
      <c r="C19" s="104" t="inlineStr">
        <is>
          <t>S10</t>
        </is>
      </c>
      <c r="D19" s="104" t="inlineStr">
        <is>
          <t>T10</t>
        </is>
      </c>
      <c r="E19" s="104" t="n"/>
      <c r="F19" s="104" t="n"/>
      <c r="G19" s="104" t="n"/>
      <c r="H19" s="104" t="n"/>
      <c r="I19" s="104" t="n"/>
    </row>
    <row r="20">
      <c r="A20" s="4" t="n"/>
      <c r="B20" s="4" t="n"/>
      <c r="C20" s="4" t="n"/>
      <c r="D20" s="4" t="n"/>
      <c r="E20" s="4" t="n"/>
      <c r="F20" s="24" t="n"/>
      <c r="G20" s="4" t="n"/>
      <c r="H20" s="4" t="n"/>
      <c r="I20" s="4" t="n"/>
    </row>
    <row r="21">
      <c r="A21" s="37" t="inlineStr">
        <is>
          <t>F11</t>
        </is>
      </c>
      <c r="B21" s="37" t="inlineStr">
        <is>
          <t>G11</t>
        </is>
      </c>
      <c r="C21" s="104" t="inlineStr">
        <is>
          <t>S11</t>
        </is>
      </c>
      <c r="D21" s="104" t="inlineStr">
        <is>
          <t>T11</t>
        </is>
      </c>
      <c r="E21" s="104" t="n"/>
      <c r="F21" s="104" t="n"/>
      <c r="G21" s="104" t="n"/>
      <c r="H21" s="104" t="n"/>
      <c r="I21" s="104" t="n"/>
    </row>
    <row r="22">
      <c r="A22" s="4" t="n"/>
      <c r="B22" s="4" t="n"/>
      <c r="C22" s="4" t="n"/>
      <c r="D22" s="4" t="n"/>
      <c r="E22" s="4" t="n"/>
      <c r="F22" s="24" t="n"/>
      <c r="G22" s="4" t="n"/>
      <c r="H22" s="4" t="n"/>
      <c r="I22" s="4" t="n"/>
    </row>
    <row r="23">
      <c r="A23" s="37" t="inlineStr">
        <is>
          <t>F12</t>
        </is>
      </c>
      <c r="B23" s="37" t="inlineStr">
        <is>
          <t>G12</t>
        </is>
      </c>
      <c r="C23" s="104" t="inlineStr">
        <is>
          <t>S12</t>
        </is>
      </c>
      <c r="D23" s="104" t="inlineStr">
        <is>
          <t>T12</t>
        </is>
      </c>
      <c r="E23" s="104" t="n"/>
      <c r="F23" s="104" t="n"/>
      <c r="G23" s="104" t="n"/>
      <c r="H23" s="104" t="n"/>
      <c r="I23" s="104" t="n"/>
    </row>
    <row r="24">
      <c r="A24" s="4" t="n"/>
      <c r="B24" s="4" t="n"/>
      <c r="C24" s="4" t="n"/>
      <c r="D24" s="4" t="n"/>
      <c r="E24" s="4" t="n"/>
      <c r="F24" s="24" t="n"/>
      <c r="G24" s="4" t="n"/>
      <c r="H24" s="4" t="n"/>
      <c r="I24" s="4" t="n"/>
    </row>
    <row r="25">
      <c r="A25" s="37" t="inlineStr">
        <is>
          <t>F13</t>
        </is>
      </c>
      <c r="B25" s="37" t="inlineStr">
        <is>
          <t>G13</t>
        </is>
      </c>
      <c r="C25" s="104" t="inlineStr">
        <is>
          <t>S13</t>
        </is>
      </c>
      <c r="D25" s="104" t="inlineStr">
        <is>
          <t>T13</t>
        </is>
      </c>
      <c r="E25" s="104" t="n"/>
      <c r="F25" s="104" t="n"/>
      <c r="G25" s="104" t="n"/>
      <c r="H25" s="104" t="n"/>
      <c r="I25" s="104" t="n"/>
    </row>
    <row r="26">
      <c r="A26" s="4" t="n"/>
      <c r="B26" s="4" t="n"/>
      <c r="C26" s="4" t="n"/>
      <c r="D26" s="4" t="n"/>
      <c r="E26" s="4" t="n"/>
      <c r="F26" s="24" t="n"/>
      <c r="G26" s="4" t="n"/>
      <c r="H26" s="4" t="n"/>
      <c r="I26" s="4" t="n"/>
    </row>
    <row r="27">
      <c r="A27" s="37" t="inlineStr">
        <is>
          <t>F14</t>
        </is>
      </c>
      <c r="B27" s="37" t="inlineStr">
        <is>
          <t>G14</t>
        </is>
      </c>
      <c r="C27" s="104" t="inlineStr">
        <is>
          <t>S14</t>
        </is>
      </c>
      <c r="D27" s="104" t="inlineStr">
        <is>
          <t>T14</t>
        </is>
      </c>
      <c r="E27" s="104" t="n"/>
      <c r="F27" s="104" t="n"/>
      <c r="G27" s="104" t="n"/>
      <c r="H27" s="104" t="n"/>
      <c r="I27" s="104" t="n"/>
    </row>
    <row r="28">
      <c r="A28" s="4" t="n"/>
      <c r="B28" s="4" t="n"/>
      <c r="C28" s="4" t="n"/>
      <c r="D28" s="4" t="n"/>
      <c r="E28" s="4" t="n"/>
      <c r="F28" s="24" t="n"/>
      <c r="G28" s="4" t="n"/>
      <c r="H28" s="4" t="n"/>
      <c r="I28" s="4" t="n"/>
    </row>
    <row r="29">
      <c r="A29" s="37" t="inlineStr">
        <is>
          <t>F15</t>
        </is>
      </c>
      <c r="B29" s="37" t="inlineStr">
        <is>
          <t>G15</t>
        </is>
      </c>
      <c r="C29" s="104" t="inlineStr">
        <is>
          <t>S15</t>
        </is>
      </c>
      <c r="D29" s="104" t="inlineStr">
        <is>
          <t>T15</t>
        </is>
      </c>
      <c r="E29" s="104" t="n"/>
      <c r="F29" s="104" t="n"/>
      <c r="G29" s="104" t="n"/>
      <c r="H29" s="104" t="n"/>
      <c r="I29" s="104" t="n"/>
    </row>
    <row r="30">
      <c r="A30" s="4" t="n"/>
      <c r="B30" s="4" t="n"/>
      <c r="C30" s="4" t="n"/>
      <c r="D30" s="4" t="n"/>
      <c r="E30" s="4" t="n"/>
      <c r="F30" s="24" t="n"/>
      <c r="G30" s="4" t="n"/>
      <c r="H30" s="4" t="n"/>
      <c r="I30" s="4" t="n"/>
    </row>
    <row r="31">
      <c r="A31" s="37" t="inlineStr">
        <is>
          <t>F16</t>
        </is>
      </c>
      <c r="B31" s="37" t="inlineStr">
        <is>
          <t>G16</t>
        </is>
      </c>
      <c r="C31" s="104" t="inlineStr">
        <is>
          <t>S16</t>
        </is>
      </c>
      <c r="D31" s="104" t="inlineStr">
        <is>
          <t>T16</t>
        </is>
      </c>
      <c r="E31" s="104" t="n"/>
      <c r="F31" s="104" t="n"/>
      <c r="G31" s="104" t="n"/>
      <c r="H31" s="104" t="n"/>
      <c r="I31" s="104" t="n"/>
    </row>
    <row r="32">
      <c r="E32" s="4" t="n"/>
    </row>
    <row r="33">
      <c r="E33" s="4" t="n"/>
    </row>
    <row r="34">
      <c r="A34" s="36" t="n"/>
      <c r="B34" s="36">
        <f>Expense!A1</f>
        <v/>
      </c>
      <c r="C34" s="47">
        <f>Income!A1</f>
        <v/>
      </c>
      <c r="D34" s="47" t="n"/>
      <c r="E34" s="47" t="n"/>
      <c r="F34" s="47" t="n"/>
      <c r="G34" s="47" t="n"/>
      <c r="H34" s="47" t="n"/>
      <c r="I34" s="47" t="n"/>
    </row>
    <row r="35">
      <c r="A35" s="37" t="inlineStr">
        <is>
          <t>Apr</t>
        </is>
      </c>
      <c r="B35" s="40">
        <f>Expense!A2</f>
        <v/>
      </c>
      <c r="C35" s="104">
        <f>Income!A2</f>
        <v/>
      </c>
      <c r="D35" s="104" t="n"/>
      <c r="E35" s="104" t="n"/>
      <c r="F35" s="104" t="n"/>
      <c r="G35" s="104" t="n"/>
      <c r="H35" s="104" t="n"/>
      <c r="I35" s="104" t="n"/>
    </row>
    <row r="36">
      <c r="A36" s="36" t="inlineStr">
        <is>
          <t>May</t>
        </is>
      </c>
      <c r="B36" s="42">
        <f>Expense!A3</f>
        <v/>
      </c>
      <c r="C36" s="47">
        <f>Income!A3</f>
        <v/>
      </c>
      <c r="D36" s="47" t="n"/>
      <c r="E36" s="47" t="n"/>
      <c r="F36" s="47" t="n"/>
      <c r="G36" s="47" t="n"/>
      <c r="H36" s="47" t="n"/>
      <c r="I36" s="47" t="n"/>
    </row>
    <row r="37">
      <c r="A37" s="37" t="inlineStr">
        <is>
          <t>Jun</t>
        </is>
      </c>
      <c r="B37" s="40">
        <f>Expense!A4</f>
        <v/>
      </c>
      <c r="C37" s="104">
        <f>Income!A4</f>
        <v/>
      </c>
      <c r="D37" s="104" t="n"/>
      <c r="E37" s="104" t="n"/>
      <c r="F37" s="104" t="n"/>
      <c r="G37" s="104" t="n"/>
      <c r="H37" s="104" t="n"/>
      <c r="I37" s="104" t="n"/>
    </row>
    <row r="38">
      <c r="A38" s="36" t="inlineStr">
        <is>
          <t>Jul</t>
        </is>
      </c>
      <c r="B38" s="42">
        <f>Expense!A5</f>
        <v/>
      </c>
      <c r="C38" s="47">
        <f>Income!A5</f>
        <v/>
      </c>
      <c r="D38" s="47" t="n"/>
      <c r="E38" s="47" t="n"/>
      <c r="F38" s="47" t="n"/>
      <c r="G38" s="47" t="n"/>
      <c r="H38" s="47" t="n"/>
      <c r="I38" s="47" t="n"/>
    </row>
    <row r="39">
      <c r="A39" s="37" t="inlineStr">
        <is>
          <t>Aug</t>
        </is>
      </c>
      <c r="B39" s="40">
        <f>Expense!A6</f>
        <v/>
      </c>
      <c r="C39" s="104">
        <f>Income!A6</f>
        <v/>
      </c>
      <c r="D39" s="104" t="n"/>
      <c r="E39" s="104" t="n"/>
      <c r="F39" s="104" t="n"/>
      <c r="G39" s="104" t="n"/>
      <c r="H39" s="104" t="n"/>
      <c r="I39" s="104" t="n"/>
    </row>
    <row r="40">
      <c r="A40" s="36" t="inlineStr">
        <is>
          <t>Sep</t>
        </is>
      </c>
      <c r="B40" s="42">
        <f>Expense!A7</f>
        <v/>
      </c>
      <c r="C40" s="47">
        <f>Income!A7</f>
        <v/>
      </c>
      <c r="D40" s="47" t="n"/>
      <c r="E40" s="47" t="n"/>
      <c r="F40" s="47" t="n"/>
      <c r="G40" s="47" t="n"/>
      <c r="H40" s="47" t="n"/>
      <c r="I40" s="47" t="n"/>
    </row>
    <row r="41">
      <c r="A41" s="37" t="inlineStr">
        <is>
          <t>Oct</t>
        </is>
      </c>
      <c r="B41" s="40">
        <f>Expense!A8</f>
        <v/>
      </c>
      <c r="C41" s="104">
        <f>Income!A8</f>
        <v/>
      </c>
      <c r="D41" s="104" t="n"/>
      <c r="E41" s="104" t="n"/>
      <c r="F41" s="104" t="n"/>
      <c r="G41" s="104" t="n"/>
      <c r="H41" s="104" t="n"/>
      <c r="I41" s="104" t="n"/>
    </row>
    <row r="42">
      <c r="A42" s="36" t="inlineStr">
        <is>
          <t>Nov</t>
        </is>
      </c>
      <c r="B42" s="42">
        <f>Expense!A9</f>
        <v/>
      </c>
      <c r="C42" s="47">
        <f>Income!A9</f>
        <v/>
      </c>
      <c r="D42" s="47" t="n"/>
      <c r="E42" s="47" t="n"/>
      <c r="F42" s="47" t="n"/>
      <c r="G42" s="47" t="n"/>
      <c r="H42" s="47" t="n"/>
      <c r="I42" s="47" t="n"/>
    </row>
    <row r="43">
      <c r="A43" s="37" t="inlineStr">
        <is>
          <t>Dec</t>
        </is>
      </c>
      <c r="B43" s="40">
        <f>Expense!A10</f>
        <v/>
      </c>
      <c r="C43" s="104">
        <f>Income!A10</f>
        <v/>
      </c>
      <c r="D43" s="104" t="n"/>
      <c r="E43" s="104" t="n"/>
      <c r="F43" s="104" t="n"/>
      <c r="G43" s="104" t="n"/>
      <c r="H43" s="104" t="n"/>
      <c r="I43" s="104" t="n"/>
    </row>
    <row r="44">
      <c r="A44" s="36" t="inlineStr">
        <is>
          <t>Jan</t>
        </is>
      </c>
      <c r="B44" s="42">
        <f>Expense!A11</f>
        <v/>
      </c>
      <c r="C44" s="47">
        <f>Income!A11</f>
        <v/>
      </c>
      <c r="D44" s="47" t="n"/>
      <c r="E44" s="47" t="n"/>
      <c r="F44" s="47" t="n"/>
      <c r="G44" s="47" t="n"/>
      <c r="H44" s="47" t="n"/>
      <c r="I44" s="47" t="n"/>
    </row>
    <row r="45">
      <c r="A45" s="37" t="inlineStr">
        <is>
          <t>Feb</t>
        </is>
      </c>
      <c r="B45" s="40">
        <f>Expense!A12</f>
        <v/>
      </c>
      <c r="C45" s="104">
        <f>Income!A12</f>
        <v/>
      </c>
      <c r="D45" s="104" t="n"/>
      <c r="E45" s="104" t="n"/>
      <c r="F45" s="104" t="n"/>
      <c r="G45" s="104" t="n"/>
      <c r="H45" s="104" t="n"/>
      <c r="I45" s="104" t="n"/>
    </row>
    <row r="46">
      <c r="A46" s="36" t="inlineStr">
        <is>
          <t>Mar</t>
        </is>
      </c>
      <c r="B46" s="42">
        <f>Expense!A13</f>
        <v/>
      </c>
      <c r="C46" s="47">
        <f>Income!A13</f>
        <v/>
      </c>
      <c r="D46" s="47" t="n"/>
      <c r="E46" s="47" t="n"/>
      <c r="F46" s="47" t="n"/>
      <c r="G46" s="47" t="n"/>
      <c r="H46" s="47" t="n"/>
      <c r="I46" s="47" t="n"/>
    </row>
    <row r="47">
      <c r="A47" s="37" t="n"/>
      <c r="B47" s="40">
        <f>Expense!A14</f>
        <v/>
      </c>
      <c r="C47" s="104">
        <f>Income!A14</f>
        <v/>
      </c>
      <c r="D47" s="104" t="n"/>
      <c r="E47" s="104" t="n"/>
      <c r="F47" s="104" t="n"/>
      <c r="G47" s="104" t="n"/>
      <c r="H47" s="104" t="n"/>
      <c r="I47" s="104" t="n"/>
    </row>
    <row r="48">
      <c r="A48" s="36" t="n"/>
      <c r="B48" s="36">
        <f>Expense!A15</f>
        <v/>
      </c>
      <c r="C48" s="43">
        <f>Income!A15</f>
        <v/>
      </c>
      <c r="D48" s="47" t="n"/>
      <c r="E48" s="47" t="n"/>
      <c r="F48" s="47" t="n"/>
      <c r="G48" s="47" t="n"/>
      <c r="H48" s="47" t="n"/>
      <c r="I48" s="47" t="n"/>
    </row>
    <row r="49">
      <c r="A49" s="37" t="n"/>
      <c r="B49" s="37">
        <f>Expense!A16</f>
        <v/>
      </c>
      <c r="C49" s="104">
        <f>Income!A16</f>
        <v/>
      </c>
      <c r="D49" s="104" t="n"/>
      <c r="E49" s="104" t="n"/>
      <c r="F49" s="104" t="n"/>
      <c r="G49" s="104" t="n"/>
      <c r="H49" s="104" t="n"/>
      <c r="I49" s="104" t="n"/>
    </row>
    <row r="50">
      <c r="A50" s="36" t="n"/>
      <c r="B50" s="36">
        <f>Expense!A17</f>
        <v/>
      </c>
      <c r="C50" s="47">
        <f>Income!A17</f>
        <v/>
      </c>
      <c r="D50" s="47" t="n"/>
      <c r="E50" s="47" t="n"/>
      <c r="F50" s="47" t="n"/>
      <c r="G50" s="47" t="n"/>
      <c r="H50" s="47" t="n"/>
      <c r="I50" s="47" t="n"/>
    </row>
    <row r="51">
      <c r="A51" s="37" t="n"/>
      <c r="B51" s="37">
        <f>Expense!A18</f>
        <v/>
      </c>
      <c r="C51" s="104">
        <f>Income!A18</f>
        <v/>
      </c>
      <c r="D51" s="104" t="n"/>
      <c r="E51" s="104" t="n"/>
      <c r="F51" s="104" t="n"/>
      <c r="G51" s="104" t="n"/>
      <c r="H51" s="104" t="n"/>
      <c r="I51" s="104" t="n"/>
    </row>
    <row r="52">
      <c r="A52" s="36" t="inlineStr">
        <is>
          <t>Apr</t>
        </is>
      </c>
      <c r="B52" s="42">
        <f>Expense!A19</f>
        <v/>
      </c>
      <c r="C52" s="47">
        <f>Income!A19</f>
        <v/>
      </c>
      <c r="D52" s="47" t="n"/>
      <c r="E52" s="47" t="n"/>
      <c r="F52" s="47" t="n"/>
      <c r="G52" s="47" t="n"/>
      <c r="H52" s="47" t="n"/>
      <c r="I52" s="47" t="n"/>
    </row>
    <row r="53">
      <c r="A53" s="37" t="inlineStr">
        <is>
          <t>May</t>
        </is>
      </c>
      <c r="B53" s="40">
        <f>Expense!A20</f>
        <v/>
      </c>
      <c r="C53" s="104">
        <f>Income!A20</f>
        <v/>
      </c>
      <c r="D53" s="104" t="n"/>
      <c r="E53" s="104" t="n"/>
      <c r="F53" s="104" t="n"/>
      <c r="G53" s="104" t="n"/>
      <c r="H53" s="104" t="n"/>
      <c r="I53" s="104" t="n"/>
    </row>
    <row r="54">
      <c r="A54" s="36" t="inlineStr">
        <is>
          <t>Jun</t>
        </is>
      </c>
      <c r="B54" s="42">
        <f>Expense!A21</f>
        <v/>
      </c>
      <c r="C54" s="47">
        <f>Income!A21</f>
        <v/>
      </c>
      <c r="D54" s="47" t="n"/>
      <c r="E54" s="47" t="n"/>
      <c r="F54" s="47" t="n"/>
      <c r="G54" s="47" t="n"/>
      <c r="H54" s="47" t="n"/>
      <c r="I54" s="47" t="n"/>
    </row>
    <row r="55">
      <c r="A55" s="37" t="inlineStr">
        <is>
          <t>Jul</t>
        </is>
      </c>
      <c r="B55" s="40">
        <f>Expense!A22</f>
        <v/>
      </c>
      <c r="C55" s="104">
        <f>Income!A22</f>
        <v/>
      </c>
      <c r="D55" s="104" t="n"/>
      <c r="E55" s="104" t="n"/>
      <c r="F55" s="104" t="n"/>
      <c r="G55" s="104" t="n"/>
      <c r="H55" s="104" t="n"/>
      <c r="I55" s="104" t="n"/>
    </row>
    <row r="56">
      <c r="A56" s="36" t="inlineStr">
        <is>
          <t>Aug</t>
        </is>
      </c>
      <c r="B56" s="42">
        <f>Expense!A23</f>
        <v/>
      </c>
      <c r="C56" s="47">
        <f>Income!A23</f>
        <v/>
      </c>
      <c r="D56" s="47" t="n"/>
      <c r="E56" s="47" t="n"/>
      <c r="F56" s="47" t="n"/>
      <c r="G56" s="47" t="n"/>
      <c r="H56" s="47" t="n"/>
      <c r="I56" s="47" t="n"/>
    </row>
    <row r="57">
      <c r="A57" s="37" t="inlineStr">
        <is>
          <t>Sep</t>
        </is>
      </c>
      <c r="B57" s="40">
        <f>Expense!A24</f>
        <v/>
      </c>
      <c r="C57" s="104">
        <f>Income!A24</f>
        <v/>
      </c>
      <c r="D57" s="104" t="n"/>
      <c r="E57" s="104" t="n"/>
      <c r="F57" s="104" t="n"/>
      <c r="G57" s="104" t="n"/>
      <c r="H57" s="104" t="n"/>
      <c r="I57" s="104" t="n"/>
    </row>
    <row r="58">
      <c r="A58" s="36" t="inlineStr">
        <is>
          <t>Oct</t>
        </is>
      </c>
      <c r="B58" s="42">
        <f>Expense!A25</f>
        <v/>
      </c>
      <c r="C58" s="47">
        <f>Income!A25</f>
        <v/>
      </c>
      <c r="D58" s="47" t="n"/>
      <c r="E58" s="47" t="n"/>
      <c r="F58" s="47" t="n"/>
      <c r="G58" s="47" t="n"/>
      <c r="H58" s="47" t="n"/>
      <c r="I58" s="47" t="n"/>
    </row>
    <row r="59">
      <c r="A59" s="37" t="inlineStr">
        <is>
          <t>Nov</t>
        </is>
      </c>
      <c r="B59" s="40">
        <f>Expense!A26</f>
        <v/>
      </c>
      <c r="C59" s="104">
        <f>Income!A26</f>
        <v/>
      </c>
      <c r="D59" s="104" t="n"/>
      <c r="E59" s="104" t="n"/>
      <c r="F59" s="104" t="n"/>
      <c r="G59" s="104" t="n"/>
      <c r="H59" s="104" t="n"/>
      <c r="I59" s="104" t="n"/>
    </row>
    <row r="60">
      <c r="A60" s="36" t="inlineStr">
        <is>
          <t>Dec</t>
        </is>
      </c>
      <c r="B60" s="42">
        <f>Expense!A27</f>
        <v/>
      </c>
      <c r="C60" s="47">
        <f>Income!A27</f>
        <v/>
      </c>
      <c r="D60" s="47" t="n"/>
      <c r="E60" s="47" t="n"/>
      <c r="F60" s="47" t="n"/>
      <c r="G60" s="47" t="n"/>
      <c r="H60" s="47" t="n"/>
      <c r="I60" s="47" t="n"/>
    </row>
    <row r="61">
      <c r="A61" s="37" t="inlineStr">
        <is>
          <t>Jan</t>
        </is>
      </c>
      <c r="B61" s="40">
        <f>Expense!A28</f>
        <v/>
      </c>
      <c r="C61" s="104">
        <f>Income!A28</f>
        <v/>
      </c>
      <c r="D61" s="104" t="n"/>
      <c r="E61" s="104" t="n"/>
      <c r="F61" s="104" t="n"/>
      <c r="G61" s="104" t="n"/>
      <c r="H61" s="104" t="n"/>
      <c r="I61" s="104" t="n"/>
    </row>
    <row r="62">
      <c r="A62" s="36" t="inlineStr">
        <is>
          <t>Feb</t>
        </is>
      </c>
      <c r="B62" s="42">
        <f>Expense!A29</f>
        <v/>
      </c>
      <c r="C62" s="47">
        <f>Income!A29</f>
        <v/>
      </c>
      <c r="D62" s="47" t="n"/>
      <c r="E62" s="47" t="n"/>
      <c r="F62" s="47" t="n"/>
      <c r="G62" s="47" t="n"/>
      <c r="H62" s="47" t="n"/>
      <c r="I62" s="47" t="n"/>
    </row>
    <row r="63">
      <c r="A63" s="37" t="inlineStr">
        <is>
          <t>Mar</t>
        </is>
      </c>
      <c r="B63" s="40">
        <f>Expense!A30</f>
        <v/>
      </c>
      <c r="C63" s="104">
        <f>Income!A30</f>
        <v/>
      </c>
      <c r="D63" s="104" t="n"/>
      <c r="E63" s="104" t="n"/>
      <c r="F63" s="104" t="n"/>
      <c r="G63" s="104" t="n"/>
      <c r="H63" s="104" t="n"/>
      <c r="I63" s="104" t="n"/>
    </row>
    <row r="64">
      <c r="A64" s="36" t="n"/>
      <c r="B64" s="42">
        <f>Expense!A31</f>
        <v/>
      </c>
      <c r="C64" s="47">
        <f>Income!A31</f>
        <v/>
      </c>
      <c r="D64" s="47" t="n"/>
      <c r="E64" s="47" t="n"/>
      <c r="F64" s="47" t="n"/>
      <c r="G64" s="47" t="n"/>
      <c r="H64" s="47" t="n"/>
      <c r="I64" s="47" t="n"/>
    </row>
    <row r="65">
      <c r="A65" s="37" t="n"/>
      <c r="B65" s="37">
        <f>Expense!A32</f>
        <v/>
      </c>
      <c r="C65" s="41">
        <f>Income!A32</f>
        <v/>
      </c>
      <c r="D65" s="104" t="n"/>
      <c r="E65" s="104" t="n"/>
      <c r="F65" s="104" t="n"/>
      <c r="G65" s="104" t="n"/>
      <c r="H65" s="104" t="n"/>
      <c r="I65" s="104" t="n"/>
    </row>
    <row r="66">
      <c r="A66" s="36" t="n"/>
      <c r="B66" s="36">
        <f>Expense!A33</f>
        <v/>
      </c>
      <c r="C66" s="47">
        <f>Income!A33</f>
        <v/>
      </c>
      <c r="D66" s="47" t="n"/>
      <c r="E66" s="47" t="n"/>
      <c r="F66" s="47" t="n"/>
      <c r="G66" s="47" t="n"/>
      <c r="H66" s="47" t="n"/>
      <c r="I66" s="47" t="n"/>
    </row>
    <row r="67">
      <c r="A67" s="37" t="n"/>
      <c r="B67" s="37">
        <f>Expense!A34</f>
        <v/>
      </c>
      <c r="C67" s="104">
        <f>Income!A34</f>
        <v/>
      </c>
      <c r="D67" s="104" t="n"/>
      <c r="E67" s="104" t="n"/>
      <c r="F67" s="104" t="n"/>
      <c r="G67" s="104" t="n"/>
      <c r="H67" s="104" t="n"/>
      <c r="I67" s="104" t="n"/>
    </row>
    <row r="68">
      <c r="A68" s="36" t="n"/>
      <c r="B68" s="36">
        <f>Expense!A35</f>
        <v/>
      </c>
      <c r="C68" s="47">
        <f>Income!A35</f>
        <v/>
      </c>
      <c r="D68" s="47" t="n"/>
      <c r="E68" s="47" t="n"/>
      <c r="F68" s="47" t="n"/>
      <c r="G68" s="47" t="n"/>
      <c r="H68" s="47" t="n"/>
      <c r="I68" s="47" t="n"/>
    </row>
    <row r="69">
      <c r="A69" s="37" t="inlineStr">
        <is>
          <t>Apr</t>
        </is>
      </c>
      <c r="B69" s="40">
        <f>Expense!A36</f>
        <v/>
      </c>
      <c r="C69" s="104">
        <f>Income!A36</f>
        <v/>
      </c>
      <c r="D69" s="104" t="n"/>
      <c r="E69" s="104" t="n"/>
      <c r="F69" s="104" t="n"/>
      <c r="G69" s="104" t="n"/>
      <c r="H69" s="104" t="n"/>
      <c r="I69" s="104" t="n"/>
    </row>
    <row r="70">
      <c r="A70" s="36" t="inlineStr">
        <is>
          <t>May</t>
        </is>
      </c>
      <c r="B70" s="42">
        <f>Expense!A37</f>
        <v/>
      </c>
      <c r="C70" s="47">
        <f>Income!A37</f>
        <v/>
      </c>
      <c r="D70" s="47" t="n"/>
      <c r="E70" s="47" t="n"/>
      <c r="F70" s="47" t="n"/>
      <c r="G70" s="47" t="n"/>
      <c r="H70" s="47" t="n"/>
      <c r="I70" s="47" t="n"/>
    </row>
    <row r="71">
      <c r="A71" s="37" t="inlineStr">
        <is>
          <t>Jun</t>
        </is>
      </c>
      <c r="B71" s="40">
        <f>Expense!A38</f>
        <v/>
      </c>
      <c r="C71" s="104">
        <f>Income!A38</f>
        <v/>
      </c>
      <c r="D71" s="104" t="n"/>
      <c r="E71" s="104" t="n"/>
      <c r="F71" s="104" t="n"/>
      <c r="G71" s="104" t="n"/>
      <c r="H71" s="104" t="n"/>
      <c r="I71" s="104" t="n"/>
    </row>
    <row r="72">
      <c r="A72" s="36" t="inlineStr">
        <is>
          <t>Jul</t>
        </is>
      </c>
      <c r="B72" s="42">
        <f>Expense!A39</f>
        <v/>
      </c>
      <c r="C72" s="47">
        <f>Income!A39</f>
        <v/>
      </c>
      <c r="D72" s="47" t="n"/>
      <c r="E72" s="47" t="n"/>
      <c r="F72" s="47" t="n"/>
      <c r="G72" s="47" t="n"/>
      <c r="H72" s="47" t="n"/>
      <c r="I72" s="47" t="n"/>
    </row>
    <row r="73">
      <c r="A73" s="37" t="inlineStr">
        <is>
          <t>Aug</t>
        </is>
      </c>
      <c r="B73" s="40">
        <f>Expense!A40</f>
        <v/>
      </c>
      <c r="C73" s="104">
        <f>Income!A40</f>
        <v/>
      </c>
      <c r="D73" s="104" t="n"/>
      <c r="E73" s="104" t="n"/>
      <c r="F73" s="104" t="n"/>
      <c r="G73" s="104" t="n"/>
      <c r="H73" s="104" t="n"/>
      <c r="I73" s="104" t="n"/>
    </row>
    <row r="74">
      <c r="A74" s="36" t="inlineStr">
        <is>
          <t>Sep</t>
        </is>
      </c>
      <c r="B74" s="42">
        <f>Expense!A41</f>
        <v/>
      </c>
      <c r="C74" s="47">
        <f>Income!A41</f>
        <v/>
      </c>
      <c r="D74" s="47" t="n"/>
      <c r="E74" s="47" t="n"/>
      <c r="F74" s="47" t="n"/>
      <c r="G74" s="47" t="n"/>
      <c r="H74" s="47" t="n"/>
      <c r="I74" s="47" t="n"/>
    </row>
    <row r="75">
      <c r="A75" s="37" t="inlineStr">
        <is>
          <t>Oct</t>
        </is>
      </c>
      <c r="B75" s="40">
        <f>Expense!A42</f>
        <v/>
      </c>
      <c r="C75" s="104">
        <f>Income!A42</f>
        <v/>
      </c>
      <c r="D75" s="104" t="n"/>
      <c r="E75" s="104" t="n"/>
      <c r="F75" s="104" t="n"/>
      <c r="G75" s="104" t="n"/>
      <c r="H75" s="104" t="n"/>
      <c r="I75" s="104" t="n"/>
    </row>
    <row r="76">
      <c r="A76" s="36" t="inlineStr">
        <is>
          <t>Nov</t>
        </is>
      </c>
      <c r="B76" s="42">
        <f>Expense!A43</f>
        <v/>
      </c>
      <c r="C76" s="43">
        <f>Income!A43</f>
        <v/>
      </c>
      <c r="D76" s="47" t="n"/>
      <c r="E76" s="47" t="n"/>
      <c r="F76" s="47" t="n"/>
      <c r="G76" s="47" t="n"/>
      <c r="H76" s="47" t="n"/>
      <c r="I76" s="47" t="n"/>
    </row>
    <row r="77">
      <c r="A77" s="37" t="inlineStr">
        <is>
          <t>Dec</t>
        </is>
      </c>
      <c r="B77" s="40">
        <f>Expense!A44</f>
        <v/>
      </c>
      <c r="C77" s="104">
        <f>Income!A44</f>
        <v/>
      </c>
      <c r="D77" s="104" t="n"/>
      <c r="E77" s="104" t="n"/>
      <c r="F77" s="104" t="n"/>
      <c r="G77" s="104" t="n"/>
      <c r="H77" s="104" t="n"/>
      <c r="I77" s="104" t="n"/>
    </row>
    <row r="78">
      <c r="A78" s="36" t="inlineStr">
        <is>
          <t>Jan</t>
        </is>
      </c>
      <c r="B78" s="42">
        <f>Expense!A45</f>
        <v/>
      </c>
      <c r="C78" s="47">
        <f>Income!A45</f>
        <v/>
      </c>
      <c r="D78" s="47" t="n"/>
      <c r="E78" s="47" t="n"/>
      <c r="F78" s="47" t="n"/>
      <c r="G78" s="47" t="n"/>
      <c r="H78" s="47" t="n"/>
      <c r="I78" s="47" t="n"/>
    </row>
    <row r="79">
      <c r="A79" s="37" t="inlineStr">
        <is>
          <t>Feb</t>
        </is>
      </c>
      <c r="B79" s="40">
        <f>Expense!A46</f>
        <v/>
      </c>
      <c r="C79" s="104">
        <f>Income!A46</f>
        <v/>
      </c>
      <c r="D79" s="104" t="n"/>
      <c r="E79" s="104" t="n"/>
      <c r="F79" s="104" t="n"/>
      <c r="G79" s="104" t="n"/>
      <c r="H79" s="104" t="n"/>
      <c r="I79" s="104" t="n"/>
    </row>
    <row r="80">
      <c r="A80" s="36" t="inlineStr">
        <is>
          <t>Mar</t>
        </is>
      </c>
      <c r="B80" s="42">
        <f>Expense!A47</f>
        <v/>
      </c>
      <c r="C80" s="43">
        <f>Income!A47</f>
        <v/>
      </c>
      <c r="D80" s="47" t="n"/>
      <c r="E80" s="47" t="n"/>
      <c r="F80" s="47" t="n"/>
      <c r="G80" s="47" t="n"/>
      <c r="H80" s="47" t="n"/>
      <c r="I80" s="47" t="n"/>
    </row>
    <row r="81">
      <c r="A81" s="37" t="n"/>
      <c r="B81" s="40">
        <f>Expense!A48</f>
        <v/>
      </c>
      <c r="C81" s="104">
        <f>Income!A48</f>
        <v/>
      </c>
      <c r="D81" s="104" t="n"/>
      <c r="E81" s="104" t="n"/>
      <c r="F81" s="104" t="n"/>
      <c r="G81" s="104" t="n"/>
      <c r="H81" s="104" t="n"/>
      <c r="I81" s="104" t="n"/>
    </row>
    <row r="82">
      <c r="A82" s="36" t="n"/>
      <c r="B82" s="36">
        <f>Expense!A49</f>
        <v/>
      </c>
      <c r="C82" s="43">
        <f>Income!A49</f>
        <v/>
      </c>
      <c r="D82" s="47" t="n"/>
      <c r="E82" s="47" t="n"/>
      <c r="F82" s="47" t="n"/>
      <c r="G82" s="47" t="n"/>
      <c r="H82" s="47" t="n"/>
      <c r="I82" s="47" t="n"/>
    </row>
    <row r="83">
      <c r="A83" s="37" t="n"/>
      <c r="B83" s="37">
        <f>Expense!A50</f>
        <v/>
      </c>
      <c r="C83" s="104">
        <f>Income!A50</f>
        <v/>
      </c>
      <c r="D83" s="104" t="n"/>
      <c r="E83" s="104" t="n"/>
      <c r="F83" s="104" t="n"/>
      <c r="G83" s="104" t="n"/>
      <c r="H83" s="104" t="n"/>
      <c r="I83" s="104" t="n"/>
    </row>
    <row r="84">
      <c r="A84" s="36" t="n"/>
      <c r="B84" s="36">
        <f>Expense!A51</f>
        <v/>
      </c>
      <c r="C84" s="47">
        <f>Income!A51</f>
        <v/>
      </c>
      <c r="D84" s="47" t="n"/>
      <c r="E84" s="47" t="n"/>
      <c r="F84" s="47" t="n"/>
      <c r="G84" s="47" t="n"/>
      <c r="H84" s="47" t="n"/>
      <c r="I84" s="47" t="n"/>
    </row>
    <row r="85">
      <c r="A85" s="37" t="n"/>
      <c r="B85" s="37">
        <f>Expense!A52</f>
        <v/>
      </c>
      <c r="C85" s="104">
        <f>Income!A52</f>
        <v/>
      </c>
      <c r="D85" s="104" t="n"/>
      <c r="E85" s="104" t="n"/>
      <c r="F85" s="104" t="n"/>
      <c r="G85" s="104" t="n"/>
      <c r="H85" s="104" t="n"/>
      <c r="I85" s="104" t="n"/>
    </row>
    <row r="86">
      <c r="A86" s="36" t="inlineStr">
        <is>
          <t>Apr</t>
        </is>
      </c>
      <c r="B86" s="42">
        <f>Expense!A53</f>
        <v/>
      </c>
      <c r="C86" s="47">
        <f>Income!A53</f>
        <v/>
      </c>
      <c r="D86" s="47" t="n"/>
      <c r="E86" s="47" t="n"/>
      <c r="F86" s="47" t="n"/>
      <c r="G86" s="47" t="n"/>
      <c r="H86" s="47" t="n"/>
      <c r="I86" s="47" t="n"/>
    </row>
    <row r="87">
      <c r="A87" s="37" t="inlineStr">
        <is>
          <t>May</t>
        </is>
      </c>
      <c r="B87" s="40">
        <f>Expense!A54</f>
        <v/>
      </c>
      <c r="C87" s="41">
        <f>Income!A54</f>
        <v/>
      </c>
      <c r="D87" s="104" t="n"/>
      <c r="E87" s="104" t="n"/>
      <c r="F87" s="104" t="n"/>
      <c r="G87" s="104" t="n"/>
      <c r="H87" s="104" t="n"/>
      <c r="I87" s="104" t="n"/>
    </row>
    <row r="88">
      <c r="A88" s="36" t="inlineStr">
        <is>
          <t>Jun</t>
        </is>
      </c>
      <c r="B88" s="42">
        <f>Expense!A55</f>
        <v/>
      </c>
      <c r="C88" s="43">
        <f>Income!A55</f>
        <v/>
      </c>
      <c r="D88" s="47" t="n"/>
      <c r="E88" s="47" t="n"/>
      <c r="F88" s="47" t="n"/>
      <c r="G88" s="47" t="n"/>
      <c r="H88" s="47" t="n"/>
      <c r="I88" s="47" t="n"/>
    </row>
    <row r="89">
      <c r="A89" s="37" t="inlineStr">
        <is>
          <t>Jul</t>
        </is>
      </c>
      <c r="B89" s="40">
        <f>Expense!A56</f>
        <v/>
      </c>
      <c r="C89" s="41">
        <f>Income!A56</f>
        <v/>
      </c>
      <c r="D89" s="104" t="n"/>
      <c r="E89" s="104" t="n"/>
      <c r="F89" s="104" t="n"/>
      <c r="G89" s="104" t="n"/>
      <c r="H89" s="104" t="n"/>
      <c r="I89" s="104" t="n"/>
    </row>
    <row r="90">
      <c r="A90" s="36" t="inlineStr">
        <is>
          <t>Aug</t>
        </is>
      </c>
      <c r="B90" s="42">
        <f>Expense!A57</f>
        <v/>
      </c>
      <c r="C90" s="43">
        <f>Income!A57</f>
        <v/>
      </c>
      <c r="D90" s="47" t="n"/>
      <c r="E90" s="47" t="n"/>
      <c r="F90" s="47" t="n"/>
      <c r="G90" s="47" t="n"/>
      <c r="H90" s="47" t="n"/>
      <c r="I90" s="47" t="n"/>
    </row>
    <row r="91">
      <c r="A91" s="37" t="inlineStr">
        <is>
          <t>Sep</t>
        </is>
      </c>
      <c r="B91" s="40">
        <f>Expense!A58</f>
        <v/>
      </c>
      <c r="C91" s="41">
        <f>Income!A58</f>
        <v/>
      </c>
      <c r="D91" s="104" t="n"/>
      <c r="E91" s="104" t="n"/>
      <c r="F91" s="104" t="n"/>
      <c r="G91" s="104" t="n"/>
      <c r="H91" s="104" t="n"/>
      <c r="I91" s="104" t="n"/>
    </row>
    <row r="92">
      <c r="A92" s="36" t="inlineStr">
        <is>
          <t>Oct</t>
        </is>
      </c>
      <c r="B92" s="42">
        <f>Expense!A59</f>
        <v/>
      </c>
      <c r="C92" s="43">
        <f>Income!A59</f>
        <v/>
      </c>
      <c r="D92" s="47" t="n"/>
      <c r="E92" s="47" t="n"/>
      <c r="F92" s="47" t="n"/>
      <c r="G92" s="47" t="n"/>
      <c r="H92" s="47" t="n"/>
      <c r="I92" s="47" t="n"/>
    </row>
    <row r="93">
      <c r="A93" s="37" t="inlineStr">
        <is>
          <t>Nov</t>
        </is>
      </c>
      <c r="B93" s="40">
        <f>Expense!A60</f>
        <v/>
      </c>
      <c r="C93" s="41">
        <f>Income!A60</f>
        <v/>
      </c>
      <c r="D93" s="104" t="n"/>
      <c r="E93" s="104" t="n"/>
      <c r="F93" s="104" t="n"/>
      <c r="G93" s="104" t="n"/>
      <c r="H93" s="104" t="n"/>
      <c r="I93" s="104" t="n"/>
    </row>
    <row r="94">
      <c r="A94" s="36" t="inlineStr">
        <is>
          <t>Dec</t>
        </is>
      </c>
      <c r="B94" s="42">
        <f>Expense!A61</f>
        <v/>
      </c>
      <c r="C94" s="43">
        <f>Income!A61</f>
        <v/>
      </c>
      <c r="D94" s="47" t="n"/>
      <c r="E94" s="47" t="n"/>
      <c r="F94" s="47" t="n"/>
      <c r="G94" s="47" t="n"/>
      <c r="H94" s="47" t="n"/>
      <c r="I94" s="47" t="n"/>
    </row>
    <row r="95">
      <c r="A95" s="37" t="inlineStr">
        <is>
          <t>Jan</t>
        </is>
      </c>
      <c r="B95" s="40">
        <f>Expense!A62</f>
        <v/>
      </c>
      <c r="C95" s="41">
        <f>Income!A62</f>
        <v/>
      </c>
      <c r="D95" s="104" t="n"/>
      <c r="E95" s="104" t="n"/>
      <c r="F95" s="104" t="n"/>
      <c r="G95" s="104" t="n"/>
      <c r="H95" s="104" t="n"/>
      <c r="I95" s="104" t="n"/>
    </row>
    <row r="96">
      <c r="A96" s="36" t="inlineStr">
        <is>
          <t>Feb</t>
        </is>
      </c>
      <c r="B96" s="42">
        <f>Expense!A63</f>
        <v/>
      </c>
      <c r="C96" s="43">
        <f>Income!A63</f>
        <v/>
      </c>
      <c r="D96" s="47" t="n"/>
      <c r="E96" s="47" t="n"/>
      <c r="F96" s="47" t="n"/>
      <c r="G96" s="47" t="n"/>
      <c r="H96" s="47" t="n"/>
      <c r="I96" s="47" t="n"/>
    </row>
    <row r="97">
      <c r="A97" s="37" t="inlineStr">
        <is>
          <t>Mar</t>
        </is>
      </c>
      <c r="B97" s="40">
        <f>Expense!A64</f>
        <v/>
      </c>
      <c r="C97" s="104">
        <f>Income!A64</f>
        <v/>
      </c>
      <c r="D97" s="104" t="n"/>
      <c r="E97" s="104" t="n"/>
      <c r="F97" s="104" t="n"/>
      <c r="G97" s="104" t="n"/>
      <c r="H97" s="104" t="n"/>
      <c r="I97" s="104" t="n"/>
    </row>
    <row r="98">
      <c r="A98" s="36" t="n"/>
      <c r="B98" s="42">
        <f>Expense!A65</f>
        <v/>
      </c>
      <c r="C98" s="47">
        <f>Income!A65</f>
        <v/>
      </c>
      <c r="D98" s="47" t="n"/>
      <c r="E98" s="47" t="n"/>
      <c r="F98" s="47" t="n"/>
      <c r="G98" s="47" t="n"/>
      <c r="H98" s="47" t="n"/>
      <c r="I98" s="47" t="n"/>
    </row>
    <row r="99">
      <c r="A99" s="37" t="n"/>
      <c r="B99" s="37">
        <f>Expense!A66</f>
        <v/>
      </c>
      <c r="C99" s="41">
        <f>Income!A66</f>
        <v/>
      </c>
      <c r="D99" s="104" t="n"/>
      <c r="E99" s="104" t="n"/>
      <c r="F99" s="104" t="n"/>
      <c r="G99" s="104" t="n"/>
      <c r="H99" s="104" t="n"/>
      <c r="I99" s="104" t="n"/>
    </row>
    <row r="100">
      <c r="A100" s="36" t="n"/>
      <c r="B100" s="36">
        <f>Expense!A67</f>
        <v/>
      </c>
      <c r="C100" s="47">
        <f>Income!A67</f>
        <v/>
      </c>
      <c r="D100" s="47" t="n"/>
      <c r="E100" s="47" t="n"/>
      <c r="F100" s="47" t="n"/>
      <c r="G100" s="47" t="n"/>
      <c r="H100" s="47" t="n"/>
      <c r="I100" s="47" t="n"/>
    </row>
    <row r="101">
      <c r="A101" s="37" t="n"/>
      <c r="B101" s="37">
        <f>Expense!A68</f>
        <v/>
      </c>
      <c r="C101" s="104">
        <f>Income!A68</f>
        <v/>
      </c>
      <c r="D101" s="104" t="n"/>
      <c r="E101" s="104" t="n"/>
      <c r="F101" s="104" t="n"/>
      <c r="G101" s="104" t="n"/>
      <c r="H101" s="104" t="n"/>
      <c r="I101" s="104" t="n"/>
    </row>
    <row r="102">
      <c r="A102" s="36" t="n"/>
      <c r="B102" s="36">
        <f>Expense!A69</f>
        <v/>
      </c>
      <c r="C102" s="47">
        <f>Income!A69</f>
        <v/>
      </c>
      <c r="D102" s="47" t="n"/>
      <c r="E102" s="47" t="n"/>
      <c r="F102" s="47" t="n"/>
      <c r="G102" s="47" t="n"/>
      <c r="H102" s="47" t="n"/>
      <c r="I102" s="47" t="n"/>
    </row>
    <row r="103">
      <c r="A103" s="37" t="inlineStr">
        <is>
          <t>Apr</t>
        </is>
      </c>
      <c r="B103" s="40">
        <f>Expense!A70</f>
        <v/>
      </c>
      <c r="C103" s="104">
        <f>Income!A70</f>
        <v/>
      </c>
      <c r="D103" s="104" t="n"/>
      <c r="E103" s="104" t="n"/>
      <c r="F103" s="104" t="n"/>
      <c r="G103" s="104" t="n"/>
      <c r="H103" s="104" t="n"/>
      <c r="I103" s="104" t="n"/>
    </row>
    <row r="104">
      <c r="A104" s="36" t="inlineStr">
        <is>
          <t>May</t>
        </is>
      </c>
      <c r="B104" s="42">
        <f>Expense!A71</f>
        <v/>
      </c>
      <c r="C104" s="47">
        <f>Income!A71</f>
        <v/>
      </c>
      <c r="D104" s="47" t="n"/>
      <c r="E104" s="47" t="n"/>
      <c r="F104" s="47" t="n"/>
      <c r="G104" s="47" t="n"/>
      <c r="H104" s="47" t="n"/>
      <c r="I104" s="47" t="n"/>
    </row>
    <row r="105">
      <c r="A105" s="37" t="inlineStr">
        <is>
          <t>Jun</t>
        </is>
      </c>
      <c r="B105" s="40">
        <f>Expense!A72</f>
        <v/>
      </c>
      <c r="C105" s="104">
        <f>Income!A72</f>
        <v/>
      </c>
      <c r="D105" s="104" t="n"/>
      <c r="E105" s="104" t="n"/>
      <c r="F105" s="104" t="n"/>
      <c r="G105" s="104" t="n"/>
      <c r="H105" s="104" t="n"/>
      <c r="I105" s="104" t="n"/>
    </row>
    <row r="106">
      <c r="A106" s="36" t="inlineStr">
        <is>
          <t>Jul</t>
        </is>
      </c>
      <c r="B106" s="42">
        <f>Expense!A73</f>
        <v/>
      </c>
      <c r="C106" s="47">
        <f>Income!A73</f>
        <v/>
      </c>
      <c r="D106" s="47" t="n"/>
      <c r="E106" s="47" t="n"/>
      <c r="F106" s="47" t="n"/>
      <c r="G106" s="47" t="n"/>
      <c r="H106" s="47" t="n"/>
      <c r="I106" s="47" t="n"/>
    </row>
    <row r="107">
      <c r="A107" s="37" t="inlineStr">
        <is>
          <t>Aug</t>
        </is>
      </c>
      <c r="B107" s="40">
        <f>Expense!A74</f>
        <v/>
      </c>
      <c r="C107" s="104">
        <f>Income!A74</f>
        <v/>
      </c>
      <c r="D107" s="104" t="n"/>
      <c r="E107" s="104" t="n"/>
      <c r="F107" s="104" t="n"/>
      <c r="G107" s="104" t="n"/>
      <c r="H107" s="104" t="n"/>
      <c r="I107" s="104" t="n"/>
    </row>
    <row r="108">
      <c r="A108" s="36" t="inlineStr">
        <is>
          <t>Sep</t>
        </is>
      </c>
      <c r="B108" s="42">
        <f>Expense!A75</f>
        <v/>
      </c>
      <c r="C108" s="47">
        <f>Income!A75</f>
        <v/>
      </c>
      <c r="D108" s="47" t="n"/>
      <c r="E108" s="47" t="n"/>
      <c r="F108" s="47" t="n"/>
      <c r="G108" s="47" t="n"/>
      <c r="H108" s="47" t="n"/>
      <c r="I108" s="47" t="n"/>
    </row>
    <row r="109">
      <c r="A109" s="37" t="inlineStr">
        <is>
          <t>Oct</t>
        </is>
      </c>
      <c r="B109" s="40">
        <f>Expense!A76</f>
        <v/>
      </c>
      <c r="C109" s="41">
        <f>Income!A76</f>
        <v/>
      </c>
      <c r="D109" s="104" t="n"/>
      <c r="E109" s="104" t="n"/>
      <c r="F109" s="104" t="n"/>
      <c r="G109" s="104" t="n"/>
      <c r="H109" s="104" t="n"/>
      <c r="I109" s="104" t="n"/>
    </row>
    <row r="110">
      <c r="A110" s="36" t="inlineStr">
        <is>
          <t>Nov</t>
        </is>
      </c>
      <c r="B110" s="42">
        <f>Expense!A77</f>
        <v/>
      </c>
      <c r="C110" s="47">
        <f>Income!A77</f>
        <v/>
      </c>
      <c r="D110" s="47" t="n"/>
      <c r="E110" s="47" t="n"/>
      <c r="F110" s="47" t="n"/>
      <c r="G110" s="47" t="n"/>
      <c r="H110" s="47" t="n"/>
      <c r="I110" s="47" t="n"/>
    </row>
    <row r="111">
      <c r="A111" s="37" t="inlineStr">
        <is>
          <t>Dec</t>
        </is>
      </c>
      <c r="B111" s="40">
        <f>Expense!A78</f>
        <v/>
      </c>
      <c r="C111" s="104">
        <f>Income!A78</f>
        <v/>
      </c>
      <c r="D111" s="104" t="n"/>
      <c r="E111" s="104" t="n"/>
      <c r="F111" s="104" t="n"/>
      <c r="G111" s="104" t="n"/>
      <c r="H111" s="104" t="n"/>
      <c r="I111" s="104" t="n"/>
    </row>
    <row r="112">
      <c r="A112" s="36" t="inlineStr">
        <is>
          <t>Jan</t>
        </is>
      </c>
      <c r="B112" s="42">
        <f>Expense!A79</f>
        <v/>
      </c>
      <c r="C112" s="47">
        <f>Income!A79</f>
        <v/>
      </c>
      <c r="D112" s="47" t="n"/>
      <c r="E112" s="47" t="n"/>
      <c r="F112" s="47" t="n"/>
      <c r="G112" s="47" t="n"/>
      <c r="H112" s="47" t="n"/>
      <c r="I112" s="47" t="n"/>
    </row>
    <row r="113">
      <c r="A113" s="37" t="inlineStr">
        <is>
          <t>Feb</t>
        </is>
      </c>
      <c r="B113" s="40">
        <f>Expense!A80</f>
        <v/>
      </c>
      <c r="C113" s="104">
        <f>Income!A80</f>
        <v/>
      </c>
      <c r="D113" s="104" t="n"/>
      <c r="E113" s="104" t="n"/>
      <c r="F113" s="104" t="n"/>
      <c r="G113" s="104" t="n"/>
      <c r="H113" s="104" t="n"/>
      <c r="I113" s="104" t="n"/>
    </row>
    <row r="114">
      <c r="A114" s="36" t="inlineStr">
        <is>
          <t>Mar</t>
        </is>
      </c>
      <c r="B114" s="42">
        <f>Expense!A81</f>
        <v/>
      </c>
      <c r="C114" s="47">
        <f>Income!A81</f>
        <v/>
      </c>
      <c r="D114" s="47" t="n"/>
      <c r="E114" s="47" t="n"/>
      <c r="F114" s="47" t="n"/>
      <c r="G114" s="47" t="n"/>
      <c r="H114" s="47" t="n"/>
      <c r="I114" s="47" t="n"/>
    </row>
    <row r="115">
      <c r="A115" s="37" t="n"/>
      <c r="B115" s="40">
        <f>Expense!A82</f>
        <v/>
      </c>
      <c r="C115" s="104">
        <f>Income!A82</f>
        <v/>
      </c>
      <c r="D115" s="104" t="n"/>
      <c r="E115" s="104" t="n"/>
      <c r="F115" s="104" t="n"/>
      <c r="G115" s="104" t="n"/>
      <c r="H115" s="104" t="n"/>
      <c r="I115" s="104" t="n"/>
    </row>
    <row r="116">
      <c r="A116" s="36" t="n"/>
      <c r="B116" s="36">
        <f>Expense!A83</f>
        <v/>
      </c>
      <c r="C116" s="43">
        <f>Income!A83</f>
        <v/>
      </c>
      <c r="D116" s="47" t="n"/>
      <c r="E116" s="47" t="n"/>
      <c r="F116" s="47" t="n"/>
      <c r="G116" s="47" t="n"/>
      <c r="H116" s="47" t="n"/>
      <c r="I116" s="47" t="n"/>
    </row>
    <row r="117">
      <c r="A117" s="37" t="n"/>
      <c r="B117" s="37">
        <f>Expense!A84</f>
        <v/>
      </c>
      <c r="C117" s="104">
        <f>Income!A84</f>
        <v/>
      </c>
      <c r="D117" s="104" t="n"/>
      <c r="E117" s="104" t="n"/>
      <c r="F117" s="104" t="n"/>
      <c r="G117" s="104" t="n"/>
      <c r="H117" s="104" t="n"/>
      <c r="I117" s="104" t="n"/>
    </row>
    <row r="118">
      <c r="A118" s="36" t="n"/>
      <c r="B118" s="36">
        <f>Expense!A85</f>
        <v/>
      </c>
      <c r="C118" s="47">
        <f>Income!A85</f>
        <v/>
      </c>
      <c r="D118" s="47" t="n"/>
      <c r="E118" s="47" t="n"/>
      <c r="F118" s="47" t="n"/>
      <c r="G118" s="47" t="n"/>
      <c r="H118" s="47" t="n"/>
      <c r="I118" s="47" t="n"/>
    </row>
    <row r="119">
      <c r="A119" s="37" t="n"/>
      <c r="B119" s="37">
        <f>Expense!A86</f>
        <v/>
      </c>
      <c r="C119" s="104">
        <f>Income!A86</f>
        <v/>
      </c>
      <c r="D119" s="104" t="n"/>
      <c r="E119" s="104" t="n"/>
      <c r="F119" s="104" t="n"/>
      <c r="G119" s="104" t="n"/>
      <c r="H119" s="104" t="n"/>
      <c r="I119" s="104" t="n"/>
    </row>
    <row r="120">
      <c r="A120" s="36" t="inlineStr">
        <is>
          <t>Apr</t>
        </is>
      </c>
      <c r="B120" s="42">
        <f>Expense!A87</f>
        <v/>
      </c>
      <c r="C120" s="47">
        <f>Income!A87</f>
        <v/>
      </c>
      <c r="D120" s="47" t="n"/>
      <c r="E120" s="47" t="n"/>
      <c r="F120" s="47" t="n"/>
      <c r="G120" s="47" t="n"/>
      <c r="H120" s="47" t="n"/>
      <c r="I120" s="47" t="n"/>
    </row>
    <row r="121">
      <c r="A121" s="37" t="inlineStr">
        <is>
          <t>May</t>
        </is>
      </c>
      <c r="B121" s="40">
        <f>Expense!A88</f>
        <v/>
      </c>
      <c r="C121" s="104">
        <f>Income!A88</f>
        <v/>
      </c>
      <c r="D121" s="104" t="n"/>
      <c r="E121" s="104" t="n"/>
      <c r="F121" s="104" t="n"/>
      <c r="G121" s="104" t="n"/>
      <c r="H121" s="104" t="n"/>
      <c r="I121" s="104" t="n"/>
    </row>
    <row r="122">
      <c r="A122" s="36" t="inlineStr">
        <is>
          <t>Jun</t>
        </is>
      </c>
      <c r="B122" s="42">
        <f>Expense!A89</f>
        <v/>
      </c>
      <c r="C122" s="47">
        <f>Income!A89</f>
        <v/>
      </c>
      <c r="D122" s="47" t="n"/>
      <c r="E122" s="47" t="n"/>
      <c r="F122" s="47" t="n"/>
      <c r="G122" s="47" t="n"/>
      <c r="H122" s="47" t="n"/>
      <c r="I122" s="47" t="n"/>
    </row>
    <row r="123">
      <c r="A123" s="37" t="inlineStr">
        <is>
          <t>Jul</t>
        </is>
      </c>
      <c r="B123" s="40">
        <f>Expense!A90</f>
        <v/>
      </c>
      <c r="C123" s="104">
        <f>Income!A90</f>
        <v/>
      </c>
      <c r="D123" s="104" t="n"/>
      <c r="E123" s="104" t="n"/>
      <c r="F123" s="104" t="n"/>
      <c r="G123" s="104" t="n"/>
      <c r="H123" s="104" t="n"/>
      <c r="I123" s="104" t="n"/>
    </row>
    <row r="124">
      <c r="A124" s="36" t="inlineStr">
        <is>
          <t>Aug</t>
        </is>
      </c>
      <c r="B124" s="42">
        <f>Expense!A91</f>
        <v/>
      </c>
      <c r="C124" s="47">
        <f>Income!A91</f>
        <v/>
      </c>
      <c r="D124" s="47" t="n"/>
      <c r="E124" s="47" t="n"/>
      <c r="F124" s="47" t="n"/>
      <c r="G124" s="47" t="n"/>
      <c r="H124" s="47" t="n"/>
      <c r="I124" s="47" t="n"/>
    </row>
    <row r="125">
      <c r="A125" s="37" t="inlineStr">
        <is>
          <t>Sep</t>
        </is>
      </c>
      <c r="B125" s="40">
        <f>Expense!A92</f>
        <v/>
      </c>
      <c r="C125" s="104">
        <f>Income!A92</f>
        <v/>
      </c>
      <c r="D125" s="104" t="n"/>
      <c r="E125" s="104" t="n"/>
      <c r="F125" s="104" t="n"/>
      <c r="G125" s="104" t="n"/>
      <c r="H125" s="104" t="n"/>
      <c r="I125" s="104" t="n"/>
    </row>
    <row r="126">
      <c r="A126" s="36" t="inlineStr">
        <is>
          <t>Oct</t>
        </is>
      </c>
      <c r="B126" s="42">
        <f>Expense!A93</f>
        <v/>
      </c>
      <c r="C126" s="43">
        <f>Income!A93</f>
        <v/>
      </c>
      <c r="D126" s="47" t="n"/>
      <c r="E126" s="47" t="n"/>
      <c r="F126" s="47" t="n"/>
      <c r="G126" s="47" t="n"/>
      <c r="H126" s="47" t="n"/>
      <c r="I126" s="47" t="n"/>
    </row>
    <row r="127">
      <c r="A127" s="37" t="inlineStr">
        <is>
          <t>Nov</t>
        </is>
      </c>
      <c r="B127" s="40">
        <f>Expense!A94</f>
        <v/>
      </c>
      <c r="C127" s="104">
        <f>Income!A94</f>
        <v/>
      </c>
      <c r="D127" s="104" t="n"/>
      <c r="E127" s="104" t="n"/>
      <c r="F127" s="104" t="n"/>
      <c r="G127" s="104" t="n"/>
      <c r="H127" s="104" t="n"/>
      <c r="I127" s="104" t="n"/>
    </row>
    <row r="128">
      <c r="A128" s="36" t="inlineStr">
        <is>
          <t>Dec</t>
        </is>
      </c>
      <c r="B128" s="42">
        <f>Expense!A95</f>
        <v/>
      </c>
      <c r="C128" s="47">
        <f>Income!A95</f>
        <v/>
      </c>
      <c r="D128" s="47" t="n"/>
      <c r="E128" s="47" t="n"/>
      <c r="F128" s="47" t="n"/>
      <c r="G128" s="47" t="n"/>
      <c r="H128" s="47" t="n"/>
      <c r="I128" s="47" t="n"/>
    </row>
    <row r="129">
      <c r="A129" s="37" t="inlineStr">
        <is>
          <t>Jan</t>
        </is>
      </c>
      <c r="B129" s="40">
        <f>Expense!A96</f>
        <v/>
      </c>
      <c r="C129" s="104">
        <f>Income!A96</f>
        <v/>
      </c>
      <c r="D129" s="104" t="n"/>
      <c r="E129" s="104" t="n"/>
      <c r="F129" s="104" t="n"/>
      <c r="G129" s="104" t="n"/>
      <c r="H129" s="104" t="n"/>
      <c r="I129" s="104" t="n"/>
    </row>
    <row r="130">
      <c r="A130" s="36" t="inlineStr">
        <is>
          <t>Feb</t>
        </is>
      </c>
      <c r="B130" s="42">
        <f>Expense!A97</f>
        <v/>
      </c>
      <c r="C130" s="47">
        <f>Income!A97</f>
        <v/>
      </c>
      <c r="D130" s="47" t="n"/>
      <c r="E130" s="47" t="n"/>
      <c r="F130" s="47" t="n"/>
      <c r="G130" s="47" t="n"/>
      <c r="H130" s="47" t="n"/>
      <c r="I130" s="47" t="n"/>
    </row>
    <row r="131">
      <c r="A131" s="37" t="inlineStr">
        <is>
          <t>Mar</t>
        </is>
      </c>
      <c r="B131" s="40">
        <f>Expense!A98</f>
        <v/>
      </c>
      <c r="C131" s="104">
        <f>Income!A98</f>
        <v/>
      </c>
      <c r="D131" s="104" t="n"/>
      <c r="E131" s="104" t="n"/>
      <c r="F131" s="104" t="n"/>
      <c r="G131" s="104" t="n"/>
      <c r="H131" s="104" t="n"/>
      <c r="I131" s="104" t="n"/>
    </row>
    <row r="132">
      <c r="A132" s="36" t="n"/>
      <c r="B132" s="42">
        <f>Expense!A99</f>
        <v/>
      </c>
      <c r="C132" s="47">
        <f>Income!A99</f>
        <v/>
      </c>
      <c r="D132" s="47" t="n"/>
      <c r="E132" s="47" t="n"/>
      <c r="F132" s="47" t="n"/>
      <c r="G132" s="47" t="n"/>
      <c r="H132" s="47" t="n"/>
      <c r="I132" s="47" t="n"/>
    </row>
    <row r="133">
      <c r="A133" s="37" t="n"/>
      <c r="B133" s="37">
        <f>Expense!A100</f>
        <v/>
      </c>
      <c r="C133" s="41">
        <f>Income!A100</f>
        <v/>
      </c>
      <c r="D133" s="104" t="n"/>
      <c r="E133" s="104" t="n"/>
      <c r="F133" s="104" t="n"/>
      <c r="G133" s="104" t="n"/>
      <c r="H133" s="104" t="n"/>
      <c r="I133" s="104" t="n"/>
    </row>
    <row r="134">
      <c r="A134" s="36" t="n"/>
      <c r="B134" s="36">
        <f>Expense!A101</f>
        <v/>
      </c>
      <c r="C134" s="47">
        <f>Income!A101</f>
        <v/>
      </c>
      <c r="D134" s="47" t="n"/>
      <c r="E134" s="47" t="n"/>
      <c r="F134" s="47" t="n"/>
      <c r="G134" s="47" t="n"/>
      <c r="H134" s="47" t="n"/>
      <c r="I134" s="47" t="n"/>
    </row>
    <row r="135">
      <c r="A135" s="37" t="n"/>
      <c r="B135" s="37">
        <f>Expense!A102</f>
        <v/>
      </c>
      <c r="C135" s="104">
        <f>Income!A102</f>
        <v/>
      </c>
      <c r="D135" s="104" t="n"/>
      <c r="E135" s="104" t="n"/>
      <c r="F135" s="104" t="n"/>
      <c r="G135" s="104" t="n"/>
      <c r="H135" s="104" t="n"/>
      <c r="I135" s="104" t="n"/>
    </row>
    <row r="136">
      <c r="A136" s="36" t="n"/>
      <c r="B136" s="36">
        <f>Expense!A103</f>
        <v/>
      </c>
      <c r="C136" s="47">
        <f>Income!A103</f>
        <v/>
      </c>
      <c r="D136" s="47" t="n"/>
      <c r="E136" s="47" t="n"/>
      <c r="F136" s="47" t="n"/>
      <c r="G136" s="47" t="n"/>
      <c r="H136" s="47" t="n"/>
      <c r="I136" s="47" t="n"/>
    </row>
    <row r="137">
      <c r="A137" s="37" t="inlineStr">
        <is>
          <t>Apr</t>
        </is>
      </c>
      <c r="B137" s="40">
        <f>Expense!A104</f>
        <v/>
      </c>
      <c r="C137" s="104">
        <f>Income!A104</f>
        <v/>
      </c>
      <c r="D137" s="104" t="n"/>
      <c r="E137" s="104" t="n"/>
      <c r="F137" s="104" t="n"/>
      <c r="G137" s="104" t="n"/>
      <c r="H137" s="104" t="n"/>
      <c r="I137" s="104" t="n"/>
    </row>
    <row r="138">
      <c r="A138" s="36" t="inlineStr">
        <is>
          <t>May</t>
        </is>
      </c>
      <c r="B138" s="42">
        <f>Expense!A105</f>
        <v/>
      </c>
      <c r="C138" s="47">
        <f>Income!A105</f>
        <v/>
      </c>
      <c r="D138" s="47" t="n"/>
      <c r="E138" s="47" t="n"/>
      <c r="F138" s="47" t="n"/>
      <c r="G138" s="47" t="n"/>
      <c r="H138" s="47" t="n"/>
      <c r="I138" s="47" t="n"/>
    </row>
    <row r="139">
      <c r="A139" s="37" t="inlineStr">
        <is>
          <t>Jun</t>
        </is>
      </c>
      <c r="B139" s="40">
        <f>Expense!A106</f>
        <v/>
      </c>
      <c r="C139" s="104">
        <f>Income!A106</f>
        <v/>
      </c>
      <c r="D139" s="104" t="n"/>
      <c r="E139" s="104" t="n"/>
      <c r="F139" s="104" t="n"/>
      <c r="G139" s="104" t="n"/>
      <c r="H139" s="104" t="n"/>
      <c r="I139" s="104" t="n"/>
    </row>
    <row r="140">
      <c r="A140" s="36" t="inlineStr">
        <is>
          <t>Jul</t>
        </is>
      </c>
      <c r="B140" s="42">
        <f>Expense!A107</f>
        <v/>
      </c>
      <c r="C140" s="47">
        <f>Income!A107</f>
        <v/>
      </c>
      <c r="D140" s="47" t="n"/>
      <c r="E140" s="47" t="n"/>
      <c r="F140" s="47" t="n"/>
      <c r="G140" s="47" t="n"/>
      <c r="H140" s="47" t="n"/>
      <c r="I140" s="47" t="n"/>
    </row>
    <row r="141">
      <c r="A141" s="37" t="inlineStr">
        <is>
          <t>Aug</t>
        </is>
      </c>
      <c r="B141" s="40">
        <f>Expense!A108</f>
        <v/>
      </c>
      <c r="C141" s="104">
        <f>Income!A108</f>
        <v/>
      </c>
      <c r="D141" s="104" t="n"/>
      <c r="E141" s="104" t="n"/>
      <c r="F141" s="104" t="n"/>
      <c r="G141" s="104" t="n"/>
      <c r="H141" s="104" t="n"/>
      <c r="I141" s="104" t="n"/>
    </row>
    <row r="142">
      <c r="A142" s="36" t="inlineStr">
        <is>
          <t>Sep</t>
        </is>
      </c>
      <c r="B142" s="42">
        <f>Expense!A109</f>
        <v/>
      </c>
      <c r="C142" s="47">
        <f>Income!A109</f>
        <v/>
      </c>
      <c r="D142" s="47" t="n"/>
      <c r="E142" s="47" t="n"/>
      <c r="F142" s="47" t="n"/>
      <c r="G142" s="47" t="n"/>
      <c r="H142" s="47" t="n"/>
      <c r="I142" s="47" t="n"/>
    </row>
    <row r="143">
      <c r="A143" s="37" t="inlineStr">
        <is>
          <t>Oct</t>
        </is>
      </c>
      <c r="B143" s="40">
        <f>Expense!A110</f>
        <v/>
      </c>
      <c r="C143" s="104">
        <f>Income!A110</f>
        <v/>
      </c>
      <c r="D143" s="104" t="n"/>
      <c r="E143" s="104" t="n"/>
      <c r="F143" s="104" t="n"/>
      <c r="G143" s="104" t="n"/>
      <c r="H143" s="104" t="n"/>
      <c r="I143" s="104" t="n"/>
    </row>
    <row r="144">
      <c r="A144" s="36" t="inlineStr">
        <is>
          <t>Nov</t>
        </is>
      </c>
      <c r="B144" s="42">
        <f>Expense!A111</f>
        <v/>
      </c>
      <c r="C144" s="43">
        <f>Income!A111</f>
        <v/>
      </c>
      <c r="D144" s="47" t="n"/>
      <c r="E144" s="47" t="n"/>
      <c r="F144" s="47" t="n"/>
      <c r="G144" s="47" t="n"/>
      <c r="H144" s="47" t="n"/>
      <c r="I144" s="47" t="n"/>
    </row>
    <row r="145">
      <c r="A145" s="37" t="inlineStr">
        <is>
          <t>Dec</t>
        </is>
      </c>
      <c r="B145" s="40">
        <f>Expense!A112</f>
        <v/>
      </c>
      <c r="C145" s="104">
        <f>Income!A112</f>
        <v/>
      </c>
      <c r="D145" s="104" t="n"/>
      <c r="E145" s="104" t="n"/>
      <c r="F145" s="104" t="n"/>
      <c r="G145" s="104" t="n"/>
      <c r="H145" s="104" t="n"/>
      <c r="I145" s="104" t="n"/>
    </row>
    <row r="146">
      <c r="A146" s="36" t="inlineStr">
        <is>
          <t>Jan</t>
        </is>
      </c>
      <c r="B146" s="42">
        <f>Expense!A113</f>
        <v/>
      </c>
      <c r="C146" s="47">
        <f>Income!A113</f>
        <v/>
      </c>
      <c r="D146" s="47" t="n"/>
      <c r="E146" s="47" t="n"/>
      <c r="F146" s="47" t="n"/>
      <c r="G146" s="47" t="n"/>
      <c r="H146" s="47" t="n"/>
      <c r="I146" s="47" t="n"/>
    </row>
    <row r="147">
      <c r="A147" s="37" t="inlineStr">
        <is>
          <t>Feb</t>
        </is>
      </c>
      <c r="B147" s="40">
        <f>Expense!A114</f>
        <v/>
      </c>
      <c r="C147" s="104">
        <f>Income!A114</f>
        <v/>
      </c>
      <c r="D147" s="104" t="n"/>
      <c r="E147" s="104" t="n"/>
      <c r="F147" s="104" t="n"/>
      <c r="G147" s="104" t="n"/>
      <c r="H147" s="104" t="n"/>
      <c r="I147" s="104" t="n"/>
    </row>
    <row r="148">
      <c r="A148" s="36" t="inlineStr">
        <is>
          <t>Mar</t>
        </is>
      </c>
      <c r="B148" s="42">
        <f>Expense!A115</f>
        <v/>
      </c>
      <c r="C148" s="47">
        <f>Income!A115</f>
        <v/>
      </c>
      <c r="D148" s="47" t="n"/>
      <c r="E148" s="47" t="n"/>
      <c r="F148" s="47" t="n"/>
      <c r="G148" s="47" t="n"/>
      <c r="H148" s="47" t="n"/>
      <c r="I148" s="47" t="n"/>
    </row>
    <row r="149">
      <c r="A149" s="37" t="n"/>
      <c r="B149" s="40">
        <f>Expense!A116</f>
        <v/>
      </c>
      <c r="C149" s="104">
        <f>Income!A116</f>
        <v/>
      </c>
      <c r="D149" s="104" t="n"/>
      <c r="E149" s="104" t="n"/>
      <c r="F149" s="104" t="n"/>
      <c r="G149" s="104" t="n"/>
      <c r="H149" s="104" t="n"/>
      <c r="I149" s="104" t="n"/>
    </row>
    <row r="150">
      <c r="A150" s="36" t="n"/>
      <c r="B150" s="36">
        <f>Expense!A117</f>
        <v/>
      </c>
      <c r="C150" s="43">
        <f>Income!A117</f>
        <v/>
      </c>
      <c r="D150" s="47" t="n"/>
      <c r="E150" s="47" t="n"/>
      <c r="F150" s="47" t="n"/>
      <c r="G150" s="47" t="n"/>
      <c r="H150" s="47" t="n"/>
      <c r="I150" s="47" t="n"/>
    </row>
    <row r="151">
      <c r="A151" s="37" t="n"/>
      <c r="B151" s="37">
        <f>Expense!A118</f>
        <v/>
      </c>
      <c r="C151" s="104">
        <f>Income!A118</f>
        <v/>
      </c>
      <c r="D151" s="104" t="n"/>
      <c r="E151" s="104" t="n"/>
      <c r="F151" s="104" t="n"/>
      <c r="G151" s="104" t="n"/>
      <c r="H151" s="104" t="n"/>
      <c r="I151" s="104" t="n"/>
    </row>
    <row r="152">
      <c r="A152" s="36" t="n"/>
      <c r="B152" s="36">
        <f>Expense!A119</f>
        <v/>
      </c>
      <c r="C152" s="47">
        <f>Income!A119</f>
        <v/>
      </c>
      <c r="D152" s="47" t="n"/>
      <c r="E152" s="47" t="n"/>
      <c r="F152" s="47" t="n"/>
      <c r="G152" s="47" t="n"/>
      <c r="H152" s="47" t="n"/>
      <c r="I152" s="47" t="n"/>
    </row>
    <row r="153">
      <c r="A153" s="37" t="n"/>
      <c r="B153" s="37">
        <f>Expense!A120</f>
        <v/>
      </c>
      <c r="C153" s="104">
        <f>Income!A120</f>
        <v/>
      </c>
      <c r="D153" s="104" t="n"/>
      <c r="E153" s="104" t="n"/>
      <c r="F153" s="104" t="n"/>
      <c r="G153" s="104" t="n"/>
      <c r="H153" s="104" t="n"/>
      <c r="I153" s="104" t="n"/>
    </row>
    <row r="154">
      <c r="A154" s="36" t="inlineStr">
        <is>
          <t>Apr</t>
        </is>
      </c>
      <c r="B154" s="42">
        <f>Expense!A121</f>
        <v/>
      </c>
      <c r="C154" s="47">
        <f>Income!A121</f>
        <v/>
      </c>
      <c r="D154" s="47" t="n"/>
      <c r="E154" s="47" t="n"/>
      <c r="F154" s="47" t="n"/>
      <c r="G154" s="47" t="n"/>
      <c r="H154" s="47" t="n"/>
      <c r="I154" s="47" t="n"/>
    </row>
    <row r="155">
      <c r="A155" s="37" t="inlineStr">
        <is>
          <t>May</t>
        </is>
      </c>
      <c r="B155" s="40">
        <f>Expense!A122</f>
        <v/>
      </c>
      <c r="C155" s="41">
        <f>Income!A122</f>
        <v/>
      </c>
      <c r="D155" s="104" t="n"/>
      <c r="E155" s="104" t="n"/>
      <c r="F155" s="104" t="n"/>
      <c r="G155" s="104" t="n"/>
      <c r="H155" s="104" t="n"/>
      <c r="I155" s="104" t="n"/>
    </row>
    <row r="156">
      <c r="A156" s="36" t="inlineStr">
        <is>
          <t>Jun</t>
        </is>
      </c>
      <c r="B156" s="42">
        <f>Expense!A123</f>
        <v/>
      </c>
      <c r="C156" s="43">
        <f>Income!A123</f>
        <v/>
      </c>
      <c r="D156" s="47" t="n"/>
      <c r="E156" s="47" t="n"/>
      <c r="F156" s="47" t="n"/>
      <c r="G156" s="47" t="n"/>
      <c r="H156" s="47" t="n"/>
      <c r="I156" s="47" t="n"/>
    </row>
    <row r="157">
      <c r="A157" s="37" t="inlineStr">
        <is>
          <t>Jul</t>
        </is>
      </c>
      <c r="B157" s="40">
        <f>Expense!A124</f>
        <v/>
      </c>
      <c r="C157" s="41">
        <f>Income!A124</f>
        <v/>
      </c>
      <c r="D157" s="104" t="n"/>
      <c r="E157" s="104" t="n"/>
      <c r="F157" s="104" t="n"/>
      <c r="G157" s="104" t="n"/>
      <c r="H157" s="104" t="n"/>
      <c r="I157" s="104" t="n"/>
    </row>
    <row r="158">
      <c r="A158" s="36" t="inlineStr">
        <is>
          <t>Aug</t>
        </is>
      </c>
      <c r="B158" s="42">
        <f>Expense!A125</f>
        <v/>
      </c>
      <c r="C158" s="43">
        <f>Income!A125</f>
        <v/>
      </c>
      <c r="D158" s="47" t="n"/>
      <c r="E158" s="47" t="n"/>
      <c r="F158" s="47" t="n"/>
      <c r="G158" s="47" t="n"/>
      <c r="H158" s="47" t="n"/>
      <c r="I158" s="47" t="n"/>
    </row>
    <row r="159">
      <c r="A159" s="37" t="inlineStr">
        <is>
          <t>Sep</t>
        </is>
      </c>
      <c r="B159" s="40">
        <f>Expense!A126</f>
        <v/>
      </c>
      <c r="C159" s="41">
        <f>Income!A126</f>
        <v/>
      </c>
      <c r="D159" s="104" t="n"/>
      <c r="E159" s="104" t="n"/>
      <c r="F159" s="104" t="n"/>
      <c r="G159" s="104" t="n"/>
      <c r="H159" s="104" t="n"/>
      <c r="I159" s="104" t="n"/>
    </row>
    <row r="160">
      <c r="A160" s="36" t="inlineStr">
        <is>
          <t>Oct</t>
        </is>
      </c>
      <c r="B160" s="42">
        <f>Expense!A127</f>
        <v/>
      </c>
      <c r="C160" s="43">
        <f>Income!A127</f>
        <v/>
      </c>
      <c r="D160" s="47" t="n"/>
      <c r="E160" s="47" t="n"/>
      <c r="F160" s="47" t="n"/>
      <c r="G160" s="47" t="n"/>
      <c r="H160" s="47" t="n"/>
      <c r="I160" s="47" t="n"/>
    </row>
    <row r="161">
      <c r="A161" s="37" t="inlineStr">
        <is>
          <t>Nov</t>
        </is>
      </c>
      <c r="B161" s="40">
        <f>Expense!A128</f>
        <v/>
      </c>
      <c r="C161" s="104">
        <f>Income!A128</f>
        <v/>
      </c>
      <c r="D161" s="104" t="n"/>
      <c r="E161" s="104" t="n"/>
      <c r="F161" s="104" t="n"/>
      <c r="G161" s="104" t="n"/>
      <c r="H161" s="104" t="n"/>
      <c r="I161" s="104" t="n"/>
    </row>
    <row r="162">
      <c r="A162" s="36" t="inlineStr">
        <is>
          <t>Dec</t>
        </is>
      </c>
      <c r="B162" s="42">
        <f>Expense!A129</f>
        <v/>
      </c>
      <c r="C162" s="43">
        <f>Income!A129</f>
        <v/>
      </c>
      <c r="D162" s="47" t="n"/>
      <c r="E162" s="47" t="n"/>
      <c r="F162" s="47" t="n"/>
      <c r="G162" s="47" t="n"/>
      <c r="H162" s="47" t="n"/>
      <c r="I162" s="47" t="n"/>
    </row>
    <row r="163">
      <c r="A163" s="37" t="inlineStr">
        <is>
          <t>Jan</t>
        </is>
      </c>
      <c r="B163" s="40">
        <f>Expense!A130</f>
        <v/>
      </c>
      <c r="C163" s="41">
        <f>Income!A130</f>
        <v/>
      </c>
      <c r="D163" s="104" t="n"/>
      <c r="E163" s="104" t="n"/>
      <c r="F163" s="104" t="n"/>
      <c r="G163" s="104" t="n"/>
      <c r="H163" s="104" t="n"/>
      <c r="I163" s="104" t="n"/>
    </row>
    <row r="164">
      <c r="A164" s="36" t="inlineStr">
        <is>
          <t>Feb</t>
        </is>
      </c>
      <c r="B164" s="42">
        <f>Expense!A131</f>
        <v/>
      </c>
      <c r="C164" s="43">
        <f>Income!A131</f>
        <v/>
      </c>
      <c r="D164" s="47" t="n"/>
      <c r="E164" s="47" t="n"/>
      <c r="F164" s="47" t="n"/>
      <c r="G164" s="47" t="n"/>
      <c r="H164" s="47" t="n"/>
      <c r="I164" s="47" t="n"/>
    </row>
    <row r="165">
      <c r="A165" s="37" t="inlineStr">
        <is>
          <t>Mar</t>
        </is>
      </c>
      <c r="B165" s="40">
        <f>Expense!A132</f>
        <v/>
      </c>
      <c r="C165" s="104">
        <f>Income!A132</f>
        <v/>
      </c>
      <c r="D165" s="104" t="n"/>
      <c r="E165" s="104" t="n"/>
      <c r="F165" s="104" t="n"/>
      <c r="G165" s="104" t="n"/>
      <c r="H165" s="104" t="n"/>
      <c r="I165" s="104" t="n"/>
    </row>
    <row r="166">
      <c r="A166" s="36" t="n"/>
      <c r="B166" s="42">
        <f>Expense!A133</f>
        <v/>
      </c>
      <c r="C166" s="47">
        <f>Income!A133</f>
        <v/>
      </c>
      <c r="D166" s="47" t="n"/>
      <c r="E166" s="47" t="n"/>
      <c r="F166" s="47" t="n"/>
      <c r="G166" s="47" t="n"/>
      <c r="H166" s="47" t="n"/>
      <c r="I166" s="47" t="n"/>
    </row>
    <row r="167">
      <c r="A167" s="37" t="n"/>
      <c r="B167" s="37">
        <f>Expense!A134</f>
        <v/>
      </c>
      <c r="C167" s="41">
        <f>Income!A134</f>
        <v/>
      </c>
      <c r="D167" s="104" t="n"/>
      <c r="E167" s="104" t="n"/>
      <c r="F167" s="104" t="n"/>
      <c r="G167" s="104" t="n"/>
      <c r="H167" s="104" t="n"/>
      <c r="I167" s="104" t="n"/>
    </row>
    <row r="168">
      <c r="A168" s="36" t="n"/>
      <c r="B168" s="36">
        <f>Expense!A135</f>
        <v/>
      </c>
      <c r="C168" s="47">
        <f>Income!A135</f>
        <v/>
      </c>
      <c r="D168" s="47" t="n"/>
      <c r="E168" s="47" t="n"/>
      <c r="F168" s="47" t="n"/>
      <c r="G168" s="47" t="n"/>
      <c r="H168" s="47" t="n"/>
      <c r="I168" s="47" t="n"/>
    </row>
    <row r="169">
      <c r="A169" s="37" t="n"/>
      <c r="B169" s="37">
        <f>Expense!A136</f>
        <v/>
      </c>
      <c r="C169" s="104">
        <f>Income!A136</f>
        <v/>
      </c>
      <c r="D169" s="104" t="n"/>
      <c r="E169" s="104" t="n"/>
      <c r="F169" s="104" t="n"/>
      <c r="G169" s="104" t="n"/>
      <c r="H169" s="104" t="n"/>
      <c r="I169" s="104" t="n"/>
    </row>
    <row r="170">
      <c r="A170" s="36" t="n"/>
      <c r="B170" s="36">
        <f>Expense!A137</f>
        <v/>
      </c>
      <c r="C170" s="47">
        <f>Income!A137</f>
        <v/>
      </c>
      <c r="D170" s="47" t="n"/>
      <c r="E170" s="47" t="n"/>
      <c r="F170" s="47" t="n"/>
      <c r="G170" s="47" t="n"/>
      <c r="H170" s="47" t="n"/>
      <c r="I170" s="47" t="n"/>
    </row>
    <row r="171">
      <c r="A171" s="37" t="inlineStr">
        <is>
          <t>Apr</t>
        </is>
      </c>
      <c r="B171" s="40">
        <f>Expense!A138</f>
        <v/>
      </c>
      <c r="C171" s="104">
        <f>Income!A138</f>
        <v/>
      </c>
      <c r="D171" s="104" t="n"/>
      <c r="E171" s="104" t="n"/>
      <c r="F171" s="104" t="n"/>
      <c r="G171" s="104" t="n"/>
      <c r="H171" s="104" t="n"/>
      <c r="I171" s="104" t="n"/>
    </row>
    <row r="172">
      <c r="A172" s="36" t="inlineStr">
        <is>
          <t>May</t>
        </is>
      </c>
      <c r="B172" s="42">
        <f>Expense!A139</f>
        <v/>
      </c>
      <c r="C172" s="43">
        <f>Income!A139</f>
        <v/>
      </c>
      <c r="D172" s="47" t="n"/>
      <c r="E172" s="47" t="n"/>
      <c r="F172" s="47" t="n"/>
      <c r="G172" s="47" t="n"/>
      <c r="H172" s="47" t="n"/>
      <c r="I172" s="47" t="n"/>
    </row>
    <row r="173">
      <c r="A173" s="37" t="inlineStr">
        <is>
          <t>Jun</t>
        </is>
      </c>
      <c r="B173" s="40">
        <f>Expense!A140</f>
        <v/>
      </c>
      <c r="C173" s="41">
        <f>Income!A140</f>
        <v/>
      </c>
      <c r="D173" s="104" t="n"/>
      <c r="E173" s="104" t="n"/>
      <c r="F173" s="104" t="n"/>
      <c r="G173" s="104" t="n"/>
      <c r="H173" s="104" t="n"/>
      <c r="I173" s="104" t="n"/>
    </row>
    <row r="174">
      <c r="A174" s="36" t="inlineStr">
        <is>
          <t>Jul</t>
        </is>
      </c>
      <c r="B174" s="42">
        <f>Expense!A141</f>
        <v/>
      </c>
      <c r="C174" s="43">
        <f>Income!A141</f>
        <v/>
      </c>
      <c r="D174" s="47" t="n"/>
      <c r="E174" s="47" t="n"/>
      <c r="F174" s="47" t="n"/>
      <c r="G174" s="47" t="n"/>
      <c r="H174" s="47" t="n"/>
      <c r="I174" s="47" t="n"/>
    </row>
    <row r="175">
      <c r="A175" s="37" t="inlineStr">
        <is>
          <t>Aug</t>
        </is>
      </c>
      <c r="B175" s="40">
        <f>Expense!A142</f>
        <v/>
      </c>
      <c r="C175" s="41">
        <f>Income!A142</f>
        <v/>
      </c>
      <c r="D175" s="104" t="n"/>
      <c r="E175" s="104" t="n"/>
      <c r="F175" s="104" t="n"/>
      <c r="G175" s="104" t="n"/>
      <c r="H175" s="104" t="n"/>
      <c r="I175" s="104" t="n"/>
    </row>
    <row r="176">
      <c r="A176" s="36" t="inlineStr">
        <is>
          <t>Sep</t>
        </is>
      </c>
      <c r="B176" s="42">
        <f>Expense!A143</f>
        <v/>
      </c>
      <c r="C176" s="43">
        <f>Income!A143</f>
        <v/>
      </c>
      <c r="D176" s="47" t="n"/>
      <c r="E176" s="47" t="n"/>
      <c r="F176" s="47" t="n"/>
      <c r="G176" s="47" t="n"/>
      <c r="H176" s="47" t="n"/>
      <c r="I176" s="47" t="n"/>
    </row>
    <row r="177">
      <c r="A177" s="37" t="inlineStr">
        <is>
          <t>Oct</t>
        </is>
      </c>
      <c r="B177" s="40">
        <f>Expense!A144</f>
        <v/>
      </c>
      <c r="C177" s="41">
        <f>Income!A144</f>
        <v/>
      </c>
      <c r="D177" s="104" t="n"/>
      <c r="E177" s="104" t="n"/>
      <c r="F177" s="104" t="n"/>
      <c r="G177" s="104" t="n"/>
      <c r="H177" s="104" t="n"/>
      <c r="I177" s="104" t="n"/>
    </row>
    <row r="178">
      <c r="A178" s="36" t="inlineStr">
        <is>
          <t>Nov</t>
        </is>
      </c>
      <c r="B178" s="42">
        <f>Expense!A145</f>
        <v/>
      </c>
      <c r="C178" s="47">
        <f>Income!A145</f>
        <v/>
      </c>
      <c r="D178" s="47" t="n"/>
      <c r="E178" s="47" t="n"/>
      <c r="F178" s="47" t="n"/>
      <c r="G178" s="47" t="n"/>
      <c r="H178" s="47" t="n"/>
      <c r="I178" s="47" t="n"/>
    </row>
    <row r="179">
      <c r="A179" s="37" t="inlineStr">
        <is>
          <t>Dec</t>
        </is>
      </c>
      <c r="B179" s="40">
        <f>Expense!A146</f>
        <v/>
      </c>
      <c r="C179" s="41">
        <f>Income!A146</f>
        <v/>
      </c>
      <c r="D179" s="104" t="n"/>
      <c r="E179" s="104" t="n"/>
      <c r="F179" s="104" t="n"/>
      <c r="G179" s="104" t="n"/>
      <c r="H179" s="104" t="n"/>
      <c r="I179" s="104" t="n"/>
    </row>
    <row r="180">
      <c r="A180" s="36" t="inlineStr">
        <is>
          <t>Jan</t>
        </is>
      </c>
      <c r="B180" s="42">
        <f>Expense!A147</f>
        <v/>
      </c>
      <c r="C180" s="43">
        <f>Income!A147</f>
        <v/>
      </c>
      <c r="D180" s="47" t="n"/>
      <c r="E180" s="47" t="n"/>
      <c r="F180" s="47" t="n"/>
      <c r="G180" s="47" t="n"/>
      <c r="H180" s="47" t="n"/>
      <c r="I180" s="47" t="n"/>
    </row>
    <row r="181">
      <c r="A181" s="37" t="inlineStr">
        <is>
          <t>Feb</t>
        </is>
      </c>
      <c r="B181" s="40">
        <f>Expense!A148</f>
        <v/>
      </c>
      <c r="C181" s="41">
        <f>Income!A148</f>
        <v/>
      </c>
      <c r="D181" s="104" t="n"/>
      <c r="E181" s="104" t="n"/>
      <c r="F181" s="104" t="n"/>
      <c r="G181" s="104" t="n"/>
      <c r="H181" s="104" t="n"/>
      <c r="I181" s="104" t="n"/>
    </row>
    <row r="182">
      <c r="A182" s="36" t="inlineStr">
        <is>
          <t>Mar</t>
        </is>
      </c>
      <c r="B182" s="42">
        <f>Expense!A149</f>
        <v/>
      </c>
      <c r="C182" s="47">
        <f>Income!A149</f>
        <v/>
      </c>
      <c r="D182" s="47" t="n"/>
      <c r="E182" s="47" t="n"/>
      <c r="F182" s="47" t="n"/>
      <c r="G182" s="47" t="n"/>
      <c r="H182" s="47" t="n"/>
      <c r="I182" s="47" t="n"/>
    </row>
    <row r="183">
      <c r="A183" s="37" t="n"/>
      <c r="B183" s="40">
        <f>Expense!A150</f>
        <v/>
      </c>
      <c r="C183" s="104">
        <f>Income!A150</f>
        <v/>
      </c>
      <c r="D183" s="104" t="n"/>
      <c r="E183" s="104" t="n"/>
      <c r="F183" s="104" t="n"/>
      <c r="G183" s="104" t="n"/>
      <c r="H183" s="104" t="n"/>
      <c r="I183" s="104" t="n"/>
    </row>
    <row r="184">
      <c r="A184" s="36" t="n"/>
      <c r="B184" s="36">
        <f>Expense!A151</f>
        <v/>
      </c>
      <c r="C184" s="43">
        <f>Income!A151</f>
        <v/>
      </c>
      <c r="D184" s="47" t="n"/>
      <c r="E184" s="47" t="n"/>
      <c r="F184" s="47" t="n"/>
      <c r="G184" s="47" t="n"/>
      <c r="H184" s="47" t="n"/>
      <c r="I184" s="47" t="n"/>
    </row>
    <row r="185">
      <c r="A185" s="37" t="n"/>
      <c r="B185" s="37">
        <f>Expense!A152</f>
        <v/>
      </c>
      <c r="C185" s="104">
        <f>Income!A152</f>
        <v/>
      </c>
      <c r="D185" s="104" t="n"/>
      <c r="E185" s="104" t="n"/>
      <c r="F185" s="104" t="n"/>
      <c r="G185" s="104" t="n"/>
      <c r="H185" s="104" t="n"/>
      <c r="I185" s="104" t="n"/>
    </row>
    <row r="186">
      <c r="A186" s="36" t="n"/>
      <c r="B186" s="36">
        <f>Expense!A153</f>
        <v/>
      </c>
      <c r="C186" s="47">
        <f>Income!A153</f>
        <v/>
      </c>
      <c r="D186" s="47" t="n"/>
      <c r="E186" s="47" t="n"/>
      <c r="F186" s="47" t="n"/>
      <c r="G186" s="47" t="n"/>
      <c r="H186" s="47" t="n"/>
      <c r="I186" s="47" t="n"/>
    </row>
    <row r="187">
      <c r="A187" s="37" t="n"/>
      <c r="B187" s="37">
        <f>Expense!A154</f>
        <v/>
      </c>
      <c r="C187" s="104">
        <f>Income!A154</f>
        <v/>
      </c>
      <c r="D187" s="104" t="n"/>
      <c r="E187" s="104" t="n"/>
      <c r="F187" s="104" t="n"/>
      <c r="G187" s="104" t="n"/>
      <c r="H187" s="104" t="n"/>
      <c r="I187" s="104" t="n"/>
    </row>
    <row r="188">
      <c r="A188" s="36" t="inlineStr">
        <is>
          <t>Apr</t>
        </is>
      </c>
      <c r="B188" s="42">
        <f>Expense!A155</f>
        <v/>
      </c>
      <c r="C188" s="47">
        <f>Income!A155</f>
        <v/>
      </c>
      <c r="D188" s="47" t="n"/>
      <c r="E188" s="47" t="n"/>
      <c r="F188" s="47" t="n"/>
      <c r="G188" s="47" t="n"/>
      <c r="H188" s="47" t="n"/>
      <c r="I188" s="47" t="n"/>
    </row>
    <row r="189">
      <c r="A189" s="37" t="inlineStr">
        <is>
          <t>May</t>
        </is>
      </c>
      <c r="B189" s="40">
        <f>Expense!A156</f>
        <v/>
      </c>
      <c r="C189" s="41">
        <f>Income!A156</f>
        <v/>
      </c>
      <c r="D189" s="104" t="n"/>
      <c r="E189" s="104" t="n"/>
      <c r="F189" s="104" t="n"/>
      <c r="G189" s="104" t="n"/>
      <c r="H189" s="104" t="n"/>
      <c r="I189" s="104" t="n"/>
    </row>
    <row r="190">
      <c r="A190" s="36" t="inlineStr">
        <is>
          <t>Jun</t>
        </is>
      </c>
      <c r="B190" s="42">
        <f>Expense!A157</f>
        <v/>
      </c>
      <c r="C190" s="43">
        <f>Income!A157</f>
        <v/>
      </c>
      <c r="D190" s="47" t="n"/>
      <c r="E190" s="47" t="n"/>
      <c r="F190" s="47" t="n"/>
      <c r="G190" s="47" t="n"/>
      <c r="H190" s="47" t="n"/>
      <c r="I190" s="47" t="n"/>
    </row>
    <row r="191">
      <c r="A191" s="37" t="inlineStr">
        <is>
          <t>Jul</t>
        </is>
      </c>
      <c r="B191" s="40">
        <f>Expense!A158</f>
        <v/>
      </c>
      <c r="C191" s="41">
        <f>Income!A158</f>
        <v/>
      </c>
      <c r="D191" s="104" t="n"/>
      <c r="E191" s="104" t="n"/>
      <c r="F191" s="104" t="n"/>
      <c r="G191" s="104" t="n"/>
      <c r="H191" s="104" t="n"/>
      <c r="I191" s="104" t="n"/>
    </row>
    <row r="192">
      <c r="A192" s="36" t="inlineStr">
        <is>
          <t>Aug</t>
        </is>
      </c>
      <c r="B192" s="42">
        <f>Expense!A159</f>
        <v/>
      </c>
      <c r="C192" s="43">
        <f>Income!A159</f>
        <v/>
      </c>
      <c r="D192" s="47" t="n"/>
      <c r="E192" s="47" t="n"/>
      <c r="F192" s="47" t="n"/>
      <c r="G192" s="47" t="n"/>
      <c r="H192" s="47" t="n"/>
      <c r="I192" s="47" t="n"/>
    </row>
    <row r="193">
      <c r="A193" s="37" t="inlineStr">
        <is>
          <t>Sep</t>
        </is>
      </c>
      <c r="B193" s="40">
        <f>Expense!A160</f>
        <v/>
      </c>
      <c r="C193" s="41">
        <f>Income!A160</f>
        <v/>
      </c>
      <c r="D193" s="104" t="n"/>
      <c r="E193" s="104" t="n"/>
      <c r="F193" s="104" t="n"/>
      <c r="G193" s="104" t="n"/>
      <c r="H193" s="104" t="n"/>
      <c r="I193" s="104" t="n"/>
    </row>
    <row r="194">
      <c r="A194" s="36" t="inlineStr">
        <is>
          <t>Oct</t>
        </is>
      </c>
      <c r="B194" s="42">
        <f>Expense!A161</f>
        <v/>
      </c>
      <c r="C194" s="43">
        <f>Income!A161</f>
        <v/>
      </c>
      <c r="D194" s="47" t="n"/>
      <c r="E194" s="47" t="n"/>
      <c r="F194" s="47" t="n"/>
      <c r="G194" s="47" t="n"/>
      <c r="H194" s="47" t="n"/>
      <c r="I194" s="47" t="n"/>
    </row>
    <row r="195">
      <c r="A195" s="37" t="inlineStr">
        <is>
          <t>Nov</t>
        </is>
      </c>
      <c r="B195" s="40">
        <f>Expense!A162</f>
        <v/>
      </c>
      <c r="C195" s="104">
        <f>Income!A162</f>
        <v/>
      </c>
      <c r="D195" s="104" t="n"/>
      <c r="E195" s="104" t="n"/>
      <c r="F195" s="104" t="n"/>
      <c r="G195" s="104" t="n"/>
      <c r="H195" s="104" t="n"/>
      <c r="I195" s="104" t="n"/>
    </row>
    <row r="196">
      <c r="A196" s="36" t="inlineStr">
        <is>
          <t>Dec</t>
        </is>
      </c>
      <c r="B196" s="42">
        <f>Expense!A163</f>
        <v/>
      </c>
      <c r="C196" s="43">
        <f>Income!A163</f>
        <v/>
      </c>
      <c r="D196" s="47" t="n"/>
      <c r="E196" s="47" t="n"/>
      <c r="F196" s="47" t="n"/>
      <c r="G196" s="47" t="n"/>
      <c r="H196" s="47" t="n"/>
      <c r="I196" s="47" t="n"/>
    </row>
    <row r="197">
      <c r="A197" s="37" t="inlineStr">
        <is>
          <t>Jan</t>
        </is>
      </c>
      <c r="B197" s="40">
        <f>Expense!A164</f>
        <v/>
      </c>
      <c r="C197" s="41">
        <f>Income!A164</f>
        <v/>
      </c>
      <c r="D197" s="104" t="n"/>
      <c r="E197" s="104" t="n"/>
      <c r="F197" s="104" t="n"/>
      <c r="G197" s="104" t="n"/>
      <c r="H197" s="104" t="n"/>
      <c r="I197" s="104" t="n"/>
    </row>
    <row r="198">
      <c r="A198" s="36" t="inlineStr">
        <is>
          <t>Feb</t>
        </is>
      </c>
      <c r="B198" s="42">
        <f>Expense!A165</f>
        <v/>
      </c>
      <c r="C198" s="47">
        <f>Income!A165</f>
        <v/>
      </c>
      <c r="D198" s="47" t="n"/>
      <c r="E198" s="47" t="n"/>
      <c r="F198" s="47" t="n"/>
      <c r="G198" s="47" t="n"/>
      <c r="H198" s="47" t="n"/>
      <c r="I198" s="47" t="n"/>
    </row>
    <row r="199">
      <c r="A199" s="37" t="inlineStr">
        <is>
          <t>Mar</t>
        </is>
      </c>
      <c r="B199" s="40">
        <f>Expense!A166</f>
        <v/>
      </c>
      <c r="C199" s="41">
        <f>Income!A166</f>
        <v/>
      </c>
      <c r="D199" s="104" t="n"/>
      <c r="E199" s="104" t="n"/>
      <c r="F199" s="104" t="n"/>
      <c r="G199" s="104" t="n"/>
      <c r="H199" s="104" t="n"/>
      <c r="I199" s="104" t="n"/>
    </row>
    <row r="200">
      <c r="A200" s="36" t="n"/>
      <c r="B200" s="42">
        <f>Expense!A167</f>
        <v/>
      </c>
      <c r="C200" s="47">
        <f>Income!A167</f>
        <v/>
      </c>
      <c r="D200" s="47" t="n"/>
      <c r="E200" s="47" t="n"/>
      <c r="F200" s="47" t="n"/>
      <c r="G200" s="47" t="n"/>
      <c r="H200" s="47" t="n"/>
      <c r="I200" s="47" t="n"/>
    </row>
    <row r="201">
      <c r="B201" s="4">
        <f>Expense!A168</f>
        <v/>
      </c>
      <c r="C201" s="6">
        <f>Income!A168</f>
        <v/>
      </c>
    </row>
    <row r="202">
      <c r="B202" s="4">
        <f>Expense!A169</f>
        <v/>
      </c>
      <c r="C202" s="4">
        <f>Income!A169</f>
        <v/>
      </c>
    </row>
    <row r="203">
      <c r="B203" s="4">
        <f>Expense!A170</f>
        <v/>
      </c>
      <c r="C203" s="4">
        <f>Income!A170</f>
        <v/>
      </c>
    </row>
    <row r="204">
      <c r="B204" s="4">
        <f>Expense!A171</f>
        <v/>
      </c>
      <c r="C204" s="4">
        <f>Income!A171</f>
        <v/>
      </c>
    </row>
    <row r="205">
      <c r="A205" s="4" t="inlineStr">
        <is>
          <t>Apr</t>
        </is>
      </c>
      <c r="B205" s="6">
        <f>Expense!A172</f>
        <v/>
      </c>
      <c r="C205" s="4">
        <f>Income!A172</f>
        <v/>
      </c>
    </row>
    <row r="206">
      <c r="A206" s="4" t="inlineStr">
        <is>
          <t>May</t>
        </is>
      </c>
      <c r="B206" s="6">
        <f>Expense!A173</f>
        <v/>
      </c>
      <c r="C206" s="6">
        <f>Income!A173</f>
        <v/>
      </c>
    </row>
    <row r="207">
      <c r="A207" s="4" t="inlineStr">
        <is>
          <t>Jun</t>
        </is>
      </c>
      <c r="B207" s="6">
        <f>Expense!A174</f>
        <v/>
      </c>
      <c r="C207" s="6">
        <f>Income!A174</f>
        <v/>
      </c>
    </row>
    <row r="208">
      <c r="A208" s="4" t="inlineStr">
        <is>
          <t>Jul</t>
        </is>
      </c>
      <c r="B208" s="6">
        <f>Expense!A175</f>
        <v/>
      </c>
      <c r="C208" s="6">
        <f>Income!A175</f>
        <v/>
      </c>
    </row>
    <row r="209">
      <c r="A209" s="4" t="inlineStr">
        <is>
          <t>Aug</t>
        </is>
      </c>
      <c r="B209" s="6">
        <f>Expense!A176</f>
        <v/>
      </c>
      <c r="C209" s="6">
        <f>Income!A176</f>
        <v/>
      </c>
    </row>
    <row r="210">
      <c r="A210" s="4" t="inlineStr">
        <is>
          <t>Sep</t>
        </is>
      </c>
      <c r="B210" s="6">
        <f>Expense!A177</f>
        <v/>
      </c>
      <c r="C210" s="6">
        <f>Income!A177</f>
        <v/>
      </c>
    </row>
    <row r="211">
      <c r="A211" s="4" t="inlineStr">
        <is>
          <t>Oct</t>
        </is>
      </c>
      <c r="B211" s="6">
        <f>Expense!A178</f>
        <v/>
      </c>
      <c r="C211" s="6">
        <f>Income!A178</f>
        <v/>
      </c>
    </row>
    <row r="212">
      <c r="A212" s="4" t="inlineStr">
        <is>
          <t>Nov</t>
        </is>
      </c>
      <c r="B212" s="6">
        <f>Expense!A179</f>
        <v/>
      </c>
      <c r="C212" s="6">
        <f>Income!A179</f>
        <v/>
      </c>
    </row>
    <row r="213">
      <c r="A213" s="4" t="inlineStr">
        <is>
          <t>Dec</t>
        </is>
      </c>
      <c r="B213" s="6">
        <f>Expense!A180</f>
        <v/>
      </c>
      <c r="C213" s="6">
        <f>Income!A180</f>
        <v/>
      </c>
    </row>
    <row r="214">
      <c r="A214" s="4" t="inlineStr">
        <is>
          <t>Jan</t>
        </is>
      </c>
      <c r="B214" s="6">
        <f>Expense!A181</f>
        <v/>
      </c>
      <c r="C214" s="6">
        <f>Income!A181</f>
        <v/>
      </c>
    </row>
    <row r="215">
      <c r="A215" s="4" t="inlineStr">
        <is>
          <t>Feb</t>
        </is>
      </c>
      <c r="B215" s="6">
        <f>Expense!A182</f>
        <v/>
      </c>
      <c r="C215" s="6">
        <f>Income!A182</f>
        <v/>
      </c>
    </row>
    <row r="216">
      <c r="A216" s="4" t="inlineStr">
        <is>
          <t>Mar</t>
        </is>
      </c>
      <c r="B216" s="6">
        <f>Expense!A183</f>
        <v/>
      </c>
      <c r="C216" s="4">
        <f>Income!A183</f>
        <v/>
      </c>
    </row>
    <row r="217">
      <c r="B217" s="6">
        <f>Expense!A184</f>
        <v/>
      </c>
      <c r="C217" s="4">
        <f>Income!A184</f>
        <v/>
      </c>
    </row>
    <row r="218">
      <c r="B218" s="4">
        <f>Expense!A185</f>
        <v/>
      </c>
      <c r="C218" s="6">
        <f>Income!A185</f>
        <v/>
      </c>
    </row>
    <row r="219">
      <c r="B219" s="4">
        <f>Expense!A186</f>
        <v/>
      </c>
      <c r="C219" s="4">
        <f>Income!A186</f>
        <v/>
      </c>
    </row>
    <row r="220">
      <c r="B220" s="4">
        <f>Expense!A187</f>
        <v/>
      </c>
      <c r="C220" s="4">
        <f>Income!A187</f>
        <v/>
      </c>
    </row>
    <row r="221">
      <c r="B221" s="4">
        <f>Expense!A188</f>
        <v/>
      </c>
      <c r="C221" s="4">
        <f>Income!A188</f>
        <v/>
      </c>
    </row>
    <row r="222">
      <c r="A222" s="4" t="inlineStr">
        <is>
          <t>Apr</t>
        </is>
      </c>
      <c r="B222" s="6">
        <f>Expense!A189</f>
        <v/>
      </c>
      <c r="C222" s="4">
        <f>Income!A189</f>
        <v/>
      </c>
    </row>
    <row r="223">
      <c r="A223" s="4" t="inlineStr">
        <is>
          <t>May</t>
        </is>
      </c>
      <c r="B223" s="6">
        <f>Expense!A190</f>
        <v/>
      </c>
      <c r="C223" s="6">
        <f>Income!A190</f>
        <v/>
      </c>
    </row>
    <row r="224">
      <c r="A224" s="4" t="inlineStr">
        <is>
          <t>Jun</t>
        </is>
      </c>
      <c r="B224" s="6">
        <f>Expense!A191</f>
        <v/>
      </c>
      <c r="C224" s="6">
        <f>Income!A191</f>
        <v/>
      </c>
    </row>
    <row r="225">
      <c r="A225" s="4" t="inlineStr">
        <is>
          <t>Jul</t>
        </is>
      </c>
      <c r="B225" s="6">
        <f>Expense!A192</f>
        <v/>
      </c>
      <c r="C225" s="6">
        <f>Income!A192</f>
        <v/>
      </c>
    </row>
    <row r="226">
      <c r="A226" s="4" t="inlineStr">
        <is>
          <t>Aug</t>
        </is>
      </c>
      <c r="B226" s="6">
        <f>Expense!A193</f>
        <v/>
      </c>
      <c r="C226" s="6">
        <f>Income!A193</f>
        <v/>
      </c>
    </row>
    <row r="227">
      <c r="A227" s="4" t="inlineStr">
        <is>
          <t>Sep</t>
        </is>
      </c>
      <c r="B227" s="6">
        <f>Expense!A194</f>
        <v/>
      </c>
      <c r="C227" s="6">
        <f>Income!A194</f>
        <v/>
      </c>
    </row>
    <row r="228">
      <c r="A228" s="4" t="inlineStr">
        <is>
          <t>Oct</t>
        </is>
      </c>
      <c r="B228" s="6">
        <f>Expense!A195</f>
        <v/>
      </c>
      <c r="C228" s="6">
        <f>Income!A195</f>
        <v/>
      </c>
    </row>
    <row r="229">
      <c r="A229" s="4" t="inlineStr">
        <is>
          <t>Nov</t>
        </is>
      </c>
      <c r="B229" s="6">
        <f>Expense!A196</f>
        <v/>
      </c>
      <c r="C229" s="6">
        <f>Income!A196</f>
        <v/>
      </c>
    </row>
    <row r="230">
      <c r="A230" s="4" t="inlineStr">
        <is>
          <t>Dec</t>
        </is>
      </c>
      <c r="B230" s="6">
        <f>Expense!A197</f>
        <v/>
      </c>
      <c r="C230" s="6">
        <f>Income!A197</f>
        <v/>
      </c>
    </row>
    <row r="231">
      <c r="A231" s="4" t="inlineStr">
        <is>
          <t>Jan</t>
        </is>
      </c>
      <c r="B231" s="6">
        <f>Expense!A198</f>
        <v/>
      </c>
      <c r="C231" s="6">
        <f>Income!A198</f>
        <v/>
      </c>
    </row>
    <row r="232">
      <c r="A232" s="4" t="inlineStr">
        <is>
          <t>Feb</t>
        </is>
      </c>
      <c r="B232" s="6">
        <f>Expense!A199</f>
        <v/>
      </c>
      <c r="C232" s="6">
        <f>Income!A199</f>
        <v/>
      </c>
    </row>
    <row r="233">
      <c r="A233" s="4" t="inlineStr">
        <is>
          <t>Mar</t>
        </is>
      </c>
      <c r="B233" s="6">
        <f>Expense!A200</f>
        <v/>
      </c>
      <c r="C233" s="4">
        <f>Income!A200</f>
        <v/>
      </c>
    </row>
    <row r="234">
      <c r="B234" s="6">
        <f>Expense!A201</f>
        <v/>
      </c>
      <c r="C234" s="4">
        <f>Income!A201</f>
        <v/>
      </c>
    </row>
    <row r="235">
      <c r="B235" s="4">
        <f>Expense!A202</f>
        <v/>
      </c>
      <c r="C235" s="6">
        <f>Income!A202</f>
        <v/>
      </c>
    </row>
    <row r="236">
      <c r="B236" s="4">
        <f>Expense!A203</f>
        <v/>
      </c>
      <c r="C236" s="4">
        <f>Income!A203</f>
        <v/>
      </c>
    </row>
    <row r="237">
      <c r="B237" s="4">
        <f>Expense!A204</f>
        <v/>
      </c>
      <c r="C237" s="4">
        <f>Income!A204</f>
        <v/>
      </c>
    </row>
    <row r="238">
      <c r="B238" s="4">
        <f>Expense!A205</f>
        <v/>
      </c>
      <c r="C238" s="4">
        <f>Income!A205</f>
        <v/>
      </c>
    </row>
    <row r="239">
      <c r="A239" s="4" t="inlineStr">
        <is>
          <t>Apr</t>
        </is>
      </c>
      <c r="B239" s="6">
        <f>Expense!A206</f>
        <v/>
      </c>
      <c r="C239" s="4">
        <f>Income!A206</f>
        <v/>
      </c>
    </row>
    <row r="240">
      <c r="A240" s="4" t="inlineStr">
        <is>
          <t>May</t>
        </is>
      </c>
      <c r="B240" s="6">
        <f>Expense!A207</f>
        <v/>
      </c>
      <c r="C240" s="4">
        <f>Income!A207</f>
        <v/>
      </c>
    </row>
    <row r="241">
      <c r="A241" s="4" t="inlineStr">
        <is>
          <t>Jun</t>
        </is>
      </c>
      <c r="B241" s="6">
        <f>Expense!A208</f>
        <v/>
      </c>
      <c r="C241" s="4">
        <f>Income!A208</f>
        <v/>
      </c>
    </row>
    <row r="242">
      <c r="A242" s="4" t="inlineStr">
        <is>
          <t>Jul</t>
        </is>
      </c>
      <c r="B242" s="6">
        <f>Expense!A209</f>
        <v/>
      </c>
      <c r="C242" s="4">
        <f>Income!A209</f>
        <v/>
      </c>
    </row>
    <row r="243">
      <c r="A243" s="4" t="inlineStr">
        <is>
          <t>Aug</t>
        </is>
      </c>
      <c r="B243" s="6">
        <f>Expense!A210</f>
        <v/>
      </c>
      <c r="C243" s="4">
        <f>Income!A210</f>
        <v/>
      </c>
    </row>
    <row r="244">
      <c r="A244" s="4" t="inlineStr">
        <is>
          <t>Sep</t>
        </is>
      </c>
      <c r="B244" s="6">
        <f>Expense!A211</f>
        <v/>
      </c>
      <c r="C244" s="4">
        <f>Income!A211</f>
        <v/>
      </c>
    </row>
    <row r="245">
      <c r="A245" s="4" t="inlineStr">
        <is>
          <t>Oct</t>
        </is>
      </c>
      <c r="B245" s="6">
        <f>Expense!A212</f>
        <v/>
      </c>
      <c r="C245" s="6">
        <f>Income!A212</f>
        <v/>
      </c>
    </row>
    <row r="246">
      <c r="A246" s="4" t="inlineStr">
        <is>
          <t>Nov</t>
        </is>
      </c>
      <c r="B246" s="6">
        <f>Expense!A213</f>
        <v/>
      </c>
      <c r="C246" s="4">
        <f>Income!A213</f>
        <v/>
      </c>
    </row>
    <row r="247">
      <c r="A247" s="4" t="inlineStr">
        <is>
          <t>Dec</t>
        </is>
      </c>
      <c r="B247" s="6">
        <f>Expense!A214</f>
        <v/>
      </c>
      <c r="C247" s="4">
        <f>Income!A214</f>
        <v/>
      </c>
    </row>
    <row r="248">
      <c r="A248" s="4" t="inlineStr">
        <is>
          <t>Jan</t>
        </is>
      </c>
      <c r="B248" s="6">
        <f>Expense!A215</f>
        <v/>
      </c>
      <c r="C248" s="4">
        <f>Income!A215</f>
        <v/>
      </c>
    </row>
    <row r="249">
      <c r="A249" s="4" t="inlineStr">
        <is>
          <t>Feb</t>
        </is>
      </c>
      <c r="B249" s="6">
        <f>Expense!A216</f>
        <v/>
      </c>
      <c r="C249" s="4">
        <f>Income!A216</f>
        <v/>
      </c>
    </row>
    <row r="250">
      <c r="A250" s="4" t="inlineStr">
        <is>
          <t>Mar</t>
        </is>
      </c>
      <c r="B250" s="6">
        <f>Expense!A217</f>
        <v/>
      </c>
      <c r="C250" s="4">
        <f>Income!A217</f>
        <v/>
      </c>
    </row>
    <row r="251">
      <c r="B251" s="6">
        <f>Expense!A218</f>
        <v/>
      </c>
      <c r="C251" s="4">
        <f>Income!A218</f>
        <v/>
      </c>
    </row>
    <row r="252">
      <c r="B252" s="4">
        <f>Expense!A219</f>
        <v/>
      </c>
      <c r="C252" s="6">
        <f>Income!A219</f>
        <v/>
      </c>
    </row>
    <row r="253">
      <c r="B253" s="4">
        <f>Expense!A220</f>
        <v/>
      </c>
      <c r="C253" s="4">
        <f>Income!A220</f>
        <v/>
      </c>
    </row>
    <row r="254">
      <c r="B254" s="4">
        <f>Expense!A221</f>
        <v/>
      </c>
      <c r="C254" s="4">
        <f>Income!A221</f>
        <v/>
      </c>
    </row>
    <row r="255">
      <c r="B255" s="4">
        <f>Expense!A222</f>
        <v/>
      </c>
      <c r="C255" s="4">
        <f>Income!A222</f>
        <v/>
      </c>
    </row>
    <row r="256">
      <c r="A256" s="4" t="inlineStr">
        <is>
          <t>Apr</t>
        </is>
      </c>
      <c r="B256" s="6">
        <f>Expense!A223</f>
        <v/>
      </c>
      <c r="C256" s="4">
        <f>Income!A223</f>
        <v/>
      </c>
    </row>
    <row r="257">
      <c r="A257" s="4" t="inlineStr">
        <is>
          <t>May</t>
        </is>
      </c>
      <c r="B257" s="6">
        <f>Expense!A224</f>
        <v/>
      </c>
      <c r="C257" s="6">
        <f>Income!A224</f>
        <v/>
      </c>
    </row>
    <row r="258">
      <c r="A258" s="4" t="inlineStr">
        <is>
          <t>Jun</t>
        </is>
      </c>
      <c r="B258" s="6">
        <f>Expense!A225</f>
        <v/>
      </c>
      <c r="C258" s="6">
        <f>Income!A225</f>
        <v/>
      </c>
    </row>
    <row r="259">
      <c r="A259" s="4" t="inlineStr">
        <is>
          <t>Jul</t>
        </is>
      </c>
      <c r="B259" s="6">
        <f>Expense!A226</f>
        <v/>
      </c>
      <c r="C259" s="6">
        <f>Income!A226</f>
        <v/>
      </c>
    </row>
    <row r="260">
      <c r="A260" s="4" t="inlineStr">
        <is>
          <t>Aug</t>
        </is>
      </c>
      <c r="B260" s="6">
        <f>Expense!A227</f>
        <v/>
      </c>
      <c r="C260" s="6">
        <f>Income!A227</f>
        <v/>
      </c>
    </row>
    <row r="261">
      <c r="A261" s="4" t="inlineStr">
        <is>
          <t>Sep</t>
        </is>
      </c>
      <c r="B261" s="6">
        <f>Expense!A228</f>
        <v/>
      </c>
      <c r="C261" s="6">
        <f>Income!A228</f>
        <v/>
      </c>
    </row>
    <row r="262">
      <c r="A262" s="4" t="inlineStr">
        <is>
          <t>Oct</t>
        </is>
      </c>
      <c r="B262" s="6">
        <f>Expense!A229</f>
        <v/>
      </c>
      <c r="C262" s="6">
        <f>Income!A229</f>
        <v/>
      </c>
    </row>
    <row r="263">
      <c r="A263" s="4" t="inlineStr">
        <is>
          <t>Nov</t>
        </is>
      </c>
      <c r="B263" s="6">
        <f>Expense!A230</f>
        <v/>
      </c>
      <c r="C263" s="4">
        <f>Income!A230</f>
        <v/>
      </c>
    </row>
    <row r="264">
      <c r="A264" s="4" t="inlineStr">
        <is>
          <t>Dec</t>
        </is>
      </c>
      <c r="B264" s="6">
        <f>Expense!A231</f>
        <v/>
      </c>
      <c r="C264" s="6">
        <f>Income!A231</f>
        <v/>
      </c>
    </row>
    <row r="265">
      <c r="A265" s="4" t="inlineStr">
        <is>
          <t>Jan</t>
        </is>
      </c>
      <c r="B265" s="6">
        <f>Expense!A232</f>
        <v/>
      </c>
      <c r="C265" s="6">
        <f>Income!A232</f>
        <v/>
      </c>
    </row>
    <row r="266">
      <c r="A266" s="4" t="inlineStr">
        <is>
          <t>Feb</t>
        </is>
      </c>
      <c r="B266" s="6">
        <f>Expense!A233</f>
        <v/>
      </c>
      <c r="C266" s="6">
        <f>Income!A233</f>
        <v/>
      </c>
    </row>
    <row r="267">
      <c r="A267" s="4" t="inlineStr">
        <is>
          <t>Mar</t>
        </is>
      </c>
      <c r="B267" s="6">
        <f>Expense!A234</f>
        <v/>
      </c>
      <c r="C267" s="4">
        <f>Income!A234</f>
        <v/>
      </c>
    </row>
    <row r="268">
      <c r="B268" s="6">
        <f>Expense!A235</f>
        <v/>
      </c>
      <c r="C268" s="4">
        <f>Income!A235</f>
        <v/>
      </c>
    </row>
    <row r="269">
      <c r="B269" s="4">
        <f>Expense!A236</f>
        <v/>
      </c>
      <c r="C269" s="6">
        <f>Income!A236</f>
        <v/>
      </c>
    </row>
    <row r="270">
      <c r="B270" s="4">
        <f>Expense!A237</f>
        <v/>
      </c>
      <c r="C270" s="4">
        <f>Income!A237</f>
        <v/>
      </c>
    </row>
    <row r="271">
      <c r="B271" s="4">
        <f>Expense!A238</f>
        <v/>
      </c>
      <c r="C271" s="4">
        <f>Income!A238</f>
        <v/>
      </c>
    </row>
    <row r="272">
      <c r="B272" s="4">
        <f>Expense!A239</f>
        <v/>
      </c>
      <c r="C272" s="4">
        <f>Income!A239</f>
        <v/>
      </c>
    </row>
    <row r="273">
      <c r="A273" s="4" t="inlineStr">
        <is>
          <t>Apr</t>
        </is>
      </c>
      <c r="B273" s="6">
        <f>Expense!A240</f>
        <v/>
      </c>
      <c r="C273" s="4">
        <f>Income!A240</f>
        <v/>
      </c>
    </row>
    <row r="274">
      <c r="A274" s="4" t="inlineStr">
        <is>
          <t>May</t>
        </is>
      </c>
      <c r="B274" s="6">
        <f>Expense!A241</f>
        <v/>
      </c>
      <c r="C274" s="4">
        <f>Income!A241</f>
        <v/>
      </c>
    </row>
    <row r="275">
      <c r="A275" s="4" t="inlineStr">
        <is>
          <t>Jun</t>
        </is>
      </c>
      <c r="B275" s="6">
        <f>Expense!A242</f>
        <v/>
      </c>
      <c r="C275" s="4">
        <f>Income!A242</f>
        <v/>
      </c>
    </row>
    <row r="276">
      <c r="A276" s="4" t="inlineStr">
        <is>
          <t>Jul</t>
        </is>
      </c>
      <c r="B276" s="6">
        <f>Expense!A243</f>
        <v/>
      </c>
      <c r="C276" s="4">
        <f>Income!A243</f>
        <v/>
      </c>
    </row>
    <row r="277">
      <c r="A277" s="4" t="inlineStr">
        <is>
          <t>Aug</t>
        </is>
      </c>
      <c r="B277" s="6">
        <f>Expense!A244</f>
        <v/>
      </c>
      <c r="C277" s="4">
        <f>Income!A244</f>
        <v/>
      </c>
    </row>
    <row r="278">
      <c r="A278" s="4" t="inlineStr">
        <is>
          <t>Sep</t>
        </is>
      </c>
      <c r="B278" s="6">
        <f>Expense!A245</f>
        <v/>
      </c>
      <c r="C278" s="4">
        <f>Income!A245</f>
        <v/>
      </c>
    </row>
    <row r="279">
      <c r="A279" s="4" t="inlineStr">
        <is>
          <t>Oct</t>
        </is>
      </c>
      <c r="B279" s="6">
        <f>Expense!A246</f>
        <v/>
      </c>
      <c r="C279" s="6">
        <f>Income!A246</f>
        <v/>
      </c>
    </row>
    <row r="280">
      <c r="A280" s="4" t="inlineStr">
        <is>
          <t>Nov</t>
        </is>
      </c>
      <c r="B280" s="6">
        <f>Expense!A247</f>
        <v/>
      </c>
      <c r="C280" s="4">
        <f>Income!A247</f>
        <v/>
      </c>
    </row>
    <row r="281">
      <c r="A281" s="4" t="inlineStr">
        <is>
          <t>Dec</t>
        </is>
      </c>
      <c r="B281" s="6">
        <f>Expense!A248</f>
        <v/>
      </c>
      <c r="C281" s="4">
        <f>Income!A248</f>
        <v/>
      </c>
    </row>
    <row r="282">
      <c r="A282" s="4" t="inlineStr">
        <is>
          <t>Jan</t>
        </is>
      </c>
      <c r="B282" s="6">
        <f>Expense!A249</f>
        <v/>
      </c>
      <c r="C282" s="4">
        <f>Income!A249</f>
        <v/>
      </c>
    </row>
    <row r="283">
      <c r="A283" s="4" t="inlineStr">
        <is>
          <t>Feb</t>
        </is>
      </c>
      <c r="B283" s="6">
        <f>Expense!A250</f>
        <v/>
      </c>
      <c r="C283" s="4">
        <f>Income!A250</f>
        <v/>
      </c>
    </row>
    <row r="284">
      <c r="A284" s="4" t="inlineStr">
        <is>
          <t>Mar</t>
        </is>
      </c>
      <c r="B284" s="6">
        <f>Expense!A251</f>
        <v/>
      </c>
      <c r="C284" s="4">
        <f>Income!A251</f>
        <v/>
      </c>
    </row>
    <row r="285">
      <c r="B285" s="6">
        <f>Expense!A252</f>
        <v/>
      </c>
      <c r="C285" s="4">
        <f>Income!A252</f>
        <v/>
      </c>
    </row>
    <row r="286">
      <c r="B286" s="4">
        <f>Expense!A253</f>
        <v/>
      </c>
      <c r="C286" s="6">
        <f>Income!A253</f>
        <v/>
      </c>
    </row>
    <row r="287">
      <c r="B287" s="4">
        <f>Expense!A254</f>
        <v/>
      </c>
      <c r="C287" s="4">
        <f>Income!A254</f>
        <v/>
      </c>
    </row>
    <row r="288">
      <c r="B288" s="4">
        <f>Expense!A255</f>
        <v/>
      </c>
      <c r="C288" s="4">
        <f>Income!A255</f>
        <v/>
      </c>
    </row>
    <row r="289">
      <c r="B289" s="4">
        <f>Expense!A256</f>
        <v/>
      </c>
      <c r="C289" s="4">
        <f>Income!A256</f>
        <v/>
      </c>
    </row>
    <row r="290">
      <c r="A290" s="4" t="inlineStr">
        <is>
          <t>Apr</t>
        </is>
      </c>
      <c r="B290" s="6">
        <f>Expense!A257</f>
        <v/>
      </c>
      <c r="C290" s="4">
        <f>Income!A257</f>
        <v/>
      </c>
    </row>
    <row r="291">
      <c r="A291" s="4" t="inlineStr">
        <is>
          <t>May</t>
        </is>
      </c>
      <c r="B291" s="6">
        <f>Expense!A258</f>
        <v/>
      </c>
      <c r="C291" s="4">
        <f>Income!A258</f>
        <v/>
      </c>
    </row>
    <row r="292">
      <c r="A292" s="4" t="inlineStr">
        <is>
          <t>Jun</t>
        </is>
      </c>
      <c r="B292" s="6">
        <f>Expense!A259</f>
        <v/>
      </c>
      <c r="C292" s="4">
        <f>Income!A259</f>
        <v/>
      </c>
    </row>
    <row r="293">
      <c r="A293" s="4" t="inlineStr">
        <is>
          <t>Jul</t>
        </is>
      </c>
      <c r="B293" s="6">
        <f>Expense!A260</f>
        <v/>
      </c>
      <c r="C293" s="4">
        <f>Income!A260</f>
        <v/>
      </c>
    </row>
    <row r="294">
      <c r="A294" s="4" t="inlineStr">
        <is>
          <t>Aug</t>
        </is>
      </c>
      <c r="B294" s="6">
        <f>Expense!A261</f>
        <v/>
      </c>
      <c r="C294" s="4">
        <f>Income!A261</f>
        <v/>
      </c>
    </row>
    <row r="295">
      <c r="A295" s="4" t="inlineStr">
        <is>
          <t>Sep</t>
        </is>
      </c>
      <c r="B295" s="6">
        <f>Expense!A262</f>
        <v/>
      </c>
      <c r="C295" s="4">
        <f>Income!A262</f>
        <v/>
      </c>
    </row>
    <row r="296">
      <c r="A296" s="4" t="inlineStr">
        <is>
          <t>Oct</t>
        </is>
      </c>
      <c r="B296" s="6">
        <f>Expense!A263</f>
        <v/>
      </c>
      <c r="C296" s="4">
        <f>Income!A263</f>
        <v/>
      </c>
    </row>
    <row r="297">
      <c r="A297" s="4" t="inlineStr">
        <is>
          <t>Nov</t>
        </is>
      </c>
      <c r="B297" s="6">
        <f>Expense!A264</f>
        <v/>
      </c>
      <c r="C297" s="4">
        <f>Income!A264</f>
        <v/>
      </c>
    </row>
    <row r="298">
      <c r="A298" s="4" t="inlineStr">
        <is>
          <t>Dec</t>
        </is>
      </c>
      <c r="B298" s="6">
        <f>Expense!A265</f>
        <v/>
      </c>
      <c r="C298" s="4">
        <f>Income!A265</f>
        <v/>
      </c>
    </row>
    <row r="299">
      <c r="A299" s="4" t="inlineStr">
        <is>
          <t>Jan</t>
        </is>
      </c>
      <c r="B299" s="6">
        <f>Expense!A266</f>
        <v/>
      </c>
      <c r="C299" s="4">
        <f>Income!A266</f>
        <v/>
      </c>
    </row>
    <row r="300">
      <c r="A300" s="4" t="inlineStr">
        <is>
          <t>Feb</t>
        </is>
      </c>
      <c r="B300" s="6">
        <f>Expense!A267</f>
        <v/>
      </c>
      <c r="C300" s="4">
        <f>Income!A267</f>
        <v/>
      </c>
    </row>
    <row r="301">
      <c r="A301" s="4" t="inlineStr">
        <is>
          <t>Mar</t>
        </is>
      </c>
      <c r="B301" s="6">
        <f>Expense!A268</f>
        <v/>
      </c>
      <c r="C301" s="4">
        <f>Income!A268</f>
        <v/>
      </c>
    </row>
    <row r="302">
      <c r="B302" s="6">
        <f>Expense!A269</f>
        <v/>
      </c>
      <c r="C302" s="4">
        <f>Income!A269</f>
        <v/>
      </c>
    </row>
    <row r="303">
      <c r="B303" s="4">
        <f>Expense!A270</f>
        <v/>
      </c>
      <c r="C303" s="6">
        <f>Income!A270</f>
        <v/>
      </c>
    </row>
    <row r="304">
      <c r="B304" s="4">
        <f>Expense!A271</f>
        <v/>
      </c>
      <c r="C304" s="4">
        <f>Income!A271</f>
        <v/>
      </c>
    </row>
    <row r="305">
      <c r="B305" s="4">
        <f>Expense!A272</f>
        <v/>
      </c>
      <c r="C305" s="4">
        <f>Income!A272</f>
        <v/>
      </c>
    </row>
    <row r="306">
      <c r="B306" s="4">
        <f>Expense!A273</f>
        <v/>
      </c>
      <c r="C306" s="4">
        <f>Income!A273</f>
        <v/>
      </c>
    </row>
    <row r="307">
      <c r="A307" s="4" t="inlineStr">
        <is>
          <t>Apr</t>
        </is>
      </c>
      <c r="B307" s="6">
        <f>Expense!A274</f>
        <v/>
      </c>
      <c r="C307" s="4">
        <f>Income!A274</f>
        <v/>
      </c>
    </row>
    <row r="308">
      <c r="A308" s="4" t="inlineStr">
        <is>
          <t>May</t>
        </is>
      </c>
      <c r="B308" s="6">
        <f>Expense!A275</f>
        <v/>
      </c>
      <c r="C308" s="6">
        <f>Income!A275</f>
        <v/>
      </c>
    </row>
    <row r="309">
      <c r="A309" s="4" t="inlineStr">
        <is>
          <t>Jun</t>
        </is>
      </c>
      <c r="B309" s="6">
        <f>Expense!A276</f>
        <v/>
      </c>
      <c r="C309" s="6">
        <f>Income!A276</f>
        <v/>
      </c>
    </row>
    <row r="310">
      <c r="A310" s="4" t="inlineStr">
        <is>
          <t>Jul</t>
        </is>
      </c>
      <c r="B310" s="6">
        <f>Expense!A277</f>
        <v/>
      </c>
      <c r="C310" s="6">
        <f>Income!A277</f>
        <v/>
      </c>
    </row>
    <row r="311">
      <c r="A311" s="4" t="inlineStr">
        <is>
          <t>Aug</t>
        </is>
      </c>
      <c r="B311" s="6">
        <f>Expense!A278</f>
        <v/>
      </c>
      <c r="C311" s="6">
        <f>Income!A278</f>
        <v/>
      </c>
    </row>
    <row r="312">
      <c r="A312" s="4" t="inlineStr">
        <is>
          <t>Sep</t>
        </is>
      </c>
      <c r="B312" s="6">
        <f>Expense!A279</f>
        <v/>
      </c>
      <c r="C312" s="6">
        <f>Income!A279</f>
        <v/>
      </c>
    </row>
    <row r="313">
      <c r="A313" s="4" t="inlineStr">
        <is>
          <t>Oct</t>
        </is>
      </c>
      <c r="B313" s="6">
        <f>Expense!A280</f>
        <v/>
      </c>
      <c r="C313" s="6">
        <f>Income!A280</f>
        <v/>
      </c>
    </row>
    <row r="314">
      <c r="A314" s="4" t="inlineStr">
        <is>
          <t>Nov</t>
        </is>
      </c>
      <c r="B314" s="6">
        <f>Expense!A281</f>
        <v/>
      </c>
      <c r="C314" s="4">
        <f>Income!A281</f>
        <v/>
      </c>
    </row>
    <row r="315">
      <c r="A315" s="4" t="inlineStr">
        <is>
          <t>Dec</t>
        </is>
      </c>
      <c r="B315" s="6">
        <f>Expense!A282</f>
        <v/>
      </c>
      <c r="C315" s="6">
        <f>Income!A282</f>
        <v/>
      </c>
    </row>
    <row r="316">
      <c r="A316" s="4" t="inlineStr">
        <is>
          <t>Jan</t>
        </is>
      </c>
      <c r="B316" s="6">
        <f>Expense!A283</f>
        <v/>
      </c>
      <c r="C316" s="6">
        <f>Income!A283</f>
        <v/>
      </c>
    </row>
    <row r="317">
      <c r="A317" s="4" t="inlineStr">
        <is>
          <t>Feb</t>
        </is>
      </c>
      <c r="B317" s="6">
        <f>Expense!A284</f>
        <v/>
      </c>
      <c r="C317" s="4">
        <f>Income!A284</f>
        <v/>
      </c>
    </row>
    <row r="318">
      <c r="A318" s="4" t="inlineStr">
        <is>
          <t>Mar</t>
        </is>
      </c>
      <c r="B318" s="6">
        <f>Expense!A285</f>
        <v/>
      </c>
      <c r="C318" s="6">
        <f>Income!A285</f>
        <v/>
      </c>
    </row>
    <row r="319">
      <c r="B319" s="6">
        <f>Expense!A286</f>
        <v/>
      </c>
      <c r="C319" s="4">
        <f>Income!A286</f>
        <v/>
      </c>
    </row>
    <row r="320">
      <c r="B320" s="4">
        <f>Expense!A287</f>
        <v/>
      </c>
      <c r="C320" s="6">
        <f>Income!A287</f>
        <v/>
      </c>
    </row>
    <row r="321">
      <c r="B321" s="4">
        <f>Expense!A288</f>
        <v/>
      </c>
      <c r="C321" s="4">
        <f>Income!A288</f>
        <v/>
      </c>
    </row>
    <row r="322">
      <c r="B322" s="4">
        <f>Expense!A289</f>
        <v/>
      </c>
      <c r="C322" s="4">
        <f>Income!A289</f>
        <v/>
      </c>
    </row>
    <row r="323">
      <c r="B323" s="4">
        <f>Expense!A290</f>
        <v/>
      </c>
      <c r="C323" s="4">
        <f>Income!A290</f>
        <v/>
      </c>
    </row>
    <row r="324">
      <c r="A324" s="4" t="inlineStr">
        <is>
          <t>Apr</t>
        </is>
      </c>
      <c r="B324" s="6">
        <f>Expense!A291</f>
        <v/>
      </c>
      <c r="C324" s="4">
        <f>Income!A291</f>
        <v/>
      </c>
    </row>
    <row r="325">
      <c r="A325" s="4" t="inlineStr">
        <is>
          <t>May</t>
        </is>
      </c>
      <c r="B325" s="6">
        <f>Expense!A292</f>
        <v/>
      </c>
      <c r="C325" s="6">
        <f>Income!A292</f>
        <v/>
      </c>
    </row>
    <row r="326">
      <c r="A326" s="4" t="inlineStr">
        <is>
          <t>Jun</t>
        </is>
      </c>
      <c r="B326" s="6">
        <f>Expense!A293</f>
        <v/>
      </c>
      <c r="C326" s="6">
        <f>Income!A293</f>
        <v/>
      </c>
    </row>
    <row r="327">
      <c r="A327" s="4" t="inlineStr">
        <is>
          <t>Jul</t>
        </is>
      </c>
      <c r="B327" s="6">
        <f>Expense!A294</f>
        <v/>
      </c>
      <c r="C327" s="6">
        <f>Income!A294</f>
        <v/>
      </c>
    </row>
    <row r="328">
      <c r="A328" s="4" t="inlineStr">
        <is>
          <t>Aug</t>
        </is>
      </c>
      <c r="B328" s="6">
        <f>Expense!A295</f>
        <v/>
      </c>
      <c r="C328" s="6">
        <f>Income!A295</f>
        <v/>
      </c>
    </row>
    <row r="329">
      <c r="A329" s="4" t="inlineStr">
        <is>
          <t>Sep</t>
        </is>
      </c>
      <c r="B329" s="6">
        <f>Expense!A296</f>
        <v/>
      </c>
      <c r="C329" s="6">
        <f>Income!A296</f>
        <v/>
      </c>
    </row>
    <row r="330">
      <c r="A330" s="4" t="inlineStr">
        <is>
          <t>Oct</t>
        </is>
      </c>
      <c r="B330" s="6">
        <f>Expense!A297</f>
        <v/>
      </c>
      <c r="C330" s="6">
        <f>Income!A297</f>
        <v/>
      </c>
    </row>
    <row r="331">
      <c r="A331" s="4" t="inlineStr">
        <is>
          <t>Nov</t>
        </is>
      </c>
      <c r="B331" s="6">
        <f>Expense!A298</f>
        <v/>
      </c>
      <c r="C331" s="6">
        <f>Income!A298</f>
        <v/>
      </c>
    </row>
    <row r="332">
      <c r="A332" s="4" t="inlineStr">
        <is>
          <t>Dec</t>
        </is>
      </c>
      <c r="B332" s="6">
        <f>Expense!A299</f>
        <v/>
      </c>
      <c r="C332" s="6">
        <f>Income!A299</f>
        <v/>
      </c>
    </row>
    <row r="333">
      <c r="A333" s="4" t="inlineStr">
        <is>
          <t>Jan</t>
        </is>
      </c>
      <c r="B333" s="6">
        <f>Expense!A300</f>
        <v/>
      </c>
      <c r="C333" s="6">
        <f>Income!A300</f>
        <v/>
      </c>
    </row>
    <row r="334">
      <c r="A334" s="4" t="inlineStr">
        <is>
          <t>Feb</t>
        </is>
      </c>
      <c r="B334" s="6">
        <f>Expense!A301</f>
        <v/>
      </c>
      <c r="C334" s="6">
        <f>Income!A301</f>
        <v/>
      </c>
    </row>
    <row r="335">
      <c r="A335" s="4" t="inlineStr">
        <is>
          <t>Mar</t>
        </is>
      </c>
      <c r="B335" s="6">
        <f>Expense!A302</f>
        <v/>
      </c>
      <c r="C335" s="4">
        <f>Income!A302</f>
        <v/>
      </c>
    </row>
    <row r="336">
      <c r="B336" s="6">
        <f>Expense!A303</f>
        <v/>
      </c>
      <c r="C336" s="4">
        <f>Income!A303</f>
        <v/>
      </c>
    </row>
    <row r="337">
      <c r="B337" s="4">
        <f>Expense!A304</f>
        <v/>
      </c>
      <c r="C337" s="6">
        <f>Income!A304</f>
        <v/>
      </c>
    </row>
    <row r="338">
      <c r="B338" s="4">
        <f>Expense!A305</f>
        <v/>
      </c>
      <c r="C338" s="4">
        <f>Income!A305</f>
        <v/>
      </c>
    </row>
    <row r="339">
      <c r="B339" s="4">
        <f>Expense!A306</f>
        <v/>
      </c>
      <c r="C339" s="4">
        <f>Income!A306</f>
        <v/>
      </c>
    </row>
    <row r="340">
      <c r="B340" s="4">
        <f>Expense!A307</f>
        <v/>
      </c>
      <c r="C340" s="4">
        <f>Income!A307</f>
        <v/>
      </c>
    </row>
    <row r="341">
      <c r="A341" s="4" t="inlineStr">
        <is>
          <t>Apr</t>
        </is>
      </c>
      <c r="B341" s="6">
        <f>Expense!A308</f>
        <v/>
      </c>
      <c r="C341" s="4">
        <f>Income!A308</f>
        <v/>
      </c>
    </row>
    <row r="342">
      <c r="A342" s="4" t="inlineStr">
        <is>
          <t>May</t>
        </is>
      </c>
      <c r="B342" s="6">
        <f>Expense!A309</f>
        <v/>
      </c>
      <c r="C342" s="6">
        <f>Income!A309</f>
        <v/>
      </c>
    </row>
    <row r="343">
      <c r="A343" s="4" t="inlineStr">
        <is>
          <t>Jun</t>
        </is>
      </c>
      <c r="B343" s="6">
        <f>Expense!A310</f>
        <v/>
      </c>
      <c r="C343" s="6">
        <f>Income!A310</f>
        <v/>
      </c>
    </row>
    <row r="344">
      <c r="A344" s="4" t="inlineStr">
        <is>
          <t>Jul</t>
        </is>
      </c>
      <c r="B344" s="6">
        <f>Expense!A311</f>
        <v/>
      </c>
      <c r="C344" s="6">
        <f>Income!A311</f>
        <v/>
      </c>
    </row>
    <row r="345">
      <c r="A345" s="4" t="inlineStr">
        <is>
          <t>Aug</t>
        </is>
      </c>
      <c r="B345" s="6">
        <f>Expense!A312</f>
        <v/>
      </c>
      <c r="C345" s="6">
        <f>Income!A312</f>
        <v/>
      </c>
    </row>
    <row r="346">
      <c r="A346" s="4" t="inlineStr">
        <is>
          <t>Sep</t>
        </is>
      </c>
      <c r="B346" s="6">
        <f>Expense!A313</f>
        <v/>
      </c>
      <c r="C346" s="6">
        <f>Income!A313</f>
        <v/>
      </c>
    </row>
    <row r="347">
      <c r="A347" s="4" t="inlineStr">
        <is>
          <t>Oct</t>
        </is>
      </c>
      <c r="B347" s="6">
        <f>Expense!A314</f>
        <v/>
      </c>
      <c r="C347" s="6">
        <f>Income!A314</f>
        <v/>
      </c>
    </row>
    <row r="348">
      <c r="A348" s="4" t="inlineStr">
        <is>
          <t>Nov</t>
        </is>
      </c>
      <c r="B348" s="6">
        <f>Expense!A315</f>
        <v/>
      </c>
      <c r="C348" s="6">
        <f>Income!A315</f>
        <v/>
      </c>
    </row>
    <row r="349">
      <c r="A349" s="4" t="inlineStr">
        <is>
          <t>Dec</t>
        </is>
      </c>
      <c r="B349" s="6">
        <f>Expense!A316</f>
        <v/>
      </c>
      <c r="C349" s="6">
        <f>Income!A316</f>
        <v/>
      </c>
    </row>
    <row r="350">
      <c r="A350" s="4" t="inlineStr">
        <is>
          <t>Jan</t>
        </is>
      </c>
      <c r="B350" s="6">
        <f>Expense!A317</f>
        <v/>
      </c>
      <c r="C350" s="6">
        <f>Income!A317</f>
        <v/>
      </c>
    </row>
    <row r="351">
      <c r="A351" s="4" t="inlineStr">
        <is>
          <t>Feb</t>
        </is>
      </c>
      <c r="B351" s="6">
        <f>Expense!A318</f>
        <v/>
      </c>
      <c r="C351" s="6">
        <f>Income!A318</f>
        <v/>
      </c>
    </row>
    <row r="352">
      <c r="A352" s="4" t="inlineStr">
        <is>
          <t>Mar</t>
        </is>
      </c>
      <c r="B352" s="6">
        <f>Expense!A319</f>
        <v/>
      </c>
      <c r="C352" s="4">
        <f>Income!A319</f>
        <v/>
      </c>
    </row>
    <row r="353">
      <c r="B353" s="6">
        <f>Expense!A320</f>
        <v/>
      </c>
      <c r="C353" s="4">
        <f>Income!A320</f>
        <v/>
      </c>
    </row>
    <row r="354">
      <c r="B354" s="4">
        <f>Expense!A321</f>
        <v/>
      </c>
      <c r="C354" s="6">
        <f>Income!A321</f>
        <v/>
      </c>
    </row>
    <row r="355">
      <c r="B355" s="4">
        <f>Expense!A322</f>
        <v/>
      </c>
      <c r="C355" s="4">
        <f>Income!A322</f>
        <v/>
      </c>
    </row>
    <row r="356">
      <c r="B356" s="4">
        <f>Expense!A323</f>
        <v/>
      </c>
      <c r="C356" s="4">
        <f>Income!A323</f>
        <v/>
      </c>
    </row>
    <row r="357">
      <c r="B357" s="4">
        <f>Expense!A324</f>
        <v/>
      </c>
      <c r="C357" s="4">
        <f>Income!A324</f>
        <v/>
      </c>
    </row>
    <row r="358">
      <c r="A358" s="4" t="inlineStr">
        <is>
          <t>Apr</t>
        </is>
      </c>
      <c r="B358" s="6">
        <f>Expense!A325</f>
        <v/>
      </c>
      <c r="C358" s="4">
        <f>Income!A325</f>
        <v/>
      </c>
    </row>
    <row r="359">
      <c r="A359" s="4" t="inlineStr">
        <is>
          <t>May</t>
        </is>
      </c>
      <c r="B359" s="6">
        <f>Expense!A326</f>
        <v/>
      </c>
      <c r="C359" s="6">
        <f>Income!A326</f>
        <v/>
      </c>
    </row>
    <row r="360">
      <c r="A360" s="4" t="inlineStr">
        <is>
          <t>Jun</t>
        </is>
      </c>
      <c r="B360" s="6">
        <f>Expense!A327</f>
        <v/>
      </c>
      <c r="C360" s="6">
        <f>Income!A327</f>
        <v/>
      </c>
    </row>
    <row r="361">
      <c r="A361" s="4" t="inlineStr">
        <is>
          <t>Jul</t>
        </is>
      </c>
      <c r="B361" s="6">
        <f>Expense!A328</f>
        <v/>
      </c>
      <c r="C361" s="6">
        <f>Income!A328</f>
        <v/>
      </c>
    </row>
    <row r="362">
      <c r="A362" s="4" t="inlineStr">
        <is>
          <t>Aug</t>
        </is>
      </c>
      <c r="B362" s="6">
        <f>Expense!A329</f>
        <v/>
      </c>
      <c r="C362" s="6">
        <f>Income!A329</f>
        <v/>
      </c>
    </row>
    <row r="363">
      <c r="A363" s="4" t="inlineStr">
        <is>
          <t>Sep</t>
        </is>
      </c>
      <c r="B363" s="6">
        <f>Expense!A330</f>
        <v/>
      </c>
      <c r="C363" s="6">
        <f>Income!A330</f>
        <v/>
      </c>
    </row>
    <row r="364">
      <c r="A364" s="4" t="inlineStr">
        <is>
          <t>Oct</t>
        </is>
      </c>
      <c r="B364" s="6">
        <f>Expense!A331</f>
        <v/>
      </c>
      <c r="C364" s="6">
        <f>Income!A331</f>
        <v/>
      </c>
    </row>
    <row r="365">
      <c r="A365" s="4" t="inlineStr">
        <is>
          <t>Nov</t>
        </is>
      </c>
      <c r="B365" s="6">
        <f>Expense!A332</f>
        <v/>
      </c>
      <c r="C365" s="6">
        <f>Income!A332</f>
        <v/>
      </c>
    </row>
    <row r="366">
      <c r="A366" s="4" t="inlineStr">
        <is>
          <t>Dec</t>
        </is>
      </c>
      <c r="B366" s="6">
        <f>Expense!A333</f>
        <v/>
      </c>
      <c r="C366" s="6">
        <f>Income!A333</f>
        <v/>
      </c>
    </row>
    <row r="367">
      <c r="A367" s="4" t="inlineStr">
        <is>
          <t>Jan</t>
        </is>
      </c>
      <c r="B367" s="6">
        <f>Expense!A334</f>
        <v/>
      </c>
      <c r="C367" s="6">
        <f>Income!A334</f>
        <v/>
      </c>
    </row>
    <row r="368">
      <c r="A368" s="4" t="inlineStr">
        <is>
          <t>Feb</t>
        </is>
      </c>
      <c r="B368" s="6">
        <f>Expense!A335</f>
        <v/>
      </c>
      <c r="C368" s="6">
        <f>Income!A335</f>
        <v/>
      </c>
    </row>
    <row r="369">
      <c r="A369" s="4" t="inlineStr">
        <is>
          <t>Mar</t>
        </is>
      </c>
      <c r="B369" s="6">
        <f>Expense!A336</f>
        <v/>
      </c>
      <c r="C369" s="4">
        <f>Income!A336</f>
        <v/>
      </c>
    </row>
    <row r="370">
      <c r="B370" s="6">
        <f>Expense!A337</f>
        <v/>
      </c>
      <c r="C370" s="4">
        <f>Income!A337</f>
        <v/>
      </c>
    </row>
    <row r="371">
      <c r="B371" s="4">
        <f>Expense!A338</f>
        <v/>
      </c>
      <c r="C371" s="6">
        <f>Income!A338</f>
        <v/>
      </c>
    </row>
    <row r="372">
      <c r="B372" s="4">
        <f>Expense!A339</f>
        <v/>
      </c>
      <c r="C372" s="4">
        <f>Income!A339</f>
        <v/>
      </c>
    </row>
    <row r="373">
      <c r="B373" s="4">
        <f>Expense!A340</f>
        <v/>
      </c>
      <c r="C373" s="4">
        <f>Income!A340</f>
        <v/>
      </c>
    </row>
    <row r="374">
      <c r="B374" s="4">
        <f>Expense!A341</f>
        <v/>
      </c>
      <c r="C374" s="4">
        <f>Income!A341</f>
        <v/>
      </c>
    </row>
    <row r="375">
      <c r="A375" s="4" t="inlineStr">
        <is>
          <t>Apr</t>
        </is>
      </c>
      <c r="B375" s="6">
        <f>Expense!A342</f>
        <v/>
      </c>
      <c r="C375" s="4">
        <f>Income!A342</f>
        <v/>
      </c>
    </row>
    <row r="376">
      <c r="A376" s="4" t="inlineStr">
        <is>
          <t>May</t>
        </is>
      </c>
      <c r="B376" s="6">
        <f>Expense!A343</f>
        <v/>
      </c>
      <c r="C376" s="6">
        <f>Income!A343</f>
        <v/>
      </c>
    </row>
    <row r="377">
      <c r="A377" s="4" t="inlineStr">
        <is>
          <t>Jun</t>
        </is>
      </c>
      <c r="B377" s="6">
        <f>Expense!A344</f>
        <v/>
      </c>
      <c r="C377" s="6">
        <f>Income!A344</f>
        <v/>
      </c>
    </row>
    <row r="378">
      <c r="A378" s="4" t="inlineStr">
        <is>
          <t>Jul</t>
        </is>
      </c>
      <c r="B378" s="6">
        <f>Expense!A345</f>
        <v/>
      </c>
      <c r="C378" s="6">
        <f>Income!A345</f>
        <v/>
      </c>
    </row>
    <row r="379">
      <c r="A379" s="4" t="inlineStr">
        <is>
          <t>Aug</t>
        </is>
      </c>
      <c r="B379" s="6">
        <f>Expense!A346</f>
        <v/>
      </c>
      <c r="C379" s="6">
        <f>Income!A346</f>
        <v/>
      </c>
    </row>
    <row r="380">
      <c r="A380" s="4" t="inlineStr">
        <is>
          <t>Sep</t>
        </is>
      </c>
      <c r="B380" s="6">
        <f>Expense!A347</f>
        <v/>
      </c>
      <c r="C380" s="6">
        <f>Income!A347</f>
        <v/>
      </c>
    </row>
    <row r="381">
      <c r="A381" s="4" t="inlineStr">
        <is>
          <t>Oct</t>
        </is>
      </c>
      <c r="B381" s="6">
        <f>Expense!A348</f>
        <v/>
      </c>
      <c r="C381" s="6">
        <f>Income!A348</f>
        <v/>
      </c>
    </row>
    <row r="382">
      <c r="A382" s="4" t="inlineStr">
        <is>
          <t>Nov</t>
        </is>
      </c>
      <c r="B382" s="6">
        <f>Expense!A349</f>
        <v/>
      </c>
      <c r="C382" s="6">
        <f>Income!A349</f>
        <v/>
      </c>
    </row>
    <row r="383">
      <c r="A383" s="4" t="inlineStr">
        <is>
          <t>Dec</t>
        </is>
      </c>
      <c r="B383" s="6">
        <f>Expense!A350</f>
        <v/>
      </c>
      <c r="C383" s="6">
        <f>Income!A350</f>
        <v/>
      </c>
    </row>
    <row r="384">
      <c r="A384" s="4" t="inlineStr">
        <is>
          <t>Jan</t>
        </is>
      </c>
      <c r="B384" s="6">
        <f>Expense!A351</f>
        <v/>
      </c>
      <c r="C384" s="6">
        <f>Income!A351</f>
        <v/>
      </c>
    </row>
    <row r="385">
      <c r="A385" s="4" t="inlineStr">
        <is>
          <t>Feb</t>
        </is>
      </c>
      <c r="B385" s="6">
        <f>Expense!A352</f>
        <v/>
      </c>
      <c r="C385" s="6">
        <f>Income!A352</f>
        <v/>
      </c>
    </row>
    <row r="386">
      <c r="A386" s="4" t="inlineStr">
        <is>
          <t>Mar</t>
        </is>
      </c>
      <c r="B386" s="6">
        <f>Expense!A353</f>
        <v/>
      </c>
      <c r="C386" s="4">
        <f>Income!A353</f>
        <v/>
      </c>
    </row>
    <row r="387">
      <c r="B387" s="6">
        <f>Expense!A354</f>
        <v/>
      </c>
      <c r="C387" s="4">
        <f>Income!A354</f>
        <v/>
      </c>
    </row>
    <row r="388">
      <c r="B388" s="4">
        <f>Expense!A355</f>
        <v/>
      </c>
      <c r="C388" s="6">
        <f>Income!A355</f>
        <v/>
      </c>
    </row>
    <row r="389">
      <c r="B389" s="4">
        <f>Expense!A356</f>
        <v/>
      </c>
      <c r="C389" s="4">
        <f>Income!A356</f>
        <v/>
      </c>
    </row>
    <row r="390">
      <c r="B390" s="4">
        <f>Expense!A357</f>
        <v/>
      </c>
      <c r="C390" s="4">
        <f>Income!A357</f>
        <v/>
      </c>
    </row>
    <row r="391">
      <c r="B391" s="4">
        <f>Expense!A358</f>
        <v/>
      </c>
      <c r="C391" s="4">
        <f>Income!A358</f>
        <v/>
      </c>
    </row>
    <row r="392">
      <c r="A392" s="4" t="inlineStr">
        <is>
          <t>Apr</t>
        </is>
      </c>
      <c r="B392" s="6">
        <f>Expense!A359</f>
        <v/>
      </c>
      <c r="C392" s="4">
        <f>Income!A359</f>
        <v/>
      </c>
    </row>
    <row r="393">
      <c r="A393" s="4" t="inlineStr">
        <is>
          <t>May</t>
        </is>
      </c>
      <c r="B393" s="6">
        <f>Expense!A360</f>
        <v/>
      </c>
      <c r="C393" s="4">
        <f>Income!A360</f>
        <v/>
      </c>
    </row>
    <row r="394">
      <c r="A394" s="4" t="inlineStr">
        <is>
          <t>Jun</t>
        </is>
      </c>
      <c r="B394" s="6">
        <f>Expense!A361</f>
        <v/>
      </c>
      <c r="C394" s="4">
        <f>Income!A361</f>
        <v/>
      </c>
    </row>
    <row r="395">
      <c r="A395" s="4" t="inlineStr">
        <is>
          <t>Jul</t>
        </is>
      </c>
      <c r="B395" s="6">
        <f>Expense!A362</f>
        <v/>
      </c>
      <c r="C395" s="4">
        <f>Income!A362</f>
        <v/>
      </c>
    </row>
    <row r="396">
      <c r="A396" s="4" t="inlineStr">
        <is>
          <t>Aug</t>
        </is>
      </c>
      <c r="B396" s="6">
        <f>Expense!A363</f>
        <v/>
      </c>
      <c r="C396" s="4">
        <f>Income!A363</f>
        <v/>
      </c>
    </row>
    <row r="397">
      <c r="A397" s="4" t="inlineStr">
        <is>
          <t>Sep</t>
        </is>
      </c>
      <c r="B397" s="6">
        <f>Expense!A364</f>
        <v/>
      </c>
      <c r="C397" s="4">
        <f>Income!A364</f>
        <v/>
      </c>
    </row>
    <row r="398">
      <c r="A398" s="4" t="inlineStr">
        <is>
          <t>Oct</t>
        </is>
      </c>
      <c r="B398" s="6">
        <f>Expense!A365</f>
        <v/>
      </c>
      <c r="C398" s="4">
        <f>Income!A365</f>
        <v/>
      </c>
    </row>
    <row r="399">
      <c r="A399" s="4" t="inlineStr">
        <is>
          <t>Nov</t>
        </is>
      </c>
      <c r="B399" s="6">
        <f>Expense!A366</f>
        <v/>
      </c>
      <c r="C399" s="4">
        <f>Income!A366</f>
        <v/>
      </c>
    </row>
    <row r="400">
      <c r="A400" s="4" t="inlineStr">
        <is>
          <t>Dec</t>
        </is>
      </c>
      <c r="B400" s="6">
        <f>Expense!A367</f>
        <v/>
      </c>
      <c r="C400" s="4">
        <f>Income!A367</f>
        <v/>
      </c>
    </row>
    <row r="401">
      <c r="A401" s="4" t="inlineStr">
        <is>
          <t>Jan</t>
        </is>
      </c>
      <c r="B401" s="6">
        <f>Expense!A368</f>
        <v/>
      </c>
      <c r="C401" s="4">
        <f>Income!A368</f>
        <v/>
      </c>
    </row>
    <row r="402">
      <c r="A402" s="4" t="inlineStr">
        <is>
          <t>Feb</t>
        </is>
      </c>
      <c r="B402" s="6">
        <f>Expense!A369</f>
        <v/>
      </c>
      <c r="C402" s="4">
        <f>Income!A369</f>
        <v/>
      </c>
    </row>
    <row r="403">
      <c r="A403" s="4" t="inlineStr">
        <is>
          <t>Mar</t>
        </is>
      </c>
      <c r="B403" s="6">
        <f>Expense!A370</f>
        <v/>
      </c>
      <c r="C403" s="4">
        <f>Income!A370</f>
        <v/>
      </c>
    </row>
    <row r="404">
      <c r="B404" s="6">
        <f>Expense!A371</f>
        <v/>
      </c>
      <c r="C404" s="4">
        <f>Income!A371</f>
        <v/>
      </c>
    </row>
    <row r="405">
      <c r="B405" s="4">
        <f>Expense!A372</f>
        <v/>
      </c>
      <c r="C405" s="6">
        <f>Income!A372</f>
        <v/>
      </c>
    </row>
    <row r="406">
      <c r="B406" s="4">
        <f>Expense!A373</f>
        <v/>
      </c>
      <c r="C406" s="4">
        <f>Income!A373</f>
        <v/>
      </c>
    </row>
    <row r="407">
      <c r="B407" s="4">
        <f>Expense!A374</f>
        <v/>
      </c>
      <c r="C407" s="4">
        <f>Income!A374</f>
        <v/>
      </c>
    </row>
    <row r="408">
      <c r="B408" s="4">
        <f>Expense!A375</f>
        <v/>
      </c>
      <c r="C408" s="4">
        <f>Income!A375</f>
        <v/>
      </c>
    </row>
    <row r="409">
      <c r="A409" s="4" t="inlineStr">
        <is>
          <t>Apr</t>
        </is>
      </c>
      <c r="B409" s="6">
        <f>Expense!A376</f>
        <v/>
      </c>
      <c r="C409" s="4">
        <f>Income!A376</f>
        <v/>
      </c>
    </row>
    <row r="410">
      <c r="A410" s="4" t="inlineStr">
        <is>
          <t>May</t>
        </is>
      </c>
      <c r="B410" s="6">
        <f>Expense!A377</f>
        <v/>
      </c>
      <c r="C410" s="6">
        <f>Income!A377</f>
        <v/>
      </c>
    </row>
    <row r="411">
      <c r="A411" s="4" t="inlineStr">
        <is>
          <t>Jun</t>
        </is>
      </c>
      <c r="B411" s="6">
        <f>Expense!A378</f>
        <v/>
      </c>
      <c r="C411" s="6">
        <f>Income!A378</f>
        <v/>
      </c>
    </row>
    <row r="412">
      <c r="A412" s="4" t="inlineStr">
        <is>
          <t>Jul</t>
        </is>
      </c>
      <c r="B412" s="6">
        <f>Expense!A379</f>
        <v/>
      </c>
      <c r="C412" s="6">
        <f>Income!A379</f>
        <v/>
      </c>
    </row>
    <row r="413">
      <c r="A413" s="4" t="inlineStr">
        <is>
          <t>Aug</t>
        </is>
      </c>
      <c r="B413" s="6">
        <f>Expense!A380</f>
        <v/>
      </c>
      <c r="C413" s="6">
        <f>Income!A380</f>
        <v/>
      </c>
    </row>
    <row r="414">
      <c r="A414" s="4" t="inlineStr">
        <is>
          <t>Sep</t>
        </is>
      </c>
      <c r="B414" s="6">
        <f>Expense!A381</f>
        <v/>
      </c>
      <c r="C414" s="6">
        <f>Income!A381</f>
        <v/>
      </c>
    </row>
    <row r="415">
      <c r="A415" s="4" t="inlineStr">
        <is>
          <t>Oct</t>
        </is>
      </c>
      <c r="B415" s="6">
        <f>Expense!A382</f>
        <v/>
      </c>
      <c r="C415" s="6">
        <f>Income!A382</f>
        <v/>
      </c>
    </row>
    <row r="416">
      <c r="A416" s="4" t="inlineStr">
        <is>
          <t>Nov</t>
        </is>
      </c>
      <c r="B416" s="6">
        <f>Expense!A383</f>
        <v/>
      </c>
      <c r="C416" s="4">
        <f>Income!A383</f>
        <v/>
      </c>
    </row>
    <row r="417">
      <c r="A417" s="4" t="inlineStr">
        <is>
          <t>Dec</t>
        </is>
      </c>
      <c r="B417" s="6">
        <f>Expense!A384</f>
        <v/>
      </c>
      <c r="C417" s="6">
        <f>Income!A384</f>
        <v/>
      </c>
    </row>
    <row r="418">
      <c r="A418" s="4" t="inlineStr">
        <is>
          <t>Jan</t>
        </is>
      </c>
      <c r="B418" s="6">
        <f>Expense!A385</f>
        <v/>
      </c>
      <c r="C418" s="6">
        <f>Income!A385</f>
        <v/>
      </c>
    </row>
    <row r="419">
      <c r="A419" s="4" t="inlineStr">
        <is>
          <t>Feb</t>
        </is>
      </c>
      <c r="B419" s="6">
        <f>Expense!A386</f>
        <v/>
      </c>
      <c r="C419" s="6">
        <f>Income!A386</f>
        <v/>
      </c>
    </row>
    <row r="420">
      <c r="A420" s="4" t="inlineStr">
        <is>
          <t>Mar</t>
        </is>
      </c>
      <c r="B420" s="6">
        <f>Expense!A387</f>
        <v/>
      </c>
      <c r="C420" s="4">
        <f>Income!A387</f>
        <v/>
      </c>
    </row>
    <row r="421">
      <c r="B421" s="6">
        <f>Expense!A388</f>
        <v/>
      </c>
      <c r="C421" s="4">
        <f>Income!A388</f>
        <v/>
      </c>
    </row>
    <row r="422">
      <c r="B422" s="4">
        <f>Expense!A389</f>
        <v/>
      </c>
      <c r="C422" s="6">
        <f>Income!A389</f>
        <v/>
      </c>
    </row>
    <row r="423">
      <c r="B423" s="4">
        <f>Expense!A390</f>
        <v/>
      </c>
      <c r="C423" s="4">
        <f>Income!A390</f>
        <v/>
      </c>
    </row>
    <row r="424">
      <c r="B424" s="4">
        <f>Expense!A391</f>
        <v/>
      </c>
      <c r="C424" s="4">
        <f>Income!A391</f>
        <v/>
      </c>
    </row>
    <row r="425">
      <c r="B425" s="4">
        <f>Expense!A392</f>
        <v/>
      </c>
      <c r="C425" s="4">
        <f>Income!A392</f>
        <v/>
      </c>
    </row>
    <row r="426">
      <c r="A426" s="4" t="inlineStr">
        <is>
          <t>Apr</t>
        </is>
      </c>
      <c r="B426" s="6">
        <f>Expense!A393</f>
        <v/>
      </c>
      <c r="C426" s="4">
        <f>Income!A393</f>
        <v/>
      </c>
    </row>
    <row r="427">
      <c r="A427" s="4" t="inlineStr">
        <is>
          <t>May</t>
        </is>
      </c>
      <c r="B427" s="6">
        <f>Expense!A394</f>
        <v/>
      </c>
      <c r="C427" s="4">
        <f>Income!A394</f>
        <v/>
      </c>
    </row>
    <row r="428">
      <c r="A428" s="4" t="inlineStr">
        <is>
          <t>Jun</t>
        </is>
      </c>
      <c r="B428" s="6">
        <f>Expense!A395</f>
        <v/>
      </c>
      <c r="C428" s="4">
        <f>Income!A395</f>
        <v/>
      </c>
    </row>
    <row r="429">
      <c r="A429" s="4" t="inlineStr">
        <is>
          <t>Jul</t>
        </is>
      </c>
      <c r="B429" s="6">
        <f>Expense!A396</f>
        <v/>
      </c>
      <c r="C429" s="4">
        <f>Income!A396</f>
        <v/>
      </c>
    </row>
    <row r="430">
      <c r="A430" s="4" t="inlineStr">
        <is>
          <t>Aug</t>
        </is>
      </c>
      <c r="B430" s="6">
        <f>Expense!A397</f>
        <v/>
      </c>
      <c r="C430" s="4">
        <f>Income!A397</f>
        <v/>
      </c>
    </row>
    <row r="431">
      <c r="A431" s="4" t="inlineStr">
        <is>
          <t>Sep</t>
        </is>
      </c>
      <c r="B431" s="6">
        <f>Expense!A398</f>
        <v/>
      </c>
      <c r="C431" s="4">
        <f>Income!A398</f>
        <v/>
      </c>
    </row>
    <row r="432">
      <c r="A432" s="4" t="inlineStr">
        <is>
          <t>Oct</t>
        </is>
      </c>
      <c r="B432" s="6">
        <f>Expense!A399</f>
        <v/>
      </c>
      <c r="C432" s="4">
        <f>Income!A399</f>
        <v/>
      </c>
    </row>
    <row r="433">
      <c r="A433" s="4" t="inlineStr">
        <is>
          <t>Nov</t>
        </is>
      </c>
      <c r="B433" s="6">
        <f>Expense!A400</f>
        <v/>
      </c>
      <c r="C433" s="4">
        <f>Income!A400</f>
        <v/>
      </c>
    </row>
    <row r="434">
      <c r="A434" s="4" t="inlineStr">
        <is>
          <t>Dec</t>
        </is>
      </c>
      <c r="B434" s="6">
        <f>Expense!A401</f>
        <v/>
      </c>
      <c r="C434" s="4">
        <f>Income!A401</f>
        <v/>
      </c>
    </row>
    <row r="435">
      <c r="A435" s="4" t="inlineStr">
        <is>
          <t>Jan</t>
        </is>
      </c>
      <c r="B435" s="6">
        <f>Expense!A402</f>
        <v/>
      </c>
      <c r="C435" s="4">
        <f>Income!A402</f>
        <v/>
      </c>
    </row>
    <row r="436">
      <c r="A436" s="4" t="inlineStr">
        <is>
          <t>Feb</t>
        </is>
      </c>
      <c r="B436" s="6">
        <f>Expense!A403</f>
        <v/>
      </c>
      <c r="C436" s="4">
        <f>Income!A403</f>
        <v/>
      </c>
    </row>
    <row r="437">
      <c r="A437" s="4" t="inlineStr">
        <is>
          <t>Mar</t>
        </is>
      </c>
      <c r="B437" s="6">
        <f>Expense!A404</f>
        <v/>
      </c>
      <c r="C437" s="4">
        <f>Income!A404</f>
        <v/>
      </c>
    </row>
    <row r="438">
      <c r="B438" s="6">
        <f>Expense!A405</f>
        <v/>
      </c>
      <c r="C438" s="4">
        <f>Income!A405</f>
        <v/>
      </c>
    </row>
    <row r="439">
      <c r="B439" s="4">
        <f>Expense!A406</f>
        <v/>
      </c>
      <c r="C439" s="6">
        <f>Income!A406</f>
        <v/>
      </c>
    </row>
    <row r="440">
      <c r="B440" s="4">
        <f>Expense!A407</f>
        <v/>
      </c>
      <c r="C440" s="4">
        <f>Income!A407</f>
        <v/>
      </c>
    </row>
    <row r="441">
      <c r="B441" s="4">
        <f>Expense!A408</f>
        <v/>
      </c>
      <c r="C441" s="4">
        <f>Income!A408</f>
        <v/>
      </c>
    </row>
    <row r="442">
      <c r="B442" s="4">
        <f>Expense!A409</f>
        <v/>
      </c>
      <c r="C442" s="4">
        <f>Income!A409</f>
        <v/>
      </c>
    </row>
    <row r="443">
      <c r="A443" s="4" t="inlineStr">
        <is>
          <t>Apr</t>
        </is>
      </c>
      <c r="B443" s="6">
        <f>Expense!A410</f>
        <v/>
      </c>
      <c r="C443" s="4">
        <f>Income!A410</f>
        <v/>
      </c>
    </row>
    <row r="444">
      <c r="A444" s="4" t="inlineStr">
        <is>
          <t>May</t>
        </is>
      </c>
      <c r="B444" s="6">
        <f>Expense!A411</f>
        <v/>
      </c>
      <c r="C444" s="6">
        <f>Income!A411</f>
        <v/>
      </c>
    </row>
    <row r="445">
      <c r="A445" s="4" t="inlineStr">
        <is>
          <t>Jun</t>
        </is>
      </c>
      <c r="B445" s="6">
        <f>Expense!A412</f>
        <v/>
      </c>
      <c r="C445" s="6">
        <f>Income!A412</f>
        <v/>
      </c>
    </row>
    <row r="446">
      <c r="A446" s="4" t="inlineStr">
        <is>
          <t>Jul</t>
        </is>
      </c>
      <c r="B446" s="6">
        <f>Expense!A413</f>
        <v/>
      </c>
      <c r="C446" s="6">
        <f>Income!A413</f>
        <v/>
      </c>
    </row>
    <row r="447">
      <c r="A447" s="4" t="inlineStr">
        <is>
          <t>Aug</t>
        </is>
      </c>
      <c r="B447" s="6">
        <f>Expense!A414</f>
        <v/>
      </c>
      <c r="C447" s="6">
        <f>Income!A414</f>
        <v/>
      </c>
    </row>
    <row r="448">
      <c r="A448" s="4" t="inlineStr">
        <is>
          <t>Sep</t>
        </is>
      </c>
      <c r="B448" s="6">
        <f>Expense!A415</f>
        <v/>
      </c>
      <c r="C448" s="6">
        <f>Income!A415</f>
        <v/>
      </c>
    </row>
    <row r="449">
      <c r="A449" s="4" t="inlineStr">
        <is>
          <t>Oct</t>
        </is>
      </c>
      <c r="B449" s="6">
        <f>Expense!A416</f>
        <v/>
      </c>
      <c r="C449" s="6">
        <f>Income!A416</f>
        <v/>
      </c>
    </row>
    <row r="450">
      <c r="A450" s="4" t="inlineStr">
        <is>
          <t>Nov</t>
        </is>
      </c>
      <c r="B450" s="6">
        <f>Expense!A417</f>
        <v/>
      </c>
      <c r="C450" s="6">
        <f>Income!A417</f>
        <v/>
      </c>
    </row>
    <row r="451">
      <c r="A451" s="4" t="inlineStr">
        <is>
          <t>Dec</t>
        </is>
      </c>
      <c r="B451" s="6">
        <f>Expense!A418</f>
        <v/>
      </c>
      <c r="C451" s="6">
        <f>Income!A418</f>
        <v/>
      </c>
    </row>
    <row r="452">
      <c r="A452" s="4" t="inlineStr">
        <is>
          <t>Jan</t>
        </is>
      </c>
      <c r="B452" s="6">
        <f>Expense!A419</f>
        <v/>
      </c>
      <c r="C452" s="6">
        <f>Income!A419</f>
        <v/>
      </c>
    </row>
    <row r="453">
      <c r="A453" s="4" t="inlineStr">
        <is>
          <t>Feb</t>
        </is>
      </c>
      <c r="B453" s="6">
        <f>Expense!A420</f>
        <v/>
      </c>
      <c r="C453" s="6">
        <f>Income!A420</f>
        <v/>
      </c>
    </row>
    <row r="454">
      <c r="A454" s="4" t="inlineStr">
        <is>
          <t>Mar</t>
        </is>
      </c>
      <c r="B454" s="6">
        <f>Expense!A421</f>
        <v/>
      </c>
      <c r="C454" s="4">
        <f>Income!A421</f>
        <v/>
      </c>
    </row>
    <row r="455">
      <c r="B455" s="6">
        <f>Expense!A422</f>
        <v/>
      </c>
      <c r="C455" s="4">
        <f>Income!A422</f>
        <v/>
      </c>
    </row>
    <row r="456">
      <c r="B456" s="4">
        <f>Expense!A423</f>
        <v/>
      </c>
      <c r="C456" s="6">
        <f>Income!A423</f>
        <v/>
      </c>
    </row>
    <row r="457">
      <c r="B457" s="4">
        <f>Expense!A424</f>
        <v/>
      </c>
      <c r="C457" s="4">
        <f>Income!A424</f>
        <v/>
      </c>
    </row>
    <row r="458">
      <c r="B458" s="4">
        <f>Expense!A425</f>
        <v/>
      </c>
      <c r="C458" s="4">
        <f>Income!A425</f>
        <v/>
      </c>
    </row>
    <row r="459">
      <c r="B459" s="4">
        <f>Expense!A426</f>
        <v/>
      </c>
      <c r="C459" s="4">
        <f>Income!A426</f>
        <v/>
      </c>
    </row>
    <row r="460">
      <c r="A460" s="4" t="inlineStr">
        <is>
          <t>Apr</t>
        </is>
      </c>
      <c r="B460" s="6">
        <f>Expense!A427</f>
        <v/>
      </c>
      <c r="C460" s="4">
        <f>Income!A427</f>
        <v/>
      </c>
    </row>
    <row r="461">
      <c r="A461" s="4" t="inlineStr">
        <is>
          <t>May</t>
        </is>
      </c>
      <c r="B461" s="6">
        <f>Expense!A428</f>
        <v/>
      </c>
      <c r="C461" s="6">
        <f>Income!A428</f>
        <v/>
      </c>
    </row>
    <row r="462">
      <c r="A462" s="4" t="inlineStr">
        <is>
          <t>Jun</t>
        </is>
      </c>
      <c r="B462" s="6">
        <f>Expense!A429</f>
        <v/>
      </c>
      <c r="C462" s="6">
        <f>Income!A429</f>
        <v/>
      </c>
    </row>
    <row r="463">
      <c r="A463" s="4" t="inlineStr">
        <is>
          <t>Jul</t>
        </is>
      </c>
      <c r="B463" s="6">
        <f>Expense!A430</f>
        <v/>
      </c>
      <c r="C463" s="6">
        <f>Income!A430</f>
        <v/>
      </c>
    </row>
    <row r="464">
      <c r="A464" s="4" t="inlineStr">
        <is>
          <t>Aug</t>
        </is>
      </c>
      <c r="B464" s="6">
        <f>Expense!A431</f>
        <v/>
      </c>
      <c r="C464" s="6">
        <f>Income!A431</f>
        <v/>
      </c>
    </row>
    <row r="465">
      <c r="A465" s="4" t="inlineStr">
        <is>
          <t>Sep</t>
        </is>
      </c>
      <c r="B465" s="6">
        <f>Expense!A432</f>
        <v/>
      </c>
      <c r="C465" s="6">
        <f>Income!A432</f>
        <v/>
      </c>
    </row>
    <row r="466">
      <c r="A466" s="4" t="inlineStr">
        <is>
          <t>Oct</t>
        </is>
      </c>
      <c r="B466" s="6">
        <f>Expense!A433</f>
        <v/>
      </c>
      <c r="C466" s="6">
        <f>Income!A433</f>
        <v/>
      </c>
    </row>
    <row r="467">
      <c r="A467" s="4" t="inlineStr">
        <is>
          <t>Nov</t>
        </is>
      </c>
      <c r="B467" s="6">
        <f>Expense!A434</f>
        <v/>
      </c>
      <c r="C467" s="6">
        <f>Income!A434</f>
        <v/>
      </c>
    </row>
    <row r="468">
      <c r="A468" s="4" t="inlineStr">
        <is>
          <t>Dec</t>
        </is>
      </c>
      <c r="B468" s="6">
        <f>Expense!A435</f>
        <v/>
      </c>
      <c r="C468" s="6">
        <f>Income!A435</f>
        <v/>
      </c>
    </row>
    <row r="469">
      <c r="A469" s="4" t="inlineStr">
        <is>
          <t>Jan</t>
        </is>
      </c>
      <c r="B469" s="6">
        <f>Expense!A436</f>
        <v/>
      </c>
      <c r="C469" s="6">
        <f>Income!A436</f>
        <v/>
      </c>
    </row>
    <row r="470">
      <c r="A470" s="4" t="inlineStr">
        <is>
          <t>Feb</t>
        </is>
      </c>
      <c r="B470" s="6">
        <f>Expense!A437</f>
        <v/>
      </c>
      <c r="C470" s="6">
        <f>Income!A437</f>
        <v/>
      </c>
    </row>
    <row r="471">
      <c r="A471" s="4" t="inlineStr">
        <is>
          <t>Mar</t>
        </is>
      </c>
      <c r="B471" s="6">
        <f>Expense!A438</f>
        <v/>
      </c>
      <c r="C471" s="4">
        <f>Income!A438</f>
        <v/>
      </c>
    </row>
    <row r="472">
      <c r="B472" s="6">
        <f>Expense!A439</f>
        <v/>
      </c>
      <c r="C472" s="4">
        <f>Income!A439</f>
        <v/>
      </c>
    </row>
    <row r="473">
      <c r="B473" s="4">
        <f>Expense!A440</f>
        <v/>
      </c>
      <c r="C473" s="6">
        <f>Income!A440</f>
        <v/>
      </c>
    </row>
    <row r="474">
      <c r="B474" s="4">
        <f>Expense!A441</f>
        <v/>
      </c>
      <c r="C474" s="4">
        <f>Income!A441</f>
        <v/>
      </c>
    </row>
    <row r="475">
      <c r="B475" s="4">
        <f>Expense!A442</f>
        <v/>
      </c>
      <c r="C475" s="4">
        <f>Income!A442</f>
        <v/>
      </c>
    </row>
    <row r="476">
      <c r="B476" s="4">
        <f>Expense!A443</f>
        <v/>
      </c>
      <c r="C476" s="4">
        <f>Income!A443</f>
        <v/>
      </c>
    </row>
    <row r="477">
      <c r="A477" s="4" t="inlineStr">
        <is>
          <t>Apr</t>
        </is>
      </c>
      <c r="B477" s="6">
        <f>Expense!A444</f>
        <v/>
      </c>
      <c r="C477" s="4">
        <f>Income!A444</f>
        <v/>
      </c>
    </row>
    <row r="478">
      <c r="A478" s="4" t="inlineStr">
        <is>
          <t>May</t>
        </is>
      </c>
      <c r="B478" s="6">
        <f>Expense!A445</f>
        <v/>
      </c>
      <c r="C478" s="6">
        <f>Income!A445</f>
        <v/>
      </c>
    </row>
    <row r="479">
      <c r="A479" s="4" t="inlineStr">
        <is>
          <t>Jun</t>
        </is>
      </c>
      <c r="B479" s="6">
        <f>Expense!A446</f>
        <v/>
      </c>
      <c r="C479" s="6">
        <f>Income!A446</f>
        <v/>
      </c>
    </row>
    <row r="480">
      <c r="A480" s="4" t="inlineStr">
        <is>
          <t>Jul</t>
        </is>
      </c>
      <c r="B480" s="6">
        <f>Expense!A447</f>
        <v/>
      </c>
      <c r="C480" s="6">
        <f>Income!A447</f>
        <v/>
      </c>
    </row>
    <row r="481">
      <c r="A481" s="4" t="inlineStr">
        <is>
          <t>Aug</t>
        </is>
      </c>
      <c r="B481" s="6">
        <f>Expense!A448</f>
        <v/>
      </c>
      <c r="C481" s="6">
        <f>Income!A448</f>
        <v/>
      </c>
    </row>
    <row r="482">
      <c r="A482" s="4" t="inlineStr">
        <is>
          <t>Sep</t>
        </is>
      </c>
      <c r="B482" s="6">
        <f>Expense!A449</f>
        <v/>
      </c>
      <c r="C482" s="6">
        <f>Income!A449</f>
        <v/>
      </c>
    </row>
    <row r="483">
      <c r="A483" s="4" t="inlineStr">
        <is>
          <t>Oct</t>
        </is>
      </c>
      <c r="B483" s="6">
        <f>Expense!A450</f>
        <v/>
      </c>
      <c r="C483" s="6">
        <f>Income!A450</f>
        <v/>
      </c>
    </row>
    <row r="484">
      <c r="A484" s="4" t="inlineStr">
        <is>
          <t>Nov</t>
        </is>
      </c>
      <c r="B484" s="6">
        <f>Expense!A451</f>
        <v/>
      </c>
      <c r="C484" s="4">
        <f>Income!A451</f>
        <v/>
      </c>
    </row>
    <row r="485">
      <c r="A485" s="4" t="inlineStr">
        <is>
          <t>Dec</t>
        </is>
      </c>
      <c r="B485" s="6">
        <f>Expense!A452</f>
        <v/>
      </c>
      <c r="C485" s="6">
        <f>Income!A452</f>
        <v/>
      </c>
    </row>
    <row r="486">
      <c r="A486" s="4" t="inlineStr">
        <is>
          <t>Jan</t>
        </is>
      </c>
      <c r="B486" s="6">
        <f>Expense!A453</f>
        <v/>
      </c>
      <c r="C486" s="6">
        <f>Income!A453</f>
        <v/>
      </c>
    </row>
    <row r="487">
      <c r="A487" s="4" t="inlineStr">
        <is>
          <t>Feb</t>
        </is>
      </c>
      <c r="B487" s="6">
        <f>Expense!A454</f>
        <v/>
      </c>
      <c r="C487" s="6">
        <f>Income!A454</f>
        <v/>
      </c>
    </row>
    <row r="488">
      <c r="A488" s="4" t="inlineStr">
        <is>
          <t>Mar</t>
        </is>
      </c>
      <c r="B488" s="6">
        <f>Expense!A455</f>
        <v/>
      </c>
      <c r="C488" s="4">
        <f>Income!A455</f>
        <v/>
      </c>
    </row>
    <row r="489">
      <c r="B489" s="6">
        <f>Expense!A456</f>
        <v/>
      </c>
      <c r="C489" s="4">
        <f>Income!A456</f>
        <v/>
      </c>
    </row>
    <row r="490">
      <c r="B490" s="4">
        <f>Expense!A457</f>
        <v/>
      </c>
      <c r="C490" s="6">
        <f>Income!A457</f>
        <v/>
      </c>
    </row>
    <row r="491">
      <c r="B491" s="4">
        <f>Expense!A458</f>
        <v/>
      </c>
      <c r="C491" s="4">
        <f>Income!A458</f>
        <v/>
      </c>
    </row>
    <row r="492">
      <c r="B492" s="4">
        <f>Expense!A459</f>
        <v/>
      </c>
      <c r="C492" s="4">
        <f>Income!A459</f>
        <v/>
      </c>
    </row>
    <row r="493">
      <c r="B493" s="4">
        <f>Expense!A460</f>
        <v/>
      </c>
      <c r="C493" s="4">
        <f>Income!A460</f>
        <v/>
      </c>
    </row>
    <row r="494">
      <c r="A494" s="4" t="inlineStr">
        <is>
          <t>Apr</t>
        </is>
      </c>
      <c r="B494" s="6">
        <f>Expense!A461</f>
        <v/>
      </c>
      <c r="C494" s="4">
        <f>Income!A461</f>
        <v/>
      </c>
    </row>
    <row r="495">
      <c r="A495" s="4" t="inlineStr">
        <is>
          <t>May</t>
        </is>
      </c>
      <c r="B495" s="6">
        <f>Expense!A462</f>
        <v/>
      </c>
      <c r="C495" s="6">
        <f>Income!A462</f>
        <v/>
      </c>
    </row>
    <row r="496">
      <c r="A496" s="4" t="inlineStr">
        <is>
          <t>Jun</t>
        </is>
      </c>
      <c r="B496" s="6">
        <f>Expense!A463</f>
        <v/>
      </c>
      <c r="C496" s="6">
        <f>Income!A463</f>
        <v/>
      </c>
    </row>
    <row r="497">
      <c r="A497" s="4" t="inlineStr">
        <is>
          <t>Jul</t>
        </is>
      </c>
      <c r="B497" s="6">
        <f>Expense!A464</f>
        <v/>
      </c>
      <c r="C497" s="6">
        <f>Income!A464</f>
        <v/>
      </c>
    </row>
    <row r="498">
      <c r="A498" s="4" t="inlineStr">
        <is>
          <t>Aug</t>
        </is>
      </c>
      <c r="B498" s="6">
        <f>Expense!A465</f>
        <v/>
      </c>
      <c r="C498" s="6">
        <f>Income!A465</f>
        <v/>
      </c>
    </row>
    <row r="499">
      <c r="A499" s="4" t="inlineStr">
        <is>
          <t>Sep</t>
        </is>
      </c>
      <c r="B499" s="6">
        <f>Expense!A466</f>
        <v/>
      </c>
      <c r="C499" s="6">
        <f>Income!A466</f>
        <v/>
      </c>
    </row>
    <row r="500">
      <c r="A500" s="4" t="inlineStr">
        <is>
          <t>Oct</t>
        </is>
      </c>
      <c r="B500" s="6">
        <f>Expense!A467</f>
        <v/>
      </c>
      <c r="C500" s="6">
        <f>Income!A467</f>
        <v/>
      </c>
    </row>
    <row r="501">
      <c r="A501" s="4" t="inlineStr">
        <is>
          <t>Nov</t>
        </is>
      </c>
      <c r="B501" s="6">
        <f>Expense!A468</f>
        <v/>
      </c>
      <c r="C501" s="6">
        <f>Income!A468</f>
        <v/>
      </c>
    </row>
    <row r="502">
      <c r="A502" s="4" t="inlineStr">
        <is>
          <t>Dec</t>
        </is>
      </c>
      <c r="B502" s="6">
        <f>Expense!A469</f>
        <v/>
      </c>
      <c r="C502" s="6">
        <f>Income!A469</f>
        <v/>
      </c>
    </row>
    <row r="503">
      <c r="A503" s="4" t="inlineStr">
        <is>
          <t>Jan</t>
        </is>
      </c>
      <c r="B503" s="6">
        <f>Expense!A470</f>
        <v/>
      </c>
      <c r="C503" s="6">
        <f>Income!A470</f>
        <v/>
      </c>
    </row>
    <row r="504">
      <c r="A504" s="4" t="inlineStr">
        <is>
          <t>Feb</t>
        </is>
      </c>
      <c r="B504" s="6">
        <f>Expense!A471</f>
        <v/>
      </c>
      <c r="C504" s="4">
        <f>Income!A471</f>
        <v/>
      </c>
    </row>
    <row r="505">
      <c r="A505" s="4" t="inlineStr">
        <is>
          <t>Mar</t>
        </is>
      </c>
      <c r="B505" s="6">
        <f>Expense!A472</f>
        <v/>
      </c>
      <c r="C505" s="6">
        <f>Income!A472</f>
        <v/>
      </c>
    </row>
    <row r="506">
      <c r="B506" s="6">
        <f>Expense!A473</f>
        <v/>
      </c>
      <c r="C506" s="4">
        <f>Income!A473</f>
        <v/>
      </c>
    </row>
    <row r="507">
      <c r="B507" s="4">
        <f>Expense!A474</f>
        <v/>
      </c>
      <c r="C507" s="6">
        <f>Income!A474</f>
        <v/>
      </c>
    </row>
    <row r="508">
      <c r="B508" s="4">
        <f>Expense!A475</f>
        <v/>
      </c>
      <c r="C508" s="4">
        <f>Income!A475</f>
        <v/>
      </c>
    </row>
    <row r="509">
      <c r="B509" s="4">
        <f>Expense!A476</f>
        <v/>
      </c>
      <c r="C509" s="4">
        <f>Income!A476</f>
        <v/>
      </c>
    </row>
    <row r="510">
      <c r="B510" s="4">
        <f>Expense!A477</f>
        <v/>
      </c>
      <c r="C510" s="4">
        <f>Income!A477</f>
        <v/>
      </c>
    </row>
    <row r="511">
      <c r="A511" s="4" t="inlineStr">
        <is>
          <t>Apr</t>
        </is>
      </c>
      <c r="B511" s="6">
        <f>Expense!A478</f>
        <v/>
      </c>
      <c r="C511" s="4">
        <f>Income!A478</f>
        <v/>
      </c>
    </row>
    <row r="512">
      <c r="A512" s="4" t="inlineStr">
        <is>
          <t>May</t>
        </is>
      </c>
      <c r="B512" s="6">
        <f>Expense!A479</f>
        <v/>
      </c>
      <c r="C512" s="4">
        <f>Income!A479</f>
        <v/>
      </c>
    </row>
    <row r="513">
      <c r="A513" s="4" t="inlineStr">
        <is>
          <t>Jun</t>
        </is>
      </c>
      <c r="B513" s="6">
        <f>Expense!A480</f>
        <v/>
      </c>
      <c r="C513" s="4">
        <f>Income!A480</f>
        <v/>
      </c>
    </row>
    <row r="514">
      <c r="A514" s="4" t="inlineStr">
        <is>
          <t>Jul</t>
        </is>
      </c>
      <c r="B514" s="6">
        <f>Expense!A481</f>
        <v/>
      </c>
      <c r="C514" s="4">
        <f>Income!A481</f>
        <v/>
      </c>
    </row>
    <row r="515">
      <c r="A515" s="4" t="inlineStr">
        <is>
          <t>Aug</t>
        </is>
      </c>
      <c r="B515" s="6">
        <f>Expense!A482</f>
        <v/>
      </c>
      <c r="C515" s="4">
        <f>Income!A482</f>
        <v/>
      </c>
    </row>
    <row r="516">
      <c r="A516" s="4" t="inlineStr">
        <is>
          <t>Sep</t>
        </is>
      </c>
      <c r="B516" s="6">
        <f>Expense!A483</f>
        <v/>
      </c>
      <c r="C516" s="12">
        <f>Income!A483</f>
        <v/>
      </c>
    </row>
    <row r="517">
      <c r="A517" s="4" t="inlineStr">
        <is>
          <t>Oct</t>
        </is>
      </c>
      <c r="B517" s="6">
        <f>Expense!A484</f>
        <v/>
      </c>
      <c r="C517" s="4">
        <f>Income!A484</f>
        <v/>
      </c>
    </row>
    <row r="518">
      <c r="A518" s="4" t="inlineStr">
        <is>
          <t>Nov</t>
        </is>
      </c>
      <c r="B518" s="6">
        <f>Expense!A485</f>
        <v/>
      </c>
      <c r="C518" s="4">
        <f>Income!A485</f>
        <v/>
      </c>
    </row>
    <row r="519">
      <c r="A519" s="4" t="inlineStr">
        <is>
          <t>Dec</t>
        </is>
      </c>
      <c r="B519" s="6">
        <f>Expense!A486</f>
        <v/>
      </c>
      <c r="C519" s="4">
        <f>Income!A486</f>
        <v/>
      </c>
    </row>
    <row r="520">
      <c r="A520" s="4" t="inlineStr">
        <is>
          <t>Jan</t>
        </is>
      </c>
      <c r="B520" s="6">
        <f>Expense!A487</f>
        <v/>
      </c>
      <c r="C520" s="4">
        <f>Income!A487</f>
        <v/>
      </c>
    </row>
    <row r="521">
      <c r="A521" s="4" t="inlineStr">
        <is>
          <t>Feb</t>
        </is>
      </c>
      <c r="B521" s="6">
        <f>Expense!A488</f>
        <v/>
      </c>
      <c r="C521" s="4">
        <f>Income!A488</f>
        <v/>
      </c>
    </row>
    <row r="522">
      <c r="A522" s="4" t="inlineStr">
        <is>
          <t>Mar</t>
        </is>
      </c>
      <c r="B522" s="6">
        <f>Expense!A489</f>
        <v/>
      </c>
      <c r="C522" s="4">
        <f>Income!A489</f>
        <v/>
      </c>
    </row>
    <row r="523">
      <c r="B523" s="6">
        <f>Expense!A490</f>
        <v/>
      </c>
      <c r="C523" s="4">
        <f>Income!A490</f>
        <v/>
      </c>
    </row>
    <row r="524">
      <c r="B524" s="4">
        <f>Expense!A491</f>
        <v/>
      </c>
      <c r="C524" s="6">
        <f>Income!A491</f>
        <v/>
      </c>
    </row>
    <row r="525">
      <c r="B525" s="4">
        <f>Expense!A492</f>
        <v/>
      </c>
      <c r="C525" s="4">
        <f>Income!A492</f>
        <v/>
      </c>
    </row>
    <row r="526">
      <c r="B526" s="4">
        <f>Expense!A493</f>
        <v/>
      </c>
      <c r="C526" s="4">
        <f>Income!A493</f>
        <v/>
      </c>
    </row>
    <row r="527">
      <c r="B527" s="4">
        <f>Expense!A494</f>
        <v/>
      </c>
      <c r="C527" s="4">
        <f>Income!A494</f>
        <v/>
      </c>
    </row>
    <row r="528">
      <c r="A528" s="4" t="inlineStr">
        <is>
          <t>Apr</t>
        </is>
      </c>
      <c r="B528" s="6">
        <f>Expense!A495</f>
        <v/>
      </c>
      <c r="C528" s="4">
        <f>Income!A495</f>
        <v/>
      </c>
    </row>
    <row r="529">
      <c r="A529" s="4" t="inlineStr">
        <is>
          <t>May</t>
        </is>
      </c>
      <c r="B529" s="6">
        <f>Expense!A496</f>
        <v/>
      </c>
      <c r="C529" s="4">
        <f>Income!A496</f>
        <v/>
      </c>
    </row>
    <row r="530">
      <c r="A530" s="4" t="inlineStr">
        <is>
          <t>Jun</t>
        </is>
      </c>
      <c r="B530" s="6">
        <f>Expense!A497</f>
        <v/>
      </c>
      <c r="C530" s="4">
        <f>Income!A497</f>
        <v/>
      </c>
    </row>
    <row r="531">
      <c r="A531" s="4" t="inlineStr">
        <is>
          <t>Jul</t>
        </is>
      </c>
      <c r="B531" s="6">
        <f>Expense!A498</f>
        <v/>
      </c>
      <c r="C531" s="4">
        <f>Income!A498</f>
        <v/>
      </c>
    </row>
    <row r="532">
      <c r="A532" s="4" t="inlineStr">
        <is>
          <t>Aug</t>
        </is>
      </c>
      <c r="B532" s="6">
        <f>Expense!A499</f>
        <v/>
      </c>
      <c r="C532" s="4">
        <f>Income!A499</f>
        <v/>
      </c>
    </row>
    <row r="533">
      <c r="A533" s="4" t="inlineStr">
        <is>
          <t>Sep</t>
        </is>
      </c>
      <c r="B533" s="6">
        <f>Expense!A500</f>
        <v/>
      </c>
      <c r="C533" s="4">
        <f>Income!A500</f>
        <v/>
      </c>
    </row>
    <row r="534">
      <c r="A534" s="4" t="inlineStr">
        <is>
          <t>Oct</t>
        </is>
      </c>
      <c r="B534" s="6">
        <f>Expense!A501</f>
        <v/>
      </c>
      <c r="C534" s="6">
        <f>Income!A501</f>
        <v/>
      </c>
    </row>
    <row r="535">
      <c r="A535" s="4" t="inlineStr">
        <is>
          <t>Nov</t>
        </is>
      </c>
      <c r="B535" s="6">
        <f>Expense!A502</f>
        <v/>
      </c>
      <c r="C535" s="4">
        <f>Income!A502</f>
        <v/>
      </c>
    </row>
    <row r="536">
      <c r="A536" s="4" t="inlineStr">
        <is>
          <t>Dec</t>
        </is>
      </c>
      <c r="B536" s="6">
        <f>Expense!A503</f>
        <v/>
      </c>
      <c r="C536" s="4">
        <f>Income!A503</f>
        <v/>
      </c>
    </row>
    <row r="537">
      <c r="A537" s="4" t="inlineStr">
        <is>
          <t>Jan</t>
        </is>
      </c>
      <c r="B537" s="6">
        <f>Expense!A504</f>
        <v/>
      </c>
      <c r="C537" s="4">
        <f>Income!A504</f>
        <v/>
      </c>
    </row>
    <row r="538">
      <c r="A538" s="4" t="inlineStr">
        <is>
          <t>Feb</t>
        </is>
      </c>
      <c r="B538" s="6">
        <f>Expense!A505</f>
        <v/>
      </c>
      <c r="C538" s="4">
        <f>Income!A505</f>
        <v/>
      </c>
    </row>
    <row r="539">
      <c r="A539" s="4" t="inlineStr">
        <is>
          <t>Mar</t>
        </is>
      </c>
      <c r="B539" s="6">
        <f>Expense!A506</f>
        <v/>
      </c>
      <c r="C539" s="4">
        <f>Income!A506</f>
        <v/>
      </c>
    </row>
    <row r="540">
      <c r="B540" s="6">
        <f>Expense!A507</f>
        <v/>
      </c>
      <c r="C540" s="4">
        <f>Income!A507</f>
        <v/>
      </c>
    </row>
    <row r="541">
      <c r="B541" s="4">
        <f>Expense!A508</f>
        <v/>
      </c>
      <c r="C541" s="6">
        <f>Income!A508</f>
        <v/>
      </c>
    </row>
    <row r="542">
      <c r="B542" s="4">
        <f>Expense!A509</f>
        <v/>
      </c>
      <c r="C542" s="4">
        <f>Income!A509</f>
        <v/>
      </c>
    </row>
    <row r="543">
      <c r="B543" s="4">
        <f>Expense!A510</f>
        <v/>
      </c>
      <c r="C543" s="4">
        <f>Income!A510</f>
        <v/>
      </c>
    </row>
    <row r="544">
      <c r="B544" s="4">
        <f>Expense!A511</f>
        <v/>
      </c>
      <c r="C544" s="4">
        <f>Income!A511</f>
        <v/>
      </c>
    </row>
    <row r="545">
      <c r="A545" s="4" t="inlineStr">
        <is>
          <t>Apr</t>
        </is>
      </c>
      <c r="B545" s="6">
        <f>Expense!A512</f>
        <v/>
      </c>
      <c r="C545" s="4">
        <f>Income!A512</f>
        <v/>
      </c>
    </row>
    <row r="546">
      <c r="A546" s="4" t="inlineStr">
        <is>
          <t>May</t>
        </is>
      </c>
      <c r="B546" s="6">
        <f>Expense!A513</f>
        <v/>
      </c>
      <c r="C546" s="6">
        <f>Income!A513</f>
        <v/>
      </c>
    </row>
    <row r="547">
      <c r="A547" s="4" t="inlineStr">
        <is>
          <t>Jun</t>
        </is>
      </c>
      <c r="B547" s="6">
        <f>Expense!A514</f>
        <v/>
      </c>
      <c r="C547" s="6">
        <f>Income!A514</f>
        <v/>
      </c>
    </row>
    <row r="548">
      <c r="A548" s="4" t="inlineStr">
        <is>
          <t>Jul</t>
        </is>
      </c>
      <c r="B548" s="6">
        <f>Expense!A515</f>
        <v/>
      </c>
      <c r="C548" s="6">
        <f>Income!A515</f>
        <v/>
      </c>
    </row>
    <row r="549">
      <c r="A549" s="4" t="inlineStr">
        <is>
          <t>Aug</t>
        </is>
      </c>
      <c r="B549" s="6">
        <f>Expense!A516</f>
        <v/>
      </c>
      <c r="C549" s="6">
        <f>Income!A516</f>
        <v/>
      </c>
    </row>
    <row r="550">
      <c r="A550" s="4" t="inlineStr">
        <is>
          <t>Sep</t>
        </is>
      </c>
      <c r="B550" s="6">
        <f>Expense!A517</f>
        <v/>
      </c>
      <c r="C550" s="6">
        <f>Income!A517</f>
        <v/>
      </c>
    </row>
    <row r="551">
      <c r="A551" s="4" t="inlineStr">
        <is>
          <t>Oct</t>
        </is>
      </c>
      <c r="B551" s="6">
        <f>Expense!A518</f>
        <v/>
      </c>
      <c r="C551" s="6">
        <f>Income!A518</f>
        <v/>
      </c>
    </row>
    <row r="552">
      <c r="A552" s="4" t="inlineStr">
        <is>
          <t>Nov</t>
        </is>
      </c>
      <c r="B552" s="6">
        <f>Expense!A519</f>
        <v/>
      </c>
      <c r="C552" s="6">
        <f>Income!A519</f>
        <v/>
      </c>
    </row>
    <row r="553">
      <c r="A553" s="4" t="inlineStr">
        <is>
          <t>Dec</t>
        </is>
      </c>
      <c r="B553" s="6">
        <f>Expense!A520</f>
        <v/>
      </c>
      <c r="C553" s="6">
        <f>Income!A520</f>
        <v/>
      </c>
    </row>
    <row r="554">
      <c r="A554" s="4" t="inlineStr">
        <is>
          <t>Jan</t>
        </is>
      </c>
      <c r="B554" s="6">
        <f>Expense!A521</f>
        <v/>
      </c>
      <c r="C554" s="6">
        <f>Income!A521</f>
        <v/>
      </c>
    </row>
    <row r="555">
      <c r="A555" s="4" t="inlineStr">
        <is>
          <t>Feb</t>
        </is>
      </c>
      <c r="B555" s="6">
        <f>Expense!A522</f>
        <v/>
      </c>
      <c r="C555" s="6">
        <f>Income!A522</f>
        <v/>
      </c>
    </row>
    <row r="556">
      <c r="A556" s="4" t="inlineStr">
        <is>
          <t>Mar</t>
        </is>
      </c>
      <c r="B556" s="6">
        <f>Expense!A523</f>
        <v/>
      </c>
      <c r="C556" s="4">
        <f>Income!A523</f>
        <v/>
      </c>
    </row>
    <row r="557">
      <c r="B557" s="6">
        <f>Expense!A524</f>
        <v/>
      </c>
      <c r="C557" s="4">
        <f>Income!A524</f>
        <v/>
      </c>
    </row>
    <row r="558">
      <c r="B558" s="4">
        <f>Expense!A525</f>
        <v/>
      </c>
      <c r="C558" s="6">
        <f>Income!A525</f>
        <v/>
      </c>
    </row>
    <row r="559">
      <c r="B559" s="4">
        <f>Expense!A526</f>
        <v/>
      </c>
      <c r="C559" s="4">
        <f>Income!A526</f>
        <v/>
      </c>
    </row>
    <row r="560">
      <c r="B560" s="4">
        <f>Expense!A527</f>
        <v/>
      </c>
      <c r="C560" s="4">
        <f>Income!A527</f>
        <v/>
      </c>
    </row>
    <row r="561">
      <c r="B561" s="4">
        <f>Expense!A528</f>
        <v/>
      </c>
      <c r="C561" s="4">
        <f>Income!A528</f>
        <v/>
      </c>
    </row>
    <row r="562">
      <c r="A562" s="4" t="inlineStr">
        <is>
          <t>Apr</t>
        </is>
      </c>
      <c r="B562" s="6">
        <f>Expense!A529</f>
        <v/>
      </c>
      <c r="C562" s="4">
        <f>Income!A529</f>
        <v/>
      </c>
    </row>
    <row r="563">
      <c r="A563" s="4" t="inlineStr">
        <is>
          <t>May</t>
        </is>
      </c>
      <c r="B563" s="6">
        <f>Expense!A530</f>
        <v/>
      </c>
      <c r="C563" s="4">
        <f>Income!A530</f>
        <v/>
      </c>
    </row>
    <row r="564">
      <c r="A564" s="4" t="inlineStr">
        <is>
          <t>Jun</t>
        </is>
      </c>
      <c r="B564" s="6">
        <f>Expense!A531</f>
        <v/>
      </c>
      <c r="C564" s="4">
        <f>Income!A531</f>
        <v/>
      </c>
    </row>
    <row r="565">
      <c r="A565" s="4" t="inlineStr">
        <is>
          <t>Jul</t>
        </is>
      </c>
      <c r="B565" s="6">
        <f>Expense!A532</f>
        <v/>
      </c>
      <c r="C565" s="4">
        <f>Income!A532</f>
        <v/>
      </c>
    </row>
    <row r="566">
      <c r="A566" s="4" t="inlineStr">
        <is>
          <t>Aug</t>
        </is>
      </c>
      <c r="B566" s="6">
        <f>Expense!A533</f>
        <v/>
      </c>
      <c r="C566" s="4">
        <f>Income!A533</f>
        <v/>
      </c>
    </row>
    <row r="567">
      <c r="A567" s="4" t="inlineStr">
        <is>
          <t>Sep</t>
        </is>
      </c>
      <c r="B567" s="6">
        <f>Expense!A534</f>
        <v/>
      </c>
      <c r="C567" s="4">
        <f>Income!A534</f>
        <v/>
      </c>
    </row>
    <row r="568">
      <c r="A568" s="4" t="inlineStr">
        <is>
          <t>Oct</t>
        </is>
      </c>
      <c r="B568" s="6">
        <f>Expense!A535</f>
        <v/>
      </c>
      <c r="C568" s="6">
        <f>Income!A535</f>
        <v/>
      </c>
    </row>
    <row r="569">
      <c r="A569" s="4" t="inlineStr">
        <is>
          <t>Nov</t>
        </is>
      </c>
      <c r="B569" s="6">
        <f>Expense!A536</f>
        <v/>
      </c>
      <c r="C569" s="4">
        <f>Income!A536</f>
        <v/>
      </c>
    </row>
    <row r="570">
      <c r="A570" s="4" t="inlineStr">
        <is>
          <t>Dec</t>
        </is>
      </c>
      <c r="B570" s="6">
        <f>Expense!A537</f>
        <v/>
      </c>
      <c r="C570" s="4">
        <f>Income!A537</f>
        <v/>
      </c>
    </row>
    <row r="571">
      <c r="A571" s="4" t="inlineStr">
        <is>
          <t>Jan</t>
        </is>
      </c>
      <c r="B571" s="6">
        <f>Expense!A538</f>
        <v/>
      </c>
      <c r="C571" s="4">
        <f>Income!A538</f>
        <v/>
      </c>
    </row>
    <row r="572">
      <c r="A572" s="4" t="inlineStr">
        <is>
          <t>Feb</t>
        </is>
      </c>
      <c r="B572" s="6">
        <f>Expense!A539</f>
        <v/>
      </c>
      <c r="C572" s="4">
        <f>Income!A539</f>
        <v/>
      </c>
    </row>
    <row r="573">
      <c r="A573" s="4" t="inlineStr">
        <is>
          <t>Mar</t>
        </is>
      </c>
      <c r="B573" s="6">
        <f>Expense!A540</f>
        <v/>
      </c>
      <c r="C573" s="4">
        <f>Income!A540</f>
        <v/>
      </c>
    </row>
    <row r="574">
      <c r="B574" s="6">
        <f>Expense!A541</f>
        <v/>
      </c>
      <c r="C574" s="4">
        <f>Income!A541</f>
        <v/>
      </c>
    </row>
    <row r="575">
      <c r="B575" s="4">
        <f>Expense!A542</f>
        <v/>
      </c>
      <c r="C575" s="6">
        <f>Income!A542</f>
        <v/>
      </c>
    </row>
    <row r="576">
      <c r="B576" s="4">
        <f>Expense!A543</f>
        <v/>
      </c>
      <c r="C576" s="4">
        <f>Income!A543</f>
        <v/>
      </c>
    </row>
    <row r="577">
      <c r="B577" s="4">
        <f>Expense!A544</f>
        <v/>
      </c>
      <c r="C577" s="4">
        <f>Income!A544</f>
        <v/>
      </c>
    </row>
    <row r="578">
      <c r="B578" s="4">
        <f>Expense!A545</f>
        <v/>
      </c>
      <c r="C578" s="4">
        <f>Income!A545</f>
        <v/>
      </c>
    </row>
    <row r="579">
      <c r="A579" s="4" t="inlineStr">
        <is>
          <t>Apr</t>
        </is>
      </c>
      <c r="B579" s="6">
        <f>Expense!A546</f>
        <v/>
      </c>
      <c r="C579" s="4">
        <f>Income!A546</f>
        <v/>
      </c>
    </row>
    <row r="580">
      <c r="A580" s="4" t="inlineStr">
        <is>
          <t>May</t>
        </is>
      </c>
      <c r="B580" s="6">
        <f>Expense!A547</f>
        <v/>
      </c>
      <c r="C580" s="6">
        <f>Income!A547</f>
        <v/>
      </c>
    </row>
    <row r="581">
      <c r="A581" s="4" t="inlineStr">
        <is>
          <t>Jun</t>
        </is>
      </c>
      <c r="B581" s="6">
        <f>Expense!A548</f>
        <v/>
      </c>
      <c r="C581" s="6">
        <f>Income!A548</f>
        <v/>
      </c>
    </row>
    <row r="582">
      <c r="A582" s="4" t="inlineStr">
        <is>
          <t>Jul</t>
        </is>
      </c>
      <c r="B582" s="6">
        <f>Expense!A549</f>
        <v/>
      </c>
      <c r="C582" s="6">
        <f>Income!A549</f>
        <v/>
      </c>
    </row>
    <row r="583">
      <c r="A583" s="4" t="inlineStr">
        <is>
          <t>Aug</t>
        </is>
      </c>
      <c r="B583" s="6">
        <f>Expense!A550</f>
        <v/>
      </c>
      <c r="C583" s="6">
        <f>Income!A550</f>
        <v/>
      </c>
    </row>
    <row r="584">
      <c r="A584" s="4" t="inlineStr">
        <is>
          <t>Sep</t>
        </is>
      </c>
      <c r="B584" s="6">
        <f>Expense!A551</f>
        <v/>
      </c>
      <c r="C584" s="6">
        <f>Income!A551</f>
        <v/>
      </c>
    </row>
    <row r="585">
      <c r="A585" s="4" t="inlineStr">
        <is>
          <t>Oct</t>
        </is>
      </c>
      <c r="B585" s="6">
        <f>Expense!A552</f>
        <v/>
      </c>
      <c r="C585" s="6">
        <f>Income!A552</f>
        <v/>
      </c>
    </row>
    <row r="586">
      <c r="A586" s="4" t="inlineStr">
        <is>
          <t>Nov</t>
        </is>
      </c>
      <c r="B586" s="6">
        <f>Expense!A553</f>
        <v/>
      </c>
      <c r="C586" s="6">
        <f>Income!A553</f>
        <v/>
      </c>
    </row>
    <row r="587">
      <c r="A587" s="4" t="inlineStr">
        <is>
          <t>Dec</t>
        </is>
      </c>
      <c r="B587" s="6">
        <f>Expense!A554</f>
        <v/>
      </c>
      <c r="C587" s="6">
        <f>Income!A554</f>
        <v/>
      </c>
    </row>
    <row r="588">
      <c r="A588" s="4" t="inlineStr">
        <is>
          <t>Jan</t>
        </is>
      </c>
      <c r="B588" s="6">
        <f>Expense!A555</f>
        <v/>
      </c>
      <c r="C588" s="6">
        <f>Income!A555</f>
        <v/>
      </c>
    </row>
    <row r="589">
      <c r="A589" s="4" t="inlineStr">
        <is>
          <t>Feb</t>
        </is>
      </c>
      <c r="B589" s="6">
        <f>Expense!A556</f>
        <v/>
      </c>
      <c r="C589" s="6">
        <f>Income!A556</f>
        <v/>
      </c>
    </row>
    <row r="590">
      <c r="A590" s="4" t="inlineStr">
        <is>
          <t>Mar</t>
        </is>
      </c>
      <c r="B590" s="6">
        <f>Expense!A557</f>
        <v/>
      </c>
      <c r="C590" s="4">
        <f>Income!A557</f>
        <v/>
      </c>
    </row>
    <row r="591">
      <c r="B591" s="6">
        <f>Expense!A558</f>
        <v/>
      </c>
      <c r="C591" s="4">
        <f>Income!A558</f>
        <v/>
      </c>
    </row>
    <row r="592">
      <c r="B592" s="4">
        <f>Expense!A559</f>
        <v/>
      </c>
      <c r="C592" s="6">
        <f>Income!A559</f>
        <v/>
      </c>
    </row>
    <row r="593">
      <c r="B593" s="4">
        <f>Expense!A560</f>
        <v/>
      </c>
      <c r="C593" s="4">
        <f>Income!A560</f>
        <v/>
      </c>
    </row>
    <row r="594">
      <c r="B594" s="4">
        <f>Expense!A561</f>
        <v/>
      </c>
      <c r="C594" s="4">
        <f>Income!A561</f>
        <v/>
      </c>
    </row>
    <row r="595">
      <c r="B595" s="4">
        <f>Expense!A562</f>
        <v/>
      </c>
      <c r="C595" s="4">
        <f>Income!A562</f>
        <v/>
      </c>
    </row>
    <row r="596">
      <c r="A596" s="4" t="inlineStr">
        <is>
          <t>Apr</t>
        </is>
      </c>
      <c r="B596" s="6">
        <f>Expense!A563</f>
        <v/>
      </c>
      <c r="C596" s="4">
        <f>Income!A563</f>
        <v/>
      </c>
    </row>
    <row r="597">
      <c r="A597" s="4" t="inlineStr">
        <is>
          <t>May</t>
        </is>
      </c>
      <c r="B597" s="6">
        <f>Expense!A564</f>
        <v/>
      </c>
      <c r="C597" s="4">
        <f>Income!A564</f>
        <v/>
      </c>
    </row>
    <row r="598">
      <c r="A598" s="4" t="inlineStr">
        <is>
          <t>Jun</t>
        </is>
      </c>
      <c r="B598" s="6">
        <f>Expense!A565</f>
        <v/>
      </c>
      <c r="C598" s="6">
        <f>Income!A565</f>
        <v/>
      </c>
    </row>
    <row r="599">
      <c r="A599" s="4" t="inlineStr">
        <is>
          <t>Jul</t>
        </is>
      </c>
      <c r="B599" s="6">
        <f>Expense!A566</f>
        <v/>
      </c>
      <c r="C599" s="6">
        <f>Income!A566</f>
        <v/>
      </c>
    </row>
    <row r="600">
      <c r="A600" s="4" t="inlineStr">
        <is>
          <t>Aug</t>
        </is>
      </c>
      <c r="B600" s="6">
        <f>Expense!A567</f>
        <v/>
      </c>
      <c r="C600" s="6">
        <f>Income!A567</f>
        <v/>
      </c>
    </row>
    <row r="601">
      <c r="A601" s="4" t="inlineStr">
        <is>
          <t>Sep</t>
        </is>
      </c>
      <c r="B601" s="6">
        <f>Expense!A568</f>
        <v/>
      </c>
      <c r="C601" s="6">
        <f>Income!A568</f>
        <v/>
      </c>
    </row>
    <row r="602">
      <c r="A602" s="4" t="inlineStr">
        <is>
          <t>Oct</t>
        </is>
      </c>
      <c r="B602" s="6">
        <f>Expense!A569</f>
        <v/>
      </c>
      <c r="C602" s="6">
        <f>Income!A569</f>
        <v/>
      </c>
    </row>
    <row r="603">
      <c r="A603" s="4" t="inlineStr">
        <is>
          <t>Nov</t>
        </is>
      </c>
      <c r="B603" s="6">
        <f>Expense!A570</f>
        <v/>
      </c>
      <c r="C603" s="6">
        <f>Income!A570</f>
        <v/>
      </c>
    </row>
    <row r="604">
      <c r="A604" s="4" t="inlineStr">
        <is>
          <t>Dec</t>
        </is>
      </c>
      <c r="B604" s="6">
        <f>Expense!A571</f>
        <v/>
      </c>
      <c r="C604" s="6">
        <f>Income!A571</f>
        <v/>
      </c>
    </row>
    <row r="605">
      <c r="A605" s="4" t="inlineStr">
        <is>
          <t>Jan</t>
        </is>
      </c>
      <c r="B605" s="6">
        <f>Expense!A572</f>
        <v/>
      </c>
      <c r="C605" s="6">
        <f>Income!A572</f>
        <v/>
      </c>
    </row>
    <row r="606">
      <c r="A606" s="4" t="inlineStr">
        <is>
          <t>Feb</t>
        </is>
      </c>
      <c r="B606" s="6">
        <f>Expense!A573</f>
        <v/>
      </c>
      <c r="C606" s="4">
        <f>Income!A573</f>
        <v/>
      </c>
    </row>
    <row r="607">
      <c r="A607" s="4" t="inlineStr">
        <is>
          <t>Mar</t>
        </is>
      </c>
      <c r="B607" s="6">
        <f>Expense!A574</f>
        <v/>
      </c>
      <c r="C607" s="6">
        <f>Income!A574</f>
        <v/>
      </c>
    </row>
    <row r="608">
      <c r="B608" s="6">
        <f>Expense!A575</f>
        <v/>
      </c>
      <c r="C608" s="4">
        <f>Income!A575</f>
        <v/>
      </c>
    </row>
    <row r="609">
      <c r="B609" s="4">
        <f>Expense!A576</f>
        <v/>
      </c>
      <c r="C609" s="6">
        <f>Income!A576</f>
        <v/>
      </c>
    </row>
    <row r="610">
      <c r="B610" s="4">
        <f>Expense!A577</f>
        <v/>
      </c>
      <c r="C610" s="4">
        <f>Income!A577</f>
        <v/>
      </c>
    </row>
    <row r="611">
      <c r="B611" s="4">
        <f>Expense!A578</f>
        <v/>
      </c>
      <c r="C611" s="4">
        <f>Income!A578</f>
        <v/>
      </c>
    </row>
    <row r="612">
      <c r="B612" s="4">
        <f>Expense!A579</f>
        <v/>
      </c>
      <c r="C612" s="4">
        <f>Income!A579</f>
        <v/>
      </c>
    </row>
    <row r="613">
      <c r="A613" s="4" t="inlineStr">
        <is>
          <t>Apr</t>
        </is>
      </c>
      <c r="B613" s="6">
        <f>Expense!A580</f>
        <v/>
      </c>
      <c r="C613" s="4">
        <f>Income!A580</f>
        <v/>
      </c>
    </row>
    <row r="614">
      <c r="A614" s="4" t="inlineStr">
        <is>
          <t>May</t>
        </is>
      </c>
      <c r="B614" s="6">
        <f>Expense!A581</f>
        <v/>
      </c>
      <c r="C614" s="4">
        <f>Income!A581</f>
        <v/>
      </c>
    </row>
    <row r="615">
      <c r="A615" s="4" t="inlineStr">
        <is>
          <t>Jun</t>
        </is>
      </c>
      <c r="B615" s="6">
        <f>Expense!A582</f>
        <v/>
      </c>
      <c r="C615" s="4">
        <f>Income!A582</f>
        <v/>
      </c>
    </row>
    <row r="616">
      <c r="A616" s="4" t="inlineStr">
        <is>
          <t>Jul</t>
        </is>
      </c>
      <c r="B616" s="6">
        <f>Expense!A583</f>
        <v/>
      </c>
      <c r="C616" s="4">
        <f>Income!A583</f>
        <v/>
      </c>
    </row>
    <row r="617">
      <c r="A617" s="4" t="inlineStr">
        <is>
          <t>Aug</t>
        </is>
      </c>
      <c r="B617" s="6">
        <f>Expense!A584</f>
        <v/>
      </c>
      <c r="C617" s="4">
        <f>Income!A584</f>
        <v/>
      </c>
    </row>
    <row r="618">
      <c r="A618" s="4" t="inlineStr">
        <is>
          <t>Sep</t>
        </is>
      </c>
      <c r="B618" s="6">
        <f>Expense!A585</f>
        <v/>
      </c>
      <c r="C618" s="4">
        <f>Income!A585</f>
        <v/>
      </c>
    </row>
    <row r="619">
      <c r="A619" s="4" t="inlineStr">
        <is>
          <t>Oct</t>
        </is>
      </c>
      <c r="B619" s="6">
        <f>Expense!A586</f>
        <v/>
      </c>
      <c r="C619" s="6">
        <f>Income!A586</f>
        <v/>
      </c>
    </row>
    <row r="620">
      <c r="A620" s="4" t="inlineStr">
        <is>
          <t>Nov</t>
        </is>
      </c>
      <c r="B620" s="6">
        <f>Expense!A587</f>
        <v/>
      </c>
      <c r="C620" s="4">
        <f>Income!A587</f>
        <v/>
      </c>
    </row>
    <row r="621">
      <c r="A621" s="4" t="inlineStr">
        <is>
          <t>Dec</t>
        </is>
      </c>
      <c r="B621" s="6">
        <f>Expense!A588</f>
        <v/>
      </c>
      <c r="C621" s="4">
        <f>Income!A588</f>
        <v/>
      </c>
    </row>
    <row r="622">
      <c r="A622" s="4" t="inlineStr">
        <is>
          <t>Jan</t>
        </is>
      </c>
      <c r="B622" s="6">
        <f>Expense!A589</f>
        <v/>
      </c>
      <c r="C622" s="4">
        <f>Income!A589</f>
        <v/>
      </c>
    </row>
    <row r="623">
      <c r="A623" s="4" t="inlineStr">
        <is>
          <t>Feb</t>
        </is>
      </c>
      <c r="B623" s="6">
        <f>Expense!A590</f>
        <v/>
      </c>
      <c r="C623" s="4">
        <f>Income!A590</f>
        <v/>
      </c>
    </row>
    <row r="624">
      <c r="A624" s="4" t="inlineStr">
        <is>
          <t>Mar</t>
        </is>
      </c>
      <c r="B624" s="6">
        <f>Expense!A591</f>
        <v/>
      </c>
      <c r="C624" s="4">
        <f>Income!A591</f>
        <v/>
      </c>
    </row>
    <row r="625">
      <c r="B625" s="6">
        <f>Expense!A592</f>
        <v/>
      </c>
      <c r="C625" s="4">
        <f>Income!A592</f>
        <v/>
      </c>
    </row>
    <row r="626">
      <c r="B626" s="4">
        <f>Expense!A593</f>
        <v/>
      </c>
      <c r="C626" s="6">
        <f>Income!A593</f>
        <v/>
      </c>
    </row>
    <row r="627">
      <c r="B627" s="4">
        <f>Expense!A594</f>
        <v/>
      </c>
      <c r="C627" s="4">
        <f>Income!A594</f>
        <v/>
      </c>
    </row>
    <row r="628">
      <c r="B628" s="4">
        <f>Expense!A595</f>
        <v/>
      </c>
      <c r="C628" s="4">
        <f>Income!A595</f>
        <v/>
      </c>
    </row>
    <row r="629">
      <c r="B629" s="4">
        <f>Expense!A596</f>
        <v/>
      </c>
      <c r="C629" s="4">
        <f>Income!A596</f>
        <v/>
      </c>
    </row>
    <row r="630">
      <c r="A630" s="4" t="inlineStr">
        <is>
          <t>Apr</t>
        </is>
      </c>
      <c r="B630" s="6">
        <f>Expense!A597</f>
        <v/>
      </c>
      <c r="C630" s="4">
        <f>Income!A597</f>
        <v/>
      </c>
    </row>
    <row r="631">
      <c r="A631" s="4" t="inlineStr">
        <is>
          <t>May</t>
        </is>
      </c>
      <c r="B631" s="6">
        <f>Expense!A598</f>
        <v/>
      </c>
      <c r="C631" s="6">
        <f>Income!A598</f>
        <v/>
      </c>
    </row>
    <row r="632">
      <c r="A632" s="4" t="inlineStr">
        <is>
          <t>Jun</t>
        </is>
      </c>
      <c r="B632" s="6">
        <f>Expense!A599</f>
        <v/>
      </c>
      <c r="C632" s="6">
        <f>Income!A599</f>
        <v/>
      </c>
    </row>
    <row r="633">
      <c r="A633" s="4" t="inlineStr">
        <is>
          <t>Jul</t>
        </is>
      </c>
      <c r="B633" s="6">
        <f>Expense!A600</f>
        <v/>
      </c>
      <c r="C633" s="6">
        <f>Income!A600</f>
        <v/>
      </c>
    </row>
    <row r="634">
      <c r="A634" s="4" t="inlineStr">
        <is>
          <t>Aug</t>
        </is>
      </c>
      <c r="B634" s="6">
        <f>Expense!A601</f>
        <v/>
      </c>
      <c r="C634" s="6">
        <f>Income!A601</f>
        <v/>
      </c>
    </row>
    <row r="635">
      <c r="A635" s="4" t="inlineStr">
        <is>
          <t>Sep</t>
        </is>
      </c>
      <c r="B635" s="6">
        <f>Expense!A602</f>
        <v/>
      </c>
      <c r="C635" s="6">
        <f>Income!A602</f>
        <v/>
      </c>
    </row>
    <row r="636">
      <c r="A636" s="4" t="inlineStr">
        <is>
          <t>Oct</t>
        </is>
      </c>
      <c r="B636" s="6">
        <f>Expense!A603</f>
        <v/>
      </c>
      <c r="C636" s="6">
        <f>Income!A603</f>
        <v/>
      </c>
    </row>
    <row r="637">
      <c r="A637" s="4" t="inlineStr">
        <is>
          <t>Nov</t>
        </is>
      </c>
      <c r="B637" s="6">
        <f>Expense!A604</f>
        <v/>
      </c>
      <c r="C637" s="6">
        <f>Income!A604</f>
        <v/>
      </c>
    </row>
    <row r="638">
      <c r="A638" s="4" t="inlineStr">
        <is>
          <t>Dec</t>
        </is>
      </c>
      <c r="B638" s="6">
        <f>Expense!A605</f>
        <v/>
      </c>
      <c r="C638" s="6">
        <f>Income!A605</f>
        <v/>
      </c>
    </row>
    <row r="639">
      <c r="A639" s="4" t="inlineStr">
        <is>
          <t>Jan</t>
        </is>
      </c>
      <c r="B639" s="6">
        <f>Expense!A606</f>
        <v/>
      </c>
      <c r="C639" s="6">
        <f>Income!A606</f>
        <v/>
      </c>
    </row>
    <row r="640">
      <c r="A640" s="4" t="inlineStr">
        <is>
          <t>Feb</t>
        </is>
      </c>
      <c r="B640" s="6">
        <f>Expense!A607</f>
        <v/>
      </c>
      <c r="C640" s="6">
        <f>Income!A607</f>
        <v/>
      </c>
    </row>
    <row r="641">
      <c r="A641" s="4" t="inlineStr">
        <is>
          <t>Mar</t>
        </is>
      </c>
      <c r="B641" s="6">
        <f>Expense!A608</f>
        <v/>
      </c>
      <c r="C641" s="4">
        <f>Income!A608</f>
        <v/>
      </c>
    </row>
    <row r="642">
      <c r="B642" s="6">
        <f>Expense!A609</f>
        <v/>
      </c>
      <c r="C642" s="4">
        <f>Income!A609</f>
        <v/>
      </c>
    </row>
    <row r="643">
      <c r="B643" s="4">
        <f>Expense!A610</f>
        <v/>
      </c>
      <c r="C643" s="6">
        <f>Income!A610</f>
        <v/>
      </c>
    </row>
    <row r="644">
      <c r="B644" s="4">
        <f>Expense!A611</f>
        <v/>
      </c>
      <c r="C644" s="4">
        <f>Income!A611</f>
        <v/>
      </c>
    </row>
    <row r="645">
      <c r="B645" s="4">
        <f>Expense!A612</f>
        <v/>
      </c>
      <c r="C645" s="4">
        <f>Income!A612</f>
        <v/>
      </c>
    </row>
    <row r="646">
      <c r="B646" s="4">
        <f>Expense!A613</f>
        <v/>
      </c>
      <c r="C646" s="4">
        <f>Income!A613</f>
        <v/>
      </c>
    </row>
    <row r="647">
      <c r="A647" s="4" t="inlineStr">
        <is>
          <t>Apr</t>
        </is>
      </c>
      <c r="B647" s="6">
        <f>Expense!A614</f>
        <v/>
      </c>
      <c r="C647" s="4">
        <f>Income!A614</f>
        <v/>
      </c>
    </row>
    <row r="648">
      <c r="A648" s="4" t="inlineStr">
        <is>
          <t>May</t>
        </is>
      </c>
      <c r="B648" s="6">
        <f>Expense!A615</f>
        <v/>
      </c>
      <c r="C648" s="4">
        <f>Income!A615</f>
        <v/>
      </c>
    </row>
    <row r="649">
      <c r="A649" s="4" t="inlineStr">
        <is>
          <t>Jun</t>
        </is>
      </c>
      <c r="B649" s="6">
        <f>Expense!A616</f>
        <v/>
      </c>
      <c r="C649" s="4">
        <f>Income!A616</f>
        <v/>
      </c>
    </row>
    <row r="650">
      <c r="A650" s="4" t="inlineStr">
        <is>
          <t>Jul</t>
        </is>
      </c>
      <c r="B650" s="6">
        <f>Expense!A617</f>
        <v/>
      </c>
      <c r="C650" s="4">
        <f>Income!A617</f>
        <v/>
      </c>
    </row>
    <row r="651">
      <c r="A651" s="4" t="inlineStr">
        <is>
          <t>Aug</t>
        </is>
      </c>
      <c r="B651" s="6">
        <f>Expense!A618</f>
        <v/>
      </c>
      <c r="C651" s="4">
        <f>Income!A618</f>
        <v/>
      </c>
    </row>
    <row r="652">
      <c r="A652" s="4" t="inlineStr">
        <is>
          <t>Sep</t>
        </is>
      </c>
      <c r="B652" s="6">
        <f>Expense!A619</f>
        <v/>
      </c>
      <c r="C652" s="4">
        <f>Income!A619</f>
        <v/>
      </c>
    </row>
    <row r="653">
      <c r="A653" s="4" t="inlineStr">
        <is>
          <t>Oct</t>
        </is>
      </c>
      <c r="B653" s="6">
        <f>Expense!A620</f>
        <v/>
      </c>
      <c r="C653" s="6">
        <f>Income!A620</f>
        <v/>
      </c>
    </row>
    <row r="654">
      <c r="A654" s="4" t="inlineStr">
        <is>
          <t>Nov</t>
        </is>
      </c>
      <c r="B654" s="6">
        <f>Expense!A621</f>
        <v/>
      </c>
      <c r="C654" s="4">
        <f>Income!A621</f>
        <v/>
      </c>
    </row>
    <row r="655">
      <c r="A655" s="4" t="inlineStr">
        <is>
          <t>Dec</t>
        </is>
      </c>
      <c r="B655" s="6">
        <f>Expense!A622</f>
        <v/>
      </c>
      <c r="C655" s="4">
        <f>Income!A622</f>
        <v/>
      </c>
    </row>
    <row r="656">
      <c r="A656" s="4" t="inlineStr">
        <is>
          <t>Jan</t>
        </is>
      </c>
      <c r="B656" s="6">
        <f>Expense!A623</f>
        <v/>
      </c>
      <c r="C656" s="4">
        <f>Income!A623</f>
        <v/>
      </c>
    </row>
    <row r="657">
      <c r="A657" s="4" t="inlineStr">
        <is>
          <t>Feb</t>
        </is>
      </c>
      <c r="B657" s="6">
        <f>Expense!A624</f>
        <v/>
      </c>
      <c r="C657" s="4">
        <f>Income!A624</f>
        <v/>
      </c>
    </row>
    <row r="658">
      <c r="A658" s="4" t="inlineStr">
        <is>
          <t>Mar</t>
        </is>
      </c>
      <c r="B658" s="6">
        <f>Expense!A625</f>
        <v/>
      </c>
      <c r="C658" s="4">
        <f>Income!A625</f>
        <v/>
      </c>
    </row>
    <row r="659">
      <c r="B659" s="6">
        <f>Expense!A626</f>
        <v/>
      </c>
      <c r="C659" s="4">
        <f>Income!A626</f>
        <v/>
      </c>
    </row>
    <row r="660">
      <c r="B660" s="4">
        <f>Expense!A627</f>
        <v/>
      </c>
      <c r="C660" s="6">
        <f>Income!A627</f>
        <v/>
      </c>
    </row>
    <row r="661">
      <c r="B661" s="4">
        <f>Expense!A628</f>
        <v/>
      </c>
      <c r="C661" s="4">
        <f>Income!A628</f>
        <v/>
      </c>
    </row>
    <row r="662">
      <c r="B662" s="4">
        <f>Expense!A629</f>
        <v/>
      </c>
      <c r="C662" s="4">
        <f>Income!A629</f>
        <v/>
      </c>
    </row>
    <row r="663">
      <c r="B663" s="4">
        <f>Expense!A630</f>
        <v/>
      </c>
      <c r="C663" s="4">
        <f>Income!A630</f>
        <v/>
      </c>
    </row>
    <row r="664">
      <c r="A664" s="4" t="inlineStr">
        <is>
          <t>Apr</t>
        </is>
      </c>
      <c r="B664" s="6">
        <f>Expense!A631</f>
        <v/>
      </c>
      <c r="C664" s="4">
        <f>Income!A631</f>
        <v/>
      </c>
    </row>
    <row r="665">
      <c r="A665" s="4" t="inlineStr">
        <is>
          <t>May</t>
        </is>
      </c>
      <c r="B665" s="6">
        <f>Expense!A632</f>
        <v/>
      </c>
      <c r="C665" s="4">
        <f>Income!A632</f>
        <v/>
      </c>
    </row>
    <row r="666">
      <c r="A666" s="4" t="inlineStr">
        <is>
          <t>Jun</t>
        </is>
      </c>
      <c r="B666" s="6">
        <f>Expense!A633</f>
        <v/>
      </c>
      <c r="C666" s="4">
        <f>Income!A633</f>
        <v/>
      </c>
    </row>
    <row r="667">
      <c r="A667" s="4" t="inlineStr">
        <is>
          <t>Jul</t>
        </is>
      </c>
      <c r="B667" s="6">
        <f>Expense!A634</f>
        <v/>
      </c>
      <c r="C667" s="4">
        <f>Income!A634</f>
        <v/>
      </c>
    </row>
    <row r="668">
      <c r="A668" s="4" t="inlineStr">
        <is>
          <t>Aug</t>
        </is>
      </c>
      <c r="B668" s="6">
        <f>Expense!A635</f>
        <v/>
      </c>
      <c r="C668" s="4">
        <f>Income!A635</f>
        <v/>
      </c>
    </row>
    <row r="669">
      <c r="A669" s="4" t="inlineStr">
        <is>
          <t>Sep</t>
        </is>
      </c>
      <c r="B669" s="6">
        <f>Expense!A636</f>
        <v/>
      </c>
      <c r="C669" s="4">
        <f>Income!A636</f>
        <v/>
      </c>
    </row>
    <row r="670">
      <c r="A670" s="4" t="inlineStr">
        <is>
          <t>Oct</t>
        </is>
      </c>
      <c r="B670" s="6">
        <f>Expense!A637</f>
        <v/>
      </c>
      <c r="C670" s="4">
        <f>Income!A637</f>
        <v/>
      </c>
    </row>
    <row r="671">
      <c r="A671" s="4" t="inlineStr">
        <is>
          <t>Nov</t>
        </is>
      </c>
      <c r="B671" s="6">
        <f>Expense!A638</f>
        <v/>
      </c>
      <c r="C671" s="4">
        <f>Income!A638</f>
        <v/>
      </c>
    </row>
    <row r="672">
      <c r="A672" s="4" t="inlineStr">
        <is>
          <t>Dec</t>
        </is>
      </c>
      <c r="B672" s="6">
        <f>Expense!A639</f>
        <v/>
      </c>
      <c r="C672" s="4">
        <f>Income!A639</f>
        <v/>
      </c>
    </row>
    <row r="673">
      <c r="A673" s="4" t="inlineStr">
        <is>
          <t>Jan</t>
        </is>
      </c>
      <c r="B673" s="6">
        <f>Expense!A640</f>
        <v/>
      </c>
      <c r="C673" s="4">
        <f>Income!A640</f>
        <v/>
      </c>
    </row>
    <row r="674">
      <c r="A674" s="4" t="inlineStr">
        <is>
          <t>Feb</t>
        </is>
      </c>
      <c r="B674" s="6">
        <f>Expense!A641</f>
        <v/>
      </c>
      <c r="C674" s="4">
        <f>Income!A641</f>
        <v/>
      </c>
    </row>
    <row r="675">
      <c r="A675" s="4" t="inlineStr">
        <is>
          <t>Mar</t>
        </is>
      </c>
      <c r="B675" s="6">
        <f>Expense!A642</f>
        <v/>
      </c>
      <c r="C675" s="4">
        <f>Income!A642</f>
        <v/>
      </c>
    </row>
    <row r="676">
      <c r="B676" s="6">
        <f>Expense!A643</f>
        <v/>
      </c>
      <c r="C676" s="4">
        <f>Income!A643</f>
        <v/>
      </c>
    </row>
    <row r="677">
      <c r="B677" s="4">
        <f>Expense!A644</f>
        <v/>
      </c>
      <c r="C677" s="6">
        <f>Income!A644</f>
        <v/>
      </c>
    </row>
    <row r="678">
      <c r="B678" s="4">
        <f>Expense!A645</f>
        <v/>
      </c>
      <c r="C678" s="4">
        <f>Income!A645</f>
        <v/>
      </c>
    </row>
    <row r="679">
      <c r="B679" s="4">
        <f>Expense!A646</f>
        <v/>
      </c>
      <c r="C679" s="4">
        <f>Income!A646</f>
        <v/>
      </c>
    </row>
    <row r="680">
      <c r="B680" s="4">
        <f>Expense!A647</f>
        <v/>
      </c>
      <c r="C680" s="4">
        <f>Income!A647</f>
        <v/>
      </c>
    </row>
    <row r="681">
      <c r="A681" s="4" t="inlineStr">
        <is>
          <t>Apr</t>
        </is>
      </c>
      <c r="B681" s="6">
        <f>Expense!A648</f>
        <v/>
      </c>
      <c r="C681" s="4">
        <f>Income!A648</f>
        <v/>
      </c>
    </row>
    <row r="682">
      <c r="A682" s="4" t="inlineStr">
        <is>
          <t>May</t>
        </is>
      </c>
      <c r="B682" s="6">
        <f>Expense!A649</f>
        <v/>
      </c>
      <c r="C682" s="6">
        <f>Income!A649</f>
        <v/>
      </c>
    </row>
    <row r="683">
      <c r="A683" s="4" t="inlineStr">
        <is>
          <t>Jun</t>
        </is>
      </c>
      <c r="B683" s="6">
        <f>Expense!A650</f>
        <v/>
      </c>
      <c r="C683" s="6">
        <f>Income!A650</f>
        <v/>
      </c>
    </row>
    <row r="684">
      <c r="A684" s="4" t="inlineStr">
        <is>
          <t>Jul</t>
        </is>
      </c>
      <c r="B684" s="6">
        <f>Expense!A651</f>
        <v/>
      </c>
      <c r="C684" s="6">
        <f>Income!A651</f>
        <v/>
      </c>
    </row>
    <row r="685">
      <c r="A685" s="4" t="inlineStr">
        <is>
          <t>Aug</t>
        </is>
      </c>
      <c r="B685" s="6">
        <f>Expense!A652</f>
        <v/>
      </c>
      <c r="C685" s="6">
        <f>Income!A652</f>
        <v/>
      </c>
    </row>
    <row r="686">
      <c r="A686" s="4" t="inlineStr">
        <is>
          <t>Sep</t>
        </is>
      </c>
      <c r="B686" s="6">
        <f>Expense!A653</f>
        <v/>
      </c>
      <c r="C686" s="6">
        <f>Income!A653</f>
        <v/>
      </c>
    </row>
    <row r="687">
      <c r="A687" s="4" t="inlineStr">
        <is>
          <t>Oct</t>
        </is>
      </c>
      <c r="B687" s="6">
        <f>Expense!A654</f>
        <v/>
      </c>
      <c r="C687" s="6">
        <f>Income!A654</f>
        <v/>
      </c>
    </row>
    <row r="688">
      <c r="A688" s="4" t="inlineStr">
        <is>
          <t>Nov</t>
        </is>
      </c>
      <c r="B688" s="6">
        <f>Expense!A655</f>
        <v/>
      </c>
      <c r="C688" s="4">
        <f>Income!A655</f>
        <v/>
      </c>
    </row>
    <row r="689">
      <c r="A689" s="4" t="inlineStr">
        <is>
          <t>Dec</t>
        </is>
      </c>
      <c r="B689" s="6">
        <f>Expense!A656</f>
        <v/>
      </c>
      <c r="C689" s="6">
        <f>Income!A656</f>
        <v/>
      </c>
    </row>
    <row r="690">
      <c r="A690" s="4" t="inlineStr">
        <is>
          <t>Jan</t>
        </is>
      </c>
      <c r="B690" s="6">
        <f>Expense!A657</f>
        <v/>
      </c>
      <c r="C690" s="6">
        <f>Income!A657</f>
        <v/>
      </c>
    </row>
    <row r="691">
      <c r="A691" s="4" t="inlineStr">
        <is>
          <t>Feb</t>
        </is>
      </c>
      <c r="B691" s="6">
        <f>Expense!A658</f>
        <v/>
      </c>
      <c r="C691" s="6">
        <f>Income!A658</f>
        <v/>
      </c>
    </row>
    <row r="692">
      <c r="A692" s="4" t="inlineStr">
        <is>
          <t>Mar</t>
        </is>
      </c>
      <c r="B692" s="6">
        <f>Expense!A659</f>
        <v/>
      </c>
      <c r="C692" s="4">
        <f>Income!A659</f>
        <v/>
      </c>
    </row>
    <row r="693">
      <c r="B693" s="6">
        <f>Expense!A660</f>
        <v/>
      </c>
      <c r="C693" s="4">
        <f>Income!A660</f>
        <v/>
      </c>
    </row>
    <row r="694">
      <c r="B694" s="4">
        <f>Expense!A661</f>
        <v/>
      </c>
      <c r="C694" s="6">
        <f>Income!A661</f>
        <v/>
      </c>
    </row>
    <row r="695">
      <c r="B695" s="4">
        <f>Expense!A662</f>
        <v/>
      </c>
      <c r="C695" s="4">
        <f>Income!A662</f>
        <v/>
      </c>
    </row>
    <row r="696">
      <c r="B696" s="4">
        <f>Expense!A663</f>
        <v/>
      </c>
      <c r="C696" s="4">
        <f>Income!A663</f>
        <v/>
      </c>
    </row>
    <row r="697">
      <c r="B697" s="4">
        <f>Expense!A664</f>
        <v/>
      </c>
      <c r="C697" s="4">
        <f>Income!A664</f>
        <v/>
      </c>
    </row>
    <row r="698">
      <c r="A698" s="4" t="inlineStr">
        <is>
          <t>Apr</t>
        </is>
      </c>
      <c r="B698" s="6">
        <f>Expense!A665</f>
        <v/>
      </c>
      <c r="C698" s="4">
        <f>Income!A665</f>
        <v/>
      </c>
    </row>
    <row r="699">
      <c r="A699" s="4" t="inlineStr">
        <is>
          <t>May</t>
        </is>
      </c>
      <c r="B699" s="6">
        <f>Expense!A666</f>
        <v/>
      </c>
      <c r="C699" s="6">
        <f>Income!A666</f>
        <v/>
      </c>
    </row>
    <row r="700">
      <c r="A700" s="4" t="inlineStr">
        <is>
          <t>Jun</t>
        </is>
      </c>
      <c r="B700" s="6">
        <f>Expense!A667</f>
        <v/>
      </c>
      <c r="C700" s="6">
        <f>Income!A667</f>
        <v/>
      </c>
    </row>
    <row r="701">
      <c r="A701" s="4" t="inlineStr">
        <is>
          <t>Jul</t>
        </is>
      </c>
      <c r="B701" s="6">
        <f>Expense!A668</f>
        <v/>
      </c>
      <c r="C701" s="6">
        <f>Income!A668</f>
        <v/>
      </c>
    </row>
    <row r="702">
      <c r="A702" s="4" t="inlineStr">
        <is>
          <t>Aug</t>
        </is>
      </c>
      <c r="B702" s="6">
        <f>Expense!A669</f>
        <v/>
      </c>
      <c r="C702" s="6">
        <f>Income!A669</f>
        <v/>
      </c>
    </row>
    <row r="703">
      <c r="A703" s="4" t="inlineStr">
        <is>
          <t>Sep</t>
        </is>
      </c>
      <c r="B703" s="6">
        <f>Expense!A670</f>
        <v/>
      </c>
      <c r="C703" s="6">
        <f>Income!A670</f>
        <v/>
      </c>
    </row>
    <row r="704">
      <c r="A704" s="4" t="inlineStr">
        <is>
          <t>Oct</t>
        </is>
      </c>
      <c r="B704" s="6">
        <f>Expense!A671</f>
        <v/>
      </c>
      <c r="C704" s="6">
        <f>Income!A671</f>
        <v/>
      </c>
    </row>
    <row r="705">
      <c r="A705" s="4" t="inlineStr">
        <is>
          <t>Nov</t>
        </is>
      </c>
      <c r="B705" s="6">
        <f>Expense!A672</f>
        <v/>
      </c>
      <c r="C705" s="6">
        <f>Income!A672</f>
        <v/>
      </c>
    </row>
    <row r="706">
      <c r="A706" s="4" t="inlineStr">
        <is>
          <t>Dec</t>
        </is>
      </c>
      <c r="B706" s="6">
        <f>Expense!A673</f>
        <v/>
      </c>
      <c r="C706" s="6">
        <f>Income!A673</f>
        <v/>
      </c>
    </row>
    <row r="707">
      <c r="A707" s="4" t="inlineStr">
        <is>
          <t>Jan</t>
        </is>
      </c>
      <c r="B707" s="6">
        <f>Expense!A674</f>
        <v/>
      </c>
      <c r="C707" s="6">
        <f>Income!A674</f>
        <v/>
      </c>
    </row>
    <row r="708">
      <c r="A708" s="4" t="inlineStr">
        <is>
          <t>Feb</t>
        </is>
      </c>
      <c r="B708" s="6">
        <f>Expense!A675</f>
        <v/>
      </c>
      <c r="C708" s="6">
        <f>Income!A675</f>
        <v/>
      </c>
    </row>
    <row r="709">
      <c r="A709" s="4" t="inlineStr">
        <is>
          <t>Mar</t>
        </is>
      </c>
      <c r="B709" s="6">
        <f>Expense!A676</f>
        <v/>
      </c>
      <c r="C709" s="4">
        <f>Income!A676</f>
        <v/>
      </c>
    </row>
    <row r="710">
      <c r="B710" s="6">
        <f>Expense!A677</f>
        <v/>
      </c>
      <c r="C710" s="4">
        <f>Income!A677</f>
        <v/>
      </c>
    </row>
    <row r="711">
      <c r="B711" s="4">
        <f>Expense!A678</f>
        <v/>
      </c>
      <c r="C711" s="6">
        <f>Income!A678</f>
        <v/>
      </c>
    </row>
    <row r="712">
      <c r="B712" s="4">
        <f>Expense!A679</f>
        <v/>
      </c>
      <c r="C712" s="4">
        <f>Income!A679</f>
        <v/>
      </c>
    </row>
    <row r="713">
      <c r="B713" s="4">
        <f>Expense!A680</f>
        <v/>
      </c>
      <c r="C713" s="4">
        <f>Income!A680</f>
        <v/>
      </c>
    </row>
    <row r="714">
      <c r="B714" s="4">
        <f>Expense!A681</f>
        <v/>
      </c>
      <c r="C714" s="4">
        <f>Income!A681</f>
        <v/>
      </c>
    </row>
    <row r="715">
      <c r="A715" s="4" t="inlineStr">
        <is>
          <t>Apr</t>
        </is>
      </c>
      <c r="B715" s="6">
        <f>Expense!A682</f>
        <v/>
      </c>
      <c r="C715" s="4">
        <f>Income!A682</f>
        <v/>
      </c>
    </row>
    <row r="716">
      <c r="A716" s="4" t="inlineStr">
        <is>
          <t>May</t>
        </is>
      </c>
      <c r="B716" s="6">
        <f>Expense!A683</f>
        <v/>
      </c>
      <c r="C716" s="6">
        <f>Income!A683</f>
        <v/>
      </c>
    </row>
    <row r="717">
      <c r="A717" s="4" t="inlineStr">
        <is>
          <t>Jun</t>
        </is>
      </c>
      <c r="B717" s="6">
        <f>Expense!A684</f>
        <v/>
      </c>
      <c r="C717" s="6">
        <f>Income!A684</f>
        <v/>
      </c>
    </row>
    <row r="718">
      <c r="A718" s="4" t="inlineStr">
        <is>
          <t>Jul</t>
        </is>
      </c>
      <c r="B718" s="6">
        <f>Expense!A685</f>
        <v/>
      </c>
      <c r="C718" s="6">
        <f>Income!A685</f>
        <v/>
      </c>
    </row>
    <row r="719">
      <c r="A719" s="4" t="inlineStr">
        <is>
          <t>Aug</t>
        </is>
      </c>
      <c r="B719" s="6">
        <f>Expense!A686</f>
        <v/>
      </c>
      <c r="C719" s="6">
        <f>Income!A686</f>
        <v/>
      </c>
    </row>
    <row r="720">
      <c r="A720" s="4" t="inlineStr">
        <is>
          <t>Sep</t>
        </is>
      </c>
      <c r="B720" s="6">
        <f>Expense!A687</f>
        <v/>
      </c>
      <c r="C720" s="6">
        <f>Income!A687</f>
        <v/>
      </c>
    </row>
    <row r="721">
      <c r="A721" s="4" t="inlineStr">
        <is>
          <t>Oct</t>
        </is>
      </c>
      <c r="B721" s="6">
        <f>Expense!A688</f>
        <v/>
      </c>
      <c r="C721" s="6">
        <f>Income!A688</f>
        <v/>
      </c>
    </row>
    <row r="722">
      <c r="A722" s="4" t="inlineStr">
        <is>
          <t>Nov</t>
        </is>
      </c>
      <c r="B722" s="6">
        <f>Expense!A689</f>
        <v/>
      </c>
      <c r="C722" s="6">
        <f>Income!A689</f>
        <v/>
      </c>
    </row>
    <row r="723">
      <c r="A723" s="4" t="inlineStr">
        <is>
          <t>Dec</t>
        </is>
      </c>
      <c r="B723" s="6">
        <f>Expense!A690</f>
        <v/>
      </c>
      <c r="C723" s="6">
        <f>Income!A690</f>
        <v/>
      </c>
    </row>
    <row r="724">
      <c r="A724" s="4" t="inlineStr">
        <is>
          <t>Jan</t>
        </is>
      </c>
      <c r="B724" s="6">
        <f>Expense!A691</f>
        <v/>
      </c>
      <c r="C724" s="6">
        <f>Income!A691</f>
        <v/>
      </c>
    </row>
    <row r="725">
      <c r="A725" s="4" t="inlineStr">
        <is>
          <t>Feb</t>
        </is>
      </c>
      <c r="B725" s="6">
        <f>Expense!A692</f>
        <v/>
      </c>
      <c r="C725" s="6">
        <f>Income!A692</f>
        <v/>
      </c>
    </row>
    <row r="726">
      <c r="A726" s="4" t="inlineStr">
        <is>
          <t>Mar</t>
        </is>
      </c>
      <c r="B726" s="6">
        <f>Expense!A693</f>
        <v/>
      </c>
      <c r="C726" s="4">
        <f>Income!A693</f>
        <v/>
      </c>
    </row>
    <row r="727">
      <c r="B727" s="6">
        <f>Expense!A694</f>
        <v/>
      </c>
      <c r="C727" s="4">
        <f>Income!A694</f>
        <v/>
      </c>
    </row>
    <row r="728">
      <c r="B728" s="4">
        <f>Expense!A695</f>
        <v/>
      </c>
      <c r="C728" s="6">
        <f>Income!A695</f>
        <v/>
      </c>
    </row>
    <row r="729">
      <c r="B729" s="4">
        <f>Expense!A696</f>
        <v/>
      </c>
      <c r="C729" s="4">
        <f>Income!A696</f>
        <v/>
      </c>
    </row>
    <row r="730">
      <c r="B730" s="4">
        <f>Expense!A697</f>
        <v/>
      </c>
      <c r="C730" s="4">
        <f>Income!A697</f>
        <v/>
      </c>
    </row>
    <row r="731">
      <c r="B731" s="4">
        <f>Expense!A698</f>
        <v/>
      </c>
      <c r="C731" s="4">
        <f>Income!A698</f>
        <v/>
      </c>
    </row>
    <row r="732">
      <c r="A732" s="4" t="inlineStr">
        <is>
          <t>Apr</t>
        </is>
      </c>
      <c r="B732" s="6">
        <f>Expense!A699</f>
        <v/>
      </c>
      <c r="C732" s="4">
        <f>Income!A699</f>
        <v/>
      </c>
    </row>
    <row r="733">
      <c r="A733" s="4" t="inlineStr">
        <is>
          <t>May</t>
        </is>
      </c>
      <c r="B733" s="6">
        <f>Expense!A700</f>
        <v/>
      </c>
      <c r="C733" s="6">
        <f>Income!A700</f>
        <v/>
      </c>
    </row>
    <row r="734">
      <c r="A734" s="4" t="inlineStr">
        <is>
          <t>Jun</t>
        </is>
      </c>
      <c r="B734" s="6">
        <f>Expense!A701</f>
        <v/>
      </c>
      <c r="C734" s="6">
        <f>Income!A701</f>
        <v/>
      </c>
    </row>
    <row r="735">
      <c r="A735" s="4" t="inlineStr">
        <is>
          <t>Jul</t>
        </is>
      </c>
      <c r="B735" s="6">
        <f>Expense!A702</f>
        <v/>
      </c>
      <c r="C735" s="6">
        <f>Income!A702</f>
        <v/>
      </c>
    </row>
    <row r="736">
      <c r="A736" s="4" t="inlineStr">
        <is>
          <t>Aug</t>
        </is>
      </c>
      <c r="B736" s="6">
        <f>Expense!A703</f>
        <v/>
      </c>
      <c r="C736" s="6">
        <f>Income!A703</f>
        <v/>
      </c>
    </row>
    <row r="737">
      <c r="A737" s="4" t="inlineStr">
        <is>
          <t>Sep</t>
        </is>
      </c>
      <c r="B737" s="6">
        <f>Expense!A704</f>
        <v/>
      </c>
      <c r="C737" s="6">
        <f>Income!A704</f>
        <v/>
      </c>
    </row>
    <row r="738">
      <c r="A738" s="4" t="inlineStr">
        <is>
          <t>Oct</t>
        </is>
      </c>
      <c r="B738" s="6">
        <f>Expense!A705</f>
        <v/>
      </c>
      <c r="C738" s="6">
        <f>Income!A705</f>
        <v/>
      </c>
    </row>
    <row r="739">
      <c r="A739" s="4" t="inlineStr">
        <is>
          <t>Nov</t>
        </is>
      </c>
      <c r="B739" s="6">
        <f>Expense!A706</f>
        <v/>
      </c>
      <c r="C739" s="6">
        <f>Income!A706</f>
        <v/>
      </c>
    </row>
    <row r="740">
      <c r="A740" s="4" t="inlineStr">
        <is>
          <t>Dec</t>
        </is>
      </c>
      <c r="B740" s="6">
        <f>Expense!A707</f>
        <v/>
      </c>
      <c r="C740" s="6">
        <f>Income!A707</f>
        <v/>
      </c>
    </row>
    <row r="741">
      <c r="A741" s="4" t="inlineStr">
        <is>
          <t>Jan</t>
        </is>
      </c>
      <c r="B741" s="6">
        <f>Expense!A708</f>
        <v/>
      </c>
      <c r="C741" s="6">
        <f>Income!A708</f>
        <v/>
      </c>
    </row>
    <row r="742">
      <c r="A742" s="4" t="inlineStr">
        <is>
          <t>Feb</t>
        </is>
      </c>
      <c r="B742" s="6">
        <f>Expense!A709</f>
        <v/>
      </c>
      <c r="C742" s="6">
        <f>Income!A709</f>
        <v/>
      </c>
    </row>
    <row r="743">
      <c r="A743" s="4" t="inlineStr">
        <is>
          <t>Mar</t>
        </is>
      </c>
      <c r="B743" s="6">
        <f>Expense!A710</f>
        <v/>
      </c>
      <c r="C743" s="4">
        <f>Income!A710</f>
        <v/>
      </c>
    </row>
    <row r="744">
      <c r="B744" s="6">
        <f>Expense!A711</f>
        <v/>
      </c>
      <c r="C744" s="4">
        <f>Income!A711</f>
        <v/>
      </c>
    </row>
    <row r="745">
      <c r="B745" s="4">
        <f>Expense!A712</f>
        <v/>
      </c>
      <c r="C745" s="6">
        <f>Income!A712</f>
        <v/>
      </c>
    </row>
    <row r="746">
      <c r="B746" s="4">
        <f>Expense!A713</f>
        <v/>
      </c>
      <c r="C746" s="4">
        <f>Income!A713</f>
        <v/>
      </c>
    </row>
    <row r="747">
      <c r="B747" s="4">
        <f>Expense!A714</f>
        <v/>
      </c>
      <c r="C747" s="4">
        <f>Income!A714</f>
        <v/>
      </c>
    </row>
    <row r="748">
      <c r="B748" s="4">
        <f>Expense!A715</f>
        <v/>
      </c>
      <c r="C748" s="4">
        <f>Income!A715</f>
        <v/>
      </c>
    </row>
    <row r="749">
      <c r="A749" s="4" t="inlineStr">
        <is>
          <t>Apr</t>
        </is>
      </c>
      <c r="B749" s="6">
        <f>Expense!A716</f>
        <v/>
      </c>
      <c r="C749" s="4">
        <f>Income!A716</f>
        <v/>
      </c>
    </row>
    <row r="750">
      <c r="A750" s="4" t="inlineStr">
        <is>
          <t>May</t>
        </is>
      </c>
      <c r="B750" s="6">
        <f>Expense!A717</f>
        <v/>
      </c>
      <c r="C750" s="4">
        <f>Income!A717</f>
        <v/>
      </c>
    </row>
    <row r="751">
      <c r="A751" s="4" t="inlineStr">
        <is>
          <t>Jun</t>
        </is>
      </c>
      <c r="B751" s="6">
        <f>Expense!A718</f>
        <v/>
      </c>
      <c r="C751" s="4">
        <f>Income!A718</f>
        <v/>
      </c>
    </row>
    <row r="752">
      <c r="A752" s="4" t="inlineStr">
        <is>
          <t>Jul</t>
        </is>
      </c>
      <c r="B752" s="6">
        <f>Expense!A719</f>
        <v/>
      </c>
      <c r="C752" s="4">
        <f>Income!A719</f>
        <v/>
      </c>
    </row>
    <row r="753">
      <c r="A753" s="4" t="inlineStr">
        <is>
          <t>Aug</t>
        </is>
      </c>
      <c r="B753" s="6">
        <f>Expense!A720</f>
        <v/>
      </c>
      <c r="C753" s="4">
        <f>Income!A720</f>
        <v/>
      </c>
    </row>
    <row r="754">
      <c r="A754" s="4" t="inlineStr">
        <is>
          <t>Sep</t>
        </is>
      </c>
      <c r="B754" s="6">
        <f>Expense!A721</f>
        <v/>
      </c>
      <c r="C754" s="4">
        <f>Income!A721</f>
        <v/>
      </c>
    </row>
    <row r="755">
      <c r="A755" s="4" t="inlineStr">
        <is>
          <t>Oct</t>
        </is>
      </c>
      <c r="B755" s="6">
        <f>Expense!A722</f>
        <v/>
      </c>
      <c r="C755" s="6">
        <f>Income!A722</f>
        <v/>
      </c>
    </row>
    <row r="756">
      <c r="A756" s="4" t="inlineStr">
        <is>
          <t>Nov</t>
        </is>
      </c>
      <c r="B756" s="6">
        <f>Expense!A723</f>
        <v/>
      </c>
      <c r="C756" s="4">
        <f>Income!A723</f>
        <v/>
      </c>
    </row>
    <row r="757">
      <c r="A757" s="4" t="inlineStr">
        <is>
          <t>Dec</t>
        </is>
      </c>
      <c r="B757" s="6">
        <f>Expense!A724</f>
        <v/>
      </c>
      <c r="C757" s="4">
        <f>Income!A724</f>
        <v/>
      </c>
    </row>
    <row r="758">
      <c r="A758" s="4" t="inlineStr">
        <is>
          <t>Jan</t>
        </is>
      </c>
      <c r="B758" s="6">
        <f>Expense!A725</f>
        <v/>
      </c>
      <c r="C758" s="4">
        <f>Income!A725</f>
        <v/>
      </c>
    </row>
    <row r="759">
      <c r="A759" s="4" t="inlineStr">
        <is>
          <t>Feb</t>
        </is>
      </c>
      <c r="B759" s="6">
        <f>Expense!A726</f>
        <v/>
      </c>
      <c r="C759" s="4">
        <f>Income!A726</f>
        <v/>
      </c>
    </row>
    <row r="760">
      <c r="A760" s="4" t="inlineStr">
        <is>
          <t>Mar</t>
        </is>
      </c>
      <c r="B760" s="6">
        <f>Expense!A727</f>
        <v/>
      </c>
      <c r="C760" s="4">
        <f>Income!A727</f>
        <v/>
      </c>
    </row>
    <row r="761">
      <c r="B761" s="6">
        <f>Expense!A728</f>
        <v/>
      </c>
      <c r="C761" s="4">
        <f>Income!A728</f>
        <v/>
      </c>
    </row>
    <row r="762">
      <c r="B762" s="4">
        <f>Expense!A729</f>
        <v/>
      </c>
      <c r="C762" s="6">
        <f>Income!A729</f>
        <v/>
      </c>
    </row>
    <row r="763">
      <c r="B763" s="4">
        <f>Expense!A730</f>
        <v/>
      </c>
      <c r="C763" s="4">
        <f>Income!A730</f>
        <v/>
      </c>
    </row>
    <row r="764">
      <c r="B764" s="4">
        <f>Expense!A731</f>
        <v/>
      </c>
      <c r="C764" s="4">
        <f>Income!A731</f>
        <v/>
      </c>
    </row>
    <row r="765">
      <c r="B765" s="4">
        <f>Expense!A732</f>
        <v/>
      </c>
      <c r="C765" s="4">
        <f>Income!A732</f>
        <v/>
      </c>
    </row>
    <row r="766">
      <c r="A766" s="4" t="inlineStr">
        <is>
          <t>Apr</t>
        </is>
      </c>
      <c r="B766" s="6">
        <f>Expense!A733</f>
        <v/>
      </c>
      <c r="C766" s="4">
        <f>Income!A733</f>
        <v/>
      </c>
    </row>
    <row r="767">
      <c r="A767" s="4" t="inlineStr">
        <is>
          <t>May</t>
        </is>
      </c>
      <c r="B767" s="6">
        <f>Expense!A734</f>
        <v/>
      </c>
      <c r="C767" s="6">
        <f>Income!A734</f>
        <v/>
      </c>
    </row>
    <row r="768">
      <c r="A768" s="4" t="inlineStr">
        <is>
          <t>Jun</t>
        </is>
      </c>
      <c r="B768" s="6">
        <f>Expense!A735</f>
        <v/>
      </c>
      <c r="C768" s="6">
        <f>Income!A735</f>
        <v/>
      </c>
    </row>
    <row r="769">
      <c r="A769" s="4" t="inlineStr">
        <is>
          <t>Jul</t>
        </is>
      </c>
      <c r="B769" s="6">
        <f>Expense!A736</f>
        <v/>
      </c>
      <c r="C769" s="6">
        <f>Income!A736</f>
        <v/>
      </c>
    </row>
    <row r="770">
      <c r="A770" s="4" t="inlineStr">
        <is>
          <t>Aug</t>
        </is>
      </c>
      <c r="B770" s="6">
        <f>Expense!A737</f>
        <v/>
      </c>
      <c r="C770" s="6">
        <f>Income!A737</f>
        <v/>
      </c>
    </row>
    <row r="771">
      <c r="A771" s="4" t="inlineStr">
        <is>
          <t>Sep</t>
        </is>
      </c>
      <c r="B771" s="6">
        <f>Expense!A738</f>
        <v/>
      </c>
      <c r="C771" s="6">
        <f>Income!A738</f>
        <v/>
      </c>
    </row>
    <row r="772">
      <c r="A772" s="4" t="inlineStr">
        <is>
          <t>Oct</t>
        </is>
      </c>
      <c r="B772" s="6">
        <f>Expense!A739</f>
        <v/>
      </c>
      <c r="C772" s="6">
        <f>Income!A739</f>
        <v/>
      </c>
    </row>
    <row r="773">
      <c r="A773" s="4" t="inlineStr">
        <is>
          <t>Nov</t>
        </is>
      </c>
      <c r="B773" s="6">
        <f>Expense!A740</f>
        <v/>
      </c>
      <c r="C773" s="6">
        <f>Income!A740</f>
        <v/>
      </c>
    </row>
    <row r="774">
      <c r="A774" s="4" t="inlineStr">
        <is>
          <t>Dec</t>
        </is>
      </c>
      <c r="B774" s="6">
        <f>Expense!A741</f>
        <v/>
      </c>
      <c r="C774" s="6">
        <f>Income!A741</f>
        <v/>
      </c>
    </row>
    <row r="775">
      <c r="A775" s="4" t="inlineStr">
        <is>
          <t>Jan</t>
        </is>
      </c>
      <c r="B775" s="6">
        <f>Expense!A742</f>
        <v/>
      </c>
      <c r="C775" s="6">
        <f>Income!A742</f>
        <v/>
      </c>
    </row>
    <row r="776">
      <c r="A776" s="4" t="inlineStr">
        <is>
          <t>Feb</t>
        </is>
      </c>
      <c r="B776" s="6">
        <f>Expense!A743</f>
        <v/>
      </c>
      <c r="C776" s="6">
        <f>Income!A743</f>
        <v/>
      </c>
    </row>
    <row r="777">
      <c r="A777" s="4" t="inlineStr">
        <is>
          <t>Mar</t>
        </is>
      </c>
      <c r="B777" s="6">
        <f>Expense!A744</f>
        <v/>
      </c>
      <c r="C777" s="4">
        <f>Income!A744</f>
        <v/>
      </c>
    </row>
    <row r="778">
      <c r="B778" s="6">
        <f>Expense!A745</f>
        <v/>
      </c>
      <c r="C778" s="4">
        <f>Income!A745</f>
        <v/>
      </c>
    </row>
    <row r="779">
      <c r="B779" s="4">
        <f>Expense!A746</f>
        <v/>
      </c>
      <c r="C779" s="6">
        <f>Income!A746</f>
        <v/>
      </c>
    </row>
    <row r="780">
      <c r="B780" s="4">
        <f>Expense!A747</f>
        <v/>
      </c>
      <c r="C780" s="4">
        <f>Income!A747</f>
        <v/>
      </c>
    </row>
    <row r="781">
      <c r="B781" s="4">
        <f>Expense!A748</f>
        <v/>
      </c>
      <c r="C781" s="4">
        <f>Income!A748</f>
        <v/>
      </c>
    </row>
    <row r="782">
      <c r="B782" s="4">
        <f>Expense!A749</f>
        <v/>
      </c>
      <c r="C782" s="4">
        <f>Income!A749</f>
        <v/>
      </c>
    </row>
    <row r="783">
      <c r="A783" s="4" t="inlineStr">
        <is>
          <t>Apr</t>
        </is>
      </c>
      <c r="B783" s="6">
        <f>Expense!A750</f>
        <v/>
      </c>
      <c r="C783" s="4">
        <f>Income!A750</f>
        <v/>
      </c>
    </row>
    <row r="784">
      <c r="A784" s="4" t="inlineStr">
        <is>
          <t>May</t>
        </is>
      </c>
      <c r="B784" s="6">
        <f>Expense!A751</f>
        <v/>
      </c>
      <c r="C784" s="4">
        <f>Income!A751</f>
        <v/>
      </c>
    </row>
    <row r="785">
      <c r="A785" s="4" t="inlineStr">
        <is>
          <t>Jun</t>
        </is>
      </c>
      <c r="B785" s="6">
        <f>Expense!A752</f>
        <v/>
      </c>
      <c r="C785" s="4">
        <f>Income!A752</f>
        <v/>
      </c>
    </row>
    <row r="786">
      <c r="A786" s="4" t="inlineStr">
        <is>
          <t>Jul</t>
        </is>
      </c>
      <c r="B786" s="6">
        <f>Expense!A753</f>
        <v/>
      </c>
      <c r="C786" s="4">
        <f>Income!A753</f>
        <v/>
      </c>
    </row>
    <row r="787">
      <c r="A787" s="4" t="inlineStr">
        <is>
          <t>Aug</t>
        </is>
      </c>
      <c r="B787" s="6">
        <f>Expense!A754</f>
        <v/>
      </c>
      <c r="C787" s="4">
        <f>Income!A754</f>
        <v/>
      </c>
    </row>
    <row r="788">
      <c r="A788" s="4" t="inlineStr">
        <is>
          <t>Sep</t>
        </is>
      </c>
      <c r="B788" s="6">
        <f>Expense!A755</f>
        <v/>
      </c>
      <c r="C788" s="4">
        <f>Income!A755</f>
        <v/>
      </c>
    </row>
    <row r="789">
      <c r="A789" s="4" t="inlineStr">
        <is>
          <t>Oct</t>
        </is>
      </c>
      <c r="B789" s="6">
        <f>Expense!A756</f>
        <v/>
      </c>
      <c r="C789" s="6">
        <f>Income!A756</f>
        <v/>
      </c>
    </row>
    <row r="790">
      <c r="A790" s="4" t="inlineStr">
        <is>
          <t>Nov</t>
        </is>
      </c>
      <c r="B790" s="6">
        <f>Expense!A757</f>
        <v/>
      </c>
      <c r="C790" s="4">
        <f>Income!A757</f>
        <v/>
      </c>
    </row>
    <row r="791">
      <c r="A791" s="4" t="inlineStr">
        <is>
          <t>Dec</t>
        </is>
      </c>
      <c r="B791" s="6">
        <f>Expense!A758</f>
        <v/>
      </c>
      <c r="C791" s="4">
        <f>Income!A758</f>
        <v/>
      </c>
    </row>
    <row r="792">
      <c r="A792" s="4" t="inlineStr">
        <is>
          <t>Jan</t>
        </is>
      </c>
      <c r="B792" s="6">
        <f>Expense!A759</f>
        <v/>
      </c>
      <c r="C792" s="4">
        <f>Income!A759</f>
        <v/>
      </c>
    </row>
    <row r="793">
      <c r="A793" s="4" t="inlineStr">
        <is>
          <t>Feb</t>
        </is>
      </c>
      <c r="B793" s="6">
        <f>Expense!A760</f>
        <v/>
      </c>
      <c r="C793" s="4">
        <f>Income!A760</f>
        <v/>
      </c>
    </row>
    <row r="794">
      <c r="A794" s="4" t="inlineStr">
        <is>
          <t>Mar</t>
        </is>
      </c>
      <c r="B794" s="6">
        <f>Expense!A761</f>
        <v/>
      </c>
      <c r="C794" s="4">
        <f>Income!A761</f>
        <v/>
      </c>
    </row>
    <row r="795">
      <c r="B795" s="6">
        <f>Expense!A762</f>
        <v/>
      </c>
      <c r="C795" s="4">
        <f>Income!A762</f>
        <v/>
      </c>
    </row>
    <row r="796">
      <c r="B796" s="4">
        <f>Expense!A763</f>
        <v/>
      </c>
      <c r="C796" s="6">
        <f>Income!A763</f>
        <v/>
      </c>
    </row>
    <row r="797">
      <c r="B797" s="4">
        <f>Expense!A764</f>
        <v/>
      </c>
      <c r="C797" s="4">
        <f>Income!A764</f>
        <v/>
      </c>
    </row>
    <row r="798">
      <c r="B798" s="4">
        <f>Expense!A765</f>
        <v/>
      </c>
      <c r="C798" s="4">
        <f>Income!A765</f>
        <v/>
      </c>
    </row>
    <row r="799">
      <c r="B799" s="4">
        <f>Expense!A766</f>
        <v/>
      </c>
      <c r="C799" s="4">
        <f>Income!A766</f>
        <v/>
      </c>
    </row>
    <row r="800">
      <c r="A800" s="4" t="inlineStr">
        <is>
          <t>Apr</t>
        </is>
      </c>
      <c r="B800" s="6">
        <f>Expense!A767</f>
        <v/>
      </c>
      <c r="C800" s="4">
        <f>Income!A767</f>
        <v/>
      </c>
    </row>
    <row r="801">
      <c r="A801" s="4" t="inlineStr">
        <is>
          <t>May</t>
        </is>
      </c>
      <c r="B801" s="6">
        <f>Expense!A768</f>
        <v/>
      </c>
      <c r="C801" s="4">
        <f>Income!A768</f>
        <v/>
      </c>
    </row>
    <row r="802">
      <c r="A802" s="4" t="inlineStr">
        <is>
          <t>Jun</t>
        </is>
      </c>
      <c r="B802" s="6">
        <f>Expense!A769</f>
        <v/>
      </c>
      <c r="C802" s="4">
        <f>Income!A769</f>
        <v/>
      </c>
    </row>
    <row r="803">
      <c r="A803" s="4" t="inlineStr">
        <is>
          <t>Jul</t>
        </is>
      </c>
      <c r="B803" s="6">
        <f>Expense!A770</f>
        <v/>
      </c>
      <c r="C803" s="4">
        <f>Income!A770</f>
        <v/>
      </c>
    </row>
    <row r="804">
      <c r="A804" s="4" t="inlineStr">
        <is>
          <t>Aug</t>
        </is>
      </c>
      <c r="B804" s="6">
        <f>Expense!A771</f>
        <v/>
      </c>
      <c r="C804" s="4">
        <f>Income!A771</f>
        <v/>
      </c>
    </row>
    <row r="805">
      <c r="A805" s="4" t="inlineStr">
        <is>
          <t>Sep</t>
        </is>
      </c>
      <c r="B805" s="6">
        <f>Expense!A772</f>
        <v/>
      </c>
      <c r="C805" s="4">
        <f>Income!A772</f>
        <v/>
      </c>
    </row>
    <row r="806">
      <c r="A806" s="4" t="inlineStr">
        <is>
          <t>Oct</t>
        </is>
      </c>
      <c r="B806" s="6">
        <f>Expense!A773</f>
        <v/>
      </c>
      <c r="C806" s="4">
        <f>Income!A773</f>
        <v/>
      </c>
    </row>
    <row r="807">
      <c r="A807" s="4" t="inlineStr">
        <is>
          <t>Nov</t>
        </is>
      </c>
      <c r="B807" s="6">
        <f>Expense!A774</f>
        <v/>
      </c>
      <c r="C807" s="4">
        <f>Income!A774</f>
        <v/>
      </c>
    </row>
    <row r="808">
      <c r="A808" s="4" t="inlineStr">
        <is>
          <t>Dec</t>
        </is>
      </c>
      <c r="B808" s="6">
        <f>Expense!A775</f>
        <v/>
      </c>
      <c r="C808" s="4">
        <f>Income!A775</f>
        <v/>
      </c>
    </row>
    <row r="809">
      <c r="A809" s="4" t="inlineStr">
        <is>
          <t>Jan</t>
        </is>
      </c>
      <c r="B809" s="6">
        <f>Expense!A776</f>
        <v/>
      </c>
      <c r="C809" s="4">
        <f>Income!A776</f>
        <v/>
      </c>
    </row>
    <row r="810">
      <c r="A810" s="4" t="inlineStr">
        <is>
          <t>Feb</t>
        </is>
      </c>
      <c r="B810" s="6">
        <f>Expense!A777</f>
        <v/>
      </c>
      <c r="C810" s="4">
        <f>Income!A777</f>
        <v/>
      </c>
    </row>
    <row r="811">
      <c r="A811" s="4" t="inlineStr">
        <is>
          <t>Mar</t>
        </is>
      </c>
      <c r="B811" s="6">
        <f>Expense!A778</f>
        <v/>
      </c>
      <c r="C811" s="4">
        <f>Income!A778</f>
        <v/>
      </c>
    </row>
    <row r="812">
      <c r="B812" s="6">
        <f>Expense!A779</f>
        <v/>
      </c>
      <c r="C812" s="4">
        <f>Income!A779</f>
        <v/>
      </c>
    </row>
    <row r="813">
      <c r="B813" s="4">
        <f>Expense!A780</f>
        <v/>
      </c>
      <c r="C813" s="6">
        <f>Income!A780</f>
        <v/>
      </c>
    </row>
    <row r="814">
      <c r="B814" s="4">
        <f>Expense!A781</f>
        <v/>
      </c>
      <c r="C814" s="4">
        <f>Income!A781</f>
        <v/>
      </c>
    </row>
    <row r="815">
      <c r="B815" s="4">
        <f>Expense!A782</f>
        <v/>
      </c>
      <c r="C815" s="4">
        <f>Income!A782</f>
        <v/>
      </c>
    </row>
    <row r="816">
      <c r="B816" s="4">
        <f>Expense!A783</f>
        <v/>
      </c>
      <c r="C816" s="4">
        <f>Income!A783</f>
        <v/>
      </c>
    </row>
    <row r="817">
      <c r="A817" s="4" t="inlineStr">
        <is>
          <t>Apr</t>
        </is>
      </c>
      <c r="B817" s="6">
        <f>Expense!A784</f>
        <v/>
      </c>
      <c r="C817" s="4">
        <f>Income!A784</f>
        <v/>
      </c>
    </row>
    <row r="818">
      <c r="A818" s="4" t="inlineStr">
        <is>
          <t>May</t>
        </is>
      </c>
      <c r="B818" s="6">
        <f>Expense!A785</f>
        <v/>
      </c>
      <c r="C818" s="6">
        <f>Income!A785</f>
        <v/>
      </c>
    </row>
    <row r="819">
      <c r="A819" s="4" t="inlineStr">
        <is>
          <t>Jun</t>
        </is>
      </c>
      <c r="B819" s="6">
        <f>Expense!A786</f>
        <v/>
      </c>
      <c r="C819" s="6">
        <f>Income!A786</f>
        <v/>
      </c>
    </row>
    <row r="820">
      <c r="A820" s="4" t="inlineStr">
        <is>
          <t>Jul</t>
        </is>
      </c>
      <c r="B820" s="6">
        <f>Expense!A787</f>
        <v/>
      </c>
      <c r="C820" s="6">
        <f>Income!A787</f>
        <v/>
      </c>
    </row>
    <row r="821">
      <c r="A821" s="4" t="inlineStr">
        <is>
          <t>Aug</t>
        </is>
      </c>
      <c r="B821" s="6">
        <f>Expense!A788</f>
        <v/>
      </c>
      <c r="C821" s="6">
        <f>Income!A788</f>
        <v/>
      </c>
    </row>
    <row r="822">
      <c r="A822" s="4" t="inlineStr">
        <is>
          <t>Sep</t>
        </is>
      </c>
      <c r="B822" s="6">
        <f>Expense!A789</f>
        <v/>
      </c>
      <c r="C822" s="6">
        <f>Income!A789</f>
        <v/>
      </c>
    </row>
    <row r="823">
      <c r="A823" s="4" t="inlineStr">
        <is>
          <t>Oct</t>
        </is>
      </c>
      <c r="B823" s="6">
        <f>Expense!A790</f>
        <v/>
      </c>
      <c r="C823" s="6">
        <f>Income!A790</f>
        <v/>
      </c>
    </row>
    <row r="824">
      <c r="A824" s="4" t="inlineStr">
        <is>
          <t>Nov</t>
        </is>
      </c>
      <c r="B824" s="6">
        <f>Expense!A791</f>
        <v/>
      </c>
      <c r="C824" s="4">
        <f>Income!A791</f>
        <v/>
      </c>
    </row>
    <row r="825">
      <c r="A825" s="4" t="inlineStr">
        <is>
          <t>Dec</t>
        </is>
      </c>
      <c r="B825" s="6">
        <f>Expense!A792</f>
        <v/>
      </c>
      <c r="C825" s="6">
        <f>Income!A792</f>
        <v/>
      </c>
    </row>
    <row r="826">
      <c r="A826" s="4" t="inlineStr">
        <is>
          <t>Jan</t>
        </is>
      </c>
      <c r="B826" s="6">
        <f>Expense!A793</f>
        <v/>
      </c>
      <c r="C826" s="6">
        <f>Income!A793</f>
        <v/>
      </c>
    </row>
    <row r="827">
      <c r="A827" s="4" t="inlineStr">
        <is>
          <t>Feb</t>
        </is>
      </c>
      <c r="B827" s="6">
        <f>Expense!A794</f>
        <v/>
      </c>
      <c r="C827" s="4">
        <f>Income!A794</f>
        <v/>
      </c>
    </row>
    <row r="828">
      <c r="A828" s="4" t="inlineStr">
        <is>
          <t>Mar</t>
        </is>
      </c>
      <c r="B828" s="6">
        <f>Expense!A795</f>
        <v/>
      </c>
      <c r="C828" s="6">
        <f>Income!A795</f>
        <v/>
      </c>
    </row>
    <row r="829">
      <c r="B829" s="6">
        <f>Expense!A796</f>
        <v/>
      </c>
      <c r="C829" s="4">
        <f>Income!A796</f>
        <v/>
      </c>
    </row>
    <row r="830">
      <c r="B830" s="4">
        <f>Expense!A797</f>
        <v/>
      </c>
      <c r="C830" s="6">
        <f>Income!A797</f>
        <v/>
      </c>
    </row>
    <row r="831">
      <c r="B831" s="4">
        <f>Expense!A798</f>
        <v/>
      </c>
      <c r="C831" s="4">
        <f>Income!A798</f>
        <v/>
      </c>
    </row>
    <row r="832">
      <c r="B832" s="4">
        <f>Expense!A799</f>
        <v/>
      </c>
      <c r="C832" s="4">
        <f>Income!A799</f>
        <v/>
      </c>
    </row>
    <row r="833">
      <c r="B833" s="4">
        <f>Expense!A800</f>
        <v/>
      </c>
      <c r="C833" s="4">
        <f>Income!A800</f>
        <v/>
      </c>
    </row>
    <row r="834">
      <c r="A834" s="4" t="inlineStr">
        <is>
          <t>Apr</t>
        </is>
      </c>
      <c r="B834" s="6">
        <f>Expense!A801</f>
        <v/>
      </c>
      <c r="C834" s="4">
        <f>Income!A801</f>
        <v/>
      </c>
    </row>
    <row r="835">
      <c r="A835" s="4" t="inlineStr">
        <is>
          <t>May</t>
        </is>
      </c>
      <c r="B835" s="6">
        <f>Expense!A802</f>
        <v/>
      </c>
      <c r="C835" s="4">
        <f>Income!A802</f>
        <v/>
      </c>
    </row>
    <row r="836">
      <c r="A836" s="4" t="inlineStr">
        <is>
          <t>Jun</t>
        </is>
      </c>
      <c r="B836" s="6">
        <f>Expense!A803</f>
        <v/>
      </c>
      <c r="C836" s="4">
        <f>Income!A803</f>
        <v/>
      </c>
    </row>
    <row r="837">
      <c r="A837" s="4" t="inlineStr">
        <is>
          <t>Jul</t>
        </is>
      </c>
      <c r="B837" s="6">
        <f>Expense!A804</f>
        <v/>
      </c>
      <c r="C837" s="4">
        <f>Income!A804</f>
        <v/>
      </c>
    </row>
    <row r="838">
      <c r="A838" s="4" t="inlineStr">
        <is>
          <t>Aug</t>
        </is>
      </c>
      <c r="B838" s="6">
        <f>Expense!A805</f>
        <v/>
      </c>
      <c r="C838" s="4">
        <f>Income!A805</f>
        <v/>
      </c>
    </row>
    <row r="839">
      <c r="A839" s="4" t="inlineStr">
        <is>
          <t>Sep</t>
        </is>
      </c>
      <c r="B839" s="6">
        <f>Expense!A806</f>
        <v/>
      </c>
      <c r="C839" s="4">
        <f>Income!A806</f>
        <v/>
      </c>
    </row>
    <row r="840">
      <c r="A840" s="4" t="inlineStr">
        <is>
          <t>Oct</t>
        </is>
      </c>
      <c r="B840" s="6">
        <f>Expense!A807</f>
        <v/>
      </c>
      <c r="C840" s="6">
        <f>Income!A807</f>
        <v/>
      </c>
    </row>
    <row r="841">
      <c r="A841" s="4" t="inlineStr">
        <is>
          <t>Nov</t>
        </is>
      </c>
      <c r="B841" s="6">
        <f>Expense!A808</f>
        <v/>
      </c>
      <c r="C841" s="4">
        <f>Income!A808</f>
        <v/>
      </c>
    </row>
    <row r="842">
      <c r="A842" s="4" t="inlineStr">
        <is>
          <t>Dec</t>
        </is>
      </c>
      <c r="B842" s="6">
        <f>Expense!A809</f>
        <v/>
      </c>
      <c r="C842" s="4">
        <f>Income!A809</f>
        <v/>
      </c>
    </row>
    <row r="843">
      <c r="A843" s="4" t="inlineStr">
        <is>
          <t>Jan</t>
        </is>
      </c>
      <c r="B843" s="6">
        <f>Expense!A810</f>
        <v/>
      </c>
      <c r="C843" s="4">
        <f>Income!A810</f>
        <v/>
      </c>
    </row>
    <row r="844">
      <c r="A844" s="4" t="inlineStr">
        <is>
          <t>Feb</t>
        </is>
      </c>
      <c r="B844" s="6">
        <f>Expense!A811</f>
        <v/>
      </c>
      <c r="C844" s="4">
        <f>Income!A811</f>
        <v/>
      </c>
    </row>
    <row r="845">
      <c r="A845" s="4" t="inlineStr">
        <is>
          <t>Mar</t>
        </is>
      </c>
      <c r="B845" s="6">
        <f>Expense!A812</f>
        <v/>
      </c>
      <c r="C845" s="4">
        <f>Income!A812</f>
        <v/>
      </c>
    </row>
    <row r="846">
      <c r="B846" s="6">
        <f>Expense!A813</f>
        <v/>
      </c>
      <c r="C846" s="4">
        <f>Income!A813</f>
        <v/>
      </c>
    </row>
    <row r="847">
      <c r="B847" s="4">
        <f>Expense!A814</f>
        <v/>
      </c>
      <c r="C847" s="6">
        <f>Income!A814</f>
        <v/>
      </c>
    </row>
    <row r="848">
      <c r="B848" s="4">
        <f>Expense!A815</f>
        <v/>
      </c>
      <c r="C848" s="4">
        <f>Income!A815</f>
        <v/>
      </c>
    </row>
    <row r="849">
      <c r="B849" s="4">
        <f>Expense!A816</f>
        <v/>
      </c>
      <c r="C849" s="4">
        <f>Income!A816</f>
        <v/>
      </c>
    </row>
    <row r="850">
      <c r="B850" s="4">
        <f>Expense!A817</f>
        <v/>
      </c>
      <c r="C850" s="4">
        <f>Income!A817</f>
        <v/>
      </c>
    </row>
    <row r="851">
      <c r="A851" s="4" t="inlineStr">
        <is>
          <t>Apr</t>
        </is>
      </c>
      <c r="B851" s="6">
        <f>Expense!A818</f>
        <v/>
      </c>
      <c r="C851" s="4">
        <f>Income!A818</f>
        <v/>
      </c>
    </row>
    <row r="852">
      <c r="A852" s="4" t="inlineStr">
        <is>
          <t>May</t>
        </is>
      </c>
      <c r="B852" s="6">
        <f>Expense!A819</f>
        <v/>
      </c>
      <c r="C852" s="4">
        <f>Income!A819</f>
        <v/>
      </c>
    </row>
    <row r="853">
      <c r="A853" s="4" t="inlineStr">
        <is>
          <t>Jun</t>
        </is>
      </c>
      <c r="B853" s="6">
        <f>Expense!A820</f>
        <v/>
      </c>
      <c r="C853" s="4">
        <f>Income!A820</f>
        <v/>
      </c>
    </row>
    <row r="854">
      <c r="A854" s="4" t="inlineStr">
        <is>
          <t>Jul</t>
        </is>
      </c>
      <c r="B854" s="6">
        <f>Expense!A821</f>
        <v/>
      </c>
      <c r="C854" s="4">
        <f>Income!A821</f>
        <v/>
      </c>
    </row>
    <row r="855">
      <c r="A855" s="4" t="inlineStr">
        <is>
          <t>Aug</t>
        </is>
      </c>
      <c r="B855" s="6">
        <f>Expense!A822</f>
        <v/>
      </c>
      <c r="C855" s="4">
        <f>Income!A822</f>
        <v/>
      </c>
    </row>
    <row r="856">
      <c r="A856" s="4" t="inlineStr">
        <is>
          <t>Sep</t>
        </is>
      </c>
      <c r="B856" s="6">
        <f>Expense!A823</f>
        <v/>
      </c>
      <c r="C856" s="4">
        <f>Income!A823</f>
        <v/>
      </c>
    </row>
    <row r="857">
      <c r="A857" s="4" t="inlineStr">
        <is>
          <t>Oct</t>
        </is>
      </c>
      <c r="B857" s="6">
        <f>Expense!A824</f>
        <v/>
      </c>
      <c r="C857" s="6">
        <f>Income!A824</f>
        <v/>
      </c>
    </row>
    <row r="858">
      <c r="A858" s="4" t="inlineStr">
        <is>
          <t>Nov</t>
        </is>
      </c>
      <c r="B858" s="6">
        <f>Expense!A825</f>
        <v/>
      </c>
      <c r="C858" s="4">
        <f>Income!A825</f>
        <v/>
      </c>
    </row>
    <row r="859">
      <c r="A859" s="4" t="inlineStr">
        <is>
          <t>Dec</t>
        </is>
      </c>
      <c r="B859" s="6">
        <f>Expense!A826</f>
        <v/>
      </c>
      <c r="C859" s="4">
        <f>Income!A826</f>
        <v/>
      </c>
    </row>
    <row r="860">
      <c r="A860" s="4" t="inlineStr">
        <is>
          <t>Jan</t>
        </is>
      </c>
      <c r="B860" s="6">
        <f>Expense!A827</f>
        <v/>
      </c>
      <c r="C860" s="4">
        <f>Income!A827</f>
        <v/>
      </c>
    </row>
    <row r="861">
      <c r="A861" s="4" t="inlineStr">
        <is>
          <t>Feb</t>
        </is>
      </c>
      <c r="B861" s="6">
        <f>Expense!A828</f>
        <v/>
      </c>
      <c r="C861" s="4">
        <f>Income!A828</f>
        <v/>
      </c>
    </row>
    <row r="862">
      <c r="A862" s="4" t="inlineStr">
        <is>
          <t>Mar</t>
        </is>
      </c>
      <c r="B862" s="6">
        <f>Expense!A829</f>
        <v/>
      </c>
      <c r="C862" s="4">
        <f>Income!A829</f>
        <v/>
      </c>
    </row>
    <row r="863">
      <c r="B863" s="6">
        <f>Expense!A830</f>
        <v/>
      </c>
      <c r="C863" s="4">
        <f>Income!A830</f>
        <v/>
      </c>
    </row>
    <row r="864">
      <c r="B864" s="4">
        <f>Expense!A831</f>
        <v/>
      </c>
      <c r="C864" s="6">
        <f>Income!A831</f>
        <v/>
      </c>
    </row>
    <row r="865">
      <c r="B865" s="4">
        <f>Expense!A832</f>
        <v/>
      </c>
      <c r="C865" s="4">
        <f>Income!A832</f>
        <v/>
      </c>
    </row>
    <row r="866">
      <c r="B866" s="4">
        <f>Expense!A833</f>
        <v/>
      </c>
      <c r="C866" s="4">
        <f>Income!A833</f>
        <v/>
      </c>
    </row>
    <row r="867">
      <c r="B867" s="4">
        <f>Expense!A834</f>
        <v/>
      </c>
      <c r="C867" s="4">
        <f>Income!A834</f>
        <v/>
      </c>
    </row>
    <row r="868">
      <c r="A868" s="4" t="inlineStr">
        <is>
          <t>Apr</t>
        </is>
      </c>
      <c r="B868" s="6">
        <f>Expense!A835</f>
        <v/>
      </c>
      <c r="C868" s="4">
        <f>Income!A835</f>
        <v/>
      </c>
    </row>
    <row r="869">
      <c r="A869" s="4" t="inlineStr">
        <is>
          <t>May</t>
        </is>
      </c>
      <c r="B869" s="6">
        <f>Expense!A836</f>
        <v/>
      </c>
      <c r="C869" s="6">
        <f>Income!A836</f>
        <v/>
      </c>
    </row>
    <row r="870">
      <c r="A870" s="4" t="inlineStr">
        <is>
          <t>Jun</t>
        </is>
      </c>
      <c r="B870" s="6">
        <f>Expense!A837</f>
        <v/>
      </c>
      <c r="C870" s="6">
        <f>Income!A837</f>
        <v/>
      </c>
    </row>
    <row r="871">
      <c r="A871" s="4" t="inlineStr">
        <is>
          <t>Jul</t>
        </is>
      </c>
      <c r="B871" s="6">
        <f>Expense!A838</f>
        <v/>
      </c>
      <c r="C871" s="6">
        <f>Income!A838</f>
        <v/>
      </c>
    </row>
    <row r="872">
      <c r="A872" s="4" t="inlineStr">
        <is>
          <t>Aug</t>
        </is>
      </c>
      <c r="B872" s="6">
        <f>Expense!A839</f>
        <v/>
      </c>
      <c r="C872" s="6">
        <f>Income!A839</f>
        <v/>
      </c>
    </row>
    <row r="873">
      <c r="A873" s="4" t="inlineStr">
        <is>
          <t>Sep</t>
        </is>
      </c>
      <c r="B873" s="6">
        <f>Expense!A840</f>
        <v/>
      </c>
      <c r="C873" s="6">
        <f>Income!A840</f>
        <v/>
      </c>
    </row>
    <row r="874">
      <c r="A874" s="4" t="inlineStr">
        <is>
          <t>Oct</t>
        </is>
      </c>
      <c r="B874" s="6">
        <f>Expense!A841</f>
        <v/>
      </c>
      <c r="C874" s="6">
        <f>Income!A841</f>
        <v/>
      </c>
    </row>
    <row r="875">
      <c r="A875" s="4" t="inlineStr">
        <is>
          <t>Nov</t>
        </is>
      </c>
      <c r="B875" s="6">
        <f>Expense!A842</f>
        <v/>
      </c>
      <c r="C875" s="4">
        <f>Income!A842</f>
        <v/>
      </c>
    </row>
    <row r="876">
      <c r="A876" s="4" t="inlineStr">
        <is>
          <t>Dec</t>
        </is>
      </c>
      <c r="B876" s="6">
        <f>Expense!A843</f>
        <v/>
      </c>
      <c r="C876" s="6">
        <f>Income!A843</f>
        <v/>
      </c>
    </row>
    <row r="877">
      <c r="A877" s="4" t="inlineStr">
        <is>
          <t>Jan</t>
        </is>
      </c>
      <c r="B877" s="6">
        <f>Expense!A844</f>
        <v/>
      </c>
      <c r="C877" s="6">
        <f>Income!A844</f>
        <v/>
      </c>
    </row>
    <row r="878">
      <c r="A878" s="4" t="inlineStr">
        <is>
          <t>Feb</t>
        </is>
      </c>
      <c r="B878" s="6">
        <f>Expense!A845</f>
        <v/>
      </c>
      <c r="C878" s="6">
        <f>Income!A845</f>
        <v/>
      </c>
    </row>
    <row r="879">
      <c r="A879" s="4" t="inlineStr">
        <is>
          <t>Mar</t>
        </is>
      </c>
      <c r="B879" s="6">
        <f>Expense!A846</f>
        <v/>
      </c>
      <c r="C879" s="4">
        <f>Income!A846</f>
        <v/>
      </c>
    </row>
    <row r="880">
      <c r="B880" s="6">
        <f>Expense!A847</f>
        <v/>
      </c>
      <c r="C880" s="4">
        <f>Income!A847</f>
        <v/>
      </c>
    </row>
    <row r="881">
      <c r="B881" s="4">
        <f>Expense!A848</f>
        <v/>
      </c>
      <c r="C881" s="6">
        <f>Income!A848</f>
        <v/>
      </c>
    </row>
    <row r="882">
      <c r="B882" s="4">
        <f>Expense!A849</f>
        <v/>
      </c>
      <c r="C882" s="4">
        <f>Income!A849</f>
        <v/>
      </c>
    </row>
    <row r="883">
      <c r="B883" s="4">
        <f>Expense!A850</f>
        <v/>
      </c>
      <c r="C883" s="4">
        <f>Income!A850</f>
        <v/>
      </c>
    </row>
    <row r="884">
      <c r="B884" s="4">
        <f>Expense!A851</f>
        <v/>
      </c>
      <c r="C884" s="4">
        <f>Income!A851</f>
        <v/>
      </c>
    </row>
    <row r="885">
      <c r="A885" s="4" t="inlineStr">
        <is>
          <t>Apr</t>
        </is>
      </c>
      <c r="B885" s="6">
        <f>Expense!A852</f>
        <v/>
      </c>
      <c r="C885" s="4">
        <f>Income!A852</f>
        <v/>
      </c>
    </row>
    <row r="886">
      <c r="A886" s="4" t="inlineStr">
        <is>
          <t>May</t>
        </is>
      </c>
      <c r="B886" s="6">
        <f>Expense!A853</f>
        <v/>
      </c>
      <c r="C886" s="6">
        <f>Income!A853</f>
        <v/>
      </c>
    </row>
    <row r="887">
      <c r="A887" s="4" t="inlineStr">
        <is>
          <t>Jun</t>
        </is>
      </c>
      <c r="B887" s="6">
        <f>Expense!A854</f>
        <v/>
      </c>
      <c r="C887" s="6">
        <f>Income!A854</f>
        <v/>
      </c>
    </row>
    <row r="888">
      <c r="A888" s="4" t="inlineStr">
        <is>
          <t>Jul</t>
        </is>
      </c>
      <c r="B888" s="6">
        <f>Expense!A855</f>
        <v/>
      </c>
      <c r="C888" s="6">
        <f>Income!A855</f>
        <v/>
      </c>
    </row>
    <row r="889">
      <c r="A889" s="4" t="inlineStr">
        <is>
          <t>Aug</t>
        </is>
      </c>
      <c r="B889" s="6">
        <f>Expense!A856</f>
        <v/>
      </c>
      <c r="C889" s="6">
        <f>Income!A856</f>
        <v/>
      </c>
    </row>
    <row r="890">
      <c r="A890" s="4" t="inlineStr">
        <is>
          <t>Sep</t>
        </is>
      </c>
      <c r="B890" s="6">
        <f>Expense!A857</f>
        <v/>
      </c>
      <c r="C890" s="6">
        <f>Income!A857</f>
        <v/>
      </c>
    </row>
    <row r="891">
      <c r="A891" s="4" t="inlineStr">
        <is>
          <t>Oct</t>
        </is>
      </c>
      <c r="B891" s="6">
        <f>Expense!A858</f>
        <v/>
      </c>
      <c r="C891" s="6">
        <f>Income!A858</f>
        <v/>
      </c>
    </row>
    <row r="892">
      <c r="A892" s="4" t="inlineStr">
        <is>
          <t>Nov</t>
        </is>
      </c>
      <c r="B892" s="6">
        <f>Expense!A859</f>
        <v/>
      </c>
      <c r="C892" s="4">
        <f>Income!A859</f>
        <v/>
      </c>
    </row>
    <row r="893">
      <c r="A893" s="4" t="inlineStr">
        <is>
          <t>Dec</t>
        </is>
      </c>
      <c r="B893" s="6">
        <f>Expense!A860</f>
        <v/>
      </c>
      <c r="C893" s="6">
        <f>Income!A860</f>
        <v/>
      </c>
    </row>
    <row r="894">
      <c r="A894" s="4" t="inlineStr">
        <is>
          <t>Jan</t>
        </is>
      </c>
      <c r="B894" s="6">
        <f>Expense!A861</f>
        <v/>
      </c>
      <c r="C894" s="6">
        <f>Income!A861</f>
        <v/>
      </c>
    </row>
    <row r="895">
      <c r="A895" s="4" t="inlineStr">
        <is>
          <t>Feb</t>
        </is>
      </c>
      <c r="B895" s="6">
        <f>Expense!A862</f>
        <v/>
      </c>
      <c r="C895" s="6">
        <f>Income!A862</f>
        <v/>
      </c>
    </row>
    <row r="896">
      <c r="A896" s="4" t="inlineStr">
        <is>
          <t>Mar</t>
        </is>
      </c>
      <c r="B896" s="6">
        <f>Expense!A863</f>
        <v/>
      </c>
      <c r="C896" s="4">
        <f>Income!A863</f>
        <v/>
      </c>
    </row>
    <row r="897">
      <c r="B897" s="6">
        <f>Expense!A864</f>
        <v/>
      </c>
      <c r="C897" s="4">
        <f>Income!A864</f>
        <v/>
      </c>
    </row>
    <row r="898">
      <c r="B898" s="4">
        <f>Expense!A865</f>
        <v/>
      </c>
      <c r="C898" s="6">
        <f>Income!A865</f>
        <v/>
      </c>
    </row>
    <row r="899">
      <c r="B899" s="4">
        <f>Expense!A866</f>
        <v/>
      </c>
      <c r="C899" s="4">
        <f>Income!A866</f>
        <v/>
      </c>
    </row>
    <row r="900">
      <c r="B900" s="4">
        <f>Expense!A867</f>
        <v/>
      </c>
      <c r="C900" s="4">
        <f>Income!A867</f>
        <v/>
      </c>
    </row>
    <row r="901">
      <c r="B901" s="4">
        <f>Expense!A868</f>
        <v/>
      </c>
      <c r="C901" s="4">
        <f>Income!A868</f>
        <v/>
      </c>
    </row>
    <row r="902">
      <c r="A902" s="4" t="inlineStr">
        <is>
          <t>Apr</t>
        </is>
      </c>
      <c r="B902" s="6">
        <f>Expense!A869</f>
        <v/>
      </c>
      <c r="C902" s="4">
        <f>Income!A869</f>
        <v/>
      </c>
    </row>
    <row r="903">
      <c r="A903" s="4" t="inlineStr">
        <is>
          <t>May</t>
        </is>
      </c>
      <c r="B903" s="6">
        <f>Expense!A870</f>
        <v/>
      </c>
      <c r="C903" s="6">
        <f>Income!A870</f>
        <v/>
      </c>
    </row>
    <row r="904">
      <c r="A904" s="4" t="inlineStr">
        <is>
          <t>Jun</t>
        </is>
      </c>
      <c r="B904" s="6">
        <f>Expense!A871</f>
        <v/>
      </c>
      <c r="C904" s="6">
        <f>Income!A871</f>
        <v/>
      </c>
    </row>
    <row r="905">
      <c r="A905" s="4" t="inlineStr">
        <is>
          <t>Jul</t>
        </is>
      </c>
      <c r="B905" s="6">
        <f>Expense!A872</f>
        <v/>
      </c>
      <c r="C905" s="6">
        <f>Income!A872</f>
        <v/>
      </c>
    </row>
    <row r="906">
      <c r="A906" s="4" t="inlineStr">
        <is>
          <t>Aug</t>
        </is>
      </c>
      <c r="B906" s="6">
        <f>Expense!A873</f>
        <v/>
      </c>
      <c r="C906" s="6">
        <f>Income!A873</f>
        <v/>
      </c>
    </row>
    <row r="907">
      <c r="A907" s="4" t="inlineStr">
        <is>
          <t>Sep</t>
        </is>
      </c>
      <c r="B907" s="6">
        <f>Expense!A874</f>
        <v/>
      </c>
      <c r="C907" s="6">
        <f>Income!A874</f>
        <v/>
      </c>
    </row>
    <row r="908">
      <c r="A908" s="4" t="inlineStr">
        <is>
          <t>Oct</t>
        </is>
      </c>
      <c r="B908" s="6">
        <f>Expense!A875</f>
        <v/>
      </c>
      <c r="C908" s="6">
        <f>Income!A875</f>
        <v/>
      </c>
    </row>
    <row r="909">
      <c r="A909" s="4" t="inlineStr">
        <is>
          <t>Nov</t>
        </is>
      </c>
      <c r="B909" s="6">
        <f>Expense!A876</f>
        <v/>
      </c>
      <c r="C909" s="6">
        <f>Income!A876</f>
        <v/>
      </c>
    </row>
    <row r="910">
      <c r="A910" s="4" t="inlineStr">
        <is>
          <t>Dec</t>
        </is>
      </c>
      <c r="B910" s="6">
        <f>Expense!A877</f>
        <v/>
      </c>
      <c r="C910" s="6">
        <f>Income!A877</f>
        <v/>
      </c>
    </row>
    <row r="911">
      <c r="A911" s="4" t="inlineStr">
        <is>
          <t>Jan</t>
        </is>
      </c>
      <c r="B911" s="6">
        <f>Expense!A878</f>
        <v/>
      </c>
      <c r="C911" s="6">
        <f>Income!A878</f>
        <v/>
      </c>
    </row>
    <row r="912">
      <c r="A912" s="4" t="inlineStr">
        <is>
          <t>Feb</t>
        </is>
      </c>
      <c r="B912" s="6">
        <f>Expense!A879</f>
        <v/>
      </c>
      <c r="C912" s="6">
        <f>Income!A879</f>
        <v/>
      </c>
    </row>
    <row r="913">
      <c r="A913" s="4" t="inlineStr">
        <is>
          <t>Mar</t>
        </is>
      </c>
      <c r="B913" s="6">
        <f>Expense!A880</f>
        <v/>
      </c>
      <c r="C913" s="4">
        <f>Income!A880</f>
        <v/>
      </c>
    </row>
    <row r="914">
      <c r="B914" s="6">
        <f>Expense!A881</f>
        <v/>
      </c>
      <c r="C914" s="4">
        <f>Income!A881</f>
        <v/>
      </c>
    </row>
    <row r="915">
      <c r="B915" s="4">
        <f>Expense!A882</f>
        <v/>
      </c>
      <c r="C915" s="6">
        <f>Income!A882</f>
        <v/>
      </c>
    </row>
    <row r="916">
      <c r="B916" s="4">
        <f>Expense!A883</f>
        <v/>
      </c>
      <c r="C916" s="4">
        <f>Income!A883</f>
        <v/>
      </c>
    </row>
    <row r="917">
      <c r="B917" s="4">
        <f>Expense!A884</f>
        <v/>
      </c>
      <c r="C917" s="4">
        <f>Income!A884</f>
        <v/>
      </c>
    </row>
    <row r="918">
      <c r="B918" s="4">
        <f>Expense!A885</f>
        <v/>
      </c>
      <c r="C918" s="4">
        <f>Income!A885</f>
        <v/>
      </c>
    </row>
    <row r="919">
      <c r="A919" s="4" t="inlineStr">
        <is>
          <t>Apr</t>
        </is>
      </c>
      <c r="B919" s="6">
        <f>Expense!A886</f>
        <v/>
      </c>
      <c r="C919" s="4">
        <f>Income!A886</f>
        <v/>
      </c>
    </row>
    <row r="920">
      <c r="A920" s="4" t="inlineStr">
        <is>
          <t>May</t>
        </is>
      </c>
      <c r="B920" s="6">
        <f>Expense!A887</f>
        <v/>
      </c>
      <c r="C920" s="4">
        <f>Income!A887</f>
        <v/>
      </c>
    </row>
    <row r="921">
      <c r="A921" s="4" t="inlineStr">
        <is>
          <t>Jun</t>
        </is>
      </c>
      <c r="B921" s="6">
        <f>Expense!A888</f>
        <v/>
      </c>
      <c r="C921" s="4">
        <f>Income!A888</f>
        <v/>
      </c>
    </row>
    <row r="922">
      <c r="A922" s="4" t="inlineStr">
        <is>
          <t>Jul</t>
        </is>
      </c>
      <c r="B922" s="6">
        <f>Expense!A889</f>
        <v/>
      </c>
      <c r="C922" s="4">
        <f>Income!A889</f>
        <v/>
      </c>
    </row>
    <row r="923">
      <c r="A923" s="4" t="inlineStr">
        <is>
          <t>Aug</t>
        </is>
      </c>
      <c r="B923" s="6">
        <f>Expense!A890</f>
        <v/>
      </c>
      <c r="C923" s="4">
        <f>Income!A890</f>
        <v/>
      </c>
    </row>
    <row r="924">
      <c r="A924" s="4" t="inlineStr">
        <is>
          <t>Sep</t>
        </is>
      </c>
      <c r="B924" s="6">
        <f>Expense!A891</f>
        <v/>
      </c>
      <c r="C924" s="4">
        <f>Income!A891</f>
        <v/>
      </c>
    </row>
    <row r="925">
      <c r="A925" s="4" t="inlineStr">
        <is>
          <t>Oct</t>
        </is>
      </c>
      <c r="B925" s="6">
        <f>Expense!A892</f>
        <v/>
      </c>
      <c r="C925" s="6">
        <f>Income!A892</f>
        <v/>
      </c>
    </row>
    <row r="926">
      <c r="A926" s="4" t="inlineStr">
        <is>
          <t>Nov</t>
        </is>
      </c>
      <c r="B926" s="6">
        <f>Expense!A893</f>
        <v/>
      </c>
      <c r="C926" s="4">
        <f>Income!A893</f>
        <v/>
      </c>
    </row>
    <row r="927">
      <c r="A927" s="4" t="inlineStr">
        <is>
          <t>Dec</t>
        </is>
      </c>
      <c r="B927" s="6">
        <f>Expense!A894</f>
        <v/>
      </c>
      <c r="C927" s="4">
        <f>Income!A894</f>
        <v/>
      </c>
    </row>
    <row r="928">
      <c r="A928" s="4" t="inlineStr">
        <is>
          <t>Jan</t>
        </is>
      </c>
      <c r="B928" s="6">
        <f>Expense!A895</f>
        <v/>
      </c>
      <c r="C928" s="4">
        <f>Income!A895</f>
        <v/>
      </c>
    </row>
    <row r="929">
      <c r="A929" s="4" t="inlineStr">
        <is>
          <t>Feb</t>
        </is>
      </c>
      <c r="B929" s="6">
        <f>Expense!A896</f>
        <v/>
      </c>
      <c r="C929" s="4">
        <f>Income!A896</f>
        <v/>
      </c>
    </row>
    <row r="930">
      <c r="A930" s="4" t="inlineStr">
        <is>
          <t>Mar</t>
        </is>
      </c>
      <c r="B930" s="6">
        <f>Expense!A897</f>
        <v/>
      </c>
      <c r="C930" s="4">
        <f>Income!A897</f>
        <v/>
      </c>
    </row>
    <row r="931">
      <c r="B931" s="6">
        <f>Expense!A898</f>
        <v/>
      </c>
      <c r="C931" s="4">
        <f>Income!A898</f>
        <v/>
      </c>
    </row>
    <row r="932">
      <c r="B932" s="4">
        <f>Expense!A899</f>
        <v/>
      </c>
      <c r="C932" s="6">
        <f>Income!A899</f>
        <v/>
      </c>
    </row>
    <row r="933">
      <c r="B933" s="4">
        <f>Expense!A900</f>
        <v/>
      </c>
      <c r="C933" s="4">
        <f>Income!A900</f>
        <v/>
      </c>
    </row>
    <row r="934">
      <c r="B934" s="4">
        <f>Expense!A901</f>
        <v/>
      </c>
      <c r="C934" s="4">
        <f>Income!A901</f>
        <v/>
      </c>
    </row>
    <row r="935">
      <c r="B935" s="4">
        <f>Expense!A902</f>
        <v/>
      </c>
      <c r="C935" s="4">
        <f>Income!A902</f>
        <v/>
      </c>
    </row>
    <row r="936">
      <c r="A936" s="4" t="inlineStr">
        <is>
          <t>Apr</t>
        </is>
      </c>
      <c r="B936" s="6">
        <f>Expense!A903</f>
        <v/>
      </c>
      <c r="C936" s="4">
        <f>Income!A903</f>
        <v/>
      </c>
    </row>
    <row r="937">
      <c r="A937" s="4" t="inlineStr">
        <is>
          <t>May</t>
        </is>
      </c>
      <c r="B937" s="6">
        <f>Expense!A904</f>
        <v/>
      </c>
      <c r="C937" s="6">
        <f>Income!A904</f>
        <v/>
      </c>
    </row>
    <row r="938">
      <c r="A938" s="4" t="inlineStr">
        <is>
          <t>Jun</t>
        </is>
      </c>
      <c r="B938" s="6">
        <f>Expense!A905</f>
        <v/>
      </c>
      <c r="C938" s="6">
        <f>Income!A905</f>
        <v/>
      </c>
    </row>
    <row r="939">
      <c r="A939" s="4" t="inlineStr">
        <is>
          <t>Jul</t>
        </is>
      </c>
      <c r="B939" s="6">
        <f>Expense!A906</f>
        <v/>
      </c>
      <c r="C939" s="6">
        <f>Income!A906</f>
        <v/>
      </c>
    </row>
    <row r="940">
      <c r="A940" s="4" t="inlineStr">
        <is>
          <t>Aug</t>
        </is>
      </c>
      <c r="B940" s="6">
        <f>Expense!A907</f>
        <v/>
      </c>
      <c r="C940" s="6">
        <f>Income!A907</f>
        <v/>
      </c>
    </row>
    <row r="941">
      <c r="A941" s="4" t="inlineStr">
        <is>
          <t>Sep</t>
        </is>
      </c>
      <c r="B941" s="6">
        <f>Expense!A908</f>
        <v/>
      </c>
      <c r="C941" s="6">
        <f>Income!A908</f>
        <v/>
      </c>
    </row>
    <row r="942">
      <c r="A942" s="4" t="inlineStr">
        <is>
          <t>Oct</t>
        </is>
      </c>
      <c r="B942" s="6">
        <f>Expense!A909</f>
        <v/>
      </c>
      <c r="C942" s="6">
        <f>Income!A909</f>
        <v/>
      </c>
    </row>
    <row r="943">
      <c r="A943" s="4" t="inlineStr">
        <is>
          <t>Nov</t>
        </is>
      </c>
      <c r="B943" s="6">
        <f>Expense!A910</f>
        <v/>
      </c>
      <c r="C943" s="6">
        <f>Income!A910</f>
        <v/>
      </c>
    </row>
    <row r="944">
      <c r="A944" s="4" t="inlineStr">
        <is>
          <t>Dec</t>
        </is>
      </c>
      <c r="B944" s="6">
        <f>Expense!A911</f>
        <v/>
      </c>
      <c r="C944" s="6">
        <f>Income!A911</f>
        <v/>
      </c>
    </row>
    <row r="945">
      <c r="A945" s="4" t="inlineStr">
        <is>
          <t>Jan</t>
        </is>
      </c>
      <c r="B945" s="6">
        <f>Expense!A912</f>
        <v/>
      </c>
      <c r="C945" s="6">
        <f>Income!A912</f>
        <v/>
      </c>
    </row>
    <row r="946">
      <c r="A946" s="4" t="inlineStr">
        <is>
          <t>Feb</t>
        </is>
      </c>
      <c r="B946" s="6">
        <f>Expense!A913</f>
        <v/>
      </c>
      <c r="C946" s="6">
        <f>Income!A913</f>
        <v/>
      </c>
    </row>
    <row r="947">
      <c r="A947" s="4" t="inlineStr">
        <is>
          <t>Mar</t>
        </is>
      </c>
      <c r="B947" s="6">
        <f>Expense!A914</f>
        <v/>
      </c>
      <c r="C947" s="4">
        <f>Income!A914</f>
        <v/>
      </c>
    </row>
    <row r="948">
      <c r="B948" s="6">
        <f>Expense!A915</f>
        <v/>
      </c>
      <c r="C948" s="4">
        <f>Income!A915</f>
        <v/>
      </c>
    </row>
    <row r="949">
      <c r="B949" s="4">
        <f>Expense!A916</f>
        <v/>
      </c>
      <c r="C949" s="6">
        <f>Income!A916</f>
        <v/>
      </c>
    </row>
    <row r="950">
      <c r="B950" s="4">
        <f>Expense!A917</f>
        <v/>
      </c>
      <c r="C950" s="4">
        <f>Income!A917</f>
        <v/>
      </c>
    </row>
    <row r="951">
      <c r="B951" s="4">
        <f>Expense!A918</f>
        <v/>
      </c>
      <c r="C951" s="4">
        <f>Income!A918</f>
        <v/>
      </c>
    </row>
    <row r="952">
      <c r="B952" s="4">
        <f>Expense!A919</f>
        <v/>
      </c>
      <c r="C952" s="4">
        <f>Income!A919</f>
        <v/>
      </c>
    </row>
    <row r="953">
      <c r="A953" s="4" t="inlineStr">
        <is>
          <t>Apr</t>
        </is>
      </c>
      <c r="B953" s="6">
        <f>Expense!A920</f>
        <v/>
      </c>
      <c r="C953" s="4">
        <f>Income!A920</f>
        <v/>
      </c>
    </row>
    <row r="954">
      <c r="A954" s="4" t="inlineStr">
        <is>
          <t>May</t>
        </is>
      </c>
      <c r="B954" s="6">
        <f>Expense!A921</f>
        <v/>
      </c>
      <c r="C954" s="4">
        <f>Income!A921</f>
        <v/>
      </c>
    </row>
    <row r="955">
      <c r="A955" s="4" t="inlineStr">
        <is>
          <t>Jun</t>
        </is>
      </c>
      <c r="B955" s="6">
        <f>Expense!A922</f>
        <v/>
      </c>
      <c r="C955" s="4">
        <f>Income!A922</f>
        <v/>
      </c>
    </row>
    <row r="956">
      <c r="A956" s="4" t="inlineStr">
        <is>
          <t>Jul</t>
        </is>
      </c>
      <c r="B956" s="6">
        <f>Expense!A923</f>
        <v/>
      </c>
      <c r="C956" s="4">
        <f>Income!A923</f>
        <v/>
      </c>
    </row>
    <row r="957">
      <c r="A957" s="4" t="inlineStr">
        <is>
          <t>Aug</t>
        </is>
      </c>
      <c r="B957" s="6">
        <f>Expense!A924</f>
        <v/>
      </c>
      <c r="C957" s="4">
        <f>Income!A924</f>
        <v/>
      </c>
    </row>
    <row r="958">
      <c r="A958" s="4" t="inlineStr">
        <is>
          <t>Sep</t>
        </is>
      </c>
      <c r="B958" s="6">
        <f>Expense!A925</f>
        <v/>
      </c>
      <c r="C958" s="4">
        <f>Income!A925</f>
        <v/>
      </c>
    </row>
    <row r="959">
      <c r="A959" s="4" t="inlineStr">
        <is>
          <t>Oct</t>
        </is>
      </c>
      <c r="B959" s="6">
        <f>Expense!A926</f>
        <v/>
      </c>
      <c r="C959" s="4">
        <f>Income!A926</f>
        <v/>
      </c>
    </row>
    <row r="960">
      <c r="A960" s="4" t="inlineStr">
        <is>
          <t>Nov</t>
        </is>
      </c>
      <c r="B960" s="6">
        <f>Expense!A927</f>
        <v/>
      </c>
      <c r="C960" s="4">
        <f>Income!A927</f>
        <v/>
      </c>
    </row>
    <row r="961">
      <c r="A961" s="4" t="inlineStr">
        <is>
          <t>Dec</t>
        </is>
      </c>
      <c r="B961" s="6">
        <f>Expense!A928</f>
        <v/>
      </c>
      <c r="C961" s="4">
        <f>Income!A928</f>
        <v/>
      </c>
    </row>
    <row r="962">
      <c r="A962" s="4" t="inlineStr">
        <is>
          <t>Jan</t>
        </is>
      </c>
      <c r="B962" s="6">
        <f>Expense!A929</f>
        <v/>
      </c>
      <c r="C962" s="4">
        <f>Income!A929</f>
        <v/>
      </c>
    </row>
    <row r="963">
      <c r="A963" s="4" t="inlineStr">
        <is>
          <t>Feb</t>
        </is>
      </c>
      <c r="B963" s="6">
        <f>Expense!A930</f>
        <v/>
      </c>
      <c r="C963" s="4">
        <f>Income!A930</f>
        <v/>
      </c>
    </row>
    <row r="964">
      <c r="A964" s="4" t="inlineStr">
        <is>
          <t>Mar</t>
        </is>
      </c>
      <c r="B964" s="6">
        <f>Expense!A931</f>
        <v/>
      </c>
      <c r="C964" s="4">
        <f>Income!A931</f>
        <v/>
      </c>
    </row>
    <row r="965">
      <c r="B965" s="6">
        <f>Expense!A932</f>
        <v/>
      </c>
      <c r="C965" s="4">
        <f>Income!A932</f>
        <v/>
      </c>
    </row>
    <row r="966">
      <c r="B966" s="4">
        <f>Expense!A933</f>
        <v/>
      </c>
      <c r="C966" s="6">
        <f>Income!A933</f>
        <v/>
      </c>
    </row>
    <row r="967">
      <c r="B967" s="4">
        <f>Expense!A934</f>
        <v/>
      </c>
      <c r="C967" s="4">
        <f>Income!A934</f>
        <v/>
      </c>
    </row>
    <row r="968">
      <c r="B968" s="4">
        <f>Expense!A935</f>
        <v/>
      </c>
      <c r="C968" s="4">
        <f>Income!A935</f>
        <v/>
      </c>
    </row>
    <row r="969">
      <c r="B969" s="4">
        <f>Expense!A936</f>
        <v/>
      </c>
      <c r="C969" s="4">
        <f>Income!A936</f>
        <v/>
      </c>
    </row>
    <row r="970">
      <c r="A970" s="4" t="inlineStr">
        <is>
          <t>Apr</t>
        </is>
      </c>
      <c r="B970" s="6">
        <f>Expense!A937</f>
        <v/>
      </c>
      <c r="C970" s="4">
        <f>Income!A937</f>
        <v/>
      </c>
    </row>
    <row r="971">
      <c r="A971" s="4" t="inlineStr">
        <is>
          <t>May</t>
        </is>
      </c>
      <c r="B971" s="6">
        <f>Expense!A938</f>
        <v/>
      </c>
      <c r="C971" s="6">
        <f>Income!A938</f>
        <v/>
      </c>
    </row>
    <row r="972">
      <c r="A972" s="4" t="inlineStr">
        <is>
          <t>Jun</t>
        </is>
      </c>
      <c r="B972" s="6">
        <f>Expense!A939</f>
        <v/>
      </c>
      <c r="C972" s="6">
        <f>Income!A939</f>
        <v/>
      </c>
    </row>
    <row r="973">
      <c r="A973" s="4" t="inlineStr">
        <is>
          <t>Jul</t>
        </is>
      </c>
      <c r="B973" s="6">
        <f>Expense!A940</f>
        <v/>
      </c>
      <c r="C973" s="6">
        <f>Income!A940</f>
        <v/>
      </c>
    </row>
    <row r="974">
      <c r="A974" s="4" t="inlineStr">
        <is>
          <t>Aug</t>
        </is>
      </c>
      <c r="B974" s="6">
        <f>Expense!A941</f>
        <v/>
      </c>
      <c r="C974" s="6">
        <f>Income!A941</f>
        <v/>
      </c>
    </row>
    <row r="975">
      <c r="A975" s="4" t="inlineStr">
        <is>
          <t>Sep</t>
        </is>
      </c>
      <c r="B975" s="6">
        <f>Expense!A942</f>
        <v/>
      </c>
      <c r="C975" s="6">
        <f>Income!A942</f>
        <v/>
      </c>
    </row>
    <row r="976">
      <c r="A976" s="4" t="inlineStr">
        <is>
          <t>Oct</t>
        </is>
      </c>
      <c r="B976" s="6">
        <f>Expense!A943</f>
        <v/>
      </c>
      <c r="C976" s="6">
        <f>Income!A943</f>
        <v/>
      </c>
    </row>
    <row r="977">
      <c r="A977" s="4" t="inlineStr">
        <is>
          <t>Nov</t>
        </is>
      </c>
      <c r="B977" s="6">
        <f>Expense!A944</f>
        <v/>
      </c>
      <c r="C977" s="4">
        <f>Income!A944</f>
        <v/>
      </c>
    </row>
    <row r="978">
      <c r="A978" s="4" t="inlineStr">
        <is>
          <t>Dec</t>
        </is>
      </c>
      <c r="B978" s="6">
        <f>Expense!A945</f>
        <v/>
      </c>
      <c r="C978" s="6">
        <f>Income!A945</f>
        <v/>
      </c>
    </row>
    <row r="979">
      <c r="A979" s="4" t="inlineStr">
        <is>
          <t>Jan</t>
        </is>
      </c>
      <c r="B979" s="6">
        <f>Expense!A946</f>
        <v/>
      </c>
      <c r="C979" s="6">
        <f>Income!A946</f>
        <v/>
      </c>
    </row>
    <row r="980">
      <c r="A980" s="4" t="inlineStr">
        <is>
          <t>Feb</t>
        </is>
      </c>
      <c r="B980" s="6">
        <f>Expense!A947</f>
        <v/>
      </c>
      <c r="C980" s="6">
        <f>Income!A947</f>
        <v/>
      </c>
    </row>
    <row r="981">
      <c r="A981" s="4" t="inlineStr">
        <is>
          <t>Mar</t>
        </is>
      </c>
      <c r="B981" s="6">
        <f>Expense!A948</f>
        <v/>
      </c>
      <c r="C981" s="4">
        <f>Income!A948</f>
        <v/>
      </c>
    </row>
    <row r="982">
      <c r="B982" s="6">
        <f>Expense!A949</f>
        <v/>
      </c>
      <c r="C982" s="4">
        <f>Income!A949</f>
        <v/>
      </c>
    </row>
    <row r="983">
      <c r="B983" s="4">
        <f>Expense!A950</f>
        <v/>
      </c>
      <c r="C983" s="6">
        <f>Income!A950</f>
        <v/>
      </c>
    </row>
    <row r="984">
      <c r="B984" s="4">
        <f>Expense!A951</f>
        <v/>
      </c>
      <c r="C984" s="4">
        <f>Income!A951</f>
        <v/>
      </c>
    </row>
    <row r="985">
      <c r="B985" s="4">
        <f>Expense!A952</f>
        <v/>
      </c>
      <c r="C985" s="4">
        <f>Income!A952</f>
        <v/>
      </c>
    </row>
    <row r="986">
      <c r="B986" s="4">
        <f>Expense!A953</f>
        <v/>
      </c>
      <c r="C986" s="4">
        <f>Income!A953</f>
        <v/>
      </c>
    </row>
    <row r="987">
      <c r="A987" s="4" t="inlineStr">
        <is>
          <t>Apr</t>
        </is>
      </c>
      <c r="B987" s="6">
        <f>Expense!A954</f>
        <v/>
      </c>
      <c r="C987" s="4">
        <f>Income!A954</f>
        <v/>
      </c>
    </row>
    <row r="988">
      <c r="A988" s="4" t="inlineStr">
        <is>
          <t>May</t>
        </is>
      </c>
      <c r="B988" s="6">
        <f>Expense!A955</f>
        <v/>
      </c>
      <c r="C988" s="4">
        <f>Income!A955</f>
        <v/>
      </c>
    </row>
    <row r="989">
      <c r="A989" s="4" t="inlineStr">
        <is>
          <t>Jun</t>
        </is>
      </c>
      <c r="B989" s="6">
        <f>Expense!A956</f>
        <v/>
      </c>
      <c r="C989" s="4">
        <f>Income!A956</f>
        <v/>
      </c>
    </row>
    <row r="990">
      <c r="A990" s="4" t="inlineStr">
        <is>
          <t>Jul</t>
        </is>
      </c>
      <c r="B990" s="6">
        <f>Expense!A957</f>
        <v/>
      </c>
      <c r="C990" s="4">
        <f>Income!A957</f>
        <v/>
      </c>
    </row>
    <row r="991">
      <c r="A991" s="4" t="inlineStr">
        <is>
          <t>Aug</t>
        </is>
      </c>
      <c r="B991" s="6">
        <f>Expense!A958</f>
        <v/>
      </c>
      <c r="C991" s="4">
        <f>Income!A958</f>
        <v/>
      </c>
    </row>
    <row r="992">
      <c r="A992" s="4" t="inlineStr">
        <is>
          <t>Sep</t>
        </is>
      </c>
      <c r="B992" s="6">
        <f>Expense!A959</f>
        <v/>
      </c>
      <c r="C992" s="4">
        <f>Income!A959</f>
        <v/>
      </c>
    </row>
    <row r="993">
      <c r="A993" s="4" t="inlineStr">
        <is>
          <t>Oct</t>
        </is>
      </c>
      <c r="B993" s="6">
        <f>Expense!A960</f>
        <v/>
      </c>
      <c r="C993" s="6">
        <f>Income!A960</f>
        <v/>
      </c>
    </row>
    <row r="994">
      <c r="A994" s="4" t="inlineStr">
        <is>
          <t>Nov</t>
        </is>
      </c>
      <c r="B994" s="6">
        <f>Expense!A961</f>
        <v/>
      </c>
      <c r="C994" s="4">
        <f>Income!A961</f>
        <v/>
      </c>
    </row>
    <row r="995">
      <c r="A995" s="4" t="inlineStr">
        <is>
          <t>Dec</t>
        </is>
      </c>
      <c r="B995" s="6">
        <f>Expense!A962</f>
        <v/>
      </c>
      <c r="C995" s="4">
        <f>Income!A962</f>
        <v/>
      </c>
    </row>
    <row r="996">
      <c r="A996" s="4" t="inlineStr">
        <is>
          <t>Jan</t>
        </is>
      </c>
      <c r="B996" s="6">
        <f>Expense!A963</f>
        <v/>
      </c>
      <c r="C996" s="4">
        <f>Income!A963</f>
        <v/>
      </c>
    </row>
    <row r="997">
      <c r="A997" s="4" t="inlineStr">
        <is>
          <t>Feb</t>
        </is>
      </c>
      <c r="B997" s="6">
        <f>Expense!A964</f>
        <v/>
      </c>
      <c r="C997" s="4">
        <f>Income!A964</f>
        <v/>
      </c>
    </row>
    <row r="998">
      <c r="A998" s="4" t="inlineStr">
        <is>
          <t>Mar</t>
        </is>
      </c>
      <c r="B998" s="6">
        <f>Expense!A965</f>
        <v/>
      </c>
      <c r="C998" s="4">
        <f>Income!A965</f>
        <v/>
      </c>
    </row>
    <row r="999">
      <c r="B999" s="6">
        <f>Expense!A966</f>
        <v/>
      </c>
      <c r="C999" s="4">
        <f>Income!A966</f>
        <v/>
      </c>
    </row>
    <row r="1000">
      <c r="B1000" s="4">
        <f>Expense!A967</f>
        <v/>
      </c>
      <c r="C1000" s="6">
        <f>Income!A967</f>
        <v/>
      </c>
    </row>
    <row r="1001">
      <c r="B1001" s="4">
        <f>Expense!A968</f>
        <v/>
      </c>
      <c r="C1001" s="4">
        <f>Income!A968</f>
        <v/>
      </c>
    </row>
    <row r="1002">
      <c r="B1002" s="4">
        <f>Expense!A969</f>
        <v/>
      </c>
      <c r="C1002" s="4">
        <f>Income!A969</f>
        <v/>
      </c>
    </row>
    <row r="1003">
      <c r="B1003" s="4">
        <f>Expense!A970</f>
        <v/>
      </c>
      <c r="C1003" s="4">
        <f>Income!A970</f>
        <v/>
      </c>
    </row>
    <row r="1004">
      <c r="A1004" s="4" t="inlineStr">
        <is>
          <t>Apr</t>
        </is>
      </c>
      <c r="B1004" s="6">
        <f>Expense!A971</f>
        <v/>
      </c>
      <c r="C1004" s="4">
        <f>Income!A971</f>
        <v/>
      </c>
    </row>
    <row r="1005">
      <c r="A1005" s="4" t="inlineStr">
        <is>
          <t>May</t>
        </is>
      </c>
      <c r="B1005" s="6">
        <f>Expense!A972</f>
        <v/>
      </c>
      <c r="C1005" s="6">
        <f>Income!A972</f>
        <v/>
      </c>
    </row>
    <row r="1006">
      <c r="A1006" s="4" t="inlineStr">
        <is>
          <t>Jun</t>
        </is>
      </c>
      <c r="B1006" s="6">
        <f>Expense!A973</f>
        <v/>
      </c>
      <c r="C1006" s="6">
        <f>Income!A973</f>
        <v/>
      </c>
    </row>
    <row r="1007">
      <c r="A1007" s="4" t="inlineStr">
        <is>
          <t>Jul</t>
        </is>
      </c>
      <c r="B1007" s="6">
        <f>Expense!A974</f>
        <v/>
      </c>
      <c r="C1007" s="6">
        <f>Income!A974</f>
        <v/>
      </c>
    </row>
    <row r="1008">
      <c r="A1008" s="4" t="inlineStr">
        <is>
          <t>Aug</t>
        </is>
      </c>
      <c r="B1008" s="6">
        <f>Expense!A975</f>
        <v/>
      </c>
      <c r="C1008" s="6">
        <f>Income!A975</f>
        <v/>
      </c>
    </row>
    <row r="1009">
      <c r="A1009" s="4" t="inlineStr">
        <is>
          <t>Sep</t>
        </is>
      </c>
      <c r="B1009" s="6">
        <f>Expense!A976</f>
        <v/>
      </c>
      <c r="C1009" s="6">
        <f>Income!A976</f>
        <v/>
      </c>
    </row>
    <row r="1010">
      <c r="A1010" s="4" t="inlineStr">
        <is>
          <t>Oct</t>
        </is>
      </c>
      <c r="B1010" s="6">
        <f>Expense!A977</f>
        <v/>
      </c>
      <c r="C1010" s="6">
        <f>Income!A977</f>
        <v/>
      </c>
    </row>
    <row r="1011">
      <c r="A1011" s="4" t="inlineStr">
        <is>
          <t>Nov</t>
        </is>
      </c>
      <c r="B1011" s="6">
        <f>Expense!A978</f>
        <v/>
      </c>
      <c r="C1011" s="6">
        <f>Income!A978</f>
        <v/>
      </c>
    </row>
    <row r="1012">
      <c r="A1012" s="4" t="inlineStr">
        <is>
          <t>Dec</t>
        </is>
      </c>
      <c r="B1012" s="6">
        <f>Expense!A979</f>
        <v/>
      </c>
      <c r="C1012" s="6">
        <f>Income!A979</f>
        <v/>
      </c>
    </row>
    <row r="1013">
      <c r="A1013" s="4" t="inlineStr">
        <is>
          <t>Jan</t>
        </is>
      </c>
      <c r="B1013" s="6">
        <f>Expense!A980</f>
        <v/>
      </c>
      <c r="C1013" s="6">
        <f>Income!A980</f>
        <v/>
      </c>
    </row>
    <row r="1014">
      <c r="A1014" s="4" t="inlineStr">
        <is>
          <t>Feb</t>
        </is>
      </c>
      <c r="B1014" s="6">
        <f>Expense!A981</f>
        <v/>
      </c>
      <c r="C1014" s="6">
        <f>Income!A981</f>
        <v/>
      </c>
    </row>
    <row r="1015">
      <c r="A1015" s="4" t="inlineStr">
        <is>
          <t>Mar</t>
        </is>
      </c>
      <c r="B1015" s="6">
        <f>Expense!A982</f>
        <v/>
      </c>
      <c r="C1015" s="4">
        <f>Income!A982</f>
        <v/>
      </c>
    </row>
    <row r="1016">
      <c r="B1016" s="6">
        <f>Expense!A983</f>
        <v/>
      </c>
      <c r="C1016" s="4">
        <f>Income!A983</f>
        <v/>
      </c>
    </row>
    <row r="1017">
      <c r="B1017" s="4">
        <f>Expense!A984</f>
        <v/>
      </c>
      <c r="C1017" s="6">
        <f>Income!A984</f>
        <v/>
      </c>
    </row>
    <row r="1018">
      <c r="B1018" s="4">
        <f>Expense!A985</f>
        <v/>
      </c>
      <c r="C1018" s="4">
        <f>Income!A985</f>
        <v/>
      </c>
    </row>
    <row r="1019">
      <c r="B1019" s="4">
        <f>Expense!A986</f>
        <v/>
      </c>
      <c r="C1019" s="4">
        <f>Income!A986</f>
        <v/>
      </c>
    </row>
    <row r="1020">
      <c r="B1020" s="4">
        <f>Expense!A987</f>
        <v/>
      </c>
      <c r="C1020" s="4">
        <f>Income!A987</f>
        <v/>
      </c>
    </row>
    <row r="1021">
      <c r="A1021" s="4" t="inlineStr">
        <is>
          <t>Apr</t>
        </is>
      </c>
      <c r="B1021" s="6">
        <f>Expense!A988</f>
        <v/>
      </c>
      <c r="C1021" s="4">
        <f>Income!A988</f>
        <v/>
      </c>
    </row>
    <row r="1022">
      <c r="A1022" s="4" t="inlineStr">
        <is>
          <t>May</t>
        </is>
      </c>
      <c r="B1022" s="6">
        <f>Expense!A989</f>
        <v/>
      </c>
      <c r="C1022" s="6">
        <f>Income!A989</f>
        <v/>
      </c>
    </row>
    <row r="1023">
      <c r="A1023" s="4" t="inlineStr">
        <is>
          <t>Jun</t>
        </is>
      </c>
      <c r="B1023" s="6">
        <f>Expense!A990</f>
        <v/>
      </c>
      <c r="C1023" s="6">
        <f>Income!A990</f>
        <v/>
      </c>
    </row>
    <row r="1024">
      <c r="A1024" s="4" t="inlineStr">
        <is>
          <t>Jul</t>
        </is>
      </c>
      <c r="B1024" s="6">
        <f>Expense!A991</f>
        <v/>
      </c>
      <c r="C1024" s="6">
        <f>Income!A991</f>
        <v/>
      </c>
    </row>
    <row r="1025">
      <c r="A1025" s="4" t="inlineStr">
        <is>
          <t>Aug</t>
        </is>
      </c>
      <c r="B1025" s="6">
        <f>Expense!A992</f>
        <v/>
      </c>
      <c r="C1025" s="6">
        <f>Income!A992</f>
        <v/>
      </c>
    </row>
    <row r="1026">
      <c r="A1026" s="4" t="inlineStr">
        <is>
          <t>Sep</t>
        </is>
      </c>
      <c r="B1026" s="6">
        <f>Expense!A993</f>
        <v/>
      </c>
      <c r="C1026" s="6">
        <f>Income!A993</f>
        <v/>
      </c>
    </row>
    <row r="1027">
      <c r="A1027" s="4" t="inlineStr">
        <is>
          <t>Oct</t>
        </is>
      </c>
      <c r="B1027" s="6">
        <f>Expense!A994</f>
        <v/>
      </c>
      <c r="C1027" s="6">
        <f>Income!A994</f>
        <v/>
      </c>
    </row>
    <row r="1028">
      <c r="A1028" s="4" t="inlineStr">
        <is>
          <t>Nov</t>
        </is>
      </c>
      <c r="B1028" s="6">
        <f>Expense!A995</f>
        <v/>
      </c>
      <c r="C1028" s="6">
        <f>Income!A995</f>
        <v/>
      </c>
    </row>
    <row r="1029">
      <c r="A1029" s="4" t="inlineStr">
        <is>
          <t>Dec</t>
        </is>
      </c>
      <c r="B1029" s="6">
        <f>Expense!A996</f>
        <v/>
      </c>
      <c r="C1029" s="6">
        <f>Income!A996</f>
        <v/>
      </c>
    </row>
    <row r="1030">
      <c r="A1030" s="4" t="inlineStr">
        <is>
          <t>Jan</t>
        </is>
      </c>
      <c r="B1030" s="6">
        <f>Expense!A997</f>
        <v/>
      </c>
      <c r="C1030" s="6">
        <f>Income!A997</f>
        <v/>
      </c>
    </row>
    <row r="1031">
      <c r="A1031" s="4" t="inlineStr">
        <is>
          <t>Feb</t>
        </is>
      </c>
      <c r="B1031" s="6">
        <f>Expense!A998</f>
        <v/>
      </c>
      <c r="C1031" s="6">
        <f>Income!A998</f>
        <v/>
      </c>
    </row>
    <row r="1032">
      <c r="A1032" s="4" t="inlineStr">
        <is>
          <t>Mar</t>
        </is>
      </c>
      <c r="B1032" s="6">
        <f>Expense!A999</f>
        <v/>
      </c>
      <c r="C1032" s="4">
        <f>Income!A999</f>
        <v/>
      </c>
    </row>
    <row r="1033">
      <c r="B1033" s="6">
        <f>Expense!A1000</f>
        <v/>
      </c>
      <c r="C1033" s="4">
        <f>Income!A1000</f>
        <v/>
      </c>
    </row>
    <row r="1034">
      <c r="B1034" s="4">
        <f>Expense!A1001</f>
        <v/>
      </c>
      <c r="C1034" s="6">
        <f>Income!A1001</f>
        <v/>
      </c>
    </row>
    <row r="1035">
      <c r="B1035" s="4">
        <f>Expense!A1002</f>
        <v/>
      </c>
      <c r="C1035" s="4">
        <f>Income!A1002</f>
        <v/>
      </c>
    </row>
    <row r="1036">
      <c r="B1036" s="4">
        <f>Expense!A1003</f>
        <v/>
      </c>
      <c r="C1036" s="4">
        <f>Income!A1003</f>
        <v/>
      </c>
    </row>
    <row r="1037">
      <c r="B1037" s="4">
        <f>Expense!A1004</f>
        <v/>
      </c>
      <c r="C1037" s="4">
        <f>Income!A1004</f>
        <v/>
      </c>
    </row>
    <row r="1038">
      <c r="A1038" s="4" t="inlineStr">
        <is>
          <t>Apr</t>
        </is>
      </c>
      <c r="B1038" s="6">
        <f>Expense!A1005</f>
        <v/>
      </c>
      <c r="C1038" s="4">
        <f>Income!A1005</f>
        <v/>
      </c>
    </row>
    <row r="1039">
      <c r="A1039" s="4" t="inlineStr">
        <is>
          <t>May</t>
        </is>
      </c>
      <c r="B1039" s="6">
        <f>Expense!A1006</f>
        <v/>
      </c>
      <c r="C1039" s="6">
        <f>Income!A1006</f>
        <v/>
      </c>
    </row>
    <row r="1040">
      <c r="A1040" s="4" t="inlineStr">
        <is>
          <t>Jun</t>
        </is>
      </c>
      <c r="B1040" s="6">
        <f>Expense!A1007</f>
        <v/>
      </c>
      <c r="C1040" s="6">
        <f>Income!A1007</f>
        <v/>
      </c>
    </row>
    <row r="1041">
      <c r="A1041" s="4" t="inlineStr">
        <is>
          <t>Jul</t>
        </is>
      </c>
      <c r="B1041" s="6">
        <f>Expense!A1008</f>
        <v/>
      </c>
      <c r="C1041" s="6">
        <f>Income!A1008</f>
        <v/>
      </c>
    </row>
    <row r="1042">
      <c r="A1042" s="4" t="inlineStr">
        <is>
          <t>Aug</t>
        </is>
      </c>
      <c r="B1042" s="6">
        <f>Expense!A1009</f>
        <v/>
      </c>
      <c r="C1042" s="6">
        <f>Income!A1009</f>
        <v/>
      </c>
    </row>
    <row r="1043">
      <c r="A1043" s="4" t="inlineStr">
        <is>
          <t>Sep</t>
        </is>
      </c>
      <c r="B1043" s="6">
        <f>Expense!A1010</f>
        <v/>
      </c>
      <c r="C1043" s="6">
        <f>Income!A1010</f>
        <v/>
      </c>
    </row>
    <row r="1044">
      <c r="A1044" s="4" t="inlineStr">
        <is>
          <t>Oct</t>
        </is>
      </c>
      <c r="B1044" s="6">
        <f>Expense!A1011</f>
        <v/>
      </c>
      <c r="C1044" s="6">
        <f>Income!A1011</f>
        <v/>
      </c>
    </row>
    <row r="1045">
      <c r="A1045" s="4" t="inlineStr">
        <is>
          <t>Nov</t>
        </is>
      </c>
      <c r="B1045" s="6">
        <f>Expense!A1012</f>
        <v/>
      </c>
      <c r="C1045" s="6">
        <f>Income!A1012</f>
        <v/>
      </c>
    </row>
    <row r="1046">
      <c r="A1046" s="4" t="inlineStr">
        <is>
          <t>Dec</t>
        </is>
      </c>
      <c r="B1046" s="6">
        <f>Expense!A1013</f>
        <v/>
      </c>
      <c r="C1046" s="6">
        <f>Income!A1013</f>
        <v/>
      </c>
    </row>
    <row r="1047">
      <c r="A1047" s="4" t="inlineStr">
        <is>
          <t>Jan</t>
        </is>
      </c>
      <c r="B1047" s="6">
        <f>Expense!A1014</f>
        <v/>
      </c>
      <c r="C1047" s="6">
        <f>Income!A1014</f>
        <v/>
      </c>
    </row>
    <row r="1048">
      <c r="A1048" s="4" t="inlineStr">
        <is>
          <t>Feb</t>
        </is>
      </c>
      <c r="B1048" s="6">
        <f>Expense!A1015</f>
        <v/>
      </c>
      <c r="C1048" s="6">
        <f>Income!A1015</f>
        <v/>
      </c>
    </row>
    <row r="1049">
      <c r="A1049" s="4" t="inlineStr">
        <is>
          <t>Mar</t>
        </is>
      </c>
      <c r="B1049" s="6">
        <f>Expense!A1016</f>
        <v/>
      </c>
      <c r="C1049" s="4">
        <f>Income!A1016</f>
        <v/>
      </c>
    </row>
    <row r="1050">
      <c r="B1050" s="6">
        <f>Expense!A1017</f>
        <v/>
      </c>
      <c r="C1050" s="4">
        <f>Income!A1017</f>
        <v/>
      </c>
    </row>
    <row r="1051">
      <c r="B1051" s="4">
        <f>Expense!A1018</f>
        <v/>
      </c>
      <c r="C1051" s="6">
        <f>Income!A1018</f>
        <v/>
      </c>
    </row>
    <row r="1052">
      <c r="B1052" s="4">
        <f>Expense!A1019</f>
        <v/>
      </c>
      <c r="C1052" s="4">
        <f>Income!A1019</f>
        <v/>
      </c>
    </row>
    <row r="1053">
      <c r="B1053" s="4">
        <f>Expense!A1020</f>
        <v/>
      </c>
      <c r="C1053" s="4">
        <f>Income!A1020</f>
        <v/>
      </c>
    </row>
    <row r="1054">
      <c r="B1054" s="4">
        <f>Expense!A1021</f>
        <v/>
      </c>
      <c r="C1054" s="4">
        <f>Income!A1021</f>
        <v/>
      </c>
    </row>
    <row r="1055">
      <c r="A1055" s="4" t="inlineStr">
        <is>
          <t>Apr</t>
        </is>
      </c>
      <c r="B1055" s="6">
        <f>Expense!A1022</f>
        <v/>
      </c>
      <c r="C1055" s="4">
        <f>Income!A1022</f>
        <v/>
      </c>
    </row>
    <row r="1056">
      <c r="A1056" s="4" t="inlineStr">
        <is>
          <t>May</t>
        </is>
      </c>
      <c r="B1056" s="6">
        <f>Expense!A1023</f>
        <v/>
      </c>
      <c r="C1056" s="6">
        <f>Income!A1023</f>
        <v/>
      </c>
    </row>
    <row r="1057">
      <c r="A1057" s="4" t="inlineStr">
        <is>
          <t>Jun</t>
        </is>
      </c>
      <c r="B1057" s="6">
        <f>Expense!A1024</f>
        <v/>
      </c>
      <c r="C1057" s="4">
        <f>Income!A1024</f>
        <v/>
      </c>
    </row>
    <row r="1058">
      <c r="A1058" s="4" t="inlineStr">
        <is>
          <t>Jul</t>
        </is>
      </c>
      <c r="B1058" s="6">
        <f>Expense!A1025</f>
        <v/>
      </c>
      <c r="C1058" s="4">
        <f>Income!A1025</f>
        <v/>
      </c>
    </row>
    <row r="1059">
      <c r="A1059" s="4" t="inlineStr">
        <is>
          <t>Aug</t>
        </is>
      </c>
      <c r="B1059" s="6">
        <f>Expense!A1026</f>
        <v/>
      </c>
      <c r="C1059" s="4">
        <f>Income!A1026</f>
        <v/>
      </c>
    </row>
    <row r="1060">
      <c r="A1060" s="4" t="inlineStr">
        <is>
          <t>Sep</t>
        </is>
      </c>
      <c r="B1060" s="6">
        <f>Expense!A1027</f>
        <v/>
      </c>
      <c r="C1060" s="4">
        <f>Income!A1027</f>
        <v/>
      </c>
    </row>
    <row r="1061">
      <c r="A1061" s="4" t="inlineStr">
        <is>
          <t>Oct</t>
        </is>
      </c>
      <c r="B1061" s="6">
        <f>Expense!A1028</f>
        <v/>
      </c>
      <c r="C1061" s="4">
        <f>Income!A1028</f>
        <v/>
      </c>
    </row>
    <row r="1062">
      <c r="A1062" s="4" t="inlineStr">
        <is>
          <t>Nov</t>
        </is>
      </c>
      <c r="B1062" s="6">
        <f>Expense!A1029</f>
        <v/>
      </c>
      <c r="C1062" s="6">
        <f>Income!A1029</f>
        <v/>
      </c>
    </row>
    <row r="1063">
      <c r="A1063" s="4" t="inlineStr">
        <is>
          <t>Dec</t>
        </is>
      </c>
      <c r="B1063" s="6">
        <f>Expense!A1030</f>
        <v/>
      </c>
      <c r="C1063" s="4">
        <f>Income!A1030</f>
        <v/>
      </c>
    </row>
    <row r="1064">
      <c r="A1064" s="4" t="inlineStr">
        <is>
          <t>Jan</t>
        </is>
      </c>
      <c r="B1064" s="6">
        <f>Expense!A1031</f>
        <v/>
      </c>
      <c r="C1064" s="4">
        <f>Income!A1031</f>
        <v/>
      </c>
    </row>
    <row r="1065">
      <c r="A1065" s="4" t="inlineStr">
        <is>
          <t>Feb</t>
        </is>
      </c>
      <c r="B1065" s="6">
        <f>Expense!A1032</f>
        <v/>
      </c>
      <c r="C1065" s="4">
        <f>Income!A1032</f>
        <v/>
      </c>
    </row>
    <row r="1066">
      <c r="A1066" s="4" t="inlineStr">
        <is>
          <t>Mar</t>
        </is>
      </c>
      <c r="B1066" s="6">
        <f>Expense!A1033</f>
        <v/>
      </c>
      <c r="C1066" s="4">
        <f>Income!A1033</f>
        <v/>
      </c>
    </row>
    <row r="1067">
      <c r="B1067" s="6">
        <f>Expense!A1034</f>
        <v/>
      </c>
      <c r="C1067" s="4">
        <f>Income!A1034</f>
        <v/>
      </c>
    </row>
    <row r="1068">
      <c r="B1068" s="4">
        <f>Expense!A1035</f>
        <v/>
      </c>
      <c r="C1068" s="6">
        <f>Income!A1035</f>
        <v/>
      </c>
    </row>
    <row r="1069">
      <c r="B1069" s="4">
        <f>Expense!A1036</f>
        <v/>
      </c>
      <c r="C1069" s="4">
        <f>Income!A1036</f>
        <v/>
      </c>
    </row>
    <row r="1070">
      <c r="B1070" s="4">
        <f>Expense!A1037</f>
        <v/>
      </c>
      <c r="C1070" s="4">
        <f>Income!A1037</f>
        <v/>
      </c>
    </row>
    <row r="1071">
      <c r="B1071" s="4">
        <f>Expense!A1038</f>
        <v/>
      </c>
      <c r="C1071" s="4">
        <f>Income!A1038</f>
        <v/>
      </c>
    </row>
    <row r="1072">
      <c r="A1072" s="4" t="inlineStr">
        <is>
          <t>Apr</t>
        </is>
      </c>
      <c r="B1072" s="6">
        <f>Expense!A1039</f>
        <v/>
      </c>
      <c r="C1072" s="4">
        <f>Income!A1039</f>
        <v/>
      </c>
    </row>
    <row r="1073">
      <c r="A1073" s="4" t="inlineStr">
        <is>
          <t>May</t>
        </is>
      </c>
      <c r="B1073" s="6">
        <f>Expense!A1040</f>
        <v/>
      </c>
      <c r="C1073" s="6">
        <f>Income!A1040</f>
        <v/>
      </c>
    </row>
    <row r="1074">
      <c r="A1074" s="4" t="inlineStr">
        <is>
          <t>Jun</t>
        </is>
      </c>
      <c r="B1074" s="6">
        <f>Expense!A1041</f>
        <v/>
      </c>
      <c r="C1074" s="6">
        <f>Income!A1041</f>
        <v/>
      </c>
    </row>
    <row r="1075">
      <c r="A1075" s="4" t="inlineStr">
        <is>
          <t>Jul</t>
        </is>
      </c>
      <c r="B1075" s="6">
        <f>Expense!A1042</f>
        <v/>
      </c>
      <c r="C1075" s="6">
        <f>Income!A1042</f>
        <v/>
      </c>
    </row>
    <row r="1076">
      <c r="A1076" s="4" t="inlineStr">
        <is>
          <t>Aug</t>
        </is>
      </c>
      <c r="B1076" s="6">
        <f>Expense!A1043</f>
        <v/>
      </c>
      <c r="C1076" s="6">
        <f>Income!A1043</f>
        <v/>
      </c>
    </row>
    <row r="1077">
      <c r="A1077" s="4" t="inlineStr">
        <is>
          <t>Sep</t>
        </is>
      </c>
      <c r="B1077" s="6">
        <f>Expense!A1044</f>
        <v/>
      </c>
      <c r="C1077" s="6">
        <f>Income!A1044</f>
        <v/>
      </c>
    </row>
    <row r="1078">
      <c r="A1078" s="4" t="inlineStr">
        <is>
          <t>Oct</t>
        </is>
      </c>
      <c r="B1078" s="6">
        <f>Expense!A1045</f>
        <v/>
      </c>
      <c r="C1078" s="6">
        <f>Income!A1045</f>
        <v/>
      </c>
    </row>
    <row r="1079">
      <c r="A1079" s="4" t="inlineStr">
        <is>
          <t>Nov</t>
        </is>
      </c>
      <c r="B1079" s="6">
        <f>Expense!A1046</f>
        <v/>
      </c>
      <c r="C1079" s="6">
        <f>Income!A1046</f>
        <v/>
      </c>
    </row>
    <row r="1080">
      <c r="A1080" s="4" t="inlineStr">
        <is>
          <t>Dec</t>
        </is>
      </c>
      <c r="B1080" s="6">
        <f>Expense!A1047</f>
        <v/>
      </c>
      <c r="C1080" s="6">
        <f>Income!A1047</f>
        <v/>
      </c>
    </row>
    <row r="1081">
      <c r="A1081" s="4" t="inlineStr">
        <is>
          <t>Jan</t>
        </is>
      </c>
      <c r="B1081" s="6">
        <f>Expense!A1048</f>
        <v/>
      </c>
      <c r="C1081" s="6">
        <f>Income!A1048</f>
        <v/>
      </c>
    </row>
    <row r="1082">
      <c r="A1082" s="4" t="inlineStr">
        <is>
          <t>Feb</t>
        </is>
      </c>
      <c r="B1082" s="6">
        <f>Expense!A1049</f>
        <v/>
      </c>
      <c r="C1082" s="6">
        <f>Income!A1049</f>
        <v/>
      </c>
    </row>
    <row r="1083">
      <c r="A1083" s="4" t="inlineStr">
        <is>
          <t>Mar</t>
        </is>
      </c>
      <c r="B1083" s="6">
        <f>Expense!A1050</f>
        <v/>
      </c>
      <c r="C1083" s="4">
        <f>Income!A1050</f>
        <v/>
      </c>
    </row>
    <row r="1084">
      <c r="B1084" s="6">
        <f>Expense!A1051</f>
        <v/>
      </c>
      <c r="C1084" s="4">
        <f>Income!A1051</f>
        <v/>
      </c>
    </row>
    <row r="1085">
      <c r="B1085" s="4">
        <f>Expense!A1052</f>
        <v/>
      </c>
      <c r="C1085" s="6">
        <f>Income!A1052</f>
        <v/>
      </c>
    </row>
    <row r="1086">
      <c r="B1086" s="4">
        <f>Expense!A1053</f>
        <v/>
      </c>
      <c r="C1086" s="4">
        <f>Income!A1053</f>
        <v/>
      </c>
    </row>
    <row r="1087">
      <c r="B1087" s="4">
        <f>Expense!A1054</f>
        <v/>
      </c>
      <c r="C1087" s="4">
        <f>Income!A1054</f>
        <v/>
      </c>
    </row>
    <row r="1088">
      <c r="B1088" s="4">
        <f>Expense!A1055</f>
        <v/>
      </c>
      <c r="C1088" s="4">
        <f>Income!A1055</f>
        <v/>
      </c>
    </row>
    <row r="1089">
      <c r="A1089" s="4" t="inlineStr">
        <is>
          <t>Apr</t>
        </is>
      </c>
      <c r="B1089" s="6">
        <f>Expense!A1056</f>
        <v/>
      </c>
      <c r="C1089" s="4">
        <f>Income!A1056</f>
        <v/>
      </c>
    </row>
    <row r="1090">
      <c r="A1090" s="4" t="inlineStr">
        <is>
          <t>May</t>
        </is>
      </c>
      <c r="B1090" s="6">
        <f>Expense!A1057</f>
        <v/>
      </c>
      <c r="C1090" s="6">
        <f>Income!A1057</f>
        <v/>
      </c>
    </row>
    <row r="1091">
      <c r="A1091" s="4" t="inlineStr">
        <is>
          <t>Jun</t>
        </is>
      </c>
      <c r="B1091" s="6">
        <f>Expense!A1058</f>
        <v/>
      </c>
      <c r="C1091" s="6">
        <f>Income!A1058</f>
        <v/>
      </c>
    </row>
    <row r="1092">
      <c r="A1092" s="4" t="inlineStr">
        <is>
          <t>Jul</t>
        </is>
      </c>
      <c r="B1092" s="6">
        <f>Expense!A1059</f>
        <v/>
      </c>
      <c r="C1092" s="6">
        <f>Income!A1059</f>
        <v/>
      </c>
    </row>
    <row r="1093">
      <c r="A1093" s="4" t="inlineStr">
        <is>
          <t>Aug</t>
        </is>
      </c>
      <c r="B1093" s="6">
        <f>Expense!A1060</f>
        <v/>
      </c>
      <c r="C1093" s="6">
        <f>Income!A1060</f>
        <v/>
      </c>
    </row>
    <row r="1094">
      <c r="A1094" s="4" t="inlineStr">
        <is>
          <t>Sep</t>
        </is>
      </c>
      <c r="B1094" s="6">
        <f>Expense!A1061</f>
        <v/>
      </c>
      <c r="C1094" s="6">
        <f>Income!A1061</f>
        <v/>
      </c>
    </row>
    <row r="1095">
      <c r="A1095" s="4" t="inlineStr">
        <is>
          <t>Oct</t>
        </is>
      </c>
      <c r="B1095" s="6">
        <f>Expense!A1062</f>
        <v/>
      </c>
      <c r="C1095" s="6">
        <f>Income!A1062</f>
        <v/>
      </c>
    </row>
    <row r="1096">
      <c r="A1096" s="4" t="inlineStr">
        <is>
          <t>Nov</t>
        </is>
      </c>
      <c r="B1096" s="6">
        <f>Expense!A1063</f>
        <v/>
      </c>
      <c r="C1096" s="6">
        <f>Income!A1063</f>
        <v/>
      </c>
    </row>
    <row r="1097">
      <c r="A1097" s="4" t="inlineStr">
        <is>
          <t>Dec</t>
        </is>
      </c>
      <c r="B1097" s="6">
        <f>Expense!A1064</f>
        <v/>
      </c>
      <c r="C1097" s="6">
        <f>Income!A1064</f>
        <v/>
      </c>
    </row>
    <row r="1098">
      <c r="A1098" s="4" t="inlineStr">
        <is>
          <t>Jan</t>
        </is>
      </c>
      <c r="B1098" s="6">
        <f>Expense!A1065</f>
        <v/>
      </c>
      <c r="C1098" s="6">
        <f>Income!A1065</f>
        <v/>
      </c>
    </row>
    <row r="1099">
      <c r="A1099" s="4" t="inlineStr">
        <is>
          <t>Feb</t>
        </is>
      </c>
      <c r="B1099" s="6">
        <f>Expense!A1066</f>
        <v/>
      </c>
      <c r="C1099" s="6">
        <f>Income!A1066</f>
        <v/>
      </c>
    </row>
    <row r="1100">
      <c r="A1100" s="4" t="inlineStr">
        <is>
          <t>Mar</t>
        </is>
      </c>
      <c r="B1100" s="6">
        <f>Expense!A1067</f>
        <v/>
      </c>
      <c r="C1100" s="4">
        <f>Income!A1067</f>
        <v/>
      </c>
    </row>
    <row r="1101">
      <c r="B1101" s="6">
        <f>Expense!A1068</f>
        <v/>
      </c>
      <c r="C1101" s="4">
        <f>Income!A1068</f>
        <v/>
      </c>
    </row>
    <row r="1102">
      <c r="B1102" s="4">
        <f>Expense!A1069</f>
        <v/>
      </c>
      <c r="C1102" s="6">
        <f>Income!A1069</f>
        <v/>
      </c>
    </row>
    <row r="1103">
      <c r="B1103" s="4">
        <f>Expense!A1070</f>
        <v/>
      </c>
      <c r="C1103" s="4">
        <f>Income!A1070</f>
        <v/>
      </c>
    </row>
    <row r="1104">
      <c r="B1104" s="4">
        <f>Expense!A1071</f>
        <v/>
      </c>
      <c r="C1104" s="4">
        <f>Income!A1071</f>
        <v/>
      </c>
    </row>
    <row r="1105">
      <c r="B1105" s="4">
        <f>Expense!A1072</f>
        <v/>
      </c>
      <c r="C1105" s="4">
        <f>Income!A1072</f>
        <v/>
      </c>
    </row>
    <row r="1106">
      <c r="A1106" s="4" t="inlineStr">
        <is>
          <t>Apr</t>
        </is>
      </c>
      <c r="B1106" s="6">
        <f>Expense!A1073</f>
        <v/>
      </c>
      <c r="C1106" s="4">
        <f>Income!A1073</f>
        <v/>
      </c>
    </row>
    <row r="1107">
      <c r="A1107" s="4" t="inlineStr">
        <is>
          <t>May</t>
        </is>
      </c>
      <c r="B1107" s="6">
        <f>Expense!A1074</f>
        <v/>
      </c>
      <c r="C1107" s="4">
        <f>Income!A1074</f>
        <v/>
      </c>
    </row>
    <row r="1108">
      <c r="A1108" s="4" t="inlineStr">
        <is>
          <t>Jun</t>
        </is>
      </c>
      <c r="B1108" s="6">
        <f>Expense!A1075</f>
        <v/>
      </c>
      <c r="C1108" s="4">
        <f>Income!A1075</f>
        <v/>
      </c>
    </row>
    <row r="1109">
      <c r="A1109" s="4" t="inlineStr">
        <is>
          <t>Jul</t>
        </is>
      </c>
      <c r="B1109" s="6">
        <f>Expense!A1076</f>
        <v/>
      </c>
      <c r="C1109" s="4">
        <f>Income!A1076</f>
        <v/>
      </c>
    </row>
    <row r="1110">
      <c r="A1110" s="4" t="inlineStr">
        <is>
          <t>Aug</t>
        </is>
      </c>
      <c r="B1110" s="6">
        <f>Expense!A1077</f>
        <v/>
      </c>
      <c r="C1110" s="4">
        <f>Income!A1077</f>
        <v/>
      </c>
    </row>
    <row r="1111">
      <c r="A1111" s="4" t="inlineStr">
        <is>
          <t>Sep</t>
        </is>
      </c>
      <c r="B1111" s="6">
        <f>Expense!A1078</f>
        <v/>
      </c>
      <c r="C1111" s="4">
        <f>Income!A1078</f>
        <v/>
      </c>
    </row>
    <row r="1112">
      <c r="A1112" s="4" t="inlineStr">
        <is>
          <t>Oct</t>
        </is>
      </c>
      <c r="B1112" s="6">
        <f>Expense!A1079</f>
        <v/>
      </c>
      <c r="C1112" s="6">
        <f>Income!A1079</f>
        <v/>
      </c>
    </row>
    <row r="1113">
      <c r="A1113" s="4" t="inlineStr">
        <is>
          <t>Nov</t>
        </is>
      </c>
      <c r="B1113" s="6">
        <f>Expense!A1080</f>
        <v/>
      </c>
      <c r="C1113" s="6">
        <f>Income!A1080</f>
        <v/>
      </c>
    </row>
    <row r="1114">
      <c r="A1114" s="4" t="inlineStr">
        <is>
          <t>Dec</t>
        </is>
      </c>
      <c r="B1114" s="6">
        <f>Expense!A1081</f>
        <v/>
      </c>
      <c r="C1114" s="4">
        <f>Income!A1081</f>
        <v/>
      </c>
    </row>
    <row r="1115">
      <c r="A1115" s="4" t="inlineStr">
        <is>
          <t>Jan</t>
        </is>
      </c>
      <c r="B1115" s="6">
        <f>Expense!A1082</f>
        <v/>
      </c>
      <c r="C1115" s="4">
        <f>Income!A1082</f>
        <v/>
      </c>
    </row>
    <row r="1116">
      <c r="A1116" s="4" t="inlineStr">
        <is>
          <t>Feb</t>
        </is>
      </c>
      <c r="B1116" s="6">
        <f>Expense!A1083</f>
        <v/>
      </c>
      <c r="C1116" s="4">
        <f>Income!A1083</f>
        <v/>
      </c>
    </row>
    <row r="1117">
      <c r="A1117" s="4" t="inlineStr">
        <is>
          <t>Mar</t>
        </is>
      </c>
      <c r="B1117" s="6">
        <f>Expense!A1084</f>
        <v/>
      </c>
      <c r="C1117" s="4">
        <f>Income!A1084</f>
        <v/>
      </c>
    </row>
    <row r="1118">
      <c r="B1118" s="6">
        <f>Expense!A1085</f>
        <v/>
      </c>
      <c r="C1118" s="4">
        <f>Income!A1085</f>
        <v/>
      </c>
    </row>
    <row r="1119">
      <c r="C1119" s="6">
        <f>Income!A1086</f>
        <v/>
      </c>
    </row>
  </sheetData>
  <conditionalFormatting sqref="C32:C1119">
    <cfRule type="cellIs" priority="1" operator="lessThan" dxfId="3">
      <formula>0</formula>
    </cfRule>
  </conditionalFormatting>
  <hyperlinks>
    <hyperlink ref="A1" location="'Flatwise Income Expense'!B34" display="F1"/>
    <hyperlink ref="B1" location="'Flatwise Income Expense'!A306" display="G1"/>
    <hyperlink ref="C1" location="'Flatwise Income Expense'!A578" display="S1"/>
    <hyperlink ref="D1" location="'Flatwise Income Expense'!A850" display="T1"/>
    <hyperlink ref="A3" location="'Flatwise Income Expense'!B51" display="F2"/>
    <hyperlink ref="B3" location="'Flatwise Income Expense'!A323" display="G2"/>
    <hyperlink ref="C3" location="'Flatwise Income Expense'!A595" display="S2"/>
    <hyperlink ref="D3" location="'Flatwise Income Expense'!A867" display="T2"/>
    <hyperlink ref="A5" location="'Flatwise Income Expense'!B68" display="F3"/>
    <hyperlink ref="B5" location="'Flatwise Income Expense'!A340" display="G3"/>
    <hyperlink ref="C5" location="'Flatwise Income Expense'!A612" display="S3"/>
    <hyperlink ref="D5" location="'Flatwise Income Expense'!A884" display="T3"/>
    <hyperlink ref="A7" location="'Flatwise Income Expense'!B85" display="F4"/>
    <hyperlink ref="B7" location="'Flatwise Income Expense'!A357" display="G4"/>
    <hyperlink ref="C7" location="'Flatwise Income Expense'!A629" display="S4"/>
    <hyperlink ref="D7" location="'Flatwise Income Expense'!A901" display="T4"/>
    <hyperlink ref="A9" location="'Flatwise Income Expense'!A102" display="F5"/>
    <hyperlink ref="B9" location="'Flatwise Income Expense'!A374" display="G5"/>
    <hyperlink ref="C9" location="'Flatwise Income Expense'!A646" display="S5"/>
    <hyperlink ref="D9" location="'Flatwise Income Expense'!A918" display="T5"/>
    <hyperlink ref="A11" location="'Flatwise Income Expense'!A119" display="F6"/>
    <hyperlink ref="B11" location="'Flatwise Income Expense'!A391" display="G6"/>
    <hyperlink ref="C11" location="'Flatwise Income Expense'!A663" display="S6"/>
    <hyperlink ref="D11" location="'Flatwise Income Expense'!A935" display="T6"/>
    <hyperlink ref="A13" location="'Flatwise Income Expense'!A136" display="F7"/>
    <hyperlink ref="B13" location="'Flatwise Income Expense'!A408" display="G7"/>
    <hyperlink ref="C13" location="'Flatwise Income Expense'!A680" display="S7"/>
    <hyperlink ref="D13" location="'Flatwise Income Expense'!A952" display="T7"/>
    <hyperlink ref="A15" location="'Flatwise Income Expense'!A153" display="F8"/>
    <hyperlink ref="B15" location="'Flatwise Income Expense'!A425" display="G8"/>
    <hyperlink ref="C15" location="'Flatwise Income Expense'!A697" display="S8"/>
    <hyperlink ref="D15" location="'Flatwise Income Expense'!A969" display="T8"/>
    <hyperlink ref="A17" location="'Flatwise Income Expense'!A170" display="F9"/>
    <hyperlink ref="B17" location="'Flatwise Income Expense'!A442" display="G9"/>
    <hyperlink ref="C17" location="'Flatwise Income Expense'!A714" display="S9"/>
    <hyperlink ref="D17" location="'Flatwise Income Expense'!A986" display="T9"/>
    <hyperlink ref="A19" location="'Flatwise Income Expense'!A187" display="F10"/>
    <hyperlink ref="B19" location="'Flatwise Income Expense'!A459" display="G10"/>
    <hyperlink ref="C19" location="'Flatwise Income Expense'!A731" display="S10"/>
    <hyperlink ref="D19" location="'Flatwise Income Expense'!A1003" display="T10"/>
    <hyperlink ref="A21" location="'Flatwise Income Expense'!A204" display="F11"/>
    <hyperlink ref="B21" location="'Flatwise Income Expense'!A476" display="G11"/>
    <hyperlink ref="C21" location="'Flatwise Income Expense'!A748" display="S11"/>
    <hyperlink ref="D21" location="'Flatwise Income Expense'!A1020" display="T11"/>
    <hyperlink ref="A23" location="'Flatwise Income Expense'!A221" display="F12"/>
    <hyperlink ref="B23" location="'Flatwise Income Expense'!A493" display="G12"/>
    <hyperlink ref="C23" location="'Flatwise Income Expense'!A765" display="S12"/>
    <hyperlink ref="D23" location="'Flatwise Income Expense'!A1037" display="T12"/>
    <hyperlink ref="A25" location="'Flatwise Income Expense'!A238" display="F13"/>
    <hyperlink ref="B25" location="'Flatwise Income Expense'!A510" display="G13"/>
    <hyperlink ref="C25" location="'Flatwise Income Expense'!A782" display="S13"/>
    <hyperlink ref="D25" location="'Flatwise Income Expense'!A1054" display="T13"/>
    <hyperlink ref="A27" location="'Flatwise Income Expense'!A255" display="F14"/>
    <hyperlink ref="B27" location="'Flatwise Income Expense'!A527" display="G14"/>
    <hyperlink ref="C27" location="'Flatwise Income Expense'!A799" display="S14"/>
    <hyperlink ref="D27" location="'Flatwise Income Expense'!A1071" display="T14"/>
    <hyperlink ref="A29" location="'Flatwise Income Expense'!A272" display="F15"/>
    <hyperlink ref="B29" location="'Flatwise Income Expense'!A544" display="G15"/>
    <hyperlink ref="C29" location="'Flatwise Income Expense'!A816" display="S15"/>
    <hyperlink ref="D29" location="'Flatwise Income Expense'!A1088" display="T15"/>
    <hyperlink ref="A31" location="'Flatwise Income Expense'!A289" display="F16"/>
    <hyperlink ref="B31" location="'Flatwise Income Expense'!A561" display="G16"/>
    <hyperlink ref="C31" location="'Flatwise Income Expense'!A833" display="S16"/>
    <hyperlink ref="D31" location="'Flatwise Income Expense'!A1105" display="T16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4.xml><?xml version="1.0" encoding="utf-8"?>
<worksheet xmlns="http://schemas.openxmlformats.org/spreadsheetml/2006/main">
  <sheetPr>
    <outlinePr summaryBelow="0" summaryRight="0"/>
    <pageSetUpPr/>
  </sheetPr>
  <dimension ref="A1:O1585"/>
  <sheetViews>
    <sheetView workbookViewId="0">
      <selection activeCell="A1" sqref="A1"/>
    </sheetView>
  </sheetViews>
  <sheetFormatPr baseColWidth="8" defaultColWidth="14.42578125" defaultRowHeight="15" customHeight="1"/>
  <sheetData>
    <row r="1">
      <c r="A1" s="100">
        <f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F1")</f>
        <v/>
      </c>
      <c r="B1" s="100" t="inlineStr">
        <is>
          <t>F1</t>
        </is>
      </c>
      <c r="C1" s="39">
        <f>'Apr2026-EXPENSE'!R6</f>
        <v/>
      </c>
      <c r="D1" s="39">
        <f>'May2026-EXPENSE'!R6</f>
        <v/>
      </c>
      <c r="E1" s="39">
        <f>'June2026-EXPENSE'!R6</f>
        <v/>
      </c>
      <c r="F1" s="39">
        <f>'July2026-EXPENSE'!R6</f>
        <v/>
      </c>
      <c r="G1" s="39">
        <f>'Aug2026-EXPENSE'!R6</f>
        <v/>
      </c>
      <c r="H1" s="39">
        <f>'Sep2026-EXPENSE'!R6</f>
        <v/>
      </c>
      <c r="I1" s="39">
        <f>'Oct2026-EXPENSE'!R6</f>
        <v/>
      </c>
      <c r="J1" s="39">
        <f>'Nov2026-EXPENSE'!R6</f>
        <v/>
      </c>
      <c r="K1" s="39">
        <f>'Dec2026-EXPENSE'!R6</f>
        <v/>
      </c>
      <c r="L1" s="39">
        <f>'Jan2027-EXPENSE'!R6</f>
        <v/>
      </c>
      <c r="M1" s="39">
        <f>'Feb2027-EXPENSE'!R6</f>
        <v/>
      </c>
      <c r="N1" s="39">
        <f>'Mar2027-EXPENSE'!R6</f>
        <v/>
      </c>
      <c r="O1" s="39">
        <f>SUM(C1:N1)</f>
        <v/>
      </c>
    </row>
    <row r="2">
      <c r="A2" s="42">
        <f>IFERROR(__xludf.DUMMYFUNCTION("""COMPUTED_VALUE"""),5554.83178051903)</f>
        <v/>
      </c>
      <c r="B2" s="36" t="inlineStr">
        <is>
          <t>F2</t>
        </is>
      </c>
      <c r="C2" s="43">
        <f>'Apr2026-EXPENSE'!R7</f>
        <v/>
      </c>
      <c r="D2" s="43">
        <f>'May2026-EXPENSE'!R7</f>
        <v/>
      </c>
      <c r="E2" s="43">
        <f>'June2026-EXPENSE'!R7</f>
        <v/>
      </c>
      <c r="F2" s="43">
        <f>'July2026-EXPENSE'!R7</f>
        <v/>
      </c>
      <c r="G2" s="43">
        <f>'Aug2026-EXPENSE'!R7</f>
        <v/>
      </c>
      <c r="H2" s="43">
        <f>'Sep2026-EXPENSE'!R7</f>
        <v/>
      </c>
      <c r="I2" s="43">
        <f>'Oct2026-EXPENSE'!R7</f>
        <v/>
      </c>
      <c r="J2" s="43">
        <f>'Nov2026-EXPENSE'!R7</f>
        <v/>
      </c>
      <c r="K2" s="43">
        <f>'Dec2026-EXPENSE'!R7</f>
        <v/>
      </c>
      <c r="L2" s="43">
        <f>'Jan2027-EXPENSE'!R7</f>
        <v/>
      </c>
      <c r="M2" s="43">
        <f>'Feb2027-EXPENSE'!R7</f>
        <v/>
      </c>
      <c r="N2" s="43">
        <f>'Mar2027-EXPENSE'!R7</f>
        <v/>
      </c>
      <c r="O2" s="43">
        <f>SUM(C2:N2)</f>
        <v/>
      </c>
    </row>
    <row r="3">
      <c r="A3" s="40">
        <f>IFERROR(__xludf.DUMMYFUNCTION("""COMPUTED_VALUE"""),4390.75983424942)</f>
        <v/>
      </c>
      <c r="B3" s="37" t="inlineStr">
        <is>
          <t>F3</t>
        </is>
      </c>
      <c r="C3" s="41">
        <f>'Apr2026-EXPENSE'!R8</f>
        <v/>
      </c>
      <c r="D3" s="41">
        <f>'May2026-EXPENSE'!R8</f>
        <v/>
      </c>
      <c r="E3" s="41">
        <f>'June2026-EXPENSE'!R8</f>
        <v/>
      </c>
      <c r="F3" s="41">
        <f>'July2026-EXPENSE'!R8</f>
        <v/>
      </c>
      <c r="G3" s="41">
        <f>'Aug2026-EXPENSE'!R8</f>
        <v/>
      </c>
      <c r="H3" s="41">
        <f>'Sep2026-EXPENSE'!R8</f>
        <v/>
      </c>
      <c r="I3" s="41">
        <f>'Oct2026-EXPENSE'!R8</f>
        <v/>
      </c>
      <c r="J3" s="41">
        <f>'Nov2026-EXPENSE'!R8</f>
        <v/>
      </c>
      <c r="K3" s="41">
        <f>'Dec2026-EXPENSE'!R8</f>
        <v/>
      </c>
      <c r="L3" s="41">
        <f>'Jan2027-EXPENSE'!R8</f>
        <v/>
      </c>
      <c r="M3" s="41">
        <f>'Feb2027-EXPENSE'!R8</f>
        <v/>
      </c>
      <c r="N3" s="41">
        <f>'Mar2027-EXPENSE'!R8</f>
        <v/>
      </c>
      <c r="O3" s="41">
        <f>SUM(C3:N3)</f>
        <v/>
      </c>
    </row>
    <row r="4">
      <c r="A4" s="42">
        <f>IFERROR(__xludf.DUMMYFUNCTION("""COMPUTED_VALUE"""),4546.3443403691)</f>
        <v/>
      </c>
      <c r="B4" s="36" t="inlineStr">
        <is>
          <t>F4</t>
        </is>
      </c>
      <c r="C4" s="43">
        <f>'Apr2026-EXPENSE'!R9</f>
        <v/>
      </c>
      <c r="D4" s="43">
        <f>'May2026-EXPENSE'!R9</f>
        <v/>
      </c>
      <c r="E4" s="43">
        <f>'June2026-EXPENSE'!R9</f>
        <v/>
      </c>
      <c r="F4" s="43">
        <f>'July2026-EXPENSE'!R9</f>
        <v/>
      </c>
      <c r="G4" s="43">
        <f>'Aug2026-EXPENSE'!R9</f>
        <v/>
      </c>
      <c r="H4" s="43">
        <f>'Sep2026-EXPENSE'!R9</f>
        <v/>
      </c>
      <c r="I4" s="43">
        <f>'Oct2026-EXPENSE'!R9</f>
        <v/>
      </c>
      <c r="J4" s="43">
        <f>'Nov2026-EXPENSE'!R9</f>
        <v/>
      </c>
      <c r="K4" s="43">
        <f>'Dec2026-EXPENSE'!R9</f>
        <v/>
      </c>
      <c r="L4" s="43">
        <f>'Jan2027-EXPENSE'!R9</f>
        <v/>
      </c>
      <c r="M4" s="43">
        <f>'Feb2027-EXPENSE'!R9</f>
        <v/>
      </c>
      <c r="N4" s="43">
        <f>'Mar2027-EXPENSE'!R9</f>
        <v/>
      </c>
      <c r="O4" s="43">
        <f>SUM(C4:N4)</f>
        <v/>
      </c>
    </row>
    <row r="5">
      <c r="A5" s="40">
        <f>IFERROR(__xludf.DUMMYFUNCTION("""COMPUTED_VALUE"""),5496.71492292777)</f>
        <v/>
      </c>
      <c r="B5" s="37" t="inlineStr">
        <is>
          <t>F5</t>
        </is>
      </c>
      <c r="C5" s="41">
        <f>'Apr2026-EXPENSE'!R10</f>
        <v/>
      </c>
      <c r="D5" s="41">
        <f>'May2026-EXPENSE'!R10</f>
        <v/>
      </c>
      <c r="E5" s="41">
        <f>'June2026-EXPENSE'!R10</f>
        <v/>
      </c>
      <c r="F5" s="41">
        <f>'July2026-EXPENSE'!R10</f>
        <v/>
      </c>
      <c r="G5" s="41">
        <f>'Aug2026-EXPENSE'!R10</f>
        <v/>
      </c>
      <c r="H5" s="41">
        <f>'Sep2026-EXPENSE'!R10</f>
        <v/>
      </c>
      <c r="I5" s="41">
        <f>'Oct2026-EXPENSE'!R10</f>
        <v/>
      </c>
      <c r="J5" s="41">
        <f>'Nov2026-EXPENSE'!R10</f>
        <v/>
      </c>
      <c r="K5" s="41">
        <f>'Dec2026-EXPENSE'!R10</f>
        <v/>
      </c>
      <c r="L5" s="41">
        <f>'Jan2027-EXPENSE'!R10</f>
        <v/>
      </c>
      <c r="M5" s="41">
        <f>'Feb2027-EXPENSE'!R10</f>
        <v/>
      </c>
      <c r="N5" s="41">
        <f>'Mar2027-EXPENSE'!R10</f>
        <v/>
      </c>
      <c r="O5" s="41">
        <f>SUM(C5:N5)</f>
        <v/>
      </c>
    </row>
    <row r="6">
      <c r="A6" s="42">
        <f>IFERROR(__xludf.DUMMYFUNCTION("""COMPUTED_VALUE"""),5912.55850205883)</f>
        <v/>
      </c>
      <c r="B6" s="36" t="inlineStr">
        <is>
          <t>F6</t>
        </is>
      </c>
      <c r="C6" s="43">
        <f>'Apr2026-EXPENSE'!R11</f>
        <v/>
      </c>
      <c r="D6" s="43">
        <f>'May2026-EXPENSE'!R11</f>
        <v/>
      </c>
      <c r="E6" s="43">
        <f>'June2026-EXPENSE'!R11</f>
        <v/>
      </c>
      <c r="F6" s="43">
        <f>'July2026-EXPENSE'!R11</f>
        <v/>
      </c>
      <c r="G6" s="43">
        <f>'Aug2026-EXPENSE'!R11</f>
        <v/>
      </c>
      <c r="H6" s="43">
        <f>'Sep2026-EXPENSE'!R11</f>
        <v/>
      </c>
      <c r="I6" s="43">
        <f>'Oct2026-EXPENSE'!R11</f>
        <v/>
      </c>
      <c r="J6" s="43">
        <f>'Nov2026-EXPENSE'!R11</f>
        <v/>
      </c>
      <c r="K6" s="43">
        <f>'Dec2026-EXPENSE'!R11</f>
        <v/>
      </c>
      <c r="L6" s="43">
        <f>'Jan2027-EXPENSE'!R11</f>
        <v/>
      </c>
      <c r="M6" s="43">
        <f>'Feb2027-EXPENSE'!R11</f>
        <v/>
      </c>
      <c r="N6" s="43">
        <f>'Mar2027-EXPENSE'!R11</f>
        <v/>
      </c>
      <c r="O6" s="43">
        <f>SUM(C6:N6)</f>
        <v/>
      </c>
    </row>
    <row r="7">
      <c r="A7" s="40">
        <f>IFERROR(__xludf.DUMMYFUNCTION("""COMPUTED_VALUE"""),4939.93836863847)</f>
        <v/>
      </c>
      <c r="B7" s="37" t="inlineStr">
        <is>
          <t>F7</t>
        </is>
      </c>
      <c r="C7" s="41">
        <f>'Apr2026-EXPENSE'!R12</f>
        <v/>
      </c>
      <c r="D7" s="41">
        <f>'May2026-EXPENSE'!R12</f>
        <v/>
      </c>
      <c r="E7" s="41">
        <f>'June2026-EXPENSE'!R12</f>
        <v/>
      </c>
      <c r="F7" s="41">
        <f>'July2026-EXPENSE'!R12</f>
        <v/>
      </c>
      <c r="G7" s="41">
        <f>'Aug2026-EXPENSE'!R12</f>
        <v/>
      </c>
      <c r="H7" s="41">
        <f>'Sep2026-EXPENSE'!R12</f>
        <v/>
      </c>
      <c r="I7" s="41">
        <f>'Oct2026-EXPENSE'!R12</f>
        <v/>
      </c>
      <c r="J7" s="41">
        <f>'Nov2026-EXPENSE'!R12</f>
        <v/>
      </c>
      <c r="K7" s="41">
        <f>'Dec2026-EXPENSE'!R12</f>
        <v/>
      </c>
      <c r="L7" s="41">
        <f>'Jan2027-EXPENSE'!R12</f>
        <v/>
      </c>
      <c r="M7" s="41">
        <f>'Feb2027-EXPENSE'!R12</f>
        <v/>
      </c>
      <c r="N7" s="41">
        <f>'Mar2027-EXPENSE'!R12</f>
        <v/>
      </c>
      <c r="O7" s="41">
        <f>SUM(C7:N7)</f>
        <v/>
      </c>
    </row>
    <row r="8">
      <c r="A8" s="42">
        <f>IFERROR(__xludf.DUMMYFUNCTION("""COMPUTED_VALUE"""),6395.80220973273)</f>
        <v/>
      </c>
      <c r="B8" s="36" t="inlineStr">
        <is>
          <t>F8</t>
        </is>
      </c>
      <c r="C8" s="43">
        <f>'Apr2026-EXPENSE'!R13</f>
        <v/>
      </c>
      <c r="D8" s="43">
        <f>'May2026-EXPENSE'!R13</f>
        <v/>
      </c>
      <c r="E8" s="43">
        <f>'June2026-EXPENSE'!R13</f>
        <v/>
      </c>
      <c r="F8" s="43">
        <f>'July2026-EXPENSE'!R13</f>
        <v/>
      </c>
      <c r="G8" s="43">
        <f>'Aug2026-EXPENSE'!R13</f>
        <v/>
      </c>
      <c r="H8" s="43">
        <f>'Sep2026-EXPENSE'!R13</f>
        <v/>
      </c>
      <c r="I8" s="43">
        <f>'Oct2026-EXPENSE'!R13</f>
        <v/>
      </c>
      <c r="J8" s="43">
        <f>'Nov2026-EXPENSE'!R13</f>
        <v/>
      </c>
      <c r="K8" s="43">
        <f>'Dec2026-EXPENSE'!R13</f>
        <v/>
      </c>
      <c r="L8" s="43">
        <f>'Jan2027-EXPENSE'!R13</f>
        <v/>
      </c>
      <c r="M8" s="43">
        <f>'Feb2027-EXPENSE'!R13</f>
        <v/>
      </c>
      <c r="N8" s="43">
        <f>'Mar2027-EXPENSE'!R13</f>
        <v/>
      </c>
      <c r="O8" s="43">
        <f>SUM(C8:N8)</f>
        <v/>
      </c>
    </row>
    <row r="9">
      <c r="A9" s="40">
        <f>IFERROR(__xludf.DUMMYFUNCTION("""COMPUTED_VALUE"""),6623.29395653294)</f>
        <v/>
      </c>
      <c r="B9" s="37" t="inlineStr">
        <is>
          <t>F9</t>
        </is>
      </c>
      <c r="C9" s="41">
        <f>'Apr2026-EXPENSE'!R14</f>
        <v/>
      </c>
      <c r="D9" s="41">
        <f>'May2026-EXPENSE'!R14</f>
        <v/>
      </c>
      <c r="E9" s="41">
        <f>'June2026-EXPENSE'!R14</f>
        <v/>
      </c>
      <c r="F9" s="41">
        <f>'July2026-EXPENSE'!R14</f>
        <v/>
      </c>
      <c r="G9" s="41">
        <f>'Aug2026-EXPENSE'!R14</f>
        <v/>
      </c>
      <c r="H9" s="41">
        <f>'Sep2026-EXPENSE'!R14</f>
        <v/>
      </c>
      <c r="I9" s="41">
        <f>'Oct2026-EXPENSE'!R14</f>
        <v/>
      </c>
      <c r="J9" s="41">
        <f>'Nov2026-EXPENSE'!R14</f>
        <v/>
      </c>
      <c r="K9" s="41">
        <f>'Dec2026-EXPENSE'!R14</f>
        <v/>
      </c>
      <c r="L9" s="41">
        <f>'Jan2027-EXPENSE'!R14</f>
        <v/>
      </c>
      <c r="M9" s="41">
        <f>'Feb2027-EXPENSE'!R14</f>
        <v/>
      </c>
      <c r="N9" s="41">
        <f>'Mar2027-EXPENSE'!R14</f>
        <v/>
      </c>
      <c r="O9" s="41">
        <f>SUM(C9:N9)</f>
        <v/>
      </c>
    </row>
    <row r="10">
      <c r="A10" s="42">
        <f>IFERROR(__xludf.DUMMYFUNCTION("""COMPUTED_VALUE"""),5110.5418091419)</f>
        <v/>
      </c>
      <c r="B10" s="36" t="inlineStr">
        <is>
          <t>F10</t>
        </is>
      </c>
      <c r="C10" s="43">
        <f>'Apr2026-EXPENSE'!R15</f>
        <v/>
      </c>
      <c r="D10" s="43">
        <f>'May2026-EXPENSE'!R15</f>
        <v/>
      </c>
      <c r="E10" s="43">
        <f>'June2026-EXPENSE'!R15</f>
        <v/>
      </c>
      <c r="F10" s="43">
        <f>'July2026-EXPENSE'!R15</f>
        <v/>
      </c>
      <c r="G10" s="43">
        <f>'Aug2026-EXPENSE'!R15</f>
        <v/>
      </c>
      <c r="H10" s="43">
        <f>'Sep2026-EXPENSE'!R15</f>
        <v/>
      </c>
      <c r="I10" s="43">
        <f>'Oct2026-EXPENSE'!R15</f>
        <v/>
      </c>
      <c r="J10" s="43">
        <f>'Nov2026-EXPENSE'!R15</f>
        <v/>
      </c>
      <c r="K10" s="43">
        <f>'Dec2026-EXPENSE'!R15</f>
        <v/>
      </c>
      <c r="L10" s="43">
        <f>'Jan2027-EXPENSE'!R15</f>
        <v/>
      </c>
      <c r="M10" s="43">
        <f>'Feb2027-EXPENSE'!R15</f>
        <v/>
      </c>
      <c r="N10" s="43">
        <f>'Mar2027-EXPENSE'!R15</f>
        <v/>
      </c>
      <c r="O10" s="43">
        <f>SUM(C10:N10)</f>
        <v/>
      </c>
    </row>
    <row r="11">
      <c r="A11" s="40">
        <f>IFERROR(__xludf.DUMMYFUNCTION("""COMPUTED_VALUE"""),5091.33980177815)</f>
        <v/>
      </c>
      <c r="B11" s="37" t="inlineStr">
        <is>
          <t>F11</t>
        </is>
      </c>
      <c r="C11" s="41">
        <f>'Apr2026-EXPENSE'!R16</f>
        <v/>
      </c>
      <c r="D11" s="41">
        <f>'May2026-EXPENSE'!R16</f>
        <v/>
      </c>
      <c r="E11" s="41">
        <f>'June2026-EXPENSE'!R16</f>
        <v/>
      </c>
      <c r="F11" s="41">
        <f>'July2026-EXPENSE'!R16</f>
        <v/>
      </c>
      <c r="G11" s="41">
        <f>'Aug2026-EXPENSE'!R16</f>
        <v/>
      </c>
      <c r="H11" s="41">
        <f>'Sep2026-EXPENSE'!R16</f>
        <v/>
      </c>
      <c r="I11" s="41">
        <f>'Oct2026-EXPENSE'!R16</f>
        <v/>
      </c>
      <c r="J11" s="41">
        <f>'Nov2026-EXPENSE'!R16</f>
        <v/>
      </c>
      <c r="K11" s="41">
        <f>'Dec2026-EXPENSE'!R16</f>
        <v/>
      </c>
      <c r="L11" s="41">
        <f>'Jan2027-EXPENSE'!R16</f>
        <v/>
      </c>
      <c r="M11" s="41">
        <f>'Feb2027-EXPENSE'!R16</f>
        <v/>
      </c>
      <c r="N11" s="41">
        <f>'Mar2027-EXPENSE'!R16</f>
        <v/>
      </c>
      <c r="O11" s="41">
        <f>SUM(C11:N11)</f>
        <v/>
      </c>
    </row>
    <row r="12">
      <c r="A12" s="42">
        <f>IFERROR(__xludf.DUMMYFUNCTION("""COMPUTED_VALUE"""),4755.02974661684)</f>
        <v/>
      </c>
      <c r="B12" s="36" t="inlineStr">
        <is>
          <t>F12</t>
        </is>
      </c>
      <c r="C12" s="43">
        <f>'Apr2026-EXPENSE'!R17</f>
        <v/>
      </c>
      <c r="D12" s="43">
        <f>'May2026-EXPENSE'!R17</f>
        <v/>
      </c>
      <c r="E12" s="43">
        <f>'June2026-EXPENSE'!R17</f>
        <v/>
      </c>
      <c r="F12" s="43">
        <f>'July2026-EXPENSE'!R17</f>
        <v/>
      </c>
      <c r="G12" s="43">
        <f>'Aug2026-EXPENSE'!R17</f>
        <v/>
      </c>
      <c r="H12" s="43">
        <f>'Sep2026-EXPENSE'!R17</f>
        <v/>
      </c>
      <c r="I12" s="43">
        <f>'Oct2026-EXPENSE'!R17</f>
        <v/>
      </c>
      <c r="J12" s="43">
        <f>'Nov2026-EXPENSE'!R17</f>
        <v/>
      </c>
      <c r="K12" s="43">
        <f>'Dec2026-EXPENSE'!R17</f>
        <v/>
      </c>
      <c r="L12" s="43">
        <f>'Jan2027-EXPENSE'!R17</f>
        <v/>
      </c>
      <c r="M12" s="43">
        <f>'Feb2027-EXPENSE'!R17</f>
        <v/>
      </c>
      <c r="N12" s="43">
        <f>'Mar2027-EXPENSE'!R17</f>
        <v/>
      </c>
      <c r="O12" s="43">
        <f>SUM(C12:N12)</f>
        <v/>
      </c>
    </row>
    <row r="13">
      <c r="A13" s="40">
        <f>IFERROR(__xludf.DUMMYFUNCTION("""COMPUTED_VALUE"""),4967.55096484189)</f>
        <v/>
      </c>
      <c r="B13" s="37" t="inlineStr">
        <is>
          <t>F13</t>
        </is>
      </c>
      <c r="C13" s="41">
        <f>'Apr2026-EXPENSE'!R18</f>
        <v/>
      </c>
      <c r="D13" s="41">
        <f>'May2026-EXPENSE'!R18</f>
        <v/>
      </c>
      <c r="E13" s="41">
        <f>'June2026-EXPENSE'!R18</f>
        <v/>
      </c>
      <c r="F13" s="41">
        <f>'July2026-EXPENSE'!R18</f>
        <v/>
      </c>
      <c r="G13" s="41">
        <f>'Aug2026-EXPENSE'!R18</f>
        <v/>
      </c>
      <c r="H13" s="41">
        <f>'Sep2026-EXPENSE'!R18</f>
        <v/>
      </c>
      <c r="I13" s="41">
        <f>'Oct2026-EXPENSE'!R18</f>
        <v/>
      </c>
      <c r="J13" s="41">
        <f>'Nov2026-EXPENSE'!R18</f>
        <v/>
      </c>
      <c r="K13" s="41">
        <f>'Dec2026-EXPENSE'!R18</f>
        <v/>
      </c>
      <c r="L13" s="41">
        <f>'Jan2027-EXPENSE'!R18</f>
        <v/>
      </c>
      <c r="M13" s="41">
        <f>'Feb2027-EXPENSE'!R18</f>
        <v/>
      </c>
      <c r="N13" s="41">
        <f>'Mar2027-EXPENSE'!R18</f>
        <v/>
      </c>
      <c r="O13" s="41">
        <f>SUM(C13:N13)</f>
        <v/>
      </c>
    </row>
    <row r="14">
      <c r="A14" s="42">
        <f>IFERROR(__xludf.DUMMYFUNCTION("""COMPUTED_VALUE"""),63784.7062374071)</f>
        <v/>
      </c>
      <c r="B14" s="36" t="inlineStr">
        <is>
          <t>F14</t>
        </is>
      </c>
      <c r="C14" s="43">
        <f>'Apr2026-EXPENSE'!R19</f>
        <v/>
      </c>
      <c r="D14" s="43">
        <f>'May2026-EXPENSE'!R19</f>
        <v/>
      </c>
      <c r="E14" s="43">
        <f>'June2026-EXPENSE'!R19</f>
        <v/>
      </c>
      <c r="F14" s="43">
        <f>'July2026-EXPENSE'!R19</f>
        <v/>
      </c>
      <c r="G14" s="43">
        <f>'Aug2026-EXPENSE'!R19</f>
        <v/>
      </c>
      <c r="H14" s="43">
        <f>'Sep2026-EXPENSE'!R19</f>
        <v/>
      </c>
      <c r="I14" s="43">
        <f>'Oct2026-EXPENSE'!R19</f>
        <v/>
      </c>
      <c r="J14" s="43">
        <f>'Nov2026-EXPENSE'!R19</f>
        <v/>
      </c>
      <c r="K14" s="43">
        <f>'Dec2026-EXPENSE'!R19</f>
        <v/>
      </c>
      <c r="L14" s="43">
        <f>'Jan2027-EXPENSE'!R19</f>
        <v/>
      </c>
      <c r="M14" s="43">
        <f>'Feb2027-EXPENSE'!R19</f>
        <v/>
      </c>
      <c r="N14" s="43">
        <f>'Mar2027-EXPENSE'!R19</f>
        <v/>
      </c>
      <c r="O14" s="43">
        <f>SUM(C14:N14)</f>
        <v/>
      </c>
    </row>
    <row r="15">
      <c r="A15" s="37" t="n"/>
      <c r="B15" s="37" t="inlineStr">
        <is>
          <t>F15</t>
        </is>
      </c>
      <c r="C15" s="41">
        <f>'Apr2026-EXPENSE'!R20</f>
        <v/>
      </c>
      <c r="D15" s="41">
        <f>'May2026-EXPENSE'!R20</f>
        <v/>
      </c>
      <c r="E15" s="41">
        <f>'June2026-EXPENSE'!R20</f>
        <v/>
      </c>
      <c r="F15" s="41">
        <f>'July2026-EXPENSE'!R20</f>
        <v/>
      </c>
      <c r="G15" s="41">
        <f>'Aug2026-EXPENSE'!R20</f>
        <v/>
      </c>
      <c r="H15" s="41">
        <f>'Sep2026-EXPENSE'!R20</f>
        <v/>
      </c>
      <c r="I15" s="41">
        <f>'Oct2026-EXPENSE'!R20</f>
        <v/>
      </c>
      <c r="J15" s="41">
        <f>'Nov2026-EXPENSE'!R20</f>
        <v/>
      </c>
      <c r="K15" s="41">
        <f>'Dec2026-EXPENSE'!R20</f>
        <v/>
      </c>
      <c r="L15" s="41">
        <f>'Jan2027-EXPENSE'!R20</f>
        <v/>
      </c>
      <c r="M15" s="41">
        <f>'Feb2027-EXPENSE'!R20</f>
        <v/>
      </c>
      <c r="N15" s="41">
        <f>'Mar2027-EXPENSE'!R20</f>
        <v/>
      </c>
      <c r="O15" s="41">
        <f>SUM(C15:N15)</f>
        <v/>
      </c>
    </row>
    <row r="16">
      <c r="A16" s="36" t="n"/>
      <c r="B16" s="36" t="inlineStr">
        <is>
          <t>F16</t>
        </is>
      </c>
      <c r="C16" s="43">
        <f>'Apr2026-EXPENSE'!R21</f>
        <v/>
      </c>
      <c r="D16" s="43">
        <f>'May2026-EXPENSE'!R21</f>
        <v/>
      </c>
      <c r="E16" s="43">
        <f>'June2026-EXPENSE'!R21</f>
        <v/>
      </c>
      <c r="F16" s="43">
        <f>'July2026-EXPENSE'!R21</f>
        <v/>
      </c>
      <c r="G16" s="43">
        <f>'Aug2026-EXPENSE'!R21</f>
        <v/>
      </c>
      <c r="H16" s="43">
        <f>'Sep2026-EXPENSE'!R21</f>
        <v/>
      </c>
      <c r="I16" s="43">
        <f>'Oct2026-EXPENSE'!R21</f>
        <v/>
      </c>
      <c r="J16" s="43">
        <f>'Nov2026-EXPENSE'!R21</f>
        <v/>
      </c>
      <c r="K16" s="43">
        <f>'Dec2026-EXPENSE'!R21</f>
        <v/>
      </c>
      <c r="L16" s="43">
        <f>'Jan2027-EXPENSE'!R21</f>
        <v/>
      </c>
      <c r="M16" s="43">
        <f>'Feb2027-EXPENSE'!R21</f>
        <v/>
      </c>
      <c r="N16" s="43">
        <f>'Mar2027-EXPENSE'!R21</f>
        <v/>
      </c>
      <c r="O16" s="43">
        <f>SUM(C16:N16)</f>
        <v/>
      </c>
    </row>
    <row r="17">
      <c r="A17" s="37" t="n"/>
      <c r="B17" s="37" t="inlineStr">
        <is>
          <t>G1</t>
        </is>
      </c>
      <c r="C17" s="41">
        <f>'Apr2026-EXPENSE'!R22</f>
        <v/>
      </c>
      <c r="D17" s="41">
        <f>'May2026-EXPENSE'!R22</f>
        <v/>
      </c>
      <c r="E17" s="41">
        <f>'June2026-EXPENSE'!R22</f>
        <v/>
      </c>
      <c r="F17" s="41">
        <f>'July2026-EXPENSE'!R22</f>
        <v/>
      </c>
      <c r="G17" s="41">
        <f>'Aug2026-EXPENSE'!R22</f>
        <v/>
      </c>
      <c r="H17" s="41">
        <f>'Sep2026-EXPENSE'!R22</f>
        <v/>
      </c>
      <c r="I17" s="41">
        <f>'Oct2026-EXPENSE'!R22</f>
        <v/>
      </c>
      <c r="J17" s="41">
        <f>'Nov2026-EXPENSE'!R22</f>
        <v/>
      </c>
      <c r="K17" s="41">
        <f>'Dec2026-EXPENSE'!R22</f>
        <v/>
      </c>
      <c r="L17" s="41">
        <f>'Jan2027-EXPENSE'!R22</f>
        <v/>
      </c>
      <c r="M17" s="41">
        <f>'Feb2027-EXPENSE'!R22</f>
        <v/>
      </c>
      <c r="N17" s="41">
        <f>'Mar2027-EXPENSE'!R22</f>
        <v/>
      </c>
      <c r="O17" s="41">
        <f>SUM(C17:N17)</f>
        <v/>
      </c>
    </row>
    <row r="18">
      <c r="A18" s="36">
        <f>IFERROR(__xludf.DUMMYFUNCTION("""COMPUTED_VALUE"""),"F2")</f>
        <v/>
      </c>
      <c r="B18" s="36" t="inlineStr">
        <is>
          <t>G2</t>
        </is>
      </c>
      <c r="C18" s="43">
        <f>'Apr2026-EXPENSE'!R23</f>
        <v/>
      </c>
      <c r="D18" s="43">
        <f>'May2026-EXPENSE'!R23</f>
        <v/>
      </c>
      <c r="E18" s="43">
        <f>'June2026-EXPENSE'!R23</f>
        <v/>
      </c>
      <c r="F18" s="43">
        <f>'July2026-EXPENSE'!R23</f>
        <v/>
      </c>
      <c r="G18" s="43">
        <f>'Aug2026-EXPENSE'!R23</f>
        <v/>
      </c>
      <c r="H18" s="43">
        <f>'Sep2026-EXPENSE'!R23</f>
        <v/>
      </c>
      <c r="I18" s="43">
        <f>'Oct2026-EXPENSE'!R23</f>
        <v/>
      </c>
      <c r="J18" s="43">
        <f>'Nov2026-EXPENSE'!R23</f>
        <v/>
      </c>
      <c r="K18" s="43">
        <f>'Dec2026-EXPENSE'!R23</f>
        <v/>
      </c>
      <c r="L18" s="43">
        <f>'Jan2027-EXPENSE'!R23</f>
        <v/>
      </c>
      <c r="M18" s="43">
        <f>'Feb2027-EXPENSE'!R23</f>
        <v/>
      </c>
      <c r="N18" s="43">
        <f>'Mar2027-EXPENSE'!R23</f>
        <v/>
      </c>
      <c r="O18" s="43">
        <f>SUM(C18:N18)</f>
        <v/>
      </c>
    </row>
    <row r="19">
      <c r="A19" s="40">
        <f>IFERROR(__xludf.DUMMYFUNCTION("""COMPUTED_VALUE"""),6880.66248777838)</f>
        <v/>
      </c>
      <c r="B19" s="37" t="inlineStr">
        <is>
          <t>G3</t>
        </is>
      </c>
      <c r="C19" s="41">
        <f>'Apr2026-EXPENSE'!R24</f>
        <v/>
      </c>
      <c r="D19" s="41">
        <f>'May2026-EXPENSE'!R24</f>
        <v/>
      </c>
      <c r="E19" s="41">
        <f>'June2026-EXPENSE'!R24</f>
        <v/>
      </c>
      <c r="F19" s="41">
        <f>'July2026-EXPENSE'!R24</f>
        <v/>
      </c>
      <c r="G19" s="41">
        <f>'Aug2026-EXPENSE'!R24</f>
        <v/>
      </c>
      <c r="H19" s="41">
        <f>'Sep2026-EXPENSE'!R24</f>
        <v/>
      </c>
      <c r="I19" s="41">
        <f>'Oct2026-EXPENSE'!R24</f>
        <v/>
      </c>
      <c r="J19" s="41">
        <f>'Nov2026-EXPENSE'!R24</f>
        <v/>
      </c>
      <c r="K19" s="41">
        <f>'Dec2026-EXPENSE'!R24</f>
        <v/>
      </c>
      <c r="L19" s="41">
        <f>'Jan2027-EXPENSE'!R24</f>
        <v/>
      </c>
      <c r="M19" s="41">
        <f>'Feb2027-EXPENSE'!R24</f>
        <v/>
      </c>
      <c r="N19" s="41">
        <f>'Mar2027-EXPENSE'!R24</f>
        <v/>
      </c>
      <c r="O19" s="41">
        <f>SUM(C19:N19)</f>
        <v/>
      </c>
    </row>
    <row r="20">
      <c r="A20" s="42">
        <f>IFERROR(__xludf.DUMMYFUNCTION("""COMPUTED_VALUE"""),5570.84846978718)</f>
        <v/>
      </c>
      <c r="B20" s="36" t="inlineStr">
        <is>
          <t>G4</t>
        </is>
      </c>
      <c r="C20" s="43">
        <f>'Apr2026-EXPENSE'!R25</f>
        <v/>
      </c>
      <c r="D20" s="43">
        <f>'May2026-EXPENSE'!R25</f>
        <v/>
      </c>
      <c r="E20" s="43">
        <f>'June2026-EXPENSE'!R25</f>
        <v/>
      </c>
      <c r="F20" s="43">
        <f>'July2026-EXPENSE'!R25</f>
        <v/>
      </c>
      <c r="G20" s="43">
        <f>'Aug2026-EXPENSE'!R25</f>
        <v/>
      </c>
      <c r="H20" s="43">
        <f>'Sep2026-EXPENSE'!R25</f>
        <v/>
      </c>
      <c r="I20" s="43">
        <f>'Oct2026-EXPENSE'!R25</f>
        <v/>
      </c>
      <c r="J20" s="43">
        <f>'Nov2026-EXPENSE'!R25</f>
        <v/>
      </c>
      <c r="K20" s="43">
        <f>'Dec2026-EXPENSE'!R25</f>
        <v/>
      </c>
      <c r="L20" s="43">
        <f>'Jan2027-EXPENSE'!R25</f>
        <v/>
      </c>
      <c r="M20" s="43">
        <f>'Feb2027-EXPENSE'!R25</f>
        <v/>
      </c>
      <c r="N20" s="43">
        <f>'Mar2027-EXPENSE'!R25</f>
        <v/>
      </c>
      <c r="O20" s="43">
        <f>SUM(C20:N20)</f>
        <v/>
      </c>
    </row>
    <row r="21">
      <c r="A21" s="40">
        <f>IFERROR(__xludf.DUMMYFUNCTION("""COMPUTED_VALUE"""),5614.10635731444)</f>
        <v/>
      </c>
      <c r="B21" s="37" t="inlineStr">
        <is>
          <t>G5</t>
        </is>
      </c>
      <c r="C21" s="41">
        <f>'Apr2026-EXPENSE'!R26</f>
        <v/>
      </c>
      <c r="D21" s="41">
        <f>'May2026-EXPENSE'!R26</f>
        <v/>
      </c>
      <c r="E21" s="41">
        <f>'June2026-EXPENSE'!R26</f>
        <v/>
      </c>
      <c r="F21" s="41">
        <f>'July2026-EXPENSE'!R26</f>
        <v/>
      </c>
      <c r="G21" s="41">
        <f>'Aug2026-EXPENSE'!R26</f>
        <v/>
      </c>
      <c r="H21" s="41">
        <f>'Sep2026-EXPENSE'!R26</f>
        <v/>
      </c>
      <c r="I21" s="41">
        <f>'Oct2026-EXPENSE'!R26</f>
        <v/>
      </c>
      <c r="J21" s="41">
        <f>'Nov2026-EXPENSE'!R26</f>
        <v/>
      </c>
      <c r="K21" s="41">
        <f>'Dec2026-EXPENSE'!R26</f>
        <v/>
      </c>
      <c r="L21" s="41">
        <f>'Jan2027-EXPENSE'!R26</f>
        <v/>
      </c>
      <c r="M21" s="41">
        <f>'Feb2027-EXPENSE'!R26</f>
        <v/>
      </c>
      <c r="N21" s="41">
        <f>'Mar2027-EXPENSE'!R26</f>
        <v/>
      </c>
      <c r="O21" s="41">
        <f>SUM(C21:N21)</f>
        <v/>
      </c>
    </row>
    <row r="22">
      <c r="A22" s="42">
        <f>IFERROR(__xludf.DUMMYFUNCTION("""COMPUTED_VALUE"""),6759.73257350367)</f>
        <v/>
      </c>
      <c r="B22" s="36" t="inlineStr">
        <is>
          <t>G6</t>
        </is>
      </c>
      <c r="C22" s="43">
        <f>'Apr2026-EXPENSE'!R27</f>
        <v/>
      </c>
      <c r="D22" s="43">
        <f>'May2026-EXPENSE'!R27</f>
        <v/>
      </c>
      <c r="E22" s="43">
        <f>'June2026-EXPENSE'!R27</f>
        <v/>
      </c>
      <c r="F22" s="43">
        <f>'July2026-EXPENSE'!R27</f>
        <v/>
      </c>
      <c r="G22" s="43">
        <f>'Aug2026-EXPENSE'!R27</f>
        <v/>
      </c>
      <c r="H22" s="43">
        <f>'Sep2026-EXPENSE'!R27</f>
        <v/>
      </c>
      <c r="I22" s="43">
        <f>'Oct2026-EXPENSE'!R27</f>
        <v/>
      </c>
      <c r="J22" s="43">
        <f>'Nov2026-EXPENSE'!R27</f>
        <v/>
      </c>
      <c r="K22" s="43">
        <f>'Dec2026-EXPENSE'!R27</f>
        <v/>
      </c>
      <c r="L22" s="43">
        <f>'Jan2027-EXPENSE'!R27</f>
        <v/>
      </c>
      <c r="M22" s="43">
        <f>'Feb2027-EXPENSE'!R27</f>
        <v/>
      </c>
      <c r="N22" s="43">
        <f>'Mar2027-EXPENSE'!R27</f>
        <v/>
      </c>
      <c r="O22" s="43">
        <f>SUM(C22:N22)</f>
        <v/>
      </c>
    </row>
    <row r="23">
      <c r="A23" s="40">
        <f>IFERROR(__xludf.DUMMYFUNCTION("""COMPUTED_VALUE"""),7197.26623489814)</f>
        <v/>
      </c>
      <c r="B23" s="37" t="inlineStr">
        <is>
          <t>G7</t>
        </is>
      </c>
      <c r="C23" s="41">
        <f>'Apr2026-EXPENSE'!R28</f>
        <v/>
      </c>
      <c r="D23" s="41">
        <f>'May2026-EXPENSE'!R28</f>
        <v/>
      </c>
      <c r="E23" s="41">
        <f>'June2026-EXPENSE'!R28</f>
        <v/>
      </c>
      <c r="F23" s="41">
        <f>'July2026-EXPENSE'!R28</f>
        <v/>
      </c>
      <c r="G23" s="41">
        <f>'Aug2026-EXPENSE'!R28</f>
        <v/>
      </c>
      <c r="H23" s="41">
        <f>'Sep2026-EXPENSE'!R28</f>
        <v/>
      </c>
      <c r="I23" s="41">
        <f>'Oct2026-EXPENSE'!R28</f>
        <v/>
      </c>
      <c r="J23" s="41">
        <f>'Nov2026-EXPENSE'!R28</f>
        <v/>
      </c>
      <c r="K23" s="41">
        <f>'Dec2026-EXPENSE'!R28</f>
        <v/>
      </c>
      <c r="L23" s="41">
        <f>'Jan2027-EXPENSE'!R28</f>
        <v/>
      </c>
      <c r="M23" s="41">
        <f>'Feb2027-EXPENSE'!R28</f>
        <v/>
      </c>
      <c r="N23" s="41">
        <f>'Mar2027-EXPENSE'!R28</f>
        <v/>
      </c>
      <c r="O23" s="41">
        <f>SUM(C23:N23)</f>
        <v/>
      </c>
    </row>
    <row r="24">
      <c r="A24" s="42">
        <f>IFERROR(__xludf.DUMMYFUNCTION("""COMPUTED_VALUE"""),5914.70054407884)</f>
        <v/>
      </c>
      <c r="B24" s="36" t="inlineStr">
        <is>
          <t>G8</t>
        </is>
      </c>
      <c r="C24" s="43">
        <f>'Apr2026-EXPENSE'!R29</f>
        <v/>
      </c>
      <c r="D24" s="43">
        <f>'May2026-EXPENSE'!R29</f>
        <v/>
      </c>
      <c r="E24" s="43">
        <f>'June2026-EXPENSE'!R29</f>
        <v/>
      </c>
      <c r="F24" s="43">
        <f>'July2026-EXPENSE'!R29</f>
        <v/>
      </c>
      <c r="G24" s="43">
        <f>'Aug2026-EXPENSE'!R29</f>
        <v/>
      </c>
      <c r="H24" s="43">
        <f>'Sep2026-EXPENSE'!R29</f>
        <v/>
      </c>
      <c r="I24" s="43">
        <f>'Oct2026-EXPENSE'!R29</f>
        <v/>
      </c>
      <c r="J24" s="43">
        <f>'Nov2026-EXPENSE'!R29</f>
        <v/>
      </c>
      <c r="K24" s="43">
        <f>'Dec2026-EXPENSE'!R29</f>
        <v/>
      </c>
      <c r="L24" s="43">
        <f>'Jan2027-EXPENSE'!R29</f>
        <v/>
      </c>
      <c r="M24" s="43">
        <f>'Feb2027-EXPENSE'!R29</f>
        <v/>
      </c>
      <c r="N24" s="43">
        <f>'Mar2027-EXPENSE'!R29</f>
        <v/>
      </c>
      <c r="O24" s="43">
        <f>SUM(C24:N24)</f>
        <v/>
      </c>
    </row>
    <row r="25">
      <c r="A25" s="40">
        <f>IFERROR(__xludf.DUMMYFUNCTION("""COMPUTED_VALUE"""),7049.74505947421)</f>
        <v/>
      </c>
      <c r="B25" s="37" t="inlineStr">
        <is>
          <t>G9</t>
        </is>
      </c>
      <c r="C25" s="41">
        <f>'Apr2026-EXPENSE'!R30</f>
        <v/>
      </c>
      <c r="D25" s="41">
        <f>'May2026-EXPENSE'!R30</f>
        <v/>
      </c>
      <c r="E25" s="41">
        <f>'June2026-EXPENSE'!R30</f>
        <v/>
      </c>
      <c r="F25" s="41">
        <f>'July2026-EXPENSE'!R30</f>
        <v/>
      </c>
      <c r="G25" s="41">
        <f>'Aug2026-EXPENSE'!R30</f>
        <v/>
      </c>
      <c r="H25" s="41">
        <f>'Sep2026-EXPENSE'!R30</f>
        <v/>
      </c>
      <c r="I25" s="41">
        <f>'Oct2026-EXPENSE'!R30</f>
        <v/>
      </c>
      <c r="J25" s="41">
        <f>'Nov2026-EXPENSE'!R30</f>
        <v/>
      </c>
      <c r="K25" s="41">
        <f>'Dec2026-EXPENSE'!R30</f>
        <v/>
      </c>
      <c r="L25" s="41">
        <f>'Jan2027-EXPENSE'!R30</f>
        <v/>
      </c>
      <c r="M25" s="41">
        <f>'Feb2027-EXPENSE'!R30</f>
        <v/>
      </c>
      <c r="N25" s="41">
        <f>'Mar2027-EXPENSE'!R30</f>
        <v/>
      </c>
      <c r="O25" s="41">
        <f>SUM(C25:N25)</f>
        <v/>
      </c>
    </row>
    <row r="26">
      <c r="A26" s="42">
        <f>IFERROR(__xludf.DUMMYFUNCTION("""COMPUTED_VALUE"""),7177.89786062803)</f>
        <v/>
      </c>
      <c r="B26" s="36" t="inlineStr">
        <is>
          <t>G10</t>
        </is>
      </c>
      <c r="C26" s="43">
        <f>'Apr2026-EXPENSE'!R31</f>
        <v/>
      </c>
      <c r="D26" s="43">
        <f>'May2026-EXPENSE'!R31</f>
        <v/>
      </c>
      <c r="E26" s="43">
        <f>'June2026-EXPENSE'!R31</f>
        <v/>
      </c>
      <c r="F26" s="43">
        <f>'July2026-EXPENSE'!R31</f>
        <v/>
      </c>
      <c r="G26" s="43">
        <f>'Aug2026-EXPENSE'!R31</f>
        <v/>
      </c>
      <c r="H26" s="43">
        <f>'Sep2026-EXPENSE'!R31</f>
        <v/>
      </c>
      <c r="I26" s="43">
        <f>'Oct2026-EXPENSE'!R31</f>
        <v/>
      </c>
      <c r="J26" s="43">
        <f>'Nov2026-EXPENSE'!R31</f>
        <v/>
      </c>
      <c r="K26" s="43">
        <f>'Dec2026-EXPENSE'!R31</f>
        <v/>
      </c>
      <c r="L26" s="43">
        <f>'Jan2027-EXPENSE'!R31</f>
        <v/>
      </c>
      <c r="M26" s="43">
        <f>'Feb2027-EXPENSE'!R31</f>
        <v/>
      </c>
      <c r="N26" s="43">
        <f>'Mar2027-EXPENSE'!R31</f>
        <v/>
      </c>
      <c r="O26" s="43">
        <f>SUM(C26:N26)</f>
        <v/>
      </c>
    </row>
    <row r="27">
      <c r="A27" s="40">
        <f>IFERROR(__xludf.DUMMYFUNCTION("""COMPUTED_VALUE"""),5885.35386036057)</f>
        <v/>
      </c>
      <c r="B27" s="37" t="inlineStr">
        <is>
          <t>G11</t>
        </is>
      </c>
      <c r="C27" s="41">
        <f>'Apr2026-EXPENSE'!R32</f>
        <v/>
      </c>
      <c r="D27" s="41">
        <f>'May2026-EXPENSE'!R32</f>
        <v/>
      </c>
      <c r="E27" s="41">
        <f>'June2026-EXPENSE'!R32</f>
        <v/>
      </c>
      <c r="F27" s="41">
        <f>'July2026-EXPENSE'!R32</f>
        <v/>
      </c>
      <c r="G27" s="41">
        <f>'Aug2026-EXPENSE'!R32</f>
        <v/>
      </c>
      <c r="H27" s="41">
        <f>'Sep2026-EXPENSE'!R32</f>
        <v/>
      </c>
      <c r="I27" s="41">
        <f>'Oct2026-EXPENSE'!R32</f>
        <v/>
      </c>
      <c r="J27" s="41">
        <f>'Nov2026-EXPENSE'!R32</f>
        <v/>
      </c>
      <c r="K27" s="41">
        <f>'Dec2026-EXPENSE'!R32</f>
        <v/>
      </c>
      <c r="L27" s="41">
        <f>'Jan2027-EXPENSE'!R32</f>
        <v/>
      </c>
      <c r="M27" s="41">
        <f>'Feb2027-EXPENSE'!R32</f>
        <v/>
      </c>
      <c r="N27" s="41">
        <f>'Mar2027-EXPENSE'!R32</f>
        <v/>
      </c>
      <c r="O27" s="41">
        <f>SUM(C27:N27)</f>
        <v/>
      </c>
    </row>
    <row r="28">
      <c r="A28" s="42">
        <f>IFERROR(__xludf.DUMMYFUNCTION("""COMPUTED_VALUE"""),5677.10147277273)</f>
        <v/>
      </c>
      <c r="B28" s="36" t="inlineStr">
        <is>
          <t>G12</t>
        </is>
      </c>
      <c r="C28" s="43">
        <f>'Apr2026-EXPENSE'!R33</f>
        <v/>
      </c>
      <c r="D28" s="43">
        <f>'May2026-EXPENSE'!R33</f>
        <v/>
      </c>
      <c r="E28" s="43">
        <f>'June2026-EXPENSE'!R33</f>
        <v/>
      </c>
      <c r="F28" s="43">
        <f>'July2026-EXPENSE'!R33</f>
        <v/>
      </c>
      <c r="G28" s="43">
        <f>'Aug2026-EXPENSE'!R33</f>
        <v/>
      </c>
      <c r="H28" s="43">
        <f>'Sep2026-EXPENSE'!R33</f>
        <v/>
      </c>
      <c r="I28" s="43">
        <f>'Oct2026-EXPENSE'!R33</f>
        <v/>
      </c>
      <c r="J28" s="43">
        <f>'Nov2026-EXPENSE'!R33</f>
        <v/>
      </c>
      <c r="K28" s="43">
        <f>'Dec2026-EXPENSE'!R33</f>
        <v/>
      </c>
      <c r="L28" s="43">
        <f>'Jan2027-EXPENSE'!R33</f>
        <v/>
      </c>
      <c r="M28" s="43">
        <f>'Feb2027-EXPENSE'!R33</f>
        <v/>
      </c>
      <c r="N28" s="43">
        <f>'Mar2027-EXPENSE'!R33</f>
        <v/>
      </c>
      <c r="O28" s="43">
        <f>SUM(C28:N28)</f>
        <v/>
      </c>
    </row>
    <row r="29">
      <c r="A29" s="40">
        <f>IFERROR(__xludf.DUMMYFUNCTION("""COMPUTED_VALUE"""),5234.65047944122)</f>
        <v/>
      </c>
      <c r="B29" s="37" t="inlineStr">
        <is>
          <t>G13</t>
        </is>
      </c>
      <c r="C29" s="41">
        <f>'Apr2026-EXPENSE'!R34</f>
        <v/>
      </c>
      <c r="D29" s="41">
        <f>'May2026-EXPENSE'!R34</f>
        <v/>
      </c>
      <c r="E29" s="41">
        <f>'June2026-EXPENSE'!R34</f>
        <v/>
      </c>
      <c r="F29" s="41">
        <f>'July2026-EXPENSE'!R34</f>
        <v/>
      </c>
      <c r="G29" s="41">
        <f>'Aug2026-EXPENSE'!R34</f>
        <v/>
      </c>
      <c r="H29" s="41">
        <f>'Sep2026-EXPENSE'!R34</f>
        <v/>
      </c>
      <c r="I29" s="41">
        <f>'Oct2026-EXPENSE'!R34</f>
        <v/>
      </c>
      <c r="J29" s="41">
        <f>'Nov2026-EXPENSE'!R34</f>
        <v/>
      </c>
      <c r="K29" s="41">
        <f>'Dec2026-EXPENSE'!R34</f>
        <v/>
      </c>
      <c r="L29" s="41">
        <f>'Jan2027-EXPENSE'!R34</f>
        <v/>
      </c>
      <c r="M29" s="41">
        <f>'Feb2027-EXPENSE'!R34</f>
        <v/>
      </c>
      <c r="N29" s="41">
        <f>'Mar2027-EXPENSE'!R34</f>
        <v/>
      </c>
      <c r="O29" s="41">
        <f>SUM(C29:N29)</f>
        <v/>
      </c>
    </row>
    <row r="30">
      <c r="A30" s="42">
        <f>IFERROR(__xludf.DUMMYFUNCTION("""COMPUTED_VALUE"""),5467.41662969176)</f>
        <v/>
      </c>
      <c r="B30" s="36" t="inlineStr">
        <is>
          <t>G14</t>
        </is>
      </c>
      <c r="C30" s="43">
        <f>'Apr2026-EXPENSE'!R35</f>
        <v/>
      </c>
      <c r="D30" s="43">
        <f>'May2026-EXPENSE'!R35</f>
        <v/>
      </c>
      <c r="E30" s="43">
        <f>'June2026-EXPENSE'!R35</f>
        <v/>
      </c>
      <c r="F30" s="43">
        <f>'July2026-EXPENSE'!R35</f>
        <v/>
      </c>
      <c r="G30" s="43">
        <f>'Aug2026-EXPENSE'!R35</f>
        <v/>
      </c>
      <c r="H30" s="43">
        <f>'Sep2026-EXPENSE'!R35</f>
        <v/>
      </c>
      <c r="I30" s="43">
        <f>'Oct2026-EXPENSE'!R35</f>
        <v/>
      </c>
      <c r="J30" s="43">
        <f>'Nov2026-EXPENSE'!R35</f>
        <v/>
      </c>
      <c r="K30" s="43">
        <f>'Dec2026-EXPENSE'!R35</f>
        <v/>
      </c>
      <c r="L30" s="43">
        <f>'Jan2027-EXPENSE'!R35</f>
        <v/>
      </c>
      <c r="M30" s="43">
        <f>'Feb2027-EXPENSE'!R35</f>
        <v/>
      </c>
      <c r="N30" s="43">
        <f>'Mar2027-EXPENSE'!R35</f>
        <v/>
      </c>
      <c r="O30" s="43">
        <f>SUM(C30:N30)</f>
        <v/>
      </c>
    </row>
    <row r="31">
      <c r="A31" s="40">
        <f>IFERROR(__xludf.DUMMYFUNCTION("""COMPUTED_VALUE"""),74429.4820297292)</f>
        <v/>
      </c>
      <c r="B31" s="37" t="inlineStr">
        <is>
          <t>G15</t>
        </is>
      </c>
      <c r="C31" s="41">
        <f>'Apr2026-EXPENSE'!R36</f>
        <v/>
      </c>
      <c r="D31" s="41">
        <f>'May2026-EXPENSE'!R36</f>
        <v/>
      </c>
      <c r="E31" s="41">
        <f>'June2026-EXPENSE'!R36</f>
        <v/>
      </c>
      <c r="F31" s="41">
        <f>'July2026-EXPENSE'!R36</f>
        <v/>
      </c>
      <c r="G31" s="41">
        <f>'Aug2026-EXPENSE'!R36</f>
        <v/>
      </c>
      <c r="H31" s="41">
        <f>'Sep2026-EXPENSE'!R36</f>
        <v/>
      </c>
      <c r="I31" s="41">
        <f>'Oct2026-EXPENSE'!R36</f>
        <v/>
      </c>
      <c r="J31" s="41">
        <f>'Nov2026-EXPENSE'!R36</f>
        <v/>
      </c>
      <c r="K31" s="41">
        <f>'Dec2026-EXPENSE'!R36</f>
        <v/>
      </c>
      <c r="L31" s="41">
        <f>'Jan2027-EXPENSE'!R36</f>
        <v/>
      </c>
      <c r="M31" s="41">
        <f>'Feb2027-EXPENSE'!R36</f>
        <v/>
      </c>
      <c r="N31" s="41">
        <f>'Mar2027-EXPENSE'!R36</f>
        <v/>
      </c>
      <c r="O31" s="41">
        <f>SUM(C31:N31)</f>
        <v/>
      </c>
    </row>
    <row r="32">
      <c r="A32" s="36" t="n"/>
      <c r="B32" s="36" t="inlineStr">
        <is>
          <t>G16</t>
        </is>
      </c>
      <c r="C32" s="43">
        <f>'Apr2026-EXPENSE'!R37</f>
        <v/>
      </c>
      <c r="D32" s="43">
        <f>'May2026-EXPENSE'!R37</f>
        <v/>
      </c>
      <c r="E32" s="43">
        <f>'June2026-EXPENSE'!R37</f>
        <v/>
      </c>
      <c r="F32" s="43">
        <f>'July2026-EXPENSE'!R37</f>
        <v/>
      </c>
      <c r="G32" s="43">
        <f>'Aug2026-EXPENSE'!R37</f>
        <v/>
      </c>
      <c r="H32" s="43">
        <f>'Sep2026-EXPENSE'!R37</f>
        <v/>
      </c>
      <c r="I32" s="43">
        <f>'Oct2026-EXPENSE'!R37</f>
        <v/>
      </c>
      <c r="J32" s="43">
        <f>'Nov2026-EXPENSE'!R37</f>
        <v/>
      </c>
      <c r="K32" s="43">
        <f>'Dec2026-EXPENSE'!R37</f>
        <v/>
      </c>
      <c r="L32" s="43">
        <f>'Jan2027-EXPENSE'!R37</f>
        <v/>
      </c>
      <c r="M32" s="43">
        <f>'Feb2027-EXPENSE'!R37</f>
        <v/>
      </c>
      <c r="N32" s="43">
        <f>'Mar2027-EXPENSE'!R37</f>
        <v/>
      </c>
      <c r="O32" s="43">
        <f>SUM(C32:N32)</f>
        <v/>
      </c>
    </row>
    <row r="33">
      <c r="A33" s="37" t="n"/>
      <c r="B33" s="37" t="inlineStr">
        <is>
          <t>S1</t>
        </is>
      </c>
      <c r="C33" s="41">
        <f>'Apr2026-EXPENSE'!R38</f>
        <v/>
      </c>
      <c r="D33" s="41">
        <f>'May2026-EXPENSE'!R38</f>
        <v/>
      </c>
      <c r="E33" s="41">
        <f>'June2026-EXPENSE'!R38</f>
        <v/>
      </c>
      <c r="F33" s="41">
        <f>'July2026-EXPENSE'!R38</f>
        <v/>
      </c>
      <c r="G33" s="41">
        <f>'Aug2026-EXPENSE'!R38</f>
        <v/>
      </c>
      <c r="H33" s="41">
        <f>'Sep2026-EXPENSE'!R38</f>
        <v/>
      </c>
      <c r="I33" s="41">
        <f>'Oct2026-EXPENSE'!R38</f>
        <v/>
      </c>
      <c r="J33" s="41">
        <f>'Nov2026-EXPENSE'!R38</f>
        <v/>
      </c>
      <c r="K33" s="41">
        <f>'Dec2026-EXPENSE'!R38</f>
        <v/>
      </c>
      <c r="L33" s="41">
        <f>'Jan2027-EXPENSE'!R38</f>
        <v/>
      </c>
      <c r="M33" s="41">
        <f>'Feb2027-EXPENSE'!R38</f>
        <v/>
      </c>
      <c r="N33" s="41">
        <f>'Mar2027-EXPENSE'!R38</f>
        <v/>
      </c>
      <c r="O33" s="41">
        <f>SUM(C33:N33)</f>
        <v/>
      </c>
    </row>
    <row r="34">
      <c r="A34" s="36" t="n"/>
      <c r="B34" s="36" t="inlineStr">
        <is>
          <t>S2</t>
        </is>
      </c>
      <c r="C34" s="43">
        <f>'Apr2026-EXPENSE'!R39</f>
        <v/>
      </c>
      <c r="D34" s="43">
        <f>'May2026-EXPENSE'!R39</f>
        <v/>
      </c>
      <c r="E34" s="43">
        <f>'June2026-EXPENSE'!R39</f>
        <v/>
      </c>
      <c r="F34" s="43">
        <f>'July2026-EXPENSE'!R39</f>
        <v/>
      </c>
      <c r="G34" s="43">
        <f>'Aug2026-EXPENSE'!R39</f>
        <v/>
      </c>
      <c r="H34" s="43">
        <f>'Sep2026-EXPENSE'!R39</f>
        <v/>
      </c>
      <c r="I34" s="43">
        <f>'Oct2026-EXPENSE'!R39</f>
        <v/>
      </c>
      <c r="J34" s="43">
        <f>'Nov2026-EXPENSE'!R39</f>
        <v/>
      </c>
      <c r="K34" s="43">
        <f>'Dec2026-EXPENSE'!R39</f>
        <v/>
      </c>
      <c r="L34" s="43">
        <f>'Jan2027-EXPENSE'!R39</f>
        <v/>
      </c>
      <c r="M34" s="43">
        <f>'Feb2027-EXPENSE'!R39</f>
        <v/>
      </c>
      <c r="N34" s="43">
        <f>'Mar2027-EXPENSE'!R39</f>
        <v/>
      </c>
      <c r="O34" s="43">
        <f>SUM(C34:N34)</f>
        <v/>
      </c>
    </row>
    <row r="35">
      <c r="A35" s="37">
        <f>IFERROR(__xludf.DUMMYFUNCTION("""COMPUTED_VALUE"""),"F3")</f>
        <v/>
      </c>
      <c r="B35" s="37" t="inlineStr">
        <is>
          <t>S3</t>
        </is>
      </c>
      <c r="C35" s="41">
        <f>'Apr2026-EXPENSE'!R40</f>
        <v/>
      </c>
      <c r="D35" s="41">
        <f>'May2026-EXPENSE'!R40</f>
        <v/>
      </c>
      <c r="E35" s="41">
        <f>'June2026-EXPENSE'!R40</f>
        <v/>
      </c>
      <c r="F35" s="41">
        <f>'July2026-EXPENSE'!R40</f>
        <v/>
      </c>
      <c r="G35" s="41">
        <f>'Aug2026-EXPENSE'!R40</f>
        <v/>
      </c>
      <c r="H35" s="41">
        <f>'Sep2026-EXPENSE'!R40</f>
        <v/>
      </c>
      <c r="I35" s="41">
        <f>'Oct2026-EXPENSE'!R40</f>
        <v/>
      </c>
      <c r="J35" s="41">
        <f>'Nov2026-EXPENSE'!R40</f>
        <v/>
      </c>
      <c r="K35" s="41">
        <f>'Dec2026-EXPENSE'!R40</f>
        <v/>
      </c>
      <c r="L35" s="41">
        <f>'Jan2027-EXPENSE'!R40</f>
        <v/>
      </c>
      <c r="M35" s="41">
        <f>'Feb2027-EXPENSE'!R40</f>
        <v/>
      </c>
      <c r="N35" s="41">
        <f>'Mar2027-EXPENSE'!R40</f>
        <v/>
      </c>
      <c r="O35" s="41">
        <f>SUM(C35:N35)</f>
        <v/>
      </c>
    </row>
    <row r="36">
      <c r="A36" s="42">
        <f>IFERROR(__xludf.DUMMYFUNCTION("""COMPUTED_VALUE"""),7497.99907896976)</f>
        <v/>
      </c>
      <c r="B36" s="36" t="inlineStr">
        <is>
          <t>S4</t>
        </is>
      </c>
      <c r="C36" s="43">
        <f>'Apr2026-EXPENSE'!R41</f>
        <v/>
      </c>
      <c r="D36" s="43">
        <f>'May2026-EXPENSE'!R41</f>
        <v/>
      </c>
      <c r="E36" s="43">
        <f>'June2026-EXPENSE'!R41</f>
        <v/>
      </c>
      <c r="F36" s="43">
        <f>'July2026-EXPENSE'!R41</f>
        <v/>
      </c>
      <c r="G36" s="43">
        <f>'Aug2026-EXPENSE'!R41</f>
        <v/>
      </c>
      <c r="H36" s="43">
        <f>'Sep2026-EXPENSE'!R41</f>
        <v/>
      </c>
      <c r="I36" s="43">
        <f>'Oct2026-EXPENSE'!R41</f>
        <v/>
      </c>
      <c r="J36" s="43">
        <f>'Nov2026-EXPENSE'!R41</f>
        <v/>
      </c>
      <c r="K36" s="43">
        <f>'Dec2026-EXPENSE'!R41</f>
        <v/>
      </c>
      <c r="L36" s="43">
        <f>'Jan2027-EXPENSE'!R41</f>
        <v/>
      </c>
      <c r="M36" s="43">
        <f>'Feb2027-EXPENSE'!R41</f>
        <v/>
      </c>
      <c r="N36" s="43">
        <f>'Mar2027-EXPENSE'!R41</f>
        <v/>
      </c>
      <c r="O36" s="43">
        <f>SUM(C36:N36)</f>
        <v/>
      </c>
    </row>
    <row r="37">
      <c r="A37" s="40">
        <f>IFERROR(__xludf.DUMMYFUNCTION("""COMPUTED_VALUE"""),5970.644064401)</f>
        <v/>
      </c>
      <c r="B37" s="37" t="inlineStr">
        <is>
          <t>S5</t>
        </is>
      </c>
      <c r="C37" s="41">
        <f>'Apr2026-EXPENSE'!R42</f>
        <v/>
      </c>
      <c r="D37" s="41">
        <f>'May2026-EXPENSE'!R42</f>
        <v/>
      </c>
      <c r="E37" s="41">
        <f>'June2026-EXPENSE'!R42</f>
        <v/>
      </c>
      <c r="F37" s="41">
        <f>'July2026-EXPENSE'!R42</f>
        <v/>
      </c>
      <c r="G37" s="41">
        <f>'Aug2026-EXPENSE'!R42</f>
        <v/>
      </c>
      <c r="H37" s="41">
        <f>'Sep2026-EXPENSE'!R42</f>
        <v/>
      </c>
      <c r="I37" s="41">
        <f>'Oct2026-EXPENSE'!R42</f>
        <v/>
      </c>
      <c r="J37" s="41">
        <f>'Nov2026-EXPENSE'!R42</f>
        <v/>
      </c>
      <c r="K37" s="41">
        <f>'Dec2026-EXPENSE'!R42</f>
        <v/>
      </c>
      <c r="L37" s="41">
        <f>'Jan2027-EXPENSE'!R42</f>
        <v/>
      </c>
      <c r="M37" s="41">
        <f>'Feb2027-EXPENSE'!R42</f>
        <v/>
      </c>
      <c r="N37" s="41">
        <f>'Mar2027-EXPENSE'!R42</f>
        <v/>
      </c>
      <c r="O37" s="41">
        <f>SUM(C37:N37)</f>
        <v/>
      </c>
    </row>
    <row r="38">
      <c r="A38" s="42">
        <f>IFERROR(__xludf.DUMMYFUNCTION("""COMPUTED_VALUE"""),6093.38471860409)</f>
        <v/>
      </c>
      <c r="B38" s="36" t="inlineStr">
        <is>
          <t>S6</t>
        </is>
      </c>
      <c r="C38" s="43">
        <f>'Apr2026-EXPENSE'!R43</f>
        <v/>
      </c>
      <c r="D38" s="43">
        <f>'May2026-EXPENSE'!R43</f>
        <v/>
      </c>
      <c r="E38" s="43">
        <f>'June2026-EXPENSE'!R43</f>
        <v/>
      </c>
      <c r="F38" s="43">
        <f>'July2026-EXPENSE'!R43</f>
        <v/>
      </c>
      <c r="G38" s="43">
        <f>'Aug2026-EXPENSE'!R43</f>
        <v/>
      </c>
      <c r="H38" s="43">
        <f>'Sep2026-EXPENSE'!R43</f>
        <v/>
      </c>
      <c r="I38" s="43">
        <f>'Oct2026-EXPENSE'!R43</f>
        <v/>
      </c>
      <c r="J38" s="43">
        <f>'Nov2026-EXPENSE'!R43</f>
        <v/>
      </c>
      <c r="K38" s="43">
        <f>'Dec2026-EXPENSE'!R43</f>
        <v/>
      </c>
      <c r="L38" s="43">
        <f>'Jan2027-EXPENSE'!R43</f>
        <v/>
      </c>
      <c r="M38" s="43">
        <f>'Feb2027-EXPENSE'!R43</f>
        <v/>
      </c>
      <c r="N38" s="43">
        <f>'Mar2027-EXPENSE'!R43</f>
        <v/>
      </c>
      <c r="O38" s="43">
        <f>SUM(C38:N38)</f>
        <v/>
      </c>
    </row>
    <row r="39">
      <c r="A39" s="40">
        <f>IFERROR(__xludf.DUMMYFUNCTION("""COMPUTED_VALUE"""),7529.57156859377)</f>
        <v/>
      </c>
      <c r="B39" s="37" t="inlineStr">
        <is>
          <t>S7</t>
        </is>
      </c>
      <c r="C39" s="41">
        <f>'Apr2026-EXPENSE'!R44</f>
        <v/>
      </c>
      <c r="D39" s="41">
        <f>'May2026-EXPENSE'!R44</f>
        <v/>
      </c>
      <c r="E39" s="41">
        <f>'June2026-EXPENSE'!R44</f>
        <v/>
      </c>
      <c r="F39" s="41">
        <f>'July2026-EXPENSE'!R44</f>
        <v/>
      </c>
      <c r="G39" s="41">
        <f>'Aug2026-EXPENSE'!R44</f>
        <v/>
      </c>
      <c r="H39" s="41">
        <f>'Sep2026-EXPENSE'!R44</f>
        <v/>
      </c>
      <c r="I39" s="41">
        <f>'Oct2026-EXPENSE'!R44</f>
        <v/>
      </c>
      <c r="J39" s="41">
        <f>'Nov2026-EXPENSE'!R44</f>
        <v/>
      </c>
      <c r="K39" s="41">
        <f>'Dec2026-EXPENSE'!R44</f>
        <v/>
      </c>
      <c r="L39" s="41">
        <f>'Jan2027-EXPENSE'!R44</f>
        <v/>
      </c>
      <c r="M39" s="41">
        <f>'Feb2027-EXPENSE'!R44</f>
        <v/>
      </c>
      <c r="N39" s="41">
        <f>'Mar2027-EXPENSE'!R44</f>
        <v/>
      </c>
      <c r="O39" s="41">
        <f>SUM(C39:N39)</f>
        <v/>
      </c>
    </row>
    <row r="40">
      <c r="A40" s="42">
        <f>IFERROR(__xludf.DUMMYFUNCTION("""COMPUTED_VALUE"""),7722.72801786187)</f>
        <v/>
      </c>
      <c r="B40" s="36" t="inlineStr">
        <is>
          <t>S8</t>
        </is>
      </c>
      <c r="C40" s="43">
        <f>'Apr2026-EXPENSE'!R45</f>
        <v/>
      </c>
      <c r="D40" s="43">
        <f>'May2026-EXPENSE'!R45</f>
        <v/>
      </c>
      <c r="E40" s="43">
        <f>'June2026-EXPENSE'!R45</f>
        <v/>
      </c>
      <c r="F40" s="43">
        <f>'July2026-EXPENSE'!R45</f>
        <v/>
      </c>
      <c r="G40" s="43">
        <f>'Aug2026-EXPENSE'!R45</f>
        <v/>
      </c>
      <c r="H40" s="43">
        <f>'Sep2026-EXPENSE'!R45</f>
        <v/>
      </c>
      <c r="I40" s="43">
        <f>'Oct2026-EXPENSE'!R45</f>
        <v/>
      </c>
      <c r="J40" s="43">
        <f>'Nov2026-EXPENSE'!R45</f>
        <v/>
      </c>
      <c r="K40" s="43">
        <f>'Dec2026-EXPENSE'!R45</f>
        <v/>
      </c>
      <c r="L40" s="43">
        <f>'Jan2027-EXPENSE'!R45</f>
        <v/>
      </c>
      <c r="M40" s="43">
        <f>'Feb2027-EXPENSE'!R45</f>
        <v/>
      </c>
      <c r="N40" s="43">
        <f>'Mar2027-EXPENSE'!R45</f>
        <v/>
      </c>
      <c r="O40" s="43">
        <f>SUM(C40:N40)</f>
        <v/>
      </c>
    </row>
    <row r="41">
      <c r="A41" s="40">
        <f>IFERROR(__xludf.DUMMYFUNCTION("""COMPUTED_VALUE"""),6599.69050490061)</f>
        <v/>
      </c>
      <c r="B41" s="37" t="inlineStr">
        <is>
          <t>S9</t>
        </is>
      </c>
      <c r="C41" s="41">
        <f>'Apr2026-EXPENSE'!R46</f>
        <v/>
      </c>
      <c r="D41" s="41">
        <f>'May2026-EXPENSE'!R46</f>
        <v/>
      </c>
      <c r="E41" s="41">
        <f>'June2026-EXPENSE'!R46</f>
        <v/>
      </c>
      <c r="F41" s="41">
        <f>'July2026-EXPENSE'!R46</f>
        <v/>
      </c>
      <c r="G41" s="41">
        <f>'Aug2026-EXPENSE'!R46</f>
        <v/>
      </c>
      <c r="H41" s="41">
        <f>'Sep2026-EXPENSE'!R46</f>
        <v/>
      </c>
      <c r="I41" s="41">
        <f>'Oct2026-EXPENSE'!R46</f>
        <v/>
      </c>
      <c r="J41" s="41">
        <f>'Nov2026-EXPENSE'!R46</f>
        <v/>
      </c>
      <c r="K41" s="41">
        <f>'Dec2026-EXPENSE'!R46</f>
        <v/>
      </c>
      <c r="L41" s="41">
        <f>'Jan2027-EXPENSE'!R46</f>
        <v/>
      </c>
      <c r="M41" s="41">
        <f>'Feb2027-EXPENSE'!R46</f>
        <v/>
      </c>
      <c r="N41" s="41">
        <f>'Mar2027-EXPENSE'!R46</f>
        <v/>
      </c>
      <c r="O41" s="41">
        <f>SUM(C41:N41)</f>
        <v/>
      </c>
    </row>
    <row r="42">
      <c r="A42" s="42">
        <f>IFERROR(__xludf.DUMMYFUNCTION("""COMPUTED_VALUE"""),8217.5034137305)</f>
        <v/>
      </c>
      <c r="B42" s="36" t="inlineStr">
        <is>
          <t>S10</t>
        </is>
      </c>
      <c r="C42" s="43">
        <f>'Apr2026-EXPENSE'!R47</f>
        <v/>
      </c>
      <c r="D42" s="43">
        <f>'May2026-EXPENSE'!R47</f>
        <v/>
      </c>
      <c r="E42" s="43">
        <f>'June2026-EXPENSE'!R47</f>
        <v/>
      </c>
      <c r="F42" s="43">
        <f>'July2026-EXPENSE'!R47</f>
        <v/>
      </c>
      <c r="G42" s="43">
        <f>'Aug2026-EXPENSE'!R47</f>
        <v/>
      </c>
      <c r="H42" s="43">
        <f>'Sep2026-EXPENSE'!R47</f>
        <v/>
      </c>
      <c r="I42" s="43">
        <f>'Oct2026-EXPENSE'!R47</f>
        <v/>
      </c>
      <c r="J42" s="43">
        <f>'Nov2026-EXPENSE'!R47</f>
        <v/>
      </c>
      <c r="K42" s="43">
        <f>'Dec2026-EXPENSE'!R47</f>
        <v/>
      </c>
      <c r="L42" s="43">
        <f>'Jan2027-EXPENSE'!R47</f>
        <v/>
      </c>
      <c r="M42" s="43">
        <f>'Feb2027-EXPENSE'!R47</f>
        <v/>
      </c>
      <c r="N42" s="43">
        <f>'Mar2027-EXPENSE'!R47</f>
        <v/>
      </c>
      <c r="O42" s="43">
        <f>SUM(C42:N42)</f>
        <v/>
      </c>
    </row>
    <row r="43">
      <c r="A43" s="40">
        <f>IFERROR(__xludf.DUMMYFUNCTION("""COMPUTED_VALUE"""),8585.24089570297)</f>
        <v/>
      </c>
      <c r="B43" s="37" t="inlineStr">
        <is>
          <t>S11</t>
        </is>
      </c>
      <c r="C43" s="41">
        <f>'Apr2026-EXPENSE'!R48</f>
        <v/>
      </c>
      <c r="D43" s="41">
        <f>'May2026-EXPENSE'!R48</f>
        <v/>
      </c>
      <c r="E43" s="41">
        <f>'June2026-EXPENSE'!R48</f>
        <v/>
      </c>
      <c r="F43" s="41">
        <f>'July2026-EXPENSE'!R48</f>
        <v/>
      </c>
      <c r="G43" s="41">
        <f>'Aug2026-EXPENSE'!R48</f>
        <v/>
      </c>
      <c r="H43" s="41">
        <f>'Sep2026-EXPENSE'!R48</f>
        <v/>
      </c>
      <c r="I43" s="41">
        <f>'Oct2026-EXPENSE'!R48</f>
        <v/>
      </c>
      <c r="J43" s="41">
        <f>'Nov2026-EXPENSE'!R48</f>
        <v/>
      </c>
      <c r="K43" s="41">
        <f>'Dec2026-EXPENSE'!R48</f>
        <v/>
      </c>
      <c r="L43" s="41">
        <f>'Jan2027-EXPENSE'!R48</f>
        <v/>
      </c>
      <c r="M43" s="41">
        <f>'Feb2027-EXPENSE'!R48</f>
        <v/>
      </c>
      <c r="N43" s="41">
        <f>'Mar2027-EXPENSE'!R48</f>
        <v/>
      </c>
      <c r="O43" s="41">
        <f>SUM(C43:N43)</f>
        <v/>
      </c>
    </row>
    <row r="44">
      <c r="A44" s="42">
        <f>IFERROR(__xludf.DUMMYFUNCTION("""COMPUTED_VALUE"""),6916.43363479336)</f>
        <v/>
      </c>
      <c r="B44" s="36" t="inlineStr">
        <is>
          <t>S12</t>
        </is>
      </c>
      <c r="C44" s="43">
        <f>'Apr2026-EXPENSE'!R49</f>
        <v/>
      </c>
      <c r="D44" s="43">
        <f>'May2026-EXPENSE'!R49</f>
        <v/>
      </c>
      <c r="E44" s="43">
        <f>'June2026-EXPENSE'!R49</f>
        <v/>
      </c>
      <c r="F44" s="43">
        <f>'July2026-EXPENSE'!R49</f>
        <v/>
      </c>
      <c r="G44" s="43">
        <f>'Aug2026-EXPENSE'!R49</f>
        <v/>
      </c>
      <c r="H44" s="43">
        <f>'Sep2026-EXPENSE'!R49</f>
        <v/>
      </c>
      <c r="I44" s="43">
        <f>'Oct2026-EXPENSE'!R49</f>
        <v/>
      </c>
      <c r="J44" s="43">
        <f>'Nov2026-EXPENSE'!R49</f>
        <v/>
      </c>
      <c r="K44" s="43">
        <f>'Dec2026-EXPENSE'!R49</f>
        <v/>
      </c>
      <c r="L44" s="43">
        <f>'Jan2027-EXPENSE'!R49</f>
        <v/>
      </c>
      <c r="M44" s="43">
        <f>'Feb2027-EXPENSE'!R49</f>
        <v/>
      </c>
      <c r="N44" s="43">
        <f>'Mar2027-EXPENSE'!R49</f>
        <v/>
      </c>
      <c r="O44" s="43">
        <f>SUM(C44:N44)</f>
        <v/>
      </c>
    </row>
    <row r="45">
      <c r="A45" s="40">
        <f>IFERROR(__xludf.DUMMYFUNCTION("""COMPUTED_VALUE"""),6594.26889457029)</f>
        <v/>
      </c>
      <c r="B45" s="37" t="inlineStr">
        <is>
          <t>S13</t>
        </is>
      </c>
      <c r="C45" s="41">
        <f>'Apr2026-EXPENSE'!R50</f>
        <v/>
      </c>
      <c r="D45" s="41">
        <f>'May2026-EXPENSE'!R50</f>
        <v/>
      </c>
      <c r="E45" s="41">
        <f>'June2026-EXPENSE'!R50</f>
        <v/>
      </c>
      <c r="F45" s="41">
        <f>'July2026-EXPENSE'!R50</f>
        <v/>
      </c>
      <c r="G45" s="41">
        <f>'Aug2026-EXPENSE'!R50</f>
        <v/>
      </c>
      <c r="H45" s="41">
        <f>'Sep2026-EXPENSE'!R50</f>
        <v/>
      </c>
      <c r="I45" s="41">
        <f>'Oct2026-EXPENSE'!R50</f>
        <v/>
      </c>
      <c r="J45" s="41">
        <f>'Nov2026-EXPENSE'!R50</f>
        <v/>
      </c>
      <c r="K45" s="41">
        <f>'Dec2026-EXPENSE'!R50</f>
        <v/>
      </c>
      <c r="L45" s="41">
        <f>'Jan2027-EXPENSE'!R50</f>
        <v/>
      </c>
      <c r="M45" s="41">
        <f>'Feb2027-EXPENSE'!R50</f>
        <v/>
      </c>
      <c r="N45" s="41">
        <f>'Mar2027-EXPENSE'!R50</f>
        <v/>
      </c>
      <c r="O45" s="41">
        <f>SUM(C45:N45)</f>
        <v/>
      </c>
    </row>
    <row r="46">
      <c r="A46" s="42">
        <f>IFERROR(__xludf.DUMMYFUNCTION("""COMPUTED_VALUE"""),6667.57071038327)</f>
        <v/>
      </c>
      <c r="B46" s="36" t="inlineStr">
        <is>
          <t>S14</t>
        </is>
      </c>
      <c r="C46" s="43">
        <f>'Apr2026-EXPENSE'!R51</f>
        <v/>
      </c>
      <c r="D46" s="43">
        <f>'May2026-EXPENSE'!R51</f>
        <v/>
      </c>
      <c r="E46" s="43">
        <f>'June2026-EXPENSE'!R51</f>
        <v/>
      </c>
      <c r="F46" s="43">
        <f>'July2026-EXPENSE'!R51</f>
        <v/>
      </c>
      <c r="G46" s="43">
        <f>'Aug2026-EXPENSE'!R51</f>
        <v/>
      </c>
      <c r="H46" s="43">
        <f>'Sep2026-EXPENSE'!R51</f>
        <v/>
      </c>
      <c r="I46" s="43">
        <f>'Oct2026-EXPENSE'!R51</f>
        <v/>
      </c>
      <c r="J46" s="43">
        <f>'Nov2026-EXPENSE'!R51</f>
        <v/>
      </c>
      <c r="K46" s="43">
        <f>'Dec2026-EXPENSE'!R51</f>
        <v/>
      </c>
      <c r="L46" s="43">
        <f>'Jan2027-EXPENSE'!R51</f>
        <v/>
      </c>
      <c r="M46" s="43">
        <f>'Feb2027-EXPENSE'!R51</f>
        <v/>
      </c>
      <c r="N46" s="43">
        <f>'Mar2027-EXPENSE'!R51</f>
        <v/>
      </c>
      <c r="O46" s="43">
        <f>SUM(C46:N46)</f>
        <v/>
      </c>
    </row>
    <row r="47">
      <c r="A47" s="40">
        <f>IFERROR(__xludf.DUMMYFUNCTION("""COMPUTED_VALUE"""),6559.22331850397)</f>
        <v/>
      </c>
      <c r="B47" s="37" t="inlineStr">
        <is>
          <t>S15</t>
        </is>
      </c>
      <c r="C47" s="41">
        <f>'Apr2026-EXPENSE'!R52</f>
        <v/>
      </c>
      <c r="D47" s="41">
        <f>'May2026-EXPENSE'!R52</f>
        <v/>
      </c>
      <c r="E47" s="41">
        <f>'June2026-EXPENSE'!R52</f>
        <v/>
      </c>
      <c r="F47" s="41">
        <f>'July2026-EXPENSE'!R52</f>
        <v/>
      </c>
      <c r="G47" s="41">
        <f>'Aug2026-EXPENSE'!R52</f>
        <v/>
      </c>
      <c r="H47" s="41">
        <f>'Sep2026-EXPENSE'!R52</f>
        <v/>
      </c>
      <c r="I47" s="41">
        <f>'Oct2026-EXPENSE'!R52</f>
        <v/>
      </c>
      <c r="J47" s="41">
        <f>'Nov2026-EXPENSE'!R52</f>
        <v/>
      </c>
      <c r="K47" s="41">
        <f>'Dec2026-EXPENSE'!R52</f>
        <v/>
      </c>
      <c r="L47" s="41">
        <f>'Jan2027-EXPENSE'!R52</f>
        <v/>
      </c>
      <c r="M47" s="41">
        <f>'Feb2027-EXPENSE'!R52</f>
        <v/>
      </c>
      <c r="N47" s="41">
        <f>'Mar2027-EXPENSE'!R52</f>
        <v/>
      </c>
      <c r="O47" s="41">
        <f>SUM(C47:N47)</f>
        <v/>
      </c>
    </row>
    <row r="48">
      <c r="A48" s="42">
        <f>IFERROR(__xludf.DUMMYFUNCTION("""COMPUTED_VALUE"""),84954.2588210155)</f>
        <v/>
      </c>
      <c r="B48" s="36" t="inlineStr">
        <is>
          <t>S16</t>
        </is>
      </c>
      <c r="C48" s="43">
        <f>'Apr2026-EXPENSE'!R53</f>
        <v/>
      </c>
      <c r="D48" s="43">
        <f>'May2026-EXPENSE'!R53</f>
        <v/>
      </c>
      <c r="E48" s="43">
        <f>'June2026-EXPENSE'!R53</f>
        <v/>
      </c>
      <c r="F48" s="43">
        <f>'July2026-EXPENSE'!R53</f>
        <v/>
      </c>
      <c r="G48" s="43">
        <f>'Aug2026-EXPENSE'!R53</f>
        <v/>
      </c>
      <c r="H48" s="43">
        <f>'Sep2026-EXPENSE'!R53</f>
        <v/>
      </c>
      <c r="I48" s="43">
        <f>'Oct2026-EXPENSE'!R53</f>
        <v/>
      </c>
      <c r="J48" s="43">
        <f>'Nov2026-EXPENSE'!R53</f>
        <v/>
      </c>
      <c r="K48" s="43">
        <f>'Dec2026-EXPENSE'!R53</f>
        <v/>
      </c>
      <c r="L48" s="43">
        <f>'Jan2027-EXPENSE'!R53</f>
        <v/>
      </c>
      <c r="M48" s="43">
        <f>'Feb2027-EXPENSE'!R53</f>
        <v/>
      </c>
      <c r="N48" s="43">
        <f>'Mar2027-EXPENSE'!R53</f>
        <v/>
      </c>
      <c r="O48" s="43">
        <f>SUM(C48:N48)</f>
        <v/>
      </c>
    </row>
    <row r="49">
      <c r="A49" s="37" t="n"/>
      <c r="B49" s="37" t="inlineStr">
        <is>
          <t>T1</t>
        </is>
      </c>
      <c r="C49" s="41">
        <f>'Apr2026-EXPENSE'!R54</f>
        <v/>
      </c>
      <c r="D49" s="41">
        <f>'May2026-EXPENSE'!R54</f>
        <v/>
      </c>
      <c r="E49" s="41">
        <f>'June2026-EXPENSE'!R54</f>
        <v/>
      </c>
      <c r="F49" s="41">
        <f>'July2026-EXPENSE'!R54</f>
        <v/>
      </c>
      <c r="G49" s="41">
        <f>'Aug2026-EXPENSE'!R54</f>
        <v/>
      </c>
      <c r="H49" s="41">
        <f>'Sep2026-EXPENSE'!R54</f>
        <v/>
      </c>
      <c r="I49" s="41">
        <f>'Oct2026-EXPENSE'!R54</f>
        <v/>
      </c>
      <c r="J49" s="41">
        <f>'Nov2026-EXPENSE'!R54</f>
        <v/>
      </c>
      <c r="K49" s="41">
        <f>'Dec2026-EXPENSE'!R54</f>
        <v/>
      </c>
      <c r="L49" s="41">
        <f>'Jan2027-EXPENSE'!R54</f>
        <v/>
      </c>
      <c r="M49" s="41">
        <f>'Feb2027-EXPENSE'!R54</f>
        <v/>
      </c>
      <c r="N49" s="41">
        <f>'Mar2027-EXPENSE'!R54</f>
        <v/>
      </c>
      <c r="O49" s="41">
        <f>SUM(C49:N49)</f>
        <v/>
      </c>
    </row>
    <row r="50">
      <c r="A50" s="36" t="n"/>
      <c r="B50" s="36" t="inlineStr">
        <is>
          <t>T2</t>
        </is>
      </c>
      <c r="C50" s="43">
        <f>'Apr2026-EXPENSE'!R55</f>
        <v/>
      </c>
      <c r="D50" s="43">
        <f>'May2026-EXPENSE'!R55</f>
        <v/>
      </c>
      <c r="E50" s="43">
        <f>'June2026-EXPENSE'!R55</f>
        <v/>
      </c>
      <c r="F50" s="43">
        <f>'July2026-EXPENSE'!R55</f>
        <v/>
      </c>
      <c r="G50" s="43">
        <f>'Aug2026-EXPENSE'!R55</f>
        <v/>
      </c>
      <c r="H50" s="43">
        <f>'Sep2026-EXPENSE'!R55</f>
        <v/>
      </c>
      <c r="I50" s="43">
        <f>'Oct2026-EXPENSE'!R55</f>
        <v/>
      </c>
      <c r="J50" s="43">
        <f>'Nov2026-EXPENSE'!R55</f>
        <v/>
      </c>
      <c r="K50" s="43">
        <f>'Dec2026-EXPENSE'!R55</f>
        <v/>
      </c>
      <c r="L50" s="43">
        <f>'Jan2027-EXPENSE'!R55</f>
        <v/>
      </c>
      <c r="M50" s="43">
        <f>'Feb2027-EXPENSE'!R55</f>
        <v/>
      </c>
      <c r="N50" s="43">
        <f>'Mar2027-EXPENSE'!R55</f>
        <v/>
      </c>
      <c r="O50" s="43">
        <f>SUM(C50:N50)</f>
        <v/>
      </c>
    </row>
    <row r="51">
      <c r="A51" s="37" t="n"/>
      <c r="B51" s="37" t="inlineStr">
        <is>
          <t>T3</t>
        </is>
      </c>
      <c r="C51" s="41">
        <f>'Apr2026-EXPENSE'!R56</f>
        <v/>
      </c>
      <c r="D51" s="41">
        <f>'May2026-EXPENSE'!R56</f>
        <v/>
      </c>
      <c r="E51" s="41">
        <f>'June2026-EXPENSE'!R56</f>
        <v/>
      </c>
      <c r="F51" s="41">
        <f>'July2026-EXPENSE'!R56</f>
        <v/>
      </c>
      <c r="G51" s="41">
        <f>'Aug2026-EXPENSE'!R56</f>
        <v/>
      </c>
      <c r="H51" s="41">
        <f>'Sep2026-EXPENSE'!R56</f>
        <v/>
      </c>
      <c r="I51" s="41">
        <f>'Oct2026-EXPENSE'!R56</f>
        <v/>
      </c>
      <c r="J51" s="41">
        <f>'Nov2026-EXPENSE'!R56</f>
        <v/>
      </c>
      <c r="K51" s="41">
        <f>'Dec2026-EXPENSE'!R56</f>
        <v/>
      </c>
      <c r="L51" s="41">
        <f>'Jan2027-EXPENSE'!R56</f>
        <v/>
      </c>
      <c r="M51" s="41">
        <f>'Feb2027-EXPENSE'!R56</f>
        <v/>
      </c>
      <c r="N51" s="41">
        <f>'Mar2027-EXPENSE'!R56</f>
        <v/>
      </c>
      <c r="O51" s="41">
        <f>SUM(C51:N51)</f>
        <v/>
      </c>
    </row>
    <row r="52">
      <c r="A52" s="36">
        <f>IFERROR(__xludf.DUMMYFUNCTION("""COMPUTED_VALUE"""),"F4")</f>
        <v/>
      </c>
      <c r="B52" s="36" t="inlineStr">
        <is>
          <t>T4</t>
        </is>
      </c>
      <c r="C52" s="43">
        <f>'Apr2026-EXPENSE'!R57</f>
        <v/>
      </c>
      <c r="D52" s="43">
        <f>'May2026-EXPENSE'!R57</f>
        <v/>
      </c>
      <c r="E52" s="43">
        <f>'June2026-EXPENSE'!R57</f>
        <v/>
      </c>
      <c r="F52" s="43">
        <f>'July2026-EXPENSE'!R57</f>
        <v/>
      </c>
      <c r="G52" s="43">
        <f>'Aug2026-EXPENSE'!R57</f>
        <v/>
      </c>
      <c r="H52" s="43">
        <f>'Sep2026-EXPENSE'!R57</f>
        <v/>
      </c>
      <c r="I52" s="43">
        <f>'Oct2026-EXPENSE'!R57</f>
        <v/>
      </c>
      <c r="J52" s="43">
        <f>'Nov2026-EXPENSE'!R57</f>
        <v/>
      </c>
      <c r="K52" s="43">
        <f>'Dec2026-EXPENSE'!R57</f>
        <v/>
      </c>
      <c r="L52" s="43">
        <f>'Jan2027-EXPENSE'!R57</f>
        <v/>
      </c>
      <c r="M52" s="43">
        <f>'Feb2027-EXPENSE'!R57</f>
        <v/>
      </c>
      <c r="N52" s="43">
        <f>'Mar2027-EXPENSE'!R57</f>
        <v/>
      </c>
      <c r="O52" s="43">
        <f>SUM(C52:N52)</f>
        <v/>
      </c>
    </row>
    <row r="53">
      <c r="A53" s="40">
        <f>IFERROR(__xludf.DUMMYFUNCTION("""COMPUTED_VALUE"""),5749.60276196061)</f>
        <v/>
      </c>
      <c r="B53" s="37" t="inlineStr">
        <is>
          <t>T5</t>
        </is>
      </c>
      <c r="C53" s="41">
        <f>'Apr2026-EXPENSE'!R58</f>
        <v/>
      </c>
      <c r="D53" s="41">
        <f>'May2026-EXPENSE'!R58</f>
        <v/>
      </c>
      <c r="E53" s="41">
        <f>'June2026-EXPENSE'!R58</f>
        <v/>
      </c>
      <c r="F53" s="41">
        <f>'July2026-EXPENSE'!R58</f>
        <v/>
      </c>
      <c r="G53" s="41">
        <f>'Aug2026-EXPENSE'!R58</f>
        <v/>
      </c>
      <c r="H53" s="41">
        <f>'Sep2026-EXPENSE'!R58</f>
        <v/>
      </c>
      <c r="I53" s="41">
        <f>'Oct2026-EXPENSE'!R58</f>
        <v/>
      </c>
      <c r="J53" s="41">
        <f>'Nov2026-EXPENSE'!R58</f>
        <v/>
      </c>
      <c r="K53" s="41">
        <f>'Dec2026-EXPENSE'!R58</f>
        <v/>
      </c>
      <c r="L53" s="41">
        <f>'Jan2027-EXPENSE'!R58</f>
        <v/>
      </c>
      <c r="M53" s="41">
        <f>'Feb2027-EXPENSE'!R58</f>
        <v/>
      </c>
      <c r="N53" s="41">
        <f>'Mar2027-EXPENSE'!R58</f>
        <v/>
      </c>
      <c r="O53" s="41">
        <f>SUM(C53:N53)</f>
        <v/>
      </c>
    </row>
    <row r="54">
      <c r="A54" s="42">
        <f>IFERROR(__xludf.DUMMYFUNCTION("""COMPUTED_VALUE"""),4456.76495756504)</f>
        <v/>
      </c>
      <c r="B54" s="36" t="inlineStr">
        <is>
          <t>T6</t>
        </is>
      </c>
      <c r="C54" s="43">
        <f>'Apr2026-EXPENSE'!R59</f>
        <v/>
      </c>
      <c r="D54" s="43">
        <f>'May2026-EXPENSE'!R59</f>
        <v/>
      </c>
      <c r="E54" s="43">
        <f>'June2026-EXPENSE'!R59</f>
        <v/>
      </c>
      <c r="F54" s="43">
        <f>'July2026-EXPENSE'!R59</f>
        <v/>
      </c>
      <c r="G54" s="43">
        <f>'Aug2026-EXPENSE'!R59</f>
        <v/>
      </c>
      <c r="H54" s="43">
        <f>'Sep2026-EXPENSE'!R59</f>
        <v/>
      </c>
      <c r="I54" s="43">
        <f>'Oct2026-EXPENSE'!R59</f>
        <v/>
      </c>
      <c r="J54" s="43">
        <f>'Nov2026-EXPENSE'!R59</f>
        <v/>
      </c>
      <c r="K54" s="43">
        <f>'Dec2026-EXPENSE'!R59</f>
        <v/>
      </c>
      <c r="L54" s="43">
        <f>'Jan2027-EXPENSE'!R59</f>
        <v/>
      </c>
      <c r="M54" s="43">
        <f>'Feb2027-EXPENSE'!R59</f>
        <v/>
      </c>
      <c r="N54" s="43">
        <f>'Mar2027-EXPENSE'!R59</f>
        <v/>
      </c>
      <c r="O54" s="43">
        <f>SUM(C54:N54)</f>
        <v/>
      </c>
    </row>
    <row r="55">
      <c r="A55" s="40">
        <f>IFERROR(__xludf.DUMMYFUNCTION("""COMPUTED_VALUE"""),4663.61254950757)</f>
        <v/>
      </c>
      <c r="B55" s="37" t="inlineStr">
        <is>
          <t>T7</t>
        </is>
      </c>
      <c r="C55" s="41">
        <f>'Apr2026-EXPENSE'!R60</f>
        <v/>
      </c>
      <c r="D55" s="41">
        <f>'May2026-EXPENSE'!R60</f>
        <v/>
      </c>
      <c r="E55" s="41">
        <f>'June2026-EXPENSE'!R60</f>
        <v/>
      </c>
      <c r="F55" s="41">
        <f>'July2026-EXPENSE'!R60</f>
        <v/>
      </c>
      <c r="G55" s="41">
        <f>'Aug2026-EXPENSE'!R60</f>
        <v/>
      </c>
      <c r="H55" s="41">
        <f>'Sep2026-EXPENSE'!R60</f>
        <v/>
      </c>
      <c r="I55" s="41">
        <f>'Oct2026-EXPENSE'!R60</f>
        <v/>
      </c>
      <c r="J55" s="41">
        <f>'Nov2026-EXPENSE'!R60</f>
        <v/>
      </c>
      <c r="K55" s="41">
        <f>'Dec2026-EXPENSE'!R60</f>
        <v/>
      </c>
      <c r="L55" s="41">
        <f>'Jan2027-EXPENSE'!R60</f>
        <v/>
      </c>
      <c r="M55" s="41">
        <f>'Feb2027-EXPENSE'!R60</f>
        <v/>
      </c>
      <c r="N55" s="41">
        <f>'Mar2027-EXPENSE'!R60</f>
        <v/>
      </c>
      <c r="O55" s="41">
        <f>SUM(C55:N55)</f>
        <v/>
      </c>
    </row>
    <row r="56">
      <c r="A56" s="42">
        <f>IFERROR(__xludf.DUMMYFUNCTION("""COMPUTED_VALUE"""),5553.56676065092)</f>
        <v/>
      </c>
      <c r="B56" s="36" t="inlineStr">
        <is>
          <t>T8</t>
        </is>
      </c>
      <c r="C56" s="43">
        <f>'Apr2026-EXPENSE'!R61</f>
        <v/>
      </c>
      <c r="D56" s="43">
        <f>'May2026-EXPENSE'!R61</f>
        <v/>
      </c>
      <c r="E56" s="43">
        <f>'June2026-EXPENSE'!R61</f>
        <v/>
      </c>
      <c r="F56" s="43">
        <f>'July2026-EXPENSE'!R61</f>
        <v/>
      </c>
      <c r="G56" s="43">
        <f>'Aug2026-EXPENSE'!R61</f>
        <v/>
      </c>
      <c r="H56" s="43">
        <f>'Sep2026-EXPENSE'!R61</f>
        <v/>
      </c>
      <c r="I56" s="43">
        <f>'Oct2026-EXPENSE'!R61</f>
        <v/>
      </c>
      <c r="J56" s="43">
        <f>'Nov2026-EXPENSE'!R61</f>
        <v/>
      </c>
      <c r="K56" s="43">
        <f>'Dec2026-EXPENSE'!R61</f>
        <v/>
      </c>
      <c r="L56" s="43">
        <f>'Jan2027-EXPENSE'!R61</f>
        <v/>
      </c>
      <c r="M56" s="43">
        <f>'Feb2027-EXPENSE'!R61</f>
        <v/>
      </c>
      <c r="N56" s="43">
        <f>'Mar2027-EXPENSE'!R61</f>
        <v/>
      </c>
      <c r="O56" s="43">
        <f>SUM(C56:N56)</f>
        <v/>
      </c>
    </row>
    <row r="57">
      <c r="A57" s="40">
        <f>IFERROR(__xludf.DUMMYFUNCTION("""COMPUTED_VALUE"""),6049.98223349159)</f>
        <v/>
      </c>
      <c r="B57" s="37" t="inlineStr">
        <is>
          <t>T9</t>
        </is>
      </c>
      <c r="C57" s="41">
        <f>'Apr2026-EXPENSE'!R62</f>
        <v/>
      </c>
      <c r="D57" s="41">
        <f>'May2026-EXPENSE'!R62</f>
        <v/>
      </c>
      <c r="E57" s="41">
        <f>'June2026-EXPENSE'!R62</f>
        <v/>
      </c>
      <c r="F57" s="41">
        <f>'July2026-EXPENSE'!R62</f>
        <v/>
      </c>
      <c r="G57" s="41">
        <f>'Aug2026-EXPENSE'!R62</f>
        <v/>
      </c>
      <c r="H57" s="41">
        <f>'Sep2026-EXPENSE'!R62</f>
        <v/>
      </c>
      <c r="I57" s="41">
        <f>'Oct2026-EXPENSE'!R62</f>
        <v/>
      </c>
      <c r="J57" s="41">
        <f>'Nov2026-EXPENSE'!R62</f>
        <v/>
      </c>
      <c r="K57" s="41">
        <f>'Dec2026-EXPENSE'!R62</f>
        <v/>
      </c>
      <c r="L57" s="41">
        <f>'Jan2027-EXPENSE'!R62</f>
        <v/>
      </c>
      <c r="M57" s="41">
        <f>'Feb2027-EXPENSE'!R62</f>
        <v/>
      </c>
      <c r="N57" s="41">
        <f>'Mar2027-EXPENSE'!R62</f>
        <v/>
      </c>
      <c r="O57" s="41">
        <f>SUM(C57:N57)</f>
        <v/>
      </c>
    </row>
    <row r="58">
      <c r="A58" s="42">
        <f>IFERROR(__xludf.DUMMYFUNCTION("""COMPUTED_VALUE"""),5147.58208177566)</f>
        <v/>
      </c>
      <c r="B58" s="36" t="inlineStr">
        <is>
          <t>T10</t>
        </is>
      </c>
      <c r="C58" s="43">
        <f>'Apr2026-EXPENSE'!R63</f>
        <v/>
      </c>
      <c r="D58" s="43">
        <f>'May2026-EXPENSE'!R63</f>
        <v/>
      </c>
      <c r="E58" s="43">
        <f>'June2026-EXPENSE'!R63</f>
        <v/>
      </c>
      <c r="F58" s="43">
        <f>'July2026-EXPENSE'!R63</f>
        <v/>
      </c>
      <c r="G58" s="43">
        <f>'Aug2026-EXPENSE'!R63</f>
        <v/>
      </c>
      <c r="H58" s="43">
        <f>'Sep2026-EXPENSE'!R63</f>
        <v/>
      </c>
      <c r="I58" s="43">
        <f>'Oct2026-EXPENSE'!R63</f>
        <v/>
      </c>
      <c r="J58" s="43">
        <f>'Nov2026-EXPENSE'!R63</f>
        <v/>
      </c>
      <c r="K58" s="43">
        <f>'Dec2026-EXPENSE'!R63</f>
        <v/>
      </c>
      <c r="L58" s="43">
        <f>'Jan2027-EXPENSE'!R63</f>
        <v/>
      </c>
      <c r="M58" s="43">
        <f>'Feb2027-EXPENSE'!R63</f>
        <v/>
      </c>
      <c r="N58" s="43">
        <f>'Mar2027-EXPENSE'!R63</f>
        <v/>
      </c>
      <c r="O58" s="43">
        <f>SUM(C58:N58)</f>
        <v/>
      </c>
    </row>
    <row r="59">
      <c r="A59" s="40">
        <f>IFERROR(__xludf.DUMMYFUNCTION("""COMPUTED_VALUE"""),6692.71388300183)</f>
        <v/>
      </c>
      <c r="B59" s="37" t="inlineStr">
        <is>
          <t>T11</t>
        </is>
      </c>
      <c r="C59" s="41">
        <f>'Apr2026-EXPENSE'!R64</f>
        <v/>
      </c>
      <c r="D59" s="41">
        <f>'May2026-EXPENSE'!R64</f>
        <v/>
      </c>
      <c r="E59" s="41">
        <f>'June2026-EXPENSE'!R64</f>
        <v/>
      </c>
      <c r="F59" s="41">
        <f>'July2026-EXPENSE'!R64</f>
        <v/>
      </c>
      <c r="G59" s="41">
        <f>'Aug2026-EXPENSE'!R64</f>
        <v/>
      </c>
      <c r="H59" s="41">
        <f>'Sep2026-EXPENSE'!R64</f>
        <v/>
      </c>
      <c r="I59" s="41">
        <f>'Oct2026-EXPENSE'!R64</f>
        <v/>
      </c>
      <c r="J59" s="41">
        <f>'Nov2026-EXPENSE'!R64</f>
        <v/>
      </c>
      <c r="K59" s="41">
        <f>'Dec2026-EXPENSE'!R64</f>
        <v/>
      </c>
      <c r="L59" s="41">
        <f>'Jan2027-EXPENSE'!R64</f>
        <v/>
      </c>
      <c r="M59" s="41">
        <f>'Feb2027-EXPENSE'!R64</f>
        <v/>
      </c>
      <c r="N59" s="41">
        <f>'Mar2027-EXPENSE'!R64</f>
        <v/>
      </c>
      <c r="O59" s="41">
        <f>SUM(C59:N59)</f>
        <v/>
      </c>
    </row>
    <row r="60">
      <c r="A60" s="42">
        <f>IFERROR(__xludf.DUMMYFUNCTION("""COMPUTED_VALUE"""),6982.28310947138)</f>
        <v/>
      </c>
      <c r="B60" s="36" t="inlineStr">
        <is>
          <t>T12</t>
        </is>
      </c>
      <c r="C60" s="43">
        <f>'Apr2026-EXPENSE'!R65</f>
        <v/>
      </c>
      <c r="D60" s="43">
        <f>'May2026-EXPENSE'!R65</f>
        <v/>
      </c>
      <c r="E60" s="43">
        <f>'June2026-EXPENSE'!R65</f>
        <v/>
      </c>
      <c r="F60" s="43">
        <f>'July2026-EXPENSE'!R65</f>
        <v/>
      </c>
      <c r="G60" s="43">
        <f>'Aug2026-EXPENSE'!R65</f>
        <v/>
      </c>
      <c r="H60" s="43">
        <f>'Sep2026-EXPENSE'!R65</f>
        <v/>
      </c>
      <c r="I60" s="43">
        <f>'Oct2026-EXPENSE'!R65</f>
        <v/>
      </c>
      <c r="J60" s="43">
        <f>'Nov2026-EXPENSE'!R65</f>
        <v/>
      </c>
      <c r="K60" s="43">
        <f>'Dec2026-EXPENSE'!R65</f>
        <v/>
      </c>
      <c r="L60" s="43">
        <f>'Jan2027-EXPENSE'!R65</f>
        <v/>
      </c>
      <c r="M60" s="43">
        <f>'Feb2027-EXPENSE'!R65</f>
        <v/>
      </c>
      <c r="N60" s="43">
        <f>'Mar2027-EXPENSE'!R65</f>
        <v/>
      </c>
      <c r="O60" s="43">
        <f>SUM(C60:N60)</f>
        <v/>
      </c>
    </row>
    <row r="61">
      <c r="A61" s="40">
        <f>IFERROR(__xludf.DUMMYFUNCTION("""COMPUTED_VALUE"""),5286.88031379142)</f>
        <v/>
      </c>
      <c r="B61" s="37" t="inlineStr">
        <is>
          <t>T13</t>
        </is>
      </c>
      <c r="C61" s="41">
        <f>'Apr2026-EXPENSE'!R66</f>
        <v/>
      </c>
      <c r="D61" s="41">
        <f>'May2026-EXPENSE'!R66</f>
        <v/>
      </c>
      <c r="E61" s="41">
        <f>'June2026-EXPENSE'!R66</f>
        <v/>
      </c>
      <c r="F61" s="41">
        <f>'July2026-EXPENSE'!R66</f>
        <v/>
      </c>
      <c r="G61" s="41">
        <f>'Aug2026-EXPENSE'!R66</f>
        <v/>
      </c>
      <c r="H61" s="41">
        <f>'Sep2026-EXPENSE'!R66</f>
        <v/>
      </c>
      <c r="I61" s="41">
        <f>'Oct2026-EXPENSE'!R66</f>
        <v/>
      </c>
      <c r="J61" s="41">
        <f>'Nov2026-EXPENSE'!R66</f>
        <v/>
      </c>
      <c r="K61" s="41">
        <f>'Dec2026-EXPENSE'!R66</f>
        <v/>
      </c>
      <c r="L61" s="41">
        <f>'Jan2027-EXPENSE'!R66</f>
        <v/>
      </c>
      <c r="M61" s="41">
        <f>'Feb2027-EXPENSE'!R66</f>
        <v/>
      </c>
      <c r="N61" s="41">
        <f>'Mar2027-EXPENSE'!R66</f>
        <v/>
      </c>
      <c r="O61" s="41">
        <f>SUM(C61:N61)</f>
        <v/>
      </c>
    </row>
    <row r="62">
      <c r="A62" s="42">
        <f>IFERROR(__xludf.DUMMYFUNCTION("""COMPUTED_VALUE"""),5176.15593724839)</f>
        <v/>
      </c>
      <c r="B62" s="36" t="inlineStr">
        <is>
          <t>T14</t>
        </is>
      </c>
      <c r="C62" s="43">
        <f>'Apr2026-EXPENSE'!R67</f>
        <v/>
      </c>
      <c r="D62" s="43">
        <f>'May2026-EXPENSE'!R67</f>
        <v/>
      </c>
      <c r="E62" s="43">
        <f>'June2026-EXPENSE'!R67</f>
        <v/>
      </c>
      <c r="F62" s="43">
        <f>'July2026-EXPENSE'!R67</f>
        <v/>
      </c>
      <c r="G62" s="43">
        <f>'Aug2026-EXPENSE'!R67</f>
        <v/>
      </c>
      <c r="H62" s="43">
        <f>'Sep2026-EXPENSE'!R67</f>
        <v/>
      </c>
      <c r="I62" s="43">
        <f>'Oct2026-EXPENSE'!R67</f>
        <v/>
      </c>
      <c r="J62" s="43">
        <f>'Nov2026-EXPENSE'!R67</f>
        <v/>
      </c>
      <c r="K62" s="43">
        <f>'Dec2026-EXPENSE'!R67</f>
        <v/>
      </c>
      <c r="L62" s="43">
        <f>'Jan2027-EXPENSE'!R67</f>
        <v/>
      </c>
      <c r="M62" s="43">
        <f>'Feb2027-EXPENSE'!R67</f>
        <v/>
      </c>
      <c r="N62" s="43">
        <f>'Mar2027-EXPENSE'!R67</f>
        <v/>
      </c>
      <c r="O62" s="43">
        <f>SUM(C62:N62)</f>
        <v/>
      </c>
    </row>
    <row r="63">
      <c r="A63" s="40">
        <f>IFERROR(__xludf.DUMMYFUNCTION("""COMPUTED_VALUE"""),4924.66829336369)</f>
        <v/>
      </c>
      <c r="B63" s="37" t="inlineStr">
        <is>
          <t>T15</t>
        </is>
      </c>
      <c r="C63" s="41">
        <f>'Apr2026-EXPENSE'!R68</f>
        <v/>
      </c>
      <c r="D63" s="41">
        <f>'May2026-EXPENSE'!R68</f>
        <v/>
      </c>
      <c r="E63" s="41">
        <f>'June2026-EXPENSE'!R68</f>
        <v/>
      </c>
      <c r="F63" s="41">
        <f>'July2026-EXPENSE'!R68</f>
        <v/>
      </c>
      <c r="G63" s="41">
        <f>'Aug2026-EXPENSE'!R68</f>
        <v/>
      </c>
      <c r="H63" s="41">
        <f>'Sep2026-EXPENSE'!R68</f>
        <v/>
      </c>
      <c r="I63" s="41">
        <f>'Oct2026-EXPENSE'!R68</f>
        <v/>
      </c>
      <c r="J63" s="41">
        <f>'Nov2026-EXPENSE'!R68</f>
        <v/>
      </c>
      <c r="K63" s="41">
        <f>'Dec2026-EXPENSE'!R68</f>
        <v/>
      </c>
      <c r="L63" s="41">
        <f>'Jan2027-EXPENSE'!R68</f>
        <v/>
      </c>
      <c r="M63" s="41">
        <f>'Feb2027-EXPENSE'!R68</f>
        <v/>
      </c>
      <c r="N63" s="41">
        <f>'Mar2027-EXPENSE'!R68</f>
        <v/>
      </c>
      <c r="O63" s="41">
        <f>SUM(C63:N63)</f>
        <v/>
      </c>
    </row>
    <row r="64">
      <c r="A64" s="42">
        <f>IFERROR(__xludf.DUMMYFUNCTION("""COMPUTED_VALUE"""),5011.40900007818)</f>
        <v/>
      </c>
      <c r="B64" s="36" t="inlineStr">
        <is>
          <t>T16</t>
        </is>
      </c>
      <c r="C64" s="43">
        <f>'Apr2026-EXPENSE'!R69</f>
        <v/>
      </c>
      <c r="D64" s="43">
        <f>'May2026-EXPENSE'!R69</f>
        <v/>
      </c>
      <c r="E64" s="43">
        <f>'June2026-EXPENSE'!R69</f>
        <v/>
      </c>
      <c r="F64" s="43">
        <f>'July2026-EXPENSE'!R69</f>
        <v/>
      </c>
      <c r="G64" s="43">
        <f>'Aug2026-EXPENSE'!R69</f>
        <v/>
      </c>
      <c r="H64" s="43">
        <f>'Sep2026-EXPENSE'!R69</f>
        <v/>
      </c>
      <c r="I64" s="43">
        <f>'Oct2026-EXPENSE'!R69</f>
        <v/>
      </c>
      <c r="J64" s="43">
        <f>'Nov2026-EXPENSE'!R69</f>
        <v/>
      </c>
      <c r="K64" s="43">
        <f>'Dec2026-EXPENSE'!R69</f>
        <v/>
      </c>
      <c r="L64" s="43">
        <f>'Jan2027-EXPENSE'!R69</f>
        <v/>
      </c>
      <c r="M64" s="43">
        <f>'Feb2027-EXPENSE'!R69</f>
        <v/>
      </c>
      <c r="N64" s="43">
        <f>'Mar2027-EXPENSE'!R69</f>
        <v/>
      </c>
      <c r="O64" s="43">
        <f>SUM(C64:N64)</f>
        <v/>
      </c>
    </row>
    <row r="65">
      <c r="A65" s="40">
        <f>IFERROR(__xludf.DUMMYFUNCTION("""COMPUTED_VALUE"""),65695.2218819063)</f>
        <v/>
      </c>
      <c r="B65" s="37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>
        <f>SUM(C65:N65)</f>
        <v/>
      </c>
    </row>
    <row r="66">
      <c r="A66" s="4" t="n"/>
      <c r="B66" s="26" t="n"/>
      <c r="O66" s="26">
        <f>SUM(C66:N66)</f>
        <v/>
      </c>
    </row>
    <row r="67">
      <c r="A67" s="4" t="n"/>
      <c r="B67" s="26" t="n"/>
      <c r="O67" s="26">
        <f>SUM(C67:N67)</f>
        <v/>
      </c>
    </row>
    <row r="68">
      <c r="A68" s="4" t="n"/>
      <c r="B68" s="26" t="n"/>
      <c r="O68" s="26">
        <f>SUM(C68:N68)</f>
        <v/>
      </c>
    </row>
    <row r="69">
      <c r="A69" s="37">
        <f>IFERROR(__xludf.DUMMYFUNCTION("""COMPUTED_VALUE"""),"F5")</f>
        <v/>
      </c>
      <c r="B69" s="37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>
        <f>SUM(C69:N69)</f>
        <v/>
      </c>
    </row>
    <row r="70">
      <c r="A70" s="42">
        <f>IFERROR(__xludf.DUMMYFUNCTION("""COMPUTED_VALUE"""),5400.92370795005)</f>
        <v/>
      </c>
      <c r="B70" s="36" t="n"/>
      <c r="C70" s="47" t="n"/>
      <c r="D70" s="47" t="n"/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  <c r="O70" s="47">
        <f>SUM(C70:N70)</f>
        <v/>
      </c>
    </row>
    <row r="71">
      <c r="A71" s="40">
        <f>IFERROR(__xludf.DUMMYFUNCTION("""COMPUTED_VALUE"""),4039.04885981426)</f>
        <v/>
      </c>
      <c r="B71" s="37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>
        <f>SUM(C71:N71)</f>
        <v/>
      </c>
    </row>
    <row r="72">
      <c r="A72" s="42">
        <f>IFERROR(__xludf.DUMMYFUNCTION("""COMPUTED_VALUE"""),4272.86364851562)</f>
        <v/>
      </c>
      <c r="B72" s="36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  <c r="O72" s="47">
        <f>SUM(C72:N72)</f>
        <v/>
      </c>
    </row>
    <row r="73">
      <c r="A73" s="40">
        <f>IFERROR(__xludf.DUMMYFUNCTION("""COMPUTED_VALUE"""),5172.39244182987)</f>
        <v/>
      </c>
      <c r="B73" s="37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>
        <f>SUM(C73:N73)</f>
        <v/>
      </c>
    </row>
    <row r="74">
      <c r="A74" s="42">
        <f>IFERROR(__xludf.DUMMYFUNCTION("""COMPUTED_VALUE"""),7049.57617817068)</f>
        <v/>
      </c>
      <c r="B74" s="36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  <c r="O74" s="47">
        <f>SUM(C74:N74)</f>
        <v/>
      </c>
    </row>
    <row r="75">
      <c r="A75" s="40">
        <f>IFERROR(__xludf.DUMMYFUNCTION("""COMPUTED_VALUE"""),5209.98613138248)</f>
        <v/>
      </c>
      <c r="B75" s="37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M75" s="104" t="n"/>
      <c r="N75" s="104" t="n"/>
      <c r="O75" s="104">
        <f>SUM(C75:N75)</f>
        <v/>
      </c>
    </row>
    <row r="76">
      <c r="A76" s="42">
        <f>IFERROR(__xludf.DUMMYFUNCTION("""COMPUTED_VALUE"""),6530.43271586085)</f>
        <v/>
      </c>
      <c r="B76" s="36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  <c r="O76" s="47">
        <f>SUM(C76:N76)</f>
        <v/>
      </c>
    </row>
    <row r="77">
      <c r="A77" s="40">
        <f>IFERROR(__xludf.DUMMYFUNCTION("""COMPUTED_VALUE"""),6987.98957675866)</f>
        <v/>
      </c>
      <c r="B77" s="37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4" t="n"/>
      <c r="N77" s="104" t="n"/>
      <c r="O77" s="104">
        <f>SUM(C77:N77)</f>
        <v/>
      </c>
    </row>
    <row r="78">
      <c r="A78" s="42">
        <f>IFERROR(__xludf.DUMMYFUNCTION("""COMPUTED_VALUE"""),5357.47699352615)</f>
        <v/>
      </c>
      <c r="B78" s="36" t="n"/>
      <c r="C78" s="47" t="n"/>
      <c r="D78" s="47" t="n"/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  <c r="O78" s="47">
        <f>SUM(C78:N78)</f>
        <v/>
      </c>
    </row>
    <row r="79">
      <c r="A79" s="40">
        <f>IFERROR(__xludf.DUMMYFUNCTION("""COMPUTED_VALUE"""),5143.8208706995)</f>
        <v/>
      </c>
      <c r="B79" s="37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>
        <f>SUM(C79:N79)</f>
        <v/>
      </c>
    </row>
    <row r="80">
      <c r="A80" s="42">
        <f>IFERROR(__xludf.DUMMYFUNCTION("""COMPUTED_VALUE"""),4698.8491844943)</f>
        <v/>
      </c>
      <c r="B80" s="36" t="n"/>
      <c r="C80" s="47" t="n"/>
      <c r="D80" s="47" t="n"/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  <c r="O80" s="47">
        <f>SUM(C80:N80)</f>
        <v/>
      </c>
    </row>
    <row r="81">
      <c r="A81" s="40">
        <f>IFERROR(__xludf.DUMMYFUNCTION("""COMPUTED_VALUE"""),5020.49384870683)</f>
        <v/>
      </c>
      <c r="B81" s="37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M81" s="104" t="n"/>
      <c r="N81" s="104" t="n"/>
      <c r="O81" s="104">
        <f>SUM(C81:N81)</f>
        <v/>
      </c>
    </row>
    <row r="82">
      <c r="A82" s="42">
        <f>IFERROR(__xludf.DUMMYFUNCTION("""COMPUTED_VALUE"""),64883.8541577092)</f>
        <v/>
      </c>
      <c r="B82" s="36" t="n"/>
      <c r="C82" s="47" t="n"/>
      <c r="D82" s="47" t="n"/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  <c r="O82" s="47">
        <f>SUM(C82:N82)</f>
        <v/>
      </c>
    </row>
    <row r="83">
      <c r="A83" s="4" t="n"/>
      <c r="B83" s="26" t="n"/>
      <c r="O83" s="26">
        <f>SUM(C83:N83)</f>
        <v/>
      </c>
    </row>
    <row r="84">
      <c r="A84" s="4" t="n"/>
      <c r="B84" s="26" t="n"/>
      <c r="O84" s="26">
        <f>SUM(C84:N84)</f>
        <v/>
      </c>
    </row>
    <row r="85">
      <c r="A85" s="4" t="n"/>
      <c r="B85" s="26" t="n"/>
      <c r="O85" s="26">
        <f>SUM(C85:N85)</f>
        <v/>
      </c>
    </row>
    <row r="86">
      <c r="A86" s="36">
        <f>IFERROR(__xludf.DUMMYFUNCTION("""COMPUTED_VALUE"""),"F6")</f>
        <v/>
      </c>
      <c r="B86" s="36" t="n"/>
      <c r="C86" s="47" t="n"/>
      <c r="D86" s="47" t="n"/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  <c r="O86" s="47">
        <f>SUM(C86:N86)</f>
        <v/>
      </c>
    </row>
    <row r="87">
      <c r="A87" s="40">
        <f>IFERROR(__xludf.DUMMYFUNCTION("""COMPUTED_VALUE"""),5895.41511891449)</f>
        <v/>
      </c>
      <c r="B87" s="37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M87" s="104" t="n"/>
      <c r="N87" s="104" t="n"/>
      <c r="O87" s="104">
        <f>SUM(C87:N87)</f>
        <v/>
      </c>
    </row>
    <row r="88">
      <c r="A88" s="42">
        <f>IFERROR(__xludf.DUMMYFUNCTION("""COMPUTED_VALUE"""),4348.47870287474)</f>
        <v/>
      </c>
      <c r="B88" s="36" t="n"/>
      <c r="C88" s="47" t="n"/>
      <c r="D88" s="47" t="n"/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  <c r="O88" s="47">
        <f>SUM(C88:N88)</f>
        <v/>
      </c>
    </row>
    <row r="89">
      <c r="A89" s="40">
        <f>IFERROR(__xludf.DUMMYFUNCTION("""COMPUTED_VALUE"""),4628.27985795284)</f>
        <v/>
      </c>
      <c r="B89" s="37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M89" s="104" t="n"/>
      <c r="N89" s="104" t="n"/>
      <c r="O89" s="104">
        <f>SUM(C89:N89)</f>
        <v/>
      </c>
    </row>
    <row r="90">
      <c r="A90" s="42">
        <f>IFERROR(__xludf.DUMMYFUNCTION("""COMPUTED_VALUE"""),5465.19797390964)</f>
        <v/>
      </c>
      <c r="B90" s="36" t="n"/>
      <c r="C90" s="47" t="n"/>
      <c r="D90" s="47" t="n"/>
      <c r="E90" s="47" t="n"/>
      <c r="F90" s="47" t="n"/>
      <c r="G90" s="47" t="n"/>
      <c r="H90" s="47" t="n"/>
      <c r="I90" s="47" t="n"/>
      <c r="J90" s="47" t="n"/>
      <c r="K90" s="47" t="n"/>
      <c r="L90" s="47" t="n"/>
      <c r="M90" s="47" t="n"/>
      <c r="N90" s="47" t="n"/>
      <c r="O90" s="47">
        <f>SUM(C90:N90)</f>
        <v/>
      </c>
    </row>
    <row r="91">
      <c r="A91" s="40">
        <f>IFERROR(__xludf.DUMMYFUNCTION("""COMPUTED_VALUE"""),6089.55634396898)</f>
        <v/>
      </c>
      <c r="B91" s="37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>
        <f>SUM(C91:N91)</f>
        <v/>
      </c>
    </row>
    <row r="92">
      <c r="A92" s="42">
        <f>IFERROR(__xludf.DUMMYFUNCTION("""COMPUTED_VALUE"""),5134.85028610194)</f>
        <v/>
      </c>
      <c r="B92" s="36" t="n"/>
      <c r="C92" s="47" t="n"/>
      <c r="D92" s="47" t="n"/>
      <c r="E92" s="47" t="n"/>
      <c r="F92" s="47" t="n"/>
      <c r="G92" s="47" t="n"/>
      <c r="H92" s="47" t="n"/>
      <c r="I92" s="47" t="n"/>
      <c r="J92" s="47" t="n"/>
      <c r="K92" s="47" t="n"/>
      <c r="L92" s="47" t="n"/>
      <c r="M92" s="47" t="n"/>
      <c r="N92" s="47" t="n"/>
      <c r="O92" s="47">
        <f>SUM(C92:N92)</f>
        <v/>
      </c>
    </row>
    <row r="93">
      <c r="A93" s="40">
        <f>IFERROR(__xludf.DUMMYFUNCTION("""COMPUTED_VALUE"""),6606.88626689415)</f>
        <v/>
      </c>
      <c r="B93" s="37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M93" s="104" t="n"/>
      <c r="N93" s="104" t="n"/>
      <c r="O93" s="104">
        <f>SUM(C93:N93)</f>
        <v/>
      </c>
    </row>
    <row r="94">
      <c r="A94" s="42">
        <f>IFERROR(__xludf.DUMMYFUNCTION("""COMPUTED_VALUE"""),6993.2188819876)</f>
        <v/>
      </c>
      <c r="B94" s="36" t="n"/>
      <c r="C94" s="47" t="n"/>
      <c r="D94" s="47" t="n"/>
      <c r="E94" s="47" t="n"/>
      <c r="F94" s="47" t="n"/>
      <c r="G94" s="47" t="n"/>
      <c r="H94" s="47" t="n"/>
      <c r="I94" s="47" t="n"/>
      <c r="J94" s="47" t="n"/>
      <c r="K94" s="47" t="n"/>
      <c r="L94" s="47" t="n"/>
      <c r="M94" s="47" t="n"/>
      <c r="N94" s="47" t="n"/>
      <c r="O94" s="47">
        <f>SUM(C94:N94)</f>
        <v/>
      </c>
    </row>
    <row r="95">
      <c r="A95" s="40">
        <f>IFERROR(__xludf.DUMMYFUNCTION("""COMPUTED_VALUE"""),5157.93865030045)</f>
        <v/>
      </c>
      <c r="B95" s="37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M95" s="104" t="n"/>
      <c r="N95" s="104" t="n"/>
      <c r="O95" s="104">
        <f>SUM(C95:N95)</f>
        <v/>
      </c>
    </row>
    <row r="96">
      <c r="A96" s="42">
        <f>IFERROR(__xludf.DUMMYFUNCTION("""COMPUTED_VALUE"""),5083.58269894607)</f>
        <v/>
      </c>
      <c r="B96" s="36" t="n"/>
      <c r="C96" s="47" t="n"/>
      <c r="D96" s="47" t="n"/>
      <c r="E96" s="47" t="n"/>
      <c r="F96" s="47" t="n"/>
      <c r="G96" s="47" t="n"/>
      <c r="H96" s="47" t="n"/>
      <c r="I96" s="47" t="n"/>
      <c r="J96" s="47" t="n"/>
      <c r="K96" s="47" t="n"/>
      <c r="L96" s="47" t="n"/>
      <c r="M96" s="47" t="n"/>
      <c r="N96" s="47" t="n"/>
      <c r="O96" s="47">
        <f>SUM(C96:N96)</f>
        <v/>
      </c>
    </row>
    <row r="97">
      <c r="A97" s="40">
        <f>IFERROR(__xludf.DUMMYFUNCTION("""COMPUTED_VALUE"""),4867.34141614174)</f>
        <v/>
      </c>
      <c r="B97" s="37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4" t="n"/>
      <c r="N97" s="104" t="n"/>
      <c r="O97" s="104">
        <f>SUM(C97:N97)</f>
        <v/>
      </c>
    </row>
    <row r="98">
      <c r="A98" s="42">
        <f>IFERROR(__xludf.DUMMYFUNCTION("""COMPUTED_VALUE"""),4863.08054571994)</f>
        <v/>
      </c>
      <c r="B98" s="36" t="n"/>
      <c r="C98" s="47" t="n"/>
      <c r="D98" s="47" t="n"/>
      <c r="E98" s="47" t="n"/>
      <c r="F98" s="47" t="n"/>
      <c r="G98" s="47" t="n"/>
      <c r="H98" s="47" t="n"/>
      <c r="I98" s="47" t="n"/>
      <c r="J98" s="47" t="n"/>
      <c r="K98" s="47" t="n"/>
      <c r="L98" s="47" t="n"/>
      <c r="M98" s="47" t="n"/>
      <c r="N98" s="47" t="n"/>
      <c r="O98" s="47">
        <f>SUM(C98:N98)</f>
        <v/>
      </c>
    </row>
    <row r="99">
      <c r="A99" s="40">
        <f>IFERROR(__xludf.DUMMYFUNCTION("""COMPUTED_VALUE"""),65133.8267437126)</f>
        <v/>
      </c>
      <c r="B99" s="37" t="n"/>
      <c r="C99" s="104" t="n"/>
      <c r="D99" s="104" t="n"/>
      <c r="E99" s="104" t="n"/>
      <c r="F99" s="104" t="n"/>
      <c r="G99" s="104" t="n"/>
      <c r="H99" s="104" t="n"/>
      <c r="I99" s="104" t="n"/>
      <c r="J99" s="104" t="n"/>
      <c r="K99" s="104" t="n"/>
      <c r="L99" s="104" t="n"/>
      <c r="M99" s="104" t="n"/>
      <c r="N99" s="104" t="n"/>
      <c r="O99" s="104">
        <f>SUM(C99:N99)</f>
        <v/>
      </c>
    </row>
    <row r="100">
      <c r="A100" s="4" t="n"/>
      <c r="B100" s="26" t="n"/>
      <c r="O100" s="26">
        <f>SUM(C100:N100)</f>
        <v/>
      </c>
    </row>
    <row r="101">
      <c r="A101" s="4" t="n"/>
      <c r="B101" s="26" t="n"/>
      <c r="O101" s="26">
        <f>SUM(C101:N101)</f>
        <v/>
      </c>
    </row>
    <row r="102">
      <c r="A102" s="4" t="n"/>
      <c r="B102" s="26" t="n"/>
      <c r="O102" s="26">
        <f>SUM(C102:N102)</f>
        <v/>
      </c>
    </row>
    <row r="103">
      <c r="A103" s="37">
        <f>IFERROR(__xludf.DUMMYFUNCTION("""COMPUTED_VALUE"""),"F7")</f>
        <v/>
      </c>
      <c r="B103" s="37" t="n"/>
      <c r="C103" s="104" t="n"/>
      <c r="D103" s="104" t="n"/>
      <c r="E103" s="104" t="n"/>
      <c r="F103" s="104" t="n"/>
      <c r="G103" s="104" t="n"/>
      <c r="H103" s="104" t="n"/>
      <c r="I103" s="104" t="n"/>
      <c r="J103" s="104" t="n"/>
      <c r="K103" s="104" t="n"/>
      <c r="L103" s="104" t="n"/>
      <c r="M103" s="104" t="n"/>
      <c r="N103" s="104" t="n"/>
      <c r="O103" s="104">
        <f>SUM(C103:N103)</f>
        <v/>
      </c>
    </row>
    <row r="104">
      <c r="A104" s="42">
        <f>IFERROR(__xludf.DUMMYFUNCTION("""COMPUTED_VALUE"""),6181.01602828857)</f>
        <v/>
      </c>
      <c r="B104" s="36" t="n"/>
      <c r="C104" s="47" t="n"/>
      <c r="D104" s="47" t="n"/>
      <c r="E104" s="47" t="n"/>
      <c r="F104" s="47" t="n"/>
      <c r="G104" s="47" t="n"/>
      <c r="H104" s="47" t="n"/>
      <c r="I104" s="47" t="n"/>
      <c r="J104" s="47" t="n"/>
      <c r="K104" s="47" t="n"/>
      <c r="L104" s="47" t="n"/>
      <c r="M104" s="47" t="n"/>
      <c r="N104" s="47" t="n"/>
      <c r="O104" s="47">
        <f>SUM(C104:N104)</f>
        <v/>
      </c>
    </row>
    <row r="105">
      <c r="A105" s="40">
        <f>IFERROR(__xludf.DUMMYFUNCTION("""COMPUTED_VALUE"""),4817.23628073072)</f>
        <v/>
      </c>
      <c r="B105" s="37" t="n"/>
      <c r="C105" s="104" t="n"/>
      <c r="D105" s="104" t="n"/>
      <c r="E105" s="104" t="n"/>
      <c r="F105" s="104" t="n"/>
      <c r="G105" s="104" t="n"/>
      <c r="H105" s="104" t="n"/>
      <c r="I105" s="104" t="n"/>
      <c r="J105" s="104" t="n"/>
      <c r="K105" s="104" t="n"/>
      <c r="L105" s="104" t="n"/>
      <c r="M105" s="104" t="n"/>
      <c r="N105" s="104" t="n"/>
      <c r="O105" s="104">
        <f>SUM(C105:N105)</f>
        <v/>
      </c>
    </row>
    <row r="106">
      <c r="A106" s="42">
        <f>IFERROR(__xludf.DUMMYFUNCTION("""COMPUTED_VALUE"""),5050.9140221374)</f>
        <v/>
      </c>
      <c r="B106" s="36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7" t="n"/>
      <c r="L106" s="47" t="n"/>
      <c r="M106" s="47" t="n"/>
      <c r="N106" s="47" t="n"/>
      <c r="O106" s="47">
        <f>SUM(C106:N106)</f>
        <v/>
      </c>
    </row>
    <row r="107">
      <c r="A107" s="40">
        <f>IFERROR(__xludf.DUMMYFUNCTION("""COMPUTED_VALUE"""),5938.62434690359)</f>
        <v/>
      </c>
      <c r="B107" s="37" t="n"/>
      <c r="C107" s="104" t="n"/>
      <c r="D107" s="104" t="n"/>
      <c r="E107" s="104" t="n"/>
      <c r="F107" s="104" t="n"/>
      <c r="G107" s="104" t="n"/>
      <c r="H107" s="104" t="n"/>
      <c r="I107" s="104" t="n"/>
      <c r="J107" s="104" t="n"/>
      <c r="K107" s="104" t="n"/>
      <c r="L107" s="104" t="n"/>
      <c r="M107" s="104" t="n"/>
      <c r="N107" s="104" t="n"/>
      <c r="O107" s="104">
        <f>SUM(C107:N107)</f>
        <v/>
      </c>
    </row>
    <row r="108">
      <c r="A108" s="42">
        <f>IFERROR(__xludf.DUMMYFUNCTION("""COMPUTED_VALUE"""),6331.91052351562)</f>
        <v/>
      </c>
      <c r="B108" s="36" t="n"/>
      <c r="C108" s="47" t="n"/>
      <c r="D108" s="47" t="n"/>
      <c r="E108" s="47" t="n"/>
      <c r="F108" s="47" t="n"/>
      <c r="G108" s="47" t="n"/>
      <c r="H108" s="47" t="n"/>
      <c r="I108" s="47" t="n"/>
      <c r="J108" s="47" t="n"/>
      <c r="K108" s="47" t="n"/>
      <c r="L108" s="47" t="n"/>
      <c r="M108" s="47" t="n"/>
      <c r="N108" s="47" t="n"/>
      <c r="O108" s="47">
        <f>SUM(C108:N108)</f>
        <v/>
      </c>
    </row>
    <row r="109">
      <c r="A109" s="40">
        <f>IFERROR(__xludf.DUMMYFUNCTION("""COMPUTED_VALUE"""),5504.83705708734)</f>
        <v/>
      </c>
      <c r="B109" s="37" t="n"/>
      <c r="C109" s="104" t="n"/>
      <c r="D109" s="104" t="n"/>
      <c r="E109" s="104" t="n"/>
      <c r="F109" s="104" t="n"/>
      <c r="G109" s="104" t="n"/>
      <c r="H109" s="104" t="n"/>
      <c r="I109" s="104" t="n"/>
      <c r="J109" s="104" t="n"/>
      <c r="K109" s="104" t="n"/>
      <c r="L109" s="104" t="n"/>
      <c r="M109" s="104" t="n"/>
      <c r="N109" s="104" t="n"/>
      <c r="O109" s="104">
        <f>SUM(C109:N109)</f>
        <v/>
      </c>
    </row>
    <row r="110">
      <c r="A110" s="42">
        <f>IFERROR(__xludf.DUMMYFUNCTION("""COMPUTED_VALUE"""),6883.18240239598)</f>
        <v/>
      </c>
      <c r="B110" s="36" t="n"/>
      <c r="C110" s="47" t="n"/>
      <c r="D110" s="47" t="n"/>
      <c r="E110" s="47" t="n"/>
      <c r="F110" s="47" t="n"/>
      <c r="G110" s="47" t="n"/>
      <c r="H110" s="47" t="n"/>
      <c r="I110" s="47" t="n"/>
      <c r="J110" s="47" t="n"/>
      <c r="K110" s="47" t="n"/>
      <c r="L110" s="47" t="n"/>
      <c r="M110" s="47" t="n"/>
      <c r="N110" s="47" t="n"/>
      <c r="O110" s="47">
        <f>SUM(C110:N110)</f>
        <v/>
      </c>
    </row>
    <row r="111">
      <c r="A111" s="40">
        <f>IFERROR(__xludf.DUMMYFUNCTION("""COMPUTED_VALUE"""),7220.67571503646)</f>
        <v/>
      </c>
      <c r="B111" s="37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4" t="n"/>
      <c r="N111" s="104" t="n"/>
      <c r="O111" s="104">
        <f>SUM(C111:N111)</f>
        <v/>
      </c>
    </row>
    <row r="112">
      <c r="A112" s="42">
        <f>IFERROR(__xludf.DUMMYFUNCTION("""COMPUTED_VALUE"""),5568.99228472185)</f>
        <v/>
      </c>
      <c r="B112" s="36" t="n"/>
      <c r="C112" s="47" t="n"/>
      <c r="D112" s="47" t="n"/>
      <c r="E112" s="47" t="n"/>
      <c r="F112" s="47" t="n"/>
      <c r="G112" s="47" t="n"/>
      <c r="H112" s="47" t="n"/>
      <c r="I112" s="47" t="n"/>
      <c r="J112" s="47" t="n"/>
      <c r="K112" s="47" t="n"/>
      <c r="L112" s="47" t="n"/>
      <c r="M112" s="47" t="n"/>
      <c r="N112" s="47" t="n"/>
      <c r="O112" s="47">
        <f>SUM(C112:N112)</f>
        <v/>
      </c>
    </row>
    <row r="113">
      <c r="A113" s="40">
        <f>IFERROR(__xludf.DUMMYFUNCTION("""COMPUTED_VALUE"""),5486.73999097578)</f>
        <v/>
      </c>
      <c r="B113" s="37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4" t="n"/>
      <c r="N113" s="104" t="n"/>
      <c r="O113" s="104">
        <f>SUM(C113:N113)</f>
        <v/>
      </c>
    </row>
    <row r="114">
      <c r="A114" s="42">
        <f>IFERROR(__xludf.DUMMYFUNCTION("""COMPUTED_VALUE"""),5213.09853340437)</f>
        <v/>
      </c>
      <c r="B114" s="36" t="n"/>
      <c r="C114" s="47" t="n"/>
      <c r="D114" s="47" t="n"/>
      <c r="E114" s="47" t="n"/>
      <c r="F114" s="47" t="n"/>
      <c r="G114" s="47" t="n"/>
      <c r="H114" s="47" t="n"/>
      <c r="I114" s="47" t="n"/>
      <c r="J114" s="47" t="n"/>
      <c r="K114" s="47" t="n"/>
      <c r="L114" s="47" t="n"/>
      <c r="M114" s="47" t="n"/>
      <c r="N114" s="47" t="n"/>
      <c r="O114" s="47">
        <f>SUM(C114:N114)</f>
        <v/>
      </c>
    </row>
    <row r="115">
      <c r="A115" s="40">
        <f>IFERROR(__xludf.DUMMYFUNCTION("""COMPUTED_VALUE"""),5384.1479083892)</f>
        <v/>
      </c>
      <c r="B115" s="37" t="n"/>
      <c r="C115" s="104" t="n"/>
      <c r="D115" s="104" t="n"/>
      <c r="E115" s="104" t="n"/>
      <c r="F115" s="104" t="n"/>
      <c r="G115" s="104" t="n"/>
      <c r="H115" s="104" t="n"/>
      <c r="I115" s="104" t="n"/>
      <c r="J115" s="104" t="n"/>
      <c r="K115" s="104" t="n"/>
      <c r="L115" s="104" t="n"/>
      <c r="M115" s="104" t="n"/>
      <c r="N115" s="104" t="n"/>
      <c r="O115" s="104">
        <f>SUM(C115:N115)</f>
        <v/>
      </c>
    </row>
    <row r="116">
      <c r="A116" s="42">
        <f>IFERROR(__xludf.DUMMYFUNCTION("""COMPUTED_VALUE"""),69581.3750935869)</f>
        <v/>
      </c>
      <c r="B116" s="36" t="n"/>
      <c r="C116" s="47" t="n"/>
      <c r="D116" s="47" t="n"/>
      <c r="E116" s="47" t="n"/>
      <c r="F116" s="47" t="n"/>
      <c r="G116" s="47" t="n"/>
      <c r="H116" s="47" t="n"/>
      <c r="I116" s="47" t="n"/>
      <c r="J116" s="47" t="n"/>
      <c r="K116" s="47" t="n"/>
      <c r="L116" s="47" t="n"/>
      <c r="M116" s="47" t="n"/>
      <c r="N116" s="47" t="n"/>
      <c r="O116" s="47">
        <f>SUM(C116:N116)</f>
        <v/>
      </c>
    </row>
    <row r="117">
      <c r="A117" s="4" t="n"/>
      <c r="B117" s="26" t="n"/>
      <c r="O117" s="26">
        <f>SUM(C117:N117)</f>
        <v/>
      </c>
    </row>
    <row r="118">
      <c r="A118" s="4" t="n"/>
      <c r="B118" s="26" t="n"/>
      <c r="O118" s="26">
        <f>SUM(C118:N118)</f>
        <v/>
      </c>
    </row>
    <row r="119">
      <c r="A119" s="4" t="n"/>
      <c r="B119" s="26" t="n"/>
      <c r="O119" s="26">
        <f>SUM(C119:N119)</f>
        <v/>
      </c>
    </row>
    <row r="120">
      <c r="A120" s="36">
        <f>IFERROR(__xludf.DUMMYFUNCTION("""COMPUTED_VALUE"""),"F8")</f>
        <v/>
      </c>
      <c r="B120" s="36" t="n"/>
      <c r="C120" s="47" t="n"/>
      <c r="D120" s="47" t="n"/>
      <c r="E120" s="47" t="n"/>
      <c r="F120" s="47" t="n"/>
      <c r="G120" s="47" t="n"/>
      <c r="H120" s="47" t="n"/>
      <c r="I120" s="47" t="n"/>
      <c r="J120" s="47" t="n"/>
      <c r="K120" s="47" t="n"/>
      <c r="L120" s="47" t="n"/>
      <c r="M120" s="47" t="n"/>
      <c r="N120" s="47" t="n"/>
      <c r="O120" s="47">
        <f>SUM(C120:N120)</f>
        <v/>
      </c>
    </row>
    <row r="121">
      <c r="A121" s="40">
        <f>IFERROR(__xludf.DUMMYFUNCTION("""COMPUTED_VALUE"""),5360.13189593561)</f>
        <v/>
      </c>
      <c r="B121" s="37" t="n"/>
      <c r="C121" s="104" t="n"/>
      <c r="D121" s="104" t="n"/>
      <c r="E121" s="104" t="n"/>
      <c r="F121" s="104" t="n"/>
      <c r="G121" s="104" t="n"/>
      <c r="H121" s="104" t="n"/>
      <c r="I121" s="104" t="n"/>
      <c r="J121" s="104" t="n"/>
      <c r="K121" s="104" t="n"/>
      <c r="L121" s="104" t="n"/>
      <c r="M121" s="104" t="n"/>
      <c r="N121" s="104" t="n"/>
      <c r="O121" s="104">
        <f>SUM(C121:N121)</f>
        <v/>
      </c>
    </row>
    <row r="122">
      <c r="A122" s="42">
        <f>IFERROR(__xludf.DUMMYFUNCTION("""COMPUTED_VALUE"""),4061.25860353636)</f>
        <v/>
      </c>
      <c r="B122" s="36" t="n"/>
      <c r="C122" s="47" t="n"/>
      <c r="D122" s="47" t="n"/>
      <c r="E122" s="47" t="n"/>
      <c r="F122" s="47" t="n"/>
      <c r="G122" s="47" t="n"/>
      <c r="H122" s="47" t="n"/>
      <c r="I122" s="47" t="n"/>
      <c r="J122" s="47" t="n"/>
      <c r="K122" s="47" t="n"/>
      <c r="L122" s="47" t="n"/>
      <c r="M122" s="47" t="n"/>
      <c r="N122" s="47" t="n"/>
      <c r="O122" s="47">
        <f>SUM(C122:N122)</f>
        <v/>
      </c>
    </row>
    <row r="123">
      <c r="A123" s="40">
        <f>IFERROR(__xludf.DUMMYFUNCTION("""COMPUTED_VALUE"""),4291.29913997196)</f>
        <v/>
      </c>
      <c r="B123" s="37" t="n"/>
      <c r="C123" s="104" t="n"/>
      <c r="D123" s="104" t="n"/>
      <c r="E123" s="104" t="n"/>
      <c r="F123" s="104" t="n"/>
      <c r="G123" s="104" t="n"/>
      <c r="H123" s="104" t="n"/>
      <c r="I123" s="104" t="n"/>
      <c r="J123" s="104" t="n"/>
      <c r="K123" s="104" t="n"/>
      <c r="L123" s="104" t="n"/>
      <c r="M123" s="104" t="n"/>
      <c r="N123" s="104" t="n"/>
      <c r="O123" s="104">
        <f>SUM(C123:N123)</f>
        <v/>
      </c>
    </row>
    <row r="124">
      <c r="A124" s="42">
        <f>IFERROR(__xludf.DUMMYFUNCTION("""COMPUTED_VALUE"""),5121.26194084766)</f>
        <v/>
      </c>
      <c r="B124" s="36" t="n"/>
      <c r="C124" s="47" t="n"/>
      <c r="D124" s="47" t="n"/>
      <c r="E124" s="47" t="n"/>
      <c r="F124" s="47" t="n"/>
      <c r="G124" s="47" t="n"/>
      <c r="H124" s="47" t="n"/>
      <c r="I124" s="47" t="n"/>
      <c r="J124" s="47" t="n"/>
      <c r="K124" s="47" t="n"/>
      <c r="L124" s="47" t="n"/>
      <c r="M124" s="47" t="n"/>
      <c r="N124" s="47" t="n"/>
      <c r="O124" s="47">
        <f>SUM(C124:N124)</f>
        <v/>
      </c>
    </row>
    <row r="125">
      <c r="A125" s="40">
        <f>IFERROR(__xludf.DUMMYFUNCTION("""COMPUTED_VALUE"""),5608.37125616299)</f>
        <v/>
      </c>
      <c r="B125" s="37" t="n"/>
      <c r="C125" s="104" t="n"/>
      <c r="D125" s="104" t="n"/>
      <c r="E125" s="104" t="n"/>
      <c r="F125" s="104" t="n"/>
      <c r="G125" s="104" t="n"/>
      <c r="H125" s="104" t="n"/>
      <c r="I125" s="104" t="n"/>
      <c r="J125" s="104" t="n"/>
      <c r="K125" s="104" t="n"/>
      <c r="L125" s="104" t="n"/>
      <c r="M125" s="104" t="n"/>
      <c r="N125" s="104" t="n"/>
      <c r="O125" s="104">
        <f>SUM(C125:N125)</f>
        <v/>
      </c>
    </row>
    <row r="126">
      <c r="A126" s="42">
        <f>IFERROR(__xludf.DUMMYFUNCTION("""COMPUTED_VALUE"""),4769.09986568281)</f>
        <v/>
      </c>
      <c r="B126" s="36" t="n"/>
      <c r="C126" s="47" t="n"/>
      <c r="D126" s="47" t="n"/>
      <c r="E126" s="47" t="n"/>
      <c r="F126" s="47" t="n"/>
      <c r="G126" s="47" t="n"/>
      <c r="H126" s="47" t="n"/>
      <c r="I126" s="47" t="n"/>
      <c r="J126" s="47" t="n"/>
      <c r="K126" s="47" t="n"/>
      <c r="L126" s="47" t="n"/>
      <c r="M126" s="47" t="n"/>
      <c r="N126" s="47" t="n"/>
      <c r="O126" s="47">
        <f>SUM(C126:N126)</f>
        <v/>
      </c>
    </row>
    <row r="127">
      <c r="A127" s="40">
        <f>IFERROR(__xludf.DUMMYFUNCTION("""COMPUTED_VALUE"""),6140.62055190582)</f>
        <v/>
      </c>
      <c r="B127" s="37" t="n"/>
      <c r="C127" s="104" t="n"/>
      <c r="D127" s="104" t="n"/>
      <c r="E127" s="104" t="n"/>
      <c r="F127" s="104" t="n"/>
      <c r="G127" s="104" t="n"/>
      <c r="H127" s="104" t="n"/>
      <c r="I127" s="104" t="n"/>
      <c r="J127" s="104" t="n"/>
      <c r="K127" s="104" t="n"/>
      <c r="L127" s="104" t="n"/>
      <c r="M127" s="104" t="n"/>
      <c r="N127" s="104" t="n"/>
      <c r="O127" s="104">
        <f>SUM(C127:N127)</f>
        <v/>
      </c>
    </row>
    <row r="128">
      <c r="A128" s="42">
        <f>IFERROR(__xludf.DUMMYFUNCTION("""COMPUTED_VALUE"""),7447.39372501964)</f>
        <v/>
      </c>
      <c r="B128" s="36" t="n"/>
      <c r="C128" s="47" t="n"/>
      <c r="D128" s="47" t="n"/>
      <c r="E128" s="47" t="n"/>
      <c r="F128" s="47" t="n"/>
      <c r="G128" s="47" t="n"/>
      <c r="H128" s="47" t="n"/>
      <c r="I128" s="47" t="n"/>
      <c r="J128" s="47" t="n"/>
      <c r="K128" s="47" t="n"/>
      <c r="L128" s="47" t="n"/>
      <c r="M128" s="47" t="n"/>
      <c r="N128" s="47" t="n"/>
      <c r="O128" s="47">
        <f>SUM(C128:N128)</f>
        <v/>
      </c>
    </row>
    <row r="129">
      <c r="A129" s="40">
        <f>IFERROR(__xludf.DUMMYFUNCTION("""COMPUTED_VALUE"""),6953.68941725976)</f>
        <v/>
      </c>
      <c r="B129" s="37" t="n"/>
      <c r="C129" s="104" t="n"/>
      <c r="D129" s="104" t="n"/>
      <c r="E129" s="104" t="n"/>
      <c r="F129" s="104" t="n"/>
      <c r="G129" s="104" t="n"/>
      <c r="H129" s="104" t="n"/>
      <c r="I129" s="104" t="n"/>
      <c r="J129" s="104" t="n"/>
      <c r="K129" s="104" t="n"/>
      <c r="L129" s="104" t="n"/>
      <c r="M129" s="104" t="n"/>
      <c r="N129" s="104" t="n"/>
      <c r="O129" s="104">
        <f>SUM(C129:N129)</f>
        <v/>
      </c>
    </row>
    <row r="130">
      <c r="A130" s="42">
        <f>IFERROR(__xludf.DUMMYFUNCTION("""COMPUTED_VALUE"""),6136.35887996022)</f>
        <v/>
      </c>
      <c r="B130" s="36" t="n"/>
      <c r="C130" s="47" t="n"/>
      <c r="D130" s="47" t="n"/>
      <c r="E130" s="47" t="n"/>
      <c r="F130" s="47" t="n"/>
      <c r="G130" s="47" t="n"/>
      <c r="H130" s="47" t="n"/>
      <c r="I130" s="47" t="n"/>
      <c r="J130" s="47" t="n"/>
      <c r="K130" s="47" t="n"/>
      <c r="L130" s="47" t="n"/>
      <c r="M130" s="47" t="n"/>
      <c r="N130" s="47" t="n"/>
      <c r="O130" s="47">
        <f>SUM(C130:N130)</f>
        <v/>
      </c>
    </row>
    <row r="131">
      <c r="A131" s="40">
        <f>IFERROR(__xludf.DUMMYFUNCTION("""COMPUTED_VALUE"""),6094.90648040732)</f>
        <v/>
      </c>
      <c r="B131" s="37" t="n"/>
      <c r="C131" s="104" t="n"/>
      <c r="D131" s="104" t="n"/>
      <c r="E131" s="104" t="n"/>
      <c r="F131" s="104" t="n"/>
      <c r="G131" s="104" t="n"/>
      <c r="H131" s="104" t="n"/>
      <c r="I131" s="104" t="n"/>
      <c r="J131" s="104" t="n"/>
      <c r="K131" s="104" t="n"/>
      <c r="L131" s="104" t="n"/>
      <c r="M131" s="104" t="n"/>
      <c r="N131" s="104" t="n"/>
      <c r="O131" s="104">
        <f>SUM(C131:N131)</f>
        <v/>
      </c>
    </row>
    <row r="132">
      <c r="A132" s="42">
        <f>IFERROR(__xludf.DUMMYFUNCTION("""COMPUTED_VALUE"""),6070.10753041003)</f>
        <v/>
      </c>
      <c r="B132" s="36" t="n"/>
      <c r="C132" s="47" t="n"/>
      <c r="D132" s="47" t="n"/>
      <c r="E132" s="47" t="n"/>
      <c r="F132" s="47" t="n"/>
      <c r="G132" s="47" t="n"/>
      <c r="H132" s="47" t="n"/>
      <c r="I132" s="47" t="n"/>
      <c r="J132" s="47" t="n"/>
      <c r="K132" s="47" t="n"/>
      <c r="L132" s="47" t="n"/>
      <c r="M132" s="47" t="n"/>
      <c r="N132" s="47" t="n"/>
      <c r="O132" s="47">
        <f>SUM(C132:N132)</f>
        <v/>
      </c>
    </row>
    <row r="133">
      <c r="A133" s="40">
        <f>IFERROR(__xludf.DUMMYFUNCTION("""COMPUTED_VALUE"""),68054.4992871002)</f>
        <v/>
      </c>
      <c r="B133" s="37" t="n"/>
      <c r="C133" s="104" t="n"/>
      <c r="D133" s="104" t="n"/>
      <c r="E133" s="104" t="n"/>
      <c r="F133" s="104" t="n"/>
      <c r="G133" s="104" t="n"/>
      <c r="H133" s="104" t="n"/>
      <c r="I133" s="104" t="n"/>
      <c r="J133" s="104" t="n"/>
      <c r="K133" s="104" t="n"/>
      <c r="L133" s="104" t="n"/>
      <c r="M133" s="104" t="n"/>
      <c r="N133" s="104" t="n"/>
      <c r="O133" s="104">
        <f>SUM(C133:N133)</f>
        <v/>
      </c>
    </row>
    <row r="134">
      <c r="A134" s="4" t="n"/>
      <c r="B134" s="26" t="n"/>
      <c r="O134" s="26">
        <f>SUM(C134:N134)</f>
        <v/>
      </c>
    </row>
    <row r="135">
      <c r="A135" s="4" t="n"/>
      <c r="B135" s="26" t="n"/>
      <c r="O135" s="26">
        <f>SUM(C135:N135)</f>
        <v/>
      </c>
    </row>
    <row r="136">
      <c r="A136" s="4" t="n"/>
      <c r="B136" s="26" t="n"/>
      <c r="O136" s="26">
        <f>SUM(C136:N136)</f>
        <v/>
      </c>
    </row>
    <row r="137">
      <c r="A137" s="37">
        <f>IFERROR(__xludf.DUMMYFUNCTION("""COMPUTED_VALUE"""),"F9")</f>
        <v/>
      </c>
      <c r="B137" s="37" t="n"/>
      <c r="C137" s="104" t="n"/>
      <c r="D137" s="104" t="n"/>
      <c r="E137" s="104" t="n"/>
      <c r="F137" s="104" t="n"/>
      <c r="G137" s="104" t="n"/>
      <c r="H137" s="104" t="n"/>
      <c r="I137" s="104" t="n"/>
      <c r="J137" s="104" t="n"/>
      <c r="K137" s="104" t="n"/>
      <c r="L137" s="104" t="n"/>
      <c r="M137" s="104" t="n"/>
      <c r="N137" s="104" t="n"/>
      <c r="O137" s="104">
        <f>SUM(C137:N137)</f>
        <v/>
      </c>
    </row>
    <row r="138">
      <c r="A138" s="42">
        <f>IFERROR(__xludf.DUMMYFUNCTION("""COMPUTED_VALUE"""),5560.86990158107)</f>
        <v/>
      </c>
      <c r="B138" s="36" t="n"/>
      <c r="C138" s="47" t="n"/>
      <c r="D138" s="47" t="n"/>
      <c r="E138" s="47" t="n"/>
      <c r="F138" s="47" t="n"/>
      <c r="G138" s="47" t="n"/>
      <c r="H138" s="47" t="n"/>
      <c r="I138" s="47" t="n"/>
      <c r="J138" s="47" t="n"/>
      <c r="K138" s="47" t="n"/>
      <c r="L138" s="47" t="n"/>
      <c r="M138" s="47" t="n"/>
      <c r="N138" s="47" t="n"/>
      <c r="O138" s="47">
        <f>SUM(C138:N138)</f>
        <v/>
      </c>
    </row>
    <row r="139">
      <c r="A139" s="40">
        <f>IFERROR(__xludf.DUMMYFUNCTION("""COMPUTED_VALUE"""),4332.20571651525)</f>
        <v/>
      </c>
      <c r="B139" s="37" t="n"/>
      <c r="C139" s="104" t="n"/>
      <c r="D139" s="104" t="n"/>
      <c r="E139" s="104" t="n"/>
      <c r="F139" s="104" t="n"/>
      <c r="G139" s="104" t="n"/>
      <c r="H139" s="104" t="n"/>
      <c r="I139" s="104" t="n"/>
      <c r="J139" s="104" t="n"/>
      <c r="K139" s="104" t="n"/>
      <c r="L139" s="104" t="n"/>
      <c r="M139" s="104" t="n"/>
      <c r="N139" s="104" t="n"/>
      <c r="O139" s="104">
        <f>SUM(C139:N139)</f>
        <v/>
      </c>
    </row>
    <row r="140">
      <c r="A140" s="42">
        <f>IFERROR(__xludf.DUMMYFUNCTION("""COMPUTED_VALUE"""),4566.83667032066)</f>
        <v/>
      </c>
      <c r="B140" s="36" t="n"/>
      <c r="C140" s="47" t="n"/>
      <c r="D140" s="47" t="n"/>
      <c r="E140" s="47" t="n"/>
      <c r="F140" s="47" t="n"/>
      <c r="G140" s="47" t="n"/>
      <c r="H140" s="47" t="n"/>
      <c r="I140" s="47" t="n"/>
      <c r="J140" s="47" t="n"/>
      <c r="K140" s="47" t="n"/>
      <c r="L140" s="47" t="n"/>
      <c r="M140" s="47" t="n"/>
      <c r="N140" s="47" t="n"/>
      <c r="O140" s="47">
        <f>SUM(C140:N140)</f>
        <v/>
      </c>
    </row>
    <row r="141">
      <c r="A141" s="40">
        <f>IFERROR(__xludf.DUMMYFUNCTION("""COMPUTED_VALUE"""),5433.81137210706)</f>
        <v/>
      </c>
      <c r="B141" s="37" t="n"/>
      <c r="C141" s="104" t="n"/>
      <c r="D141" s="104" t="n"/>
      <c r="E141" s="104" t="n"/>
      <c r="F141" s="104" t="n"/>
      <c r="G141" s="104" t="n"/>
      <c r="H141" s="104" t="n"/>
      <c r="I141" s="104" t="n"/>
      <c r="J141" s="104" t="n"/>
      <c r="K141" s="104" t="n"/>
      <c r="L141" s="104" t="n"/>
      <c r="M141" s="104" t="n"/>
      <c r="N141" s="104" t="n"/>
      <c r="O141" s="104">
        <f>SUM(C141:N141)</f>
        <v/>
      </c>
    </row>
    <row r="142">
      <c r="A142" s="42">
        <f>IFERROR(__xludf.DUMMYFUNCTION("""COMPUTED_VALUE"""),5943.91694380422)</f>
        <v/>
      </c>
      <c r="B142" s="36" t="n"/>
      <c r="C142" s="47" t="n"/>
      <c r="D142" s="47" t="n"/>
      <c r="E142" s="47" t="n"/>
      <c r="F142" s="47" t="n"/>
      <c r="G142" s="47" t="n"/>
      <c r="H142" s="47" t="n"/>
      <c r="I142" s="47" t="n"/>
      <c r="J142" s="47" t="n"/>
      <c r="K142" s="47" t="n"/>
      <c r="L142" s="47" t="n"/>
      <c r="M142" s="47" t="n"/>
      <c r="N142" s="47" t="n"/>
      <c r="O142" s="47">
        <f>SUM(C142:N142)</f>
        <v/>
      </c>
    </row>
    <row r="143">
      <c r="A143" s="40">
        <f>IFERROR(__xludf.DUMMYFUNCTION("""COMPUTED_VALUE"""),5031.07621156352)</f>
        <v/>
      </c>
      <c r="B143" s="37" t="n"/>
      <c r="C143" s="104" t="n"/>
      <c r="D143" s="104" t="n"/>
      <c r="E143" s="104" t="n"/>
      <c r="F143" s="104" t="n"/>
      <c r="G143" s="104" t="n"/>
      <c r="H143" s="104" t="n"/>
      <c r="I143" s="104" t="n"/>
      <c r="J143" s="104" t="n"/>
      <c r="K143" s="104" t="n"/>
      <c r="L143" s="104" t="n"/>
      <c r="M143" s="104" t="n"/>
      <c r="N143" s="104" t="n"/>
      <c r="O143" s="104">
        <f>SUM(C143:N143)</f>
        <v/>
      </c>
    </row>
    <row r="144">
      <c r="A144" s="42">
        <f>IFERROR(__xludf.DUMMYFUNCTION("""COMPUTED_VALUE"""),6457.34958065472)</f>
        <v/>
      </c>
      <c r="B144" s="36" t="n"/>
      <c r="C144" s="47" t="n"/>
      <c r="D144" s="47" t="n"/>
      <c r="E144" s="47" t="n"/>
      <c r="F144" s="47" t="n"/>
      <c r="G144" s="47" t="n"/>
      <c r="H144" s="47" t="n"/>
      <c r="I144" s="47" t="n"/>
      <c r="J144" s="47" t="n"/>
      <c r="K144" s="47" t="n"/>
      <c r="L144" s="47" t="n"/>
      <c r="M144" s="47" t="n"/>
      <c r="N144" s="47" t="n"/>
      <c r="O144" s="47">
        <f>SUM(C144:N144)</f>
        <v/>
      </c>
    </row>
    <row r="145">
      <c r="A145" s="40">
        <f>IFERROR(__xludf.DUMMYFUNCTION("""COMPUTED_VALUE"""),6751.75790396226)</f>
        <v/>
      </c>
      <c r="B145" s="37" t="n"/>
      <c r="C145" s="104" t="n"/>
      <c r="D145" s="104" t="n"/>
      <c r="E145" s="104" t="n"/>
      <c r="F145" s="104" t="n"/>
      <c r="G145" s="104" t="n"/>
      <c r="H145" s="104" t="n"/>
      <c r="I145" s="104" t="n"/>
      <c r="J145" s="104" t="n"/>
      <c r="K145" s="104" t="n"/>
      <c r="L145" s="104" t="n"/>
      <c r="M145" s="104" t="n"/>
      <c r="N145" s="104" t="n"/>
      <c r="O145" s="104">
        <f>SUM(C145:N145)</f>
        <v/>
      </c>
    </row>
    <row r="146">
      <c r="A146" s="42">
        <f>IFERROR(__xludf.DUMMYFUNCTION("""COMPUTED_VALUE"""),5113.04473517409)</f>
        <v/>
      </c>
      <c r="B146" s="36" t="n"/>
      <c r="C146" s="47" t="n"/>
      <c r="D146" s="47" t="n"/>
      <c r="E146" s="47" t="n"/>
      <c r="F146" s="47" t="n"/>
      <c r="G146" s="47" t="n"/>
      <c r="H146" s="47" t="n"/>
      <c r="I146" s="47" t="n"/>
      <c r="J146" s="47" t="n"/>
      <c r="K146" s="47" t="n"/>
      <c r="L146" s="47" t="n"/>
      <c r="M146" s="47" t="n"/>
      <c r="N146" s="47" t="n"/>
      <c r="O146" s="47">
        <f>SUM(C146:N146)</f>
        <v/>
      </c>
    </row>
    <row r="147">
      <c r="A147" s="40">
        <f>IFERROR(__xludf.DUMMYFUNCTION("""COMPUTED_VALUE"""),5018.7498458089)</f>
        <v/>
      </c>
      <c r="B147" s="37" t="n"/>
      <c r="C147" s="104" t="n"/>
      <c r="D147" s="104" t="n"/>
      <c r="E147" s="104" t="n"/>
      <c r="F147" s="104" t="n"/>
      <c r="G147" s="104" t="n"/>
      <c r="H147" s="104" t="n"/>
      <c r="I147" s="104" t="n"/>
      <c r="J147" s="104" t="n"/>
      <c r="K147" s="104" t="n"/>
      <c r="L147" s="104" t="n"/>
      <c r="M147" s="104" t="n"/>
      <c r="N147" s="104" t="n"/>
      <c r="O147" s="104">
        <f>SUM(C147:N147)</f>
        <v/>
      </c>
    </row>
    <row r="148">
      <c r="A148" s="42">
        <f>IFERROR(__xludf.DUMMYFUNCTION("""COMPUTED_VALUE"""),4824.37412084211)</f>
        <v/>
      </c>
      <c r="B148" s="36" t="n"/>
      <c r="C148" s="47" t="n"/>
      <c r="D148" s="47" t="n"/>
      <c r="E148" s="47" t="n"/>
      <c r="F148" s="47" t="n"/>
      <c r="G148" s="47" t="n"/>
      <c r="H148" s="47" t="n"/>
      <c r="I148" s="47" t="n"/>
      <c r="J148" s="47" t="n"/>
      <c r="K148" s="47" t="n"/>
      <c r="L148" s="47" t="n"/>
      <c r="M148" s="47" t="n"/>
      <c r="N148" s="47" t="n"/>
      <c r="O148" s="47">
        <f>SUM(C148:N148)</f>
        <v/>
      </c>
    </row>
    <row r="149">
      <c r="A149" s="40">
        <f>IFERROR(__xludf.DUMMYFUNCTION("""COMPUTED_VALUE"""),4867.26459029052)</f>
        <v/>
      </c>
      <c r="B149" s="37" t="n"/>
      <c r="C149" s="104" t="n"/>
      <c r="D149" s="104" t="n"/>
      <c r="E149" s="104" t="n"/>
      <c r="F149" s="104" t="n"/>
      <c r="G149" s="104" t="n"/>
      <c r="H149" s="104" t="n"/>
      <c r="I149" s="104" t="n"/>
      <c r="J149" s="104" t="n"/>
      <c r="K149" s="104" t="n"/>
      <c r="L149" s="104" t="n"/>
      <c r="M149" s="104" t="n"/>
      <c r="N149" s="104" t="n"/>
      <c r="O149" s="104">
        <f>SUM(C149:N149)</f>
        <v/>
      </c>
    </row>
    <row r="150">
      <c r="A150" s="42">
        <f>IFERROR(__xludf.DUMMYFUNCTION("""COMPUTED_VALUE"""),63901.2575926244)</f>
        <v/>
      </c>
      <c r="B150" s="36" t="n"/>
      <c r="C150" s="47" t="n"/>
      <c r="D150" s="47" t="n"/>
      <c r="E150" s="47" t="n"/>
      <c r="F150" s="47" t="n"/>
      <c r="G150" s="47" t="n"/>
      <c r="H150" s="47" t="n"/>
      <c r="I150" s="47" t="n"/>
      <c r="J150" s="47" t="n"/>
      <c r="K150" s="47" t="n"/>
      <c r="L150" s="47" t="n"/>
      <c r="M150" s="47" t="n"/>
      <c r="N150" s="47" t="n"/>
      <c r="O150" s="47">
        <f>SUM(C150:N150)</f>
        <v/>
      </c>
    </row>
    <row r="151">
      <c r="A151" s="4" t="n"/>
      <c r="B151" s="26" t="n"/>
      <c r="O151" s="26">
        <f>SUM(C151:N151)</f>
        <v/>
      </c>
    </row>
    <row r="152">
      <c r="A152" s="4" t="n"/>
      <c r="B152" s="26" t="n"/>
      <c r="O152" s="26">
        <f>SUM(C152:N152)</f>
        <v/>
      </c>
    </row>
    <row r="153">
      <c r="A153" s="4" t="n"/>
      <c r="B153" s="26" t="n"/>
      <c r="O153" s="26">
        <f>SUM(C153:N153)</f>
        <v/>
      </c>
    </row>
    <row r="154">
      <c r="A154" s="36">
        <f>IFERROR(__xludf.DUMMYFUNCTION("""COMPUTED_VALUE"""),"F10")</f>
        <v/>
      </c>
      <c r="B154" s="36" t="n"/>
      <c r="C154" s="47" t="n"/>
      <c r="D154" s="47" t="n"/>
      <c r="E154" s="47" t="n"/>
      <c r="F154" s="47" t="n"/>
      <c r="G154" s="47" t="n"/>
      <c r="H154" s="47" t="n"/>
      <c r="I154" s="47" t="n"/>
      <c r="J154" s="47" t="n"/>
      <c r="K154" s="47" t="n"/>
      <c r="L154" s="47" t="n"/>
      <c r="M154" s="47" t="n"/>
      <c r="N154" s="47" t="n"/>
      <c r="O154" s="47">
        <f>SUM(C154:N154)</f>
        <v/>
      </c>
    </row>
    <row r="155">
      <c r="A155" s="40">
        <f>IFERROR(__xludf.DUMMYFUNCTION("""COMPUTED_VALUE"""),6639.14171733071)</f>
        <v/>
      </c>
      <c r="B155" s="37" t="n"/>
      <c r="C155" s="104" t="n"/>
      <c r="D155" s="104" t="n"/>
      <c r="E155" s="104" t="n"/>
      <c r="F155" s="104" t="n"/>
      <c r="G155" s="104" t="n"/>
      <c r="H155" s="104" t="n"/>
      <c r="I155" s="104" t="n"/>
      <c r="J155" s="104" t="n"/>
      <c r="K155" s="104" t="n"/>
      <c r="L155" s="104" t="n"/>
      <c r="M155" s="104" t="n"/>
      <c r="N155" s="104" t="n"/>
      <c r="O155" s="104">
        <f>SUM(C155:N155)</f>
        <v/>
      </c>
    </row>
    <row r="156">
      <c r="A156" s="42">
        <f>IFERROR(__xludf.DUMMYFUNCTION("""COMPUTED_VALUE"""),4263.09025709851)</f>
        <v/>
      </c>
      <c r="B156" s="36" t="n"/>
      <c r="C156" s="47" t="n"/>
      <c r="D156" s="47" t="n"/>
      <c r="E156" s="47" t="n"/>
      <c r="F156" s="47" t="n"/>
      <c r="G156" s="47" t="n"/>
      <c r="H156" s="47" t="n"/>
      <c r="I156" s="47" t="n"/>
      <c r="J156" s="47" t="n"/>
      <c r="K156" s="47" t="n"/>
      <c r="L156" s="47" t="n"/>
      <c r="M156" s="47" t="n"/>
      <c r="N156" s="47" t="n"/>
      <c r="O156" s="47">
        <f>SUM(C156:N156)</f>
        <v/>
      </c>
    </row>
    <row r="157">
      <c r="A157" s="40">
        <f>IFERROR(__xludf.DUMMYFUNCTION("""COMPUTED_VALUE"""),4536.43683135515)</f>
        <v/>
      </c>
      <c r="B157" s="37" t="n"/>
      <c r="C157" s="104" t="n"/>
      <c r="D157" s="104" t="n"/>
      <c r="E157" s="104" t="n"/>
      <c r="F157" s="104" t="n"/>
      <c r="G157" s="104" t="n"/>
      <c r="H157" s="104" t="n"/>
      <c r="I157" s="104" t="n"/>
      <c r="J157" s="104" t="n"/>
      <c r="K157" s="104" t="n"/>
      <c r="L157" s="104" t="n"/>
      <c r="M157" s="104" t="n"/>
      <c r="N157" s="104" t="n"/>
      <c r="O157" s="104">
        <f>SUM(C157:N157)</f>
        <v/>
      </c>
    </row>
    <row r="158">
      <c r="A158" s="42">
        <f>IFERROR(__xludf.DUMMYFUNCTION("""COMPUTED_VALUE"""),5398.33154273097)</f>
        <v/>
      </c>
      <c r="B158" s="36" t="n"/>
      <c r="C158" s="47" t="n"/>
      <c r="D158" s="47" t="n"/>
      <c r="E158" s="47" t="n"/>
      <c r="F158" s="47" t="n"/>
      <c r="G158" s="47" t="n"/>
      <c r="H158" s="47" t="n"/>
      <c r="I158" s="47" t="n"/>
      <c r="J158" s="47" t="n"/>
      <c r="K158" s="47" t="n"/>
      <c r="L158" s="47" t="n"/>
      <c r="M158" s="47" t="n"/>
      <c r="N158" s="47" t="n"/>
      <c r="O158" s="47">
        <f>SUM(C158:N158)</f>
        <v/>
      </c>
    </row>
    <row r="159">
      <c r="A159" s="40">
        <f>IFERROR(__xludf.DUMMYFUNCTION("""COMPUTED_VALUE"""),5793.81874379247)</f>
        <v/>
      </c>
      <c r="B159" s="37" t="n"/>
      <c r="C159" s="104" t="n"/>
      <c r="D159" s="104" t="n"/>
      <c r="E159" s="104" t="n"/>
      <c r="F159" s="104" t="n"/>
      <c r="G159" s="104" t="n"/>
      <c r="H159" s="104" t="n"/>
      <c r="I159" s="104" t="n"/>
      <c r="J159" s="104" t="n"/>
      <c r="K159" s="104" t="n"/>
      <c r="L159" s="104" t="n"/>
      <c r="M159" s="104" t="n"/>
      <c r="N159" s="104" t="n"/>
      <c r="O159" s="104">
        <f>SUM(C159:N159)</f>
        <v/>
      </c>
    </row>
    <row r="160">
      <c r="A160" s="42">
        <f>IFERROR(__xludf.DUMMYFUNCTION("""COMPUTED_VALUE"""),5053.96203735472)</f>
        <v/>
      </c>
      <c r="B160" s="36" t="n"/>
      <c r="C160" s="47" t="n"/>
      <c r="D160" s="47" t="n"/>
      <c r="E160" s="47" t="n"/>
      <c r="F160" s="47" t="n"/>
      <c r="G160" s="47" t="n"/>
      <c r="H160" s="47" t="n"/>
      <c r="I160" s="47" t="n"/>
      <c r="J160" s="47" t="n"/>
      <c r="K160" s="47" t="n"/>
      <c r="L160" s="47" t="n"/>
      <c r="M160" s="47" t="n"/>
      <c r="N160" s="47" t="n"/>
      <c r="O160" s="47">
        <f>SUM(C160:N160)</f>
        <v/>
      </c>
    </row>
    <row r="161">
      <c r="A161" s="40">
        <f>IFERROR(__xludf.DUMMYFUNCTION("""COMPUTED_VALUE"""),6328.3275677506)</f>
        <v/>
      </c>
      <c r="B161" s="37" t="n"/>
      <c r="C161" s="104" t="n"/>
      <c r="D161" s="104" t="n"/>
      <c r="E161" s="104" t="n"/>
      <c r="F161" s="104" t="n"/>
      <c r="G161" s="104" t="n"/>
      <c r="H161" s="104" t="n"/>
      <c r="I161" s="104" t="n"/>
      <c r="J161" s="104" t="n"/>
      <c r="K161" s="104" t="n"/>
      <c r="L161" s="104" t="n"/>
      <c r="M161" s="104" t="n"/>
      <c r="N161" s="104" t="n"/>
      <c r="O161" s="104">
        <f>SUM(C161:N161)</f>
        <v/>
      </c>
    </row>
    <row r="162">
      <c r="A162" s="42">
        <f>IFERROR(__xludf.DUMMYFUNCTION("""COMPUTED_VALUE"""),6735.57876047657)</f>
        <v/>
      </c>
      <c r="B162" s="36" t="n"/>
      <c r="C162" s="47" t="n"/>
      <c r="D162" s="47" t="n"/>
      <c r="E162" s="47" t="n"/>
      <c r="F162" s="47" t="n"/>
      <c r="G162" s="47" t="n"/>
      <c r="H162" s="47" t="n"/>
      <c r="I162" s="47" t="n"/>
      <c r="J162" s="47" t="n"/>
      <c r="K162" s="47" t="n"/>
      <c r="L162" s="47" t="n"/>
      <c r="M162" s="47" t="n"/>
      <c r="N162" s="47" t="n"/>
      <c r="O162" s="47">
        <f>SUM(C162:N162)</f>
        <v/>
      </c>
    </row>
    <row r="163">
      <c r="A163" s="40">
        <f>IFERROR(__xludf.DUMMYFUNCTION("""COMPUTED_VALUE"""),5048.57220786595)</f>
        <v/>
      </c>
      <c r="B163" s="37" t="n"/>
      <c r="C163" s="104" t="n"/>
      <c r="D163" s="104" t="n"/>
      <c r="E163" s="104" t="n"/>
      <c r="F163" s="104" t="n"/>
      <c r="G163" s="104" t="n"/>
      <c r="H163" s="104" t="n"/>
      <c r="I163" s="104" t="n"/>
      <c r="J163" s="104" t="n"/>
      <c r="K163" s="104" t="n"/>
      <c r="L163" s="104" t="n"/>
      <c r="M163" s="104" t="n"/>
      <c r="N163" s="104" t="n"/>
      <c r="O163" s="104">
        <f>SUM(C163:N163)</f>
        <v/>
      </c>
    </row>
    <row r="164">
      <c r="A164" s="42">
        <f>IFERROR(__xludf.DUMMYFUNCTION("""COMPUTED_VALUE"""),5596.4422536527)</f>
        <v/>
      </c>
      <c r="B164" s="36" t="n"/>
      <c r="C164" s="47" t="n"/>
      <c r="D164" s="47" t="n"/>
      <c r="E164" s="47" t="n"/>
      <c r="F164" s="47" t="n"/>
      <c r="G164" s="47" t="n"/>
      <c r="H164" s="47" t="n"/>
      <c r="I164" s="47" t="n"/>
      <c r="J164" s="47" t="n"/>
      <c r="K164" s="47" t="n"/>
      <c r="L164" s="47" t="n"/>
      <c r="M164" s="47" t="n"/>
      <c r="N164" s="47" t="n"/>
      <c r="O164" s="47">
        <f>SUM(C164:N164)</f>
        <v/>
      </c>
    </row>
    <row r="165">
      <c r="A165" s="40">
        <f>IFERROR(__xludf.DUMMYFUNCTION("""COMPUTED_VALUE"""),5596.55126517066)</f>
        <v/>
      </c>
      <c r="B165" s="37" t="n"/>
      <c r="C165" s="104" t="n"/>
      <c r="D165" s="104" t="n"/>
      <c r="E165" s="104" t="n"/>
      <c r="F165" s="104" t="n"/>
      <c r="G165" s="104" t="n"/>
      <c r="H165" s="104" t="n"/>
      <c r="I165" s="104" t="n"/>
      <c r="J165" s="104" t="n"/>
      <c r="K165" s="104" t="n"/>
      <c r="L165" s="104" t="n"/>
      <c r="M165" s="104" t="n"/>
      <c r="N165" s="104" t="n"/>
      <c r="O165" s="104">
        <f>SUM(C165:N165)</f>
        <v/>
      </c>
    </row>
    <row r="166">
      <c r="A166" s="42">
        <f>IFERROR(__xludf.DUMMYFUNCTION("""COMPUTED_VALUE"""),5107.2724102298)</f>
        <v/>
      </c>
      <c r="B166" s="36" t="n"/>
      <c r="C166" s="47" t="n"/>
      <c r="D166" s="47" t="n"/>
      <c r="E166" s="47" t="n"/>
      <c r="F166" s="47" t="n"/>
      <c r="G166" s="47" t="n"/>
      <c r="H166" s="47" t="n"/>
      <c r="I166" s="47" t="n"/>
      <c r="J166" s="47" t="n"/>
      <c r="K166" s="47" t="n"/>
      <c r="L166" s="47" t="n"/>
      <c r="M166" s="47" t="n"/>
      <c r="N166" s="47" t="n"/>
      <c r="O166" s="47">
        <f>SUM(C166:N166)</f>
        <v/>
      </c>
    </row>
    <row r="167">
      <c r="A167" s="40">
        <f>IFERROR(__xludf.DUMMYFUNCTION("""COMPUTED_VALUE"""),66097.5255948088)</f>
        <v/>
      </c>
      <c r="B167" s="37" t="n"/>
      <c r="C167" s="104" t="n"/>
      <c r="D167" s="104" t="n"/>
      <c r="E167" s="104" t="n"/>
      <c r="F167" s="104" t="n"/>
      <c r="G167" s="104" t="n"/>
      <c r="H167" s="104" t="n"/>
      <c r="I167" s="104" t="n"/>
      <c r="J167" s="104" t="n"/>
      <c r="K167" s="104" t="n"/>
      <c r="L167" s="104" t="n"/>
      <c r="M167" s="104" t="n"/>
      <c r="N167" s="104" t="n"/>
      <c r="O167" s="104">
        <f>SUM(C167:N167)</f>
        <v/>
      </c>
    </row>
    <row r="168">
      <c r="A168" s="4" t="n"/>
      <c r="B168" s="26" t="n"/>
      <c r="O168" s="26">
        <f>SUM(C168:N168)</f>
        <v/>
      </c>
    </row>
    <row r="169">
      <c r="A169" s="4" t="n"/>
      <c r="B169" s="26" t="n"/>
      <c r="O169" s="26">
        <f>SUM(C169:N169)</f>
        <v/>
      </c>
    </row>
    <row r="170">
      <c r="A170" s="4" t="n"/>
      <c r="B170" s="26" t="n"/>
      <c r="O170" s="26">
        <f>SUM(C170:N170)</f>
        <v/>
      </c>
    </row>
    <row r="171">
      <c r="A171" s="37">
        <f>IFERROR(__xludf.DUMMYFUNCTION("""COMPUTED_VALUE"""),"F11")</f>
        <v/>
      </c>
      <c r="B171" s="37" t="n"/>
      <c r="C171" s="104" t="n"/>
      <c r="D171" s="104" t="n"/>
      <c r="E171" s="104" t="n"/>
      <c r="F171" s="104" t="n"/>
      <c r="G171" s="104" t="n"/>
      <c r="H171" s="104" t="n"/>
      <c r="I171" s="104" t="n"/>
      <c r="J171" s="104" t="n"/>
      <c r="K171" s="104" t="n"/>
      <c r="L171" s="104" t="n"/>
      <c r="M171" s="104" t="n"/>
      <c r="N171" s="104" t="n"/>
      <c r="O171" s="104">
        <f>SUM(C171:N171)</f>
        <v/>
      </c>
    </row>
    <row r="172">
      <c r="A172" s="42">
        <f>IFERROR(__xludf.DUMMYFUNCTION("""COMPUTED_VALUE"""),5386.8806251254)</f>
        <v/>
      </c>
      <c r="B172" s="36" t="n"/>
      <c r="C172" s="47" t="n"/>
      <c r="D172" s="47" t="n"/>
      <c r="E172" s="47" t="n"/>
      <c r="F172" s="47" t="n"/>
      <c r="G172" s="47" t="n"/>
      <c r="H172" s="47" t="n"/>
      <c r="I172" s="47" t="n"/>
      <c r="J172" s="47" t="n"/>
      <c r="K172" s="47" t="n"/>
      <c r="L172" s="47" t="n"/>
      <c r="M172" s="47" t="n"/>
      <c r="N172" s="47" t="n"/>
      <c r="O172" s="47">
        <f>SUM(C172:N172)</f>
        <v/>
      </c>
    </row>
    <row r="173">
      <c r="A173" s="40">
        <f>IFERROR(__xludf.DUMMYFUNCTION("""COMPUTED_VALUE"""),4288.7505299328)</f>
        <v/>
      </c>
      <c r="B173" s="37" t="n"/>
      <c r="C173" s="104" t="n"/>
      <c r="D173" s="104" t="n"/>
      <c r="E173" s="104" t="n"/>
      <c r="F173" s="104" t="n"/>
      <c r="G173" s="104" t="n"/>
      <c r="H173" s="104" t="n"/>
      <c r="I173" s="104" t="n"/>
      <c r="J173" s="104" t="n"/>
      <c r="K173" s="104" t="n"/>
      <c r="L173" s="104" t="n"/>
      <c r="M173" s="104" t="n"/>
      <c r="N173" s="104" t="n"/>
      <c r="O173" s="104">
        <f>SUM(C173:N173)</f>
        <v/>
      </c>
    </row>
    <row r="174">
      <c r="A174" s="42">
        <f>IFERROR(__xludf.DUMMYFUNCTION("""COMPUTED_VALUE"""),4584.26041916933)</f>
        <v/>
      </c>
      <c r="B174" s="36" t="n"/>
      <c r="C174" s="47" t="n"/>
      <c r="D174" s="47" t="n"/>
      <c r="E174" s="47" t="n"/>
      <c r="F174" s="47" t="n"/>
      <c r="G174" s="47" t="n"/>
      <c r="H174" s="47" t="n"/>
      <c r="I174" s="47" t="n"/>
      <c r="J174" s="47" t="n"/>
      <c r="K174" s="47" t="n"/>
      <c r="L174" s="47" t="n"/>
      <c r="M174" s="47" t="n"/>
      <c r="N174" s="47" t="n"/>
      <c r="O174" s="47">
        <f>SUM(C174:N174)</f>
        <v/>
      </c>
    </row>
    <row r="175">
      <c r="A175" s="40">
        <f>IFERROR(__xludf.DUMMYFUNCTION("""COMPUTED_VALUE"""),5217.93195328669)</f>
        <v/>
      </c>
      <c r="B175" s="37" t="n"/>
      <c r="C175" s="104" t="n"/>
      <c r="D175" s="104" t="n"/>
      <c r="E175" s="104" t="n"/>
      <c r="F175" s="104" t="n"/>
      <c r="G175" s="104" t="n"/>
      <c r="H175" s="104" t="n"/>
      <c r="I175" s="104" t="n"/>
      <c r="J175" s="104" t="n"/>
      <c r="K175" s="104" t="n"/>
      <c r="L175" s="104" t="n"/>
      <c r="M175" s="104" t="n"/>
      <c r="N175" s="104" t="n"/>
      <c r="O175" s="104">
        <f>SUM(C175:N175)</f>
        <v/>
      </c>
    </row>
    <row r="176">
      <c r="A176" s="42">
        <f>IFERROR(__xludf.DUMMYFUNCTION("""COMPUTED_VALUE"""),5706.29820286806)</f>
        <v/>
      </c>
      <c r="B176" s="36" t="n"/>
      <c r="C176" s="47" t="n"/>
      <c r="D176" s="47" t="n"/>
      <c r="E176" s="47" t="n"/>
      <c r="F176" s="47" t="n"/>
      <c r="G176" s="47" t="n"/>
      <c r="H176" s="47" t="n"/>
      <c r="I176" s="47" t="n"/>
      <c r="J176" s="47" t="n"/>
      <c r="K176" s="47" t="n"/>
      <c r="L176" s="47" t="n"/>
      <c r="M176" s="47" t="n"/>
      <c r="N176" s="47" t="n"/>
      <c r="O176" s="47">
        <f>SUM(C176:N176)</f>
        <v/>
      </c>
    </row>
    <row r="177">
      <c r="A177" s="40">
        <f>IFERROR(__xludf.DUMMYFUNCTION("""COMPUTED_VALUE"""),4795.77368175776)</f>
        <v/>
      </c>
      <c r="B177" s="37" t="n"/>
      <c r="C177" s="104" t="n"/>
      <c r="D177" s="104" t="n"/>
      <c r="E177" s="104" t="n"/>
      <c r="F177" s="104" t="n"/>
      <c r="G177" s="104" t="n"/>
      <c r="H177" s="104" t="n"/>
      <c r="I177" s="104" t="n"/>
      <c r="J177" s="104" t="n"/>
      <c r="K177" s="104" t="n"/>
      <c r="L177" s="104" t="n"/>
      <c r="M177" s="104" t="n"/>
      <c r="N177" s="104" t="n"/>
      <c r="O177" s="104">
        <f>SUM(C177:N177)</f>
        <v/>
      </c>
    </row>
    <row r="178">
      <c r="A178" s="42">
        <f>IFERROR(__xludf.DUMMYFUNCTION("""COMPUTED_VALUE"""),6113.68382475233)</f>
        <v/>
      </c>
      <c r="B178" s="36" t="n"/>
      <c r="C178" s="47" t="n"/>
      <c r="D178" s="47" t="n"/>
      <c r="E178" s="47" t="n"/>
      <c r="F178" s="47" t="n"/>
      <c r="G178" s="47" t="n"/>
      <c r="H178" s="47" t="n"/>
      <c r="I178" s="47" t="n"/>
      <c r="J178" s="47" t="n"/>
      <c r="K178" s="47" t="n"/>
      <c r="L178" s="47" t="n"/>
      <c r="M178" s="47" t="n"/>
      <c r="N178" s="47" t="n"/>
      <c r="O178" s="47">
        <f>SUM(C178:N178)</f>
        <v/>
      </c>
    </row>
    <row r="179">
      <c r="A179" s="40">
        <f>IFERROR(__xludf.DUMMYFUNCTION("""COMPUTED_VALUE"""),6521.85511899007)</f>
        <v/>
      </c>
      <c r="B179" s="37" t="n"/>
      <c r="C179" s="104" t="n"/>
      <c r="D179" s="104" t="n"/>
      <c r="E179" s="104" t="n"/>
      <c r="F179" s="104" t="n"/>
      <c r="G179" s="104" t="n"/>
      <c r="H179" s="104" t="n"/>
      <c r="I179" s="104" t="n"/>
      <c r="J179" s="104" t="n"/>
      <c r="K179" s="104" t="n"/>
      <c r="L179" s="104" t="n"/>
      <c r="M179" s="104" t="n"/>
      <c r="N179" s="104" t="n"/>
      <c r="O179" s="104">
        <f>SUM(C179:N179)</f>
        <v/>
      </c>
    </row>
    <row r="180">
      <c r="A180" s="42">
        <f>IFERROR(__xludf.DUMMYFUNCTION("""COMPUTED_VALUE"""),4910.86198280827)</f>
        <v/>
      </c>
      <c r="B180" s="36" t="n"/>
      <c r="C180" s="47" t="n"/>
      <c r="D180" s="47" t="n"/>
      <c r="E180" s="47" t="n"/>
      <c r="F180" s="47" t="n"/>
      <c r="G180" s="47" t="n"/>
      <c r="H180" s="47" t="n"/>
      <c r="I180" s="47" t="n"/>
      <c r="J180" s="47" t="n"/>
      <c r="K180" s="47" t="n"/>
      <c r="L180" s="47" t="n"/>
      <c r="M180" s="47" t="n"/>
      <c r="N180" s="47" t="n"/>
      <c r="O180" s="47">
        <f>SUM(C180:N180)</f>
        <v/>
      </c>
    </row>
    <row r="181">
      <c r="A181" s="40">
        <f>IFERROR(__xludf.DUMMYFUNCTION("""COMPUTED_VALUE"""),4777.64107863584)</f>
        <v/>
      </c>
      <c r="B181" s="37" t="n"/>
      <c r="C181" s="104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M181" s="104" t="n"/>
      <c r="N181" s="104" t="n"/>
      <c r="O181" s="104">
        <f>SUM(C181:N181)</f>
        <v/>
      </c>
    </row>
    <row r="182">
      <c r="A182" s="42">
        <f>IFERROR(__xludf.DUMMYFUNCTION("""COMPUTED_VALUE"""),4568.93163458592)</f>
        <v/>
      </c>
      <c r="B182" s="36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7" t="n"/>
      <c r="L182" s="47" t="n"/>
      <c r="M182" s="47" t="n"/>
      <c r="N182" s="47" t="n"/>
      <c r="O182" s="47">
        <f>SUM(C182:N182)</f>
        <v/>
      </c>
    </row>
    <row r="183">
      <c r="A183" s="40">
        <f>IFERROR(__xludf.DUMMYFUNCTION("""COMPUTED_VALUE"""),4690.09840804596)</f>
        <v/>
      </c>
      <c r="B183" s="37" t="n"/>
      <c r="C183" s="104" t="n"/>
      <c r="D183" s="104" t="n"/>
      <c r="E183" s="104" t="n"/>
      <c r="F183" s="104" t="n"/>
      <c r="G183" s="104" t="n"/>
      <c r="H183" s="104" t="n"/>
      <c r="I183" s="104" t="n"/>
      <c r="J183" s="104" t="n"/>
      <c r="K183" s="104" t="n"/>
      <c r="L183" s="104" t="n"/>
      <c r="M183" s="104" t="n"/>
      <c r="N183" s="104" t="n"/>
      <c r="O183" s="104">
        <f>SUM(C183:N183)</f>
        <v/>
      </c>
    </row>
    <row r="184">
      <c r="A184" s="42">
        <f>IFERROR(__xludf.DUMMYFUNCTION("""COMPUTED_VALUE"""),61562.9674599584)</f>
        <v/>
      </c>
      <c r="B184" s="36" t="n"/>
      <c r="C184" s="47" t="n"/>
      <c r="D184" s="47" t="n"/>
      <c r="E184" s="47" t="n"/>
      <c r="F184" s="47" t="n"/>
      <c r="G184" s="47" t="n"/>
      <c r="H184" s="47" t="n"/>
      <c r="I184" s="47" t="n"/>
      <c r="J184" s="47" t="n"/>
      <c r="K184" s="47" t="n"/>
      <c r="L184" s="47" t="n"/>
      <c r="M184" s="47" t="n"/>
      <c r="N184" s="47" t="n"/>
      <c r="O184" s="47">
        <f>SUM(C184:N184)</f>
        <v/>
      </c>
    </row>
    <row r="185">
      <c r="A185" s="4" t="n"/>
      <c r="B185" s="26" t="n"/>
      <c r="O185" s="26">
        <f>SUM(C185:N185)</f>
        <v/>
      </c>
    </row>
    <row r="186">
      <c r="A186" s="4" t="n"/>
      <c r="B186" s="26" t="n"/>
      <c r="O186" s="26">
        <f>SUM(C186:N186)</f>
        <v/>
      </c>
    </row>
    <row r="187">
      <c r="A187" s="4" t="n"/>
      <c r="B187" s="26" t="n"/>
      <c r="O187" s="26">
        <f>SUM(C187:N187)</f>
        <v/>
      </c>
    </row>
    <row r="188">
      <c r="A188" s="36">
        <f>IFERROR(__xludf.DUMMYFUNCTION("""COMPUTED_VALUE"""),"F12")</f>
        <v/>
      </c>
      <c r="B188" s="36" t="n"/>
      <c r="C188" s="47" t="n"/>
      <c r="D188" s="47" t="n"/>
      <c r="E188" s="47" t="n"/>
      <c r="F188" s="47" t="n"/>
      <c r="G188" s="47" t="n"/>
      <c r="H188" s="47" t="n"/>
      <c r="I188" s="47" t="n"/>
      <c r="J188" s="47" t="n"/>
      <c r="K188" s="47" t="n"/>
      <c r="L188" s="47" t="n"/>
      <c r="M188" s="47" t="n"/>
      <c r="N188" s="47" t="n"/>
      <c r="O188" s="47">
        <f>SUM(C188:N188)</f>
        <v/>
      </c>
    </row>
    <row r="189">
      <c r="A189" s="40">
        <f>IFERROR(__xludf.DUMMYFUNCTION("""COMPUTED_VALUE"""),5334.51484375)</f>
        <v/>
      </c>
      <c r="B189" s="37" t="n"/>
      <c r="C189" s="104" t="n"/>
      <c r="D189" s="104" t="n"/>
      <c r="E189" s="104" t="n"/>
      <c r="F189" s="104" t="n"/>
      <c r="G189" s="104" t="n"/>
      <c r="H189" s="104" t="n"/>
      <c r="I189" s="104" t="n"/>
      <c r="J189" s="104" t="n"/>
      <c r="K189" s="104" t="n"/>
      <c r="L189" s="104" t="n"/>
      <c r="M189" s="104" t="n"/>
      <c r="N189" s="104" t="n"/>
      <c r="O189" s="104">
        <f>SUM(C189:N189)</f>
        <v/>
      </c>
    </row>
    <row r="190">
      <c r="A190" s="42">
        <f>IFERROR(__xludf.DUMMYFUNCTION("""COMPUTED_VALUE"""),4030.49543553616)</f>
        <v/>
      </c>
      <c r="B190" s="36" t="n"/>
      <c r="C190" s="47" t="n"/>
      <c r="D190" s="47" t="n"/>
      <c r="E190" s="47" t="n"/>
      <c r="F190" s="47" t="n"/>
      <c r="G190" s="47" t="n"/>
      <c r="H190" s="47" t="n"/>
      <c r="I190" s="47" t="n"/>
      <c r="J190" s="47" t="n"/>
      <c r="K190" s="47" t="n"/>
      <c r="L190" s="47" t="n"/>
      <c r="M190" s="47" t="n"/>
      <c r="N190" s="47" t="n"/>
      <c r="O190" s="47">
        <f>SUM(C190:N190)</f>
        <v/>
      </c>
    </row>
    <row r="191">
      <c r="A191" s="40">
        <f>IFERROR(__xludf.DUMMYFUNCTION("""COMPUTED_VALUE"""),4272.86364851562)</f>
        <v/>
      </c>
      <c r="B191" s="37" t="n"/>
      <c r="C191" s="104" t="n"/>
      <c r="D191" s="104" t="n"/>
      <c r="E191" s="104" t="n"/>
      <c r="F191" s="104" t="n"/>
      <c r="G191" s="104" t="n"/>
      <c r="H191" s="104" t="n"/>
      <c r="I191" s="104" t="n"/>
      <c r="J191" s="104" t="n"/>
      <c r="K191" s="104" t="n"/>
      <c r="L191" s="104" t="n"/>
      <c r="M191" s="104" t="n"/>
      <c r="N191" s="104" t="n"/>
      <c r="O191" s="104">
        <f>SUM(C191:N191)</f>
        <v/>
      </c>
    </row>
    <row r="192">
      <c r="A192" s="42">
        <f>IFERROR(__xludf.DUMMYFUNCTION("""COMPUTED_VALUE"""),5108.00588503746)</f>
        <v/>
      </c>
      <c r="B192" s="36" t="n"/>
      <c r="C192" s="47" t="n"/>
      <c r="D192" s="47" t="n"/>
      <c r="E192" s="47" t="n"/>
      <c r="F192" s="47" t="n"/>
      <c r="G192" s="47" t="n"/>
      <c r="H192" s="47" t="n"/>
      <c r="I192" s="47" t="n"/>
      <c r="J192" s="47" t="n"/>
      <c r="K192" s="47" t="n"/>
      <c r="L192" s="47" t="n"/>
      <c r="M192" s="47" t="n"/>
      <c r="N192" s="47" t="n"/>
      <c r="O192" s="47">
        <f>SUM(C192:N192)</f>
        <v/>
      </c>
    </row>
    <row r="193">
      <c r="A193" s="40">
        <f>IFERROR(__xludf.DUMMYFUNCTION("""COMPUTED_VALUE"""),5588.00316279745)</f>
        <v/>
      </c>
      <c r="B193" s="37" t="n"/>
      <c r="C193" s="104" t="n"/>
      <c r="D193" s="104" t="n"/>
      <c r="E193" s="104" t="n"/>
      <c r="F193" s="104" t="n"/>
      <c r="G193" s="104" t="n"/>
      <c r="H193" s="104" t="n"/>
      <c r="I193" s="104" t="n"/>
      <c r="J193" s="104" t="n"/>
      <c r="K193" s="104" t="n"/>
      <c r="L193" s="104" t="n"/>
      <c r="M193" s="104" t="n"/>
      <c r="N193" s="104" t="n"/>
      <c r="O193" s="104">
        <f>SUM(C193:N193)</f>
        <v/>
      </c>
    </row>
    <row r="194">
      <c r="A194" s="42">
        <f>IFERROR(__xludf.DUMMYFUNCTION("""COMPUTED_VALUE"""),4740.65304853937)</f>
        <v/>
      </c>
      <c r="B194" s="36" t="n"/>
      <c r="C194" s="47" t="n"/>
      <c r="D194" s="47" t="n"/>
      <c r="E194" s="47" t="n"/>
      <c r="F194" s="47" t="n"/>
      <c r="G194" s="47" t="n"/>
      <c r="H194" s="47" t="n"/>
      <c r="I194" s="47" t="n"/>
      <c r="J194" s="47" t="n"/>
      <c r="K194" s="47" t="n"/>
      <c r="L194" s="47" t="n"/>
      <c r="M194" s="47" t="n"/>
      <c r="N194" s="47" t="n"/>
      <c r="O194" s="47">
        <f>SUM(C194:N194)</f>
        <v/>
      </c>
    </row>
    <row r="195">
      <c r="A195" s="40">
        <f>IFERROR(__xludf.DUMMYFUNCTION("""COMPUTED_VALUE"""),6113.68382475233)</f>
        <v/>
      </c>
      <c r="B195" s="37" t="n"/>
      <c r="C195" s="104" t="n"/>
      <c r="D195" s="104" t="n"/>
      <c r="E195" s="104" t="n"/>
      <c r="F195" s="104" t="n"/>
      <c r="G195" s="104" t="n"/>
      <c r="H195" s="104" t="n"/>
      <c r="I195" s="104" t="n"/>
      <c r="J195" s="104" t="n"/>
      <c r="K195" s="104" t="n"/>
      <c r="L195" s="104" t="n"/>
      <c r="M195" s="104" t="n"/>
      <c r="N195" s="104" t="n"/>
      <c r="O195" s="104">
        <f>SUM(C195:N195)</f>
        <v/>
      </c>
    </row>
    <row r="196">
      <c r="A196" s="42">
        <f>IFERROR(__xludf.DUMMYFUNCTION("""COMPUTED_VALUE"""),7232.8469521545)</f>
        <v/>
      </c>
      <c r="B196" s="36" t="n"/>
      <c r="C196" s="47" t="n"/>
      <c r="D196" s="47" t="n"/>
      <c r="E196" s="47" t="n"/>
      <c r="F196" s="47" t="n"/>
      <c r="G196" s="47" t="n"/>
      <c r="H196" s="47" t="n"/>
      <c r="I196" s="47" t="n"/>
      <c r="J196" s="47" t="n"/>
      <c r="K196" s="47" t="n"/>
      <c r="L196" s="47" t="n"/>
      <c r="M196" s="47" t="n"/>
      <c r="N196" s="47" t="n"/>
      <c r="O196" s="47">
        <f>SUM(C196:N196)</f>
        <v/>
      </c>
    </row>
    <row r="197">
      <c r="A197" s="40">
        <f>IFERROR(__xludf.DUMMYFUNCTION("""COMPUTED_VALUE"""),4867.99260110367)</f>
        <v/>
      </c>
      <c r="B197" s="37" t="n"/>
      <c r="C197" s="104" t="n"/>
      <c r="D197" s="104" t="n"/>
      <c r="E197" s="104" t="n"/>
      <c r="F197" s="104" t="n"/>
      <c r="G197" s="104" t="n"/>
      <c r="H197" s="104" t="n"/>
      <c r="I197" s="104" t="n"/>
      <c r="J197" s="104" t="n"/>
      <c r="K197" s="104" t="n"/>
      <c r="L197" s="104" t="n"/>
      <c r="M197" s="104" t="n"/>
      <c r="N197" s="104" t="n"/>
      <c r="O197" s="104">
        <f>SUM(C197:N197)</f>
        <v/>
      </c>
    </row>
    <row r="198">
      <c r="A198" s="42">
        <f>IFERROR(__xludf.DUMMYFUNCTION("""COMPUTED_VALUE"""),4735.21826266901)</f>
        <v/>
      </c>
      <c r="B198" s="36" t="n"/>
      <c r="C198" s="47" t="n"/>
      <c r="D198" s="47" t="n"/>
      <c r="E198" s="47" t="n"/>
      <c r="F198" s="47" t="n"/>
      <c r="G198" s="47" t="n"/>
      <c r="H198" s="47" t="n"/>
      <c r="I198" s="47" t="n"/>
      <c r="J198" s="47" t="n"/>
      <c r="K198" s="47" t="n"/>
      <c r="L198" s="47" t="n"/>
      <c r="M198" s="47" t="n"/>
      <c r="N198" s="47" t="n"/>
      <c r="O198" s="47">
        <f>SUM(C198:N198)</f>
        <v/>
      </c>
    </row>
    <row r="199">
      <c r="A199" s="40">
        <f>IFERROR(__xludf.DUMMYFUNCTION("""COMPUTED_VALUE"""),4448.95448343338)</f>
        <v/>
      </c>
      <c r="B199" s="37" t="n"/>
      <c r="C199" s="104" t="n"/>
      <c r="D199" s="104" t="n"/>
      <c r="E199" s="104" t="n"/>
      <c r="F199" s="104" t="n"/>
      <c r="G199" s="104" t="n"/>
      <c r="H199" s="104" t="n"/>
      <c r="I199" s="104" t="n"/>
      <c r="J199" s="104" t="n"/>
      <c r="K199" s="104" t="n"/>
      <c r="L199" s="104" t="n"/>
      <c r="M199" s="104" t="n"/>
      <c r="N199" s="104" t="n"/>
      <c r="O199" s="104">
        <f>SUM(C199:N199)</f>
        <v/>
      </c>
    </row>
    <row r="200">
      <c r="A200" s="42">
        <f>IFERROR(__xludf.DUMMYFUNCTION("""COMPUTED_VALUE"""),5959.15962463761)</f>
        <v/>
      </c>
      <c r="B200" s="36" t="n"/>
      <c r="C200" s="47" t="n"/>
      <c r="D200" s="47" t="n"/>
      <c r="E200" s="47" t="n"/>
      <c r="F200" s="47" t="n"/>
      <c r="G200" s="47" t="n"/>
      <c r="H200" s="47" t="n"/>
      <c r="I200" s="47" t="n"/>
      <c r="J200" s="47" t="n"/>
      <c r="K200" s="47" t="n"/>
      <c r="L200" s="47" t="n"/>
      <c r="M200" s="47" t="n"/>
      <c r="N200" s="47" t="n"/>
      <c r="O200" s="47">
        <f>SUM(C200:N200)</f>
        <v/>
      </c>
    </row>
    <row r="201">
      <c r="A201" s="6">
        <f>IFERROR(__xludf.DUMMYFUNCTION("""COMPUTED_VALUE"""),62432.3917729266)</f>
        <v/>
      </c>
      <c r="B201" s="26" t="n"/>
      <c r="O201" s="26">
        <f>SUM(C201:N201)</f>
        <v/>
      </c>
    </row>
    <row r="202">
      <c r="A202" s="4" t="n"/>
      <c r="B202" s="26" t="n"/>
      <c r="O202" s="26">
        <f>SUM(C202:N202)</f>
        <v/>
      </c>
    </row>
    <row r="203">
      <c r="A203" s="4" t="n"/>
      <c r="B203" s="26" t="n"/>
      <c r="O203" s="26">
        <f>SUM(C203:N203)</f>
        <v/>
      </c>
    </row>
    <row r="204">
      <c r="A204" s="4" t="n"/>
      <c r="B204" s="26" t="n"/>
      <c r="O204" s="26">
        <f>SUM(C204:N204)</f>
        <v/>
      </c>
    </row>
    <row r="205">
      <c r="A205" s="4">
        <f>IFERROR(__xludf.DUMMYFUNCTION("""COMPUTED_VALUE"""),"F13")</f>
        <v/>
      </c>
      <c r="B205" s="26" t="n"/>
      <c r="O205" s="26">
        <f>SUM(C205:N205)</f>
        <v/>
      </c>
    </row>
    <row r="206">
      <c r="A206" s="6">
        <f>IFERROR(__xludf.DUMMYFUNCTION("""COMPUTED_VALUE"""),5473.62789253127)</f>
        <v/>
      </c>
      <c r="B206" s="26" t="n"/>
      <c r="O206" s="26">
        <f>SUM(C206:N206)</f>
        <v/>
      </c>
    </row>
    <row r="207">
      <c r="A207" s="6">
        <f>IFERROR(__xludf.DUMMYFUNCTION("""COMPUTED_VALUE"""),6298.01367491652)</f>
        <v/>
      </c>
      <c r="B207" s="26" t="n"/>
      <c r="O207" s="26">
        <f>SUM(C207:N207)</f>
        <v/>
      </c>
    </row>
    <row r="208">
      <c r="A208" s="6">
        <f>IFERROR(__xludf.DUMMYFUNCTION("""COMPUTED_VALUE"""),5598.22089982371)</f>
        <v/>
      </c>
      <c r="B208" s="26" t="n"/>
      <c r="O208" s="26">
        <f>SUM(C208:N208)</f>
        <v/>
      </c>
    </row>
    <row r="209">
      <c r="A209" s="6">
        <f>IFERROR(__xludf.DUMMYFUNCTION("""COMPUTED_VALUE"""),6235.71257137386)</f>
        <v/>
      </c>
      <c r="B209" s="26" t="n"/>
      <c r="O209" s="26">
        <f>SUM(C209:N209)</f>
        <v/>
      </c>
    </row>
    <row r="210">
      <c r="A210" s="6">
        <f>IFERROR(__xludf.DUMMYFUNCTION("""COMPUTED_VALUE"""),6252.77373075548)</f>
        <v/>
      </c>
      <c r="B210" s="26" t="n"/>
      <c r="O210" s="26">
        <f>SUM(C210:N210)</f>
        <v/>
      </c>
    </row>
    <row r="211">
      <c r="A211" s="6">
        <f>IFERROR(__xludf.DUMMYFUNCTION("""COMPUTED_VALUE"""),5225.79112890827)</f>
        <v/>
      </c>
      <c r="B211" s="26" t="n"/>
      <c r="O211" s="26">
        <f>SUM(C211:N211)</f>
        <v/>
      </c>
    </row>
    <row r="212">
      <c r="A212" s="6">
        <f>IFERROR(__xludf.DUMMYFUNCTION("""COMPUTED_VALUE"""),6402.94482995416)</f>
        <v/>
      </c>
      <c r="B212" s="26" t="n"/>
      <c r="O212" s="26">
        <f>SUM(C212:N212)</f>
        <v/>
      </c>
    </row>
    <row r="213">
      <c r="A213" s="6">
        <f>IFERROR(__xludf.DUMMYFUNCTION("""COMPUTED_VALUE"""),7071.95601024913)</f>
        <v/>
      </c>
      <c r="B213" s="26" t="n"/>
      <c r="O213" s="26">
        <f>SUM(C213:N213)</f>
        <v/>
      </c>
    </row>
    <row r="214">
      <c r="A214" s="6">
        <f>IFERROR(__xludf.DUMMYFUNCTION("""COMPUTED_VALUE"""),5145.86881621523)</f>
        <v/>
      </c>
      <c r="B214" s="26" t="n"/>
      <c r="O214" s="26">
        <f>SUM(C214:N214)</f>
        <v/>
      </c>
    </row>
    <row r="215">
      <c r="A215" s="6">
        <f>IFERROR(__xludf.DUMMYFUNCTION("""COMPUTED_VALUE"""),4968.01319714166)</f>
        <v/>
      </c>
      <c r="B215" s="26" t="n"/>
      <c r="O215" s="26">
        <f>SUM(C215:N215)</f>
        <v/>
      </c>
    </row>
    <row r="216">
      <c r="A216" s="6">
        <f>IFERROR(__xludf.DUMMYFUNCTION("""COMPUTED_VALUE"""),4751.23058969841)</f>
        <v/>
      </c>
      <c r="B216" s="26" t="n"/>
      <c r="O216" s="26">
        <f>SUM(C216:N216)</f>
        <v/>
      </c>
    </row>
    <row r="217">
      <c r="A217" s="6">
        <f>IFERROR(__xludf.DUMMYFUNCTION("""COMPUTED_VALUE"""),4933.69751557468)</f>
        <v/>
      </c>
      <c r="B217" s="26" t="n"/>
      <c r="O217" s="26">
        <f>SUM(C217:N217)</f>
        <v/>
      </c>
    </row>
    <row r="218">
      <c r="A218" s="6">
        <f>IFERROR(__xludf.DUMMYFUNCTION("""COMPUTED_VALUE"""),68357.8508571424)</f>
        <v/>
      </c>
      <c r="B218" s="26" t="n"/>
      <c r="O218" s="26">
        <f>SUM(C218:N218)</f>
        <v/>
      </c>
    </row>
    <row r="219">
      <c r="A219" s="4" t="n"/>
      <c r="B219" s="26" t="n"/>
      <c r="O219" s="26">
        <f>SUM(C219:N219)</f>
        <v/>
      </c>
    </row>
    <row r="220">
      <c r="A220" s="4" t="n"/>
      <c r="B220" s="26" t="n"/>
      <c r="O220" s="26">
        <f>SUM(C220:N220)</f>
        <v/>
      </c>
    </row>
    <row r="221">
      <c r="A221" s="4" t="n"/>
      <c r="B221" s="26" t="n"/>
      <c r="O221" s="26">
        <f>SUM(C221:N221)</f>
        <v/>
      </c>
    </row>
    <row r="222">
      <c r="A222" s="4">
        <f>IFERROR(__xludf.DUMMYFUNCTION("""COMPUTED_VALUE"""),"F14")</f>
        <v/>
      </c>
      <c r="B222" s="26" t="n"/>
      <c r="O222" s="26">
        <f>SUM(C222:N222)</f>
        <v/>
      </c>
    </row>
    <row r="223">
      <c r="A223" s="6">
        <f>IFERROR(__xludf.DUMMYFUNCTION("""COMPUTED_VALUE"""),6196.82772347765)</f>
        <v/>
      </c>
      <c r="B223" s="26" t="n"/>
      <c r="O223" s="26">
        <f>SUM(C223:N223)</f>
        <v/>
      </c>
    </row>
    <row r="224">
      <c r="A224" s="6">
        <f>IFERROR(__xludf.DUMMYFUNCTION("""COMPUTED_VALUE"""),4914.10177004969)</f>
        <v/>
      </c>
      <c r="B224" s="26" t="n"/>
      <c r="O224" s="26">
        <f>SUM(C224:N224)</f>
        <v/>
      </c>
    </row>
    <row r="225">
      <c r="A225" s="6">
        <f>IFERROR(__xludf.DUMMYFUNCTION("""COMPUTED_VALUE"""),5391.20569367855)</f>
        <v/>
      </c>
      <c r="B225" s="26" t="n"/>
      <c r="O225" s="26">
        <f>SUM(C225:N225)</f>
        <v/>
      </c>
    </row>
    <row r="226">
      <c r="A226" s="6">
        <f>IFERROR(__xludf.DUMMYFUNCTION("""COMPUTED_VALUE"""),5438.81620950479)</f>
        <v/>
      </c>
      <c r="B226" s="26" t="n"/>
      <c r="O226" s="26">
        <f>SUM(C226:N226)</f>
        <v/>
      </c>
    </row>
    <row r="227">
      <c r="A227" s="6">
        <f>IFERROR(__xludf.DUMMYFUNCTION("""COMPUTED_VALUE"""),5882.54583279015)</f>
        <v/>
      </c>
      <c r="B227" s="26" t="n"/>
      <c r="O227" s="26">
        <f>SUM(C227:N227)</f>
        <v/>
      </c>
    </row>
    <row r="228">
      <c r="A228" s="6">
        <f>IFERROR(__xludf.DUMMYFUNCTION("""COMPUTED_VALUE"""),4974.85237768028)</f>
        <v/>
      </c>
      <c r="B228" s="26" t="n"/>
      <c r="O228" s="26">
        <f>SUM(C228:N228)</f>
        <v/>
      </c>
    </row>
    <row r="229">
      <c r="A229" s="6">
        <f>IFERROR(__xludf.DUMMYFUNCTION("""COMPUTED_VALUE"""),6442.6326705531)</f>
        <v/>
      </c>
      <c r="B229" s="26" t="n"/>
      <c r="O229" s="26">
        <f>SUM(C229:N229)</f>
        <v/>
      </c>
    </row>
    <row r="230">
      <c r="A230" s="6">
        <f>IFERROR(__xludf.DUMMYFUNCTION("""COMPUTED_VALUE"""),7102.46029075128)</f>
        <v/>
      </c>
      <c r="B230" s="26" t="n"/>
      <c r="O230" s="26">
        <f>SUM(C230:N230)</f>
        <v/>
      </c>
    </row>
    <row r="231">
      <c r="A231" s="6">
        <f>IFERROR(__xludf.DUMMYFUNCTION("""COMPUTED_VALUE"""),5657.09444622387)</f>
        <v/>
      </c>
      <c r="B231" s="26" t="n"/>
      <c r="O231" s="26">
        <f>SUM(C231:N231)</f>
        <v/>
      </c>
    </row>
    <row r="232">
      <c r="A232" s="6">
        <f>IFERROR(__xludf.DUMMYFUNCTION("""COMPUTED_VALUE"""),5455.26317790506)</f>
        <v/>
      </c>
      <c r="B232" s="26" t="n"/>
      <c r="O232" s="26">
        <f>SUM(C232:N232)</f>
        <v/>
      </c>
    </row>
    <row r="233">
      <c r="A233" s="6">
        <f>IFERROR(__xludf.DUMMYFUNCTION("""COMPUTED_VALUE"""),5270.0106043687)</f>
        <v/>
      </c>
      <c r="B233" s="26" t="n"/>
      <c r="O233" s="26">
        <f>SUM(C233:N233)</f>
        <v/>
      </c>
    </row>
    <row r="234">
      <c r="A234" s="6">
        <f>IFERROR(__xludf.DUMMYFUNCTION("""COMPUTED_VALUE"""),5305.44767337315)</f>
        <v/>
      </c>
      <c r="B234" s="26" t="n"/>
      <c r="O234" s="26">
        <f>SUM(C234:N234)</f>
        <v/>
      </c>
    </row>
    <row r="235">
      <c r="A235" s="6">
        <f>IFERROR(__xludf.DUMMYFUNCTION("""COMPUTED_VALUE"""),68031.2584703563)</f>
        <v/>
      </c>
      <c r="B235" s="26" t="n"/>
      <c r="O235" s="26">
        <f>SUM(C235:N235)</f>
        <v/>
      </c>
    </row>
    <row r="236">
      <c r="A236" s="4" t="n"/>
      <c r="B236" s="26" t="n"/>
      <c r="O236" s="26">
        <f>SUM(C236:N236)</f>
        <v/>
      </c>
    </row>
    <row r="237">
      <c r="A237" s="4" t="n"/>
      <c r="B237" s="26" t="n"/>
      <c r="O237" s="26">
        <f>SUM(C237:N237)</f>
        <v/>
      </c>
    </row>
    <row r="238">
      <c r="A238" s="4" t="n"/>
      <c r="B238" s="26" t="n"/>
      <c r="O238" s="26">
        <f>SUM(C238:N238)</f>
        <v/>
      </c>
    </row>
    <row r="239">
      <c r="A239" s="4">
        <f>IFERROR(__xludf.DUMMYFUNCTION("""COMPUTED_VALUE"""),"F15")</f>
        <v/>
      </c>
      <c r="B239" s="26" t="n"/>
      <c r="O239" s="26">
        <f>SUM(C239:N239)</f>
        <v/>
      </c>
    </row>
    <row r="240">
      <c r="A240" s="6">
        <f>IFERROR(__xludf.DUMMYFUNCTION("""COMPUTED_VALUE"""),6504.59242875179)</f>
        <v/>
      </c>
      <c r="B240" s="26" t="n"/>
      <c r="O240" s="26">
        <f>SUM(C240:N240)</f>
        <v/>
      </c>
    </row>
    <row r="241">
      <c r="A241" s="6">
        <f>IFERROR(__xludf.DUMMYFUNCTION("""COMPUTED_VALUE"""),5488.34757272012)</f>
        <v/>
      </c>
      <c r="B241" s="26" t="n"/>
      <c r="O241" s="26">
        <f>SUM(C241:N241)</f>
        <v/>
      </c>
    </row>
    <row r="242">
      <c r="A242" s="6">
        <f>IFERROR(__xludf.DUMMYFUNCTION("""COMPUTED_VALUE"""),5711.67389663617)</f>
        <v/>
      </c>
      <c r="B242" s="26" t="n"/>
      <c r="O242" s="26">
        <f>SUM(C242:N242)</f>
        <v/>
      </c>
    </row>
    <row r="243">
      <c r="A243" s="6">
        <f>IFERROR(__xludf.DUMMYFUNCTION("""COMPUTED_VALUE"""),6486.53640173187)</f>
        <v/>
      </c>
      <c r="B243" s="26" t="n"/>
      <c r="O243" s="26">
        <f>SUM(C243:N243)</f>
        <v/>
      </c>
    </row>
    <row r="244">
      <c r="A244" s="6">
        <f>IFERROR(__xludf.DUMMYFUNCTION("""COMPUTED_VALUE"""),6873.53862306932)</f>
        <v/>
      </c>
      <c r="B244" s="26" t="n"/>
      <c r="O244" s="26">
        <f>SUM(C244:N244)</f>
        <v/>
      </c>
    </row>
    <row r="245">
      <c r="A245" s="6">
        <f>IFERROR(__xludf.DUMMYFUNCTION("""COMPUTED_VALUE"""),5910.58408961131)</f>
        <v/>
      </c>
      <c r="B245" s="26" t="n"/>
      <c r="O245" s="26">
        <f>SUM(C245:N245)</f>
        <v/>
      </c>
    </row>
    <row r="246">
      <c r="A246" s="6">
        <f>IFERROR(__xludf.DUMMYFUNCTION("""COMPUTED_VALUE"""),6982.39868762138)</f>
        <v/>
      </c>
      <c r="B246" s="26" t="n"/>
      <c r="O246" s="26">
        <f>SUM(C246:N246)</f>
        <v/>
      </c>
    </row>
    <row r="247">
      <c r="A247" s="6">
        <f>IFERROR(__xludf.DUMMYFUNCTION("""COMPUTED_VALUE"""),7556.714028359)</f>
        <v/>
      </c>
      <c r="B247" s="26" t="n"/>
      <c r="O247" s="26">
        <f>SUM(C247:N247)</f>
        <v/>
      </c>
    </row>
    <row r="248">
      <c r="A248" s="6">
        <f>IFERROR(__xludf.DUMMYFUNCTION("""COMPUTED_VALUE"""),6043.34137572049)</f>
        <v/>
      </c>
      <c r="B248" s="26" t="n"/>
      <c r="O248" s="26">
        <f>SUM(C248:N248)</f>
        <v/>
      </c>
    </row>
    <row r="249">
      <c r="A249" s="6">
        <f>IFERROR(__xludf.DUMMYFUNCTION("""COMPUTED_VALUE"""),5888.92926671932)</f>
        <v/>
      </c>
      <c r="B249" s="26" t="n"/>
      <c r="O249" s="26">
        <f>SUM(C249:N249)</f>
        <v/>
      </c>
    </row>
    <row r="250">
      <c r="A250" s="6">
        <f>IFERROR(__xludf.DUMMYFUNCTION("""COMPUTED_VALUE"""),5520.02338336617)</f>
        <v/>
      </c>
      <c r="B250" s="26" t="n"/>
      <c r="O250" s="26">
        <f>SUM(C250:N250)</f>
        <v/>
      </c>
    </row>
    <row r="251">
      <c r="A251" s="6">
        <f>IFERROR(__xludf.DUMMYFUNCTION("""COMPUTED_VALUE"""),5764.15123800602)</f>
        <v/>
      </c>
      <c r="B251" s="26" t="n"/>
      <c r="O251" s="26">
        <f>SUM(C251:N251)</f>
        <v/>
      </c>
    </row>
    <row r="252">
      <c r="A252" s="6">
        <f>IFERROR(__xludf.DUMMYFUNCTION("""COMPUTED_VALUE"""),74730.8309923129)</f>
        <v/>
      </c>
      <c r="B252" s="26" t="n"/>
      <c r="O252" s="26">
        <f>SUM(C252:N252)</f>
        <v/>
      </c>
    </row>
    <row r="253">
      <c r="A253" s="4" t="n"/>
      <c r="B253" s="26" t="n"/>
      <c r="O253" s="26">
        <f>SUM(C253:N253)</f>
        <v/>
      </c>
    </row>
    <row r="254">
      <c r="A254" s="4" t="n"/>
      <c r="B254" s="26" t="n"/>
      <c r="O254" s="26">
        <f>SUM(C254:N254)</f>
        <v/>
      </c>
    </row>
    <row r="255">
      <c r="A255" s="4" t="n"/>
      <c r="B255" s="26" t="n"/>
      <c r="O255" s="26">
        <f>SUM(C255:N255)</f>
        <v/>
      </c>
    </row>
    <row r="256">
      <c r="A256" s="4">
        <f>IFERROR(__xludf.DUMMYFUNCTION("""COMPUTED_VALUE"""),"F16")</f>
        <v/>
      </c>
      <c r="B256" s="26" t="n"/>
      <c r="O256" s="26">
        <f>SUM(C256:N256)</f>
        <v/>
      </c>
    </row>
    <row r="257">
      <c r="A257" s="6">
        <f>IFERROR(__xludf.DUMMYFUNCTION("""COMPUTED_VALUE"""),6525.03905215124)</f>
        <v/>
      </c>
      <c r="B257" s="26" t="n"/>
      <c r="O257" s="26">
        <f>SUM(C257:N257)</f>
        <v/>
      </c>
    </row>
    <row r="258">
      <c r="A258" s="6">
        <f>IFERROR(__xludf.DUMMYFUNCTION("""COMPUTED_VALUE"""),5395.83578592741)</f>
        <v/>
      </c>
      <c r="B258" s="26" t="n"/>
      <c r="O258" s="26">
        <f>SUM(C258:N258)</f>
        <v/>
      </c>
    </row>
    <row r="259">
      <c r="A259" s="6">
        <f>IFERROR(__xludf.DUMMYFUNCTION("""COMPUTED_VALUE"""),5474.68211535995)</f>
        <v/>
      </c>
      <c r="B259" s="26" t="n"/>
      <c r="O259" s="26">
        <f>SUM(C259:N259)</f>
        <v/>
      </c>
    </row>
    <row r="260">
      <c r="A260" s="6">
        <f>IFERROR(__xludf.DUMMYFUNCTION("""COMPUTED_VALUE"""),6265.07018504222)</f>
        <v/>
      </c>
      <c r="B260" s="26" t="n"/>
      <c r="O260" s="26">
        <f>SUM(C260:N260)</f>
        <v/>
      </c>
    </row>
    <row r="261">
      <c r="A261" s="6">
        <f>IFERROR(__xludf.DUMMYFUNCTION("""COMPUTED_VALUE"""),7143.84977064334)</f>
        <v/>
      </c>
      <c r="B261" s="26" t="n"/>
      <c r="O261" s="26">
        <f>SUM(C261:N261)</f>
        <v/>
      </c>
    </row>
    <row r="262">
      <c r="A262" s="6">
        <f>IFERROR(__xludf.DUMMYFUNCTION("""COMPUTED_VALUE"""),5924.58436203439)</f>
        <v/>
      </c>
      <c r="B262" s="26" t="n"/>
      <c r="O262" s="26">
        <f>SUM(C262:N262)</f>
        <v/>
      </c>
    </row>
    <row r="263">
      <c r="A263" s="6">
        <f>IFERROR(__xludf.DUMMYFUNCTION("""COMPUTED_VALUE"""),7483.57844590764)</f>
        <v/>
      </c>
      <c r="B263" s="26" t="n"/>
      <c r="O263" s="26">
        <f>SUM(C263:N263)</f>
        <v/>
      </c>
    </row>
    <row r="264">
      <c r="A264" s="6">
        <f>IFERROR(__xludf.DUMMYFUNCTION("""COMPUTED_VALUE"""),7797.61191688005)</f>
        <v/>
      </c>
      <c r="B264" s="26" t="n"/>
      <c r="O264" s="26">
        <f>SUM(C264:N264)</f>
        <v/>
      </c>
    </row>
    <row r="265">
      <c r="A265" s="6">
        <f>IFERROR(__xludf.DUMMYFUNCTION("""COMPUTED_VALUE"""),6641.76632529693)</f>
        <v/>
      </c>
      <c r="B265" s="26" t="n"/>
      <c r="O265" s="26">
        <f>SUM(C265:N265)</f>
        <v/>
      </c>
    </row>
    <row r="266">
      <c r="A266" s="6">
        <f>IFERROR(__xludf.DUMMYFUNCTION("""COMPUTED_VALUE"""),6039.74769014249)</f>
        <v/>
      </c>
      <c r="B266" s="26" t="n"/>
      <c r="O266" s="26">
        <f>SUM(C266:N266)</f>
        <v/>
      </c>
    </row>
    <row r="267">
      <c r="A267" s="6">
        <f>IFERROR(__xludf.DUMMYFUNCTION("""COMPUTED_VALUE"""),5903.1210755559)</f>
        <v/>
      </c>
      <c r="B267" s="26" t="n"/>
      <c r="O267" s="26">
        <f>SUM(C267:N267)</f>
        <v/>
      </c>
    </row>
    <row r="268">
      <c r="A268" s="6">
        <f>IFERROR(__xludf.DUMMYFUNCTION("""COMPUTED_VALUE"""),6071.92094581393)</f>
        <v/>
      </c>
      <c r="B268" s="26" t="n"/>
      <c r="O268" s="26">
        <f>SUM(C268:N268)</f>
        <v/>
      </c>
    </row>
    <row r="269">
      <c r="A269" s="6">
        <f>IFERROR(__xludf.DUMMYFUNCTION("""COMPUTED_VALUE"""),76666.8076707555)</f>
        <v/>
      </c>
      <c r="B269" s="26" t="n"/>
      <c r="O269" s="26">
        <f>SUM(C269:N269)</f>
        <v/>
      </c>
    </row>
    <row r="270">
      <c r="A270" s="4" t="n"/>
      <c r="B270" s="26" t="n"/>
      <c r="O270" s="26">
        <f>SUM(C270:N270)</f>
        <v/>
      </c>
    </row>
    <row r="271">
      <c r="A271" s="4" t="n"/>
      <c r="B271" s="26" t="n"/>
      <c r="O271" s="26">
        <f>SUM(C271:N271)</f>
        <v/>
      </c>
    </row>
    <row r="272">
      <c r="A272" s="4" t="n"/>
      <c r="B272" s="26" t="n"/>
      <c r="O272" s="26">
        <f>SUM(C272:N272)</f>
        <v/>
      </c>
    </row>
    <row r="273">
      <c r="A273" s="4">
        <f>IFERROR(__xludf.DUMMYFUNCTION("""COMPUTED_VALUE"""),"G1")</f>
        <v/>
      </c>
      <c r="B273" s="26" t="n"/>
      <c r="O273" s="26">
        <f>SUM(C273:N273)</f>
        <v/>
      </c>
    </row>
    <row r="274">
      <c r="A274" s="6">
        <f>IFERROR(__xludf.DUMMYFUNCTION("""COMPUTED_VALUE"""),6324.8865420022)</f>
        <v/>
      </c>
      <c r="B274" s="26" t="n"/>
      <c r="O274" s="26">
        <f>SUM(C274:N274)</f>
        <v/>
      </c>
    </row>
    <row r="275">
      <c r="A275" s="6">
        <f>IFERROR(__xludf.DUMMYFUNCTION("""COMPUTED_VALUE"""),5006.41198626609)</f>
        <v/>
      </c>
      <c r="B275" s="26" t="n"/>
      <c r="O275" s="26">
        <f>SUM(C275:N275)</f>
        <v/>
      </c>
    </row>
    <row r="276">
      <c r="A276" s="6">
        <f>IFERROR(__xludf.DUMMYFUNCTION("""COMPUTED_VALUE"""),5172.27316933916)</f>
        <v/>
      </c>
      <c r="B276" s="26" t="n"/>
      <c r="O276" s="26">
        <f>SUM(C276:N276)</f>
        <v/>
      </c>
    </row>
    <row r="277">
      <c r="A277" s="6">
        <f>IFERROR(__xludf.DUMMYFUNCTION("""COMPUTED_VALUE"""),6041.74622440301)</f>
        <v/>
      </c>
      <c r="B277" s="26" t="n"/>
      <c r="O277" s="26">
        <f>SUM(C277:N277)</f>
        <v/>
      </c>
    </row>
    <row r="278">
      <c r="A278" s="6">
        <f>IFERROR(__xludf.DUMMYFUNCTION("""COMPUTED_VALUE"""),6533.47404697077)</f>
        <v/>
      </c>
      <c r="B278" s="26" t="n"/>
      <c r="O278" s="26">
        <f>SUM(C278:N278)</f>
        <v/>
      </c>
    </row>
    <row r="279">
      <c r="A279" s="6">
        <f>IFERROR(__xludf.DUMMYFUNCTION("""COMPUTED_VALUE"""),5603.43476849391)</f>
        <v/>
      </c>
      <c r="B279" s="26" t="n"/>
      <c r="O279" s="26">
        <f>SUM(C279:N279)</f>
        <v/>
      </c>
    </row>
    <row r="280">
      <c r="A280" s="6">
        <f>IFERROR(__xludf.DUMMYFUNCTION("""COMPUTED_VALUE"""),7205.1260060428)</f>
        <v/>
      </c>
      <c r="B280" s="26" t="n"/>
      <c r="O280" s="26">
        <f>SUM(C280:N280)</f>
        <v/>
      </c>
    </row>
    <row r="281">
      <c r="A281" s="6">
        <f>IFERROR(__xludf.DUMMYFUNCTION("""COMPUTED_VALUE"""),7153.92317879179)</f>
        <v/>
      </c>
      <c r="B281" s="26" t="n"/>
      <c r="O281" s="26">
        <f>SUM(C281:N281)</f>
        <v/>
      </c>
    </row>
    <row r="282">
      <c r="A282" s="6">
        <f>IFERROR(__xludf.DUMMYFUNCTION("""COMPUTED_VALUE"""),5557.72275229152)</f>
        <v/>
      </c>
      <c r="B282" s="26" t="n"/>
      <c r="O282" s="26">
        <f>SUM(C282:N282)</f>
        <v/>
      </c>
    </row>
    <row r="283">
      <c r="A283" s="6">
        <f>IFERROR(__xludf.DUMMYFUNCTION("""COMPUTED_VALUE"""),5447.72114815918)</f>
        <v/>
      </c>
      <c r="B283" s="26" t="n"/>
      <c r="O283" s="26">
        <f>SUM(C283:N283)</f>
        <v/>
      </c>
    </row>
    <row r="284">
      <c r="A284" s="6">
        <f>IFERROR(__xludf.DUMMYFUNCTION("""COMPUTED_VALUE"""),5468.31517574835)</f>
        <v/>
      </c>
      <c r="B284" s="26" t="n"/>
      <c r="O284" s="26">
        <f>SUM(C284:N284)</f>
        <v/>
      </c>
    </row>
    <row r="285">
      <c r="A285" s="6">
        <f>IFERROR(__xludf.DUMMYFUNCTION("""COMPUTED_VALUE"""),7334.19129029836)</f>
        <v/>
      </c>
      <c r="B285" s="26" t="n"/>
      <c r="O285" s="26">
        <f>SUM(C285:N285)</f>
        <v/>
      </c>
    </row>
    <row r="286">
      <c r="A286" s="6">
        <f>IFERROR(__xludf.DUMMYFUNCTION("""COMPUTED_VALUE"""),72849.2262888071)</f>
        <v/>
      </c>
      <c r="B286" s="26" t="n"/>
      <c r="O286" s="26">
        <f>SUM(C286:N286)</f>
        <v/>
      </c>
    </row>
    <row r="287">
      <c r="A287" s="4" t="n"/>
      <c r="B287" s="26" t="n"/>
      <c r="O287" s="26">
        <f>SUM(C287:N287)</f>
        <v/>
      </c>
    </row>
    <row r="288">
      <c r="A288" s="4" t="n"/>
      <c r="B288" s="26" t="n"/>
      <c r="O288" s="26">
        <f>SUM(C288:N288)</f>
        <v/>
      </c>
    </row>
    <row r="289">
      <c r="A289" s="4" t="n"/>
      <c r="B289" s="26" t="n"/>
      <c r="O289" s="26">
        <f>SUM(C289:N289)</f>
        <v/>
      </c>
    </row>
    <row r="290">
      <c r="A290" s="4">
        <f>IFERROR(__xludf.DUMMYFUNCTION("""COMPUTED_VALUE"""),"G2")</f>
        <v/>
      </c>
      <c r="B290" s="26" t="n"/>
      <c r="O290" s="26">
        <f>SUM(C290:N290)</f>
        <v/>
      </c>
    </row>
    <row r="291">
      <c r="A291" s="6">
        <f>IFERROR(__xludf.DUMMYFUNCTION("""COMPUTED_VALUE"""),7311.21414800645)</f>
        <v/>
      </c>
      <c r="B291" s="26" t="n"/>
      <c r="O291" s="26">
        <f>SUM(C291:N291)</f>
        <v/>
      </c>
    </row>
    <row r="292">
      <c r="A292" s="6">
        <f>IFERROR(__xludf.DUMMYFUNCTION("""COMPUTED_VALUE"""),5182.05645714641)</f>
        <v/>
      </c>
      <c r="B292" s="26" t="n"/>
      <c r="O292" s="26">
        <f>SUM(C292:N292)</f>
        <v/>
      </c>
    </row>
    <row r="293">
      <c r="A293" s="6">
        <f>IFERROR(__xludf.DUMMYFUNCTION("""COMPUTED_VALUE"""),6087.95283272856)</f>
        <v/>
      </c>
      <c r="B293" s="26" t="n"/>
      <c r="O293" s="26">
        <f>SUM(C293:N293)</f>
        <v/>
      </c>
    </row>
    <row r="294">
      <c r="A294" s="6">
        <f>IFERROR(__xludf.DUMMYFUNCTION("""COMPUTED_VALUE"""),6478.87552710317)</f>
        <v/>
      </c>
      <c r="B294" s="26" t="n"/>
      <c r="O294" s="26">
        <f>SUM(C294:N294)</f>
        <v/>
      </c>
    </row>
    <row r="295">
      <c r="A295" s="6">
        <f>IFERROR(__xludf.DUMMYFUNCTION("""COMPUTED_VALUE"""),6772.91613250953)</f>
        <v/>
      </c>
      <c r="B295" s="26" t="n"/>
      <c r="O295" s="26">
        <f>SUM(C295:N295)</f>
        <v/>
      </c>
    </row>
    <row r="296">
      <c r="A296" s="6">
        <f>IFERROR(__xludf.DUMMYFUNCTION("""COMPUTED_VALUE"""),5693.23301061165)</f>
        <v/>
      </c>
      <c r="B296" s="26" t="n"/>
      <c r="O296" s="26">
        <f>SUM(C296:N296)</f>
        <v/>
      </c>
    </row>
    <row r="297">
      <c r="A297" s="6">
        <f>IFERROR(__xludf.DUMMYFUNCTION("""COMPUTED_VALUE"""),7449.97063274301)</f>
        <v/>
      </c>
      <c r="B297" s="26" t="n"/>
      <c r="O297" s="26">
        <f>SUM(C297:N297)</f>
        <v/>
      </c>
    </row>
    <row r="298">
      <c r="A298" s="6">
        <f>IFERROR(__xludf.DUMMYFUNCTION("""COMPUTED_VALUE"""),8138.68585746008)</f>
        <v/>
      </c>
      <c r="B298" s="26" t="n"/>
      <c r="O298" s="26">
        <f>SUM(C298:N298)</f>
        <v/>
      </c>
    </row>
    <row r="299">
      <c r="A299" s="6">
        <f>IFERROR(__xludf.DUMMYFUNCTION("""COMPUTED_VALUE"""),5650.35041807892)</f>
        <v/>
      </c>
      <c r="B299" s="26" t="n"/>
      <c r="O299" s="26">
        <f>SUM(C299:N299)</f>
        <v/>
      </c>
    </row>
    <row r="300">
      <c r="A300" s="6">
        <f>IFERROR(__xludf.DUMMYFUNCTION("""COMPUTED_VALUE"""),5794.08897577138)</f>
        <v/>
      </c>
      <c r="B300" s="26" t="n"/>
      <c r="O300" s="26">
        <f>SUM(C300:N300)</f>
        <v/>
      </c>
    </row>
    <row r="301">
      <c r="A301" s="6">
        <f>IFERROR(__xludf.DUMMYFUNCTION("""COMPUTED_VALUE"""),5984.58185622485)</f>
        <v/>
      </c>
      <c r="B301" s="26" t="n"/>
      <c r="O301" s="26">
        <f>SUM(C301:N301)</f>
        <v/>
      </c>
    </row>
    <row r="302">
      <c r="A302" s="6">
        <f>IFERROR(__xludf.DUMMYFUNCTION("""COMPUTED_VALUE"""),6120.51155295794)</f>
        <v/>
      </c>
      <c r="B302" s="26" t="n"/>
      <c r="O302" s="26">
        <f>SUM(C302:N302)</f>
        <v/>
      </c>
    </row>
    <row r="303">
      <c r="A303" s="6">
        <f>IFERROR(__xludf.DUMMYFUNCTION("""COMPUTED_VALUE"""),76664.437401342)</f>
        <v/>
      </c>
      <c r="B303" s="26" t="n"/>
      <c r="O303" s="26">
        <f>SUM(C303:N303)</f>
        <v/>
      </c>
    </row>
    <row r="304">
      <c r="A304" s="4" t="n"/>
      <c r="B304" s="26" t="n"/>
      <c r="O304" s="26">
        <f>SUM(C304:N304)</f>
        <v/>
      </c>
    </row>
    <row r="305">
      <c r="A305" s="4" t="n"/>
      <c r="B305" s="26" t="n"/>
      <c r="O305" s="26">
        <f>SUM(C305:N305)</f>
        <v/>
      </c>
    </row>
    <row r="306">
      <c r="A306" s="4" t="n"/>
      <c r="B306" s="26" t="n"/>
      <c r="O306" s="26">
        <f>SUM(C306:N306)</f>
        <v/>
      </c>
    </row>
    <row r="307">
      <c r="A307" s="4">
        <f>IFERROR(__xludf.DUMMYFUNCTION("""COMPUTED_VALUE"""),"G3")</f>
        <v/>
      </c>
      <c r="B307" s="26" t="n"/>
      <c r="O307" s="26">
        <f>SUM(C307:N307)</f>
        <v/>
      </c>
    </row>
    <row r="308">
      <c r="A308" s="6">
        <f>IFERROR(__xludf.DUMMYFUNCTION("""COMPUTED_VALUE"""),6559.26621859022)</f>
        <v/>
      </c>
      <c r="B308" s="26" t="n"/>
      <c r="O308" s="26">
        <f>SUM(C308:N308)</f>
        <v/>
      </c>
    </row>
    <row r="309">
      <c r="A309" s="6">
        <f>IFERROR(__xludf.DUMMYFUNCTION("""COMPUTED_VALUE"""),5171.80206781301)</f>
        <v/>
      </c>
      <c r="B309" s="26" t="n"/>
      <c r="O309" s="26">
        <f>SUM(C309:N309)</f>
        <v/>
      </c>
    </row>
    <row r="310">
      <c r="A310" s="6">
        <f>IFERROR(__xludf.DUMMYFUNCTION("""COMPUTED_VALUE"""),5119.19074880736)</f>
        <v/>
      </c>
      <c r="B310" s="26" t="n"/>
      <c r="O310" s="26">
        <f>SUM(C310:N310)</f>
        <v/>
      </c>
    </row>
    <row r="311">
      <c r="A311" s="6">
        <f>IFERROR(__xludf.DUMMYFUNCTION("""COMPUTED_VALUE"""),6557.69044396111)</f>
        <v/>
      </c>
      <c r="B311" s="26" t="n"/>
      <c r="O311" s="26">
        <f>SUM(C311:N311)</f>
        <v/>
      </c>
    </row>
    <row r="312">
      <c r="A312" s="6">
        <f>IFERROR(__xludf.DUMMYFUNCTION("""COMPUTED_VALUE"""),6768.86919692817)</f>
        <v/>
      </c>
      <c r="B312" s="26" t="n"/>
      <c r="O312" s="26">
        <f>SUM(C312:N312)</f>
        <v/>
      </c>
    </row>
    <row r="313">
      <c r="A313" s="6">
        <f>IFERROR(__xludf.DUMMYFUNCTION("""COMPUTED_VALUE"""),5741.06463943734)</f>
        <v/>
      </c>
      <c r="B313" s="26" t="n"/>
      <c r="O313" s="26">
        <f>SUM(C313:N313)</f>
        <v/>
      </c>
    </row>
    <row r="314">
      <c r="A314" s="6">
        <f>IFERROR(__xludf.DUMMYFUNCTION("""COMPUTED_VALUE"""),7976.42919314231)</f>
        <v/>
      </c>
      <c r="B314" s="26" t="n"/>
      <c r="O314" s="26">
        <f>SUM(C314:N314)</f>
        <v/>
      </c>
    </row>
    <row r="315">
      <c r="A315" s="6">
        <f>IFERROR(__xludf.DUMMYFUNCTION("""COMPUTED_VALUE"""),7286.59962209999)</f>
        <v/>
      </c>
      <c r="B315" s="26" t="n"/>
      <c r="O315" s="26">
        <f>SUM(C315:N315)</f>
        <v/>
      </c>
    </row>
    <row r="316">
      <c r="A316" s="6">
        <f>IFERROR(__xludf.DUMMYFUNCTION("""COMPUTED_VALUE"""),5820.74324106981)</f>
        <v/>
      </c>
      <c r="B316" s="26" t="n"/>
      <c r="O316" s="26">
        <f>SUM(C316:N316)</f>
        <v/>
      </c>
    </row>
    <row r="317">
      <c r="A317" s="6">
        <f>IFERROR(__xludf.DUMMYFUNCTION("""COMPUTED_VALUE"""),5764.32248547794)</f>
        <v/>
      </c>
      <c r="B317" s="26" t="n"/>
      <c r="O317" s="26">
        <f>SUM(C317:N317)</f>
        <v/>
      </c>
    </row>
    <row r="318">
      <c r="A318" s="6">
        <f>IFERROR(__xludf.DUMMYFUNCTION("""COMPUTED_VALUE"""),5355.02326835519)</f>
        <v/>
      </c>
      <c r="B318" s="26" t="n"/>
      <c r="O318" s="26">
        <f>SUM(C318:N318)</f>
        <v/>
      </c>
    </row>
    <row r="319">
      <c r="A319" s="6">
        <f>IFERROR(__xludf.DUMMYFUNCTION("""COMPUTED_VALUE"""),5796.44095138871)</f>
        <v/>
      </c>
      <c r="B319" s="26" t="n"/>
      <c r="O319" s="26">
        <f>SUM(C319:N319)</f>
        <v/>
      </c>
    </row>
    <row r="320">
      <c r="A320" s="6">
        <f>IFERROR(__xludf.DUMMYFUNCTION("""COMPUTED_VALUE"""),73917.4420770711)</f>
        <v/>
      </c>
      <c r="B320" s="26" t="n"/>
      <c r="O320" s="26">
        <f>SUM(C320:N320)</f>
        <v/>
      </c>
    </row>
    <row r="321">
      <c r="A321" s="4" t="n"/>
      <c r="B321" s="26" t="n"/>
      <c r="O321" s="26">
        <f>SUM(C321:N321)</f>
        <v/>
      </c>
    </row>
    <row r="322">
      <c r="A322" s="4" t="n"/>
      <c r="B322" s="26" t="n"/>
      <c r="O322" s="26">
        <f>SUM(C322:N322)</f>
        <v/>
      </c>
    </row>
    <row r="323">
      <c r="A323" s="4" t="n"/>
      <c r="B323" s="26" t="n"/>
      <c r="O323" s="26">
        <f>SUM(C323:N323)</f>
        <v/>
      </c>
    </row>
    <row r="324">
      <c r="A324" s="4">
        <f>IFERROR(__xludf.DUMMYFUNCTION("""COMPUTED_VALUE"""),"G4")</f>
        <v/>
      </c>
      <c r="B324" s="26" t="n"/>
      <c r="O324" s="26">
        <f>SUM(C324:N324)</f>
        <v/>
      </c>
    </row>
    <row r="325">
      <c r="A325" s="6">
        <f>IFERROR(__xludf.DUMMYFUNCTION("""COMPUTED_VALUE"""),6911.93792498491)</f>
        <v/>
      </c>
      <c r="B325" s="26" t="n"/>
      <c r="O325" s="26">
        <f>SUM(C325:N325)</f>
        <v/>
      </c>
    </row>
    <row r="326">
      <c r="A326" s="6">
        <f>IFERROR(__xludf.DUMMYFUNCTION("""COMPUTED_VALUE"""),5128.98634742094)</f>
        <v/>
      </c>
      <c r="B326" s="26" t="n"/>
      <c r="O326" s="26">
        <f>SUM(C326:N326)</f>
        <v/>
      </c>
    </row>
    <row r="327">
      <c r="A327" s="6">
        <f>IFERROR(__xludf.DUMMYFUNCTION("""COMPUTED_VALUE"""),5139.92545121631)</f>
        <v/>
      </c>
      <c r="B327" s="26" t="n"/>
      <c r="O327" s="26">
        <f>SUM(C327:N327)</f>
        <v/>
      </c>
    </row>
    <row r="328">
      <c r="A328" s="6">
        <f>IFERROR(__xludf.DUMMYFUNCTION("""COMPUTED_VALUE"""),7081.16938258846)</f>
        <v/>
      </c>
      <c r="B328" s="26" t="n"/>
      <c r="O328" s="26">
        <f>SUM(C328:N328)</f>
        <v/>
      </c>
    </row>
    <row r="329">
      <c r="A329" s="6">
        <f>IFERROR(__xludf.DUMMYFUNCTION("""COMPUTED_VALUE"""),7397.3894229875)</f>
        <v/>
      </c>
      <c r="B329" s="26" t="n"/>
      <c r="O329" s="26">
        <f>SUM(C329:N329)</f>
        <v/>
      </c>
    </row>
    <row r="330">
      <c r="A330" s="6">
        <f>IFERROR(__xludf.DUMMYFUNCTION("""COMPUTED_VALUE"""),6286.83376834456)</f>
        <v/>
      </c>
      <c r="B330" s="26" t="n"/>
      <c r="O330" s="26">
        <f>SUM(C330:N330)</f>
        <v/>
      </c>
    </row>
    <row r="331">
      <c r="A331" s="6">
        <f>IFERROR(__xludf.DUMMYFUNCTION("""COMPUTED_VALUE"""),8237.03311016292)</f>
        <v/>
      </c>
      <c r="B331" s="26" t="n"/>
      <c r="O331" s="26">
        <f>SUM(C331:N331)</f>
        <v/>
      </c>
    </row>
    <row r="332">
      <c r="A332" s="6">
        <f>IFERROR(__xludf.DUMMYFUNCTION("""COMPUTED_VALUE"""),7944.0879156535)</f>
        <v/>
      </c>
      <c r="B332" s="26" t="n"/>
      <c r="O332" s="26">
        <f>SUM(C332:N332)</f>
        <v/>
      </c>
    </row>
    <row r="333">
      <c r="A333" s="6">
        <f>IFERROR(__xludf.DUMMYFUNCTION("""COMPUTED_VALUE"""),6521.79204089254)</f>
        <v/>
      </c>
      <c r="B333" s="26" t="n"/>
      <c r="O333" s="26">
        <f>SUM(C333:N333)</f>
        <v/>
      </c>
    </row>
    <row r="334">
      <c r="A334" s="6">
        <f>IFERROR(__xludf.DUMMYFUNCTION("""COMPUTED_VALUE"""),6265.3422516514)</f>
        <v/>
      </c>
      <c r="B334" s="26" t="n"/>
      <c r="O334" s="26">
        <f>SUM(C334:N334)</f>
        <v/>
      </c>
    </row>
    <row r="335">
      <c r="A335" s="6">
        <f>IFERROR(__xludf.DUMMYFUNCTION("""COMPUTED_VALUE"""),5479.00625184217)</f>
        <v/>
      </c>
      <c r="B335" s="26" t="n"/>
      <c r="O335" s="26">
        <f>SUM(C335:N335)</f>
        <v/>
      </c>
    </row>
    <row r="336">
      <c r="A336" s="6">
        <f>IFERROR(__xludf.DUMMYFUNCTION("""COMPUTED_VALUE"""),5603.68816284787)</f>
        <v/>
      </c>
      <c r="B336" s="26" t="n"/>
      <c r="O336" s="26">
        <f>SUM(C336:N336)</f>
        <v/>
      </c>
    </row>
    <row r="337">
      <c r="A337" s="6">
        <f>IFERROR(__xludf.DUMMYFUNCTION("""COMPUTED_VALUE"""),77997.1920305931)</f>
        <v/>
      </c>
      <c r="B337" s="26" t="n"/>
      <c r="O337" s="26">
        <f>SUM(C337:N337)</f>
        <v/>
      </c>
    </row>
    <row r="338">
      <c r="A338" s="4" t="n"/>
      <c r="B338" s="26" t="n"/>
      <c r="O338" s="26">
        <f>SUM(C338:N338)</f>
        <v/>
      </c>
    </row>
    <row r="339">
      <c r="A339" s="4" t="n"/>
      <c r="B339" s="26" t="n"/>
      <c r="O339" s="26">
        <f>SUM(C339:N339)</f>
        <v/>
      </c>
    </row>
    <row r="340">
      <c r="A340" s="4" t="n"/>
      <c r="B340" s="26" t="n"/>
      <c r="O340" s="26">
        <f>SUM(C340:N340)</f>
        <v/>
      </c>
    </row>
    <row r="341">
      <c r="A341" s="4">
        <f>IFERROR(__xludf.DUMMYFUNCTION("""COMPUTED_VALUE"""),"G5")</f>
        <v/>
      </c>
      <c r="B341" s="26" t="n"/>
      <c r="O341" s="26">
        <f>SUM(C341:N341)</f>
        <v/>
      </c>
    </row>
    <row r="342">
      <c r="A342" s="6">
        <f>IFERROR(__xludf.DUMMYFUNCTION("""COMPUTED_VALUE"""),5526.74561486974)</f>
        <v/>
      </c>
      <c r="B342" s="26" t="n"/>
      <c r="O342" s="26">
        <f>SUM(C342:N342)</f>
        <v/>
      </c>
    </row>
    <row r="343">
      <c r="A343" s="6">
        <f>IFERROR(__xludf.DUMMYFUNCTION("""COMPUTED_VALUE"""),4343.03561469777)</f>
        <v/>
      </c>
      <c r="B343" s="26" t="n"/>
      <c r="O343" s="26">
        <f>SUM(C343:N343)</f>
        <v/>
      </c>
    </row>
    <row r="344">
      <c r="A344" s="6">
        <f>IFERROR(__xludf.DUMMYFUNCTION("""COMPUTED_VALUE"""),4523.93748454008)</f>
        <v/>
      </c>
      <c r="B344" s="26" t="n"/>
      <c r="O344" s="26">
        <f>SUM(C344:N344)</f>
        <v/>
      </c>
    </row>
    <row r="345">
      <c r="A345" s="6">
        <f>IFERROR(__xludf.DUMMYFUNCTION("""COMPUTED_VALUE"""),5495.94841629929)</f>
        <v/>
      </c>
      <c r="B345" s="26" t="n"/>
      <c r="O345" s="26">
        <f>SUM(C345:N345)</f>
        <v/>
      </c>
    </row>
    <row r="346">
      <c r="A346" s="6">
        <f>IFERROR(__xludf.DUMMYFUNCTION("""COMPUTED_VALUE"""),5873.42330083246)</f>
        <v/>
      </c>
      <c r="B346" s="26" t="n"/>
      <c r="O346" s="26">
        <f>SUM(C346:N346)</f>
        <v/>
      </c>
    </row>
    <row r="347">
      <c r="A347" s="6">
        <f>IFERROR(__xludf.DUMMYFUNCTION("""COMPUTED_VALUE"""),5078.54765217121)</f>
        <v/>
      </c>
      <c r="B347" s="26" t="n"/>
      <c r="O347" s="26">
        <f>SUM(C347:N347)</f>
        <v/>
      </c>
    </row>
    <row r="348">
      <c r="A348" s="6">
        <f>IFERROR(__xludf.DUMMYFUNCTION("""COMPUTED_VALUE"""),6417.42597295062)</f>
        <v/>
      </c>
      <c r="B348" s="26" t="n"/>
      <c r="O348" s="26">
        <f>SUM(C348:N348)</f>
        <v/>
      </c>
    </row>
    <row r="349">
      <c r="A349" s="6">
        <f>IFERROR(__xludf.DUMMYFUNCTION("""COMPUTED_VALUE"""),6927.31995220438)</f>
        <v/>
      </c>
      <c r="B349" s="26" t="n"/>
      <c r="O349" s="26">
        <f>SUM(C349:N349)</f>
        <v/>
      </c>
    </row>
    <row r="350">
      <c r="A350" s="6">
        <f>IFERROR(__xludf.DUMMYFUNCTION("""COMPUTED_VALUE"""),6053.66820664308)</f>
        <v/>
      </c>
      <c r="B350" s="26" t="n"/>
      <c r="O350" s="26">
        <f>SUM(C350:N350)</f>
        <v/>
      </c>
    </row>
    <row r="351">
      <c r="A351" s="6">
        <f>IFERROR(__xludf.DUMMYFUNCTION("""COMPUTED_VALUE"""),5518.24026481445)</f>
        <v/>
      </c>
      <c r="B351" s="26" t="n"/>
      <c r="O351" s="26">
        <f>SUM(C351:N351)</f>
        <v/>
      </c>
    </row>
    <row r="352">
      <c r="A352" s="6">
        <f>IFERROR(__xludf.DUMMYFUNCTION("""COMPUTED_VALUE"""),5353.92640797596)</f>
        <v/>
      </c>
      <c r="B352" s="26" t="n"/>
      <c r="O352" s="26">
        <f>SUM(C352:N352)</f>
        <v/>
      </c>
    </row>
    <row r="353">
      <c r="A353" s="6">
        <f>IFERROR(__xludf.DUMMYFUNCTION("""COMPUTED_VALUE"""),5740.06592690115)</f>
        <v/>
      </c>
      <c r="B353" s="26" t="n"/>
      <c r="O353" s="26">
        <f>SUM(C353:N353)</f>
        <v/>
      </c>
    </row>
    <row r="354">
      <c r="A354" s="6">
        <f>IFERROR(__xludf.DUMMYFUNCTION("""COMPUTED_VALUE"""),66852.2848149002)</f>
        <v/>
      </c>
      <c r="B354" s="26" t="n"/>
      <c r="O354" s="26">
        <f>SUM(C354:N354)</f>
        <v/>
      </c>
    </row>
    <row r="355">
      <c r="A355" s="4" t="n"/>
      <c r="B355" s="26" t="n"/>
      <c r="O355" s="26">
        <f>SUM(C355:N355)</f>
        <v/>
      </c>
    </row>
    <row r="356">
      <c r="A356" s="4" t="n"/>
      <c r="B356" s="26" t="n"/>
      <c r="O356" s="26">
        <f>SUM(C356:N356)</f>
        <v/>
      </c>
    </row>
    <row r="357">
      <c r="A357" s="4" t="n"/>
      <c r="B357" s="26" t="n"/>
      <c r="O357" s="26">
        <f>SUM(C357:N357)</f>
        <v/>
      </c>
    </row>
    <row r="358">
      <c r="A358" s="4">
        <f>IFERROR(__xludf.DUMMYFUNCTION("""COMPUTED_VALUE"""),"G6")</f>
        <v/>
      </c>
      <c r="B358" s="26" t="n"/>
      <c r="O358" s="26">
        <f>SUM(C358:N358)</f>
        <v/>
      </c>
    </row>
    <row r="359">
      <c r="A359" s="6">
        <f>IFERROR(__xludf.DUMMYFUNCTION("""COMPUTED_VALUE"""),6489.08258733649)</f>
        <v/>
      </c>
      <c r="B359" s="26" t="n"/>
      <c r="O359" s="26">
        <f>SUM(C359:N359)</f>
        <v/>
      </c>
    </row>
    <row r="360">
      <c r="A360" s="6">
        <f>IFERROR(__xludf.DUMMYFUNCTION("""COMPUTED_VALUE"""),4470.4135978392)</f>
        <v/>
      </c>
      <c r="B360" s="26" t="n"/>
      <c r="O360" s="26">
        <f>SUM(C360:N360)</f>
        <v/>
      </c>
    </row>
    <row r="361">
      <c r="A361" s="6">
        <f>IFERROR(__xludf.DUMMYFUNCTION("""COMPUTED_VALUE"""),5155.6352428094)</f>
        <v/>
      </c>
      <c r="B361" s="26" t="n"/>
      <c r="O361" s="26">
        <f>SUM(C361:N361)</f>
        <v/>
      </c>
    </row>
    <row r="362">
      <c r="A362" s="6">
        <f>IFERROR(__xludf.DUMMYFUNCTION("""COMPUTED_VALUE"""),5781.81030009752)</f>
        <v/>
      </c>
      <c r="B362" s="26" t="n"/>
      <c r="O362" s="26">
        <f>SUM(C362:N362)</f>
        <v/>
      </c>
    </row>
    <row r="363">
      <c r="A363" s="6">
        <f>IFERROR(__xludf.DUMMYFUNCTION("""COMPUTED_VALUE"""),6108.72369820598)</f>
        <v/>
      </c>
      <c r="B363" s="26" t="n"/>
      <c r="O363" s="26">
        <f>SUM(C363:N363)</f>
        <v/>
      </c>
    </row>
    <row r="364">
      <c r="A364" s="6">
        <f>IFERROR(__xludf.DUMMYFUNCTION("""COMPUTED_VALUE"""),5213.25633335327)</f>
        <v/>
      </c>
      <c r="B364" s="26" t="n"/>
      <c r="O364" s="26">
        <f>SUM(C364:N364)</f>
        <v/>
      </c>
    </row>
    <row r="365">
      <c r="A365" s="6">
        <f>IFERROR(__xludf.DUMMYFUNCTION("""COMPUTED_VALUE"""),6615.12136099433)</f>
        <v/>
      </c>
      <c r="B365" s="26" t="n"/>
      <c r="O365" s="26">
        <f>SUM(C365:N365)</f>
        <v/>
      </c>
    </row>
    <row r="366">
      <c r="A366" s="6">
        <f>IFERROR(__xludf.DUMMYFUNCTION("""COMPUTED_VALUE"""),6806.61015650301)</f>
        <v/>
      </c>
      <c r="B366" s="26" t="n"/>
      <c r="O366" s="26">
        <f>SUM(C366:N366)</f>
        <v/>
      </c>
    </row>
    <row r="367">
      <c r="A367" s="6">
        <f>IFERROR(__xludf.DUMMYFUNCTION("""COMPUTED_VALUE"""),5801.73395244509)</f>
        <v/>
      </c>
      <c r="B367" s="26" t="n"/>
      <c r="O367" s="26">
        <f>SUM(C367:N367)</f>
        <v/>
      </c>
    </row>
    <row r="368">
      <c r="A368" s="6">
        <f>IFERROR(__xludf.DUMMYFUNCTION("""COMPUTED_VALUE"""),5377.05357020568)</f>
        <v/>
      </c>
      <c r="B368" s="26" t="n"/>
      <c r="O368" s="26">
        <f>SUM(C368:N368)</f>
        <v/>
      </c>
    </row>
    <row r="369">
      <c r="A369" s="6">
        <f>IFERROR(__xludf.DUMMYFUNCTION("""COMPUTED_VALUE"""),5260.06134907756)</f>
        <v/>
      </c>
      <c r="B369" s="26" t="n"/>
      <c r="O369" s="26">
        <f>SUM(C369:N369)</f>
        <v/>
      </c>
    </row>
    <row r="370">
      <c r="A370" s="6">
        <f>IFERROR(__xludf.DUMMYFUNCTION("""COMPUTED_VALUE"""),5487.42620038778)</f>
        <v/>
      </c>
      <c r="B370" s="26" t="n"/>
      <c r="O370" s="26">
        <f>SUM(C370:N370)</f>
        <v/>
      </c>
    </row>
    <row r="371">
      <c r="A371" s="6">
        <f>IFERROR(__xludf.DUMMYFUNCTION("""COMPUTED_VALUE"""),68566.9283492553)</f>
        <v/>
      </c>
      <c r="B371" s="26" t="n"/>
      <c r="O371" s="26">
        <f>SUM(C371:N371)</f>
        <v/>
      </c>
    </row>
    <row r="372">
      <c r="A372" s="4" t="n"/>
      <c r="B372" s="26" t="n"/>
      <c r="O372" s="26">
        <f>SUM(C372:N372)</f>
        <v/>
      </c>
    </row>
    <row r="373">
      <c r="A373" s="4" t="n"/>
      <c r="B373" s="26" t="n"/>
      <c r="O373" s="26">
        <f>SUM(C373:N373)</f>
        <v/>
      </c>
    </row>
    <row r="374">
      <c r="A374" s="4" t="n"/>
      <c r="B374" s="26" t="n"/>
      <c r="O374" s="26">
        <f>SUM(C374:N374)</f>
        <v/>
      </c>
    </row>
    <row r="375">
      <c r="A375" s="4">
        <f>IFERROR(__xludf.DUMMYFUNCTION("""COMPUTED_VALUE"""),"G7")</f>
        <v/>
      </c>
      <c r="B375" s="26" t="n"/>
      <c r="O375" s="26">
        <f>SUM(C375:N375)</f>
        <v/>
      </c>
    </row>
    <row r="376">
      <c r="A376" s="6">
        <f>IFERROR(__xludf.DUMMYFUNCTION("""COMPUTED_VALUE"""),5787.4428447426)</f>
        <v/>
      </c>
      <c r="B376" s="26" t="n"/>
      <c r="O376" s="26">
        <f>SUM(C376:N376)</f>
        <v/>
      </c>
    </row>
    <row r="377">
      <c r="A377" s="6">
        <f>IFERROR(__xludf.DUMMYFUNCTION("""COMPUTED_VALUE"""),4099.84621079096)</f>
        <v/>
      </c>
      <c r="B377" s="26" t="n"/>
      <c r="O377" s="26">
        <f>SUM(C377:N377)</f>
        <v/>
      </c>
    </row>
    <row r="378">
      <c r="A378" s="6">
        <f>IFERROR(__xludf.DUMMYFUNCTION("""COMPUTED_VALUE"""),4603.82461418422)</f>
        <v/>
      </c>
      <c r="B378" s="26" t="n"/>
      <c r="O378" s="26">
        <f>SUM(C378:N378)</f>
        <v/>
      </c>
    </row>
    <row r="379">
      <c r="A379" s="6">
        <f>IFERROR(__xludf.DUMMYFUNCTION("""COMPUTED_VALUE"""),5634.77629330477)</f>
        <v/>
      </c>
      <c r="B379" s="26" t="n"/>
      <c r="O379" s="26">
        <f>SUM(C379:N379)</f>
        <v/>
      </c>
    </row>
    <row r="380">
      <c r="A380" s="6">
        <f>IFERROR(__xludf.DUMMYFUNCTION("""COMPUTED_VALUE"""),6103.34260803736)</f>
        <v/>
      </c>
      <c r="B380" s="26" t="n"/>
      <c r="O380" s="26">
        <f>SUM(C380:N380)</f>
        <v/>
      </c>
    </row>
    <row r="381">
      <c r="A381" s="6">
        <f>IFERROR(__xludf.DUMMYFUNCTION("""COMPUTED_VALUE"""),5263.80656381731)</f>
        <v/>
      </c>
      <c r="B381" s="26" t="n"/>
      <c r="O381" s="26">
        <f>SUM(C381:N381)</f>
        <v/>
      </c>
    </row>
    <row r="382">
      <c r="A382" s="6">
        <f>IFERROR(__xludf.DUMMYFUNCTION("""COMPUTED_VALUE"""),6635.04497575283)</f>
        <v/>
      </c>
      <c r="B382" s="26" t="n"/>
      <c r="O382" s="26">
        <f>SUM(C382:N382)</f>
        <v/>
      </c>
    </row>
    <row r="383">
      <c r="A383" s="6">
        <f>IFERROR(__xludf.DUMMYFUNCTION("""COMPUTED_VALUE"""),6756.06020595659)</f>
        <v/>
      </c>
      <c r="B383" s="26" t="n"/>
      <c r="O383" s="26">
        <f>SUM(C383:N383)</f>
        <v/>
      </c>
    </row>
    <row r="384">
      <c r="A384" s="6">
        <f>IFERROR(__xludf.DUMMYFUNCTION("""COMPUTED_VALUE"""),5367.94674351341)</f>
        <v/>
      </c>
      <c r="B384" s="26" t="n"/>
      <c r="O384" s="26">
        <f>SUM(C384:N384)</f>
        <v/>
      </c>
    </row>
    <row r="385">
      <c r="A385" s="6">
        <f>IFERROR(__xludf.DUMMYFUNCTION("""COMPUTED_VALUE"""),5046.98698893444)</f>
        <v/>
      </c>
      <c r="B385" s="26" t="n"/>
      <c r="O385" s="26">
        <f>SUM(C385:N385)</f>
        <v/>
      </c>
    </row>
    <row r="386">
      <c r="A386" s="6">
        <f>IFERROR(__xludf.DUMMYFUNCTION("""COMPUTED_VALUE"""),4840.63586724546)</f>
        <v/>
      </c>
      <c r="B386" s="26" t="n"/>
      <c r="O386" s="26">
        <f>SUM(C386:N386)</f>
        <v/>
      </c>
    </row>
    <row r="387">
      <c r="A387" s="6">
        <f>IFERROR(__xludf.DUMMYFUNCTION("""COMPUTED_VALUE"""),4816.99325667461)</f>
        <v/>
      </c>
      <c r="B387" s="26" t="n"/>
      <c r="O387" s="26">
        <f>SUM(C387:N387)</f>
        <v/>
      </c>
    </row>
    <row r="388">
      <c r="A388" s="6">
        <f>IFERROR(__xludf.DUMMYFUNCTION("""COMPUTED_VALUE"""),64956.7071729546)</f>
        <v/>
      </c>
      <c r="B388" s="26" t="n"/>
      <c r="O388" s="26">
        <f>SUM(C388:N388)</f>
        <v/>
      </c>
    </row>
    <row r="389">
      <c r="A389" s="4" t="n"/>
      <c r="B389" s="26" t="n"/>
      <c r="O389" s="26">
        <f>SUM(C389:N389)</f>
        <v/>
      </c>
    </row>
    <row r="390">
      <c r="A390" s="4" t="n"/>
      <c r="B390" s="26" t="n"/>
      <c r="O390" s="26">
        <f>SUM(C390:N390)</f>
        <v/>
      </c>
    </row>
    <row r="391">
      <c r="A391" s="4" t="n"/>
      <c r="B391" s="26" t="n"/>
      <c r="O391" s="26">
        <f>SUM(C391:N391)</f>
        <v/>
      </c>
    </row>
    <row r="392">
      <c r="A392" s="4">
        <f>IFERROR(__xludf.DUMMYFUNCTION("""COMPUTED_VALUE"""),"G8")</f>
        <v/>
      </c>
      <c r="B392" s="26" t="n"/>
      <c r="O392" s="26">
        <f>SUM(C392:N392)</f>
        <v/>
      </c>
    </row>
    <row r="393">
      <c r="A393" s="6">
        <f>IFERROR(__xludf.DUMMYFUNCTION("""COMPUTED_VALUE"""),6345.8225665796)</f>
        <v/>
      </c>
      <c r="B393" s="26" t="n"/>
      <c r="O393" s="26">
        <f>SUM(C393:N393)</f>
        <v/>
      </c>
    </row>
    <row r="394">
      <c r="A394" s="6">
        <f>IFERROR(__xludf.DUMMYFUNCTION("""COMPUTED_VALUE"""),4789.41744421096)</f>
        <v/>
      </c>
      <c r="B394" s="26" t="n"/>
      <c r="O394" s="26">
        <f>SUM(C394:N394)</f>
        <v/>
      </c>
    </row>
    <row r="395">
      <c r="A395" s="6">
        <f>IFERROR(__xludf.DUMMYFUNCTION("""COMPUTED_VALUE"""),4713.93591689624)</f>
        <v/>
      </c>
      <c r="B395" s="26" t="n"/>
      <c r="O395" s="26">
        <f>SUM(C395:N395)</f>
        <v/>
      </c>
    </row>
    <row r="396">
      <c r="A396" s="6">
        <f>IFERROR(__xludf.DUMMYFUNCTION("""COMPUTED_VALUE"""),5956.93452039284)</f>
        <v/>
      </c>
      <c r="B396" s="26" t="n"/>
      <c r="O396" s="26">
        <f>SUM(C396:N396)</f>
        <v/>
      </c>
    </row>
    <row r="397">
      <c r="A397" s="6">
        <f>IFERROR(__xludf.DUMMYFUNCTION("""COMPUTED_VALUE"""),6522.13373297904)</f>
        <v/>
      </c>
      <c r="B397" s="26" t="n"/>
      <c r="O397" s="26">
        <f>SUM(C397:N397)</f>
        <v/>
      </c>
    </row>
    <row r="398">
      <c r="A398" s="6">
        <f>IFERROR(__xludf.DUMMYFUNCTION("""COMPUTED_VALUE"""),5666.67180660365)</f>
        <v/>
      </c>
      <c r="B398" s="26" t="n"/>
      <c r="O398" s="26">
        <f>SUM(C398:N398)</f>
        <v/>
      </c>
    </row>
    <row r="399">
      <c r="A399" s="6">
        <f>IFERROR(__xludf.DUMMYFUNCTION("""COMPUTED_VALUE"""),7022.83821341234)</f>
        <v/>
      </c>
      <c r="B399" s="26" t="n"/>
      <c r="O399" s="26">
        <f>SUM(C399:N399)</f>
        <v/>
      </c>
    </row>
    <row r="400">
      <c r="A400" s="6">
        <f>IFERROR(__xludf.DUMMYFUNCTION("""COMPUTED_VALUE"""),7338.40144659052)</f>
        <v/>
      </c>
      <c r="B400" s="26" t="n"/>
      <c r="O400" s="26">
        <f>SUM(C400:N400)</f>
        <v/>
      </c>
    </row>
    <row r="401">
      <c r="A401" s="6">
        <f>IFERROR(__xludf.DUMMYFUNCTION("""COMPUTED_VALUE"""),5251.83627293396)</f>
        <v/>
      </c>
      <c r="B401" s="26" t="n"/>
      <c r="O401" s="26">
        <f>SUM(C401:N401)</f>
        <v/>
      </c>
    </row>
    <row r="402">
      <c r="A402" s="6">
        <f>IFERROR(__xludf.DUMMYFUNCTION("""COMPUTED_VALUE"""),5180.82484928124)</f>
        <v/>
      </c>
      <c r="B402" s="26" t="n"/>
      <c r="O402" s="26">
        <f>SUM(C402:N402)</f>
        <v/>
      </c>
    </row>
    <row r="403">
      <c r="A403" s="6">
        <f>IFERROR(__xludf.DUMMYFUNCTION("""COMPUTED_VALUE"""),5744.12415018269)</f>
        <v/>
      </c>
      <c r="B403" s="26" t="n"/>
      <c r="O403" s="26">
        <f>SUM(C403:N403)</f>
        <v/>
      </c>
    </row>
    <row r="404">
      <c r="A404" s="6">
        <f>IFERROR(__xludf.DUMMYFUNCTION("""COMPUTED_VALUE"""),5066.89074526014)</f>
        <v/>
      </c>
      <c r="B404" s="26" t="n"/>
      <c r="O404" s="26">
        <f>SUM(C404:N404)</f>
        <v/>
      </c>
    </row>
    <row r="405">
      <c r="A405" s="6">
        <f>IFERROR(__xludf.DUMMYFUNCTION("""COMPUTED_VALUE"""),69599.8316653232)</f>
        <v/>
      </c>
      <c r="B405" s="26" t="n"/>
      <c r="O405" s="26">
        <f>SUM(C405:N405)</f>
        <v/>
      </c>
    </row>
    <row r="406">
      <c r="A406" s="4" t="n"/>
      <c r="B406" s="26" t="n"/>
      <c r="O406" s="26">
        <f>SUM(C406:N406)</f>
        <v/>
      </c>
    </row>
    <row r="407">
      <c r="A407" s="4" t="n"/>
      <c r="B407" s="26" t="n"/>
      <c r="O407" s="26">
        <f>SUM(C407:N407)</f>
        <v/>
      </c>
    </row>
    <row r="408">
      <c r="A408" s="4" t="n"/>
      <c r="B408" s="26" t="n"/>
      <c r="O408" s="26">
        <f>SUM(C408:N408)</f>
        <v/>
      </c>
    </row>
    <row r="409">
      <c r="A409" s="4">
        <f>IFERROR(__xludf.DUMMYFUNCTION("""COMPUTED_VALUE"""),"G9")</f>
        <v/>
      </c>
      <c r="B409" s="26" t="n"/>
      <c r="O409" s="26">
        <f>SUM(C409:N409)</f>
        <v/>
      </c>
    </row>
    <row r="410">
      <c r="A410" s="6">
        <f>IFERROR(__xludf.DUMMYFUNCTION("""COMPUTED_VALUE"""),6245.50270624271)</f>
        <v/>
      </c>
      <c r="B410" s="26" t="n"/>
      <c r="O410" s="26">
        <f>SUM(C410:N410)</f>
        <v/>
      </c>
    </row>
    <row r="411">
      <c r="A411" s="6">
        <f>IFERROR(__xludf.DUMMYFUNCTION("""COMPUTED_VALUE"""),4729.60743160555)</f>
        <v/>
      </c>
      <c r="B411" s="26" t="n"/>
      <c r="O411" s="26">
        <f>SUM(C411:N411)</f>
        <v/>
      </c>
    </row>
    <row r="412">
      <c r="A412" s="6">
        <f>IFERROR(__xludf.DUMMYFUNCTION("""COMPUTED_VALUE"""),5202.59785118929)</f>
        <v/>
      </c>
      <c r="B412" s="26" t="n"/>
      <c r="O412" s="26">
        <f>SUM(C412:N412)</f>
        <v/>
      </c>
    </row>
    <row r="413">
      <c r="A413" s="6">
        <f>IFERROR(__xludf.DUMMYFUNCTION("""COMPUTED_VALUE"""),5869.09204117383)</f>
        <v/>
      </c>
      <c r="B413" s="26" t="n"/>
      <c r="O413" s="26">
        <f>SUM(C413:N413)</f>
        <v/>
      </c>
    </row>
    <row r="414">
      <c r="A414" s="6">
        <f>IFERROR(__xludf.DUMMYFUNCTION("""COMPUTED_VALUE"""),6284.66583433578)</f>
        <v/>
      </c>
      <c r="B414" s="26" t="n"/>
      <c r="O414" s="26">
        <f>SUM(C414:N414)</f>
        <v/>
      </c>
    </row>
    <row r="415">
      <c r="A415" s="6">
        <f>IFERROR(__xludf.DUMMYFUNCTION("""COMPUTED_VALUE"""),5381.78141091658)</f>
        <v/>
      </c>
      <c r="B415" s="26" t="n"/>
      <c r="O415" s="26">
        <f>SUM(C415:N415)</f>
        <v/>
      </c>
    </row>
    <row r="416">
      <c r="A416" s="6">
        <f>IFERROR(__xludf.DUMMYFUNCTION("""COMPUTED_VALUE"""),6907.69965238397)</f>
        <v/>
      </c>
      <c r="B416" s="26" t="n"/>
      <c r="O416" s="26">
        <f>SUM(C416:N416)</f>
        <v/>
      </c>
    </row>
    <row r="417">
      <c r="A417" s="6">
        <f>IFERROR(__xludf.DUMMYFUNCTION("""COMPUTED_VALUE"""),7029.25705041638)</f>
        <v/>
      </c>
      <c r="B417" s="26" t="n"/>
      <c r="O417" s="26">
        <f>SUM(C417:N417)</f>
        <v/>
      </c>
    </row>
    <row r="418">
      <c r="A418" s="6">
        <f>IFERROR(__xludf.DUMMYFUNCTION("""COMPUTED_VALUE"""),5714.53997917119)</f>
        <v/>
      </c>
      <c r="B418" s="26" t="n"/>
      <c r="O418" s="26">
        <f>SUM(C418:N418)</f>
        <v/>
      </c>
    </row>
    <row r="419">
      <c r="A419" s="6">
        <f>IFERROR(__xludf.DUMMYFUNCTION("""COMPUTED_VALUE"""),5562.90523797688)</f>
        <v/>
      </c>
      <c r="B419" s="26" t="n"/>
      <c r="O419" s="26">
        <f>SUM(C419:N419)</f>
        <v/>
      </c>
    </row>
    <row r="420">
      <c r="A420" s="6">
        <f>IFERROR(__xludf.DUMMYFUNCTION("""COMPUTED_VALUE"""),5123.53457973591)</f>
        <v/>
      </c>
      <c r="B420" s="26" t="n"/>
      <c r="O420" s="26">
        <f>SUM(C420:N420)</f>
        <v/>
      </c>
    </row>
    <row r="421">
      <c r="A421" s="6">
        <f>IFERROR(__xludf.DUMMYFUNCTION("""COMPUTED_VALUE"""),5589.91497195549)</f>
        <v/>
      </c>
      <c r="B421" s="26" t="n"/>
      <c r="O421" s="26">
        <f>SUM(C421:N421)</f>
        <v/>
      </c>
    </row>
    <row r="422">
      <c r="A422" s="6">
        <f>IFERROR(__xludf.DUMMYFUNCTION("""COMPUTED_VALUE"""),69641.0987471036)</f>
        <v/>
      </c>
      <c r="B422" s="26" t="n"/>
      <c r="O422" s="26">
        <f>SUM(C422:N422)</f>
        <v/>
      </c>
    </row>
    <row r="423">
      <c r="A423" s="4" t="n"/>
      <c r="B423" s="26" t="n"/>
      <c r="O423" s="26">
        <f>SUM(C423:N423)</f>
        <v/>
      </c>
    </row>
    <row r="424">
      <c r="A424" s="4" t="n"/>
      <c r="B424" s="26" t="n"/>
      <c r="O424" s="26">
        <f>SUM(C424:N424)</f>
        <v/>
      </c>
    </row>
    <row r="425">
      <c r="A425" s="4" t="n"/>
      <c r="B425" s="26" t="n"/>
      <c r="O425" s="26">
        <f>SUM(C425:N425)</f>
        <v/>
      </c>
    </row>
    <row r="426">
      <c r="A426" s="4">
        <f>IFERROR(__xludf.DUMMYFUNCTION("""COMPUTED_VALUE"""),"G10")</f>
        <v/>
      </c>
      <c r="B426" s="26" t="n"/>
      <c r="O426" s="26">
        <f>SUM(C426:N426)</f>
        <v/>
      </c>
    </row>
    <row r="427">
      <c r="A427" s="6">
        <f>IFERROR(__xludf.DUMMYFUNCTION("""COMPUTED_VALUE"""),6258.99207644042)</f>
        <v/>
      </c>
      <c r="B427" s="26" t="n"/>
      <c r="O427" s="26">
        <f>SUM(C427:N427)</f>
        <v/>
      </c>
    </row>
    <row r="428">
      <c r="A428" s="6">
        <f>IFERROR(__xludf.DUMMYFUNCTION("""COMPUTED_VALUE"""),4807.30187679243)</f>
        <v/>
      </c>
      <c r="B428" s="26" t="n"/>
      <c r="O428" s="26">
        <f>SUM(C428:N428)</f>
        <v/>
      </c>
    </row>
    <row r="429">
      <c r="A429" s="6">
        <f>IFERROR(__xludf.DUMMYFUNCTION("""COMPUTED_VALUE"""),5061.32578991709)</f>
        <v/>
      </c>
      <c r="B429" s="26" t="n"/>
      <c r="O429" s="26">
        <f>SUM(C429:N429)</f>
        <v/>
      </c>
    </row>
    <row r="430">
      <c r="A430" s="6">
        <f>IFERROR(__xludf.DUMMYFUNCTION("""COMPUTED_VALUE"""),6007.79448962382)</f>
        <v/>
      </c>
      <c r="B430" s="26" t="n"/>
      <c r="O430" s="26">
        <f>SUM(C430:N430)</f>
        <v/>
      </c>
    </row>
    <row r="431">
      <c r="A431" s="6">
        <f>IFERROR(__xludf.DUMMYFUNCTION("""COMPUTED_VALUE"""),6373.41996831885)</f>
        <v/>
      </c>
      <c r="B431" s="26" t="n"/>
      <c r="O431" s="26">
        <f>SUM(C431:N431)</f>
        <v/>
      </c>
    </row>
    <row r="432">
      <c r="A432" s="6">
        <f>IFERROR(__xludf.DUMMYFUNCTION("""COMPUTED_VALUE"""),5248.40115453326)</f>
        <v/>
      </c>
      <c r="B432" s="26" t="n"/>
      <c r="O432" s="26">
        <f>SUM(C432:N432)</f>
        <v/>
      </c>
    </row>
    <row r="433">
      <c r="A433" s="6">
        <f>IFERROR(__xludf.DUMMYFUNCTION("""COMPUTED_VALUE"""),6161.12859269724)</f>
        <v/>
      </c>
      <c r="B433" s="26" t="n"/>
      <c r="O433" s="26">
        <f>SUM(C433:N433)</f>
        <v/>
      </c>
    </row>
    <row r="434">
      <c r="A434" s="6">
        <f>IFERROR(__xludf.DUMMYFUNCTION("""COMPUTED_VALUE"""),7838.44502656723)</f>
        <v/>
      </c>
      <c r="B434" s="26" t="n"/>
      <c r="O434" s="26">
        <f>SUM(C434:N434)</f>
        <v/>
      </c>
    </row>
    <row r="435">
      <c r="A435" s="6">
        <f>IFERROR(__xludf.DUMMYFUNCTION("""COMPUTED_VALUE"""),5226.18066936157)</f>
        <v/>
      </c>
      <c r="B435" s="26" t="n"/>
      <c r="O435" s="26">
        <f>SUM(C435:N435)</f>
        <v/>
      </c>
    </row>
    <row r="436">
      <c r="A436" s="6">
        <f>IFERROR(__xludf.DUMMYFUNCTION("""COMPUTED_VALUE"""),5363.24666947107)</f>
        <v/>
      </c>
      <c r="B436" s="26" t="n"/>
      <c r="O436" s="26">
        <f>SUM(C436:N436)</f>
        <v/>
      </c>
    </row>
    <row r="437">
      <c r="A437" s="6">
        <f>IFERROR(__xludf.DUMMYFUNCTION("""COMPUTED_VALUE"""),4723.6754540238)</f>
        <v/>
      </c>
      <c r="B437" s="26" t="n"/>
      <c r="O437" s="26">
        <f>SUM(C437:N437)</f>
        <v/>
      </c>
    </row>
    <row r="438">
      <c r="A438" s="6">
        <f>IFERROR(__xludf.DUMMYFUNCTION("""COMPUTED_VALUE"""),4896.29700836202)</f>
        <v/>
      </c>
      <c r="B438" s="26" t="n"/>
      <c r="O438" s="26">
        <f>SUM(C438:N438)</f>
        <v/>
      </c>
    </row>
    <row r="439">
      <c r="A439" s="6">
        <f>IFERROR(__xludf.DUMMYFUNCTION("""COMPUTED_VALUE"""),67966.2087761088)</f>
        <v/>
      </c>
      <c r="B439" s="26" t="n"/>
      <c r="O439" s="26">
        <f>SUM(C439:N439)</f>
        <v/>
      </c>
    </row>
    <row r="440">
      <c r="A440" s="4" t="n"/>
      <c r="B440" s="26" t="n"/>
      <c r="O440" s="26">
        <f>SUM(C440:N440)</f>
        <v/>
      </c>
    </row>
    <row r="441">
      <c r="A441" s="4" t="n"/>
      <c r="B441" s="26" t="n"/>
      <c r="O441" s="26">
        <f>SUM(C441:N441)</f>
        <v/>
      </c>
    </row>
    <row r="442">
      <c r="A442" s="4" t="n"/>
      <c r="B442" s="26" t="n"/>
      <c r="O442" s="26">
        <f>SUM(C442:N442)</f>
        <v/>
      </c>
    </row>
    <row r="443">
      <c r="A443" s="4">
        <f>IFERROR(__xludf.DUMMYFUNCTION("""COMPUTED_VALUE"""),"G11")</f>
        <v/>
      </c>
      <c r="B443" s="26" t="n"/>
      <c r="O443" s="26">
        <f>SUM(C443:N443)</f>
        <v/>
      </c>
    </row>
    <row r="444">
      <c r="A444" s="6">
        <f>IFERROR(__xludf.DUMMYFUNCTION("""COMPUTED_VALUE"""),5638.7301984201)</f>
        <v/>
      </c>
      <c r="B444" s="26" t="n"/>
      <c r="O444" s="26">
        <f>SUM(C444:N444)</f>
        <v/>
      </c>
    </row>
    <row r="445">
      <c r="A445" s="6">
        <f>IFERROR(__xludf.DUMMYFUNCTION("""COMPUTED_VALUE"""),4416.46870608529)</f>
        <v/>
      </c>
      <c r="B445" s="26" t="n"/>
      <c r="O445" s="26">
        <f>SUM(C445:N445)</f>
        <v/>
      </c>
    </row>
    <row r="446">
      <c r="A446" s="6">
        <f>IFERROR(__xludf.DUMMYFUNCTION("""COMPUTED_VALUE"""),4540.99344942485)</f>
        <v/>
      </c>
      <c r="B446" s="26" t="n"/>
      <c r="O446" s="26">
        <f>SUM(C446:N446)</f>
        <v/>
      </c>
    </row>
    <row r="447">
      <c r="A447" s="6">
        <f>IFERROR(__xludf.DUMMYFUNCTION("""COMPUTED_VALUE"""),5376.77917988309)</f>
        <v/>
      </c>
      <c r="B447" s="26" t="n"/>
      <c r="O447" s="26">
        <f>SUM(C447:N447)</f>
        <v/>
      </c>
    </row>
    <row r="448">
      <c r="A448" s="6">
        <f>IFERROR(__xludf.DUMMYFUNCTION("""COMPUTED_VALUE"""),5757.39632356021)</f>
        <v/>
      </c>
      <c r="B448" s="26" t="n"/>
      <c r="O448" s="26">
        <f>SUM(C448:N448)</f>
        <v/>
      </c>
    </row>
    <row r="449">
      <c r="A449" s="6">
        <f>IFERROR(__xludf.DUMMYFUNCTION("""COMPUTED_VALUE"""),4934.61936543297)</f>
        <v/>
      </c>
      <c r="B449" s="26" t="n"/>
      <c r="O449" s="26">
        <f>SUM(C449:N449)</f>
        <v/>
      </c>
    </row>
    <row r="450">
      <c r="A450" s="6">
        <f>IFERROR(__xludf.DUMMYFUNCTION("""COMPUTED_VALUE"""),6180.94594817703)</f>
        <v/>
      </c>
      <c r="B450" s="26" t="n"/>
      <c r="O450" s="26">
        <f>SUM(C450:N450)</f>
        <v/>
      </c>
    </row>
    <row r="451">
      <c r="A451" s="6">
        <f>IFERROR(__xludf.DUMMYFUNCTION("""COMPUTED_VALUE"""),6627.65171089039)</f>
        <v/>
      </c>
      <c r="B451" s="26" t="n"/>
      <c r="O451" s="26">
        <f>SUM(C451:N451)</f>
        <v/>
      </c>
    </row>
    <row r="452">
      <c r="A452" s="6">
        <f>IFERROR(__xludf.DUMMYFUNCTION("""COMPUTED_VALUE"""),4919.91690171617)</f>
        <v/>
      </c>
      <c r="B452" s="26" t="n"/>
      <c r="O452" s="26">
        <f>SUM(C452:N452)</f>
        <v/>
      </c>
    </row>
    <row r="453">
      <c r="A453" s="6">
        <f>IFERROR(__xludf.DUMMYFUNCTION("""COMPUTED_VALUE"""),4755.18630727982)</f>
        <v/>
      </c>
      <c r="B453" s="26" t="n"/>
      <c r="O453" s="26">
        <f>SUM(C453:N453)</f>
        <v/>
      </c>
    </row>
    <row r="454">
      <c r="A454" s="6">
        <f>IFERROR(__xludf.DUMMYFUNCTION("""COMPUTED_VALUE"""),4530.2580434065)</f>
        <v/>
      </c>
      <c r="B454" s="26" t="n"/>
      <c r="O454" s="26">
        <f>SUM(C454:N454)</f>
        <v/>
      </c>
    </row>
    <row r="455">
      <c r="A455" s="6">
        <f>IFERROR(__xludf.DUMMYFUNCTION("""COMPUTED_VALUE"""),4928.05389275218)</f>
        <v/>
      </c>
      <c r="B455" s="26" t="n"/>
      <c r="O455" s="26">
        <f>SUM(C455:N455)</f>
        <v/>
      </c>
    </row>
    <row r="456">
      <c r="A456" s="6">
        <f>IFERROR(__xludf.DUMMYFUNCTION("""COMPUTED_VALUE"""),62607.0000270286)</f>
        <v/>
      </c>
      <c r="B456" s="26" t="n"/>
      <c r="O456" s="26">
        <f>SUM(C456:N456)</f>
        <v/>
      </c>
    </row>
    <row r="457">
      <c r="A457" s="4" t="n"/>
      <c r="B457" s="26" t="n"/>
      <c r="O457" s="26">
        <f>SUM(C457:N457)</f>
        <v/>
      </c>
    </row>
    <row r="458">
      <c r="A458" s="4" t="n"/>
      <c r="B458" s="26" t="n"/>
      <c r="O458" s="26">
        <f>SUM(C458:N458)</f>
        <v/>
      </c>
    </row>
    <row r="459">
      <c r="A459" s="4" t="n"/>
      <c r="B459" s="26" t="n"/>
      <c r="O459" s="26">
        <f>SUM(C459:N459)</f>
        <v/>
      </c>
    </row>
    <row r="460">
      <c r="A460" s="4">
        <f>IFERROR(__xludf.DUMMYFUNCTION("""COMPUTED_VALUE"""),"G12")</f>
        <v/>
      </c>
      <c r="B460" s="26" t="n"/>
      <c r="O460" s="26">
        <f>SUM(C460:N460)</f>
        <v/>
      </c>
    </row>
    <row r="461">
      <c r="A461" s="6">
        <f>IFERROR(__xludf.DUMMYFUNCTION("""COMPUTED_VALUE"""),5836.51647483311)</f>
        <v/>
      </c>
      <c r="B461" s="26" t="n"/>
      <c r="O461" s="26">
        <f>SUM(C461:N461)</f>
        <v/>
      </c>
    </row>
    <row r="462">
      <c r="A462" s="6">
        <f>IFERROR(__xludf.DUMMYFUNCTION("""COMPUTED_VALUE"""),5143.60696772671)</f>
        <v/>
      </c>
      <c r="B462" s="26" t="n"/>
      <c r="O462" s="26">
        <f>SUM(C462:N462)</f>
        <v/>
      </c>
    </row>
    <row r="463">
      <c r="A463" s="6">
        <f>IFERROR(__xludf.DUMMYFUNCTION("""COMPUTED_VALUE"""),5032.23032040777)</f>
        <v/>
      </c>
      <c r="B463" s="26" t="n"/>
      <c r="O463" s="26">
        <f>SUM(C463:N463)</f>
        <v/>
      </c>
    </row>
    <row r="464">
      <c r="A464" s="6">
        <f>IFERROR(__xludf.DUMMYFUNCTION("""COMPUTED_VALUE"""),6120.02007775848)</f>
        <v/>
      </c>
      <c r="B464" s="26" t="n"/>
      <c r="O464" s="26">
        <f>SUM(C464:N464)</f>
        <v/>
      </c>
    </row>
    <row r="465">
      <c r="A465" s="6">
        <f>IFERROR(__xludf.DUMMYFUNCTION("""COMPUTED_VALUE"""),6118.6409139713)</f>
        <v/>
      </c>
      <c r="B465" s="26" t="n"/>
      <c r="O465" s="26">
        <f>SUM(C465:N465)</f>
        <v/>
      </c>
    </row>
    <row r="466">
      <c r="A466" s="6">
        <f>IFERROR(__xludf.DUMMYFUNCTION("""COMPUTED_VALUE"""),4977.84119148056)</f>
        <v/>
      </c>
      <c r="B466" s="26" t="n"/>
      <c r="O466" s="26">
        <f>SUM(C466:N466)</f>
        <v/>
      </c>
    </row>
    <row r="467">
      <c r="A467" s="6">
        <f>IFERROR(__xludf.DUMMYFUNCTION("""COMPUTED_VALUE"""),6565.71079639324)</f>
        <v/>
      </c>
      <c r="B467" s="26" t="n"/>
      <c r="O467" s="26">
        <f>SUM(C467:N467)</f>
        <v/>
      </c>
    </row>
    <row r="468">
      <c r="A468" s="6">
        <f>IFERROR(__xludf.DUMMYFUNCTION("""COMPUTED_VALUE"""),7853.43959214827)</f>
        <v/>
      </c>
      <c r="B468" s="26" t="n"/>
      <c r="O468" s="26">
        <f>SUM(C468:N468)</f>
        <v/>
      </c>
    </row>
    <row r="469">
      <c r="A469" s="6">
        <f>IFERROR(__xludf.DUMMYFUNCTION("""COMPUTED_VALUE"""),5975.66385313438)</f>
        <v/>
      </c>
      <c r="B469" s="26" t="n"/>
      <c r="O469" s="26">
        <f>SUM(C469:N469)</f>
        <v/>
      </c>
    </row>
    <row r="470">
      <c r="A470" s="6">
        <f>IFERROR(__xludf.DUMMYFUNCTION("""COMPUTED_VALUE"""),5622.53432681515)</f>
        <v/>
      </c>
      <c r="B470" s="26" t="n"/>
      <c r="O470" s="26">
        <f>SUM(C470:N470)</f>
        <v/>
      </c>
    </row>
    <row r="471">
      <c r="A471" s="6">
        <f>IFERROR(__xludf.DUMMYFUNCTION("""COMPUTED_VALUE"""),5468.51299462906)</f>
        <v/>
      </c>
      <c r="B471" s="26" t="n"/>
      <c r="O471" s="26">
        <f>SUM(C471:N471)</f>
        <v/>
      </c>
    </row>
    <row r="472">
      <c r="A472" s="6">
        <f>IFERROR(__xludf.DUMMYFUNCTION("""COMPUTED_VALUE"""),5550.58613201612)</f>
        <v/>
      </c>
      <c r="B472" s="26" t="n"/>
      <c r="O472" s="26">
        <f>SUM(C472:N472)</f>
        <v/>
      </c>
    </row>
    <row r="473">
      <c r="A473" s="6">
        <f>IFERROR(__xludf.DUMMYFUNCTION("""COMPUTED_VALUE"""),70265.3036413142)</f>
        <v/>
      </c>
      <c r="B473" s="26" t="n"/>
      <c r="O473" s="26">
        <f>SUM(C473:N473)</f>
        <v/>
      </c>
    </row>
    <row r="474">
      <c r="A474" s="4" t="n"/>
      <c r="B474" s="26" t="n"/>
      <c r="O474" s="26">
        <f>SUM(C474:N474)</f>
        <v/>
      </c>
    </row>
    <row r="475">
      <c r="A475" s="4" t="n"/>
      <c r="B475" s="26" t="n"/>
      <c r="O475" s="26">
        <f>SUM(C475:N475)</f>
        <v/>
      </c>
    </row>
    <row r="476">
      <c r="A476" s="4" t="n"/>
      <c r="B476" s="26" t="n"/>
      <c r="O476" s="26">
        <f>SUM(C476:N476)</f>
        <v/>
      </c>
    </row>
    <row r="477">
      <c r="A477" s="4">
        <f>IFERROR(__xludf.DUMMYFUNCTION("""COMPUTED_VALUE"""),"G13")</f>
        <v/>
      </c>
      <c r="B477" s="26" t="n"/>
      <c r="O477" s="26">
        <f>SUM(C477:N477)</f>
        <v/>
      </c>
    </row>
    <row r="478">
      <c r="A478" s="6">
        <f>IFERROR(__xludf.DUMMYFUNCTION("""COMPUTED_VALUE"""),6399.18536236205)</f>
        <v/>
      </c>
      <c r="B478" s="26" t="n"/>
      <c r="O478" s="26">
        <f>SUM(C478:N478)</f>
        <v/>
      </c>
    </row>
    <row r="479">
      <c r="A479" s="6">
        <f>IFERROR(__xludf.DUMMYFUNCTION("""COMPUTED_VALUE"""),4704.57126662195)</f>
        <v/>
      </c>
      <c r="B479" s="26" t="n"/>
      <c r="O479" s="26">
        <f>SUM(C479:N479)</f>
        <v/>
      </c>
    </row>
    <row r="480">
      <c r="A480" s="6">
        <f>IFERROR(__xludf.DUMMYFUNCTION("""COMPUTED_VALUE"""),4724.93877618887)</f>
        <v/>
      </c>
      <c r="B480" s="26" t="n"/>
      <c r="O480" s="26">
        <f>SUM(C480:N480)</f>
        <v/>
      </c>
    </row>
    <row r="481">
      <c r="A481" s="6">
        <f>IFERROR(__xludf.DUMMYFUNCTION("""COMPUTED_VALUE"""),5925.0068550878)</f>
        <v/>
      </c>
      <c r="B481" s="26" t="n"/>
      <c r="O481" s="26">
        <f>SUM(C481:N481)</f>
        <v/>
      </c>
    </row>
    <row r="482">
      <c r="A482" s="6">
        <f>IFERROR(__xludf.DUMMYFUNCTION("""COMPUTED_VALUE"""),6282.74773714931)</f>
        <v/>
      </c>
      <c r="B482" s="26" t="n"/>
      <c r="O482" s="26">
        <f>SUM(C482:N482)</f>
        <v/>
      </c>
    </row>
    <row r="483">
      <c r="A483" s="6">
        <f>IFERROR(__xludf.DUMMYFUNCTION("""COMPUTED_VALUE"""),5187.02150554379)</f>
        <v/>
      </c>
      <c r="B483" s="26" t="n"/>
      <c r="O483" s="26">
        <f>SUM(C483:N483)</f>
        <v/>
      </c>
    </row>
    <row r="484">
      <c r="A484" s="6">
        <f>IFERROR(__xludf.DUMMYFUNCTION("""COMPUTED_VALUE"""),6825.9630185067)</f>
        <v/>
      </c>
      <c r="B484" s="26" t="n"/>
      <c r="O484" s="26">
        <f>SUM(C484:N484)</f>
        <v/>
      </c>
    </row>
    <row r="485">
      <c r="A485" s="6">
        <f>IFERROR(__xludf.DUMMYFUNCTION("""COMPUTED_VALUE"""),7750.70046116843)</f>
        <v/>
      </c>
      <c r="B485" s="26" t="n"/>
      <c r="O485" s="26">
        <f>SUM(C485:N485)</f>
        <v/>
      </c>
    </row>
    <row r="486">
      <c r="A486" s="6">
        <f>IFERROR(__xludf.DUMMYFUNCTION("""COMPUTED_VALUE"""),5575.22288776492)</f>
        <v/>
      </c>
      <c r="B486" s="26" t="n"/>
      <c r="O486" s="26">
        <f>SUM(C486:N486)</f>
        <v/>
      </c>
    </row>
    <row r="487">
      <c r="A487" s="6">
        <f>IFERROR(__xludf.DUMMYFUNCTION("""COMPUTED_VALUE"""),5381.92329658357)</f>
        <v/>
      </c>
      <c r="B487" s="26" t="n"/>
      <c r="O487" s="26">
        <f>SUM(C487:N487)</f>
        <v/>
      </c>
    </row>
    <row r="488">
      <c r="A488" s="6">
        <f>IFERROR(__xludf.DUMMYFUNCTION("""COMPUTED_VALUE"""),5345.13232431953)</f>
        <v/>
      </c>
      <c r="B488" s="26" t="n"/>
      <c r="O488" s="26">
        <f>SUM(C488:N488)</f>
        <v/>
      </c>
    </row>
    <row r="489">
      <c r="A489" s="6">
        <f>IFERROR(__xludf.DUMMYFUNCTION("""COMPUTED_VALUE"""),4936.7051313665)</f>
        <v/>
      </c>
      <c r="B489" s="26" t="n"/>
      <c r="O489" s="26">
        <f>SUM(C489:N489)</f>
        <v/>
      </c>
    </row>
    <row r="490">
      <c r="A490" s="6">
        <f>IFERROR(__xludf.DUMMYFUNCTION("""COMPUTED_VALUE"""),69039.1186226634)</f>
        <v/>
      </c>
      <c r="B490" s="26" t="n"/>
      <c r="O490" s="26">
        <f>SUM(C490:N490)</f>
        <v/>
      </c>
    </row>
    <row r="491">
      <c r="A491" s="4" t="n"/>
      <c r="B491" s="26" t="n"/>
      <c r="O491" s="26">
        <f>SUM(C491:N491)</f>
        <v/>
      </c>
    </row>
    <row r="492">
      <c r="A492" s="4" t="n"/>
      <c r="B492" s="26" t="n"/>
      <c r="O492" s="26">
        <f>SUM(C492:N492)</f>
        <v/>
      </c>
    </row>
    <row r="493">
      <c r="A493" s="4" t="n"/>
      <c r="B493" s="26" t="n"/>
      <c r="O493" s="26">
        <f>SUM(C493:N493)</f>
        <v/>
      </c>
    </row>
    <row r="494">
      <c r="A494" s="4">
        <f>IFERROR(__xludf.DUMMYFUNCTION("""COMPUTED_VALUE"""),"G14")</f>
        <v/>
      </c>
      <c r="B494" s="26" t="n"/>
      <c r="O494" s="26">
        <f>SUM(C494:N494)</f>
        <v/>
      </c>
    </row>
    <row r="495">
      <c r="A495" s="6">
        <f>IFERROR(__xludf.DUMMYFUNCTION("""COMPUTED_VALUE"""),5772.49350136342)</f>
        <v/>
      </c>
      <c r="B495" s="26" t="n"/>
      <c r="O495" s="26">
        <f>SUM(C495:N495)</f>
        <v/>
      </c>
    </row>
    <row r="496">
      <c r="A496" s="6">
        <f>IFERROR(__xludf.DUMMYFUNCTION("""COMPUTED_VALUE"""),5458.0771306077)</f>
        <v/>
      </c>
      <c r="B496" s="26" t="n"/>
      <c r="O496" s="26">
        <f>SUM(C496:N496)</f>
        <v/>
      </c>
    </row>
    <row r="497">
      <c r="A497" s="6">
        <f>IFERROR(__xludf.DUMMYFUNCTION("""COMPUTED_VALUE"""),4968.61333332949)</f>
        <v/>
      </c>
      <c r="B497" s="26" t="n"/>
      <c r="O497" s="26">
        <f>SUM(C497:N497)</f>
        <v/>
      </c>
    </row>
    <row r="498">
      <c r="A498" s="6">
        <f>IFERROR(__xludf.DUMMYFUNCTION("""COMPUTED_VALUE"""),5790.23695435075)</f>
        <v/>
      </c>
      <c r="B498" s="26" t="n"/>
      <c r="O498" s="26">
        <f>SUM(C498:N498)</f>
        <v/>
      </c>
    </row>
    <row r="499">
      <c r="A499" s="6">
        <f>IFERROR(__xludf.DUMMYFUNCTION("""COMPUTED_VALUE"""),6613.17335659464)</f>
        <v/>
      </c>
      <c r="B499" s="26" t="n"/>
      <c r="O499" s="26">
        <f>SUM(C499:N499)</f>
        <v/>
      </c>
    </row>
    <row r="500">
      <c r="A500" s="6">
        <f>IFERROR(__xludf.DUMMYFUNCTION("""COMPUTED_VALUE"""),5303.56677577968)</f>
        <v/>
      </c>
      <c r="B500" s="26" t="n"/>
      <c r="O500" s="26">
        <f>SUM(C500:N500)</f>
        <v/>
      </c>
    </row>
    <row r="501">
      <c r="A501" s="6">
        <f>IFERROR(__xludf.DUMMYFUNCTION("""COMPUTED_VALUE"""),6947.04546659904)</f>
        <v/>
      </c>
      <c r="B501" s="26" t="n"/>
      <c r="O501" s="26">
        <f>SUM(C501:N501)</f>
        <v/>
      </c>
    </row>
    <row r="502">
      <c r="A502" s="6">
        <f>IFERROR(__xludf.DUMMYFUNCTION("""COMPUTED_VALUE"""),7284.51758390698)</f>
        <v/>
      </c>
      <c r="B502" s="26" t="n"/>
      <c r="O502" s="26">
        <f>SUM(C502:N502)</f>
        <v/>
      </c>
    </row>
    <row r="503">
      <c r="A503" s="6">
        <f>IFERROR(__xludf.DUMMYFUNCTION("""COMPUTED_VALUE"""),6027.40290072828)</f>
        <v/>
      </c>
      <c r="B503" s="26" t="n"/>
      <c r="O503" s="26">
        <f>SUM(C503:N503)</f>
        <v/>
      </c>
    </row>
    <row r="504">
      <c r="A504" s="6">
        <f>IFERROR(__xludf.DUMMYFUNCTION("""COMPUTED_VALUE"""),5568.16799520261)</f>
        <v/>
      </c>
      <c r="B504" s="26" t="n"/>
      <c r="O504" s="26">
        <f>SUM(C504:N504)</f>
        <v/>
      </c>
    </row>
    <row r="505">
      <c r="A505" s="6">
        <f>IFERROR(__xludf.DUMMYFUNCTION("""COMPUTED_VALUE"""),5193.30633337217)</f>
        <v/>
      </c>
      <c r="B505" s="26" t="n"/>
      <c r="O505" s="26">
        <f>SUM(C505:N505)</f>
        <v/>
      </c>
    </row>
    <row r="506">
      <c r="A506" s="6">
        <f>IFERROR(__xludf.DUMMYFUNCTION("""COMPUTED_VALUE"""),5969.99807443466)</f>
        <v/>
      </c>
      <c r="B506" s="26" t="n"/>
      <c r="O506" s="26">
        <f>SUM(C506:N506)</f>
        <v/>
      </c>
    </row>
    <row r="507">
      <c r="A507" s="6">
        <f>IFERROR(__xludf.DUMMYFUNCTION("""COMPUTED_VALUE"""),70896.5994062695)</f>
        <v/>
      </c>
      <c r="B507" s="26" t="n"/>
      <c r="O507" s="26">
        <f>SUM(C507:N507)</f>
        <v/>
      </c>
    </row>
    <row r="508">
      <c r="A508" s="4" t="n"/>
      <c r="B508" s="26" t="n"/>
      <c r="O508" s="26">
        <f>SUM(C508:N508)</f>
        <v/>
      </c>
    </row>
    <row r="509">
      <c r="A509" s="4" t="n"/>
      <c r="B509" s="26" t="n"/>
      <c r="O509" s="26">
        <f>SUM(C509:N509)</f>
        <v/>
      </c>
    </row>
    <row r="510">
      <c r="A510" s="4" t="n"/>
      <c r="B510" s="26" t="n"/>
      <c r="O510" s="26">
        <f>SUM(C510:N510)</f>
        <v/>
      </c>
    </row>
    <row r="511">
      <c r="A511" s="4">
        <f>IFERROR(__xludf.DUMMYFUNCTION("""COMPUTED_VALUE"""),"G15")</f>
        <v/>
      </c>
      <c r="B511" s="26" t="n"/>
      <c r="O511" s="26">
        <f>SUM(C511:N511)</f>
        <v/>
      </c>
    </row>
    <row r="512">
      <c r="A512" s="6">
        <f>IFERROR(__xludf.DUMMYFUNCTION("""COMPUTED_VALUE"""),6113.6941181248)</f>
        <v/>
      </c>
      <c r="B512" s="26" t="n"/>
      <c r="O512" s="26">
        <f>SUM(C512:N512)</f>
        <v/>
      </c>
    </row>
    <row r="513">
      <c r="A513" s="6">
        <f>IFERROR(__xludf.DUMMYFUNCTION("""COMPUTED_VALUE"""),4590.21781590398)</f>
        <v/>
      </c>
      <c r="B513" s="26" t="n"/>
      <c r="O513" s="26">
        <f>SUM(C513:N513)</f>
        <v/>
      </c>
    </row>
    <row r="514">
      <c r="A514" s="6">
        <f>IFERROR(__xludf.DUMMYFUNCTION("""COMPUTED_VALUE"""),4414.46168991621)</f>
        <v/>
      </c>
      <c r="B514" s="26" t="n"/>
      <c r="O514" s="26">
        <f>SUM(C514:N514)</f>
        <v/>
      </c>
    </row>
    <row r="515">
      <c r="A515" s="6">
        <f>IFERROR(__xludf.DUMMYFUNCTION("""COMPUTED_VALUE"""),5225.68227816185)</f>
        <v/>
      </c>
      <c r="B515" s="26" t="n"/>
      <c r="O515" s="26">
        <f>SUM(C515:N515)</f>
        <v/>
      </c>
    </row>
    <row r="516">
      <c r="A516" s="6">
        <f>IFERROR(__xludf.DUMMYFUNCTION("""COMPUTED_VALUE"""),5699.72218251562)</f>
        <v/>
      </c>
      <c r="B516" s="26" t="n"/>
      <c r="O516" s="26">
        <f>SUM(C516:N516)</f>
        <v/>
      </c>
    </row>
    <row r="517">
      <c r="A517" s="6">
        <f>IFERROR(__xludf.DUMMYFUNCTION("""COMPUTED_VALUE"""),5011.21859959635)</f>
        <v/>
      </c>
      <c r="B517" s="26" t="n"/>
      <c r="O517" s="26">
        <f>SUM(C517:N517)</f>
        <v/>
      </c>
    </row>
    <row r="518">
      <c r="A518" s="6">
        <f>IFERROR(__xludf.DUMMYFUNCTION("""COMPUTED_VALUE"""),6578.59141766513)</f>
        <v/>
      </c>
      <c r="B518" s="26" t="n"/>
      <c r="O518" s="26">
        <f>SUM(C518:N518)</f>
        <v/>
      </c>
    </row>
    <row r="519">
      <c r="A519" s="6">
        <f>IFERROR(__xludf.DUMMYFUNCTION("""COMPUTED_VALUE"""),7575.13138005605)</f>
        <v/>
      </c>
      <c r="B519" s="26" t="n"/>
      <c r="O519" s="26">
        <f>SUM(C519:N519)</f>
        <v/>
      </c>
    </row>
    <row r="520">
      <c r="A520" s="6">
        <f>IFERROR(__xludf.DUMMYFUNCTION("""COMPUTED_VALUE"""),5604.84001835952)</f>
        <v/>
      </c>
      <c r="B520" s="26" t="n"/>
      <c r="O520" s="26">
        <f>SUM(C520:N520)</f>
        <v/>
      </c>
    </row>
    <row r="521">
      <c r="A521" s="6">
        <f>IFERROR(__xludf.DUMMYFUNCTION("""COMPUTED_VALUE"""),5258.14368919129)</f>
        <v/>
      </c>
      <c r="B521" s="26" t="n"/>
      <c r="O521" s="26">
        <f>SUM(C521:N521)</f>
        <v/>
      </c>
    </row>
    <row r="522">
      <c r="A522" s="6">
        <f>IFERROR(__xludf.DUMMYFUNCTION("""COMPUTED_VALUE"""),4807.06496877971)</f>
        <v/>
      </c>
      <c r="B522" s="26" t="n"/>
      <c r="O522" s="26">
        <f>SUM(C522:N522)</f>
        <v/>
      </c>
    </row>
    <row r="523">
      <c r="A523" s="6">
        <f>IFERROR(__xludf.DUMMYFUNCTION("""COMPUTED_VALUE"""),4867.92803495049)</f>
        <v/>
      </c>
      <c r="B523" s="26" t="n"/>
      <c r="O523" s="26">
        <f>SUM(C523:N523)</f>
        <v/>
      </c>
    </row>
    <row r="524">
      <c r="A524" s="6">
        <f>IFERROR(__xludf.DUMMYFUNCTION("""COMPUTED_VALUE"""),65746.696193221)</f>
        <v/>
      </c>
      <c r="B524" s="26" t="n"/>
      <c r="O524" s="26">
        <f>SUM(C524:N524)</f>
        <v/>
      </c>
    </row>
    <row r="525">
      <c r="A525" s="4" t="n"/>
      <c r="B525" s="26" t="n"/>
      <c r="O525" s="26">
        <f>SUM(C525:N525)</f>
        <v/>
      </c>
    </row>
    <row r="526">
      <c r="A526" s="4" t="n"/>
      <c r="B526" s="26" t="n"/>
      <c r="O526" s="26">
        <f>SUM(C526:N526)</f>
        <v/>
      </c>
    </row>
    <row r="527">
      <c r="A527" s="4" t="n"/>
      <c r="B527" s="26" t="n"/>
      <c r="O527" s="26">
        <f>SUM(C527:N527)</f>
        <v/>
      </c>
    </row>
    <row r="528">
      <c r="A528" s="4">
        <f>IFERROR(__xludf.DUMMYFUNCTION("""COMPUTED_VALUE"""),"G16")</f>
        <v/>
      </c>
      <c r="B528" s="26" t="n"/>
      <c r="O528" s="26">
        <f>SUM(C528:N528)</f>
        <v/>
      </c>
    </row>
    <row r="529">
      <c r="A529" s="6">
        <f>IFERROR(__xludf.DUMMYFUNCTION("""COMPUTED_VALUE"""),5469.95600520525)</f>
        <v/>
      </c>
      <c r="B529" s="26" t="n"/>
      <c r="O529" s="26">
        <f>SUM(C529:N529)</f>
        <v/>
      </c>
    </row>
    <row r="530">
      <c r="A530" s="6">
        <f>IFERROR(__xludf.DUMMYFUNCTION("""COMPUTED_VALUE"""),4750.10085193266)</f>
        <v/>
      </c>
      <c r="B530" s="26" t="n"/>
      <c r="O530" s="26">
        <f>SUM(C530:N530)</f>
        <v/>
      </c>
    </row>
    <row r="531">
      <c r="A531" s="6">
        <f>IFERROR(__xludf.DUMMYFUNCTION("""COMPUTED_VALUE"""),4519.04643578635)</f>
        <v/>
      </c>
      <c r="B531" s="26" t="n"/>
      <c r="O531" s="26">
        <f>SUM(C531:N531)</f>
        <v/>
      </c>
    </row>
    <row r="532">
      <c r="A532" s="6">
        <f>IFERROR(__xludf.DUMMYFUNCTION("""COMPUTED_VALUE"""),5297.37811089749)</f>
        <v/>
      </c>
      <c r="B532" s="26" t="n"/>
      <c r="O532" s="26">
        <f>SUM(C532:N532)</f>
        <v/>
      </c>
    </row>
    <row r="533">
      <c r="A533" s="6">
        <f>IFERROR(__xludf.DUMMYFUNCTION("""COMPUTED_VALUE"""),5766.20174383614)</f>
        <v/>
      </c>
      <c r="B533" s="26" t="n"/>
      <c r="O533" s="26">
        <f>SUM(C533:N533)</f>
        <v/>
      </c>
    </row>
    <row r="534">
      <c r="A534" s="6">
        <f>IFERROR(__xludf.DUMMYFUNCTION("""COMPUTED_VALUE"""),4944.2329712266)</f>
        <v/>
      </c>
      <c r="B534" s="26" t="n"/>
      <c r="O534" s="26">
        <f>SUM(C534:N534)</f>
        <v/>
      </c>
    </row>
    <row r="535">
      <c r="A535" s="6">
        <f>IFERROR(__xludf.DUMMYFUNCTION("""COMPUTED_VALUE"""),6366.63403772628)</f>
        <v/>
      </c>
      <c r="B535" s="26" t="n"/>
      <c r="O535" s="26">
        <f>SUM(C535:N535)</f>
        <v/>
      </c>
    </row>
    <row r="536">
      <c r="A536" s="6">
        <f>IFERROR(__xludf.DUMMYFUNCTION("""COMPUTED_VALUE"""),6756.01178646373)</f>
        <v/>
      </c>
      <c r="B536" s="26" t="n"/>
      <c r="O536" s="26">
        <f>SUM(C536:N536)</f>
        <v/>
      </c>
    </row>
    <row r="537">
      <c r="A537" s="6">
        <f>IFERROR(__xludf.DUMMYFUNCTION("""COMPUTED_VALUE"""),5298.99730891261)</f>
        <v/>
      </c>
      <c r="B537" s="26" t="n"/>
      <c r="O537" s="26">
        <f>SUM(C537:N537)</f>
        <v/>
      </c>
    </row>
    <row r="538">
      <c r="A538" s="6">
        <f>IFERROR(__xludf.DUMMYFUNCTION("""COMPUTED_VALUE"""),5126.37666815845)</f>
        <v/>
      </c>
      <c r="B538" s="26" t="n"/>
      <c r="O538" s="26">
        <f>SUM(C538:N538)</f>
        <v/>
      </c>
    </row>
    <row r="539">
      <c r="A539" s="6">
        <f>IFERROR(__xludf.DUMMYFUNCTION("""COMPUTED_VALUE"""),5165.70174297738)</f>
        <v/>
      </c>
      <c r="B539" s="26" t="n"/>
      <c r="O539" s="26">
        <f>SUM(C539:N539)</f>
        <v/>
      </c>
    </row>
    <row r="540">
      <c r="A540" s="6">
        <f>IFERROR(__xludf.DUMMYFUNCTION("""COMPUTED_VALUE"""),4819.02782029849)</f>
        <v/>
      </c>
      <c r="B540" s="26" t="n"/>
      <c r="O540" s="26">
        <f>SUM(C540:N540)</f>
        <v/>
      </c>
    </row>
    <row r="541">
      <c r="A541" s="6">
        <f>IFERROR(__xludf.DUMMYFUNCTION("""COMPUTED_VALUE"""),64279.6654834215)</f>
        <v/>
      </c>
      <c r="B541" s="26" t="n"/>
      <c r="O541" s="26">
        <f>SUM(C541:N541)</f>
        <v/>
      </c>
    </row>
    <row r="542">
      <c r="A542" s="4" t="n"/>
      <c r="B542" s="26" t="n"/>
      <c r="O542" s="26">
        <f>SUM(C542:N542)</f>
        <v/>
      </c>
    </row>
    <row r="543">
      <c r="A543" s="4" t="n"/>
      <c r="B543" s="26" t="n"/>
      <c r="O543" s="26">
        <f>SUM(C543:N543)</f>
        <v/>
      </c>
    </row>
    <row r="544">
      <c r="A544" s="4" t="n"/>
      <c r="B544" s="26" t="n"/>
      <c r="O544" s="26">
        <f>SUM(C544:N544)</f>
        <v/>
      </c>
    </row>
    <row r="545">
      <c r="A545" s="4">
        <f>IFERROR(__xludf.DUMMYFUNCTION("""COMPUTED_VALUE"""),"S1")</f>
        <v/>
      </c>
      <c r="B545" s="26" t="n"/>
      <c r="O545" s="26">
        <f>SUM(C545:N545)</f>
        <v/>
      </c>
    </row>
    <row r="546">
      <c r="A546" s="6">
        <f>IFERROR(__xludf.DUMMYFUNCTION("""COMPUTED_VALUE"""),5334.51484375)</f>
        <v/>
      </c>
      <c r="B546" s="26" t="n"/>
      <c r="O546" s="26">
        <f>SUM(C546:N546)</f>
        <v/>
      </c>
    </row>
    <row r="547">
      <c r="A547" s="6">
        <f>IFERROR(__xludf.DUMMYFUNCTION("""COMPUTED_VALUE"""),4029.86364851562)</f>
        <v/>
      </c>
      <c r="B547" s="26" t="n"/>
      <c r="O547" s="26">
        <f>SUM(C547:N547)</f>
        <v/>
      </c>
    </row>
    <row r="548">
      <c r="A548" s="6">
        <f>IFERROR(__xludf.DUMMYFUNCTION("""COMPUTED_VALUE"""),4365.16651730383)</f>
        <v/>
      </c>
      <c r="B548" s="26" t="n"/>
      <c r="O548" s="26">
        <f>SUM(C548:N548)</f>
        <v/>
      </c>
    </row>
    <row r="549">
      <c r="A549" s="6">
        <f>IFERROR(__xludf.DUMMYFUNCTION("""COMPUTED_VALUE"""),5177.80307685444)</f>
        <v/>
      </c>
      <c r="B549" s="26" t="n"/>
      <c r="O549" s="26">
        <f>SUM(C549:N549)</f>
        <v/>
      </c>
    </row>
    <row r="550">
      <c r="A550" s="6">
        <f>IFERROR(__xludf.DUMMYFUNCTION("""COMPUTED_VALUE"""),5581.91052351562)</f>
        <v/>
      </c>
      <c r="B550" s="26" t="n"/>
      <c r="O550" s="26">
        <f>SUM(C550:N550)</f>
        <v/>
      </c>
    </row>
    <row r="551">
      <c r="A551" s="6">
        <f>IFERROR(__xludf.DUMMYFUNCTION("""COMPUTED_VALUE"""),4841.04430904006)</f>
        <v/>
      </c>
      <c r="B551" s="26" t="n"/>
      <c r="O551" s="26">
        <f>SUM(C551:N551)</f>
        <v/>
      </c>
    </row>
    <row r="552">
      <c r="A552" s="6">
        <f>IFERROR(__xludf.DUMMYFUNCTION("""COMPUTED_VALUE"""),6315.5233246658)</f>
        <v/>
      </c>
      <c r="B552" s="26" t="n"/>
      <c r="O552" s="26">
        <f>SUM(C552:N552)</f>
        <v/>
      </c>
    </row>
    <row r="553">
      <c r="A553" s="6">
        <f>IFERROR(__xludf.DUMMYFUNCTION("""COMPUTED_VALUE"""),7163.75233584249)</f>
        <v/>
      </c>
      <c r="B553" s="26" t="n"/>
      <c r="O553" s="26">
        <f>SUM(C553:N553)</f>
        <v/>
      </c>
    </row>
    <row r="554">
      <c r="A554" s="6">
        <f>IFERROR(__xludf.DUMMYFUNCTION("""COMPUTED_VALUE"""),5209.39134055317)</f>
        <v/>
      </c>
      <c r="B554" s="26" t="n"/>
      <c r="O554" s="26">
        <f>SUM(C554:N554)</f>
        <v/>
      </c>
    </row>
    <row r="555">
      <c r="A555" s="6">
        <f>IFERROR(__xludf.DUMMYFUNCTION("""COMPUTED_VALUE"""),4877.11014844433)</f>
        <v/>
      </c>
      <c r="B555" s="26" t="n"/>
      <c r="O555" s="26">
        <f>SUM(C555:N555)</f>
        <v/>
      </c>
    </row>
    <row r="556">
      <c r="A556" s="6">
        <f>IFERROR(__xludf.DUMMYFUNCTION("""COMPUTED_VALUE"""),4572.78910275983)</f>
        <v/>
      </c>
      <c r="B556" s="26" t="n"/>
      <c r="O556" s="26">
        <f>SUM(C556:N556)</f>
        <v/>
      </c>
    </row>
    <row r="557">
      <c r="A557" s="6">
        <f>IFERROR(__xludf.DUMMYFUNCTION("""COMPUTED_VALUE"""),4890.01639891438)</f>
        <v/>
      </c>
      <c r="B557" s="26" t="n"/>
      <c r="O557" s="26">
        <f>SUM(C557:N557)</f>
        <v/>
      </c>
    </row>
    <row r="558">
      <c r="A558" s="6">
        <f>IFERROR(__xludf.DUMMYFUNCTION("""COMPUTED_VALUE"""),62358.8855701596)</f>
        <v/>
      </c>
      <c r="B558" s="26" t="n"/>
      <c r="O558" s="26">
        <f>SUM(C558:N558)</f>
        <v/>
      </c>
    </row>
    <row r="559">
      <c r="A559" s="4" t="n"/>
      <c r="B559" s="26" t="n"/>
      <c r="O559" s="26">
        <f>SUM(C559:N559)</f>
        <v/>
      </c>
    </row>
    <row r="560">
      <c r="A560" s="4" t="n"/>
      <c r="B560" s="26" t="n"/>
      <c r="O560" s="26">
        <f>SUM(C560:N560)</f>
        <v/>
      </c>
    </row>
    <row r="561">
      <c r="A561" s="4" t="n"/>
      <c r="B561" s="26" t="n"/>
      <c r="O561" s="26">
        <f>SUM(C561:N561)</f>
        <v/>
      </c>
    </row>
    <row r="562">
      <c r="A562" s="4">
        <f>IFERROR(__xludf.DUMMYFUNCTION("""COMPUTED_VALUE"""),"S2")</f>
        <v/>
      </c>
      <c r="B562" s="26" t="n"/>
      <c r="O562" s="26">
        <f>SUM(C562:N562)</f>
        <v/>
      </c>
    </row>
    <row r="563">
      <c r="A563" s="6">
        <f>IFERROR(__xludf.DUMMYFUNCTION("""COMPUTED_VALUE"""),8208.68545218794)</f>
        <v/>
      </c>
      <c r="B563" s="26" t="n"/>
      <c r="O563" s="26">
        <f>SUM(C563:N563)</f>
        <v/>
      </c>
    </row>
    <row r="564">
      <c r="A564" s="6">
        <f>IFERROR(__xludf.DUMMYFUNCTION("""COMPUTED_VALUE"""),7121.88560521598)</f>
        <v/>
      </c>
      <c r="B564" s="26" t="n"/>
      <c r="O564" s="26">
        <f>SUM(C564:N564)</f>
        <v/>
      </c>
    </row>
    <row r="565">
      <c r="A565" s="6">
        <f>IFERROR(__xludf.DUMMYFUNCTION("""COMPUTED_VALUE"""),7058.38707006983)</f>
        <v/>
      </c>
      <c r="B565" s="26" t="n"/>
      <c r="O565" s="26">
        <f>SUM(C565:N565)</f>
        <v/>
      </c>
    </row>
    <row r="566">
      <c r="A566" s="6">
        <f>IFERROR(__xludf.DUMMYFUNCTION("""COMPUTED_VALUE"""),8300.99704887826)</f>
        <v/>
      </c>
      <c r="B566" s="26" t="n"/>
      <c r="O566" s="26">
        <f>SUM(C566:N566)</f>
        <v/>
      </c>
    </row>
    <row r="567">
      <c r="A567" s="6">
        <f>IFERROR(__xludf.DUMMYFUNCTION("""COMPUTED_VALUE"""),9210.81680981419)</f>
        <v/>
      </c>
      <c r="B567" s="26" t="n"/>
      <c r="O567" s="26">
        <f>SUM(C567:N567)</f>
        <v/>
      </c>
    </row>
    <row r="568">
      <c r="A568" s="6">
        <f>IFERROR(__xludf.DUMMYFUNCTION("""COMPUTED_VALUE"""),7566.34953944347)</f>
        <v/>
      </c>
      <c r="B568" s="26" t="n"/>
      <c r="O568" s="26">
        <f>SUM(C568:N568)</f>
        <v/>
      </c>
    </row>
    <row r="569">
      <c r="A569" s="6">
        <f>IFERROR(__xludf.DUMMYFUNCTION("""COMPUTED_VALUE"""),9405.99143527381)</f>
        <v/>
      </c>
      <c r="B569" s="26" t="n"/>
      <c r="O569" s="26">
        <f>SUM(C569:N569)</f>
        <v/>
      </c>
    </row>
    <row r="570">
      <c r="A570" s="6">
        <f>IFERROR(__xludf.DUMMYFUNCTION("""COMPUTED_VALUE"""),8947.72716366715)</f>
        <v/>
      </c>
      <c r="B570" s="26" t="n"/>
      <c r="O570" s="26">
        <f>SUM(C570:N570)</f>
        <v/>
      </c>
    </row>
    <row r="571">
      <c r="A571" s="6">
        <f>IFERROR(__xludf.DUMMYFUNCTION("""COMPUTED_VALUE"""),5831.92040659675)</f>
        <v/>
      </c>
      <c r="B571" s="26" t="n"/>
      <c r="O571" s="26">
        <f>SUM(C571:N571)</f>
        <v/>
      </c>
    </row>
    <row r="572">
      <c r="A572" s="6">
        <f>IFERROR(__xludf.DUMMYFUNCTION("""COMPUTED_VALUE"""),5791.78782564895)</f>
        <v/>
      </c>
      <c r="B572" s="26" t="n"/>
      <c r="O572" s="26">
        <f>SUM(C572:N572)</f>
        <v/>
      </c>
    </row>
    <row r="573">
      <c r="A573" s="6">
        <f>IFERROR(__xludf.DUMMYFUNCTION("""COMPUTED_VALUE"""),5653.43304991101)</f>
        <v/>
      </c>
      <c r="B573" s="26" t="n"/>
      <c r="O573" s="26">
        <f>SUM(C573:N573)</f>
        <v/>
      </c>
    </row>
    <row r="574">
      <c r="A574" s="6">
        <f>IFERROR(__xludf.DUMMYFUNCTION("""COMPUTED_VALUE"""),6948.180881082)</f>
        <v/>
      </c>
      <c r="B574" s="26" t="n"/>
      <c r="O574" s="26">
        <f>SUM(C574:N574)</f>
        <v/>
      </c>
    </row>
    <row r="575">
      <c r="A575" s="6">
        <f>IFERROR(__xludf.DUMMYFUNCTION("""COMPUTED_VALUE"""),90046.1622877893)</f>
        <v/>
      </c>
      <c r="B575" s="26" t="n"/>
      <c r="O575" s="26">
        <f>SUM(C575:N575)</f>
        <v/>
      </c>
    </row>
    <row r="576">
      <c r="A576" s="4" t="n"/>
      <c r="B576" s="26" t="n"/>
      <c r="O576" s="26">
        <f>SUM(C576:N576)</f>
        <v/>
      </c>
    </row>
    <row r="577">
      <c r="A577" s="4" t="n"/>
      <c r="B577" s="26" t="n"/>
      <c r="O577" s="26">
        <f>SUM(C577:N577)</f>
        <v/>
      </c>
    </row>
    <row r="578">
      <c r="A578" s="4" t="n"/>
      <c r="B578" s="26" t="n"/>
      <c r="O578" s="26">
        <f>SUM(C578:N578)</f>
        <v/>
      </c>
    </row>
    <row r="579">
      <c r="A579" s="4">
        <f>IFERROR(__xludf.DUMMYFUNCTION("""COMPUTED_VALUE"""),"S3")</f>
        <v/>
      </c>
      <c r="B579" s="26" t="n"/>
      <c r="O579" s="26">
        <f>SUM(C579:N579)</f>
        <v/>
      </c>
    </row>
    <row r="580">
      <c r="A580" s="6">
        <f>IFERROR(__xludf.DUMMYFUNCTION("""COMPUTED_VALUE"""),5597.34076503408)</f>
        <v/>
      </c>
      <c r="B580" s="26" t="n"/>
      <c r="O580" s="26">
        <f>SUM(C580:N580)</f>
        <v/>
      </c>
    </row>
    <row r="581">
      <c r="A581" s="6">
        <f>IFERROR(__xludf.DUMMYFUNCTION("""COMPUTED_VALUE"""),4294.73588629699)</f>
        <v/>
      </c>
      <c r="B581" s="26" t="n"/>
      <c r="O581" s="26">
        <f>SUM(C581:N581)</f>
        <v/>
      </c>
    </row>
    <row r="582">
      <c r="A582" s="6">
        <f>IFERROR(__xludf.DUMMYFUNCTION("""COMPUTED_VALUE"""),4516.25402936335)</f>
        <v/>
      </c>
      <c r="B582" s="26" t="n"/>
      <c r="O582" s="26">
        <f>SUM(C582:N582)</f>
        <v/>
      </c>
    </row>
    <row r="583">
      <c r="A583" s="6">
        <f>IFERROR(__xludf.DUMMYFUNCTION("""COMPUTED_VALUE"""),5457.34763446395)</f>
        <v/>
      </c>
      <c r="B583" s="26" t="n"/>
      <c r="O583" s="26">
        <f>SUM(C583:N583)</f>
        <v/>
      </c>
    </row>
    <row r="584">
      <c r="A584" s="6">
        <f>IFERROR(__xludf.DUMMYFUNCTION("""COMPUTED_VALUE"""),5849.81457358265)</f>
        <v/>
      </c>
      <c r="B584" s="26" t="n"/>
      <c r="O584" s="26">
        <f>SUM(C584:N584)</f>
        <v/>
      </c>
    </row>
    <row r="585">
      <c r="A585" s="6">
        <f>IFERROR(__xludf.DUMMYFUNCTION("""COMPUTED_VALUE"""),4996.71939085841)</f>
        <v/>
      </c>
      <c r="B585" s="26" t="n"/>
      <c r="O585" s="26">
        <f>SUM(C585:N585)</f>
        <v/>
      </c>
    </row>
    <row r="586">
      <c r="A586" s="6">
        <f>IFERROR(__xludf.DUMMYFUNCTION("""COMPUTED_VALUE"""),6407.51397893878)</f>
        <v/>
      </c>
      <c r="B586" s="26" t="n"/>
      <c r="O586" s="26">
        <f>SUM(C586:N586)</f>
        <v/>
      </c>
    </row>
    <row r="587">
      <c r="A587" s="6">
        <f>IFERROR(__xludf.DUMMYFUNCTION("""COMPUTED_VALUE"""),6763.18490427735)</f>
        <v/>
      </c>
      <c r="B587" s="26" t="n"/>
      <c r="O587" s="26">
        <f>SUM(C587:N587)</f>
        <v/>
      </c>
    </row>
    <row r="588">
      <c r="A588" s="6">
        <f>IFERROR(__xludf.DUMMYFUNCTION("""COMPUTED_VALUE"""),5152.70716643214)</f>
        <v/>
      </c>
      <c r="B588" s="26" t="n"/>
      <c r="O588" s="26">
        <f>SUM(C588:N588)</f>
        <v/>
      </c>
    </row>
    <row r="589">
      <c r="A589" s="6">
        <f>IFERROR(__xludf.DUMMYFUNCTION("""COMPUTED_VALUE"""),5275.21673848677)</f>
        <v/>
      </c>
      <c r="B589" s="26" t="n"/>
      <c r="O589" s="26">
        <f>SUM(C589:N589)</f>
        <v/>
      </c>
    </row>
    <row r="590">
      <c r="A590" s="6">
        <f>IFERROR(__xludf.DUMMYFUNCTION("""COMPUTED_VALUE"""),4829.02286453887)</f>
        <v/>
      </c>
      <c r="B590" s="26" t="n"/>
      <c r="O590" s="26">
        <f>SUM(C590:N590)</f>
        <v/>
      </c>
    </row>
    <row r="591">
      <c r="A591" s="6">
        <f>IFERROR(__xludf.DUMMYFUNCTION("""COMPUTED_VALUE"""),5092.1723300175)</f>
        <v/>
      </c>
      <c r="B591" s="26" t="n"/>
      <c r="O591" s="26">
        <f>SUM(C591:N591)</f>
        <v/>
      </c>
    </row>
    <row r="592">
      <c r="A592" s="6">
        <f>IFERROR(__xludf.DUMMYFUNCTION("""COMPUTED_VALUE"""),64232.0302622908)</f>
        <v/>
      </c>
      <c r="B592" s="26" t="n"/>
      <c r="O592" s="26">
        <f>SUM(C592:N592)</f>
        <v/>
      </c>
    </row>
    <row r="593">
      <c r="A593" s="4" t="n"/>
      <c r="B593" s="26" t="n"/>
      <c r="O593" s="26">
        <f>SUM(C593:N593)</f>
        <v/>
      </c>
    </row>
    <row r="594">
      <c r="A594" s="4" t="n"/>
      <c r="B594" s="26" t="n"/>
      <c r="O594" s="26">
        <f>SUM(C594:N594)</f>
        <v/>
      </c>
    </row>
    <row r="595">
      <c r="A595" s="4" t="n"/>
      <c r="B595" s="26" t="n"/>
      <c r="O595" s="26">
        <f>SUM(C595:N595)</f>
        <v/>
      </c>
    </row>
    <row r="596">
      <c r="A596" s="4">
        <f>IFERROR(__xludf.DUMMYFUNCTION("""COMPUTED_VALUE"""),"S4")</f>
        <v/>
      </c>
      <c r="B596" s="26" t="n"/>
      <c r="O596" s="26">
        <f>SUM(C596:N596)</f>
        <v/>
      </c>
    </row>
    <row r="597">
      <c r="A597" s="6">
        <f>IFERROR(__xludf.DUMMYFUNCTION("""COMPUTED_VALUE"""),6855.84881641966)</f>
        <v/>
      </c>
      <c r="B597" s="26" t="n"/>
      <c r="O597" s="26">
        <f>SUM(C597:N597)</f>
        <v/>
      </c>
    </row>
    <row r="598">
      <c r="A598" s="6">
        <f>IFERROR(__xludf.DUMMYFUNCTION("""COMPUTED_VALUE"""),4913.92808625917)</f>
        <v/>
      </c>
      <c r="B598" s="26" t="n"/>
      <c r="O598" s="26">
        <f>SUM(C598:N598)</f>
        <v/>
      </c>
    </row>
    <row r="599">
      <c r="A599" s="6">
        <f>IFERROR(__xludf.DUMMYFUNCTION("""COMPUTED_VALUE"""),4515.53491360419)</f>
        <v/>
      </c>
      <c r="B599" s="26" t="n"/>
      <c r="O599" s="26">
        <f>SUM(C599:N599)</f>
        <v/>
      </c>
    </row>
    <row r="600">
      <c r="A600" s="6">
        <f>IFERROR(__xludf.DUMMYFUNCTION("""COMPUTED_VALUE"""),5289.84831048829)</f>
        <v/>
      </c>
      <c r="B600" s="26" t="n"/>
      <c r="O600" s="26">
        <f>SUM(C600:N600)</f>
        <v/>
      </c>
    </row>
    <row r="601">
      <c r="A601" s="6">
        <f>IFERROR(__xludf.DUMMYFUNCTION("""COMPUTED_VALUE"""),6420.73798434709)</f>
        <v/>
      </c>
      <c r="B601" s="26" t="n"/>
      <c r="O601" s="26">
        <f>SUM(C601:N601)</f>
        <v/>
      </c>
    </row>
    <row r="602">
      <c r="A602" s="6">
        <f>IFERROR(__xludf.DUMMYFUNCTION("""COMPUTED_VALUE"""),5637.20058884285)</f>
        <v/>
      </c>
      <c r="B602" s="26" t="n"/>
      <c r="O602" s="26">
        <f>SUM(C602:N602)</f>
        <v/>
      </c>
    </row>
    <row r="603">
      <c r="A603" s="6">
        <f>IFERROR(__xludf.DUMMYFUNCTION("""COMPUTED_VALUE"""),7696.30952188909)</f>
        <v/>
      </c>
      <c r="B603" s="26" t="n"/>
      <c r="O603" s="26">
        <f>SUM(C603:N603)</f>
        <v/>
      </c>
    </row>
    <row r="604">
      <c r="A604" s="6">
        <f>IFERROR(__xludf.DUMMYFUNCTION("""COMPUTED_VALUE"""),7688.13544352233)</f>
        <v/>
      </c>
      <c r="B604" s="26" t="n"/>
      <c r="O604" s="26">
        <f>SUM(C604:N604)</f>
        <v/>
      </c>
    </row>
    <row r="605">
      <c r="A605" s="6">
        <f>IFERROR(__xludf.DUMMYFUNCTION("""COMPUTED_VALUE"""),6321.07128064206)</f>
        <v/>
      </c>
      <c r="B605" s="26" t="n"/>
      <c r="O605" s="26">
        <f>SUM(C605:N605)</f>
        <v/>
      </c>
    </row>
    <row r="606">
      <c r="A606" s="6">
        <f>IFERROR(__xludf.DUMMYFUNCTION("""COMPUTED_VALUE"""),5842.10858688495)</f>
        <v/>
      </c>
      <c r="B606" s="26" t="n"/>
      <c r="O606" s="26">
        <f>SUM(C606:N606)</f>
        <v/>
      </c>
    </row>
    <row r="607">
      <c r="A607" s="6">
        <f>IFERROR(__xludf.DUMMYFUNCTION("""COMPUTED_VALUE"""),5361.19625184217)</f>
        <v/>
      </c>
      <c r="B607" s="26" t="n"/>
      <c r="O607" s="26">
        <f>SUM(C607:N607)</f>
        <v/>
      </c>
    </row>
    <row r="608">
      <c r="A608" s="6">
        <f>IFERROR(__xludf.DUMMYFUNCTION("""COMPUTED_VALUE"""),5779.82837685485)</f>
        <v/>
      </c>
      <c r="B608" s="26" t="n"/>
      <c r="O608" s="26">
        <f>SUM(C608:N608)</f>
        <v/>
      </c>
    </row>
    <row r="609">
      <c r="A609" s="6">
        <f>IFERROR(__xludf.DUMMYFUNCTION("""COMPUTED_VALUE"""),72321.7481615967)</f>
        <v/>
      </c>
      <c r="B609" s="26" t="n"/>
      <c r="O609" s="26">
        <f>SUM(C609:N609)</f>
        <v/>
      </c>
    </row>
    <row r="610">
      <c r="A610" s="4" t="n"/>
      <c r="B610" s="26" t="n"/>
      <c r="O610" s="26">
        <f>SUM(C610:N610)</f>
        <v/>
      </c>
    </row>
    <row r="611">
      <c r="A611" s="4" t="n"/>
      <c r="B611" s="26" t="n"/>
      <c r="O611" s="26">
        <f>SUM(C611:N611)</f>
        <v/>
      </c>
    </row>
    <row r="612">
      <c r="A612" s="4" t="n"/>
      <c r="B612" s="26" t="n"/>
      <c r="O612" s="26">
        <f>SUM(C612:N612)</f>
        <v/>
      </c>
    </row>
    <row r="613">
      <c r="A613" s="4">
        <f>IFERROR(__xludf.DUMMYFUNCTION("""COMPUTED_VALUE"""),"S5")</f>
        <v/>
      </c>
      <c r="B613" s="26" t="n"/>
      <c r="O613" s="26">
        <f>SUM(C613:N613)</f>
        <v/>
      </c>
    </row>
    <row r="614">
      <c r="A614" s="6">
        <f>IFERROR(__xludf.DUMMYFUNCTION("""COMPUTED_VALUE"""),6332.91116075914)</f>
        <v/>
      </c>
      <c r="B614" s="26" t="n"/>
      <c r="O614" s="26">
        <f>SUM(C614:N614)</f>
        <v/>
      </c>
    </row>
    <row r="615">
      <c r="A615" s="6">
        <f>IFERROR(__xludf.DUMMYFUNCTION("""COMPUTED_VALUE"""),4812.30757395518)</f>
        <v/>
      </c>
      <c r="B615" s="26" t="n"/>
      <c r="O615" s="26">
        <f>SUM(C615:N615)</f>
        <v/>
      </c>
    </row>
    <row r="616">
      <c r="A616" s="6">
        <f>IFERROR(__xludf.DUMMYFUNCTION("""COMPUTED_VALUE"""),4999.91595556479)</f>
        <v/>
      </c>
      <c r="B616" s="26" t="n"/>
      <c r="O616" s="26">
        <f>SUM(C616:N616)</f>
        <v/>
      </c>
    </row>
    <row r="617">
      <c r="A617" s="6">
        <f>IFERROR(__xludf.DUMMYFUNCTION("""COMPUTED_VALUE"""),5848.85708577701)</f>
        <v/>
      </c>
      <c r="B617" s="26" t="n"/>
      <c r="O617" s="26">
        <f>SUM(C617:N617)</f>
        <v/>
      </c>
    </row>
    <row r="618">
      <c r="A618" s="6">
        <f>IFERROR(__xludf.DUMMYFUNCTION("""COMPUTED_VALUE"""),6298.04023413852)</f>
        <v/>
      </c>
      <c r="B618" s="26" t="n"/>
      <c r="O618" s="26">
        <f>SUM(C618:N618)</f>
        <v/>
      </c>
    </row>
    <row r="619">
      <c r="A619" s="6">
        <f>IFERROR(__xludf.DUMMYFUNCTION("""COMPUTED_VALUE"""),4935.05276569416)</f>
        <v/>
      </c>
      <c r="B619" s="26" t="n"/>
      <c r="O619" s="26">
        <f>SUM(C619:N619)</f>
        <v/>
      </c>
    </row>
    <row r="620">
      <c r="A620" s="6">
        <f>IFERROR(__xludf.DUMMYFUNCTION("""COMPUTED_VALUE"""),6242.62945946936)</f>
        <v/>
      </c>
      <c r="B620" s="26" t="n"/>
      <c r="O620" s="26">
        <f>SUM(C620:N620)</f>
        <v/>
      </c>
    </row>
    <row r="621">
      <c r="A621" s="6">
        <f>IFERROR(__xludf.DUMMYFUNCTION("""COMPUTED_VALUE"""),6546.45222136323)</f>
        <v/>
      </c>
      <c r="B621" s="26" t="n"/>
      <c r="O621" s="26">
        <f>SUM(C621:N621)</f>
        <v/>
      </c>
    </row>
    <row r="622">
      <c r="A622" s="6">
        <f>IFERROR(__xludf.DUMMYFUNCTION("""COMPUTED_VALUE"""),5094.69570105307)</f>
        <v/>
      </c>
      <c r="B622" s="26" t="n"/>
      <c r="O622" s="26">
        <f>SUM(C622:N622)</f>
        <v/>
      </c>
    </row>
    <row r="623">
      <c r="A623" s="6">
        <f>IFERROR(__xludf.DUMMYFUNCTION("""COMPUTED_VALUE"""),4874.69765234823)</f>
        <v/>
      </c>
      <c r="B623" s="26" t="n"/>
      <c r="O623" s="26">
        <f>SUM(C623:N623)</f>
        <v/>
      </c>
    </row>
    <row r="624">
      <c r="A624" s="6">
        <f>IFERROR(__xludf.DUMMYFUNCTION("""COMPUTED_VALUE"""),4619.17763028707)</f>
        <v/>
      </c>
      <c r="B624" s="26" t="n"/>
      <c r="O624" s="26">
        <f>SUM(C624:N624)</f>
        <v/>
      </c>
    </row>
    <row r="625">
      <c r="A625" s="6">
        <f>IFERROR(__xludf.DUMMYFUNCTION("""COMPUTED_VALUE"""),5329.79174918091)</f>
        <v/>
      </c>
      <c r="B625" s="26" t="n"/>
      <c r="O625" s="26">
        <f>SUM(C625:N625)</f>
        <v/>
      </c>
    </row>
    <row r="626">
      <c r="A626" s="6">
        <f>IFERROR(__xludf.DUMMYFUNCTION("""COMPUTED_VALUE"""),65934.5291895907)</f>
        <v/>
      </c>
      <c r="B626" s="26" t="n"/>
      <c r="O626" s="26">
        <f>SUM(C626:N626)</f>
        <v/>
      </c>
    </row>
    <row r="627">
      <c r="A627" s="4" t="n"/>
      <c r="B627" s="26" t="n"/>
      <c r="O627" s="26">
        <f>SUM(C627:N627)</f>
        <v/>
      </c>
    </row>
    <row r="628">
      <c r="A628" s="4" t="n"/>
      <c r="B628" s="26" t="n"/>
      <c r="O628" s="26">
        <f>SUM(C628:N628)</f>
        <v/>
      </c>
    </row>
    <row r="629">
      <c r="A629" s="4" t="n"/>
      <c r="B629" s="26" t="n"/>
      <c r="O629" s="26">
        <f>SUM(C629:N629)</f>
        <v/>
      </c>
    </row>
    <row r="630">
      <c r="A630" s="4">
        <f>IFERROR(__xludf.DUMMYFUNCTION("""COMPUTED_VALUE"""),"S6")</f>
        <v/>
      </c>
      <c r="B630" s="26" t="n"/>
      <c r="O630" s="26">
        <f>SUM(C630:N630)</f>
        <v/>
      </c>
    </row>
    <row r="631">
      <c r="A631" s="6">
        <f>IFERROR(__xludf.DUMMYFUNCTION("""COMPUTED_VALUE"""),5368.20795455637)</f>
        <v/>
      </c>
      <c r="B631" s="26" t="n"/>
      <c r="O631" s="26">
        <f>SUM(C631:N631)</f>
        <v/>
      </c>
    </row>
    <row r="632">
      <c r="A632" s="6">
        <f>IFERROR(__xludf.DUMMYFUNCTION("""COMPUTED_VALUE"""),4093.09094957133)</f>
        <v/>
      </c>
      <c r="B632" s="26" t="n"/>
      <c r="O632" s="26">
        <f>SUM(C632:N632)</f>
        <v/>
      </c>
    </row>
    <row r="633">
      <c r="A633" s="6">
        <f>IFERROR(__xludf.DUMMYFUNCTION("""COMPUTED_VALUE"""),4299.45088789483)</f>
        <v/>
      </c>
      <c r="B633" s="26" t="n"/>
      <c r="O633" s="26">
        <f>SUM(C633:N633)</f>
        <v/>
      </c>
    </row>
    <row r="634">
      <c r="A634" s="6">
        <f>IFERROR(__xludf.DUMMYFUNCTION("""COMPUTED_VALUE"""),5134.92379428471)</f>
        <v/>
      </c>
      <c r="B634" s="26" t="n"/>
      <c r="O634" s="26">
        <f>SUM(C634:N634)</f>
        <v/>
      </c>
    </row>
    <row r="635">
      <c r="A635" s="6">
        <f>IFERROR(__xludf.DUMMYFUNCTION("""COMPUTED_VALUE"""),5582.26629807222)</f>
        <v/>
      </c>
      <c r="B635" s="26" t="n"/>
      <c r="O635" s="26">
        <f>SUM(C635:N635)</f>
        <v/>
      </c>
    </row>
    <row r="636">
      <c r="A636" s="6">
        <f>IFERROR(__xludf.DUMMYFUNCTION("""COMPUTED_VALUE"""),4758.14665908187)</f>
        <v/>
      </c>
      <c r="B636" s="26" t="n"/>
      <c r="O636" s="26">
        <f>SUM(C636:N636)</f>
        <v/>
      </c>
    </row>
    <row r="637">
      <c r="A637" s="6">
        <f>IFERROR(__xludf.DUMMYFUNCTION("""COMPUTED_VALUE"""),6130.20714259204)</f>
        <v/>
      </c>
      <c r="B637" s="26" t="n"/>
      <c r="O637" s="26">
        <f>SUM(C637:N637)</f>
        <v/>
      </c>
    </row>
    <row r="638">
      <c r="A638" s="6">
        <f>IFERROR(__xludf.DUMMYFUNCTION("""COMPUTED_VALUE"""),6464.28434197887)</f>
        <v/>
      </c>
      <c r="B638" s="26" t="n"/>
      <c r="O638" s="26">
        <f>SUM(C638:N638)</f>
        <v/>
      </c>
    </row>
    <row r="639">
      <c r="A639" s="6">
        <f>IFERROR(__xludf.DUMMYFUNCTION("""COMPUTED_VALUE"""),5014.80490610523)</f>
        <v/>
      </c>
      <c r="B639" s="26" t="n"/>
      <c r="O639" s="26">
        <f>SUM(C639:N639)</f>
        <v/>
      </c>
    </row>
    <row r="640">
      <c r="A640" s="6">
        <f>IFERROR(__xludf.DUMMYFUNCTION("""COMPUTED_VALUE"""),4793.37797624733)</f>
        <v/>
      </c>
      <c r="B640" s="26" t="n"/>
      <c r="O640" s="26">
        <f>SUM(C640:N640)</f>
        <v/>
      </c>
    </row>
    <row r="641">
      <c r="A641" s="6">
        <f>IFERROR(__xludf.DUMMYFUNCTION("""COMPUTED_VALUE"""),4559.83196607311)</f>
        <v/>
      </c>
      <c r="B641" s="26" t="n"/>
      <c r="O641" s="26">
        <f>SUM(C641:N641)</f>
        <v/>
      </c>
    </row>
    <row r="642">
      <c r="A642" s="6">
        <f>IFERROR(__xludf.DUMMYFUNCTION("""COMPUTED_VALUE"""),4903.4622106896)</f>
        <v/>
      </c>
      <c r="B642" s="26" t="n"/>
      <c r="O642" s="26">
        <f>SUM(C642:N642)</f>
        <v/>
      </c>
    </row>
    <row r="643">
      <c r="A643" s="6">
        <f>IFERROR(__xludf.DUMMYFUNCTION("""COMPUTED_VALUE"""),61102.0550871475)</f>
        <v/>
      </c>
      <c r="B643" s="26" t="n"/>
      <c r="O643" s="26">
        <f>SUM(C643:N643)</f>
        <v/>
      </c>
    </row>
    <row r="644">
      <c r="A644" s="4" t="n"/>
      <c r="B644" s="26" t="n"/>
      <c r="O644" s="26">
        <f>SUM(C644:N644)</f>
        <v/>
      </c>
    </row>
    <row r="645">
      <c r="A645" s="4" t="n"/>
      <c r="B645" s="26" t="n"/>
      <c r="O645" s="26">
        <f>SUM(C645:N645)</f>
        <v/>
      </c>
    </row>
    <row r="646">
      <c r="A646" s="4" t="n"/>
      <c r="B646" s="26" t="n"/>
      <c r="O646" s="26">
        <f>SUM(C646:N646)</f>
        <v/>
      </c>
    </row>
    <row r="647">
      <c r="A647" s="4">
        <f>IFERROR(__xludf.DUMMYFUNCTION("""COMPUTED_VALUE"""),"S7")</f>
        <v/>
      </c>
      <c r="B647" s="26" t="n"/>
      <c r="O647" s="26">
        <f>SUM(C647:N647)</f>
        <v/>
      </c>
    </row>
    <row r="648">
      <c r="A648" s="6">
        <f>IFERROR(__xludf.DUMMYFUNCTION("""COMPUTED_VALUE"""),5447.3739049854)</f>
        <v/>
      </c>
      <c r="B648" s="26" t="n"/>
      <c r="O648" s="26">
        <f>SUM(C648:N648)</f>
        <v/>
      </c>
    </row>
    <row r="649">
      <c r="A649" s="6">
        <f>IFERROR(__xludf.DUMMYFUNCTION("""COMPUTED_VALUE"""),4077.49067006412)</f>
        <v/>
      </c>
      <c r="B649" s="26" t="n"/>
      <c r="O649" s="26">
        <f>SUM(C649:N649)</f>
        <v/>
      </c>
    </row>
    <row r="650">
      <c r="A650" s="6">
        <f>IFERROR(__xludf.DUMMYFUNCTION("""COMPUTED_VALUE"""),4377.74947178991)</f>
        <v/>
      </c>
      <c r="B650" s="26" t="n"/>
      <c r="O650" s="26">
        <f>SUM(C650:N650)</f>
        <v/>
      </c>
    </row>
    <row r="651">
      <c r="A651" s="6">
        <f>IFERROR(__xludf.DUMMYFUNCTION("""COMPUTED_VALUE"""),5167.9286679346)</f>
        <v/>
      </c>
      <c r="B651" s="26" t="n"/>
      <c r="O651" s="26">
        <f>SUM(C651:N651)</f>
        <v/>
      </c>
    </row>
    <row r="652">
      <c r="A652" s="6">
        <f>IFERROR(__xludf.DUMMYFUNCTION("""COMPUTED_VALUE"""),5581.91052351562)</f>
        <v/>
      </c>
      <c r="B652" s="26" t="n"/>
      <c r="O652" s="26">
        <f>SUM(C652:N652)</f>
        <v/>
      </c>
    </row>
    <row r="653">
      <c r="A653" s="6">
        <f>IFERROR(__xludf.DUMMYFUNCTION("""COMPUTED_VALUE"""),4740.61364851562)</f>
        <v/>
      </c>
      <c r="B653" s="26" t="n"/>
      <c r="O653" s="26">
        <f>SUM(C653:N653)</f>
        <v/>
      </c>
    </row>
    <row r="654">
      <c r="A654" s="6">
        <f>IFERROR(__xludf.DUMMYFUNCTION("""COMPUTED_VALUE"""),6113.63069511297)</f>
        <v/>
      </c>
      <c r="B654" s="26" t="n"/>
      <c r="O654" s="26">
        <f>SUM(C654:N654)</f>
        <v/>
      </c>
    </row>
    <row r="655">
      <c r="A655" s="6">
        <f>IFERROR(__xludf.DUMMYFUNCTION("""COMPUTED_VALUE"""),6464.13908350029)</f>
        <v/>
      </c>
      <c r="B655" s="26" t="n"/>
      <c r="O655" s="26">
        <f>SUM(C655:N655)</f>
        <v/>
      </c>
    </row>
    <row r="656">
      <c r="A656" s="6">
        <f>IFERROR(__xludf.DUMMYFUNCTION("""COMPUTED_VALUE"""),4817.20016535466)</f>
        <v/>
      </c>
      <c r="B656" s="26" t="n"/>
      <c r="O656" s="26">
        <f>SUM(C656:N656)</f>
        <v/>
      </c>
    </row>
    <row r="657">
      <c r="A657" s="6">
        <f>IFERROR(__xludf.DUMMYFUNCTION("""COMPUTED_VALUE"""),5254.98126774294)</f>
        <v/>
      </c>
      <c r="B657" s="26" t="n"/>
      <c r="O657" s="26">
        <f>SUM(C657:N657)</f>
        <v/>
      </c>
    </row>
    <row r="658">
      <c r="A658" s="6">
        <f>IFERROR(__xludf.DUMMYFUNCTION("""COMPUTED_VALUE"""),4875.20471665009)</f>
        <v/>
      </c>
      <c r="B658" s="26" t="n"/>
      <c r="O658" s="26">
        <f>SUM(C658:N658)</f>
        <v/>
      </c>
    </row>
    <row r="659">
      <c r="A659" s="6">
        <f>IFERROR(__xludf.DUMMYFUNCTION("""COMPUTED_VALUE"""),4936.2806065357)</f>
        <v/>
      </c>
      <c r="B659" s="26" t="n"/>
      <c r="O659" s="26">
        <f>SUM(C659:N659)</f>
        <v/>
      </c>
    </row>
    <row r="660">
      <c r="A660" s="6">
        <f>IFERROR(__xludf.DUMMYFUNCTION("""COMPUTED_VALUE"""),61854.5034217019)</f>
        <v/>
      </c>
      <c r="B660" s="26" t="n"/>
      <c r="O660" s="26">
        <f>SUM(C660:N660)</f>
        <v/>
      </c>
    </row>
    <row r="661">
      <c r="A661" s="4" t="n"/>
      <c r="B661" s="26" t="n"/>
      <c r="O661" s="26">
        <f>SUM(C661:N661)</f>
        <v/>
      </c>
    </row>
    <row r="662">
      <c r="A662" s="4" t="n"/>
      <c r="B662" s="26" t="n"/>
      <c r="O662" s="26">
        <f>SUM(C662:N662)</f>
        <v/>
      </c>
    </row>
    <row r="663">
      <c r="A663" s="4" t="n"/>
      <c r="B663" s="26" t="n"/>
      <c r="O663" s="26">
        <f>SUM(C663:N663)</f>
        <v/>
      </c>
    </row>
    <row r="664">
      <c r="A664" s="4">
        <f>IFERROR(__xludf.DUMMYFUNCTION("""COMPUTED_VALUE"""),"S8")</f>
        <v/>
      </c>
      <c r="B664" s="26" t="n"/>
      <c r="O664" s="26">
        <f>SUM(C664:N664)</f>
        <v/>
      </c>
    </row>
    <row r="665">
      <c r="A665" s="6">
        <f>IFERROR(__xludf.DUMMYFUNCTION("""COMPUTED_VALUE"""),5475.71726995382)</f>
        <v/>
      </c>
      <c r="B665" s="26" t="n"/>
      <c r="O665" s="26">
        <f>SUM(C665:N665)</f>
        <v/>
      </c>
    </row>
    <row r="666">
      <c r="A666" s="6">
        <f>IFERROR(__xludf.DUMMYFUNCTION("""COMPUTED_VALUE"""),6855.94947737411)</f>
        <v/>
      </c>
      <c r="B666" s="26" t="n"/>
      <c r="O666" s="26">
        <f>SUM(C666:N666)</f>
        <v/>
      </c>
    </row>
    <row r="667">
      <c r="A667" s="6">
        <f>IFERROR(__xludf.DUMMYFUNCTION("""COMPUTED_VALUE"""),5922.8610357759)</f>
        <v/>
      </c>
      <c r="B667" s="26" t="n"/>
      <c r="O667" s="26">
        <f>SUM(C667:N667)</f>
        <v/>
      </c>
    </row>
    <row r="668">
      <c r="A668" s="6">
        <f>IFERROR(__xludf.DUMMYFUNCTION("""COMPUTED_VALUE"""),6830.03065885797)</f>
        <v/>
      </c>
      <c r="B668" s="26" t="n"/>
      <c r="O668" s="26">
        <f>SUM(C668:N668)</f>
        <v/>
      </c>
    </row>
    <row r="669">
      <c r="A669" s="6">
        <f>IFERROR(__xludf.DUMMYFUNCTION("""COMPUTED_VALUE"""),6981.26079827562)</f>
        <v/>
      </c>
      <c r="B669" s="26" t="n"/>
      <c r="O669" s="26">
        <f>SUM(C669:N669)</f>
        <v/>
      </c>
    </row>
    <row r="670">
      <c r="A670" s="6">
        <f>IFERROR(__xludf.DUMMYFUNCTION("""COMPUTED_VALUE"""),5862.4505245895)</f>
        <v/>
      </c>
      <c r="B670" s="26" t="n"/>
      <c r="O670" s="26">
        <f>SUM(C670:N670)</f>
        <v/>
      </c>
    </row>
    <row r="671">
      <c r="A671" s="6">
        <f>IFERROR(__xludf.DUMMYFUNCTION("""COMPUTED_VALUE"""),7718.78335933669)</f>
        <v/>
      </c>
      <c r="B671" s="26" t="n"/>
      <c r="O671" s="26">
        <f>SUM(C671:N671)</f>
        <v/>
      </c>
    </row>
    <row r="672">
      <c r="A672" s="6">
        <f>IFERROR(__xludf.DUMMYFUNCTION("""COMPUTED_VALUE"""),7866.1739187706)</f>
        <v/>
      </c>
      <c r="B672" s="26" t="n"/>
      <c r="O672" s="26">
        <f>SUM(C672:N672)</f>
        <v/>
      </c>
    </row>
    <row r="673">
      <c r="A673" s="6">
        <f>IFERROR(__xludf.DUMMYFUNCTION("""COMPUTED_VALUE"""),6148.60337206811)</f>
        <v/>
      </c>
      <c r="B673" s="26" t="n"/>
      <c r="O673" s="26">
        <f>SUM(C673:N673)</f>
        <v/>
      </c>
    </row>
    <row r="674">
      <c r="A674" s="6">
        <f>IFERROR(__xludf.DUMMYFUNCTION("""COMPUTED_VALUE"""),5726.08608232474)</f>
        <v/>
      </c>
      <c r="B674" s="26" t="n"/>
      <c r="O674" s="26">
        <f>SUM(C674:N674)</f>
        <v/>
      </c>
    </row>
    <row r="675">
      <c r="A675" s="6">
        <f>IFERROR(__xludf.DUMMYFUNCTION("""COMPUTED_VALUE"""),5558.91622311498)</f>
        <v/>
      </c>
      <c r="B675" s="26" t="n"/>
      <c r="O675" s="26">
        <f>SUM(C675:N675)</f>
        <v/>
      </c>
    </row>
    <row r="676">
      <c r="A676" s="6">
        <f>IFERROR(__xludf.DUMMYFUNCTION("""COMPUTED_VALUE"""),5436.87171729871)</f>
        <v/>
      </c>
      <c r="B676" s="26" t="n"/>
      <c r="O676" s="26">
        <f>SUM(C676:N676)</f>
        <v/>
      </c>
    </row>
    <row r="677">
      <c r="A677" s="6">
        <f>IFERROR(__xludf.DUMMYFUNCTION("""COMPUTED_VALUE"""),76383.7044377408)</f>
        <v/>
      </c>
      <c r="B677" s="26" t="n"/>
      <c r="O677" s="26">
        <f>SUM(C677:N677)</f>
        <v/>
      </c>
    </row>
    <row r="678">
      <c r="A678" s="4" t="n"/>
      <c r="B678" s="26" t="n"/>
      <c r="O678" s="26">
        <f>SUM(C678:N678)</f>
        <v/>
      </c>
    </row>
    <row r="679">
      <c r="A679" s="4" t="n"/>
      <c r="B679" s="26" t="n"/>
      <c r="O679" s="26">
        <f>SUM(C679:N679)</f>
        <v/>
      </c>
    </row>
    <row r="680">
      <c r="A680" s="4" t="n"/>
      <c r="B680" s="26" t="n"/>
      <c r="O680" s="26">
        <f>SUM(C680:N680)</f>
        <v/>
      </c>
    </row>
    <row r="681">
      <c r="A681" s="4">
        <f>IFERROR(__xludf.DUMMYFUNCTION("""COMPUTED_VALUE"""),"S9")</f>
        <v/>
      </c>
      <c r="B681" s="26" t="n"/>
      <c r="O681" s="26">
        <f>SUM(C681:N681)</f>
        <v/>
      </c>
    </row>
    <row r="682">
      <c r="A682" s="6">
        <f>IFERROR(__xludf.DUMMYFUNCTION("""COMPUTED_VALUE"""),6428.40320501552)</f>
        <v/>
      </c>
      <c r="B682" s="26" t="n"/>
      <c r="O682" s="26">
        <f>SUM(C682:N682)</f>
        <v/>
      </c>
    </row>
    <row r="683">
      <c r="A683" s="6">
        <f>IFERROR(__xludf.DUMMYFUNCTION("""COMPUTED_VALUE"""),5047.97181178692)</f>
        <v/>
      </c>
      <c r="B683" s="26" t="n"/>
      <c r="O683" s="26">
        <f>SUM(C683:N683)</f>
        <v/>
      </c>
    </row>
    <row r="684">
      <c r="A684" s="6">
        <f>IFERROR(__xludf.DUMMYFUNCTION("""COMPUTED_VALUE"""),4957.32629774397)</f>
        <v/>
      </c>
      <c r="B684" s="26" t="n"/>
      <c r="O684" s="26">
        <f>SUM(C684:N684)</f>
        <v/>
      </c>
    </row>
    <row r="685">
      <c r="A685" s="6">
        <f>IFERROR(__xludf.DUMMYFUNCTION("""COMPUTED_VALUE"""),5443.14471752445)</f>
        <v/>
      </c>
      <c r="B685" s="26" t="n"/>
      <c r="O685" s="26">
        <f>SUM(C685:N685)</f>
        <v/>
      </c>
    </row>
    <row r="686">
      <c r="A686" s="6">
        <f>IFERROR(__xludf.DUMMYFUNCTION("""COMPUTED_VALUE"""),6057.27561190196)</f>
        <v/>
      </c>
      <c r="B686" s="26" t="n"/>
      <c r="O686" s="26">
        <f>SUM(C686:N686)</f>
        <v/>
      </c>
    </row>
    <row r="687">
      <c r="A687" s="6">
        <f>IFERROR(__xludf.DUMMYFUNCTION("""COMPUTED_VALUE"""),5203.76651563516)</f>
        <v/>
      </c>
      <c r="B687" s="26" t="n"/>
      <c r="O687" s="26">
        <f>SUM(C687:N687)</f>
        <v/>
      </c>
    </row>
    <row r="688">
      <c r="A688" s="6">
        <f>IFERROR(__xludf.DUMMYFUNCTION("""COMPUTED_VALUE"""),6547.08554152701)</f>
        <v/>
      </c>
      <c r="B688" s="26" t="n"/>
      <c r="O688" s="26">
        <f>SUM(C688:N688)</f>
        <v/>
      </c>
    </row>
    <row r="689">
      <c r="A689" s="6">
        <f>IFERROR(__xludf.DUMMYFUNCTION("""COMPUTED_VALUE"""),7519.88473870215)</f>
        <v/>
      </c>
      <c r="B689" s="26" t="n"/>
      <c r="O689" s="26">
        <f>SUM(C689:N689)</f>
        <v/>
      </c>
    </row>
    <row r="690">
      <c r="A690" s="6">
        <f>IFERROR(__xludf.DUMMYFUNCTION("""COMPUTED_VALUE"""),5318.24240271722)</f>
        <v/>
      </c>
      <c r="B690" s="26" t="n"/>
      <c r="O690" s="26">
        <f>SUM(C690:N690)</f>
        <v/>
      </c>
    </row>
    <row r="691">
      <c r="A691" s="6">
        <f>IFERROR(__xludf.DUMMYFUNCTION("""COMPUTED_VALUE"""),5491.82177259214)</f>
        <v/>
      </c>
      <c r="B691" s="26" t="n"/>
      <c r="O691" s="26">
        <f>SUM(C691:N691)</f>
        <v/>
      </c>
    </row>
    <row r="692">
      <c r="A692" s="6">
        <f>IFERROR(__xludf.DUMMYFUNCTION("""COMPUTED_VALUE"""),5410.11582663381)</f>
        <v/>
      </c>
      <c r="B692" s="26" t="n"/>
      <c r="O692" s="26">
        <f>SUM(C692:N692)</f>
        <v/>
      </c>
    </row>
    <row r="693">
      <c r="A693" s="6">
        <f>IFERROR(__xludf.DUMMYFUNCTION("""COMPUTED_VALUE"""),5266.74673487539)</f>
        <v/>
      </c>
      <c r="B693" s="26" t="n"/>
      <c r="O693" s="26">
        <f>SUM(C693:N693)</f>
        <v/>
      </c>
    </row>
    <row r="694">
      <c r="A694" s="6">
        <f>IFERROR(__xludf.DUMMYFUNCTION("""COMPUTED_VALUE"""),68691.7851766557)</f>
        <v/>
      </c>
      <c r="B694" s="26" t="n"/>
      <c r="O694" s="26">
        <f>SUM(C694:N694)</f>
        <v/>
      </c>
    </row>
    <row r="695">
      <c r="A695" s="4" t="n"/>
      <c r="B695" s="26" t="n"/>
      <c r="O695" s="26">
        <f>SUM(C695:N695)</f>
        <v/>
      </c>
    </row>
    <row r="696">
      <c r="A696" s="4" t="n"/>
      <c r="B696" s="26" t="n"/>
      <c r="O696" s="26">
        <f>SUM(C696:N696)</f>
        <v/>
      </c>
    </row>
    <row r="697">
      <c r="A697" s="4" t="n"/>
      <c r="B697" s="26" t="n"/>
      <c r="O697" s="26">
        <f>SUM(C697:N697)</f>
        <v/>
      </c>
    </row>
    <row r="698">
      <c r="A698" s="4">
        <f>IFERROR(__xludf.DUMMYFUNCTION("""COMPUTED_VALUE"""),"S10")</f>
        <v/>
      </c>
      <c r="B698" s="26" t="n"/>
      <c r="O698" s="26">
        <f>SUM(C698:N698)</f>
        <v/>
      </c>
    </row>
    <row r="699">
      <c r="A699" s="6">
        <f>IFERROR(__xludf.DUMMYFUNCTION("""COMPUTED_VALUE"""),5399.94635053734)</f>
        <v/>
      </c>
      <c r="B699" s="26" t="n"/>
      <c r="O699" s="26">
        <f>SUM(C699:N699)</f>
        <v/>
      </c>
    </row>
    <row r="700">
      <c r="A700" s="6">
        <f>IFERROR(__xludf.DUMMYFUNCTION("""COMPUTED_VALUE"""),4099.21442377042)</f>
        <v/>
      </c>
      <c r="B700" s="26" t="n"/>
      <c r="O700" s="26">
        <f>SUM(C700:N700)</f>
        <v/>
      </c>
    </row>
    <row r="701">
      <c r="A701" s="6">
        <f>IFERROR(__xludf.DUMMYFUNCTION("""COMPUTED_VALUE"""),4325.0766390575)</f>
        <v/>
      </c>
      <c r="B701" s="26" t="n"/>
      <c r="O701" s="26">
        <f>SUM(C701:N701)</f>
        <v/>
      </c>
    </row>
    <row r="702">
      <c r="A702" s="6">
        <f>IFERROR(__xludf.DUMMYFUNCTION("""COMPUTED_VALUE"""),5156.52124575779)</f>
        <v/>
      </c>
      <c r="B702" s="26" t="n"/>
      <c r="O702" s="26">
        <f>SUM(C702:N702)</f>
        <v/>
      </c>
    </row>
    <row r="703">
      <c r="A703" s="6">
        <f>IFERROR(__xludf.DUMMYFUNCTION("""COMPUTED_VALUE"""),5645.63864096719)</f>
        <v/>
      </c>
      <c r="B703" s="26" t="n"/>
      <c r="O703" s="26">
        <f>SUM(C703:N703)</f>
        <v/>
      </c>
    </row>
    <row r="704">
      <c r="A704" s="6">
        <f>IFERROR(__xludf.DUMMYFUNCTION("""COMPUTED_VALUE"""),4795.93128185274)</f>
        <v/>
      </c>
      <c r="B704" s="26" t="n"/>
      <c r="O704" s="26">
        <f>SUM(C704:N704)</f>
        <v/>
      </c>
    </row>
    <row r="705">
      <c r="A705" s="6">
        <f>IFERROR(__xludf.DUMMYFUNCTION("""COMPUTED_VALUE"""),6185.9401342765)</f>
        <v/>
      </c>
      <c r="B705" s="26" t="n"/>
      <c r="O705" s="26">
        <f>SUM(C705:N705)</f>
        <v/>
      </c>
    </row>
    <row r="706">
      <c r="A706" s="6">
        <f>IFERROR(__xludf.DUMMYFUNCTION("""COMPUTED_VALUE"""),6507.57136859621)</f>
        <v/>
      </c>
      <c r="B706" s="26" t="n"/>
      <c r="O706" s="26">
        <f>SUM(C706:N706)</f>
        <v/>
      </c>
    </row>
    <row r="707">
      <c r="A707" s="6">
        <f>IFERROR(__xludf.DUMMYFUNCTION("""COMPUTED_VALUE"""),4871.62400087403)</f>
        <v/>
      </c>
      <c r="B707" s="26" t="n"/>
      <c r="O707" s="26">
        <f>SUM(C707:N707)</f>
        <v/>
      </c>
    </row>
    <row r="708">
      <c r="A708" s="6">
        <f>IFERROR(__xludf.DUMMYFUNCTION("""COMPUTED_VALUE"""),4780.98145784582)</f>
        <v/>
      </c>
      <c r="B708" s="26" t="n"/>
      <c r="O708" s="26">
        <f>SUM(C708:N708)</f>
        <v/>
      </c>
    </row>
    <row r="709">
      <c r="A709" s="6">
        <f>IFERROR(__xludf.DUMMYFUNCTION("""COMPUTED_VALUE"""),4461.81271067974)</f>
        <v/>
      </c>
      <c r="B709" s="26" t="n"/>
      <c r="O709" s="26">
        <f>SUM(C709:N709)</f>
        <v/>
      </c>
    </row>
    <row r="710">
      <c r="A710" s="6">
        <f>IFERROR(__xludf.DUMMYFUNCTION("""COMPUTED_VALUE"""),4632.24603369731)</f>
        <v/>
      </c>
      <c r="B710" s="26" t="n"/>
      <c r="O710" s="26">
        <f>SUM(C710:N710)</f>
        <v/>
      </c>
    </row>
    <row r="711">
      <c r="A711" s="6">
        <f>IFERROR(__xludf.DUMMYFUNCTION("""COMPUTED_VALUE"""),60862.5042879126)</f>
        <v/>
      </c>
      <c r="B711" s="26" t="n"/>
      <c r="O711" s="26">
        <f>SUM(C711:N711)</f>
        <v/>
      </c>
    </row>
    <row r="712">
      <c r="A712" s="4" t="n"/>
      <c r="B712" s="26" t="n"/>
      <c r="O712" s="26">
        <f>SUM(C712:N712)</f>
        <v/>
      </c>
    </row>
    <row r="713">
      <c r="A713" s="4" t="n"/>
      <c r="B713" s="26" t="n"/>
      <c r="O713" s="26">
        <f>SUM(C713:N713)</f>
        <v/>
      </c>
    </row>
    <row r="714">
      <c r="A714" s="4" t="n"/>
      <c r="B714" s="26" t="n"/>
      <c r="O714" s="26">
        <f>SUM(C714:N714)</f>
        <v/>
      </c>
    </row>
    <row r="715">
      <c r="A715" s="4">
        <f>IFERROR(__xludf.DUMMYFUNCTION("""COMPUTED_VALUE"""),"S11")</f>
        <v/>
      </c>
      <c r="B715" s="26" t="n"/>
      <c r="O715" s="26">
        <f>SUM(C715:N715)</f>
        <v/>
      </c>
    </row>
    <row r="716">
      <c r="A716" s="6">
        <f>IFERROR(__xludf.DUMMYFUNCTION("""COMPUTED_VALUE"""),5377.51856990898)</f>
        <v/>
      </c>
      <c r="B716" s="26" t="n"/>
      <c r="O716" s="26">
        <f>SUM(C716:N716)</f>
        <v/>
      </c>
    </row>
    <row r="717">
      <c r="A717" s="6">
        <f>IFERROR(__xludf.DUMMYFUNCTION("""COMPUTED_VALUE"""),4364.95376441039)</f>
        <v/>
      </c>
      <c r="B717" s="26" t="n"/>
      <c r="O717" s="26">
        <f>SUM(C717:N717)</f>
        <v/>
      </c>
    </row>
    <row r="718">
      <c r="A718" s="6">
        <f>IFERROR(__xludf.DUMMYFUNCTION("""COMPUTED_VALUE"""),5104.92719034558)</f>
        <v/>
      </c>
      <c r="B718" s="26" t="n"/>
      <c r="O718" s="26">
        <f>SUM(C718:N718)</f>
        <v/>
      </c>
    </row>
    <row r="719">
      <c r="A719" s="6">
        <f>IFERROR(__xludf.DUMMYFUNCTION("""COMPUTED_VALUE"""),5912.29678144012)</f>
        <v/>
      </c>
      <c r="B719" s="26" t="n"/>
      <c r="O719" s="26">
        <f>SUM(C719:N719)</f>
        <v/>
      </c>
    </row>
    <row r="720">
      <c r="A720" s="6">
        <f>IFERROR(__xludf.DUMMYFUNCTION("""COMPUTED_VALUE"""),6392.94309711246)</f>
        <v/>
      </c>
      <c r="B720" s="26" t="n"/>
      <c r="O720" s="26">
        <f>SUM(C720:N720)</f>
        <v/>
      </c>
    </row>
    <row r="721">
      <c r="A721" s="6">
        <f>IFERROR(__xludf.DUMMYFUNCTION("""COMPUTED_VALUE"""),5150.96489581339)</f>
        <v/>
      </c>
      <c r="B721" s="26" t="n"/>
      <c r="O721" s="26">
        <f>SUM(C721:N721)</f>
        <v/>
      </c>
    </row>
    <row r="722">
      <c r="A722" s="6">
        <f>IFERROR(__xludf.DUMMYFUNCTION("""COMPUTED_VALUE"""),6370.03433464507)</f>
        <v/>
      </c>
      <c r="B722" s="26" t="n"/>
      <c r="O722" s="26">
        <f>SUM(C722:N722)</f>
        <v/>
      </c>
    </row>
    <row r="723">
      <c r="A723" s="6">
        <f>IFERROR(__xludf.DUMMYFUNCTION("""COMPUTED_VALUE"""),7191.39986626587)</f>
        <v/>
      </c>
      <c r="B723" s="26" t="n"/>
      <c r="O723" s="26">
        <f>SUM(C723:N723)</f>
        <v/>
      </c>
    </row>
    <row r="724">
      <c r="A724" s="6">
        <f>IFERROR(__xludf.DUMMYFUNCTION("""COMPUTED_VALUE"""),5517.87167688956)</f>
        <v/>
      </c>
      <c r="B724" s="26" t="n"/>
      <c r="O724" s="26">
        <f>SUM(C724:N724)</f>
        <v/>
      </c>
    </row>
    <row r="725">
      <c r="A725" s="6">
        <f>IFERROR(__xludf.DUMMYFUNCTION("""COMPUTED_VALUE"""),5052.2573650213)</f>
        <v/>
      </c>
      <c r="B725" s="26" t="n"/>
      <c r="O725" s="26">
        <f>SUM(C725:N725)</f>
        <v/>
      </c>
    </row>
    <row r="726">
      <c r="A726" s="6">
        <f>IFERROR(__xludf.DUMMYFUNCTION("""COMPUTED_VALUE"""),5055.81335474121)</f>
        <v/>
      </c>
      <c r="B726" s="26" t="n"/>
      <c r="O726" s="26">
        <f>SUM(C726:N726)</f>
        <v/>
      </c>
    </row>
    <row r="727">
      <c r="A727" s="6">
        <f>IFERROR(__xludf.DUMMYFUNCTION("""COMPUTED_VALUE"""),5146.23872659154)</f>
        <v/>
      </c>
      <c r="B727" s="26" t="n"/>
      <c r="O727" s="26">
        <f>SUM(C727:N727)</f>
        <v/>
      </c>
    </row>
    <row r="728">
      <c r="A728" s="6">
        <f>IFERROR(__xludf.DUMMYFUNCTION("""COMPUTED_VALUE"""),66637.2196231855)</f>
        <v/>
      </c>
      <c r="B728" s="26" t="n"/>
      <c r="O728" s="26">
        <f>SUM(C728:N728)</f>
        <v/>
      </c>
    </row>
    <row r="729">
      <c r="A729" s="4" t="n"/>
      <c r="B729" s="26" t="n"/>
      <c r="O729" s="26">
        <f>SUM(C729:N729)</f>
        <v/>
      </c>
    </row>
    <row r="730">
      <c r="A730" s="4" t="n"/>
      <c r="B730" s="26" t="n"/>
      <c r="O730" s="26">
        <f>SUM(C730:N730)</f>
        <v/>
      </c>
    </row>
    <row r="731">
      <c r="A731" s="4" t="n"/>
      <c r="B731" s="26" t="n"/>
      <c r="O731" s="26">
        <f>SUM(C731:N731)</f>
        <v/>
      </c>
    </row>
    <row r="732">
      <c r="A732" s="4">
        <f>IFERROR(__xludf.DUMMYFUNCTION("""COMPUTED_VALUE"""),"S12")</f>
        <v/>
      </c>
      <c r="B732" s="26" t="n"/>
      <c r="O732" s="26">
        <f>SUM(C732:N732)</f>
        <v/>
      </c>
    </row>
    <row r="733">
      <c r="A733" s="6">
        <f>IFERROR(__xludf.DUMMYFUNCTION("""COMPUTED_VALUE"""),6202.87118500567)</f>
        <v/>
      </c>
      <c r="B733" s="26" t="n"/>
      <c r="O733" s="26">
        <f>SUM(C733:N733)</f>
        <v/>
      </c>
    </row>
    <row r="734">
      <c r="A734" s="6">
        <f>IFERROR(__xludf.DUMMYFUNCTION("""COMPUTED_VALUE"""),5987.65277165617)</f>
        <v/>
      </c>
      <c r="B734" s="26" t="n"/>
      <c r="O734" s="26">
        <f>SUM(C734:N734)</f>
        <v/>
      </c>
    </row>
    <row r="735">
      <c r="A735" s="6">
        <f>IFERROR(__xludf.DUMMYFUNCTION("""COMPUTED_VALUE"""),5118.63884839021)</f>
        <v/>
      </c>
      <c r="B735" s="26" t="n"/>
      <c r="O735" s="26">
        <f>SUM(C735:N735)</f>
        <v/>
      </c>
    </row>
    <row r="736">
      <c r="A736" s="6">
        <f>IFERROR(__xludf.DUMMYFUNCTION("""COMPUTED_VALUE"""),5904.94733553174)</f>
        <v/>
      </c>
      <c r="B736" s="26" t="n"/>
      <c r="O736" s="26">
        <f>SUM(C736:N736)</f>
        <v/>
      </c>
    </row>
    <row r="737">
      <c r="A737" s="6">
        <f>IFERROR(__xludf.DUMMYFUNCTION("""COMPUTED_VALUE"""),6760.14691134666)</f>
        <v/>
      </c>
      <c r="B737" s="26" t="n"/>
      <c r="O737" s="26">
        <f>SUM(C737:N737)</f>
        <v/>
      </c>
    </row>
    <row r="738">
      <c r="A738" s="6">
        <f>IFERROR(__xludf.DUMMYFUNCTION("""COMPUTED_VALUE"""),5234.7687463177)</f>
        <v/>
      </c>
      <c r="B738" s="26" t="n"/>
      <c r="O738" s="26">
        <f>SUM(C738:N738)</f>
        <v/>
      </c>
    </row>
    <row r="739">
      <c r="A739" s="6">
        <f>IFERROR(__xludf.DUMMYFUNCTION("""COMPUTED_VALUE"""),6313.66378728834)</f>
        <v/>
      </c>
      <c r="B739" s="26" t="n"/>
      <c r="O739" s="26">
        <f>SUM(C739:N739)</f>
        <v/>
      </c>
    </row>
    <row r="740">
      <c r="A740" s="6">
        <f>IFERROR(__xludf.DUMMYFUNCTION("""COMPUTED_VALUE"""),6717.1309336967)</f>
        <v/>
      </c>
      <c r="B740" s="26" t="n"/>
      <c r="O740" s="26">
        <f>SUM(C740:N740)</f>
        <v/>
      </c>
    </row>
    <row r="741">
      <c r="A741" s="6">
        <f>IFERROR(__xludf.DUMMYFUNCTION("""COMPUTED_VALUE"""),5914.30734532615)</f>
        <v/>
      </c>
      <c r="B741" s="26" t="n"/>
      <c r="O741" s="26">
        <f>SUM(C741:N741)</f>
        <v/>
      </c>
    </row>
    <row r="742">
      <c r="A742" s="6">
        <f>IFERROR(__xludf.DUMMYFUNCTION("""COMPUTED_VALUE"""),5003.07955998539)</f>
        <v/>
      </c>
      <c r="B742" s="26" t="n"/>
      <c r="O742" s="26">
        <f>SUM(C742:N742)</f>
        <v/>
      </c>
    </row>
    <row r="743">
      <c r="A743" s="6">
        <f>IFERROR(__xludf.DUMMYFUNCTION("""COMPUTED_VALUE"""),4687.77132717436)</f>
        <v/>
      </c>
      <c r="B743" s="26" t="n"/>
      <c r="O743" s="26">
        <f>SUM(C743:N743)</f>
        <v/>
      </c>
    </row>
    <row r="744">
      <c r="A744" s="6">
        <f>IFERROR(__xludf.DUMMYFUNCTION("""COMPUTED_VALUE"""),4851.6692975686)</f>
        <v/>
      </c>
      <c r="B744" s="26" t="n"/>
      <c r="O744" s="26">
        <f>SUM(C744:N744)</f>
        <v/>
      </c>
    </row>
    <row r="745">
      <c r="A745" s="6">
        <f>IFERROR(__xludf.DUMMYFUNCTION("""COMPUTED_VALUE"""),68696.6480492877)</f>
        <v/>
      </c>
      <c r="B745" s="26" t="n"/>
      <c r="O745" s="26">
        <f>SUM(C745:N745)</f>
        <v/>
      </c>
    </row>
    <row r="746">
      <c r="A746" s="4" t="n"/>
      <c r="B746" s="26" t="n"/>
      <c r="O746" s="26">
        <f>SUM(C746:N746)</f>
        <v/>
      </c>
    </row>
    <row r="747">
      <c r="A747" s="4" t="n"/>
      <c r="B747" s="26" t="n"/>
      <c r="O747" s="26">
        <f>SUM(C747:N747)</f>
        <v/>
      </c>
    </row>
    <row r="748">
      <c r="A748" s="4" t="n"/>
      <c r="B748" s="26" t="n"/>
      <c r="O748" s="26">
        <f>SUM(C748:N748)</f>
        <v/>
      </c>
    </row>
    <row r="749">
      <c r="A749" s="4">
        <f>IFERROR(__xludf.DUMMYFUNCTION("""COMPUTED_VALUE"""),"S13")</f>
        <v/>
      </c>
      <c r="B749" s="26" t="n"/>
      <c r="O749" s="26">
        <f>SUM(C749:N749)</f>
        <v/>
      </c>
    </row>
    <row r="750">
      <c r="A750" s="6">
        <f>IFERROR(__xludf.DUMMYFUNCTION("""COMPUTED_VALUE"""),5705.93031757189)</f>
        <v/>
      </c>
      <c r="B750" s="26" t="n"/>
      <c r="O750" s="26">
        <f>SUM(C750:N750)</f>
        <v/>
      </c>
    </row>
    <row r="751">
      <c r="A751" s="6">
        <f>IFERROR(__xludf.DUMMYFUNCTION("""COMPUTED_VALUE"""),4461.43046171673)</f>
        <v/>
      </c>
      <c r="B751" s="26" t="n"/>
      <c r="O751" s="26">
        <f>SUM(C751:N751)</f>
        <v/>
      </c>
    </row>
    <row r="752">
      <c r="A752" s="6">
        <f>IFERROR(__xludf.DUMMYFUNCTION("""COMPUTED_VALUE"""),4778.53129330232)</f>
        <v/>
      </c>
      <c r="B752" s="26" t="n"/>
      <c r="O752" s="26">
        <f>SUM(C752:N752)</f>
        <v/>
      </c>
    </row>
    <row r="753">
      <c r="A753" s="6">
        <f>IFERROR(__xludf.DUMMYFUNCTION("""COMPUTED_VALUE"""),5522.32034338402)</f>
        <v/>
      </c>
      <c r="B753" s="26" t="n"/>
      <c r="O753" s="26">
        <f>SUM(C753:N753)</f>
        <v/>
      </c>
    </row>
    <row r="754">
      <c r="A754" s="6">
        <f>IFERROR(__xludf.DUMMYFUNCTION("""COMPUTED_VALUE"""),6028.01315462133)</f>
        <v/>
      </c>
      <c r="B754" s="26" t="n"/>
      <c r="O754" s="26">
        <f>SUM(C754:N754)</f>
        <v/>
      </c>
    </row>
    <row r="755">
      <c r="A755" s="6">
        <f>IFERROR(__xludf.DUMMYFUNCTION("""COMPUTED_VALUE"""),5066.57563295721)</f>
        <v/>
      </c>
      <c r="B755" s="26" t="n"/>
      <c r="O755" s="26">
        <f>SUM(C755:N755)</f>
        <v/>
      </c>
    </row>
    <row r="756">
      <c r="A756" s="6">
        <f>IFERROR(__xludf.DUMMYFUNCTION("""COMPUTED_VALUE"""),6354.5968581402)</f>
        <v/>
      </c>
      <c r="B756" s="26" t="n"/>
      <c r="O756" s="26">
        <f>SUM(C756:N756)</f>
        <v/>
      </c>
    </row>
    <row r="757">
      <c r="A757" s="6">
        <f>IFERROR(__xludf.DUMMYFUNCTION("""COMPUTED_VALUE"""),6854.26197034806)</f>
        <v/>
      </c>
      <c r="B757" s="26" t="n"/>
      <c r="O757" s="26">
        <f>SUM(C757:N757)</f>
        <v/>
      </c>
    </row>
    <row r="758">
      <c r="A758" s="6">
        <f>IFERROR(__xludf.DUMMYFUNCTION("""COMPUTED_VALUE"""),5227.88185778212)</f>
        <v/>
      </c>
      <c r="B758" s="26" t="n"/>
      <c r="O758" s="26">
        <f>SUM(C758:N758)</f>
        <v/>
      </c>
    </row>
    <row r="759">
      <c r="A759" s="6">
        <f>IFERROR(__xludf.DUMMYFUNCTION("""COMPUTED_VALUE"""),4854.25472737934)</f>
        <v/>
      </c>
      <c r="B759" s="26" t="n"/>
      <c r="O759" s="26">
        <f>SUM(C759:N759)</f>
        <v/>
      </c>
    </row>
    <row r="760">
      <c r="A760" s="6">
        <f>IFERROR(__xludf.DUMMYFUNCTION("""COMPUTED_VALUE"""),4566.51720983249)</f>
        <v/>
      </c>
      <c r="B760" s="26" t="n"/>
      <c r="O760" s="26">
        <f>SUM(C760:N760)</f>
        <v/>
      </c>
    </row>
    <row r="761">
      <c r="A761" s="6">
        <f>IFERROR(__xludf.DUMMYFUNCTION("""COMPUTED_VALUE"""),4739.21977091794)</f>
        <v/>
      </c>
      <c r="B761" s="26" t="n"/>
      <c r="O761" s="26">
        <f>SUM(C761:N761)</f>
        <v/>
      </c>
    </row>
    <row r="762">
      <c r="A762" s="6">
        <f>IFERROR(__xludf.DUMMYFUNCTION("""COMPUTED_VALUE"""),64159.5335979536)</f>
        <v/>
      </c>
      <c r="B762" s="26" t="n"/>
      <c r="O762" s="26">
        <f>SUM(C762:N762)</f>
        <v/>
      </c>
    </row>
    <row r="763">
      <c r="A763" s="4" t="n"/>
      <c r="B763" s="26" t="n"/>
      <c r="O763" s="26">
        <f>SUM(C763:N763)</f>
        <v/>
      </c>
    </row>
    <row r="764">
      <c r="A764" s="4" t="n"/>
      <c r="B764" s="26" t="n"/>
      <c r="O764" s="26">
        <f>SUM(C764:N764)</f>
        <v/>
      </c>
    </row>
    <row r="765">
      <c r="A765" s="4" t="n"/>
      <c r="B765" s="26" t="n"/>
      <c r="O765" s="26">
        <f>SUM(C765:N765)</f>
        <v/>
      </c>
    </row>
    <row r="766">
      <c r="A766" s="4">
        <f>IFERROR(__xludf.DUMMYFUNCTION("""COMPUTED_VALUE"""),"S14")</f>
        <v/>
      </c>
      <c r="B766" s="26" t="n"/>
      <c r="O766" s="26">
        <f>SUM(C766:N766)</f>
        <v/>
      </c>
    </row>
    <row r="767">
      <c r="A767" s="6">
        <f>IFERROR(__xludf.DUMMYFUNCTION("""COMPUTED_VALUE"""),5716.52692952015)</f>
        <v/>
      </c>
      <c r="B767" s="26" t="n"/>
      <c r="O767" s="26">
        <f>SUM(C767:N767)</f>
        <v/>
      </c>
    </row>
    <row r="768">
      <c r="A768" s="6">
        <f>IFERROR(__xludf.DUMMYFUNCTION("""COMPUTED_VALUE"""),4339.34976974752)</f>
        <v/>
      </c>
      <c r="B768" s="26" t="n"/>
      <c r="O768" s="26">
        <f>SUM(C768:N768)</f>
        <v/>
      </c>
    </row>
    <row r="769">
      <c r="A769" s="6">
        <f>IFERROR(__xludf.DUMMYFUNCTION("""COMPUTED_VALUE"""),4763.77453937014)</f>
        <v/>
      </c>
      <c r="B769" s="26" t="n"/>
      <c r="O769" s="26" t="n"/>
    </row>
    <row r="770">
      <c r="A770" s="6">
        <f>IFERROR(__xludf.DUMMYFUNCTION("""COMPUTED_VALUE"""),5695.64101867115)</f>
        <v/>
      </c>
      <c r="B770" s="26" t="n"/>
      <c r="O770" s="26" t="n"/>
    </row>
    <row r="771">
      <c r="A771" s="6">
        <f>IFERROR(__xludf.DUMMYFUNCTION("""COMPUTED_VALUE"""),5962.23933346929)</f>
        <v/>
      </c>
      <c r="B771" s="26" t="n"/>
      <c r="O771" s="26" t="n"/>
    </row>
    <row r="772">
      <c r="A772" s="6">
        <f>IFERROR(__xludf.DUMMYFUNCTION("""COMPUTED_VALUE"""),4938.48615576421)</f>
        <v/>
      </c>
      <c r="B772" s="26" t="n"/>
      <c r="O772" s="26" t="n"/>
    </row>
    <row r="773">
      <c r="A773" s="6">
        <f>IFERROR(__xludf.DUMMYFUNCTION("""COMPUTED_VALUE"""),6317.35298095164)</f>
        <v/>
      </c>
      <c r="B773" s="26" t="n"/>
      <c r="O773" s="26" t="n"/>
    </row>
    <row r="774">
      <c r="A774" s="6">
        <f>IFERROR(__xludf.DUMMYFUNCTION("""COMPUTED_VALUE"""),6939.67395575409)</f>
        <v/>
      </c>
      <c r="B774" s="26" t="n"/>
      <c r="O774" s="26" t="n"/>
    </row>
    <row r="775">
      <c r="A775" s="6">
        <f>IFERROR(__xludf.DUMMYFUNCTION("""COMPUTED_VALUE"""),5090.2659547964)</f>
        <v/>
      </c>
      <c r="B775" s="26" t="n"/>
      <c r="O775" s="26" t="n"/>
    </row>
    <row r="776">
      <c r="A776" s="6">
        <f>IFERROR(__xludf.DUMMYFUNCTION("""COMPUTED_VALUE"""),4970.35146258865)</f>
        <v/>
      </c>
      <c r="B776" s="26" t="n"/>
      <c r="O776" s="26" t="n"/>
    </row>
    <row r="777">
      <c r="A777" s="6">
        <f>IFERROR(__xludf.DUMMYFUNCTION("""COMPUTED_VALUE"""),4701.87477896048)</f>
        <v/>
      </c>
      <c r="B777" s="26" t="n"/>
      <c r="O777" s="26" t="n"/>
    </row>
    <row r="778">
      <c r="A778" s="6">
        <f>IFERROR(__xludf.DUMMYFUNCTION("""COMPUTED_VALUE"""),5462.94943564802)</f>
        <v/>
      </c>
      <c r="B778" s="26" t="n"/>
      <c r="O778" s="26" t="n"/>
    </row>
    <row r="779">
      <c r="A779" s="6">
        <f>IFERROR(__xludf.DUMMYFUNCTION("""COMPUTED_VALUE"""),64898.4863152418)</f>
        <v/>
      </c>
      <c r="B779" s="26" t="n"/>
      <c r="O779" s="26" t="n"/>
    </row>
    <row r="780">
      <c r="A780" s="4" t="n"/>
      <c r="B780" s="26" t="n"/>
      <c r="O780" s="26" t="n"/>
    </row>
    <row r="781">
      <c r="A781" s="4" t="n"/>
      <c r="B781" s="26" t="n"/>
      <c r="O781" s="26" t="n"/>
    </row>
    <row r="782">
      <c r="A782" s="4" t="n"/>
      <c r="B782" s="26" t="n"/>
      <c r="O782" s="26" t="n"/>
    </row>
    <row r="783">
      <c r="A783" s="4">
        <f>IFERROR(__xludf.DUMMYFUNCTION("""COMPUTED_VALUE"""),"S15")</f>
        <v/>
      </c>
      <c r="B783" s="26" t="n"/>
      <c r="O783" s="26" t="n"/>
    </row>
    <row r="784">
      <c r="A784" s="6">
        <f>IFERROR(__xludf.DUMMYFUNCTION("""COMPUTED_VALUE"""),7055.86666397155)</f>
        <v/>
      </c>
      <c r="B784" s="26" t="n"/>
      <c r="O784" s="26" t="n"/>
    </row>
    <row r="785">
      <c r="A785" s="6">
        <f>IFERROR(__xludf.DUMMYFUNCTION("""COMPUTED_VALUE"""),5462.61849326831)</f>
        <v/>
      </c>
      <c r="B785" s="26" t="n"/>
      <c r="O785" s="26" t="n"/>
    </row>
    <row r="786">
      <c r="A786" s="6">
        <f>IFERROR(__xludf.DUMMYFUNCTION("""COMPUTED_VALUE"""),5274.36658619044)</f>
        <v/>
      </c>
      <c r="B786" s="26" t="n"/>
      <c r="O786" s="26" t="n"/>
    </row>
    <row r="787">
      <c r="A787" s="6">
        <f>IFERROR(__xludf.DUMMYFUNCTION("""COMPUTED_VALUE"""),6502.36670083486)</f>
        <v/>
      </c>
      <c r="B787" s="26" t="n"/>
      <c r="O787" s="26" t="n"/>
    </row>
    <row r="788">
      <c r="A788" s="6">
        <f>IFERROR(__xludf.DUMMYFUNCTION("""COMPUTED_VALUE"""),6787.63630478899)</f>
        <v/>
      </c>
      <c r="B788" s="26" t="n"/>
      <c r="O788" s="26" t="n"/>
    </row>
    <row r="789">
      <c r="A789" s="6">
        <f>IFERROR(__xludf.DUMMYFUNCTION("""COMPUTED_VALUE"""),6032.15201486086)</f>
        <v/>
      </c>
      <c r="B789" s="26" t="n"/>
      <c r="O789" s="26" t="n"/>
    </row>
    <row r="790">
      <c r="A790" s="6">
        <f>IFERROR(__xludf.DUMMYFUNCTION("""COMPUTED_VALUE"""),7878.35491487051)</f>
        <v/>
      </c>
      <c r="B790" s="26" t="n"/>
      <c r="O790" s="26" t="n"/>
    </row>
    <row r="791">
      <c r="A791" s="6">
        <f>IFERROR(__xludf.DUMMYFUNCTION("""COMPUTED_VALUE"""),7991.53901865685)</f>
        <v/>
      </c>
      <c r="B791" s="26" t="n"/>
      <c r="O791" s="26" t="n"/>
    </row>
    <row r="792">
      <c r="A792" s="6">
        <f>IFERROR(__xludf.DUMMYFUNCTION("""COMPUTED_VALUE"""),6351.77650618948)</f>
        <v/>
      </c>
      <c r="B792" s="26" t="n"/>
      <c r="O792" s="26" t="n"/>
    </row>
    <row r="793">
      <c r="A793" s="6">
        <f>IFERROR(__xludf.DUMMYFUNCTION("""COMPUTED_VALUE"""),5896.67573284253)</f>
        <v/>
      </c>
      <c r="B793" s="26" t="n"/>
      <c r="O793" s="26" t="n"/>
    </row>
    <row r="794">
      <c r="A794" s="6">
        <f>IFERROR(__xludf.DUMMYFUNCTION("""COMPUTED_VALUE"""),5683.89715754083)</f>
        <v/>
      </c>
      <c r="B794" s="26" t="n"/>
      <c r="O794" s="26" t="n"/>
    </row>
    <row r="795">
      <c r="A795" s="6">
        <f>IFERROR(__xludf.DUMMYFUNCTION("""COMPUTED_VALUE"""),6096.80446377531)</f>
        <v/>
      </c>
      <c r="B795" s="26" t="n"/>
      <c r="O795" s="26" t="n"/>
    </row>
    <row r="796">
      <c r="A796" s="6">
        <f>IFERROR(__xludf.DUMMYFUNCTION("""COMPUTED_VALUE"""),77014.0545577905)</f>
        <v/>
      </c>
      <c r="B796" s="26" t="n"/>
      <c r="O796" s="26" t="n"/>
    </row>
    <row r="797">
      <c r="A797" s="4" t="n"/>
      <c r="B797" s="26" t="n"/>
      <c r="O797" s="26" t="n"/>
    </row>
    <row r="798">
      <c r="A798" s="4" t="n"/>
      <c r="B798" s="26" t="n"/>
      <c r="O798" s="26" t="n"/>
    </row>
    <row r="799">
      <c r="A799" s="4" t="n"/>
      <c r="B799" s="26" t="n"/>
      <c r="O799" s="26" t="n"/>
    </row>
    <row r="800">
      <c r="A800" s="4">
        <f>IFERROR(__xludf.DUMMYFUNCTION("""COMPUTED_VALUE"""),"S16")</f>
        <v/>
      </c>
      <c r="B800" s="26" t="n"/>
      <c r="O800" s="26" t="n"/>
    </row>
    <row r="801">
      <c r="A801" s="6">
        <f>IFERROR(__xludf.DUMMYFUNCTION("""COMPUTED_VALUE"""),5801.48592756725)</f>
        <v/>
      </c>
      <c r="B801" s="26" t="n"/>
      <c r="O801" s="26" t="n"/>
    </row>
    <row r="802">
      <c r="A802" s="6">
        <f>IFERROR(__xludf.DUMMYFUNCTION("""COMPUTED_VALUE"""),4388.42708217358)</f>
        <v/>
      </c>
      <c r="B802" s="26" t="n"/>
      <c r="O802" s="26" t="n"/>
    </row>
    <row r="803">
      <c r="A803" s="6">
        <f>IFERROR(__xludf.DUMMYFUNCTION("""COMPUTED_VALUE"""),4590.36377915261)</f>
        <v/>
      </c>
      <c r="B803" s="26" t="n"/>
      <c r="O803" s="26" t="n"/>
    </row>
    <row r="804">
      <c r="A804" s="6">
        <f>IFERROR(__xludf.DUMMYFUNCTION("""COMPUTED_VALUE"""),5525.93235206046)</f>
        <v/>
      </c>
      <c r="B804" s="26" t="n"/>
      <c r="O804" s="26" t="n"/>
    </row>
    <row r="805">
      <c r="A805" s="6">
        <f>IFERROR(__xludf.DUMMYFUNCTION("""COMPUTED_VALUE"""),5931.59244083711)</f>
        <v/>
      </c>
      <c r="B805" s="26" t="n"/>
      <c r="O805" s="26" t="n"/>
    </row>
    <row r="806">
      <c r="A806" s="6">
        <f>IFERROR(__xludf.DUMMYFUNCTION("""COMPUTED_VALUE"""),5083.94545542419)</f>
        <v/>
      </c>
      <c r="B806" s="26" t="n"/>
      <c r="O806" s="26" t="n"/>
    </row>
    <row r="807">
      <c r="A807" s="6">
        <f>IFERROR(__xludf.DUMMYFUNCTION("""COMPUTED_VALUE"""),6532.61103107445)</f>
        <v/>
      </c>
      <c r="B807" s="26" t="n"/>
      <c r="O807" s="26" t="n"/>
    </row>
    <row r="808">
      <c r="A808" s="6">
        <f>IFERROR(__xludf.DUMMYFUNCTION("""COMPUTED_VALUE"""),6944.8478086199)</f>
        <v/>
      </c>
      <c r="B808" s="26" t="n"/>
      <c r="O808" s="26" t="n"/>
    </row>
    <row r="809">
      <c r="A809" s="6">
        <f>IFERROR(__xludf.DUMMYFUNCTION("""COMPUTED_VALUE"""),5376.8130182774)</f>
        <v/>
      </c>
      <c r="B809" s="26" t="n"/>
      <c r="O809" s="26" t="n"/>
    </row>
    <row r="810">
      <c r="A810" s="6">
        <f>IFERROR(__xludf.DUMMYFUNCTION("""COMPUTED_VALUE"""),5083.36000699874)</f>
        <v/>
      </c>
      <c r="B810" s="26" t="n"/>
      <c r="O810" s="26" t="n"/>
    </row>
    <row r="811">
      <c r="A811" s="6">
        <f>IFERROR(__xludf.DUMMYFUNCTION("""COMPUTED_VALUE"""),4792.4669697918)</f>
        <v/>
      </c>
      <c r="B811" s="26" t="n"/>
      <c r="O811" s="26" t="n"/>
    </row>
    <row r="812">
      <c r="A812" s="6">
        <f>IFERROR(__xludf.DUMMYFUNCTION("""COMPUTED_VALUE"""),4839.37345653732)</f>
        <v/>
      </c>
      <c r="B812" s="26" t="n"/>
      <c r="O812" s="26" t="n"/>
    </row>
    <row r="813">
      <c r="A813" s="6">
        <f>IFERROR(__xludf.DUMMYFUNCTION("""COMPUTED_VALUE"""),64891.2193285148)</f>
        <v/>
      </c>
      <c r="B813" s="26" t="n"/>
      <c r="O813" s="26" t="n"/>
    </row>
    <row r="814">
      <c r="A814" s="4" t="n"/>
      <c r="B814" s="26" t="n"/>
      <c r="O814" s="26" t="n"/>
    </row>
    <row r="815">
      <c r="A815" s="4" t="n"/>
      <c r="B815" s="26" t="n"/>
      <c r="O815" s="26" t="n"/>
    </row>
    <row r="816">
      <c r="A816" s="4" t="n"/>
      <c r="B816" s="26" t="n"/>
      <c r="O816" s="26" t="n"/>
    </row>
    <row r="817">
      <c r="A817" s="4">
        <f>IFERROR(__xludf.DUMMYFUNCTION("""COMPUTED_VALUE"""),"T1")</f>
        <v/>
      </c>
      <c r="B817" s="26" t="n"/>
      <c r="O817" s="26" t="n"/>
    </row>
    <row r="818">
      <c r="A818" s="6">
        <f>IFERROR(__xludf.DUMMYFUNCTION("""COMPUTED_VALUE"""),6826.47665417471)</f>
        <v/>
      </c>
      <c r="B818" s="26" t="n"/>
      <c r="O818" s="26" t="n"/>
    </row>
    <row r="819">
      <c r="A819" s="6">
        <f>IFERROR(__xludf.DUMMYFUNCTION("""COMPUTED_VALUE"""),5607.58163581189)</f>
        <v/>
      </c>
      <c r="B819" s="26" t="n"/>
      <c r="O819" s="26" t="n"/>
    </row>
    <row r="820">
      <c r="A820" s="6">
        <f>IFERROR(__xludf.DUMMYFUNCTION("""COMPUTED_VALUE"""),5410.88946238404)</f>
        <v/>
      </c>
      <c r="B820" s="26" t="n"/>
      <c r="O820" s="26" t="n"/>
    </row>
    <row r="821">
      <c r="A821" s="6">
        <f>IFERROR(__xludf.DUMMYFUNCTION("""COMPUTED_VALUE"""),6417.83044723598)</f>
        <v/>
      </c>
      <c r="B821" s="26" t="n"/>
      <c r="O821" s="26" t="n"/>
    </row>
    <row r="822">
      <c r="A822" s="6">
        <f>IFERROR(__xludf.DUMMYFUNCTION("""COMPUTED_VALUE"""),6872.57167123331)</f>
        <v/>
      </c>
      <c r="B822" s="26" t="n"/>
      <c r="O822" s="26" t="n"/>
    </row>
    <row r="823">
      <c r="A823" s="6">
        <f>IFERROR(__xludf.DUMMYFUNCTION("""COMPUTED_VALUE"""),6025.9606231287)</f>
        <v/>
      </c>
      <c r="B823" s="26" t="n"/>
      <c r="O823" s="26" t="n"/>
    </row>
    <row r="824">
      <c r="A824" s="6">
        <f>IFERROR(__xludf.DUMMYFUNCTION("""COMPUTED_VALUE"""),7597.06335557207)</f>
        <v/>
      </c>
      <c r="B824" s="26" t="n"/>
      <c r="O824" s="26" t="n"/>
    </row>
    <row r="825">
      <c r="A825" s="6">
        <f>IFERROR(__xludf.DUMMYFUNCTION("""COMPUTED_VALUE"""),7704.06545667345)</f>
        <v/>
      </c>
      <c r="B825" s="26" t="n"/>
      <c r="O825" s="26" t="n"/>
    </row>
    <row r="826">
      <c r="A826" s="6">
        <f>IFERROR(__xludf.DUMMYFUNCTION("""COMPUTED_VALUE"""),6297.82088990458)</f>
        <v/>
      </c>
      <c r="B826" s="26" t="n"/>
      <c r="O826" s="26" t="n"/>
    </row>
    <row r="827">
      <c r="A827" s="6">
        <f>IFERROR(__xludf.DUMMYFUNCTION("""COMPUTED_VALUE"""),6032.39885588052)</f>
        <v/>
      </c>
      <c r="B827" s="26" t="n"/>
      <c r="O827" s="26" t="n"/>
    </row>
    <row r="828">
      <c r="A828" s="6">
        <f>IFERROR(__xludf.DUMMYFUNCTION("""COMPUTED_VALUE"""),5932.89281710323)</f>
        <v/>
      </c>
      <c r="B828" s="26" t="n"/>
      <c r="O828" s="26" t="n"/>
    </row>
    <row r="829">
      <c r="A829" s="6">
        <f>IFERROR(__xludf.DUMMYFUNCTION("""COMPUTED_VALUE"""),5878.72586083312)</f>
        <v/>
      </c>
      <c r="B829" s="26" t="n"/>
      <c r="O829" s="26" t="n"/>
    </row>
    <row r="830">
      <c r="A830" s="6">
        <f>IFERROR(__xludf.DUMMYFUNCTION("""COMPUTED_VALUE"""),76604.2777299356)</f>
        <v/>
      </c>
      <c r="B830" s="26" t="n"/>
      <c r="O830" s="26" t="n"/>
    </row>
    <row r="831">
      <c r="A831" s="4" t="n"/>
      <c r="B831" s="26" t="n"/>
      <c r="O831" s="26" t="n"/>
    </row>
    <row r="832">
      <c r="A832" s="4" t="n"/>
      <c r="B832" s="26" t="n"/>
      <c r="O832" s="26" t="n"/>
    </row>
    <row r="833">
      <c r="A833" s="4" t="n"/>
      <c r="B833" s="26" t="n"/>
      <c r="O833" s="26" t="n"/>
    </row>
    <row r="834">
      <c r="A834" s="4">
        <f>IFERROR(__xludf.DUMMYFUNCTION("""COMPUTED_VALUE"""),"T2")</f>
        <v/>
      </c>
      <c r="B834" s="26" t="n"/>
      <c r="O834" s="26" t="n"/>
    </row>
    <row r="835">
      <c r="A835" s="6">
        <f>IFERROR(__xludf.DUMMYFUNCTION("""COMPUTED_VALUE"""),6778.76011753802)</f>
        <v/>
      </c>
      <c r="B835" s="26" t="n"/>
      <c r="O835" s="26" t="n"/>
    </row>
    <row r="836">
      <c r="A836" s="6">
        <f>IFERROR(__xludf.DUMMYFUNCTION("""COMPUTED_VALUE"""),5525.11680930031)</f>
        <v/>
      </c>
      <c r="B836" s="26" t="n"/>
      <c r="O836" s="26" t="n"/>
    </row>
    <row r="837">
      <c r="A837" s="6">
        <f>IFERROR(__xludf.DUMMYFUNCTION("""COMPUTED_VALUE"""),5694.2443099716)</f>
        <v/>
      </c>
      <c r="B837" s="26" t="n"/>
      <c r="O837" s="26" t="n"/>
    </row>
    <row r="838">
      <c r="A838" s="6">
        <f>IFERROR(__xludf.DUMMYFUNCTION("""COMPUTED_VALUE"""),6598.90144739827)</f>
        <v/>
      </c>
      <c r="B838" s="26" t="n"/>
      <c r="O838" s="26" t="n"/>
    </row>
    <row r="839">
      <c r="A839" s="6">
        <f>IFERROR(__xludf.DUMMYFUNCTION("""COMPUTED_VALUE"""),6902.24018383484)</f>
        <v/>
      </c>
      <c r="B839" s="26" t="n"/>
      <c r="O839" s="26" t="n"/>
    </row>
    <row r="840">
      <c r="A840" s="6">
        <f>IFERROR(__xludf.DUMMYFUNCTION("""COMPUTED_VALUE"""),5775.3820601187)</f>
        <v/>
      </c>
      <c r="B840" s="26" t="n"/>
      <c r="O840" s="26" t="n"/>
    </row>
    <row r="841">
      <c r="A841" s="6">
        <f>IFERROR(__xludf.DUMMYFUNCTION("""COMPUTED_VALUE"""),7544.32887223929)</f>
        <v/>
      </c>
      <c r="B841" s="26" t="n"/>
      <c r="O841" s="26" t="n"/>
    </row>
    <row r="842">
      <c r="A842" s="6">
        <f>IFERROR(__xludf.DUMMYFUNCTION("""COMPUTED_VALUE"""),7835.53141266013)</f>
        <v/>
      </c>
      <c r="B842" s="26" t="n"/>
      <c r="O842" s="26" t="n"/>
    </row>
    <row r="843">
      <c r="A843" s="6">
        <f>IFERROR(__xludf.DUMMYFUNCTION("""COMPUTED_VALUE"""),5933.41095602282)</f>
        <v/>
      </c>
      <c r="B843" s="26" t="n"/>
      <c r="O843" s="26" t="n"/>
    </row>
    <row r="844">
      <c r="A844" s="6">
        <f>IFERROR(__xludf.DUMMYFUNCTION("""COMPUTED_VALUE"""),5895.89631102687)</f>
        <v/>
      </c>
      <c r="B844" s="26" t="n"/>
      <c r="O844" s="26" t="n"/>
    </row>
    <row r="845">
      <c r="A845" s="6">
        <f>IFERROR(__xludf.DUMMYFUNCTION("""COMPUTED_VALUE"""),5861.93415018269)</f>
        <v/>
      </c>
      <c r="B845" s="26" t="n"/>
      <c r="O845" s="26" t="n"/>
    </row>
    <row r="846">
      <c r="A846" s="6">
        <f>IFERROR(__xludf.DUMMYFUNCTION("""COMPUTED_VALUE"""),6105.03117755884)</f>
        <v/>
      </c>
      <c r="B846" s="26" t="n"/>
      <c r="O846" s="26" t="n"/>
    </row>
    <row r="847">
      <c r="A847" s="6">
        <f>IFERROR(__xludf.DUMMYFUNCTION("""COMPUTED_VALUE"""),76450.7778078524)</f>
        <v/>
      </c>
      <c r="B847" s="26" t="n"/>
      <c r="O847" s="26" t="n"/>
    </row>
    <row r="848">
      <c r="A848" s="4" t="n"/>
      <c r="B848" s="26" t="n"/>
      <c r="O848" s="26" t="n"/>
    </row>
    <row r="849">
      <c r="A849" s="4" t="n"/>
      <c r="B849" s="26" t="n"/>
      <c r="O849" s="26" t="n"/>
    </row>
    <row r="850">
      <c r="A850" s="4" t="n"/>
      <c r="B850" s="26" t="n"/>
      <c r="O850" s="26" t="n"/>
    </row>
    <row r="851">
      <c r="A851" s="4">
        <f>IFERROR(__xludf.DUMMYFUNCTION("""COMPUTED_VALUE"""),"T3")</f>
        <v/>
      </c>
      <c r="B851" s="26" t="n"/>
      <c r="O851" s="26" t="n"/>
    </row>
    <row r="852">
      <c r="A852" s="6">
        <f>IFERROR(__xludf.DUMMYFUNCTION("""COMPUTED_VALUE"""),6552.0646376545)</f>
        <v/>
      </c>
      <c r="B852" s="26" t="n"/>
      <c r="O852" s="26" t="n"/>
    </row>
    <row r="853">
      <c r="A853" s="6">
        <f>IFERROR(__xludf.DUMMYFUNCTION("""COMPUTED_VALUE"""),4927.49488686986)</f>
        <v/>
      </c>
      <c r="B853" s="26" t="n"/>
      <c r="O853" s="26" t="n"/>
    </row>
    <row r="854">
      <c r="A854" s="6">
        <f>IFERROR(__xludf.DUMMYFUNCTION("""COMPUTED_VALUE"""),4859.04548047899)</f>
        <v/>
      </c>
      <c r="B854" s="26" t="n"/>
      <c r="O854" s="26" t="n"/>
    </row>
    <row r="855">
      <c r="A855" s="6">
        <f>IFERROR(__xludf.DUMMYFUNCTION("""COMPUTED_VALUE"""),6114.87505582508)</f>
        <v/>
      </c>
      <c r="B855" s="26" t="n"/>
      <c r="O855" s="26" t="n"/>
    </row>
    <row r="856">
      <c r="A856" s="6">
        <f>IFERROR(__xludf.DUMMYFUNCTION("""COMPUTED_VALUE"""),6343.007052674)</f>
        <v/>
      </c>
      <c r="B856" s="26" t="n"/>
      <c r="O856" s="26" t="n"/>
    </row>
    <row r="857">
      <c r="A857" s="6">
        <f>IFERROR(__xludf.DUMMYFUNCTION("""COMPUTED_VALUE"""),5604.74055728176)</f>
        <v/>
      </c>
      <c r="B857" s="26" t="n"/>
      <c r="O857" s="26" t="n"/>
    </row>
    <row r="858">
      <c r="A858" s="6">
        <f>IFERROR(__xludf.DUMMYFUNCTION("""COMPUTED_VALUE"""),6652.49474600933)</f>
        <v/>
      </c>
      <c r="B858" s="26" t="n"/>
      <c r="O858" s="26" t="n"/>
    </row>
    <row r="859">
      <c r="A859" s="6">
        <f>IFERROR(__xludf.DUMMYFUNCTION("""COMPUTED_VALUE"""),6769.47943834923)</f>
        <v/>
      </c>
      <c r="B859" s="26" t="n"/>
      <c r="O859" s="26" t="n"/>
    </row>
    <row r="860">
      <c r="A860" s="6">
        <f>IFERROR(__xludf.DUMMYFUNCTION("""COMPUTED_VALUE"""),5340.36092859121)</f>
        <v/>
      </c>
      <c r="B860" s="26" t="n"/>
      <c r="O860" s="26" t="n"/>
    </row>
    <row r="861">
      <c r="A861" s="6">
        <f>IFERROR(__xludf.DUMMYFUNCTION("""COMPUTED_VALUE"""),5404.52652923782)</f>
        <v/>
      </c>
      <c r="B861" s="26" t="n"/>
      <c r="O861" s="26" t="n"/>
    </row>
    <row r="862">
      <c r="A862" s="6">
        <f>IFERROR(__xludf.DUMMYFUNCTION("""COMPUTED_VALUE"""),5275.84626134974)</f>
        <v/>
      </c>
      <c r="B862" s="26" t="n"/>
      <c r="O862" s="26" t="n"/>
    </row>
    <row r="863">
      <c r="A863" s="6">
        <f>IFERROR(__xludf.DUMMYFUNCTION("""COMPUTED_VALUE"""),5430.75025481789)</f>
        <v/>
      </c>
      <c r="B863" s="26" t="n"/>
      <c r="O863" s="26" t="n"/>
    </row>
    <row r="864">
      <c r="A864" s="6">
        <f>IFERROR(__xludf.DUMMYFUNCTION("""COMPUTED_VALUE"""),69274.6858291394)</f>
        <v/>
      </c>
      <c r="B864" s="26" t="n"/>
      <c r="O864" s="26" t="n"/>
    </row>
    <row r="865">
      <c r="A865" s="4" t="n"/>
      <c r="B865" s="26" t="n"/>
      <c r="O865" s="26" t="n"/>
    </row>
    <row r="866">
      <c r="A866" s="4" t="n"/>
      <c r="B866" s="26" t="n"/>
      <c r="O866" s="26" t="n"/>
    </row>
    <row r="867">
      <c r="A867" s="4" t="n"/>
      <c r="B867" s="26" t="n"/>
      <c r="O867" s="26" t="n"/>
    </row>
    <row r="868">
      <c r="A868" s="4">
        <f>IFERROR(__xludf.DUMMYFUNCTION("""COMPUTED_VALUE"""),"T4")</f>
        <v/>
      </c>
      <c r="B868" s="26" t="n"/>
      <c r="O868" s="26" t="n"/>
    </row>
    <row r="869">
      <c r="A869" s="6">
        <f>IFERROR(__xludf.DUMMYFUNCTION("""COMPUTED_VALUE"""),5573.98706685683)</f>
        <v/>
      </c>
      <c r="B869" s="26" t="n"/>
      <c r="O869" s="26" t="n"/>
    </row>
    <row r="870">
      <c r="A870" s="6">
        <f>IFERROR(__xludf.DUMMYFUNCTION("""COMPUTED_VALUE"""),4216.05410273882)</f>
        <v/>
      </c>
      <c r="B870" s="26" t="n"/>
      <c r="O870" s="26" t="n"/>
    </row>
    <row r="871">
      <c r="A871" s="6">
        <f>IFERROR(__xludf.DUMMYFUNCTION("""COMPUTED_VALUE"""),4925.97342111754)</f>
        <v/>
      </c>
      <c r="B871" s="26" t="n"/>
      <c r="O871" s="26" t="n"/>
    </row>
    <row r="872">
      <c r="A872" s="6">
        <f>IFERROR(__xludf.DUMMYFUNCTION("""COMPUTED_VALUE"""),6261.41308774058)</f>
        <v/>
      </c>
      <c r="B872" s="26" t="n"/>
      <c r="O872" s="26" t="n"/>
    </row>
    <row r="873">
      <c r="A873" s="6">
        <f>IFERROR(__xludf.DUMMYFUNCTION("""COMPUTED_VALUE"""),6562.20865136121)</f>
        <v/>
      </c>
      <c r="B873" s="26" t="n"/>
      <c r="O873" s="26" t="n"/>
    </row>
    <row r="874">
      <c r="A874" s="6">
        <f>IFERROR(__xludf.DUMMYFUNCTION("""COMPUTED_VALUE"""),5493.6324903226)</f>
        <v/>
      </c>
      <c r="B874" s="26" t="n"/>
      <c r="O874" s="26" t="n"/>
    </row>
    <row r="875">
      <c r="A875" s="6">
        <f>IFERROR(__xludf.DUMMYFUNCTION("""COMPUTED_VALUE"""),6984.50186234503)</f>
        <v/>
      </c>
      <c r="B875" s="26" t="n"/>
      <c r="O875" s="26" t="n"/>
    </row>
    <row r="876">
      <c r="A876" s="6">
        <f>IFERROR(__xludf.DUMMYFUNCTION("""COMPUTED_VALUE"""),7106.91488409446)</f>
        <v/>
      </c>
      <c r="B876" s="26" t="n"/>
      <c r="O876" s="26" t="n"/>
    </row>
    <row r="877">
      <c r="A877" s="6">
        <f>IFERROR(__xludf.DUMMYFUNCTION("""COMPUTED_VALUE"""),5468.92191266903)</f>
        <v/>
      </c>
      <c r="B877" s="26" t="n"/>
      <c r="O877" s="26" t="n"/>
    </row>
    <row r="878">
      <c r="A878" s="6">
        <f>IFERROR(__xludf.DUMMYFUNCTION("""COMPUTED_VALUE"""),5364.44197871798)</f>
        <v/>
      </c>
      <c r="B878" s="26" t="n"/>
      <c r="O878" s="26" t="n"/>
    </row>
    <row r="879">
      <c r="A879" s="6">
        <f>IFERROR(__xludf.DUMMYFUNCTION("""COMPUTED_VALUE"""),5572.92076546075)</f>
        <v/>
      </c>
      <c r="B879" s="26" t="n"/>
      <c r="O879" s="26" t="n"/>
    </row>
    <row r="880">
      <c r="A880" s="6">
        <f>IFERROR(__xludf.DUMMYFUNCTION("""COMPUTED_VALUE"""),5566.22565438204)</f>
        <v/>
      </c>
      <c r="B880" s="26" t="n"/>
      <c r="O880" s="26" t="n"/>
    </row>
    <row r="881">
      <c r="A881" s="6">
        <f>IFERROR(__xludf.DUMMYFUNCTION("""COMPUTED_VALUE"""),69097.1958778069)</f>
        <v/>
      </c>
      <c r="B881" s="26" t="n"/>
      <c r="O881" s="26" t="n"/>
    </row>
    <row r="882">
      <c r="A882" s="4" t="n"/>
      <c r="B882" s="26" t="n"/>
      <c r="O882" s="26" t="n"/>
    </row>
    <row r="883">
      <c r="A883" s="4" t="n"/>
      <c r="B883" s="26" t="n"/>
      <c r="O883" s="26" t="n"/>
    </row>
    <row r="884">
      <c r="A884" s="4" t="n"/>
      <c r="B884" s="26" t="n"/>
      <c r="O884" s="26" t="n"/>
    </row>
    <row r="885">
      <c r="A885" s="4">
        <f>IFERROR(__xludf.DUMMYFUNCTION("""COMPUTED_VALUE"""),"T5")</f>
        <v/>
      </c>
      <c r="B885" s="26" t="n"/>
      <c r="O885" s="26" t="n"/>
    </row>
    <row r="886">
      <c r="A886" s="6">
        <f>IFERROR(__xludf.DUMMYFUNCTION("""COMPUTED_VALUE"""),5971.08315860332)</f>
        <v/>
      </c>
      <c r="B886" s="26" t="n"/>
      <c r="O886" s="26" t="n"/>
    </row>
    <row r="887">
      <c r="A887" s="6">
        <f>IFERROR(__xludf.DUMMYFUNCTION("""COMPUTED_VALUE"""),4449.56462616134)</f>
        <v/>
      </c>
      <c r="B887" s="26" t="n"/>
      <c r="O887" s="26" t="n"/>
    </row>
    <row r="888">
      <c r="A888" s="6">
        <f>IFERROR(__xludf.DUMMYFUNCTION("""COMPUTED_VALUE"""),4459.72679320915)</f>
        <v/>
      </c>
      <c r="B888" s="26" t="n"/>
      <c r="O888" s="26" t="n"/>
    </row>
    <row r="889">
      <c r="A889" s="6">
        <f>IFERROR(__xludf.DUMMYFUNCTION("""COMPUTED_VALUE"""),5301.48117579112)</f>
        <v/>
      </c>
      <c r="B889" s="26" t="n"/>
      <c r="O889" s="26" t="n"/>
    </row>
    <row r="890">
      <c r="A890" s="6">
        <f>IFERROR(__xludf.DUMMYFUNCTION("""COMPUTED_VALUE"""),5701.71760545179)</f>
        <v/>
      </c>
      <c r="B890" s="26" t="n"/>
      <c r="O890" s="26" t="n"/>
    </row>
    <row r="891">
      <c r="A891" s="6">
        <f>IFERROR(__xludf.DUMMYFUNCTION("""COMPUTED_VALUE"""),4776.5464701705)</f>
        <v/>
      </c>
      <c r="B891" s="26" t="n"/>
      <c r="O891" s="26" t="n"/>
    </row>
    <row r="892">
      <c r="A892" s="6">
        <f>IFERROR(__xludf.DUMMYFUNCTION("""COMPUTED_VALUE"""),6189.97798686755)</f>
        <v/>
      </c>
      <c r="B892" s="26" t="n"/>
      <c r="O892" s="26" t="n"/>
    </row>
    <row r="893">
      <c r="A893" s="6">
        <f>IFERROR(__xludf.DUMMYFUNCTION("""COMPUTED_VALUE"""),6846.60465760583)</f>
        <v/>
      </c>
      <c r="B893" s="26" t="n"/>
      <c r="O893" s="26" t="n"/>
    </row>
    <row r="894">
      <c r="A894" s="6">
        <f>IFERROR(__xludf.DUMMYFUNCTION("""COMPUTED_VALUE"""),4937.36648502827)</f>
        <v/>
      </c>
      <c r="B894" s="26" t="n"/>
      <c r="O894" s="26" t="n"/>
    </row>
    <row r="895">
      <c r="A895" s="6">
        <f>IFERROR(__xludf.DUMMYFUNCTION("""COMPUTED_VALUE"""),4864.63939939371)</f>
        <v/>
      </c>
      <c r="B895" s="26" t="n"/>
      <c r="O895" s="26" t="n"/>
    </row>
    <row r="896">
      <c r="A896" s="6">
        <f>IFERROR(__xludf.DUMMYFUNCTION("""COMPUTED_VALUE"""),4511.31688557821)</f>
        <v/>
      </c>
      <c r="B896" s="26" t="n"/>
      <c r="O896" s="26" t="n"/>
    </row>
    <row r="897">
      <c r="A897" s="6">
        <f>IFERROR(__xludf.DUMMYFUNCTION("""COMPUTED_VALUE"""),4846.98095530487)</f>
        <v/>
      </c>
      <c r="B897" s="26" t="n"/>
      <c r="O897" s="26" t="n"/>
    </row>
    <row r="898">
      <c r="A898" s="6">
        <f>IFERROR(__xludf.DUMMYFUNCTION("""COMPUTED_VALUE"""),62857.0061991657)</f>
        <v/>
      </c>
      <c r="B898" s="26" t="n"/>
      <c r="O898" s="26" t="n"/>
    </row>
    <row r="899">
      <c r="A899" s="4" t="n"/>
      <c r="B899" s="26" t="n"/>
      <c r="O899" s="26" t="n"/>
    </row>
    <row r="900">
      <c r="A900" s="4" t="n"/>
      <c r="B900" s="26" t="n"/>
      <c r="O900" s="26" t="n"/>
    </row>
    <row r="901">
      <c r="A901" s="4" t="n"/>
      <c r="B901" s="26" t="n"/>
      <c r="O901" s="26" t="n"/>
    </row>
    <row r="902">
      <c r="A902" s="4">
        <f>IFERROR(__xludf.DUMMYFUNCTION("""COMPUTED_VALUE"""),"T6")</f>
        <v/>
      </c>
      <c r="B902" s="26" t="n"/>
      <c r="O902" s="26" t="n"/>
    </row>
    <row r="903">
      <c r="A903" s="6">
        <f>IFERROR(__xludf.DUMMYFUNCTION("""COMPUTED_VALUE"""),6745.25310919262)</f>
        <v/>
      </c>
      <c r="B903" s="26" t="n"/>
      <c r="O903" s="26" t="n"/>
    </row>
    <row r="904">
      <c r="A904" s="6">
        <f>IFERROR(__xludf.DUMMYFUNCTION("""COMPUTED_VALUE"""),5170.04482458628)</f>
        <v/>
      </c>
      <c r="B904" s="26" t="n"/>
      <c r="O904" s="26" t="n"/>
    </row>
    <row r="905">
      <c r="A905" s="6">
        <f>IFERROR(__xludf.DUMMYFUNCTION("""COMPUTED_VALUE"""),5521.6696264641)</f>
        <v/>
      </c>
      <c r="B905" s="26" t="n"/>
      <c r="O905" s="26" t="n"/>
    </row>
    <row r="906">
      <c r="A906" s="6">
        <f>IFERROR(__xludf.DUMMYFUNCTION("""COMPUTED_VALUE"""),6295.50500705544)</f>
        <v/>
      </c>
      <c r="B906" s="26" t="n"/>
      <c r="O906" s="26" t="n"/>
    </row>
    <row r="907">
      <c r="A907" s="6">
        <f>IFERROR(__xludf.DUMMYFUNCTION("""COMPUTED_VALUE"""),6709.89375522644)</f>
        <v/>
      </c>
      <c r="B907" s="26" t="n"/>
      <c r="O907" s="26" t="n"/>
    </row>
    <row r="908">
      <c r="A908" s="6">
        <f>IFERROR(__xludf.DUMMYFUNCTION("""COMPUTED_VALUE"""),5634.403187157)</f>
        <v/>
      </c>
      <c r="B908" s="26" t="n"/>
      <c r="O908" s="26" t="n"/>
    </row>
    <row r="909">
      <c r="A909" s="6">
        <f>IFERROR(__xludf.DUMMYFUNCTION("""COMPUTED_VALUE"""),7471.83679560996)</f>
        <v/>
      </c>
      <c r="B909" s="26" t="n"/>
      <c r="O909" s="26" t="n"/>
    </row>
    <row r="910">
      <c r="A910" s="6">
        <f>IFERROR(__xludf.DUMMYFUNCTION("""COMPUTED_VALUE"""),7632.88880216843)</f>
        <v/>
      </c>
      <c r="B910" s="26" t="n"/>
      <c r="O910" s="26" t="n"/>
    </row>
    <row r="911">
      <c r="A911" s="6">
        <f>IFERROR(__xludf.DUMMYFUNCTION("""COMPUTED_VALUE"""),5838.04795014866)</f>
        <v/>
      </c>
      <c r="B911" s="26" t="n"/>
      <c r="O911" s="26" t="n"/>
    </row>
    <row r="912">
      <c r="A912" s="6">
        <f>IFERROR(__xludf.DUMMYFUNCTION("""COMPUTED_VALUE"""),5459.74651331513)</f>
        <v/>
      </c>
      <c r="B912" s="26" t="n"/>
      <c r="O912" s="26" t="n"/>
    </row>
    <row r="913">
      <c r="A913" s="6">
        <f>IFERROR(__xludf.DUMMYFUNCTION("""COMPUTED_VALUE"""),5952.7736146149)</f>
        <v/>
      </c>
      <c r="B913" s="26" t="n"/>
      <c r="O913" s="26" t="n"/>
    </row>
    <row r="914">
      <c r="A914" s="6">
        <f>IFERROR(__xludf.DUMMYFUNCTION("""COMPUTED_VALUE"""),6245.92036529985)</f>
        <v/>
      </c>
      <c r="B914" s="26" t="n"/>
      <c r="O914" s="26" t="n"/>
    </row>
    <row r="915">
      <c r="A915" s="6">
        <f>IFERROR(__xludf.DUMMYFUNCTION("""COMPUTED_VALUE"""),74677.9835508388)</f>
        <v/>
      </c>
      <c r="B915" s="26" t="n"/>
      <c r="O915" s="26" t="n"/>
    </row>
    <row r="916">
      <c r="A916" s="4" t="n"/>
      <c r="B916" s="26" t="n"/>
      <c r="O916" s="26" t="n"/>
    </row>
    <row r="917">
      <c r="A917" s="4" t="n"/>
      <c r="B917" s="26" t="n"/>
      <c r="O917" s="26" t="n"/>
    </row>
    <row r="918">
      <c r="A918" s="4" t="n"/>
      <c r="B918" s="26" t="n"/>
      <c r="O918" s="26" t="n"/>
    </row>
    <row r="919">
      <c r="A919" s="4">
        <f>IFERROR(__xludf.DUMMYFUNCTION("""COMPUTED_VALUE"""),"T7")</f>
        <v/>
      </c>
      <c r="B919" s="26" t="n"/>
      <c r="O919" s="26" t="n"/>
    </row>
    <row r="920">
      <c r="A920" s="6">
        <f>IFERROR(__xludf.DUMMYFUNCTION("""COMPUTED_VALUE"""),5378.08440841107)</f>
        <v/>
      </c>
      <c r="B920" s="26" t="n"/>
      <c r="O920" s="26" t="n"/>
    </row>
    <row r="921">
      <c r="A921" s="6">
        <f>IFERROR(__xludf.DUMMYFUNCTION("""COMPUTED_VALUE"""),4092.60495955553)</f>
        <v/>
      </c>
      <c r="B921" s="26" t="n"/>
      <c r="O921" s="26" t="n"/>
    </row>
    <row r="922">
      <c r="A922" s="6">
        <f>IFERROR(__xludf.DUMMYFUNCTION("""COMPUTED_VALUE"""),4403.50063445908)</f>
        <v/>
      </c>
      <c r="B922" s="26" t="n"/>
      <c r="O922" s="26" t="n"/>
    </row>
    <row r="923">
      <c r="A923" s="6">
        <f>IFERROR(__xludf.DUMMYFUNCTION("""COMPUTED_VALUE"""),5248.14133217388)</f>
        <v/>
      </c>
      <c r="B923" s="26" t="n"/>
      <c r="O923" s="26" t="n"/>
    </row>
    <row r="924">
      <c r="A924" s="6">
        <f>IFERROR(__xludf.DUMMYFUNCTION("""COMPUTED_VALUE"""),5777.98677602362)</f>
        <v/>
      </c>
      <c r="B924" s="26" t="n"/>
      <c r="O924" s="26" t="n"/>
    </row>
    <row r="925">
      <c r="A925" s="6">
        <f>IFERROR(__xludf.DUMMYFUNCTION("""COMPUTED_VALUE"""),4802.86568603175)</f>
        <v/>
      </c>
      <c r="B925" s="26" t="n"/>
      <c r="O925" s="26" t="n"/>
    </row>
    <row r="926">
      <c r="A926" s="6">
        <f>IFERROR(__xludf.DUMMYFUNCTION("""COMPUTED_VALUE"""),6308.0320455166)</f>
        <v/>
      </c>
      <c r="B926" s="26" t="n"/>
      <c r="O926" s="26" t="n"/>
    </row>
    <row r="927">
      <c r="A927" s="6">
        <f>IFERROR(__xludf.DUMMYFUNCTION("""COMPUTED_VALUE"""),6561.89803958575)</f>
        <v/>
      </c>
      <c r="B927" s="26" t="n"/>
      <c r="O927" s="26" t="n"/>
    </row>
    <row r="928">
      <c r="A928" s="6">
        <f>IFERROR(__xludf.DUMMYFUNCTION("""COMPUTED_VALUE"""),4916.66279023364)</f>
        <v/>
      </c>
      <c r="B928" s="26" t="n"/>
      <c r="O928" s="26" t="n"/>
    </row>
    <row r="929">
      <c r="A929" s="6">
        <f>IFERROR(__xludf.DUMMYFUNCTION("""COMPUTED_VALUE"""),5295.15951182599)</f>
        <v/>
      </c>
      <c r="B929" s="26" t="n"/>
      <c r="O929" s="26" t="n"/>
    </row>
    <row r="930">
      <c r="A930" s="6">
        <f>IFERROR(__xludf.DUMMYFUNCTION("""COMPUTED_VALUE"""),4499.00266025382)</f>
        <v/>
      </c>
      <c r="B930" s="26" t="n"/>
      <c r="O930" s="26" t="n"/>
    </row>
    <row r="931">
      <c r="A931" s="6">
        <f>IFERROR(__xludf.DUMMYFUNCTION("""COMPUTED_VALUE"""),4712.43437826467)</f>
        <v/>
      </c>
      <c r="B931" s="26" t="n"/>
      <c r="O931" s="26" t="n"/>
    </row>
    <row r="932">
      <c r="A932" s="6">
        <f>IFERROR(__xludf.DUMMYFUNCTION("""COMPUTED_VALUE"""),61996.3732223354)</f>
        <v/>
      </c>
      <c r="B932" s="26" t="n"/>
      <c r="O932" s="26" t="n"/>
    </row>
    <row r="933">
      <c r="A933" s="4" t="n"/>
      <c r="B933" s="26" t="n"/>
      <c r="O933" s="26" t="n"/>
    </row>
    <row r="934">
      <c r="A934" s="4" t="n"/>
      <c r="B934" s="26" t="n"/>
      <c r="O934" s="26" t="n"/>
    </row>
    <row r="935">
      <c r="A935" s="4" t="n"/>
      <c r="B935" s="26" t="n"/>
      <c r="O935" s="26" t="n"/>
    </row>
    <row r="936">
      <c r="A936" s="4">
        <f>IFERROR(__xludf.DUMMYFUNCTION("""COMPUTED_VALUE"""),"T8")</f>
        <v/>
      </c>
      <c r="B936" s="26" t="n"/>
      <c r="O936" s="26" t="n"/>
    </row>
    <row r="937">
      <c r="A937" s="6">
        <f>IFERROR(__xludf.DUMMYFUNCTION("""COMPUTED_VALUE"""),6035.07434920353)</f>
        <v/>
      </c>
      <c r="B937" s="26" t="n"/>
      <c r="O937" s="26" t="n"/>
    </row>
    <row r="938">
      <c r="A938" s="6">
        <f>IFERROR(__xludf.DUMMYFUNCTION("""COMPUTED_VALUE"""),4795.00632939267)</f>
        <v/>
      </c>
      <c r="B938" s="26" t="n"/>
      <c r="O938" s="26" t="n"/>
    </row>
    <row r="939">
      <c r="A939" s="6">
        <f>IFERROR(__xludf.DUMMYFUNCTION("""COMPUTED_VALUE"""),4529.45559082633)</f>
        <v/>
      </c>
      <c r="B939" s="26" t="n"/>
      <c r="O939" s="26" t="n"/>
    </row>
    <row r="940">
      <c r="A940" s="6">
        <f>IFERROR(__xludf.DUMMYFUNCTION("""COMPUTED_VALUE"""),5200.48265533244)</f>
        <v/>
      </c>
      <c r="B940" s="26" t="n"/>
      <c r="O940" s="26" t="n"/>
    </row>
    <row r="941">
      <c r="A941" s="6">
        <f>IFERROR(__xludf.DUMMYFUNCTION("""COMPUTED_VALUE"""),5707.14316743999)</f>
        <v/>
      </c>
      <c r="B941" s="26" t="n"/>
      <c r="O941" s="26" t="n"/>
    </row>
    <row r="942">
      <c r="A942" s="6">
        <f>IFERROR(__xludf.DUMMYFUNCTION("""COMPUTED_VALUE"""),4881.07473316435)</f>
        <v/>
      </c>
      <c r="B942" s="26" t="n"/>
      <c r="O942" s="26" t="n"/>
    </row>
    <row r="943">
      <c r="A943" s="6">
        <f>IFERROR(__xludf.DUMMYFUNCTION("""COMPUTED_VALUE"""),6140.19551479097)</f>
        <v/>
      </c>
      <c r="B943" s="26" t="n"/>
      <c r="O943" s="26" t="n"/>
    </row>
    <row r="944">
      <c r="A944" s="6">
        <f>IFERROR(__xludf.DUMMYFUNCTION("""COMPUTED_VALUE"""),6607.26710439609)</f>
        <v/>
      </c>
      <c r="B944" s="26" t="n"/>
      <c r="O944" s="26" t="n"/>
    </row>
    <row r="945">
      <c r="A945" s="6">
        <f>IFERROR(__xludf.DUMMYFUNCTION("""COMPUTED_VALUE"""),4817.48313157053)</f>
        <v/>
      </c>
      <c r="B945" s="26" t="n"/>
      <c r="O945" s="26" t="n"/>
    </row>
    <row r="946">
      <c r="A946" s="6">
        <f>IFERROR(__xludf.DUMMYFUNCTION("""COMPUTED_VALUE"""),5288.01390659726)</f>
        <v/>
      </c>
      <c r="B946" s="26" t="n"/>
      <c r="O946" s="26" t="n"/>
    </row>
    <row r="947">
      <c r="A947" s="6">
        <f>IFERROR(__xludf.DUMMYFUNCTION("""COMPUTED_VALUE"""),4776.2952762935)</f>
        <v/>
      </c>
      <c r="B947" s="26" t="n"/>
      <c r="O947" s="26" t="n"/>
    </row>
    <row r="948">
      <c r="A948" s="6">
        <f>IFERROR(__xludf.DUMMYFUNCTION("""COMPUTED_VALUE"""),4917.65992641278)</f>
        <v/>
      </c>
      <c r="B948" s="26" t="n"/>
      <c r="O948" s="26" t="n"/>
    </row>
    <row r="949">
      <c r="A949" s="6">
        <f>IFERROR(__xludf.DUMMYFUNCTION("""COMPUTED_VALUE"""),63695.1516854205)</f>
        <v/>
      </c>
      <c r="B949" s="26" t="n"/>
      <c r="O949" s="26" t="n"/>
    </row>
    <row r="950">
      <c r="A950" s="4" t="n"/>
      <c r="B950" s="26" t="n"/>
      <c r="O950" s="26" t="n"/>
    </row>
    <row r="951">
      <c r="A951" s="4" t="n"/>
      <c r="B951" s="26" t="n"/>
      <c r="O951" s="26" t="n"/>
    </row>
    <row r="952">
      <c r="A952" s="4" t="n"/>
      <c r="B952" s="26" t="n"/>
      <c r="O952" s="26" t="n"/>
    </row>
    <row r="953">
      <c r="A953" s="4">
        <f>IFERROR(__xludf.DUMMYFUNCTION("""COMPUTED_VALUE"""),"T9")</f>
        <v/>
      </c>
      <c r="B953" s="26" t="n"/>
      <c r="O953" s="26" t="n"/>
    </row>
    <row r="954">
      <c r="A954" s="6">
        <f>IFERROR(__xludf.DUMMYFUNCTION("""COMPUTED_VALUE"""),6009.16831482929)</f>
        <v/>
      </c>
      <c r="B954" s="26" t="n"/>
      <c r="O954" s="26" t="n"/>
    </row>
    <row r="955">
      <c r="A955" s="6">
        <f>IFERROR(__xludf.DUMMYFUNCTION("""COMPUTED_VALUE"""),5448.67057981482)</f>
        <v/>
      </c>
      <c r="B955" s="26" t="n"/>
      <c r="O955" s="26" t="n"/>
    </row>
    <row r="956">
      <c r="A956" s="6">
        <f>IFERROR(__xludf.DUMMYFUNCTION("""COMPUTED_VALUE"""),5328.92059152043)</f>
        <v/>
      </c>
      <c r="B956" s="26" t="n"/>
      <c r="O956" s="26" t="n"/>
    </row>
    <row r="957">
      <c r="A957" s="6">
        <f>IFERROR(__xludf.DUMMYFUNCTION("""COMPUTED_VALUE"""),5839.69917620038)</f>
        <v/>
      </c>
      <c r="B957" s="26" t="n"/>
      <c r="O957" s="26" t="n"/>
    </row>
    <row r="958">
      <c r="A958" s="6">
        <f>IFERROR(__xludf.DUMMYFUNCTION("""COMPUTED_VALUE"""),6294.26593841934)</f>
        <v/>
      </c>
      <c r="B958" s="26" t="n"/>
      <c r="O958" s="26" t="n"/>
    </row>
    <row r="959">
      <c r="A959" s="6">
        <f>IFERROR(__xludf.DUMMYFUNCTION("""COMPUTED_VALUE"""),5244.86074040055)</f>
        <v/>
      </c>
      <c r="B959" s="26" t="n"/>
      <c r="O959" s="26" t="n"/>
    </row>
    <row r="960">
      <c r="A960" s="6">
        <f>IFERROR(__xludf.DUMMYFUNCTION("""COMPUTED_VALUE"""),6555.90506166011)</f>
        <v/>
      </c>
      <c r="B960" s="26" t="n"/>
      <c r="O960" s="26" t="n"/>
    </row>
    <row r="961">
      <c r="A961" s="6">
        <f>IFERROR(__xludf.DUMMYFUNCTION("""COMPUTED_VALUE"""),7005.57288553731)</f>
        <v/>
      </c>
      <c r="B961" s="26" t="n"/>
      <c r="O961" s="26" t="n"/>
    </row>
    <row r="962">
      <c r="A962" s="6">
        <f>IFERROR(__xludf.DUMMYFUNCTION("""COMPUTED_VALUE"""),5478.07115364889)</f>
        <v/>
      </c>
      <c r="B962" s="26" t="n"/>
      <c r="O962" s="26" t="n"/>
    </row>
    <row r="963">
      <c r="A963" s="6">
        <f>IFERROR(__xludf.DUMMYFUNCTION("""COMPUTED_VALUE"""),5485.40082144405)</f>
        <v/>
      </c>
      <c r="B963" s="26" t="n"/>
      <c r="O963" s="26" t="n"/>
    </row>
    <row r="964">
      <c r="A964" s="6">
        <f>IFERROR(__xludf.DUMMYFUNCTION("""COMPUTED_VALUE"""),4658.45353464394)</f>
        <v/>
      </c>
      <c r="B964" s="26" t="n"/>
      <c r="O964" s="26" t="n"/>
    </row>
    <row r="965">
      <c r="A965" s="6">
        <f>IFERROR(__xludf.DUMMYFUNCTION("""COMPUTED_VALUE"""),4785.08591174328)</f>
        <v/>
      </c>
      <c r="B965" s="26" t="n"/>
      <c r="O965" s="26" t="n"/>
    </row>
    <row r="966">
      <c r="A966" s="6">
        <f>IFERROR(__xludf.DUMMYFUNCTION("""COMPUTED_VALUE"""),68134.0747098624)</f>
        <v/>
      </c>
      <c r="B966" s="26" t="n"/>
      <c r="O966" s="26" t="n"/>
    </row>
    <row r="967">
      <c r="A967" s="4" t="n"/>
      <c r="B967" s="26" t="n"/>
      <c r="O967" s="26" t="n"/>
    </row>
    <row r="968">
      <c r="A968" s="4" t="n"/>
      <c r="B968" s="26" t="n"/>
      <c r="O968" s="26" t="n"/>
    </row>
    <row r="969">
      <c r="A969" s="4" t="n"/>
      <c r="B969" s="26" t="n"/>
      <c r="O969" s="26" t="n"/>
    </row>
    <row r="970">
      <c r="A970" s="4">
        <f>IFERROR(__xludf.DUMMYFUNCTION("""COMPUTED_VALUE"""),"T10")</f>
        <v/>
      </c>
      <c r="B970" s="26" t="n"/>
      <c r="O970" s="26" t="n"/>
    </row>
    <row r="971">
      <c r="A971" s="6">
        <f>IFERROR(__xludf.DUMMYFUNCTION("""COMPUTED_VALUE"""),6609.66441355505)</f>
        <v/>
      </c>
      <c r="B971" s="26" t="n"/>
      <c r="O971" s="26" t="n"/>
    </row>
    <row r="972">
      <c r="A972" s="6">
        <f>IFERROR(__xludf.DUMMYFUNCTION("""COMPUTED_VALUE"""),4975.91202088973)</f>
        <v/>
      </c>
      <c r="B972" s="26" t="n"/>
      <c r="O972" s="26" t="n"/>
    </row>
    <row r="973">
      <c r="A973" s="6">
        <f>IFERROR(__xludf.DUMMYFUNCTION("""COMPUTED_VALUE"""),5280.41707904287)</f>
        <v/>
      </c>
      <c r="B973" s="26" t="n"/>
      <c r="O973" s="26" t="n"/>
    </row>
    <row r="974">
      <c r="A974" s="6">
        <f>IFERROR(__xludf.DUMMYFUNCTION("""COMPUTED_VALUE"""),5885.05906016032)</f>
        <v/>
      </c>
      <c r="B974" s="26" t="n"/>
      <c r="O974" s="26" t="n"/>
    </row>
    <row r="975">
      <c r="A975" s="6">
        <f>IFERROR(__xludf.DUMMYFUNCTION("""COMPUTED_VALUE"""),6634.31889662844)</f>
        <v/>
      </c>
      <c r="B975" s="26" t="n"/>
      <c r="O975" s="26" t="n"/>
    </row>
    <row r="976">
      <c r="A976" s="6">
        <f>IFERROR(__xludf.DUMMYFUNCTION("""COMPUTED_VALUE"""),5796.12143262958)</f>
        <v/>
      </c>
      <c r="B976" s="26" t="n"/>
      <c r="O976" s="26" t="n"/>
    </row>
    <row r="977">
      <c r="A977" s="6">
        <f>IFERROR(__xludf.DUMMYFUNCTION("""COMPUTED_VALUE"""),7141.1268014694)</f>
        <v/>
      </c>
      <c r="B977" s="26" t="n"/>
      <c r="O977" s="26" t="n"/>
    </row>
    <row r="978">
      <c r="A978" s="6">
        <f>IFERROR(__xludf.DUMMYFUNCTION("""COMPUTED_VALUE"""),7240.38244863071)</f>
        <v/>
      </c>
      <c r="B978" s="26" t="n"/>
      <c r="O978" s="26" t="n"/>
    </row>
    <row r="979">
      <c r="A979" s="6">
        <f>IFERROR(__xludf.DUMMYFUNCTION("""COMPUTED_VALUE"""),5573.66122728373)</f>
        <v/>
      </c>
      <c r="B979" s="26" t="n"/>
      <c r="O979" s="26" t="n"/>
    </row>
    <row r="980">
      <c r="A980" s="6">
        <f>IFERROR(__xludf.DUMMYFUNCTION("""COMPUTED_VALUE"""),6779.42962991609)</f>
        <v/>
      </c>
      <c r="B980" s="26" t="n"/>
      <c r="O980" s="26" t="n"/>
    </row>
    <row r="981">
      <c r="A981" s="6">
        <f>IFERROR(__xludf.DUMMYFUNCTION("""COMPUTED_VALUE"""),5920.2021225136)</f>
        <v/>
      </c>
      <c r="B981" s="26" t="n"/>
      <c r="O981" s="26" t="n"/>
    </row>
    <row r="982">
      <c r="A982" s="6">
        <f>IFERROR(__xludf.DUMMYFUNCTION("""COMPUTED_VALUE"""),5652.93145496163)</f>
        <v/>
      </c>
      <c r="B982" s="26" t="n"/>
      <c r="O982" s="26" t="n"/>
    </row>
    <row r="983">
      <c r="A983" s="6">
        <f>IFERROR(__xludf.DUMMYFUNCTION("""COMPUTED_VALUE"""),73489.2265876812)</f>
        <v/>
      </c>
      <c r="B983" s="26" t="n"/>
      <c r="O983" s="26" t="n"/>
    </row>
    <row r="984">
      <c r="A984" s="4" t="n"/>
      <c r="B984" s="26" t="n"/>
      <c r="O984" s="26" t="n"/>
    </row>
    <row r="985">
      <c r="A985" s="4" t="n"/>
      <c r="B985" s="26" t="n"/>
      <c r="O985" s="26" t="n"/>
    </row>
    <row r="986">
      <c r="A986" s="4" t="n"/>
      <c r="B986" s="26" t="n"/>
      <c r="O986" s="26" t="n"/>
    </row>
    <row r="987">
      <c r="A987" s="4">
        <f>IFERROR(__xludf.DUMMYFUNCTION("""COMPUTED_VALUE"""),"T11")</f>
        <v/>
      </c>
      <c r="B987" s="26" t="n"/>
      <c r="O987" s="26" t="n"/>
    </row>
    <row r="988">
      <c r="A988" s="6">
        <f>IFERROR(__xludf.DUMMYFUNCTION("""COMPUTED_VALUE"""),5706.63081867112)</f>
        <v/>
      </c>
      <c r="B988" s="26" t="n"/>
      <c r="O988" s="26" t="n"/>
    </row>
    <row r="989">
      <c r="A989" s="6">
        <f>IFERROR(__xludf.DUMMYFUNCTION("""COMPUTED_VALUE"""),4876.40965703933)</f>
        <v/>
      </c>
      <c r="B989" s="26" t="n"/>
      <c r="O989" s="26" t="n"/>
    </row>
    <row r="990">
      <c r="A990" s="6">
        <f>IFERROR(__xludf.DUMMYFUNCTION("""COMPUTED_VALUE"""),4585.05469204386)</f>
        <v/>
      </c>
      <c r="B990" s="26" t="n"/>
      <c r="O990" s="26" t="n"/>
    </row>
    <row r="991">
      <c r="A991" s="6">
        <f>IFERROR(__xludf.DUMMYFUNCTION("""COMPUTED_VALUE"""),5351.25901801719)</f>
        <v/>
      </c>
      <c r="B991" s="26" t="n"/>
      <c r="O991" s="26" t="n"/>
    </row>
    <row r="992">
      <c r="A992" s="6">
        <f>IFERROR(__xludf.DUMMYFUNCTION("""COMPUTED_VALUE"""),5680.50454751432)</f>
        <v/>
      </c>
      <c r="B992" s="26" t="n"/>
      <c r="O992" s="26" t="n"/>
    </row>
    <row r="993">
      <c r="A993" s="6">
        <f>IFERROR(__xludf.DUMMYFUNCTION("""COMPUTED_VALUE"""),4833.83410469484)</f>
        <v/>
      </c>
      <c r="B993" s="26" t="n"/>
      <c r="O993" s="26" t="n"/>
    </row>
    <row r="994">
      <c r="A994" s="6">
        <f>IFERROR(__xludf.DUMMYFUNCTION("""COMPUTED_VALUE"""),6194.01583945861)</f>
        <v/>
      </c>
      <c r="B994" s="26" t="n"/>
      <c r="O994" s="26" t="n"/>
    </row>
    <row r="995">
      <c r="A995" s="6">
        <f>IFERROR(__xludf.DUMMYFUNCTION("""COMPUTED_VALUE"""),6978.40251717227)</f>
        <v/>
      </c>
      <c r="B995" s="26" t="n"/>
      <c r="O995" s="26" t="n"/>
    </row>
    <row r="996">
      <c r="A996" s="6">
        <f>IFERROR(__xludf.DUMMYFUNCTION("""COMPUTED_VALUE"""),5229.34045877214)</f>
        <v/>
      </c>
      <c r="B996" s="26" t="n"/>
      <c r="O996" s="26" t="n"/>
    </row>
    <row r="997">
      <c r="A997" s="6">
        <f>IFERROR(__xludf.DUMMYFUNCTION("""COMPUTED_VALUE"""),5145.78798290093)</f>
        <v/>
      </c>
      <c r="B997" s="26" t="n"/>
      <c r="O997" s="26" t="n"/>
    </row>
    <row r="998">
      <c r="A998" s="6">
        <f>IFERROR(__xludf.DUMMYFUNCTION("""COMPUTED_VALUE"""),4887.76621557537)</f>
        <v/>
      </c>
      <c r="B998" s="26" t="n"/>
      <c r="O998" s="26" t="n"/>
    </row>
    <row r="999">
      <c r="A999" s="6">
        <f>IFERROR(__xludf.DUMMYFUNCTION("""COMPUTED_VALUE"""),4938.97861481955)</f>
        <v/>
      </c>
      <c r="B999" s="26" t="n"/>
      <c r="O999" s="26" t="n"/>
    </row>
    <row r="1000">
      <c r="A1000" s="6">
        <f>IFERROR(__xludf.DUMMYFUNCTION("""COMPUTED_VALUE"""),64407.9844666795)</f>
        <v/>
      </c>
      <c r="B1000" s="26" t="n"/>
      <c r="O1000" s="26" t="n"/>
    </row>
    <row r="1001">
      <c r="A1001" s="4" t="n"/>
      <c r="B1001" s="26" t="n"/>
      <c r="O1001" s="26" t="n"/>
    </row>
    <row r="1002">
      <c r="A1002" s="4" t="n"/>
      <c r="B1002" s="26" t="n"/>
      <c r="O1002" s="26" t="n"/>
    </row>
    <row r="1003">
      <c r="A1003" s="4" t="n"/>
      <c r="B1003" s="26" t="n"/>
      <c r="O1003" s="26" t="n"/>
    </row>
    <row r="1004">
      <c r="A1004" s="4">
        <f>IFERROR(__xludf.DUMMYFUNCTION("""COMPUTED_VALUE"""),"T12")</f>
        <v/>
      </c>
      <c r="B1004" s="26" t="n"/>
      <c r="O1004" s="26" t="n"/>
    </row>
    <row r="1005">
      <c r="A1005" s="6">
        <f>IFERROR(__xludf.DUMMYFUNCTION("""COMPUTED_VALUE"""),5470.8304828903)</f>
        <v/>
      </c>
      <c r="B1005" s="26" t="n"/>
      <c r="O1005" s="26" t="n"/>
    </row>
    <row r="1006">
      <c r="A1006" s="6">
        <f>IFERROR(__xludf.DUMMYFUNCTION("""COMPUTED_VALUE"""),4212.20710244414)</f>
        <v/>
      </c>
      <c r="B1006" s="26" t="n"/>
      <c r="O1006" s="26" t="n"/>
    </row>
    <row r="1007">
      <c r="A1007" s="6">
        <f>IFERROR(__xludf.DUMMYFUNCTION("""COMPUTED_VALUE"""),4410.3982673169)</f>
        <v/>
      </c>
      <c r="B1007" s="26" t="n"/>
      <c r="O1007" s="26" t="n"/>
    </row>
    <row r="1008">
      <c r="A1008" s="6">
        <f>IFERROR(__xludf.DUMMYFUNCTION("""COMPUTED_VALUE"""),5218.69845991517)</f>
        <v/>
      </c>
      <c r="B1008" s="26" t="n"/>
      <c r="O1008" s="26" t="n"/>
    </row>
    <row r="1009">
      <c r="A1009" s="6">
        <f>IFERROR(__xludf.DUMMYFUNCTION("""COMPUTED_VALUE"""),5695.22471979378)</f>
        <v/>
      </c>
      <c r="B1009" s="26" t="n"/>
      <c r="O1009" s="26" t="n"/>
    </row>
    <row r="1010">
      <c r="A1010" s="6">
        <f>IFERROR(__xludf.DUMMYFUNCTION("""COMPUTED_VALUE"""),4826.82090046833)</f>
        <v/>
      </c>
      <c r="B1010" s="26" t="n"/>
      <c r="O1010" s="26" t="n"/>
    </row>
    <row r="1011">
      <c r="A1011" s="6">
        <f>IFERROR(__xludf.DUMMYFUNCTION("""COMPUTED_VALUE"""),6263.61566701498)</f>
        <v/>
      </c>
      <c r="B1011" s="26" t="n"/>
      <c r="O1011" s="26" t="n"/>
    </row>
    <row r="1012">
      <c r="A1012" s="6">
        <f>IFERROR(__xludf.DUMMYFUNCTION("""COMPUTED_VALUE"""),6898.60719293807)</f>
        <v/>
      </c>
      <c r="B1012" s="26" t="n"/>
      <c r="O1012" s="26" t="n"/>
    </row>
    <row r="1013">
      <c r="A1013" s="6">
        <f>IFERROR(__xludf.DUMMYFUNCTION("""COMPUTED_VALUE"""),4994.47849959843)</f>
        <v/>
      </c>
      <c r="B1013" s="26" t="n"/>
      <c r="O1013" s="26" t="n"/>
    </row>
    <row r="1014">
      <c r="A1014" s="6">
        <f>IFERROR(__xludf.DUMMYFUNCTION("""COMPUTED_VALUE"""),4964.7023143951)</f>
        <v/>
      </c>
      <c r="B1014" s="26" t="n"/>
      <c r="O1014" s="26" t="n"/>
    </row>
    <row r="1015">
      <c r="A1015" s="6">
        <f>IFERROR(__xludf.DUMMYFUNCTION("""COMPUTED_VALUE"""),4604.34121423358)</f>
        <v/>
      </c>
      <c r="B1015" s="26" t="n"/>
      <c r="O1015" s="26" t="n"/>
    </row>
    <row r="1016">
      <c r="A1016" s="6">
        <f>IFERROR(__xludf.DUMMYFUNCTION("""COMPUTED_VALUE"""),4805.62623816727)</f>
        <v/>
      </c>
      <c r="B1016" s="26" t="n"/>
      <c r="O1016" s="26" t="n"/>
    </row>
    <row r="1017">
      <c r="A1017" s="6">
        <f>IFERROR(__xludf.DUMMYFUNCTION("""COMPUTED_VALUE"""),62365.5510591761)</f>
        <v/>
      </c>
      <c r="B1017" s="26" t="n"/>
      <c r="O1017" s="26" t="n"/>
    </row>
    <row r="1018">
      <c r="A1018" s="4" t="n"/>
      <c r="B1018" s="26" t="n"/>
      <c r="O1018" s="26" t="n"/>
    </row>
    <row r="1019">
      <c r="A1019" s="4" t="n"/>
      <c r="B1019" s="26" t="n"/>
      <c r="O1019" s="26" t="n"/>
    </row>
    <row r="1020">
      <c r="A1020" s="4" t="n"/>
      <c r="B1020" s="26" t="n"/>
      <c r="O1020" s="26" t="n"/>
    </row>
    <row r="1021">
      <c r="A1021" s="4">
        <f>IFERROR(__xludf.DUMMYFUNCTION("""COMPUTED_VALUE"""),"T13")</f>
        <v/>
      </c>
      <c r="B1021" s="26" t="n"/>
      <c r="O1021" s="26" t="n"/>
    </row>
    <row r="1022">
      <c r="A1022" s="6">
        <f>IFERROR(__xludf.DUMMYFUNCTION("""COMPUTED_VALUE"""),5694.20202861944)</f>
        <v/>
      </c>
      <c r="B1022" s="26" t="n"/>
      <c r="O1022" s="26" t="n"/>
    </row>
    <row r="1023">
      <c r="A1023" s="6">
        <f>IFERROR(__xludf.DUMMYFUNCTION("""COMPUTED_VALUE"""),4543.61137338867)</f>
        <v/>
      </c>
      <c r="B1023" s="26" t="n"/>
      <c r="O1023" s="26" t="n"/>
    </row>
    <row r="1024">
      <c r="A1024" s="6">
        <f>IFERROR(__xludf.DUMMYFUNCTION("""COMPUTED_VALUE"""),4891.40164915747)</f>
        <v/>
      </c>
      <c r="B1024" s="26" t="n"/>
      <c r="O1024" s="26" t="n"/>
    </row>
    <row r="1025">
      <c r="A1025" s="6">
        <f>IFERROR(__xludf.DUMMYFUNCTION("""COMPUTED_VALUE"""),5534.94515844135)</f>
        <v/>
      </c>
      <c r="B1025" s="26" t="n"/>
      <c r="O1025" s="26" t="n"/>
    </row>
    <row r="1026">
      <c r="A1026" s="6">
        <f>IFERROR(__xludf.DUMMYFUNCTION("""COMPUTED_VALUE"""),6092.14151844908)</f>
        <v/>
      </c>
      <c r="B1026" s="26" t="n"/>
      <c r="O1026" s="26" t="n"/>
    </row>
    <row r="1027">
      <c r="A1027" s="6">
        <f>IFERROR(__xludf.DUMMYFUNCTION("""COMPUTED_VALUE"""),5042.0688181882)</f>
        <v/>
      </c>
      <c r="B1027" s="26" t="n"/>
      <c r="O1027" s="26" t="n"/>
    </row>
    <row r="1028">
      <c r="A1028" s="6">
        <f>IFERROR(__xludf.DUMMYFUNCTION("""COMPUTED_VALUE"""),6302.63607085002)</f>
        <v/>
      </c>
      <c r="B1028" s="26" t="n"/>
      <c r="O1028" s="26" t="n"/>
    </row>
    <row r="1029">
      <c r="A1029" s="6">
        <f>IFERROR(__xludf.DUMMYFUNCTION("""COMPUTED_VALUE"""),7071.90759075627)</f>
        <v/>
      </c>
      <c r="B1029" s="26" t="n"/>
      <c r="O1029" s="26" t="n"/>
    </row>
    <row r="1030">
      <c r="A1030" s="6">
        <f>IFERROR(__xludf.DUMMYFUNCTION("""COMPUTED_VALUE"""),5485.14530904569)</f>
        <v/>
      </c>
      <c r="B1030" s="26" t="n"/>
      <c r="O1030" s="26" t="n"/>
    </row>
    <row r="1031">
      <c r="A1031" s="6">
        <f>IFERROR(__xludf.DUMMYFUNCTION("""COMPUTED_VALUE"""),5204.73473715605)</f>
        <v/>
      </c>
      <c r="B1031" s="26" t="n"/>
      <c r="O1031" s="26" t="n"/>
    </row>
    <row r="1032">
      <c r="A1032" s="6">
        <f>IFERROR(__xludf.DUMMYFUNCTION("""COMPUTED_VALUE"""),4990.88816368242)</f>
        <v/>
      </c>
      <c r="B1032" s="26" t="n"/>
      <c r="O1032" s="26" t="n"/>
    </row>
    <row r="1033">
      <c r="A1033" s="6">
        <f>IFERROR(__xludf.DUMMYFUNCTION("""COMPUTED_VALUE"""),5788.25846724918)</f>
        <v/>
      </c>
      <c r="B1033" s="26" t="n"/>
      <c r="O1033" s="26" t="n"/>
    </row>
    <row r="1034">
      <c r="A1034" s="6">
        <f>IFERROR(__xludf.DUMMYFUNCTION("""COMPUTED_VALUE"""),66641.9408849839)</f>
        <v/>
      </c>
      <c r="B1034" s="26" t="n"/>
      <c r="O1034" s="26" t="n"/>
    </row>
    <row r="1035">
      <c r="A1035" s="4" t="n"/>
      <c r="B1035" s="26" t="n"/>
      <c r="O1035" s="26" t="n"/>
    </row>
    <row r="1036">
      <c r="A1036" s="4" t="n"/>
      <c r="B1036" s="26" t="n"/>
      <c r="O1036" s="26" t="n"/>
    </row>
    <row r="1037">
      <c r="A1037" s="4" t="n"/>
      <c r="B1037" s="26" t="n"/>
      <c r="O1037" s="26" t="n"/>
    </row>
    <row r="1038">
      <c r="A1038" s="4">
        <f>IFERROR(__xludf.DUMMYFUNCTION("""COMPUTED_VALUE"""),"T14")</f>
        <v/>
      </c>
      <c r="B1038" s="26" t="n"/>
      <c r="O1038" s="26" t="n"/>
    </row>
    <row r="1039">
      <c r="A1039" s="6">
        <f>IFERROR(__xludf.DUMMYFUNCTION("""COMPUTED_VALUE"""),6372.3337534446)</f>
        <v/>
      </c>
      <c r="B1039" s="26" t="n"/>
      <c r="O1039" s="26" t="n"/>
    </row>
    <row r="1040">
      <c r="A1040" s="6">
        <f>IFERROR(__xludf.DUMMYFUNCTION("""COMPUTED_VALUE"""),4561.15561295909)</f>
        <v/>
      </c>
      <c r="B1040" s="26" t="n"/>
      <c r="O1040" s="26" t="n"/>
    </row>
    <row r="1041">
      <c r="A1041" s="6">
        <f>IFERROR(__xludf.DUMMYFUNCTION("""COMPUTED_VALUE"""),4851.77161310166)</f>
        <v/>
      </c>
      <c r="B1041" s="26" t="n"/>
      <c r="O1041" s="26" t="n"/>
    </row>
    <row r="1042">
      <c r="A1042" s="6">
        <f>IFERROR(__xludf.DUMMYFUNCTION("""COMPUTED_VALUE"""),5513.39279559347)</f>
        <v/>
      </c>
      <c r="B1042" s="26" t="n"/>
      <c r="O1042" s="26" t="n"/>
    </row>
    <row r="1043">
      <c r="A1043" s="6">
        <f>IFERROR(__xludf.DUMMYFUNCTION("""COMPUTED_VALUE"""),6276.29932331087)</f>
        <v/>
      </c>
      <c r="B1043" s="26" t="n"/>
      <c r="O1043" s="26" t="n"/>
    </row>
    <row r="1044">
      <c r="A1044" s="6">
        <f>IFERROR(__xludf.DUMMYFUNCTION("""COMPUTED_VALUE"""),5236.58673541423)</f>
        <v/>
      </c>
      <c r="B1044" s="26" t="n"/>
      <c r="O1044" s="26" t="n"/>
    </row>
    <row r="1045">
      <c r="A1045" s="6">
        <f>IFERROR(__xludf.DUMMYFUNCTION("""COMPUTED_VALUE"""),6525.62116722719)</f>
        <v/>
      </c>
      <c r="B1045" s="26" t="n"/>
      <c r="O1045" s="26" t="n"/>
    </row>
    <row r="1046">
      <c r="A1046" s="6">
        <f>IFERROR(__xludf.DUMMYFUNCTION("""COMPUTED_VALUE"""),6963.3510877629)</f>
        <v/>
      </c>
      <c r="B1046" s="26" t="n"/>
      <c r="O1046" s="26" t="n"/>
    </row>
    <row r="1047">
      <c r="A1047" s="6">
        <f>IFERROR(__xludf.DUMMYFUNCTION("""COMPUTED_VALUE"""),5511.17820090591)</f>
        <v/>
      </c>
      <c r="B1047" s="26" t="n"/>
      <c r="O1047" s="26" t="n"/>
    </row>
    <row r="1048">
      <c r="A1048" s="6">
        <f>IFERROR(__xludf.DUMMYFUNCTION("""COMPUTED_VALUE"""),5164.61307131166)</f>
        <v/>
      </c>
      <c r="B1048" s="26" t="n"/>
      <c r="O1048" s="26" t="n"/>
    </row>
    <row r="1049">
      <c r="A1049" s="6">
        <f>IFERROR(__xludf.DUMMYFUNCTION("""COMPUTED_VALUE"""),4936.4879714863)</f>
        <v/>
      </c>
      <c r="B1049" s="26" t="n"/>
      <c r="O1049" s="26" t="n"/>
    </row>
    <row r="1050">
      <c r="A1050" s="6">
        <f>IFERROR(__xludf.DUMMYFUNCTION("""COMPUTED_VALUE"""),5178.11052830452)</f>
        <v/>
      </c>
      <c r="B1050" s="26" t="n"/>
      <c r="O1050" s="26" t="n"/>
    </row>
    <row r="1051">
      <c r="A1051" s="6">
        <f>IFERROR(__xludf.DUMMYFUNCTION("""COMPUTED_VALUE"""),67090.9018608224)</f>
        <v/>
      </c>
      <c r="B1051" s="26" t="n"/>
      <c r="O1051" s="26" t="n"/>
    </row>
    <row r="1052">
      <c r="A1052" s="4" t="n"/>
      <c r="B1052" s="26" t="n"/>
      <c r="O1052" s="26" t="n"/>
    </row>
    <row r="1053">
      <c r="A1053" s="4" t="n"/>
      <c r="B1053" s="26" t="n"/>
      <c r="O1053" s="26" t="n"/>
    </row>
    <row r="1054">
      <c r="A1054" s="4" t="n"/>
      <c r="B1054" s="26" t="n"/>
      <c r="O1054" s="26" t="n"/>
    </row>
    <row r="1055">
      <c r="A1055" s="4">
        <f>IFERROR(__xludf.DUMMYFUNCTION("""COMPUTED_VALUE"""),"T15")</f>
        <v/>
      </c>
      <c r="B1055" s="26" t="n"/>
      <c r="O1055" s="26" t="n"/>
    </row>
    <row r="1056">
      <c r="A1056" s="6">
        <f>IFERROR(__xludf.DUMMYFUNCTION("""COMPUTED_VALUE"""),6270.63714265955)</f>
        <v/>
      </c>
      <c r="B1056" s="26" t="n"/>
      <c r="O1056" s="26" t="n"/>
    </row>
    <row r="1057">
      <c r="A1057" s="6">
        <f>IFERROR(__xludf.DUMMYFUNCTION("""COMPUTED_VALUE"""),5213.69440717505)</f>
        <v/>
      </c>
      <c r="B1057" s="26" t="n"/>
      <c r="O1057" s="26" t="n"/>
    </row>
    <row r="1058">
      <c r="A1058" s="6">
        <f>IFERROR(__xludf.DUMMYFUNCTION("""COMPUTED_VALUE"""),5151.58872132134)</f>
        <v/>
      </c>
      <c r="B1058" s="26" t="n"/>
      <c r="O1058" s="26" t="n"/>
    </row>
    <row r="1059">
      <c r="A1059" s="6">
        <f>IFERROR(__xludf.DUMMYFUNCTION("""COMPUTED_VALUE"""),6160.95563078435)</f>
        <v/>
      </c>
      <c r="B1059" s="26" t="n"/>
      <c r="O1059" s="26" t="n"/>
    </row>
    <row r="1060">
      <c r="A1060" s="6">
        <f>IFERROR(__xludf.DUMMYFUNCTION("""COMPUTED_VALUE"""),7579.28583007817)</f>
        <v/>
      </c>
      <c r="B1060" s="26" t="n"/>
      <c r="O1060" s="26" t="n"/>
    </row>
    <row r="1061">
      <c r="A1061" s="6">
        <f>IFERROR(__xludf.DUMMYFUNCTION("""COMPUTED_VALUE"""),5511.4807010788)</f>
        <v/>
      </c>
      <c r="B1061" s="26" t="n"/>
      <c r="O1061" s="26" t="n"/>
    </row>
    <row r="1062">
      <c r="A1062" s="6">
        <f>IFERROR(__xludf.DUMMYFUNCTION("""COMPUTED_VALUE"""),7138.04652008389)</f>
        <v/>
      </c>
      <c r="B1062" s="26" t="n"/>
      <c r="O1062" s="26" t="n"/>
    </row>
    <row r="1063">
      <c r="A1063" s="6">
        <f>IFERROR(__xludf.DUMMYFUNCTION("""COMPUTED_VALUE"""),7376.36936186346)</f>
        <v/>
      </c>
      <c r="B1063" s="26" t="n"/>
      <c r="O1063" s="26" t="n"/>
    </row>
    <row r="1064">
      <c r="A1064" s="6">
        <f>IFERROR(__xludf.DUMMYFUNCTION("""COMPUTED_VALUE"""),5804.09539536934)</f>
        <v/>
      </c>
      <c r="B1064" s="26" t="n"/>
      <c r="O1064" s="26" t="n"/>
    </row>
    <row r="1065">
      <c r="A1065" s="6">
        <f>IFERROR(__xludf.DUMMYFUNCTION("""COMPUTED_VALUE"""),11613.9945580067)</f>
        <v/>
      </c>
      <c r="B1065" s="26" t="n"/>
      <c r="O1065" s="26" t="n"/>
    </row>
    <row r="1066">
      <c r="A1066" s="6">
        <f>IFERROR(__xludf.DUMMYFUNCTION("""COMPUTED_VALUE"""),5352.89671538752)</f>
        <v/>
      </c>
      <c r="B1066" s="26" t="n"/>
      <c r="O1066" s="26" t="n"/>
    </row>
    <row r="1067">
      <c r="A1067" s="6">
        <f>IFERROR(__xludf.DUMMYFUNCTION("""COMPUTED_VALUE"""),5419.78130310652)</f>
        <v/>
      </c>
      <c r="B1067" s="26" t="n"/>
      <c r="O1067" s="26" t="n"/>
    </row>
    <row r="1068">
      <c r="A1068" s="6">
        <f>IFERROR(__xludf.DUMMYFUNCTION("""COMPUTED_VALUE"""),78592.8262869147)</f>
        <v/>
      </c>
      <c r="B1068" s="26" t="n"/>
      <c r="O1068" s="26" t="n"/>
    </row>
    <row r="1069">
      <c r="A1069" s="4" t="n"/>
      <c r="B1069" s="26" t="n"/>
      <c r="O1069" s="26" t="n"/>
    </row>
    <row r="1070">
      <c r="A1070" s="4" t="n"/>
      <c r="B1070" s="26" t="n"/>
      <c r="O1070" s="26" t="n"/>
    </row>
    <row r="1071">
      <c r="A1071" s="4" t="n"/>
      <c r="B1071" s="26" t="n"/>
      <c r="O1071" s="26" t="n"/>
    </row>
    <row r="1072">
      <c r="A1072" s="4">
        <f>IFERROR(__xludf.DUMMYFUNCTION("""COMPUTED_VALUE"""),"T16")</f>
        <v/>
      </c>
      <c r="B1072" s="26" t="n"/>
      <c r="O1072" s="26" t="n"/>
    </row>
    <row r="1073">
      <c r="A1073" s="6">
        <f>IFERROR(__xludf.DUMMYFUNCTION("""COMPUTED_VALUE"""),5663.88429183128)</f>
        <v/>
      </c>
      <c r="B1073" s="26" t="n"/>
      <c r="O1073" s="26" t="n"/>
    </row>
    <row r="1074">
      <c r="A1074" s="6">
        <f>IFERROR(__xludf.DUMMYFUNCTION("""COMPUTED_VALUE"""),4136.19826397287)</f>
        <v/>
      </c>
      <c r="B1074" s="26" t="n"/>
      <c r="O1074" s="26" t="n"/>
    </row>
    <row r="1075">
      <c r="A1075" s="6">
        <f>IFERROR(__xludf.DUMMYFUNCTION("""COMPUTED_VALUE"""),4961.74905375155)</f>
        <v/>
      </c>
      <c r="B1075" s="26" t="n"/>
      <c r="O1075" s="26" t="n"/>
    </row>
    <row r="1076">
      <c r="A1076" s="6">
        <f>IFERROR(__xludf.DUMMYFUNCTION("""COMPUTED_VALUE"""),5875.2339315218)</f>
        <v/>
      </c>
      <c r="B1076" s="26" t="n"/>
      <c r="O1076" s="26" t="n"/>
    </row>
    <row r="1077">
      <c r="A1077" s="6">
        <f>IFERROR(__xludf.DUMMYFUNCTION("""COMPUTED_VALUE"""),6217.01257887212)</f>
        <v/>
      </c>
      <c r="B1077" s="26" t="n"/>
      <c r="O1077" s="26" t="n"/>
    </row>
    <row r="1078">
      <c r="A1078" s="6">
        <f>IFERROR(__xludf.DUMMYFUNCTION("""COMPUTED_VALUE"""),5153.95929761797)</f>
        <v/>
      </c>
      <c r="B1078" s="26" t="n"/>
      <c r="O1078" s="26" t="n"/>
    </row>
    <row r="1079">
      <c r="A1079" s="6">
        <f>IFERROR(__xludf.DUMMYFUNCTION("""COMPUTED_VALUE"""),6593.1788199403)</f>
        <v/>
      </c>
      <c r="B1079" s="26" t="n"/>
      <c r="O1079" s="26" t="n"/>
    </row>
    <row r="1080">
      <c r="A1080" s="6">
        <f>IFERROR(__xludf.DUMMYFUNCTION("""COMPUTED_VALUE"""),7142.98037340531)</f>
        <v/>
      </c>
      <c r="B1080" s="26" t="n"/>
      <c r="O1080" s="26" t="n"/>
    </row>
    <row r="1081">
      <c r="A1081" s="6">
        <f>IFERROR(__xludf.DUMMYFUNCTION("""COMPUTED_VALUE"""),5476.36996522834)</f>
        <v/>
      </c>
      <c r="B1081" s="26" t="n"/>
      <c r="O1081" s="26" t="n"/>
    </row>
    <row r="1082">
      <c r="A1082" s="6">
        <f>IFERROR(__xludf.DUMMYFUNCTION("""COMPUTED_VALUE"""),5369.92742789104)</f>
        <v/>
      </c>
      <c r="B1082" s="26" t="n"/>
      <c r="O1082" s="26" t="n"/>
    </row>
    <row r="1083">
      <c r="A1083" s="6">
        <f>IFERROR(__xludf.DUMMYFUNCTION("""COMPUTED_VALUE"""),5365.59772193804)</f>
        <v/>
      </c>
      <c r="B1083" s="26" t="n"/>
      <c r="O1083" s="26" t="n"/>
    </row>
    <row r="1084">
      <c r="A1084" s="6">
        <f>IFERROR(__xludf.DUMMYFUNCTION("""COMPUTED_VALUE"""),5231.11541342263)</f>
        <v/>
      </c>
      <c r="B1084" s="26" t="n"/>
      <c r="O1084" s="26" t="n"/>
    </row>
    <row r="1085">
      <c r="A1085" s="6">
        <f>IFERROR(__xludf.DUMMYFUNCTION("""COMPUTED_VALUE"""),67187.2071393933)</f>
        <v/>
      </c>
      <c r="B1085" s="26" t="n"/>
      <c r="O1085" s="26" t="n"/>
    </row>
    <row r="1086">
      <c r="A1086" s="4" t="n"/>
      <c r="B1086" s="26" t="n"/>
      <c r="O1086" s="26" t="n"/>
    </row>
    <row r="1087">
      <c r="A1087" s="4" t="n"/>
      <c r="B1087" s="26" t="n"/>
      <c r="O1087" s="26" t="n"/>
    </row>
    <row r="1088">
      <c r="A1088" s="4" t="n"/>
      <c r="B1088" s="26" t="n"/>
      <c r="O1088" s="26" t="n"/>
    </row>
    <row r="1089">
      <c r="B1089" s="26" t="n"/>
      <c r="O1089" s="26" t="n"/>
    </row>
    <row r="1090">
      <c r="B1090" s="26" t="n"/>
      <c r="O1090" s="26" t="n"/>
    </row>
    <row r="1091">
      <c r="B1091" s="26" t="n"/>
      <c r="O1091" s="26" t="n"/>
    </row>
    <row r="1092">
      <c r="B1092" s="26" t="n"/>
      <c r="O1092" s="26" t="n"/>
    </row>
    <row r="1093">
      <c r="B1093" s="26" t="n"/>
      <c r="O1093" s="26" t="n"/>
    </row>
    <row r="1094">
      <c r="B1094" s="26" t="n"/>
      <c r="O1094" s="26" t="n"/>
    </row>
    <row r="1095">
      <c r="B1095" s="26" t="n"/>
      <c r="O1095" s="26" t="n"/>
    </row>
    <row r="1096">
      <c r="B1096" s="26" t="n"/>
      <c r="O1096" s="26" t="n"/>
    </row>
    <row r="1097">
      <c r="B1097" s="26" t="n"/>
      <c r="O1097" s="26" t="n"/>
    </row>
    <row r="1098">
      <c r="B1098" s="26" t="n"/>
      <c r="O1098" s="26" t="n"/>
    </row>
    <row r="1099">
      <c r="B1099" s="26" t="n"/>
      <c r="O1099" s="26" t="n"/>
    </row>
    <row r="1100">
      <c r="B1100" s="26" t="n"/>
      <c r="O1100" s="26" t="n"/>
    </row>
    <row r="1101">
      <c r="B1101" s="26" t="n"/>
      <c r="O1101" s="26" t="n"/>
    </row>
    <row r="1102">
      <c r="B1102" s="26" t="n"/>
      <c r="O1102" s="26" t="n"/>
    </row>
    <row r="1103">
      <c r="B1103" s="26" t="n"/>
      <c r="O1103" s="26" t="n"/>
    </row>
    <row r="1104">
      <c r="B1104" s="26" t="n"/>
      <c r="O1104" s="26" t="n"/>
    </row>
    <row r="1105">
      <c r="B1105" s="26" t="n"/>
      <c r="O1105" s="26" t="n"/>
    </row>
    <row r="1106">
      <c r="B1106" s="26" t="n"/>
      <c r="O1106" s="26" t="n"/>
    </row>
    <row r="1107">
      <c r="B1107" s="26" t="n"/>
      <c r="O1107" s="26" t="n"/>
    </row>
    <row r="1108">
      <c r="B1108" s="26" t="n"/>
      <c r="O1108" s="26" t="n"/>
    </row>
    <row r="1109">
      <c r="B1109" s="26" t="n"/>
      <c r="O1109" s="26" t="n"/>
    </row>
    <row r="1110">
      <c r="B1110" s="26" t="n"/>
      <c r="O1110" s="26" t="n"/>
    </row>
    <row r="1111">
      <c r="B1111" s="26" t="n"/>
      <c r="O1111" s="26" t="n"/>
    </row>
    <row r="1112">
      <c r="B1112" s="26" t="n"/>
      <c r="O1112" s="26" t="n"/>
    </row>
    <row r="1113">
      <c r="B1113" s="26" t="n"/>
      <c r="O1113" s="26" t="n"/>
    </row>
    <row r="1114">
      <c r="B1114" s="26" t="n"/>
      <c r="O1114" s="26" t="n"/>
    </row>
    <row r="1115">
      <c r="B1115" s="26" t="n"/>
      <c r="O1115" s="26" t="n"/>
    </row>
    <row r="1116">
      <c r="B1116" s="26" t="n"/>
      <c r="O1116" s="26" t="n"/>
    </row>
    <row r="1117">
      <c r="B1117" s="26" t="n"/>
      <c r="O1117" s="26" t="n"/>
    </row>
    <row r="1118">
      <c r="B1118" s="26" t="n"/>
      <c r="O1118" s="26" t="n"/>
    </row>
    <row r="1119">
      <c r="B1119" s="26" t="n"/>
      <c r="O1119" s="26" t="n"/>
    </row>
    <row r="1120">
      <c r="B1120" s="26" t="n"/>
      <c r="O1120" s="26" t="n"/>
    </row>
    <row r="1121">
      <c r="B1121" s="26" t="n"/>
      <c r="O1121" s="26" t="n"/>
    </row>
    <row r="1122">
      <c r="B1122" s="26" t="n"/>
      <c r="O1122" s="26" t="n"/>
    </row>
    <row r="1123">
      <c r="B1123" s="26" t="n"/>
      <c r="O1123" s="26" t="n"/>
    </row>
    <row r="1124">
      <c r="B1124" s="26" t="n"/>
      <c r="O1124" s="26" t="n"/>
    </row>
    <row r="1125">
      <c r="B1125" s="26" t="n"/>
      <c r="O1125" s="26" t="n"/>
    </row>
    <row r="1126">
      <c r="B1126" s="26" t="n"/>
      <c r="O1126" s="26" t="n"/>
    </row>
    <row r="1127">
      <c r="B1127" s="26" t="n"/>
      <c r="O1127" s="26" t="n"/>
    </row>
    <row r="1128">
      <c r="B1128" s="26" t="n"/>
      <c r="O1128" s="26" t="n"/>
    </row>
    <row r="1129">
      <c r="B1129" s="26" t="n"/>
      <c r="O1129" s="26" t="n"/>
    </row>
    <row r="1130">
      <c r="B1130" s="26" t="n"/>
      <c r="O1130" s="26" t="n"/>
    </row>
    <row r="1131">
      <c r="B1131" s="26" t="n"/>
      <c r="O1131" s="26" t="n"/>
    </row>
    <row r="1132">
      <c r="B1132" s="26" t="n"/>
      <c r="O1132" s="26" t="n"/>
    </row>
    <row r="1133">
      <c r="B1133" s="26" t="n"/>
      <c r="O1133" s="26" t="n"/>
    </row>
    <row r="1134">
      <c r="B1134" s="26" t="n"/>
      <c r="O1134" s="26" t="n"/>
    </row>
    <row r="1135">
      <c r="B1135" s="26" t="n"/>
      <c r="O1135" s="26" t="n"/>
    </row>
    <row r="1136">
      <c r="B1136" s="26" t="n"/>
      <c r="O1136" s="26" t="n"/>
    </row>
    <row r="1137">
      <c r="B1137" s="26" t="n"/>
      <c r="O1137" s="26" t="n"/>
    </row>
    <row r="1138">
      <c r="B1138" s="26" t="n"/>
      <c r="O1138" s="26" t="n"/>
    </row>
    <row r="1139">
      <c r="B1139" s="26" t="n"/>
      <c r="O1139" s="26" t="n"/>
    </row>
    <row r="1140">
      <c r="B1140" s="26" t="n"/>
      <c r="O1140" s="26" t="n"/>
    </row>
    <row r="1141">
      <c r="B1141" s="26" t="n"/>
      <c r="O1141" s="26" t="n"/>
    </row>
    <row r="1142">
      <c r="B1142" s="26" t="n"/>
      <c r="O1142" s="26" t="n"/>
    </row>
    <row r="1143">
      <c r="B1143" s="26" t="n"/>
      <c r="O1143" s="26" t="n"/>
    </row>
    <row r="1144">
      <c r="B1144" s="26" t="n"/>
      <c r="O1144" s="26" t="n"/>
    </row>
    <row r="1145">
      <c r="B1145" s="26" t="n"/>
      <c r="O1145" s="26" t="n"/>
    </row>
    <row r="1146">
      <c r="B1146" s="26" t="n"/>
      <c r="O1146" s="26" t="n"/>
    </row>
    <row r="1147">
      <c r="B1147" s="26" t="n"/>
      <c r="O1147" s="26" t="n"/>
    </row>
    <row r="1148">
      <c r="B1148" s="26" t="n"/>
      <c r="O1148" s="26" t="n"/>
    </row>
    <row r="1149">
      <c r="B1149" s="26" t="n"/>
      <c r="O1149" s="26" t="n"/>
    </row>
    <row r="1150">
      <c r="B1150" s="26" t="n"/>
      <c r="O1150" s="26" t="n"/>
    </row>
    <row r="1151">
      <c r="B1151" s="26" t="n"/>
      <c r="O1151" s="26" t="n"/>
    </row>
    <row r="1152">
      <c r="B1152" s="26" t="n"/>
      <c r="O1152" s="26" t="n"/>
    </row>
    <row r="1153">
      <c r="B1153" s="26" t="n"/>
      <c r="O1153" s="26" t="n"/>
    </row>
    <row r="1154">
      <c r="B1154" s="26" t="n"/>
      <c r="O1154" s="26" t="n"/>
    </row>
    <row r="1155">
      <c r="B1155" s="26" t="n"/>
      <c r="O1155" s="26" t="n"/>
    </row>
    <row r="1156">
      <c r="B1156" s="26" t="n"/>
      <c r="O1156" s="26" t="n"/>
    </row>
    <row r="1157">
      <c r="B1157" s="26" t="n"/>
      <c r="O1157" s="26" t="n"/>
    </row>
    <row r="1158">
      <c r="B1158" s="26" t="n"/>
      <c r="O1158" s="26" t="n"/>
    </row>
    <row r="1159">
      <c r="B1159" s="26" t="n"/>
      <c r="O1159" s="26" t="n"/>
    </row>
    <row r="1160">
      <c r="B1160" s="26" t="n"/>
      <c r="O1160" s="26" t="n"/>
    </row>
    <row r="1161">
      <c r="B1161" s="26" t="n"/>
      <c r="O1161" s="26" t="n"/>
    </row>
    <row r="1162">
      <c r="B1162" s="26" t="n"/>
      <c r="O1162" s="26" t="n"/>
    </row>
    <row r="1163">
      <c r="B1163" s="26" t="n"/>
      <c r="O1163" s="26" t="n"/>
    </row>
    <row r="1164">
      <c r="B1164" s="26" t="n"/>
      <c r="O1164" s="26" t="n"/>
    </row>
    <row r="1165">
      <c r="B1165" s="26" t="n"/>
      <c r="O1165" s="26" t="n"/>
    </row>
    <row r="1166">
      <c r="B1166" s="26" t="n"/>
      <c r="O1166" s="26" t="n"/>
    </row>
    <row r="1167">
      <c r="B1167" s="26" t="n"/>
      <c r="O1167" s="26" t="n"/>
    </row>
    <row r="1168">
      <c r="B1168" s="26" t="n"/>
      <c r="O1168" s="26" t="n"/>
    </row>
    <row r="1169">
      <c r="B1169" s="26" t="n"/>
      <c r="O1169" s="26" t="n"/>
    </row>
    <row r="1170">
      <c r="B1170" s="26" t="n"/>
      <c r="O1170" s="26" t="n"/>
    </row>
    <row r="1171">
      <c r="B1171" s="26" t="n"/>
      <c r="O1171" s="26" t="n"/>
    </row>
    <row r="1172">
      <c r="B1172" s="26" t="n"/>
      <c r="O1172" s="26" t="n"/>
    </row>
    <row r="1173">
      <c r="B1173" s="26" t="n"/>
      <c r="O1173" s="26" t="n"/>
    </row>
    <row r="1174">
      <c r="B1174" s="26" t="n"/>
      <c r="O1174" s="26" t="n"/>
    </row>
    <row r="1175">
      <c r="B1175" s="26" t="n"/>
      <c r="O1175" s="26" t="n"/>
    </row>
    <row r="1176">
      <c r="B1176" s="26" t="n"/>
      <c r="O1176" s="26" t="n"/>
    </row>
    <row r="1177">
      <c r="B1177" s="26" t="n"/>
      <c r="O1177" s="26" t="n"/>
    </row>
    <row r="1178">
      <c r="B1178" s="26" t="n"/>
      <c r="O1178" s="26" t="n"/>
    </row>
    <row r="1179">
      <c r="B1179" s="26" t="n"/>
      <c r="O1179" s="26" t="n"/>
    </row>
    <row r="1180">
      <c r="B1180" s="26" t="n"/>
      <c r="O1180" s="26" t="n"/>
    </row>
    <row r="1181">
      <c r="B1181" s="26" t="n"/>
      <c r="O1181" s="26" t="n"/>
    </row>
    <row r="1182">
      <c r="B1182" s="26" t="n"/>
      <c r="O1182" s="26" t="n"/>
    </row>
    <row r="1183">
      <c r="B1183" s="26" t="n"/>
      <c r="O1183" s="26" t="n"/>
    </row>
    <row r="1184">
      <c r="B1184" s="26" t="n"/>
      <c r="O1184" s="26" t="n"/>
    </row>
    <row r="1185">
      <c r="B1185" s="26" t="n"/>
      <c r="O1185" s="26" t="n"/>
    </row>
    <row r="1186">
      <c r="B1186" s="26" t="n"/>
      <c r="O1186" s="26" t="n"/>
    </row>
    <row r="1187">
      <c r="B1187" s="26" t="n"/>
      <c r="O1187" s="26" t="n"/>
    </row>
    <row r="1188">
      <c r="B1188" s="26" t="n"/>
      <c r="O1188" s="26" t="n"/>
    </row>
    <row r="1189">
      <c r="B1189" s="26" t="n"/>
      <c r="O1189" s="26" t="n"/>
    </row>
    <row r="1190">
      <c r="B1190" s="26" t="n"/>
      <c r="O1190" s="26" t="n"/>
    </row>
    <row r="1191">
      <c r="B1191" s="26" t="n"/>
      <c r="O1191" s="26" t="n"/>
    </row>
    <row r="1192">
      <c r="B1192" s="26" t="n"/>
      <c r="O1192" s="26" t="n"/>
    </row>
    <row r="1193">
      <c r="B1193" s="26" t="n"/>
      <c r="O1193" s="26" t="n"/>
    </row>
    <row r="1194">
      <c r="B1194" s="26" t="n"/>
      <c r="O1194" s="26" t="n"/>
    </row>
    <row r="1195">
      <c r="B1195" s="26" t="n"/>
      <c r="O1195" s="26" t="n"/>
    </row>
    <row r="1196">
      <c r="B1196" s="26" t="n"/>
      <c r="O1196" s="26" t="n"/>
    </row>
    <row r="1197">
      <c r="B1197" s="26" t="n"/>
      <c r="O1197" s="26" t="n"/>
    </row>
    <row r="1198">
      <c r="B1198" s="26" t="n"/>
      <c r="O1198" s="26" t="n"/>
    </row>
    <row r="1199">
      <c r="B1199" s="26" t="n"/>
      <c r="O1199" s="26" t="n"/>
    </row>
    <row r="1200">
      <c r="B1200" s="26" t="n"/>
      <c r="O1200" s="26" t="n"/>
    </row>
    <row r="1201">
      <c r="B1201" s="26" t="n"/>
      <c r="O1201" s="26" t="n"/>
    </row>
    <row r="1202">
      <c r="B1202" s="26" t="n"/>
      <c r="O1202" s="26" t="n"/>
    </row>
    <row r="1203">
      <c r="B1203" s="26" t="n"/>
      <c r="O1203" s="26" t="n"/>
    </row>
    <row r="1204">
      <c r="B1204" s="26" t="n"/>
      <c r="O1204" s="26" t="n"/>
    </row>
    <row r="1205">
      <c r="B1205" s="26" t="n"/>
      <c r="O1205" s="26" t="n"/>
    </row>
    <row r="1206">
      <c r="B1206" s="26" t="n"/>
      <c r="O1206" s="26" t="n"/>
    </row>
    <row r="1207">
      <c r="B1207" s="26" t="n"/>
      <c r="O1207" s="26" t="n"/>
    </row>
    <row r="1208">
      <c r="B1208" s="26" t="n"/>
      <c r="O1208" s="26" t="n"/>
    </row>
    <row r="1209">
      <c r="B1209" s="26" t="n"/>
      <c r="O1209" s="26" t="n"/>
    </row>
    <row r="1210">
      <c r="B1210" s="26" t="n"/>
      <c r="O1210" s="26" t="n"/>
    </row>
    <row r="1211">
      <c r="B1211" s="26" t="n"/>
      <c r="O1211" s="26" t="n"/>
    </row>
    <row r="1212">
      <c r="B1212" s="26" t="n"/>
      <c r="O1212" s="26" t="n"/>
    </row>
    <row r="1213">
      <c r="B1213" s="26" t="n"/>
      <c r="O1213" s="26" t="n"/>
    </row>
    <row r="1214">
      <c r="B1214" s="26" t="n"/>
      <c r="O1214" s="26" t="n"/>
    </row>
    <row r="1215">
      <c r="B1215" s="26" t="n"/>
      <c r="O1215" s="26" t="n"/>
    </row>
    <row r="1216">
      <c r="B1216" s="26" t="n"/>
      <c r="O1216" s="26" t="n"/>
    </row>
    <row r="1217">
      <c r="B1217" s="26" t="n"/>
      <c r="O1217" s="26" t="n"/>
    </row>
    <row r="1218">
      <c r="B1218" s="26" t="n"/>
      <c r="O1218" s="26" t="n"/>
    </row>
    <row r="1219">
      <c r="B1219" s="26" t="n"/>
      <c r="O1219" s="26" t="n"/>
    </row>
    <row r="1220">
      <c r="B1220" s="26" t="n"/>
      <c r="O1220" s="26" t="n"/>
    </row>
    <row r="1221">
      <c r="B1221" s="26" t="n"/>
      <c r="O1221" s="26" t="n"/>
    </row>
    <row r="1222">
      <c r="B1222" s="26" t="n"/>
      <c r="O1222" s="26" t="n"/>
    </row>
    <row r="1223">
      <c r="B1223" s="26" t="n"/>
      <c r="O1223" s="26" t="n"/>
    </row>
    <row r="1224">
      <c r="B1224" s="26" t="n"/>
      <c r="O1224" s="26" t="n"/>
    </row>
    <row r="1225">
      <c r="B1225" s="26" t="n"/>
      <c r="O1225" s="26" t="n"/>
    </row>
    <row r="1226">
      <c r="B1226" s="26" t="n"/>
      <c r="O1226" s="26" t="n"/>
    </row>
    <row r="1227">
      <c r="B1227" s="26" t="n"/>
      <c r="O1227" s="26" t="n"/>
    </row>
    <row r="1228">
      <c r="B1228" s="26" t="n"/>
      <c r="O1228" s="26" t="n"/>
    </row>
    <row r="1229">
      <c r="B1229" s="26" t="n"/>
      <c r="O1229" s="26" t="n"/>
    </row>
    <row r="1230">
      <c r="B1230" s="26" t="n"/>
      <c r="O1230" s="26" t="n"/>
    </row>
    <row r="1231">
      <c r="B1231" s="26" t="n"/>
      <c r="O1231" s="26" t="n"/>
    </row>
    <row r="1232">
      <c r="B1232" s="26" t="n"/>
      <c r="O1232" s="26" t="n"/>
    </row>
    <row r="1233">
      <c r="B1233" s="26" t="n"/>
      <c r="O1233" s="26" t="n"/>
    </row>
    <row r="1234">
      <c r="B1234" s="26" t="n"/>
      <c r="O1234" s="26" t="n"/>
    </row>
    <row r="1235">
      <c r="B1235" s="26" t="n"/>
      <c r="O1235" s="26" t="n"/>
    </row>
    <row r="1236">
      <c r="B1236" s="26" t="n"/>
      <c r="O1236" s="26" t="n"/>
    </row>
    <row r="1237">
      <c r="B1237" s="26" t="n"/>
      <c r="O1237" s="26" t="n"/>
    </row>
    <row r="1238">
      <c r="B1238" s="26" t="n"/>
      <c r="O1238" s="26" t="n"/>
    </row>
    <row r="1239">
      <c r="B1239" s="26" t="n"/>
      <c r="O1239" s="26" t="n"/>
    </row>
    <row r="1240">
      <c r="B1240" s="26" t="n"/>
      <c r="O1240" s="26" t="n"/>
    </row>
    <row r="1241">
      <c r="B1241" s="26" t="n"/>
      <c r="O1241" s="26" t="n"/>
    </row>
    <row r="1242">
      <c r="B1242" s="26" t="n"/>
      <c r="O1242" s="26" t="n"/>
    </row>
    <row r="1243">
      <c r="B1243" s="26" t="n"/>
      <c r="O1243" s="26" t="n"/>
    </row>
    <row r="1244">
      <c r="B1244" s="26" t="n"/>
      <c r="O1244" s="26" t="n"/>
    </row>
    <row r="1245">
      <c r="B1245" s="26" t="n"/>
      <c r="O1245" s="26" t="n"/>
    </row>
    <row r="1246">
      <c r="B1246" s="26" t="n"/>
      <c r="O1246" s="26" t="n"/>
    </row>
    <row r="1247">
      <c r="B1247" s="26" t="n"/>
      <c r="O1247" s="26" t="n"/>
    </row>
    <row r="1248">
      <c r="B1248" s="26" t="n"/>
      <c r="O1248" s="26" t="n"/>
    </row>
    <row r="1249">
      <c r="B1249" s="26" t="n"/>
      <c r="O1249" s="26" t="n"/>
    </row>
    <row r="1250">
      <c r="B1250" s="26" t="n"/>
      <c r="O1250" s="26" t="n"/>
    </row>
    <row r="1251">
      <c r="B1251" s="26" t="n"/>
      <c r="O1251" s="26" t="n"/>
    </row>
    <row r="1252">
      <c r="B1252" s="26" t="n"/>
      <c r="O1252" s="26" t="n"/>
    </row>
    <row r="1253">
      <c r="B1253" s="26" t="n"/>
      <c r="O1253" s="26" t="n"/>
    </row>
    <row r="1254">
      <c r="B1254" s="26" t="n"/>
      <c r="O1254" s="26" t="n"/>
    </row>
    <row r="1255">
      <c r="B1255" s="26" t="n"/>
      <c r="O1255" s="26" t="n"/>
    </row>
    <row r="1256">
      <c r="B1256" s="26" t="n"/>
      <c r="O1256" s="26" t="n"/>
    </row>
    <row r="1257">
      <c r="B1257" s="26" t="n"/>
      <c r="O1257" s="26" t="n"/>
    </row>
    <row r="1258">
      <c r="B1258" s="26" t="n"/>
      <c r="O1258" s="26" t="n"/>
    </row>
    <row r="1259">
      <c r="B1259" s="26" t="n"/>
      <c r="O1259" s="26" t="n"/>
    </row>
    <row r="1260">
      <c r="B1260" s="26" t="n"/>
      <c r="O1260" s="26" t="n"/>
    </row>
    <row r="1261">
      <c r="B1261" s="26" t="n"/>
      <c r="O1261" s="26" t="n"/>
    </row>
    <row r="1262">
      <c r="B1262" s="26" t="n"/>
      <c r="O1262" s="26" t="n"/>
    </row>
    <row r="1263">
      <c r="B1263" s="26" t="n"/>
      <c r="O1263" s="26" t="n"/>
    </row>
    <row r="1264">
      <c r="B1264" s="26" t="n"/>
      <c r="O1264" s="26" t="n"/>
    </row>
    <row r="1265">
      <c r="B1265" s="26" t="n"/>
      <c r="O1265" s="26" t="n"/>
    </row>
    <row r="1266">
      <c r="B1266" s="26" t="n"/>
      <c r="O1266" s="26" t="n"/>
    </row>
    <row r="1267">
      <c r="B1267" s="26" t="n"/>
      <c r="O1267" s="26" t="n"/>
    </row>
    <row r="1268">
      <c r="B1268" s="26" t="n"/>
      <c r="O1268" s="26" t="n"/>
    </row>
    <row r="1269">
      <c r="B1269" s="26" t="n"/>
      <c r="O1269" s="26" t="n"/>
    </row>
    <row r="1270">
      <c r="B1270" s="26" t="n"/>
      <c r="O1270" s="26" t="n"/>
    </row>
    <row r="1271">
      <c r="B1271" s="26" t="n"/>
      <c r="O1271" s="26" t="n"/>
    </row>
    <row r="1272">
      <c r="B1272" s="26" t="n"/>
      <c r="O1272" s="26" t="n"/>
    </row>
    <row r="1273">
      <c r="B1273" s="26" t="n"/>
      <c r="O1273" s="26" t="n"/>
    </row>
    <row r="1274">
      <c r="B1274" s="26" t="n"/>
      <c r="O1274" s="26" t="n"/>
    </row>
    <row r="1275">
      <c r="B1275" s="26" t="n"/>
      <c r="O1275" s="26" t="n"/>
    </row>
    <row r="1276">
      <c r="B1276" s="26" t="n"/>
      <c r="O1276" s="26" t="n"/>
    </row>
    <row r="1277">
      <c r="B1277" s="26" t="n"/>
      <c r="O1277" s="26" t="n"/>
    </row>
    <row r="1278">
      <c r="B1278" s="26" t="n"/>
      <c r="O1278" s="26" t="n"/>
    </row>
    <row r="1279">
      <c r="B1279" s="26" t="n"/>
      <c r="O1279" s="26" t="n"/>
    </row>
    <row r="1280">
      <c r="B1280" s="26" t="n"/>
      <c r="O1280" s="26" t="n"/>
    </row>
    <row r="1281">
      <c r="B1281" s="26" t="n"/>
      <c r="O1281" s="26" t="n"/>
    </row>
    <row r="1282">
      <c r="B1282" s="26" t="n"/>
      <c r="O1282" s="26" t="n"/>
    </row>
    <row r="1283">
      <c r="B1283" s="26" t="n"/>
      <c r="O1283" s="26" t="n"/>
    </row>
    <row r="1284">
      <c r="B1284" s="26" t="n"/>
      <c r="O1284" s="26" t="n"/>
    </row>
    <row r="1285">
      <c r="B1285" s="26" t="n"/>
      <c r="O1285" s="26" t="n"/>
    </row>
    <row r="1286">
      <c r="B1286" s="26" t="n"/>
      <c r="O1286" s="26" t="n"/>
    </row>
    <row r="1287">
      <c r="B1287" s="26" t="n"/>
      <c r="O1287" s="26" t="n"/>
    </row>
    <row r="1288">
      <c r="B1288" s="26" t="n"/>
      <c r="O1288" s="26" t="n"/>
    </row>
    <row r="1289">
      <c r="B1289" s="26" t="n"/>
      <c r="O1289" s="26" t="n"/>
    </row>
    <row r="1290">
      <c r="B1290" s="26" t="n"/>
      <c r="O1290" s="26" t="n"/>
    </row>
    <row r="1291">
      <c r="B1291" s="26" t="n"/>
      <c r="O1291" s="26" t="n"/>
    </row>
    <row r="1292">
      <c r="B1292" s="26" t="n"/>
      <c r="O1292" s="26" t="n"/>
    </row>
    <row r="1293">
      <c r="B1293" s="26" t="n"/>
      <c r="O1293" s="26" t="n"/>
    </row>
    <row r="1294">
      <c r="B1294" s="26" t="n"/>
      <c r="O1294" s="26" t="n"/>
    </row>
    <row r="1295">
      <c r="B1295" s="26" t="n"/>
      <c r="O1295" s="26" t="n"/>
    </row>
    <row r="1296">
      <c r="B1296" s="26" t="n"/>
      <c r="O1296" s="26" t="n"/>
    </row>
    <row r="1297">
      <c r="B1297" s="26" t="n"/>
      <c r="O1297" s="26" t="n"/>
    </row>
    <row r="1298">
      <c r="B1298" s="26" t="n"/>
      <c r="O1298" s="26" t="n"/>
    </row>
    <row r="1299">
      <c r="B1299" s="26" t="n"/>
      <c r="O1299" s="26" t="n"/>
    </row>
    <row r="1300">
      <c r="B1300" s="26" t="n"/>
      <c r="O1300" s="26" t="n"/>
    </row>
    <row r="1301">
      <c r="B1301" s="26" t="n"/>
      <c r="O1301" s="26" t="n"/>
    </row>
    <row r="1302">
      <c r="B1302" s="26" t="n"/>
      <c r="O1302" s="26" t="n"/>
    </row>
    <row r="1303">
      <c r="B1303" s="26" t="n"/>
      <c r="O1303" s="26" t="n"/>
    </row>
    <row r="1304">
      <c r="B1304" s="26" t="n"/>
      <c r="O1304" s="26" t="n"/>
    </row>
    <row r="1305">
      <c r="B1305" s="26" t="n"/>
      <c r="O1305" s="26" t="n"/>
    </row>
    <row r="1306">
      <c r="B1306" s="26" t="n"/>
      <c r="O1306" s="26" t="n"/>
    </row>
    <row r="1307">
      <c r="B1307" s="26" t="n"/>
      <c r="O1307" s="26" t="n"/>
    </row>
    <row r="1308">
      <c r="B1308" s="26" t="n"/>
      <c r="O1308" s="26" t="n"/>
    </row>
    <row r="1309">
      <c r="B1309" s="26" t="n"/>
      <c r="O1309" s="26" t="n"/>
    </row>
    <row r="1310">
      <c r="B1310" s="26" t="n"/>
      <c r="O1310" s="26" t="n"/>
    </row>
    <row r="1311">
      <c r="B1311" s="26" t="n"/>
      <c r="O1311" s="26" t="n"/>
    </row>
    <row r="1312">
      <c r="B1312" s="26" t="n"/>
      <c r="O1312" s="26" t="n"/>
    </row>
    <row r="1313">
      <c r="B1313" s="26" t="n"/>
      <c r="O1313" s="26" t="n"/>
    </row>
    <row r="1314">
      <c r="B1314" s="26" t="n"/>
      <c r="O1314" s="26" t="n"/>
    </row>
    <row r="1315">
      <c r="B1315" s="26" t="n"/>
      <c r="O1315" s="26" t="n"/>
    </row>
    <row r="1316">
      <c r="B1316" s="26" t="n"/>
      <c r="O1316" s="26" t="n"/>
    </row>
    <row r="1317">
      <c r="B1317" s="26" t="n"/>
      <c r="O1317" s="26" t="n"/>
    </row>
    <row r="1318">
      <c r="B1318" s="26" t="n"/>
      <c r="O1318" s="26" t="n"/>
    </row>
    <row r="1319">
      <c r="B1319" s="26" t="n"/>
      <c r="O1319" s="26" t="n"/>
    </row>
    <row r="1320">
      <c r="B1320" s="26" t="n"/>
      <c r="O1320" s="26" t="n"/>
    </row>
    <row r="1321">
      <c r="B1321" s="26" t="n"/>
      <c r="O1321" s="26" t="n"/>
    </row>
    <row r="1322">
      <c r="B1322" s="26" t="n"/>
      <c r="O1322" s="26" t="n"/>
    </row>
    <row r="1323">
      <c r="B1323" s="26" t="n"/>
      <c r="O1323" s="26" t="n"/>
    </row>
    <row r="1324">
      <c r="B1324" s="26" t="n"/>
      <c r="O1324" s="26" t="n"/>
    </row>
    <row r="1325">
      <c r="B1325" s="26" t="n"/>
      <c r="O1325" s="26" t="n"/>
    </row>
    <row r="1326">
      <c r="B1326" s="26" t="n"/>
      <c r="O1326" s="26" t="n"/>
    </row>
    <row r="1327">
      <c r="B1327" s="26" t="n"/>
      <c r="O1327" s="26" t="n"/>
    </row>
    <row r="1328">
      <c r="B1328" s="26" t="n"/>
      <c r="O1328" s="26" t="n"/>
    </row>
    <row r="1329">
      <c r="B1329" s="26" t="n"/>
      <c r="O1329" s="26" t="n"/>
    </row>
    <row r="1330">
      <c r="B1330" s="26" t="n"/>
      <c r="O1330" s="26" t="n"/>
    </row>
    <row r="1331">
      <c r="B1331" s="26" t="n"/>
      <c r="O1331" s="26" t="n"/>
    </row>
    <row r="1332">
      <c r="B1332" s="26" t="n"/>
      <c r="O1332" s="26" t="n"/>
    </row>
    <row r="1333">
      <c r="B1333" s="26" t="n"/>
      <c r="O1333" s="26" t="n"/>
    </row>
    <row r="1334">
      <c r="B1334" s="26" t="n"/>
      <c r="O1334" s="26" t="n"/>
    </row>
    <row r="1335">
      <c r="B1335" s="26" t="n"/>
      <c r="O1335" s="26" t="n"/>
    </row>
    <row r="1336">
      <c r="B1336" s="26" t="n"/>
      <c r="O1336" s="26" t="n"/>
    </row>
    <row r="1337">
      <c r="B1337" s="26" t="n"/>
      <c r="O1337" s="26" t="n"/>
    </row>
    <row r="1338">
      <c r="B1338" s="26" t="n"/>
      <c r="O1338" s="26" t="n"/>
    </row>
    <row r="1339">
      <c r="B1339" s="26" t="n"/>
      <c r="O1339" s="26" t="n"/>
    </row>
    <row r="1340">
      <c r="B1340" s="26" t="n"/>
      <c r="O1340" s="26" t="n"/>
    </row>
    <row r="1341">
      <c r="B1341" s="26" t="n"/>
      <c r="O1341" s="26" t="n"/>
    </row>
    <row r="1342">
      <c r="B1342" s="26" t="n"/>
      <c r="O1342" s="26" t="n"/>
    </row>
    <row r="1343">
      <c r="B1343" s="26" t="n"/>
      <c r="O1343" s="26" t="n"/>
    </row>
    <row r="1344">
      <c r="B1344" s="26" t="n"/>
      <c r="O1344" s="26" t="n"/>
    </row>
    <row r="1345">
      <c r="B1345" s="26" t="n"/>
      <c r="O1345" s="26" t="n"/>
    </row>
    <row r="1346">
      <c r="B1346" s="26" t="n"/>
      <c r="O1346" s="26" t="n"/>
    </row>
    <row r="1347">
      <c r="B1347" s="26" t="n"/>
      <c r="O1347" s="26" t="n"/>
    </row>
    <row r="1348">
      <c r="B1348" s="26" t="n"/>
      <c r="O1348" s="26" t="n"/>
    </row>
    <row r="1349">
      <c r="B1349" s="26" t="n"/>
      <c r="O1349" s="26" t="n"/>
    </row>
    <row r="1350">
      <c r="B1350" s="26" t="n"/>
      <c r="O1350" s="26" t="n"/>
    </row>
    <row r="1351">
      <c r="B1351" s="26" t="n"/>
      <c r="O1351" s="26" t="n"/>
    </row>
    <row r="1352">
      <c r="B1352" s="26" t="n"/>
      <c r="O1352" s="26" t="n"/>
    </row>
    <row r="1353">
      <c r="B1353" s="26" t="n"/>
      <c r="O1353" s="26" t="n"/>
    </row>
    <row r="1354">
      <c r="B1354" s="26" t="n"/>
      <c r="O1354" s="26" t="n"/>
    </row>
    <row r="1355">
      <c r="B1355" s="26" t="n"/>
      <c r="O1355" s="26" t="n"/>
    </row>
    <row r="1356">
      <c r="B1356" s="26" t="n"/>
      <c r="O1356" s="26" t="n"/>
    </row>
    <row r="1357">
      <c r="B1357" s="26" t="n"/>
      <c r="O1357" s="26" t="n"/>
    </row>
    <row r="1358">
      <c r="B1358" s="26" t="n"/>
      <c r="O1358" s="26" t="n"/>
    </row>
    <row r="1359">
      <c r="B1359" s="26" t="n"/>
      <c r="O1359" s="26" t="n"/>
    </row>
    <row r="1360">
      <c r="B1360" s="26" t="n"/>
      <c r="O1360" s="26" t="n"/>
    </row>
    <row r="1361">
      <c r="B1361" s="26" t="n"/>
      <c r="O1361" s="26" t="n"/>
    </row>
    <row r="1362">
      <c r="B1362" s="26" t="n"/>
      <c r="O1362" s="26" t="n"/>
    </row>
    <row r="1363">
      <c r="B1363" s="26" t="n"/>
      <c r="O1363" s="26" t="n"/>
    </row>
    <row r="1364">
      <c r="B1364" s="26" t="n"/>
      <c r="O1364" s="26" t="n"/>
    </row>
    <row r="1365">
      <c r="B1365" s="26" t="n"/>
      <c r="O1365" s="26" t="n"/>
    </row>
    <row r="1366">
      <c r="B1366" s="26" t="n"/>
      <c r="O1366" s="26" t="n"/>
    </row>
    <row r="1367">
      <c r="B1367" s="26" t="n"/>
      <c r="O1367" s="26" t="n"/>
    </row>
    <row r="1368">
      <c r="B1368" s="26" t="n"/>
      <c r="O1368" s="26" t="n"/>
    </row>
    <row r="1369">
      <c r="B1369" s="26" t="n"/>
      <c r="O1369" s="26" t="n"/>
    </row>
    <row r="1370">
      <c r="B1370" s="26" t="n"/>
      <c r="O1370" s="26" t="n"/>
    </row>
    <row r="1371">
      <c r="B1371" s="26" t="n"/>
      <c r="O1371" s="26" t="n"/>
    </row>
    <row r="1372">
      <c r="B1372" s="26" t="n"/>
      <c r="O1372" s="26" t="n"/>
    </row>
    <row r="1373">
      <c r="B1373" s="26" t="n"/>
      <c r="O1373" s="26" t="n"/>
    </row>
    <row r="1374">
      <c r="B1374" s="26" t="n"/>
      <c r="O1374" s="26" t="n"/>
    </row>
    <row r="1375">
      <c r="B1375" s="26" t="n"/>
      <c r="O1375" s="26" t="n"/>
    </row>
    <row r="1376">
      <c r="B1376" s="26" t="n"/>
      <c r="O1376" s="26" t="n"/>
    </row>
    <row r="1377">
      <c r="B1377" s="26" t="n"/>
      <c r="O1377" s="26" t="n"/>
    </row>
    <row r="1378">
      <c r="B1378" s="26" t="n"/>
      <c r="O1378" s="26" t="n"/>
    </row>
    <row r="1379">
      <c r="B1379" s="26" t="n"/>
      <c r="O1379" s="26" t="n"/>
    </row>
    <row r="1380">
      <c r="B1380" s="26" t="n"/>
      <c r="O1380" s="26" t="n"/>
    </row>
    <row r="1381">
      <c r="B1381" s="26" t="n"/>
      <c r="O1381" s="26" t="n"/>
    </row>
    <row r="1382">
      <c r="B1382" s="26" t="n"/>
      <c r="O1382" s="26" t="n"/>
    </row>
    <row r="1383">
      <c r="B1383" s="26" t="n"/>
      <c r="O1383" s="26" t="n"/>
    </row>
    <row r="1384">
      <c r="B1384" s="26" t="n"/>
      <c r="O1384" s="26" t="n"/>
    </row>
    <row r="1385">
      <c r="B1385" s="26" t="n"/>
      <c r="O1385" s="26" t="n"/>
    </row>
    <row r="1386">
      <c r="B1386" s="26" t="n"/>
      <c r="O1386" s="26" t="n"/>
    </row>
    <row r="1387">
      <c r="B1387" s="26" t="n"/>
      <c r="O1387" s="26" t="n"/>
    </row>
    <row r="1388">
      <c r="B1388" s="26" t="n"/>
      <c r="O1388" s="26" t="n"/>
    </row>
    <row r="1389">
      <c r="B1389" s="26" t="n"/>
      <c r="O1389" s="26" t="n"/>
    </row>
    <row r="1390">
      <c r="B1390" s="26" t="n"/>
      <c r="O1390" s="26" t="n"/>
    </row>
    <row r="1391">
      <c r="B1391" s="26" t="n"/>
      <c r="O1391" s="26" t="n"/>
    </row>
    <row r="1392">
      <c r="B1392" s="26" t="n"/>
      <c r="O1392" s="26" t="n"/>
    </row>
    <row r="1393">
      <c r="B1393" s="26" t="n"/>
      <c r="O1393" s="26" t="n"/>
    </row>
    <row r="1394">
      <c r="B1394" s="26" t="n"/>
      <c r="O1394" s="26" t="n"/>
    </row>
    <row r="1395">
      <c r="B1395" s="26" t="n"/>
      <c r="O1395" s="26" t="n"/>
    </row>
    <row r="1396">
      <c r="B1396" s="26" t="n"/>
      <c r="O1396" s="26" t="n"/>
    </row>
    <row r="1397">
      <c r="B1397" s="26" t="n"/>
      <c r="O1397" s="26" t="n"/>
    </row>
    <row r="1398">
      <c r="B1398" s="26" t="n"/>
      <c r="O1398" s="26" t="n"/>
    </row>
    <row r="1399">
      <c r="B1399" s="26" t="n"/>
      <c r="O1399" s="26" t="n"/>
    </row>
    <row r="1400">
      <c r="B1400" s="26" t="n"/>
      <c r="O1400" s="26" t="n"/>
    </row>
    <row r="1401">
      <c r="B1401" s="26" t="n"/>
      <c r="O1401" s="26" t="n"/>
    </row>
    <row r="1402">
      <c r="B1402" s="26" t="n"/>
      <c r="O1402" s="26" t="n"/>
    </row>
    <row r="1403">
      <c r="B1403" s="26" t="n"/>
      <c r="O1403" s="26" t="n"/>
    </row>
    <row r="1404">
      <c r="B1404" s="26" t="n"/>
      <c r="O1404" s="26" t="n"/>
    </row>
    <row r="1405">
      <c r="B1405" s="26" t="n"/>
      <c r="O1405" s="26" t="n"/>
    </row>
    <row r="1406">
      <c r="B1406" s="26" t="n"/>
      <c r="O1406" s="26" t="n"/>
    </row>
    <row r="1407">
      <c r="B1407" s="26" t="n"/>
      <c r="O1407" s="26" t="n"/>
    </row>
    <row r="1408">
      <c r="B1408" s="26" t="n"/>
      <c r="O1408" s="26" t="n"/>
    </row>
    <row r="1409">
      <c r="B1409" s="26" t="n"/>
      <c r="O1409" s="26" t="n"/>
    </row>
    <row r="1410">
      <c r="B1410" s="26" t="n"/>
      <c r="O1410" s="26" t="n"/>
    </row>
    <row r="1411">
      <c r="B1411" s="26" t="n"/>
      <c r="O1411" s="26" t="n"/>
    </row>
    <row r="1412">
      <c r="B1412" s="26" t="n"/>
      <c r="O1412" s="26" t="n"/>
    </row>
    <row r="1413">
      <c r="B1413" s="26" t="n"/>
      <c r="O1413" s="26" t="n"/>
    </row>
    <row r="1414">
      <c r="B1414" s="26" t="n"/>
      <c r="O1414" s="26" t="n"/>
    </row>
    <row r="1415">
      <c r="B1415" s="26" t="n"/>
      <c r="O1415" s="26" t="n"/>
    </row>
    <row r="1416">
      <c r="B1416" s="26" t="n"/>
      <c r="O1416" s="26" t="n"/>
    </row>
    <row r="1417">
      <c r="B1417" s="26" t="n"/>
      <c r="O1417" s="26" t="n"/>
    </row>
    <row r="1418">
      <c r="B1418" s="26" t="n"/>
      <c r="O1418" s="26" t="n"/>
    </row>
    <row r="1419">
      <c r="B1419" s="26" t="n"/>
      <c r="O1419" s="26" t="n"/>
    </row>
    <row r="1420">
      <c r="B1420" s="26" t="n"/>
      <c r="O1420" s="26" t="n"/>
    </row>
    <row r="1421">
      <c r="B1421" s="26" t="n"/>
      <c r="O1421" s="26" t="n"/>
    </row>
    <row r="1422">
      <c r="B1422" s="26" t="n"/>
      <c r="O1422" s="26" t="n"/>
    </row>
    <row r="1423">
      <c r="B1423" s="26" t="n"/>
      <c r="O1423" s="26" t="n"/>
    </row>
    <row r="1424">
      <c r="B1424" s="26" t="n"/>
      <c r="O1424" s="26" t="n"/>
    </row>
    <row r="1425">
      <c r="B1425" s="26" t="n"/>
      <c r="O1425" s="26" t="n"/>
    </row>
    <row r="1426">
      <c r="B1426" s="26" t="n"/>
      <c r="O1426" s="26" t="n"/>
    </row>
    <row r="1427">
      <c r="B1427" s="26" t="n"/>
      <c r="O1427" s="26" t="n"/>
    </row>
    <row r="1428">
      <c r="B1428" s="26" t="n"/>
      <c r="O1428" s="26" t="n"/>
    </row>
    <row r="1429">
      <c r="B1429" s="26" t="n"/>
      <c r="O1429" s="26" t="n"/>
    </row>
    <row r="1430">
      <c r="B1430" s="26" t="n"/>
      <c r="O1430" s="26" t="n"/>
    </row>
    <row r="1431">
      <c r="B1431" s="26" t="n"/>
      <c r="O1431" s="26" t="n"/>
    </row>
    <row r="1432">
      <c r="B1432" s="26" t="n"/>
      <c r="O1432" s="26" t="n"/>
    </row>
    <row r="1433">
      <c r="B1433" s="26" t="n"/>
      <c r="O1433" s="26" t="n"/>
    </row>
    <row r="1434">
      <c r="B1434" s="26" t="n"/>
      <c r="O1434" s="26" t="n"/>
    </row>
    <row r="1435">
      <c r="B1435" s="26" t="n"/>
      <c r="O1435" s="26" t="n"/>
    </row>
    <row r="1436">
      <c r="B1436" s="26" t="n"/>
      <c r="O1436" s="26" t="n"/>
    </row>
    <row r="1437">
      <c r="B1437" s="26" t="n"/>
      <c r="O1437" s="26" t="n"/>
    </row>
    <row r="1438">
      <c r="B1438" s="26" t="n"/>
      <c r="O1438" s="26" t="n"/>
    </row>
    <row r="1439">
      <c r="B1439" s="26" t="n"/>
      <c r="O1439" s="26" t="n"/>
    </row>
    <row r="1440">
      <c r="B1440" s="26" t="n"/>
      <c r="O1440" s="26" t="n"/>
    </row>
    <row r="1441">
      <c r="B1441" s="26" t="n"/>
      <c r="O1441" s="26" t="n"/>
    </row>
    <row r="1442">
      <c r="B1442" s="26" t="n"/>
      <c r="O1442" s="26" t="n"/>
    </row>
    <row r="1443">
      <c r="B1443" s="26" t="n"/>
      <c r="O1443" s="26" t="n"/>
    </row>
    <row r="1444">
      <c r="B1444" s="26" t="n"/>
      <c r="O1444" s="26" t="n"/>
    </row>
    <row r="1445">
      <c r="B1445" s="26" t="n"/>
      <c r="O1445" s="26" t="n"/>
    </row>
    <row r="1446">
      <c r="B1446" s="26" t="n"/>
      <c r="O1446" s="26" t="n"/>
    </row>
    <row r="1447">
      <c r="B1447" s="26" t="n"/>
      <c r="O1447" s="26" t="n"/>
    </row>
    <row r="1448">
      <c r="B1448" s="26" t="n"/>
      <c r="O1448" s="26" t="n"/>
    </row>
    <row r="1449">
      <c r="B1449" s="26" t="n"/>
      <c r="O1449" s="26" t="n"/>
    </row>
    <row r="1450">
      <c r="B1450" s="26" t="n"/>
      <c r="O1450" s="26" t="n"/>
    </row>
    <row r="1451">
      <c r="B1451" s="26" t="n"/>
      <c r="O1451" s="26" t="n"/>
    </row>
    <row r="1452">
      <c r="B1452" s="26" t="n"/>
      <c r="O1452" s="26" t="n"/>
    </row>
    <row r="1453">
      <c r="B1453" s="26" t="n"/>
      <c r="O1453" s="26" t="n"/>
    </row>
    <row r="1454">
      <c r="B1454" s="26" t="n"/>
      <c r="O1454" s="26" t="n"/>
    </row>
    <row r="1455">
      <c r="B1455" s="26" t="n"/>
      <c r="O1455" s="26" t="n"/>
    </row>
    <row r="1456">
      <c r="B1456" s="26" t="n"/>
      <c r="O1456" s="26" t="n"/>
    </row>
    <row r="1457">
      <c r="B1457" s="26" t="n"/>
      <c r="O1457" s="26" t="n"/>
    </row>
    <row r="1458">
      <c r="B1458" s="26" t="n"/>
      <c r="O1458" s="26" t="n"/>
    </row>
    <row r="1459">
      <c r="B1459" s="26" t="n"/>
      <c r="O1459" s="26" t="n"/>
    </row>
    <row r="1460">
      <c r="B1460" s="26" t="n"/>
      <c r="O1460" s="26" t="n"/>
    </row>
    <row r="1461">
      <c r="B1461" s="26" t="n"/>
      <c r="O1461" s="26" t="n"/>
    </row>
    <row r="1462">
      <c r="B1462" s="26" t="n"/>
      <c r="O1462" s="26" t="n"/>
    </row>
    <row r="1463">
      <c r="B1463" s="26" t="n"/>
      <c r="O1463" s="26" t="n"/>
    </row>
    <row r="1464">
      <c r="B1464" s="26" t="n"/>
      <c r="O1464" s="26" t="n"/>
    </row>
    <row r="1465">
      <c r="B1465" s="26" t="n"/>
      <c r="O1465" s="26" t="n"/>
    </row>
    <row r="1466">
      <c r="B1466" s="26" t="n"/>
      <c r="O1466" s="26" t="n"/>
    </row>
    <row r="1467">
      <c r="B1467" s="26" t="n"/>
      <c r="O1467" s="26" t="n"/>
    </row>
    <row r="1468">
      <c r="B1468" s="26" t="n"/>
      <c r="O1468" s="26" t="n"/>
    </row>
    <row r="1469">
      <c r="B1469" s="26" t="n"/>
      <c r="O1469" s="26" t="n"/>
    </row>
    <row r="1470">
      <c r="B1470" s="26" t="n"/>
      <c r="O1470" s="26" t="n"/>
    </row>
    <row r="1471">
      <c r="B1471" s="26" t="n"/>
      <c r="O1471" s="26" t="n"/>
    </row>
    <row r="1472">
      <c r="B1472" s="26" t="n"/>
      <c r="O1472" s="26" t="n"/>
    </row>
    <row r="1473">
      <c r="B1473" s="26" t="n"/>
      <c r="O1473" s="26" t="n"/>
    </row>
    <row r="1474">
      <c r="B1474" s="26" t="n"/>
      <c r="O1474" s="26" t="n"/>
    </row>
    <row r="1475">
      <c r="B1475" s="26" t="n"/>
      <c r="O1475" s="26" t="n"/>
    </row>
    <row r="1476">
      <c r="B1476" s="26" t="n"/>
      <c r="O1476" s="26" t="n"/>
    </row>
    <row r="1477">
      <c r="B1477" s="26" t="n"/>
      <c r="O1477" s="26" t="n"/>
    </row>
    <row r="1478">
      <c r="B1478" s="26" t="n"/>
      <c r="O1478" s="26" t="n"/>
    </row>
    <row r="1479">
      <c r="B1479" s="26" t="n"/>
      <c r="O1479" s="26" t="n"/>
    </row>
    <row r="1480">
      <c r="B1480" s="26" t="n"/>
      <c r="O1480" s="26" t="n"/>
    </row>
    <row r="1481">
      <c r="B1481" s="26" t="n"/>
      <c r="O1481" s="26" t="n"/>
    </row>
    <row r="1482">
      <c r="B1482" s="26" t="n"/>
      <c r="O1482" s="26" t="n"/>
    </row>
    <row r="1483">
      <c r="B1483" s="26" t="n"/>
      <c r="O1483" s="26" t="n"/>
    </row>
    <row r="1484">
      <c r="B1484" s="26" t="n"/>
      <c r="O1484" s="26" t="n"/>
    </row>
    <row r="1485">
      <c r="B1485" s="26" t="n"/>
      <c r="O1485" s="26" t="n"/>
    </row>
    <row r="1486">
      <c r="B1486" s="26" t="n"/>
      <c r="O1486" s="26" t="n"/>
    </row>
    <row r="1487">
      <c r="B1487" s="26" t="n"/>
      <c r="O1487" s="26" t="n"/>
    </row>
    <row r="1488">
      <c r="B1488" s="26" t="n"/>
      <c r="O1488" s="26" t="n"/>
    </row>
    <row r="1489">
      <c r="B1489" s="26" t="n"/>
      <c r="O1489" s="26" t="n"/>
    </row>
    <row r="1490">
      <c r="B1490" s="26" t="n"/>
      <c r="O1490" s="26" t="n"/>
    </row>
    <row r="1491">
      <c r="B1491" s="26" t="n"/>
      <c r="O1491" s="26" t="n"/>
    </row>
    <row r="1492">
      <c r="B1492" s="26" t="n"/>
      <c r="O1492" s="26" t="n"/>
    </row>
    <row r="1493">
      <c r="B1493" s="26" t="n"/>
      <c r="O1493" s="26" t="n"/>
    </row>
    <row r="1494">
      <c r="B1494" s="26" t="n"/>
      <c r="O1494" s="26" t="n"/>
    </row>
    <row r="1495">
      <c r="B1495" s="26" t="n"/>
      <c r="O1495" s="26" t="n"/>
    </row>
    <row r="1496">
      <c r="B1496" s="26" t="n"/>
      <c r="O1496" s="26" t="n"/>
    </row>
    <row r="1497">
      <c r="B1497" s="26" t="n"/>
      <c r="O1497" s="26" t="n"/>
    </row>
    <row r="1498">
      <c r="B1498" s="26" t="n"/>
      <c r="O1498" s="26" t="n"/>
    </row>
    <row r="1499">
      <c r="B1499" s="26" t="n"/>
      <c r="O1499" s="26" t="n"/>
    </row>
    <row r="1500">
      <c r="B1500" s="26" t="n"/>
      <c r="O1500" s="26" t="n"/>
    </row>
    <row r="1501">
      <c r="B1501" s="26" t="n"/>
      <c r="O1501" s="26" t="n"/>
    </row>
    <row r="1502">
      <c r="B1502" s="26" t="n"/>
      <c r="O1502" s="26" t="n"/>
    </row>
    <row r="1503">
      <c r="B1503" s="26" t="n"/>
      <c r="O1503" s="26" t="n"/>
    </row>
    <row r="1504">
      <c r="B1504" s="26" t="n"/>
      <c r="O1504" s="26" t="n"/>
    </row>
    <row r="1505">
      <c r="B1505" s="26" t="n"/>
      <c r="O1505" s="26" t="n"/>
    </row>
    <row r="1506">
      <c r="B1506" s="26" t="n"/>
      <c r="O1506" s="26" t="n"/>
    </row>
    <row r="1507">
      <c r="B1507" s="26" t="n"/>
      <c r="O1507" s="26" t="n"/>
    </row>
    <row r="1508">
      <c r="B1508" s="26" t="n"/>
      <c r="O1508" s="26" t="n"/>
    </row>
    <row r="1509">
      <c r="B1509" s="26" t="n"/>
      <c r="O1509" s="26" t="n"/>
    </row>
    <row r="1510">
      <c r="B1510" s="26" t="n"/>
      <c r="O1510" s="26" t="n"/>
    </row>
    <row r="1511">
      <c r="B1511" s="26" t="n"/>
      <c r="O1511" s="26" t="n"/>
    </row>
    <row r="1512">
      <c r="B1512" s="26" t="n"/>
      <c r="O1512" s="26" t="n"/>
    </row>
    <row r="1513">
      <c r="B1513" s="26" t="n"/>
      <c r="O1513" s="26" t="n"/>
    </row>
    <row r="1514">
      <c r="B1514" s="26" t="n"/>
      <c r="O1514" s="26" t="n"/>
    </row>
    <row r="1515">
      <c r="B1515" s="26" t="n"/>
      <c r="O1515" s="26" t="n"/>
    </row>
    <row r="1516">
      <c r="B1516" s="26" t="n"/>
      <c r="O1516" s="26" t="n"/>
    </row>
    <row r="1517">
      <c r="B1517" s="26" t="n"/>
      <c r="O1517" s="26" t="n"/>
    </row>
    <row r="1518">
      <c r="B1518" s="26" t="n"/>
      <c r="O1518" s="26" t="n"/>
    </row>
    <row r="1519">
      <c r="B1519" s="26" t="n"/>
      <c r="O1519" s="26" t="n"/>
    </row>
    <row r="1520">
      <c r="B1520" s="26" t="n"/>
      <c r="O1520" s="26" t="n"/>
    </row>
    <row r="1521">
      <c r="B1521" s="26" t="n"/>
      <c r="O1521" s="26" t="n"/>
    </row>
    <row r="1522">
      <c r="B1522" s="26" t="n"/>
      <c r="O1522" s="26" t="n"/>
    </row>
    <row r="1523">
      <c r="B1523" s="26" t="n"/>
      <c r="O1523" s="26" t="n"/>
    </row>
    <row r="1524">
      <c r="B1524" s="26" t="n"/>
      <c r="O1524" s="26" t="n"/>
    </row>
    <row r="1525">
      <c r="B1525" s="26" t="n"/>
      <c r="O1525" s="26" t="n"/>
    </row>
    <row r="1526">
      <c r="B1526" s="26" t="n"/>
      <c r="O1526" s="26" t="n"/>
    </row>
    <row r="1527">
      <c r="B1527" s="26" t="n"/>
      <c r="O1527" s="26" t="n"/>
    </row>
    <row r="1528">
      <c r="B1528" s="26" t="n"/>
      <c r="O1528" s="26" t="n"/>
    </row>
    <row r="1529">
      <c r="B1529" s="26" t="n"/>
      <c r="O1529" s="26" t="n"/>
    </row>
    <row r="1530">
      <c r="B1530" s="26" t="n"/>
      <c r="O1530" s="26" t="n"/>
    </row>
    <row r="1531">
      <c r="B1531" s="26" t="n"/>
      <c r="O1531" s="26" t="n"/>
    </row>
    <row r="1532">
      <c r="B1532" s="26" t="n"/>
      <c r="O1532" s="26" t="n"/>
    </row>
    <row r="1533">
      <c r="B1533" s="26" t="n"/>
      <c r="O1533" s="26" t="n"/>
    </row>
    <row r="1534">
      <c r="B1534" s="26" t="n"/>
      <c r="O1534" s="26" t="n"/>
    </row>
    <row r="1535">
      <c r="B1535" s="26" t="n"/>
      <c r="O1535" s="26" t="n"/>
    </row>
    <row r="1536">
      <c r="B1536" s="26" t="n"/>
      <c r="O1536" s="26" t="n"/>
    </row>
    <row r="1537">
      <c r="B1537" s="26" t="n"/>
      <c r="O1537" s="26" t="n"/>
    </row>
    <row r="1538">
      <c r="B1538" s="26" t="n"/>
      <c r="O1538" s="26" t="n"/>
    </row>
    <row r="1539">
      <c r="B1539" s="26" t="n"/>
      <c r="O1539" s="26" t="n"/>
    </row>
    <row r="1540">
      <c r="B1540" s="26" t="n"/>
      <c r="O1540" s="26" t="n"/>
    </row>
    <row r="1541">
      <c r="B1541" s="26" t="n"/>
      <c r="O1541" s="26" t="n"/>
    </row>
    <row r="1542">
      <c r="B1542" s="26" t="n"/>
      <c r="O1542" s="26" t="n"/>
    </row>
    <row r="1543">
      <c r="B1543" s="26" t="n"/>
      <c r="O1543" s="26" t="n"/>
    </row>
    <row r="1544">
      <c r="B1544" s="26" t="n"/>
      <c r="O1544" s="26" t="n"/>
    </row>
    <row r="1545">
      <c r="B1545" s="26" t="n"/>
      <c r="O1545" s="26" t="n"/>
    </row>
    <row r="1546">
      <c r="B1546" s="26" t="n"/>
      <c r="O1546" s="26" t="n"/>
    </row>
    <row r="1547">
      <c r="B1547" s="26" t="n"/>
      <c r="O1547" s="26" t="n"/>
    </row>
    <row r="1548">
      <c r="B1548" s="26" t="n"/>
      <c r="O1548" s="26" t="n"/>
    </row>
    <row r="1549">
      <c r="B1549" s="26" t="n"/>
      <c r="O1549" s="26" t="n"/>
    </row>
    <row r="1550">
      <c r="B1550" s="26" t="n"/>
      <c r="O1550" s="26" t="n"/>
    </row>
    <row r="1551">
      <c r="B1551" s="26" t="n"/>
      <c r="O1551" s="26" t="n"/>
    </row>
    <row r="1552">
      <c r="B1552" s="26" t="n"/>
      <c r="O1552" s="26" t="n"/>
    </row>
    <row r="1553">
      <c r="B1553" s="26" t="n"/>
      <c r="O1553" s="26" t="n"/>
    </row>
    <row r="1554">
      <c r="B1554" s="26" t="n"/>
      <c r="O1554" s="26" t="n"/>
    </row>
    <row r="1555">
      <c r="B1555" s="26" t="n"/>
      <c r="O1555" s="26" t="n"/>
    </row>
    <row r="1556">
      <c r="B1556" s="26" t="n"/>
      <c r="O1556" s="26" t="n"/>
    </row>
    <row r="1557">
      <c r="B1557" s="26" t="n"/>
      <c r="O1557" s="26" t="n"/>
    </row>
    <row r="1558">
      <c r="B1558" s="26" t="n"/>
      <c r="O1558" s="26" t="n"/>
    </row>
    <row r="1559">
      <c r="B1559" s="26" t="n"/>
      <c r="O1559" s="26" t="n"/>
    </row>
    <row r="1560">
      <c r="B1560" s="26" t="n"/>
      <c r="O1560" s="26" t="n"/>
    </row>
    <row r="1561">
      <c r="B1561" s="26" t="n"/>
      <c r="O1561" s="26" t="n"/>
    </row>
    <row r="1562">
      <c r="B1562" s="26" t="n"/>
      <c r="O1562" s="26" t="n"/>
    </row>
    <row r="1563">
      <c r="B1563" s="26" t="n"/>
      <c r="O1563" s="26" t="n"/>
    </row>
    <row r="1564">
      <c r="B1564" s="26" t="n"/>
      <c r="O1564" s="26" t="n"/>
    </row>
    <row r="1565">
      <c r="B1565" s="26" t="n"/>
      <c r="O1565" s="26" t="n"/>
    </row>
    <row r="1566">
      <c r="B1566" s="26" t="n"/>
      <c r="O1566" s="26" t="n"/>
    </row>
    <row r="1567">
      <c r="B1567" s="26" t="n"/>
      <c r="O1567" s="26" t="n"/>
    </row>
    <row r="1568">
      <c r="B1568" s="26" t="n"/>
      <c r="O1568" s="26" t="n"/>
    </row>
    <row r="1569">
      <c r="B1569" s="26" t="n"/>
      <c r="O1569" s="26" t="n"/>
    </row>
    <row r="1570">
      <c r="B1570" s="26" t="n"/>
      <c r="O1570" s="26" t="n"/>
    </row>
    <row r="1571">
      <c r="B1571" s="26" t="n"/>
      <c r="O1571" s="26" t="n"/>
    </row>
    <row r="1572">
      <c r="B1572" s="26" t="n"/>
      <c r="O1572" s="26" t="n"/>
    </row>
    <row r="1573">
      <c r="B1573" s="26" t="n"/>
      <c r="O1573" s="26" t="n"/>
    </row>
    <row r="1574">
      <c r="B1574" s="26" t="n"/>
      <c r="O1574" s="26" t="n"/>
    </row>
    <row r="1575">
      <c r="B1575" s="26" t="n"/>
      <c r="O1575" s="26" t="n"/>
    </row>
    <row r="1576">
      <c r="B1576" s="26" t="n"/>
      <c r="O1576" s="26" t="n"/>
    </row>
    <row r="1577">
      <c r="B1577" s="26" t="n"/>
      <c r="O1577" s="26" t="n"/>
    </row>
    <row r="1578">
      <c r="B1578" s="26" t="n"/>
      <c r="O1578" s="26" t="n"/>
    </row>
    <row r="1579">
      <c r="B1579" s="26" t="n"/>
      <c r="O1579" s="26" t="n"/>
    </row>
    <row r="1580">
      <c r="B1580" s="26" t="n"/>
      <c r="O1580" s="26" t="n"/>
    </row>
    <row r="1581">
      <c r="B1581" s="26" t="n"/>
      <c r="O1581" s="26" t="n"/>
    </row>
    <row r="1582">
      <c r="B1582" s="26" t="n"/>
      <c r="O1582" s="26" t="n"/>
    </row>
    <row r="1583">
      <c r="B1583" s="26" t="n"/>
      <c r="O1583" s="26" t="n"/>
    </row>
    <row r="1584">
      <c r="B1584" s="26" t="n"/>
      <c r="O1584" s="26" t="n"/>
    </row>
    <row r="1585">
      <c r="B1585" s="26" t="n"/>
      <c r="O1585" s="26" t="n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0" summaryRight="0"/>
    <pageSetUpPr/>
  </sheetPr>
  <dimension ref="A1:P1586"/>
  <sheetViews>
    <sheetView workbookViewId="0">
      <selection activeCell="A1" sqref="A1"/>
    </sheetView>
  </sheetViews>
  <sheetFormatPr baseColWidth="8" defaultColWidth="14.42578125" defaultRowHeight="15" customHeight="1"/>
  <sheetData>
    <row r="1">
      <c r="A1" s="100">
        <f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")</f>
        <v/>
      </c>
      <c r="B1" s="100" t="n"/>
      <c r="C1" s="100" t="n"/>
      <c r="D1" s="100">
        <f>'May2026-COLLECTION'!K2</f>
        <v/>
      </c>
      <c r="E1" s="100">
        <f>'June2026-COLLECTION'!K2</f>
        <v/>
      </c>
      <c r="F1" s="100">
        <f>'July2026-COLLECTION'!K2</f>
        <v/>
      </c>
      <c r="G1" s="100">
        <f>'Aug2026-COLLECTION'!K2</f>
        <v/>
      </c>
      <c r="H1" s="100">
        <f>'Sep2026-COLLECTION'!K2</f>
        <v/>
      </c>
      <c r="I1" s="100">
        <f>'Oct2026-COLLECTION'!K2</f>
        <v/>
      </c>
      <c r="J1" s="100">
        <f>'Nov2026-COLLECTION'!K2</f>
        <v/>
      </c>
      <c r="K1" s="100">
        <f>'Dec2026-COLLECTION'!K2</f>
        <v/>
      </c>
      <c r="L1" s="100">
        <f>'Jan2027-COLLECTION'!K2</f>
        <v/>
      </c>
      <c r="M1" s="100">
        <f>'Feb2027-COLLECTION'!K2</f>
        <v/>
      </c>
      <c r="N1" s="100">
        <f>'Mar2027-COLLECTION'!K2</f>
        <v/>
      </c>
      <c r="O1" s="100">
        <f>SUM(C1:N1)</f>
        <v/>
      </c>
      <c r="P1" s="39">
        <f>O1-Expense!O1</f>
        <v/>
      </c>
    </row>
    <row r="2">
      <c r="A2" s="36" t="n"/>
      <c r="B2" s="36" t="n"/>
      <c r="C2" s="47" t="n"/>
      <c r="D2" s="47">
        <f>'May2026-COLLECTION'!K3</f>
        <v/>
      </c>
      <c r="E2" s="47">
        <f>'June2026-COLLECTION'!K3</f>
        <v/>
      </c>
      <c r="F2" s="47">
        <f>'July2026-COLLECTION'!K3</f>
        <v/>
      </c>
      <c r="G2" s="47">
        <f>'Aug2026-COLLECTION'!K3</f>
        <v/>
      </c>
      <c r="H2" s="47">
        <f>'Sep2026-COLLECTION'!K3</f>
        <v/>
      </c>
      <c r="I2" s="47">
        <f>'Oct2026-COLLECTION'!K3</f>
        <v/>
      </c>
      <c r="J2" s="47">
        <f>'Nov2026-COLLECTION'!K3</f>
        <v/>
      </c>
      <c r="K2" s="47">
        <f>'Dec2026-COLLECTION'!K3</f>
        <v/>
      </c>
      <c r="L2" s="47">
        <f>'Jan2027-COLLECTION'!K3</f>
        <v/>
      </c>
      <c r="M2" s="47">
        <f>'Feb2027-COLLECTION'!K3</f>
        <v/>
      </c>
      <c r="N2" s="47">
        <f>'Mar2027-COLLECTION'!K3</f>
        <v/>
      </c>
      <c r="O2" s="47">
        <f>SUM(C2:N2)</f>
        <v/>
      </c>
      <c r="P2" s="43">
        <f>O2-Expense!O2</f>
        <v/>
      </c>
    </row>
    <row r="3">
      <c r="A3" s="37">
        <f>IFERROR(__xludf.DUMMYFUNCTION("""COMPUTED_VALUE"""),5513)</f>
        <v/>
      </c>
      <c r="B3" s="37" t="n"/>
      <c r="C3" s="104" t="n"/>
      <c r="D3" s="104">
        <f>'May2026-COLLECTION'!K4</f>
        <v/>
      </c>
      <c r="E3" s="104">
        <f>'June2026-COLLECTION'!K4</f>
        <v/>
      </c>
      <c r="F3" s="104">
        <f>'July2026-COLLECTION'!K4</f>
        <v/>
      </c>
      <c r="G3" s="104">
        <f>'Aug2026-COLLECTION'!K4</f>
        <v/>
      </c>
      <c r="H3" s="104">
        <f>'Sep2026-COLLECTION'!K4</f>
        <v/>
      </c>
      <c r="I3" s="104">
        <f>'Oct2026-COLLECTION'!K4</f>
        <v/>
      </c>
      <c r="J3" s="41">
        <f>'Nov2026-COLLECTION'!K4</f>
        <v/>
      </c>
      <c r="K3" s="104">
        <f>'Dec2026-COLLECTION'!K4</f>
        <v/>
      </c>
      <c r="L3" s="104">
        <f>'Jan2027-COLLECTION'!K4</f>
        <v/>
      </c>
      <c r="M3" s="104">
        <f>'Feb2027-COLLECTION'!K4</f>
        <v/>
      </c>
      <c r="N3" s="41">
        <f>'Mar2027-COLLECTION'!K4</f>
        <v/>
      </c>
      <c r="O3" s="104">
        <f>SUM(C3:N3)</f>
        <v/>
      </c>
      <c r="P3" s="41">
        <f>O3-Expense!O3</f>
        <v/>
      </c>
    </row>
    <row r="4">
      <c r="A4" s="36">
        <f>IFERROR(__xludf.DUMMYFUNCTION("""COMPUTED_VALUE"""),4374)</f>
        <v/>
      </c>
      <c r="B4" s="36" t="n"/>
      <c r="C4" s="47" t="n"/>
      <c r="D4" s="43">
        <f>'May2026-COLLECTION'!K5</f>
        <v/>
      </c>
      <c r="E4" s="43">
        <f>'June2026-COLLECTION'!K5</f>
        <v/>
      </c>
      <c r="F4" s="43">
        <f>'July2026-COLLECTION'!K5</f>
        <v/>
      </c>
      <c r="G4" s="43">
        <f>'Aug2026-COLLECTION'!K5</f>
        <v/>
      </c>
      <c r="H4" s="43">
        <f>'Sep2026-COLLECTION'!K5</f>
        <v/>
      </c>
      <c r="I4" s="43">
        <f>'Oct2026-COLLECTION'!K5</f>
        <v/>
      </c>
      <c r="J4" s="43">
        <f>'Nov2026-COLLECTION'!K5</f>
        <v/>
      </c>
      <c r="K4" s="43">
        <f>'Dec2026-COLLECTION'!K5</f>
        <v/>
      </c>
      <c r="L4" s="43">
        <f>'Jan2027-COLLECTION'!K5</f>
        <v/>
      </c>
      <c r="M4" s="43">
        <f>'Feb2027-COLLECTION'!K5</f>
        <v/>
      </c>
      <c r="N4" s="47">
        <f>'Mar2027-COLLECTION'!K5</f>
        <v/>
      </c>
      <c r="O4" s="47">
        <f>SUM(C4:N4)</f>
        <v/>
      </c>
      <c r="P4" s="43">
        <f>O4-Expense!O4</f>
        <v/>
      </c>
    </row>
    <row r="5">
      <c r="A5" s="37">
        <f>IFERROR(__xludf.DUMMYFUNCTION("""COMPUTED_VALUE"""),0)</f>
        <v/>
      </c>
      <c r="B5" s="37" t="n"/>
      <c r="C5" s="104" t="n"/>
      <c r="D5" s="104">
        <f>'May2026-COLLECTION'!K6</f>
        <v/>
      </c>
      <c r="E5" s="104">
        <f>'June2026-COLLECTION'!K6</f>
        <v/>
      </c>
      <c r="F5" s="104">
        <f>'July2026-COLLECTION'!K6</f>
        <v/>
      </c>
      <c r="G5" s="104">
        <f>'Aug2026-COLLECTION'!K6</f>
        <v/>
      </c>
      <c r="H5" s="104">
        <f>'Sep2026-COLLECTION'!K6</f>
        <v/>
      </c>
      <c r="I5" s="41">
        <f>'Oct2026-COLLECTION'!K6</f>
        <v/>
      </c>
      <c r="J5" s="104">
        <f>'Nov2026-COLLECTION'!K6</f>
        <v/>
      </c>
      <c r="K5" s="104">
        <f>'Dec2026-COLLECTION'!K6</f>
        <v/>
      </c>
      <c r="L5" s="104">
        <f>'Jan2027-COLLECTION'!K6</f>
        <v/>
      </c>
      <c r="M5" s="104">
        <f>'Feb2027-COLLECTION'!K6</f>
        <v/>
      </c>
      <c r="N5" s="104">
        <f>'Mar2027-COLLECTION'!K6</f>
        <v/>
      </c>
      <c r="O5" s="104">
        <f>SUM(C5:N5)</f>
        <v/>
      </c>
      <c r="P5" s="41">
        <f>O5-Expense!O5</f>
        <v/>
      </c>
    </row>
    <row r="6">
      <c r="A6" s="36">
        <f>IFERROR(__xludf.DUMMYFUNCTION("""COMPUTED_VALUE"""),5497)</f>
        <v/>
      </c>
      <c r="B6" s="36" t="n"/>
      <c r="C6" s="47" t="n"/>
      <c r="D6" s="47">
        <f>'May2026-COLLECTION'!K7</f>
        <v/>
      </c>
      <c r="E6" s="47">
        <f>'June2026-COLLECTION'!K7</f>
        <v/>
      </c>
      <c r="F6" s="47">
        <f>'July2026-COLLECTION'!K7</f>
        <v/>
      </c>
      <c r="G6" s="47">
        <f>'Aug2026-COLLECTION'!K7</f>
        <v/>
      </c>
      <c r="H6" s="47">
        <f>'Sep2026-COLLECTION'!K7</f>
        <v/>
      </c>
      <c r="I6" s="43">
        <f>'Oct2026-COLLECTION'!K7</f>
        <v/>
      </c>
      <c r="J6" s="47">
        <f>'Nov2026-COLLECTION'!K7</f>
        <v/>
      </c>
      <c r="K6" s="47">
        <f>'Dec2026-COLLECTION'!K7</f>
        <v/>
      </c>
      <c r="L6" s="47">
        <f>'Jan2027-COLLECTION'!K7</f>
        <v/>
      </c>
      <c r="M6" s="47">
        <f>'Feb2027-COLLECTION'!K7</f>
        <v/>
      </c>
      <c r="N6" s="47">
        <f>'Mar2027-COLLECTION'!K7</f>
        <v/>
      </c>
      <c r="O6" s="47">
        <f>SUM(C6:N6)</f>
        <v/>
      </c>
      <c r="P6" s="43">
        <f>O6-Expense!O6</f>
        <v/>
      </c>
    </row>
    <row r="7">
      <c r="A7" s="37">
        <f>IFERROR(__xludf.DUMMYFUNCTION("""COMPUTED_VALUE"""),5497)</f>
        <v/>
      </c>
      <c r="B7" s="37" t="n"/>
      <c r="C7" s="104" t="n"/>
      <c r="D7" s="104">
        <f>'May2026-COLLECTION'!K8</f>
        <v/>
      </c>
      <c r="E7" s="104">
        <f>'June2026-COLLECTION'!K8</f>
        <v/>
      </c>
      <c r="F7" s="104">
        <f>'July2026-COLLECTION'!K8</f>
        <v/>
      </c>
      <c r="G7" s="104">
        <f>'Aug2026-COLLECTION'!K8</f>
        <v/>
      </c>
      <c r="H7" s="104">
        <f>'Sep2026-COLLECTION'!K8</f>
        <v/>
      </c>
      <c r="I7" s="104">
        <f>'Oct2026-COLLECTION'!K8</f>
        <v/>
      </c>
      <c r="J7" s="41">
        <f>'Nov2026-COLLECTION'!K8</f>
        <v/>
      </c>
      <c r="K7" s="104">
        <f>'Dec2026-COLLECTION'!K8</f>
        <v/>
      </c>
      <c r="L7" s="104">
        <f>'Jan2027-COLLECTION'!K8</f>
        <v/>
      </c>
      <c r="M7" s="104">
        <f>'Feb2027-COLLECTION'!K8</f>
        <v/>
      </c>
      <c r="N7" s="104">
        <f>'Mar2027-COLLECTION'!K8</f>
        <v/>
      </c>
      <c r="O7" s="104">
        <f>SUM(C7:N7)</f>
        <v/>
      </c>
      <c r="P7" s="41">
        <f>O7-Expense!O7</f>
        <v/>
      </c>
    </row>
    <row r="8">
      <c r="A8" s="36">
        <f>IFERROR(__xludf.DUMMYFUNCTION("""COMPUTED_VALUE"""),0)</f>
        <v/>
      </c>
      <c r="B8" s="36" t="n"/>
      <c r="C8" s="47" t="n"/>
      <c r="D8" s="43">
        <f>'May2026-COLLECTION'!K9</f>
        <v/>
      </c>
      <c r="E8" s="43">
        <f>'June2026-COLLECTION'!K9</f>
        <v/>
      </c>
      <c r="F8" s="43">
        <f>'July2026-COLLECTION'!K9</f>
        <v/>
      </c>
      <c r="G8" s="43">
        <f>'Aug2026-COLLECTION'!K9</f>
        <v/>
      </c>
      <c r="H8" s="43">
        <f>'Sep2026-COLLECTION'!K9</f>
        <v/>
      </c>
      <c r="I8" s="43">
        <f>'Oct2026-COLLECTION'!K9</f>
        <v/>
      </c>
      <c r="J8" s="47">
        <f>'Nov2026-COLLECTION'!K9</f>
        <v/>
      </c>
      <c r="K8" s="43">
        <f>'Dec2026-COLLECTION'!K9</f>
        <v/>
      </c>
      <c r="L8" s="43">
        <f>'Jan2027-COLLECTION'!K9</f>
        <v/>
      </c>
      <c r="M8" s="43">
        <f>'Feb2027-COLLECTION'!K9</f>
        <v/>
      </c>
      <c r="N8" s="47">
        <f>'Mar2027-COLLECTION'!K9</f>
        <v/>
      </c>
      <c r="O8" s="47">
        <f>SUM(C8:N8)</f>
        <v/>
      </c>
      <c r="P8" s="43">
        <f>O8-Expense!O8</f>
        <v/>
      </c>
    </row>
    <row r="9">
      <c r="A9" s="37">
        <f>IFERROR(__xludf.DUMMYFUNCTION("""COMPUTED_VALUE"""),0)</f>
        <v/>
      </c>
      <c r="B9" s="37" t="n"/>
      <c r="C9" s="104" t="n"/>
      <c r="D9" s="41">
        <f>'May2026-COLLECTION'!K10</f>
        <v/>
      </c>
      <c r="E9" s="41">
        <f>'June2026-COLLECTION'!K10</f>
        <v/>
      </c>
      <c r="F9" s="41">
        <f>'July2026-COLLECTION'!K10</f>
        <v/>
      </c>
      <c r="G9" s="41">
        <f>'Aug2026-COLLECTION'!K10</f>
        <v/>
      </c>
      <c r="H9" s="41">
        <f>'Sep2026-COLLECTION'!K10</f>
        <v/>
      </c>
      <c r="I9" s="41">
        <f>'Oct2026-COLLECTION'!K10</f>
        <v/>
      </c>
      <c r="J9" s="104">
        <f>'Nov2026-COLLECTION'!K10</f>
        <v/>
      </c>
      <c r="K9" s="41">
        <f>'Dec2026-COLLECTION'!K10</f>
        <v/>
      </c>
      <c r="L9" s="41">
        <f>'Jan2027-COLLECTION'!K10</f>
        <v/>
      </c>
      <c r="M9" s="41">
        <f>'Feb2027-COLLECTION'!K10</f>
        <v/>
      </c>
      <c r="N9" s="104">
        <f>'Mar2027-COLLECTION'!K10</f>
        <v/>
      </c>
      <c r="O9" s="104">
        <f>SUM(C9:N9)</f>
        <v/>
      </c>
      <c r="P9" s="41">
        <f>O9-Expense!O9</f>
        <v/>
      </c>
    </row>
    <row r="10">
      <c r="A10" s="36">
        <f>IFERROR(__xludf.DUMMYFUNCTION("""COMPUTED_VALUE"""),13099)</f>
        <v/>
      </c>
      <c r="B10" s="36" t="n"/>
      <c r="C10" s="47" t="n"/>
      <c r="D10" s="43">
        <f>'May2026-COLLECTION'!K11</f>
        <v/>
      </c>
      <c r="E10" s="43">
        <f>'June2026-COLLECTION'!K11</f>
        <v/>
      </c>
      <c r="F10" s="43">
        <f>'July2026-COLLECTION'!K11</f>
        <v/>
      </c>
      <c r="G10" s="43">
        <f>'Aug2026-COLLECTION'!K11</f>
        <v/>
      </c>
      <c r="H10" s="43">
        <f>'Sep2026-COLLECTION'!K11</f>
        <v/>
      </c>
      <c r="I10" s="43">
        <f>'Oct2026-COLLECTION'!K11</f>
        <v/>
      </c>
      <c r="J10" s="47">
        <f>'Nov2026-COLLECTION'!K11</f>
        <v/>
      </c>
      <c r="K10" s="43">
        <f>'Dec2026-COLLECTION'!K11</f>
        <v/>
      </c>
      <c r="L10" s="43">
        <f>'Jan2027-COLLECTION'!K11</f>
        <v/>
      </c>
      <c r="M10" s="47">
        <f>'Feb2027-COLLECTION'!K11</f>
        <v/>
      </c>
      <c r="N10" s="43">
        <f>'Mar2027-COLLECTION'!K11</f>
        <v/>
      </c>
      <c r="O10" s="47">
        <f>SUM(C10:N10)</f>
        <v/>
      </c>
      <c r="P10" s="43">
        <f>O10-Expense!O10</f>
        <v/>
      </c>
    </row>
    <row r="11">
      <c r="A11" s="37">
        <f>IFERROR(__xludf.DUMMYFUNCTION("""COMPUTED_VALUE"""),5555)</f>
        <v/>
      </c>
      <c r="B11" s="37" t="n"/>
      <c r="C11" s="104" t="n"/>
      <c r="D11" s="41">
        <f>'May2026-COLLECTION'!K12</f>
        <v/>
      </c>
      <c r="E11" s="41">
        <f>'June2026-COLLECTION'!K12</f>
        <v/>
      </c>
      <c r="F11" s="41">
        <f>'July2026-COLLECTION'!K12</f>
        <v/>
      </c>
      <c r="G11" s="41">
        <f>'Aug2026-COLLECTION'!K12</f>
        <v/>
      </c>
      <c r="H11" s="41">
        <f>'Sep2026-COLLECTION'!K12</f>
        <v/>
      </c>
      <c r="I11" s="41">
        <f>'Oct2026-COLLECTION'!K12</f>
        <v/>
      </c>
      <c r="J11" s="41">
        <f>'Nov2026-COLLECTION'!K12</f>
        <v/>
      </c>
      <c r="K11" s="41">
        <f>'Dec2026-COLLECTION'!K12</f>
        <v/>
      </c>
      <c r="L11" s="41">
        <f>'Jan2027-COLLECTION'!K12</f>
        <v/>
      </c>
      <c r="M11" s="41">
        <f>'Feb2027-COLLECTION'!K12</f>
        <v/>
      </c>
      <c r="N11" s="104">
        <f>'Mar2027-COLLECTION'!K12</f>
        <v/>
      </c>
      <c r="O11" s="104">
        <f>SUM(C11:N11)</f>
        <v/>
      </c>
      <c r="P11" s="41">
        <f>O11-Expense!O11</f>
        <v/>
      </c>
    </row>
    <row r="12">
      <c r="A12" s="36">
        <f>IFERROR(__xludf.DUMMYFUNCTION("""COMPUTED_VALUE"""),5108)</f>
        <v/>
      </c>
      <c r="B12" s="36" t="n"/>
      <c r="C12" s="47" t="n"/>
      <c r="D12" s="43">
        <f>'May2026-COLLECTION'!K13</f>
        <v/>
      </c>
      <c r="E12" s="43">
        <f>'June2026-COLLECTION'!K13</f>
        <v/>
      </c>
      <c r="F12" s="43">
        <f>'July2026-COLLECTION'!K13</f>
        <v/>
      </c>
      <c r="G12" s="43">
        <f>'Aug2026-COLLECTION'!K13</f>
        <v/>
      </c>
      <c r="H12" s="43">
        <f>'Sep2026-COLLECTION'!K13</f>
        <v/>
      </c>
      <c r="I12" s="43">
        <f>'Oct2026-COLLECTION'!K13</f>
        <v/>
      </c>
      <c r="J12" s="43">
        <f>'Nov2026-COLLECTION'!K13</f>
        <v/>
      </c>
      <c r="K12" s="43">
        <f>'Dec2026-COLLECTION'!K13</f>
        <v/>
      </c>
      <c r="L12" s="43">
        <f>'Jan2027-COLLECTION'!K13</f>
        <v/>
      </c>
      <c r="M12" s="43">
        <f>'Feb2027-COLLECTION'!K13</f>
        <v/>
      </c>
      <c r="N12" s="47">
        <f>'Mar2027-COLLECTION'!K13</f>
        <v/>
      </c>
      <c r="O12" s="47">
        <f>SUM(C12:N12)</f>
        <v/>
      </c>
      <c r="P12" s="43">
        <f>O12-Expense!O12</f>
        <v/>
      </c>
    </row>
    <row r="13">
      <c r="A13" s="37">
        <f>IFERROR(__xludf.DUMMYFUNCTION("""COMPUTED_VALUE"""),4755)</f>
        <v/>
      </c>
      <c r="B13" s="37" t="n"/>
      <c r="C13" s="104" t="n"/>
      <c r="D13" s="104">
        <f>'May2026-COLLECTION'!K14</f>
        <v/>
      </c>
      <c r="E13" s="104">
        <f>'June2026-COLLECTION'!K14</f>
        <v/>
      </c>
      <c r="F13" s="104">
        <f>'July2026-COLLECTION'!K14</f>
        <v/>
      </c>
      <c r="G13" s="104">
        <f>'Aug2026-COLLECTION'!K14</f>
        <v/>
      </c>
      <c r="H13" s="104">
        <f>'Sep2026-COLLECTION'!K14</f>
        <v/>
      </c>
      <c r="I13" s="41">
        <f>'Oct2026-COLLECTION'!K14</f>
        <v/>
      </c>
      <c r="J13" s="104">
        <f>'Nov2026-COLLECTION'!K14</f>
        <v/>
      </c>
      <c r="K13" s="104">
        <f>'Dec2026-COLLECTION'!K14</f>
        <v/>
      </c>
      <c r="L13" s="104">
        <f>'Jan2027-COLLECTION'!K14</f>
        <v/>
      </c>
      <c r="M13" s="104">
        <f>'Feb2027-COLLECTION'!K14</f>
        <v/>
      </c>
      <c r="N13" s="104">
        <f>'Mar2027-COLLECTION'!K14</f>
        <v/>
      </c>
      <c r="O13" s="104">
        <f>SUM(C13:N13)</f>
        <v/>
      </c>
      <c r="P13" s="41">
        <f>O13-Expense!O13</f>
        <v/>
      </c>
    </row>
    <row r="14">
      <c r="A14" s="36">
        <f>IFERROR(__xludf.DUMMYFUNCTION("""COMPUTED_VALUE"""),49398)</f>
        <v/>
      </c>
      <c r="B14" s="36" t="n"/>
      <c r="C14" s="47" t="n"/>
      <c r="D14" s="43">
        <f>'May2026-COLLECTION'!K15</f>
        <v/>
      </c>
      <c r="E14" s="43">
        <f>'June2026-COLLECTION'!K15</f>
        <v/>
      </c>
      <c r="F14" s="43">
        <f>'July2026-COLLECTION'!K15</f>
        <v/>
      </c>
      <c r="G14" s="43">
        <f>'Aug2026-COLLECTION'!K15</f>
        <v/>
      </c>
      <c r="H14" s="43">
        <f>'Sep2026-COLLECTION'!K15</f>
        <v/>
      </c>
      <c r="I14" s="43">
        <f>'Oct2026-COLLECTION'!K15</f>
        <v/>
      </c>
      <c r="J14" s="47">
        <f>'Nov2026-COLLECTION'!K15</f>
        <v/>
      </c>
      <c r="K14" s="43">
        <f>'Dec2026-COLLECTION'!K15</f>
        <v/>
      </c>
      <c r="L14" s="43">
        <f>'Jan2027-COLLECTION'!K15</f>
        <v/>
      </c>
      <c r="M14" s="43">
        <f>'Feb2027-COLLECTION'!K15</f>
        <v/>
      </c>
      <c r="N14" s="47">
        <f>'Mar2027-COLLECTION'!K15</f>
        <v/>
      </c>
      <c r="O14" s="47">
        <f>SUM(C14:N14)</f>
        <v/>
      </c>
      <c r="P14" s="43">
        <f>O14-Expense!O14</f>
        <v/>
      </c>
    </row>
    <row r="15">
      <c r="A15" s="40">
        <f>IFERROR(__xludf.DUMMYFUNCTION("""COMPUTED_VALUE"""),-14386.7062374071)</f>
        <v/>
      </c>
      <c r="B15" s="37" t="n"/>
      <c r="C15" s="104" t="n"/>
      <c r="D15" s="104">
        <f>'May2026-COLLECTION'!K16</f>
        <v/>
      </c>
      <c r="E15" s="104">
        <f>'June2026-COLLECTION'!K16</f>
        <v/>
      </c>
      <c r="F15" s="104">
        <f>'July2026-COLLECTION'!K16</f>
        <v/>
      </c>
      <c r="G15" s="104">
        <f>'Aug2026-COLLECTION'!K16</f>
        <v/>
      </c>
      <c r="H15" s="104">
        <f>'Sep2026-COLLECTION'!K16</f>
        <v/>
      </c>
      <c r="I15" s="41">
        <f>'Oct2026-COLLECTION'!K16</f>
        <v/>
      </c>
      <c r="J15" s="104">
        <f>'Nov2026-COLLECTION'!K16</f>
        <v/>
      </c>
      <c r="K15" s="104">
        <f>'Dec2026-COLLECTION'!K16</f>
        <v/>
      </c>
      <c r="L15" s="104">
        <f>'Jan2027-COLLECTION'!K16</f>
        <v/>
      </c>
      <c r="M15" s="104">
        <f>'Feb2027-COLLECTION'!K16</f>
        <v/>
      </c>
      <c r="N15" s="104">
        <f>'Mar2027-COLLECTION'!K16</f>
        <v/>
      </c>
      <c r="O15" s="104">
        <f>SUM(C15:N15)</f>
        <v/>
      </c>
      <c r="P15" s="41">
        <f>O15-Expense!O15</f>
        <v/>
      </c>
    </row>
    <row r="16">
      <c r="A16" s="36" t="n"/>
      <c r="B16" s="36" t="n"/>
      <c r="C16" s="47" t="n"/>
      <c r="D16" s="47">
        <f>'May2026-COLLECTION'!K17</f>
        <v/>
      </c>
      <c r="E16" s="47">
        <f>'June2026-COLLECTION'!K17</f>
        <v/>
      </c>
      <c r="F16" s="47">
        <f>'July2026-COLLECTION'!K17</f>
        <v/>
      </c>
      <c r="G16" s="47">
        <f>'Aug2026-COLLECTION'!K17</f>
        <v/>
      </c>
      <c r="H16" s="47">
        <f>'Sep2026-COLLECTION'!K17</f>
        <v/>
      </c>
      <c r="I16" s="47">
        <f>'Oct2026-COLLECTION'!K17</f>
        <v/>
      </c>
      <c r="J16" s="47">
        <f>'Nov2026-COLLECTION'!K17</f>
        <v/>
      </c>
      <c r="K16" s="47">
        <f>'Dec2026-COLLECTION'!K17</f>
        <v/>
      </c>
      <c r="L16" s="47">
        <f>'Jan2027-COLLECTION'!K17</f>
        <v/>
      </c>
      <c r="M16" s="47">
        <f>'Feb2027-COLLECTION'!K17</f>
        <v/>
      </c>
      <c r="N16" s="47">
        <f>'Mar2027-COLLECTION'!K17</f>
        <v/>
      </c>
      <c r="O16" s="47">
        <f>SUM(C16:N16)</f>
        <v/>
      </c>
      <c r="P16" s="43">
        <f>O16-Expense!O16</f>
        <v/>
      </c>
    </row>
    <row r="17">
      <c r="A17" s="37" t="n"/>
      <c r="B17" s="37" t="n"/>
      <c r="C17" s="104" t="n"/>
      <c r="D17" s="41">
        <f>'May2026-COLLECTION'!K18</f>
        <v/>
      </c>
      <c r="E17" s="41">
        <f>'June2026-COLLECTION'!K18</f>
        <v/>
      </c>
      <c r="F17" s="41">
        <f>'July2026-COLLECTION'!K18</f>
        <v/>
      </c>
      <c r="G17" s="41">
        <f>'Aug2026-COLLECTION'!K18</f>
        <v/>
      </c>
      <c r="H17" s="41">
        <f>'Sep2026-COLLECTION'!K18</f>
        <v/>
      </c>
      <c r="I17" s="41">
        <f>'Oct2026-COLLECTION'!K18</f>
        <v/>
      </c>
      <c r="J17" s="104">
        <f>'Nov2026-COLLECTION'!K18</f>
        <v/>
      </c>
      <c r="K17" s="41">
        <f>'Dec2026-COLLECTION'!K18</f>
        <v/>
      </c>
      <c r="L17" s="41">
        <f>'Jan2027-COLLECTION'!K18</f>
        <v/>
      </c>
      <c r="M17" s="104">
        <f>'Feb2027-COLLECTION'!K18</f>
        <v/>
      </c>
      <c r="N17" s="41">
        <f>'Mar2027-COLLECTION'!K18</f>
        <v/>
      </c>
      <c r="O17" s="104">
        <f>SUM(C17:N17)</f>
        <v/>
      </c>
      <c r="P17" s="41">
        <f>O17-Expense!O17</f>
        <v/>
      </c>
    </row>
    <row r="18">
      <c r="A18" s="36" t="n"/>
      <c r="B18" s="36" t="n"/>
      <c r="C18" s="47" t="n"/>
      <c r="D18" s="43">
        <f>'May2026-COLLECTION'!K19</f>
        <v/>
      </c>
      <c r="E18" s="43">
        <f>'June2026-COLLECTION'!K19</f>
        <v/>
      </c>
      <c r="F18" s="43">
        <f>'July2026-COLLECTION'!K19</f>
        <v/>
      </c>
      <c r="G18" s="43">
        <f>'Aug2026-COLLECTION'!K19</f>
        <v/>
      </c>
      <c r="H18" s="43">
        <f>'Sep2026-COLLECTION'!K19</f>
        <v/>
      </c>
      <c r="I18" s="43">
        <f>'Oct2026-COLLECTION'!K19</f>
        <v/>
      </c>
      <c r="J18" s="43">
        <f>'Nov2026-COLLECTION'!K19</f>
        <v/>
      </c>
      <c r="K18" s="43">
        <f>'Dec2026-COLLECTION'!K19</f>
        <v/>
      </c>
      <c r="L18" s="43">
        <f>'Jan2027-COLLECTION'!K19</f>
        <v/>
      </c>
      <c r="M18" s="43">
        <f>'Feb2027-COLLECTION'!K19</f>
        <v/>
      </c>
      <c r="N18" s="47">
        <f>'Mar2027-COLLECTION'!K19</f>
        <v/>
      </c>
      <c r="O18" s="47">
        <f>SUM(C18:N18)</f>
        <v/>
      </c>
      <c r="P18" s="43">
        <f>O18-Expense!O18</f>
        <v/>
      </c>
    </row>
    <row r="19">
      <c r="A19" s="37" t="n"/>
      <c r="B19" s="37" t="n"/>
      <c r="C19" s="104" t="n"/>
      <c r="D19" s="41">
        <f>'May2026-COLLECTION'!K20</f>
        <v/>
      </c>
      <c r="E19" s="41">
        <f>'June2026-COLLECTION'!K20</f>
        <v/>
      </c>
      <c r="F19" s="41">
        <f>'July2026-COLLECTION'!K20</f>
        <v/>
      </c>
      <c r="G19" s="41">
        <f>'Aug2026-COLLECTION'!K20</f>
        <v/>
      </c>
      <c r="H19" s="41">
        <f>'Sep2026-COLLECTION'!K20</f>
        <v/>
      </c>
      <c r="I19" s="41">
        <f>'Oct2026-COLLECTION'!K20</f>
        <v/>
      </c>
      <c r="J19" s="41">
        <f>'Nov2026-COLLECTION'!K20</f>
        <v/>
      </c>
      <c r="K19" s="41">
        <f>'Dec2026-COLLECTION'!K20</f>
        <v/>
      </c>
      <c r="L19" s="41">
        <f>'Jan2027-COLLECTION'!K20</f>
        <v/>
      </c>
      <c r="M19" s="41">
        <f>'Feb2027-COLLECTION'!K20</f>
        <v/>
      </c>
      <c r="N19" s="104">
        <f>'Mar2027-COLLECTION'!K20</f>
        <v/>
      </c>
      <c r="O19" s="104">
        <f>SUM(C19:N19)</f>
        <v/>
      </c>
      <c r="P19" s="41">
        <f>O19-Expense!O19</f>
        <v/>
      </c>
    </row>
    <row r="20">
      <c r="A20" s="36">
        <f>IFERROR(__xludf.DUMMYFUNCTION("""COMPUTED_VALUE"""),9182)</f>
        <v/>
      </c>
      <c r="B20" s="36" t="n"/>
      <c r="C20" s="47" t="n"/>
      <c r="D20" s="43">
        <f>'May2026-COLLECTION'!K21</f>
        <v/>
      </c>
      <c r="E20" s="43">
        <f>'June2026-COLLECTION'!K21</f>
        <v/>
      </c>
      <c r="F20" s="43">
        <f>'July2026-COLLECTION'!K21</f>
        <v/>
      </c>
      <c r="G20" s="43">
        <f>'Aug2026-COLLECTION'!K21</f>
        <v/>
      </c>
      <c r="H20" s="43">
        <f>'Sep2026-COLLECTION'!K21</f>
        <v/>
      </c>
      <c r="I20" s="43">
        <f>'Oct2026-COLLECTION'!K21</f>
        <v/>
      </c>
      <c r="J20" s="43">
        <f>'Nov2026-COLLECTION'!K21</f>
        <v/>
      </c>
      <c r="K20" s="43">
        <f>'Dec2026-COLLECTION'!K21</f>
        <v/>
      </c>
      <c r="L20" s="43">
        <f>'Jan2027-COLLECTION'!K21</f>
        <v/>
      </c>
      <c r="M20" s="43">
        <f>'Feb2027-COLLECTION'!K21</f>
        <v/>
      </c>
      <c r="N20" s="47">
        <f>'Mar2027-COLLECTION'!K21</f>
        <v/>
      </c>
      <c r="O20" s="47">
        <f>SUM(C20:N20)</f>
        <v/>
      </c>
      <c r="P20" s="43">
        <f>O20-Expense!O20</f>
        <v/>
      </c>
    </row>
    <row r="21">
      <c r="A21" s="37">
        <f>IFERROR(__xludf.DUMMYFUNCTION("""COMPUTED_VALUE"""),41625)</f>
        <v/>
      </c>
      <c r="B21" s="37" t="n"/>
      <c r="C21" s="104" t="n"/>
      <c r="D21" s="41">
        <f>'May2026-COLLECTION'!K22</f>
        <v/>
      </c>
      <c r="E21" s="41">
        <f>'June2026-COLLECTION'!K22</f>
        <v/>
      </c>
      <c r="F21" s="41">
        <f>'July2026-COLLECTION'!K22</f>
        <v/>
      </c>
      <c r="G21" s="41">
        <f>'Aug2026-COLLECTION'!K22</f>
        <v/>
      </c>
      <c r="H21" s="41">
        <f>'Sep2026-COLLECTION'!K22</f>
        <v/>
      </c>
      <c r="I21" s="41">
        <f>'Oct2026-COLLECTION'!K22</f>
        <v/>
      </c>
      <c r="J21" s="41">
        <f>'Nov2026-COLLECTION'!K22</f>
        <v/>
      </c>
      <c r="K21" s="41">
        <f>'Dec2026-COLLECTION'!K22</f>
        <v/>
      </c>
      <c r="L21" s="41">
        <f>'Jan2027-COLLECTION'!K22</f>
        <v/>
      </c>
      <c r="M21" s="41">
        <f>'Feb2027-COLLECTION'!K22</f>
        <v/>
      </c>
      <c r="N21" s="104">
        <f>'Mar2027-COLLECTION'!K22</f>
        <v/>
      </c>
      <c r="O21" s="104">
        <f>SUM(C21:N21)</f>
        <v/>
      </c>
      <c r="P21" s="41">
        <f>O21-Expense!O21</f>
        <v/>
      </c>
    </row>
    <row r="22">
      <c r="A22" s="36">
        <f>IFERROR(__xludf.DUMMYFUNCTION("""COMPUTED_VALUE"""),0)</f>
        <v/>
      </c>
      <c r="B22" s="36" t="n"/>
      <c r="C22" s="47" t="n"/>
      <c r="D22" s="47">
        <f>'May2026-COLLECTION'!K23</f>
        <v/>
      </c>
      <c r="E22" s="47">
        <f>'June2026-COLLECTION'!K23</f>
        <v/>
      </c>
      <c r="F22" s="47">
        <f>'July2026-COLLECTION'!K23</f>
        <v/>
      </c>
      <c r="G22" s="47">
        <f>'Aug2026-COLLECTION'!K23</f>
        <v/>
      </c>
      <c r="H22" s="47">
        <f>'Sep2026-COLLECTION'!K23</f>
        <v/>
      </c>
      <c r="I22" s="47">
        <f>'Oct2026-COLLECTION'!K23</f>
        <v/>
      </c>
      <c r="J22" s="47">
        <f>'Nov2026-COLLECTION'!K23</f>
        <v/>
      </c>
      <c r="K22" s="47">
        <f>'Dec2026-COLLECTION'!K23</f>
        <v/>
      </c>
      <c r="L22" s="47">
        <f>'Jan2027-COLLECTION'!K23</f>
        <v/>
      </c>
      <c r="M22" s="47">
        <f>'Feb2027-COLLECTION'!K23</f>
        <v/>
      </c>
      <c r="N22" s="47">
        <f>'Mar2027-COLLECTION'!K23</f>
        <v/>
      </c>
      <c r="O22" s="47">
        <f>SUM(C22:N22)</f>
        <v/>
      </c>
      <c r="P22" s="43">
        <f>O22-Expense!O22</f>
        <v/>
      </c>
    </row>
    <row r="23">
      <c r="A23" s="37">
        <f>IFERROR(__xludf.DUMMYFUNCTION("""COMPUTED_VALUE"""),0)</f>
        <v/>
      </c>
      <c r="B23" s="37" t="n"/>
      <c r="C23" s="104" t="n"/>
      <c r="D23" s="41">
        <f>'May2026-COLLECTION'!K24</f>
        <v/>
      </c>
      <c r="E23" s="41">
        <f>'June2026-COLLECTION'!K24</f>
        <v/>
      </c>
      <c r="F23" s="41">
        <f>'July2026-COLLECTION'!K24</f>
        <v/>
      </c>
      <c r="G23" s="41">
        <f>'Aug2026-COLLECTION'!K24</f>
        <v/>
      </c>
      <c r="H23" s="41">
        <f>'Sep2026-COLLECTION'!K24</f>
        <v/>
      </c>
      <c r="I23" s="41">
        <f>'Oct2026-COLLECTION'!K24</f>
        <v/>
      </c>
      <c r="J23" s="104">
        <f>'Nov2026-COLLECTION'!K24</f>
        <v/>
      </c>
      <c r="K23" s="41">
        <f>'Dec2026-COLLECTION'!K24</f>
        <v/>
      </c>
      <c r="L23" s="41">
        <f>'Jan2027-COLLECTION'!K24</f>
        <v/>
      </c>
      <c r="M23" s="41">
        <f>'Feb2027-COLLECTION'!K24</f>
        <v/>
      </c>
      <c r="N23" s="104">
        <f>'Mar2027-COLLECTION'!K24</f>
        <v/>
      </c>
      <c r="O23" s="104">
        <f>SUM(C23:N23)</f>
        <v/>
      </c>
      <c r="P23" s="41">
        <f>O23-Expense!O23</f>
        <v/>
      </c>
    </row>
    <row r="24">
      <c r="A24" s="36">
        <f>IFERROR(__xludf.DUMMYFUNCTION("""COMPUTED_VALUE"""),26147)</f>
        <v/>
      </c>
      <c r="B24" s="36" t="n"/>
      <c r="C24" s="47" t="n"/>
      <c r="D24" s="47">
        <f>'May2026-COLLECTION'!K25</f>
        <v/>
      </c>
      <c r="E24" s="47">
        <f>'June2026-COLLECTION'!K25</f>
        <v/>
      </c>
      <c r="F24" s="47">
        <f>'July2026-COLLECTION'!K25</f>
        <v/>
      </c>
      <c r="G24" s="47">
        <f>'Aug2026-COLLECTION'!K25</f>
        <v/>
      </c>
      <c r="H24" s="47">
        <f>'Sep2026-COLLECTION'!K25</f>
        <v/>
      </c>
      <c r="I24" s="47">
        <f>'Oct2026-COLLECTION'!K25</f>
        <v/>
      </c>
      <c r="J24" s="47">
        <f>'Nov2026-COLLECTION'!K25</f>
        <v/>
      </c>
      <c r="K24" s="47">
        <f>'Dec2026-COLLECTION'!K25</f>
        <v/>
      </c>
      <c r="L24" s="47">
        <f>'Jan2027-COLLECTION'!K25</f>
        <v/>
      </c>
      <c r="M24" s="47">
        <f>'Feb2027-COLLECTION'!K25</f>
        <v/>
      </c>
      <c r="N24" s="47">
        <f>'Mar2027-COLLECTION'!K25</f>
        <v/>
      </c>
      <c r="O24" s="47">
        <f>SUM(C24:N24)</f>
        <v/>
      </c>
      <c r="P24" s="43">
        <f>O24-Expense!O24</f>
        <v/>
      </c>
    </row>
    <row r="25">
      <c r="A25" s="37">
        <f>IFERROR(__xludf.DUMMYFUNCTION("""COMPUTED_VALUE"""),0)</f>
        <v/>
      </c>
      <c r="B25" s="37" t="n"/>
      <c r="C25" s="104" t="n"/>
      <c r="D25" s="41">
        <f>'May2026-COLLECTION'!K26</f>
        <v/>
      </c>
      <c r="E25" s="41">
        <f>'June2026-COLLECTION'!K26</f>
        <v/>
      </c>
      <c r="F25" s="41">
        <f>'July2026-COLLECTION'!K26</f>
        <v/>
      </c>
      <c r="G25" s="41">
        <f>'Aug2026-COLLECTION'!K26</f>
        <v/>
      </c>
      <c r="H25" s="41">
        <f>'Sep2026-COLLECTION'!K26</f>
        <v/>
      </c>
      <c r="I25" s="41">
        <f>'Oct2026-COLLECTION'!K26</f>
        <v/>
      </c>
      <c r="J25" s="41">
        <f>'Nov2026-COLLECTION'!K26</f>
        <v/>
      </c>
      <c r="K25" s="41">
        <f>'Dec2026-COLLECTION'!K26</f>
        <v/>
      </c>
      <c r="L25" s="41">
        <f>'Jan2027-COLLECTION'!K26</f>
        <v/>
      </c>
      <c r="M25" s="41">
        <f>'Feb2027-COLLECTION'!K26</f>
        <v/>
      </c>
      <c r="N25" s="104">
        <f>'Mar2027-COLLECTION'!K26</f>
        <v/>
      </c>
      <c r="O25" s="104">
        <f>SUM(C25:N25)</f>
        <v/>
      </c>
      <c r="P25" s="41">
        <f>O25-Expense!O25</f>
        <v/>
      </c>
    </row>
    <row r="26">
      <c r="A26" s="36">
        <f>IFERROR(__xludf.DUMMYFUNCTION("""COMPUTED_VALUE"""),0)</f>
        <v/>
      </c>
      <c r="B26" s="36" t="n"/>
      <c r="C26" s="47" t="n"/>
      <c r="D26" s="43">
        <f>'May2026-COLLECTION'!K27</f>
        <v/>
      </c>
      <c r="E26" s="43">
        <f>'June2026-COLLECTION'!K27</f>
        <v/>
      </c>
      <c r="F26" s="43">
        <f>'July2026-COLLECTION'!K27</f>
        <v/>
      </c>
      <c r="G26" s="43">
        <f>'Aug2026-COLLECTION'!K27</f>
        <v/>
      </c>
      <c r="H26" s="43">
        <f>'Sep2026-COLLECTION'!K27</f>
        <v/>
      </c>
      <c r="I26" s="43">
        <f>'Oct2026-COLLECTION'!K27</f>
        <v/>
      </c>
      <c r="J26" s="43">
        <f>'Nov2026-COLLECTION'!K27</f>
        <v/>
      </c>
      <c r="K26" s="43">
        <f>'Dec2026-COLLECTION'!K27</f>
        <v/>
      </c>
      <c r="L26" s="43">
        <f>'Jan2027-COLLECTION'!K27</f>
        <v/>
      </c>
      <c r="M26" s="43">
        <f>'Feb2027-COLLECTION'!K27</f>
        <v/>
      </c>
      <c r="N26" s="47">
        <f>'Mar2027-COLLECTION'!K27</f>
        <v/>
      </c>
      <c r="O26" s="47">
        <f>SUM(C26:N26)</f>
        <v/>
      </c>
      <c r="P26" s="43">
        <f>O26-Expense!O26</f>
        <v/>
      </c>
    </row>
    <row r="27">
      <c r="A27" s="37">
        <f>IFERROR(__xludf.DUMMYFUNCTION("""COMPUTED_VALUE"""),0)</f>
        <v/>
      </c>
      <c r="B27" s="37" t="n"/>
      <c r="C27" s="104" t="n"/>
      <c r="D27" s="41">
        <f>'May2026-COLLECTION'!K28</f>
        <v/>
      </c>
      <c r="E27" s="41">
        <f>'June2026-COLLECTION'!K28</f>
        <v/>
      </c>
      <c r="F27" s="41">
        <f>'July2026-COLLECTION'!K28</f>
        <v/>
      </c>
      <c r="G27" s="41">
        <f>'Aug2026-COLLECTION'!K28</f>
        <v/>
      </c>
      <c r="H27" s="41">
        <f>'Sep2026-COLLECTION'!K28</f>
        <v/>
      </c>
      <c r="I27" s="41">
        <f>'Oct2026-COLLECTION'!K28</f>
        <v/>
      </c>
      <c r="J27" s="104">
        <f>'Nov2026-COLLECTION'!K28</f>
        <v/>
      </c>
      <c r="K27" s="41">
        <f>'Dec2026-COLLECTION'!K28</f>
        <v/>
      </c>
      <c r="L27" s="41">
        <f>'Jan2027-COLLECTION'!K28</f>
        <v/>
      </c>
      <c r="M27" s="41">
        <f>'Feb2027-COLLECTION'!K28</f>
        <v/>
      </c>
      <c r="N27" s="104">
        <f>'Mar2027-COLLECTION'!K28</f>
        <v/>
      </c>
      <c r="O27" s="104">
        <f>SUM(C27:N27)</f>
        <v/>
      </c>
      <c r="P27" s="41">
        <f>O27-Expense!O27</f>
        <v/>
      </c>
    </row>
    <row r="28">
      <c r="A28" s="36">
        <f>IFERROR(__xludf.DUMMYFUNCTION("""COMPUTED_VALUE"""),26087)</f>
        <v/>
      </c>
      <c r="B28" s="36" t="n"/>
      <c r="C28" s="47" t="n"/>
      <c r="D28" s="43">
        <f>'May2026-COLLECTION'!K29</f>
        <v/>
      </c>
      <c r="E28" s="43">
        <f>'June2026-COLLECTION'!K29</f>
        <v/>
      </c>
      <c r="F28" s="43">
        <f>'July2026-COLLECTION'!K29</f>
        <v/>
      </c>
      <c r="G28" s="43">
        <f>'Aug2026-COLLECTION'!K29</f>
        <v/>
      </c>
      <c r="H28" s="43">
        <f>'Sep2026-COLLECTION'!K29</f>
        <v/>
      </c>
      <c r="I28" s="43">
        <f>'Oct2026-COLLECTION'!K29</f>
        <v/>
      </c>
      <c r="J28" s="43">
        <f>'Nov2026-COLLECTION'!K29</f>
        <v/>
      </c>
      <c r="K28" s="43">
        <f>'Dec2026-COLLECTION'!K29</f>
        <v/>
      </c>
      <c r="L28" s="43">
        <f>'Jan2027-COLLECTION'!K29</f>
        <v/>
      </c>
      <c r="M28" s="47">
        <f>'Feb2027-COLLECTION'!K29</f>
        <v/>
      </c>
      <c r="N28" s="43">
        <f>'Mar2027-COLLECTION'!K29</f>
        <v/>
      </c>
      <c r="O28" s="47">
        <f>SUM(C28:N28)</f>
        <v/>
      </c>
      <c r="P28" s="43">
        <f>O28-Expense!O28</f>
        <v/>
      </c>
    </row>
    <row r="29">
      <c r="A29" s="37">
        <f>IFERROR(__xludf.DUMMYFUNCTION("""COMPUTED_VALUE"""),0)</f>
        <v/>
      </c>
      <c r="B29" s="37" t="n"/>
      <c r="C29" s="104" t="n"/>
      <c r="D29" s="104">
        <f>'May2026-COLLECTION'!K30</f>
        <v/>
      </c>
      <c r="E29" s="104">
        <f>'June2026-COLLECTION'!K30</f>
        <v/>
      </c>
      <c r="F29" s="104">
        <f>'July2026-COLLECTION'!K30</f>
        <v/>
      </c>
      <c r="G29" s="104">
        <f>'Aug2026-COLLECTION'!K30</f>
        <v/>
      </c>
      <c r="H29" s="80">
        <f>'Sep2026-COLLECTION'!K30</f>
        <v/>
      </c>
      <c r="I29" s="104">
        <f>'Oct2026-COLLECTION'!K30</f>
        <v/>
      </c>
      <c r="J29" s="104">
        <f>'Nov2026-COLLECTION'!K30</f>
        <v/>
      </c>
      <c r="K29" s="104">
        <f>'Dec2026-COLLECTION'!K30</f>
        <v/>
      </c>
      <c r="L29" s="104">
        <f>'Jan2027-COLLECTION'!K30</f>
        <v/>
      </c>
      <c r="M29" s="104">
        <f>'Feb2027-COLLECTION'!K30</f>
        <v/>
      </c>
      <c r="N29" s="104">
        <f>'Mar2027-COLLECTION'!K30</f>
        <v/>
      </c>
      <c r="O29" s="104">
        <f>SUM(C29:N29)</f>
        <v/>
      </c>
      <c r="P29" s="41">
        <f>O29-Expense!O29</f>
        <v/>
      </c>
    </row>
    <row r="30">
      <c r="A30" s="36">
        <f>IFERROR(__xludf.DUMMYFUNCTION("""COMPUTED_VALUE"""),0)</f>
        <v/>
      </c>
      <c r="B30" s="36" t="n"/>
      <c r="C30" s="47" t="n"/>
      <c r="D30" s="47">
        <f>'May2026-COLLECTION'!K31</f>
        <v/>
      </c>
      <c r="E30" s="47">
        <f>'June2026-COLLECTION'!K31</f>
        <v/>
      </c>
      <c r="F30" s="47">
        <f>'July2026-COLLECTION'!K31</f>
        <v/>
      </c>
      <c r="G30" s="47">
        <f>'Aug2026-COLLECTION'!K31</f>
        <v/>
      </c>
      <c r="H30" s="47">
        <f>'Sep2026-COLLECTION'!K31</f>
        <v/>
      </c>
      <c r="I30" s="43">
        <f>'Oct2026-COLLECTION'!K31</f>
        <v/>
      </c>
      <c r="J30" s="47">
        <f>'Nov2026-COLLECTION'!K31</f>
        <v/>
      </c>
      <c r="K30" s="47">
        <f>'Dec2026-COLLECTION'!K31</f>
        <v/>
      </c>
      <c r="L30" s="47">
        <f>'Jan2027-COLLECTION'!K31</f>
        <v/>
      </c>
      <c r="M30" s="47">
        <f>'Feb2027-COLLECTION'!K31</f>
        <v/>
      </c>
      <c r="N30" s="47">
        <f>'Mar2027-COLLECTION'!K31</f>
        <v/>
      </c>
      <c r="O30" s="47">
        <f>SUM(C30:N30)</f>
        <v/>
      </c>
      <c r="P30" s="43">
        <f>O30-Expense!O30</f>
        <v/>
      </c>
    </row>
    <row r="31">
      <c r="A31" s="37">
        <f>IFERROR(__xludf.DUMMYFUNCTION("""COMPUTED_VALUE"""),103041)</f>
        <v/>
      </c>
      <c r="B31" s="37" t="n"/>
      <c r="C31" s="104" t="n"/>
      <c r="D31" s="41">
        <f>'May2026-COLLECTION'!K32</f>
        <v/>
      </c>
      <c r="E31" s="41">
        <f>'June2026-COLLECTION'!K32</f>
        <v/>
      </c>
      <c r="F31" s="41">
        <f>'July2026-COLLECTION'!K32</f>
        <v/>
      </c>
      <c r="G31" s="41">
        <f>'Aug2026-COLLECTION'!K32</f>
        <v/>
      </c>
      <c r="H31" s="41">
        <f>'Sep2026-COLLECTION'!K32</f>
        <v/>
      </c>
      <c r="I31" s="41">
        <f>'Oct2026-COLLECTION'!K32</f>
        <v/>
      </c>
      <c r="J31" s="41">
        <f>'Nov2026-COLLECTION'!K32</f>
        <v/>
      </c>
      <c r="K31" s="41">
        <f>'Dec2026-COLLECTION'!K32</f>
        <v/>
      </c>
      <c r="L31" s="41">
        <f>'Jan2027-COLLECTION'!K32</f>
        <v/>
      </c>
      <c r="M31" s="41">
        <f>'Feb2027-COLLECTION'!K32</f>
        <v/>
      </c>
      <c r="N31" s="104">
        <f>'Mar2027-COLLECTION'!K32</f>
        <v/>
      </c>
      <c r="O31" s="104">
        <f>SUM(C31:N31)</f>
        <v/>
      </c>
      <c r="P31" s="41">
        <f>O31-Expense!O31</f>
        <v/>
      </c>
    </row>
    <row r="32">
      <c r="A32" s="42">
        <f>IFERROR(__xludf.DUMMYFUNCTION("""COMPUTED_VALUE"""),28611.5179702707)</f>
        <v/>
      </c>
      <c r="B32" s="36" t="n"/>
      <c r="C32" s="47" t="n"/>
      <c r="D32" s="47">
        <f>'May2026-COLLECTION'!K33</f>
        <v/>
      </c>
      <c r="E32" s="47">
        <f>'June2026-COLLECTION'!K33</f>
        <v/>
      </c>
      <c r="F32" s="47">
        <f>'July2026-COLLECTION'!K33</f>
        <v/>
      </c>
      <c r="G32" s="47">
        <f>'Aug2026-COLLECTION'!K33</f>
        <v/>
      </c>
      <c r="H32" s="47">
        <f>'Sep2026-COLLECTION'!K33</f>
        <v/>
      </c>
      <c r="I32" s="43">
        <f>'Oct2026-COLLECTION'!K33</f>
        <v/>
      </c>
      <c r="J32" s="47">
        <f>'Nov2026-COLLECTION'!K33</f>
        <v/>
      </c>
      <c r="K32" s="47">
        <f>'Dec2026-COLLECTION'!K33</f>
        <v/>
      </c>
      <c r="L32" s="47">
        <f>'Jan2027-COLLECTION'!K33</f>
        <v/>
      </c>
      <c r="M32" s="47">
        <f>'Feb2027-COLLECTION'!K33</f>
        <v/>
      </c>
      <c r="N32" s="47">
        <f>'Mar2027-COLLECTION'!K33</f>
        <v/>
      </c>
      <c r="O32" s="47">
        <f>SUM(C32:N32)</f>
        <v/>
      </c>
      <c r="P32" s="43">
        <f>O32-Expense!O32</f>
        <v/>
      </c>
    </row>
    <row r="33">
      <c r="A33" s="37" t="n"/>
      <c r="B33" s="37" t="n"/>
      <c r="C33" s="104" t="n"/>
      <c r="D33" s="41">
        <f>'May2026-COLLECTION'!K34</f>
        <v/>
      </c>
      <c r="E33" s="41">
        <f>'June2026-COLLECTION'!K34</f>
        <v/>
      </c>
      <c r="F33" s="41">
        <f>'July2026-COLLECTION'!K34</f>
        <v/>
      </c>
      <c r="G33" s="41">
        <f>'Aug2026-COLLECTION'!K34</f>
        <v/>
      </c>
      <c r="H33" s="41">
        <f>'Sep2026-COLLECTION'!K34</f>
        <v/>
      </c>
      <c r="I33" s="41">
        <f>'Oct2026-COLLECTION'!K34</f>
        <v/>
      </c>
      <c r="J33" s="41">
        <f>'Nov2026-COLLECTION'!K34</f>
        <v/>
      </c>
      <c r="K33" s="41">
        <f>'Dec2026-COLLECTION'!K34</f>
        <v/>
      </c>
      <c r="L33" s="41">
        <f>'Jan2027-COLLECTION'!K34</f>
        <v/>
      </c>
      <c r="M33" s="41">
        <f>'Feb2027-COLLECTION'!K34</f>
        <v/>
      </c>
      <c r="N33" s="104">
        <f>'Mar2027-COLLECTION'!K34</f>
        <v/>
      </c>
      <c r="O33" s="104">
        <f>SUM(C33:N33)</f>
        <v/>
      </c>
      <c r="P33" s="41">
        <f>O33-Expense!O33</f>
        <v/>
      </c>
    </row>
    <row r="34">
      <c r="A34" s="36" t="n"/>
      <c r="B34" s="36" t="n"/>
      <c r="C34" s="47" t="n"/>
      <c r="D34" s="47">
        <f>'May2026-COLLECTION'!K35</f>
        <v/>
      </c>
      <c r="E34" s="43">
        <f>'June2026-COLLECTION'!K35</f>
        <v/>
      </c>
      <c r="F34" s="43">
        <f>'July2026-COLLECTION'!K35</f>
        <v/>
      </c>
      <c r="G34" s="43">
        <f>'Aug2026-COLLECTION'!K35</f>
        <v/>
      </c>
      <c r="H34" s="43">
        <f>'Sep2026-COLLECTION'!K35</f>
        <v/>
      </c>
      <c r="I34" s="43">
        <f>'Oct2026-COLLECTION'!K35</f>
        <v/>
      </c>
      <c r="J34" s="43">
        <f>'Nov2026-COLLECTION'!K35</f>
        <v/>
      </c>
      <c r="K34" s="43">
        <f>'Dec2026-COLLECTION'!K35</f>
        <v/>
      </c>
      <c r="L34" s="43">
        <f>'Jan2027-COLLECTION'!K35</f>
        <v/>
      </c>
      <c r="M34" s="47">
        <f>'Feb2027-COLLECTION'!K35</f>
        <v/>
      </c>
      <c r="N34" s="43">
        <f>'Mar2027-COLLECTION'!K35</f>
        <v/>
      </c>
      <c r="O34" s="47">
        <f>SUM(C34:N34)</f>
        <v/>
      </c>
      <c r="P34" s="43">
        <f>O34-Expense!O34</f>
        <v/>
      </c>
    </row>
    <row r="35">
      <c r="A35" s="37" t="n"/>
      <c r="B35" s="37" t="n"/>
      <c r="C35" s="104" t="n"/>
      <c r="D35" s="104">
        <f>'May2026-COLLECTION'!K36</f>
        <v/>
      </c>
      <c r="E35" s="104">
        <f>'June2026-COLLECTION'!K36</f>
        <v/>
      </c>
      <c r="F35" s="104">
        <f>'July2026-COLLECTION'!K36</f>
        <v/>
      </c>
      <c r="G35" s="104">
        <f>'Aug2026-COLLECTION'!K36</f>
        <v/>
      </c>
      <c r="H35" s="104">
        <f>'Sep2026-COLLECTION'!K36</f>
        <v/>
      </c>
      <c r="I35" s="41">
        <f>'Oct2026-COLLECTION'!K36</f>
        <v/>
      </c>
      <c r="J35" s="104">
        <f>'Nov2026-COLLECTION'!K36</f>
        <v/>
      </c>
      <c r="K35" s="104">
        <f>'Dec2026-COLLECTION'!K36</f>
        <v/>
      </c>
      <c r="L35" s="104">
        <f>'Jan2027-COLLECTION'!K36</f>
        <v/>
      </c>
      <c r="M35" s="104">
        <f>'Feb2027-COLLECTION'!K36</f>
        <v/>
      </c>
      <c r="N35" s="104">
        <f>'Mar2027-COLLECTION'!K36</f>
        <v/>
      </c>
      <c r="O35" s="104">
        <f>SUM(C35:N35)</f>
        <v/>
      </c>
      <c r="P35" s="41">
        <f>O35-Expense!O35</f>
        <v/>
      </c>
    </row>
    <row r="36">
      <c r="A36" s="36" t="n"/>
      <c r="B36" s="36" t="n"/>
      <c r="C36" s="47" t="n"/>
      <c r="D36" s="43">
        <f>'May2026-COLLECTION'!K37</f>
        <v/>
      </c>
      <c r="E36" s="43">
        <f>'June2026-COLLECTION'!K37</f>
        <v/>
      </c>
      <c r="F36" s="43">
        <f>'July2026-COLLECTION'!K37</f>
        <v/>
      </c>
      <c r="G36" s="43">
        <f>'Aug2026-COLLECTION'!K37</f>
        <v/>
      </c>
      <c r="H36" s="43">
        <f>'Sep2026-COLLECTION'!K37</f>
        <v/>
      </c>
      <c r="I36" s="43">
        <f>'Oct2026-COLLECTION'!K37</f>
        <v/>
      </c>
      <c r="J36" s="43">
        <f>'Nov2026-COLLECTION'!K37</f>
        <v/>
      </c>
      <c r="K36" s="43">
        <f>'Dec2026-COLLECTION'!K37</f>
        <v/>
      </c>
      <c r="L36" s="43">
        <f>'Jan2027-COLLECTION'!K37</f>
        <v/>
      </c>
      <c r="M36" s="43">
        <f>'Feb2027-COLLECTION'!K37</f>
        <v/>
      </c>
      <c r="N36" s="47">
        <f>'Mar2027-COLLECTION'!K37</f>
        <v/>
      </c>
      <c r="O36" s="47">
        <f>SUM(C36:N36)</f>
        <v/>
      </c>
      <c r="P36" s="43">
        <f>O36-Expense!O36</f>
        <v/>
      </c>
    </row>
    <row r="37">
      <c r="A37" s="37">
        <f>IFERROR(__xludf.DUMMYFUNCTION("""COMPUTED_VALUE"""),6000)</f>
        <v/>
      </c>
      <c r="B37" s="37" t="n"/>
      <c r="C37" s="104" t="n"/>
      <c r="D37" s="104">
        <f>'May2026-COLLECTION'!K38</f>
        <v/>
      </c>
      <c r="E37" s="104">
        <f>'June2026-COLLECTION'!K38</f>
        <v/>
      </c>
      <c r="F37" s="104">
        <f>'July2026-COLLECTION'!K38</f>
        <v/>
      </c>
      <c r="G37" s="104">
        <f>'Aug2026-COLLECTION'!K38</f>
        <v/>
      </c>
      <c r="H37" s="104">
        <f>'Sep2026-COLLECTION'!K38</f>
        <v/>
      </c>
      <c r="I37" s="41">
        <f>'Oct2026-COLLECTION'!K38</f>
        <v/>
      </c>
      <c r="J37" s="104">
        <f>'Nov2026-COLLECTION'!K38</f>
        <v/>
      </c>
      <c r="K37" s="104">
        <f>'Dec2026-COLLECTION'!K38</f>
        <v/>
      </c>
      <c r="L37" s="104">
        <f>'Jan2027-COLLECTION'!K38</f>
        <v/>
      </c>
      <c r="M37" s="104">
        <f>'Feb2027-COLLECTION'!K38</f>
        <v/>
      </c>
      <c r="N37" s="104">
        <f>'Mar2027-COLLECTION'!K38</f>
        <v/>
      </c>
      <c r="O37" s="104">
        <f>SUM(C37:N37)</f>
        <v/>
      </c>
      <c r="P37" s="41">
        <f>O37-Expense!O37</f>
        <v/>
      </c>
    </row>
    <row r="38">
      <c r="A38" s="36">
        <f>IFERROR(__xludf.DUMMYFUNCTION("""COMPUTED_VALUE"""),6000)</f>
        <v/>
      </c>
      <c r="B38" s="36" t="n"/>
      <c r="C38" s="47" t="n"/>
      <c r="D38" s="47">
        <f>'May2026-COLLECTION'!K39</f>
        <v/>
      </c>
      <c r="E38" s="47">
        <f>'June2026-COLLECTION'!K39</f>
        <v/>
      </c>
      <c r="F38" s="47">
        <f>'July2026-COLLECTION'!K39</f>
        <v/>
      </c>
      <c r="G38" s="47">
        <f>'Aug2026-COLLECTION'!K39</f>
        <v/>
      </c>
      <c r="H38" s="47">
        <f>'Sep2026-COLLECTION'!K39</f>
        <v/>
      </c>
      <c r="I38" s="47">
        <f>'Oct2026-COLLECTION'!K39</f>
        <v/>
      </c>
      <c r="J38" s="47">
        <f>'Nov2026-COLLECTION'!K39</f>
        <v/>
      </c>
      <c r="K38" s="47">
        <f>'Dec2026-COLLECTION'!K39</f>
        <v/>
      </c>
      <c r="L38" s="47">
        <f>'Jan2027-COLLECTION'!K39</f>
        <v/>
      </c>
      <c r="M38" s="47">
        <f>'Feb2027-COLLECTION'!K39</f>
        <v/>
      </c>
      <c r="N38" s="47">
        <f>'Mar2027-COLLECTION'!K39</f>
        <v/>
      </c>
      <c r="O38" s="47">
        <f>SUM(C38:N38)</f>
        <v/>
      </c>
      <c r="P38" s="43">
        <f>O38-Expense!O38</f>
        <v/>
      </c>
    </row>
    <row r="39">
      <c r="A39" s="37">
        <f>IFERROR(__xludf.DUMMYFUNCTION("""COMPUTED_VALUE"""),6000)</f>
        <v/>
      </c>
      <c r="B39" s="37" t="n"/>
      <c r="C39" s="104" t="n"/>
      <c r="D39" s="41">
        <f>'May2026-COLLECTION'!K40</f>
        <v/>
      </c>
      <c r="E39" s="41">
        <f>'June2026-COLLECTION'!K40</f>
        <v/>
      </c>
      <c r="F39" s="41">
        <f>'July2026-COLLECTION'!K40</f>
        <v/>
      </c>
      <c r="G39" s="41">
        <f>'Aug2026-COLLECTION'!K40</f>
        <v/>
      </c>
      <c r="H39" s="41">
        <f>'Sep2026-COLLECTION'!K40</f>
        <v/>
      </c>
      <c r="I39" s="41">
        <f>'Oct2026-COLLECTION'!K40</f>
        <v/>
      </c>
      <c r="J39" s="104">
        <f>'Nov2026-COLLECTION'!K40</f>
        <v/>
      </c>
      <c r="K39" s="41">
        <f>'Dec2026-COLLECTION'!K40</f>
        <v/>
      </c>
      <c r="L39" s="41">
        <f>'Jan2027-COLLECTION'!K40</f>
        <v/>
      </c>
      <c r="M39" s="41">
        <f>'Feb2027-COLLECTION'!K40</f>
        <v/>
      </c>
      <c r="N39" s="104">
        <f>'Mar2027-COLLECTION'!K40</f>
        <v/>
      </c>
      <c r="O39" s="104">
        <f>SUM(C39:N39)</f>
        <v/>
      </c>
      <c r="P39" s="41">
        <f>O39-Expense!O39</f>
        <v/>
      </c>
    </row>
    <row r="40">
      <c r="A40" s="36">
        <f>IFERROR(__xludf.DUMMYFUNCTION("""COMPUTED_VALUE"""),6000)</f>
        <v/>
      </c>
      <c r="B40" s="36" t="n"/>
      <c r="C40" s="47" t="n"/>
      <c r="D40" s="43">
        <f>'May2026-COLLECTION'!K41</f>
        <v/>
      </c>
      <c r="E40" s="43">
        <f>'June2026-COLLECTION'!K41</f>
        <v/>
      </c>
      <c r="F40" s="43">
        <f>'July2026-COLLECTION'!K41</f>
        <v/>
      </c>
      <c r="G40" s="43">
        <f>'Aug2026-COLLECTION'!K41</f>
        <v/>
      </c>
      <c r="H40" s="43">
        <f>'Sep2026-COLLECTION'!K41</f>
        <v/>
      </c>
      <c r="I40" s="43">
        <f>'Oct2026-COLLECTION'!K41</f>
        <v/>
      </c>
      <c r="J40" s="43">
        <f>'Nov2026-COLLECTION'!K41</f>
        <v/>
      </c>
      <c r="K40" s="43">
        <f>'Dec2026-COLLECTION'!K41</f>
        <v/>
      </c>
      <c r="L40" s="43">
        <f>'Jan2027-COLLECTION'!K41</f>
        <v/>
      </c>
      <c r="M40" s="43">
        <f>'Feb2027-COLLECTION'!K41</f>
        <v/>
      </c>
      <c r="N40" s="47">
        <f>'Mar2027-COLLECTION'!K41</f>
        <v/>
      </c>
      <c r="O40" s="47">
        <f>SUM(C40:N40)</f>
        <v/>
      </c>
      <c r="P40" s="43">
        <f>O40-Expense!O40</f>
        <v/>
      </c>
    </row>
    <row r="41">
      <c r="A41" s="37">
        <f>IFERROR(__xludf.DUMMYFUNCTION("""COMPUTED_VALUE"""),6000)</f>
        <v/>
      </c>
      <c r="B41" s="37" t="n"/>
      <c r="C41" s="104" t="n"/>
      <c r="D41" s="41">
        <f>'May2026-COLLECTION'!K42</f>
        <v/>
      </c>
      <c r="E41" s="41">
        <f>'June2026-COLLECTION'!K42</f>
        <v/>
      </c>
      <c r="F41" s="41">
        <f>'July2026-COLLECTION'!K42</f>
        <v/>
      </c>
      <c r="G41" s="41">
        <f>'Aug2026-COLLECTION'!K42</f>
        <v/>
      </c>
      <c r="H41" s="41">
        <f>'Sep2026-COLLECTION'!K42</f>
        <v/>
      </c>
      <c r="I41" s="41">
        <f>'Oct2026-COLLECTION'!K42</f>
        <v/>
      </c>
      <c r="J41" s="41">
        <f>'Nov2026-COLLECTION'!K42</f>
        <v/>
      </c>
      <c r="K41" s="41">
        <f>'Dec2026-COLLECTION'!K42</f>
        <v/>
      </c>
      <c r="L41" s="41">
        <f>'Jan2027-COLLECTION'!K42</f>
        <v/>
      </c>
      <c r="M41" s="41">
        <f>'Feb2027-COLLECTION'!K42</f>
        <v/>
      </c>
      <c r="N41" s="104">
        <f>'Mar2027-COLLECTION'!K42</f>
        <v/>
      </c>
      <c r="O41" s="104">
        <f>SUM(C41:N41)</f>
        <v/>
      </c>
      <c r="P41" s="41">
        <f>O41-Expense!O41</f>
        <v/>
      </c>
    </row>
    <row r="42">
      <c r="A42" s="36">
        <f>IFERROR(__xludf.DUMMYFUNCTION("""COMPUTED_VALUE"""),6000)</f>
        <v/>
      </c>
      <c r="B42" s="36" t="n"/>
      <c r="C42" s="47" t="n"/>
      <c r="D42" s="43">
        <f>'May2026-COLLECTION'!K43</f>
        <v/>
      </c>
      <c r="E42" s="43">
        <f>'June2026-COLLECTION'!K43</f>
        <v/>
      </c>
      <c r="F42" s="43">
        <f>'July2026-COLLECTION'!K43</f>
        <v/>
      </c>
      <c r="G42" s="43">
        <f>'Aug2026-COLLECTION'!K43</f>
        <v/>
      </c>
      <c r="H42" s="43">
        <f>'Sep2026-COLLECTION'!K43</f>
        <v/>
      </c>
      <c r="I42" s="43">
        <f>'Oct2026-COLLECTION'!K43</f>
        <v/>
      </c>
      <c r="J42" s="43">
        <f>'Nov2026-COLLECTION'!K43</f>
        <v/>
      </c>
      <c r="K42" s="43">
        <f>'Dec2026-COLLECTION'!K43</f>
        <v/>
      </c>
      <c r="L42" s="43">
        <f>'Jan2027-COLLECTION'!K43</f>
        <v/>
      </c>
      <c r="M42" s="43">
        <f>'Feb2027-COLLECTION'!K43</f>
        <v/>
      </c>
      <c r="N42" s="47">
        <f>'Mar2027-COLLECTION'!K43</f>
        <v/>
      </c>
      <c r="O42" s="47">
        <f>SUM(C42:N42)</f>
        <v/>
      </c>
      <c r="P42" s="43">
        <f>O42-Expense!O42</f>
        <v/>
      </c>
    </row>
    <row r="43">
      <c r="A43" s="40">
        <f>IFERROR(__xludf.DUMMYFUNCTION("""COMPUTED_VALUE"""),6000)</f>
        <v/>
      </c>
      <c r="B43" s="37" t="n"/>
      <c r="C43" s="104" t="n"/>
      <c r="D43" s="104">
        <f>'May2026-COLLECTION'!K44</f>
        <v/>
      </c>
      <c r="E43" s="104">
        <f>'June2026-COLLECTION'!K44</f>
        <v/>
      </c>
      <c r="F43" s="104">
        <f>'July2026-COLLECTION'!K44</f>
        <v/>
      </c>
      <c r="G43" s="104">
        <f>'Aug2026-COLLECTION'!K44</f>
        <v/>
      </c>
      <c r="H43" s="104">
        <f>'Sep2026-COLLECTION'!K44</f>
        <v/>
      </c>
      <c r="I43" s="41">
        <f>'Oct2026-COLLECTION'!K44</f>
        <v/>
      </c>
      <c r="J43" s="104">
        <f>'Nov2026-COLLECTION'!K44</f>
        <v/>
      </c>
      <c r="K43" s="104">
        <f>'Dec2026-COLLECTION'!K44</f>
        <v/>
      </c>
      <c r="L43" s="104">
        <f>'Jan2027-COLLECTION'!K44</f>
        <v/>
      </c>
      <c r="M43" s="104">
        <f>'Feb2027-COLLECTION'!K44</f>
        <v/>
      </c>
      <c r="N43" s="104">
        <f>'Mar2027-COLLECTION'!K44</f>
        <v/>
      </c>
      <c r="O43" s="104">
        <f>SUM(C43:N43)</f>
        <v/>
      </c>
      <c r="P43" s="41">
        <f>O43-Expense!O43</f>
        <v/>
      </c>
    </row>
    <row r="44">
      <c r="A44" s="36">
        <f>IFERROR(__xludf.DUMMYFUNCTION("""COMPUTED_VALUE"""),6000)</f>
        <v/>
      </c>
      <c r="B44" s="36" t="n"/>
      <c r="C44" s="47" t="n"/>
      <c r="D44" s="43">
        <f>'May2026-COLLECTION'!K45</f>
        <v/>
      </c>
      <c r="E44" s="43">
        <f>'June2026-COLLECTION'!K45</f>
        <v/>
      </c>
      <c r="F44" s="43">
        <f>'July2026-COLLECTION'!K45</f>
        <v/>
      </c>
      <c r="G44" s="43">
        <f>'Aug2026-COLLECTION'!K45</f>
        <v/>
      </c>
      <c r="H44" s="43">
        <f>'Sep2026-COLLECTION'!K45</f>
        <v/>
      </c>
      <c r="I44" s="43">
        <f>'Oct2026-COLLECTION'!K45</f>
        <v/>
      </c>
      <c r="J44" s="43">
        <f>'Nov2026-COLLECTION'!K45</f>
        <v/>
      </c>
      <c r="K44" s="43">
        <f>'Dec2026-COLLECTION'!K45</f>
        <v/>
      </c>
      <c r="L44" s="43">
        <f>'Jan2027-COLLECTION'!K45</f>
        <v/>
      </c>
      <c r="M44" s="43">
        <f>'Feb2027-COLLECTION'!K45</f>
        <v/>
      </c>
      <c r="N44" s="47">
        <f>'Mar2027-COLLECTION'!K45</f>
        <v/>
      </c>
      <c r="O44" s="47">
        <f>SUM(C44:N44)</f>
        <v/>
      </c>
      <c r="P44" s="43">
        <f>O44-Expense!O44</f>
        <v/>
      </c>
    </row>
    <row r="45">
      <c r="A45" s="37">
        <f>IFERROR(__xludf.DUMMYFUNCTION("""COMPUTED_VALUE"""),6000)</f>
        <v/>
      </c>
      <c r="B45" s="37" t="n"/>
      <c r="C45" s="104" t="n"/>
      <c r="D45" s="104">
        <f>'May2026-COLLECTION'!K46</f>
        <v/>
      </c>
      <c r="E45" s="104">
        <f>'June2026-COLLECTION'!K46</f>
        <v/>
      </c>
      <c r="F45" s="104">
        <f>'July2026-COLLECTION'!K46</f>
        <v/>
      </c>
      <c r="G45" s="104">
        <f>'Aug2026-COLLECTION'!K46</f>
        <v/>
      </c>
      <c r="H45" s="104">
        <f>'Sep2026-COLLECTION'!K46</f>
        <v/>
      </c>
      <c r="I45" s="41">
        <f>'Oct2026-COLLECTION'!K46</f>
        <v/>
      </c>
      <c r="J45" s="104">
        <f>'Nov2026-COLLECTION'!K46</f>
        <v/>
      </c>
      <c r="K45" s="104">
        <f>'Dec2026-COLLECTION'!K46</f>
        <v/>
      </c>
      <c r="L45" s="104">
        <f>'Jan2027-COLLECTION'!K46</f>
        <v/>
      </c>
      <c r="M45" s="104">
        <f>'Feb2027-COLLECTION'!K46</f>
        <v/>
      </c>
      <c r="N45" s="104">
        <f>'Mar2027-COLLECTION'!K46</f>
        <v/>
      </c>
      <c r="O45" s="104">
        <f>SUM(C45:N45)</f>
        <v/>
      </c>
      <c r="P45" s="41">
        <f>O45-Expense!O45</f>
        <v/>
      </c>
    </row>
    <row r="46">
      <c r="A46" s="36">
        <f>IFERROR(__xludf.DUMMYFUNCTION("""COMPUTED_VALUE"""),6000)</f>
        <v/>
      </c>
      <c r="B46" s="36" t="n"/>
      <c r="C46" s="47" t="n"/>
      <c r="D46" s="47">
        <f>'May2026-COLLECTION'!K47</f>
        <v/>
      </c>
      <c r="E46" s="47">
        <f>'June2026-COLLECTION'!K47</f>
        <v/>
      </c>
      <c r="F46" s="47">
        <f>'July2026-COLLECTION'!K47</f>
        <v/>
      </c>
      <c r="G46" s="47">
        <f>'Aug2026-COLLECTION'!K47</f>
        <v/>
      </c>
      <c r="H46" s="47">
        <f>'Sep2026-COLLECTION'!K47</f>
        <v/>
      </c>
      <c r="I46" s="47">
        <f>'Oct2026-COLLECTION'!K47</f>
        <v/>
      </c>
      <c r="J46" s="47">
        <f>'Nov2026-COLLECTION'!K47</f>
        <v/>
      </c>
      <c r="K46" s="47">
        <f>'Dec2026-COLLECTION'!K47</f>
        <v/>
      </c>
      <c r="L46" s="47">
        <f>'Jan2027-COLLECTION'!K47</f>
        <v/>
      </c>
      <c r="M46" s="47">
        <f>'Feb2027-COLLECTION'!K47</f>
        <v/>
      </c>
      <c r="N46" s="47">
        <f>'Mar2027-COLLECTION'!K47</f>
        <v/>
      </c>
      <c r="O46" s="47">
        <f>SUM(C46:N46)</f>
        <v/>
      </c>
      <c r="P46" s="43">
        <f>O46-Expense!O46</f>
        <v/>
      </c>
    </row>
    <row r="47">
      <c r="A47" s="40">
        <f>IFERROR(__xludf.DUMMYFUNCTION("""COMPUTED_VALUE"""),6000)</f>
        <v/>
      </c>
      <c r="B47" s="37" t="n"/>
      <c r="C47" s="104" t="n"/>
      <c r="D47" s="41">
        <f>'May2026-COLLECTION'!K48</f>
        <v/>
      </c>
      <c r="E47" s="41">
        <f>'June2026-COLLECTION'!K48</f>
        <v/>
      </c>
      <c r="F47" s="41">
        <f>'July2026-COLLECTION'!K48</f>
        <v/>
      </c>
      <c r="G47" s="41">
        <f>'Aug2026-COLLECTION'!K48</f>
        <v/>
      </c>
      <c r="H47" s="41">
        <f>'Sep2026-COLLECTION'!K48</f>
        <v/>
      </c>
      <c r="I47" s="41">
        <f>'Oct2026-COLLECTION'!K48</f>
        <v/>
      </c>
      <c r="J47" s="104">
        <f>'Nov2026-COLLECTION'!K48</f>
        <v/>
      </c>
      <c r="K47" s="41">
        <f>'Dec2026-COLLECTION'!K48</f>
        <v/>
      </c>
      <c r="L47" s="41">
        <f>'Jan2027-COLLECTION'!K48</f>
        <v/>
      </c>
      <c r="M47" s="104">
        <f>'Feb2027-COLLECTION'!K48</f>
        <v/>
      </c>
      <c r="N47" s="41">
        <f>'Mar2027-COLLECTION'!K48</f>
        <v/>
      </c>
      <c r="O47" s="104">
        <f>SUM(C47:N47)</f>
        <v/>
      </c>
      <c r="P47" s="41">
        <f>O47-Expense!O47</f>
        <v/>
      </c>
    </row>
    <row r="48">
      <c r="A48" s="36">
        <f>IFERROR(__xludf.DUMMYFUNCTION("""COMPUTED_VALUE"""),66000)</f>
        <v/>
      </c>
      <c r="B48" s="36" t="n"/>
      <c r="C48" s="47" t="n"/>
      <c r="D48" s="47">
        <f>'May2026-COLLECTION'!K49</f>
        <v/>
      </c>
      <c r="E48" s="47">
        <f>'June2026-COLLECTION'!K49</f>
        <v/>
      </c>
      <c r="F48" s="47">
        <f>'July2026-COLLECTION'!K49</f>
        <v/>
      </c>
      <c r="G48" s="47">
        <f>'Aug2026-COLLECTION'!K49</f>
        <v/>
      </c>
      <c r="H48" s="47">
        <f>'Sep2026-COLLECTION'!K49</f>
        <v/>
      </c>
      <c r="I48" s="43">
        <f>'Oct2026-COLLECTION'!K49</f>
        <v/>
      </c>
      <c r="J48" s="47">
        <f>'Nov2026-COLLECTION'!K49</f>
        <v/>
      </c>
      <c r="K48" s="47">
        <f>'Dec2026-COLLECTION'!K49</f>
        <v/>
      </c>
      <c r="L48" s="47">
        <f>'Jan2027-COLLECTION'!K49</f>
        <v/>
      </c>
      <c r="M48" s="47">
        <f>'Feb2027-COLLECTION'!K49</f>
        <v/>
      </c>
      <c r="N48" s="47">
        <f>'Mar2027-COLLECTION'!K49</f>
        <v/>
      </c>
      <c r="O48" s="47">
        <f>SUM(C48:N48)</f>
        <v/>
      </c>
      <c r="P48" s="43">
        <f>O48-Expense!O48</f>
        <v/>
      </c>
    </row>
    <row r="49">
      <c r="A49" s="40">
        <f>IFERROR(__xludf.DUMMYFUNCTION("""COMPUTED_VALUE"""),-18954.2588210155)</f>
        <v/>
      </c>
      <c r="B49" s="37" t="n"/>
      <c r="C49" s="104" t="n"/>
      <c r="D49" s="104">
        <f>'May2026-COLLECTION'!K50</f>
        <v/>
      </c>
      <c r="E49" s="104">
        <f>'June2026-COLLECTION'!K50</f>
        <v/>
      </c>
      <c r="F49" s="104">
        <f>'July2026-COLLECTION'!K50</f>
        <v/>
      </c>
      <c r="G49" s="104">
        <f>'Aug2026-COLLECTION'!K50</f>
        <v/>
      </c>
      <c r="H49" s="104">
        <f>'Sep2026-COLLECTION'!K50</f>
        <v/>
      </c>
      <c r="I49" s="41">
        <f>'Oct2026-COLLECTION'!K50</f>
        <v/>
      </c>
      <c r="J49" s="104">
        <f>'Nov2026-COLLECTION'!K50</f>
        <v/>
      </c>
      <c r="K49" s="104">
        <f>'Dec2026-COLLECTION'!K50</f>
        <v/>
      </c>
      <c r="L49" s="104">
        <f>'Jan2027-COLLECTION'!K50</f>
        <v/>
      </c>
      <c r="M49" s="104">
        <f>'Feb2027-COLLECTION'!K50</f>
        <v/>
      </c>
      <c r="N49" s="104">
        <f>'Mar2027-COLLECTION'!K50</f>
        <v/>
      </c>
      <c r="O49" s="104">
        <f>SUM(C49:N49)</f>
        <v/>
      </c>
      <c r="P49" s="41">
        <f>O49-Expense!O49</f>
        <v/>
      </c>
    </row>
    <row r="50">
      <c r="A50" s="36" t="n"/>
      <c r="B50" s="36" t="n"/>
      <c r="C50" s="47" t="n"/>
      <c r="D50" s="43">
        <f>'May2026-COLLECTION'!K51</f>
        <v/>
      </c>
      <c r="E50" s="43">
        <f>'June2026-COLLECTION'!K51</f>
        <v/>
      </c>
      <c r="F50" s="43">
        <f>'July2026-COLLECTION'!K51</f>
        <v/>
      </c>
      <c r="G50" s="43">
        <f>'Aug2026-COLLECTION'!K51</f>
        <v/>
      </c>
      <c r="H50" s="43">
        <f>'Sep2026-COLLECTION'!K51</f>
        <v/>
      </c>
      <c r="I50" s="43">
        <f>'Oct2026-COLLECTION'!K51</f>
        <v/>
      </c>
      <c r="J50" s="47">
        <f>'Nov2026-COLLECTION'!K51</f>
        <v/>
      </c>
      <c r="K50" s="43">
        <f>'Dec2026-COLLECTION'!K51</f>
        <v/>
      </c>
      <c r="L50" s="43">
        <f>'Jan2027-COLLECTION'!K51</f>
        <v/>
      </c>
      <c r="M50" s="43">
        <f>'Feb2027-COLLECTION'!K51</f>
        <v/>
      </c>
      <c r="N50" s="47">
        <f>'Mar2027-COLLECTION'!K51</f>
        <v/>
      </c>
      <c r="O50" s="47">
        <f>SUM(C50:N50)</f>
        <v/>
      </c>
      <c r="P50" s="43">
        <f>O50-Expense!O50</f>
        <v/>
      </c>
    </row>
    <row r="51">
      <c r="A51" s="37" t="n"/>
      <c r="B51" s="37" t="n"/>
      <c r="C51" s="104" t="n"/>
      <c r="D51" s="41">
        <f>'May2026-COLLECTION'!K52</f>
        <v/>
      </c>
      <c r="E51" s="41">
        <f>'June2026-COLLECTION'!K52</f>
        <v/>
      </c>
      <c r="F51" s="41">
        <f>'July2026-COLLECTION'!K52</f>
        <v/>
      </c>
      <c r="G51" s="41">
        <f>'Aug2026-COLLECTION'!K52</f>
        <v/>
      </c>
      <c r="H51" s="41">
        <f>'Sep2026-COLLECTION'!K52</f>
        <v/>
      </c>
      <c r="I51" s="41">
        <f>'Oct2026-COLLECTION'!K52</f>
        <v/>
      </c>
      <c r="J51" s="104">
        <f>'Nov2026-COLLECTION'!K52</f>
        <v/>
      </c>
      <c r="K51" s="41">
        <f>'Dec2026-COLLECTION'!K52</f>
        <v/>
      </c>
      <c r="L51" s="41">
        <f>'Jan2027-COLLECTION'!K52</f>
        <v/>
      </c>
      <c r="M51" s="41">
        <f>'Feb2027-COLLECTION'!K52</f>
        <v/>
      </c>
      <c r="N51" s="104">
        <f>'Mar2027-COLLECTION'!K52</f>
        <v/>
      </c>
      <c r="O51" s="104">
        <f>SUM(C51:N51)</f>
        <v/>
      </c>
      <c r="P51" s="41">
        <f>O51-Expense!O51</f>
        <v/>
      </c>
    </row>
    <row r="52">
      <c r="A52" s="36" t="n"/>
      <c r="B52" s="36" t="n"/>
      <c r="C52" s="47" t="n"/>
      <c r="D52" s="43">
        <f>'May2026-COLLECTION'!K53</f>
        <v/>
      </c>
      <c r="E52" s="43">
        <f>'June2026-COLLECTION'!K53</f>
        <v/>
      </c>
      <c r="F52" s="43">
        <f>'July2026-COLLECTION'!K53</f>
        <v/>
      </c>
      <c r="G52" s="43">
        <f>'Aug2026-COLLECTION'!K53</f>
        <v/>
      </c>
      <c r="H52" s="43">
        <f>'Sep2026-COLLECTION'!K53</f>
        <v/>
      </c>
      <c r="I52" s="43">
        <f>'Oct2026-COLLECTION'!K53</f>
        <v/>
      </c>
      <c r="J52" s="43">
        <f>'Nov2026-COLLECTION'!K53</f>
        <v/>
      </c>
      <c r="K52" s="43">
        <f>'Dec2026-COLLECTION'!K53</f>
        <v/>
      </c>
      <c r="L52" s="43">
        <f>'Jan2027-COLLECTION'!K53</f>
        <v/>
      </c>
      <c r="M52" s="43">
        <f>'Feb2027-COLLECTION'!K53</f>
        <v/>
      </c>
      <c r="N52" s="47">
        <f>'Mar2027-COLLECTION'!K53</f>
        <v/>
      </c>
      <c r="O52" s="47">
        <f>SUM(C52:N52)</f>
        <v/>
      </c>
      <c r="P52" s="43">
        <f>O52-Expense!O52</f>
        <v/>
      </c>
    </row>
    <row r="53">
      <c r="A53" s="37" t="n"/>
      <c r="B53" s="37" t="n"/>
      <c r="C53" s="104" t="n"/>
      <c r="D53" s="104">
        <f>'May2026-COLLECTION'!K54</f>
        <v/>
      </c>
      <c r="E53" s="104">
        <f>'June2026-COLLECTION'!K54</f>
        <v/>
      </c>
      <c r="F53" s="104">
        <f>'July2026-COLLECTION'!K54</f>
        <v/>
      </c>
      <c r="G53" s="104">
        <f>'Aug2026-COLLECTION'!K54</f>
        <v/>
      </c>
      <c r="H53" s="104">
        <f>'Sep2026-COLLECTION'!K54</f>
        <v/>
      </c>
      <c r="I53" s="41">
        <f>'Oct2026-COLLECTION'!K54</f>
        <v/>
      </c>
      <c r="J53" s="104">
        <f>'Nov2026-COLLECTION'!K54</f>
        <v/>
      </c>
      <c r="K53" s="104">
        <f>'Dec2026-COLLECTION'!K54</f>
        <v/>
      </c>
      <c r="L53" s="104">
        <f>'Jan2027-COLLECTION'!K54</f>
        <v/>
      </c>
      <c r="M53" s="104">
        <f>'Feb2027-COLLECTION'!K54</f>
        <v/>
      </c>
      <c r="N53" s="104">
        <f>'Mar2027-COLLECTION'!K54</f>
        <v/>
      </c>
      <c r="O53" s="104">
        <f>SUM(C53:N53)</f>
        <v/>
      </c>
      <c r="P53" s="41">
        <f>O53-Expense!O53</f>
        <v/>
      </c>
    </row>
    <row r="54">
      <c r="A54" s="42">
        <f>IFERROR(__xludf.DUMMYFUNCTION("""COMPUTED_VALUE"""),5710)</f>
        <v/>
      </c>
      <c r="B54" s="36" t="n"/>
      <c r="C54" s="47" t="n"/>
      <c r="D54" s="43">
        <f>'May2026-COLLECTION'!K55</f>
        <v/>
      </c>
      <c r="E54" s="43">
        <f>'June2026-COLLECTION'!K55</f>
        <v/>
      </c>
      <c r="F54" s="43">
        <f>'July2026-COLLECTION'!K55</f>
        <v/>
      </c>
      <c r="G54" s="43">
        <f>'Aug2026-COLLECTION'!K55</f>
        <v/>
      </c>
      <c r="H54" s="43">
        <f>'Sep2026-COLLECTION'!K55</f>
        <v/>
      </c>
      <c r="I54" s="43">
        <f>'Oct2026-COLLECTION'!K55</f>
        <v/>
      </c>
      <c r="J54" s="43">
        <f>'Nov2026-COLLECTION'!K55</f>
        <v/>
      </c>
      <c r="K54" s="43">
        <f>'Dec2026-COLLECTION'!K55</f>
        <v/>
      </c>
      <c r="L54" s="43">
        <f>'Jan2027-COLLECTION'!K55</f>
        <v/>
      </c>
      <c r="M54" s="43">
        <f>'Feb2027-COLLECTION'!K55</f>
        <v/>
      </c>
      <c r="N54" s="47">
        <f>'Mar2027-COLLECTION'!K55</f>
        <v/>
      </c>
      <c r="O54" s="47">
        <f>SUM(C54:N54)</f>
        <v/>
      </c>
      <c r="P54" s="43">
        <f>O54-Expense!O54</f>
        <v/>
      </c>
    </row>
    <row r="55">
      <c r="A55" s="40">
        <f>IFERROR(__xludf.DUMMYFUNCTION("""COMPUTED_VALUE"""),4434)</f>
        <v/>
      </c>
      <c r="B55" s="37" t="n"/>
      <c r="C55" s="104" t="n"/>
      <c r="D55" s="104">
        <f>'May2026-COLLECTION'!K56</f>
        <v/>
      </c>
      <c r="E55" s="104">
        <f>'June2026-COLLECTION'!K56</f>
        <v/>
      </c>
      <c r="F55" s="104">
        <f>'July2026-COLLECTION'!K56</f>
        <v/>
      </c>
      <c r="G55" s="104">
        <f>'Aug2026-COLLECTION'!K56</f>
        <v/>
      </c>
      <c r="H55" s="104">
        <f>'Sep2026-COLLECTION'!K56</f>
        <v/>
      </c>
      <c r="I55" s="104">
        <f>'Oct2026-COLLECTION'!K56</f>
        <v/>
      </c>
      <c r="J55" s="104">
        <f>'Nov2026-COLLECTION'!K56</f>
        <v/>
      </c>
      <c r="K55" s="104">
        <f>'Dec2026-COLLECTION'!K56</f>
        <v/>
      </c>
      <c r="L55" s="104">
        <f>'Jan2027-COLLECTION'!K56</f>
        <v/>
      </c>
      <c r="M55" s="104">
        <f>'Feb2027-COLLECTION'!K56</f>
        <v/>
      </c>
      <c r="N55" s="104">
        <f>'Mar2027-COLLECTION'!K56</f>
        <v/>
      </c>
      <c r="O55" s="104">
        <f>SUM(C55:N55)</f>
        <v/>
      </c>
      <c r="P55" s="41">
        <f>O55-Expense!O55</f>
        <v/>
      </c>
    </row>
    <row r="56">
      <c r="A56" s="42">
        <f>IFERROR(__xludf.DUMMYFUNCTION("""COMPUTED_VALUE"""),0)</f>
        <v/>
      </c>
      <c r="B56" s="36" t="n"/>
      <c r="C56" s="47" t="n"/>
      <c r="D56" s="43">
        <f>'May2026-COLLECTION'!K57</f>
        <v/>
      </c>
      <c r="E56" s="43">
        <f>'June2026-COLLECTION'!K57</f>
        <v/>
      </c>
      <c r="F56" s="43">
        <f>'July2026-COLLECTION'!K57</f>
        <v/>
      </c>
      <c r="G56" s="43">
        <f>'Aug2026-COLLECTION'!K57</f>
        <v/>
      </c>
      <c r="H56" s="43">
        <f>'Sep2026-COLLECTION'!K57</f>
        <v/>
      </c>
      <c r="I56" s="43">
        <f>'Oct2026-COLLECTION'!K57</f>
        <v/>
      </c>
      <c r="J56" s="47">
        <f>'Nov2026-COLLECTION'!K57</f>
        <v/>
      </c>
      <c r="K56" s="43">
        <f>'Dec2026-COLLECTION'!K57</f>
        <v/>
      </c>
      <c r="L56" s="43">
        <f>'Jan2027-COLLECTION'!K57</f>
        <v/>
      </c>
      <c r="M56" s="43">
        <f>'Feb2027-COLLECTION'!K57</f>
        <v/>
      </c>
      <c r="N56" s="47">
        <f>'Mar2027-COLLECTION'!K57</f>
        <v/>
      </c>
      <c r="O56" s="47">
        <f>SUM(C56:N56)</f>
        <v/>
      </c>
      <c r="P56" s="43">
        <f>O56-Expense!O56</f>
        <v/>
      </c>
    </row>
    <row r="57">
      <c r="A57" s="40">
        <f>IFERROR(__xludf.DUMMYFUNCTION("""COMPUTED_VALUE"""),5554)</f>
        <v/>
      </c>
      <c r="B57" s="37" t="n"/>
      <c r="C57" s="104" t="n"/>
      <c r="D57" s="104">
        <f>'May2026-COLLECTION'!K58</f>
        <v/>
      </c>
      <c r="E57" s="104">
        <f>'June2026-COLLECTION'!K58</f>
        <v/>
      </c>
      <c r="F57" s="104">
        <f>'July2026-COLLECTION'!K58</f>
        <v/>
      </c>
      <c r="G57" s="104">
        <f>'Aug2026-COLLECTION'!K58</f>
        <v/>
      </c>
      <c r="H57" s="104">
        <f>'Sep2026-COLLECTION'!K58</f>
        <v/>
      </c>
      <c r="I57" s="41">
        <f>'Oct2026-COLLECTION'!K58</f>
        <v/>
      </c>
      <c r="J57" s="104">
        <f>'Nov2026-COLLECTION'!K58</f>
        <v/>
      </c>
      <c r="K57" s="104">
        <f>'Dec2026-COLLECTION'!K58</f>
        <v/>
      </c>
      <c r="L57" s="104">
        <f>'Jan2027-COLLECTION'!K58</f>
        <v/>
      </c>
      <c r="M57" s="104">
        <f>'Feb2027-COLLECTION'!K58</f>
        <v/>
      </c>
      <c r="N57" s="104">
        <f>'Mar2027-COLLECTION'!K58</f>
        <v/>
      </c>
      <c r="O57" s="104">
        <f>SUM(C57:N57)</f>
        <v/>
      </c>
      <c r="P57" s="41">
        <f>O57-Expense!O57</f>
        <v/>
      </c>
    </row>
    <row r="58">
      <c r="A58" s="42">
        <f>IFERROR(__xludf.DUMMYFUNCTION("""COMPUTED_VALUE"""),5554)</f>
        <v/>
      </c>
      <c r="B58" s="36" t="n"/>
      <c r="C58" s="47" t="n"/>
      <c r="D58" s="43">
        <f>'May2026-COLLECTION'!K59</f>
        <v/>
      </c>
      <c r="E58" s="43">
        <f>'June2026-COLLECTION'!K59</f>
        <v/>
      </c>
      <c r="F58" s="43">
        <f>'July2026-COLLECTION'!K59</f>
        <v/>
      </c>
      <c r="G58" s="43">
        <f>'Aug2026-COLLECTION'!K59</f>
        <v/>
      </c>
      <c r="H58" s="43">
        <f>'Sep2026-COLLECTION'!K59</f>
        <v/>
      </c>
      <c r="I58" s="43">
        <f>'Oct2026-COLLECTION'!K59</f>
        <v/>
      </c>
      <c r="J58" s="43">
        <f>'Nov2026-COLLECTION'!K59</f>
        <v/>
      </c>
      <c r="K58" s="43">
        <f>'Dec2026-COLLECTION'!K59</f>
        <v/>
      </c>
      <c r="L58" s="43">
        <f>'Jan2027-COLLECTION'!K59</f>
        <v/>
      </c>
      <c r="M58" s="43">
        <f>'Feb2027-COLLECTION'!K59</f>
        <v/>
      </c>
      <c r="N58" s="47">
        <f>'Mar2027-COLLECTION'!K59</f>
        <v/>
      </c>
      <c r="O58" s="47">
        <f>SUM(C58:N58)</f>
        <v/>
      </c>
      <c r="P58" s="43">
        <f>O58-Expense!O58</f>
        <v/>
      </c>
    </row>
    <row r="59">
      <c r="A59" s="40">
        <f>IFERROR(__xludf.DUMMYFUNCTION("""COMPUTED_VALUE"""),5148)</f>
        <v/>
      </c>
      <c r="B59" s="37" t="n"/>
      <c r="C59" s="104" t="n"/>
      <c r="D59" s="41">
        <f>'May2026-COLLECTION'!K60</f>
        <v/>
      </c>
      <c r="E59" s="41">
        <f>'June2026-COLLECTION'!K60</f>
        <v/>
      </c>
      <c r="F59" s="41">
        <f>'July2026-COLLECTION'!K60</f>
        <v/>
      </c>
      <c r="G59" s="41">
        <f>'Aug2026-COLLECTION'!K60</f>
        <v/>
      </c>
      <c r="H59" s="41">
        <f>'Sep2026-COLLECTION'!K60</f>
        <v/>
      </c>
      <c r="I59" s="41">
        <f>'Oct2026-COLLECTION'!K60</f>
        <v/>
      </c>
      <c r="J59" s="41">
        <f>'Nov2026-COLLECTION'!K60</f>
        <v/>
      </c>
      <c r="K59" s="41">
        <f>'Dec2026-COLLECTION'!K60</f>
        <v/>
      </c>
      <c r="L59" s="41">
        <f>'Jan2027-COLLECTION'!K60</f>
        <v/>
      </c>
      <c r="M59" s="41">
        <f>'Feb2027-COLLECTION'!K60</f>
        <v/>
      </c>
      <c r="N59" s="104">
        <f>'Mar2027-COLLECTION'!K60</f>
        <v/>
      </c>
      <c r="O59" s="104">
        <f>SUM(C59:N59)</f>
        <v/>
      </c>
      <c r="P59" s="41">
        <f>O59-Expense!O59</f>
        <v/>
      </c>
    </row>
    <row r="60">
      <c r="A60" s="42">
        <f>IFERROR(__xludf.DUMMYFUNCTION("""COMPUTED_VALUE"""),6231)</f>
        <v/>
      </c>
      <c r="B60" s="36" t="n"/>
      <c r="C60" s="47" t="n"/>
      <c r="D60" s="43">
        <f>'May2026-COLLECTION'!K61</f>
        <v/>
      </c>
      <c r="E60" s="43">
        <f>'June2026-COLLECTION'!K61</f>
        <v/>
      </c>
      <c r="F60" s="43">
        <f>'July2026-COLLECTION'!K61</f>
        <v/>
      </c>
      <c r="G60" s="43">
        <f>'Aug2026-COLLECTION'!K61</f>
        <v/>
      </c>
      <c r="H60" s="43">
        <f>'Sep2026-COLLECTION'!K61</f>
        <v/>
      </c>
      <c r="I60" s="43">
        <f>'Oct2026-COLLECTION'!K61</f>
        <v/>
      </c>
      <c r="J60" s="43">
        <f>'Nov2026-COLLECTION'!K61</f>
        <v/>
      </c>
      <c r="K60" s="43">
        <f>'Dec2026-COLLECTION'!K61</f>
        <v/>
      </c>
      <c r="L60" s="43">
        <f>'Jan2027-COLLECTION'!K61</f>
        <v/>
      </c>
      <c r="M60" s="43">
        <f>'Feb2027-COLLECTION'!K61</f>
        <v/>
      </c>
      <c r="N60" s="47">
        <f>'Mar2027-COLLECTION'!K61</f>
        <v/>
      </c>
      <c r="O60" s="47">
        <f>SUM(C60:N60)</f>
        <v/>
      </c>
      <c r="P60" s="43">
        <f>O60-Expense!O60</f>
        <v/>
      </c>
    </row>
    <row r="61">
      <c r="A61" s="40">
        <f>IFERROR(__xludf.DUMMYFUNCTION("""COMPUTED_VALUE"""),7064)</f>
        <v/>
      </c>
      <c r="B61" s="37" t="n"/>
      <c r="C61" s="104" t="n"/>
      <c r="D61" s="41">
        <f>'May2026-COLLECTION'!K62</f>
        <v/>
      </c>
      <c r="E61" s="104">
        <f>'June2026-COLLECTION'!K62</f>
        <v/>
      </c>
      <c r="F61" s="104">
        <f>'July2026-COLLECTION'!K62</f>
        <v/>
      </c>
      <c r="G61" s="104">
        <f>'Aug2026-COLLECTION'!K62</f>
        <v/>
      </c>
      <c r="H61" s="104">
        <f>'Sep2026-COLLECTION'!K62</f>
        <v/>
      </c>
      <c r="I61" s="104">
        <f>'Oct2026-COLLECTION'!K62</f>
        <v/>
      </c>
      <c r="J61" s="41">
        <f>'Nov2026-COLLECTION'!K62</f>
        <v/>
      </c>
      <c r="K61" s="104">
        <f>'Dec2026-COLLECTION'!K62</f>
        <v/>
      </c>
      <c r="L61" s="104">
        <f>'Jan2027-COLLECTION'!K62</f>
        <v/>
      </c>
      <c r="M61" s="104">
        <f>'Feb2027-COLLECTION'!K62</f>
        <v/>
      </c>
      <c r="N61" s="104">
        <f>'Mar2027-COLLECTION'!K62</f>
        <v/>
      </c>
      <c r="O61" s="104">
        <f>SUM(C61:N61)</f>
        <v/>
      </c>
      <c r="P61" s="41">
        <f>O61-Expense!O61</f>
        <v/>
      </c>
    </row>
    <row r="62">
      <c r="A62" s="42">
        <f>IFERROR(__xludf.DUMMYFUNCTION("""COMPUTED_VALUE"""),5264)</f>
        <v/>
      </c>
      <c r="B62" s="36" t="n"/>
      <c r="C62" s="47" t="n"/>
      <c r="D62" s="43">
        <f>'May2026-COLLECTION'!K63</f>
        <v/>
      </c>
      <c r="E62" s="43">
        <f>'June2026-COLLECTION'!K63</f>
        <v/>
      </c>
      <c r="F62" s="43">
        <f>'July2026-COLLECTION'!K63</f>
        <v/>
      </c>
      <c r="G62" s="43">
        <f>'Aug2026-COLLECTION'!K63</f>
        <v/>
      </c>
      <c r="H62" s="43">
        <f>'Sep2026-COLLECTION'!K63</f>
        <v/>
      </c>
      <c r="I62" s="43">
        <f>'Oct2026-COLLECTION'!K63</f>
        <v/>
      </c>
      <c r="J62" s="43">
        <f>'Nov2026-COLLECTION'!K63</f>
        <v/>
      </c>
      <c r="K62" s="43">
        <f>'Dec2026-COLLECTION'!K63</f>
        <v/>
      </c>
      <c r="L62" s="43">
        <f>'Jan2027-COLLECTION'!K63</f>
        <v/>
      </c>
      <c r="M62" s="43">
        <f>'Feb2027-COLLECTION'!K63</f>
        <v/>
      </c>
      <c r="N62" s="47">
        <f>'Mar2027-COLLECTION'!K63</f>
        <v/>
      </c>
      <c r="O62" s="47">
        <f>SUM(C62:N62)</f>
        <v/>
      </c>
      <c r="P62" s="43">
        <f>O62-Expense!O62</f>
        <v/>
      </c>
    </row>
    <row r="63">
      <c r="A63" s="40">
        <f>IFERROR(__xludf.DUMMYFUNCTION("""COMPUTED_VALUE"""),5176)</f>
        <v/>
      </c>
      <c r="B63" s="37" t="n"/>
      <c r="C63" s="104" t="n"/>
      <c r="D63" s="41">
        <f>'May2026-COLLECTION'!K64</f>
        <v/>
      </c>
      <c r="E63" s="41">
        <f>'June2026-COLLECTION'!K64</f>
        <v/>
      </c>
      <c r="F63" s="41">
        <f>'July2026-COLLECTION'!K64</f>
        <v/>
      </c>
      <c r="G63" s="41">
        <f>'Aug2026-COLLECTION'!K64</f>
        <v/>
      </c>
      <c r="H63" s="41">
        <f>'Sep2026-COLLECTION'!K64</f>
        <v/>
      </c>
      <c r="I63" s="41">
        <f>'Oct2026-COLLECTION'!K64</f>
        <v/>
      </c>
      <c r="J63" s="41">
        <f>'Nov2026-COLLECTION'!K64</f>
        <v/>
      </c>
      <c r="K63" s="41">
        <f>'Dec2026-COLLECTION'!K64</f>
        <v/>
      </c>
      <c r="L63" s="41">
        <f>'Jan2027-COLLECTION'!K64</f>
        <v/>
      </c>
      <c r="M63" s="41">
        <f>'Feb2027-COLLECTION'!K64</f>
        <v/>
      </c>
      <c r="N63" s="104">
        <f>'Mar2027-COLLECTION'!K64</f>
        <v/>
      </c>
      <c r="O63" s="104">
        <f>SUM(C63:N63)</f>
        <v/>
      </c>
      <c r="P63" s="41">
        <f>O63-Expense!O63</f>
        <v/>
      </c>
    </row>
    <row r="64">
      <c r="A64" s="36">
        <f>IFERROR(__xludf.DUMMYFUNCTION("""COMPUTED_VALUE"""),4925)</f>
        <v/>
      </c>
      <c r="B64" s="36" t="n"/>
      <c r="C64" s="47" t="n"/>
      <c r="D64" s="47">
        <f>'May2026-COLLECTION'!K65</f>
        <v/>
      </c>
      <c r="E64" s="47">
        <f>'June2026-COLLECTION'!K65</f>
        <v/>
      </c>
      <c r="F64" s="47">
        <f>'July2026-COLLECTION'!K65</f>
        <v/>
      </c>
      <c r="G64" s="47">
        <f>'Aug2026-COLLECTION'!K65</f>
        <v/>
      </c>
      <c r="H64" s="47">
        <f>'Sep2026-COLLECTION'!K65</f>
        <v/>
      </c>
      <c r="I64" s="43">
        <f>'Oct2026-COLLECTION'!K65</f>
        <v/>
      </c>
      <c r="J64" s="43">
        <f>'Nov2026-COLLECTION'!K65</f>
        <v/>
      </c>
      <c r="K64" s="47">
        <f>'Dec2026-COLLECTION'!K65</f>
        <v/>
      </c>
      <c r="L64" s="47">
        <f>'Jan2027-COLLECTION'!K65</f>
        <v/>
      </c>
      <c r="M64" s="47">
        <f>'Feb2027-COLLECTION'!K65</f>
        <v/>
      </c>
      <c r="N64" s="47">
        <f>'Mar2027-COLLECTION'!K65</f>
        <v/>
      </c>
      <c r="O64" s="47">
        <f>SUM(C64:N64)</f>
        <v/>
      </c>
      <c r="P64" s="43">
        <f>O64-Expense!O64</f>
        <v/>
      </c>
    </row>
    <row r="65">
      <c r="A65" s="37">
        <f>IFERROR(__xludf.DUMMYFUNCTION("""COMPUTED_VALUE"""),55060)</f>
        <v/>
      </c>
      <c r="B65" s="37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</row>
    <row r="66">
      <c r="A66" s="42">
        <f>IFERROR(__xludf.DUMMYFUNCTION("""COMPUTED_VALUE"""),-10635.2218819063)</f>
        <v/>
      </c>
      <c r="B66" s="36" t="n"/>
      <c r="C66" s="47" t="n"/>
      <c r="D66" s="47">
        <f>'May2026-COLLECTION'!K67</f>
        <v/>
      </c>
      <c r="E66" s="47" t="n"/>
      <c r="F66" s="47" t="n"/>
      <c r="G66" s="47" t="n"/>
      <c r="H66" s="47" t="n"/>
      <c r="I66" s="47" t="n"/>
      <c r="J66" s="47" t="n"/>
      <c r="K66" s="47" t="n"/>
      <c r="L66" s="47" t="n"/>
      <c r="M66" s="47" t="n"/>
      <c r="N66" s="47" t="n"/>
      <c r="O66" s="47" t="n"/>
      <c r="P66" s="47" t="n"/>
    </row>
    <row r="67">
      <c r="A67" s="4" t="n"/>
      <c r="O67" s="26" t="n"/>
    </row>
    <row r="68">
      <c r="A68" s="4" t="n"/>
      <c r="O68" s="26" t="n"/>
    </row>
    <row r="69">
      <c r="A69" s="4" t="n"/>
      <c r="O69" s="26" t="n"/>
    </row>
    <row r="70">
      <c r="A70" s="4" t="n"/>
      <c r="O70" s="26" t="n"/>
    </row>
    <row r="71">
      <c r="A71" s="37">
        <f>IFERROR(__xludf.DUMMYFUNCTION("""COMPUTED_VALUE"""),5354)</f>
        <v/>
      </c>
      <c r="B71" s="37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</row>
    <row r="72">
      <c r="A72" s="36">
        <f>IFERROR(__xludf.DUMMYFUNCTION("""COMPUTED_VALUE"""),8022)</f>
        <v/>
      </c>
      <c r="B72" s="36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  <c r="O72" s="47" t="n"/>
      <c r="P72" s="47" t="n"/>
    </row>
    <row r="73">
      <c r="A73" s="37">
        <f>IFERROR(__xludf.DUMMYFUNCTION("""COMPUTED_VALUE"""),323)</f>
        <v/>
      </c>
      <c r="B73" s="37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</row>
    <row r="74">
      <c r="A74" s="36">
        <f>IFERROR(__xludf.DUMMYFUNCTION("""COMPUTED_VALUE"""),5172)</f>
        <v/>
      </c>
      <c r="B74" s="36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  <c r="O74" s="47" t="n"/>
      <c r="P74" s="47" t="n"/>
    </row>
    <row r="75">
      <c r="A75" s="37">
        <f>IFERROR(__xludf.DUMMYFUNCTION("""COMPUTED_VALUE"""),7050)</f>
        <v/>
      </c>
      <c r="B75" s="37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M75" s="104" t="n"/>
      <c r="N75" s="104" t="n"/>
      <c r="O75" s="104" t="n"/>
      <c r="P75" s="104" t="n"/>
    </row>
    <row r="76">
      <c r="A76" s="42">
        <f>IFERROR(__xludf.DUMMYFUNCTION("""COMPUTED_VALUE"""),5209.99)</f>
        <v/>
      </c>
      <c r="B76" s="36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  <c r="O76" s="47" t="n"/>
      <c r="P76" s="47" t="n"/>
    </row>
    <row r="77">
      <c r="A77" s="37">
        <f>IFERROR(__xludf.DUMMYFUNCTION("""COMPUTED_VALUE"""),6114)</f>
        <v/>
      </c>
      <c r="B77" s="37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4" t="n"/>
      <c r="N77" s="104" t="n"/>
      <c r="O77" s="104" t="n"/>
      <c r="P77" s="104" t="n"/>
    </row>
    <row r="78">
      <c r="A78" s="36">
        <f>IFERROR(__xludf.DUMMYFUNCTION("""COMPUTED_VALUE"""),7069)</f>
        <v/>
      </c>
      <c r="B78" s="36" t="n"/>
      <c r="C78" s="47" t="n"/>
      <c r="D78" s="47" t="n"/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  <c r="O78" s="47" t="n"/>
      <c r="P78" s="47" t="n"/>
    </row>
    <row r="79">
      <c r="A79" s="37">
        <f>IFERROR(__xludf.DUMMYFUNCTION("""COMPUTED_VALUE"""),5340.41)</f>
        <v/>
      </c>
      <c r="B79" s="37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</row>
    <row r="80">
      <c r="A80" s="36">
        <f>IFERROR(__xludf.DUMMYFUNCTION("""COMPUTED_VALUE"""),5161)</f>
        <v/>
      </c>
      <c r="B80" s="36" t="n"/>
      <c r="C80" s="47" t="n"/>
      <c r="D80" s="47" t="n"/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  <c r="O80" s="47" t="n"/>
      <c r="P80" s="47" t="n"/>
    </row>
    <row r="81">
      <c r="A81" s="37">
        <f>IFERROR(__xludf.DUMMYFUNCTION("""COMPUTED_VALUE"""),4699)</f>
        <v/>
      </c>
      <c r="B81" s="37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M81" s="104" t="n"/>
      <c r="N81" s="104" t="n"/>
      <c r="O81" s="104" t="n"/>
      <c r="P81" s="104" t="n"/>
    </row>
    <row r="82">
      <c r="A82" s="36">
        <f>IFERROR(__xludf.DUMMYFUNCTION("""COMPUTED_VALUE"""),59514.3999999999)</f>
        <v/>
      </c>
      <c r="B82" s="36" t="n"/>
      <c r="C82" s="47" t="n"/>
      <c r="D82" s="47" t="n"/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  <c r="O82" s="47" t="n"/>
      <c r="P82" s="47" t="n"/>
    </row>
    <row r="83">
      <c r="A83" s="40">
        <f>IFERROR(__xludf.DUMMYFUNCTION("""COMPUTED_VALUE"""),-5369.45415770929)</f>
        <v/>
      </c>
      <c r="B83" s="37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4" t="n"/>
      <c r="N83" s="104" t="n"/>
      <c r="O83" s="104" t="n"/>
      <c r="P83" s="104" t="n"/>
    </row>
    <row r="84">
      <c r="A84" s="4" t="n"/>
      <c r="O84" s="26" t="n"/>
    </row>
    <row r="85">
      <c r="A85" s="4" t="n"/>
      <c r="O85" s="26" t="n"/>
    </row>
    <row r="86">
      <c r="A86" s="4" t="n"/>
      <c r="O86" s="26" t="n"/>
    </row>
    <row r="87">
      <c r="A87" s="4" t="n"/>
      <c r="O87" s="26" t="n"/>
    </row>
    <row r="88">
      <c r="A88" s="36">
        <f>IFERROR(__xludf.DUMMYFUNCTION("""COMPUTED_VALUE"""),5864)</f>
        <v/>
      </c>
      <c r="B88" s="36" t="n"/>
      <c r="C88" s="47" t="n"/>
      <c r="D88" s="47" t="n"/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  <c r="O88" s="47" t="n"/>
      <c r="P88" s="47" t="n"/>
    </row>
    <row r="89">
      <c r="A89" s="37">
        <f>IFERROR(__xludf.DUMMYFUNCTION("""COMPUTED_VALUE"""),4331)</f>
        <v/>
      </c>
      <c r="B89" s="37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M89" s="104" t="n"/>
      <c r="N89" s="104" t="n"/>
      <c r="O89" s="104" t="n"/>
      <c r="P89" s="104" t="n"/>
    </row>
    <row r="90">
      <c r="A90" s="36">
        <f>IFERROR(__xludf.DUMMYFUNCTION("""COMPUTED_VALUE"""),1288)</f>
        <v/>
      </c>
      <c r="B90" s="36" t="n"/>
      <c r="C90" s="47" t="n"/>
      <c r="D90" s="47" t="n"/>
      <c r="E90" s="47" t="n"/>
      <c r="F90" s="47" t="n"/>
      <c r="G90" s="47" t="n"/>
      <c r="H90" s="47" t="n"/>
      <c r="I90" s="47" t="n"/>
      <c r="J90" s="47" t="n"/>
      <c r="K90" s="47" t="n"/>
      <c r="L90" s="47" t="n"/>
      <c r="M90" s="47" t="n"/>
      <c r="N90" s="47" t="n"/>
      <c r="O90" s="47" t="n"/>
      <c r="P90" s="47" t="n"/>
    </row>
    <row r="91">
      <c r="A91" s="37">
        <f>IFERROR(__xludf.DUMMYFUNCTION("""COMPUTED_VALUE"""),5465)</f>
        <v/>
      </c>
      <c r="B91" s="37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</row>
    <row r="92">
      <c r="A92" s="36">
        <f>IFERROR(__xludf.DUMMYFUNCTION("""COMPUTED_VALUE"""),0)</f>
        <v/>
      </c>
      <c r="B92" s="36" t="n"/>
      <c r="C92" s="47" t="n"/>
      <c r="D92" s="47" t="n"/>
      <c r="E92" s="47" t="n"/>
      <c r="F92" s="47" t="n"/>
      <c r="G92" s="47" t="n"/>
      <c r="H92" s="47" t="n"/>
      <c r="I92" s="47" t="n"/>
      <c r="J92" s="47" t="n"/>
      <c r="K92" s="47" t="n"/>
      <c r="L92" s="47" t="n"/>
      <c r="M92" s="47" t="n"/>
      <c r="N92" s="47" t="n"/>
      <c r="O92" s="47" t="n"/>
      <c r="P92" s="47" t="n"/>
    </row>
    <row r="93">
      <c r="A93" s="40">
        <f>IFERROR(__xludf.DUMMYFUNCTION("""COMPUTED_VALUE"""),5135)</f>
        <v/>
      </c>
      <c r="B93" s="37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M93" s="104" t="n"/>
      <c r="N93" s="104" t="n"/>
      <c r="O93" s="104" t="n"/>
      <c r="P93" s="104" t="n"/>
    </row>
    <row r="94">
      <c r="A94" s="36">
        <f>IFERROR(__xludf.DUMMYFUNCTION("""COMPUTED_VALUE"""),0)</f>
        <v/>
      </c>
      <c r="B94" s="36" t="n"/>
      <c r="C94" s="47" t="n"/>
      <c r="D94" s="47" t="n"/>
      <c r="E94" s="47" t="n"/>
      <c r="F94" s="47" t="n"/>
      <c r="G94" s="47" t="n"/>
      <c r="H94" s="47" t="n"/>
      <c r="I94" s="47" t="n"/>
      <c r="J94" s="47" t="n"/>
      <c r="K94" s="47" t="n"/>
      <c r="L94" s="47" t="n"/>
      <c r="M94" s="47" t="n"/>
      <c r="N94" s="47" t="n"/>
      <c r="O94" s="47" t="n"/>
      <c r="P94" s="47" t="n"/>
    </row>
    <row r="95">
      <c r="A95" s="37">
        <f>IFERROR(__xludf.DUMMYFUNCTION("""COMPUTED_VALUE"""),6114)</f>
        <v/>
      </c>
      <c r="B95" s="37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M95" s="104" t="n"/>
      <c r="N95" s="104" t="n"/>
      <c r="O95" s="104" t="n"/>
      <c r="P95" s="104" t="n"/>
    </row>
    <row r="96">
      <c r="A96" s="36">
        <f>IFERROR(__xludf.DUMMYFUNCTION("""COMPUTED_VALUE"""),12215.81)</f>
        <v/>
      </c>
      <c r="B96" s="36" t="n"/>
      <c r="C96" s="47" t="n"/>
      <c r="D96" s="47" t="n"/>
      <c r="E96" s="47" t="n"/>
      <c r="F96" s="47" t="n"/>
      <c r="G96" s="47" t="n"/>
      <c r="H96" s="47" t="n"/>
      <c r="I96" s="47" t="n"/>
      <c r="J96" s="47" t="n"/>
      <c r="K96" s="47" t="n"/>
      <c r="L96" s="47" t="n"/>
      <c r="M96" s="47" t="n"/>
      <c r="N96" s="47" t="n"/>
      <c r="O96" s="47" t="n"/>
      <c r="P96" s="47" t="n"/>
    </row>
    <row r="97">
      <c r="A97" s="37">
        <f>IFERROR(__xludf.DUMMYFUNCTION("""COMPUTED_VALUE"""),5101)</f>
        <v/>
      </c>
      <c r="B97" s="37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4" t="n"/>
      <c r="N97" s="104" t="n"/>
      <c r="O97" s="104" t="n"/>
      <c r="P97" s="104" t="n"/>
    </row>
    <row r="98">
      <c r="A98" s="36">
        <f>IFERROR(__xludf.DUMMYFUNCTION("""COMPUTED_VALUE"""),0)</f>
        <v/>
      </c>
      <c r="B98" s="36" t="n"/>
      <c r="C98" s="47" t="n"/>
      <c r="D98" s="47" t="n"/>
      <c r="E98" s="47" t="n"/>
      <c r="F98" s="47" t="n"/>
      <c r="G98" s="47" t="n"/>
      <c r="H98" s="47" t="n"/>
      <c r="I98" s="47" t="n"/>
      <c r="J98" s="47" t="n"/>
      <c r="K98" s="47" t="n"/>
      <c r="L98" s="47" t="n"/>
      <c r="M98" s="47" t="n"/>
      <c r="N98" s="47" t="n"/>
      <c r="O98" s="47" t="n"/>
      <c r="P98" s="47" t="n"/>
    </row>
    <row r="99">
      <c r="A99" s="37">
        <f>IFERROR(__xludf.DUMMYFUNCTION("""COMPUTED_VALUE"""),45513.81)</f>
        <v/>
      </c>
      <c r="B99" s="37" t="n"/>
      <c r="C99" s="104" t="n"/>
      <c r="D99" s="104" t="n"/>
      <c r="E99" s="104" t="n"/>
      <c r="F99" s="104" t="n"/>
      <c r="G99" s="104" t="n"/>
      <c r="H99" s="104" t="n"/>
      <c r="I99" s="104" t="n"/>
      <c r="J99" s="104" t="n"/>
      <c r="K99" s="104" t="n"/>
      <c r="L99" s="104" t="n"/>
      <c r="M99" s="104" t="n"/>
      <c r="N99" s="104" t="n"/>
      <c r="O99" s="104" t="n"/>
      <c r="P99" s="104" t="n"/>
    </row>
    <row r="100">
      <c r="A100" s="42">
        <f>IFERROR(__xludf.DUMMYFUNCTION("""COMPUTED_VALUE"""),-19620.0167437126)</f>
        <v/>
      </c>
      <c r="B100" s="36" t="n"/>
      <c r="C100" s="47" t="n"/>
      <c r="D100" s="47" t="n"/>
      <c r="E100" s="47" t="n"/>
      <c r="F100" s="47" t="n"/>
      <c r="G100" s="47" t="n"/>
      <c r="H100" s="47" t="n"/>
      <c r="I100" s="47" t="n"/>
      <c r="J100" s="47" t="n"/>
      <c r="K100" s="47" t="n"/>
      <c r="L100" s="47" t="n"/>
      <c r="M100" s="47" t="n"/>
      <c r="N100" s="47" t="n"/>
      <c r="O100" s="47" t="n"/>
      <c r="P100" s="47" t="n"/>
    </row>
    <row r="101">
      <c r="A101" s="4" t="n"/>
      <c r="O101" s="26" t="n"/>
    </row>
    <row r="102">
      <c r="A102" s="4" t="n"/>
      <c r="O102" s="26" t="n"/>
    </row>
    <row r="103">
      <c r="A103" s="4" t="n"/>
      <c r="O103" s="26" t="n"/>
    </row>
    <row r="104">
      <c r="A104" s="4" t="n"/>
      <c r="O104" s="26" t="n"/>
    </row>
    <row r="105">
      <c r="A105" s="37">
        <f>IFERROR(__xludf.DUMMYFUNCTION("""COMPUTED_VALUE"""),11602)</f>
        <v/>
      </c>
      <c r="B105" s="37" t="n"/>
      <c r="C105" s="104" t="n"/>
      <c r="D105" s="104" t="n"/>
      <c r="E105" s="104" t="n"/>
      <c r="F105" s="104" t="n"/>
      <c r="G105" s="104" t="n"/>
      <c r="H105" s="104" t="n"/>
      <c r="I105" s="104" t="n"/>
      <c r="J105" s="104" t="n"/>
      <c r="K105" s="104" t="n"/>
      <c r="L105" s="104" t="n"/>
      <c r="M105" s="104" t="n"/>
      <c r="N105" s="104" t="n"/>
      <c r="O105" s="104" t="n"/>
      <c r="P105" s="104" t="n"/>
    </row>
    <row r="106">
      <c r="A106" s="36">
        <f>IFERROR(__xludf.DUMMYFUNCTION("""COMPUTED_VALUE"""),4800.17)</f>
        <v/>
      </c>
      <c r="B106" s="36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7" t="n"/>
      <c r="L106" s="47" t="n"/>
      <c r="M106" s="47" t="n"/>
      <c r="N106" s="47" t="n"/>
      <c r="O106" s="47" t="n"/>
      <c r="P106" s="47" t="n"/>
    </row>
    <row r="107">
      <c r="A107" s="37">
        <f>IFERROR(__xludf.DUMMYFUNCTION("""COMPUTED_VALUE"""),5050.91)</f>
        <v/>
      </c>
      <c r="B107" s="37" t="n"/>
      <c r="C107" s="104" t="n"/>
      <c r="D107" s="104" t="n"/>
      <c r="E107" s="104" t="n"/>
      <c r="F107" s="104" t="n"/>
      <c r="G107" s="104" t="n"/>
      <c r="H107" s="104" t="n"/>
      <c r="I107" s="104" t="n"/>
      <c r="J107" s="104" t="n"/>
      <c r="K107" s="104" t="n"/>
      <c r="L107" s="104" t="n"/>
      <c r="M107" s="104" t="n"/>
      <c r="N107" s="104" t="n"/>
      <c r="O107" s="104" t="n"/>
      <c r="P107" s="104" t="n"/>
    </row>
    <row r="108">
      <c r="A108" s="36">
        <f>IFERROR(__xludf.DUMMYFUNCTION("""COMPUTED_VALUE"""),5938.62)</f>
        <v/>
      </c>
      <c r="B108" s="36" t="n"/>
      <c r="C108" s="47" t="n"/>
      <c r="D108" s="47" t="n"/>
      <c r="E108" s="47" t="n"/>
      <c r="F108" s="47" t="n"/>
      <c r="G108" s="47" t="n"/>
      <c r="H108" s="47" t="n"/>
      <c r="I108" s="47" t="n"/>
      <c r="J108" s="47" t="n"/>
      <c r="K108" s="47" t="n"/>
      <c r="L108" s="47" t="n"/>
      <c r="M108" s="47" t="n"/>
      <c r="N108" s="47" t="n"/>
      <c r="O108" s="47" t="n"/>
      <c r="P108" s="47" t="n"/>
    </row>
    <row r="109">
      <c r="A109" s="37">
        <f>IFERROR(__xludf.DUMMYFUNCTION("""COMPUTED_VALUE"""),5939)</f>
        <v/>
      </c>
      <c r="B109" s="37" t="n"/>
      <c r="C109" s="104" t="n"/>
      <c r="D109" s="104" t="n"/>
      <c r="E109" s="104" t="n"/>
      <c r="F109" s="104" t="n"/>
      <c r="G109" s="104" t="n"/>
      <c r="H109" s="104" t="n"/>
      <c r="I109" s="104" t="n"/>
      <c r="J109" s="104" t="n"/>
      <c r="K109" s="104" t="n"/>
      <c r="L109" s="104" t="n"/>
      <c r="M109" s="104" t="n"/>
      <c r="N109" s="104" t="n"/>
      <c r="O109" s="104" t="n"/>
      <c r="P109" s="104" t="n"/>
    </row>
    <row r="110">
      <c r="A110" s="36">
        <f>IFERROR(__xludf.DUMMYFUNCTION("""COMPUTED_VALUE"""),0)</f>
        <v/>
      </c>
      <c r="B110" s="36" t="n"/>
      <c r="C110" s="47" t="n"/>
      <c r="D110" s="47" t="n"/>
      <c r="E110" s="47" t="n"/>
      <c r="F110" s="47" t="n"/>
      <c r="G110" s="47" t="n"/>
      <c r="H110" s="47" t="n"/>
      <c r="I110" s="47" t="n"/>
      <c r="J110" s="47" t="n"/>
      <c r="K110" s="47" t="n"/>
      <c r="L110" s="47" t="n"/>
      <c r="M110" s="47" t="n"/>
      <c r="N110" s="47" t="n"/>
      <c r="O110" s="47" t="n"/>
      <c r="P110" s="47" t="n"/>
    </row>
    <row r="111">
      <c r="A111" s="40">
        <f>IFERROR(__xludf.DUMMYFUNCTION("""COMPUTED_VALUE"""),5505)</f>
        <v/>
      </c>
      <c r="B111" s="37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4" t="n"/>
      <c r="N111" s="104" t="n"/>
      <c r="O111" s="104" t="n"/>
      <c r="P111" s="104" t="n"/>
    </row>
    <row r="112">
      <c r="A112" s="36">
        <f>IFERROR(__xludf.DUMMYFUNCTION("""COMPUTED_VALUE"""),7303)</f>
        <v/>
      </c>
      <c r="B112" s="36" t="n"/>
      <c r="C112" s="47" t="n"/>
      <c r="D112" s="47" t="n"/>
      <c r="E112" s="47" t="n"/>
      <c r="F112" s="47" t="n"/>
      <c r="G112" s="47" t="n"/>
      <c r="H112" s="47" t="n"/>
      <c r="I112" s="47" t="n"/>
      <c r="J112" s="47" t="n"/>
      <c r="K112" s="47" t="n"/>
      <c r="L112" s="47" t="n"/>
      <c r="M112" s="47" t="n"/>
      <c r="N112" s="47" t="n"/>
      <c r="O112" s="47" t="n"/>
      <c r="P112" s="47" t="n"/>
    </row>
    <row r="113">
      <c r="A113" s="37">
        <f>IFERROR(__xludf.DUMMYFUNCTION("""COMPUTED_VALUE"""),5551.92)</f>
        <v/>
      </c>
      <c r="B113" s="37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4" t="n"/>
      <c r="N113" s="104" t="n"/>
      <c r="O113" s="104" t="n"/>
      <c r="P113" s="104" t="n"/>
    </row>
    <row r="114">
      <c r="A114" s="36">
        <f>IFERROR(__xludf.DUMMYFUNCTION("""COMPUTED_VALUE"""),0)</f>
        <v/>
      </c>
      <c r="B114" s="36" t="n"/>
      <c r="C114" s="47" t="n"/>
      <c r="D114" s="47" t="n"/>
      <c r="E114" s="47" t="n"/>
      <c r="F114" s="47" t="n"/>
      <c r="G114" s="47" t="n"/>
      <c r="H114" s="47" t="n"/>
      <c r="I114" s="47" t="n"/>
      <c r="J114" s="47" t="n"/>
      <c r="K114" s="47" t="n"/>
      <c r="L114" s="47" t="n"/>
      <c r="M114" s="47" t="n"/>
      <c r="N114" s="47" t="n"/>
      <c r="O114" s="47" t="n"/>
      <c r="P114" s="47" t="n"/>
    </row>
    <row r="115">
      <c r="A115" s="37">
        <f>IFERROR(__xludf.DUMMYFUNCTION("""COMPUTED_VALUE"""),10717)</f>
        <v/>
      </c>
      <c r="B115" s="37" t="n"/>
      <c r="C115" s="104" t="n"/>
      <c r="D115" s="104" t="n"/>
      <c r="E115" s="104" t="n"/>
      <c r="F115" s="104" t="n"/>
      <c r="G115" s="104" t="n"/>
      <c r="H115" s="104" t="n"/>
      <c r="I115" s="104" t="n"/>
      <c r="J115" s="104" t="n"/>
      <c r="K115" s="104" t="n"/>
      <c r="L115" s="104" t="n"/>
      <c r="M115" s="104" t="n"/>
      <c r="N115" s="104" t="n"/>
      <c r="O115" s="104" t="n"/>
      <c r="P115" s="104" t="n"/>
    </row>
    <row r="116">
      <c r="A116" s="36">
        <f>IFERROR(__xludf.DUMMYFUNCTION("""COMPUTED_VALUE"""),62407.6199999999)</f>
        <v/>
      </c>
      <c r="B116" s="36" t="n"/>
      <c r="C116" s="47" t="n"/>
      <c r="D116" s="47" t="n"/>
      <c r="E116" s="47" t="n"/>
      <c r="F116" s="47" t="n"/>
      <c r="G116" s="47" t="n"/>
      <c r="H116" s="47" t="n"/>
      <c r="I116" s="47" t="n"/>
      <c r="J116" s="47" t="n"/>
      <c r="K116" s="47" t="n"/>
      <c r="L116" s="47" t="n"/>
      <c r="M116" s="47" t="n"/>
      <c r="N116" s="47" t="n"/>
      <c r="O116" s="47" t="n"/>
      <c r="P116" s="47" t="n"/>
    </row>
    <row r="117">
      <c r="A117" s="40">
        <f>IFERROR(__xludf.DUMMYFUNCTION("""COMPUTED_VALUE"""),-7173.75509358693)</f>
        <v/>
      </c>
      <c r="B117" s="37" t="n"/>
      <c r="C117" s="104" t="n"/>
      <c r="D117" s="104" t="n"/>
      <c r="E117" s="104" t="n"/>
      <c r="F117" s="104" t="n"/>
      <c r="G117" s="104" t="n"/>
      <c r="H117" s="104" t="n"/>
      <c r="I117" s="104" t="n"/>
      <c r="J117" s="104" t="n"/>
      <c r="K117" s="104" t="n"/>
      <c r="L117" s="104" t="n"/>
      <c r="M117" s="104" t="n"/>
      <c r="N117" s="104" t="n"/>
      <c r="O117" s="104" t="n"/>
      <c r="P117" s="104" t="n"/>
    </row>
    <row r="118">
      <c r="A118" s="4" t="n"/>
      <c r="O118" s="26" t="n"/>
    </row>
    <row r="119">
      <c r="A119" s="4" t="n"/>
      <c r="O119" s="26" t="n"/>
    </row>
    <row r="120">
      <c r="A120" s="4" t="n"/>
      <c r="O120" s="26" t="n"/>
    </row>
    <row r="121">
      <c r="A121" s="4" t="n"/>
      <c r="O121" s="26" t="n"/>
    </row>
    <row r="122">
      <c r="A122" s="42">
        <f>IFERROR(__xludf.DUMMYFUNCTION("""COMPUTED_VALUE"""),5312)</f>
        <v/>
      </c>
      <c r="B122" s="36" t="n"/>
      <c r="C122" s="47" t="n"/>
      <c r="D122" s="47" t="n"/>
      <c r="E122" s="47" t="n"/>
      <c r="F122" s="47" t="n"/>
      <c r="G122" s="47" t="n"/>
      <c r="H122" s="47" t="n"/>
      <c r="I122" s="47" t="n"/>
      <c r="J122" s="47" t="n"/>
      <c r="K122" s="47" t="n"/>
      <c r="L122" s="47" t="n"/>
      <c r="M122" s="47" t="n"/>
      <c r="N122" s="47" t="n"/>
      <c r="O122" s="47" t="n"/>
      <c r="P122" s="47" t="n"/>
    </row>
    <row r="123">
      <c r="A123" s="40">
        <f>IFERROR(__xludf.DUMMYFUNCTION("""COMPUTED_VALUE"""),4044)</f>
        <v/>
      </c>
      <c r="B123" s="37" t="n"/>
      <c r="C123" s="104" t="n"/>
      <c r="D123" s="104" t="n"/>
      <c r="E123" s="104" t="n"/>
      <c r="F123" s="104" t="n"/>
      <c r="G123" s="104" t="n"/>
      <c r="H123" s="104" t="n"/>
      <c r="I123" s="104" t="n"/>
      <c r="J123" s="104" t="n"/>
      <c r="K123" s="104" t="n"/>
      <c r="L123" s="104" t="n"/>
      <c r="M123" s="104" t="n"/>
      <c r="N123" s="104" t="n"/>
      <c r="O123" s="104" t="n"/>
      <c r="P123" s="104" t="n"/>
    </row>
    <row r="124">
      <c r="A124" s="42">
        <f>IFERROR(__xludf.DUMMYFUNCTION("""COMPUTED_VALUE"""),4291)</f>
        <v/>
      </c>
      <c r="B124" s="36" t="n"/>
      <c r="C124" s="47" t="n"/>
      <c r="D124" s="47" t="n"/>
      <c r="E124" s="47" t="n"/>
      <c r="F124" s="47" t="n"/>
      <c r="G124" s="47" t="n"/>
      <c r="H124" s="47" t="n"/>
      <c r="I124" s="47" t="n"/>
      <c r="J124" s="47" t="n"/>
      <c r="K124" s="47" t="n"/>
      <c r="L124" s="47" t="n"/>
      <c r="M124" s="47" t="n"/>
      <c r="N124" s="47" t="n"/>
      <c r="O124" s="47" t="n"/>
      <c r="P124" s="47" t="n"/>
    </row>
    <row r="125">
      <c r="A125" s="40">
        <f>IFERROR(__xludf.DUMMYFUNCTION("""COMPUTED_VALUE"""),5121)</f>
        <v/>
      </c>
      <c r="B125" s="37" t="n"/>
      <c r="C125" s="104" t="n"/>
      <c r="D125" s="104" t="n"/>
      <c r="E125" s="104" t="n"/>
      <c r="F125" s="104" t="n"/>
      <c r="G125" s="104" t="n"/>
      <c r="H125" s="104" t="n"/>
      <c r="I125" s="104" t="n"/>
      <c r="J125" s="104" t="n"/>
      <c r="K125" s="104" t="n"/>
      <c r="L125" s="104" t="n"/>
      <c r="M125" s="104" t="n"/>
      <c r="N125" s="104" t="n"/>
      <c r="O125" s="104" t="n"/>
      <c r="P125" s="104" t="n"/>
    </row>
    <row r="126">
      <c r="A126" s="42">
        <f>IFERROR(__xludf.DUMMYFUNCTION("""COMPUTED_VALUE"""),5121)</f>
        <v/>
      </c>
      <c r="B126" s="36" t="n"/>
      <c r="C126" s="47" t="n"/>
      <c r="D126" s="47" t="n"/>
      <c r="E126" s="47" t="n"/>
      <c r="F126" s="47" t="n"/>
      <c r="G126" s="47" t="n"/>
      <c r="H126" s="47" t="n"/>
      <c r="I126" s="47" t="n"/>
      <c r="J126" s="47" t="n"/>
      <c r="K126" s="47" t="n"/>
      <c r="L126" s="47" t="n"/>
      <c r="M126" s="47" t="n"/>
      <c r="N126" s="47" t="n"/>
      <c r="O126" s="47" t="n"/>
      <c r="P126" s="47" t="n"/>
    </row>
    <row r="127">
      <c r="A127" s="40">
        <f>IFERROR(__xludf.DUMMYFUNCTION("""COMPUTED_VALUE"""),4769)</f>
        <v/>
      </c>
      <c r="B127" s="37" t="n"/>
      <c r="C127" s="104" t="n"/>
      <c r="D127" s="104" t="n"/>
      <c r="E127" s="104" t="n"/>
      <c r="F127" s="104" t="n"/>
      <c r="G127" s="104" t="n"/>
      <c r="H127" s="104" t="n"/>
      <c r="I127" s="104" t="n"/>
      <c r="J127" s="104" t="n"/>
      <c r="K127" s="104" t="n"/>
      <c r="L127" s="104" t="n"/>
      <c r="M127" s="104" t="n"/>
      <c r="N127" s="104" t="n"/>
      <c r="O127" s="104" t="n"/>
      <c r="P127" s="104" t="n"/>
    </row>
    <row r="128">
      <c r="A128" s="36">
        <f>IFERROR(__xludf.DUMMYFUNCTION("""COMPUTED_VALUE"""),6114)</f>
        <v/>
      </c>
      <c r="B128" s="36" t="n"/>
      <c r="C128" s="47" t="n"/>
      <c r="D128" s="47" t="n"/>
      <c r="E128" s="47" t="n"/>
      <c r="F128" s="47" t="n"/>
      <c r="G128" s="47" t="n"/>
      <c r="H128" s="47" t="n"/>
      <c r="I128" s="47" t="n"/>
      <c r="J128" s="47" t="n"/>
      <c r="K128" s="47" t="n"/>
      <c r="L128" s="47" t="n"/>
      <c r="M128" s="47" t="n"/>
      <c r="N128" s="47" t="n"/>
      <c r="O128" s="47" t="n"/>
      <c r="P128" s="47" t="n"/>
    </row>
    <row r="129">
      <c r="A129" s="40">
        <f>IFERROR(__xludf.DUMMYFUNCTION("""COMPUTED_VALUE"""),7529)</f>
        <v/>
      </c>
      <c r="B129" s="37" t="n"/>
      <c r="C129" s="104" t="n"/>
      <c r="D129" s="104" t="n"/>
      <c r="E129" s="104" t="n"/>
      <c r="F129" s="104" t="n"/>
      <c r="G129" s="104" t="n"/>
      <c r="H129" s="104" t="n"/>
      <c r="I129" s="104" t="n"/>
      <c r="J129" s="104" t="n"/>
      <c r="K129" s="104" t="n"/>
      <c r="L129" s="104" t="n"/>
      <c r="M129" s="104" t="n"/>
      <c r="N129" s="104" t="n"/>
      <c r="O129" s="104" t="n"/>
      <c r="P129" s="104" t="n"/>
    </row>
    <row r="130">
      <c r="A130" s="42">
        <f>IFERROR(__xludf.DUMMYFUNCTION("""COMPUTED_VALUE"""),6937)</f>
        <v/>
      </c>
      <c r="B130" s="36" t="n"/>
      <c r="C130" s="47" t="n"/>
      <c r="D130" s="47" t="n"/>
      <c r="E130" s="47" t="n"/>
      <c r="F130" s="47" t="n"/>
      <c r="G130" s="47" t="n"/>
      <c r="H130" s="47" t="n"/>
      <c r="I130" s="47" t="n"/>
      <c r="J130" s="47" t="n"/>
      <c r="K130" s="47" t="n"/>
      <c r="L130" s="47" t="n"/>
      <c r="M130" s="47" t="n"/>
      <c r="N130" s="47" t="n"/>
      <c r="O130" s="47" t="n"/>
      <c r="P130" s="47" t="n"/>
    </row>
    <row r="131">
      <c r="A131" s="40">
        <f>IFERROR(__xludf.DUMMYFUNCTION("""COMPUTED_VALUE"""),6153)</f>
        <v/>
      </c>
      <c r="B131" s="37" t="n"/>
      <c r="C131" s="104" t="n"/>
      <c r="D131" s="104" t="n"/>
      <c r="E131" s="104" t="n"/>
      <c r="F131" s="104" t="n"/>
      <c r="G131" s="104" t="n"/>
      <c r="H131" s="104" t="n"/>
      <c r="I131" s="104" t="n"/>
      <c r="J131" s="104" t="n"/>
      <c r="K131" s="104" t="n"/>
      <c r="L131" s="104" t="n"/>
      <c r="M131" s="104" t="n"/>
      <c r="N131" s="104" t="n"/>
      <c r="O131" s="104" t="n"/>
      <c r="P131" s="104" t="n"/>
    </row>
    <row r="132">
      <c r="A132" s="36">
        <f>IFERROR(__xludf.DUMMYFUNCTION("""COMPUTED_VALUE"""),6095)</f>
        <v/>
      </c>
      <c r="B132" s="36" t="n"/>
      <c r="C132" s="47" t="n"/>
      <c r="D132" s="47" t="n"/>
      <c r="E132" s="47" t="n"/>
      <c r="F132" s="47" t="n"/>
      <c r="G132" s="47" t="n"/>
      <c r="H132" s="47" t="n"/>
      <c r="I132" s="47" t="n"/>
      <c r="J132" s="47" t="n"/>
      <c r="K132" s="47" t="n"/>
      <c r="L132" s="47" t="n"/>
      <c r="M132" s="47" t="n"/>
      <c r="N132" s="47" t="n"/>
      <c r="O132" s="47" t="n"/>
      <c r="P132" s="47" t="n"/>
    </row>
    <row r="133">
      <c r="A133" s="37">
        <f>IFERROR(__xludf.DUMMYFUNCTION("""COMPUTED_VALUE"""),61486)</f>
        <v/>
      </c>
      <c r="B133" s="37" t="n"/>
      <c r="C133" s="104" t="n"/>
      <c r="D133" s="104" t="n"/>
      <c r="E133" s="104" t="n"/>
      <c r="F133" s="104" t="n"/>
      <c r="G133" s="104" t="n"/>
      <c r="H133" s="104" t="n"/>
      <c r="I133" s="104" t="n"/>
      <c r="J133" s="104" t="n"/>
      <c r="K133" s="104" t="n"/>
      <c r="L133" s="104" t="n"/>
      <c r="M133" s="104" t="n"/>
      <c r="N133" s="104" t="n"/>
      <c r="O133" s="104" t="n"/>
      <c r="P133" s="104" t="n"/>
    </row>
    <row r="134">
      <c r="A134" s="42">
        <f>IFERROR(__xludf.DUMMYFUNCTION("""COMPUTED_VALUE"""),-6568.49928710024)</f>
        <v/>
      </c>
      <c r="B134" s="36" t="n"/>
      <c r="C134" s="47" t="n"/>
      <c r="D134" s="47" t="n"/>
      <c r="E134" s="47" t="n"/>
      <c r="F134" s="47" t="n"/>
      <c r="G134" s="47" t="n"/>
      <c r="H134" s="47" t="n"/>
      <c r="I134" s="47" t="n"/>
      <c r="J134" s="47" t="n"/>
      <c r="K134" s="47" t="n"/>
      <c r="L134" s="47" t="n"/>
      <c r="M134" s="47" t="n"/>
      <c r="N134" s="47" t="n"/>
      <c r="O134" s="47" t="n"/>
      <c r="P134" s="47" t="n"/>
    </row>
    <row r="135">
      <c r="A135" s="4" t="n"/>
      <c r="O135" s="26" t="n"/>
    </row>
    <row r="136">
      <c r="A136" s="4" t="n"/>
      <c r="O136" s="26" t="n"/>
    </row>
    <row r="137">
      <c r="A137" s="4" t="n"/>
      <c r="O137" s="26" t="n"/>
    </row>
    <row r="138">
      <c r="A138" s="4" t="n"/>
      <c r="O138" s="26" t="n"/>
    </row>
    <row r="139">
      <c r="A139" s="40">
        <f>IFERROR(__xludf.DUMMYFUNCTION("""COMPUTED_VALUE"""),5516)</f>
        <v/>
      </c>
      <c r="B139" s="37" t="n"/>
      <c r="C139" s="104" t="n"/>
      <c r="D139" s="104" t="n"/>
      <c r="E139" s="104" t="n"/>
      <c r="F139" s="104" t="n"/>
      <c r="G139" s="104" t="n"/>
      <c r="H139" s="104" t="n"/>
      <c r="I139" s="104" t="n"/>
      <c r="J139" s="104" t="n"/>
      <c r="K139" s="104" t="n"/>
      <c r="L139" s="104" t="n"/>
      <c r="M139" s="104" t="n"/>
      <c r="N139" s="104" t="n"/>
      <c r="O139" s="104" t="n"/>
      <c r="P139" s="104" t="n"/>
    </row>
    <row r="140">
      <c r="A140" s="42">
        <f>IFERROR(__xludf.DUMMYFUNCTION("""COMPUTED_VALUE"""),4310)</f>
        <v/>
      </c>
      <c r="B140" s="36" t="n"/>
      <c r="C140" s="47" t="n"/>
      <c r="D140" s="47" t="n"/>
      <c r="E140" s="47" t="n"/>
      <c r="F140" s="47" t="n"/>
      <c r="G140" s="47" t="n"/>
      <c r="H140" s="47" t="n"/>
      <c r="I140" s="47" t="n"/>
      <c r="J140" s="47" t="n"/>
      <c r="K140" s="47" t="n"/>
      <c r="L140" s="47" t="n"/>
      <c r="M140" s="47" t="n"/>
      <c r="N140" s="47" t="n"/>
      <c r="O140" s="47" t="n"/>
      <c r="P140" s="47" t="n"/>
    </row>
    <row r="141">
      <c r="A141" s="40">
        <f>IFERROR(__xludf.DUMMYFUNCTION("""COMPUTED_VALUE"""),4567)</f>
        <v/>
      </c>
      <c r="B141" s="37" t="n"/>
      <c r="C141" s="104" t="n"/>
      <c r="D141" s="104" t="n"/>
      <c r="E141" s="104" t="n"/>
      <c r="F141" s="104" t="n"/>
      <c r="G141" s="104" t="n"/>
      <c r="H141" s="104" t="n"/>
      <c r="I141" s="104" t="n"/>
      <c r="J141" s="104" t="n"/>
      <c r="K141" s="104" t="n"/>
      <c r="L141" s="104" t="n"/>
      <c r="M141" s="104" t="n"/>
      <c r="N141" s="104" t="n"/>
      <c r="O141" s="104" t="n"/>
      <c r="P141" s="104" t="n"/>
    </row>
    <row r="142">
      <c r="A142" s="42">
        <f>IFERROR(__xludf.DUMMYFUNCTION("""COMPUTED_VALUE"""),5434)</f>
        <v/>
      </c>
      <c r="B142" s="36" t="n"/>
      <c r="C142" s="47" t="n"/>
      <c r="D142" s="47" t="n"/>
      <c r="E142" s="47" t="n"/>
      <c r="F142" s="47" t="n"/>
      <c r="G142" s="47" t="n"/>
      <c r="H142" s="47" t="n"/>
      <c r="I142" s="47" t="n"/>
      <c r="J142" s="47" t="n"/>
      <c r="K142" s="47" t="n"/>
      <c r="L142" s="47" t="n"/>
      <c r="M142" s="47" t="n"/>
      <c r="N142" s="47" t="n"/>
      <c r="O142" s="47" t="n"/>
      <c r="P142" s="47" t="n"/>
    </row>
    <row r="143">
      <c r="A143" s="40">
        <f>IFERROR(__xludf.DUMMYFUNCTION("""COMPUTED_VALUE"""),5434)</f>
        <v/>
      </c>
      <c r="B143" s="37" t="n"/>
      <c r="C143" s="104" t="n"/>
      <c r="D143" s="104" t="n"/>
      <c r="E143" s="104" t="n"/>
      <c r="F143" s="104" t="n"/>
      <c r="G143" s="104" t="n"/>
      <c r="H143" s="104" t="n"/>
      <c r="I143" s="104" t="n"/>
      <c r="J143" s="104" t="n"/>
      <c r="K143" s="104" t="n"/>
      <c r="L143" s="104" t="n"/>
      <c r="M143" s="104" t="n"/>
      <c r="N143" s="104" t="n"/>
      <c r="O143" s="104" t="n"/>
      <c r="P143" s="104" t="n"/>
    </row>
    <row r="144">
      <c r="A144" s="42">
        <f>IFERROR(__xludf.DUMMYFUNCTION("""COMPUTED_VALUE"""),5031)</f>
        <v/>
      </c>
      <c r="B144" s="36" t="n"/>
      <c r="C144" s="47" t="n"/>
      <c r="D144" s="47" t="n"/>
      <c r="E144" s="47" t="n"/>
      <c r="F144" s="47" t="n"/>
      <c r="G144" s="47" t="n"/>
      <c r="H144" s="47" t="n"/>
      <c r="I144" s="47" t="n"/>
      <c r="J144" s="47" t="n"/>
      <c r="K144" s="47" t="n"/>
      <c r="L144" s="47" t="n"/>
      <c r="M144" s="47" t="n"/>
      <c r="N144" s="47" t="n"/>
      <c r="O144" s="47" t="n"/>
      <c r="P144" s="47" t="n"/>
    </row>
    <row r="145">
      <c r="A145" s="37">
        <f>IFERROR(__xludf.DUMMYFUNCTION("""COMPUTED_VALUE"""),6231)</f>
        <v/>
      </c>
      <c r="B145" s="37" t="n"/>
      <c r="C145" s="104" t="n"/>
      <c r="D145" s="104" t="n"/>
      <c r="E145" s="104" t="n"/>
      <c r="F145" s="104" t="n"/>
      <c r="G145" s="104" t="n"/>
      <c r="H145" s="104" t="n"/>
      <c r="I145" s="104" t="n"/>
      <c r="J145" s="104" t="n"/>
      <c r="K145" s="104" t="n"/>
      <c r="L145" s="104" t="n"/>
      <c r="M145" s="104" t="n"/>
      <c r="N145" s="104" t="n"/>
      <c r="O145" s="104" t="n"/>
      <c r="P145" s="104" t="n"/>
    </row>
    <row r="146">
      <c r="A146" s="42">
        <f>IFERROR(__xludf.DUMMYFUNCTION("""COMPUTED_VALUE"""),6883)</f>
        <v/>
      </c>
      <c r="B146" s="36" t="n"/>
      <c r="C146" s="47" t="n"/>
      <c r="D146" s="47" t="n"/>
      <c r="E146" s="47" t="n"/>
      <c r="F146" s="47" t="n"/>
      <c r="G146" s="47" t="n"/>
      <c r="H146" s="47" t="n"/>
      <c r="I146" s="47" t="n"/>
      <c r="J146" s="47" t="n"/>
      <c r="K146" s="47" t="n"/>
      <c r="L146" s="47" t="n"/>
      <c r="M146" s="47" t="n"/>
      <c r="N146" s="47" t="n"/>
      <c r="O146" s="47" t="n"/>
      <c r="P146" s="47" t="n"/>
    </row>
    <row r="147">
      <c r="A147" s="40">
        <f>IFERROR(__xludf.DUMMYFUNCTION("""COMPUTED_VALUE"""),5090)</f>
        <v/>
      </c>
      <c r="B147" s="37" t="n"/>
      <c r="C147" s="104" t="n"/>
      <c r="D147" s="104" t="n"/>
      <c r="E147" s="104" t="n"/>
      <c r="F147" s="104" t="n"/>
      <c r="G147" s="104" t="n"/>
      <c r="H147" s="104" t="n"/>
      <c r="I147" s="104" t="n"/>
      <c r="J147" s="104" t="n"/>
      <c r="K147" s="104" t="n"/>
      <c r="L147" s="104" t="n"/>
      <c r="M147" s="104" t="n"/>
      <c r="N147" s="104" t="n"/>
      <c r="O147" s="104" t="n"/>
      <c r="P147" s="104" t="n"/>
    </row>
    <row r="148">
      <c r="A148" s="42">
        <f>IFERROR(__xludf.DUMMYFUNCTION("""COMPUTED_VALUE"""),5041)</f>
        <v/>
      </c>
      <c r="B148" s="36" t="n"/>
      <c r="C148" s="47" t="n"/>
      <c r="D148" s="47" t="n"/>
      <c r="E148" s="47" t="n"/>
      <c r="F148" s="47" t="n"/>
      <c r="G148" s="47" t="n"/>
      <c r="H148" s="47" t="n"/>
      <c r="I148" s="47" t="n"/>
      <c r="J148" s="47" t="n"/>
      <c r="K148" s="47" t="n"/>
      <c r="L148" s="47" t="n"/>
      <c r="M148" s="47" t="n"/>
      <c r="N148" s="47" t="n"/>
      <c r="O148" s="47" t="n"/>
      <c r="P148" s="47" t="n"/>
    </row>
    <row r="149">
      <c r="A149" s="37">
        <f>IFERROR(__xludf.DUMMYFUNCTION("""COMPUTED_VALUE"""),4824)</f>
        <v/>
      </c>
      <c r="B149" s="37" t="n"/>
      <c r="C149" s="104" t="n"/>
      <c r="D149" s="104" t="n"/>
      <c r="E149" s="104" t="n"/>
      <c r="F149" s="104" t="n"/>
      <c r="G149" s="104" t="n"/>
      <c r="H149" s="104" t="n"/>
      <c r="I149" s="104" t="n"/>
      <c r="J149" s="104" t="n"/>
      <c r="K149" s="104" t="n"/>
      <c r="L149" s="104" t="n"/>
      <c r="M149" s="104" t="n"/>
      <c r="N149" s="104" t="n"/>
      <c r="O149" s="104" t="n"/>
      <c r="P149" s="104" t="n"/>
    </row>
    <row r="150">
      <c r="A150" s="36">
        <f>IFERROR(__xludf.DUMMYFUNCTION("""COMPUTED_VALUE"""),58361)</f>
        <v/>
      </c>
      <c r="B150" s="36" t="n"/>
      <c r="C150" s="47" t="n"/>
      <c r="D150" s="47" t="n"/>
      <c r="E150" s="47" t="n"/>
      <c r="F150" s="47" t="n"/>
      <c r="G150" s="47" t="n"/>
      <c r="H150" s="47" t="n"/>
      <c r="I150" s="47" t="n"/>
      <c r="J150" s="47" t="n"/>
      <c r="K150" s="47" t="n"/>
      <c r="L150" s="47" t="n"/>
      <c r="M150" s="47" t="n"/>
      <c r="N150" s="47" t="n"/>
      <c r="O150" s="47" t="n"/>
      <c r="P150" s="47" t="n"/>
    </row>
    <row r="151">
      <c r="A151" s="40">
        <f>IFERROR(__xludf.DUMMYFUNCTION("""COMPUTED_VALUE"""),-5540.25759262442)</f>
        <v/>
      </c>
      <c r="B151" s="37" t="n"/>
      <c r="C151" s="104" t="n"/>
      <c r="D151" s="104" t="n"/>
      <c r="E151" s="104" t="n"/>
      <c r="F151" s="104" t="n"/>
      <c r="G151" s="104" t="n"/>
      <c r="H151" s="104" t="n"/>
      <c r="I151" s="104" t="n"/>
      <c r="J151" s="104" t="n"/>
      <c r="K151" s="104" t="n"/>
      <c r="L151" s="104" t="n"/>
      <c r="M151" s="104" t="n"/>
      <c r="N151" s="104" t="n"/>
      <c r="O151" s="104" t="n"/>
      <c r="P151" s="104" t="n"/>
    </row>
    <row r="152">
      <c r="A152" s="4" t="n"/>
      <c r="O152" s="26" t="n"/>
    </row>
    <row r="153">
      <c r="A153" s="4" t="n"/>
      <c r="O153" s="26" t="n"/>
    </row>
    <row r="154">
      <c r="A154" s="4" t="n"/>
      <c r="O154" s="26" t="n"/>
    </row>
    <row r="155">
      <c r="A155" s="4" t="n"/>
      <c r="O155" s="26" t="n"/>
    </row>
    <row r="156">
      <c r="A156" s="42">
        <f>IFERROR(__xludf.DUMMYFUNCTION("""COMPUTED_VALUE"""),5600)</f>
        <v/>
      </c>
      <c r="B156" s="36" t="n"/>
      <c r="C156" s="47" t="n"/>
      <c r="D156" s="47" t="n"/>
      <c r="E156" s="47" t="n"/>
      <c r="F156" s="47" t="n"/>
      <c r="G156" s="47" t="n"/>
      <c r="H156" s="47" t="n"/>
      <c r="I156" s="47" t="n"/>
      <c r="J156" s="47" t="n"/>
      <c r="K156" s="47" t="n"/>
      <c r="L156" s="47" t="n"/>
      <c r="M156" s="47" t="n"/>
      <c r="N156" s="47" t="n"/>
      <c r="O156" s="47" t="n"/>
      <c r="P156" s="47" t="n"/>
    </row>
    <row r="157">
      <c r="A157" s="40">
        <f>IFERROR(__xludf.DUMMYFUNCTION("""COMPUTED_VALUE"""),4246)</f>
        <v/>
      </c>
      <c r="B157" s="37" t="n"/>
      <c r="C157" s="104" t="n"/>
      <c r="D157" s="104" t="n"/>
      <c r="E157" s="104" t="n"/>
      <c r="F157" s="104" t="n"/>
      <c r="G157" s="104" t="n"/>
      <c r="H157" s="104" t="n"/>
      <c r="I157" s="104" t="n"/>
      <c r="J157" s="104" t="n"/>
      <c r="K157" s="104" t="n"/>
      <c r="L157" s="104" t="n"/>
      <c r="M157" s="104" t="n"/>
      <c r="N157" s="104" t="n"/>
      <c r="O157" s="104" t="n"/>
      <c r="P157" s="104" t="n"/>
    </row>
    <row r="158">
      <c r="A158" s="42">
        <f>IFERROR(__xludf.DUMMYFUNCTION("""COMPUTED_VALUE"""),4536)</f>
        <v/>
      </c>
      <c r="B158" s="36" t="n"/>
      <c r="C158" s="47" t="n"/>
      <c r="D158" s="47" t="n"/>
      <c r="E158" s="47" t="n"/>
      <c r="F158" s="47" t="n"/>
      <c r="G158" s="47" t="n"/>
      <c r="H158" s="47" t="n"/>
      <c r="I158" s="47" t="n"/>
      <c r="J158" s="47" t="n"/>
      <c r="K158" s="47" t="n"/>
      <c r="L158" s="47" t="n"/>
      <c r="M158" s="47" t="n"/>
      <c r="N158" s="47" t="n"/>
      <c r="O158" s="47" t="n"/>
      <c r="P158" s="47" t="n"/>
    </row>
    <row r="159">
      <c r="A159" s="40">
        <f>IFERROR(__xludf.DUMMYFUNCTION("""COMPUTED_VALUE"""),1057)</f>
        <v/>
      </c>
      <c r="B159" s="37" t="n"/>
      <c r="C159" s="104" t="n"/>
      <c r="D159" s="104" t="n"/>
      <c r="E159" s="104" t="n"/>
      <c r="F159" s="104" t="n"/>
      <c r="G159" s="104" t="n"/>
      <c r="H159" s="104" t="n"/>
      <c r="I159" s="104" t="n"/>
      <c r="J159" s="104" t="n"/>
      <c r="K159" s="104" t="n"/>
      <c r="L159" s="104" t="n"/>
      <c r="M159" s="104" t="n"/>
      <c r="N159" s="104" t="n"/>
      <c r="O159" s="104" t="n"/>
      <c r="P159" s="104" t="n"/>
    </row>
    <row r="160">
      <c r="A160" s="42">
        <f>IFERROR(__xludf.DUMMYFUNCTION("""COMPUTED_VALUE"""),0)</f>
        <v/>
      </c>
      <c r="B160" s="36" t="n"/>
      <c r="C160" s="47" t="n"/>
      <c r="D160" s="47" t="n"/>
      <c r="E160" s="47" t="n"/>
      <c r="F160" s="47" t="n"/>
      <c r="G160" s="47" t="n"/>
      <c r="H160" s="47" t="n"/>
      <c r="I160" s="47" t="n"/>
      <c r="J160" s="47" t="n"/>
      <c r="K160" s="47" t="n"/>
      <c r="L160" s="47" t="n"/>
      <c r="M160" s="47" t="n"/>
      <c r="N160" s="47" t="n"/>
      <c r="O160" s="47" t="n"/>
      <c r="P160" s="47" t="n"/>
    </row>
    <row r="161">
      <c r="A161" s="40">
        <f>IFERROR(__xludf.DUMMYFUNCTION("""COMPUTED_VALUE"""),5794)</f>
        <v/>
      </c>
      <c r="B161" s="37" t="n"/>
      <c r="C161" s="104" t="n"/>
      <c r="D161" s="104" t="n"/>
      <c r="E161" s="104" t="n"/>
      <c r="F161" s="104" t="n"/>
      <c r="G161" s="104" t="n"/>
      <c r="H161" s="104" t="n"/>
      <c r="I161" s="104" t="n"/>
      <c r="J161" s="104" t="n"/>
      <c r="K161" s="104" t="n"/>
      <c r="L161" s="104" t="n"/>
      <c r="M161" s="104" t="n"/>
      <c r="N161" s="104" t="n"/>
      <c r="O161" s="104" t="n"/>
      <c r="P161" s="104" t="n"/>
    </row>
    <row r="162">
      <c r="A162" s="36">
        <f>IFERROR(__xludf.DUMMYFUNCTION("""COMPUTED_VALUE"""),0)</f>
        <v/>
      </c>
      <c r="B162" s="36" t="n"/>
      <c r="C162" s="47" t="n"/>
      <c r="D162" s="47" t="n"/>
      <c r="E162" s="47" t="n"/>
      <c r="F162" s="47" t="n"/>
      <c r="G162" s="47" t="n"/>
      <c r="H162" s="47" t="n"/>
      <c r="I162" s="47" t="n"/>
      <c r="J162" s="47" t="n"/>
      <c r="K162" s="47" t="n"/>
      <c r="L162" s="47" t="n"/>
      <c r="M162" s="47" t="n"/>
      <c r="N162" s="47" t="n"/>
      <c r="O162" s="47" t="n"/>
      <c r="P162" s="47" t="n"/>
    </row>
    <row r="163">
      <c r="A163" s="40">
        <f>IFERROR(__xludf.DUMMYFUNCTION("""COMPUTED_VALUE"""),0)</f>
        <v/>
      </c>
      <c r="B163" s="37" t="n"/>
      <c r="C163" s="104" t="n"/>
      <c r="D163" s="104" t="n"/>
      <c r="E163" s="104" t="n"/>
      <c r="F163" s="104" t="n"/>
      <c r="G163" s="104" t="n"/>
      <c r="H163" s="104" t="n"/>
      <c r="I163" s="104" t="n"/>
      <c r="J163" s="104" t="n"/>
      <c r="K163" s="104" t="n"/>
      <c r="L163" s="104" t="n"/>
      <c r="M163" s="104" t="n"/>
      <c r="N163" s="104" t="n"/>
      <c r="O163" s="104" t="n"/>
      <c r="P163" s="104" t="n"/>
    </row>
    <row r="164">
      <c r="A164" s="42">
        <f>IFERROR(__xludf.DUMMYFUNCTION("""COMPUTED_VALUE"""),6114)</f>
        <v/>
      </c>
      <c r="B164" s="36" t="n"/>
      <c r="C164" s="47" t="n"/>
      <c r="D164" s="47" t="n"/>
      <c r="E164" s="47" t="n"/>
      <c r="F164" s="47" t="n"/>
      <c r="G164" s="47" t="n"/>
      <c r="H164" s="47" t="n"/>
      <c r="I164" s="47" t="n"/>
      <c r="J164" s="47" t="n"/>
      <c r="K164" s="47" t="n"/>
      <c r="L164" s="47" t="n"/>
      <c r="M164" s="47" t="n"/>
      <c r="N164" s="47" t="n"/>
      <c r="O164" s="47" t="n"/>
      <c r="P164" s="47" t="n"/>
    </row>
    <row r="165">
      <c r="A165" s="37">
        <f>IFERROR(__xludf.DUMMYFUNCTION("""COMPUTED_VALUE"""),0)</f>
        <v/>
      </c>
      <c r="B165" s="37" t="n"/>
      <c r="C165" s="104" t="n"/>
      <c r="D165" s="104" t="n"/>
      <c r="E165" s="104" t="n"/>
      <c r="F165" s="104" t="n"/>
      <c r="G165" s="104" t="n"/>
      <c r="H165" s="104" t="n"/>
      <c r="I165" s="104" t="n"/>
      <c r="J165" s="104" t="n"/>
      <c r="K165" s="104" t="n"/>
      <c r="L165" s="104" t="n"/>
      <c r="M165" s="104" t="n"/>
      <c r="N165" s="104" t="n"/>
      <c r="O165" s="104" t="n"/>
      <c r="P165" s="104" t="n"/>
    </row>
    <row r="166">
      <c r="A166" s="42">
        <f>IFERROR(__xludf.DUMMYFUNCTION("""COMPUTED_VALUE"""),5614)</f>
        <v/>
      </c>
      <c r="B166" s="36" t="n"/>
      <c r="C166" s="47" t="n"/>
      <c r="D166" s="47" t="n"/>
      <c r="E166" s="47" t="n"/>
      <c r="F166" s="47" t="n"/>
      <c r="G166" s="47" t="n"/>
      <c r="H166" s="47" t="n"/>
      <c r="I166" s="47" t="n"/>
      <c r="J166" s="47" t="n"/>
      <c r="K166" s="47" t="n"/>
      <c r="L166" s="47" t="n"/>
      <c r="M166" s="47" t="n"/>
      <c r="N166" s="47" t="n"/>
      <c r="O166" s="47" t="n"/>
      <c r="P166" s="47" t="n"/>
    </row>
    <row r="167">
      <c r="A167" s="37">
        <f>IFERROR(__xludf.DUMMYFUNCTION("""COMPUTED_VALUE"""),32961)</f>
        <v/>
      </c>
      <c r="B167" s="37" t="n"/>
      <c r="C167" s="104" t="n"/>
      <c r="D167" s="104" t="n"/>
      <c r="E167" s="104" t="n"/>
      <c r="F167" s="104" t="n"/>
      <c r="G167" s="104" t="n"/>
      <c r="H167" s="104" t="n"/>
      <c r="I167" s="104" t="n"/>
      <c r="J167" s="104" t="n"/>
      <c r="K167" s="104" t="n"/>
      <c r="L167" s="104" t="n"/>
      <c r="M167" s="104" t="n"/>
      <c r="N167" s="104" t="n"/>
      <c r="O167" s="104" t="n"/>
      <c r="P167" s="104" t="n"/>
    </row>
    <row r="168">
      <c r="A168" s="42">
        <f>IFERROR(__xludf.DUMMYFUNCTION("""COMPUTED_VALUE"""),-33136.5255948088)</f>
        <v/>
      </c>
      <c r="B168" s="36" t="n"/>
      <c r="C168" s="47" t="n"/>
      <c r="D168" s="47" t="n"/>
      <c r="E168" s="47" t="n"/>
      <c r="F168" s="47" t="n"/>
      <c r="G168" s="47" t="n"/>
      <c r="H168" s="47" t="n"/>
      <c r="I168" s="47" t="n"/>
      <c r="J168" s="47" t="n"/>
      <c r="K168" s="47" t="n"/>
      <c r="L168" s="47" t="n"/>
      <c r="M168" s="47" t="n"/>
      <c r="N168" s="47" t="n"/>
      <c r="O168" s="47" t="n"/>
      <c r="P168" s="47" t="n"/>
    </row>
    <row r="169">
      <c r="A169" s="4" t="n"/>
      <c r="O169" s="26" t="n"/>
    </row>
    <row r="170">
      <c r="A170" s="4" t="n"/>
      <c r="O170" s="26" t="n"/>
    </row>
    <row r="171">
      <c r="A171" s="4" t="n"/>
      <c r="O171" s="26" t="n"/>
    </row>
    <row r="172">
      <c r="A172" s="4" t="n"/>
      <c r="O172" s="26" t="n"/>
    </row>
    <row r="173">
      <c r="A173" s="40">
        <f>IFERROR(__xludf.DUMMYFUNCTION("""COMPUTED_VALUE"""),5340)</f>
        <v/>
      </c>
      <c r="B173" s="37" t="n"/>
      <c r="C173" s="104" t="n"/>
      <c r="D173" s="104" t="n"/>
      <c r="E173" s="104" t="n"/>
      <c r="F173" s="104" t="n"/>
      <c r="G173" s="104" t="n"/>
      <c r="H173" s="104" t="n"/>
      <c r="I173" s="104" t="n"/>
      <c r="J173" s="104" t="n"/>
      <c r="K173" s="104" t="n"/>
      <c r="L173" s="104" t="n"/>
      <c r="M173" s="104" t="n"/>
      <c r="N173" s="104" t="n"/>
      <c r="O173" s="104" t="n"/>
      <c r="P173" s="104" t="n"/>
    </row>
    <row r="174">
      <c r="A174" s="42">
        <f>IFERROR(__xludf.DUMMYFUNCTION("""COMPUTED_VALUE"""),4272)</f>
        <v/>
      </c>
      <c r="B174" s="36" t="n"/>
      <c r="C174" s="47" t="n"/>
      <c r="D174" s="47" t="n"/>
      <c r="E174" s="47" t="n"/>
      <c r="F174" s="47" t="n"/>
      <c r="G174" s="47" t="n"/>
      <c r="H174" s="47" t="n"/>
      <c r="I174" s="47" t="n"/>
      <c r="J174" s="47" t="n"/>
      <c r="K174" s="47" t="n"/>
      <c r="L174" s="47" t="n"/>
      <c r="M174" s="47" t="n"/>
      <c r="N174" s="47" t="n"/>
      <c r="O174" s="47" t="n"/>
      <c r="P174" s="47" t="n"/>
    </row>
    <row r="175">
      <c r="A175" s="40">
        <f>IFERROR(__xludf.DUMMYFUNCTION("""COMPUTED_VALUE"""),4584)</f>
        <v/>
      </c>
      <c r="B175" s="37" t="n"/>
      <c r="C175" s="104" t="n"/>
      <c r="D175" s="104" t="n"/>
      <c r="E175" s="104" t="n"/>
      <c r="F175" s="104" t="n"/>
      <c r="G175" s="104" t="n"/>
      <c r="H175" s="104" t="n"/>
      <c r="I175" s="104" t="n"/>
      <c r="J175" s="104" t="n"/>
      <c r="K175" s="104" t="n"/>
      <c r="L175" s="104" t="n"/>
      <c r="M175" s="104" t="n"/>
      <c r="N175" s="104" t="n"/>
      <c r="O175" s="104" t="n"/>
      <c r="P175" s="104" t="n"/>
    </row>
    <row r="176">
      <c r="A176" s="42">
        <f>IFERROR(__xludf.DUMMYFUNCTION("""COMPUTED_VALUE"""),5218)</f>
        <v/>
      </c>
      <c r="B176" s="36" t="n"/>
      <c r="C176" s="47" t="n"/>
      <c r="D176" s="47" t="n"/>
      <c r="E176" s="47" t="n"/>
      <c r="F176" s="47" t="n"/>
      <c r="G176" s="47" t="n"/>
      <c r="H176" s="47" t="n"/>
      <c r="I176" s="47" t="n"/>
      <c r="J176" s="47" t="n"/>
      <c r="K176" s="47" t="n"/>
      <c r="L176" s="47" t="n"/>
      <c r="M176" s="47" t="n"/>
      <c r="N176" s="47" t="n"/>
      <c r="O176" s="47" t="n"/>
      <c r="P176" s="47" t="n"/>
    </row>
    <row r="177">
      <c r="A177" s="40">
        <f>IFERROR(__xludf.DUMMYFUNCTION("""COMPUTED_VALUE"""),5218)</f>
        <v/>
      </c>
      <c r="B177" s="37" t="n"/>
      <c r="C177" s="104" t="n"/>
      <c r="D177" s="104" t="n"/>
      <c r="E177" s="104" t="n"/>
      <c r="F177" s="104" t="n"/>
      <c r="G177" s="104" t="n"/>
      <c r="H177" s="104" t="n"/>
      <c r="I177" s="104" t="n"/>
      <c r="J177" s="104" t="n"/>
      <c r="K177" s="104" t="n"/>
      <c r="L177" s="104" t="n"/>
      <c r="M177" s="104" t="n"/>
      <c r="N177" s="104" t="n"/>
      <c r="O177" s="104" t="n"/>
      <c r="P177" s="104" t="n"/>
    </row>
    <row r="178">
      <c r="A178" s="42">
        <f>IFERROR(__xludf.DUMMYFUNCTION("""COMPUTED_VALUE"""),4780)</f>
        <v/>
      </c>
      <c r="B178" s="36" t="n"/>
      <c r="C178" s="47" t="n"/>
      <c r="D178" s="47" t="n"/>
      <c r="E178" s="47" t="n"/>
      <c r="F178" s="47" t="n"/>
      <c r="G178" s="47" t="n"/>
      <c r="H178" s="47" t="n"/>
      <c r="I178" s="47" t="n"/>
      <c r="J178" s="47" t="n"/>
      <c r="K178" s="47" t="n"/>
      <c r="L178" s="47" t="n"/>
      <c r="M178" s="47" t="n"/>
      <c r="N178" s="47" t="n"/>
      <c r="O178" s="47" t="n"/>
      <c r="P178" s="47" t="n"/>
    </row>
    <row r="179">
      <c r="A179" s="40">
        <f>IFERROR(__xludf.DUMMYFUNCTION("""COMPUTED_VALUE"""),6114)</f>
        <v/>
      </c>
      <c r="B179" s="37" t="n"/>
      <c r="C179" s="104" t="n"/>
      <c r="D179" s="104" t="n"/>
      <c r="E179" s="104" t="n"/>
      <c r="F179" s="104" t="n"/>
      <c r="G179" s="104" t="n"/>
      <c r="H179" s="104" t="n"/>
      <c r="I179" s="104" t="n"/>
      <c r="J179" s="104" t="n"/>
      <c r="K179" s="104" t="n"/>
      <c r="L179" s="104" t="n"/>
      <c r="M179" s="104" t="n"/>
      <c r="N179" s="104" t="n"/>
      <c r="O179" s="104" t="n"/>
      <c r="P179" s="104" t="n"/>
    </row>
    <row r="180">
      <c r="A180" s="42">
        <f>IFERROR(__xludf.DUMMYFUNCTION("""COMPUTED_VALUE"""),6604)</f>
        <v/>
      </c>
      <c r="B180" s="36" t="n"/>
      <c r="C180" s="47" t="n"/>
      <c r="D180" s="47" t="n"/>
      <c r="E180" s="47" t="n"/>
      <c r="F180" s="47" t="n"/>
      <c r="G180" s="47" t="n"/>
      <c r="H180" s="47" t="n"/>
      <c r="I180" s="47" t="n"/>
      <c r="J180" s="47" t="n"/>
      <c r="K180" s="47" t="n"/>
      <c r="L180" s="47" t="n"/>
      <c r="M180" s="47" t="n"/>
      <c r="N180" s="47" t="n"/>
      <c r="O180" s="47" t="n"/>
      <c r="P180" s="47" t="n"/>
    </row>
    <row r="181">
      <c r="A181" s="40">
        <f>IFERROR(__xludf.DUMMYFUNCTION("""COMPUTED_VALUE"""),4894)</f>
        <v/>
      </c>
      <c r="B181" s="37" t="n"/>
      <c r="C181" s="104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M181" s="104" t="n"/>
      <c r="N181" s="104" t="n"/>
      <c r="O181" s="104" t="n"/>
      <c r="P181" s="104" t="n"/>
    </row>
    <row r="182">
      <c r="A182" s="42">
        <f>IFERROR(__xludf.DUMMYFUNCTION("""COMPUTED_VALUE"""),4778)</f>
        <v/>
      </c>
      <c r="B182" s="36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7" t="n"/>
      <c r="L182" s="47" t="n"/>
      <c r="M182" s="47" t="n"/>
      <c r="N182" s="47" t="n"/>
      <c r="O182" s="47" t="n"/>
      <c r="P182" s="47" t="n"/>
    </row>
    <row r="183">
      <c r="A183" s="37">
        <f>IFERROR(__xludf.DUMMYFUNCTION("""COMPUTED_VALUE"""),4569)</f>
        <v/>
      </c>
      <c r="B183" s="37" t="n"/>
      <c r="C183" s="104" t="n"/>
      <c r="D183" s="104" t="n"/>
      <c r="E183" s="104" t="n"/>
      <c r="F183" s="104" t="n"/>
      <c r="G183" s="104" t="n"/>
      <c r="H183" s="104" t="n"/>
      <c r="I183" s="104" t="n"/>
      <c r="J183" s="104" t="n"/>
      <c r="K183" s="104" t="n"/>
      <c r="L183" s="104" t="n"/>
      <c r="M183" s="104" t="n"/>
      <c r="N183" s="104" t="n"/>
      <c r="O183" s="104" t="n"/>
      <c r="P183" s="104" t="n"/>
    </row>
    <row r="184">
      <c r="A184" s="36">
        <f>IFERROR(__xludf.DUMMYFUNCTION("""COMPUTED_VALUE"""),56371)</f>
        <v/>
      </c>
      <c r="B184" s="36" t="n"/>
      <c r="C184" s="47" t="n"/>
      <c r="D184" s="47" t="n"/>
      <c r="E184" s="47" t="n"/>
      <c r="F184" s="47" t="n"/>
      <c r="G184" s="47" t="n"/>
      <c r="H184" s="47" t="n"/>
      <c r="I184" s="47" t="n"/>
      <c r="J184" s="47" t="n"/>
      <c r="K184" s="47" t="n"/>
      <c r="L184" s="47" t="n"/>
      <c r="M184" s="47" t="n"/>
      <c r="N184" s="47" t="n"/>
      <c r="O184" s="47" t="n"/>
      <c r="P184" s="47" t="n"/>
    </row>
    <row r="185">
      <c r="A185" s="40">
        <f>IFERROR(__xludf.DUMMYFUNCTION("""COMPUTED_VALUE"""),-5191.96745995847)</f>
        <v/>
      </c>
      <c r="B185" s="37" t="n"/>
      <c r="C185" s="104" t="n"/>
      <c r="D185" s="104" t="n"/>
      <c r="E185" s="104" t="n"/>
      <c r="F185" s="104" t="n"/>
      <c r="G185" s="104" t="n"/>
      <c r="H185" s="104" t="n"/>
      <c r="I185" s="104" t="n"/>
      <c r="J185" s="104" t="n"/>
      <c r="K185" s="104" t="n"/>
      <c r="L185" s="104" t="n"/>
      <c r="M185" s="104" t="n"/>
      <c r="N185" s="104" t="n"/>
      <c r="O185" s="104" t="n"/>
      <c r="P185" s="104" t="n"/>
    </row>
    <row r="186">
      <c r="A186" s="4" t="n"/>
      <c r="O186" s="26" t="n"/>
    </row>
    <row r="187">
      <c r="A187" s="4" t="n"/>
      <c r="O187" s="26" t="n"/>
    </row>
    <row r="188">
      <c r="A188" s="4" t="n"/>
      <c r="O188" s="26" t="n"/>
    </row>
    <row r="189">
      <c r="A189" s="4" t="n"/>
      <c r="O189" s="26" t="n"/>
    </row>
    <row r="190">
      <c r="A190" s="42">
        <f>IFERROR(__xludf.DUMMYFUNCTION("""COMPUTED_VALUE"""),5286)</f>
        <v/>
      </c>
      <c r="B190" s="36" t="n"/>
      <c r="C190" s="47" t="n"/>
      <c r="D190" s="47" t="n"/>
      <c r="E190" s="47" t="n"/>
      <c r="F190" s="47" t="n"/>
      <c r="G190" s="47" t="n"/>
      <c r="H190" s="47" t="n"/>
      <c r="I190" s="47" t="n"/>
      <c r="J190" s="47" t="n"/>
      <c r="K190" s="47" t="n"/>
      <c r="L190" s="47" t="n"/>
      <c r="M190" s="47" t="n"/>
      <c r="N190" s="47" t="n"/>
      <c r="O190" s="47" t="n"/>
      <c r="P190" s="47" t="n"/>
    </row>
    <row r="191">
      <c r="A191" s="40">
        <f>IFERROR(__xludf.DUMMYFUNCTION("""COMPUTED_VALUE"""),4013)</f>
        <v/>
      </c>
      <c r="B191" s="37" t="n"/>
      <c r="C191" s="104" t="n"/>
      <c r="D191" s="104" t="n"/>
      <c r="E191" s="104" t="n"/>
      <c r="F191" s="104" t="n"/>
      <c r="G191" s="104" t="n"/>
      <c r="H191" s="104" t="n"/>
      <c r="I191" s="104" t="n"/>
      <c r="J191" s="104" t="n"/>
      <c r="K191" s="104" t="n"/>
      <c r="L191" s="104" t="n"/>
      <c r="M191" s="104" t="n"/>
      <c r="N191" s="104" t="n"/>
      <c r="O191" s="104" t="n"/>
      <c r="P191" s="104" t="n"/>
    </row>
    <row r="192">
      <c r="A192" s="42">
        <f>IFERROR(__xludf.DUMMYFUNCTION("""COMPUTED_VALUE"""),4273)</f>
        <v/>
      </c>
      <c r="B192" s="36" t="n"/>
      <c r="C192" s="47" t="n"/>
      <c r="D192" s="47" t="n"/>
      <c r="E192" s="47" t="n"/>
      <c r="F192" s="47" t="n"/>
      <c r="G192" s="47" t="n"/>
      <c r="H192" s="47" t="n"/>
      <c r="I192" s="47" t="n"/>
      <c r="J192" s="47" t="n"/>
      <c r="K192" s="47" t="n"/>
      <c r="L192" s="47" t="n"/>
      <c r="M192" s="47" t="n"/>
      <c r="N192" s="47" t="n"/>
      <c r="O192" s="47" t="n"/>
      <c r="P192" s="47" t="n"/>
    </row>
    <row r="193">
      <c r="A193" s="40">
        <f>IFERROR(__xludf.DUMMYFUNCTION("""COMPUTED_VALUE"""),5108)</f>
        <v/>
      </c>
      <c r="B193" s="37" t="n"/>
      <c r="C193" s="104" t="n"/>
      <c r="D193" s="104" t="n"/>
      <c r="E193" s="104" t="n"/>
      <c r="F193" s="104" t="n"/>
      <c r="G193" s="104" t="n"/>
      <c r="H193" s="104" t="n"/>
      <c r="I193" s="104" t="n"/>
      <c r="J193" s="104" t="n"/>
      <c r="K193" s="104" t="n"/>
      <c r="L193" s="104" t="n"/>
      <c r="M193" s="104" t="n"/>
      <c r="N193" s="104" t="n"/>
      <c r="O193" s="104" t="n"/>
      <c r="P193" s="104" t="n"/>
    </row>
    <row r="194">
      <c r="A194" s="42">
        <f>IFERROR(__xludf.DUMMYFUNCTION("""COMPUTED_VALUE"""),5108)</f>
        <v/>
      </c>
      <c r="B194" s="36" t="n"/>
      <c r="C194" s="47" t="n"/>
      <c r="D194" s="47" t="n"/>
      <c r="E194" s="47" t="n"/>
      <c r="F194" s="47" t="n"/>
      <c r="G194" s="47" t="n"/>
      <c r="H194" s="47" t="n"/>
      <c r="I194" s="47" t="n"/>
      <c r="J194" s="47" t="n"/>
      <c r="K194" s="47" t="n"/>
      <c r="L194" s="47" t="n"/>
      <c r="M194" s="47" t="n"/>
      <c r="N194" s="47" t="n"/>
      <c r="O194" s="47" t="n"/>
      <c r="P194" s="47" t="n"/>
    </row>
    <row r="195">
      <c r="A195" s="40">
        <f>IFERROR(__xludf.DUMMYFUNCTION("""COMPUTED_VALUE"""),4741)</f>
        <v/>
      </c>
      <c r="B195" s="37" t="n"/>
      <c r="C195" s="104" t="n"/>
      <c r="D195" s="104" t="n"/>
      <c r="E195" s="104" t="n"/>
      <c r="F195" s="104" t="n"/>
      <c r="G195" s="104" t="n"/>
      <c r="H195" s="104" t="n"/>
      <c r="I195" s="104" t="n"/>
      <c r="J195" s="104" t="n"/>
      <c r="K195" s="104" t="n"/>
      <c r="L195" s="104" t="n"/>
      <c r="M195" s="104" t="n"/>
      <c r="N195" s="104" t="n"/>
      <c r="O195" s="104" t="n"/>
      <c r="P195" s="104" t="n"/>
    </row>
    <row r="196">
      <c r="A196" s="42">
        <f>IFERROR(__xludf.DUMMYFUNCTION("""COMPUTED_VALUE"""),6114)</f>
        <v/>
      </c>
      <c r="B196" s="36" t="n"/>
      <c r="C196" s="47" t="n"/>
      <c r="D196" s="47" t="n"/>
      <c r="E196" s="47" t="n"/>
      <c r="F196" s="47" t="n"/>
      <c r="G196" s="47" t="n"/>
      <c r="H196" s="47" t="n"/>
      <c r="I196" s="47" t="n"/>
      <c r="J196" s="47" t="n"/>
      <c r="K196" s="47" t="n"/>
      <c r="L196" s="47" t="n"/>
      <c r="M196" s="47" t="n"/>
      <c r="N196" s="47" t="n"/>
      <c r="O196" s="47" t="n"/>
      <c r="P196" s="47" t="n"/>
    </row>
    <row r="197">
      <c r="A197" s="40">
        <f>IFERROR(__xludf.DUMMYFUNCTION("""COMPUTED_VALUE"""),7315)</f>
        <v/>
      </c>
      <c r="B197" s="37" t="n"/>
      <c r="C197" s="104" t="n"/>
      <c r="D197" s="104" t="n"/>
      <c r="E197" s="104" t="n"/>
      <c r="F197" s="104" t="n"/>
      <c r="G197" s="104" t="n"/>
      <c r="H197" s="104" t="n"/>
      <c r="I197" s="104" t="n"/>
      <c r="J197" s="104" t="n"/>
      <c r="K197" s="104" t="n"/>
      <c r="L197" s="104" t="n"/>
      <c r="M197" s="104" t="n"/>
      <c r="N197" s="104" t="n"/>
      <c r="O197" s="104" t="n"/>
      <c r="P197" s="104" t="n"/>
    </row>
    <row r="198">
      <c r="A198" s="42">
        <f>IFERROR(__xludf.DUMMYFUNCTION("""COMPUTED_VALUE"""),4851)</f>
        <v/>
      </c>
      <c r="B198" s="36" t="n"/>
      <c r="C198" s="47" t="n"/>
      <c r="D198" s="47" t="n"/>
      <c r="E198" s="47" t="n"/>
      <c r="F198" s="47" t="n"/>
      <c r="G198" s="47" t="n"/>
      <c r="H198" s="47" t="n"/>
      <c r="I198" s="47" t="n"/>
      <c r="J198" s="47" t="n"/>
      <c r="K198" s="47" t="n"/>
      <c r="L198" s="47" t="n"/>
      <c r="M198" s="47" t="n"/>
      <c r="N198" s="47" t="n"/>
      <c r="O198" s="47" t="n"/>
      <c r="P198" s="47" t="n"/>
    </row>
    <row r="199">
      <c r="A199" s="40">
        <f>IFERROR(__xludf.DUMMYFUNCTION("""COMPUTED_VALUE"""),5215)</f>
        <v/>
      </c>
      <c r="B199" s="37" t="n"/>
      <c r="C199" s="104" t="n"/>
      <c r="D199" s="104" t="n"/>
      <c r="E199" s="104" t="n"/>
      <c r="F199" s="104" t="n"/>
      <c r="G199" s="104" t="n"/>
      <c r="H199" s="104" t="n"/>
      <c r="I199" s="104" t="n"/>
      <c r="J199" s="104" t="n"/>
      <c r="K199" s="104" t="n"/>
      <c r="L199" s="104" t="n"/>
      <c r="M199" s="104" t="n"/>
      <c r="N199" s="104" t="n"/>
      <c r="O199" s="104" t="n"/>
      <c r="P199" s="104" t="n"/>
    </row>
    <row r="200">
      <c r="A200" s="36">
        <f>IFERROR(__xludf.DUMMYFUNCTION("""COMPUTED_VALUE"""),4449)</f>
        <v/>
      </c>
      <c r="B200" s="36" t="n"/>
      <c r="C200" s="47" t="n"/>
      <c r="D200" s="47" t="n"/>
      <c r="E200" s="47" t="n"/>
      <c r="F200" s="47" t="n"/>
      <c r="G200" s="47" t="n"/>
      <c r="H200" s="47" t="n"/>
      <c r="I200" s="47" t="n"/>
      <c r="J200" s="47" t="n"/>
      <c r="K200" s="47" t="n"/>
      <c r="L200" s="47" t="n"/>
      <c r="M200" s="47" t="n"/>
      <c r="N200" s="47" t="n"/>
      <c r="O200" s="47" t="n"/>
      <c r="P200" s="47" t="n"/>
    </row>
    <row r="201">
      <c r="A201" s="4">
        <f>IFERROR(__xludf.DUMMYFUNCTION("""COMPUTED_VALUE"""),56473)</f>
        <v/>
      </c>
      <c r="O201" s="26" t="n"/>
    </row>
    <row r="202">
      <c r="A202" s="6">
        <f>IFERROR(__xludf.DUMMYFUNCTION("""COMPUTED_VALUE"""),-5959.39177292661)</f>
        <v/>
      </c>
      <c r="O202" s="26" t="n"/>
    </row>
    <row r="203">
      <c r="A203" s="4" t="n"/>
      <c r="O203" s="26" t="n"/>
    </row>
    <row r="204">
      <c r="A204" s="4" t="n"/>
      <c r="O204" s="26" t="n"/>
    </row>
    <row r="205">
      <c r="A205" s="4" t="n"/>
      <c r="O205" s="26" t="n"/>
    </row>
    <row r="206">
      <c r="A206" s="4" t="n"/>
      <c r="O206" s="26" t="n"/>
    </row>
    <row r="207">
      <c r="A207" s="4">
        <f>IFERROR(__xludf.DUMMYFUNCTION("""COMPUTED_VALUE"""),5426)</f>
        <v/>
      </c>
      <c r="O207" s="26" t="n"/>
    </row>
    <row r="208">
      <c r="A208" s="4">
        <f>IFERROR(__xludf.DUMMYFUNCTION("""COMPUTED_VALUE"""),6275)</f>
        <v/>
      </c>
      <c r="O208" s="26" t="n"/>
    </row>
    <row r="209">
      <c r="A209" s="4">
        <f>IFERROR(__xludf.DUMMYFUNCTION("""COMPUTED_VALUE"""),5598.22)</f>
        <v/>
      </c>
      <c r="O209" s="26" t="n"/>
    </row>
    <row r="210">
      <c r="A210" s="4">
        <f>IFERROR(__xludf.DUMMYFUNCTION("""COMPUTED_VALUE"""),0)</f>
        <v/>
      </c>
      <c r="O210" s="26" t="n"/>
    </row>
    <row r="211">
      <c r="A211" s="4">
        <f>IFERROR(__xludf.DUMMYFUNCTION("""COMPUTED_VALUE"""),12506.48)</f>
        <v/>
      </c>
      <c r="O211" s="26" t="n"/>
    </row>
    <row r="212">
      <c r="A212" s="6">
        <f>IFERROR(__xludf.DUMMYFUNCTION("""COMPUTED_VALUE"""),5226)</f>
        <v/>
      </c>
      <c r="O212" s="26" t="n"/>
    </row>
    <row r="213">
      <c r="A213" s="4">
        <f>IFERROR(__xludf.DUMMYFUNCTION("""COMPUTED_VALUE"""),0)</f>
        <v/>
      </c>
      <c r="O213" s="26" t="n"/>
    </row>
    <row r="214">
      <c r="A214" s="4">
        <f>IFERROR(__xludf.DUMMYFUNCTION("""COMPUTED_VALUE"""),13384.67)</f>
        <v/>
      </c>
      <c r="O214" s="26" t="n"/>
    </row>
    <row r="215">
      <c r="A215" s="4">
        <f>IFERROR(__xludf.DUMMYFUNCTION("""COMPUTED_VALUE"""),0)</f>
        <v/>
      </c>
      <c r="O215" s="26" t="n"/>
    </row>
    <row r="216">
      <c r="A216" s="4">
        <f>IFERROR(__xludf.DUMMYFUNCTION("""COMPUTED_VALUE"""),5123.2)</f>
        <v/>
      </c>
      <c r="O216" s="26" t="n"/>
    </row>
    <row r="217">
      <c r="A217" s="4">
        <f>IFERROR(__xludf.DUMMYFUNCTION("""COMPUTED_VALUE"""),9742)</f>
        <v/>
      </c>
      <c r="O217" s="26" t="n"/>
    </row>
    <row r="218">
      <c r="A218" s="4">
        <f>IFERROR(__xludf.DUMMYFUNCTION("""COMPUTED_VALUE"""),63281.5699999999)</f>
        <v/>
      </c>
      <c r="O218" s="26" t="n"/>
    </row>
    <row r="219">
      <c r="A219" s="6">
        <f>IFERROR(__xludf.DUMMYFUNCTION("""COMPUTED_VALUE"""),-5076.28085714245)</f>
        <v/>
      </c>
      <c r="O219" s="26" t="n"/>
    </row>
    <row r="220">
      <c r="A220" s="4" t="n"/>
      <c r="O220" s="26" t="n"/>
    </row>
    <row r="221">
      <c r="A221" s="4" t="n"/>
      <c r="O221" s="26" t="n"/>
    </row>
    <row r="222">
      <c r="A222" s="4" t="n"/>
      <c r="O222" s="26" t="n"/>
    </row>
    <row r="223">
      <c r="A223" s="4" t="n"/>
      <c r="O223" s="26" t="n"/>
    </row>
    <row r="224">
      <c r="A224" s="6">
        <f>IFERROR(__xludf.DUMMYFUNCTION("""COMPUTED_VALUE"""),6148)</f>
        <v/>
      </c>
      <c r="O224" s="26" t="n"/>
    </row>
    <row r="225">
      <c r="A225" s="6">
        <f>IFERROR(__xludf.DUMMYFUNCTION("""COMPUTED_VALUE"""),4891)</f>
        <v/>
      </c>
      <c r="O225" s="26" t="n"/>
    </row>
    <row r="226">
      <c r="A226" s="6">
        <f>IFERROR(__xludf.DUMMYFUNCTION("""COMPUTED_VALUE"""),5391)</f>
        <v/>
      </c>
      <c r="O226" s="26" t="n"/>
    </row>
    <row r="227">
      <c r="A227" s="6">
        <f>IFERROR(__xludf.DUMMYFUNCTION("""COMPUTED_VALUE"""),5439)</f>
        <v/>
      </c>
      <c r="O227" s="26" t="n"/>
    </row>
    <row r="228">
      <c r="A228" s="6">
        <f>IFERROR(__xludf.DUMMYFUNCTION("""COMPUTED_VALUE"""),5439)</f>
        <v/>
      </c>
      <c r="O228" s="26" t="n"/>
    </row>
    <row r="229">
      <c r="A229" s="6">
        <f>IFERROR(__xludf.DUMMYFUNCTION("""COMPUTED_VALUE"""),4975)</f>
        <v/>
      </c>
      <c r="O229" s="26" t="n"/>
    </row>
    <row r="230">
      <c r="A230" s="4">
        <f>IFERROR(__xludf.DUMMYFUNCTION("""COMPUTED_VALUE"""),6231)</f>
        <v/>
      </c>
      <c r="O230" s="26" t="n"/>
    </row>
    <row r="231">
      <c r="A231" s="6">
        <f>IFERROR(__xludf.DUMMYFUNCTION("""COMPUTED_VALUE"""),0)</f>
        <v/>
      </c>
      <c r="O231" s="26" t="n"/>
    </row>
    <row r="232">
      <c r="A232" s="6">
        <f>IFERROR(__xludf.DUMMYFUNCTION("""COMPUTED_VALUE"""),5438)</f>
        <v/>
      </c>
      <c r="O232" s="26" t="n"/>
    </row>
    <row r="233">
      <c r="A233" s="6">
        <f>IFERROR(__xludf.DUMMYFUNCTION("""COMPUTED_VALUE"""),5478)</f>
        <v/>
      </c>
      <c r="O233" s="26" t="n"/>
    </row>
    <row r="234">
      <c r="A234" s="4">
        <f>IFERROR(__xludf.DUMMYFUNCTION("""COMPUTED_VALUE"""),0)</f>
        <v/>
      </c>
      <c r="O234" s="26" t="n"/>
    </row>
    <row r="235">
      <c r="A235" s="4">
        <f>IFERROR(__xludf.DUMMYFUNCTION("""COMPUTED_VALUE"""),49430)</f>
        <v/>
      </c>
      <c r="O235" s="26" t="n"/>
    </row>
    <row r="236">
      <c r="A236" s="6">
        <f>IFERROR(__xludf.DUMMYFUNCTION("""COMPUTED_VALUE"""),-18601.2584703563)</f>
        <v/>
      </c>
      <c r="O236" s="26" t="n"/>
    </row>
    <row r="237">
      <c r="A237" s="4" t="n"/>
      <c r="O237" s="26" t="n"/>
    </row>
    <row r="238">
      <c r="A238" s="4" t="n"/>
      <c r="O238" s="26" t="n"/>
    </row>
    <row r="239">
      <c r="A239" s="4" t="n"/>
      <c r="O239" s="26" t="n"/>
    </row>
    <row r="240">
      <c r="A240" s="4" t="n"/>
      <c r="O240" s="26" t="n"/>
    </row>
    <row r="241">
      <c r="A241" s="4">
        <f>IFERROR(__xludf.DUMMYFUNCTION("""COMPUTED_VALUE"""),6465)</f>
        <v/>
      </c>
      <c r="O241" s="26" t="n"/>
    </row>
    <row r="242">
      <c r="A242" s="4">
        <f>IFERROR(__xludf.DUMMYFUNCTION("""COMPUTED_VALUE"""),5466)</f>
        <v/>
      </c>
      <c r="O242" s="26" t="n"/>
    </row>
    <row r="243">
      <c r="A243" s="4">
        <f>IFERROR(__xludf.DUMMYFUNCTION("""COMPUTED_VALUE"""),5712)</f>
        <v/>
      </c>
      <c r="O243" s="26" t="n"/>
    </row>
    <row r="244">
      <c r="A244" s="4">
        <f>IFERROR(__xludf.DUMMYFUNCTION("""COMPUTED_VALUE"""),6487)</f>
        <v/>
      </c>
      <c r="O244" s="26" t="n"/>
    </row>
    <row r="245">
      <c r="A245" s="4">
        <f>IFERROR(__xludf.DUMMYFUNCTION("""COMPUTED_VALUE"""),6487)</f>
        <v/>
      </c>
      <c r="O245" s="26" t="n"/>
    </row>
    <row r="246">
      <c r="A246" s="6">
        <f>IFERROR(__xludf.DUMMYFUNCTION("""COMPUTED_VALUE"""),5911)</f>
        <v/>
      </c>
      <c r="O246" s="26" t="n"/>
    </row>
    <row r="247">
      <c r="A247" s="4">
        <f>IFERROR(__xludf.DUMMYFUNCTION("""COMPUTED_VALUE"""),6981)</f>
        <v/>
      </c>
      <c r="O247" s="26" t="n"/>
    </row>
    <row r="248">
      <c r="A248" s="4">
        <f>IFERROR(__xludf.DUMMYFUNCTION("""COMPUTED_VALUE"""),7638.43)</f>
        <v/>
      </c>
      <c r="O248" s="26" t="n"/>
    </row>
    <row r="249">
      <c r="A249" s="4">
        <f>IFERROR(__xludf.DUMMYFUNCTION("""COMPUTED_VALUE"""),6020)</f>
        <v/>
      </c>
      <c r="O249" s="26" t="n"/>
    </row>
    <row r="250">
      <c r="A250" s="4">
        <f>IFERROR(__xludf.DUMMYFUNCTION("""COMPUTED_VALUE"""),5912)</f>
        <v/>
      </c>
      <c r="O250" s="26" t="n"/>
    </row>
    <row r="251">
      <c r="A251" s="4">
        <f>IFERROR(__xludf.DUMMYFUNCTION("""COMPUTED_VALUE"""),5520)</f>
        <v/>
      </c>
      <c r="O251" s="26" t="n"/>
    </row>
    <row r="252">
      <c r="A252" s="4">
        <f>IFERROR(__xludf.DUMMYFUNCTION("""COMPUTED_VALUE"""),68599.43)</f>
        <v/>
      </c>
      <c r="O252" s="26" t="n"/>
    </row>
    <row r="253">
      <c r="A253" s="6">
        <f>IFERROR(__xludf.DUMMYFUNCTION("""COMPUTED_VALUE"""),-6131.40099231299)</f>
        <v/>
      </c>
      <c r="O253" s="26" t="n"/>
    </row>
    <row r="254">
      <c r="A254" s="4" t="n"/>
      <c r="O254" s="26" t="n"/>
    </row>
    <row r="255">
      <c r="A255" s="4" t="n"/>
      <c r="O255" s="26" t="n"/>
    </row>
    <row r="256">
      <c r="A256" s="4" t="n"/>
      <c r="O256" s="26" t="n"/>
    </row>
    <row r="257">
      <c r="A257" s="4" t="n"/>
      <c r="O257" s="26" t="n"/>
    </row>
    <row r="258">
      <c r="A258" s="4">
        <f>IFERROR(__xludf.DUMMYFUNCTION("""COMPUTED_VALUE"""),0)</f>
        <v/>
      </c>
      <c r="O258" s="26" t="n"/>
    </row>
    <row r="259">
      <c r="A259" s="4">
        <f>IFERROR(__xludf.DUMMYFUNCTION("""COMPUTED_VALUE"""),0)</f>
        <v/>
      </c>
      <c r="O259" s="26" t="n"/>
    </row>
    <row r="260">
      <c r="A260" s="4">
        <f>IFERROR(__xludf.DUMMYFUNCTION("""COMPUTED_VALUE"""),0)</f>
        <v/>
      </c>
      <c r="O260" s="26" t="n"/>
    </row>
    <row r="261">
      <c r="A261" s="4">
        <f>IFERROR(__xludf.DUMMYFUNCTION("""COMPUTED_VALUE"""),0)</f>
        <v/>
      </c>
      <c r="O261" s="26" t="n"/>
    </row>
    <row r="262">
      <c r="A262" s="4">
        <f>IFERROR(__xludf.DUMMYFUNCTION("""COMPUTED_VALUE"""),0)</f>
        <v/>
      </c>
      <c r="O262" s="26" t="n"/>
    </row>
    <row r="263">
      <c r="A263" s="4">
        <f>IFERROR(__xludf.DUMMYFUNCTION("""COMPUTED_VALUE"""),0)</f>
        <v/>
      </c>
      <c r="O263" s="26" t="n"/>
    </row>
    <row r="264">
      <c r="A264" s="4">
        <f>IFERROR(__xludf.DUMMYFUNCTION("""COMPUTED_VALUE"""),0)</f>
        <v/>
      </c>
      <c r="O264" s="26" t="n"/>
    </row>
    <row r="265">
      <c r="A265" s="4">
        <f>IFERROR(__xludf.DUMMYFUNCTION("""COMPUTED_VALUE"""),7879.33)</f>
        <v/>
      </c>
      <c r="O265" s="26" t="n"/>
    </row>
    <row r="266">
      <c r="A266" s="4">
        <f>IFERROR(__xludf.DUMMYFUNCTION("""COMPUTED_VALUE"""),6624.7)</f>
        <v/>
      </c>
      <c r="O266" s="26" t="n"/>
    </row>
    <row r="267">
      <c r="A267" s="4">
        <f>IFERROR(__xludf.DUMMYFUNCTION("""COMPUTED_VALUE"""),0)</f>
        <v/>
      </c>
      <c r="O267" s="26" t="n"/>
    </row>
    <row r="268">
      <c r="A268" s="4">
        <f>IFERROR(__xludf.DUMMYFUNCTION("""COMPUTED_VALUE"""),6057)</f>
        <v/>
      </c>
      <c r="O268" s="26" t="n"/>
    </row>
    <row r="269">
      <c r="A269" s="4">
        <f>IFERROR(__xludf.DUMMYFUNCTION("""COMPUTED_VALUE"""),20561.03)</f>
        <v/>
      </c>
      <c r="O269" s="26" t="n"/>
    </row>
    <row r="270">
      <c r="A270" s="6">
        <f>IFERROR(__xludf.DUMMYFUNCTION("""COMPUTED_VALUE"""),-56105.7776707555)</f>
        <v/>
      </c>
      <c r="O270" s="26" t="n"/>
    </row>
    <row r="271">
      <c r="A271" s="4" t="n"/>
      <c r="O271" s="26" t="n"/>
    </row>
    <row r="272">
      <c r="A272" s="4" t="n"/>
      <c r="O272" s="26" t="n"/>
    </row>
    <row r="273">
      <c r="A273" s="4" t="n"/>
      <c r="O273" s="26" t="n"/>
    </row>
    <row r="274">
      <c r="A274" s="4" t="n"/>
      <c r="O274" s="26" t="n"/>
    </row>
    <row r="275">
      <c r="A275" s="6">
        <f>IFERROR(__xludf.DUMMYFUNCTION("""COMPUTED_VALUE"""),0)</f>
        <v/>
      </c>
      <c r="O275" s="26" t="n"/>
    </row>
    <row r="276">
      <c r="A276" s="6">
        <f>IFERROR(__xludf.DUMMYFUNCTION("""COMPUTED_VALUE"""),11295)</f>
        <v/>
      </c>
      <c r="O276" s="26" t="n"/>
    </row>
    <row r="277">
      <c r="A277" s="6">
        <f>IFERROR(__xludf.DUMMYFUNCTION("""COMPUTED_VALUE"""),4700)</f>
        <v/>
      </c>
      <c r="O277" s="26" t="n"/>
    </row>
    <row r="278">
      <c r="A278" s="6">
        <f>IFERROR(__xludf.DUMMYFUNCTION("""COMPUTED_VALUE"""),6042)</f>
        <v/>
      </c>
      <c r="O278" s="26" t="n"/>
    </row>
    <row r="279">
      <c r="A279" s="6">
        <f>IFERROR(__xludf.DUMMYFUNCTION("""COMPUTED_VALUE"""),6533)</f>
        <v/>
      </c>
      <c r="O279" s="26" t="n"/>
    </row>
    <row r="280">
      <c r="A280" s="6">
        <f>IFERROR(__xludf.DUMMYFUNCTION("""COMPUTED_VALUE"""),5603)</f>
        <v/>
      </c>
      <c r="O280" s="26" t="n"/>
    </row>
    <row r="281">
      <c r="A281" s="4">
        <f>IFERROR(__xludf.DUMMYFUNCTION("""COMPUTED_VALUE"""),0)</f>
        <v/>
      </c>
      <c r="O281" s="26" t="n"/>
    </row>
    <row r="282">
      <c r="A282" s="6">
        <f>IFERROR(__xludf.DUMMYFUNCTION("""COMPUTED_VALUE"""),6114)</f>
        <v/>
      </c>
      <c r="O282" s="26" t="n"/>
    </row>
    <row r="283">
      <c r="A283" s="6">
        <f>IFERROR(__xludf.DUMMYFUNCTION("""COMPUTED_VALUE"""),7235)</f>
        <v/>
      </c>
      <c r="O283" s="26" t="n"/>
    </row>
    <row r="284">
      <c r="A284" s="4">
        <f>IFERROR(__xludf.DUMMYFUNCTION("""COMPUTED_VALUE"""),5541)</f>
        <v/>
      </c>
      <c r="O284" s="26" t="n"/>
    </row>
    <row r="285">
      <c r="A285" s="6">
        <f>IFERROR(__xludf.DUMMYFUNCTION("""COMPUTED_VALUE"""),12874)</f>
        <v/>
      </c>
      <c r="O285" s="26" t="n"/>
    </row>
    <row r="286">
      <c r="A286" s="4">
        <f>IFERROR(__xludf.DUMMYFUNCTION("""COMPUTED_VALUE"""),65937)</f>
        <v/>
      </c>
      <c r="O286" s="26" t="n"/>
    </row>
    <row r="287">
      <c r="A287" s="6">
        <f>IFERROR(__xludf.DUMMYFUNCTION("""COMPUTED_VALUE"""),-6912.22628880718)</f>
        <v/>
      </c>
      <c r="O287" s="26" t="n"/>
    </row>
    <row r="288">
      <c r="A288" s="4" t="n"/>
      <c r="O288" s="26" t="n"/>
    </row>
    <row r="289">
      <c r="A289" s="4" t="n"/>
      <c r="O289" s="26" t="n"/>
    </row>
    <row r="290">
      <c r="A290" s="4" t="n"/>
      <c r="O290" s="26" t="n"/>
    </row>
    <row r="291">
      <c r="A291" s="4" t="n"/>
      <c r="O291" s="26" t="n"/>
    </row>
    <row r="292">
      <c r="A292" s="6">
        <f>IFERROR(__xludf.DUMMYFUNCTION("""COMPUTED_VALUE"""),0)</f>
        <v/>
      </c>
      <c r="O292" s="26" t="n"/>
    </row>
    <row r="293">
      <c r="A293" s="6">
        <f>IFERROR(__xludf.DUMMYFUNCTION("""COMPUTED_VALUE"""),12477)</f>
        <v/>
      </c>
      <c r="O293" s="26" t="n"/>
    </row>
    <row r="294">
      <c r="A294" s="6">
        <f>IFERROR(__xludf.DUMMYFUNCTION("""COMPUTED_VALUE"""),6087.95)</f>
        <v/>
      </c>
      <c r="O294" s="26" t="n"/>
    </row>
    <row r="295">
      <c r="A295" s="6">
        <f>IFERROR(__xludf.DUMMYFUNCTION("""COMPUTED_VALUE"""),6478)</f>
        <v/>
      </c>
      <c r="O295" s="26" t="n"/>
    </row>
    <row r="296">
      <c r="A296" s="6">
        <f>IFERROR(__xludf.DUMMYFUNCTION("""COMPUTED_VALUE"""),6772.92)</f>
        <v/>
      </c>
      <c r="O296" s="26" t="n"/>
    </row>
    <row r="297">
      <c r="A297" s="6">
        <f>IFERROR(__xludf.DUMMYFUNCTION("""COMPUTED_VALUE"""),7311.21)</f>
        <v/>
      </c>
      <c r="O297" s="26" t="n"/>
    </row>
    <row r="298">
      <c r="A298" s="6">
        <f>IFERROR(__xludf.DUMMYFUNCTION("""COMPUTED_VALUE"""),6231.38)</f>
        <v/>
      </c>
      <c r="O298" s="26" t="n"/>
    </row>
    <row r="299">
      <c r="A299" s="6">
        <f>IFERROR(__xludf.DUMMYFUNCTION("""COMPUTED_VALUE"""),8220)</f>
        <v/>
      </c>
      <c r="O299" s="26" t="n"/>
    </row>
    <row r="300">
      <c r="A300" s="6">
        <f>IFERROR(__xludf.DUMMYFUNCTION("""COMPUTED_VALUE"""),5627.68)</f>
        <v/>
      </c>
      <c r="O300" s="26" t="n"/>
    </row>
    <row r="301">
      <c r="A301" s="6">
        <f>IFERROR(__xludf.DUMMYFUNCTION("""COMPUTED_VALUE"""),5817)</f>
        <v/>
      </c>
      <c r="O301" s="26" t="n"/>
    </row>
    <row r="302">
      <c r="A302" s="4">
        <f>IFERROR(__xludf.DUMMYFUNCTION("""COMPUTED_VALUE"""),5984.58)</f>
        <v/>
      </c>
      <c r="O302" s="26" t="n"/>
    </row>
    <row r="303">
      <c r="A303" s="4">
        <f>IFERROR(__xludf.DUMMYFUNCTION("""COMPUTED_VALUE"""),71007.72)</f>
        <v/>
      </c>
      <c r="O303" s="26" t="n"/>
    </row>
    <row r="304">
      <c r="A304" s="6">
        <f>IFERROR(__xludf.DUMMYFUNCTION("""COMPUTED_VALUE"""),-5656.71740134201)</f>
        <v/>
      </c>
      <c r="O304" s="26" t="n"/>
    </row>
    <row r="305">
      <c r="A305" s="4" t="n"/>
      <c r="O305" s="26" t="n"/>
    </row>
    <row r="306">
      <c r="A306" s="4" t="n"/>
      <c r="O306" s="26" t="n"/>
    </row>
    <row r="307">
      <c r="A307" s="4" t="n"/>
      <c r="O307" s="26" t="n"/>
    </row>
    <row r="308">
      <c r="A308" s="4" t="n"/>
      <c r="O308" s="26" t="n"/>
    </row>
    <row r="309">
      <c r="A309" s="6">
        <f>IFERROR(__xludf.DUMMYFUNCTION("""COMPUTED_VALUE"""),6545)</f>
        <v/>
      </c>
      <c r="O309" s="26" t="n"/>
    </row>
    <row r="310">
      <c r="A310" s="6">
        <f>IFERROR(__xludf.DUMMYFUNCTION("""COMPUTED_VALUE"""),5150)</f>
        <v/>
      </c>
      <c r="O310" s="26" t="n"/>
    </row>
    <row r="311">
      <c r="A311" s="6">
        <f>IFERROR(__xludf.DUMMYFUNCTION("""COMPUTED_VALUE"""),5120)</f>
        <v/>
      </c>
      <c r="O311" s="26" t="n"/>
    </row>
    <row r="312">
      <c r="A312" s="6">
        <f>IFERROR(__xludf.DUMMYFUNCTION("""COMPUTED_VALUE"""),6558)</f>
        <v/>
      </c>
      <c r="O312" s="26" t="n"/>
    </row>
    <row r="313">
      <c r="A313" s="6">
        <f>IFERROR(__xludf.DUMMYFUNCTION("""COMPUTED_VALUE"""),6558)</f>
        <v/>
      </c>
      <c r="O313" s="26" t="n"/>
    </row>
    <row r="314">
      <c r="A314" s="6">
        <f>IFERROR(__xludf.DUMMYFUNCTION("""COMPUTED_VALUE"""),5742)</f>
        <v/>
      </c>
      <c r="O314" s="26" t="n"/>
    </row>
    <row r="315">
      <c r="A315" s="6">
        <f>IFERROR(__xludf.DUMMYFUNCTION("""COMPUTED_VALUE"""),6731)</f>
        <v/>
      </c>
      <c r="O315" s="26" t="n"/>
    </row>
    <row r="316">
      <c r="A316" s="6">
        <f>IFERROR(__xludf.DUMMYFUNCTION("""COMPUTED_VALUE"""),7369)</f>
        <v/>
      </c>
      <c r="O316" s="26" t="n"/>
    </row>
    <row r="317">
      <c r="A317" s="6">
        <f>IFERROR(__xludf.DUMMYFUNCTION("""COMPUTED_VALUE"""),5799)</f>
        <v/>
      </c>
      <c r="O317" s="26" t="n"/>
    </row>
    <row r="318">
      <c r="A318" s="6">
        <f>IFERROR(__xludf.DUMMYFUNCTION("""COMPUTED_VALUE"""),5787)</f>
        <v/>
      </c>
      <c r="O318" s="26" t="n"/>
    </row>
    <row r="319">
      <c r="A319" s="4">
        <f>IFERROR(__xludf.DUMMYFUNCTION("""COMPUTED_VALUE"""),5355)</f>
        <v/>
      </c>
      <c r="O319" s="26" t="n"/>
    </row>
    <row r="320">
      <c r="A320" s="4">
        <f>IFERROR(__xludf.DUMMYFUNCTION("""COMPUTED_VALUE"""),66714)</f>
        <v/>
      </c>
      <c r="O320" s="26" t="n"/>
    </row>
    <row r="321">
      <c r="A321" s="6">
        <f>IFERROR(__xludf.DUMMYFUNCTION("""COMPUTED_VALUE"""),-7203.44207707118)</f>
        <v/>
      </c>
      <c r="O321" s="26" t="n"/>
    </row>
    <row r="322">
      <c r="A322" s="4" t="n"/>
      <c r="O322" s="26" t="n"/>
    </row>
    <row r="323">
      <c r="A323" s="4" t="n"/>
      <c r="O323" s="26" t="n"/>
    </row>
    <row r="324">
      <c r="A324" s="4" t="n"/>
      <c r="O324" s="26" t="n"/>
    </row>
    <row r="325">
      <c r="A325" s="4" t="n"/>
      <c r="O325" s="26" t="n"/>
    </row>
    <row r="326">
      <c r="A326" s="6">
        <f>IFERROR(__xludf.DUMMYFUNCTION("""COMPUTED_VALUE"""),6908)</f>
        <v/>
      </c>
      <c r="O326" s="26" t="n"/>
    </row>
    <row r="327">
      <c r="A327" s="6">
        <f>IFERROR(__xludf.DUMMYFUNCTION("""COMPUTED_VALUE"""),5107)</f>
        <v/>
      </c>
      <c r="O327" s="26" t="n"/>
    </row>
    <row r="328">
      <c r="A328" s="6">
        <f>IFERROR(__xludf.DUMMYFUNCTION("""COMPUTED_VALUE"""),5140)</f>
        <v/>
      </c>
      <c r="O328" s="26" t="n"/>
    </row>
    <row r="329">
      <c r="A329" s="6">
        <f>IFERROR(__xludf.DUMMYFUNCTION("""COMPUTED_VALUE"""),7082)</f>
        <v/>
      </c>
      <c r="O329" s="26" t="n"/>
    </row>
    <row r="330">
      <c r="A330" s="6">
        <f>IFERROR(__xludf.DUMMYFUNCTION("""COMPUTED_VALUE"""),0)</f>
        <v/>
      </c>
      <c r="O330" s="26" t="n"/>
    </row>
    <row r="331">
      <c r="A331" s="6">
        <f>IFERROR(__xludf.DUMMYFUNCTION("""COMPUTED_VALUE"""),6287)</f>
        <v/>
      </c>
      <c r="O331" s="26" t="n"/>
    </row>
    <row r="332">
      <c r="A332" s="6">
        <f>IFERROR(__xludf.DUMMYFUNCTION("""COMPUTED_VALUE"""),0)</f>
        <v/>
      </c>
      <c r="O332" s="26" t="n"/>
    </row>
    <row r="333">
      <c r="A333" s="6">
        <f>IFERROR(__xludf.DUMMYFUNCTION("""COMPUTED_VALUE"""),14257)</f>
        <v/>
      </c>
      <c r="O333" s="26" t="n"/>
    </row>
    <row r="334">
      <c r="A334" s="6">
        <f>IFERROR(__xludf.DUMMYFUNCTION("""COMPUTED_VALUE"""),6500)</f>
        <v/>
      </c>
      <c r="O334" s="26" t="n"/>
    </row>
    <row r="335">
      <c r="A335" s="6">
        <f>IFERROR(__xludf.DUMMYFUNCTION("""COMPUTED_VALUE"""),6288)</f>
        <v/>
      </c>
      <c r="O335" s="26" t="n"/>
    </row>
    <row r="336">
      <c r="A336" s="4">
        <f>IFERROR(__xludf.DUMMYFUNCTION("""COMPUTED_VALUE"""),5479)</f>
        <v/>
      </c>
      <c r="O336" s="26" t="n"/>
    </row>
    <row r="337">
      <c r="A337" s="4">
        <f>IFERROR(__xludf.DUMMYFUNCTION("""COMPUTED_VALUE"""),63048)</f>
        <v/>
      </c>
      <c r="O337" s="26" t="n"/>
    </row>
    <row r="338">
      <c r="A338" s="6">
        <f>IFERROR(__xludf.DUMMYFUNCTION("""COMPUTED_VALUE"""),-14949.1920305931)</f>
        <v/>
      </c>
      <c r="O338" s="26" t="n"/>
    </row>
    <row r="339">
      <c r="A339" s="4" t="n"/>
      <c r="O339" s="26" t="n"/>
    </row>
    <row r="340">
      <c r="A340" s="4" t="n"/>
      <c r="O340" s="26" t="n"/>
    </row>
    <row r="341">
      <c r="A341" s="4" t="n"/>
      <c r="O341" s="26" t="n"/>
    </row>
    <row r="342">
      <c r="A342" s="4" t="n"/>
      <c r="O342" s="26" t="n"/>
    </row>
    <row r="343">
      <c r="A343" s="6">
        <f>IFERROR(__xludf.DUMMYFUNCTION("""COMPUTED_VALUE"""),6000)</f>
        <v/>
      </c>
      <c r="O343" s="26" t="n"/>
    </row>
    <row r="344">
      <c r="A344" s="6">
        <f>IFERROR(__xludf.DUMMYFUNCTION("""COMPUTED_VALUE"""),0)</f>
        <v/>
      </c>
      <c r="O344" s="26" t="n"/>
    </row>
    <row r="345">
      <c r="A345" s="6">
        <f>IFERROR(__xludf.DUMMYFUNCTION("""COMPUTED_VALUE"""),0)</f>
        <v/>
      </c>
      <c r="O345" s="26" t="n"/>
    </row>
    <row r="346">
      <c r="A346" s="6">
        <f>IFERROR(__xludf.DUMMYFUNCTION("""COMPUTED_VALUE"""),0)</f>
        <v/>
      </c>
      <c r="O346" s="26" t="n"/>
    </row>
    <row r="347">
      <c r="A347" s="6">
        <f>IFERROR(__xludf.DUMMYFUNCTION("""COMPUTED_VALUE"""),11102.41)</f>
        <v/>
      </c>
      <c r="O347" s="26" t="n"/>
    </row>
    <row r="348">
      <c r="A348" s="6">
        <f>IFERROR(__xludf.DUMMYFUNCTION("""COMPUTED_VALUE"""),6000)</f>
        <v/>
      </c>
      <c r="O348" s="26" t="n"/>
    </row>
    <row r="349">
      <c r="A349" s="6">
        <f>IFERROR(__xludf.DUMMYFUNCTION("""COMPUTED_VALUE"""),6114)</f>
        <v/>
      </c>
      <c r="O349" s="26" t="n"/>
    </row>
    <row r="350">
      <c r="A350" s="6">
        <f>IFERROR(__xludf.DUMMYFUNCTION("""COMPUTED_VALUE"""),0)</f>
        <v/>
      </c>
      <c r="O350" s="26" t="n"/>
    </row>
    <row r="351">
      <c r="A351" s="6">
        <f>IFERROR(__xludf.DUMMYFUNCTION("""COMPUTED_VALUE"""),0)</f>
        <v/>
      </c>
      <c r="O351" s="26" t="n"/>
    </row>
    <row r="352">
      <c r="A352" s="6">
        <f>IFERROR(__xludf.DUMMYFUNCTION("""COMPUTED_VALUE"""),27000)</f>
        <v/>
      </c>
      <c r="O352" s="26" t="n"/>
    </row>
    <row r="353">
      <c r="A353" s="4">
        <f>IFERROR(__xludf.DUMMYFUNCTION("""COMPUTED_VALUE"""),0)</f>
        <v/>
      </c>
      <c r="O353" s="26" t="n"/>
    </row>
    <row r="354">
      <c r="A354" s="4">
        <f>IFERROR(__xludf.DUMMYFUNCTION("""COMPUTED_VALUE"""),56216.41)</f>
        <v/>
      </c>
      <c r="O354" s="26" t="n"/>
    </row>
    <row r="355">
      <c r="A355" s="6">
        <f>IFERROR(__xludf.DUMMYFUNCTION("""COMPUTED_VALUE"""),-10635.8748149002)</f>
        <v/>
      </c>
      <c r="O355" s="26" t="n"/>
    </row>
    <row r="356">
      <c r="A356" s="4" t="n"/>
      <c r="O356" s="26" t="n"/>
    </row>
    <row r="357">
      <c r="A357" s="4" t="n"/>
      <c r="O357" s="26" t="n"/>
    </row>
    <row r="358">
      <c r="A358" s="4" t="n"/>
      <c r="O358" s="26" t="n"/>
    </row>
    <row r="359">
      <c r="A359" s="4" t="n"/>
      <c r="O359" s="26" t="n"/>
    </row>
    <row r="360">
      <c r="A360" s="4">
        <f>IFERROR(__xludf.DUMMYFUNCTION("""COMPUTED_VALUE"""),0)</f>
        <v/>
      </c>
      <c r="O360" s="26" t="n"/>
    </row>
    <row r="361">
      <c r="A361" s="4">
        <f>IFERROR(__xludf.DUMMYFUNCTION("""COMPUTED_VALUE"""),85000)</f>
        <v/>
      </c>
      <c r="O361" s="26" t="n"/>
    </row>
    <row r="362">
      <c r="A362" s="4">
        <f>IFERROR(__xludf.DUMMYFUNCTION("""COMPUTED_VALUE"""),20000)</f>
        <v/>
      </c>
      <c r="O362" s="26" t="n"/>
    </row>
    <row r="363">
      <c r="A363" s="4">
        <f>IFERROR(__xludf.DUMMYFUNCTION("""COMPUTED_VALUE"""),0)</f>
        <v/>
      </c>
      <c r="O363" s="26" t="n"/>
    </row>
    <row r="364">
      <c r="A364" s="4">
        <f>IFERROR(__xludf.DUMMYFUNCTION("""COMPUTED_VALUE"""),5212)</f>
        <v/>
      </c>
      <c r="O364" s="26" t="n"/>
    </row>
    <row r="365">
      <c r="A365" s="4">
        <f>IFERROR(__xludf.DUMMYFUNCTION("""COMPUTED_VALUE"""),0)</f>
        <v/>
      </c>
      <c r="O365" s="26" t="n"/>
    </row>
    <row r="366">
      <c r="A366" s="4">
        <f>IFERROR(__xludf.DUMMYFUNCTION("""COMPUTED_VALUE"""),0)</f>
        <v/>
      </c>
      <c r="O366" s="26" t="n"/>
    </row>
    <row r="367">
      <c r="A367" s="4">
        <f>IFERROR(__xludf.DUMMYFUNCTION("""COMPUTED_VALUE"""),18215)</f>
        <v/>
      </c>
      <c r="O367" s="26" t="n"/>
    </row>
    <row r="368">
      <c r="A368" s="4">
        <f>IFERROR(__xludf.DUMMYFUNCTION("""COMPUTED_VALUE"""),5785)</f>
        <v/>
      </c>
      <c r="O368" s="26" t="n"/>
    </row>
    <row r="369">
      <c r="A369" s="4">
        <f>IFERROR(__xludf.DUMMYFUNCTION("""COMPUTED_VALUE"""),0)</f>
        <v/>
      </c>
      <c r="O369" s="26" t="n"/>
    </row>
    <row r="370">
      <c r="A370" s="4">
        <f>IFERROR(__xludf.DUMMYFUNCTION("""COMPUTED_VALUE"""),5394)</f>
        <v/>
      </c>
      <c r="O370" s="26" t="n"/>
    </row>
    <row r="371">
      <c r="A371" s="4">
        <f>IFERROR(__xludf.DUMMYFUNCTION("""COMPUTED_VALUE"""),139606)</f>
        <v/>
      </c>
      <c r="O371" s="26" t="n"/>
    </row>
    <row r="372">
      <c r="A372" s="6">
        <f>IFERROR(__xludf.DUMMYFUNCTION("""COMPUTED_VALUE"""),71039.0716507446)</f>
        <v/>
      </c>
      <c r="O372" s="26" t="n"/>
    </row>
    <row r="373">
      <c r="A373" s="4" t="n"/>
      <c r="O373" s="26" t="n"/>
    </row>
    <row r="374">
      <c r="A374" s="4" t="n"/>
      <c r="O374" s="26" t="n"/>
    </row>
    <row r="375">
      <c r="A375" s="4" t="n"/>
      <c r="O375" s="26" t="n"/>
    </row>
    <row r="376">
      <c r="A376" s="4" t="n"/>
      <c r="O376" s="26" t="n"/>
    </row>
    <row r="377">
      <c r="A377" s="6">
        <f>IFERROR(__xludf.DUMMYFUNCTION("""COMPUTED_VALUE"""),5752)</f>
        <v/>
      </c>
      <c r="O377" s="26" t="n"/>
    </row>
    <row r="378">
      <c r="A378" s="6">
        <f>IFERROR(__xludf.DUMMYFUNCTION("""COMPUTED_VALUE"""),0)</f>
        <v/>
      </c>
      <c r="O378" s="26" t="n"/>
    </row>
    <row r="379">
      <c r="A379" s="6">
        <f>IFERROR(__xludf.DUMMYFUNCTION("""COMPUTED_VALUE"""),4083)</f>
        <v/>
      </c>
      <c r="O379" s="26" t="n"/>
    </row>
    <row r="380">
      <c r="A380" s="6">
        <f>IFERROR(__xludf.DUMMYFUNCTION("""COMPUTED_VALUE"""),0)</f>
        <v/>
      </c>
      <c r="O380" s="26" t="n"/>
    </row>
    <row r="381">
      <c r="A381" s="6">
        <f>IFERROR(__xludf.DUMMYFUNCTION("""COMPUTED_VALUE"""),5635)</f>
        <v/>
      </c>
      <c r="O381" s="26" t="n"/>
    </row>
    <row r="382">
      <c r="A382" s="6">
        <f>IFERROR(__xludf.DUMMYFUNCTION("""COMPUTED_VALUE"""),5264)</f>
        <v/>
      </c>
      <c r="O382" s="26" t="n"/>
    </row>
    <row r="383">
      <c r="A383" s="4">
        <f>IFERROR(__xludf.DUMMYFUNCTION("""COMPUTED_VALUE"""),6114)</f>
        <v/>
      </c>
      <c r="O383" s="26" t="n"/>
    </row>
    <row r="384">
      <c r="A384" s="6">
        <f>IFERROR(__xludf.DUMMYFUNCTION("""COMPUTED_VALUE"""),0)</f>
        <v/>
      </c>
      <c r="O384" s="26" t="n"/>
    </row>
    <row r="385">
      <c r="A385" s="6">
        <f>IFERROR(__xludf.DUMMYFUNCTION("""COMPUTED_VALUE"""),6888)</f>
        <v/>
      </c>
      <c r="O385" s="26" t="n"/>
    </row>
    <row r="386">
      <c r="A386" s="6">
        <f>IFERROR(__xludf.DUMMYFUNCTION("""COMPUTED_VALUE"""),5350)</f>
        <v/>
      </c>
      <c r="O386" s="26" t="n"/>
    </row>
    <row r="387">
      <c r="A387" s="4">
        <f>IFERROR(__xludf.DUMMYFUNCTION("""COMPUTED_VALUE"""),0)</f>
        <v/>
      </c>
      <c r="O387" s="26" t="n"/>
    </row>
    <row r="388">
      <c r="A388" s="4">
        <f>IFERROR(__xludf.DUMMYFUNCTION("""COMPUTED_VALUE"""),39086)</f>
        <v/>
      </c>
      <c r="O388" s="26" t="n"/>
    </row>
    <row r="389">
      <c r="A389" s="6">
        <f>IFERROR(__xludf.DUMMYFUNCTION("""COMPUTED_VALUE"""),-25870.7071729546)</f>
        <v/>
      </c>
      <c r="O389" s="26" t="n"/>
    </row>
    <row r="390">
      <c r="A390" s="4" t="n"/>
      <c r="O390" s="26" t="n"/>
    </row>
    <row r="391">
      <c r="A391" s="4" t="n"/>
      <c r="O391" s="26" t="n"/>
    </row>
    <row r="392">
      <c r="A392" s="4" t="n"/>
      <c r="O392" s="26" t="n"/>
    </row>
    <row r="393">
      <c r="A393" s="4" t="n"/>
      <c r="O393" s="26" t="n"/>
    </row>
    <row r="394">
      <c r="A394" s="4">
        <f>IFERROR(__xludf.DUMMYFUNCTION("""COMPUTED_VALUE"""),6328)</f>
        <v/>
      </c>
      <c r="O394" s="26" t="n"/>
    </row>
    <row r="395">
      <c r="A395" s="4">
        <f>IFERROR(__xludf.DUMMYFUNCTION("""COMPUTED_VALUE"""),4772)</f>
        <v/>
      </c>
      <c r="O395" s="26" t="n"/>
    </row>
    <row r="396">
      <c r="A396" s="4">
        <f>IFERROR(__xludf.DUMMYFUNCTION("""COMPUTED_VALUE"""),0)</f>
        <v/>
      </c>
      <c r="O396" s="26" t="n"/>
    </row>
    <row r="397">
      <c r="A397" s="4">
        <f>IFERROR(__xludf.DUMMYFUNCTION("""COMPUTED_VALUE"""),0)</f>
        <v/>
      </c>
      <c r="O397" s="26" t="n"/>
    </row>
    <row r="398">
      <c r="A398" s="4">
        <f>IFERROR(__xludf.DUMMYFUNCTION("""COMPUTED_VALUE"""),6108)</f>
        <v/>
      </c>
      <c r="O398" s="26" t="n"/>
    </row>
    <row r="399">
      <c r="A399" s="4">
        <f>IFERROR(__xludf.DUMMYFUNCTION("""COMPUTED_VALUE"""),0)</f>
        <v/>
      </c>
      <c r="O399" s="26" t="n"/>
    </row>
    <row r="400">
      <c r="A400" s="4">
        <f>IFERROR(__xludf.DUMMYFUNCTION("""COMPUTED_VALUE"""),0)</f>
        <v/>
      </c>
      <c r="O400" s="26" t="n"/>
    </row>
    <row r="401">
      <c r="A401" s="4">
        <f>IFERROR(__xludf.DUMMYFUNCTION("""COMPUTED_VALUE"""),6114)</f>
        <v/>
      </c>
      <c r="O401" s="26" t="n"/>
    </row>
    <row r="402">
      <c r="A402" s="4">
        <f>IFERROR(__xludf.DUMMYFUNCTION("""COMPUTED_VALUE"""),20517)</f>
        <v/>
      </c>
      <c r="O402" s="26" t="n"/>
    </row>
    <row r="403">
      <c r="A403" s="4">
        <f>IFERROR(__xludf.DUMMYFUNCTION("""COMPUTED_VALUE"""),5198)</f>
        <v/>
      </c>
      <c r="O403" s="26" t="n"/>
    </row>
    <row r="404">
      <c r="A404" s="4">
        <f>IFERROR(__xludf.DUMMYFUNCTION("""COMPUTED_VALUE"""),5744)</f>
        <v/>
      </c>
      <c r="O404" s="26" t="n"/>
    </row>
    <row r="405">
      <c r="A405" s="4">
        <f>IFERROR(__xludf.DUMMYFUNCTION("""COMPUTED_VALUE"""),54781)</f>
        <v/>
      </c>
      <c r="O405" s="26" t="n"/>
    </row>
    <row r="406">
      <c r="A406" s="6">
        <f>IFERROR(__xludf.DUMMYFUNCTION("""COMPUTED_VALUE"""),-14818.8316653232)</f>
        <v/>
      </c>
      <c r="O406" s="26" t="n"/>
    </row>
    <row r="407">
      <c r="A407" s="4" t="n"/>
      <c r="O407" s="26" t="n"/>
    </row>
    <row r="408">
      <c r="A408" s="4" t="n"/>
      <c r="O408" s="26" t="n"/>
    </row>
    <row r="409">
      <c r="A409" s="4" t="n"/>
      <c r="O409" s="26" t="n"/>
    </row>
    <row r="410">
      <c r="A410" s="4" t="n"/>
      <c r="O410" s="26" t="n"/>
    </row>
    <row r="411">
      <c r="A411" s="6">
        <f>IFERROR(__xludf.DUMMYFUNCTION("""COMPUTED_VALUE"""),5203)</f>
        <v/>
      </c>
      <c r="O411" s="26" t="n"/>
    </row>
    <row r="412">
      <c r="A412" s="6">
        <f>IFERROR(__xludf.DUMMYFUNCTION("""COMPUTED_VALUE"""),10919)</f>
        <v/>
      </c>
      <c r="O412" s="26" t="n"/>
    </row>
    <row r="413">
      <c r="A413" s="6">
        <f>IFERROR(__xludf.DUMMYFUNCTION("""COMPUTED_VALUE"""),5203)</f>
        <v/>
      </c>
      <c r="O413" s="26" t="n"/>
    </row>
    <row r="414">
      <c r="A414" s="6">
        <f>IFERROR(__xludf.DUMMYFUNCTION("""COMPUTED_VALUE"""),5869)</f>
        <v/>
      </c>
      <c r="O414" s="26" t="n"/>
    </row>
    <row r="415">
      <c r="A415" s="6">
        <f>IFERROR(__xludf.DUMMYFUNCTION("""COMPUTED_VALUE"""),5869)</f>
        <v/>
      </c>
      <c r="O415" s="26" t="n"/>
    </row>
    <row r="416">
      <c r="A416" s="6">
        <f>IFERROR(__xludf.DUMMYFUNCTION("""COMPUTED_VALUE"""),5500)</f>
        <v/>
      </c>
      <c r="O416" s="26" t="n"/>
    </row>
    <row r="417">
      <c r="A417" s="6">
        <f>IFERROR(__xludf.DUMMYFUNCTION("""COMPUTED_VALUE"""),6354)</f>
        <v/>
      </c>
      <c r="O417" s="26" t="n"/>
    </row>
    <row r="418">
      <c r="A418" s="6">
        <f>IFERROR(__xludf.DUMMYFUNCTION("""COMPUTED_VALUE"""),0)</f>
        <v/>
      </c>
      <c r="O418" s="26" t="n"/>
    </row>
    <row r="419">
      <c r="A419" s="6">
        <f>IFERROR(__xludf.DUMMYFUNCTION("""COMPUTED_VALUE"""),7111)</f>
        <v/>
      </c>
      <c r="O419" s="26" t="n"/>
    </row>
    <row r="420">
      <c r="A420" s="6">
        <f>IFERROR(__xludf.DUMMYFUNCTION("""COMPUTED_VALUE"""),5686)</f>
        <v/>
      </c>
      <c r="O420" s="26" t="n"/>
    </row>
    <row r="421">
      <c r="A421" s="4">
        <f>IFERROR(__xludf.DUMMYFUNCTION("""COMPUTED_VALUE"""),10715)</f>
        <v/>
      </c>
      <c r="O421" s="26" t="n"/>
    </row>
    <row r="422">
      <c r="A422" s="4">
        <f>IFERROR(__xludf.DUMMYFUNCTION("""COMPUTED_VALUE"""),68429)</f>
        <v/>
      </c>
      <c r="O422" s="26" t="n"/>
    </row>
    <row r="423">
      <c r="A423" s="6">
        <f>IFERROR(__xludf.DUMMYFUNCTION("""COMPUTED_VALUE"""),-1212.0987471036)</f>
        <v/>
      </c>
      <c r="O423" s="26" t="n"/>
    </row>
    <row r="424">
      <c r="A424" s="4" t="n"/>
      <c r="O424" s="26" t="n"/>
    </row>
    <row r="425">
      <c r="A425" s="4" t="n"/>
      <c r="O425" s="26" t="n"/>
    </row>
    <row r="426">
      <c r="A426" s="4" t="n"/>
      <c r="O426" s="26" t="n"/>
    </row>
    <row r="427">
      <c r="A427" s="4" t="n"/>
      <c r="O427" s="26" t="n"/>
    </row>
    <row r="428">
      <c r="A428" s="6">
        <f>IFERROR(__xludf.DUMMYFUNCTION("""COMPUTED_VALUE"""),6240)</f>
        <v/>
      </c>
      <c r="O428" s="26" t="n"/>
    </row>
    <row r="429">
      <c r="A429" s="6">
        <f>IFERROR(__xludf.DUMMYFUNCTION("""COMPUTED_VALUE"""),4790)</f>
        <v/>
      </c>
      <c r="O429" s="26" t="n"/>
    </row>
    <row r="430">
      <c r="A430" s="6">
        <f>IFERROR(__xludf.DUMMYFUNCTION("""COMPUTED_VALUE"""),5062)</f>
        <v/>
      </c>
      <c r="O430" s="26" t="n"/>
    </row>
    <row r="431">
      <c r="A431" s="6">
        <f>IFERROR(__xludf.DUMMYFUNCTION("""COMPUTED_VALUE"""),6008)</f>
        <v/>
      </c>
      <c r="O431" s="26" t="n"/>
    </row>
    <row r="432">
      <c r="A432" s="6">
        <f>IFERROR(__xludf.DUMMYFUNCTION("""COMPUTED_VALUE"""),12008)</f>
        <v/>
      </c>
      <c r="O432" s="26" t="n"/>
    </row>
    <row r="433">
      <c r="A433" s="6">
        <f>IFERROR(__xludf.DUMMYFUNCTION("""COMPUTED_VALUE"""),0)</f>
        <v/>
      </c>
      <c r="O433" s="26" t="n"/>
    </row>
    <row r="434">
      <c r="A434" s="6">
        <f>IFERROR(__xludf.DUMMYFUNCTION("""COMPUTED_VALUE"""),6114)</f>
        <v/>
      </c>
      <c r="O434" s="26" t="n"/>
    </row>
    <row r="435">
      <c r="A435" s="6">
        <f>IFERROR(__xludf.DUMMYFUNCTION("""COMPUTED_VALUE"""),7920.16)</f>
        <v/>
      </c>
      <c r="O435" s="26" t="n"/>
    </row>
    <row r="436">
      <c r="A436" s="6">
        <f>IFERROR(__xludf.DUMMYFUNCTION("""COMPUTED_VALUE"""),5209.11)</f>
        <v/>
      </c>
      <c r="O436" s="26" t="n"/>
    </row>
    <row r="437">
      <c r="A437" s="6">
        <f>IFERROR(__xludf.DUMMYFUNCTION("""COMPUTED_VALUE"""),5380)</f>
        <v/>
      </c>
      <c r="O437" s="26" t="n"/>
    </row>
    <row r="438">
      <c r="A438" s="4">
        <f>IFERROR(__xludf.DUMMYFUNCTION("""COMPUTED_VALUE"""),4724)</f>
        <v/>
      </c>
      <c r="O438" s="26" t="n"/>
    </row>
    <row r="439">
      <c r="A439" s="4">
        <f>IFERROR(__xludf.DUMMYFUNCTION("""COMPUTED_VALUE"""),63455.27)</f>
        <v/>
      </c>
      <c r="O439" s="26" t="n"/>
    </row>
    <row r="440">
      <c r="A440" s="6">
        <f>IFERROR(__xludf.DUMMYFUNCTION("""COMPUTED_VALUE"""),-4510.93877610885)</f>
        <v/>
      </c>
      <c r="O440" s="26" t="n"/>
    </row>
    <row r="441">
      <c r="A441" s="4" t="n"/>
      <c r="O441" s="26" t="n"/>
    </row>
    <row r="442">
      <c r="A442" s="4" t="n"/>
      <c r="O442" s="26" t="n"/>
    </row>
    <row r="443">
      <c r="A443" s="4" t="n"/>
      <c r="O443" s="26" t="n"/>
    </row>
    <row r="444">
      <c r="A444" s="4" t="n"/>
      <c r="O444" s="26" t="n"/>
    </row>
    <row r="445">
      <c r="A445" s="6">
        <f>IFERROR(__xludf.DUMMYFUNCTION("""COMPUTED_VALUE"""),10288)</f>
        <v/>
      </c>
      <c r="O445" s="26" t="n"/>
    </row>
    <row r="446">
      <c r="A446" s="6">
        <f>IFERROR(__xludf.DUMMYFUNCTION("""COMPUTED_VALUE"""),4399)</f>
        <v/>
      </c>
      <c r="O446" s="26" t="n"/>
    </row>
    <row r="447">
      <c r="A447" s="6">
        <f>IFERROR(__xludf.DUMMYFUNCTION("""COMPUTED_VALUE"""),4541)</f>
        <v/>
      </c>
      <c r="O447" s="26" t="n"/>
    </row>
    <row r="448">
      <c r="A448" s="6">
        <f>IFERROR(__xludf.DUMMYFUNCTION("""COMPUTED_VALUE"""),5377)</f>
        <v/>
      </c>
      <c r="O448" s="26" t="n"/>
    </row>
    <row r="449">
      <c r="A449" s="6">
        <f>IFERROR(__xludf.DUMMYFUNCTION("""COMPUTED_VALUE"""),5377)</f>
        <v/>
      </c>
      <c r="O449" s="26" t="n"/>
    </row>
    <row r="450">
      <c r="A450" s="6">
        <f>IFERROR(__xludf.DUMMYFUNCTION("""COMPUTED_VALUE"""),4935)</f>
        <v/>
      </c>
      <c r="O450" s="26" t="n"/>
    </row>
    <row r="451">
      <c r="A451" s="4">
        <f>IFERROR(__xludf.DUMMYFUNCTION("""COMPUTED_VALUE"""),6114)</f>
        <v/>
      </c>
      <c r="O451" s="26" t="n"/>
    </row>
    <row r="452">
      <c r="A452" s="6">
        <f>IFERROR(__xludf.DUMMYFUNCTION("""COMPUTED_VALUE"""),0)</f>
        <v/>
      </c>
      <c r="O452" s="26" t="n"/>
    </row>
    <row r="453">
      <c r="A453" s="6">
        <f>IFERROR(__xludf.DUMMYFUNCTION("""COMPUTED_VALUE"""),0)</f>
        <v/>
      </c>
      <c r="O453" s="26" t="n"/>
    </row>
    <row r="454">
      <c r="A454" s="6">
        <f>IFERROR(__xludf.DUMMYFUNCTION("""COMPUTED_VALUE"""),0)</f>
        <v/>
      </c>
      <c r="O454" s="26" t="n"/>
    </row>
    <row r="455">
      <c r="A455" s="4">
        <f>IFERROR(__xludf.DUMMYFUNCTION("""COMPUTED_VALUE"""),0)</f>
        <v/>
      </c>
      <c r="O455" s="26" t="n"/>
    </row>
    <row r="456">
      <c r="A456" s="4">
        <f>IFERROR(__xludf.DUMMYFUNCTION("""COMPUTED_VALUE"""),41031)</f>
        <v/>
      </c>
      <c r="O456" s="26" t="n"/>
    </row>
    <row r="457">
      <c r="A457" s="6">
        <f>IFERROR(__xludf.DUMMYFUNCTION("""COMPUTED_VALUE"""),-21576.0000270286)</f>
        <v/>
      </c>
      <c r="O457" s="26" t="n"/>
    </row>
    <row r="458">
      <c r="A458" s="4" t="n"/>
      <c r="O458" s="26" t="n"/>
    </row>
    <row r="459">
      <c r="A459" s="4" t="n"/>
      <c r="O459" s="26" t="n"/>
    </row>
    <row r="460">
      <c r="A460" s="4" t="n"/>
      <c r="O460" s="26" t="n"/>
    </row>
    <row r="461">
      <c r="A461" s="4" t="n"/>
      <c r="O461" s="26" t="n"/>
    </row>
    <row r="462">
      <c r="A462" s="6">
        <f>IFERROR(__xludf.DUMMYFUNCTION("""COMPUTED_VALUE"""),5803)</f>
        <v/>
      </c>
      <c r="O462" s="26" t="n"/>
    </row>
    <row r="463">
      <c r="A463" s="6">
        <f>IFERROR(__xludf.DUMMYFUNCTION("""COMPUTED_VALUE"""),14646)</f>
        <v/>
      </c>
      <c r="O463" s="26" t="n"/>
    </row>
    <row r="464">
      <c r="A464" s="6">
        <f>IFERROR(__xludf.DUMMYFUNCTION("""COMPUTED_VALUE"""),5083)</f>
        <v/>
      </c>
      <c r="O464" s="26" t="n"/>
    </row>
    <row r="465">
      <c r="A465" s="6">
        <f>IFERROR(__xludf.DUMMYFUNCTION("""COMPUTED_VALUE"""),6120)</f>
        <v/>
      </c>
      <c r="O465" s="26" t="n"/>
    </row>
    <row r="466">
      <c r="A466" s="6">
        <f>IFERROR(__xludf.DUMMYFUNCTION("""COMPUTED_VALUE"""),6119)</f>
        <v/>
      </c>
      <c r="O466" s="26" t="n"/>
    </row>
    <row r="467">
      <c r="A467" s="6">
        <f>IFERROR(__xludf.DUMMYFUNCTION("""COMPUTED_VALUE"""),4978)</f>
        <v/>
      </c>
      <c r="O467" s="26" t="n"/>
    </row>
    <row r="468">
      <c r="A468" s="6">
        <f>IFERROR(__xludf.DUMMYFUNCTION("""COMPUTED_VALUE"""),6114)</f>
        <v/>
      </c>
      <c r="O468" s="26" t="n"/>
    </row>
    <row r="469">
      <c r="A469" s="6">
        <f>IFERROR(__xludf.DUMMYFUNCTION("""COMPUTED_VALUE"""),7936)</f>
        <v/>
      </c>
      <c r="O469" s="26" t="n"/>
    </row>
    <row r="470">
      <c r="A470" s="6">
        <f>IFERROR(__xludf.DUMMYFUNCTION("""COMPUTED_VALUE"""),0)</f>
        <v/>
      </c>
      <c r="O470" s="26" t="n"/>
    </row>
    <row r="471">
      <c r="A471" s="4">
        <f>IFERROR(__xludf.DUMMYFUNCTION("""COMPUTED_VALUE"""),0)</f>
        <v/>
      </c>
      <c r="O471" s="26" t="n"/>
    </row>
    <row r="472">
      <c r="A472" s="6">
        <f>IFERROR(__xludf.DUMMYFUNCTION("""COMPUTED_VALUE"""),0)</f>
        <v/>
      </c>
      <c r="O472" s="26" t="n"/>
    </row>
    <row r="473">
      <c r="A473" s="4">
        <f>IFERROR(__xludf.DUMMYFUNCTION("""COMPUTED_VALUE"""),56799)</f>
        <v/>
      </c>
      <c r="O473" s="26" t="n"/>
    </row>
    <row r="474">
      <c r="A474" s="6">
        <f>IFERROR(__xludf.DUMMYFUNCTION("""COMPUTED_VALUE"""),-13466.3036413142)</f>
        <v/>
      </c>
      <c r="O474" s="26" t="n"/>
    </row>
    <row r="475">
      <c r="A475" s="4" t="n"/>
      <c r="O475" s="26" t="n"/>
    </row>
    <row r="476">
      <c r="A476" s="4" t="n"/>
      <c r="O476" s="26" t="n"/>
    </row>
    <row r="477">
      <c r="A477" s="4" t="n"/>
      <c r="O477" s="26" t="n"/>
    </row>
    <row r="478">
      <c r="A478" s="4" t="n"/>
      <c r="O478" s="26" t="n"/>
    </row>
    <row r="479">
      <c r="A479" s="4">
        <f>IFERROR(__xludf.DUMMYFUNCTION("""COMPUTED_VALUE"""),6379)</f>
        <v/>
      </c>
      <c r="O479" s="26" t="n"/>
    </row>
    <row r="480">
      <c r="A480" s="4">
        <f>IFERROR(__xludf.DUMMYFUNCTION("""COMPUTED_VALUE"""),0)</f>
        <v/>
      </c>
      <c r="O480" s="26" t="n"/>
    </row>
    <row r="481">
      <c r="A481" s="4">
        <f>IFERROR(__xludf.DUMMYFUNCTION("""COMPUTED_VALUE"""),13339)</f>
        <v/>
      </c>
      <c r="O481" s="26" t="n"/>
    </row>
    <row r="482">
      <c r="A482" s="4">
        <f>IFERROR(__xludf.DUMMYFUNCTION("""COMPUTED_VALUE"""),0)</f>
        <v/>
      </c>
      <c r="O482" s="26" t="n"/>
    </row>
    <row r="483">
      <c r="A483" s="12">
        <f>IFERROR(__xludf.DUMMYFUNCTION("""COMPUTED_VALUE"""),12208)</f>
        <v/>
      </c>
      <c r="O483" s="26" t="n"/>
    </row>
    <row r="484">
      <c r="A484" s="4">
        <f>IFERROR(__xludf.DUMMYFUNCTION("""COMPUTED_VALUE"""),0)</f>
        <v/>
      </c>
      <c r="O484" s="26" t="n"/>
    </row>
    <row r="485">
      <c r="A485" s="4">
        <f>IFERROR(__xludf.DUMMYFUNCTION("""COMPUTED_VALUE"""),0)</f>
        <v/>
      </c>
      <c r="O485" s="26" t="n"/>
    </row>
    <row r="486">
      <c r="A486" s="4">
        <f>IFERROR(__xludf.DUMMYFUNCTION("""COMPUTED_VALUE"""),0)</f>
        <v/>
      </c>
      <c r="O486" s="26" t="n"/>
    </row>
    <row r="487">
      <c r="A487" s="4">
        <f>IFERROR(__xludf.DUMMYFUNCTION("""COMPUTED_VALUE"""),22000)</f>
        <v/>
      </c>
      <c r="O487" s="26" t="n"/>
    </row>
    <row r="488">
      <c r="A488" s="4">
        <f>IFERROR(__xludf.DUMMYFUNCTION("""COMPUTED_VALUE"""),0)</f>
        <v/>
      </c>
      <c r="O488" s="26" t="n"/>
    </row>
    <row r="489">
      <c r="A489" s="4">
        <f>IFERROR(__xludf.DUMMYFUNCTION("""COMPUTED_VALUE"""),0)</f>
        <v/>
      </c>
      <c r="O489" s="26" t="n"/>
    </row>
    <row r="490">
      <c r="A490" s="4">
        <f>IFERROR(__xludf.DUMMYFUNCTION("""COMPUTED_VALUE"""),53926)</f>
        <v/>
      </c>
      <c r="O490" s="26" t="n"/>
    </row>
    <row r="491">
      <c r="A491" s="6">
        <f>IFERROR(__xludf.DUMMYFUNCTION("""COMPUTED_VALUE"""),-15113.1186226634)</f>
        <v/>
      </c>
      <c r="O491" s="26" t="n"/>
    </row>
    <row r="492">
      <c r="A492" s="4" t="n"/>
      <c r="O492" s="26" t="n"/>
    </row>
    <row r="493">
      <c r="A493" s="4" t="n"/>
      <c r="O493" s="26" t="n"/>
    </row>
    <row r="494">
      <c r="A494" s="4" t="n"/>
      <c r="O494" s="26" t="n"/>
    </row>
    <row r="495">
      <c r="A495" s="4" t="n"/>
      <c r="O495" s="26" t="n"/>
    </row>
    <row r="496">
      <c r="A496" s="4">
        <f>IFERROR(__xludf.DUMMYFUNCTION("""COMPUTED_VALUE"""),5734)</f>
        <v/>
      </c>
      <c r="O496" s="26" t="n"/>
    </row>
    <row r="497">
      <c r="A497" s="4">
        <f>IFERROR(__xludf.DUMMYFUNCTION("""COMPUTED_VALUE"""),5435)</f>
        <v/>
      </c>
      <c r="O497" s="26" t="n"/>
    </row>
    <row r="498">
      <c r="A498" s="4">
        <f>IFERROR(__xludf.DUMMYFUNCTION("""COMPUTED_VALUE"""),4969)</f>
        <v/>
      </c>
      <c r="O498" s="26" t="n"/>
    </row>
    <row r="499">
      <c r="A499" s="4">
        <f>IFERROR(__xludf.DUMMYFUNCTION("""COMPUTED_VALUE"""),5790)</f>
        <v/>
      </c>
      <c r="O499" s="26" t="n"/>
    </row>
    <row r="500">
      <c r="A500" s="4">
        <f>IFERROR(__xludf.DUMMYFUNCTION("""COMPUTED_VALUE"""),5790)</f>
        <v/>
      </c>
      <c r="O500" s="26" t="n"/>
    </row>
    <row r="501">
      <c r="A501" s="6">
        <f>IFERROR(__xludf.DUMMYFUNCTION("""COMPUTED_VALUE"""),5304)</f>
        <v/>
      </c>
      <c r="O501" s="26" t="n"/>
    </row>
    <row r="502">
      <c r="A502" s="4">
        <f>IFERROR(__xludf.DUMMYFUNCTION("""COMPUTED_VALUE"""),6231)</f>
        <v/>
      </c>
      <c r="O502" s="26" t="n"/>
    </row>
    <row r="503">
      <c r="A503" s="4">
        <f>IFERROR(__xludf.DUMMYFUNCTION("""COMPUTED_VALUE"""),7366.24)</f>
        <v/>
      </c>
      <c r="O503" s="26" t="n"/>
    </row>
    <row r="504">
      <c r="A504" s="4">
        <f>IFERROR(__xludf.DUMMYFUNCTION("""COMPUTED_VALUE"""),6004.73)</f>
        <v/>
      </c>
      <c r="O504" s="26" t="n"/>
    </row>
    <row r="505">
      <c r="A505" s="4">
        <f>IFERROR(__xludf.DUMMYFUNCTION("""COMPUTED_VALUE"""),5591)</f>
        <v/>
      </c>
      <c r="O505" s="26" t="n"/>
    </row>
    <row r="506">
      <c r="A506" s="4">
        <f>IFERROR(__xludf.DUMMYFUNCTION("""COMPUTED_VALUE"""),5193)</f>
        <v/>
      </c>
      <c r="O506" s="26" t="n"/>
    </row>
    <row r="507">
      <c r="A507" s="4">
        <f>IFERROR(__xludf.DUMMYFUNCTION("""COMPUTED_VALUE"""),63407.97)</f>
        <v/>
      </c>
      <c r="O507" s="26" t="n"/>
    </row>
    <row r="508">
      <c r="A508" s="6">
        <f>IFERROR(__xludf.DUMMYFUNCTION("""COMPUTED_VALUE"""),-7488.62940626949)</f>
        <v/>
      </c>
      <c r="O508" s="26" t="n"/>
    </row>
    <row r="509">
      <c r="A509" s="4" t="n"/>
      <c r="O509" s="26" t="n"/>
    </row>
    <row r="510">
      <c r="A510" s="4" t="n"/>
      <c r="O510" s="26" t="n"/>
    </row>
    <row r="511">
      <c r="A511" s="4" t="n"/>
      <c r="O511" s="26" t="n"/>
    </row>
    <row r="512">
      <c r="A512" s="4" t="n"/>
      <c r="O512" s="26" t="n"/>
    </row>
    <row r="513">
      <c r="A513" s="6">
        <f>IFERROR(__xludf.DUMMYFUNCTION("""COMPUTED_VALUE"""),0)</f>
        <v/>
      </c>
      <c r="O513" s="26" t="n"/>
    </row>
    <row r="514">
      <c r="A514" s="6">
        <f>IFERROR(__xludf.DUMMYFUNCTION("""COMPUTED_VALUE"""),4568)</f>
        <v/>
      </c>
      <c r="O514" s="26" t="n"/>
    </row>
    <row r="515">
      <c r="A515" s="6">
        <f>IFERROR(__xludf.DUMMYFUNCTION("""COMPUTED_VALUE"""),0)</f>
        <v/>
      </c>
      <c r="O515" s="26" t="n"/>
    </row>
    <row r="516">
      <c r="A516" s="6">
        <f>IFERROR(__xludf.DUMMYFUNCTION("""COMPUTED_VALUE"""),5226)</f>
        <v/>
      </c>
      <c r="O516" s="26" t="n"/>
    </row>
    <row r="517">
      <c r="A517" s="6">
        <f>IFERROR(__xludf.DUMMYFUNCTION("""COMPUTED_VALUE"""),5226)</f>
        <v/>
      </c>
      <c r="O517" s="26" t="n"/>
    </row>
    <row r="518">
      <c r="A518" s="6">
        <f>IFERROR(__xludf.DUMMYFUNCTION("""COMPUTED_VALUE"""),0)</f>
        <v/>
      </c>
      <c r="O518" s="26" t="n"/>
    </row>
    <row r="519">
      <c r="A519" s="6">
        <f>IFERROR(__xludf.DUMMYFUNCTION("""COMPUTED_VALUE"""),11242)</f>
        <v/>
      </c>
      <c r="O519" s="26" t="n"/>
    </row>
    <row r="520">
      <c r="A520" s="6">
        <f>IFERROR(__xludf.DUMMYFUNCTION("""COMPUTED_VALUE"""),0)</f>
        <v/>
      </c>
      <c r="O520" s="26" t="n"/>
    </row>
    <row r="521">
      <c r="A521" s="6">
        <f>IFERROR(__xludf.DUMMYFUNCTION("""COMPUTED_VALUE"""),5582.17)</f>
        <v/>
      </c>
      <c r="O521" s="26" t="n"/>
    </row>
    <row r="522">
      <c r="A522" s="6">
        <f>IFERROR(__xludf.DUMMYFUNCTION("""COMPUTED_VALUE"""),5281)</f>
        <v/>
      </c>
      <c r="O522" s="26" t="n"/>
    </row>
    <row r="523">
      <c r="A523" s="4">
        <f>IFERROR(__xludf.DUMMYFUNCTION("""COMPUTED_VALUE"""),0)</f>
        <v/>
      </c>
      <c r="O523" s="26" t="n"/>
    </row>
    <row r="524">
      <c r="A524" s="4">
        <f>IFERROR(__xludf.DUMMYFUNCTION("""COMPUTED_VALUE"""),37125.17)</f>
        <v/>
      </c>
      <c r="O524" s="26" t="n"/>
    </row>
    <row r="525">
      <c r="A525" s="6">
        <f>IFERROR(__xludf.DUMMYFUNCTION("""COMPUTED_VALUE"""),-28621.526193221)</f>
        <v/>
      </c>
      <c r="O525" s="26" t="n"/>
    </row>
    <row r="526">
      <c r="A526" s="4" t="n"/>
      <c r="O526" s="26" t="n"/>
    </row>
    <row r="527">
      <c r="A527" s="4" t="n"/>
      <c r="O527" s="26" t="n"/>
    </row>
    <row r="528">
      <c r="A528" s="4" t="n"/>
      <c r="O528" s="26" t="n"/>
    </row>
    <row r="529">
      <c r="A529" s="4" t="n"/>
      <c r="O529" s="26" t="n"/>
    </row>
    <row r="530">
      <c r="A530" s="4">
        <f>IFERROR(__xludf.DUMMYFUNCTION("""COMPUTED_VALUE"""),0)</f>
        <v/>
      </c>
      <c r="O530" s="26" t="n"/>
    </row>
    <row r="531">
      <c r="A531" s="4">
        <f>IFERROR(__xludf.DUMMYFUNCTION("""COMPUTED_VALUE"""),10158)</f>
        <v/>
      </c>
      <c r="O531" s="26" t="n"/>
    </row>
    <row r="532">
      <c r="A532" s="4">
        <f>IFERROR(__xludf.DUMMYFUNCTION("""COMPUTED_VALUE"""),4519.05)</f>
        <v/>
      </c>
      <c r="O532" s="26" t="n"/>
    </row>
    <row r="533">
      <c r="A533" s="4">
        <f>IFERROR(__xludf.DUMMYFUNCTION("""COMPUTED_VALUE"""),5297.38)</f>
        <v/>
      </c>
      <c r="O533" s="26" t="n"/>
    </row>
    <row r="534">
      <c r="A534" s="4">
        <f>IFERROR(__xludf.DUMMYFUNCTION("""COMPUTED_VALUE"""),7235)</f>
        <v/>
      </c>
      <c r="O534" s="26" t="n"/>
    </row>
    <row r="535">
      <c r="A535" s="6">
        <f>IFERROR(__xludf.DUMMYFUNCTION("""COMPUTED_VALUE"""),4944)</f>
        <v/>
      </c>
      <c r="O535" s="26" t="n"/>
    </row>
    <row r="536">
      <c r="A536" s="4">
        <f>IFERROR(__xludf.DUMMYFUNCTION("""COMPUTED_VALUE"""),6114)</f>
        <v/>
      </c>
      <c r="O536" s="26" t="n"/>
    </row>
    <row r="537">
      <c r="A537" s="4">
        <f>IFERROR(__xludf.DUMMYFUNCTION("""COMPUTED_VALUE"""),0)</f>
        <v/>
      </c>
      <c r="O537" s="26" t="n"/>
    </row>
    <row r="538">
      <c r="A538" s="4">
        <f>IFERROR(__xludf.DUMMYFUNCTION("""COMPUTED_VALUE"""),12119.66)</f>
        <v/>
      </c>
      <c r="O538" s="26" t="n"/>
    </row>
    <row r="539">
      <c r="A539" s="4">
        <f>IFERROR(__xludf.DUMMYFUNCTION("""COMPUTED_VALUE"""),5143)</f>
        <v/>
      </c>
      <c r="O539" s="26" t="n"/>
    </row>
    <row r="540">
      <c r="A540" s="4">
        <f>IFERROR(__xludf.DUMMYFUNCTION("""COMPUTED_VALUE"""),5166)</f>
        <v/>
      </c>
      <c r="O540" s="26" t="n"/>
    </row>
    <row r="541">
      <c r="A541" s="4">
        <f>IFERROR(__xludf.DUMMYFUNCTION("""COMPUTED_VALUE"""),60696.09)</f>
        <v/>
      </c>
      <c r="O541" s="26" t="n"/>
    </row>
    <row r="542">
      <c r="A542" s="6">
        <f>IFERROR(__xludf.DUMMYFUNCTION("""COMPUTED_VALUE"""),-3583.57548342151)</f>
        <v/>
      </c>
      <c r="O542" s="26" t="n"/>
    </row>
    <row r="543">
      <c r="A543" s="4" t="n"/>
      <c r="O543" s="26" t="n"/>
    </row>
    <row r="544">
      <c r="A544" s="4" t="n"/>
      <c r="O544" s="26" t="n"/>
    </row>
    <row r="545">
      <c r="A545" s="4" t="n"/>
      <c r="O545" s="26" t="n"/>
    </row>
    <row r="546">
      <c r="A546" s="4" t="n"/>
      <c r="O546" s="26" t="n"/>
    </row>
    <row r="547">
      <c r="A547" s="6">
        <f>IFERROR(__xludf.DUMMYFUNCTION("""COMPUTED_VALUE"""),5286)</f>
        <v/>
      </c>
      <c r="O547" s="26" t="n"/>
    </row>
    <row r="548">
      <c r="A548" s="6">
        <f>IFERROR(__xludf.DUMMYFUNCTION("""COMPUTED_VALUE"""),4012)</f>
        <v/>
      </c>
      <c r="O548" s="26" t="n"/>
    </row>
    <row r="549">
      <c r="A549" s="6">
        <f>IFERROR(__xludf.DUMMYFUNCTION("""COMPUTED_VALUE"""),4365.17)</f>
        <v/>
      </c>
      <c r="O549" s="26" t="n"/>
    </row>
    <row r="550">
      <c r="A550" s="6">
        <f>IFERROR(__xludf.DUMMYFUNCTION("""COMPUTED_VALUE"""),5177)</f>
        <v/>
      </c>
      <c r="O550" s="26" t="n"/>
    </row>
    <row r="551">
      <c r="A551" s="6">
        <f>IFERROR(__xludf.DUMMYFUNCTION("""COMPUTED_VALUE"""),5581.91)</f>
        <v/>
      </c>
      <c r="O551" s="26" t="n"/>
    </row>
    <row r="552">
      <c r="A552" s="6">
        <f>IFERROR(__xludf.DUMMYFUNCTION("""COMPUTED_VALUE"""),4841.04)</f>
        <v/>
      </c>
      <c r="O552" s="26" t="n"/>
    </row>
    <row r="553">
      <c r="A553" s="6">
        <f>IFERROR(__xludf.DUMMYFUNCTION("""COMPUTED_VALUE"""),6114)</f>
        <v/>
      </c>
      <c r="O553" s="26" t="n"/>
    </row>
    <row r="554">
      <c r="A554" s="6">
        <f>IFERROR(__xludf.DUMMYFUNCTION("""COMPUTED_VALUE"""),7245.47)</f>
        <v/>
      </c>
      <c r="O554" s="26" t="n"/>
    </row>
    <row r="555">
      <c r="A555" s="6">
        <f>IFERROR(__xludf.DUMMYFUNCTION("""COMPUTED_VALUE"""),5192.32)</f>
        <v/>
      </c>
      <c r="O555" s="26" t="n"/>
    </row>
    <row r="556">
      <c r="A556" s="6">
        <f>IFERROR(__xludf.DUMMYFUNCTION("""COMPUTED_VALUE"""),4894)</f>
        <v/>
      </c>
      <c r="O556" s="26" t="n"/>
    </row>
    <row r="557">
      <c r="A557" s="4">
        <f>IFERROR(__xludf.DUMMYFUNCTION("""COMPUTED_VALUE"""),4573)</f>
        <v/>
      </c>
      <c r="O557" s="26" t="n"/>
    </row>
    <row r="558">
      <c r="A558" s="4">
        <f>IFERROR(__xludf.DUMMYFUNCTION("""COMPUTED_VALUE"""),57281.9099999999)</f>
        <v/>
      </c>
      <c r="O558" s="26" t="n"/>
    </row>
    <row r="559">
      <c r="A559" s="6">
        <f>IFERROR(__xludf.DUMMYFUNCTION("""COMPUTED_VALUE"""),-5076.97557015961)</f>
        <v/>
      </c>
      <c r="O559" s="26" t="n"/>
    </row>
    <row r="560">
      <c r="A560" s="4" t="n"/>
      <c r="O560" s="26" t="n"/>
    </row>
    <row r="561">
      <c r="A561" s="4" t="n"/>
      <c r="O561" s="26" t="n"/>
    </row>
    <row r="562">
      <c r="A562" s="4" t="n"/>
      <c r="O562" s="26" t="n"/>
    </row>
    <row r="563">
      <c r="A563" s="4" t="n"/>
      <c r="O563" s="26" t="n"/>
    </row>
    <row r="564">
      <c r="A564" s="4">
        <f>IFERROR(__xludf.DUMMYFUNCTION("""COMPUTED_VALUE"""),21099)</f>
        <v/>
      </c>
      <c r="O564" s="26" t="n"/>
    </row>
    <row r="565">
      <c r="A565" s="6">
        <f>IFERROR(__xludf.DUMMYFUNCTION("""COMPUTED_VALUE"""),77099)</f>
        <v/>
      </c>
      <c r="O565" s="26" t="n"/>
    </row>
    <row r="566">
      <c r="A566" s="6">
        <f>IFERROR(__xludf.DUMMYFUNCTION("""COMPUTED_VALUE"""),0)</f>
        <v/>
      </c>
      <c r="O566" s="26" t="n"/>
    </row>
    <row r="567">
      <c r="A567" s="6">
        <f>IFERROR(__xludf.DUMMYFUNCTION("""COMPUTED_VALUE"""),15859)</f>
        <v/>
      </c>
      <c r="O567" s="26" t="n"/>
    </row>
    <row r="568">
      <c r="A568" s="6">
        <f>IFERROR(__xludf.DUMMYFUNCTION("""COMPUTED_VALUE"""),0)</f>
        <v/>
      </c>
      <c r="O568" s="26" t="n"/>
    </row>
    <row r="569">
      <c r="A569" s="6">
        <f>IFERROR(__xludf.DUMMYFUNCTION("""COMPUTED_VALUE"""),0)</f>
        <v/>
      </c>
      <c r="O569" s="26" t="n"/>
    </row>
    <row r="570">
      <c r="A570" s="6">
        <f>IFERROR(__xludf.DUMMYFUNCTION("""COMPUTED_VALUE"""),0)</f>
        <v/>
      </c>
      <c r="O570" s="26" t="n"/>
    </row>
    <row r="571">
      <c r="A571" s="6">
        <f>IFERROR(__xludf.DUMMYFUNCTION("""COMPUTED_VALUE"""),0)</f>
        <v/>
      </c>
      <c r="O571" s="26" t="n"/>
    </row>
    <row r="572">
      <c r="A572" s="6">
        <f>IFERROR(__xludf.DUMMYFUNCTION("""COMPUTED_VALUE"""),6231)</f>
        <v/>
      </c>
      <c r="O572" s="26" t="n"/>
    </row>
    <row r="573">
      <c r="A573" s="4">
        <f>IFERROR(__xludf.DUMMYFUNCTION("""COMPUTED_VALUE"""),5809.25)</f>
        <v/>
      </c>
      <c r="O573" s="26" t="n"/>
    </row>
    <row r="574">
      <c r="A574" s="6">
        <f>IFERROR(__xludf.DUMMYFUNCTION("""COMPUTED_VALUE"""),5814)</f>
        <v/>
      </c>
      <c r="O574" s="26" t="n"/>
    </row>
    <row r="575">
      <c r="A575" s="4">
        <f>IFERROR(__xludf.DUMMYFUNCTION("""COMPUTED_VALUE"""),131911.25)</f>
        <v/>
      </c>
      <c r="O575" s="26" t="n"/>
    </row>
    <row r="576">
      <c r="A576" s="6">
        <f>IFERROR(__xludf.DUMMYFUNCTION("""COMPUTED_VALUE"""),41865.0877122106)</f>
        <v/>
      </c>
      <c r="O576" s="26" t="n"/>
    </row>
    <row r="577">
      <c r="A577" s="4" t="n"/>
      <c r="O577" s="26" t="n"/>
    </row>
    <row r="578">
      <c r="A578" s="4" t="n"/>
      <c r="O578" s="26" t="n"/>
    </row>
    <row r="579">
      <c r="A579" s="4" t="n"/>
      <c r="O579" s="26" t="n"/>
    </row>
    <row r="580">
      <c r="A580" s="4" t="n"/>
      <c r="O580" s="26" t="n"/>
    </row>
    <row r="581">
      <c r="A581" s="4">
        <f>IFERROR(__xludf.DUMMYFUNCTION("""COMPUTED_VALUE"""),5553)</f>
        <v/>
      </c>
      <c r="O581" s="26" t="n"/>
    </row>
    <row r="582">
      <c r="A582" s="4">
        <f>IFERROR(__xludf.DUMMYFUNCTION("""COMPUTED_VALUE"""),44238.54)</f>
        <v/>
      </c>
      <c r="O582" s="26" t="n"/>
    </row>
    <row r="583">
      <c r="A583" s="4">
        <f>IFERROR(__xludf.DUMMYFUNCTION("""COMPUTED_VALUE"""),4573)</f>
        <v/>
      </c>
      <c r="O583" s="26" t="n"/>
    </row>
    <row r="584">
      <c r="A584" s="4">
        <f>IFERROR(__xludf.DUMMYFUNCTION("""COMPUTED_VALUE"""),5457)</f>
        <v/>
      </c>
      <c r="O584" s="26" t="n"/>
    </row>
    <row r="585">
      <c r="A585" s="4">
        <f>IFERROR(__xludf.DUMMYFUNCTION("""COMPUTED_VALUE"""),5457)</f>
        <v/>
      </c>
      <c r="O585" s="26" t="n"/>
    </row>
    <row r="586">
      <c r="A586" s="6">
        <f>IFERROR(__xludf.DUMMYFUNCTION("""COMPUTED_VALUE"""),4997)</f>
        <v/>
      </c>
      <c r="O586" s="26" t="n"/>
    </row>
    <row r="587">
      <c r="A587" s="4">
        <f>IFERROR(__xludf.DUMMYFUNCTION("""COMPUTED_VALUE"""),6231)</f>
        <v/>
      </c>
      <c r="O587" s="26" t="n"/>
    </row>
    <row r="588">
      <c r="A588" s="4">
        <f>IFERROR(__xludf.DUMMYFUNCTION("""COMPUTED_VALUE"""),6845)</f>
        <v/>
      </c>
      <c r="O588" s="26" t="n"/>
    </row>
    <row r="589">
      <c r="A589" s="4">
        <f>IFERROR(__xludf.DUMMYFUNCTION("""COMPUTED_VALUE"""),5130)</f>
        <v/>
      </c>
      <c r="O589" s="26" t="n"/>
    </row>
    <row r="590">
      <c r="A590" s="4">
        <f>IFERROR(__xludf.DUMMYFUNCTION("""COMPUTED_VALUE"""),5298)</f>
        <v/>
      </c>
      <c r="O590" s="26" t="n"/>
    </row>
    <row r="591">
      <c r="A591" s="4">
        <f>IFERROR(__xludf.DUMMYFUNCTION("""COMPUTED_VALUE"""),0)</f>
        <v/>
      </c>
      <c r="O591" s="26" t="n"/>
    </row>
    <row r="592">
      <c r="A592" s="4">
        <f>IFERROR(__xludf.DUMMYFUNCTION("""COMPUTED_VALUE"""),93779.54)</f>
        <v/>
      </c>
      <c r="O592" s="26" t="n"/>
    </row>
    <row r="593">
      <c r="A593" s="6">
        <f>IFERROR(__xludf.DUMMYFUNCTION("""COMPUTED_VALUE"""),29547.5097377091)</f>
        <v/>
      </c>
      <c r="O593" s="26" t="n"/>
    </row>
    <row r="594">
      <c r="A594" s="4" t="n"/>
      <c r="O594" s="26" t="n"/>
    </row>
    <row r="595">
      <c r="A595" s="4" t="n"/>
      <c r="O595" s="26" t="n"/>
    </row>
    <row r="596">
      <c r="A596" s="4" t="n"/>
      <c r="O596" s="26" t="n"/>
    </row>
    <row r="597">
      <c r="A597" s="4" t="n"/>
      <c r="O597" s="26" t="n"/>
    </row>
    <row r="598">
      <c r="A598" s="6">
        <f>IFERROR(__xludf.DUMMYFUNCTION("""COMPUTED_VALUE"""),6853)</f>
        <v/>
      </c>
      <c r="O598" s="26" t="n"/>
    </row>
    <row r="599">
      <c r="A599" s="6">
        <f>IFERROR(__xludf.DUMMYFUNCTION("""COMPUTED_VALUE"""),4897)</f>
        <v/>
      </c>
      <c r="O599" s="26" t="n"/>
    </row>
    <row r="600">
      <c r="A600" s="6">
        <f>IFERROR(__xludf.DUMMYFUNCTION("""COMPUTED_VALUE"""),4516)</f>
        <v/>
      </c>
      <c r="O600" s="26" t="n"/>
    </row>
    <row r="601">
      <c r="A601" s="6">
        <f>IFERROR(__xludf.DUMMYFUNCTION("""COMPUTED_VALUE"""),5290)</f>
        <v/>
      </c>
      <c r="O601" s="26" t="n"/>
    </row>
    <row r="602">
      <c r="A602" s="6">
        <f>IFERROR(__xludf.DUMMYFUNCTION("""COMPUTED_VALUE"""),5290)</f>
        <v/>
      </c>
      <c r="O602" s="26" t="n"/>
    </row>
    <row r="603">
      <c r="A603" s="6">
        <f>IFERROR(__xludf.DUMMYFUNCTION("""COMPUTED_VALUE"""),0)</f>
        <v/>
      </c>
      <c r="O603" s="26" t="n"/>
    </row>
    <row r="604">
      <c r="A604" s="6">
        <f>IFERROR(__xludf.DUMMYFUNCTION("""COMPUTED_VALUE"""),11751)</f>
        <v/>
      </c>
      <c r="O604" s="26" t="n"/>
    </row>
    <row r="605">
      <c r="A605" s="6">
        <f>IFERROR(__xludf.DUMMYFUNCTION("""COMPUTED_VALUE"""),0)</f>
        <v/>
      </c>
      <c r="O605" s="26" t="n"/>
    </row>
    <row r="606">
      <c r="A606" s="6">
        <f>IFERROR(__xludf.DUMMYFUNCTION("""COMPUTED_VALUE"""),0)</f>
        <v/>
      </c>
      <c r="O606" s="26" t="n"/>
    </row>
    <row r="607">
      <c r="A607" s="6">
        <f>IFERROR(__xludf.DUMMYFUNCTION("""COMPUTED_VALUE"""),0)</f>
        <v/>
      </c>
      <c r="O607" s="26" t="n"/>
    </row>
    <row r="608">
      <c r="A608" s="4">
        <f>IFERROR(__xludf.DUMMYFUNCTION("""COMPUTED_VALUE"""),5361)</f>
        <v/>
      </c>
      <c r="O608" s="26" t="n"/>
    </row>
    <row r="609">
      <c r="A609" s="4">
        <f>IFERROR(__xludf.DUMMYFUNCTION("""COMPUTED_VALUE"""),43958)</f>
        <v/>
      </c>
      <c r="O609" s="26" t="n"/>
    </row>
    <row r="610">
      <c r="A610" s="6">
        <f>IFERROR(__xludf.DUMMYFUNCTION("""COMPUTED_VALUE"""),-28363.7481615967)</f>
        <v/>
      </c>
      <c r="O610" s="26" t="n"/>
    </row>
    <row r="611">
      <c r="A611" s="4" t="n"/>
      <c r="O611" s="26" t="n"/>
    </row>
    <row r="612">
      <c r="A612" s="4" t="n"/>
      <c r="O612" s="26" t="n"/>
    </row>
    <row r="613">
      <c r="A613" s="4" t="n"/>
      <c r="O613" s="26" t="n"/>
    </row>
    <row r="614">
      <c r="A614" s="4" t="n"/>
      <c r="O614" s="26" t="n"/>
    </row>
    <row r="615">
      <c r="A615" s="4">
        <f>IFERROR(__xludf.DUMMYFUNCTION("""COMPUTED_VALUE"""),6314)</f>
        <v/>
      </c>
      <c r="O615" s="26" t="n"/>
    </row>
    <row r="616">
      <c r="A616" s="4">
        <f>IFERROR(__xludf.DUMMYFUNCTION("""COMPUTED_VALUE"""),0)</f>
        <v/>
      </c>
      <c r="O616" s="26" t="n"/>
    </row>
    <row r="617">
      <c r="A617" s="4">
        <f>IFERROR(__xludf.DUMMYFUNCTION("""COMPUTED_VALUE"""),0)</f>
        <v/>
      </c>
      <c r="O617" s="26" t="n"/>
    </row>
    <row r="618">
      <c r="A618" s="4">
        <f>IFERROR(__xludf.DUMMYFUNCTION("""COMPUTED_VALUE"""),5000)</f>
        <v/>
      </c>
      <c r="O618" s="26" t="n"/>
    </row>
    <row r="619">
      <c r="A619" s="4">
        <f>IFERROR(__xludf.DUMMYFUNCTION("""COMPUTED_VALUE"""),0)</f>
        <v/>
      </c>
      <c r="O619" s="26" t="n"/>
    </row>
    <row r="620">
      <c r="A620" s="6">
        <f>IFERROR(__xludf.DUMMYFUNCTION("""COMPUTED_VALUE"""),4935)</f>
        <v/>
      </c>
      <c r="O620" s="26" t="n"/>
    </row>
    <row r="621">
      <c r="A621" s="4">
        <f>IFERROR(__xludf.DUMMYFUNCTION("""COMPUTED_VALUE"""),0)</f>
        <v/>
      </c>
      <c r="O621" s="26" t="n"/>
    </row>
    <row r="622">
      <c r="A622" s="4">
        <f>IFERROR(__xludf.DUMMYFUNCTION("""COMPUTED_VALUE"""),6114)</f>
        <v/>
      </c>
      <c r="O622" s="26" t="n"/>
    </row>
    <row r="623">
      <c r="A623" s="4">
        <f>IFERROR(__xludf.DUMMYFUNCTION("""COMPUTED_VALUE"""),0)</f>
        <v/>
      </c>
      <c r="O623" s="26" t="n"/>
    </row>
    <row r="624">
      <c r="A624" s="4">
        <f>IFERROR(__xludf.DUMMYFUNCTION("""COMPUTED_VALUE"""),4892)</f>
        <v/>
      </c>
      <c r="O624" s="26" t="n"/>
    </row>
    <row r="625">
      <c r="A625" s="4">
        <f>IFERROR(__xludf.DUMMYFUNCTION("""COMPUTED_VALUE"""),4619)</f>
        <v/>
      </c>
      <c r="O625" s="26" t="n"/>
    </row>
    <row r="626">
      <c r="A626" s="4">
        <f>IFERROR(__xludf.DUMMYFUNCTION("""COMPUTED_VALUE"""),31874)</f>
        <v/>
      </c>
      <c r="O626" s="26" t="n"/>
    </row>
    <row r="627">
      <c r="A627" s="6">
        <f>IFERROR(__xludf.DUMMYFUNCTION("""COMPUTED_VALUE"""),-34060.5291895907)</f>
        <v/>
      </c>
      <c r="O627" s="26" t="n"/>
    </row>
    <row r="628">
      <c r="A628" s="4" t="n"/>
      <c r="O628" s="26" t="n"/>
    </row>
    <row r="629">
      <c r="A629" s="4" t="n"/>
      <c r="O629" s="26" t="n"/>
    </row>
    <row r="630">
      <c r="A630" s="4" t="n"/>
      <c r="O630" s="26" t="n"/>
    </row>
    <row r="631">
      <c r="A631" s="4" t="n"/>
      <c r="O631" s="26" t="n"/>
    </row>
    <row r="632">
      <c r="A632" s="4">
        <f>IFERROR(__xludf.DUMMYFUNCTION("""COMPUTED_VALUE"""),5320)</f>
        <v/>
      </c>
      <c r="O632" s="26" t="n"/>
    </row>
    <row r="633">
      <c r="A633" s="4">
        <f>IFERROR(__xludf.DUMMYFUNCTION("""COMPUTED_VALUE"""),0)</f>
        <v/>
      </c>
      <c r="O633" s="26" t="n"/>
    </row>
    <row r="634">
      <c r="A634" s="4">
        <f>IFERROR(__xludf.DUMMYFUNCTION("""COMPUTED_VALUE"""),0)</f>
        <v/>
      </c>
      <c r="O634" s="26" t="n"/>
    </row>
    <row r="635">
      <c r="A635" s="4">
        <f>IFERROR(__xludf.DUMMYFUNCTION("""COMPUTED_VALUE"""),0)</f>
        <v/>
      </c>
      <c r="O635" s="26" t="n"/>
    </row>
    <row r="636">
      <c r="A636" s="4">
        <f>IFERROR(__xludf.DUMMYFUNCTION("""COMPUTED_VALUE"""),15000)</f>
        <v/>
      </c>
      <c r="O636" s="26" t="n"/>
    </row>
    <row r="637">
      <c r="A637" s="4">
        <f>IFERROR(__xludf.DUMMYFUNCTION("""COMPUTED_VALUE"""),0)</f>
        <v/>
      </c>
      <c r="O637" s="26" t="n"/>
    </row>
    <row r="638">
      <c r="A638" s="4">
        <f>IFERROR(__xludf.DUMMYFUNCTION("""COMPUTED_VALUE"""),0)</f>
        <v/>
      </c>
      <c r="O638" s="26" t="n"/>
    </row>
    <row r="639">
      <c r="A639" s="4">
        <f>IFERROR(__xludf.DUMMYFUNCTION("""COMPUTED_VALUE"""),0)</f>
        <v/>
      </c>
      <c r="O639" s="26" t="n"/>
    </row>
    <row r="640">
      <c r="A640" s="4">
        <f>IFERROR(__xludf.DUMMYFUNCTION("""COMPUTED_VALUE"""),0)</f>
        <v/>
      </c>
      <c r="O640" s="26" t="n"/>
    </row>
    <row r="641">
      <c r="A641" s="4">
        <f>IFERROR(__xludf.DUMMYFUNCTION("""COMPUTED_VALUE"""),0)</f>
        <v/>
      </c>
      <c r="O641" s="26" t="n"/>
    </row>
    <row r="642">
      <c r="A642" s="4">
        <f>IFERROR(__xludf.DUMMYFUNCTION("""COMPUTED_VALUE"""),0)</f>
        <v/>
      </c>
      <c r="O642" s="26" t="n"/>
    </row>
    <row r="643">
      <c r="A643" s="4">
        <f>IFERROR(__xludf.DUMMYFUNCTION("""COMPUTED_VALUE"""),20320)</f>
        <v/>
      </c>
      <c r="O643" s="26" t="n"/>
    </row>
    <row r="644">
      <c r="A644" s="6">
        <f>IFERROR(__xludf.DUMMYFUNCTION("""COMPUTED_VALUE"""),-40782.0550871475)</f>
        <v/>
      </c>
      <c r="O644" s="26" t="n"/>
    </row>
    <row r="645">
      <c r="A645" s="4" t="n"/>
      <c r="O645" s="26" t="n"/>
    </row>
    <row r="646">
      <c r="A646" s="4" t="n"/>
      <c r="O646" s="26" t="n"/>
    </row>
    <row r="647">
      <c r="A647" s="4" t="n"/>
      <c r="O647" s="26" t="n"/>
    </row>
    <row r="648">
      <c r="A648" s="4" t="n"/>
      <c r="O648" s="26" t="n"/>
    </row>
    <row r="649">
      <c r="A649" s="6">
        <f>IFERROR(__xludf.DUMMYFUNCTION("""COMPUTED_VALUE"""),5402)</f>
        <v/>
      </c>
      <c r="O649" s="26" t="n"/>
    </row>
    <row r="650">
      <c r="A650" s="6">
        <f>IFERROR(__xludf.DUMMYFUNCTION("""COMPUTED_VALUE"""),4060)</f>
        <v/>
      </c>
      <c r="O650" s="26" t="n"/>
    </row>
    <row r="651">
      <c r="A651" s="6">
        <f>IFERROR(__xludf.DUMMYFUNCTION("""COMPUTED_VALUE"""),4378)</f>
        <v/>
      </c>
      <c r="O651" s="26" t="n"/>
    </row>
    <row r="652">
      <c r="A652" s="6">
        <f>IFERROR(__xludf.DUMMYFUNCTION("""COMPUTED_VALUE"""),5168)</f>
        <v/>
      </c>
      <c r="O652" s="26" t="n"/>
    </row>
    <row r="653">
      <c r="A653" s="6">
        <f>IFERROR(__xludf.DUMMYFUNCTION("""COMPUTED_VALUE"""),5168)</f>
        <v/>
      </c>
      <c r="O653" s="26" t="n"/>
    </row>
    <row r="654">
      <c r="A654" s="6">
        <f>IFERROR(__xludf.DUMMYFUNCTION("""COMPUTED_VALUE"""),4741)</f>
        <v/>
      </c>
      <c r="O654" s="26" t="n"/>
    </row>
    <row r="655">
      <c r="A655" s="4">
        <f>IFERROR(__xludf.DUMMYFUNCTION("""COMPUTED_VALUE"""),6114)</f>
        <v/>
      </c>
      <c r="O655" s="26" t="n"/>
    </row>
    <row r="656">
      <c r="A656" s="6">
        <f>IFERROR(__xludf.DUMMYFUNCTION("""COMPUTED_VALUE"""),6546)</f>
        <v/>
      </c>
      <c r="O656" s="26" t="n"/>
    </row>
    <row r="657">
      <c r="A657" s="6">
        <f>IFERROR(__xludf.DUMMYFUNCTION("""COMPUTED_VALUE"""),4800.13)</f>
        <v/>
      </c>
      <c r="O657" s="26" t="n"/>
    </row>
    <row r="658">
      <c r="A658" s="6">
        <f>IFERROR(__xludf.DUMMYFUNCTION("""COMPUTED_VALUE"""),5272)</f>
        <v/>
      </c>
      <c r="O658" s="26" t="n"/>
    </row>
    <row r="659">
      <c r="A659" s="4">
        <f>IFERROR(__xludf.DUMMYFUNCTION("""COMPUTED_VALUE"""),4875)</f>
        <v/>
      </c>
      <c r="O659" s="26" t="n"/>
    </row>
    <row r="660">
      <c r="A660" s="4">
        <f>IFERROR(__xludf.DUMMYFUNCTION("""COMPUTED_VALUE"""),56524.13)</f>
        <v/>
      </c>
      <c r="O660" s="26" t="n"/>
    </row>
    <row r="661">
      <c r="A661" s="6">
        <f>IFERROR(__xludf.DUMMYFUNCTION("""COMPUTED_VALUE"""),-5330.37342170197)</f>
        <v/>
      </c>
      <c r="O661" s="26" t="n"/>
    </row>
    <row r="662">
      <c r="A662" s="4" t="n"/>
      <c r="O662" s="26" t="n"/>
    </row>
    <row r="663">
      <c r="A663" s="4" t="n"/>
      <c r="O663" s="26" t="n"/>
    </row>
    <row r="664">
      <c r="A664" s="4" t="n"/>
      <c r="O664" s="26" t="n"/>
    </row>
    <row r="665">
      <c r="A665" s="4" t="n"/>
      <c r="O665" s="26" t="n"/>
    </row>
    <row r="666">
      <c r="A666" s="6">
        <f>IFERROR(__xludf.DUMMYFUNCTION("""COMPUTED_VALUE"""),5431)</f>
        <v/>
      </c>
      <c r="O666" s="26" t="n"/>
    </row>
    <row r="667">
      <c r="A667" s="6">
        <f>IFERROR(__xludf.DUMMYFUNCTION("""COMPUTED_VALUE"""),4838)</f>
        <v/>
      </c>
      <c r="O667" s="26" t="n"/>
    </row>
    <row r="668">
      <c r="A668" s="6">
        <f>IFERROR(__xludf.DUMMYFUNCTION("""COMPUTED_VALUE"""),5922.86)</f>
        <v/>
      </c>
      <c r="O668" s="26" t="n"/>
    </row>
    <row r="669">
      <c r="A669" s="6">
        <f>IFERROR(__xludf.DUMMYFUNCTION("""COMPUTED_VALUE"""),6830.03)</f>
        <v/>
      </c>
      <c r="O669" s="26" t="n"/>
    </row>
    <row r="670">
      <c r="A670" s="6">
        <f>IFERROR(__xludf.DUMMYFUNCTION("""COMPUTED_VALUE"""),6981.26)</f>
        <v/>
      </c>
      <c r="O670" s="26" t="n"/>
    </row>
    <row r="671">
      <c r="A671" s="6">
        <f>IFERROR(__xludf.DUMMYFUNCTION("""COMPUTED_VALUE"""),5862.45)</f>
        <v/>
      </c>
      <c r="O671" s="26" t="n"/>
    </row>
    <row r="672">
      <c r="A672" s="6">
        <f>IFERROR(__xludf.DUMMYFUNCTION("""COMPUTED_VALUE"""),6114)</f>
        <v/>
      </c>
      <c r="O672" s="26" t="n"/>
    </row>
    <row r="673">
      <c r="A673" s="6">
        <f>IFERROR(__xludf.DUMMYFUNCTION("""COMPUTED_VALUE"""),7947.89)</f>
        <v/>
      </c>
      <c r="O673" s="26" t="n"/>
    </row>
    <row r="674">
      <c r="A674" s="6">
        <f>IFERROR(__xludf.DUMMYFUNCTION("""COMPUTED_VALUE"""),6131.54)</f>
        <v/>
      </c>
      <c r="O674" s="26" t="n"/>
    </row>
    <row r="675">
      <c r="A675" s="6">
        <f>IFERROR(__xludf.DUMMYFUNCTION("""COMPUTED_VALUE"""),0)</f>
        <v/>
      </c>
      <c r="O675" s="26" t="n"/>
    </row>
    <row r="676">
      <c r="A676" s="4">
        <f>IFERROR(__xludf.DUMMYFUNCTION("""COMPUTED_VALUE"""),11302)</f>
        <v/>
      </c>
      <c r="O676" s="26" t="n"/>
    </row>
    <row r="677">
      <c r="A677" s="4">
        <f>IFERROR(__xludf.DUMMYFUNCTION("""COMPUTED_VALUE"""),67361.03)</f>
        <v/>
      </c>
      <c r="O677" s="26" t="n"/>
    </row>
    <row r="678">
      <c r="A678" s="6">
        <f>IFERROR(__xludf.DUMMYFUNCTION("""COMPUTED_VALUE"""),-9022.6744377408)</f>
        <v/>
      </c>
      <c r="O678" s="26" t="n"/>
    </row>
    <row r="679">
      <c r="A679" s="4" t="n"/>
      <c r="O679" s="26" t="n"/>
    </row>
    <row r="680">
      <c r="A680" s="4" t="n"/>
      <c r="O680" s="26" t="n"/>
    </row>
    <row r="681">
      <c r="A681" s="4" t="n"/>
      <c r="O681" s="26" t="n"/>
    </row>
    <row r="682">
      <c r="A682" s="4" t="n"/>
      <c r="O682" s="26" t="n"/>
    </row>
    <row r="683">
      <c r="A683" s="6">
        <f>IFERROR(__xludf.DUMMYFUNCTION("""COMPUTED_VALUE"""),11712)</f>
        <v/>
      </c>
      <c r="O683" s="26" t="n"/>
    </row>
    <row r="684">
      <c r="A684" s="6">
        <f>IFERROR(__xludf.DUMMYFUNCTION("""COMPUTED_VALUE"""),5025)</f>
        <v/>
      </c>
      <c r="O684" s="26" t="n"/>
    </row>
    <row r="685">
      <c r="A685" s="6">
        <f>IFERROR(__xludf.DUMMYFUNCTION("""COMPUTED_VALUE"""),5000)</f>
        <v/>
      </c>
      <c r="O685" s="26" t="n"/>
    </row>
    <row r="686">
      <c r="A686" s="6">
        <f>IFERROR(__xludf.DUMMYFUNCTION("""COMPUTED_VALUE"""),5500)</f>
        <v/>
      </c>
      <c r="O686" s="26" t="n"/>
    </row>
    <row r="687">
      <c r="A687" s="6">
        <f>IFERROR(__xludf.DUMMYFUNCTION("""COMPUTED_VALUE"""),6000)</f>
        <v/>
      </c>
      <c r="O687" s="26" t="n"/>
    </row>
    <row r="688">
      <c r="A688" s="6">
        <f>IFERROR(__xludf.DUMMYFUNCTION("""COMPUTED_VALUE"""),5205)</f>
        <v/>
      </c>
      <c r="O688" s="26" t="n"/>
    </row>
    <row r="689">
      <c r="A689" s="6">
        <f>IFERROR(__xludf.DUMMYFUNCTION("""COMPUTED_VALUE"""),6240)</f>
        <v/>
      </c>
      <c r="O689" s="26" t="n"/>
    </row>
    <row r="690">
      <c r="A690" s="6">
        <f>IFERROR(__xludf.DUMMYFUNCTION("""COMPUTED_VALUE"""),7602)</f>
        <v/>
      </c>
      <c r="O690" s="26" t="n"/>
    </row>
    <row r="691">
      <c r="A691" s="6">
        <f>IFERROR(__xludf.DUMMYFUNCTION("""COMPUTED_VALUE"""),5300)</f>
        <v/>
      </c>
      <c r="O691" s="26" t="n"/>
    </row>
    <row r="692">
      <c r="A692" s="6">
        <f>IFERROR(__xludf.DUMMYFUNCTION("""COMPUTED_VALUE"""),5520)</f>
        <v/>
      </c>
      <c r="O692" s="26" t="n"/>
    </row>
    <row r="693">
      <c r="A693" s="4">
        <f>IFERROR(__xludf.DUMMYFUNCTION("""COMPUTED_VALUE"""),5500)</f>
        <v/>
      </c>
      <c r="O693" s="26" t="n"/>
    </row>
    <row r="694">
      <c r="A694" s="4">
        <f>IFERROR(__xludf.DUMMYFUNCTION("""COMPUTED_VALUE"""),68604)</f>
        <v/>
      </c>
      <c r="O694" s="26" t="n"/>
    </row>
    <row r="695">
      <c r="A695" s="6">
        <f>IFERROR(__xludf.DUMMYFUNCTION("""COMPUTED_VALUE"""),-87.7851766557432)</f>
        <v/>
      </c>
      <c r="O695" s="26" t="n"/>
    </row>
    <row r="696">
      <c r="A696" s="4" t="n"/>
      <c r="O696" s="26" t="n"/>
    </row>
    <row r="697">
      <c r="A697" s="4" t="n"/>
      <c r="O697" s="26" t="n"/>
    </row>
    <row r="698">
      <c r="A698" s="4" t="n"/>
      <c r="O698" s="26" t="n"/>
    </row>
    <row r="699">
      <c r="A699" s="4" t="n"/>
      <c r="O699" s="26" t="n"/>
    </row>
    <row r="700">
      <c r="A700" s="6">
        <f>IFERROR(__xludf.DUMMYFUNCTION("""COMPUTED_VALUE"""),0)</f>
        <v/>
      </c>
      <c r="O700" s="26" t="n"/>
    </row>
    <row r="701">
      <c r="A701" s="6">
        <f>IFERROR(__xludf.DUMMYFUNCTION("""COMPUTED_VALUE"""),0)</f>
        <v/>
      </c>
      <c r="O701" s="26" t="n"/>
    </row>
    <row r="702">
      <c r="A702" s="6">
        <f>IFERROR(__xludf.DUMMYFUNCTION("""COMPUTED_VALUE"""),0)</f>
        <v/>
      </c>
      <c r="O702" s="26" t="n"/>
    </row>
    <row r="703">
      <c r="A703" s="6">
        <f>IFERROR(__xludf.DUMMYFUNCTION("""COMPUTED_VALUE"""),0)</f>
        <v/>
      </c>
      <c r="O703" s="26" t="n"/>
    </row>
    <row r="704">
      <c r="A704" s="6">
        <f>IFERROR(__xludf.DUMMYFUNCTION("""COMPUTED_VALUE"""),0)</f>
        <v/>
      </c>
      <c r="O704" s="26" t="n"/>
    </row>
    <row r="705">
      <c r="A705" s="6">
        <f>IFERROR(__xludf.DUMMYFUNCTION("""COMPUTED_VALUE"""),0)</f>
        <v/>
      </c>
      <c r="O705" s="26" t="n"/>
    </row>
    <row r="706">
      <c r="A706" s="6">
        <f>IFERROR(__xludf.DUMMYFUNCTION("""COMPUTED_VALUE"""),0)</f>
        <v/>
      </c>
      <c r="O706" s="26" t="n"/>
    </row>
    <row r="707">
      <c r="A707" s="6">
        <f>IFERROR(__xludf.DUMMYFUNCTION("""COMPUTED_VALUE"""),0)</f>
        <v/>
      </c>
      <c r="O707" s="26" t="n"/>
    </row>
    <row r="708">
      <c r="A708" s="6">
        <f>IFERROR(__xludf.DUMMYFUNCTION("""COMPUTED_VALUE"""),0)</f>
        <v/>
      </c>
      <c r="O708" s="26" t="n"/>
    </row>
    <row r="709">
      <c r="A709" s="6">
        <f>IFERROR(__xludf.DUMMYFUNCTION("""COMPUTED_VALUE"""),0)</f>
        <v/>
      </c>
      <c r="O709" s="26" t="n"/>
    </row>
    <row r="710">
      <c r="A710" s="4">
        <f>IFERROR(__xludf.DUMMYFUNCTION("""COMPUTED_VALUE"""),0)</f>
        <v/>
      </c>
      <c r="O710" s="26" t="n"/>
    </row>
    <row r="711">
      <c r="A711" s="4">
        <f>IFERROR(__xludf.DUMMYFUNCTION("""COMPUTED_VALUE"""),0)</f>
        <v/>
      </c>
      <c r="O711" s="26" t="n"/>
    </row>
    <row r="712">
      <c r="A712" s="6">
        <f>IFERROR(__xludf.DUMMYFUNCTION("""COMPUTED_VALUE"""),-60862.5042879126)</f>
        <v/>
      </c>
      <c r="O712" s="26" t="n"/>
    </row>
    <row r="713">
      <c r="A713" s="4" t="n"/>
      <c r="O713" s="26" t="n"/>
    </row>
    <row r="714">
      <c r="A714" s="4" t="n"/>
      <c r="O714" s="26" t="n"/>
    </row>
    <row r="715">
      <c r="A715" s="4" t="n"/>
      <c r="O715" s="26" t="n"/>
    </row>
    <row r="716">
      <c r="A716" s="4" t="n"/>
      <c r="O716" s="26" t="n"/>
    </row>
    <row r="717">
      <c r="A717" s="4">
        <f>IFERROR(__xludf.DUMMYFUNCTION("""COMPUTED_VALUE"""),5330)</f>
        <v/>
      </c>
      <c r="O717" s="26" t="n"/>
    </row>
    <row r="718">
      <c r="A718" s="4">
        <f>IFERROR(__xludf.DUMMYFUNCTION("""COMPUTED_VALUE"""),4348)</f>
        <v/>
      </c>
      <c r="O718" s="26" t="n"/>
    </row>
    <row r="719">
      <c r="A719" s="4">
        <f>IFERROR(__xludf.DUMMYFUNCTION("""COMPUTED_VALUE"""),5000)</f>
        <v/>
      </c>
      <c r="O719" s="26" t="n"/>
    </row>
    <row r="720">
      <c r="A720" s="4">
        <f>IFERROR(__xludf.DUMMYFUNCTION("""COMPUTED_VALUE"""),5000)</f>
        <v/>
      </c>
      <c r="O720" s="26" t="n"/>
    </row>
    <row r="721">
      <c r="A721" s="4">
        <f>IFERROR(__xludf.DUMMYFUNCTION("""COMPUTED_VALUE"""),37546)</f>
        <v/>
      </c>
      <c r="O721" s="26" t="n"/>
    </row>
    <row r="722">
      <c r="A722" s="6">
        <f>IFERROR(__xludf.DUMMYFUNCTION("""COMPUTED_VALUE"""),5151)</f>
        <v/>
      </c>
      <c r="O722" s="26" t="n"/>
    </row>
    <row r="723">
      <c r="A723" s="4">
        <f>IFERROR(__xludf.DUMMYFUNCTION("""COMPUTED_VALUE"""),6114)</f>
        <v/>
      </c>
      <c r="O723" s="26" t="n"/>
    </row>
    <row r="724">
      <c r="A724" s="4">
        <f>IFERROR(__xludf.DUMMYFUNCTION("""COMPUTED_VALUE"""),7274)</f>
        <v/>
      </c>
      <c r="O724" s="26" t="n"/>
    </row>
    <row r="725">
      <c r="A725" s="4">
        <f>IFERROR(__xludf.DUMMYFUNCTION("""COMPUTED_VALUE"""),5501)</f>
        <v/>
      </c>
      <c r="O725" s="26" t="n"/>
    </row>
    <row r="726">
      <c r="A726" s="4">
        <f>IFERROR(__xludf.DUMMYFUNCTION("""COMPUTED_VALUE"""),5070)</f>
        <v/>
      </c>
      <c r="O726" s="26" t="n"/>
    </row>
    <row r="727">
      <c r="A727" s="4">
        <f>IFERROR(__xludf.DUMMYFUNCTION("""COMPUTED_VALUE"""),5056)</f>
        <v/>
      </c>
      <c r="O727" s="26" t="n"/>
    </row>
    <row r="728">
      <c r="A728" s="4">
        <f>IFERROR(__xludf.DUMMYFUNCTION("""COMPUTED_VALUE"""),91390)</f>
        <v/>
      </c>
      <c r="O728" s="26" t="n"/>
    </row>
    <row r="729">
      <c r="A729" s="6">
        <f>IFERROR(__xludf.DUMMYFUNCTION("""COMPUTED_VALUE"""),24752.7803768144)</f>
        <v/>
      </c>
      <c r="O729" s="26" t="n"/>
    </row>
    <row r="730">
      <c r="A730" s="4" t="n"/>
      <c r="O730" s="26" t="n"/>
    </row>
    <row r="731">
      <c r="A731" s="4" t="n"/>
      <c r="O731" s="26" t="n"/>
    </row>
    <row r="732">
      <c r="A732" s="4" t="n"/>
      <c r="O732" s="26" t="n"/>
    </row>
    <row r="733">
      <c r="A733" s="4" t="n"/>
      <c r="O733" s="26" t="n"/>
    </row>
    <row r="734">
      <c r="A734" s="6">
        <f>IFERROR(__xludf.DUMMYFUNCTION("""COMPUTED_VALUE"""),0)</f>
        <v/>
      </c>
      <c r="O734" s="26" t="n"/>
    </row>
    <row r="735">
      <c r="A735" s="6">
        <f>IFERROR(__xludf.DUMMYFUNCTION("""COMPUTED_VALUE"""),11151)</f>
        <v/>
      </c>
      <c r="O735" s="26" t="n"/>
    </row>
    <row r="736">
      <c r="A736" s="6">
        <f>IFERROR(__xludf.DUMMYFUNCTION("""COMPUTED_VALUE"""),5119)</f>
        <v/>
      </c>
      <c r="O736" s="26" t="n"/>
    </row>
    <row r="737">
      <c r="A737" s="6">
        <f>IFERROR(__xludf.DUMMYFUNCTION("""COMPUTED_VALUE"""),5905)</f>
        <v/>
      </c>
      <c r="O737" s="26" t="n"/>
    </row>
    <row r="738">
      <c r="A738" s="6">
        <f>IFERROR(__xludf.DUMMYFUNCTION("""COMPUTED_VALUE"""),5905)</f>
        <v/>
      </c>
      <c r="O738" s="26" t="n"/>
    </row>
    <row r="739">
      <c r="A739" s="6">
        <f>IFERROR(__xludf.DUMMYFUNCTION("""COMPUTED_VALUE"""),0)</f>
        <v/>
      </c>
      <c r="O739" s="26" t="n"/>
    </row>
    <row r="740">
      <c r="A740" s="6">
        <f>IFERROR(__xludf.DUMMYFUNCTION("""COMPUTED_VALUE"""),11349)</f>
        <v/>
      </c>
      <c r="O740" s="26" t="n"/>
    </row>
    <row r="741">
      <c r="A741" s="6">
        <f>IFERROR(__xludf.DUMMYFUNCTION("""COMPUTED_VALUE"""),6798.85)</f>
        <v/>
      </c>
      <c r="O741" s="26" t="n"/>
    </row>
    <row r="742">
      <c r="A742" s="6">
        <f>IFERROR(__xludf.DUMMYFUNCTION("""COMPUTED_VALUE"""),5897.24)</f>
        <v/>
      </c>
      <c r="O742" s="26" t="n"/>
    </row>
    <row r="743">
      <c r="A743" s="6">
        <f>IFERROR(__xludf.DUMMYFUNCTION("""COMPUTED_VALUE"""),0)</f>
        <v/>
      </c>
      <c r="O743" s="26" t="n"/>
    </row>
    <row r="744">
      <c r="A744" s="4">
        <f>IFERROR(__xludf.DUMMYFUNCTION("""COMPUTED_VALUE"""),0)</f>
        <v/>
      </c>
      <c r="O744" s="26" t="n"/>
    </row>
    <row r="745">
      <c r="A745" s="4">
        <f>IFERROR(__xludf.DUMMYFUNCTION("""COMPUTED_VALUE"""),52125.09)</f>
        <v/>
      </c>
      <c r="O745" s="26" t="n"/>
    </row>
    <row r="746">
      <c r="A746" s="6">
        <f>IFERROR(__xludf.DUMMYFUNCTION("""COMPUTED_VALUE"""),-16571.5580492877)</f>
        <v/>
      </c>
      <c r="O746" s="26" t="n"/>
    </row>
    <row r="747">
      <c r="A747" s="4" t="n"/>
      <c r="O747" s="26" t="n"/>
    </row>
    <row r="748">
      <c r="A748" s="4" t="n"/>
      <c r="O748" s="26" t="n"/>
    </row>
    <row r="749">
      <c r="A749" s="4" t="n"/>
      <c r="O749" s="26" t="n"/>
    </row>
    <row r="750">
      <c r="A750" s="4" t="n"/>
      <c r="O750" s="26" t="n"/>
    </row>
    <row r="751">
      <c r="A751" s="4">
        <f>IFERROR(__xludf.DUMMYFUNCTION("""COMPUTED_VALUE"""),5665)</f>
        <v/>
      </c>
      <c r="O751" s="26" t="n"/>
    </row>
    <row r="752">
      <c r="A752" s="4">
        <f>IFERROR(__xludf.DUMMYFUNCTION("""COMPUTED_VALUE"""),4439)</f>
        <v/>
      </c>
      <c r="O752" s="26" t="n"/>
    </row>
    <row r="753">
      <c r="A753" s="4">
        <f>IFERROR(__xludf.DUMMYFUNCTION("""COMPUTED_VALUE"""),4778.53)</f>
        <v/>
      </c>
      <c r="O753" s="26" t="n"/>
    </row>
    <row r="754">
      <c r="A754" s="4">
        <f>IFERROR(__xludf.DUMMYFUNCTION("""COMPUTED_VALUE"""),0)</f>
        <v/>
      </c>
      <c r="O754" s="26" t="n"/>
    </row>
    <row r="755">
      <c r="A755" s="4">
        <f>IFERROR(__xludf.DUMMYFUNCTION("""COMPUTED_VALUE"""),11550.33)</f>
        <v/>
      </c>
      <c r="O755" s="26" t="n"/>
    </row>
    <row r="756">
      <c r="A756" s="6">
        <f>IFERROR(__xludf.DUMMYFUNCTION("""COMPUTED_VALUE"""),5067)</f>
        <v/>
      </c>
      <c r="O756" s="26" t="n"/>
    </row>
    <row r="757">
      <c r="A757" s="4">
        <f>IFERROR(__xludf.DUMMYFUNCTION("""COMPUTED_VALUE"""),0)</f>
        <v/>
      </c>
      <c r="O757" s="26" t="n"/>
    </row>
    <row r="758">
      <c r="A758" s="4">
        <f>IFERROR(__xludf.DUMMYFUNCTION("""COMPUTED_VALUE"""),13166.98)</f>
        <v/>
      </c>
      <c r="O758" s="26" t="n"/>
    </row>
    <row r="759">
      <c r="A759" s="4">
        <f>IFERROR(__xludf.DUMMYFUNCTION("""COMPUTED_VALUE"""),0)</f>
        <v/>
      </c>
      <c r="O759" s="26" t="n"/>
    </row>
    <row r="760">
      <c r="A760" s="4">
        <f>IFERROR(__xludf.DUMMYFUNCTION("""COMPUTED_VALUE"""),5025.21)</f>
        <v/>
      </c>
      <c r="O760" s="26" t="n"/>
    </row>
    <row r="761">
      <c r="A761" s="4">
        <f>IFERROR(__xludf.DUMMYFUNCTION("""COMPUTED_VALUE"""),9444)</f>
        <v/>
      </c>
      <c r="O761" s="26" t="n"/>
    </row>
    <row r="762">
      <c r="A762" s="4">
        <f>IFERROR(__xludf.DUMMYFUNCTION("""COMPUTED_VALUE"""),59136.0499999999)</f>
        <v/>
      </c>
      <c r="O762" s="26" t="n"/>
    </row>
    <row r="763">
      <c r="A763" s="6">
        <f>IFERROR(__xludf.DUMMYFUNCTION("""COMPUTED_VALUE"""),-5023.48359795369)</f>
        <v/>
      </c>
      <c r="O763" s="26" t="n"/>
    </row>
    <row r="764">
      <c r="A764" s="4" t="n"/>
      <c r="O764" s="26" t="n"/>
    </row>
    <row r="765">
      <c r="A765" s="4" t="n"/>
      <c r="O765" s="26" t="n"/>
    </row>
    <row r="766">
      <c r="A766" s="4" t="n"/>
      <c r="O766" s="26" t="n"/>
    </row>
    <row r="767">
      <c r="A767" s="4" t="n"/>
      <c r="O767" s="26" t="n"/>
    </row>
    <row r="768">
      <c r="A768" s="4">
        <f>IFERROR(__xludf.DUMMYFUNCTION("""COMPUTED_VALUE"""),0)</f>
        <v/>
      </c>
      <c r="O768" s="26" t="n"/>
    </row>
    <row r="769">
      <c r="A769" s="4">
        <f>IFERROR(__xludf.DUMMYFUNCTION("""COMPUTED_VALUE"""),0)</f>
        <v/>
      </c>
      <c r="O769" s="26" t="n"/>
    </row>
    <row r="770">
      <c r="A770" s="4">
        <f>IFERROR(__xludf.DUMMYFUNCTION("""COMPUTED_VALUE"""),0)</f>
        <v/>
      </c>
      <c r="O770" s="26" t="n"/>
    </row>
    <row r="771">
      <c r="A771" s="4">
        <f>IFERROR(__xludf.DUMMYFUNCTION("""COMPUTED_VALUE"""),10000)</f>
        <v/>
      </c>
      <c r="O771" s="26" t="n"/>
    </row>
    <row r="772">
      <c r="A772" s="4">
        <f>IFERROR(__xludf.DUMMYFUNCTION("""COMPUTED_VALUE"""),0)</f>
        <v/>
      </c>
      <c r="O772" s="26" t="n"/>
    </row>
    <row r="773">
      <c r="A773" s="4">
        <f>IFERROR(__xludf.DUMMYFUNCTION("""COMPUTED_VALUE"""),17240)</f>
        <v/>
      </c>
      <c r="O773" s="26" t="n"/>
    </row>
    <row r="774">
      <c r="A774" s="4">
        <f>IFERROR(__xludf.DUMMYFUNCTION("""COMPUTED_VALUE"""),0)</f>
        <v/>
      </c>
      <c r="O774" s="26" t="n"/>
    </row>
    <row r="775">
      <c r="A775" s="4">
        <f>IFERROR(__xludf.DUMMYFUNCTION("""COMPUTED_VALUE"""),0)</f>
        <v/>
      </c>
      <c r="O775" s="26" t="n"/>
    </row>
    <row r="776">
      <c r="A776" s="4">
        <f>IFERROR(__xludf.DUMMYFUNCTION("""COMPUTED_VALUE"""),23264)</f>
        <v/>
      </c>
      <c r="O776" s="26" t="n"/>
    </row>
    <row r="777">
      <c r="A777" s="4">
        <f>IFERROR(__xludf.DUMMYFUNCTION("""COMPUTED_VALUE"""),0)</f>
        <v/>
      </c>
      <c r="O777" s="26" t="n"/>
    </row>
    <row r="778">
      <c r="A778" s="4">
        <f>IFERROR(__xludf.DUMMYFUNCTION("""COMPUTED_VALUE"""),0)</f>
        <v/>
      </c>
      <c r="O778" s="26" t="n"/>
    </row>
    <row r="779">
      <c r="A779" s="4">
        <f>IFERROR(__xludf.DUMMYFUNCTION("""COMPUTED_VALUE"""),50504)</f>
        <v/>
      </c>
      <c r="O779" s="26" t="n"/>
    </row>
    <row r="780">
      <c r="A780" s="6">
        <f>IFERROR(__xludf.DUMMYFUNCTION("""COMPUTED_VALUE"""),-14394.4863152417)</f>
        <v/>
      </c>
      <c r="O780" s="26" t="n"/>
    </row>
    <row r="781">
      <c r="A781" s="4" t="n"/>
      <c r="O781" s="26" t="n"/>
    </row>
    <row r="782">
      <c r="A782" s="4" t="n"/>
      <c r="O782" s="26" t="n"/>
    </row>
    <row r="783">
      <c r="A783" s="4" t="n"/>
      <c r="O783" s="26" t="n"/>
    </row>
    <row r="784">
      <c r="A784" s="4" t="n"/>
      <c r="O784" s="26" t="n"/>
    </row>
    <row r="785">
      <c r="A785" s="6">
        <f>IFERROR(__xludf.DUMMYFUNCTION("""COMPUTED_VALUE"""),7056)</f>
        <v/>
      </c>
      <c r="O785" s="26" t="n"/>
    </row>
    <row r="786">
      <c r="A786" s="6">
        <f>IFERROR(__xludf.DUMMYFUNCTION("""COMPUTED_VALUE"""),0)</f>
        <v/>
      </c>
      <c r="O786" s="26" t="n"/>
    </row>
    <row r="787">
      <c r="A787" s="6">
        <f>IFERROR(__xludf.DUMMYFUNCTION("""COMPUTED_VALUE"""),9919)</f>
        <v/>
      </c>
      <c r="O787" s="26" t="n"/>
    </row>
    <row r="788">
      <c r="A788" s="6">
        <f>IFERROR(__xludf.DUMMYFUNCTION("""COMPUTED_VALUE"""),6502)</f>
        <v/>
      </c>
      <c r="O788" s="26" t="n"/>
    </row>
    <row r="789">
      <c r="A789" s="6">
        <f>IFERROR(__xludf.DUMMYFUNCTION("""COMPUTED_VALUE"""),6788)</f>
        <v/>
      </c>
      <c r="O789" s="26" t="n"/>
    </row>
    <row r="790">
      <c r="A790" s="6">
        <f>IFERROR(__xludf.DUMMYFUNCTION("""COMPUTED_VALUE"""),6032)</f>
        <v/>
      </c>
      <c r="O790" s="26" t="n"/>
    </row>
    <row r="791">
      <c r="A791" s="4">
        <f>IFERROR(__xludf.DUMMYFUNCTION("""COMPUTED_VALUE"""),0)</f>
        <v/>
      </c>
      <c r="O791" s="26" t="n"/>
    </row>
    <row r="792">
      <c r="A792" s="6">
        <f>IFERROR(__xludf.DUMMYFUNCTION("""COMPUTED_VALUE"""),6231)</f>
        <v/>
      </c>
      <c r="O792" s="26" t="n"/>
    </row>
    <row r="793">
      <c r="A793" s="6">
        <f>IFERROR(__xludf.DUMMYFUNCTION("""COMPUTED_VALUE"""),6329)</f>
        <v/>
      </c>
      <c r="O793" s="26" t="n"/>
    </row>
    <row r="794">
      <c r="A794" s="4">
        <f>IFERROR(__xludf.DUMMYFUNCTION("""COMPUTED_VALUE"""),0)</f>
        <v/>
      </c>
      <c r="O794" s="26" t="n"/>
    </row>
    <row r="795">
      <c r="A795" s="6">
        <f>IFERROR(__xludf.DUMMYFUNCTION("""COMPUTED_VALUE"""),5919)</f>
        <v/>
      </c>
      <c r="O795" s="26" t="n"/>
    </row>
    <row r="796">
      <c r="A796" s="4">
        <f>IFERROR(__xludf.DUMMYFUNCTION("""COMPUTED_VALUE"""),54776)</f>
        <v/>
      </c>
      <c r="O796" s="26" t="n"/>
    </row>
    <row r="797">
      <c r="A797" s="6">
        <f>IFERROR(__xludf.DUMMYFUNCTION("""COMPUTED_VALUE"""),-22238.0545577905)</f>
        <v/>
      </c>
      <c r="O797" s="26" t="n"/>
    </row>
    <row r="798">
      <c r="A798" s="4" t="n"/>
      <c r="O798" s="26" t="n"/>
    </row>
    <row r="799">
      <c r="A799" s="4" t="n"/>
      <c r="O799" s="26" t="n"/>
    </row>
    <row r="800">
      <c r="A800" s="4" t="n"/>
      <c r="O800" s="26" t="n"/>
    </row>
    <row r="801">
      <c r="A801" s="4" t="n"/>
      <c r="O801" s="26" t="n"/>
    </row>
    <row r="802">
      <c r="A802" s="4">
        <f>IFERROR(__xludf.DUMMYFUNCTION("""COMPUTED_VALUE"""),5800)</f>
        <v/>
      </c>
      <c r="O802" s="26" t="n"/>
    </row>
    <row r="803">
      <c r="A803" s="4">
        <f>IFERROR(__xludf.DUMMYFUNCTION("""COMPUTED_VALUE"""),4372)</f>
        <v/>
      </c>
      <c r="O803" s="26" t="n"/>
    </row>
    <row r="804">
      <c r="A804" s="4">
        <f>IFERROR(__xludf.DUMMYFUNCTION("""COMPUTED_VALUE"""),4475)</f>
        <v/>
      </c>
      <c r="O804" s="26" t="n"/>
    </row>
    <row r="805">
      <c r="A805" s="4">
        <f>IFERROR(__xludf.DUMMYFUNCTION("""COMPUTED_VALUE"""),5525)</f>
        <v/>
      </c>
      <c r="O805" s="26" t="n"/>
    </row>
    <row r="806">
      <c r="A806" s="4">
        <f>IFERROR(__xludf.DUMMYFUNCTION("""COMPUTED_VALUE"""),5931)</f>
        <v/>
      </c>
      <c r="O806" s="26" t="n"/>
    </row>
    <row r="807">
      <c r="A807" s="6">
        <f>IFERROR(__xludf.DUMMYFUNCTION("""COMPUTED_VALUE"""),5084)</f>
        <v/>
      </c>
      <c r="O807" s="26" t="n"/>
    </row>
    <row r="808">
      <c r="A808" s="4">
        <f>IFERROR(__xludf.DUMMYFUNCTION("""COMPUTED_VALUE"""),6114)</f>
        <v/>
      </c>
      <c r="O808" s="26" t="n"/>
    </row>
    <row r="809">
      <c r="A809" s="4">
        <f>IFERROR(__xludf.DUMMYFUNCTION("""COMPUTED_VALUE"""),7026)</f>
        <v/>
      </c>
      <c r="O809" s="26" t="n"/>
    </row>
    <row r="810">
      <c r="A810" s="4">
        <f>IFERROR(__xludf.DUMMYFUNCTION("""COMPUTED_VALUE"""),5400)</f>
        <v/>
      </c>
      <c r="O810" s="26" t="n"/>
    </row>
    <row r="811">
      <c r="A811" s="4">
        <f>IFERROR(__xludf.DUMMYFUNCTION("""COMPUTED_VALUE"""),5100)</f>
        <v/>
      </c>
      <c r="O811" s="26" t="n"/>
    </row>
    <row r="812">
      <c r="A812" s="4">
        <f>IFERROR(__xludf.DUMMYFUNCTION("""COMPUTED_VALUE"""),4792)</f>
        <v/>
      </c>
      <c r="O812" s="26" t="n"/>
    </row>
    <row r="813">
      <c r="A813" s="4">
        <f>IFERROR(__xludf.DUMMYFUNCTION("""COMPUTED_VALUE"""),59619)</f>
        <v/>
      </c>
      <c r="O813" s="26" t="n"/>
    </row>
    <row r="814">
      <c r="A814" s="6">
        <f>IFERROR(__xludf.DUMMYFUNCTION("""COMPUTED_VALUE"""),-5272.21932851483)</f>
        <v/>
      </c>
      <c r="O814" s="26" t="n"/>
    </row>
    <row r="815">
      <c r="A815" s="4" t="n"/>
      <c r="O815" s="26" t="n"/>
    </row>
    <row r="816">
      <c r="A816" s="4" t="n"/>
      <c r="O816" s="26" t="n"/>
    </row>
    <row r="817">
      <c r="A817" s="4" t="n"/>
      <c r="O817" s="26" t="n"/>
    </row>
    <row r="818">
      <c r="A818" s="4" t="n"/>
      <c r="O818" s="26" t="n"/>
    </row>
    <row r="819">
      <c r="A819" s="4">
        <f>IFERROR(__xludf.DUMMYFUNCTION("""COMPUTED_VALUE"""),6823)</f>
        <v/>
      </c>
      <c r="O819" s="26" t="n"/>
    </row>
    <row r="820">
      <c r="A820" s="4">
        <f>IFERROR(__xludf.DUMMYFUNCTION("""COMPUTED_VALUE"""),5591)</f>
        <v/>
      </c>
      <c r="O820" s="26" t="n"/>
    </row>
    <row r="821">
      <c r="A821" s="4">
        <f>IFERROR(__xludf.DUMMYFUNCTION("""COMPUTED_VALUE"""),5410)</f>
        <v/>
      </c>
      <c r="O821" s="26" t="n"/>
    </row>
    <row r="822">
      <c r="A822" s="4">
        <f>IFERROR(__xludf.DUMMYFUNCTION("""COMPUTED_VALUE"""),6420)</f>
        <v/>
      </c>
      <c r="O822" s="26" t="n"/>
    </row>
    <row r="823">
      <c r="A823" s="4">
        <f>IFERROR(__xludf.DUMMYFUNCTION("""COMPUTED_VALUE"""),6417)</f>
        <v/>
      </c>
      <c r="O823" s="26" t="n"/>
    </row>
    <row r="824">
      <c r="A824" s="6">
        <f>IFERROR(__xludf.DUMMYFUNCTION("""COMPUTED_VALUE"""),6026)</f>
        <v/>
      </c>
      <c r="O824" s="26" t="n"/>
    </row>
    <row r="825">
      <c r="A825" s="4">
        <f>IFERROR(__xludf.DUMMYFUNCTION("""COMPUTED_VALUE"""),6114)</f>
        <v/>
      </c>
      <c r="O825" s="26" t="n"/>
    </row>
    <row r="826">
      <c r="A826" s="4">
        <f>IFERROR(__xludf.DUMMYFUNCTION("""COMPUTED_VALUE"""),7786)</f>
        <v/>
      </c>
      <c r="O826" s="26" t="n"/>
    </row>
    <row r="827">
      <c r="A827" s="4">
        <f>IFERROR(__xludf.DUMMYFUNCTION("""COMPUTED_VALUE"""),6280)</f>
        <v/>
      </c>
      <c r="O827" s="26" t="n"/>
    </row>
    <row r="828">
      <c r="A828" s="4">
        <f>IFERROR(__xludf.DUMMYFUNCTION("""COMPUTED_VALUE"""),6050)</f>
        <v/>
      </c>
      <c r="O828" s="26" t="n"/>
    </row>
    <row r="829">
      <c r="A829" s="4">
        <f>IFERROR(__xludf.DUMMYFUNCTION("""COMPUTED_VALUE"""),5933)</f>
        <v/>
      </c>
      <c r="O829" s="26" t="n"/>
    </row>
    <row r="830">
      <c r="A830" s="4">
        <f>IFERROR(__xludf.DUMMYFUNCTION("""COMPUTED_VALUE"""),68850)</f>
        <v/>
      </c>
      <c r="O830" s="26" t="n"/>
    </row>
    <row r="831">
      <c r="A831" s="6">
        <f>IFERROR(__xludf.DUMMYFUNCTION("""COMPUTED_VALUE"""),-7754.27772993565)</f>
        <v/>
      </c>
      <c r="O831" s="26" t="n"/>
    </row>
    <row r="832">
      <c r="A832" s="4" t="n"/>
      <c r="O832" s="26" t="n"/>
    </row>
    <row r="833">
      <c r="A833" s="4" t="n"/>
      <c r="O833" s="26" t="n"/>
    </row>
    <row r="834">
      <c r="A834" s="4" t="n"/>
      <c r="O834" s="26" t="n"/>
    </row>
    <row r="835">
      <c r="A835" s="4" t="n"/>
      <c r="O835" s="26" t="n"/>
    </row>
    <row r="836">
      <c r="A836" s="6">
        <f>IFERROR(__xludf.DUMMYFUNCTION("""COMPUTED_VALUE"""),0)</f>
        <v/>
      </c>
      <c r="O836" s="26" t="n"/>
    </row>
    <row r="837">
      <c r="A837" s="6">
        <f>IFERROR(__xludf.DUMMYFUNCTION("""COMPUTED_VALUE"""),69469)</f>
        <v/>
      </c>
      <c r="O837" s="26" t="n"/>
    </row>
    <row r="838">
      <c r="A838" s="6">
        <f>IFERROR(__xludf.DUMMYFUNCTION("""COMPUTED_VALUE"""),0)</f>
        <v/>
      </c>
      <c r="O838" s="26" t="n"/>
    </row>
    <row r="839">
      <c r="A839" s="6">
        <f>IFERROR(__xludf.DUMMYFUNCTION("""COMPUTED_VALUE"""),18827)</f>
        <v/>
      </c>
      <c r="O839" s="26" t="n"/>
    </row>
    <row r="840">
      <c r="A840" s="6">
        <f>IFERROR(__xludf.DUMMYFUNCTION("""COMPUTED_VALUE"""),0)</f>
        <v/>
      </c>
      <c r="O840" s="26" t="n"/>
    </row>
    <row r="841">
      <c r="A841" s="6">
        <f>IFERROR(__xludf.DUMMYFUNCTION("""COMPUTED_VALUE"""),5775)</f>
        <v/>
      </c>
      <c r="O841" s="26" t="n"/>
    </row>
    <row r="842">
      <c r="A842" s="4">
        <f>IFERROR(__xludf.DUMMYFUNCTION("""COMPUTED_VALUE"""),0)</f>
        <v/>
      </c>
      <c r="O842" s="26" t="n"/>
    </row>
    <row r="843">
      <c r="A843" s="6">
        <f>IFERROR(__xludf.DUMMYFUNCTION("""COMPUTED_VALUE"""),6231)</f>
        <v/>
      </c>
      <c r="O843" s="26" t="n"/>
    </row>
    <row r="844">
      <c r="A844" s="6">
        <f>IFERROR(__xludf.DUMMYFUNCTION("""COMPUTED_VALUE"""),0)</f>
        <v/>
      </c>
      <c r="O844" s="26" t="n"/>
    </row>
    <row r="845">
      <c r="A845" s="6">
        <f>IFERROR(__xludf.DUMMYFUNCTION("""COMPUTED_VALUE"""),0)</f>
        <v/>
      </c>
      <c r="O845" s="26" t="n"/>
    </row>
    <row r="846">
      <c r="A846" s="4">
        <f>IFERROR(__xludf.DUMMYFUNCTION("""COMPUTED_VALUE"""),0)</f>
        <v/>
      </c>
      <c r="O846" s="26" t="n"/>
    </row>
    <row r="847">
      <c r="A847" s="4">
        <f>IFERROR(__xludf.DUMMYFUNCTION("""COMPUTED_VALUE"""),100302)</f>
        <v/>
      </c>
      <c r="O847" s="26" t="n"/>
    </row>
    <row r="848">
      <c r="A848" s="6">
        <f>IFERROR(__xludf.DUMMYFUNCTION("""COMPUTED_VALUE"""),23851.2221921476)</f>
        <v/>
      </c>
      <c r="O848" s="26" t="n"/>
    </row>
    <row r="849">
      <c r="A849" s="4" t="n"/>
      <c r="O849" s="26" t="n"/>
    </row>
    <row r="850">
      <c r="A850" s="4" t="n"/>
      <c r="O850" s="26" t="n"/>
    </row>
    <row r="851">
      <c r="A851" s="4" t="n"/>
      <c r="O851" s="26" t="n"/>
    </row>
    <row r="852">
      <c r="A852" s="4" t="n"/>
      <c r="O852" s="26" t="n"/>
    </row>
    <row r="853">
      <c r="A853" s="6">
        <f>IFERROR(__xludf.DUMMYFUNCTION("""COMPUTED_VALUE"""),11928)</f>
        <v/>
      </c>
      <c r="O853" s="26" t="n"/>
    </row>
    <row r="854">
      <c r="A854" s="6">
        <f>IFERROR(__xludf.DUMMYFUNCTION("""COMPUTED_VALUE"""),4905)</f>
        <v/>
      </c>
      <c r="O854" s="26" t="n"/>
    </row>
    <row r="855">
      <c r="A855" s="6">
        <f>IFERROR(__xludf.DUMMYFUNCTION("""COMPUTED_VALUE"""),4860)</f>
        <v/>
      </c>
      <c r="O855" s="26" t="n"/>
    </row>
    <row r="856">
      <c r="A856" s="6">
        <f>IFERROR(__xludf.DUMMYFUNCTION("""COMPUTED_VALUE"""),6114.88)</f>
        <v/>
      </c>
      <c r="O856" s="26" t="n"/>
    </row>
    <row r="857">
      <c r="A857" s="6">
        <f>IFERROR(__xludf.DUMMYFUNCTION("""COMPUTED_VALUE"""),6343)</f>
        <v/>
      </c>
      <c r="O857" s="26" t="n"/>
    </row>
    <row r="858">
      <c r="A858" s="6">
        <f>IFERROR(__xludf.DUMMYFUNCTION("""COMPUTED_VALUE"""),5605)</f>
        <v/>
      </c>
      <c r="O858" s="26" t="n"/>
    </row>
    <row r="859">
      <c r="A859" s="4">
        <f>IFERROR(__xludf.DUMMYFUNCTION("""COMPUTED_VALUE"""),6231)</f>
        <v/>
      </c>
      <c r="O859" s="26" t="n"/>
    </row>
    <row r="860">
      <c r="A860" s="6">
        <f>IFERROR(__xludf.DUMMYFUNCTION("""COMPUTED_VALUE"""),6851)</f>
        <v/>
      </c>
      <c r="O860" s="26" t="n"/>
    </row>
    <row r="861">
      <c r="A861" s="6">
        <f>IFERROR(__xludf.DUMMYFUNCTION("""COMPUTED_VALUE"""),5317.69)</f>
        <v/>
      </c>
      <c r="O861" s="26" t="n"/>
    </row>
    <row r="862">
      <c r="A862" s="6">
        <f>IFERROR(__xludf.DUMMYFUNCTION("""COMPUTED_VALUE"""),5427)</f>
        <v/>
      </c>
      <c r="O862" s="26" t="n"/>
    </row>
    <row r="863">
      <c r="A863" s="4">
        <f>IFERROR(__xludf.DUMMYFUNCTION("""COMPUTED_VALUE"""),5276)</f>
        <v/>
      </c>
      <c r="O863" s="26" t="n"/>
    </row>
    <row r="864">
      <c r="A864" s="4">
        <f>IFERROR(__xludf.DUMMYFUNCTION("""COMPUTED_VALUE"""),68858.57)</f>
        <v/>
      </c>
      <c r="O864" s="26" t="n"/>
    </row>
    <row r="865">
      <c r="A865" s="6">
        <f>IFERROR(__xludf.DUMMYFUNCTION("""COMPUTED_VALUE"""),-416.115829139467)</f>
        <v/>
      </c>
      <c r="O865" s="26" t="n"/>
    </row>
    <row r="866">
      <c r="A866" s="4" t="n"/>
      <c r="O866" s="26" t="n"/>
    </row>
    <row r="867">
      <c r="A867" s="4" t="n"/>
      <c r="O867" s="26" t="n"/>
    </row>
    <row r="868">
      <c r="A868" s="4" t="n"/>
      <c r="O868" s="26" t="n"/>
    </row>
    <row r="869">
      <c r="A869" s="4" t="n"/>
      <c r="O869" s="26" t="n"/>
    </row>
    <row r="870">
      <c r="A870" s="6">
        <f>IFERROR(__xludf.DUMMYFUNCTION("""COMPUTED_VALUE"""),0)</f>
        <v/>
      </c>
      <c r="O870" s="26" t="n"/>
    </row>
    <row r="871">
      <c r="A871" s="6">
        <f>IFERROR(__xludf.DUMMYFUNCTION("""COMPUTED_VALUE"""),5529)</f>
        <v/>
      </c>
      <c r="O871" s="26" t="n"/>
    </row>
    <row r="872">
      <c r="A872" s="6">
        <f>IFERROR(__xludf.DUMMYFUNCTION("""COMPUTED_VALUE"""),0)</f>
        <v/>
      </c>
      <c r="O872" s="26" t="n"/>
    </row>
    <row r="873">
      <c r="A873" s="6">
        <f>IFERROR(__xludf.DUMMYFUNCTION("""COMPUTED_VALUE"""),11187)</f>
        <v/>
      </c>
      <c r="O873" s="26" t="n"/>
    </row>
    <row r="874">
      <c r="A874" s="6">
        <f>IFERROR(__xludf.DUMMYFUNCTION("""COMPUTED_VALUE"""),0)</f>
        <v/>
      </c>
      <c r="O874" s="26" t="n"/>
    </row>
    <row r="875">
      <c r="A875" s="6">
        <f>IFERROR(__xludf.DUMMYFUNCTION("""COMPUTED_VALUE"""),0)</f>
        <v/>
      </c>
      <c r="O875" s="26" t="n"/>
    </row>
    <row r="876">
      <c r="A876" s="6">
        <f>IFERROR(__xludf.DUMMYFUNCTION("""COMPUTED_VALUE"""),0)</f>
        <v/>
      </c>
      <c r="O876" s="26" t="n"/>
    </row>
    <row r="877">
      <c r="A877" s="6">
        <f>IFERROR(__xludf.DUMMYFUNCTION("""COMPUTED_VALUE"""),6231)</f>
        <v/>
      </c>
      <c r="O877" s="26" t="n"/>
    </row>
    <row r="878">
      <c r="A878" s="6">
        <f>IFERROR(__xludf.DUMMYFUNCTION("""COMPUTED_VALUE"""),0)</f>
        <v/>
      </c>
      <c r="O878" s="26" t="n"/>
    </row>
    <row r="879">
      <c r="A879" s="6">
        <f>IFERROR(__xludf.DUMMYFUNCTION("""COMPUTED_VALUE"""),0)</f>
        <v/>
      </c>
      <c r="O879" s="26" t="n"/>
    </row>
    <row r="880">
      <c r="A880" s="4">
        <f>IFERROR(__xludf.DUMMYFUNCTION("""COMPUTED_VALUE"""),0)</f>
        <v/>
      </c>
      <c r="O880" s="26" t="n"/>
    </row>
    <row r="881">
      <c r="A881" s="4">
        <f>IFERROR(__xludf.DUMMYFUNCTION("""COMPUTED_VALUE"""),22947)</f>
        <v/>
      </c>
      <c r="O881" s="26" t="n"/>
    </row>
    <row r="882">
      <c r="A882" s="6">
        <f>IFERROR(__xludf.DUMMYFUNCTION("""COMPUTED_VALUE"""),-46150.1958778069)</f>
        <v/>
      </c>
      <c r="O882" s="26" t="n"/>
    </row>
    <row r="883">
      <c r="A883" s="4" t="n"/>
      <c r="O883" s="26" t="n"/>
    </row>
    <row r="884">
      <c r="A884" s="4" t="n"/>
      <c r="O884" s="26" t="n"/>
    </row>
    <row r="885">
      <c r="A885" s="4" t="n"/>
      <c r="O885" s="26" t="n"/>
    </row>
    <row r="886">
      <c r="A886" s="4" t="n"/>
      <c r="O886" s="26" t="n"/>
    </row>
    <row r="887">
      <c r="A887" s="4">
        <f>IFERROR(__xludf.DUMMYFUNCTION("""COMPUTED_VALUE"""),5941)</f>
        <v/>
      </c>
      <c r="O887" s="26" t="n"/>
    </row>
    <row r="888">
      <c r="A888" s="4">
        <f>IFERROR(__xludf.DUMMYFUNCTION("""COMPUTED_VALUE"""),0)</f>
        <v/>
      </c>
      <c r="O888" s="26" t="n"/>
    </row>
    <row r="889">
      <c r="A889" s="4">
        <f>IFERROR(__xludf.DUMMYFUNCTION("""COMPUTED_VALUE"""),0)</f>
        <v/>
      </c>
      <c r="O889" s="26" t="n"/>
    </row>
    <row r="890">
      <c r="A890" s="4">
        <f>IFERROR(__xludf.DUMMYFUNCTION("""COMPUTED_VALUE"""),4459)</f>
        <v/>
      </c>
      <c r="O890" s="26" t="n"/>
    </row>
    <row r="891">
      <c r="A891" s="4">
        <f>IFERROR(__xludf.DUMMYFUNCTION("""COMPUTED_VALUE"""),0)</f>
        <v/>
      </c>
      <c r="O891" s="26" t="n"/>
    </row>
    <row r="892">
      <c r="A892" s="6">
        <f>IFERROR(__xludf.DUMMYFUNCTION("""COMPUTED_VALUE"""),4776)</f>
        <v/>
      </c>
      <c r="O892" s="26" t="n"/>
    </row>
    <row r="893">
      <c r="A893" s="4">
        <f>IFERROR(__xludf.DUMMYFUNCTION("""COMPUTED_VALUE"""),0)</f>
        <v/>
      </c>
      <c r="O893" s="26" t="n"/>
    </row>
    <row r="894">
      <c r="A894" s="4">
        <f>IFERROR(__xludf.DUMMYFUNCTION("""COMPUTED_VALUE"""),6928)</f>
        <v/>
      </c>
      <c r="O894" s="26" t="n"/>
    </row>
    <row r="895">
      <c r="A895" s="4">
        <f>IFERROR(__xludf.DUMMYFUNCTION("""COMPUTED_VALUE"""),0)</f>
        <v/>
      </c>
      <c r="O895" s="26" t="n"/>
    </row>
    <row r="896">
      <c r="A896" s="4">
        <f>IFERROR(__xludf.DUMMYFUNCTION("""COMPUTED_VALUE"""),4920)</f>
        <v/>
      </c>
      <c r="O896" s="26" t="n"/>
    </row>
    <row r="897">
      <c r="A897" s="4">
        <f>IFERROR(__xludf.DUMMYFUNCTION("""COMPUTED_VALUE"""),4511)</f>
        <v/>
      </c>
      <c r="O897" s="26" t="n"/>
    </row>
    <row r="898">
      <c r="A898" s="4">
        <f>IFERROR(__xludf.DUMMYFUNCTION("""COMPUTED_VALUE"""),31535)</f>
        <v/>
      </c>
      <c r="O898" s="26" t="n"/>
    </row>
    <row r="899">
      <c r="A899" s="6">
        <f>IFERROR(__xludf.DUMMYFUNCTION("""COMPUTED_VALUE"""),-31322.0061991657)</f>
        <v/>
      </c>
      <c r="O899" s="26" t="n"/>
    </row>
    <row r="900">
      <c r="A900" s="4" t="n"/>
      <c r="O900" s="26" t="n"/>
    </row>
    <row r="901">
      <c r="A901" s="4" t="n"/>
      <c r="O901" s="26" t="n"/>
    </row>
    <row r="902">
      <c r="A902" s="4" t="n"/>
      <c r="O902" s="26" t="n"/>
    </row>
    <row r="903">
      <c r="A903" s="4" t="n"/>
      <c r="O903" s="26" t="n"/>
    </row>
    <row r="904">
      <c r="A904" s="6">
        <f>IFERROR(__xludf.DUMMYFUNCTION("""COMPUTED_VALUE"""),6739)</f>
        <v/>
      </c>
      <c r="O904" s="26" t="n"/>
    </row>
    <row r="905">
      <c r="A905" s="6">
        <f>IFERROR(__xludf.DUMMYFUNCTION("""COMPUTED_VALUE"""),0)</f>
        <v/>
      </c>
      <c r="O905" s="26" t="n"/>
    </row>
    <row r="906">
      <c r="A906" s="6">
        <f>IFERROR(__xludf.DUMMYFUNCTION("""COMPUTED_VALUE"""),0)</f>
        <v/>
      </c>
      <c r="O906" s="26" t="n"/>
    </row>
    <row r="907">
      <c r="A907" s="6">
        <f>IFERROR(__xludf.DUMMYFUNCTION("""COMPUTED_VALUE"""),11818)</f>
        <v/>
      </c>
      <c r="O907" s="26" t="n"/>
    </row>
    <row r="908">
      <c r="A908" s="6">
        <f>IFERROR(__xludf.DUMMYFUNCTION("""COMPUTED_VALUE"""),0)</f>
        <v/>
      </c>
      <c r="O908" s="26" t="n"/>
    </row>
    <row r="909">
      <c r="A909" s="6">
        <f>IFERROR(__xludf.DUMMYFUNCTION("""COMPUTED_VALUE"""),6296)</f>
        <v/>
      </c>
      <c r="O909" s="26" t="n"/>
    </row>
    <row r="910">
      <c r="A910" s="6">
        <f>IFERROR(__xludf.DUMMYFUNCTION("""COMPUTED_VALUE"""),5634)</f>
        <v/>
      </c>
      <c r="O910" s="26" t="n"/>
    </row>
    <row r="911">
      <c r="A911" s="6">
        <f>IFERROR(__xludf.DUMMYFUNCTION("""COMPUTED_VALUE"""),13828.61)</f>
        <v/>
      </c>
      <c r="O911" s="26" t="n"/>
    </row>
    <row r="912">
      <c r="A912" s="6">
        <f>IFERROR(__xludf.DUMMYFUNCTION("""COMPUTED_VALUE"""),0)</f>
        <v/>
      </c>
      <c r="O912" s="26" t="n"/>
    </row>
    <row r="913">
      <c r="A913" s="6">
        <f>IFERROR(__xludf.DUMMYFUNCTION("""COMPUTED_VALUE"""),0)</f>
        <v/>
      </c>
      <c r="O913" s="26" t="n"/>
    </row>
    <row r="914">
      <c r="A914" s="4">
        <f>IFERROR(__xludf.DUMMYFUNCTION("""COMPUTED_VALUE"""),0)</f>
        <v/>
      </c>
      <c r="O914" s="26" t="n"/>
    </row>
    <row r="915">
      <c r="A915" s="4">
        <f>IFERROR(__xludf.DUMMYFUNCTION("""COMPUTED_VALUE"""),44315.61)</f>
        <v/>
      </c>
      <c r="O915" s="26" t="n"/>
    </row>
    <row r="916">
      <c r="A916" s="6">
        <f>IFERROR(__xludf.DUMMYFUNCTION("""COMPUTED_VALUE"""),-30362.3735508388)</f>
        <v/>
      </c>
      <c r="O916" s="26" t="n"/>
    </row>
    <row r="917">
      <c r="A917" s="4" t="n"/>
      <c r="O917" s="26" t="n"/>
    </row>
    <row r="918">
      <c r="A918" s="4" t="n"/>
      <c r="O918" s="26" t="n"/>
    </row>
    <row r="919">
      <c r="A919" s="4" t="n"/>
      <c r="O919" s="26" t="n"/>
    </row>
    <row r="920">
      <c r="A920" s="4" t="n"/>
      <c r="O920" s="26" t="n"/>
    </row>
    <row r="921">
      <c r="A921" s="4">
        <f>IFERROR(__xludf.DUMMYFUNCTION("""COMPUTED_VALUE"""),0)</f>
        <v/>
      </c>
      <c r="O921" s="26" t="n"/>
    </row>
    <row r="922">
      <c r="A922" s="4">
        <f>IFERROR(__xludf.DUMMYFUNCTION("""COMPUTED_VALUE"""),4076)</f>
        <v/>
      </c>
      <c r="O922" s="26" t="n"/>
    </row>
    <row r="923">
      <c r="A923" s="4">
        <f>IFERROR(__xludf.DUMMYFUNCTION("""COMPUTED_VALUE"""),4403.5)</f>
        <v/>
      </c>
      <c r="O923" s="26" t="n"/>
    </row>
    <row r="924">
      <c r="A924" s="4">
        <f>IFERROR(__xludf.DUMMYFUNCTION("""COMPUTED_VALUE"""),1794)</f>
        <v/>
      </c>
      <c r="O924" s="26" t="n"/>
    </row>
    <row r="925">
      <c r="A925" s="4">
        <f>IFERROR(__xludf.DUMMYFUNCTION("""COMPUTED_VALUE"""),5777.61)</f>
        <v/>
      </c>
      <c r="O925" s="26" t="n"/>
    </row>
    <row r="926">
      <c r="A926" s="4">
        <f>IFERROR(__xludf.DUMMYFUNCTION("""COMPUTED_VALUE"""),0)</f>
        <v/>
      </c>
      <c r="O926" s="26" t="n"/>
    </row>
    <row r="927">
      <c r="A927" s="4">
        <f>IFERROR(__xludf.DUMMYFUNCTION("""COMPUTED_VALUE"""),6114)</f>
        <v/>
      </c>
      <c r="O927" s="26" t="n"/>
    </row>
    <row r="928">
      <c r="A928" s="4">
        <f>IFERROR(__xludf.DUMMYFUNCTION("""COMPUTED_VALUE"""),6643.62)</f>
        <v/>
      </c>
      <c r="O928" s="26" t="n"/>
    </row>
    <row r="929">
      <c r="A929" s="4">
        <f>IFERROR(__xludf.DUMMYFUNCTION("""COMPUTED_VALUE"""),4889.6)</f>
        <v/>
      </c>
      <c r="O929" s="26" t="n"/>
    </row>
    <row r="930">
      <c r="A930" s="4">
        <f>IFERROR(__xludf.DUMMYFUNCTION("""COMPUTED_VALUE"""),5312)</f>
        <v/>
      </c>
      <c r="O930" s="26" t="n"/>
    </row>
    <row r="931">
      <c r="A931" s="4">
        <f>IFERROR(__xludf.DUMMYFUNCTION("""COMPUTED_VALUE"""),4499)</f>
        <v/>
      </c>
      <c r="O931" s="26" t="n"/>
    </row>
    <row r="932">
      <c r="A932" s="4">
        <f>IFERROR(__xludf.DUMMYFUNCTION("""COMPUTED_VALUE"""),43509.33)</f>
        <v/>
      </c>
      <c r="O932" s="26" t="n"/>
    </row>
    <row r="933">
      <c r="A933" s="6">
        <f>IFERROR(__xludf.DUMMYFUNCTION("""COMPUTED_VALUE"""),-18487.0432223354)</f>
        <v/>
      </c>
      <c r="O933" s="26" t="n"/>
    </row>
    <row r="934">
      <c r="A934" s="4" t="n"/>
      <c r="O934" s="26" t="n"/>
    </row>
    <row r="935">
      <c r="A935" s="4" t="n"/>
      <c r="O935" s="26" t="n"/>
    </row>
    <row r="936">
      <c r="A936" s="4" t="n"/>
      <c r="O936" s="26" t="n"/>
    </row>
    <row r="937">
      <c r="A937" s="4" t="n"/>
      <c r="O937" s="26" t="n"/>
    </row>
    <row r="938">
      <c r="A938" s="6">
        <f>IFERROR(__xludf.DUMMYFUNCTION("""COMPUTED_VALUE"""),6007)</f>
        <v/>
      </c>
      <c r="O938" s="26" t="n"/>
    </row>
    <row r="939">
      <c r="A939" s="6">
        <f>IFERROR(__xludf.DUMMYFUNCTION("""COMPUTED_VALUE"""),4778)</f>
        <v/>
      </c>
      <c r="O939" s="26" t="n"/>
    </row>
    <row r="940">
      <c r="A940" s="6">
        <f>IFERROR(__xludf.DUMMYFUNCTION("""COMPUTED_VALUE"""),4529)</f>
        <v/>
      </c>
      <c r="O940" s="26" t="n"/>
    </row>
    <row r="941">
      <c r="A941" s="6">
        <f>IFERROR(__xludf.DUMMYFUNCTION("""COMPUTED_VALUE"""),5200)</f>
        <v/>
      </c>
      <c r="O941" s="26" t="n"/>
    </row>
    <row r="942">
      <c r="A942" s="6">
        <f>IFERROR(__xludf.DUMMYFUNCTION("""COMPUTED_VALUE"""),0)</f>
        <v/>
      </c>
      <c r="O942" s="26" t="n"/>
    </row>
    <row r="943">
      <c r="A943" s="6">
        <f>IFERROR(__xludf.DUMMYFUNCTION("""COMPUTED_VALUE"""),4881)</f>
        <v/>
      </c>
      <c r="O943" s="26" t="n"/>
    </row>
    <row r="944">
      <c r="A944" s="4">
        <f>IFERROR(__xludf.DUMMYFUNCTION("""COMPUTED_VALUE"""),6114)</f>
        <v/>
      </c>
      <c r="O944" s="26" t="n"/>
    </row>
    <row r="945">
      <c r="A945" s="6">
        <f>IFERROR(__xludf.DUMMYFUNCTION("""COMPUTED_VALUE"""),0)</f>
        <v/>
      </c>
      <c r="O945" s="26" t="n"/>
    </row>
    <row r="946">
      <c r="A946" s="6">
        <f>IFERROR(__xludf.DUMMYFUNCTION("""COMPUTED_VALUE"""),4800.42)</f>
        <v/>
      </c>
      <c r="O946" s="26" t="n"/>
    </row>
    <row r="947">
      <c r="A947" s="6">
        <f>IFERROR(__xludf.DUMMYFUNCTION("""COMPUTED_VALUE"""),0)</f>
        <v/>
      </c>
      <c r="O947" s="26" t="n"/>
    </row>
    <row r="948">
      <c r="A948" s="4">
        <f>IFERROR(__xludf.DUMMYFUNCTION("""COMPUTED_VALUE"""),10081)</f>
        <v/>
      </c>
      <c r="O948" s="26" t="n"/>
    </row>
    <row r="949">
      <c r="A949" s="4">
        <f>IFERROR(__xludf.DUMMYFUNCTION("""COMPUTED_VALUE"""),46390.42)</f>
        <v/>
      </c>
      <c r="O949" s="26" t="n"/>
    </row>
    <row r="950">
      <c r="A950" s="6">
        <f>IFERROR(__xludf.DUMMYFUNCTION("""COMPUTED_VALUE"""),-17304.7316854205)</f>
        <v/>
      </c>
      <c r="O950" s="26" t="n"/>
    </row>
    <row r="951">
      <c r="A951" s="4" t="n"/>
      <c r="O951" s="26" t="n"/>
    </row>
    <row r="952">
      <c r="A952" s="4" t="n"/>
      <c r="O952" s="26" t="n"/>
    </row>
    <row r="953">
      <c r="A953" s="4" t="n"/>
      <c r="O953" s="26" t="n"/>
    </row>
    <row r="954">
      <c r="A954" s="4" t="n"/>
      <c r="O954" s="26" t="n"/>
    </row>
    <row r="955">
      <c r="A955" s="4">
        <f>IFERROR(__xludf.DUMMYFUNCTION("""COMPUTED_VALUE"""),5977)</f>
        <v/>
      </c>
      <c r="O955" s="26" t="n"/>
    </row>
    <row r="956">
      <c r="A956" s="4">
        <f>IFERROR(__xludf.DUMMYFUNCTION("""COMPUTED_VALUE"""),5426)</f>
        <v/>
      </c>
      <c r="O956" s="26" t="n"/>
    </row>
    <row r="957">
      <c r="A957" s="4">
        <f>IFERROR(__xludf.DUMMYFUNCTION("""COMPUTED_VALUE"""),5329)</f>
        <v/>
      </c>
      <c r="O957" s="26" t="n"/>
    </row>
    <row r="958">
      <c r="A958" s="4">
        <f>IFERROR(__xludf.DUMMYFUNCTION("""COMPUTED_VALUE"""),5840)</f>
        <v/>
      </c>
      <c r="O958" s="26" t="n"/>
    </row>
    <row r="959">
      <c r="A959" s="4">
        <f>IFERROR(__xludf.DUMMYFUNCTION("""COMPUTED_VALUE"""),5840)</f>
        <v/>
      </c>
      <c r="O959" s="26" t="n"/>
    </row>
    <row r="960">
      <c r="A960" s="6">
        <f>IFERROR(__xludf.DUMMYFUNCTION("""COMPUTED_VALUE"""),5245)</f>
        <v/>
      </c>
      <c r="O960" s="26" t="n"/>
    </row>
    <row r="961">
      <c r="A961" s="4">
        <f>IFERROR(__xludf.DUMMYFUNCTION("""COMPUTED_VALUE"""),6231)</f>
        <v/>
      </c>
      <c r="O961" s="26" t="n"/>
    </row>
    <row r="962">
      <c r="A962" s="4">
        <f>IFERROR(__xludf.DUMMYFUNCTION("""COMPUTED_VALUE"""),7087.29)</f>
        <v/>
      </c>
      <c r="O962" s="26" t="n"/>
    </row>
    <row r="963">
      <c r="A963" s="4">
        <f>IFERROR(__xludf.DUMMYFUNCTION("""COMPUTED_VALUE"""),5455.4)</f>
        <v/>
      </c>
      <c r="O963" s="26" t="n"/>
    </row>
    <row r="964">
      <c r="A964" s="4">
        <f>IFERROR(__xludf.DUMMYFUNCTION("""COMPUTED_VALUE"""),5508)</f>
        <v/>
      </c>
      <c r="O964" s="26" t="n"/>
    </row>
    <row r="965">
      <c r="A965" s="4">
        <f>IFERROR(__xludf.DUMMYFUNCTION("""COMPUTED_VALUE"""),4658)</f>
        <v/>
      </c>
      <c r="O965" s="26" t="n"/>
    </row>
    <row r="966">
      <c r="A966" s="4">
        <f>IFERROR(__xludf.DUMMYFUNCTION("""COMPUTED_VALUE"""),62596.69)</f>
        <v/>
      </c>
      <c r="O966" s="26" t="n"/>
    </row>
    <row r="967">
      <c r="A967" s="6">
        <f>IFERROR(__xludf.DUMMYFUNCTION("""COMPUTED_VALUE"""),-5537.38470986243)</f>
        <v/>
      </c>
      <c r="O967" s="26" t="n"/>
    </row>
    <row r="968">
      <c r="A968" s="4" t="n"/>
      <c r="O968" s="26" t="n"/>
    </row>
    <row r="969">
      <c r="A969" s="4" t="n"/>
      <c r="O969" s="26" t="n"/>
    </row>
    <row r="970">
      <c r="A970" s="4" t="n"/>
      <c r="O970" s="26" t="n"/>
    </row>
    <row r="971">
      <c r="A971" s="4" t="n"/>
      <c r="O971" s="26" t="n"/>
    </row>
    <row r="972">
      <c r="A972" s="6">
        <f>IFERROR(__xludf.DUMMYFUNCTION("""COMPUTED_VALUE"""),6577)</f>
        <v/>
      </c>
      <c r="O972" s="26" t="n"/>
    </row>
    <row r="973">
      <c r="A973" s="6">
        <f>IFERROR(__xludf.DUMMYFUNCTION("""COMPUTED_VALUE"""),4959)</f>
        <v/>
      </c>
      <c r="O973" s="26" t="n"/>
    </row>
    <row r="974">
      <c r="A974" s="6">
        <f>IFERROR(__xludf.DUMMYFUNCTION("""COMPUTED_VALUE"""),5281)</f>
        <v/>
      </c>
      <c r="O974" s="26" t="n"/>
    </row>
    <row r="975">
      <c r="A975" s="6">
        <f>IFERROR(__xludf.DUMMYFUNCTION("""COMPUTED_VALUE"""),5886)</f>
        <v/>
      </c>
      <c r="O975" s="26" t="n"/>
    </row>
    <row r="976">
      <c r="A976" s="6">
        <f>IFERROR(__xludf.DUMMYFUNCTION("""COMPUTED_VALUE"""),9000)</f>
        <v/>
      </c>
      <c r="O976" s="26" t="n"/>
    </row>
    <row r="977">
      <c r="A977" s="6">
        <f>IFERROR(__xludf.DUMMYFUNCTION("""COMPUTED_VALUE"""),5796)</f>
        <v/>
      </c>
      <c r="O977" s="26" t="n"/>
    </row>
    <row r="978">
      <c r="A978" s="6">
        <f>IFERROR(__xludf.DUMMYFUNCTION("""COMPUTED_VALUE"""),6864)</f>
        <v/>
      </c>
      <c r="O978" s="26" t="n"/>
    </row>
    <row r="979">
      <c r="A979" s="6">
        <f>IFERROR(__xludf.DUMMYFUNCTION("""COMPUTED_VALUE"""),7323)</f>
        <v/>
      </c>
      <c r="O979" s="26" t="n"/>
    </row>
    <row r="980">
      <c r="A980" s="6">
        <f>IFERROR(__xludf.DUMMYFUNCTION("""COMPUTED_VALUE"""),0)</f>
        <v/>
      </c>
      <c r="O980" s="26" t="n"/>
    </row>
    <row r="981">
      <c r="A981" s="6">
        <f>IFERROR(__xludf.DUMMYFUNCTION("""COMPUTED_VALUE"""),0)</f>
        <v/>
      </c>
      <c r="O981" s="26" t="n"/>
    </row>
    <row r="982">
      <c r="A982" s="4">
        <f>IFERROR(__xludf.DUMMYFUNCTION("""COMPUTED_VALUE"""),12354)</f>
        <v/>
      </c>
      <c r="O982" s="26" t="n"/>
    </row>
    <row r="983">
      <c r="A983" s="4">
        <f>IFERROR(__xludf.DUMMYFUNCTION("""COMPUTED_VALUE"""),64040)</f>
        <v/>
      </c>
      <c r="O983" s="26" t="n"/>
    </row>
    <row r="984">
      <c r="A984" s="6">
        <f>IFERROR(__xludf.DUMMYFUNCTION("""COMPUTED_VALUE"""),-9449.22658768123)</f>
        <v/>
      </c>
      <c r="O984" s="26" t="n"/>
    </row>
    <row r="985">
      <c r="A985" s="4" t="n"/>
      <c r="O985" s="26" t="n"/>
    </row>
    <row r="986">
      <c r="A986" s="4" t="n"/>
      <c r="O986" s="26" t="n"/>
    </row>
    <row r="987">
      <c r="A987" s="4" t="n"/>
      <c r="O987" s="26" t="n"/>
    </row>
    <row r="988">
      <c r="A988" s="4" t="n"/>
      <c r="O988" s="26" t="n"/>
    </row>
    <row r="989">
      <c r="A989" s="6">
        <f>IFERROR(__xludf.DUMMYFUNCTION("""COMPUTED_VALUE"""),0)</f>
        <v/>
      </c>
      <c r="O989" s="26" t="n"/>
    </row>
    <row r="990">
      <c r="A990" s="6">
        <f>IFERROR(__xludf.DUMMYFUNCTION("""COMPUTED_VALUE"""),10528)</f>
        <v/>
      </c>
      <c r="O990" s="26" t="n"/>
    </row>
    <row r="991">
      <c r="A991" s="6">
        <f>IFERROR(__xludf.DUMMYFUNCTION("""COMPUTED_VALUE"""),4585)</f>
        <v/>
      </c>
      <c r="O991" s="26" t="n"/>
    </row>
    <row r="992">
      <c r="A992" s="6">
        <f>IFERROR(__xludf.DUMMYFUNCTION("""COMPUTED_VALUE"""),5351)</f>
        <v/>
      </c>
      <c r="O992" s="26" t="n"/>
    </row>
    <row r="993">
      <c r="A993" s="6">
        <f>IFERROR(__xludf.DUMMYFUNCTION("""COMPUTED_VALUE"""),0)</f>
        <v/>
      </c>
      <c r="O993" s="26" t="n"/>
    </row>
    <row r="994">
      <c r="A994" s="6">
        <f>IFERROR(__xludf.DUMMYFUNCTION("""COMPUTED_VALUE"""),5176)</f>
        <v/>
      </c>
      <c r="O994" s="26" t="n"/>
    </row>
    <row r="995">
      <c r="A995" s="6">
        <f>IFERROR(__xludf.DUMMYFUNCTION("""COMPUTED_VALUE"""),4834)</f>
        <v/>
      </c>
      <c r="O995" s="26" t="n"/>
    </row>
    <row r="996">
      <c r="A996" s="6">
        <f>IFERROR(__xludf.DUMMYFUNCTION("""COMPUTED_VALUE"""),13174.1199999999)</f>
        <v/>
      </c>
      <c r="O996" s="26" t="n"/>
    </row>
    <row r="997">
      <c r="A997" s="6">
        <f>IFERROR(__xludf.DUMMYFUNCTION("""COMPUTED_VALUE"""),0)</f>
        <v/>
      </c>
      <c r="O997" s="26" t="n"/>
    </row>
    <row r="998">
      <c r="A998" s="6">
        <f>IFERROR(__xludf.DUMMYFUNCTION("""COMPUTED_VALUE"""),0)</f>
        <v/>
      </c>
      <c r="O998" s="26" t="n"/>
    </row>
    <row r="999">
      <c r="A999" s="4">
        <f>IFERROR(__xludf.DUMMYFUNCTION("""COMPUTED_VALUE"""),5163)</f>
        <v/>
      </c>
      <c r="O999" s="26" t="n"/>
    </row>
    <row r="1000">
      <c r="A1000" s="4">
        <f>IFERROR(__xludf.DUMMYFUNCTION("""COMPUTED_VALUE"""),48811.1199999999)</f>
        <v/>
      </c>
      <c r="O1000" s="26" t="n"/>
    </row>
    <row r="1001">
      <c r="A1001" s="6">
        <f>IFERROR(__xludf.DUMMYFUNCTION("""COMPUTED_VALUE"""),-15596.8644666795)</f>
        <v/>
      </c>
      <c r="O1001" s="26" t="n"/>
    </row>
    <row r="1002">
      <c r="A1002" s="4" t="n"/>
      <c r="O1002" s="26" t="n"/>
    </row>
    <row r="1003">
      <c r="A1003" s="4" t="n"/>
      <c r="O1003" s="26" t="n"/>
    </row>
    <row r="1004">
      <c r="A1004" s="4" t="n"/>
      <c r="O1004" s="26" t="n"/>
    </row>
    <row r="1005">
      <c r="A1005" s="4" t="n"/>
      <c r="O1005" s="26" t="n"/>
    </row>
    <row r="1006">
      <c r="A1006" s="6">
        <f>IFERROR(__xludf.DUMMYFUNCTION("""COMPUTED_VALUE"""),6103)</f>
        <v/>
      </c>
      <c r="O1006" s="26" t="n"/>
    </row>
    <row r="1007">
      <c r="A1007" s="6">
        <f>IFERROR(__xludf.DUMMYFUNCTION("""COMPUTED_VALUE"""),4195)</f>
        <v/>
      </c>
      <c r="O1007" s="26" t="n"/>
    </row>
    <row r="1008">
      <c r="A1008" s="6">
        <f>IFERROR(__xludf.DUMMYFUNCTION("""COMPUTED_VALUE"""),4410.4)</f>
        <v/>
      </c>
      <c r="O1008" s="26" t="n"/>
    </row>
    <row r="1009">
      <c r="A1009" s="6">
        <f>IFERROR(__xludf.DUMMYFUNCTION("""COMPUTED_VALUE"""),5218.7)</f>
        <v/>
      </c>
      <c r="O1009" s="26" t="n"/>
    </row>
    <row r="1010">
      <c r="A1010" s="6">
        <f>IFERROR(__xludf.DUMMYFUNCTION("""COMPUTED_VALUE"""),5695.22)</f>
        <v/>
      </c>
      <c r="O1010" s="26" t="n"/>
    </row>
    <row r="1011">
      <c r="A1011" s="6">
        <f>IFERROR(__xludf.DUMMYFUNCTION("""COMPUTED_VALUE"""),4826.82)</f>
        <v/>
      </c>
      <c r="O1011" s="26" t="n"/>
    </row>
    <row r="1012">
      <c r="A1012" s="6">
        <f>IFERROR(__xludf.DUMMYFUNCTION("""COMPUTED_VALUE"""),6114)</f>
        <v/>
      </c>
      <c r="O1012" s="26" t="n"/>
    </row>
    <row r="1013">
      <c r="A1013" s="6">
        <f>IFERROR(__xludf.DUMMYFUNCTION("""COMPUTED_VALUE"""),6980.33)</f>
        <v/>
      </c>
      <c r="O1013" s="26" t="n"/>
    </row>
    <row r="1014">
      <c r="A1014" s="6">
        <f>IFERROR(__xludf.DUMMYFUNCTION("""COMPUTED_VALUE"""),16977.41)</f>
        <v/>
      </c>
      <c r="O1014" s="26" t="n"/>
    </row>
    <row r="1015">
      <c r="A1015" s="6">
        <f>IFERROR(__xludf.DUMMYFUNCTION("""COMPUTED_VALUE"""),4982)</f>
        <v/>
      </c>
      <c r="O1015" s="26" t="n"/>
    </row>
    <row r="1016">
      <c r="A1016" s="4">
        <f>IFERROR(__xludf.DUMMYFUNCTION("""COMPUTED_VALUE"""),4604)</f>
        <v/>
      </c>
      <c r="O1016" s="26" t="n"/>
    </row>
    <row r="1017">
      <c r="A1017" s="4">
        <f>IFERROR(__xludf.DUMMYFUNCTION("""COMPUTED_VALUE"""),70106.88)</f>
        <v/>
      </c>
      <c r="O1017" s="26" t="n"/>
    </row>
    <row r="1018">
      <c r="A1018" s="6">
        <f>IFERROR(__xludf.DUMMYFUNCTION("""COMPUTED_VALUE"""),7741.3289408239)</f>
        <v/>
      </c>
      <c r="O1018" s="26" t="n"/>
    </row>
    <row r="1019">
      <c r="A1019" s="4" t="n"/>
      <c r="O1019" s="26" t="n"/>
    </row>
    <row r="1020">
      <c r="A1020" s="4" t="n"/>
      <c r="O1020" s="26" t="n"/>
    </row>
    <row r="1021">
      <c r="A1021" s="4" t="n"/>
      <c r="O1021" s="26" t="n"/>
    </row>
    <row r="1022">
      <c r="A1022" s="4" t="n"/>
      <c r="O1022" s="26" t="n"/>
    </row>
    <row r="1023">
      <c r="A1023" s="6">
        <f>IFERROR(__xludf.DUMMYFUNCTION("""COMPUTED_VALUE"""),12000)</f>
        <v/>
      </c>
      <c r="O1023" s="26" t="n"/>
    </row>
    <row r="1024">
      <c r="A1024" s="4">
        <f>IFERROR(__xludf.DUMMYFUNCTION("""COMPUTED_VALUE"""),0)</f>
        <v/>
      </c>
      <c r="O1024" s="26" t="n"/>
    </row>
    <row r="1025">
      <c r="A1025" s="4">
        <f>IFERROR(__xludf.DUMMYFUNCTION("""COMPUTED_VALUE"""),12000)</f>
        <v/>
      </c>
      <c r="O1025" s="26" t="n"/>
    </row>
    <row r="1026">
      <c r="A1026" s="4">
        <f>IFERROR(__xludf.DUMMYFUNCTION("""COMPUTED_VALUE"""),0)</f>
        <v/>
      </c>
      <c r="O1026" s="26" t="n"/>
    </row>
    <row r="1027">
      <c r="A1027" s="4">
        <f>IFERROR(__xludf.DUMMYFUNCTION("""COMPUTED_VALUE"""),12000)</f>
        <v/>
      </c>
      <c r="O1027" s="26" t="n"/>
    </row>
    <row r="1028">
      <c r="A1028" s="4">
        <f>IFERROR(__xludf.DUMMYFUNCTION("""COMPUTED_VALUE"""),12000)</f>
        <v/>
      </c>
      <c r="O1028" s="26" t="n"/>
    </row>
    <row r="1029">
      <c r="A1029" s="6">
        <f>IFERROR(__xludf.DUMMYFUNCTION("""COMPUTED_VALUE"""),12000)</f>
        <v/>
      </c>
      <c r="O1029" s="26" t="n"/>
    </row>
    <row r="1030">
      <c r="A1030" s="4">
        <f>IFERROR(__xludf.DUMMYFUNCTION("""COMPUTED_VALUE"""),0)</f>
        <v/>
      </c>
      <c r="O1030" s="26" t="n"/>
    </row>
    <row r="1031">
      <c r="A1031" s="4">
        <f>IFERROR(__xludf.DUMMYFUNCTION("""COMPUTED_VALUE"""),0)</f>
        <v/>
      </c>
      <c r="O1031" s="26" t="n"/>
    </row>
    <row r="1032">
      <c r="A1032" s="4">
        <f>IFERROR(__xludf.DUMMYFUNCTION("""COMPUTED_VALUE"""),12000)</f>
        <v/>
      </c>
      <c r="O1032" s="26" t="n"/>
    </row>
    <row r="1033">
      <c r="A1033" s="4">
        <f>IFERROR(__xludf.DUMMYFUNCTION("""COMPUTED_VALUE"""),0)</f>
        <v/>
      </c>
      <c r="O1033" s="26" t="n"/>
    </row>
    <row r="1034">
      <c r="A1034" s="4">
        <f>IFERROR(__xludf.DUMMYFUNCTION("""COMPUTED_VALUE"""),72000)</f>
        <v/>
      </c>
      <c r="O1034" s="26" t="n"/>
    </row>
    <row r="1035">
      <c r="A1035" s="6">
        <f>IFERROR(__xludf.DUMMYFUNCTION("""COMPUTED_VALUE"""),5358.0591150161)</f>
        <v/>
      </c>
      <c r="O1035" s="26" t="n"/>
    </row>
    <row r="1036">
      <c r="A1036" s="4" t="n"/>
      <c r="O1036" s="26" t="n"/>
    </row>
    <row r="1037">
      <c r="A1037" s="4" t="n"/>
      <c r="O1037" s="26" t="n"/>
    </row>
    <row r="1038">
      <c r="A1038" s="4" t="n"/>
      <c r="O1038" s="26" t="n"/>
    </row>
    <row r="1039">
      <c r="A1039" s="4" t="n"/>
      <c r="O1039" s="26" t="n"/>
    </row>
    <row r="1040">
      <c r="A1040" s="6">
        <f>IFERROR(__xludf.DUMMYFUNCTION("""COMPUTED_VALUE"""),11709)</f>
        <v/>
      </c>
      <c r="O1040" s="26" t="n"/>
    </row>
    <row r="1041">
      <c r="A1041" s="6">
        <f>IFERROR(__xludf.DUMMYFUNCTION("""COMPUTED_VALUE"""),5262)</f>
        <v/>
      </c>
      <c r="O1041" s="26" t="n"/>
    </row>
    <row r="1042">
      <c r="A1042" s="6">
        <f>IFERROR(__xludf.DUMMYFUNCTION("""COMPUTED_VALUE"""),4875)</f>
        <v/>
      </c>
      <c r="O1042" s="26" t="n"/>
    </row>
    <row r="1043">
      <c r="A1043" s="6">
        <f>IFERROR(__xludf.DUMMYFUNCTION("""COMPUTED_VALUE"""),5514)</f>
        <v/>
      </c>
      <c r="O1043" s="26" t="n"/>
    </row>
    <row r="1044">
      <c r="A1044" s="6">
        <f>IFERROR(__xludf.DUMMYFUNCTION("""COMPUTED_VALUE"""),0)</f>
        <v/>
      </c>
      <c r="O1044" s="26" t="n"/>
    </row>
    <row r="1045">
      <c r="A1045" s="6">
        <f>IFERROR(__xludf.DUMMYFUNCTION("""COMPUTED_VALUE"""),5237)</f>
        <v/>
      </c>
      <c r="O1045" s="26" t="n"/>
    </row>
    <row r="1046">
      <c r="A1046" s="6">
        <f>IFERROR(__xludf.DUMMYFUNCTION("""COMPUTED_VALUE"""),6231)</f>
        <v/>
      </c>
      <c r="O1046" s="26" t="n"/>
    </row>
    <row r="1047">
      <c r="A1047" s="6">
        <f>IFERROR(__xludf.DUMMYFUNCTION("""COMPUTED_VALUE"""),7045)</f>
        <v/>
      </c>
      <c r="O1047" s="26" t="n"/>
    </row>
    <row r="1048">
      <c r="A1048" s="6">
        <f>IFERROR(__xludf.DUMMYFUNCTION("""COMPUTED_VALUE"""),5556)</f>
        <v/>
      </c>
      <c r="O1048" s="26" t="n"/>
    </row>
    <row r="1049">
      <c r="A1049" s="6">
        <f>IFERROR(__xludf.DUMMYFUNCTION("""COMPUTED_VALUE"""),1489)</f>
        <v/>
      </c>
      <c r="O1049" s="26" t="n"/>
    </row>
    <row r="1050">
      <c r="A1050" s="4">
        <f>IFERROR(__xludf.DUMMYFUNCTION("""COMPUTED_VALUE"""),3631)</f>
        <v/>
      </c>
      <c r="O1050" s="26" t="n"/>
    </row>
    <row r="1051">
      <c r="A1051" s="4">
        <f>IFERROR(__xludf.DUMMYFUNCTION("""COMPUTED_VALUE"""),56549)</f>
        <v/>
      </c>
      <c r="O1051" s="26" t="n"/>
    </row>
    <row r="1052">
      <c r="A1052" s="6">
        <f>IFERROR(__xludf.DUMMYFUNCTION("""COMPUTED_VALUE"""),-10541.9018608224)</f>
        <v/>
      </c>
      <c r="O1052" s="26" t="n"/>
    </row>
    <row r="1053">
      <c r="A1053" s="4" t="n"/>
      <c r="O1053" s="26" t="n"/>
    </row>
    <row r="1054">
      <c r="A1054" s="4" t="n"/>
      <c r="O1054" s="26" t="n"/>
    </row>
    <row r="1055">
      <c r="A1055" s="4" t="n"/>
      <c r="O1055" s="26" t="n"/>
    </row>
    <row r="1056">
      <c r="A1056" s="4" t="n"/>
      <c r="O1056" s="26" t="n"/>
    </row>
    <row r="1057">
      <c r="A1057" s="6">
        <f>IFERROR(__xludf.DUMMYFUNCTION("""COMPUTED_VALUE"""),6247)</f>
        <v/>
      </c>
      <c r="O1057" s="26" t="n"/>
    </row>
    <row r="1058">
      <c r="A1058" s="6">
        <f>IFERROR(__xludf.DUMMYFUNCTION("""COMPUTED_VALUE"""),0)</f>
        <v/>
      </c>
      <c r="O1058" s="26" t="n"/>
    </row>
    <row r="1059">
      <c r="A1059" s="6">
        <f>IFERROR(__xludf.DUMMYFUNCTION("""COMPUTED_VALUE"""),5152)</f>
        <v/>
      </c>
      <c r="O1059" s="26" t="n"/>
    </row>
    <row r="1060">
      <c r="A1060" s="6">
        <f>IFERROR(__xludf.DUMMYFUNCTION("""COMPUTED_VALUE"""),6161)</f>
        <v/>
      </c>
      <c r="O1060" s="26" t="n"/>
    </row>
    <row r="1061">
      <c r="A1061" s="6">
        <f>IFERROR(__xludf.DUMMYFUNCTION("""COMPUTED_VALUE"""),0)</f>
        <v/>
      </c>
      <c r="O1061" s="26" t="n"/>
    </row>
    <row r="1062">
      <c r="A1062" s="6">
        <f>IFERROR(__xludf.DUMMYFUNCTION("""COMPUTED_VALUE"""),5511)</f>
        <v/>
      </c>
      <c r="O1062" s="26" t="n"/>
    </row>
    <row r="1063">
      <c r="A1063" s="6">
        <f>IFERROR(__xludf.DUMMYFUNCTION("""COMPUTED_VALUE"""),0)</f>
        <v/>
      </c>
      <c r="O1063" s="26" t="n"/>
    </row>
    <row r="1064">
      <c r="A1064" s="6">
        <f>IFERROR(__xludf.DUMMYFUNCTION("""COMPUTED_VALUE"""),6231)</f>
        <v/>
      </c>
      <c r="O1064" s="26" t="n"/>
    </row>
    <row r="1065">
      <c r="A1065" s="6">
        <f>IFERROR(__xludf.DUMMYFUNCTION("""COMPUTED_VALUE"""),0)</f>
        <v/>
      </c>
      <c r="O1065" s="26" t="n"/>
    </row>
    <row r="1066">
      <c r="A1066" s="6">
        <f>IFERROR(__xludf.DUMMYFUNCTION("""COMPUTED_VALUE"""),5781)</f>
        <v/>
      </c>
      <c r="O1066" s="26" t="n"/>
    </row>
    <row r="1067">
      <c r="A1067" s="4">
        <f>IFERROR(__xludf.DUMMYFUNCTION("""COMPUTED_VALUE"""),5832)</f>
        <v/>
      </c>
      <c r="O1067" s="26" t="n"/>
    </row>
    <row r="1068">
      <c r="A1068" s="4">
        <f>IFERROR(__xludf.DUMMYFUNCTION("""COMPUTED_VALUE"""),40915)</f>
        <v/>
      </c>
      <c r="O1068" s="26" t="n"/>
    </row>
    <row r="1069">
      <c r="A1069" s="6">
        <f>IFERROR(__xludf.DUMMYFUNCTION("""COMPUTED_VALUE"""),-37677.8262869147)</f>
        <v/>
      </c>
      <c r="O1069" s="26" t="n"/>
    </row>
    <row r="1070">
      <c r="A1070" s="4" t="n"/>
      <c r="O1070" s="26" t="n"/>
    </row>
    <row r="1071">
      <c r="A1071" s="4" t="n"/>
      <c r="O1071" s="26" t="n"/>
    </row>
    <row r="1072">
      <c r="A1072" s="4" t="n"/>
      <c r="O1072" s="26" t="n"/>
    </row>
    <row r="1073">
      <c r="A1073" s="4" t="n"/>
      <c r="O1073" s="26" t="n"/>
    </row>
    <row r="1074">
      <c r="A1074" s="4">
        <f>IFERROR(__xludf.DUMMYFUNCTION("""COMPUTED_VALUE"""),5625)</f>
        <v/>
      </c>
      <c r="O1074" s="26" t="n"/>
    </row>
    <row r="1075">
      <c r="A1075" s="4">
        <f>IFERROR(__xludf.DUMMYFUNCTION("""COMPUTED_VALUE"""),4119)</f>
        <v/>
      </c>
      <c r="O1075" s="26" t="n"/>
    </row>
    <row r="1076">
      <c r="A1076" s="4">
        <f>IFERROR(__xludf.DUMMYFUNCTION("""COMPUTED_VALUE"""),4962)</f>
        <v/>
      </c>
      <c r="O1076" s="26" t="n"/>
    </row>
    <row r="1077">
      <c r="A1077" s="4">
        <f>IFERROR(__xludf.DUMMYFUNCTION("""COMPUTED_VALUE"""),5875)</f>
        <v/>
      </c>
      <c r="O1077" s="26" t="n"/>
    </row>
    <row r="1078">
      <c r="A1078" s="4">
        <f>IFERROR(__xludf.DUMMYFUNCTION("""COMPUTED_VALUE"""),0)</f>
        <v/>
      </c>
      <c r="O1078" s="26" t="n"/>
    </row>
    <row r="1079">
      <c r="A1079" s="6">
        <f>IFERROR(__xludf.DUMMYFUNCTION("""COMPUTED_VALUE"""),5154)</f>
        <v/>
      </c>
      <c r="O1079" s="26" t="n"/>
    </row>
    <row r="1080">
      <c r="A1080" s="6">
        <f>IFERROR(__xludf.DUMMYFUNCTION("""COMPUTED_VALUE"""),0)</f>
        <v/>
      </c>
      <c r="O1080" s="26" t="n"/>
    </row>
    <row r="1081">
      <c r="A1081" s="4">
        <f>IFERROR(__xludf.DUMMYFUNCTION("""COMPUTED_VALUE"""),6114)</f>
        <v/>
      </c>
      <c r="O1081" s="26" t="n"/>
    </row>
    <row r="1082">
      <c r="A1082" s="4">
        <f>IFERROR(__xludf.DUMMYFUNCTION("""COMPUTED_VALUE"""),5460)</f>
        <v/>
      </c>
      <c r="O1082" s="26" t="n"/>
    </row>
    <row r="1083">
      <c r="A1083" s="4">
        <f>IFERROR(__xludf.DUMMYFUNCTION("""COMPUTED_VALUE"""),5387)</f>
        <v/>
      </c>
      <c r="O1083" s="26" t="n"/>
    </row>
    <row r="1084">
      <c r="A1084" s="4">
        <f>IFERROR(__xludf.DUMMYFUNCTION("""COMPUTED_VALUE"""),5366)</f>
        <v/>
      </c>
      <c r="O1084" s="26" t="n"/>
    </row>
    <row r="1085">
      <c r="A1085" s="4">
        <f>IFERROR(__xludf.DUMMYFUNCTION("""COMPUTED_VALUE"""),48062)</f>
        <v/>
      </c>
      <c r="O1085" s="26" t="n"/>
    </row>
    <row r="1086">
      <c r="A1086" s="6">
        <f>IFERROR(__xludf.DUMMYFUNCTION("""COMPUTED_VALUE"""),-19125.2071393933)</f>
        <v/>
      </c>
      <c r="O1086" s="26" t="n"/>
    </row>
    <row r="1087">
      <c r="A1087" s="4" t="n"/>
      <c r="O1087" s="26" t="n"/>
    </row>
    <row r="1088">
      <c r="A1088" s="4" t="n"/>
      <c r="O1088" s="26" t="n"/>
    </row>
    <row r="1089">
      <c r="O1089" s="26" t="n"/>
    </row>
    <row r="1090">
      <c r="O1090" s="26" t="n"/>
    </row>
    <row r="1091">
      <c r="O1091" s="26" t="n"/>
    </row>
    <row r="1092">
      <c r="O1092" s="26" t="n"/>
    </row>
    <row r="1093">
      <c r="O1093" s="26" t="n"/>
    </row>
    <row r="1094">
      <c r="O1094" s="26" t="n"/>
    </row>
    <row r="1095">
      <c r="O1095" s="26" t="n"/>
    </row>
    <row r="1096">
      <c r="O1096" s="26" t="n"/>
    </row>
    <row r="1097">
      <c r="O1097" s="26" t="n"/>
    </row>
    <row r="1098">
      <c r="O1098" s="26" t="n"/>
    </row>
    <row r="1099">
      <c r="O1099" s="26" t="n"/>
    </row>
    <row r="1100">
      <c r="O1100" s="26" t="n"/>
    </row>
    <row r="1101">
      <c r="O1101" s="26" t="n"/>
    </row>
    <row r="1102">
      <c r="O1102" s="26" t="n"/>
    </row>
    <row r="1103">
      <c r="O1103" s="26" t="n"/>
    </row>
    <row r="1104">
      <c r="O1104" s="26" t="n"/>
    </row>
    <row r="1105">
      <c r="O1105" s="26" t="n"/>
    </row>
    <row r="1106">
      <c r="O1106" s="26" t="n"/>
    </row>
    <row r="1107">
      <c r="O1107" s="26" t="n"/>
    </row>
    <row r="1108">
      <c r="O1108" s="26" t="n"/>
    </row>
    <row r="1109">
      <c r="O1109" s="26" t="n"/>
    </row>
    <row r="1110">
      <c r="O1110" s="26" t="n"/>
    </row>
    <row r="1111">
      <c r="O1111" s="26" t="n"/>
    </row>
    <row r="1112">
      <c r="O1112" s="26" t="n"/>
    </row>
    <row r="1113">
      <c r="O1113" s="26" t="n"/>
    </row>
    <row r="1114">
      <c r="O1114" s="26" t="n"/>
    </row>
    <row r="1115">
      <c r="O1115" s="26" t="n"/>
    </row>
    <row r="1116">
      <c r="O1116" s="26" t="n"/>
    </row>
    <row r="1117">
      <c r="O1117" s="26" t="n"/>
    </row>
    <row r="1118">
      <c r="O1118" s="26" t="n"/>
    </row>
    <row r="1119">
      <c r="O1119" s="26" t="n"/>
    </row>
    <row r="1120">
      <c r="O1120" s="26" t="n"/>
    </row>
    <row r="1121">
      <c r="O1121" s="26" t="n"/>
    </row>
    <row r="1122">
      <c r="O1122" s="26" t="n"/>
    </row>
    <row r="1123">
      <c r="O1123" s="26" t="n"/>
    </row>
    <row r="1124">
      <c r="O1124" s="26" t="n"/>
    </row>
    <row r="1125">
      <c r="O1125" s="26" t="n"/>
    </row>
    <row r="1126">
      <c r="O1126" s="26" t="n"/>
    </row>
    <row r="1127">
      <c r="O1127" s="26" t="n"/>
    </row>
    <row r="1128">
      <c r="O1128" s="26" t="n"/>
    </row>
    <row r="1129">
      <c r="O1129" s="26" t="n"/>
    </row>
    <row r="1130">
      <c r="O1130" s="26" t="n"/>
    </row>
    <row r="1131">
      <c r="O1131" s="26" t="n"/>
    </row>
    <row r="1132">
      <c r="O1132" s="26" t="n"/>
    </row>
    <row r="1133">
      <c r="O1133" s="26" t="n"/>
    </row>
    <row r="1134">
      <c r="O1134" s="26" t="n"/>
    </row>
    <row r="1135">
      <c r="O1135" s="26" t="n"/>
    </row>
    <row r="1136">
      <c r="O1136" s="26" t="n"/>
    </row>
    <row r="1137">
      <c r="O1137" s="26" t="n"/>
    </row>
    <row r="1138">
      <c r="O1138" s="26" t="n"/>
    </row>
    <row r="1139">
      <c r="O1139" s="26" t="n"/>
    </row>
    <row r="1140">
      <c r="O1140" s="26" t="n"/>
    </row>
    <row r="1141">
      <c r="O1141" s="26" t="n"/>
    </row>
    <row r="1142">
      <c r="O1142" s="26" t="n"/>
    </row>
    <row r="1143">
      <c r="O1143" s="26" t="n"/>
    </row>
    <row r="1144">
      <c r="O1144" s="26" t="n"/>
    </row>
    <row r="1145">
      <c r="O1145" s="26" t="n"/>
    </row>
    <row r="1146">
      <c r="O1146" s="26" t="n"/>
    </row>
    <row r="1147">
      <c r="O1147" s="26" t="n"/>
    </row>
    <row r="1148">
      <c r="O1148" s="26" t="n"/>
    </row>
    <row r="1149">
      <c r="O1149" s="26" t="n"/>
    </row>
    <row r="1150">
      <c r="O1150" s="26" t="n"/>
    </row>
    <row r="1151">
      <c r="O1151" s="26" t="n"/>
    </row>
    <row r="1152">
      <c r="O1152" s="26" t="n"/>
    </row>
    <row r="1153">
      <c r="O1153" s="26" t="n"/>
    </row>
    <row r="1154">
      <c r="O1154" s="26" t="n"/>
    </row>
    <row r="1155">
      <c r="O1155" s="26" t="n"/>
    </row>
    <row r="1156">
      <c r="O1156" s="26" t="n"/>
    </row>
    <row r="1157">
      <c r="O1157" s="26" t="n"/>
    </row>
    <row r="1158">
      <c r="O1158" s="26" t="n"/>
    </row>
    <row r="1159">
      <c r="O1159" s="26" t="n"/>
    </row>
    <row r="1160">
      <c r="O1160" s="26" t="n"/>
    </row>
    <row r="1161">
      <c r="O1161" s="26" t="n"/>
    </row>
    <row r="1162">
      <c r="O1162" s="26" t="n"/>
    </row>
    <row r="1163">
      <c r="O1163" s="26" t="n"/>
    </row>
    <row r="1164">
      <c r="O1164" s="26" t="n"/>
    </row>
    <row r="1165">
      <c r="O1165" s="26" t="n"/>
    </row>
    <row r="1166">
      <c r="O1166" s="26" t="n"/>
    </row>
    <row r="1167">
      <c r="O1167" s="26" t="n"/>
    </row>
    <row r="1168">
      <c r="O1168" s="26" t="n"/>
    </row>
    <row r="1169">
      <c r="O1169" s="26" t="n"/>
    </row>
    <row r="1170">
      <c r="O1170" s="26" t="n"/>
    </row>
    <row r="1171">
      <c r="O1171" s="26" t="n"/>
    </row>
    <row r="1172">
      <c r="O1172" s="26" t="n"/>
    </row>
    <row r="1173">
      <c r="O1173" s="26" t="n"/>
    </row>
    <row r="1174">
      <c r="O1174" s="26" t="n"/>
    </row>
    <row r="1175">
      <c r="O1175" s="26" t="n"/>
    </row>
    <row r="1176">
      <c r="O1176" s="26" t="n"/>
    </row>
    <row r="1177">
      <c r="O1177" s="26" t="n"/>
    </row>
    <row r="1178">
      <c r="O1178" s="26" t="n"/>
    </row>
    <row r="1179">
      <c r="O1179" s="26" t="n"/>
    </row>
    <row r="1180">
      <c r="O1180" s="26" t="n"/>
    </row>
    <row r="1181">
      <c r="O1181" s="26" t="n"/>
    </row>
    <row r="1182">
      <c r="O1182" s="26" t="n"/>
    </row>
    <row r="1183">
      <c r="O1183" s="26" t="n"/>
    </row>
    <row r="1184">
      <c r="O1184" s="26" t="n"/>
    </row>
    <row r="1185">
      <c r="O1185" s="26" t="n"/>
    </row>
    <row r="1186">
      <c r="O1186" s="26" t="n"/>
    </row>
    <row r="1187">
      <c r="O1187" s="26" t="n"/>
    </row>
    <row r="1188">
      <c r="O1188" s="26" t="n"/>
    </row>
    <row r="1189">
      <c r="O1189" s="26" t="n"/>
    </row>
    <row r="1190">
      <c r="O1190" s="26" t="n"/>
    </row>
    <row r="1191">
      <c r="O1191" s="26" t="n"/>
    </row>
    <row r="1192">
      <c r="O1192" s="26" t="n"/>
    </row>
    <row r="1193">
      <c r="O1193" s="26" t="n"/>
    </row>
    <row r="1194">
      <c r="O1194" s="26" t="n"/>
    </row>
    <row r="1195">
      <c r="O1195" s="26" t="n"/>
    </row>
    <row r="1196">
      <c r="O1196" s="26" t="n"/>
    </row>
    <row r="1197">
      <c r="O1197" s="26" t="n"/>
    </row>
    <row r="1198">
      <c r="O1198" s="26" t="n"/>
    </row>
    <row r="1199">
      <c r="O1199" s="26" t="n"/>
    </row>
    <row r="1200">
      <c r="O1200" s="26" t="n"/>
    </row>
    <row r="1201">
      <c r="O1201" s="26" t="n"/>
    </row>
    <row r="1202">
      <c r="O1202" s="26" t="n"/>
    </row>
    <row r="1203">
      <c r="O1203" s="26" t="n"/>
    </row>
    <row r="1204">
      <c r="O1204" s="26" t="n"/>
    </row>
    <row r="1205">
      <c r="O1205" s="26" t="n"/>
    </row>
    <row r="1206">
      <c r="O1206" s="26" t="n"/>
    </row>
    <row r="1207">
      <c r="O1207" s="26" t="n"/>
    </row>
    <row r="1208">
      <c r="O1208" s="26" t="n"/>
    </row>
    <row r="1209">
      <c r="O1209" s="26" t="n"/>
    </row>
    <row r="1210">
      <c r="O1210" s="26" t="n"/>
    </row>
    <row r="1211">
      <c r="O1211" s="26" t="n"/>
    </row>
    <row r="1212">
      <c r="O1212" s="26" t="n"/>
    </row>
    <row r="1213">
      <c r="O1213" s="26" t="n"/>
    </row>
    <row r="1214">
      <c r="O1214" s="26" t="n"/>
    </row>
    <row r="1215">
      <c r="O1215" s="26" t="n"/>
    </row>
    <row r="1216">
      <c r="O1216" s="26" t="n"/>
    </row>
    <row r="1217">
      <c r="O1217" s="26" t="n"/>
    </row>
    <row r="1218">
      <c r="O1218" s="26" t="n"/>
    </row>
    <row r="1219">
      <c r="O1219" s="26" t="n"/>
    </row>
    <row r="1220">
      <c r="O1220" s="26" t="n"/>
    </row>
    <row r="1221">
      <c r="O1221" s="26" t="n"/>
    </row>
    <row r="1222">
      <c r="O1222" s="26" t="n"/>
    </row>
    <row r="1223">
      <c r="O1223" s="26" t="n"/>
    </row>
    <row r="1224">
      <c r="O1224" s="26" t="n"/>
    </row>
    <row r="1225">
      <c r="O1225" s="26" t="n"/>
    </row>
    <row r="1226">
      <c r="O1226" s="26" t="n"/>
    </row>
    <row r="1227">
      <c r="O1227" s="26" t="n"/>
    </row>
    <row r="1228">
      <c r="O1228" s="26" t="n"/>
    </row>
    <row r="1229">
      <c r="O1229" s="26" t="n"/>
    </row>
    <row r="1230">
      <c r="O1230" s="26" t="n"/>
    </row>
    <row r="1231">
      <c r="O1231" s="26" t="n"/>
    </row>
    <row r="1232">
      <c r="O1232" s="26" t="n"/>
    </row>
    <row r="1233">
      <c r="O1233" s="26" t="n"/>
    </row>
    <row r="1234">
      <c r="O1234" s="26" t="n"/>
    </row>
    <row r="1235">
      <c r="O1235" s="26" t="n"/>
    </row>
    <row r="1236">
      <c r="O1236" s="26" t="n"/>
    </row>
    <row r="1237">
      <c r="O1237" s="26" t="n"/>
    </row>
    <row r="1238">
      <c r="O1238" s="26" t="n"/>
    </row>
    <row r="1239">
      <c r="O1239" s="26" t="n"/>
    </row>
    <row r="1240">
      <c r="O1240" s="26" t="n"/>
    </row>
    <row r="1241">
      <c r="O1241" s="26" t="n"/>
    </row>
    <row r="1242">
      <c r="O1242" s="26" t="n"/>
    </row>
    <row r="1243">
      <c r="O1243" s="26" t="n"/>
    </row>
    <row r="1244">
      <c r="O1244" s="26" t="n"/>
    </row>
    <row r="1245">
      <c r="O1245" s="26" t="n"/>
    </row>
    <row r="1246">
      <c r="O1246" s="26" t="n"/>
    </row>
    <row r="1247">
      <c r="O1247" s="26" t="n"/>
    </row>
    <row r="1248">
      <c r="O1248" s="26" t="n"/>
    </row>
    <row r="1249">
      <c r="O1249" s="26" t="n"/>
    </row>
    <row r="1250">
      <c r="O1250" s="26" t="n"/>
    </row>
    <row r="1251">
      <c r="O1251" s="26" t="n"/>
    </row>
    <row r="1252">
      <c r="O1252" s="26" t="n"/>
    </row>
    <row r="1253">
      <c r="O1253" s="26" t="n"/>
    </row>
    <row r="1254">
      <c r="O1254" s="26" t="n"/>
    </row>
    <row r="1255">
      <c r="O1255" s="26" t="n"/>
    </row>
    <row r="1256">
      <c r="O1256" s="26" t="n"/>
    </row>
    <row r="1257">
      <c r="O1257" s="26" t="n"/>
    </row>
    <row r="1258">
      <c r="O1258" s="26" t="n"/>
    </row>
    <row r="1259">
      <c r="O1259" s="26" t="n"/>
    </row>
    <row r="1260">
      <c r="O1260" s="26" t="n"/>
    </row>
    <row r="1261">
      <c r="O1261" s="26" t="n"/>
    </row>
    <row r="1262">
      <c r="O1262" s="26" t="n"/>
    </row>
    <row r="1263">
      <c r="O1263" s="26" t="n"/>
    </row>
    <row r="1264">
      <c r="O1264" s="26" t="n"/>
    </row>
    <row r="1265">
      <c r="O1265" s="26" t="n"/>
    </row>
    <row r="1266">
      <c r="O1266" s="26" t="n"/>
    </row>
    <row r="1267">
      <c r="O1267" s="26" t="n"/>
    </row>
    <row r="1268">
      <c r="O1268" s="26" t="n"/>
    </row>
    <row r="1269">
      <c r="O1269" s="26" t="n"/>
    </row>
    <row r="1270">
      <c r="O1270" s="26" t="n"/>
    </row>
    <row r="1271">
      <c r="O1271" s="26" t="n"/>
    </row>
    <row r="1272">
      <c r="O1272" s="26" t="n"/>
    </row>
    <row r="1273">
      <c r="O1273" s="26" t="n"/>
    </row>
    <row r="1274">
      <c r="O1274" s="26" t="n"/>
    </row>
    <row r="1275">
      <c r="O1275" s="26" t="n"/>
    </row>
    <row r="1276">
      <c r="O1276" s="26" t="n"/>
    </row>
    <row r="1277">
      <c r="O1277" s="26" t="n"/>
    </row>
    <row r="1278">
      <c r="O1278" s="26" t="n"/>
    </row>
    <row r="1279">
      <c r="O1279" s="26" t="n"/>
    </row>
    <row r="1280">
      <c r="O1280" s="26" t="n"/>
    </row>
    <row r="1281">
      <c r="O1281" s="26" t="n"/>
    </row>
    <row r="1282">
      <c r="O1282" s="26" t="n"/>
    </row>
    <row r="1283">
      <c r="O1283" s="26" t="n"/>
    </row>
    <row r="1284">
      <c r="O1284" s="26" t="n"/>
    </row>
    <row r="1285">
      <c r="O1285" s="26" t="n"/>
    </row>
    <row r="1286">
      <c r="O1286" s="26" t="n"/>
    </row>
    <row r="1287">
      <c r="O1287" s="26" t="n"/>
    </row>
    <row r="1288">
      <c r="O1288" s="26" t="n"/>
    </row>
    <row r="1289">
      <c r="O1289" s="26" t="n"/>
    </row>
    <row r="1290">
      <c r="O1290" s="26" t="n"/>
    </row>
    <row r="1291">
      <c r="O1291" s="26" t="n"/>
    </row>
    <row r="1292">
      <c r="O1292" s="26" t="n"/>
    </row>
    <row r="1293">
      <c r="O1293" s="26" t="n"/>
    </row>
    <row r="1294">
      <c r="O1294" s="26" t="n"/>
    </row>
    <row r="1295">
      <c r="O1295" s="26" t="n"/>
    </row>
    <row r="1296">
      <c r="O1296" s="26" t="n"/>
    </row>
    <row r="1297">
      <c r="O1297" s="26" t="n"/>
    </row>
    <row r="1298">
      <c r="O1298" s="26" t="n"/>
    </row>
    <row r="1299">
      <c r="O1299" s="26" t="n"/>
    </row>
    <row r="1300">
      <c r="O1300" s="26" t="n"/>
    </row>
    <row r="1301">
      <c r="O1301" s="26" t="n"/>
    </row>
    <row r="1302">
      <c r="O1302" s="26" t="n"/>
    </row>
    <row r="1303">
      <c r="O1303" s="26" t="n"/>
    </row>
    <row r="1304">
      <c r="O1304" s="26" t="n"/>
    </row>
    <row r="1305">
      <c r="O1305" s="26" t="n"/>
    </row>
    <row r="1306">
      <c r="O1306" s="26" t="n"/>
    </row>
    <row r="1307">
      <c r="O1307" s="26" t="n"/>
    </row>
    <row r="1308">
      <c r="O1308" s="26" t="n"/>
    </row>
    <row r="1309">
      <c r="O1309" s="26" t="n"/>
    </row>
    <row r="1310">
      <c r="O1310" s="26" t="n"/>
    </row>
    <row r="1311">
      <c r="O1311" s="26" t="n"/>
    </row>
    <row r="1312">
      <c r="O1312" s="26" t="n"/>
    </row>
    <row r="1313">
      <c r="O1313" s="26" t="n"/>
    </row>
    <row r="1314">
      <c r="O1314" s="26" t="n"/>
    </row>
    <row r="1315">
      <c r="O1315" s="26" t="n"/>
    </row>
    <row r="1316">
      <c r="O1316" s="26" t="n"/>
    </row>
    <row r="1317">
      <c r="O1317" s="26" t="n"/>
    </row>
    <row r="1318">
      <c r="O1318" s="26" t="n"/>
    </row>
    <row r="1319">
      <c r="O1319" s="26" t="n"/>
    </row>
    <row r="1320">
      <c r="O1320" s="26" t="n"/>
    </row>
    <row r="1321">
      <c r="O1321" s="26" t="n"/>
    </row>
    <row r="1322">
      <c r="O1322" s="26" t="n"/>
    </row>
    <row r="1323">
      <c r="O1323" s="26" t="n"/>
    </row>
    <row r="1324">
      <c r="O1324" s="26" t="n"/>
    </row>
    <row r="1325">
      <c r="O1325" s="26" t="n"/>
    </row>
    <row r="1326">
      <c r="O1326" s="26" t="n"/>
    </row>
    <row r="1327">
      <c r="O1327" s="26" t="n"/>
    </row>
    <row r="1328">
      <c r="O1328" s="26" t="n"/>
    </row>
    <row r="1329">
      <c r="O1329" s="26" t="n"/>
    </row>
    <row r="1330">
      <c r="O1330" s="26" t="n"/>
    </row>
    <row r="1331">
      <c r="O1331" s="26" t="n"/>
    </row>
    <row r="1332">
      <c r="O1332" s="26" t="n"/>
    </row>
    <row r="1333">
      <c r="O1333" s="26" t="n"/>
    </row>
    <row r="1334">
      <c r="O1334" s="26" t="n"/>
    </row>
    <row r="1335">
      <c r="O1335" s="26" t="n"/>
    </row>
    <row r="1336">
      <c r="O1336" s="26" t="n"/>
    </row>
    <row r="1337">
      <c r="O1337" s="26" t="n"/>
    </row>
    <row r="1338">
      <c r="O1338" s="26" t="n"/>
    </row>
    <row r="1339">
      <c r="O1339" s="26" t="n"/>
    </row>
    <row r="1340">
      <c r="O1340" s="26" t="n"/>
    </row>
    <row r="1341">
      <c r="O1341" s="26" t="n"/>
    </row>
    <row r="1342">
      <c r="O1342" s="26" t="n"/>
    </row>
    <row r="1343">
      <c r="O1343" s="26" t="n"/>
    </row>
    <row r="1344">
      <c r="O1344" s="26" t="n"/>
    </row>
    <row r="1345">
      <c r="O1345" s="26" t="n"/>
    </row>
    <row r="1346">
      <c r="O1346" s="26" t="n"/>
    </row>
    <row r="1347">
      <c r="O1347" s="26" t="n"/>
    </row>
    <row r="1348">
      <c r="O1348" s="26" t="n"/>
    </row>
    <row r="1349">
      <c r="O1349" s="26" t="n"/>
    </row>
    <row r="1350">
      <c r="O1350" s="26" t="n"/>
    </row>
    <row r="1351">
      <c r="O1351" s="26" t="n"/>
    </row>
    <row r="1352">
      <c r="O1352" s="26" t="n"/>
    </row>
    <row r="1353">
      <c r="O1353" s="26" t="n"/>
    </row>
    <row r="1354">
      <c r="O1354" s="26" t="n"/>
    </row>
    <row r="1355">
      <c r="O1355" s="26" t="n"/>
    </row>
    <row r="1356">
      <c r="O1356" s="26" t="n"/>
    </row>
    <row r="1357">
      <c r="O1357" s="26" t="n"/>
    </row>
    <row r="1358">
      <c r="O1358" s="26" t="n"/>
    </row>
    <row r="1359">
      <c r="O1359" s="26" t="n"/>
    </row>
    <row r="1360">
      <c r="O1360" s="26" t="n"/>
    </row>
    <row r="1361">
      <c r="O1361" s="26" t="n"/>
    </row>
    <row r="1362">
      <c r="O1362" s="26" t="n"/>
    </row>
    <row r="1363">
      <c r="O1363" s="26" t="n"/>
    </row>
    <row r="1364">
      <c r="O1364" s="26" t="n"/>
    </row>
    <row r="1365">
      <c r="O1365" s="26" t="n"/>
    </row>
    <row r="1366">
      <c r="O1366" s="26" t="n"/>
    </row>
    <row r="1367">
      <c r="O1367" s="26" t="n"/>
    </row>
    <row r="1368">
      <c r="O1368" s="26" t="n"/>
    </row>
    <row r="1369">
      <c r="O1369" s="26" t="n"/>
    </row>
    <row r="1370">
      <c r="O1370" s="26" t="n"/>
    </row>
    <row r="1371">
      <c r="O1371" s="26" t="n"/>
    </row>
    <row r="1372">
      <c r="O1372" s="26" t="n"/>
    </row>
    <row r="1373">
      <c r="O1373" s="26" t="n"/>
    </row>
    <row r="1374">
      <c r="O1374" s="26" t="n"/>
    </row>
    <row r="1375">
      <c r="O1375" s="26" t="n"/>
    </row>
    <row r="1376">
      <c r="O1376" s="26" t="n"/>
    </row>
    <row r="1377">
      <c r="O1377" s="26" t="n"/>
    </row>
    <row r="1378">
      <c r="O1378" s="26" t="n"/>
    </row>
    <row r="1379">
      <c r="O1379" s="26" t="n"/>
    </row>
    <row r="1380">
      <c r="O1380" s="26" t="n"/>
    </row>
    <row r="1381">
      <c r="O1381" s="26" t="n"/>
    </row>
    <row r="1382">
      <c r="O1382" s="26" t="n"/>
    </row>
    <row r="1383">
      <c r="O1383" s="26" t="n"/>
    </row>
    <row r="1384">
      <c r="O1384" s="26" t="n"/>
    </row>
    <row r="1385">
      <c r="O1385" s="26" t="n"/>
    </row>
    <row r="1386">
      <c r="O1386" s="26" t="n"/>
    </row>
    <row r="1387">
      <c r="O1387" s="26" t="n"/>
    </row>
    <row r="1388">
      <c r="O1388" s="26" t="n"/>
    </row>
    <row r="1389">
      <c r="O1389" s="26" t="n"/>
    </row>
    <row r="1390">
      <c r="O1390" s="26" t="n"/>
    </row>
    <row r="1391">
      <c r="O1391" s="26" t="n"/>
    </row>
    <row r="1392">
      <c r="O1392" s="26" t="n"/>
    </row>
    <row r="1393">
      <c r="O1393" s="26" t="n"/>
    </row>
    <row r="1394">
      <c r="O1394" s="26" t="n"/>
    </row>
    <row r="1395">
      <c r="O1395" s="26" t="n"/>
    </row>
    <row r="1396">
      <c r="O1396" s="26" t="n"/>
    </row>
    <row r="1397">
      <c r="O1397" s="26" t="n"/>
    </row>
    <row r="1398">
      <c r="O1398" s="26" t="n"/>
    </row>
    <row r="1399">
      <c r="O1399" s="26" t="n"/>
    </row>
    <row r="1400">
      <c r="O1400" s="26" t="n"/>
    </row>
    <row r="1401">
      <c r="O1401" s="26" t="n"/>
    </row>
    <row r="1402">
      <c r="O1402" s="26" t="n"/>
    </row>
    <row r="1403">
      <c r="O1403" s="26" t="n"/>
    </row>
    <row r="1404">
      <c r="O1404" s="26" t="n"/>
    </row>
    <row r="1405">
      <c r="O1405" s="26" t="n"/>
    </row>
    <row r="1406">
      <c r="O1406" s="26" t="n"/>
    </row>
    <row r="1407">
      <c r="O1407" s="26" t="n"/>
    </row>
    <row r="1408">
      <c r="O1408" s="26" t="n"/>
    </row>
    <row r="1409">
      <c r="O1409" s="26" t="n"/>
    </row>
    <row r="1410">
      <c r="O1410" s="26" t="n"/>
    </row>
    <row r="1411">
      <c r="O1411" s="26" t="n"/>
    </row>
    <row r="1412">
      <c r="O1412" s="26" t="n"/>
    </row>
    <row r="1413">
      <c r="O1413" s="26" t="n"/>
    </row>
    <row r="1414">
      <c r="O1414" s="26" t="n"/>
    </row>
    <row r="1415">
      <c r="O1415" s="26" t="n"/>
    </row>
    <row r="1416">
      <c r="O1416" s="26" t="n"/>
    </row>
    <row r="1417">
      <c r="O1417" s="26" t="n"/>
    </row>
    <row r="1418">
      <c r="O1418" s="26" t="n"/>
    </row>
    <row r="1419">
      <c r="O1419" s="26" t="n"/>
    </row>
    <row r="1420">
      <c r="O1420" s="26" t="n"/>
    </row>
    <row r="1421">
      <c r="O1421" s="26" t="n"/>
    </row>
    <row r="1422">
      <c r="O1422" s="26" t="n"/>
    </row>
    <row r="1423">
      <c r="O1423" s="26" t="n"/>
    </row>
    <row r="1424">
      <c r="O1424" s="26" t="n"/>
    </row>
    <row r="1425">
      <c r="O1425" s="26" t="n"/>
    </row>
    <row r="1426">
      <c r="O1426" s="26" t="n"/>
    </row>
    <row r="1427">
      <c r="O1427" s="26" t="n"/>
    </row>
    <row r="1428">
      <c r="O1428" s="26" t="n"/>
    </row>
    <row r="1429">
      <c r="O1429" s="26" t="n"/>
    </row>
    <row r="1430">
      <c r="O1430" s="26" t="n"/>
    </row>
    <row r="1431">
      <c r="O1431" s="26" t="n"/>
    </row>
    <row r="1432">
      <c r="O1432" s="26" t="n"/>
    </row>
    <row r="1433">
      <c r="O1433" s="26" t="n"/>
    </row>
    <row r="1434">
      <c r="O1434" s="26" t="n"/>
    </row>
    <row r="1435">
      <c r="O1435" s="26" t="n"/>
    </row>
    <row r="1436">
      <c r="O1436" s="26" t="n"/>
    </row>
    <row r="1437">
      <c r="O1437" s="26" t="n"/>
    </row>
    <row r="1438">
      <c r="O1438" s="26" t="n"/>
    </row>
    <row r="1439">
      <c r="O1439" s="26" t="n"/>
    </row>
    <row r="1440">
      <c r="O1440" s="26" t="n"/>
    </row>
    <row r="1441">
      <c r="O1441" s="26" t="n"/>
    </row>
    <row r="1442">
      <c r="O1442" s="26" t="n"/>
    </row>
    <row r="1443">
      <c r="O1443" s="26" t="n"/>
    </row>
    <row r="1444">
      <c r="O1444" s="26" t="n"/>
    </row>
    <row r="1445">
      <c r="O1445" s="26" t="n"/>
    </row>
    <row r="1446">
      <c r="O1446" s="26" t="n"/>
    </row>
    <row r="1447">
      <c r="O1447" s="26" t="n"/>
    </row>
    <row r="1448">
      <c r="O1448" s="26" t="n"/>
    </row>
    <row r="1449">
      <c r="O1449" s="26" t="n"/>
    </row>
    <row r="1450">
      <c r="O1450" s="26" t="n"/>
    </row>
    <row r="1451">
      <c r="O1451" s="26" t="n"/>
    </row>
    <row r="1452">
      <c r="O1452" s="26" t="n"/>
    </row>
    <row r="1453">
      <c r="O1453" s="26" t="n"/>
    </row>
    <row r="1454">
      <c r="O1454" s="26" t="n"/>
    </row>
    <row r="1455">
      <c r="O1455" s="26" t="n"/>
    </row>
    <row r="1456">
      <c r="O1456" s="26" t="n"/>
    </row>
    <row r="1457">
      <c r="O1457" s="26" t="n"/>
    </row>
    <row r="1458">
      <c r="O1458" s="26" t="n"/>
    </row>
    <row r="1459">
      <c r="O1459" s="26" t="n"/>
    </row>
    <row r="1460">
      <c r="O1460" s="26" t="n"/>
    </row>
    <row r="1461">
      <c r="O1461" s="26" t="n"/>
    </row>
    <row r="1462">
      <c r="O1462" s="26" t="n"/>
    </row>
    <row r="1463">
      <c r="O1463" s="26" t="n"/>
    </row>
    <row r="1464">
      <c r="O1464" s="26" t="n"/>
    </row>
    <row r="1465">
      <c r="O1465" s="26" t="n"/>
    </row>
    <row r="1466">
      <c r="O1466" s="26" t="n"/>
    </row>
    <row r="1467">
      <c r="O1467" s="26" t="n"/>
    </row>
    <row r="1468">
      <c r="O1468" s="26" t="n"/>
    </row>
    <row r="1469">
      <c r="O1469" s="26" t="n"/>
    </row>
    <row r="1470">
      <c r="O1470" s="26" t="n"/>
    </row>
    <row r="1471">
      <c r="O1471" s="26" t="n"/>
    </row>
    <row r="1472">
      <c r="O1472" s="26" t="n"/>
    </row>
    <row r="1473">
      <c r="O1473" s="26" t="n"/>
    </row>
    <row r="1474">
      <c r="O1474" s="26" t="n"/>
    </row>
    <row r="1475">
      <c r="O1475" s="26" t="n"/>
    </row>
    <row r="1476">
      <c r="O1476" s="26" t="n"/>
    </row>
    <row r="1477">
      <c r="O1477" s="26" t="n"/>
    </row>
    <row r="1478">
      <c r="O1478" s="26" t="n"/>
    </row>
    <row r="1479">
      <c r="O1479" s="26" t="n"/>
    </row>
    <row r="1480">
      <c r="O1480" s="26" t="n"/>
    </row>
    <row r="1481">
      <c r="O1481" s="26" t="n"/>
    </row>
    <row r="1482">
      <c r="O1482" s="26" t="n"/>
    </row>
    <row r="1483">
      <c r="O1483" s="26" t="n"/>
    </row>
    <row r="1484">
      <c r="O1484" s="26" t="n"/>
    </row>
    <row r="1485">
      <c r="O1485" s="26" t="n"/>
    </row>
    <row r="1486">
      <c r="O1486" s="26" t="n"/>
    </row>
    <row r="1487">
      <c r="O1487" s="26" t="n"/>
    </row>
    <row r="1488">
      <c r="O1488" s="26" t="n"/>
    </row>
    <row r="1489">
      <c r="O1489" s="26" t="n"/>
    </row>
    <row r="1490">
      <c r="O1490" s="26" t="n"/>
    </row>
    <row r="1491">
      <c r="O1491" s="26" t="n"/>
    </row>
    <row r="1492">
      <c r="O1492" s="26" t="n"/>
    </row>
    <row r="1493">
      <c r="O1493" s="26" t="n"/>
    </row>
    <row r="1494">
      <c r="O1494" s="26" t="n"/>
    </row>
    <row r="1495">
      <c r="O1495" s="26" t="n"/>
    </row>
    <row r="1496">
      <c r="O1496" s="26" t="n"/>
    </row>
    <row r="1497">
      <c r="O1497" s="26" t="n"/>
    </row>
    <row r="1498">
      <c r="O1498" s="26" t="n"/>
    </row>
    <row r="1499">
      <c r="O1499" s="26" t="n"/>
    </row>
    <row r="1500">
      <c r="O1500" s="26" t="n"/>
    </row>
    <row r="1501">
      <c r="O1501" s="26" t="n"/>
    </row>
    <row r="1502">
      <c r="O1502" s="26" t="n"/>
    </row>
    <row r="1503">
      <c r="O1503" s="26" t="n"/>
    </row>
    <row r="1504">
      <c r="O1504" s="26" t="n"/>
    </row>
    <row r="1505">
      <c r="O1505" s="26" t="n"/>
    </row>
    <row r="1506">
      <c r="O1506" s="26" t="n"/>
    </row>
    <row r="1507">
      <c r="O1507" s="26" t="n"/>
    </row>
    <row r="1508">
      <c r="O1508" s="26" t="n"/>
    </row>
    <row r="1509">
      <c r="O1509" s="26" t="n"/>
    </row>
    <row r="1510">
      <c r="O1510" s="26" t="n"/>
    </row>
    <row r="1511">
      <c r="O1511" s="26" t="n"/>
    </row>
    <row r="1512">
      <c r="O1512" s="26" t="n"/>
    </row>
    <row r="1513">
      <c r="O1513" s="26" t="n"/>
    </row>
    <row r="1514">
      <c r="O1514" s="26" t="n"/>
    </row>
    <row r="1515">
      <c r="O1515" s="26" t="n"/>
    </row>
    <row r="1516">
      <c r="O1516" s="26" t="n"/>
    </row>
    <row r="1517">
      <c r="O1517" s="26" t="n"/>
    </row>
    <row r="1518">
      <c r="O1518" s="26" t="n"/>
    </row>
    <row r="1519">
      <c r="O1519" s="26" t="n"/>
    </row>
    <row r="1520">
      <c r="O1520" s="26" t="n"/>
    </row>
    <row r="1521">
      <c r="O1521" s="26" t="n"/>
    </row>
    <row r="1522">
      <c r="O1522" s="26" t="n"/>
    </row>
    <row r="1523">
      <c r="O1523" s="26" t="n"/>
    </row>
    <row r="1524">
      <c r="O1524" s="26" t="n"/>
    </row>
    <row r="1525">
      <c r="O1525" s="26" t="n"/>
    </row>
    <row r="1526">
      <c r="O1526" s="26" t="n"/>
    </row>
    <row r="1527">
      <c r="O1527" s="26" t="n"/>
    </row>
    <row r="1528">
      <c r="O1528" s="26" t="n"/>
    </row>
    <row r="1529">
      <c r="O1529" s="26" t="n"/>
    </row>
    <row r="1530">
      <c r="O1530" s="26" t="n"/>
    </row>
    <row r="1531">
      <c r="O1531" s="26" t="n"/>
    </row>
    <row r="1532">
      <c r="O1532" s="26" t="n"/>
    </row>
    <row r="1533">
      <c r="O1533" s="26" t="n"/>
    </row>
    <row r="1534">
      <c r="O1534" s="26" t="n"/>
    </row>
    <row r="1535">
      <c r="O1535" s="26" t="n"/>
    </row>
    <row r="1536">
      <c r="O1536" s="26" t="n"/>
    </row>
    <row r="1537">
      <c r="O1537" s="26" t="n"/>
    </row>
    <row r="1538">
      <c r="O1538" s="26" t="n"/>
    </row>
    <row r="1539">
      <c r="O1539" s="26" t="n"/>
    </row>
    <row r="1540">
      <c r="O1540" s="26" t="n"/>
    </row>
    <row r="1541">
      <c r="O1541" s="26" t="n"/>
    </row>
    <row r="1542">
      <c r="O1542" s="26" t="n"/>
    </row>
    <row r="1543">
      <c r="O1543" s="26" t="n"/>
    </row>
    <row r="1544">
      <c r="O1544" s="26" t="n"/>
    </row>
    <row r="1545">
      <c r="O1545" s="26" t="n"/>
    </row>
    <row r="1546">
      <c r="O1546" s="26" t="n"/>
    </row>
    <row r="1547">
      <c r="O1547" s="26" t="n"/>
    </row>
    <row r="1548">
      <c r="O1548" s="26" t="n"/>
    </row>
    <row r="1549">
      <c r="O1549" s="26" t="n"/>
    </row>
    <row r="1550">
      <c r="O1550" s="26" t="n"/>
    </row>
    <row r="1551">
      <c r="O1551" s="26" t="n"/>
    </row>
    <row r="1552">
      <c r="O1552" s="26" t="n"/>
    </row>
    <row r="1553">
      <c r="O1553" s="26" t="n"/>
    </row>
    <row r="1554">
      <c r="O1554" s="26" t="n"/>
    </row>
    <row r="1555">
      <c r="O1555" s="26" t="n"/>
    </row>
    <row r="1556">
      <c r="O1556" s="26" t="n"/>
    </row>
    <row r="1557">
      <c r="O1557" s="26" t="n"/>
    </row>
    <row r="1558">
      <c r="O1558" s="26" t="n"/>
    </row>
    <row r="1559">
      <c r="O1559" s="26" t="n"/>
    </row>
    <row r="1560">
      <c r="O1560" s="26" t="n"/>
    </row>
    <row r="1561">
      <c r="O1561" s="26" t="n"/>
    </row>
    <row r="1562">
      <c r="O1562" s="26" t="n"/>
    </row>
    <row r="1563">
      <c r="O1563" s="26" t="n"/>
    </row>
    <row r="1564">
      <c r="O1564" s="26" t="n"/>
    </row>
    <row r="1565">
      <c r="O1565" s="26" t="n"/>
    </row>
    <row r="1566">
      <c r="O1566" s="26" t="n"/>
    </row>
    <row r="1567">
      <c r="O1567" s="26" t="n"/>
    </row>
    <row r="1568">
      <c r="O1568" s="26" t="n"/>
    </row>
    <row r="1569">
      <c r="O1569" s="26" t="n"/>
    </row>
    <row r="1570">
      <c r="O1570" s="26" t="n"/>
    </row>
    <row r="1571">
      <c r="O1571" s="26" t="n"/>
    </row>
    <row r="1572">
      <c r="O1572" s="26" t="n"/>
    </row>
    <row r="1573">
      <c r="O1573" s="26" t="n"/>
    </row>
    <row r="1574">
      <c r="O1574" s="26" t="n"/>
    </row>
    <row r="1575">
      <c r="O1575" s="26" t="n"/>
    </row>
    <row r="1576">
      <c r="O1576" s="26" t="n"/>
    </row>
    <row r="1577">
      <c r="O1577" s="26" t="n"/>
    </row>
    <row r="1578">
      <c r="O1578" s="26" t="n"/>
    </row>
    <row r="1579">
      <c r="O1579" s="26" t="n"/>
    </row>
    <row r="1580">
      <c r="O1580" s="26" t="n"/>
    </row>
    <row r="1581">
      <c r="O1581" s="26" t="n"/>
    </row>
    <row r="1582">
      <c r="O1582" s="26" t="n"/>
    </row>
    <row r="1583">
      <c r="O1583" s="26" t="n"/>
    </row>
    <row r="1584">
      <c r="O1584" s="26" t="n"/>
    </row>
    <row r="1585">
      <c r="O1585" s="26" t="n"/>
    </row>
    <row r="1586">
      <c r="O1586" s="26" t="n"/>
    </row>
  </sheetData>
  <conditionalFormatting sqref="P1:P64">
    <cfRule type="cellIs" priority="1" operator="lessThan" dxfId="3">
      <formula>0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 summaryRight="0"/>
    <pageSetUpPr/>
  </sheetPr>
  <dimension ref="A1:AD2"/>
  <sheetViews>
    <sheetView workbookViewId="0">
      <selection activeCell="A1" sqref="A1"/>
    </sheetView>
  </sheetViews>
  <sheetFormatPr baseColWidth="8" defaultColWidth="14.42578125" defaultRowHeight="15" customHeight="1"/>
  <sheetData>
    <row r="1" ht="15.75" customHeight="1">
      <c r="A1" s="100" t="inlineStr">
        <is>
          <t>GEN</t>
        </is>
      </c>
      <c r="B1" s="100" t="inlineStr">
        <is>
          <t>Iron Man</t>
        </is>
      </c>
      <c r="C1" s="39" t="n"/>
      <c r="D1" s="39" t="n">
        <v>0</v>
      </c>
      <c r="E1" s="39" t="n"/>
      <c r="F1" s="39">
        <f>D1-E1</f>
        <v/>
      </c>
      <c r="G1" s="39" t="n"/>
      <c r="H1" s="39" t="n"/>
      <c r="I1" s="39">
        <f>G1-H1</f>
        <v/>
      </c>
      <c r="J1" s="39" t="n">
        <v>0</v>
      </c>
      <c r="K1" s="39">
        <f>#REF!+#REF!</f>
        <v/>
      </c>
      <c r="L1" s="39">
        <f>J1-K1</f>
        <v/>
      </c>
      <c r="M1" s="39" t="n">
        <v>0</v>
      </c>
      <c r="N1" s="39" t="n"/>
      <c r="O1" s="39">
        <f>M1-N1</f>
        <v/>
      </c>
      <c r="P1" s="39" t="n"/>
      <c r="Q1" s="39">
        <f>#REF!+#REF!</f>
        <v/>
      </c>
      <c r="R1" s="39">
        <f>P1-Q1</f>
        <v/>
      </c>
      <c r="S1" s="39" t="n"/>
      <c r="T1" s="39">
        <f>#REF!+#REF!</f>
        <v/>
      </c>
      <c r="U1" s="39">
        <f>S1-T1</f>
        <v/>
      </c>
      <c r="V1" s="39" t="n"/>
      <c r="W1" s="39" t="n"/>
      <c r="X1" s="39" t="n"/>
      <c r="Y1" s="39" t="n"/>
      <c r="Z1" s="39" t="n"/>
      <c r="AA1" s="39" t="n"/>
      <c r="AB1" s="39" t="n"/>
      <c r="AC1" s="39" t="n"/>
      <c r="AD1" s="100" t="n"/>
    </row>
    <row r="2" ht="15.75" customHeight="1">
      <c r="A2" s="36" t="inlineStr">
        <is>
          <t>GEN</t>
        </is>
      </c>
      <c r="B2" s="36" t="inlineStr">
        <is>
          <t>CLUB HOUS COLLECTION</t>
        </is>
      </c>
      <c r="C2" s="43" t="n"/>
      <c r="D2" s="43" t="n"/>
      <c r="E2" s="43" t="n"/>
      <c r="F2" s="43" t="n"/>
      <c r="G2" s="43" t="n"/>
      <c r="H2" s="43" t="n"/>
      <c r="I2" s="43" t="n"/>
      <c r="J2" s="43" t="n"/>
      <c r="K2" s="43" t="n"/>
      <c r="L2" s="43" t="n"/>
      <c r="M2" s="43" t="n">
        <v>0</v>
      </c>
      <c r="N2" s="43" t="n"/>
      <c r="O2" s="43" t="n"/>
      <c r="P2" s="43" t="n"/>
      <c r="Q2" s="43" t="n"/>
      <c r="R2" s="43" t="n"/>
      <c r="S2" s="43" t="n"/>
      <c r="T2" s="43" t="n"/>
      <c r="U2" s="43" t="n"/>
      <c r="V2" s="43" t="n"/>
      <c r="W2" s="43" t="n"/>
      <c r="X2" s="43" t="n"/>
      <c r="Y2" s="43" t="n"/>
      <c r="Z2" s="43" t="n"/>
      <c r="AA2" s="43" t="n"/>
      <c r="AB2" s="43" t="n"/>
      <c r="AC2" s="43" t="n"/>
      <c r="AD2" s="47" t="n"/>
    </row>
  </sheetData>
  <conditionalFormatting sqref="F1 I1:I2 L1 O1 R1 U1">
    <cfRule type="cellIs" priority="1" operator="lessThan" dxfId="2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0" summaryRight="0"/>
    <pageSetUpPr fitToPage="1"/>
  </sheetPr>
  <dimension ref="A1:W98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12.28515625" customWidth="1" min="1" max="1"/>
    <col width="41.42578125" customWidth="1" min="2" max="2"/>
    <col width="27.42578125" customWidth="1" min="3" max="3"/>
    <col width="24" customWidth="1" min="4" max="5"/>
    <col width="32.28515625" customWidth="1" min="6" max="6"/>
    <col width="26.85546875" customWidth="1" min="7" max="7"/>
    <col width="16.85546875" customWidth="1" min="8" max="23"/>
  </cols>
  <sheetData>
    <row r="1" ht="18.75" customHeight="1">
      <c r="A1" s="100" t="inlineStr">
        <is>
          <t>FLAT#</t>
        </is>
      </c>
      <c r="B1" s="100" t="inlineStr">
        <is>
          <t>OCCUPANT</t>
        </is>
      </c>
      <c r="C1" s="39" t="inlineStr">
        <is>
          <t>TOTAL COLLECTION</t>
        </is>
      </c>
      <c r="D1" s="39" t="inlineStr">
        <is>
          <t>TOTAL EXPENSE</t>
        </is>
      </c>
      <c r="E1" s="39" t="inlineStr">
        <is>
          <t>TOTAL LATE FEE</t>
        </is>
      </c>
      <c r="F1" s="39" t="inlineStr">
        <is>
          <t>COLLECTION-EXPENSE</t>
        </is>
      </c>
      <c r="G1" s="39" t="inlineStr">
        <is>
          <t>ARREARS PENDING</t>
        </is>
      </c>
      <c r="H1" s="100" t="n"/>
      <c r="I1" s="100" t="n"/>
      <c r="J1" s="100" t="n"/>
      <c r="K1" s="100" t="n"/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</row>
    <row r="2" ht="18" customHeight="1">
      <c r="A2" s="36" t="inlineStr">
        <is>
          <t>F01</t>
        </is>
      </c>
      <c r="B2" s="36" t="inlineStr">
        <is>
          <t xml:space="preserve">Shailesh </t>
        </is>
      </c>
      <c r="C2" s="43">
        <f>'INCOME-EXPENSE-CYCLES'!BA3</f>
        <v/>
      </c>
      <c r="D2" s="43">
        <f>'INCOME-EXPENSE-CYCLES'!BB3</f>
        <v/>
      </c>
      <c r="E2" s="43">
        <f>'INCOME-EXPENSE-CYCLES'!BC3</f>
        <v/>
      </c>
      <c r="F2" s="43">
        <f>C2-(D2+E2)</f>
        <v/>
      </c>
      <c r="G2" s="43">
        <f>IF(F2&lt;0,(F2*-1),0)</f>
        <v/>
      </c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</row>
    <row r="3" ht="18" customHeight="1">
      <c r="A3" s="37" t="inlineStr">
        <is>
          <t>F02</t>
        </is>
      </c>
      <c r="B3" s="37" t="inlineStr">
        <is>
          <t xml:space="preserve">Ramamurthy P </t>
        </is>
      </c>
      <c r="C3" s="41">
        <f>'INCOME-EXPENSE-CYCLES'!BA4</f>
        <v/>
      </c>
      <c r="D3" s="41">
        <f>'INCOME-EXPENSE-CYCLES'!BB4</f>
        <v/>
      </c>
      <c r="E3" s="41">
        <f>'INCOME-EXPENSE-CYCLES'!BC4</f>
        <v/>
      </c>
      <c r="F3" s="41">
        <f>C3-(D3+E3)</f>
        <v/>
      </c>
      <c r="G3" s="41">
        <f>IF(F3&lt;0,(F3*-1),0)</f>
        <v/>
      </c>
      <c r="H3" s="104" t="n"/>
      <c r="I3" s="104" t="n"/>
      <c r="J3" s="104" t="n"/>
      <c r="K3" s="104" t="n"/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</row>
    <row r="4" ht="18" customHeight="1">
      <c r="A4" s="36" t="inlineStr">
        <is>
          <t>F03</t>
        </is>
      </c>
      <c r="B4" s="36" t="inlineStr">
        <is>
          <t>Samrat Kar</t>
        </is>
      </c>
      <c r="C4" s="43">
        <f>'INCOME-EXPENSE-CYCLES'!BA5</f>
        <v/>
      </c>
      <c r="D4" s="43">
        <f>'INCOME-EXPENSE-CYCLES'!BB5</f>
        <v/>
      </c>
      <c r="E4" s="43">
        <f>'INCOME-EXPENSE-CYCLES'!BC5</f>
        <v/>
      </c>
      <c r="F4" s="43">
        <f>C4-(D4+E4)</f>
        <v/>
      </c>
      <c r="G4" s="43">
        <f>IF(F4&lt;0,(F4*-1),0)</f>
        <v/>
      </c>
      <c r="H4" s="47" t="n"/>
      <c r="I4" s="47" t="n"/>
      <c r="J4" s="47" t="n"/>
      <c r="K4" s="47" t="n"/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</row>
    <row r="5" ht="18" customHeight="1">
      <c r="A5" s="37" t="inlineStr">
        <is>
          <t>F04</t>
        </is>
      </c>
      <c r="B5" s="37" t="inlineStr">
        <is>
          <t>Renu R</t>
        </is>
      </c>
      <c r="C5" s="41">
        <f>'INCOME-EXPENSE-CYCLES'!BA6</f>
        <v/>
      </c>
      <c r="D5" s="41">
        <f>'INCOME-EXPENSE-CYCLES'!BB6</f>
        <v/>
      </c>
      <c r="E5" s="41">
        <f>'INCOME-EXPENSE-CYCLES'!BC6</f>
        <v/>
      </c>
      <c r="F5" s="41">
        <f>C5-(D5+E5)</f>
        <v/>
      </c>
      <c r="G5" s="41">
        <f>IF(F5&lt;0,(F5*-1),0)</f>
        <v/>
      </c>
      <c r="H5" s="104" t="n"/>
      <c r="I5" s="104" t="n"/>
      <c r="J5" s="104" t="n"/>
      <c r="K5" s="104" t="n"/>
      <c r="L5" s="104" t="n"/>
      <c r="M5" s="104" t="n"/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</row>
    <row r="6" ht="18" customHeight="1">
      <c r="A6" s="36" t="inlineStr">
        <is>
          <t>F05</t>
        </is>
      </c>
      <c r="B6" s="36" t="inlineStr">
        <is>
          <t>Priyabrat Mahapatro</t>
        </is>
      </c>
      <c r="C6" s="43">
        <f>'INCOME-EXPENSE-CYCLES'!BA7</f>
        <v/>
      </c>
      <c r="D6" s="43">
        <f>'INCOME-EXPENSE-CYCLES'!BB7</f>
        <v/>
      </c>
      <c r="E6" s="43">
        <f>'INCOME-EXPENSE-CYCLES'!BC7</f>
        <v/>
      </c>
      <c r="F6" s="43">
        <f>C6-(D6+E6)</f>
        <v/>
      </c>
      <c r="G6" s="43">
        <f>IF(F6&lt;0,(F6*-1),0)</f>
        <v/>
      </c>
      <c r="H6" s="47" t="n"/>
      <c r="I6" s="47" t="n"/>
      <c r="J6" s="47" t="n"/>
      <c r="K6" s="47" t="n"/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</row>
    <row r="7" ht="18" customHeight="1">
      <c r="A7" s="37" t="inlineStr">
        <is>
          <t>F06</t>
        </is>
      </c>
      <c r="B7" s="37" t="inlineStr">
        <is>
          <t>Viral Shah</t>
        </is>
      </c>
      <c r="C7" s="41">
        <f>'INCOME-EXPENSE-CYCLES'!BA8</f>
        <v/>
      </c>
      <c r="D7" s="41">
        <f>'INCOME-EXPENSE-CYCLES'!BB8</f>
        <v/>
      </c>
      <c r="E7" s="41">
        <f>'INCOME-EXPENSE-CYCLES'!BC8</f>
        <v/>
      </c>
      <c r="F7" s="41">
        <f>C7-(D7+E7)</f>
        <v/>
      </c>
      <c r="G7" s="41">
        <f>IF(F7&lt;0,(F7*-1),0)</f>
        <v/>
      </c>
      <c r="H7" s="104" t="n"/>
      <c r="I7" s="104" t="n"/>
      <c r="J7" s="104" t="n"/>
      <c r="K7" s="104" t="n"/>
      <c r="L7" s="104" t="n"/>
      <c r="M7" s="104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</row>
    <row r="8" ht="18" customHeight="1">
      <c r="A8" s="36" t="inlineStr">
        <is>
          <t>F07</t>
        </is>
      </c>
      <c r="B8" s="36" t="inlineStr">
        <is>
          <t>Vimal NK</t>
        </is>
      </c>
      <c r="C8" s="43">
        <f>'INCOME-EXPENSE-CYCLES'!BA9</f>
        <v/>
      </c>
      <c r="D8" s="43">
        <f>'INCOME-EXPENSE-CYCLES'!BB9</f>
        <v/>
      </c>
      <c r="E8" s="43">
        <f>'INCOME-EXPENSE-CYCLES'!BC9</f>
        <v/>
      </c>
      <c r="F8" s="43">
        <f>C8-(D8+E8)</f>
        <v/>
      </c>
      <c r="G8" s="43">
        <f>IF(F8&lt;0,(F8*-1),0)</f>
        <v/>
      </c>
      <c r="H8" s="47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</row>
    <row r="9" ht="18" customHeight="1">
      <c r="A9" s="37" t="inlineStr">
        <is>
          <t>F08</t>
        </is>
      </c>
      <c r="B9" s="37" t="inlineStr">
        <is>
          <t>Sreejith Menon</t>
        </is>
      </c>
      <c r="C9" s="41">
        <f>'INCOME-EXPENSE-CYCLES'!BA10</f>
        <v/>
      </c>
      <c r="D9" s="41">
        <f>'INCOME-EXPENSE-CYCLES'!BB10</f>
        <v/>
      </c>
      <c r="E9" s="41">
        <f>'INCOME-EXPENSE-CYCLES'!BC10</f>
        <v/>
      </c>
      <c r="F9" s="41">
        <f>C9-(D9+E9)</f>
        <v/>
      </c>
      <c r="G9" s="41">
        <f>IF(F9&lt;0,(F9*-1),0)</f>
        <v/>
      </c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</row>
    <row r="10" ht="18" customHeight="1">
      <c r="A10" s="36" t="inlineStr">
        <is>
          <t>F09</t>
        </is>
      </c>
      <c r="B10" s="36" t="inlineStr">
        <is>
          <t>Vijay Suswaram</t>
        </is>
      </c>
      <c r="C10" s="43">
        <f>'INCOME-EXPENSE-CYCLES'!BA11</f>
        <v/>
      </c>
      <c r="D10" s="43">
        <f>'INCOME-EXPENSE-CYCLES'!BB11</f>
        <v/>
      </c>
      <c r="E10" s="43">
        <f>'INCOME-EXPENSE-CYCLES'!BC11</f>
        <v/>
      </c>
      <c r="F10" s="43">
        <f>C10-(D10+E10)</f>
        <v/>
      </c>
      <c r="G10" s="43">
        <f>IF(F10&lt;0,(F10*-1),0)</f>
        <v/>
      </c>
      <c r="H10" s="47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</row>
    <row r="11" ht="18" customHeight="1">
      <c r="A11" s="37" t="inlineStr">
        <is>
          <t>F10</t>
        </is>
      </c>
      <c r="B11" s="37" t="inlineStr">
        <is>
          <t>Aby Thomas</t>
        </is>
      </c>
      <c r="C11" s="41">
        <f>'INCOME-EXPENSE-CYCLES'!BA12</f>
        <v/>
      </c>
      <c r="D11" s="41">
        <f>'INCOME-EXPENSE-CYCLES'!BB12</f>
        <v/>
      </c>
      <c r="E11" s="41">
        <f>'INCOME-EXPENSE-CYCLES'!BC12</f>
        <v/>
      </c>
      <c r="F11" s="41">
        <f>C11-(D11+E11)</f>
        <v/>
      </c>
      <c r="G11" s="41">
        <f>IF(F11&lt;0,(F11*-1),0)</f>
        <v/>
      </c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</row>
    <row r="12" ht="18" customHeight="1">
      <c r="A12" s="36" t="inlineStr">
        <is>
          <t>F11</t>
        </is>
      </c>
      <c r="B12" s="36" t="inlineStr">
        <is>
          <t>Ameet Talwalkar</t>
        </is>
      </c>
      <c r="C12" s="43">
        <f>'INCOME-EXPENSE-CYCLES'!BA13</f>
        <v/>
      </c>
      <c r="D12" s="43">
        <f>'INCOME-EXPENSE-CYCLES'!BB13</f>
        <v/>
      </c>
      <c r="E12" s="43">
        <f>'INCOME-EXPENSE-CYCLES'!BC13</f>
        <v/>
      </c>
      <c r="F12" s="43">
        <f>C12-(D12+E12)</f>
        <v/>
      </c>
      <c r="G12" s="43">
        <f>IF(F12&lt;0,(F12*-1),0)</f>
        <v/>
      </c>
      <c r="H12" s="47" t="n"/>
      <c r="I12" s="47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</row>
    <row r="13" ht="18" customHeight="1">
      <c r="A13" s="37" t="inlineStr">
        <is>
          <t>F12</t>
        </is>
      </c>
      <c r="B13" s="37" t="inlineStr">
        <is>
          <t>Debashish Ghoshal</t>
        </is>
      </c>
      <c r="C13" s="41">
        <f>'INCOME-EXPENSE-CYCLES'!BA14</f>
        <v/>
      </c>
      <c r="D13" s="41">
        <f>'INCOME-EXPENSE-CYCLES'!BB14</f>
        <v/>
      </c>
      <c r="E13" s="41">
        <f>'INCOME-EXPENSE-CYCLES'!BC14</f>
        <v/>
      </c>
      <c r="F13" s="41">
        <f>C13-(D13+E13)</f>
        <v/>
      </c>
      <c r="G13" s="41">
        <f>IF(F13&lt;0,(F13*-1),0)</f>
        <v/>
      </c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</row>
    <row r="14" ht="18" customHeight="1">
      <c r="A14" s="36" t="inlineStr">
        <is>
          <t>F13</t>
        </is>
      </c>
      <c r="B14" s="36" t="inlineStr">
        <is>
          <t>Sreeniwasa Rao / S Rama Devi</t>
        </is>
      </c>
      <c r="C14" s="43">
        <f>'INCOME-EXPENSE-CYCLES'!BA15</f>
        <v/>
      </c>
      <c r="D14" s="43">
        <f>'INCOME-EXPENSE-CYCLES'!BB15</f>
        <v/>
      </c>
      <c r="E14" s="43">
        <f>'INCOME-EXPENSE-CYCLES'!BC15</f>
        <v/>
      </c>
      <c r="F14" s="43">
        <f>C14-(D14+E14)</f>
        <v/>
      </c>
      <c r="G14" s="43">
        <f>IF(F14&lt;0,(F14*-1),0)</f>
        <v/>
      </c>
      <c r="H14" s="47" t="n"/>
      <c r="I14" s="47" t="n"/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</row>
    <row r="15" ht="18" customHeight="1">
      <c r="A15" s="37" t="inlineStr">
        <is>
          <t>F14</t>
        </is>
      </c>
      <c r="B15" s="37" t="inlineStr">
        <is>
          <t>Hemant Patel</t>
        </is>
      </c>
      <c r="C15" s="41">
        <f>'INCOME-EXPENSE-CYCLES'!BA16</f>
        <v/>
      </c>
      <c r="D15" s="41">
        <f>'INCOME-EXPENSE-CYCLES'!BB16</f>
        <v/>
      </c>
      <c r="E15" s="41">
        <f>'INCOME-EXPENSE-CYCLES'!BC16</f>
        <v/>
      </c>
      <c r="F15" s="41">
        <f>C15-(D15+E15)</f>
        <v/>
      </c>
      <c r="G15" s="41">
        <f>IF(F15&lt;0,(F15*-1),0)</f>
        <v/>
      </c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</row>
    <row r="16" ht="18" customHeight="1">
      <c r="A16" s="36" t="inlineStr">
        <is>
          <t>F15</t>
        </is>
      </c>
      <c r="B16" s="36" t="inlineStr">
        <is>
          <t>Malini Balasubramaniam</t>
        </is>
      </c>
      <c r="C16" s="43">
        <f>'INCOME-EXPENSE-CYCLES'!BA17</f>
        <v/>
      </c>
      <c r="D16" s="43">
        <f>'INCOME-EXPENSE-CYCLES'!BB17</f>
        <v/>
      </c>
      <c r="E16" s="43">
        <f>'INCOME-EXPENSE-CYCLES'!BC17</f>
        <v/>
      </c>
      <c r="F16" s="43">
        <f>C16-(D16+E16)</f>
        <v/>
      </c>
      <c r="G16" s="43">
        <f>IF(F16&lt;0,(F16*-1),0)</f>
        <v/>
      </c>
      <c r="H16" s="47" t="n"/>
      <c r="I16" s="47" t="n"/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</row>
    <row r="17" ht="18" customHeight="1">
      <c r="A17" s="37" t="inlineStr">
        <is>
          <t>F16</t>
        </is>
      </c>
      <c r="B17" s="37" t="inlineStr">
        <is>
          <t>Sreeja Sudharma</t>
        </is>
      </c>
      <c r="C17" s="41">
        <f>'INCOME-EXPENSE-CYCLES'!BA18</f>
        <v/>
      </c>
      <c r="D17" s="41">
        <f>'INCOME-EXPENSE-CYCLES'!BB18</f>
        <v/>
      </c>
      <c r="E17" s="41">
        <f>'INCOME-EXPENSE-CYCLES'!BC18</f>
        <v/>
      </c>
      <c r="F17" s="41">
        <f>C17-(D17+E17)</f>
        <v/>
      </c>
      <c r="G17" s="41">
        <f>IF(F17&lt;0,(F17*-1),0)</f>
        <v/>
      </c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</row>
    <row r="18" ht="18" customHeight="1">
      <c r="A18" s="36" t="inlineStr">
        <is>
          <t>G01</t>
        </is>
      </c>
      <c r="B18" s="36" t="inlineStr">
        <is>
          <t>Venkataramanan C</t>
        </is>
      </c>
      <c r="C18" s="43">
        <f>'INCOME-EXPENSE-CYCLES'!BA19</f>
        <v/>
      </c>
      <c r="D18" s="43">
        <f>'INCOME-EXPENSE-CYCLES'!BB19</f>
        <v/>
      </c>
      <c r="E18" s="43">
        <f>'INCOME-EXPENSE-CYCLES'!BC19</f>
        <v/>
      </c>
      <c r="F18" s="43">
        <f>C18-(D18+E18)</f>
        <v/>
      </c>
      <c r="G18" s="43">
        <f>IF(F18&lt;0,(F18*-1),0)</f>
        <v/>
      </c>
      <c r="H18" s="47" t="n"/>
      <c r="I18" s="47" t="n"/>
      <c r="J18" s="47" t="n"/>
      <c r="K18" s="47" t="n"/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</row>
    <row r="19" ht="18" customHeight="1">
      <c r="A19" s="37" t="inlineStr">
        <is>
          <t>G02</t>
        </is>
      </c>
      <c r="B19" s="37" t="inlineStr">
        <is>
          <t>Venkat Atukuri</t>
        </is>
      </c>
      <c r="C19" s="41">
        <f>'INCOME-EXPENSE-CYCLES'!BA20</f>
        <v/>
      </c>
      <c r="D19" s="41">
        <f>'INCOME-EXPENSE-CYCLES'!BB20</f>
        <v/>
      </c>
      <c r="E19" s="41">
        <f>'INCOME-EXPENSE-CYCLES'!BC20</f>
        <v/>
      </c>
      <c r="F19" s="41">
        <f>C19-(D19+E19)</f>
        <v/>
      </c>
      <c r="G19" s="41">
        <f>IF(F19&lt;0,(F19*-1),0)</f>
        <v/>
      </c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</row>
    <row r="20" ht="18" customHeight="1">
      <c r="A20" s="36" t="inlineStr">
        <is>
          <t>G03</t>
        </is>
      </c>
      <c r="B20" s="36" t="inlineStr">
        <is>
          <t>Balakrishnan</t>
        </is>
      </c>
      <c r="C20" s="43">
        <f>'INCOME-EXPENSE-CYCLES'!BA21</f>
        <v/>
      </c>
      <c r="D20" s="43">
        <f>'INCOME-EXPENSE-CYCLES'!BB21</f>
        <v/>
      </c>
      <c r="E20" s="43">
        <f>'INCOME-EXPENSE-CYCLES'!BC21</f>
        <v/>
      </c>
      <c r="F20" s="43">
        <f>C20-(D20+E20)</f>
        <v/>
      </c>
      <c r="G20" s="43">
        <f>IF(F20&lt;0,(F20*-1),0)</f>
        <v/>
      </c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</row>
    <row r="21" ht="18" customHeight="1">
      <c r="A21" s="37" t="inlineStr">
        <is>
          <t>G04</t>
        </is>
      </c>
      <c r="B21" s="37" t="inlineStr">
        <is>
          <t>Ashwin Pandith</t>
        </is>
      </c>
      <c r="C21" s="41">
        <f>'INCOME-EXPENSE-CYCLES'!BA22</f>
        <v/>
      </c>
      <c r="D21" s="41">
        <f>'INCOME-EXPENSE-CYCLES'!BB22</f>
        <v/>
      </c>
      <c r="E21" s="41">
        <f>'INCOME-EXPENSE-CYCLES'!BC22</f>
        <v/>
      </c>
      <c r="F21" s="41">
        <f>C21-(D21+E21)</f>
        <v/>
      </c>
      <c r="G21" s="41">
        <f>IF(F21&lt;0,(F21*-1),0)</f>
        <v/>
      </c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</row>
    <row r="22" ht="18" customHeight="1">
      <c r="A22" s="36" t="inlineStr">
        <is>
          <t>G05</t>
        </is>
      </c>
      <c r="B22" s="36" t="inlineStr">
        <is>
          <t>Abhishek Srawan</t>
        </is>
      </c>
      <c r="C22" s="43">
        <f>'INCOME-EXPENSE-CYCLES'!BA23</f>
        <v/>
      </c>
      <c r="D22" s="43">
        <f>'INCOME-EXPENSE-CYCLES'!BB23</f>
        <v/>
      </c>
      <c r="E22" s="43">
        <f>'INCOME-EXPENSE-CYCLES'!BC23</f>
        <v/>
      </c>
      <c r="F22" s="43">
        <f>C22-(D22+E22)</f>
        <v/>
      </c>
      <c r="G22" s="43">
        <f>IF(F22&lt;0,(F22*-1),0)</f>
        <v/>
      </c>
      <c r="H22" s="47" t="n"/>
      <c r="I22" s="47" t="n"/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</row>
    <row r="23" ht="18" customHeight="1">
      <c r="A23" s="37" t="inlineStr">
        <is>
          <t>G06</t>
        </is>
      </c>
      <c r="B23" s="37" t="inlineStr">
        <is>
          <t xml:space="preserve">Mohit Daga/Sreenath </t>
        </is>
      </c>
      <c r="C23" s="41">
        <f>'INCOME-EXPENSE-CYCLES'!BA24</f>
        <v/>
      </c>
      <c r="D23" s="41">
        <f>'INCOME-EXPENSE-CYCLES'!BB24</f>
        <v/>
      </c>
      <c r="E23" s="41">
        <f>'INCOME-EXPENSE-CYCLES'!BC24</f>
        <v/>
      </c>
      <c r="F23" s="41">
        <f>C23-(D23+E23)</f>
        <v/>
      </c>
      <c r="G23" s="41">
        <f>IF(F23&lt;0,(F23*-1),0)</f>
        <v/>
      </c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</row>
    <row r="24" ht="18" customHeight="1">
      <c r="A24" s="36" t="inlineStr">
        <is>
          <t>G07</t>
        </is>
      </c>
      <c r="B24" s="36" t="inlineStr">
        <is>
          <t>Prince Richfield</t>
        </is>
      </c>
      <c r="C24" s="43">
        <f>'INCOME-EXPENSE-CYCLES'!BA25</f>
        <v/>
      </c>
      <c r="D24" s="43">
        <f>'INCOME-EXPENSE-CYCLES'!BB25</f>
        <v/>
      </c>
      <c r="E24" s="43">
        <f>'INCOME-EXPENSE-CYCLES'!BC25</f>
        <v/>
      </c>
      <c r="F24" s="43">
        <f>C24-(D24+E24)</f>
        <v/>
      </c>
      <c r="G24" s="43">
        <f>IF(F24&lt;0,(F24*-1),0)</f>
        <v/>
      </c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</row>
    <row r="25" ht="18" customHeight="1">
      <c r="A25" s="37" t="inlineStr">
        <is>
          <t>G08</t>
        </is>
      </c>
      <c r="B25" s="37" t="inlineStr">
        <is>
          <t>Ranjith Kumar</t>
        </is>
      </c>
      <c r="C25" s="41">
        <f>'INCOME-EXPENSE-CYCLES'!BA26</f>
        <v/>
      </c>
      <c r="D25" s="41">
        <f>'INCOME-EXPENSE-CYCLES'!BB26</f>
        <v/>
      </c>
      <c r="E25" s="41">
        <f>'INCOME-EXPENSE-CYCLES'!BC26</f>
        <v/>
      </c>
      <c r="F25" s="41">
        <f>C25-(D25+E25)</f>
        <v/>
      </c>
      <c r="G25" s="41">
        <f>IF(F25&lt;0,(F25*-1),0)</f>
        <v/>
      </c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</row>
    <row r="26" ht="18" customHeight="1">
      <c r="A26" s="36" t="inlineStr">
        <is>
          <t>G09</t>
        </is>
      </c>
      <c r="B26" s="36" t="inlineStr">
        <is>
          <t>Ankur Agarwal</t>
        </is>
      </c>
      <c r="C26" s="43">
        <f>'INCOME-EXPENSE-CYCLES'!BA27</f>
        <v/>
      </c>
      <c r="D26" s="43">
        <f>'INCOME-EXPENSE-CYCLES'!BB27</f>
        <v/>
      </c>
      <c r="E26" s="43">
        <f>'INCOME-EXPENSE-CYCLES'!BC27</f>
        <v/>
      </c>
      <c r="F26" s="43">
        <f>C26-(D26+E26)</f>
        <v/>
      </c>
      <c r="G26" s="43">
        <f>IF(F26&lt;0,(F26*-1),0)</f>
        <v/>
      </c>
      <c r="H26" s="47" t="n"/>
      <c r="I26" s="47" t="n"/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</row>
    <row r="27" ht="18" customHeight="1">
      <c r="A27" s="37" t="inlineStr">
        <is>
          <t>G10</t>
        </is>
      </c>
      <c r="B27" s="37" t="inlineStr">
        <is>
          <t>Cijo Jacob</t>
        </is>
      </c>
      <c r="C27" s="41">
        <f>'INCOME-EXPENSE-CYCLES'!BA28</f>
        <v/>
      </c>
      <c r="D27" s="41">
        <f>'INCOME-EXPENSE-CYCLES'!BB28</f>
        <v/>
      </c>
      <c r="E27" s="41">
        <f>'INCOME-EXPENSE-CYCLES'!BC28</f>
        <v/>
      </c>
      <c r="F27" s="41">
        <f>C27-(D27+E27)</f>
        <v/>
      </c>
      <c r="G27" s="41">
        <f>IF(F27&lt;0,(F27*-1),0)</f>
        <v/>
      </c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</row>
    <row r="28" ht="18" customHeight="1">
      <c r="A28" s="36" t="inlineStr">
        <is>
          <t>G11</t>
        </is>
      </c>
      <c r="B28" s="36" t="inlineStr">
        <is>
          <t>Ketan Vinay Prabhuverlekar</t>
        </is>
      </c>
      <c r="C28" s="43">
        <f>'INCOME-EXPENSE-CYCLES'!BA29</f>
        <v/>
      </c>
      <c r="D28" s="43">
        <f>'INCOME-EXPENSE-CYCLES'!BB29</f>
        <v/>
      </c>
      <c r="E28" s="43">
        <f>'INCOME-EXPENSE-CYCLES'!BC29</f>
        <v/>
      </c>
      <c r="F28" s="43">
        <f>C28-(D28+E28)</f>
        <v/>
      </c>
      <c r="G28" s="43">
        <f>IF(F28&lt;0,(F28*-1),0)</f>
        <v/>
      </c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</row>
    <row r="29" ht="18" customHeight="1">
      <c r="A29" s="37" t="inlineStr">
        <is>
          <t>G12</t>
        </is>
      </c>
      <c r="B29" s="37" t="inlineStr">
        <is>
          <t>Shyam Nair</t>
        </is>
      </c>
      <c r="C29" s="41">
        <f>'INCOME-EXPENSE-CYCLES'!BA30</f>
        <v/>
      </c>
      <c r="D29" s="41">
        <f>'INCOME-EXPENSE-CYCLES'!BB30</f>
        <v/>
      </c>
      <c r="E29" s="41">
        <f>'INCOME-EXPENSE-CYCLES'!BC30</f>
        <v/>
      </c>
      <c r="F29" s="41">
        <f>C29-(D29+E29)</f>
        <v/>
      </c>
      <c r="G29" s="41">
        <f>IF(F29&lt;0,(F29*-1),0)</f>
        <v/>
      </c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</row>
    <row r="30" ht="18" customHeight="1">
      <c r="A30" s="36" t="inlineStr">
        <is>
          <t>G13</t>
        </is>
      </c>
      <c r="B30" s="36" t="inlineStr">
        <is>
          <t>Ajai.B</t>
        </is>
      </c>
      <c r="C30" s="43">
        <f>'INCOME-EXPENSE-CYCLES'!BA31</f>
        <v/>
      </c>
      <c r="D30" s="43">
        <f>'INCOME-EXPENSE-CYCLES'!BB31</f>
        <v/>
      </c>
      <c r="E30" s="43">
        <f>'INCOME-EXPENSE-CYCLES'!BC31</f>
        <v/>
      </c>
      <c r="F30" s="43">
        <f>C30-(D30+E30)</f>
        <v/>
      </c>
      <c r="G30" s="43">
        <f>IF(F30&lt;0,(F30*-1),0)</f>
        <v/>
      </c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</row>
    <row r="31" ht="18" customHeight="1">
      <c r="A31" s="37" t="inlineStr">
        <is>
          <t>G14</t>
        </is>
      </c>
      <c r="B31" s="37" t="inlineStr">
        <is>
          <t>Surajit Borah</t>
        </is>
      </c>
      <c r="C31" s="41">
        <f>'INCOME-EXPENSE-CYCLES'!BA32</f>
        <v/>
      </c>
      <c r="D31" s="41">
        <f>'INCOME-EXPENSE-CYCLES'!BB32</f>
        <v/>
      </c>
      <c r="E31" s="41">
        <f>'INCOME-EXPENSE-CYCLES'!BC32</f>
        <v/>
      </c>
      <c r="F31" s="41">
        <f>C31-(D31+E31)</f>
        <v/>
      </c>
      <c r="G31" s="41">
        <f>IF(F31&lt;0,(F31*-1),0)</f>
        <v/>
      </c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</row>
    <row r="32" ht="18" customHeight="1">
      <c r="A32" s="36" t="inlineStr">
        <is>
          <t>G15</t>
        </is>
      </c>
      <c r="B32" s="36" t="inlineStr">
        <is>
          <t>Suresh Nallusamy</t>
        </is>
      </c>
      <c r="C32" s="43">
        <f>'INCOME-EXPENSE-CYCLES'!BA33</f>
        <v/>
      </c>
      <c r="D32" s="43">
        <f>'INCOME-EXPENSE-CYCLES'!BB33</f>
        <v/>
      </c>
      <c r="E32" s="43">
        <f>'INCOME-EXPENSE-CYCLES'!BC33</f>
        <v/>
      </c>
      <c r="F32" s="43">
        <f>C32-(D32+E32)</f>
        <v/>
      </c>
      <c r="G32" s="43">
        <f>IF(F32&lt;0,(F32*-1),0)</f>
        <v/>
      </c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</row>
    <row r="33" ht="18" customHeight="1">
      <c r="A33" s="37" t="inlineStr">
        <is>
          <t>G16</t>
        </is>
      </c>
      <c r="B33" s="37" t="inlineStr">
        <is>
          <t>Premalatha</t>
        </is>
      </c>
      <c r="C33" s="41">
        <f>'INCOME-EXPENSE-CYCLES'!BA34</f>
        <v/>
      </c>
      <c r="D33" s="41">
        <f>'INCOME-EXPENSE-CYCLES'!BB34</f>
        <v/>
      </c>
      <c r="E33" s="41">
        <f>'INCOME-EXPENSE-CYCLES'!BC34</f>
        <v/>
      </c>
      <c r="F33" s="41">
        <f>C33-(D33+E33)</f>
        <v/>
      </c>
      <c r="G33" s="41">
        <f>IF(F33&lt;0,(F33*-1),0)</f>
        <v/>
      </c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</row>
    <row r="34" ht="18" customHeight="1">
      <c r="A34" s="36" t="inlineStr">
        <is>
          <t>S01</t>
        </is>
      </c>
      <c r="B34" s="36" t="inlineStr">
        <is>
          <t>S.N.Behera</t>
        </is>
      </c>
      <c r="C34" s="43">
        <f>'INCOME-EXPENSE-CYCLES'!BA35</f>
        <v/>
      </c>
      <c r="D34" s="43">
        <f>'INCOME-EXPENSE-CYCLES'!BB35</f>
        <v/>
      </c>
      <c r="E34" s="43">
        <f>'INCOME-EXPENSE-CYCLES'!BC35</f>
        <v/>
      </c>
      <c r="F34" s="43">
        <f>C34-(D34+E34)</f>
        <v/>
      </c>
      <c r="G34" s="43">
        <f>IF(F34&lt;0,(F34*-1),0)</f>
        <v/>
      </c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</row>
    <row r="35" ht="18" customHeight="1">
      <c r="A35" s="37" t="inlineStr">
        <is>
          <t>S02</t>
        </is>
      </c>
      <c r="B35" s="37" t="inlineStr">
        <is>
          <t>Sonal Singhal</t>
        </is>
      </c>
      <c r="C35" s="41">
        <f>'INCOME-EXPENSE-CYCLES'!BA36</f>
        <v/>
      </c>
      <c r="D35" s="41">
        <f>'INCOME-EXPENSE-CYCLES'!BB36</f>
        <v/>
      </c>
      <c r="E35" s="41">
        <f>'INCOME-EXPENSE-CYCLES'!BC36</f>
        <v/>
      </c>
      <c r="F35" s="41">
        <f>C35-(D35+E35)</f>
        <v/>
      </c>
      <c r="G35" s="41">
        <f>IF(F35&lt;0,(F35*-1),0)</f>
        <v/>
      </c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</row>
    <row r="36" ht="18" customHeight="1">
      <c r="A36" s="36" t="inlineStr">
        <is>
          <t>S03</t>
        </is>
      </c>
      <c r="B36" s="36" t="inlineStr">
        <is>
          <t>Suresh Kr Nataraja</t>
        </is>
      </c>
      <c r="C36" s="43">
        <f>'INCOME-EXPENSE-CYCLES'!BA37</f>
        <v/>
      </c>
      <c r="D36" s="43">
        <f>'INCOME-EXPENSE-CYCLES'!BB37</f>
        <v/>
      </c>
      <c r="E36" s="43">
        <f>'INCOME-EXPENSE-CYCLES'!BC37</f>
        <v/>
      </c>
      <c r="F36" s="43">
        <f>C36-(D36+E36)</f>
        <v/>
      </c>
      <c r="G36" s="43">
        <f>IF(F36&lt;0,(F36*-1),0)</f>
        <v/>
      </c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</row>
    <row r="37" ht="18" customHeight="1">
      <c r="A37" s="37" t="inlineStr">
        <is>
          <t>S04</t>
        </is>
      </c>
      <c r="B37" s="37" t="inlineStr">
        <is>
          <t>Swaminathan R</t>
        </is>
      </c>
      <c r="C37" s="41">
        <f>'INCOME-EXPENSE-CYCLES'!BA38</f>
        <v/>
      </c>
      <c r="D37" s="41">
        <f>'INCOME-EXPENSE-CYCLES'!BB38</f>
        <v/>
      </c>
      <c r="E37" s="41">
        <f>'INCOME-EXPENSE-CYCLES'!BC38</f>
        <v/>
      </c>
      <c r="F37" s="41">
        <f>C37-(D37+E37)</f>
        <v/>
      </c>
      <c r="G37" s="41">
        <f>IF(F37&lt;0,(F37*-1),0)</f>
        <v/>
      </c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</row>
    <row r="38" ht="18" customHeight="1">
      <c r="A38" s="36" t="inlineStr">
        <is>
          <t>S05</t>
        </is>
      </c>
      <c r="B38" s="36" t="inlineStr">
        <is>
          <t>Abhishek Gopalakrishnan</t>
        </is>
      </c>
      <c r="C38" s="43">
        <f>'INCOME-EXPENSE-CYCLES'!BA39</f>
        <v/>
      </c>
      <c r="D38" s="43">
        <f>'INCOME-EXPENSE-CYCLES'!BB39</f>
        <v/>
      </c>
      <c r="E38" s="43">
        <f>'INCOME-EXPENSE-CYCLES'!BC39</f>
        <v/>
      </c>
      <c r="F38" s="43">
        <f>C38-(D38+E38)</f>
        <v/>
      </c>
      <c r="G38" s="43">
        <f>IF(F38&lt;0,(F38*-1),0)</f>
        <v/>
      </c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</row>
    <row r="39" ht="18" customHeight="1">
      <c r="A39" s="37" t="inlineStr">
        <is>
          <t>S06</t>
        </is>
      </c>
      <c r="B39" s="37" t="inlineStr">
        <is>
          <t>Vivek Dhingra</t>
        </is>
      </c>
      <c r="C39" s="41">
        <f>'INCOME-EXPENSE-CYCLES'!BA40</f>
        <v/>
      </c>
      <c r="D39" s="41">
        <f>'INCOME-EXPENSE-CYCLES'!BB40</f>
        <v/>
      </c>
      <c r="E39" s="41">
        <f>'INCOME-EXPENSE-CYCLES'!BC40</f>
        <v/>
      </c>
      <c r="F39" s="41">
        <f>C39-(D39+E39)</f>
        <v/>
      </c>
      <c r="G39" s="41">
        <f>IF(F39&lt;0,(F39*-1),0)</f>
        <v/>
      </c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</row>
    <row r="40" ht="18" customHeight="1">
      <c r="A40" s="36" t="inlineStr">
        <is>
          <t>S07</t>
        </is>
      </c>
      <c r="B40" s="36" t="inlineStr">
        <is>
          <t>Harish B</t>
        </is>
      </c>
      <c r="C40" s="43">
        <f>'INCOME-EXPENSE-CYCLES'!BA41</f>
        <v/>
      </c>
      <c r="D40" s="43">
        <f>'INCOME-EXPENSE-CYCLES'!BB41</f>
        <v/>
      </c>
      <c r="E40" s="43">
        <f>'INCOME-EXPENSE-CYCLES'!BC41</f>
        <v/>
      </c>
      <c r="F40" s="43">
        <f>C40-(D40+E40)</f>
        <v/>
      </c>
      <c r="G40" s="43">
        <f>IF(F40&lt;0,(F40*-1),0)</f>
        <v/>
      </c>
      <c r="H40" s="47" t="n"/>
      <c r="I40" s="47" t="n"/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</row>
    <row r="41" ht="18" customHeight="1">
      <c r="A41" s="37" t="inlineStr">
        <is>
          <t>S08</t>
        </is>
      </c>
      <c r="B41" s="37" t="inlineStr">
        <is>
          <t>Irudayaraj Alwin</t>
        </is>
      </c>
      <c r="C41" s="41">
        <f>'INCOME-EXPENSE-CYCLES'!BA42</f>
        <v/>
      </c>
      <c r="D41" s="41">
        <f>'INCOME-EXPENSE-CYCLES'!BB42</f>
        <v/>
      </c>
      <c r="E41" s="41">
        <f>'INCOME-EXPENSE-CYCLES'!BC42</f>
        <v/>
      </c>
      <c r="F41" s="41">
        <f>C41-(D41+E41)</f>
        <v/>
      </c>
      <c r="G41" s="41">
        <f>IF(F41&lt;0,(F41*-1),0)</f>
        <v/>
      </c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</row>
    <row r="42" ht="18" customHeight="1">
      <c r="A42" s="36" t="inlineStr">
        <is>
          <t>S09</t>
        </is>
      </c>
      <c r="B42" s="36" t="inlineStr">
        <is>
          <t>Pawan GS</t>
        </is>
      </c>
      <c r="C42" s="43">
        <f>'INCOME-EXPENSE-CYCLES'!BA43</f>
        <v/>
      </c>
      <c r="D42" s="43">
        <f>'INCOME-EXPENSE-CYCLES'!BB43</f>
        <v/>
      </c>
      <c r="E42" s="43">
        <f>'INCOME-EXPENSE-CYCLES'!BC43</f>
        <v/>
      </c>
      <c r="F42" s="43">
        <f>C42-(D42+E42)</f>
        <v/>
      </c>
      <c r="G42" s="43">
        <f>IF(F42&lt;0,(F42*-1),0)</f>
        <v/>
      </c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</row>
    <row r="43" ht="18" customHeight="1">
      <c r="A43" s="37" t="inlineStr">
        <is>
          <t>S10</t>
        </is>
      </c>
      <c r="B43" s="37" t="inlineStr">
        <is>
          <t>Rohit Sadanand</t>
        </is>
      </c>
      <c r="C43" s="41">
        <f>'INCOME-EXPENSE-CYCLES'!BA44</f>
        <v/>
      </c>
      <c r="D43" s="41">
        <f>'INCOME-EXPENSE-CYCLES'!BB44</f>
        <v/>
      </c>
      <c r="E43" s="41">
        <f>'INCOME-EXPENSE-CYCLES'!BC44</f>
        <v/>
      </c>
      <c r="F43" s="41">
        <f>C43-(D43+E43)</f>
        <v/>
      </c>
      <c r="G43" s="41">
        <f>IF(F43&lt;0,(F43*-1),0)</f>
        <v/>
      </c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</row>
    <row r="44" ht="18" customHeight="1">
      <c r="A44" s="36" t="inlineStr">
        <is>
          <t>S11</t>
        </is>
      </c>
      <c r="B44" s="36" t="inlineStr">
        <is>
          <t>Gowrish Patnaik</t>
        </is>
      </c>
      <c r="C44" s="43">
        <f>'INCOME-EXPENSE-CYCLES'!BA45</f>
        <v/>
      </c>
      <c r="D44" s="43">
        <f>'INCOME-EXPENSE-CYCLES'!BB45</f>
        <v/>
      </c>
      <c r="E44" s="43">
        <f>'INCOME-EXPENSE-CYCLES'!BC45</f>
        <v/>
      </c>
      <c r="F44" s="43">
        <f>C44-(D44+E44)</f>
        <v/>
      </c>
      <c r="G44" s="43">
        <f>IF(F44&lt;0,(F44*-1),0)</f>
        <v/>
      </c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</row>
    <row r="45" ht="18" customHeight="1">
      <c r="A45" s="37" t="inlineStr">
        <is>
          <t>S12</t>
        </is>
      </c>
      <c r="B45" s="37" t="inlineStr">
        <is>
          <t>Saovik Mondal</t>
        </is>
      </c>
      <c r="C45" s="41">
        <f>'INCOME-EXPENSE-CYCLES'!BA46</f>
        <v/>
      </c>
      <c r="D45" s="41">
        <f>'INCOME-EXPENSE-CYCLES'!BB46</f>
        <v/>
      </c>
      <c r="E45" s="41">
        <f>'INCOME-EXPENSE-CYCLES'!BC46</f>
        <v/>
      </c>
      <c r="F45" s="41">
        <f>C45-(D45+E45)</f>
        <v/>
      </c>
      <c r="G45" s="41">
        <f>IF(F45&lt;0,(F45*-1),0)</f>
        <v/>
      </c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</row>
    <row r="46" ht="18" customHeight="1">
      <c r="A46" s="36" t="inlineStr">
        <is>
          <t>S13</t>
        </is>
      </c>
      <c r="B46" s="36" t="inlineStr">
        <is>
          <t>Srinivasa Rao / S Rama Devi</t>
        </is>
      </c>
      <c r="C46" s="43">
        <f>'INCOME-EXPENSE-CYCLES'!BA47</f>
        <v/>
      </c>
      <c r="D46" s="43">
        <f>'INCOME-EXPENSE-CYCLES'!BB47</f>
        <v/>
      </c>
      <c r="E46" s="43">
        <f>'INCOME-EXPENSE-CYCLES'!BC47</f>
        <v/>
      </c>
      <c r="F46" s="43">
        <f>C46-(D46+E46)</f>
        <v/>
      </c>
      <c r="G46" s="43">
        <f>IF(F46&lt;0,(F46*-1),0)</f>
        <v/>
      </c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</row>
    <row r="47" ht="18" customHeight="1">
      <c r="A47" s="37" t="inlineStr">
        <is>
          <t>S14</t>
        </is>
      </c>
      <c r="B47" s="37" t="inlineStr">
        <is>
          <t>Nishant Upadhyay</t>
        </is>
      </c>
      <c r="C47" s="41">
        <f>'INCOME-EXPENSE-CYCLES'!BA48</f>
        <v/>
      </c>
      <c r="D47" s="41">
        <f>'INCOME-EXPENSE-CYCLES'!BB48</f>
        <v/>
      </c>
      <c r="E47" s="41">
        <f>'INCOME-EXPENSE-CYCLES'!BC48</f>
        <v/>
      </c>
      <c r="F47" s="41">
        <f>C47-(D47+E47)</f>
        <v/>
      </c>
      <c r="G47" s="41">
        <f>IF(F47&lt;0,(F47*-1),0)</f>
        <v/>
      </c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</row>
    <row r="48" ht="18" customHeight="1">
      <c r="A48" s="36" t="inlineStr">
        <is>
          <t>S15</t>
        </is>
      </c>
      <c r="B48" s="36" t="inlineStr">
        <is>
          <t>Manas Dasgupta</t>
        </is>
      </c>
      <c r="C48" s="43">
        <f>'INCOME-EXPENSE-CYCLES'!BA49</f>
        <v/>
      </c>
      <c r="D48" s="43">
        <f>'INCOME-EXPENSE-CYCLES'!BB49</f>
        <v/>
      </c>
      <c r="E48" s="43">
        <f>'INCOME-EXPENSE-CYCLES'!BC49</f>
        <v/>
      </c>
      <c r="F48" s="43">
        <f>C48-(D48+E48)</f>
        <v/>
      </c>
      <c r="G48" s="43">
        <f>IF(F48&lt;0,(F48*-1),0)</f>
        <v/>
      </c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</row>
    <row r="49" ht="18" customHeight="1">
      <c r="A49" s="37" t="inlineStr">
        <is>
          <t>S16</t>
        </is>
      </c>
      <c r="B49" s="37" t="inlineStr">
        <is>
          <t>Devendra Singh Rawat</t>
        </is>
      </c>
      <c r="C49" s="41">
        <f>'INCOME-EXPENSE-CYCLES'!BA50</f>
        <v/>
      </c>
      <c r="D49" s="41">
        <f>'INCOME-EXPENSE-CYCLES'!BB50</f>
        <v/>
      </c>
      <c r="E49" s="41">
        <f>'INCOME-EXPENSE-CYCLES'!BC50</f>
        <v/>
      </c>
      <c r="F49" s="41">
        <f>C49-(D49+E49)</f>
        <v/>
      </c>
      <c r="G49" s="41">
        <f>IF(F49&lt;0,(F49*-1),0)</f>
        <v/>
      </c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</row>
    <row r="50" ht="18" customHeight="1">
      <c r="A50" s="36" t="inlineStr">
        <is>
          <t>T01</t>
        </is>
      </c>
      <c r="B50" s="36" t="inlineStr">
        <is>
          <t>Prashant Sikdar</t>
        </is>
      </c>
      <c r="C50" s="43">
        <f>'INCOME-EXPENSE-CYCLES'!BA51</f>
        <v/>
      </c>
      <c r="D50" s="43">
        <f>'INCOME-EXPENSE-CYCLES'!BB51</f>
        <v/>
      </c>
      <c r="E50" s="43">
        <f>'INCOME-EXPENSE-CYCLES'!BC51</f>
        <v/>
      </c>
      <c r="F50" s="43">
        <f>C50-(D50+E50)</f>
        <v/>
      </c>
      <c r="G50" s="43">
        <f>IF(F50&lt;0,(F50*-1),0)</f>
        <v/>
      </c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</row>
    <row r="51" ht="18" customHeight="1">
      <c r="A51" s="37" t="inlineStr">
        <is>
          <t>T02</t>
        </is>
      </c>
      <c r="B51" s="37" t="inlineStr">
        <is>
          <t>Kunal Raj</t>
        </is>
      </c>
      <c r="C51" s="41">
        <f>'INCOME-EXPENSE-CYCLES'!BA52</f>
        <v/>
      </c>
      <c r="D51" s="41">
        <f>'INCOME-EXPENSE-CYCLES'!BB52</f>
        <v/>
      </c>
      <c r="E51" s="41">
        <f>'INCOME-EXPENSE-CYCLES'!BC52</f>
        <v/>
      </c>
      <c r="F51" s="41">
        <f>C51-(D51+E51)</f>
        <v/>
      </c>
      <c r="G51" s="41">
        <f>IF(F51&lt;0,(F51*-1),0)</f>
        <v/>
      </c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</row>
    <row r="52" ht="18" customHeight="1">
      <c r="A52" s="36" t="inlineStr">
        <is>
          <t>T03</t>
        </is>
      </c>
      <c r="B52" s="36" t="inlineStr">
        <is>
          <t>Kapil Garg</t>
        </is>
      </c>
      <c r="C52" s="43">
        <f>'INCOME-EXPENSE-CYCLES'!BA53</f>
        <v/>
      </c>
      <c r="D52" s="43">
        <f>'INCOME-EXPENSE-CYCLES'!BB53</f>
        <v/>
      </c>
      <c r="E52" s="43">
        <f>'INCOME-EXPENSE-CYCLES'!BC53</f>
        <v/>
      </c>
      <c r="F52" s="43">
        <f>C52-(D52+E52)</f>
        <v/>
      </c>
      <c r="G52" s="43">
        <f>IF(F52&lt;0,(F52*-1),0)</f>
        <v/>
      </c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</row>
    <row r="53" ht="18" customHeight="1">
      <c r="A53" s="37" t="inlineStr">
        <is>
          <t>T04</t>
        </is>
      </c>
      <c r="B53" s="37" t="inlineStr">
        <is>
          <t>Ranjit Patnaik</t>
        </is>
      </c>
      <c r="C53" s="41">
        <f>'INCOME-EXPENSE-CYCLES'!BA54</f>
        <v/>
      </c>
      <c r="D53" s="41">
        <f>'INCOME-EXPENSE-CYCLES'!BB54</f>
        <v/>
      </c>
      <c r="E53" s="41">
        <f>'INCOME-EXPENSE-CYCLES'!BC54</f>
        <v/>
      </c>
      <c r="F53" s="41">
        <f>C53-(D53+E53)</f>
        <v/>
      </c>
      <c r="G53" s="41">
        <f>IF(F53&lt;0,(F53*-1),0)</f>
        <v/>
      </c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</row>
    <row r="54" ht="18" customHeight="1">
      <c r="A54" s="36" t="inlineStr">
        <is>
          <t>T05</t>
        </is>
      </c>
      <c r="B54" s="36" t="inlineStr">
        <is>
          <t>Ganesh Iyer</t>
        </is>
      </c>
      <c r="C54" s="43">
        <f>'INCOME-EXPENSE-CYCLES'!BA55</f>
        <v/>
      </c>
      <c r="D54" s="43">
        <f>'INCOME-EXPENSE-CYCLES'!BB55</f>
        <v/>
      </c>
      <c r="E54" s="43">
        <f>'INCOME-EXPENSE-CYCLES'!BC55</f>
        <v/>
      </c>
      <c r="F54" s="43">
        <f>C54-(D54+E54)</f>
        <v/>
      </c>
      <c r="G54" s="43">
        <f>IF(F54&lt;0,(F54*-1),0)</f>
        <v/>
      </c>
      <c r="H54" s="47" t="n"/>
      <c r="I54" s="47" t="n"/>
      <c r="J54" s="47" t="n"/>
      <c r="K54" s="47" t="n"/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</row>
    <row r="55" ht="18" customHeight="1">
      <c r="A55" s="37" t="inlineStr">
        <is>
          <t>T06</t>
        </is>
      </c>
      <c r="B55" s="37" t="inlineStr">
        <is>
          <t>Mythili Ramesh</t>
        </is>
      </c>
      <c r="C55" s="41">
        <f>'INCOME-EXPENSE-CYCLES'!BA56</f>
        <v/>
      </c>
      <c r="D55" s="41">
        <f>'INCOME-EXPENSE-CYCLES'!BB56</f>
        <v/>
      </c>
      <c r="E55" s="41">
        <f>'INCOME-EXPENSE-CYCLES'!BC56</f>
        <v/>
      </c>
      <c r="F55" s="41">
        <f>C55-(D55+E55)</f>
        <v/>
      </c>
      <c r="G55" s="41">
        <f>IF(F55&lt;0,(F55*-1),0)</f>
        <v/>
      </c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</row>
    <row r="56" ht="18" customHeight="1">
      <c r="A56" s="36" t="inlineStr">
        <is>
          <t>T07</t>
        </is>
      </c>
      <c r="B56" s="36" t="inlineStr">
        <is>
          <t>Vinyas Ramachandran</t>
        </is>
      </c>
      <c r="C56" s="43">
        <f>'INCOME-EXPENSE-CYCLES'!BA57</f>
        <v/>
      </c>
      <c r="D56" s="43">
        <f>'INCOME-EXPENSE-CYCLES'!BB57</f>
        <v/>
      </c>
      <c r="E56" s="43">
        <f>'INCOME-EXPENSE-CYCLES'!BC57</f>
        <v/>
      </c>
      <c r="F56" s="43">
        <f>C56-(D56+E56)</f>
        <v/>
      </c>
      <c r="G56" s="43">
        <f>IF(F56&lt;0,(F56*-1),0)</f>
        <v/>
      </c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</row>
    <row r="57" ht="18" customHeight="1">
      <c r="A57" s="37" t="inlineStr">
        <is>
          <t>T08</t>
        </is>
      </c>
      <c r="B57" s="37" t="inlineStr">
        <is>
          <t>Lalit Kumar Sharma</t>
        </is>
      </c>
      <c r="C57" s="41">
        <f>'INCOME-EXPENSE-CYCLES'!BA58</f>
        <v/>
      </c>
      <c r="D57" s="41">
        <f>'INCOME-EXPENSE-CYCLES'!BB58</f>
        <v/>
      </c>
      <c r="E57" s="41">
        <f>'INCOME-EXPENSE-CYCLES'!BC58</f>
        <v/>
      </c>
      <c r="F57" s="41">
        <f>C57-(D57+E57)</f>
        <v/>
      </c>
      <c r="G57" s="41">
        <f>IF(F57&lt;0,(F57*-1),0)</f>
        <v/>
      </c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</row>
    <row r="58" ht="18" customHeight="1">
      <c r="A58" s="36" t="inlineStr">
        <is>
          <t>T09</t>
        </is>
      </c>
      <c r="B58" s="36" t="inlineStr">
        <is>
          <t xml:space="preserve">Nishith Sahu </t>
        </is>
      </c>
      <c r="C58" s="43">
        <f>'INCOME-EXPENSE-CYCLES'!BA59</f>
        <v/>
      </c>
      <c r="D58" s="43">
        <f>'INCOME-EXPENSE-CYCLES'!BB59</f>
        <v/>
      </c>
      <c r="E58" s="43">
        <f>'INCOME-EXPENSE-CYCLES'!BC59</f>
        <v/>
      </c>
      <c r="F58" s="43">
        <f>C58-(D58+E58)</f>
        <v/>
      </c>
      <c r="G58" s="43">
        <f>IF(F58&lt;0,(F58*-1),0)</f>
        <v/>
      </c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</row>
    <row r="59" ht="18" customHeight="1">
      <c r="A59" s="37" t="inlineStr">
        <is>
          <t>T10</t>
        </is>
      </c>
      <c r="B59" s="37" t="inlineStr">
        <is>
          <t>Vamsidhar</t>
        </is>
      </c>
      <c r="C59" s="41">
        <f>'INCOME-EXPENSE-CYCLES'!BA60</f>
        <v/>
      </c>
      <c r="D59" s="41">
        <f>'INCOME-EXPENSE-CYCLES'!BB60</f>
        <v/>
      </c>
      <c r="E59" s="41">
        <f>'INCOME-EXPENSE-CYCLES'!BC60</f>
        <v/>
      </c>
      <c r="F59" s="41">
        <f>C59-(D59+E59)</f>
        <v/>
      </c>
      <c r="G59" s="41">
        <f>IF(F59&lt;0,(F59*-1),0)</f>
        <v/>
      </c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</row>
    <row r="60" ht="18" customHeight="1">
      <c r="A60" s="36" t="inlineStr">
        <is>
          <t>T11</t>
        </is>
      </c>
      <c r="B60" s="36" t="inlineStr">
        <is>
          <t>Chaitanya Suthapalli / Vaishnavi Suthapalli</t>
        </is>
      </c>
      <c r="C60" s="43">
        <f>'INCOME-EXPENSE-CYCLES'!BA61</f>
        <v/>
      </c>
      <c r="D60" s="43">
        <f>'INCOME-EXPENSE-CYCLES'!BB61</f>
        <v/>
      </c>
      <c r="E60" s="43">
        <f>'INCOME-EXPENSE-CYCLES'!BC61</f>
        <v/>
      </c>
      <c r="F60" s="43">
        <f>C60-(D60+E60)</f>
        <v/>
      </c>
      <c r="G60" s="43">
        <f>IF(F60&lt;0,(F60*-1),0)</f>
        <v/>
      </c>
      <c r="H60" s="47" t="n"/>
      <c r="I60" s="47" t="n"/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</row>
    <row r="61" ht="18" customHeight="1">
      <c r="A61" s="37" t="inlineStr">
        <is>
          <t>T12</t>
        </is>
      </c>
      <c r="B61" s="37" t="inlineStr">
        <is>
          <t>Prasenjit Chakraborty</t>
        </is>
      </c>
      <c r="C61" s="41">
        <f>'INCOME-EXPENSE-CYCLES'!BA62</f>
        <v/>
      </c>
      <c r="D61" s="41">
        <f>'INCOME-EXPENSE-CYCLES'!BB62</f>
        <v/>
      </c>
      <c r="E61" s="41">
        <f>'INCOME-EXPENSE-CYCLES'!BC62</f>
        <v/>
      </c>
      <c r="F61" s="41">
        <f>C61-(D61+E61)</f>
        <v/>
      </c>
      <c r="G61" s="41">
        <f>IF(F61&lt;0,(F61*-1),0)</f>
        <v/>
      </c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</row>
    <row r="62" ht="18" customHeight="1">
      <c r="A62" s="36" t="inlineStr">
        <is>
          <t>T13</t>
        </is>
      </c>
      <c r="B62" s="36" t="inlineStr">
        <is>
          <t>Sonali Deokule</t>
        </is>
      </c>
      <c r="C62" s="43">
        <f>'INCOME-EXPENSE-CYCLES'!BA63</f>
        <v/>
      </c>
      <c r="D62" s="43">
        <f>'INCOME-EXPENSE-CYCLES'!BB63</f>
        <v/>
      </c>
      <c r="E62" s="43">
        <f>'INCOME-EXPENSE-CYCLES'!BC63</f>
        <v/>
      </c>
      <c r="F62" s="43">
        <f>C62-(D62+E62)</f>
        <v/>
      </c>
      <c r="G62" s="43">
        <f>IF(F62&lt;0,(F62*-1),0)</f>
        <v/>
      </c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</row>
    <row r="63" ht="18" customHeight="1">
      <c r="A63" s="37" t="inlineStr">
        <is>
          <t>T14</t>
        </is>
      </c>
      <c r="B63" s="37" t="inlineStr">
        <is>
          <t>Jeyarani Jeganathan</t>
        </is>
      </c>
      <c r="C63" s="41">
        <f>'INCOME-EXPENSE-CYCLES'!BA64</f>
        <v/>
      </c>
      <c r="D63" s="41">
        <f>'INCOME-EXPENSE-CYCLES'!BB64</f>
        <v/>
      </c>
      <c r="E63" s="41">
        <f>'INCOME-EXPENSE-CYCLES'!BC64</f>
        <v/>
      </c>
      <c r="F63" s="41">
        <f>C63-(D63+E63)</f>
        <v/>
      </c>
      <c r="G63" s="41">
        <f>IF(F63&lt;0,(F63*-1),0)</f>
        <v/>
      </c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</row>
    <row r="64" ht="18" customHeight="1">
      <c r="A64" s="36" t="inlineStr">
        <is>
          <t>T15</t>
        </is>
      </c>
      <c r="B64" s="36" t="inlineStr">
        <is>
          <t>Trevor</t>
        </is>
      </c>
      <c r="C64" s="43">
        <f>'INCOME-EXPENSE-CYCLES'!BA65</f>
        <v/>
      </c>
      <c r="D64" s="43">
        <f>'INCOME-EXPENSE-CYCLES'!BB65</f>
        <v/>
      </c>
      <c r="E64" s="43">
        <f>'INCOME-EXPENSE-CYCLES'!BC65</f>
        <v/>
      </c>
      <c r="F64" s="43">
        <f>C64-(D64+E64)</f>
        <v/>
      </c>
      <c r="G64" s="43">
        <f>IF(F64&lt;0,(F64*-1),0)</f>
        <v/>
      </c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</row>
    <row r="65" ht="18" customHeight="1">
      <c r="A65" s="37" t="inlineStr">
        <is>
          <t>T16</t>
        </is>
      </c>
      <c r="B65" s="37" t="inlineStr">
        <is>
          <t>Madhusoodanan P.R.</t>
        </is>
      </c>
      <c r="C65" s="41">
        <f>'INCOME-EXPENSE-CYCLES'!BA66</f>
        <v/>
      </c>
      <c r="D65" s="41">
        <f>'INCOME-EXPENSE-CYCLES'!BB66</f>
        <v/>
      </c>
      <c r="E65" s="41">
        <f>'INCOME-EXPENSE-CYCLES'!BC66</f>
        <v/>
      </c>
      <c r="F65" s="41">
        <f>C65-(D65+E65)</f>
        <v/>
      </c>
      <c r="G65" s="41">
        <f>IF(F65&lt;0,(F65*-1),0)</f>
        <v/>
      </c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</row>
    <row r="66" ht="18" customHeight="1">
      <c r="A66" s="36" t="n"/>
      <c r="B66" s="42" t="inlineStr">
        <is>
          <t>TOTAL</t>
        </is>
      </c>
      <c r="C66" s="43">
        <f>SUM(C2:C65)</f>
        <v/>
      </c>
      <c r="D66" s="43">
        <f>SUM(D2:D65)</f>
        <v/>
      </c>
      <c r="E66" s="43" t="n"/>
      <c r="F66" s="43">
        <f>SUBTOTAL(9,F2:F65)</f>
        <v/>
      </c>
      <c r="G66" s="43">
        <f>SUBTOTAL(9,G2:G65)</f>
        <v/>
      </c>
      <c r="H66" s="47" t="n"/>
      <c r="I66" s="47" t="n"/>
      <c r="J66" s="47" t="n"/>
      <c r="K66" s="47" t="n"/>
      <c r="L66" s="47" t="n"/>
      <c r="M66" s="47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47" t="n"/>
    </row>
    <row r="67" ht="26.25" customHeight="1">
      <c r="A67" s="27" t="n"/>
      <c r="B67" s="27" t="n"/>
      <c r="C67" s="28" t="n"/>
      <c r="D67" s="28" t="n"/>
      <c r="E67" s="28" t="n"/>
      <c r="F67" s="28" t="n"/>
      <c r="G67" s="28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</row>
    <row r="68" ht="26.25" customHeight="1">
      <c r="A68" s="27" t="n"/>
      <c r="B68" s="27" t="n"/>
      <c r="C68" s="28" t="n"/>
      <c r="D68" s="28" t="n"/>
      <c r="E68" s="28" t="n"/>
      <c r="F68" s="28" t="n"/>
      <c r="G68" s="28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</row>
    <row r="69" ht="26.25" customHeight="1">
      <c r="A69" s="27" t="n"/>
      <c r="B69" s="27" t="n"/>
      <c r="C69" s="28" t="n"/>
      <c r="D69" s="28" t="n"/>
      <c r="E69" s="28" t="n"/>
      <c r="F69" s="28" t="n"/>
      <c r="G69" s="28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</row>
    <row r="70" ht="26.25" customHeight="1">
      <c r="A70" s="27" t="n"/>
      <c r="B70" s="27" t="n"/>
      <c r="C70" s="28" t="n"/>
      <c r="D70" s="28" t="n"/>
      <c r="E70" s="28" t="n"/>
      <c r="F70" s="28" t="n"/>
      <c r="G70" s="28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</row>
    <row r="71" ht="26.25" customHeight="1">
      <c r="A71" s="27" t="n"/>
      <c r="B71" s="27" t="n"/>
      <c r="C71" s="28" t="n"/>
      <c r="D71" s="28" t="n"/>
      <c r="E71" s="28" t="n"/>
      <c r="F71" s="28" t="n"/>
      <c r="G71" s="28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</row>
    <row r="72" ht="26.25" customHeight="1">
      <c r="A72" s="27" t="n"/>
      <c r="B72" s="27" t="n"/>
      <c r="C72" s="28" t="n"/>
      <c r="D72" s="28" t="n"/>
      <c r="E72" s="28" t="n"/>
      <c r="F72" s="28" t="n"/>
      <c r="G72" s="28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</row>
    <row r="73" ht="26.25" customHeight="1">
      <c r="A73" s="27" t="n"/>
      <c r="B73" s="27" t="n"/>
      <c r="C73" s="28" t="n"/>
      <c r="D73" s="28" t="n"/>
      <c r="E73" s="28" t="n"/>
      <c r="F73" s="28" t="n"/>
      <c r="G73" s="28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</row>
    <row r="74" ht="26.25" customHeight="1">
      <c r="A74" s="27" t="n"/>
      <c r="B74" s="27" t="n"/>
      <c r="C74" s="28" t="n"/>
      <c r="D74" s="28" t="n"/>
      <c r="E74" s="28" t="n"/>
      <c r="F74" s="28" t="n"/>
      <c r="G74" s="28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</row>
    <row r="75" ht="26.25" customHeight="1">
      <c r="A75" s="27" t="n"/>
      <c r="B75" s="27" t="n"/>
      <c r="C75" s="28" t="n"/>
      <c r="D75" s="28" t="n"/>
      <c r="E75" s="28" t="n"/>
      <c r="F75" s="28" t="n"/>
      <c r="G75" s="28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</row>
    <row r="76" ht="26.25" customHeight="1">
      <c r="A76" s="27" t="n"/>
      <c r="B76" s="27" t="n"/>
      <c r="C76" s="28" t="n"/>
      <c r="D76" s="28" t="n"/>
      <c r="E76" s="28" t="n"/>
      <c r="F76" s="28" t="n"/>
      <c r="G76" s="28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</row>
    <row r="77" ht="26.25" customHeight="1">
      <c r="A77" s="27" t="n"/>
      <c r="B77" s="27" t="n"/>
      <c r="C77" s="28" t="n"/>
      <c r="D77" s="28" t="n"/>
      <c r="E77" s="28" t="n"/>
      <c r="F77" s="28" t="n"/>
      <c r="G77" s="28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</row>
    <row r="78" ht="26.25" customHeight="1">
      <c r="A78" s="27" t="n"/>
      <c r="B78" s="27" t="n"/>
      <c r="C78" s="28" t="n"/>
      <c r="D78" s="28" t="n"/>
      <c r="E78" s="28" t="n"/>
      <c r="F78" s="28" t="n"/>
      <c r="G78" s="28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</row>
    <row r="79" ht="26.25" customHeight="1">
      <c r="A79" s="27" t="n"/>
      <c r="B79" s="27" t="n"/>
      <c r="C79" s="28" t="n"/>
      <c r="D79" s="28" t="n"/>
      <c r="E79" s="28" t="n"/>
      <c r="F79" s="28" t="n"/>
      <c r="G79" s="28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</row>
    <row r="80" ht="26.25" customHeight="1">
      <c r="A80" s="27" t="n"/>
      <c r="B80" s="27" t="n"/>
      <c r="C80" s="28" t="n"/>
      <c r="D80" s="28" t="n"/>
      <c r="E80" s="28" t="n"/>
      <c r="F80" s="28" t="n"/>
      <c r="G80" s="28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</row>
    <row r="81" ht="26.25" customHeight="1">
      <c r="A81" s="27" t="n"/>
      <c r="B81" s="27" t="n"/>
      <c r="C81" s="28" t="n"/>
      <c r="D81" s="28" t="n"/>
      <c r="E81" s="28" t="n"/>
      <c r="F81" s="28" t="n"/>
      <c r="G81" s="28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</row>
    <row r="82" ht="26.25" customHeight="1">
      <c r="A82" s="27" t="n"/>
      <c r="B82" s="27" t="n"/>
      <c r="C82" s="28" t="n"/>
      <c r="D82" s="28" t="n"/>
      <c r="E82" s="28" t="n"/>
      <c r="F82" s="28" t="n"/>
      <c r="G82" s="28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</row>
    <row r="83" ht="26.25" customHeight="1">
      <c r="A83" s="27" t="n"/>
      <c r="B83" s="27" t="n"/>
      <c r="C83" s="28" t="n"/>
      <c r="D83" s="28" t="n"/>
      <c r="E83" s="28" t="n"/>
      <c r="F83" s="28" t="n"/>
      <c r="G83" s="28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</row>
    <row r="84" ht="26.25" customHeight="1">
      <c r="A84" s="27" t="n"/>
      <c r="B84" s="27" t="n"/>
      <c r="C84" s="28" t="n"/>
      <c r="D84" s="28" t="n"/>
      <c r="E84" s="28" t="n"/>
      <c r="F84" s="28" t="n"/>
      <c r="G84" s="28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</row>
    <row r="85" ht="26.25" customHeight="1">
      <c r="A85" s="27" t="n"/>
      <c r="B85" s="27" t="n"/>
      <c r="C85" s="28" t="n"/>
      <c r="D85" s="28" t="n"/>
      <c r="E85" s="28" t="n"/>
      <c r="F85" s="28" t="n"/>
      <c r="G85" s="28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</row>
    <row r="86" ht="26.25" customHeight="1">
      <c r="A86" s="27" t="n"/>
      <c r="B86" s="27" t="n"/>
      <c r="C86" s="28" t="n"/>
      <c r="D86" s="28" t="n"/>
      <c r="E86" s="28" t="n"/>
      <c r="F86" s="28" t="n"/>
      <c r="G86" s="28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</row>
    <row r="87" ht="26.25" customHeight="1">
      <c r="A87" s="27" t="n"/>
      <c r="B87" s="27" t="n"/>
      <c r="C87" s="28" t="n"/>
      <c r="D87" s="28" t="n"/>
      <c r="E87" s="28" t="n"/>
      <c r="F87" s="28" t="n"/>
      <c r="G87" s="28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</row>
    <row r="88" ht="26.25" customHeight="1">
      <c r="A88" s="27" t="n"/>
      <c r="B88" s="27" t="n"/>
      <c r="C88" s="28" t="n"/>
      <c r="D88" s="28" t="n"/>
      <c r="E88" s="28" t="n"/>
      <c r="F88" s="28" t="n"/>
      <c r="G88" s="28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</row>
    <row r="89" ht="26.25" customHeight="1">
      <c r="A89" s="27" t="n"/>
      <c r="B89" s="27" t="n"/>
      <c r="C89" s="28" t="n"/>
      <c r="D89" s="28" t="n"/>
      <c r="E89" s="28" t="n"/>
      <c r="F89" s="28" t="n"/>
      <c r="G89" s="28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</row>
    <row r="90" ht="26.25" customHeight="1">
      <c r="A90" s="27" t="n"/>
      <c r="B90" s="27" t="n"/>
      <c r="C90" s="28" t="n"/>
      <c r="D90" s="28" t="n"/>
      <c r="E90" s="28" t="n"/>
      <c r="F90" s="28" t="n"/>
      <c r="G90" s="28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</row>
    <row r="91" ht="26.25" customHeight="1">
      <c r="A91" s="27" t="n"/>
      <c r="B91" s="27" t="n"/>
      <c r="C91" s="28" t="n"/>
      <c r="D91" s="28" t="n"/>
      <c r="E91" s="28" t="n"/>
      <c r="F91" s="28" t="n"/>
      <c r="G91" s="28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</row>
    <row r="92" ht="26.25" customHeight="1">
      <c r="A92" s="27" t="n"/>
      <c r="B92" s="27" t="n"/>
      <c r="C92" s="28" t="n"/>
      <c r="D92" s="28" t="n"/>
      <c r="E92" s="28" t="n"/>
      <c r="F92" s="28" t="n"/>
      <c r="G92" s="28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</row>
    <row r="93" ht="26.25" customHeight="1">
      <c r="A93" s="27" t="n"/>
      <c r="B93" s="27" t="n"/>
      <c r="C93" s="28" t="n"/>
      <c r="D93" s="28" t="n"/>
      <c r="E93" s="28" t="n"/>
      <c r="F93" s="28" t="n"/>
      <c r="G93" s="28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</row>
    <row r="94" ht="26.25" customHeight="1">
      <c r="A94" s="27" t="n"/>
      <c r="B94" s="27" t="n"/>
      <c r="C94" s="28" t="n"/>
      <c r="D94" s="28" t="n"/>
      <c r="E94" s="28" t="n"/>
      <c r="F94" s="28" t="n"/>
      <c r="G94" s="28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</row>
    <row r="95" ht="26.25" customHeight="1">
      <c r="A95" s="27" t="n"/>
      <c r="B95" s="27" t="n"/>
      <c r="C95" s="28" t="n"/>
      <c r="D95" s="28" t="n"/>
      <c r="E95" s="28" t="n"/>
      <c r="F95" s="28" t="n"/>
      <c r="G95" s="28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</row>
    <row r="96" ht="26.25" customHeight="1">
      <c r="A96" s="27" t="n"/>
      <c r="B96" s="27" t="n"/>
      <c r="C96" s="28" t="n"/>
      <c r="D96" s="28" t="n"/>
      <c r="E96" s="28" t="n"/>
      <c r="F96" s="28" t="n"/>
      <c r="G96" s="28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</row>
    <row r="97" ht="26.25" customHeight="1">
      <c r="A97" s="27" t="n"/>
      <c r="B97" s="27" t="n"/>
      <c r="C97" s="28" t="n"/>
      <c r="D97" s="28" t="n"/>
      <c r="E97" s="28" t="n"/>
      <c r="F97" s="28" t="n"/>
      <c r="G97" s="28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</row>
    <row r="98" ht="26.25" customHeight="1">
      <c r="A98" s="27" t="n"/>
      <c r="B98" s="27" t="n"/>
      <c r="C98" s="28" t="n"/>
      <c r="D98" s="28" t="n"/>
      <c r="E98" s="28" t="n"/>
      <c r="F98" s="28" t="n"/>
      <c r="G98" s="28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</row>
    <row r="99" ht="26.25" customHeight="1">
      <c r="A99" s="27" t="n"/>
      <c r="B99" s="27" t="n"/>
      <c r="C99" s="28" t="n"/>
      <c r="D99" s="28" t="n"/>
      <c r="E99" s="28" t="n"/>
      <c r="F99" s="28" t="n"/>
      <c r="G99" s="28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</row>
    <row r="100" ht="26.25" customHeight="1">
      <c r="A100" s="27" t="n"/>
      <c r="B100" s="27" t="n"/>
      <c r="C100" s="28" t="n"/>
      <c r="D100" s="28" t="n"/>
      <c r="E100" s="28" t="n"/>
      <c r="F100" s="28" t="n"/>
      <c r="G100" s="28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</row>
    <row r="101" ht="26.25" customHeight="1">
      <c r="A101" s="27" t="n"/>
      <c r="B101" s="27" t="n"/>
      <c r="C101" s="28" t="n"/>
      <c r="D101" s="28" t="n"/>
      <c r="E101" s="28" t="n"/>
      <c r="F101" s="28" t="n"/>
      <c r="G101" s="28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</row>
    <row r="102" ht="26.25" customHeight="1">
      <c r="A102" s="27" t="n"/>
      <c r="B102" s="27" t="n"/>
      <c r="C102" s="28" t="n"/>
      <c r="D102" s="28" t="n"/>
      <c r="E102" s="28" t="n"/>
      <c r="F102" s="28" t="n"/>
      <c r="G102" s="28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</row>
    <row r="103" ht="26.25" customHeight="1">
      <c r="A103" s="27" t="n"/>
      <c r="B103" s="27" t="n"/>
      <c r="C103" s="28" t="n"/>
      <c r="D103" s="28" t="n"/>
      <c r="E103" s="28" t="n"/>
      <c r="F103" s="28" t="n"/>
      <c r="G103" s="28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</row>
    <row r="104" ht="26.25" customHeight="1">
      <c r="A104" s="27" t="n"/>
      <c r="B104" s="27" t="n"/>
      <c r="C104" s="28" t="n"/>
      <c r="D104" s="28" t="n"/>
      <c r="E104" s="28" t="n"/>
      <c r="F104" s="28" t="n"/>
      <c r="G104" s="28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</row>
    <row r="105" ht="26.25" customHeight="1">
      <c r="A105" s="27" t="n"/>
      <c r="B105" s="27" t="n"/>
      <c r="C105" s="28" t="n"/>
      <c r="D105" s="28" t="n"/>
      <c r="E105" s="28" t="n"/>
      <c r="F105" s="28" t="n"/>
      <c r="G105" s="28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</row>
    <row r="106" ht="26.25" customHeight="1">
      <c r="A106" s="27" t="n"/>
      <c r="B106" s="27" t="n"/>
      <c r="C106" s="28" t="n"/>
      <c r="D106" s="28" t="n"/>
      <c r="E106" s="28" t="n"/>
      <c r="F106" s="28" t="n"/>
      <c r="G106" s="28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</row>
    <row r="107" ht="26.25" customHeight="1">
      <c r="A107" s="27" t="n"/>
      <c r="B107" s="27" t="n"/>
      <c r="C107" s="28" t="n"/>
      <c r="D107" s="28" t="n"/>
      <c r="E107" s="28" t="n"/>
      <c r="F107" s="28" t="n"/>
      <c r="G107" s="28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</row>
    <row r="108" ht="26.25" customHeight="1">
      <c r="A108" s="27" t="n"/>
      <c r="B108" s="27" t="n"/>
      <c r="C108" s="28" t="n"/>
      <c r="D108" s="28" t="n"/>
      <c r="E108" s="28" t="n"/>
      <c r="F108" s="28" t="n"/>
      <c r="G108" s="28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</row>
    <row r="109" ht="26.25" customHeight="1">
      <c r="A109" s="27" t="n"/>
      <c r="B109" s="27" t="n"/>
      <c r="C109" s="28" t="n"/>
      <c r="D109" s="28" t="n"/>
      <c r="E109" s="28" t="n"/>
      <c r="F109" s="28" t="n"/>
      <c r="G109" s="28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</row>
    <row r="110" ht="26.25" customHeight="1">
      <c r="A110" s="27" t="n"/>
      <c r="B110" s="27" t="n"/>
      <c r="C110" s="28" t="n"/>
      <c r="D110" s="28" t="n"/>
      <c r="E110" s="28" t="n"/>
      <c r="F110" s="28" t="n"/>
      <c r="G110" s="28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</row>
    <row r="111" ht="26.25" customHeight="1">
      <c r="A111" s="27" t="n"/>
      <c r="B111" s="27" t="n"/>
      <c r="C111" s="28" t="n"/>
      <c r="D111" s="28" t="n"/>
      <c r="E111" s="28" t="n"/>
      <c r="F111" s="28" t="n"/>
      <c r="G111" s="28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</row>
    <row r="112" ht="26.25" customHeight="1">
      <c r="A112" s="27" t="n"/>
      <c r="B112" s="27" t="n"/>
      <c r="C112" s="28" t="n"/>
      <c r="D112" s="28" t="n"/>
      <c r="E112" s="28" t="n"/>
      <c r="F112" s="28" t="n"/>
      <c r="G112" s="28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</row>
    <row r="113" ht="26.25" customHeight="1">
      <c r="A113" s="27" t="n"/>
      <c r="B113" s="27" t="n"/>
      <c r="C113" s="28" t="n"/>
      <c r="D113" s="28" t="n"/>
      <c r="E113" s="28" t="n"/>
      <c r="F113" s="28" t="n"/>
      <c r="G113" s="28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</row>
    <row r="114" ht="26.25" customHeight="1">
      <c r="A114" s="27" t="n"/>
      <c r="B114" s="27" t="n"/>
      <c r="C114" s="28" t="n"/>
      <c r="D114" s="28" t="n"/>
      <c r="E114" s="28" t="n"/>
      <c r="F114" s="28" t="n"/>
      <c r="G114" s="28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</row>
    <row r="115" ht="26.25" customHeight="1">
      <c r="A115" s="27" t="n"/>
      <c r="B115" s="27" t="n"/>
      <c r="C115" s="28" t="n"/>
      <c r="D115" s="28" t="n"/>
      <c r="E115" s="28" t="n"/>
      <c r="F115" s="28" t="n"/>
      <c r="G115" s="28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</row>
    <row r="116" ht="26.25" customHeight="1">
      <c r="A116" s="27" t="n"/>
      <c r="B116" s="27" t="n"/>
      <c r="C116" s="28" t="n"/>
      <c r="D116" s="28" t="n"/>
      <c r="E116" s="28" t="n"/>
      <c r="F116" s="28" t="n"/>
      <c r="G116" s="28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</row>
    <row r="117" ht="26.25" customHeight="1">
      <c r="A117" s="27" t="n"/>
      <c r="B117" s="27" t="n"/>
      <c r="C117" s="28" t="n"/>
      <c r="D117" s="28" t="n"/>
      <c r="E117" s="28" t="n"/>
      <c r="F117" s="28" t="n"/>
      <c r="G117" s="28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</row>
    <row r="118" ht="26.25" customHeight="1">
      <c r="A118" s="27" t="n"/>
      <c r="B118" s="27" t="n"/>
      <c r="C118" s="28" t="n"/>
      <c r="D118" s="28" t="n"/>
      <c r="E118" s="28" t="n"/>
      <c r="F118" s="28" t="n"/>
      <c r="G118" s="28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</row>
    <row r="119" ht="26.25" customHeight="1">
      <c r="A119" s="27" t="n"/>
      <c r="B119" s="27" t="n"/>
      <c r="C119" s="28" t="n"/>
      <c r="D119" s="28" t="n"/>
      <c r="E119" s="28" t="n"/>
      <c r="F119" s="28" t="n"/>
      <c r="G119" s="28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</row>
    <row r="120" ht="26.25" customHeight="1">
      <c r="A120" s="27" t="n"/>
      <c r="B120" s="27" t="n"/>
      <c r="C120" s="28" t="n"/>
      <c r="D120" s="28" t="n"/>
      <c r="E120" s="28" t="n"/>
      <c r="F120" s="28" t="n"/>
      <c r="G120" s="28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</row>
    <row r="121" ht="26.25" customHeight="1">
      <c r="A121" s="27" t="n"/>
      <c r="B121" s="27" t="n"/>
      <c r="C121" s="28" t="n"/>
      <c r="D121" s="28" t="n"/>
      <c r="E121" s="28" t="n"/>
      <c r="F121" s="28" t="n"/>
      <c r="G121" s="28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</row>
    <row r="122" ht="26.25" customHeight="1">
      <c r="A122" s="27" t="n"/>
      <c r="B122" s="27" t="n"/>
      <c r="C122" s="28" t="n"/>
      <c r="D122" s="28" t="n"/>
      <c r="E122" s="28" t="n"/>
      <c r="F122" s="28" t="n"/>
      <c r="G122" s="28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</row>
    <row r="123" ht="26.25" customHeight="1">
      <c r="A123" s="27" t="n"/>
      <c r="B123" s="27" t="n"/>
      <c r="C123" s="28" t="n"/>
      <c r="D123" s="28" t="n"/>
      <c r="E123" s="28" t="n"/>
      <c r="F123" s="28" t="n"/>
      <c r="G123" s="28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</row>
    <row r="124" ht="26.25" customHeight="1">
      <c r="A124" s="27" t="n"/>
      <c r="B124" s="27" t="n"/>
      <c r="C124" s="28" t="n"/>
      <c r="D124" s="28" t="n"/>
      <c r="E124" s="28" t="n"/>
      <c r="F124" s="28" t="n"/>
      <c r="G124" s="28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</row>
    <row r="125" ht="26.25" customHeight="1">
      <c r="A125" s="27" t="n"/>
      <c r="B125" s="27" t="n"/>
      <c r="C125" s="28" t="n"/>
      <c r="D125" s="28" t="n"/>
      <c r="E125" s="28" t="n"/>
      <c r="F125" s="28" t="n"/>
      <c r="G125" s="28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</row>
    <row r="126" ht="26.25" customHeight="1">
      <c r="A126" s="27" t="n"/>
      <c r="B126" s="27" t="n"/>
      <c r="C126" s="28" t="n"/>
      <c r="D126" s="28" t="n"/>
      <c r="E126" s="28" t="n"/>
      <c r="F126" s="28" t="n"/>
      <c r="G126" s="28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</row>
    <row r="127" ht="26.25" customHeight="1">
      <c r="A127" s="27" t="n"/>
      <c r="B127" s="27" t="n"/>
      <c r="C127" s="28" t="n"/>
      <c r="D127" s="28" t="n"/>
      <c r="E127" s="28" t="n"/>
      <c r="F127" s="28" t="n"/>
      <c r="G127" s="28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</row>
    <row r="128" ht="26.25" customHeight="1">
      <c r="A128" s="27" t="n"/>
      <c r="B128" s="27" t="n"/>
      <c r="C128" s="28" t="n"/>
      <c r="D128" s="28" t="n"/>
      <c r="E128" s="28" t="n"/>
      <c r="F128" s="28" t="n"/>
      <c r="G128" s="28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</row>
    <row r="129" ht="26.25" customHeight="1">
      <c r="A129" s="27" t="n"/>
      <c r="B129" s="27" t="n"/>
      <c r="C129" s="28" t="n"/>
      <c r="D129" s="28" t="n"/>
      <c r="E129" s="28" t="n"/>
      <c r="F129" s="28" t="n"/>
      <c r="G129" s="28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</row>
    <row r="130" ht="26.25" customHeight="1">
      <c r="A130" s="27" t="n"/>
      <c r="B130" s="27" t="n"/>
      <c r="C130" s="28" t="n"/>
      <c r="D130" s="28" t="n"/>
      <c r="E130" s="28" t="n"/>
      <c r="F130" s="28" t="n"/>
      <c r="G130" s="28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</row>
    <row r="131" ht="26.25" customHeight="1">
      <c r="A131" s="27" t="n"/>
      <c r="B131" s="27" t="n"/>
      <c r="C131" s="28" t="n"/>
      <c r="D131" s="28" t="n"/>
      <c r="E131" s="28" t="n"/>
      <c r="F131" s="28" t="n"/>
      <c r="G131" s="28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</row>
    <row r="132" ht="26.25" customHeight="1">
      <c r="A132" s="27" t="n"/>
      <c r="B132" s="27" t="n"/>
      <c r="C132" s="28" t="n"/>
      <c r="D132" s="28" t="n"/>
      <c r="E132" s="28" t="n"/>
      <c r="F132" s="28" t="n"/>
      <c r="G132" s="28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</row>
    <row r="133" ht="26.25" customHeight="1">
      <c r="A133" s="27" t="n"/>
      <c r="B133" s="27" t="n"/>
      <c r="C133" s="28" t="n"/>
      <c r="D133" s="28" t="n"/>
      <c r="E133" s="28" t="n"/>
      <c r="F133" s="28" t="n"/>
      <c r="G133" s="28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</row>
    <row r="134" ht="26.25" customHeight="1">
      <c r="A134" s="27" t="n"/>
      <c r="B134" s="27" t="n"/>
      <c r="C134" s="28" t="n"/>
      <c r="D134" s="28" t="n"/>
      <c r="E134" s="28" t="n"/>
      <c r="F134" s="28" t="n"/>
      <c r="G134" s="28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</row>
    <row r="135" ht="26.25" customHeight="1">
      <c r="A135" s="27" t="n"/>
      <c r="B135" s="27" t="n"/>
      <c r="C135" s="28" t="n"/>
      <c r="D135" s="28" t="n"/>
      <c r="E135" s="28" t="n"/>
      <c r="F135" s="28" t="n"/>
      <c r="G135" s="28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</row>
    <row r="136" ht="26.25" customHeight="1">
      <c r="A136" s="27" t="n"/>
      <c r="B136" s="27" t="n"/>
      <c r="C136" s="28" t="n"/>
      <c r="D136" s="28" t="n"/>
      <c r="E136" s="28" t="n"/>
      <c r="F136" s="28" t="n"/>
      <c r="G136" s="28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</row>
    <row r="137" ht="26.25" customHeight="1">
      <c r="A137" s="27" t="n"/>
      <c r="B137" s="27" t="n"/>
      <c r="C137" s="28" t="n"/>
      <c r="D137" s="28" t="n"/>
      <c r="E137" s="28" t="n"/>
      <c r="F137" s="28" t="n"/>
      <c r="G137" s="28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</row>
    <row r="138" ht="26.25" customHeight="1">
      <c r="A138" s="27" t="n"/>
      <c r="B138" s="27" t="n"/>
      <c r="C138" s="28" t="n"/>
      <c r="D138" s="28" t="n"/>
      <c r="E138" s="28" t="n"/>
      <c r="F138" s="28" t="n"/>
      <c r="G138" s="28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</row>
    <row r="139" ht="26.25" customHeight="1">
      <c r="A139" s="27" t="n"/>
      <c r="B139" s="27" t="n"/>
      <c r="C139" s="28" t="n"/>
      <c r="D139" s="28" t="n"/>
      <c r="E139" s="28" t="n"/>
      <c r="F139" s="28" t="n"/>
      <c r="G139" s="28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</row>
    <row r="140" ht="26.25" customHeight="1">
      <c r="A140" s="27" t="n"/>
      <c r="B140" s="27" t="n"/>
      <c r="C140" s="28" t="n"/>
      <c r="D140" s="28" t="n"/>
      <c r="E140" s="28" t="n"/>
      <c r="F140" s="28" t="n"/>
      <c r="G140" s="28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</row>
    <row r="141" ht="26.25" customHeight="1">
      <c r="A141" s="27" t="n"/>
      <c r="B141" s="27" t="n"/>
      <c r="C141" s="28" t="n"/>
      <c r="D141" s="28" t="n"/>
      <c r="E141" s="28" t="n"/>
      <c r="F141" s="28" t="n"/>
      <c r="G141" s="28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</row>
    <row r="142" ht="26.25" customHeight="1">
      <c r="A142" s="27" t="n"/>
      <c r="B142" s="27" t="n"/>
      <c r="C142" s="28" t="n"/>
      <c r="D142" s="28" t="n"/>
      <c r="E142" s="28" t="n"/>
      <c r="F142" s="28" t="n"/>
      <c r="G142" s="28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</row>
    <row r="143" ht="26.25" customHeight="1">
      <c r="A143" s="27" t="n"/>
      <c r="B143" s="27" t="n"/>
      <c r="C143" s="28" t="n"/>
      <c r="D143" s="28" t="n"/>
      <c r="E143" s="28" t="n"/>
      <c r="F143" s="28" t="n"/>
      <c r="G143" s="28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</row>
    <row r="144" ht="26.25" customHeight="1">
      <c r="A144" s="27" t="n"/>
      <c r="B144" s="27" t="n"/>
      <c r="C144" s="28" t="n"/>
      <c r="D144" s="28" t="n"/>
      <c r="E144" s="28" t="n"/>
      <c r="F144" s="28" t="n"/>
      <c r="G144" s="28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</row>
    <row r="145" ht="26.25" customHeight="1">
      <c r="A145" s="27" t="n"/>
      <c r="B145" s="27" t="n"/>
      <c r="C145" s="28" t="n"/>
      <c r="D145" s="28" t="n"/>
      <c r="E145" s="28" t="n"/>
      <c r="F145" s="28" t="n"/>
      <c r="G145" s="28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</row>
    <row r="146" ht="26.25" customHeight="1">
      <c r="A146" s="27" t="n"/>
      <c r="B146" s="27" t="n"/>
      <c r="C146" s="28" t="n"/>
      <c r="D146" s="28" t="n"/>
      <c r="E146" s="28" t="n"/>
      <c r="F146" s="28" t="n"/>
      <c r="G146" s="28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</row>
    <row r="147" ht="26.25" customHeight="1">
      <c r="A147" s="27" t="n"/>
      <c r="B147" s="27" t="n"/>
      <c r="C147" s="28" t="n"/>
      <c r="D147" s="28" t="n"/>
      <c r="E147" s="28" t="n"/>
      <c r="F147" s="28" t="n"/>
      <c r="G147" s="28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</row>
    <row r="148" ht="26.25" customHeight="1">
      <c r="A148" s="27" t="n"/>
      <c r="B148" s="27" t="n"/>
      <c r="C148" s="28" t="n"/>
      <c r="D148" s="28" t="n"/>
      <c r="E148" s="28" t="n"/>
      <c r="F148" s="28" t="n"/>
      <c r="G148" s="28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</row>
    <row r="149" ht="26.25" customHeight="1">
      <c r="A149" s="27" t="n"/>
      <c r="B149" s="27" t="n"/>
      <c r="C149" s="28" t="n"/>
      <c r="D149" s="28" t="n"/>
      <c r="E149" s="28" t="n"/>
      <c r="F149" s="28" t="n"/>
      <c r="G149" s="28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</row>
    <row r="150" ht="26.25" customHeight="1">
      <c r="A150" s="27" t="n"/>
      <c r="B150" s="27" t="n"/>
      <c r="C150" s="28" t="n"/>
      <c r="D150" s="28" t="n"/>
      <c r="E150" s="28" t="n"/>
      <c r="F150" s="28" t="n"/>
      <c r="G150" s="28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</row>
    <row r="151" ht="26.25" customHeight="1">
      <c r="A151" s="27" t="n"/>
      <c r="B151" s="27" t="n"/>
      <c r="C151" s="28" t="n"/>
      <c r="D151" s="28" t="n"/>
      <c r="E151" s="28" t="n"/>
      <c r="F151" s="28" t="n"/>
      <c r="G151" s="28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</row>
    <row r="152" ht="26.25" customHeight="1">
      <c r="A152" s="27" t="n"/>
      <c r="B152" s="27" t="n"/>
      <c r="C152" s="28" t="n"/>
      <c r="D152" s="28" t="n"/>
      <c r="E152" s="28" t="n"/>
      <c r="F152" s="28" t="n"/>
      <c r="G152" s="28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</row>
    <row r="153" ht="26.25" customHeight="1">
      <c r="A153" s="27" t="n"/>
      <c r="B153" s="27" t="n"/>
      <c r="C153" s="28" t="n"/>
      <c r="D153" s="28" t="n"/>
      <c r="E153" s="28" t="n"/>
      <c r="F153" s="28" t="n"/>
      <c r="G153" s="28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</row>
    <row r="154" ht="26.25" customHeight="1">
      <c r="A154" s="27" t="n"/>
      <c r="B154" s="27" t="n"/>
      <c r="C154" s="28" t="n"/>
      <c r="D154" s="28" t="n"/>
      <c r="E154" s="28" t="n"/>
      <c r="F154" s="28" t="n"/>
      <c r="G154" s="28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</row>
    <row r="155" ht="26.25" customHeight="1">
      <c r="A155" s="27" t="n"/>
      <c r="B155" s="27" t="n"/>
      <c r="C155" s="28" t="n"/>
      <c r="D155" s="28" t="n"/>
      <c r="E155" s="28" t="n"/>
      <c r="F155" s="28" t="n"/>
      <c r="G155" s="28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</row>
    <row r="156" ht="26.25" customHeight="1">
      <c r="A156" s="27" t="n"/>
      <c r="B156" s="27" t="n"/>
      <c r="C156" s="28" t="n"/>
      <c r="D156" s="28" t="n"/>
      <c r="E156" s="28" t="n"/>
      <c r="F156" s="28" t="n"/>
      <c r="G156" s="28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</row>
    <row r="157" ht="26.25" customHeight="1">
      <c r="A157" s="27" t="n"/>
      <c r="B157" s="27" t="n"/>
      <c r="C157" s="28" t="n"/>
      <c r="D157" s="28" t="n"/>
      <c r="E157" s="28" t="n"/>
      <c r="F157" s="28" t="n"/>
      <c r="G157" s="28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</row>
    <row r="158" ht="26.25" customHeight="1">
      <c r="A158" s="27" t="n"/>
      <c r="B158" s="27" t="n"/>
      <c r="C158" s="28" t="n"/>
      <c r="D158" s="28" t="n"/>
      <c r="E158" s="28" t="n"/>
      <c r="F158" s="28" t="n"/>
      <c r="G158" s="28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</row>
    <row r="159" ht="26.25" customHeight="1">
      <c r="A159" s="27" t="n"/>
      <c r="B159" s="27" t="n"/>
      <c r="C159" s="28" t="n"/>
      <c r="D159" s="28" t="n"/>
      <c r="E159" s="28" t="n"/>
      <c r="F159" s="28" t="n"/>
      <c r="G159" s="28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</row>
    <row r="160" ht="26.25" customHeight="1">
      <c r="A160" s="27" t="n"/>
      <c r="B160" s="27" t="n"/>
      <c r="C160" s="28" t="n"/>
      <c r="D160" s="28" t="n"/>
      <c r="E160" s="28" t="n"/>
      <c r="F160" s="28" t="n"/>
      <c r="G160" s="28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</row>
    <row r="161" ht="26.25" customHeight="1">
      <c r="A161" s="27" t="n"/>
      <c r="B161" s="27" t="n"/>
      <c r="C161" s="28" t="n"/>
      <c r="D161" s="28" t="n"/>
      <c r="E161" s="28" t="n"/>
      <c r="F161" s="28" t="n"/>
      <c r="G161" s="28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</row>
    <row r="162" ht="26.25" customHeight="1">
      <c r="A162" s="27" t="n"/>
      <c r="B162" s="27" t="n"/>
      <c r="C162" s="28" t="n"/>
      <c r="D162" s="28" t="n"/>
      <c r="E162" s="28" t="n"/>
      <c r="F162" s="28" t="n"/>
      <c r="G162" s="28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</row>
    <row r="163" ht="26.25" customHeight="1">
      <c r="A163" s="27" t="n"/>
      <c r="B163" s="27" t="n"/>
      <c r="C163" s="28" t="n"/>
      <c r="D163" s="28" t="n"/>
      <c r="E163" s="28" t="n"/>
      <c r="F163" s="28" t="n"/>
      <c r="G163" s="28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</row>
    <row r="164" ht="26.25" customHeight="1">
      <c r="A164" s="27" t="n"/>
      <c r="B164" s="27" t="n"/>
      <c r="C164" s="28" t="n"/>
      <c r="D164" s="28" t="n"/>
      <c r="E164" s="28" t="n"/>
      <c r="F164" s="28" t="n"/>
      <c r="G164" s="28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</row>
    <row r="165" ht="26.25" customHeight="1">
      <c r="A165" s="27" t="n"/>
      <c r="B165" s="27" t="n"/>
      <c r="C165" s="28" t="n"/>
      <c r="D165" s="28" t="n"/>
      <c r="E165" s="28" t="n"/>
      <c r="F165" s="28" t="n"/>
      <c r="G165" s="28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</row>
    <row r="166" ht="26.25" customHeight="1">
      <c r="A166" s="27" t="n"/>
      <c r="B166" s="27" t="n"/>
      <c r="C166" s="28" t="n"/>
      <c r="D166" s="28" t="n"/>
      <c r="E166" s="28" t="n"/>
      <c r="F166" s="28" t="n"/>
      <c r="G166" s="28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</row>
    <row r="167" ht="26.25" customHeight="1">
      <c r="A167" s="27" t="n"/>
      <c r="B167" s="27" t="n"/>
      <c r="C167" s="28" t="n"/>
      <c r="D167" s="28" t="n"/>
      <c r="E167" s="28" t="n"/>
      <c r="F167" s="28" t="n"/>
      <c r="G167" s="28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</row>
    <row r="168" ht="26.25" customHeight="1">
      <c r="A168" s="27" t="n"/>
      <c r="B168" s="27" t="n"/>
      <c r="C168" s="28" t="n"/>
      <c r="D168" s="28" t="n"/>
      <c r="E168" s="28" t="n"/>
      <c r="F168" s="28" t="n"/>
      <c r="G168" s="28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</row>
    <row r="169" ht="26.25" customHeight="1">
      <c r="A169" s="27" t="n"/>
      <c r="B169" s="27" t="n"/>
      <c r="C169" s="28" t="n"/>
      <c r="D169" s="28" t="n"/>
      <c r="E169" s="28" t="n"/>
      <c r="F169" s="28" t="n"/>
      <c r="G169" s="28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</row>
    <row r="170" ht="26.25" customHeight="1">
      <c r="A170" s="27" t="n"/>
      <c r="B170" s="27" t="n"/>
      <c r="C170" s="28" t="n"/>
      <c r="D170" s="28" t="n"/>
      <c r="E170" s="28" t="n"/>
      <c r="F170" s="28" t="n"/>
      <c r="G170" s="28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</row>
    <row r="171" ht="26.25" customHeight="1">
      <c r="A171" s="27" t="n"/>
      <c r="B171" s="27" t="n"/>
      <c r="C171" s="28" t="n"/>
      <c r="D171" s="28" t="n"/>
      <c r="E171" s="28" t="n"/>
      <c r="F171" s="28" t="n"/>
      <c r="G171" s="28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</row>
    <row r="172" ht="26.25" customHeight="1">
      <c r="A172" s="27" t="n"/>
      <c r="B172" s="27" t="n"/>
      <c r="C172" s="28" t="n"/>
      <c r="D172" s="28" t="n"/>
      <c r="E172" s="28" t="n"/>
      <c r="F172" s="28" t="n"/>
      <c r="G172" s="28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</row>
    <row r="173" ht="26.25" customHeight="1">
      <c r="A173" s="27" t="n"/>
      <c r="B173" s="27" t="n"/>
      <c r="C173" s="28" t="n"/>
      <c r="D173" s="28" t="n"/>
      <c r="E173" s="28" t="n"/>
      <c r="F173" s="28" t="n"/>
      <c r="G173" s="28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</row>
    <row r="174" ht="26.25" customHeight="1">
      <c r="A174" s="27" t="n"/>
      <c r="B174" s="27" t="n"/>
      <c r="C174" s="28" t="n"/>
      <c r="D174" s="28" t="n"/>
      <c r="E174" s="28" t="n"/>
      <c r="F174" s="28" t="n"/>
      <c r="G174" s="28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</row>
    <row r="175" ht="26.25" customHeight="1">
      <c r="A175" s="27" t="n"/>
      <c r="B175" s="27" t="n"/>
      <c r="C175" s="28" t="n"/>
      <c r="D175" s="28" t="n"/>
      <c r="E175" s="28" t="n"/>
      <c r="F175" s="28" t="n"/>
      <c r="G175" s="28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</row>
    <row r="176" ht="26.25" customHeight="1">
      <c r="A176" s="27" t="n"/>
      <c r="B176" s="27" t="n"/>
      <c r="C176" s="28" t="n"/>
      <c r="D176" s="28" t="n"/>
      <c r="E176" s="28" t="n"/>
      <c r="F176" s="28" t="n"/>
      <c r="G176" s="28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</row>
    <row r="177" ht="26.25" customHeight="1">
      <c r="A177" s="27" t="n"/>
      <c r="B177" s="27" t="n"/>
      <c r="C177" s="28" t="n"/>
      <c r="D177" s="28" t="n"/>
      <c r="E177" s="28" t="n"/>
      <c r="F177" s="28" t="n"/>
      <c r="G177" s="28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</row>
    <row r="178" ht="26.25" customHeight="1">
      <c r="A178" s="27" t="n"/>
      <c r="B178" s="27" t="n"/>
      <c r="C178" s="28" t="n"/>
      <c r="D178" s="28" t="n"/>
      <c r="E178" s="28" t="n"/>
      <c r="F178" s="28" t="n"/>
      <c r="G178" s="28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</row>
    <row r="179" ht="26.25" customHeight="1">
      <c r="A179" s="27" t="n"/>
      <c r="B179" s="27" t="n"/>
      <c r="C179" s="28" t="n"/>
      <c r="D179" s="28" t="n"/>
      <c r="E179" s="28" t="n"/>
      <c r="F179" s="28" t="n"/>
      <c r="G179" s="28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</row>
    <row r="180" ht="26.25" customHeight="1">
      <c r="A180" s="27" t="n"/>
      <c r="B180" s="27" t="n"/>
      <c r="C180" s="28" t="n"/>
      <c r="D180" s="28" t="n"/>
      <c r="E180" s="28" t="n"/>
      <c r="F180" s="28" t="n"/>
      <c r="G180" s="28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</row>
    <row r="181" ht="26.25" customHeight="1">
      <c r="A181" s="27" t="n"/>
      <c r="B181" s="27" t="n"/>
      <c r="C181" s="28" t="n"/>
      <c r="D181" s="28" t="n"/>
      <c r="E181" s="28" t="n"/>
      <c r="F181" s="28" t="n"/>
      <c r="G181" s="28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</row>
    <row r="182" ht="26.25" customHeight="1">
      <c r="A182" s="27" t="n"/>
      <c r="B182" s="27" t="n"/>
      <c r="C182" s="28" t="n"/>
      <c r="D182" s="28" t="n"/>
      <c r="E182" s="28" t="n"/>
      <c r="F182" s="28" t="n"/>
      <c r="G182" s="28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</row>
    <row r="183" ht="26.25" customHeight="1">
      <c r="A183" s="27" t="n"/>
      <c r="B183" s="27" t="n"/>
      <c r="C183" s="28" t="n"/>
      <c r="D183" s="28" t="n"/>
      <c r="E183" s="28" t="n"/>
      <c r="F183" s="28" t="n"/>
      <c r="G183" s="28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</row>
    <row r="184" ht="26.25" customHeight="1">
      <c r="A184" s="27" t="n"/>
      <c r="B184" s="27" t="n"/>
      <c r="C184" s="28" t="n"/>
      <c r="D184" s="28" t="n"/>
      <c r="E184" s="28" t="n"/>
      <c r="F184" s="28" t="n"/>
      <c r="G184" s="28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</row>
    <row r="185" ht="26.25" customHeight="1">
      <c r="A185" s="27" t="n"/>
      <c r="B185" s="27" t="n"/>
      <c r="C185" s="28" t="n"/>
      <c r="D185" s="28" t="n"/>
      <c r="E185" s="28" t="n"/>
      <c r="F185" s="28" t="n"/>
      <c r="G185" s="28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</row>
    <row r="186" ht="26.25" customHeight="1">
      <c r="A186" s="27" t="n"/>
      <c r="B186" s="27" t="n"/>
      <c r="C186" s="28" t="n"/>
      <c r="D186" s="28" t="n"/>
      <c r="E186" s="28" t="n"/>
      <c r="F186" s="28" t="n"/>
      <c r="G186" s="28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</row>
    <row r="187" ht="26.25" customHeight="1">
      <c r="A187" s="27" t="n"/>
      <c r="B187" s="27" t="n"/>
      <c r="C187" s="28" t="n"/>
      <c r="D187" s="28" t="n"/>
      <c r="E187" s="28" t="n"/>
      <c r="F187" s="28" t="n"/>
      <c r="G187" s="28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</row>
    <row r="188" ht="26.25" customHeight="1">
      <c r="A188" s="27" t="n"/>
      <c r="B188" s="27" t="n"/>
      <c r="C188" s="28" t="n"/>
      <c r="D188" s="28" t="n"/>
      <c r="E188" s="28" t="n"/>
      <c r="F188" s="28" t="n"/>
      <c r="G188" s="28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</row>
    <row r="189" ht="26.25" customHeight="1">
      <c r="A189" s="27" t="n"/>
      <c r="B189" s="27" t="n"/>
      <c r="C189" s="28" t="n"/>
      <c r="D189" s="28" t="n"/>
      <c r="E189" s="28" t="n"/>
      <c r="F189" s="28" t="n"/>
      <c r="G189" s="28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</row>
    <row r="190" ht="26.25" customHeight="1">
      <c r="A190" s="27" t="n"/>
      <c r="B190" s="27" t="n"/>
      <c r="C190" s="28" t="n"/>
      <c r="D190" s="28" t="n"/>
      <c r="E190" s="28" t="n"/>
      <c r="F190" s="28" t="n"/>
      <c r="G190" s="28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</row>
    <row r="191" ht="26.25" customHeight="1">
      <c r="A191" s="27" t="n"/>
      <c r="B191" s="27" t="n"/>
      <c r="C191" s="28" t="n"/>
      <c r="D191" s="28" t="n"/>
      <c r="E191" s="28" t="n"/>
      <c r="F191" s="28" t="n"/>
      <c r="G191" s="28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</row>
    <row r="192" ht="26.25" customHeight="1">
      <c r="A192" s="27" t="n"/>
      <c r="B192" s="27" t="n"/>
      <c r="C192" s="28" t="n"/>
      <c r="D192" s="28" t="n"/>
      <c r="E192" s="28" t="n"/>
      <c r="F192" s="28" t="n"/>
      <c r="G192" s="28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</row>
    <row r="193" ht="26.25" customHeight="1">
      <c r="A193" s="27" t="n"/>
      <c r="B193" s="27" t="n"/>
      <c r="C193" s="28" t="n"/>
      <c r="D193" s="28" t="n"/>
      <c r="E193" s="28" t="n"/>
      <c r="F193" s="28" t="n"/>
      <c r="G193" s="28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</row>
    <row r="194" ht="26.25" customHeight="1">
      <c r="A194" s="27" t="n"/>
      <c r="B194" s="27" t="n"/>
      <c r="C194" s="28" t="n"/>
      <c r="D194" s="28" t="n"/>
      <c r="E194" s="28" t="n"/>
      <c r="F194" s="28" t="n"/>
      <c r="G194" s="28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</row>
    <row r="195" ht="26.25" customHeight="1">
      <c r="A195" s="27" t="n"/>
      <c r="B195" s="27" t="n"/>
      <c r="C195" s="28" t="n"/>
      <c r="D195" s="28" t="n"/>
      <c r="E195" s="28" t="n"/>
      <c r="F195" s="28" t="n"/>
      <c r="G195" s="28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</row>
    <row r="196" ht="26.25" customHeight="1">
      <c r="A196" s="27" t="n"/>
      <c r="B196" s="27" t="n"/>
      <c r="C196" s="28" t="n"/>
      <c r="D196" s="28" t="n"/>
      <c r="E196" s="28" t="n"/>
      <c r="F196" s="28" t="n"/>
      <c r="G196" s="28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</row>
    <row r="197" ht="26.25" customHeight="1">
      <c r="A197" s="27" t="n"/>
      <c r="B197" s="27" t="n"/>
      <c r="C197" s="28" t="n"/>
      <c r="D197" s="28" t="n"/>
      <c r="E197" s="28" t="n"/>
      <c r="F197" s="28" t="n"/>
      <c r="G197" s="28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</row>
    <row r="198" ht="26.25" customHeight="1">
      <c r="A198" s="27" t="n"/>
      <c r="B198" s="27" t="n"/>
      <c r="C198" s="28" t="n"/>
      <c r="D198" s="28" t="n"/>
      <c r="E198" s="28" t="n"/>
      <c r="F198" s="28" t="n"/>
      <c r="G198" s="28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</row>
    <row r="199" ht="26.25" customHeight="1">
      <c r="A199" s="27" t="n"/>
      <c r="B199" s="27" t="n"/>
      <c r="C199" s="28" t="n"/>
      <c r="D199" s="28" t="n"/>
      <c r="E199" s="28" t="n"/>
      <c r="F199" s="28" t="n"/>
      <c r="G199" s="28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</row>
    <row r="200" ht="26.25" customHeight="1">
      <c r="A200" s="27" t="n"/>
      <c r="B200" s="27" t="n"/>
      <c r="C200" s="28" t="n"/>
      <c r="D200" s="28" t="n"/>
      <c r="E200" s="28" t="n"/>
      <c r="F200" s="28" t="n"/>
      <c r="G200" s="28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</row>
    <row r="201" ht="26.25" customHeight="1">
      <c r="A201" s="27" t="n"/>
      <c r="B201" s="27" t="n"/>
      <c r="C201" s="28" t="n"/>
      <c r="D201" s="28" t="n"/>
      <c r="E201" s="28" t="n"/>
      <c r="F201" s="28" t="n"/>
      <c r="G201" s="28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</row>
    <row r="202" ht="26.25" customHeight="1">
      <c r="A202" s="27" t="n"/>
      <c r="B202" s="27" t="n"/>
      <c r="C202" s="28" t="n"/>
      <c r="D202" s="28" t="n"/>
      <c r="E202" s="28" t="n"/>
      <c r="F202" s="28" t="n"/>
      <c r="G202" s="28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</row>
    <row r="203" ht="26.25" customHeight="1">
      <c r="A203" s="27" t="n"/>
      <c r="B203" s="27" t="n"/>
      <c r="C203" s="28" t="n"/>
      <c r="D203" s="28" t="n"/>
      <c r="E203" s="28" t="n"/>
      <c r="F203" s="28" t="n"/>
      <c r="G203" s="28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</row>
    <row r="204" ht="26.25" customHeight="1">
      <c r="A204" s="27" t="n"/>
      <c r="B204" s="27" t="n"/>
      <c r="C204" s="28" t="n"/>
      <c r="D204" s="28" t="n"/>
      <c r="E204" s="28" t="n"/>
      <c r="F204" s="28" t="n"/>
      <c r="G204" s="28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</row>
    <row r="205" ht="26.25" customHeight="1">
      <c r="A205" s="27" t="n"/>
      <c r="B205" s="27" t="n"/>
      <c r="C205" s="28" t="n"/>
      <c r="D205" s="28" t="n"/>
      <c r="E205" s="28" t="n"/>
      <c r="F205" s="28" t="n"/>
      <c r="G205" s="28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</row>
    <row r="206" ht="26.25" customHeight="1">
      <c r="A206" s="27" t="n"/>
      <c r="B206" s="27" t="n"/>
      <c r="C206" s="28" t="n"/>
      <c r="D206" s="28" t="n"/>
      <c r="E206" s="28" t="n"/>
      <c r="F206" s="28" t="n"/>
      <c r="G206" s="28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</row>
    <row r="207" ht="26.25" customHeight="1">
      <c r="A207" s="27" t="n"/>
      <c r="B207" s="27" t="n"/>
      <c r="C207" s="28" t="n"/>
      <c r="D207" s="28" t="n"/>
      <c r="E207" s="28" t="n"/>
      <c r="F207" s="28" t="n"/>
      <c r="G207" s="28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</row>
    <row r="208" ht="26.25" customHeight="1">
      <c r="A208" s="27" t="n"/>
      <c r="B208" s="27" t="n"/>
      <c r="C208" s="28" t="n"/>
      <c r="D208" s="28" t="n"/>
      <c r="E208" s="28" t="n"/>
      <c r="F208" s="28" t="n"/>
      <c r="G208" s="28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</row>
    <row r="209" ht="26.25" customHeight="1">
      <c r="A209" s="27" t="n"/>
      <c r="B209" s="27" t="n"/>
      <c r="C209" s="28" t="n"/>
      <c r="D209" s="28" t="n"/>
      <c r="E209" s="28" t="n"/>
      <c r="F209" s="28" t="n"/>
      <c r="G209" s="28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</row>
    <row r="210" ht="26.25" customHeight="1">
      <c r="A210" s="27" t="n"/>
      <c r="B210" s="27" t="n"/>
      <c r="C210" s="28" t="n"/>
      <c r="D210" s="28" t="n"/>
      <c r="E210" s="28" t="n"/>
      <c r="F210" s="28" t="n"/>
      <c r="G210" s="28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</row>
    <row r="211" ht="26.25" customHeight="1">
      <c r="A211" s="27" t="n"/>
      <c r="B211" s="27" t="n"/>
      <c r="C211" s="28" t="n"/>
      <c r="D211" s="28" t="n"/>
      <c r="E211" s="28" t="n"/>
      <c r="F211" s="28" t="n"/>
      <c r="G211" s="28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</row>
    <row r="212" ht="26.25" customHeight="1">
      <c r="A212" s="27" t="n"/>
      <c r="B212" s="27" t="n"/>
      <c r="C212" s="28" t="n"/>
      <c r="D212" s="28" t="n"/>
      <c r="E212" s="28" t="n"/>
      <c r="F212" s="28" t="n"/>
      <c r="G212" s="28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</row>
    <row r="213" ht="26.25" customHeight="1">
      <c r="A213" s="27" t="n"/>
      <c r="B213" s="27" t="n"/>
      <c r="C213" s="28" t="n"/>
      <c r="D213" s="28" t="n"/>
      <c r="E213" s="28" t="n"/>
      <c r="F213" s="28" t="n"/>
      <c r="G213" s="28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</row>
    <row r="214" ht="26.25" customHeight="1">
      <c r="A214" s="27" t="n"/>
      <c r="B214" s="27" t="n"/>
      <c r="C214" s="28" t="n"/>
      <c r="D214" s="28" t="n"/>
      <c r="E214" s="28" t="n"/>
      <c r="F214" s="28" t="n"/>
      <c r="G214" s="28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</row>
    <row r="215" ht="26.25" customHeight="1">
      <c r="A215" s="27" t="n"/>
      <c r="B215" s="27" t="n"/>
      <c r="C215" s="28" t="n"/>
      <c r="D215" s="28" t="n"/>
      <c r="E215" s="28" t="n"/>
      <c r="F215" s="28" t="n"/>
      <c r="G215" s="28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</row>
    <row r="216" ht="26.25" customHeight="1">
      <c r="A216" s="27" t="n"/>
      <c r="B216" s="27" t="n"/>
      <c r="C216" s="28" t="n"/>
      <c r="D216" s="28" t="n"/>
      <c r="E216" s="28" t="n"/>
      <c r="F216" s="28" t="n"/>
      <c r="G216" s="28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</row>
    <row r="217" ht="26.25" customHeight="1">
      <c r="A217" s="27" t="n"/>
      <c r="B217" s="27" t="n"/>
      <c r="C217" s="28" t="n"/>
      <c r="D217" s="28" t="n"/>
      <c r="E217" s="28" t="n"/>
      <c r="F217" s="28" t="n"/>
      <c r="G217" s="28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</row>
    <row r="218" ht="26.25" customHeight="1">
      <c r="A218" s="27" t="n"/>
      <c r="B218" s="27" t="n"/>
      <c r="C218" s="28" t="n"/>
      <c r="D218" s="28" t="n"/>
      <c r="E218" s="28" t="n"/>
      <c r="F218" s="28" t="n"/>
      <c r="G218" s="28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</row>
    <row r="219" ht="26.25" customHeight="1">
      <c r="A219" s="27" t="n"/>
      <c r="B219" s="27" t="n"/>
      <c r="C219" s="28" t="n"/>
      <c r="D219" s="28" t="n"/>
      <c r="E219" s="28" t="n"/>
      <c r="F219" s="28" t="n"/>
      <c r="G219" s="28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</row>
    <row r="220" ht="26.25" customHeight="1">
      <c r="A220" s="27" t="n"/>
      <c r="B220" s="27" t="n"/>
      <c r="C220" s="28" t="n"/>
      <c r="D220" s="28" t="n"/>
      <c r="E220" s="28" t="n"/>
      <c r="F220" s="28" t="n"/>
      <c r="G220" s="28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</row>
    <row r="221" ht="26.25" customHeight="1">
      <c r="A221" s="27" t="n"/>
      <c r="B221" s="27" t="n"/>
      <c r="C221" s="28" t="n"/>
      <c r="D221" s="28" t="n"/>
      <c r="E221" s="28" t="n"/>
      <c r="F221" s="28" t="n"/>
      <c r="G221" s="28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</row>
    <row r="222" ht="26.25" customHeight="1">
      <c r="A222" s="27" t="n"/>
      <c r="B222" s="27" t="n"/>
      <c r="C222" s="28" t="n"/>
      <c r="D222" s="28" t="n"/>
      <c r="E222" s="28" t="n"/>
      <c r="F222" s="28" t="n"/>
      <c r="G222" s="28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</row>
    <row r="223" ht="26.25" customHeight="1">
      <c r="A223" s="27" t="n"/>
      <c r="B223" s="27" t="n"/>
      <c r="C223" s="28" t="n"/>
      <c r="D223" s="28" t="n"/>
      <c r="E223" s="28" t="n"/>
      <c r="F223" s="28" t="n"/>
      <c r="G223" s="28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</row>
    <row r="224" ht="26.25" customHeight="1">
      <c r="A224" s="27" t="n"/>
      <c r="B224" s="27" t="n"/>
      <c r="C224" s="28" t="n"/>
      <c r="D224" s="28" t="n"/>
      <c r="E224" s="28" t="n"/>
      <c r="F224" s="28" t="n"/>
      <c r="G224" s="28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</row>
    <row r="225" ht="26.25" customHeight="1">
      <c r="A225" s="27" t="n"/>
      <c r="B225" s="27" t="n"/>
      <c r="C225" s="28" t="n"/>
      <c r="D225" s="28" t="n"/>
      <c r="E225" s="28" t="n"/>
      <c r="F225" s="28" t="n"/>
      <c r="G225" s="28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</row>
    <row r="226" ht="26.25" customHeight="1">
      <c r="A226" s="27" t="n"/>
      <c r="B226" s="27" t="n"/>
      <c r="C226" s="28" t="n"/>
      <c r="D226" s="28" t="n"/>
      <c r="E226" s="28" t="n"/>
      <c r="F226" s="28" t="n"/>
      <c r="G226" s="28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</row>
    <row r="227" ht="26.25" customHeight="1">
      <c r="A227" s="27" t="n"/>
      <c r="B227" s="27" t="n"/>
      <c r="C227" s="28" t="n"/>
      <c r="D227" s="28" t="n"/>
      <c r="E227" s="28" t="n"/>
      <c r="F227" s="28" t="n"/>
      <c r="G227" s="28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</row>
    <row r="228" ht="26.25" customHeight="1">
      <c r="A228" s="27" t="n"/>
      <c r="B228" s="27" t="n"/>
      <c r="C228" s="28" t="n"/>
      <c r="D228" s="28" t="n"/>
      <c r="E228" s="28" t="n"/>
      <c r="F228" s="28" t="n"/>
      <c r="G228" s="28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</row>
    <row r="229" ht="26.25" customHeight="1">
      <c r="A229" s="27" t="n"/>
      <c r="B229" s="27" t="n"/>
      <c r="C229" s="28" t="n"/>
      <c r="D229" s="28" t="n"/>
      <c r="E229" s="28" t="n"/>
      <c r="F229" s="28" t="n"/>
      <c r="G229" s="28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</row>
    <row r="230" ht="26.25" customHeight="1">
      <c r="A230" s="27" t="n"/>
      <c r="B230" s="27" t="n"/>
      <c r="C230" s="28" t="n"/>
      <c r="D230" s="28" t="n"/>
      <c r="E230" s="28" t="n"/>
      <c r="F230" s="28" t="n"/>
      <c r="G230" s="28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</row>
    <row r="231" ht="26.25" customHeight="1">
      <c r="A231" s="27" t="n"/>
      <c r="B231" s="27" t="n"/>
      <c r="C231" s="28" t="n"/>
      <c r="D231" s="28" t="n"/>
      <c r="E231" s="28" t="n"/>
      <c r="F231" s="28" t="n"/>
      <c r="G231" s="28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</row>
    <row r="232" ht="26.25" customHeight="1">
      <c r="A232" s="27" t="n"/>
      <c r="B232" s="27" t="n"/>
      <c r="C232" s="28" t="n"/>
      <c r="D232" s="28" t="n"/>
      <c r="E232" s="28" t="n"/>
      <c r="F232" s="28" t="n"/>
      <c r="G232" s="28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</row>
    <row r="233" ht="26.25" customHeight="1">
      <c r="A233" s="27" t="n"/>
      <c r="B233" s="27" t="n"/>
      <c r="C233" s="28" t="n"/>
      <c r="D233" s="28" t="n"/>
      <c r="E233" s="28" t="n"/>
      <c r="F233" s="28" t="n"/>
      <c r="G233" s="28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</row>
    <row r="234" ht="26.25" customHeight="1">
      <c r="A234" s="27" t="n"/>
      <c r="B234" s="27" t="n"/>
      <c r="C234" s="28" t="n"/>
      <c r="D234" s="28" t="n"/>
      <c r="E234" s="28" t="n"/>
      <c r="F234" s="28" t="n"/>
      <c r="G234" s="28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</row>
    <row r="235" ht="26.25" customHeight="1">
      <c r="A235" s="27" t="n"/>
      <c r="B235" s="27" t="n"/>
      <c r="C235" s="28" t="n"/>
      <c r="D235" s="28" t="n"/>
      <c r="E235" s="28" t="n"/>
      <c r="F235" s="28" t="n"/>
      <c r="G235" s="28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</row>
    <row r="236" ht="26.25" customHeight="1">
      <c r="A236" s="27" t="n"/>
      <c r="B236" s="27" t="n"/>
      <c r="C236" s="28" t="n"/>
      <c r="D236" s="28" t="n"/>
      <c r="E236" s="28" t="n"/>
      <c r="F236" s="28" t="n"/>
      <c r="G236" s="28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</row>
    <row r="237" ht="26.25" customHeight="1">
      <c r="A237" s="27" t="n"/>
      <c r="B237" s="27" t="n"/>
      <c r="C237" s="28" t="n"/>
      <c r="D237" s="28" t="n"/>
      <c r="E237" s="28" t="n"/>
      <c r="F237" s="28" t="n"/>
      <c r="G237" s="28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</row>
    <row r="238" ht="26.25" customHeight="1">
      <c r="A238" s="27" t="n"/>
      <c r="B238" s="27" t="n"/>
      <c r="C238" s="28" t="n"/>
      <c r="D238" s="28" t="n"/>
      <c r="E238" s="28" t="n"/>
      <c r="F238" s="28" t="n"/>
      <c r="G238" s="28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</row>
    <row r="239" ht="26.25" customHeight="1">
      <c r="A239" s="27" t="n"/>
      <c r="B239" s="27" t="n"/>
      <c r="C239" s="28" t="n"/>
      <c r="D239" s="28" t="n"/>
      <c r="E239" s="28" t="n"/>
      <c r="F239" s="28" t="n"/>
      <c r="G239" s="28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</row>
    <row r="240" ht="26.25" customHeight="1">
      <c r="A240" s="27" t="n"/>
      <c r="B240" s="27" t="n"/>
      <c r="C240" s="28" t="n"/>
      <c r="D240" s="28" t="n"/>
      <c r="E240" s="28" t="n"/>
      <c r="F240" s="28" t="n"/>
      <c r="G240" s="28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</row>
    <row r="241" ht="26.25" customHeight="1">
      <c r="A241" s="27" t="n"/>
      <c r="B241" s="27" t="n"/>
      <c r="C241" s="28" t="n"/>
      <c r="D241" s="28" t="n"/>
      <c r="E241" s="28" t="n"/>
      <c r="F241" s="28" t="n"/>
      <c r="G241" s="28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</row>
    <row r="242" ht="26.25" customHeight="1">
      <c r="A242" s="27" t="n"/>
      <c r="B242" s="27" t="n"/>
      <c r="C242" s="28" t="n"/>
      <c r="D242" s="28" t="n"/>
      <c r="E242" s="28" t="n"/>
      <c r="F242" s="28" t="n"/>
      <c r="G242" s="28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</row>
    <row r="243" ht="26.25" customHeight="1">
      <c r="A243" s="29" t="n"/>
      <c r="B243" s="29" t="n"/>
      <c r="C243" s="28" t="n"/>
      <c r="D243" s="28" t="n"/>
      <c r="E243" s="28" t="n"/>
      <c r="F243" s="28" t="n"/>
      <c r="G243" s="28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</row>
    <row r="244" ht="26.25" customHeight="1">
      <c r="A244" s="29" t="n"/>
      <c r="B244" s="29" t="n"/>
      <c r="C244" s="28" t="n"/>
      <c r="D244" s="28" t="n"/>
      <c r="E244" s="28" t="n"/>
      <c r="F244" s="28" t="n"/>
      <c r="G244" s="28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</row>
    <row r="245" ht="26.25" customHeight="1">
      <c r="A245" s="29" t="n"/>
      <c r="B245" s="29" t="n"/>
      <c r="C245" s="28" t="n"/>
      <c r="D245" s="28" t="n"/>
      <c r="E245" s="28" t="n"/>
      <c r="F245" s="28" t="n"/>
      <c r="G245" s="28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</row>
    <row r="246" ht="26.25" customHeight="1">
      <c r="A246" s="29" t="n"/>
      <c r="B246" s="29" t="n"/>
      <c r="C246" s="28" t="n"/>
      <c r="D246" s="28" t="n"/>
      <c r="E246" s="28" t="n"/>
      <c r="F246" s="28" t="n"/>
      <c r="G246" s="28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</row>
    <row r="247" ht="26.25" customHeight="1">
      <c r="A247" s="29" t="n"/>
      <c r="B247" s="29" t="n"/>
      <c r="C247" s="28" t="n"/>
      <c r="D247" s="28" t="n"/>
      <c r="E247" s="28" t="n"/>
      <c r="F247" s="28" t="n"/>
      <c r="G247" s="28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</row>
    <row r="248" ht="26.25" customHeight="1">
      <c r="A248" s="29" t="n"/>
      <c r="B248" s="29" t="n"/>
      <c r="C248" s="28" t="n"/>
      <c r="D248" s="28" t="n"/>
      <c r="E248" s="28" t="n"/>
      <c r="F248" s="28" t="n"/>
      <c r="G248" s="28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</row>
    <row r="249" ht="26.25" customHeight="1">
      <c r="A249" s="29" t="n"/>
      <c r="B249" s="29" t="n"/>
      <c r="C249" s="28" t="n"/>
      <c r="D249" s="28" t="n"/>
      <c r="E249" s="28" t="n"/>
      <c r="F249" s="28" t="n"/>
      <c r="G249" s="28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</row>
    <row r="250" ht="26.25" customHeight="1">
      <c r="A250" s="29" t="n"/>
      <c r="B250" s="29" t="n"/>
      <c r="C250" s="28" t="n"/>
      <c r="D250" s="28" t="n"/>
      <c r="E250" s="28" t="n"/>
      <c r="F250" s="28" t="n"/>
      <c r="G250" s="28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</row>
    <row r="251" ht="26.25" customHeight="1">
      <c r="A251" s="29" t="n"/>
      <c r="B251" s="29" t="n"/>
      <c r="C251" s="28" t="n"/>
      <c r="D251" s="28" t="n"/>
      <c r="E251" s="28" t="n"/>
      <c r="F251" s="28" t="n"/>
      <c r="G251" s="28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</row>
    <row r="252" ht="26.25" customHeight="1">
      <c r="A252" s="29" t="n"/>
      <c r="B252" s="29" t="n"/>
      <c r="C252" s="28" t="n"/>
      <c r="D252" s="28" t="n"/>
      <c r="E252" s="28" t="n"/>
      <c r="F252" s="28" t="n"/>
      <c r="G252" s="28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</row>
    <row r="253" ht="26.25" customHeight="1">
      <c r="A253" s="29" t="n"/>
      <c r="B253" s="29" t="n"/>
      <c r="C253" s="28" t="n"/>
      <c r="D253" s="28" t="n"/>
      <c r="E253" s="28" t="n"/>
      <c r="F253" s="28" t="n"/>
      <c r="G253" s="28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</row>
    <row r="254" ht="26.25" customHeight="1">
      <c r="A254" s="29" t="n"/>
      <c r="B254" s="29" t="n"/>
      <c r="C254" s="28" t="n"/>
      <c r="D254" s="28" t="n"/>
      <c r="E254" s="28" t="n"/>
      <c r="F254" s="28" t="n"/>
      <c r="G254" s="28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</row>
    <row r="255" ht="26.25" customHeight="1">
      <c r="A255" s="29" t="n"/>
      <c r="B255" s="29" t="n"/>
      <c r="C255" s="28" t="n"/>
      <c r="D255" s="28" t="n"/>
      <c r="E255" s="28" t="n"/>
      <c r="F255" s="28" t="n"/>
      <c r="G255" s="28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</row>
    <row r="256" ht="26.25" customHeight="1">
      <c r="A256" s="29" t="n"/>
      <c r="B256" s="29" t="n"/>
      <c r="C256" s="28" t="n"/>
      <c r="D256" s="28" t="n"/>
      <c r="E256" s="28" t="n"/>
      <c r="F256" s="28" t="n"/>
      <c r="G256" s="28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</row>
    <row r="257" ht="26.25" customHeight="1">
      <c r="A257" s="29" t="n"/>
      <c r="B257" s="29" t="n"/>
      <c r="C257" s="28" t="n"/>
      <c r="D257" s="28" t="n"/>
      <c r="E257" s="28" t="n"/>
      <c r="F257" s="28" t="n"/>
      <c r="G257" s="28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</row>
    <row r="258" ht="26.25" customHeight="1">
      <c r="A258" s="29" t="n"/>
      <c r="B258" s="29" t="n"/>
      <c r="C258" s="28" t="n"/>
      <c r="D258" s="28" t="n"/>
      <c r="E258" s="28" t="n"/>
      <c r="F258" s="28" t="n"/>
      <c r="G258" s="28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</row>
    <row r="259" ht="26.25" customHeight="1">
      <c r="A259" s="29" t="n"/>
      <c r="B259" s="29" t="n"/>
      <c r="C259" s="28" t="n"/>
      <c r="D259" s="28" t="n"/>
      <c r="E259" s="28" t="n"/>
      <c r="F259" s="28" t="n"/>
      <c r="G259" s="28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</row>
    <row r="260" ht="26.25" customHeight="1">
      <c r="A260" s="29" t="n"/>
      <c r="B260" s="29" t="n"/>
      <c r="C260" s="28" t="n"/>
      <c r="D260" s="28" t="n"/>
      <c r="E260" s="28" t="n"/>
      <c r="F260" s="28" t="n"/>
      <c r="G260" s="28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</row>
    <row r="261" ht="26.25" customHeight="1">
      <c r="A261" s="29" t="n"/>
      <c r="B261" s="29" t="n"/>
      <c r="C261" s="28" t="n"/>
      <c r="D261" s="28" t="n"/>
      <c r="E261" s="28" t="n"/>
      <c r="F261" s="28" t="n"/>
      <c r="G261" s="28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</row>
    <row r="262" ht="26.25" customHeight="1">
      <c r="A262" s="29" t="n"/>
      <c r="B262" s="29" t="n"/>
      <c r="C262" s="28" t="n"/>
      <c r="D262" s="28" t="n"/>
      <c r="E262" s="28" t="n"/>
      <c r="F262" s="28" t="n"/>
      <c r="G262" s="28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</row>
    <row r="263" ht="26.25" customHeight="1">
      <c r="A263" s="29" t="n"/>
      <c r="B263" s="29" t="n"/>
      <c r="C263" s="28" t="n"/>
      <c r="D263" s="28" t="n"/>
      <c r="E263" s="28" t="n"/>
      <c r="F263" s="28" t="n"/>
      <c r="G263" s="28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</row>
    <row r="264" ht="26.25" customHeight="1">
      <c r="A264" s="29" t="n"/>
      <c r="B264" s="29" t="n"/>
      <c r="C264" s="28" t="n"/>
      <c r="D264" s="28" t="n"/>
      <c r="E264" s="28" t="n"/>
      <c r="F264" s="28" t="n"/>
      <c r="G264" s="28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</row>
    <row r="265" ht="26.25" customHeight="1">
      <c r="A265" s="29" t="n"/>
      <c r="B265" s="29" t="n"/>
      <c r="C265" s="28" t="n"/>
      <c r="D265" s="28" t="n"/>
      <c r="E265" s="28" t="n"/>
      <c r="F265" s="28" t="n"/>
      <c r="G265" s="28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</row>
    <row r="266" ht="26.25" customHeight="1">
      <c r="A266" s="29" t="n"/>
      <c r="B266" s="29" t="n"/>
      <c r="C266" s="28" t="n"/>
      <c r="D266" s="28" t="n"/>
      <c r="E266" s="28" t="n"/>
      <c r="F266" s="28" t="n"/>
      <c r="G266" s="28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</row>
    <row r="267" ht="26.25" customHeight="1">
      <c r="A267" s="29" t="n"/>
      <c r="B267" s="29" t="n"/>
      <c r="C267" s="28" t="n"/>
      <c r="D267" s="28" t="n"/>
      <c r="E267" s="28" t="n"/>
      <c r="F267" s="28" t="n"/>
      <c r="G267" s="28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</row>
    <row r="268" ht="26.25" customHeight="1">
      <c r="A268" s="29" t="n"/>
      <c r="B268" s="29" t="n"/>
      <c r="C268" s="28" t="n"/>
      <c r="D268" s="28" t="n"/>
      <c r="E268" s="28" t="n"/>
      <c r="F268" s="28" t="n"/>
      <c r="G268" s="28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</row>
    <row r="269" ht="26.25" customHeight="1">
      <c r="A269" s="29" t="n"/>
      <c r="B269" s="29" t="n"/>
      <c r="C269" s="28" t="n"/>
      <c r="D269" s="28" t="n"/>
      <c r="E269" s="28" t="n"/>
      <c r="F269" s="28" t="n"/>
      <c r="G269" s="28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</row>
    <row r="270" ht="26.25" customHeight="1">
      <c r="A270" s="29" t="n"/>
      <c r="B270" s="29" t="n"/>
      <c r="C270" s="28" t="n"/>
      <c r="D270" s="28" t="n"/>
      <c r="E270" s="28" t="n"/>
      <c r="F270" s="28" t="n"/>
      <c r="G270" s="28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</row>
    <row r="271" ht="26.25" customHeight="1">
      <c r="A271" s="29" t="n"/>
      <c r="B271" s="29" t="n"/>
      <c r="C271" s="28" t="n"/>
      <c r="D271" s="28" t="n"/>
      <c r="E271" s="28" t="n"/>
      <c r="F271" s="28" t="n"/>
      <c r="G271" s="28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</row>
    <row r="272" ht="26.25" customHeight="1">
      <c r="A272" s="29" t="n"/>
      <c r="B272" s="29" t="n"/>
      <c r="C272" s="28" t="n"/>
      <c r="D272" s="28" t="n"/>
      <c r="E272" s="28" t="n"/>
      <c r="F272" s="28" t="n"/>
      <c r="G272" s="28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</row>
    <row r="273" ht="26.25" customHeight="1">
      <c r="A273" s="29" t="n"/>
      <c r="B273" s="29" t="n"/>
      <c r="C273" s="28" t="n"/>
      <c r="D273" s="28" t="n"/>
      <c r="E273" s="28" t="n"/>
      <c r="F273" s="28" t="n"/>
      <c r="G273" s="28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</row>
    <row r="274" ht="26.25" customHeight="1">
      <c r="A274" s="29" t="n"/>
      <c r="B274" s="29" t="n"/>
      <c r="C274" s="28" t="n"/>
      <c r="D274" s="28" t="n"/>
      <c r="E274" s="28" t="n"/>
      <c r="F274" s="28" t="n"/>
      <c r="G274" s="28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</row>
    <row r="275" ht="26.25" customHeight="1">
      <c r="A275" s="29" t="n"/>
      <c r="B275" s="29" t="n"/>
      <c r="C275" s="28" t="n"/>
      <c r="D275" s="28" t="n"/>
      <c r="E275" s="28" t="n"/>
      <c r="F275" s="28" t="n"/>
      <c r="G275" s="28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</row>
    <row r="276" ht="26.25" customHeight="1">
      <c r="A276" s="29" t="n"/>
      <c r="B276" s="29" t="n"/>
      <c r="C276" s="28" t="n"/>
      <c r="D276" s="28" t="n"/>
      <c r="E276" s="28" t="n"/>
      <c r="F276" s="28" t="n"/>
      <c r="G276" s="28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</row>
    <row r="277" ht="26.25" customHeight="1">
      <c r="A277" s="29" t="n"/>
      <c r="B277" s="29" t="n"/>
      <c r="C277" s="28" t="n"/>
      <c r="D277" s="28" t="n"/>
      <c r="E277" s="28" t="n"/>
      <c r="F277" s="28" t="n"/>
      <c r="G277" s="28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</row>
    <row r="278" ht="26.25" customHeight="1">
      <c r="A278" s="29" t="n"/>
      <c r="B278" s="29" t="n"/>
      <c r="C278" s="28" t="n"/>
      <c r="D278" s="28" t="n"/>
      <c r="E278" s="28" t="n"/>
      <c r="F278" s="28" t="n"/>
      <c r="G278" s="28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</row>
    <row r="279" ht="26.25" customHeight="1">
      <c r="A279" s="29" t="n"/>
      <c r="B279" s="29" t="n"/>
      <c r="C279" s="28" t="n"/>
      <c r="D279" s="28" t="n"/>
      <c r="E279" s="28" t="n"/>
      <c r="F279" s="28" t="n"/>
      <c r="G279" s="28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</row>
    <row r="280" ht="26.25" customHeight="1">
      <c r="A280" s="29" t="n"/>
      <c r="B280" s="29" t="n"/>
      <c r="C280" s="28" t="n"/>
      <c r="D280" s="28" t="n"/>
      <c r="E280" s="28" t="n"/>
      <c r="F280" s="28" t="n"/>
      <c r="G280" s="28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</row>
    <row r="281" ht="26.25" customHeight="1">
      <c r="A281" s="29" t="n"/>
      <c r="B281" s="29" t="n"/>
      <c r="C281" s="28" t="n"/>
      <c r="D281" s="28" t="n"/>
      <c r="E281" s="28" t="n"/>
      <c r="F281" s="28" t="n"/>
      <c r="G281" s="28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</row>
    <row r="282" ht="26.25" customHeight="1">
      <c r="A282" s="29" t="n"/>
      <c r="B282" s="29" t="n"/>
      <c r="C282" s="28" t="n"/>
      <c r="D282" s="28" t="n"/>
      <c r="E282" s="28" t="n"/>
      <c r="F282" s="28" t="n"/>
      <c r="G282" s="28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</row>
    <row r="283" ht="26.25" customHeight="1">
      <c r="A283" s="29" t="n"/>
      <c r="B283" s="29" t="n"/>
      <c r="C283" s="28" t="n"/>
      <c r="D283" s="28" t="n"/>
      <c r="E283" s="28" t="n"/>
      <c r="F283" s="28" t="n"/>
      <c r="G283" s="28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</row>
    <row r="284" ht="26.25" customHeight="1">
      <c r="A284" s="29" t="n"/>
      <c r="B284" s="29" t="n"/>
      <c r="C284" s="28" t="n"/>
      <c r="D284" s="28" t="n"/>
      <c r="E284" s="28" t="n"/>
      <c r="F284" s="28" t="n"/>
      <c r="G284" s="28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</row>
    <row r="285" ht="26.25" customHeight="1">
      <c r="A285" s="29" t="n"/>
      <c r="B285" s="29" t="n"/>
      <c r="C285" s="28" t="n"/>
      <c r="D285" s="28" t="n"/>
      <c r="E285" s="28" t="n"/>
      <c r="F285" s="28" t="n"/>
      <c r="G285" s="28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</row>
    <row r="286" ht="26.25" customHeight="1">
      <c r="A286" s="29" t="n"/>
      <c r="B286" s="29" t="n"/>
      <c r="C286" s="28" t="n"/>
      <c r="D286" s="28" t="n"/>
      <c r="E286" s="28" t="n"/>
      <c r="F286" s="28" t="n"/>
      <c r="G286" s="28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</row>
    <row r="287" ht="26.25" customHeight="1">
      <c r="A287" s="29" t="n"/>
      <c r="B287" s="29" t="n"/>
      <c r="C287" s="28" t="n"/>
      <c r="D287" s="28" t="n"/>
      <c r="E287" s="28" t="n"/>
      <c r="F287" s="28" t="n"/>
      <c r="G287" s="28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</row>
    <row r="288" ht="26.25" customHeight="1">
      <c r="A288" s="29" t="n"/>
      <c r="B288" s="29" t="n"/>
      <c r="C288" s="28" t="n"/>
      <c r="D288" s="28" t="n"/>
      <c r="E288" s="28" t="n"/>
      <c r="F288" s="28" t="n"/>
      <c r="G288" s="28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</row>
    <row r="289" ht="26.25" customHeight="1">
      <c r="A289" s="29" t="n"/>
      <c r="B289" s="29" t="n"/>
      <c r="C289" s="28" t="n"/>
      <c r="D289" s="28" t="n"/>
      <c r="E289" s="28" t="n"/>
      <c r="F289" s="28" t="n"/>
      <c r="G289" s="28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</row>
    <row r="290" ht="26.25" customHeight="1">
      <c r="A290" s="29" t="n"/>
      <c r="B290" s="29" t="n"/>
      <c r="C290" s="28" t="n"/>
      <c r="D290" s="28" t="n"/>
      <c r="E290" s="28" t="n"/>
      <c r="F290" s="28" t="n"/>
      <c r="G290" s="28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</row>
    <row r="291" ht="26.25" customHeight="1">
      <c r="A291" s="29" t="n"/>
      <c r="B291" s="29" t="n"/>
      <c r="C291" s="28" t="n"/>
      <c r="D291" s="28" t="n"/>
      <c r="E291" s="28" t="n"/>
      <c r="F291" s="28" t="n"/>
      <c r="G291" s="28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</row>
    <row r="292" ht="26.25" customHeight="1">
      <c r="A292" s="29" t="n"/>
      <c r="B292" s="29" t="n"/>
      <c r="C292" s="28" t="n"/>
      <c r="D292" s="28" t="n"/>
      <c r="E292" s="28" t="n"/>
      <c r="F292" s="28" t="n"/>
      <c r="G292" s="28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</row>
    <row r="293" ht="26.25" customHeight="1">
      <c r="A293" s="29" t="n"/>
      <c r="B293" s="29" t="n"/>
      <c r="C293" s="28" t="n"/>
      <c r="D293" s="28" t="n"/>
      <c r="E293" s="28" t="n"/>
      <c r="F293" s="28" t="n"/>
      <c r="G293" s="28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</row>
    <row r="294" ht="26.25" customHeight="1">
      <c r="A294" s="29" t="n"/>
      <c r="B294" s="29" t="n"/>
      <c r="C294" s="28" t="n"/>
      <c r="D294" s="28" t="n"/>
      <c r="E294" s="28" t="n"/>
      <c r="F294" s="28" t="n"/>
      <c r="G294" s="28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</row>
    <row r="295" ht="26.25" customHeight="1">
      <c r="A295" s="29" t="n"/>
      <c r="B295" s="29" t="n"/>
      <c r="C295" s="28" t="n"/>
      <c r="D295" s="28" t="n"/>
      <c r="E295" s="28" t="n"/>
      <c r="F295" s="28" t="n"/>
      <c r="G295" s="28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</row>
    <row r="296" ht="26.25" customHeight="1">
      <c r="A296" s="29" t="n"/>
      <c r="B296" s="29" t="n"/>
      <c r="C296" s="28" t="n"/>
      <c r="D296" s="28" t="n"/>
      <c r="E296" s="28" t="n"/>
      <c r="F296" s="28" t="n"/>
      <c r="G296" s="28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</row>
    <row r="297" ht="26.25" customHeight="1">
      <c r="A297" s="29" t="n"/>
      <c r="B297" s="29" t="n"/>
      <c r="C297" s="28" t="n"/>
      <c r="D297" s="28" t="n"/>
      <c r="E297" s="28" t="n"/>
      <c r="F297" s="28" t="n"/>
      <c r="G297" s="28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</row>
    <row r="298" ht="26.25" customHeight="1">
      <c r="A298" s="29" t="n"/>
      <c r="B298" s="29" t="n"/>
      <c r="C298" s="28" t="n"/>
      <c r="D298" s="28" t="n"/>
      <c r="E298" s="28" t="n"/>
      <c r="F298" s="28" t="n"/>
      <c r="G298" s="28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</row>
    <row r="299" ht="26.25" customHeight="1">
      <c r="A299" s="29" t="n"/>
      <c r="B299" s="29" t="n"/>
      <c r="C299" s="28" t="n"/>
      <c r="D299" s="28" t="n"/>
      <c r="E299" s="28" t="n"/>
      <c r="F299" s="28" t="n"/>
      <c r="G299" s="28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</row>
    <row r="300" ht="26.25" customHeight="1">
      <c r="A300" s="29" t="n"/>
      <c r="B300" s="29" t="n"/>
      <c r="C300" s="28" t="n"/>
      <c r="D300" s="28" t="n"/>
      <c r="E300" s="28" t="n"/>
      <c r="F300" s="28" t="n"/>
      <c r="G300" s="28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</row>
    <row r="301" ht="26.25" customHeight="1">
      <c r="A301" s="29" t="n"/>
      <c r="B301" s="29" t="n"/>
      <c r="C301" s="28" t="n"/>
      <c r="D301" s="28" t="n"/>
      <c r="E301" s="28" t="n"/>
      <c r="F301" s="28" t="n"/>
      <c r="G301" s="28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</row>
    <row r="302" ht="26.25" customHeight="1">
      <c r="A302" s="29" t="n"/>
      <c r="B302" s="29" t="n"/>
      <c r="C302" s="28" t="n"/>
      <c r="D302" s="28" t="n"/>
      <c r="E302" s="28" t="n"/>
      <c r="F302" s="28" t="n"/>
      <c r="G302" s="28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</row>
    <row r="303" ht="26.25" customHeight="1">
      <c r="A303" s="29" t="n"/>
      <c r="B303" s="29" t="n"/>
      <c r="C303" s="28" t="n"/>
      <c r="D303" s="28" t="n"/>
      <c r="E303" s="28" t="n"/>
      <c r="F303" s="28" t="n"/>
      <c r="G303" s="28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</row>
    <row r="304" ht="26.25" customHeight="1">
      <c r="A304" s="29" t="n"/>
      <c r="B304" s="29" t="n"/>
      <c r="C304" s="28" t="n"/>
      <c r="D304" s="28" t="n"/>
      <c r="E304" s="28" t="n"/>
      <c r="F304" s="28" t="n"/>
      <c r="G304" s="28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</row>
    <row r="305" ht="26.25" customHeight="1">
      <c r="A305" s="29" t="n"/>
      <c r="B305" s="29" t="n"/>
      <c r="C305" s="28" t="n"/>
      <c r="D305" s="28" t="n"/>
      <c r="E305" s="28" t="n"/>
      <c r="F305" s="28" t="n"/>
      <c r="G305" s="28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</row>
    <row r="306" ht="26.25" customHeight="1">
      <c r="A306" s="29" t="n"/>
      <c r="B306" s="29" t="n"/>
      <c r="C306" s="28" t="n"/>
      <c r="D306" s="28" t="n"/>
      <c r="E306" s="28" t="n"/>
      <c r="F306" s="28" t="n"/>
      <c r="G306" s="28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</row>
    <row r="307" ht="26.25" customHeight="1">
      <c r="A307" s="29" t="n"/>
      <c r="B307" s="29" t="n"/>
      <c r="C307" s="28" t="n"/>
      <c r="D307" s="28" t="n"/>
      <c r="E307" s="28" t="n"/>
      <c r="F307" s="28" t="n"/>
      <c r="G307" s="28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</row>
    <row r="308" ht="26.25" customHeight="1">
      <c r="A308" s="29" t="n"/>
      <c r="B308" s="29" t="n"/>
      <c r="C308" s="28" t="n"/>
      <c r="D308" s="28" t="n"/>
      <c r="E308" s="28" t="n"/>
      <c r="F308" s="28" t="n"/>
      <c r="G308" s="28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</row>
    <row r="309" ht="26.25" customHeight="1">
      <c r="A309" s="29" t="n"/>
      <c r="B309" s="29" t="n"/>
      <c r="C309" s="28" t="n"/>
      <c r="D309" s="28" t="n"/>
      <c r="E309" s="28" t="n"/>
      <c r="F309" s="28" t="n"/>
      <c r="G309" s="28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</row>
    <row r="310" ht="26.25" customHeight="1">
      <c r="A310" s="29" t="n"/>
      <c r="B310" s="29" t="n"/>
      <c r="C310" s="28" t="n"/>
      <c r="D310" s="28" t="n"/>
      <c r="E310" s="28" t="n"/>
      <c r="F310" s="28" t="n"/>
      <c r="G310" s="28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</row>
    <row r="311" ht="26.25" customHeight="1">
      <c r="A311" s="29" t="n"/>
      <c r="B311" s="29" t="n"/>
      <c r="C311" s="28" t="n"/>
      <c r="D311" s="28" t="n"/>
      <c r="E311" s="28" t="n"/>
      <c r="F311" s="28" t="n"/>
      <c r="G311" s="28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</row>
    <row r="312" ht="26.25" customHeight="1">
      <c r="A312" s="29" t="n"/>
      <c r="B312" s="29" t="n"/>
      <c r="C312" s="28" t="n"/>
      <c r="D312" s="28" t="n"/>
      <c r="E312" s="28" t="n"/>
      <c r="F312" s="28" t="n"/>
      <c r="G312" s="28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</row>
    <row r="313" ht="26.25" customHeight="1">
      <c r="A313" s="29" t="n"/>
      <c r="B313" s="29" t="n"/>
      <c r="C313" s="28" t="n"/>
      <c r="D313" s="28" t="n"/>
      <c r="E313" s="28" t="n"/>
      <c r="F313" s="28" t="n"/>
      <c r="G313" s="28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</row>
    <row r="314" ht="26.25" customHeight="1">
      <c r="A314" s="29" t="n"/>
      <c r="B314" s="29" t="n"/>
      <c r="C314" s="28" t="n"/>
      <c r="D314" s="28" t="n"/>
      <c r="E314" s="28" t="n"/>
      <c r="F314" s="28" t="n"/>
      <c r="G314" s="28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</row>
    <row r="315" ht="26.25" customHeight="1">
      <c r="A315" s="29" t="n"/>
      <c r="B315" s="29" t="n"/>
      <c r="C315" s="28" t="n"/>
      <c r="D315" s="28" t="n"/>
      <c r="E315" s="28" t="n"/>
      <c r="F315" s="28" t="n"/>
      <c r="G315" s="28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</row>
    <row r="316" ht="26.25" customHeight="1">
      <c r="A316" s="29" t="n"/>
      <c r="B316" s="29" t="n"/>
      <c r="C316" s="28" t="n"/>
      <c r="D316" s="28" t="n"/>
      <c r="E316" s="28" t="n"/>
      <c r="F316" s="28" t="n"/>
      <c r="G316" s="28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</row>
    <row r="317" ht="26.25" customHeight="1">
      <c r="A317" s="29" t="n"/>
      <c r="B317" s="29" t="n"/>
      <c r="C317" s="28" t="n"/>
      <c r="D317" s="28" t="n"/>
      <c r="E317" s="28" t="n"/>
      <c r="F317" s="28" t="n"/>
      <c r="G317" s="28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</row>
    <row r="318" ht="26.25" customHeight="1">
      <c r="A318" s="29" t="n"/>
      <c r="B318" s="29" t="n"/>
      <c r="C318" s="28" t="n"/>
      <c r="D318" s="28" t="n"/>
      <c r="E318" s="28" t="n"/>
      <c r="F318" s="28" t="n"/>
      <c r="G318" s="28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</row>
    <row r="319" ht="26.25" customHeight="1">
      <c r="A319" s="29" t="n"/>
      <c r="B319" s="29" t="n"/>
      <c r="C319" s="28" t="n"/>
      <c r="D319" s="28" t="n"/>
      <c r="E319" s="28" t="n"/>
      <c r="F319" s="28" t="n"/>
      <c r="G319" s="28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</row>
    <row r="320" ht="26.25" customHeight="1">
      <c r="A320" s="29" t="n"/>
      <c r="B320" s="29" t="n"/>
      <c r="C320" s="28" t="n"/>
      <c r="D320" s="28" t="n"/>
      <c r="E320" s="28" t="n"/>
      <c r="F320" s="28" t="n"/>
      <c r="G320" s="28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</row>
    <row r="321" ht="26.25" customHeight="1">
      <c r="A321" s="29" t="n"/>
      <c r="B321" s="29" t="n"/>
      <c r="C321" s="28" t="n"/>
      <c r="D321" s="28" t="n"/>
      <c r="E321" s="28" t="n"/>
      <c r="F321" s="28" t="n"/>
      <c r="G321" s="28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</row>
    <row r="322" ht="26.25" customHeight="1">
      <c r="A322" s="29" t="n"/>
      <c r="B322" s="29" t="n"/>
      <c r="C322" s="28" t="n"/>
      <c r="D322" s="28" t="n"/>
      <c r="E322" s="28" t="n"/>
      <c r="F322" s="28" t="n"/>
      <c r="G322" s="28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</row>
    <row r="323" ht="26.25" customHeight="1">
      <c r="A323" s="29" t="n"/>
      <c r="B323" s="29" t="n"/>
      <c r="C323" s="28" t="n"/>
      <c r="D323" s="28" t="n"/>
      <c r="E323" s="28" t="n"/>
      <c r="F323" s="28" t="n"/>
      <c r="G323" s="28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</row>
    <row r="324" ht="26.25" customHeight="1">
      <c r="A324" s="29" t="n"/>
      <c r="B324" s="29" t="n"/>
      <c r="C324" s="28" t="n"/>
      <c r="D324" s="28" t="n"/>
      <c r="E324" s="28" t="n"/>
      <c r="F324" s="28" t="n"/>
      <c r="G324" s="28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</row>
    <row r="325" ht="26.25" customHeight="1">
      <c r="A325" s="29" t="n"/>
      <c r="B325" s="29" t="n"/>
      <c r="C325" s="28" t="n"/>
      <c r="D325" s="28" t="n"/>
      <c r="E325" s="28" t="n"/>
      <c r="F325" s="28" t="n"/>
      <c r="G325" s="28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</row>
    <row r="326" ht="26.25" customHeight="1">
      <c r="A326" s="29" t="n"/>
      <c r="B326" s="29" t="n"/>
      <c r="C326" s="28" t="n"/>
      <c r="D326" s="28" t="n"/>
      <c r="E326" s="28" t="n"/>
      <c r="F326" s="28" t="n"/>
      <c r="G326" s="28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</row>
    <row r="327" ht="26.25" customHeight="1">
      <c r="A327" s="29" t="n"/>
      <c r="B327" s="29" t="n"/>
      <c r="C327" s="28" t="n"/>
      <c r="D327" s="28" t="n"/>
      <c r="E327" s="28" t="n"/>
      <c r="F327" s="28" t="n"/>
      <c r="G327" s="28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</row>
    <row r="328" ht="26.25" customHeight="1">
      <c r="A328" s="29" t="n"/>
      <c r="B328" s="29" t="n"/>
      <c r="C328" s="28" t="n"/>
      <c r="D328" s="28" t="n"/>
      <c r="E328" s="28" t="n"/>
      <c r="F328" s="28" t="n"/>
      <c r="G328" s="28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</row>
    <row r="329" ht="26.25" customHeight="1">
      <c r="A329" s="29" t="n"/>
      <c r="B329" s="29" t="n"/>
      <c r="C329" s="28" t="n"/>
      <c r="D329" s="28" t="n"/>
      <c r="E329" s="28" t="n"/>
      <c r="F329" s="28" t="n"/>
      <c r="G329" s="28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</row>
    <row r="330" ht="26.25" customHeight="1">
      <c r="A330" s="29" t="n"/>
      <c r="B330" s="29" t="n"/>
      <c r="C330" s="28" t="n"/>
      <c r="D330" s="28" t="n"/>
      <c r="E330" s="28" t="n"/>
      <c r="F330" s="28" t="n"/>
      <c r="G330" s="28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</row>
    <row r="331" ht="26.25" customHeight="1">
      <c r="A331" s="29" t="n"/>
      <c r="B331" s="29" t="n"/>
      <c r="C331" s="28" t="n"/>
      <c r="D331" s="28" t="n"/>
      <c r="E331" s="28" t="n"/>
      <c r="F331" s="28" t="n"/>
      <c r="G331" s="28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</row>
    <row r="332" ht="26.25" customHeight="1">
      <c r="A332" s="29" t="n"/>
      <c r="B332" s="29" t="n"/>
      <c r="C332" s="28" t="n"/>
      <c r="D332" s="28" t="n"/>
      <c r="E332" s="28" t="n"/>
      <c r="F332" s="28" t="n"/>
      <c r="G332" s="28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</row>
    <row r="333" ht="26.25" customHeight="1">
      <c r="A333" s="29" t="n"/>
      <c r="B333" s="29" t="n"/>
      <c r="C333" s="28" t="n"/>
      <c r="D333" s="28" t="n"/>
      <c r="E333" s="28" t="n"/>
      <c r="F333" s="28" t="n"/>
      <c r="G333" s="28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</row>
    <row r="334" ht="26.25" customHeight="1">
      <c r="A334" s="29" t="n"/>
      <c r="B334" s="29" t="n"/>
      <c r="C334" s="28" t="n"/>
      <c r="D334" s="28" t="n"/>
      <c r="E334" s="28" t="n"/>
      <c r="F334" s="28" t="n"/>
      <c r="G334" s="28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</row>
    <row r="335" ht="26.25" customHeight="1">
      <c r="A335" s="29" t="n"/>
      <c r="B335" s="29" t="n"/>
      <c r="C335" s="28" t="n"/>
      <c r="D335" s="28" t="n"/>
      <c r="E335" s="28" t="n"/>
      <c r="F335" s="28" t="n"/>
      <c r="G335" s="28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</row>
    <row r="336" ht="26.25" customHeight="1">
      <c r="A336" s="29" t="n"/>
      <c r="B336" s="29" t="n"/>
      <c r="C336" s="28" t="n"/>
      <c r="D336" s="28" t="n"/>
      <c r="E336" s="28" t="n"/>
      <c r="F336" s="28" t="n"/>
      <c r="G336" s="28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</row>
    <row r="337" ht="26.25" customHeight="1">
      <c r="A337" s="29" t="n"/>
      <c r="B337" s="29" t="n"/>
      <c r="C337" s="28" t="n"/>
      <c r="D337" s="28" t="n"/>
      <c r="E337" s="28" t="n"/>
      <c r="F337" s="28" t="n"/>
      <c r="G337" s="28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</row>
    <row r="338" ht="26.25" customHeight="1">
      <c r="A338" s="29" t="n"/>
      <c r="B338" s="29" t="n"/>
      <c r="C338" s="28" t="n"/>
      <c r="D338" s="28" t="n"/>
      <c r="E338" s="28" t="n"/>
      <c r="F338" s="28" t="n"/>
      <c r="G338" s="28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</row>
    <row r="339" ht="26.25" customHeight="1">
      <c r="A339" s="29" t="n"/>
      <c r="B339" s="29" t="n"/>
      <c r="C339" s="28" t="n"/>
      <c r="D339" s="28" t="n"/>
      <c r="E339" s="28" t="n"/>
      <c r="F339" s="28" t="n"/>
      <c r="G339" s="28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</row>
    <row r="340" ht="26.25" customHeight="1">
      <c r="A340" s="29" t="n"/>
      <c r="B340" s="29" t="n"/>
      <c r="C340" s="28" t="n"/>
      <c r="D340" s="28" t="n"/>
      <c r="E340" s="28" t="n"/>
      <c r="F340" s="28" t="n"/>
      <c r="G340" s="28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</row>
    <row r="341" ht="26.25" customHeight="1">
      <c r="A341" s="29" t="n"/>
      <c r="B341" s="29" t="n"/>
      <c r="C341" s="28" t="n"/>
      <c r="D341" s="28" t="n"/>
      <c r="E341" s="28" t="n"/>
      <c r="F341" s="28" t="n"/>
      <c r="G341" s="28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</row>
    <row r="342" ht="26.25" customHeight="1">
      <c r="A342" s="29" t="n"/>
      <c r="B342" s="29" t="n"/>
      <c r="C342" s="28" t="n"/>
      <c r="D342" s="28" t="n"/>
      <c r="E342" s="28" t="n"/>
      <c r="F342" s="28" t="n"/>
      <c r="G342" s="28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</row>
    <row r="343" ht="26.25" customHeight="1">
      <c r="A343" s="29" t="n"/>
      <c r="B343" s="29" t="n"/>
      <c r="C343" s="28" t="n"/>
      <c r="D343" s="28" t="n"/>
      <c r="E343" s="28" t="n"/>
      <c r="F343" s="28" t="n"/>
      <c r="G343" s="28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</row>
    <row r="344" ht="26.25" customHeight="1">
      <c r="A344" s="29" t="n"/>
      <c r="B344" s="29" t="n"/>
      <c r="C344" s="28" t="n"/>
      <c r="D344" s="28" t="n"/>
      <c r="E344" s="28" t="n"/>
      <c r="F344" s="28" t="n"/>
      <c r="G344" s="28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</row>
    <row r="345" ht="26.25" customHeight="1">
      <c r="A345" s="29" t="n"/>
      <c r="B345" s="29" t="n"/>
      <c r="C345" s="28" t="n"/>
      <c r="D345" s="28" t="n"/>
      <c r="E345" s="28" t="n"/>
      <c r="F345" s="28" t="n"/>
      <c r="G345" s="28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</row>
    <row r="346" ht="26.25" customHeight="1">
      <c r="A346" s="29" t="n"/>
      <c r="B346" s="29" t="n"/>
      <c r="C346" s="28" t="n"/>
      <c r="D346" s="28" t="n"/>
      <c r="E346" s="28" t="n"/>
      <c r="F346" s="28" t="n"/>
      <c r="G346" s="28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</row>
    <row r="347" ht="26.25" customHeight="1">
      <c r="A347" s="29" t="n"/>
      <c r="B347" s="29" t="n"/>
      <c r="C347" s="28" t="n"/>
      <c r="D347" s="28" t="n"/>
      <c r="E347" s="28" t="n"/>
      <c r="F347" s="28" t="n"/>
      <c r="G347" s="28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</row>
    <row r="348" ht="26.25" customHeight="1">
      <c r="A348" s="29" t="n"/>
      <c r="B348" s="29" t="n"/>
      <c r="C348" s="28" t="n"/>
      <c r="D348" s="28" t="n"/>
      <c r="E348" s="28" t="n"/>
      <c r="F348" s="28" t="n"/>
      <c r="G348" s="28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</row>
    <row r="349" ht="26.25" customHeight="1">
      <c r="A349" s="29" t="n"/>
      <c r="B349" s="29" t="n"/>
      <c r="C349" s="28" t="n"/>
      <c r="D349" s="28" t="n"/>
      <c r="E349" s="28" t="n"/>
      <c r="F349" s="28" t="n"/>
      <c r="G349" s="28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</row>
    <row r="350" ht="26.25" customHeight="1">
      <c r="A350" s="29" t="n"/>
      <c r="B350" s="29" t="n"/>
      <c r="C350" s="28" t="n"/>
      <c r="D350" s="28" t="n"/>
      <c r="E350" s="28" t="n"/>
      <c r="F350" s="28" t="n"/>
      <c r="G350" s="28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</row>
    <row r="351" ht="26.25" customHeight="1">
      <c r="A351" s="29" t="n"/>
      <c r="B351" s="29" t="n"/>
      <c r="C351" s="28" t="n"/>
      <c r="D351" s="28" t="n"/>
      <c r="E351" s="28" t="n"/>
      <c r="F351" s="28" t="n"/>
      <c r="G351" s="28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</row>
    <row r="352" ht="26.25" customHeight="1">
      <c r="A352" s="29" t="n"/>
      <c r="B352" s="29" t="n"/>
      <c r="C352" s="28" t="n"/>
      <c r="D352" s="28" t="n"/>
      <c r="E352" s="28" t="n"/>
      <c r="F352" s="28" t="n"/>
      <c r="G352" s="28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</row>
    <row r="353" ht="26.25" customHeight="1">
      <c r="A353" s="29" t="n"/>
      <c r="B353" s="29" t="n"/>
      <c r="C353" s="28" t="n"/>
      <c r="D353" s="28" t="n"/>
      <c r="E353" s="28" t="n"/>
      <c r="F353" s="28" t="n"/>
      <c r="G353" s="28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</row>
    <row r="354" ht="26.25" customHeight="1">
      <c r="A354" s="29" t="n"/>
      <c r="B354" s="29" t="n"/>
      <c r="C354" s="28" t="n"/>
      <c r="D354" s="28" t="n"/>
      <c r="E354" s="28" t="n"/>
      <c r="F354" s="28" t="n"/>
      <c r="G354" s="28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</row>
    <row r="355" ht="26.25" customHeight="1">
      <c r="A355" s="29" t="n"/>
      <c r="B355" s="29" t="n"/>
      <c r="C355" s="28" t="n"/>
      <c r="D355" s="28" t="n"/>
      <c r="E355" s="28" t="n"/>
      <c r="F355" s="28" t="n"/>
      <c r="G355" s="28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</row>
    <row r="356" ht="26.25" customHeight="1">
      <c r="A356" s="29" t="n"/>
      <c r="B356" s="29" t="n"/>
      <c r="C356" s="28" t="n"/>
      <c r="D356" s="28" t="n"/>
      <c r="E356" s="28" t="n"/>
      <c r="F356" s="28" t="n"/>
      <c r="G356" s="28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</row>
    <row r="357" ht="26.25" customHeight="1">
      <c r="A357" s="29" t="n"/>
      <c r="B357" s="29" t="n"/>
      <c r="C357" s="28" t="n"/>
      <c r="D357" s="28" t="n"/>
      <c r="E357" s="28" t="n"/>
      <c r="F357" s="28" t="n"/>
      <c r="G357" s="28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</row>
    <row r="358" ht="26.25" customHeight="1">
      <c r="A358" s="29" t="n"/>
      <c r="B358" s="29" t="n"/>
      <c r="C358" s="28" t="n"/>
      <c r="D358" s="28" t="n"/>
      <c r="E358" s="28" t="n"/>
      <c r="F358" s="28" t="n"/>
      <c r="G358" s="28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</row>
    <row r="359" ht="26.25" customHeight="1">
      <c r="A359" s="29" t="n"/>
      <c r="B359" s="29" t="n"/>
      <c r="C359" s="28" t="n"/>
      <c r="D359" s="28" t="n"/>
      <c r="E359" s="28" t="n"/>
      <c r="F359" s="28" t="n"/>
      <c r="G359" s="28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</row>
    <row r="360" ht="26.25" customHeight="1">
      <c r="A360" s="29" t="n"/>
      <c r="B360" s="29" t="n"/>
      <c r="C360" s="28" t="n"/>
      <c r="D360" s="28" t="n"/>
      <c r="E360" s="28" t="n"/>
      <c r="F360" s="28" t="n"/>
      <c r="G360" s="28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</row>
    <row r="361" ht="26.25" customHeight="1">
      <c r="A361" s="29" t="n"/>
      <c r="B361" s="29" t="n"/>
      <c r="C361" s="28" t="n"/>
      <c r="D361" s="28" t="n"/>
      <c r="E361" s="28" t="n"/>
      <c r="F361" s="28" t="n"/>
      <c r="G361" s="28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</row>
    <row r="362" ht="26.25" customHeight="1">
      <c r="A362" s="29" t="n"/>
      <c r="B362" s="29" t="n"/>
      <c r="C362" s="28" t="n"/>
      <c r="D362" s="28" t="n"/>
      <c r="E362" s="28" t="n"/>
      <c r="F362" s="28" t="n"/>
      <c r="G362" s="28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</row>
    <row r="363" ht="26.25" customHeight="1">
      <c r="A363" s="29" t="n"/>
      <c r="B363" s="29" t="n"/>
      <c r="C363" s="28" t="n"/>
      <c r="D363" s="28" t="n"/>
      <c r="E363" s="28" t="n"/>
      <c r="F363" s="28" t="n"/>
      <c r="G363" s="28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</row>
    <row r="364" ht="26.25" customHeight="1">
      <c r="A364" s="29" t="n"/>
      <c r="B364" s="29" t="n"/>
      <c r="C364" s="28" t="n"/>
      <c r="D364" s="28" t="n"/>
      <c r="E364" s="28" t="n"/>
      <c r="F364" s="28" t="n"/>
      <c r="G364" s="28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</row>
    <row r="365" ht="26.25" customHeight="1">
      <c r="A365" s="29" t="n"/>
      <c r="B365" s="29" t="n"/>
      <c r="C365" s="28" t="n"/>
      <c r="D365" s="28" t="n"/>
      <c r="E365" s="28" t="n"/>
      <c r="F365" s="28" t="n"/>
      <c r="G365" s="28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</row>
    <row r="366" ht="26.25" customHeight="1">
      <c r="A366" s="29" t="n"/>
      <c r="B366" s="29" t="n"/>
      <c r="C366" s="28" t="n"/>
      <c r="D366" s="28" t="n"/>
      <c r="E366" s="28" t="n"/>
      <c r="F366" s="28" t="n"/>
      <c r="G366" s="28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</row>
    <row r="367" ht="26.25" customHeight="1">
      <c r="A367" s="29" t="n"/>
      <c r="B367" s="29" t="n"/>
      <c r="C367" s="28" t="n"/>
      <c r="D367" s="28" t="n"/>
      <c r="E367" s="28" t="n"/>
      <c r="F367" s="28" t="n"/>
      <c r="G367" s="28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</row>
    <row r="368" ht="26.25" customHeight="1">
      <c r="A368" s="29" t="n"/>
      <c r="B368" s="29" t="n"/>
      <c r="C368" s="28" t="n"/>
      <c r="D368" s="28" t="n"/>
      <c r="E368" s="28" t="n"/>
      <c r="F368" s="28" t="n"/>
      <c r="G368" s="28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</row>
    <row r="369" ht="26.25" customHeight="1">
      <c r="A369" s="29" t="n"/>
      <c r="B369" s="29" t="n"/>
      <c r="C369" s="28" t="n"/>
      <c r="D369" s="28" t="n"/>
      <c r="E369" s="28" t="n"/>
      <c r="F369" s="28" t="n"/>
      <c r="G369" s="28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</row>
    <row r="370" ht="26.25" customHeight="1">
      <c r="A370" s="29" t="n"/>
      <c r="B370" s="29" t="n"/>
      <c r="C370" s="28" t="n"/>
      <c r="D370" s="28" t="n"/>
      <c r="E370" s="28" t="n"/>
      <c r="F370" s="28" t="n"/>
      <c r="G370" s="28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</row>
    <row r="371" ht="26.25" customHeight="1">
      <c r="A371" s="29" t="n"/>
      <c r="B371" s="29" t="n"/>
      <c r="C371" s="28" t="n"/>
      <c r="D371" s="28" t="n"/>
      <c r="E371" s="28" t="n"/>
      <c r="F371" s="28" t="n"/>
      <c r="G371" s="28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</row>
    <row r="372" ht="26.25" customHeight="1">
      <c r="A372" s="29" t="n"/>
      <c r="B372" s="29" t="n"/>
      <c r="C372" s="28" t="n"/>
      <c r="D372" s="28" t="n"/>
      <c r="E372" s="28" t="n"/>
      <c r="F372" s="28" t="n"/>
      <c r="G372" s="28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</row>
    <row r="373" ht="26.25" customHeight="1">
      <c r="A373" s="29" t="n"/>
      <c r="B373" s="29" t="n"/>
      <c r="C373" s="28" t="n"/>
      <c r="D373" s="28" t="n"/>
      <c r="E373" s="28" t="n"/>
      <c r="F373" s="28" t="n"/>
      <c r="G373" s="28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</row>
    <row r="374" ht="26.25" customHeight="1">
      <c r="A374" s="29" t="n"/>
      <c r="B374" s="29" t="n"/>
      <c r="C374" s="28" t="n"/>
      <c r="D374" s="28" t="n"/>
      <c r="E374" s="28" t="n"/>
      <c r="F374" s="28" t="n"/>
      <c r="G374" s="28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</row>
    <row r="375" ht="26.25" customHeight="1">
      <c r="A375" s="29" t="n"/>
      <c r="B375" s="29" t="n"/>
      <c r="C375" s="28" t="n"/>
      <c r="D375" s="28" t="n"/>
      <c r="E375" s="28" t="n"/>
      <c r="F375" s="28" t="n"/>
      <c r="G375" s="28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</row>
    <row r="376" ht="26.25" customHeight="1">
      <c r="A376" s="29" t="n"/>
      <c r="B376" s="29" t="n"/>
      <c r="C376" s="28" t="n"/>
      <c r="D376" s="28" t="n"/>
      <c r="E376" s="28" t="n"/>
      <c r="F376" s="28" t="n"/>
      <c r="G376" s="28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</row>
    <row r="377" ht="26.25" customHeight="1">
      <c r="A377" s="29" t="n"/>
      <c r="B377" s="29" t="n"/>
      <c r="C377" s="28" t="n"/>
      <c r="D377" s="28" t="n"/>
      <c r="E377" s="28" t="n"/>
      <c r="F377" s="28" t="n"/>
      <c r="G377" s="28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</row>
    <row r="378" ht="26.25" customHeight="1">
      <c r="A378" s="29" t="n"/>
      <c r="B378" s="29" t="n"/>
      <c r="C378" s="28" t="n"/>
      <c r="D378" s="28" t="n"/>
      <c r="E378" s="28" t="n"/>
      <c r="F378" s="28" t="n"/>
      <c r="G378" s="28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</row>
    <row r="379" ht="26.25" customHeight="1">
      <c r="A379" s="29" t="n"/>
      <c r="B379" s="29" t="n"/>
      <c r="C379" s="28" t="n"/>
      <c r="D379" s="28" t="n"/>
      <c r="E379" s="28" t="n"/>
      <c r="F379" s="28" t="n"/>
      <c r="G379" s="28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</row>
    <row r="380" ht="26.25" customHeight="1">
      <c r="A380" s="29" t="n"/>
      <c r="B380" s="29" t="n"/>
      <c r="C380" s="28" t="n"/>
      <c r="D380" s="28" t="n"/>
      <c r="E380" s="28" t="n"/>
      <c r="F380" s="28" t="n"/>
      <c r="G380" s="28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</row>
    <row r="381" ht="26.25" customHeight="1">
      <c r="A381" s="29" t="n"/>
      <c r="B381" s="29" t="n"/>
      <c r="C381" s="28" t="n"/>
      <c r="D381" s="28" t="n"/>
      <c r="E381" s="28" t="n"/>
      <c r="F381" s="28" t="n"/>
      <c r="G381" s="28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</row>
    <row r="382" ht="26.25" customHeight="1">
      <c r="A382" s="29" t="n"/>
      <c r="B382" s="29" t="n"/>
      <c r="C382" s="28" t="n"/>
      <c r="D382" s="28" t="n"/>
      <c r="E382" s="28" t="n"/>
      <c r="F382" s="28" t="n"/>
      <c r="G382" s="28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</row>
    <row r="383" ht="26.25" customHeight="1">
      <c r="A383" s="29" t="n"/>
      <c r="B383" s="29" t="n"/>
      <c r="C383" s="28" t="n"/>
      <c r="D383" s="28" t="n"/>
      <c r="E383" s="28" t="n"/>
      <c r="F383" s="28" t="n"/>
      <c r="G383" s="28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</row>
    <row r="384" ht="26.25" customHeight="1">
      <c r="A384" s="29" t="n"/>
      <c r="B384" s="29" t="n"/>
      <c r="C384" s="28" t="n"/>
      <c r="D384" s="28" t="n"/>
      <c r="E384" s="28" t="n"/>
      <c r="F384" s="28" t="n"/>
      <c r="G384" s="28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</row>
    <row r="385" ht="26.25" customHeight="1">
      <c r="A385" s="29" t="n"/>
      <c r="B385" s="29" t="n"/>
      <c r="C385" s="28" t="n"/>
      <c r="D385" s="28" t="n"/>
      <c r="E385" s="28" t="n"/>
      <c r="F385" s="28" t="n"/>
      <c r="G385" s="28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</row>
    <row r="386" ht="26.25" customHeight="1">
      <c r="A386" s="29" t="n"/>
      <c r="B386" s="29" t="n"/>
      <c r="C386" s="28" t="n"/>
      <c r="D386" s="28" t="n"/>
      <c r="E386" s="28" t="n"/>
      <c r="F386" s="28" t="n"/>
      <c r="G386" s="28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</row>
    <row r="387" ht="26.25" customHeight="1">
      <c r="A387" s="29" t="n"/>
      <c r="B387" s="29" t="n"/>
      <c r="C387" s="28" t="n"/>
      <c r="D387" s="28" t="n"/>
      <c r="E387" s="28" t="n"/>
      <c r="F387" s="28" t="n"/>
      <c r="G387" s="28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</row>
    <row r="388" ht="26.25" customHeight="1">
      <c r="A388" s="29" t="n"/>
      <c r="B388" s="29" t="n"/>
      <c r="C388" s="28" t="n"/>
      <c r="D388" s="28" t="n"/>
      <c r="E388" s="28" t="n"/>
      <c r="F388" s="28" t="n"/>
      <c r="G388" s="28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</row>
    <row r="389" ht="26.25" customHeight="1">
      <c r="A389" s="29" t="n"/>
      <c r="B389" s="29" t="n"/>
      <c r="C389" s="28" t="n"/>
      <c r="D389" s="28" t="n"/>
      <c r="E389" s="28" t="n"/>
      <c r="F389" s="28" t="n"/>
      <c r="G389" s="28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</row>
    <row r="390" ht="26.25" customHeight="1">
      <c r="A390" s="29" t="n"/>
      <c r="B390" s="29" t="n"/>
      <c r="C390" s="28" t="n"/>
      <c r="D390" s="28" t="n"/>
      <c r="E390" s="28" t="n"/>
      <c r="F390" s="28" t="n"/>
      <c r="G390" s="28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</row>
    <row r="391" ht="26.25" customHeight="1">
      <c r="A391" s="29" t="n"/>
      <c r="B391" s="29" t="n"/>
      <c r="C391" s="28" t="n"/>
      <c r="D391" s="28" t="n"/>
      <c r="E391" s="28" t="n"/>
      <c r="F391" s="28" t="n"/>
      <c r="G391" s="28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</row>
    <row r="392" ht="26.25" customHeight="1">
      <c r="A392" s="29" t="n"/>
      <c r="B392" s="29" t="n"/>
      <c r="C392" s="28" t="n"/>
      <c r="D392" s="28" t="n"/>
      <c r="E392" s="28" t="n"/>
      <c r="F392" s="28" t="n"/>
      <c r="G392" s="28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</row>
    <row r="393" ht="26.25" customHeight="1">
      <c r="A393" s="29" t="n"/>
      <c r="B393" s="29" t="n"/>
      <c r="C393" s="28" t="n"/>
      <c r="D393" s="28" t="n"/>
      <c r="E393" s="28" t="n"/>
      <c r="F393" s="28" t="n"/>
      <c r="G393" s="28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</row>
    <row r="394" ht="26.25" customHeight="1">
      <c r="A394" s="29" t="n"/>
      <c r="B394" s="29" t="n"/>
      <c r="C394" s="28" t="n"/>
      <c r="D394" s="28" t="n"/>
      <c r="E394" s="28" t="n"/>
      <c r="F394" s="28" t="n"/>
      <c r="G394" s="28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</row>
    <row r="395" ht="26.25" customHeight="1">
      <c r="A395" s="29" t="n"/>
      <c r="B395" s="29" t="n"/>
      <c r="C395" s="28" t="n"/>
      <c r="D395" s="28" t="n"/>
      <c r="E395" s="28" t="n"/>
      <c r="F395" s="28" t="n"/>
      <c r="G395" s="28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</row>
    <row r="396" ht="26.25" customHeight="1">
      <c r="A396" s="29" t="n"/>
      <c r="B396" s="29" t="n"/>
      <c r="C396" s="28" t="n"/>
      <c r="D396" s="28" t="n"/>
      <c r="E396" s="28" t="n"/>
      <c r="F396" s="28" t="n"/>
      <c r="G396" s="28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</row>
    <row r="397" ht="26.25" customHeight="1">
      <c r="A397" s="29" t="n"/>
      <c r="B397" s="29" t="n"/>
      <c r="C397" s="28" t="n"/>
      <c r="D397" s="28" t="n"/>
      <c r="E397" s="28" t="n"/>
      <c r="F397" s="28" t="n"/>
      <c r="G397" s="28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</row>
    <row r="398" ht="26.25" customHeight="1">
      <c r="A398" s="29" t="n"/>
      <c r="B398" s="29" t="n"/>
      <c r="C398" s="28" t="n"/>
      <c r="D398" s="28" t="n"/>
      <c r="E398" s="28" t="n"/>
      <c r="F398" s="28" t="n"/>
      <c r="G398" s="28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</row>
    <row r="399" ht="26.25" customHeight="1">
      <c r="A399" s="29" t="n"/>
      <c r="B399" s="29" t="n"/>
      <c r="C399" s="28" t="n"/>
      <c r="D399" s="28" t="n"/>
      <c r="E399" s="28" t="n"/>
      <c r="F399" s="28" t="n"/>
      <c r="G399" s="28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</row>
    <row r="400" ht="26.25" customHeight="1">
      <c r="A400" s="29" t="n"/>
      <c r="B400" s="29" t="n"/>
      <c r="C400" s="28" t="n"/>
      <c r="D400" s="28" t="n"/>
      <c r="E400" s="28" t="n"/>
      <c r="F400" s="28" t="n"/>
      <c r="G400" s="28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</row>
    <row r="401" ht="26.25" customHeight="1">
      <c r="A401" s="29" t="n"/>
      <c r="B401" s="29" t="n"/>
      <c r="C401" s="28" t="n"/>
      <c r="D401" s="28" t="n"/>
      <c r="E401" s="28" t="n"/>
      <c r="F401" s="28" t="n"/>
      <c r="G401" s="28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</row>
    <row r="402" ht="26.25" customHeight="1">
      <c r="A402" s="29" t="n"/>
      <c r="B402" s="29" t="n"/>
      <c r="C402" s="28" t="n"/>
      <c r="D402" s="28" t="n"/>
      <c r="E402" s="28" t="n"/>
      <c r="F402" s="28" t="n"/>
      <c r="G402" s="28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</row>
    <row r="403" ht="26.25" customHeight="1">
      <c r="A403" s="29" t="n"/>
      <c r="B403" s="29" t="n"/>
      <c r="C403" s="28" t="n"/>
      <c r="D403" s="28" t="n"/>
      <c r="E403" s="28" t="n"/>
      <c r="F403" s="28" t="n"/>
      <c r="G403" s="28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</row>
    <row r="404" ht="26.25" customHeight="1">
      <c r="A404" s="29" t="n"/>
      <c r="B404" s="29" t="n"/>
      <c r="C404" s="28" t="n"/>
      <c r="D404" s="28" t="n"/>
      <c r="E404" s="28" t="n"/>
      <c r="F404" s="28" t="n"/>
      <c r="G404" s="28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</row>
    <row r="405" ht="26.25" customHeight="1">
      <c r="A405" s="29" t="n"/>
      <c r="B405" s="29" t="n"/>
      <c r="C405" s="28" t="n"/>
      <c r="D405" s="28" t="n"/>
      <c r="E405" s="28" t="n"/>
      <c r="F405" s="28" t="n"/>
      <c r="G405" s="28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</row>
    <row r="406" ht="26.25" customHeight="1">
      <c r="A406" s="29" t="n"/>
      <c r="B406" s="29" t="n"/>
      <c r="C406" s="28" t="n"/>
      <c r="D406" s="28" t="n"/>
      <c r="E406" s="28" t="n"/>
      <c r="F406" s="28" t="n"/>
      <c r="G406" s="28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</row>
    <row r="407" ht="26.25" customHeight="1">
      <c r="A407" s="29" t="n"/>
      <c r="B407" s="29" t="n"/>
      <c r="C407" s="28" t="n"/>
      <c r="D407" s="28" t="n"/>
      <c r="E407" s="28" t="n"/>
      <c r="F407" s="28" t="n"/>
      <c r="G407" s="28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</row>
    <row r="408" ht="26.25" customHeight="1">
      <c r="A408" s="29" t="n"/>
      <c r="B408" s="29" t="n"/>
      <c r="C408" s="28" t="n"/>
      <c r="D408" s="28" t="n"/>
      <c r="E408" s="28" t="n"/>
      <c r="F408" s="28" t="n"/>
      <c r="G408" s="28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</row>
    <row r="409" ht="26.25" customHeight="1">
      <c r="A409" s="29" t="n"/>
      <c r="B409" s="29" t="n"/>
      <c r="C409" s="28" t="n"/>
      <c r="D409" s="28" t="n"/>
      <c r="E409" s="28" t="n"/>
      <c r="F409" s="28" t="n"/>
      <c r="G409" s="28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</row>
    <row r="410" ht="26.25" customHeight="1">
      <c r="A410" s="29" t="n"/>
      <c r="B410" s="29" t="n"/>
      <c r="C410" s="28" t="n"/>
      <c r="D410" s="28" t="n"/>
      <c r="E410" s="28" t="n"/>
      <c r="F410" s="28" t="n"/>
      <c r="G410" s="28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</row>
    <row r="411" ht="26.25" customHeight="1">
      <c r="A411" s="29" t="n"/>
      <c r="B411" s="29" t="n"/>
      <c r="C411" s="28" t="n"/>
      <c r="D411" s="28" t="n"/>
      <c r="E411" s="28" t="n"/>
      <c r="F411" s="28" t="n"/>
      <c r="G411" s="28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</row>
    <row r="412" ht="26.25" customHeight="1">
      <c r="A412" s="29" t="n"/>
      <c r="B412" s="29" t="n"/>
      <c r="C412" s="28" t="n"/>
      <c r="D412" s="28" t="n"/>
      <c r="E412" s="28" t="n"/>
      <c r="F412" s="28" t="n"/>
      <c r="G412" s="28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</row>
    <row r="413" ht="26.25" customHeight="1">
      <c r="A413" s="29" t="n"/>
      <c r="B413" s="29" t="n"/>
      <c r="C413" s="28" t="n"/>
      <c r="D413" s="28" t="n"/>
      <c r="E413" s="28" t="n"/>
      <c r="F413" s="28" t="n"/>
      <c r="G413" s="28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</row>
    <row r="414" ht="26.25" customHeight="1">
      <c r="A414" s="29" t="n"/>
      <c r="B414" s="29" t="n"/>
      <c r="C414" s="28" t="n"/>
      <c r="D414" s="28" t="n"/>
      <c r="E414" s="28" t="n"/>
      <c r="F414" s="28" t="n"/>
      <c r="G414" s="28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</row>
    <row r="415" ht="26.25" customHeight="1">
      <c r="A415" s="29" t="n"/>
      <c r="B415" s="29" t="n"/>
      <c r="C415" s="28" t="n"/>
      <c r="D415" s="28" t="n"/>
      <c r="E415" s="28" t="n"/>
      <c r="F415" s="28" t="n"/>
      <c r="G415" s="28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</row>
    <row r="416" ht="26.25" customHeight="1">
      <c r="A416" s="29" t="n"/>
      <c r="B416" s="29" t="n"/>
      <c r="C416" s="28" t="n"/>
      <c r="D416" s="28" t="n"/>
      <c r="E416" s="28" t="n"/>
      <c r="F416" s="28" t="n"/>
      <c r="G416" s="28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</row>
    <row r="417" ht="26.25" customHeight="1">
      <c r="A417" s="29" t="n"/>
      <c r="B417" s="29" t="n"/>
      <c r="C417" s="28" t="n"/>
      <c r="D417" s="28" t="n"/>
      <c r="E417" s="28" t="n"/>
      <c r="F417" s="28" t="n"/>
      <c r="G417" s="28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</row>
    <row r="418" ht="26.25" customHeight="1">
      <c r="A418" s="29" t="n"/>
      <c r="B418" s="29" t="n"/>
      <c r="C418" s="28" t="n"/>
      <c r="D418" s="28" t="n"/>
      <c r="E418" s="28" t="n"/>
      <c r="F418" s="28" t="n"/>
      <c r="G418" s="28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</row>
    <row r="419" ht="26.25" customHeight="1">
      <c r="A419" s="29" t="n"/>
      <c r="B419" s="29" t="n"/>
      <c r="C419" s="28" t="n"/>
      <c r="D419" s="28" t="n"/>
      <c r="E419" s="28" t="n"/>
      <c r="F419" s="28" t="n"/>
      <c r="G419" s="28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</row>
    <row r="420" ht="26.25" customHeight="1">
      <c r="A420" s="29" t="n"/>
      <c r="B420" s="29" t="n"/>
      <c r="C420" s="28" t="n"/>
      <c r="D420" s="28" t="n"/>
      <c r="E420" s="28" t="n"/>
      <c r="F420" s="28" t="n"/>
      <c r="G420" s="28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</row>
    <row r="421" ht="26.25" customHeight="1">
      <c r="A421" s="29" t="n"/>
      <c r="B421" s="29" t="n"/>
      <c r="C421" s="28" t="n"/>
      <c r="D421" s="28" t="n"/>
      <c r="E421" s="28" t="n"/>
      <c r="F421" s="28" t="n"/>
      <c r="G421" s="28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</row>
    <row r="422" ht="26.25" customHeight="1">
      <c r="A422" s="29" t="n"/>
      <c r="B422" s="29" t="n"/>
      <c r="C422" s="28" t="n"/>
      <c r="D422" s="28" t="n"/>
      <c r="E422" s="28" t="n"/>
      <c r="F422" s="28" t="n"/>
      <c r="G422" s="28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</row>
    <row r="423" ht="26.25" customHeight="1">
      <c r="A423" s="29" t="n"/>
      <c r="B423" s="29" t="n"/>
      <c r="C423" s="28" t="n"/>
      <c r="D423" s="28" t="n"/>
      <c r="E423" s="28" t="n"/>
      <c r="F423" s="28" t="n"/>
      <c r="G423" s="28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</row>
    <row r="424" ht="26.25" customHeight="1">
      <c r="A424" s="29" t="n"/>
      <c r="B424" s="29" t="n"/>
      <c r="C424" s="28" t="n"/>
      <c r="D424" s="28" t="n"/>
      <c r="E424" s="28" t="n"/>
      <c r="F424" s="28" t="n"/>
      <c r="G424" s="28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</row>
    <row r="425" ht="26.25" customHeight="1">
      <c r="A425" s="29" t="n"/>
      <c r="B425" s="29" t="n"/>
      <c r="C425" s="28" t="n"/>
      <c r="D425" s="28" t="n"/>
      <c r="E425" s="28" t="n"/>
      <c r="F425" s="28" t="n"/>
      <c r="G425" s="28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</row>
    <row r="426" ht="26.25" customHeight="1">
      <c r="A426" s="29" t="n"/>
      <c r="B426" s="29" t="n"/>
      <c r="C426" s="28" t="n"/>
      <c r="D426" s="28" t="n"/>
      <c r="E426" s="28" t="n"/>
      <c r="F426" s="28" t="n"/>
      <c r="G426" s="28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</row>
    <row r="427" ht="26.25" customHeight="1">
      <c r="A427" s="29" t="n"/>
      <c r="B427" s="29" t="n"/>
      <c r="C427" s="28" t="n"/>
      <c r="D427" s="28" t="n"/>
      <c r="E427" s="28" t="n"/>
      <c r="F427" s="28" t="n"/>
      <c r="G427" s="28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</row>
    <row r="428" ht="26.25" customHeight="1">
      <c r="A428" s="29" t="n"/>
      <c r="B428" s="29" t="n"/>
      <c r="C428" s="28" t="n"/>
      <c r="D428" s="28" t="n"/>
      <c r="E428" s="28" t="n"/>
      <c r="F428" s="28" t="n"/>
      <c r="G428" s="28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</row>
    <row r="429" ht="26.25" customHeight="1">
      <c r="A429" s="29" t="n"/>
      <c r="B429" s="29" t="n"/>
      <c r="C429" s="28" t="n"/>
      <c r="D429" s="28" t="n"/>
      <c r="E429" s="28" t="n"/>
      <c r="F429" s="28" t="n"/>
      <c r="G429" s="28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</row>
    <row r="430" ht="26.25" customHeight="1">
      <c r="A430" s="29" t="n"/>
      <c r="B430" s="29" t="n"/>
      <c r="C430" s="28" t="n"/>
      <c r="D430" s="28" t="n"/>
      <c r="E430" s="28" t="n"/>
      <c r="F430" s="28" t="n"/>
      <c r="G430" s="28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</row>
    <row r="431" ht="26.25" customHeight="1">
      <c r="A431" s="29" t="n"/>
      <c r="B431" s="29" t="n"/>
      <c r="C431" s="28" t="n"/>
      <c r="D431" s="28" t="n"/>
      <c r="E431" s="28" t="n"/>
      <c r="F431" s="28" t="n"/>
      <c r="G431" s="28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</row>
    <row r="432" ht="26.25" customHeight="1">
      <c r="A432" s="29" t="n"/>
      <c r="B432" s="29" t="n"/>
      <c r="C432" s="28" t="n"/>
      <c r="D432" s="28" t="n"/>
      <c r="E432" s="28" t="n"/>
      <c r="F432" s="28" t="n"/>
      <c r="G432" s="28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</row>
    <row r="433" ht="26.25" customHeight="1">
      <c r="A433" s="29" t="n"/>
      <c r="B433" s="29" t="n"/>
      <c r="C433" s="28" t="n"/>
      <c r="D433" s="28" t="n"/>
      <c r="E433" s="28" t="n"/>
      <c r="F433" s="28" t="n"/>
      <c r="G433" s="28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</row>
    <row r="434" ht="26.25" customHeight="1">
      <c r="A434" s="29" t="n"/>
      <c r="B434" s="29" t="n"/>
      <c r="C434" s="28" t="n"/>
      <c r="D434" s="28" t="n"/>
      <c r="E434" s="28" t="n"/>
      <c r="F434" s="28" t="n"/>
      <c r="G434" s="28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</row>
    <row r="435" ht="26.25" customHeight="1">
      <c r="A435" s="29" t="n"/>
      <c r="B435" s="29" t="n"/>
      <c r="C435" s="28" t="n"/>
      <c r="D435" s="28" t="n"/>
      <c r="E435" s="28" t="n"/>
      <c r="F435" s="28" t="n"/>
      <c r="G435" s="28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</row>
    <row r="436" ht="26.25" customHeight="1">
      <c r="A436" s="29" t="n"/>
      <c r="B436" s="29" t="n"/>
      <c r="C436" s="28" t="n"/>
      <c r="D436" s="28" t="n"/>
      <c r="E436" s="28" t="n"/>
      <c r="F436" s="28" t="n"/>
      <c r="G436" s="28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</row>
    <row r="437" ht="26.25" customHeight="1">
      <c r="A437" s="29" t="n"/>
      <c r="B437" s="29" t="n"/>
      <c r="C437" s="28" t="n"/>
      <c r="D437" s="28" t="n"/>
      <c r="E437" s="28" t="n"/>
      <c r="F437" s="28" t="n"/>
      <c r="G437" s="28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</row>
    <row r="438" ht="26.25" customHeight="1">
      <c r="A438" s="29" t="n"/>
      <c r="B438" s="29" t="n"/>
      <c r="C438" s="28" t="n"/>
      <c r="D438" s="28" t="n"/>
      <c r="E438" s="28" t="n"/>
      <c r="F438" s="28" t="n"/>
      <c r="G438" s="28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</row>
    <row r="439" ht="26.25" customHeight="1">
      <c r="A439" s="29" t="n"/>
      <c r="B439" s="29" t="n"/>
      <c r="C439" s="28" t="n"/>
      <c r="D439" s="28" t="n"/>
      <c r="E439" s="28" t="n"/>
      <c r="F439" s="28" t="n"/>
      <c r="G439" s="28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</row>
    <row r="440" ht="26.25" customHeight="1">
      <c r="A440" s="29" t="n"/>
      <c r="B440" s="29" t="n"/>
      <c r="C440" s="28" t="n"/>
      <c r="D440" s="28" t="n"/>
      <c r="E440" s="28" t="n"/>
      <c r="F440" s="28" t="n"/>
      <c r="G440" s="28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</row>
    <row r="441" ht="26.25" customHeight="1">
      <c r="A441" s="29" t="n"/>
      <c r="B441" s="29" t="n"/>
      <c r="C441" s="28" t="n"/>
      <c r="D441" s="28" t="n"/>
      <c r="E441" s="28" t="n"/>
      <c r="F441" s="28" t="n"/>
      <c r="G441" s="28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</row>
    <row r="442" ht="26.25" customHeight="1">
      <c r="A442" s="29" t="n"/>
      <c r="B442" s="29" t="n"/>
      <c r="C442" s="28" t="n"/>
      <c r="D442" s="28" t="n"/>
      <c r="E442" s="28" t="n"/>
      <c r="F442" s="28" t="n"/>
      <c r="G442" s="28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</row>
    <row r="443" ht="26.25" customHeight="1">
      <c r="A443" s="29" t="n"/>
      <c r="B443" s="29" t="n"/>
      <c r="C443" s="28" t="n"/>
      <c r="D443" s="28" t="n"/>
      <c r="E443" s="28" t="n"/>
      <c r="F443" s="28" t="n"/>
      <c r="G443" s="28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</row>
    <row r="444" ht="26.25" customHeight="1">
      <c r="A444" s="29" t="n"/>
      <c r="B444" s="29" t="n"/>
      <c r="C444" s="28" t="n"/>
      <c r="D444" s="28" t="n"/>
      <c r="E444" s="28" t="n"/>
      <c r="F444" s="28" t="n"/>
      <c r="G444" s="28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</row>
    <row r="445" ht="26.25" customHeight="1">
      <c r="A445" s="29" t="n"/>
      <c r="B445" s="29" t="n"/>
      <c r="C445" s="28" t="n"/>
      <c r="D445" s="28" t="n"/>
      <c r="E445" s="28" t="n"/>
      <c r="F445" s="28" t="n"/>
      <c r="G445" s="28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</row>
    <row r="446" ht="26.25" customHeight="1">
      <c r="A446" s="29" t="n"/>
      <c r="B446" s="29" t="n"/>
      <c r="C446" s="28" t="n"/>
      <c r="D446" s="28" t="n"/>
      <c r="E446" s="28" t="n"/>
      <c r="F446" s="28" t="n"/>
      <c r="G446" s="28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</row>
    <row r="447" ht="26.25" customHeight="1">
      <c r="A447" s="29" t="n"/>
      <c r="B447" s="29" t="n"/>
      <c r="C447" s="28" t="n"/>
      <c r="D447" s="28" t="n"/>
      <c r="E447" s="28" t="n"/>
      <c r="F447" s="28" t="n"/>
      <c r="G447" s="28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</row>
    <row r="448" ht="26.25" customHeight="1">
      <c r="A448" s="29" t="n"/>
      <c r="B448" s="29" t="n"/>
      <c r="C448" s="28" t="n"/>
      <c r="D448" s="28" t="n"/>
      <c r="E448" s="28" t="n"/>
      <c r="F448" s="28" t="n"/>
      <c r="G448" s="28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</row>
    <row r="449" ht="26.25" customHeight="1">
      <c r="A449" s="29" t="n"/>
      <c r="B449" s="29" t="n"/>
      <c r="C449" s="28" t="n"/>
      <c r="D449" s="28" t="n"/>
      <c r="E449" s="28" t="n"/>
      <c r="F449" s="28" t="n"/>
      <c r="G449" s="28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</row>
    <row r="450" ht="26.25" customHeight="1">
      <c r="A450" s="29" t="n"/>
      <c r="B450" s="29" t="n"/>
      <c r="C450" s="28" t="n"/>
      <c r="D450" s="28" t="n"/>
      <c r="E450" s="28" t="n"/>
      <c r="F450" s="28" t="n"/>
      <c r="G450" s="28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</row>
    <row r="451" ht="26.25" customHeight="1">
      <c r="A451" s="29" t="n"/>
      <c r="B451" s="29" t="n"/>
      <c r="C451" s="28" t="n"/>
      <c r="D451" s="28" t="n"/>
      <c r="E451" s="28" t="n"/>
      <c r="F451" s="28" t="n"/>
      <c r="G451" s="28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</row>
    <row r="452" ht="26.25" customHeight="1">
      <c r="A452" s="29" t="n"/>
      <c r="B452" s="29" t="n"/>
      <c r="C452" s="28" t="n"/>
      <c r="D452" s="28" t="n"/>
      <c r="E452" s="28" t="n"/>
      <c r="F452" s="28" t="n"/>
      <c r="G452" s="28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</row>
    <row r="453" ht="26.25" customHeight="1">
      <c r="A453" s="29" t="n"/>
      <c r="B453" s="29" t="n"/>
      <c r="C453" s="28" t="n"/>
      <c r="D453" s="28" t="n"/>
      <c r="E453" s="28" t="n"/>
      <c r="F453" s="28" t="n"/>
      <c r="G453" s="28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</row>
    <row r="454" ht="26.25" customHeight="1">
      <c r="A454" s="29" t="n"/>
      <c r="B454" s="29" t="n"/>
      <c r="C454" s="28" t="n"/>
      <c r="D454" s="28" t="n"/>
      <c r="E454" s="28" t="n"/>
      <c r="F454" s="28" t="n"/>
      <c r="G454" s="28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</row>
    <row r="455" ht="26.25" customHeight="1">
      <c r="A455" s="29" t="n"/>
      <c r="B455" s="29" t="n"/>
      <c r="C455" s="28" t="n"/>
      <c r="D455" s="28" t="n"/>
      <c r="E455" s="28" t="n"/>
      <c r="F455" s="28" t="n"/>
      <c r="G455" s="28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</row>
    <row r="456" ht="26.25" customHeight="1">
      <c r="A456" s="29" t="n"/>
      <c r="B456" s="29" t="n"/>
      <c r="C456" s="28" t="n"/>
      <c r="D456" s="28" t="n"/>
      <c r="E456" s="28" t="n"/>
      <c r="F456" s="28" t="n"/>
      <c r="G456" s="28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</row>
    <row r="457" ht="26.25" customHeight="1">
      <c r="A457" s="29" t="n"/>
      <c r="B457" s="29" t="n"/>
      <c r="C457" s="28" t="n"/>
      <c r="D457" s="28" t="n"/>
      <c r="E457" s="28" t="n"/>
      <c r="F457" s="28" t="n"/>
      <c r="G457" s="28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</row>
    <row r="458" ht="26.25" customHeight="1">
      <c r="A458" s="29" t="n"/>
      <c r="B458" s="29" t="n"/>
      <c r="C458" s="28" t="n"/>
      <c r="D458" s="28" t="n"/>
      <c r="E458" s="28" t="n"/>
      <c r="F458" s="28" t="n"/>
      <c r="G458" s="28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</row>
    <row r="459" ht="26.25" customHeight="1">
      <c r="A459" s="29" t="n"/>
      <c r="B459" s="29" t="n"/>
      <c r="C459" s="28" t="n"/>
      <c r="D459" s="28" t="n"/>
      <c r="E459" s="28" t="n"/>
      <c r="F459" s="28" t="n"/>
      <c r="G459" s="28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</row>
    <row r="460" ht="26.25" customHeight="1">
      <c r="A460" s="29" t="n"/>
      <c r="B460" s="29" t="n"/>
      <c r="C460" s="28" t="n"/>
      <c r="D460" s="28" t="n"/>
      <c r="E460" s="28" t="n"/>
      <c r="F460" s="28" t="n"/>
      <c r="G460" s="28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</row>
    <row r="461" ht="26.25" customHeight="1">
      <c r="A461" s="29" t="n"/>
      <c r="B461" s="29" t="n"/>
      <c r="C461" s="28" t="n"/>
      <c r="D461" s="28" t="n"/>
      <c r="E461" s="28" t="n"/>
      <c r="F461" s="28" t="n"/>
      <c r="G461" s="28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</row>
    <row r="462" ht="26.25" customHeight="1">
      <c r="A462" s="29" t="n"/>
      <c r="B462" s="29" t="n"/>
      <c r="C462" s="28" t="n"/>
      <c r="D462" s="28" t="n"/>
      <c r="E462" s="28" t="n"/>
      <c r="F462" s="28" t="n"/>
      <c r="G462" s="28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</row>
    <row r="463" ht="26.25" customHeight="1">
      <c r="A463" s="29" t="n"/>
      <c r="B463" s="29" t="n"/>
      <c r="C463" s="28" t="n"/>
      <c r="D463" s="28" t="n"/>
      <c r="E463" s="28" t="n"/>
      <c r="F463" s="28" t="n"/>
      <c r="G463" s="28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</row>
    <row r="464" ht="26.25" customHeight="1">
      <c r="A464" s="29" t="n"/>
      <c r="B464" s="29" t="n"/>
      <c r="C464" s="28" t="n"/>
      <c r="D464" s="28" t="n"/>
      <c r="E464" s="28" t="n"/>
      <c r="F464" s="28" t="n"/>
      <c r="G464" s="28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</row>
    <row r="465" ht="26.25" customHeight="1">
      <c r="A465" s="29" t="n"/>
      <c r="B465" s="29" t="n"/>
      <c r="C465" s="28" t="n"/>
      <c r="D465" s="28" t="n"/>
      <c r="E465" s="28" t="n"/>
      <c r="F465" s="28" t="n"/>
      <c r="G465" s="28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</row>
    <row r="466" ht="26.25" customHeight="1">
      <c r="A466" s="29" t="n"/>
      <c r="B466" s="29" t="n"/>
      <c r="C466" s="28" t="n"/>
      <c r="D466" s="28" t="n"/>
      <c r="E466" s="28" t="n"/>
      <c r="F466" s="28" t="n"/>
      <c r="G466" s="28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</row>
    <row r="467" ht="26.25" customHeight="1">
      <c r="A467" s="29" t="n"/>
      <c r="B467" s="29" t="n"/>
      <c r="C467" s="28" t="n"/>
      <c r="D467" s="28" t="n"/>
      <c r="E467" s="28" t="n"/>
      <c r="F467" s="28" t="n"/>
      <c r="G467" s="28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</row>
    <row r="468" ht="26.25" customHeight="1">
      <c r="A468" s="29" t="n"/>
      <c r="B468" s="29" t="n"/>
      <c r="C468" s="28" t="n"/>
      <c r="D468" s="28" t="n"/>
      <c r="E468" s="28" t="n"/>
      <c r="F468" s="28" t="n"/>
      <c r="G468" s="28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</row>
    <row r="469" ht="26.25" customHeight="1">
      <c r="A469" s="29" t="n"/>
      <c r="B469" s="29" t="n"/>
      <c r="C469" s="28" t="n"/>
      <c r="D469" s="28" t="n"/>
      <c r="E469" s="28" t="n"/>
      <c r="F469" s="28" t="n"/>
      <c r="G469" s="28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</row>
    <row r="470" ht="26.25" customHeight="1">
      <c r="A470" s="29" t="n"/>
      <c r="B470" s="29" t="n"/>
      <c r="C470" s="28" t="n"/>
      <c r="D470" s="28" t="n"/>
      <c r="E470" s="28" t="n"/>
      <c r="F470" s="28" t="n"/>
      <c r="G470" s="28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</row>
    <row r="471" ht="26.25" customHeight="1">
      <c r="A471" s="29" t="n"/>
      <c r="B471" s="29" t="n"/>
      <c r="C471" s="28" t="n"/>
      <c r="D471" s="28" t="n"/>
      <c r="E471" s="28" t="n"/>
      <c r="F471" s="28" t="n"/>
      <c r="G471" s="28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</row>
    <row r="472" ht="26.25" customHeight="1">
      <c r="A472" s="29" t="n"/>
      <c r="B472" s="29" t="n"/>
      <c r="C472" s="28" t="n"/>
      <c r="D472" s="28" t="n"/>
      <c r="E472" s="28" t="n"/>
      <c r="F472" s="28" t="n"/>
      <c r="G472" s="28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</row>
    <row r="473" ht="26.25" customHeight="1">
      <c r="A473" s="29" t="n"/>
      <c r="B473" s="29" t="n"/>
      <c r="C473" s="28" t="n"/>
      <c r="D473" s="28" t="n"/>
      <c r="E473" s="28" t="n"/>
      <c r="F473" s="28" t="n"/>
      <c r="G473" s="28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</row>
    <row r="474" ht="26.25" customHeight="1">
      <c r="A474" s="29" t="n"/>
      <c r="B474" s="29" t="n"/>
      <c r="C474" s="28" t="n"/>
      <c r="D474" s="28" t="n"/>
      <c r="E474" s="28" t="n"/>
      <c r="F474" s="28" t="n"/>
      <c r="G474" s="28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</row>
    <row r="475" ht="26.25" customHeight="1">
      <c r="A475" s="29" t="n"/>
      <c r="B475" s="29" t="n"/>
      <c r="C475" s="28" t="n"/>
      <c r="D475" s="28" t="n"/>
      <c r="E475" s="28" t="n"/>
      <c r="F475" s="28" t="n"/>
      <c r="G475" s="28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</row>
    <row r="476" ht="26.25" customHeight="1">
      <c r="A476" s="29" t="n"/>
      <c r="B476" s="29" t="n"/>
      <c r="C476" s="28" t="n"/>
      <c r="D476" s="28" t="n"/>
      <c r="E476" s="28" t="n"/>
      <c r="F476" s="28" t="n"/>
      <c r="G476" s="28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</row>
    <row r="477" ht="26.25" customHeight="1">
      <c r="A477" s="29" t="n"/>
      <c r="B477" s="29" t="n"/>
      <c r="C477" s="28" t="n"/>
      <c r="D477" s="28" t="n"/>
      <c r="E477" s="28" t="n"/>
      <c r="F477" s="28" t="n"/>
      <c r="G477" s="28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</row>
    <row r="478" ht="26.25" customHeight="1">
      <c r="A478" s="29" t="n"/>
      <c r="B478" s="29" t="n"/>
      <c r="C478" s="28" t="n"/>
      <c r="D478" s="28" t="n"/>
      <c r="E478" s="28" t="n"/>
      <c r="F478" s="28" t="n"/>
      <c r="G478" s="28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</row>
    <row r="479" ht="26.25" customHeight="1">
      <c r="A479" s="29" t="n"/>
      <c r="B479" s="29" t="n"/>
      <c r="C479" s="28" t="n"/>
      <c r="D479" s="28" t="n"/>
      <c r="E479" s="28" t="n"/>
      <c r="F479" s="28" t="n"/>
      <c r="G479" s="28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</row>
    <row r="480" ht="26.25" customHeight="1">
      <c r="A480" s="29" t="n"/>
      <c r="B480" s="29" t="n"/>
      <c r="C480" s="28" t="n"/>
      <c r="D480" s="28" t="n"/>
      <c r="E480" s="28" t="n"/>
      <c r="F480" s="28" t="n"/>
      <c r="G480" s="28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</row>
    <row r="481" ht="26.25" customHeight="1">
      <c r="A481" s="29" t="n"/>
      <c r="B481" s="29" t="n"/>
      <c r="C481" s="28" t="n"/>
      <c r="D481" s="28" t="n"/>
      <c r="E481" s="28" t="n"/>
      <c r="F481" s="28" t="n"/>
      <c r="G481" s="28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</row>
    <row r="482" ht="26.25" customHeight="1">
      <c r="A482" s="29" t="n"/>
      <c r="B482" s="29" t="n"/>
      <c r="C482" s="28" t="n"/>
      <c r="D482" s="28" t="n"/>
      <c r="E482" s="28" t="n"/>
      <c r="F482" s="28" t="n"/>
      <c r="G482" s="28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</row>
    <row r="483" ht="26.25" customHeight="1">
      <c r="A483" s="29" t="n"/>
      <c r="B483" s="29" t="n"/>
      <c r="C483" s="28" t="n"/>
      <c r="D483" s="28" t="n"/>
      <c r="E483" s="28" t="n"/>
      <c r="F483" s="28" t="n"/>
      <c r="G483" s="28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</row>
    <row r="484" ht="26.25" customHeight="1">
      <c r="A484" s="29" t="n"/>
      <c r="B484" s="29" t="n"/>
      <c r="C484" s="28" t="n"/>
      <c r="D484" s="28" t="n"/>
      <c r="E484" s="28" t="n"/>
      <c r="F484" s="28" t="n"/>
      <c r="G484" s="28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</row>
    <row r="485" ht="26.25" customHeight="1">
      <c r="A485" s="29" t="n"/>
      <c r="B485" s="29" t="n"/>
      <c r="C485" s="28" t="n"/>
      <c r="D485" s="28" t="n"/>
      <c r="E485" s="28" t="n"/>
      <c r="F485" s="28" t="n"/>
      <c r="G485" s="28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</row>
    <row r="486" ht="26.25" customHeight="1">
      <c r="A486" s="29" t="n"/>
      <c r="B486" s="29" t="n"/>
      <c r="C486" s="28" t="n"/>
      <c r="D486" s="28" t="n"/>
      <c r="E486" s="28" t="n"/>
      <c r="F486" s="28" t="n"/>
      <c r="G486" s="28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</row>
    <row r="487" ht="26.25" customHeight="1">
      <c r="A487" s="29" t="n"/>
      <c r="B487" s="29" t="n"/>
      <c r="C487" s="28" t="n"/>
      <c r="D487" s="28" t="n"/>
      <c r="E487" s="28" t="n"/>
      <c r="F487" s="28" t="n"/>
      <c r="G487" s="28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</row>
    <row r="488" ht="26.25" customHeight="1">
      <c r="A488" s="29" t="n"/>
      <c r="B488" s="29" t="n"/>
      <c r="C488" s="28" t="n"/>
      <c r="D488" s="28" t="n"/>
      <c r="E488" s="28" t="n"/>
      <c r="F488" s="28" t="n"/>
      <c r="G488" s="28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</row>
    <row r="489" ht="26.25" customHeight="1">
      <c r="A489" s="29" t="n"/>
      <c r="B489" s="29" t="n"/>
      <c r="C489" s="28" t="n"/>
      <c r="D489" s="28" t="n"/>
      <c r="E489" s="28" t="n"/>
      <c r="F489" s="28" t="n"/>
      <c r="G489" s="28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</row>
    <row r="490" ht="26.25" customHeight="1">
      <c r="A490" s="29" t="n"/>
      <c r="B490" s="29" t="n"/>
      <c r="C490" s="28" t="n"/>
      <c r="D490" s="28" t="n"/>
      <c r="E490" s="28" t="n"/>
      <c r="F490" s="28" t="n"/>
      <c r="G490" s="28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</row>
    <row r="491" ht="26.25" customHeight="1">
      <c r="A491" s="29" t="n"/>
      <c r="B491" s="29" t="n"/>
      <c r="C491" s="28" t="n"/>
      <c r="D491" s="28" t="n"/>
      <c r="E491" s="28" t="n"/>
      <c r="F491" s="28" t="n"/>
      <c r="G491" s="28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</row>
    <row r="492" ht="26.25" customHeight="1">
      <c r="A492" s="29" t="n"/>
      <c r="B492" s="29" t="n"/>
      <c r="C492" s="28" t="n"/>
      <c r="D492" s="28" t="n"/>
      <c r="E492" s="28" t="n"/>
      <c r="F492" s="28" t="n"/>
      <c r="G492" s="28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</row>
    <row r="493" ht="26.25" customHeight="1">
      <c r="A493" s="29" t="n"/>
      <c r="B493" s="29" t="n"/>
      <c r="C493" s="28" t="n"/>
      <c r="D493" s="28" t="n"/>
      <c r="E493" s="28" t="n"/>
      <c r="F493" s="28" t="n"/>
      <c r="G493" s="28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</row>
    <row r="494" ht="26.25" customHeight="1">
      <c r="A494" s="29" t="n"/>
      <c r="B494" s="29" t="n"/>
      <c r="C494" s="28" t="n"/>
      <c r="D494" s="28" t="n"/>
      <c r="E494" s="28" t="n"/>
      <c r="F494" s="28" t="n"/>
      <c r="G494" s="28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</row>
    <row r="495" ht="26.25" customHeight="1">
      <c r="A495" s="29" t="n"/>
      <c r="B495" s="29" t="n"/>
      <c r="C495" s="28" t="n"/>
      <c r="D495" s="28" t="n"/>
      <c r="E495" s="28" t="n"/>
      <c r="F495" s="28" t="n"/>
      <c r="G495" s="28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</row>
    <row r="496" ht="26.25" customHeight="1">
      <c r="A496" s="29" t="n"/>
      <c r="B496" s="29" t="n"/>
      <c r="C496" s="28" t="n"/>
      <c r="D496" s="28" t="n"/>
      <c r="E496" s="28" t="n"/>
      <c r="F496" s="28" t="n"/>
      <c r="G496" s="28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</row>
    <row r="497" ht="26.25" customHeight="1">
      <c r="A497" s="29" t="n"/>
      <c r="B497" s="29" t="n"/>
      <c r="C497" s="28" t="n"/>
      <c r="D497" s="28" t="n"/>
      <c r="E497" s="28" t="n"/>
      <c r="F497" s="28" t="n"/>
      <c r="G497" s="28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</row>
    <row r="498" ht="26.25" customHeight="1">
      <c r="A498" s="29" t="n"/>
      <c r="B498" s="29" t="n"/>
      <c r="C498" s="28" t="n"/>
      <c r="D498" s="28" t="n"/>
      <c r="E498" s="28" t="n"/>
      <c r="F498" s="28" t="n"/>
      <c r="G498" s="28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</row>
    <row r="499" ht="26.25" customHeight="1">
      <c r="A499" s="29" t="n"/>
      <c r="B499" s="29" t="n"/>
      <c r="C499" s="28" t="n"/>
      <c r="D499" s="28" t="n"/>
      <c r="E499" s="28" t="n"/>
      <c r="F499" s="28" t="n"/>
      <c r="G499" s="28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</row>
    <row r="500" ht="26.25" customHeight="1">
      <c r="A500" s="29" t="n"/>
      <c r="B500" s="29" t="n"/>
      <c r="C500" s="28" t="n"/>
      <c r="D500" s="28" t="n"/>
      <c r="E500" s="28" t="n"/>
      <c r="F500" s="28" t="n"/>
      <c r="G500" s="28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</row>
    <row r="501" ht="26.25" customHeight="1">
      <c r="A501" s="29" t="n"/>
      <c r="B501" s="29" t="n"/>
      <c r="C501" s="28" t="n"/>
      <c r="D501" s="28" t="n"/>
      <c r="E501" s="28" t="n"/>
      <c r="F501" s="28" t="n"/>
      <c r="G501" s="28" t="n"/>
      <c r="H501" s="29" t="n"/>
      <c r="I501" s="29" t="n"/>
      <c r="J501" s="29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</row>
    <row r="502" ht="26.25" customHeight="1">
      <c r="A502" s="29" t="n"/>
      <c r="B502" s="29" t="n"/>
      <c r="C502" s="28" t="n"/>
      <c r="D502" s="28" t="n"/>
      <c r="E502" s="28" t="n"/>
      <c r="F502" s="28" t="n"/>
      <c r="G502" s="28" t="n"/>
      <c r="H502" s="29" t="n"/>
      <c r="I502" s="29" t="n"/>
      <c r="J502" s="29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</row>
    <row r="503" ht="26.25" customHeight="1">
      <c r="A503" s="29" t="n"/>
      <c r="B503" s="29" t="n"/>
      <c r="C503" s="28" t="n"/>
      <c r="D503" s="28" t="n"/>
      <c r="E503" s="28" t="n"/>
      <c r="F503" s="28" t="n"/>
      <c r="G503" s="28" t="n"/>
      <c r="H503" s="29" t="n"/>
      <c r="I503" s="29" t="n"/>
      <c r="J503" s="29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</row>
    <row r="504" ht="26.25" customHeight="1">
      <c r="A504" s="29" t="n"/>
      <c r="B504" s="29" t="n"/>
      <c r="C504" s="28" t="n"/>
      <c r="D504" s="28" t="n"/>
      <c r="E504" s="28" t="n"/>
      <c r="F504" s="28" t="n"/>
      <c r="G504" s="28" t="n"/>
      <c r="H504" s="29" t="n"/>
      <c r="I504" s="29" t="n"/>
      <c r="J504" s="29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</row>
    <row r="505" ht="26.25" customHeight="1">
      <c r="A505" s="29" t="n"/>
      <c r="B505" s="29" t="n"/>
      <c r="C505" s="28" t="n"/>
      <c r="D505" s="28" t="n"/>
      <c r="E505" s="28" t="n"/>
      <c r="F505" s="28" t="n"/>
      <c r="G505" s="28" t="n"/>
      <c r="H505" s="29" t="n"/>
      <c r="I505" s="29" t="n"/>
      <c r="J505" s="29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</row>
    <row r="506" ht="26.25" customHeight="1">
      <c r="A506" s="29" t="n"/>
      <c r="B506" s="29" t="n"/>
      <c r="C506" s="28" t="n"/>
      <c r="D506" s="28" t="n"/>
      <c r="E506" s="28" t="n"/>
      <c r="F506" s="28" t="n"/>
      <c r="G506" s="28" t="n"/>
      <c r="H506" s="29" t="n"/>
      <c r="I506" s="29" t="n"/>
      <c r="J506" s="29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</row>
    <row r="507" ht="26.25" customHeight="1">
      <c r="A507" s="29" t="n"/>
      <c r="B507" s="29" t="n"/>
      <c r="C507" s="28" t="n"/>
      <c r="D507" s="28" t="n"/>
      <c r="E507" s="28" t="n"/>
      <c r="F507" s="28" t="n"/>
      <c r="G507" s="28" t="n"/>
      <c r="H507" s="29" t="n"/>
      <c r="I507" s="29" t="n"/>
      <c r="J507" s="29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</row>
    <row r="508" ht="26.25" customHeight="1">
      <c r="A508" s="29" t="n"/>
      <c r="B508" s="29" t="n"/>
      <c r="C508" s="28" t="n"/>
      <c r="D508" s="28" t="n"/>
      <c r="E508" s="28" t="n"/>
      <c r="F508" s="28" t="n"/>
      <c r="G508" s="28" t="n"/>
      <c r="H508" s="29" t="n"/>
      <c r="I508" s="29" t="n"/>
      <c r="J508" s="29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</row>
    <row r="509" ht="26.25" customHeight="1">
      <c r="A509" s="29" t="n"/>
      <c r="B509" s="29" t="n"/>
      <c r="C509" s="28" t="n"/>
      <c r="D509" s="28" t="n"/>
      <c r="E509" s="28" t="n"/>
      <c r="F509" s="28" t="n"/>
      <c r="G509" s="28" t="n"/>
      <c r="H509" s="29" t="n"/>
      <c r="I509" s="29" t="n"/>
      <c r="J509" s="29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</row>
    <row r="510" ht="26.25" customHeight="1">
      <c r="A510" s="29" t="n"/>
      <c r="B510" s="29" t="n"/>
      <c r="C510" s="28" t="n"/>
      <c r="D510" s="28" t="n"/>
      <c r="E510" s="28" t="n"/>
      <c r="F510" s="28" t="n"/>
      <c r="G510" s="28" t="n"/>
      <c r="H510" s="29" t="n"/>
      <c r="I510" s="29" t="n"/>
      <c r="J510" s="29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</row>
    <row r="511" ht="26.25" customHeight="1">
      <c r="A511" s="29" t="n"/>
      <c r="B511" s="29" t="n"/>
      <c r="C511" s="28" t="n"/>
      <c r="D511" s="28" t="n"/>
      <c r="E511" s="28" t="n"/>
      <c r="F511" s="28" t="n"/>
      <c r="G511" s="28" t="n"/>
      <c r="H511" s="29" t="n"/>
      <c r="I511" s="29" t="n"/>
      <c r="J511" s="29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</row>
    <row r="512" ht="26.25" customHeight="1">
      <c r="A512" s="29" t="n"/>
      <c r="B512" s="29" t="n"/>
      <c r="C512" s="28" t="n"/>
      <c r="D512" s="28" t="n"/>
      <c r="E512" s="28" t="n"/>
      <c r="F512" s="28" t="n"/>
      <c r="G512" s="28" t="n"/>
      <c r="H512" s="29" t="n"/>
      <c r="I512" s="29" t="n"/>
      <c r="J512" s="29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</row>
    <row r="513" ht="26.25" customHeight="1">
      <c r="A513" s="29" t="n"/>
      <c r="B513" s="29" t="n"/>
      <c r="C513" s="28" t="n"/>
      <c r="D513" s="28" t="n"/>
      <c r="E513" s="28" t="n"/>
      <c r="F513" s="28" t="n"/>
      <c r="G513" s="28" t="n"/>
      <c r="H513" s="29" t="n"/>
      <c r="I513" s="29" t="n"/>
      <c r="J513" s="29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</row>
    <row r="514" ht="26.25" customHeight="1">
      <c r="A514" s="29" t="n"/>
      <c r="B514" s="29" t="n"/>
      <c r="C514" s="28" t="n"/>
      <c r="D514" s="28" t="n"/>
      <c r="E514" s="28" t="n"/>
      <c r="F514" s="28" t="n"/>
      <c r="G514" s="28" t="n"/>
      <c r="H514" s="29" t="n"/>
      <c r="I514" s="29" t="n"/>
      <c r="J514" s="29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</row>
    <row r="515" ht="26.25" customHeight="1">
      <c r="A515" s="29" t="n"/>
      <c r="B515" s="29" t="n"/>
      <c r="C515" s="28" t="n"/>
      <c r="D515" s="28" t="n"/>
      <c r="E515" s="28" t="n"/>
      <c r="F515" s="28" t="n"/>
      <c r="G515" s="28" t="n"/>
      <c r="H515" s="29" t="n"/>
      <c r="I515" s="29" t="n"/>
      <c r="J515" s="29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</row>
    <row r="516" ht="26.25" customHeight="1">
      <c r="A516" s="29" t="n"/>
      <c r="B516" s="29" t="n"/>
      <c r="C516" s="28" t="n"/>
      <c r="D516" s="28" t="n"/>
      <c r="E516" s="28" t="n"/>
      <c r="F516" s="28" t="n"/>
      <c r="G516" s="28" t="n"/>
      <c r="H516" s="29" t="n"/>
      <c r="I516" s="29" t="n"/>
      <c r="J516" s="29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</row>
    <row r="517" ht="26.25" customHeight="1">
      <c r="A517" s="29" t="n"/>
      <c r="B517" s="29" t="n"/>
      <c r="C517" s="28" t="n"/>
      <c r="D517" s="28" t="n"/>
      <c r="E517" s="28" t="n"/>
      <c r="F517" s="28" t="n"/>
      <c r="G517" s="28" t="n"/>
      <c r="H517" s="29" t="n"/>
      <c r="I517" s="29" t="n"/>
      <c r="J517" s="29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</row>
    <row r="518" ht="26.25" customHeight="1">
      <c r="A518" s="29" t="n"/>
      <c r="B518" s="29" t="n"/>
      <c r="C518" s="28" t="n"/>
      <c r="D518" s="28" t="n"/>
      <c r="E518" s="28" t="n"/>
      <c r="F518" s="28" t="n"/>
      <c r="G518" s="28" t="n"/>
      <c r="H518" s="29" t="n"/>
      <c r="I518" s="29" t="n"/>
      <c r="J518" s="29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</row>
    <row r="519" ht="26.25" customHeight="1">
      <c r="A519" s="29" t="n"/>
      <c r="B519" s="29" t="n"/>
      <c r="C519" s="28" t="n"/>
      <c r="D519" s="28" t="n"/>
      <c r="E519" s="28" t="n"/>
      <c r="F519" s="28" t="n"/>
      <c r="G519" s="28" t="n"/>
      <c r="H519" s="29" t="n"/>
      <c r="I519" s="29" t="n"/>
      <c r="J519" s="29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</row>
    <row r="520" ht="26.25" customHeight="1">
      <c r="A520" s="29" t="n"/>
      <c r="B520" s="29" t="n"/>
      <c r="C520" s="28" t="n"/>
      <c r="D520" s="28" t="n"/>
      <c r="E520" s="28" t="n"/>
      <c r="F520" s="28" t="n"/>
      <c r="G520" s="28" t="n"/>
      <c r="H520" s="29" t="n"/>
      <c r="I520" s="29" t="n"/>
      <c r="J520" s="29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</row>
    <row r="521" ht="26.25" customHeight="1">
      <c r="A521" s="29" t="n"/>
      <c r="B521" s="29" t="n"/>
      <c r="C521" s="28" t="n"/>
      <c r="D521" s="28" t="n"/>
      <c r="E521" s="28" t="n"/>
      <c r="F521" s="28" t="n"/>
      <c r="G521" s="28" t="n"/>
      <c r="H521" s="29" t="n"/>
      <c r="I521" s="29" t="n"/>
      <c r="J521" s="29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</row>
    <row r="522" ht="26.25" customHeight="1">
      <c r="A522" s="29" t="n"/>
      <c r="B522" s="29" t="n"/>
      <c r="C522" s="28" t="n"/>
      <c r="D522" s="28" t="n"/>
      <c r="E522" s="28" t="n"/>
      <c r="F522" s="28" t="n"/>
      <c r="G522" s="28" t="n"/>
      <c r="H522" s="29" t="n"/>
      <c r="I522" s="29" t="n"/>
      <c r="J522" s="29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</row>
    <row r="523" ht="26.25" customHeight="1">
      <c r="A523" s="29" t="n"/>
      <c r="B523" s="29" t="n"/>
      <c r="C523" s="28" t="n"/>
      <c r="D523" s="28" t="n"/>
      <c r="E523" s="28" t="n"/>
      <c r="F523" s="28" t="n"/>
      <c r="G523" s="28" t="n"/>
      <c r="H523" s="29" t="n"/>
      <c r="I523" s="29" t="n"/>
      <c r="J523" s="29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</row>
    <row r="524" ht="26.25" customHeight="1">
      <c r="A524" s="29" t="n"/>
      <c r="B524" s="29" t="n"/>
      <c r="C524" s="28" t="n"/>
      <c r="D524" s="28" t="n"/>
      <c r="E524" s="28" t="n"/>
      <c r="F524" s="28" t="n"/>
      <c r="G524" s="28" t="n"/>
      <c r="H524" s="29" t="n"/>
      <c r="I524" s="29" t="n"/>
      <c r="J524" s="29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</row>
    <row r="525" ht="26.25" customHeight="1">
      <c r="A525" s="29" t="n"/>
      <c r="B525" s="29" t="n"/>
      <c r="C525" s="28" t="n"/>
      <c r="D525" s="28" t="n"/>
      <c r="E525" s="28" t="n"/>
      <c r="F525" s="28" t="n"/>
      <c r="G525" s="28" t="n"/>
      <c r="H525" s="29" t="n"/>
      <c r="I525" s="29" t="n"/>
      <c r="J525" s="29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</row>
    <row r="526" ht="26.25" customHeight="1">
      <c r="A526" s="29" t="n"/>
      <c r="B526" s="29" t="n"/>
      <c r="C526" s="28" t="n"/>
      <c r="D526" s="28" t="n"/>
      <c r="E526" s="28" t="n"/>
      <c r="F526" s="28" t="n"/>
      <c r="G526" s="28" t="n"/>
      <c r="H526" s="29" t="n"/>
      <c r="I526" s="29" t="n"/>
      <c r="J526" s="29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</row>
    <row r="527" ht="26.25" customHeight="1">
      <c r="A527" s="29" t="n"/>
      <c r="B527" s="29" t="n"/>
      <c r="C527" s="28" t="n"/>
      <c r="D527" s="28" t="n"/>
      <c r="E527" s="28" t="n"/>
      <c r="F527" s="28" t="n"/>
      <c r="G527" s="28" t="n"/>
      <c r="H527" s="29" t="n"/>
      <c r="I527" s="29" t="n"/>
      <c r="J527" s="29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</row>
    <row r="528" ht="26.25" customHeight="1">
      <c r="A528" s="29" t="n"/>
      <c r="B528" s="29" t="n"/>
      <c r="C528" s="28" t="n"/>
      <c r="D528" s="28" t="n"/>
      <c r="E528" s="28" t="n"/>
      <c r="F528" s="28" t="n"/>
      <c r="G528" s="28" t="n"/>
      <c r="H528" s="29" t="n"/>
      <c r="I528" s="29" t="n"/>
      <c r="J528" s="29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</row>
    <row r="529" ht="26.25" customHeight="1">
      <c r="A529" s="29" t="n"/>
      <c r="B529" s="29" t="n"/>
      <c r="C529" s="28" t="n"/>
      <c r="D529" s="28" t="n"/>
      <c r="E529" s="28" t="n"/>
      <c r="F529" s="28" t="n"/>
      <c r="G529" s="28" t="n"/>
      <c r="H529" s="29" t="n"/>
      <c r="I529" s="29" t="n"/>
      <c r="J529" s="29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</row>
    <row r="530" ht="26.25" customHeight="1">
      <c r="A530" s="29" t="n"/>
      <c r="B530" s="29" t="n"/>
      <c r="C530" s="28" t="n"/>
      <c r="D530" s="28" t="n"/>
      <c r="E530" s="28" t="n"/>
      <c r="F530" s="28" t="n"/>
      <c r="G530" s="28" t="n"/>
      <c r="H530" s="29" t="n"/>
      <c r="I530" s="29" t="n"/>
      <c r="J530" s="29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</row>
    <row r="531" ht="26.25" customHeight="1">
      <c r="A531" s="29" t="n"/>
      <c r="B531" s="29" t="n"/>
      <c r="C531" s="28" t="n"/>
      <c r="D531" s="28" t="n"/>
      <c r="E531" s="28" t="n"/>
      <c r="F531" s="28" t="n"/>
      <c r="G531" s="28" t="n"/>
      <c r="H531" s="29" t="n"/>
      <c r="I531" s="29" t="n"/>
      <c r="J531" s="29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</row>
    <row r="532" ht="26.25" customHeight="1">
      <c r="A532" s="29" t="n"/>
      <c r="B532" s="29" t="n"/>
      <c r="C532" s="28" t="n"/>
      <c r="D532" s="28" t="n"/>
      <c r="E532" s="28" t="n"/>
      <c r="F532" s="28" t="n"/>
      <c r="G532" s="28" t="n"/>
      <c r="H532" s="29" t="n"/>
      <c r="I532" s="29" t="n"/>
      <c r="J532" s="29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</row>
    <row r="533" ht="26.25" customHeight="1">
      <c r="A533" s="29" t="n"/>
      <c r="B533" s="29" t="n"/>
      <c r="C533" s="28" t="n"/>
      <c r="D533" s="28" t="n"/>
      <c r="E533" s="28" t="n"/>
      <c r="F533" s="28" t="n"/>
      <c r="G533" s="28" t="n"/>
      <c r="H533" s="29" t="n"/>
      <c r="I533" s="29" t="n"/>
      <c r="J533" s="29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</row>
    <row r="534" ht="26.25" customHeight="1">
      <c r="A534" s="29" t="n"/>
      <c r="B534" s="29" t="n"/>
      <c r="C534" s="28" t="n"/>
      <c r="D534" s="28" t="n"/>
      <c r="E534" s="28" t="n"/>
      <c r="F534" s="28" t="n"/>
      <c r="G534" s="28" t="n"/>
      <c r="H534" s="29" t="n"/>
      <c r="I534" s="29" t="n"/>
      <c r="J534" s="29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</row>
    <row r="535" ht="26.25" customHeight="1">
      <c r="A535" s="29" t="n"/>
      <c r="B535" s="29" t="n"/>
      <c r="C535" s="28" t="n"/>
      <c r="D535" s="28" t="n"/>
      <c r="E535" s="28" t="n"/>
      <c r="F535" s="28" t="n"/>
      <c r="G535" s="28" t="n"/>
      <c r="H535" s="29" t="n"/>
      <c r="I535" s="29" t="n"/>
      <c r="J535" s="29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</row>
    <row r="536" ht="26.25" customHeight="1">
      <c r="A536" s="29" t="n"/>
      <c r="B536" s="29" t="n"/>
      <c r="C536" s="28" t="n"/>
      <c r="D536" s="28" t="n"/>
      <c r="E536" s="28" t="n"/>
      <c r="F536" s="28" t="n"/>
      <c r="G536" s="28" t="n"/>
      <c r="H536" s="29" t="n"/>
      <c r="I536" s="29" t="n"/>
      <c r="J536" s="29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</row>
    <row r="537" ht="26.25" customHeight="1">
      <c r="A537" s="29" t="n"/>
      <c r="B537" s="29" t="n"/>
      <c r="C537" s="28" t="n"/>
      <c r="D537" s="28" t="n"/>
      <c r="E537" s="28" t="n"/>
      <c r="F537" s="28" t="n"/>
      <c r="G537" s="28" t="n"/>
      <c r="H537" s="29" t="n"/>
      <c r="I537" s="29" t="n"/>
      <c r="J537" s="29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</row>
    <row r="538" ht="26.25" customHeight="1">
      <c r="A538" s="29" t="n"/>
      <c r="B538" s="29" t="n"/>
      <c r="C538" s="28" t="n"/>
      <c r="D538" s="28" t="n"/>
      <c r="E538" s="28" t="n"/>
      <c r="F538" s="28" t="n"/>
      <c r="G538" s="28" t="n"/>
      <c r="H538" s="29" t="n"/>
      <c r="I538" s="29" t="n"/>
      <c r="J538" s="29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</row>
    <row r="539" ht="26.25" customHeight="1">
      <c r="A539" s="29" t="n"/>
      <c r="B539" s="29" t="n"/>
      <c r="C539" s="28" t="n"/>
      <c r="D539" s="28" t="n"/>
      <c r="E539" s="28" t="n"/>
      <c r="F539" s="28" t="n"/>
      <c r="G539" s="28" t="n"/>
      <c r="H539" s="29" t="n"/>
      <c r="I539" s="29" t="n"/>
      <c r="J539" s="29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</row>
    <row r="540" ht="26.25" customHeight="1">
      <c r="A540" s="29" t="n"/>
      <c r="B540" s="29" t="n"/>
      <c r="C540" s="28" t="n"/>
      <c r="D540" s="28" t="n"/>
      <c r="E540" s="28" t="n"/>
      <c r="F540" s="28" t="n"/>
      <c r="G540" s="28" t="n"/>
      <c r="H540" s="29" t="n"/>
      <c r="I540" s="29" t="n"/>
      <c r="J540" s="29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</row>
    <row r="541" ht="26.25" customHeight="1">
      <c r="A541" s="29" t="n"/>
      <c r="B541" s="29" t="n"/>
      <c r="C541" s="28" t="n"/>
      <c r="D541" s="28" t="n"/>
      <c r="E541" s="28" t="n"/>
      <c r="F541" s="28" t="n"/>
      <c r="G541" s="28" t="n"/>
      <c r="H541" s="29" t="n"/>
      <c r="I541" s="29" t="n"/>
      <c r="J541" s="29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</row>
    <row r="542" ht="26.25" customHeight="1">
      <c r="A542" s="29" t="n"/>
      <c r="B542" s="29" t="n"/>
      <c r="C542" s="28" t="n"/>
      <c r="D542" s="28" t="n"/>
      <c r="E542" s="28" t="n"/>
      <c r="F542" s="28" t="n"/>
      <c r="G542" s="28" t="n"/>
      <c r="H542" s="29" t="n"/>
      <c r="I542" s="29" t="n"/>
      <c r="J542" s="29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</row>
    <row r="543" ht="26.25" customHeight="1">
      <c r="A543" s="29" t="n"/>
      <c r="B543" s="29" t="n"/>
      <c r="C543" s="28" t="n"/>
      <c r="D543" s="28" t="n"/>
      <c r="E543" s="28" t="n"/>
      <c r="F543" s="28" t="n"/>
      <c r="G543" s="28" t="n"/>
      <c r="H543" s="29" t="n"/>
      <c r="I543" s="29" t="n"/>
      <c r="J543" s="29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</row>
    <row r="544" ht="26.25" customHeight="1">
      <c r="A544" s="29" t="n"/>
      <c r="B544" s="29" t="n"/>
      <c r="C544" s="28" t="n"/>
      <c r="D544" s="28" t="n"/>
      <c r="E544" s="28" t="n"/>
      <c r="F544" s="28" t="n"/>
      <c r="G544" s="28" t="n"/>
      <c r="H544" s="29" t="n"/>
      <c r="I544" s="29" t="n"/>
      <c r="J544" s="29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</row>
    <row r="545" ht="26.25" customHeight="1">
      <c r="A545" s="29" t="n"/>
      <c r="B545" s="29" t="n"/>
      <c r="C545" s="28" t="n"/>
      <c r="D545" s="28" t="n"/>
      <c r="E545" s="28" t="n"/>
      <c r="F545" s="28" t="n"/>
      <c r="G545" s="28" t="n"/>
      <c r="H545" s="29" t="n"/>
      <c r="I545" s="29" t="n"/>
      <c r="J545" s="29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</row>
    <row r="546" ht="26.25" customHeight="1">
      <c r="A546" s="29" t="n"/>
      <c r="B546" s="29" t="n"/>
      <c r="C546" s="28" t="n"/>
      <c r="D546" s="28" t="n"/>
      <c r="E546" s="28" t="n"/>
      <c r="F546" s="28" t="n"/>
      <c r="G546" s="28" t="n"/>
      <c r="H546" s="29" t="n"/>
      <c r="I546" s="29" t="n"/>
      <c r="J546" s="29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</row>
    <row r="547" ht="26.25" customHeight="1">
      <c r="A547" s="29" t="n"/>
      <c r="B547" s="29" t="n"/>
      <c r="C547" s="28" t="n"/>
      <c r="D547" s="28" t="n"/>
      <c r="E547" s="28" t="n"/>
      <c r="F547" s="28" t="n"/>
      <c r="G547" s="28" t="n"/>
      <c r="H547" s="29" t="n"/>
      <c r="I547" s="29" t="n"/>
      <c r="J547" s="29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</row>
    <row r="548" ht="26.25" customHeight="1">
      <c r="A548" s="29" t="n"/>
      <c r="B548" s="29" t="n"/>
      <c r="C548" s="28" t="n"/>
      <c r="D548" s="28" t="n"/>
      <c r="E548" s="28" t="n"/>
      <c r="F548" s="28" t="n"/>
      <c r="G548" s="28" t="n"/>
      <c r="H548" s="29" t="n"/>
      <c r="I548" s="29" t="n"/>
      <c r="J548" s="29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</row>
    <row r="549" ht="26.25" customHeight="1">
      <c r="A549" s="29" t="n"/>
      <c r="B549" s="29" t="n"/>
      <c r="C549" s="28" t="n"/>
      <c r="D549" s="28" t="n"/>
      <c r="E549" s="28" t="n"/>
      <c r="F549" s="28" t="n"/>
      <c r="G549" s="28" t="n"/>
      <c r="H549" s="29" t="n"/>
      <c r="I549" s="29" t="n"/>
      <c r="J549" s="29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</row>
    <row r="550" ht="26.25" customHeight="1">
      <c r="A550" s="29" t="n"/>
      <c r="B550" s="29" t="n"/>
      <c r="C550" s="28" t="n"/>
      <c r="D550" s="28" t="n"/>
      <c r="E550" s="28" t="n"/>
      <c r="F550" s="28" t="n"/>
      <c r="G550" s="28" t="n"/>
      <c r="H550" s="29" t="n"/>
      <c r="I550" s="29" t="n"/>
      <c r="J550" s="29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</row>
    <row r="551" ht="26.25" customHeight="1">
      <c r="A551" s="29" t="n"/>
      <c r="B551" s="29" t="n"/>
      <c r="C551" s="28" t="n"/>
      <c r="D551" s="28" t="n"/>
      <c r="E551" s="28" t="n"/>
      <c r="F551" s="28" t="n"/>
      <c r="G551" s="28" t="n"/>
      <c r="H551" s="29" t="n"/>
      <c r="I551" s="29" t="n"/>
      <c r="J551" s="29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</row>
    <row r="552" ht="26.25" customHeight="1">
      <c r="A552" s="29" t="n"/>
      <c r="B552" s="29" t="n"/>
      <c r="C552" s="28" t="n"/>
      <c r="D552" s="28" t="n"/>
      <c r="E552" s="28" t="n"/>
      <c r="F552" s="28" t="n"/>
      <c r="G552" s="28" t="n"/>
      <c r="H552" s="29" t="n"/>
      <c r="I552" s="29" t="n"/>
      <c r="J552" s="29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</row>
    <row r="553" ht="26.25" customHeight="1">
      <c r="A553" s="29" t="n"/>
      <c r="B553" s="29" t="n"/>
      <c r="C553" s="28" t="n"/>
      <c r="D553" s="28" t="n"/>
      <c r="E553" s="28" t="n"/>
      <c r="F553" s="28" t="n"/>
      <c r="G553" s="28" t="n"/>
      <c r="H553" s="29" t="n"/>
      <c r="I553" s="29" t="n"/>
      <c r="J553" s="29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</row>
    <row r="554" ht="26.25" customHeight="1">
      <c r="A554" s="29" t="n"/>
      <c r="B554" s="29" t="n"/>
      <c r="C554" s="28" t="n"/>
      <c r="D554" s="28" t="n"/>
      <c r="E554" s="28" t="n"/>
      <c r="F554" s="28" t="n"/>
      <c r="G554" s="28" t="n"/>
      <c r="H554" s="29" t="n"/>
      <c r="I554" s="29" t="n"/>
      <c r="J554" s="29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</row>
    <row r="555" ht="26.25" customHeight="1">
      <c r="A555" s="29" t="n"/>
      <c r="B555" s="29" t="n"/>
      <c r="C555" s="28" t="n"/>
      <c r="D555" s="28" t="n"/>
      <c r="E555" s="28" t="n"/>
      <c r="F555" s="28" t="n"/>
      <c r="G555" s="28" t="n"/>
      <c r="H555" s="29" t="n"/>
      <c r="I555" s="29" t="n"/>
      <c r="J555" s="29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</row>
    <row r="556" ht="26.25" customHeight="1">
      <c r="A556" s="29" t="n"/>
      <c r="B556" s="29" t="n"/>
      <c r="C556" s="28" t="n"/>
      <c r="D556" s="28" t="n"/>
      <c r="E556" s="28" t="n"/>
      <c r="F556" s="28" t="n"/>
      <c r="G556" s="28" t="n"/>
      <c r="H556" s="29" t="n"/>
      <c r="I556" s="29" t="n"/>
      <c r="J556" s="29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</row>
    <row r="557" ht="26.25" customHeight="1">
      <c r="A557" s="29" t="n"/>
      <c r="B557" s="29" t="n"/>
      <c r="C557" s="28" t="n"/>
      <c r="D557" s="28" t="n"/>
      <c r="E557" s="28" t="n"/>
      <c r="F557" s="28" t="n"/>
      <c r="G557" s="28" t="n"/>
      <c r="H557" s="29" t="n"/>
      <c r="I557" s="29" t="n"/>
      <c r="J557" s="29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</row>
    <row r="558" ht="26.25" customHeight="1">
      <c r="A558" s="29" t="n"/>
      <c r="B558" s="29" t="n"/>
      <c r="C558" s="28" t="n"/>
      <c r="D558" s="28" t="n"/>
      <c r="E558" s="28" t="n"/>
      <c r="F558" s="28" t="n"/>
      <c r="G558" s="28" t="n"/>
      <c r="H558" s="29" t="n"/>
      <c r="I558" s="29" t="n"/>
      <c r="J558" s="29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</row>
    <row r="559" ht="26.25" customHeight="1">
      <c r="A559" s="29" t="n"/>
      <c r="B559" s="29" t="n"/>
      <c r="C559" s="28" t="n"/>
      <c r="D559" s="28" t="n"/>
      <c r="E559" s="28" t="n"/>
      <c r="F559" s="28" t="n"/>
      <c r="G559" s="28" t="n"/>
      <c r="H559" s="29" t="n"/>
      <c r="I559" s="29" t="n"/>
      <c r="J559" s="29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</row>
    <row r="560" ht="26.25" customHeight="1">
      <c r="A560" s="29" t="n"/>
      <c r="B560" s="29" t="n"/>
      <c r="C560" s="28" t="n"/>
      <c r="D560" s="28" t="n"/>
      <c r="E560" s="28" t="n"/>
      <c r="F560" s="28" t="n"/>
      <c r="G560" s="28" t="n"/>
      <c r="H560" s="29" t="n"/>
      <c r="I560" s="29" t="n"/>
      <c r="J560" s="29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</row>
    <row r="561" ht="26.25" customHeight="1">
      <c r="A561" s="29" t="n"/>
      <c r="B561" s="29" t="n"/>
      <c r="C561" s="28" t="n"/>
      <c r="D561" s="28" t="n"/>
      <c r="E561" s="28" t="n"/>
      <c r="F561" s="28" t="n"/>
      <c r="G561" s="28" t="n"/>
      <c r="H561" s="29" t="n"/>
      <c r="I561" s="29" t="n"/>
      <c r="J561" s="29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</row>
    <row r="562" ht="26.25" customHeight="1">
      <c r="A562" s="29" t="n"/>
      <c r="B562" s="29" t="n"/>
      <c r="C562" s="28" t="n"/>
      <c r="D562" s="28" t="n"/>
      <c r="E562" s="28" t="n"/>
      <c r="F562" s="28" t="n"/>
      <c r="G562" s="28" t="n"/>
      <c r="H562" s="29" t="n"/>
      <c r="I562" s="29" t="n"/>
      <c r="J562" s="29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</row>
    <row r="563" ht="26.25" customHeight="1">
      <c r="A563" s="29" t="n"/>
      <c r="B563" s="29" t="n"/>
      <c r="C563" s="28" t="n"/>
      <c r="D563" s="28" t="n"/>
      <c r="E563" s="28" t="n"/>
      <c r="F563" s="28" t="n"/>
      <c r="G563" s="28" t="n"/>
      <c r="H563" s="29" t="n"/>
      <c r="I563" s="29" t="n"/>
      <c r="J563" s="29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</row>
    <row r="564" ht="26.25" customHeight="1">
      <c r="A564" s="29" t="n"/>
      <c r="B564" s="29" t="n"/>
      <c r="C564" s="28" t="n"/>
      <c r="D564" s="28" t="n"/>
      <c r="E564" s="28" t="n"/>
      <c r="F564" s="28" t="n"/>
      <c r="G564" s="28" t="n"/>
      <c r="H564" s="29" t="n"/>
      <c r="I564" s="29" t="n"/>
      <c r="J564" s="29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</row>
    <row r="565" ht="26.25" customHeight="1">
      <c r="A565" s="29" t="n"/>
      <c r="B565" s="29" t="n"/>
      <c r="C565" s="28" t="n"/>
      <c r="D565" s="28" t="n"/>
      <c r="E565" s="28" t="n"/>
      <c r="F565" s="28" t="n"/>
      <c r="G565" s="28" t="n"/>
      <c r="H565" s="29" t="n"/>
      <c r="I565" s="29" t="n"/>
      <c r="J565" s="29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</row>
    <row r="566" ht="26.25" customHeight="1">
      <c r="A566" s="29" t="n"/>
      <c r="B566" s="29" t="n"/>
      <c r="C566" s="28" t="n"/>
      <c r="D566" s="28" t="n"/>
      <c r="E566" s="28" t="n"/>
      <c r="F566" s="28" t="n"/>
      <c r="G566" s="28" t="n"/>
      <c r="H566" s="29" t="n"/>
      <c r="I566" s="29" t="n"/>
      <c r="J566" s="29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</row>
    <row r="567" ht="26.25" customHeight="1">
      <c r="A567" s="29" t="n"/>
      <c r="B567" s="29" t="n"/>
      <c r="C567" s="28" t="n"/>
      <c r="D567" s="28" t="n"/>
      <c r="E567" s="28" t="n"/>
      <c r="F567" s="28" t="n"/>
      <c r="G567" s="28" t="n"/>
      <c r="H567" s="29" t="n"/>
      <c r="I567" s="29" t="n"/>
      <c r="J567" s="29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</row>
    <row r="568" ht="26.25" customHeight="1">
      <c r="A568" s="29" t="n"/>
      <c r="B568" s="29" t="n"/>
      <c r="C568" s="28" t="n"/>
      <c r="D568" s="28" t="n"/>
      <c r="E568" s="28" t="n"/>
      <c r="F568" s="28" t="n"/>
      <c r="G568" s="28" t="n"/>
      <c r="H568" s="29" t="n"/>
      <c r="I568" s="29" t="n"/>
      <c r="J568" s="29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</row>
    <row r="569" ht="26.25" customHeight="1">
      <c r="A569" s="29" t="n"/>
      <c r="B569" s="29" t="n"/>
      <c r="C569" s="28" t="n"/>
      <c r="D569" s="28" t="n"/>
      <c r="E569" s="28" t="n"/>
      <c r="F569" s="28" t="n"/>
      <c r="G569" s="28" t="n"/>
      <c r="H569" s="29" t="n"/>
      <c r="I569" s="29" t="n"/>
      <c r="J569" s="29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</row>
    <row r="570" ht="26.25" customHeight="1">
      <c r="A570" s="29" t="n"/>
      <c r="B570" s="29" t="n"/>
      <c r="C570" s="28" t="n"/>
      <c r="D570" s="28" t="n"/>
      <c r="E570" s="28" t="n"/>
      <c r="F570" s="28" t="n"/>
      <c r="G570" s="28" t="n"/>
      <c r="H570" s="29" t="n"/>
      <c r="I570" s="29" t="n"/>
      <c r="J570" s="29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</row>
    <row r="571" ht="26.25" customHeight="1">
      <c r="A571" s="29" t="n"/>
      <c r="B571" s="29" t="n"/>
      <c r="C571" s="28" t="n"/>
      <c r="D571" s="28" t="n"/>
      <c r="E571" s="28" t="n"/>
      <c r="F571" s="28" t="n"/>
      <c r="G571" s="28" t="n"/>
      <c r="H571" s="29" t="n"/>
      <c r="I571" s="29" t="n"/>
      <c r="J571" s="29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</row>
    <row r="572" ht="26.25" customHeight="1">
      <c r="A572" s="29" t="n"/>
      <c r="B572" s="29" t="n"/>
      <c r="C572" s="28" t="n"/>
      <c r="D572" s="28" t="n"/>
      <c r="E572" s="28" t="n"/>
      <c r="F572" s="28" t="n"/>
      <c r="G572" s="28" t="n"/>
      <c r="H572" s="29" t="n"/>
      <c r="I572" s="29" t="n"/>
      <c r="J572" s="29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</row>
    <row r="573" ht="26.25" customHeight="1">
      <c r="A573" s="29" t="n"/>
      <c r="B573" s="29" t="n"/>
      <c r="C573" s="28" t="n"/>
      <c r="D573" s="28" t="n"/>
      <c r="E573" s="28" t="n"/>
      <c r="F573" s="28" t="n"/>
      <c r="G573" s="28" t="n"/>
      <c r="H573" s="29" t="n"/>
      <c r="I573" s="29" t="n"/>
      <c r="J573" s="29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</row>
    <row r="574" ht="26.25" customHeight="1">
      <c r="A574" s="29" t="n"/>
      <c r="B574" s="29" t="n"/>
      <c r="C574" s="28" t="n"/>
      <c r="D574" s="28" t="n"/>
      <c r="E574" s="28" t="n"/>
      <c r="F574" s="28" t="n"/>
      <c r="G574" s="28" t="n"/>
      <c r="H574" s="29" t="n"/>
      <c r="I574" s="29" t="n"/>
      <c r="J574" s="29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</row>
    <row r="575" ht="26.25" customHeight="1">
      <c r="A575" s="29" t="n"/>
      <c r="B575" s="29" t="n"/>
      <c r="C575" s="28" t="n"/>
      <c r="D575" s="28" t="n"/>
      <c r="E575" s="28" t="n"/>
      <c r="F575" s="28" t="n"/>
      <c r="G575" s="28" t="n"/>
      <c r="H575" s="29" t="n"/>
      <c r="I575" s="29" t="n"/>
      <c r="J575" s="29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</row>
    <row r="576" ht="26.25" customHeight="1">
      <c r="A576" s="29" t="n"/>
      <c r="B576" s="29" t="n"/>
      <c r="C576" s="28" t="n"/>
      <c r="D576" s="28" t="n"/>
      <c r="E576" s="28" t="n"/>
      <c r="F576" s="28" t="n"/>
      <c r="G576" s="28" t="n"/>
      <c r="H576" s="29" t="n"/>
      <c r="I576" s="29" t="n"/>
      <c r="J576" s="29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</row>
    <row r="577" ht="26.25" customHeight="1">
      <c r="A577" s="29" t="n"/>
      <c r="B577" s="29" t="n"/>
      <c r="C577" s="28" t="n"/>
      <c r="D577" s="28" t="n"/>
      <c r="E577" s="28" t="n"/>
      <c r="F577" s="28" t="n"/>
      <c r="G577" s="28" t="n"/>
      <c r="H577" s="29" t="n"/>
      <c r="I577" s="29" t="n"/>
      <c r="J577" s="29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</row>
    <row r="578" ht="26.25" customHeight="1">
      <c r="A578" s="29" t="n"/>
      <c r="B578" s="29" t="n"/>
      <c r="C578" s="28" t="n"/>
      <c r="D578" s="28" t="n"/>
      <c r="E578" s="28" t="n"/>
      <c r="F578" s="28" t="n"/>
      <c r="G578" s="28" t="n"/>
      <c r="H578" s="29" t="n"/>
      <c r="I578" s="29" t="n"/>
      <c r="J578" s="29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</row>
    <row r="579" ht="26.25" customHeight="1">
      <c r="A579" s="29" t="n"/>
      <c r="B579" s="29" t="n"/>
      <c r="C579" s="28" t="n"/>
      <c r="D579" s="28" t="n"/>
      <c r="E579" s="28" t="n"/>
      <c r="F579" s="28" t="n"/>
      <c r="G579" s="28" t="n"/>
      <c r="H579" s="29" t="n"/>
      <c r="I579" s="29" t="n"/>
      <c r="J579" s="29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</row>
    <row r="580" ht="26.25" customHeight="1">
      <c r="A580" s="29" t="n"/>
      <c r="B580" s="29" t="n"/>
      <c r="C580" s="28" t="n"/>
      <c r="D580" s="28" t="n"/>
      <c r="E580" s="28" t="n"/>
      <c r="F580" s="28" t="n"/>
      <c r="G580" s="28" t="n"/>
      <c r="H580" s="29" t="n"/>
      <c r="I580" s="29" t="n"/>
      <c r="J580" s="29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</row>
    <row r="581" ht="26.25" customHeight="1">
      <c r="A581" s="29" t="n"/>
      <c r="B581" s="29" t="n"/>
      <c r="C581" s="28" t="n"/>
      <c r="D581" s="28" t="n"/>
      <c r="E581" s="28" t="n"/>
      <c r="F581" s="28" t="n"/>
      <c r="G581" s="28" t="n"/>
      <c r="H581" s="29" t="n"/>
      <c r="I581" s="29" t="n"/>
      <c r="J581" s="29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</row>
    <row r="582" ht="26.25" customHeight="1">
      <c r="A582" s="29" t="n"/>
      <c r="B582" s="29" t="n"/>
      <c r="C582" s="28" t="n"/>
      <c r="D582" s="28" t="n"/>
      <c r="E582" s="28" t="n"/>
      <c r="F582" s="28" t="n"/>
      <c r="G582" s="28" t="n"/>
      <c r="H582" s="29" t="n"/>
      <c r="I582" s="29" t="n"/>
      <c r="J582" s="29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</row>
    <row r="583" ht="26.25" customHeight="1">
      <c r="A583" s="29" t="n"/>
      <c r="B583" s="29" t="n"/>
      <c r="C583" s="28" t="n"/>
      <c r="D583" s="28" t="n"/>
      <c r="E583" s="28" t="n"/>
      <c r="F583" s="28" t="n"/>
      <c r="G583" s="28" t="n"/>
      <c r="H583" s="29" t="n"/>
      <c r="I583" s="29" t="n"/>
      <c r="J583" s="29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</row>
    <row r="584" ht="26.25" customHeight="1">
      <c r="A584" s="29" t="n"/>
      <c r="B584" s="29" t="n"/>
      <c r="C584" s="28" t="n"/>
      <c r="D584" s="28" t="n"/>
      <c r="E584" s="28" t="n"/>
      <c r="F584" s="28" t="n"/>
      <c r="G584" s="28" t="n"/>
      <c r="H584" s="29" t="n"/>
      <c r="I584" s="29" t="n"/>
      <c r="J584" s="29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</row>
    <row r="585" ht="26.25" customHeight="1">
      <c r="A585" s="29" t="n"/>
      <c r="B585" s="29" t="n"/>
      <c r="C585" s="28" t="n"/>
      <c r="D585" s="28" t="n"/>
      <c r="E585" s="28" t="n"/>
      <c r="F585" s="28" t="n"/>
      <c r="G585" s="28" t="n"/>
      <c r="H585" s="29" t="n"/>
      <c r="I585" s="29" t="n"/>
      <c r="J585" s="29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</row>
    <row r="586" ht="26.25" customHeight="1">
      <c r="A586" s="29" t="n"/>
      <c r="B586" s="29" t="n"/>
      <c r="C586" s="28" t="n"/>
      <c r="D586" s="28" t="n"/>
      <c r="E586" s="28" t="n"/>
      <c r="F586" s="28" t="n"/>
      <c r="G586" s="28" t="n"/>
      <c r="H586" s="29" t="n"/>
      <c r="I586" s="29" t="n"/>
      <c r="J586" s="29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</row>
    <row r="587" ht="26.25" customHeight="1">
      <c r="A587" s="29" t="n"/>
      <c r="B587" s="29" t="n"/>
      <c r="C587" s="28" t="n"/>
      <c r="D587" s="28" t="n"/>
      <c r="E587" s="28" t="n"/>
      <c r="F587" s="28" t="n"/>
      <c r="G587" s="28" t="n"/>
      <c r="H587" s="29" t="n"/>
      <c r="I587" s="29" t="n"/>
      <c r="J587" s="29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</row>
    <row r="588" ht="26.25" customHeight="1">
      <c r="A588" s="29" t="n"/>
      <c r="B588" s="29" t="n"/>
      <c r="C588" s="28" t="n"/>
      <c r="D588" s="28" t="n"/>
      <c r="E588" s="28" t="n"/>
      <c r="F588" s="28" t="n"/>
      <c r="G588" s="28" t="n"/>
      <c r="H588" s="29" t="n"/>
      <c r="I588" s="29" t="n"/>
      <c r="J588" s="29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</row>
    <row r="589" ht="26.25" customHeight="1">
      <c r="A589" s="29" t="n"/>
      <c r="B589" s="29" t="n"/>
      <c r="C589" s="28" t="n"/>
      <c r="D589" s="28" t="n"/>
      <c r="E589" s="28" t="n"/>
      <c r="F589" s="28" t="n"/>
      <c r="G589" s="28" t="n"/>
      <c r="H589" s="29" t="n"/>
      <c r="I589" s="29" t="n"/>
      <c r="J589" s="29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</row>
    <row r="590" ht="26.25" customHeight="1">
      <c r="A590" s="29" t="n"/>
      <c r="B590" s="29" t="n"/>
      <c r="C590" s="28" t="n"/>
      <c r="D590" s="28" t="n"/>
      <c r="E590" s="28" t="n"/>
      <c r="F590" s="28" t="n"/>
      <c r="G590" s="28" t="n"/>
      <c r="H590" s="29" t="n"/>
      <c r="I590" s="29" t="n"/>
      <c r="J590" s="29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</row>
    <row r="591" ht="26.25" customHeight="1">
      <c r="A591" s="29" t="n"/>
      <c r="B591" s="29" t="n"/>
      <c r="C591" s="28" t="n"/>
      <c r="D591" s="28" t="n"/>
      <c r="E591" s="28" t="n"/>
      <c r="F591" s="28" t="n"/>
      <c r="G591" s="28" t="n"/>
      <c r="H591" s="29" t="n"/>
      <c r="I591" s="29" t="n"/>
      <c r="J591" s="29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</row>
    <row r="592" ht="26.25" customHeight="1">
      <c r="A592" s="29" t="n"/>
      <c r="B592" s="29" t="n"/>
      <c r="C592" s="28" t="n"/>
      <c r="D592" s="28" t="n"/>
      <c r="E592" s="28" t="n"/>
      <c r="F592" s="28" t="n"/>
      <c r="G592" s="28" t="n"/>
      <c r="H592" s="29" t="n"/>
      <c r="I592" s="29" t="n"/>
      <c r="J592" s="29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</row>
    <row r="593" ht="26.25" customHeight="1">
      <c r="A593" s="29" t="n"/>
      <c r="B593" s="29" t="n"/>
      <c r="C593" s="28" t="n"/>
      <c r="D593" s="28" t="n"/>
      <c r="E593" s="28" t="n"/>
      <c r="F593" s="28" t="n"/>
      <c r="G593" s="28" t="n"/>
      <c r="H593" s="29" t="n"/>
      <c r="I593" s="29" t="n"/>
      <c r="J593" s="29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</row>
    <row r="594" ht="26.25" customHeight="1">
      <c r="A594" s="29" t="n"/>
      <c r="B594" s="29" t="n"/>
      <c r="C594" s="28" t="n"/>
      <c r="D594" s="28" t="n"/>
      <c r="E594" s="28" t="n"/>
      <c r="F594" s="28" t="n"/>
      <c r="G594" s="28" t="n"/>
      <c r="H594" s="29" t="n"/>
      <c r="I594" s="29" t="n"/>
      <c r="J594" s="29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</row>
    <row r="595" ht="26.25" customHeight="1">
      <c r="A595" s="29" t="n"/>
      <c r="B595" s="29" t="n"/>
      <c r="C595" s="28" t="n"/>
      <c r="D595" s="28" t="n"/>
      <c r="E595" s="28" t="n"/>
      <c r="F595" s="28" t="n"/>
      <c r="G595" s="28" t="n"/>
      <c r="H595" s="29" t="n"/>
      <c r="I595" s="29" t="n"/>
      <c r="J595" s="29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</row>
    <row r="596" ht="26.25" customHeight="1">
      <c r="A596" s="29" t="n"/>
      <c r="B596" s="29" t="n"/>
      <c r="C596" s="28" t="n"/>
      <c r="D596" s="28" t="n"/>
      <c r="E596" s="28" t="n"/>
      <c r="F596" s="28" t="n"/>
      <c r="G596" s="28" t="n"/>
      <c r="H596" s="29" t="n"/>
      <c r="I596" s="29" t="n"/>
      <c r="J596" s="29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</row>
    <row r="597" ht="26.25" customHeight="1">
      <c r="A597" s="29" t="n"/>
      <c r="B597" s="29" t="n"/>
      <c r="C597" s="28" t="n"/>
      <c r="D597" s="28" t="n"/>
      <c r="E597" s="28" t="n"/>
      <c r="F597" s="28" t="n"/>
      <c r="G597" s="28" t="n"/>
      <c r="H597" s="29" t="n"/>
      <c r="I597" s="29" t="n"/>
      <c r="J597" s="29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</row>
    <row r="598" ht="26.25" customHeight="1">
      <c r="A598" s="29" t="n"/>
      <c r="B598" s="29" t="n"/>
      <c r="C598" s="28" t="n"/>
      <c r="D598" s="28" t="n"/>
      <c r="E598" s="28" t="n"/>
      <c r="F598" s="28" t="n"/>
      <c r="G598" s="28" t="n"/>
      <c r="H598" s="29" t="n"/>
      <c r="I598" s="29" t="n"/>
      <c r="J598" s="29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</row>
    <row r="599" ht="26.25" customHeight="1">
      <c r="A599" s="29" t="n"/>
      <c r="B599" s="29" t="n"/>
      <c r="C599" s="28" t="n"/>
      <c r="D599" s="28" t="n"/>
      <c r="E599" s="28" t="n"/>
      <c r="F599" s="28" t="n"/>
      <c r="G599" s="28" t="n"/>
      <c r="H599" s="29" t="n"/>
      <c r="I599" s="29" t="n"/>
      <c r="J599" s="29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</row>
    <row r="600" ht="26.25" customHeight="1">
      <c r="A600" s="29" t="n"/>
      <c r="B600" s="29" t="n"/>
      <c r="C600" s="28" t="n"/>
      <c r="D600" s="28" t="n"/>
      <c r="E600" s="28" t="n"/>
      <c r="F600" s="28" t="n"/>
      <c r="G600" s="28" t="n"/>
      <c r="H600" s="29" t="n"/>
      <c r="I600" s="29" t="n"/>
      <c r="J600" s="29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</row>
    <row r="601" ht="26.25" customHeight="1">
      <c r="A601" s="29" t="n"/>
      <c r="B601" s="29" t="n"/>
      <c r="C601" s="28" t="n"/>
      <c r="D601" s="28" t="n"/>
      <c r="E601" s="28" t="n"/>
      <c r="F601" s="28" t="n"/>
      <c r="G601" s="28" t="n"/>
      <c r="H601" s="29" t="n"/>
      <c r="I601" s="29" t="n"/>
      <c r="J601" s="29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</row>
    <row r="602" ht="26.25" customHeight="1">
      <c r="A602" s="29" t="n"/>
      <c r="B602" s="29" t="n"/>
      <c r="C602" s="28" t="n"/>
      <c r="D602" s="28" t="n"/>
      <c r="E602" s="28" t="n"/>
      <c r="F602" s="28" t="n"/>
      <c r="G602" s="28" t="n"/>
      <c r="H602" s="29" t="n"/>
      <c r="I602" s="29" t="n"/>
      <c r="J602" s="29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</row>
    <row r="603" ht="26.25" customHeight="1">
      <c r="A603" s="29" t="n"/>
      <c r="B603" s="29" t="n"/>
      <c r="C603" s="28" t="n"/>
      <c r="D603" s="28" t="n"/>
      <c r="E603" s="28" t="n"/>
      <c r="F603" s="28" t="n"/>
      <c r="G603" s="28" t="n"/>
      <c r="H603" s="29" t="n"/>
      <c r="I603" s="29" t="n"/>
      <c r="J603" s="29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</row>
    <row r="604" ht="26.25" customHeight="1">
      <c r="A604" s="29" t="n"/>
      <c r="B604" s="29" t="n"/>
      <c r="C604" s="28" t="n"/>
      <c r="D604" s="28" t="n"/>
      <c r="E604" s="28" t="n"/>
      <c r="F604" s="28" t="n"/>
      <c r="G604" s="28" t="n"/>
      <c r="H604" s="29" t="n"/>
      <c r="I604" s="29" t="n"/>
      <c r="J604" s="29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</row>
    <row r="605" ht="26.25" customHeight="1">
      <c r="A605" s="29" t="n"/>
      <c r="B605" s="29" t="n"/>
      <c r="C605" s="28" t="n"/>
      <c r="D605" s="28" t="n"/>
      <c r="E605" s="28" t="n"/>
      <c r="F605" s="28" t="n"/>
      <c r="G605" s="28" t="n"/>
      <c r="H605" s="29" t="n"/>
      <c r="I605" s="29" t="n"/>
      <c r="J605" s="29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</row>
    <row r="606" ht="26.25" customHeight="1">
      <c r="A606" s="29" t="n"/>
      <c r="B606" s="29" t="n"/>
      <c r="C606" s="28" t="n"/>
      <c r="D606" s="28" t="n"/>
      <c r="E606" s="28" t="n"/>
      <c r="F606" s="28" t="n"/>
      <c r="G606" s="28" t="n"/>
      <c r="H606" s="29" t="n"/>
      <c r="I606" s="29" t="n"/>
      <c r="J606" s="29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</row>
    <row r="607" ht="26.25" customHeight="1">
      <c r="A607" s="29" t="n"/>
      <c r="B607" s="29" t="n"/>
      <c r="C607" s="28" t="n"/>
      <c r="D607" s="28" t="n"/>
      <c r="E607" s="28" t="n"/>
      <c r="F607" s="28" t="n"/>
      <c r="G607" s="28" t="n"/>
      <c r="H607" s="29" t="n"/>
      <c r="I607" s="29" t="n"/>
      <c r="J607" s="29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</row>
    <row r="608" ht="26.25" customHeight="1">
      <c r="A608" s="29" t="n"/>
      <c r="B608" s="29" t="n"/>
      <c r="C608" s="28" t="n"/>
      <c r="D608" s="28" t="n"/>
      <c r="E608" s="28" t="n"/>
      <c r="F608" s="28" t="n"/>
      <c r="G608" s="28" t="n"/>
      <c r="H608" s="29" t="n"/>
      <c r="I608" s="29" t="n"/>
      <c r="J608" s="29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</row>
    <row r="609" ht="26.25" customHeight="1">
      <c r="A609" s="29" t="n"/>
      <c r="B609" s="29" t="n"/>
      <c r="C609" s="28" t="n"/>
      <c r="D609" s="28" t="n"/>
      <c r="E609" s="28" t="n"/>
      <c r="F609" s="28" t="n"/>
      <c r="G609" s="28" t="n"/>
      <c r="H609" s="29" t="n"/>
      <c r="I609" s="29" t="n"/>
      <c r="J609" s="29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</row>
    <row r="610" ht="26.25" customHeight="1">
      <c r="A610" s="29" t="n"/>
      <c r="B610" s="29" t="n"/>
      <c r="C610" s="28" t="n"/>
      <c r="D610" s="28" t="n"/>
      <c r="E610" s="28" t="n"/>
      <c r="F610" s="28" t="n"/>
      <c r="G610" s="28" t="n"/>
      <c r="H610" s="29" t="n"/>
      <c r="I610" s="29" t="n"/>
      <c r="J610" s="29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</row>
    <row r="611" ht="26.25" customHeight="1">
      <c r="A611" s="29" t="n"/>
      <c r="B611" s="29" t="n"/>
      <c r="C611" s="28" t="n"/>
      <c r="D611" s="28" t="n"/>
      <c r="E611" s="28" t="n"/>
      <c r="F611" s="28" t="n"/>
      <c r="G611" s="28" t="n"/>
      <c r="H611" s="29" t="n"/>
      <c r="I611" s="29" t="n"/>
      <c r="J611" s="29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</row>
    <row r="612" ht="26.25" customHeight="1">
      <c r="A612" s="29" t="n"/>
      <c r="B612" s="29" t="n"/>
      <c r="C612" s="28" t="n"/>
      <c r="D612" s="28" t="n"/>
      <c r="E612" s="28" t="n"/>
      <c r="F612" s="28" t="n"/>
      <c r="G612" s="28" t="n"/>
      <c r="H612" s="29" t="n"/>
      <c r="I612" s="29" t="n"/>
      <c r="J612" s="29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</row>
    <row r="613" ht="26.25" customHeight="1">
      <c r="A613" s="29" t="n"/>
      <c r="B613" s="29" t="n"/>
      <c r="C613" s="28" t="n"/>
      <c r="D613" s="28" t="n"/>
      <c r="E613" s="28" t="n"/>
      <c r="F613" s="28" t="n"/>
      <c r="G613" s="28" t="n"/>
      <c r="H613" s="29" t="n"/>
      <c r="I613" s="29" t="n"/>
      <c r="J613" s="29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</row>
    <row r="614" ht="26.25" customHeight="1">
      <c r="A614" s="29" t="n"/>
      <c r="B614" s="29" t="n"/>
      <c r="C614" s="28" t="n"/>
      <c r="D614" s="28" t="n"/>
      <c r="E614" s="28" t="n"/>
      <c r="F614" s="28" t="n"/>
      <c r="G614" s="28" t="n"/>
      <c r="H614" s="29" t="n"/>
      <c r="I614" s="29" t="n"/>
      <c r="J614" s="29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</row>
    <row r="615" ht="26.25" customHeight="1">
      <c r="A615" s="29" t="n"/>
      <c r="B615" s="29" t="n"/>
      <c r="C615" s="28" t="n"/>
      <c r="D615" s="28" t="n"/>
      <c r="E615" s="28" t="n"/>
      <c r="F615" s="28" t="n"/>
      <c r="G615" s="28" t="n"/>
      <c r="H615" s="29" t="n"/>
      <c r="I615" s="29" t="n"/>
      <c r="J615" s="29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</row>
    <row r="616" ht="26.25" customHeight="1">
      <c r="A616" s="29" t="n"/>
      <c r="B616" s="29" t="n"/>
      <c r="C616" s="28" t="n"/>
      <c r="D616" s="28" t="n"/>
      <c r="E616" s="28" t="n"/>
      <c r="F616" s="28" t="n"/>
      <c r="G616" s="28" t="n"/>
      <c r="H616" s="29" t="n"/>
      <c r="I616" s="29" t="n"/>
      <c r="J616" s="29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</row>
    <row r="617" ht="26.25" customHeight="1">
      <c r="A617" s="29" t="n"/>
      <c r="B617" s="29" t="n"/>
      <c r="C617" s="28" t="n"/>
      <c r="D617" s="28" t="n"/>
      <c r="E617" s="28" t="n"/>
      <c r="F617" s="28" t="n"/>
      <c r="G617" s="28" t="n"/>
      <c r="H617" s="29" t="n"/>
      <c r="I617" s="29" t="n"/>
      <c r="J617" s="29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</row>
    <row r="618" ht="26.25" customHeight="1">
      <c r="A618" s="29" t="n"/>
      <c r="B618" s="29" t="n"/>
      <c r="C618" s="28" t="n"/>
      <c r="D618" s="28" t="n"/>
      <c r="E618" s="28" t="n"/>
      <c r="F618" s="28" t="n"/>
      <c r="G618" s="28" t="n"/>
      <c r="H618" s="29" t="n"/>
      <c r="I618" s="29" t="n"/>
      <c r="J618" s="29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</row>
    <row r="619" ht="26.25" customHeight="1">
      <c r="A619" s="29" t="n"/>
      <c r="B619" s="29" t="n"/>
      <c r="C619" s="28" t="n"/>
      <c r="D619" s="28" t="n"/>
      <c r="E619" s="28" t="n"/>
      <c r="F619" s="28" t="n"/>
      <c r="G619" s="28" t="n"/>
      <c r="H619" s="29" t="n"/>
      <c r="I619" s="29" t="n"/>
      <c r="J619" s="29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</row>
    <row r="620" ht="26.25" customHeight="1">
      <c r="A620" s="29" t="n"/>
      <c r="B620" s="29" t="n"/>
      <c r="C620" s="28" t="n"/>
      <c r="D620" s="28" t="n"/>
      <c r="E620" s="28" t="n"/>
      <c r="F620" s="28" t="n"/>
      <c r="G620" s="28" t="n"/>
      <c r="H620" s="29" t="n"/>
      <c r="I620" s="29" t="n"/>
      <c r="J620" s="29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</row>
    <row r="621" ht="26.25" customHeight="1">
      <c r="A621" s="29" t="n"/>
      <c r="B621" s="29" t="n"/>
      <c r="C621" s="28" t="n"/>
      <c r="D621" s="28" t="n"/>
      <c r="E621" s="28" t="n"/>
      <c r="F621" s="28" t="n"/>
      <c r="G621" s="28" t="n"/>
      <c r="H621" s="29" t="n"/>
      <c r="I621" s="29" t="n"/>
      <c r="J621" s="29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</row>
    <row r="622" ht="26.25" customHeight="1">
      <c r="A622" s="29" t="n"/>
      <c r="B622" s="29" t="n"/>
      <c r="C622" s="28" t="n"/>
      <c r="D622" s="28" t="n"/>
      <c r="E622" s="28" t="n"/>
      <c r="F622" s="28" t="n"/>
      <c r="G622" s="28" t="n"/>
      <c r="H622" s="29" t="n"/>
      <c r="I622" s="29" t="n"/>
      <c r="J622" s="29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</row>
    <row r="623" ht="26.25" customHeight="1">
      <c r="A623" s="29" t="n"/>
      <c r="B623" s="29" t="n"/>
      <c r="C623" s="28" t="n"/>
      <c r="D623" s="28" t="n"/>
      <c r="E623" s="28" t="n"/>
      <c r="F623" s="28" t="n"/>
      <c r="G623" s="28" t="n"/>
      <c r="H623" s="29" t="n"/>
      <c r="I623" s="29" t="n"/>
      <c r="J623" s="29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</row>
    <row r="624" ht="26.25" customHeight="1">
      <c r="A624" s="29" t="n"/>
      <c r="B624" s="29" t="n"/>
      <c r="C624" s="28" t="n"/>
      <c r="D624" s="28" t="n"/>
      <c r="E624" s="28" t="n"/>
      <c r="F624" s="28" t="n"/>
      <c r="G624" s="28" t="n"/>
      <c r="H624" s="29" t="n"/>
      <c r="I624" s="29" t="n"/>
      <c r="J624" s="29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</row>
    <row r="625" ht="26.25" customHeight="1">
      <c r="A625" s="29" t="n"/>
      <c r="B625" s="29" t="n"/>
      <c r="C625" s="28" t="n"/>
      <c r="D625" s="28" t="n"/>
      <c r="E625" s="28" t="n"/>
      <c r="F625" s="28" t="n"/>
      <c r="G625" s="28" t="n"/>
      <c r="H625" s="29" t="n"/>
      <c r="I625" s="29" t="n"/>
      <c r="J625" s="29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</row>
    <row r="626" ht="26.25" customHeight="1">
      <c r="A626" s="29" t="n"/>
      <c r="B626" s="29" t="n"/>
      <c r="C626" s="28" t="n"/>
      <c r="D626" s="28" t="n"/>
      <c r="E626" s="28" t="n"/>
      <c r="F626" s="28" t="n"/>
      <c r="G626" s="28" t="n"/>
      <c r="H626" s="29" t="n"/>
      <c r="I626" s="29" t="n"/>
      <c r="J626" s="29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</row>
    <row r="627" ht="26.25" customHeight="1">
      <c r="A627" s="29" t="n"/>
      <c r="B627" s="29" t="n"/>
      <c r="C627" s="28" t="n"/>
      <c r="D627" s="28" t="n"/>
      <c r="E627" s="28" t="n"/>
      <c r="F627" s="28" t="n"/>
      <c r="G627" s="28" t="n"/>
      <c r="H627" s="29" t="n"/>
      <c r="I627" s="29" t="n"/>
      <c r="J627" s="29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</row>
    <row r="628" ht="26.25" customHeight="1">
      <c r="A628" s="29" t="n"/>
      <c r="B628" s="29" t="n"/>
      <c r="C628" s="28" t="n"/>
      <c r="D628" s="28" t="n"/>
      <c r="E628" s="28" t="n"/>
      <c r="F628" s="28" t="n"/>
      <c r="G628" s="28" t="n"/>
      <c r="H628" s="29" t="n"/>
      <c r="I628" s="29" t="n"/>
      <c r="J628" s="29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</row>
    <row r="629" ht="26.25" customHeight="1">
      <c r="A629" s="29" t="n"/>
      <c r="B629" s="29" t="n"/>
      <c r="C629" s="28" t="n"/>
      <c r="D629" s="28" t="n"/>
      <c r="E629" s="28" t="n"/>
      <c r="F629" s="28" t="n"/>
      <c r="G629" s="28" t="n"/>
      <c r="H629" s="29" t="n"/>
      <c r="I629" s="29" t="n"/>
      <c r="J629" s="29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</row>
    <row r="630" ht="26.25" customHeight="1">
      <c r="A630" s="29" t="n"/>
      <c r="B630" s="29" t="n"/>
      <c r="C630" s="28" t="n"/>
      <c r="D630" s="28" t="n"/>
      <c r="E630" s="28" t="n"/>
      <c r="F630" s="28" t="n"/>
      <c r="G630" s="28" t="n"/>
      <c r="H630" s="29" t="n"/>
      <c r="I630" s="29" t="n"/>
      <c r="J630" s="29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</row>
    <row r="631" ht="26.25" customHeight="1">
      <c r="A631" s="29" t="n"/>
      <c r="B631" s="29" t="n"/>
      <c r="C631" s="28" t="n"/>
      <c r="D631" s="28" t="n"/>
      <c r="E631" s="28" t="n"/>
      <c r="F631" s="28" t="n"/>
      <c r="G631" s="28" t="n"/>
      <c r="H631" s="29" t="n"/>
      <c r="I631" s="29" t="n"/>
      <c r="J631" s="29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</row>
    <row r="632" ht="26.25" customHeight="1">
      <c r="A632" s="29" t="n"/>
      <c r="B632" s="29" t="n"/>
      <c r="C632" s="28" t="n"/>
      <c r="D632" s="28" t="n"/>
      <c r="E632" s="28" t="n"/>
      <c r="F632" s="28" t="n"/>
      <c r="G632" s="28" t="n"/>
      <c r="H632" s="29" t="n"/>
      <c r="I632" s="29" t="n"/>
      <c r="J632" s="29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</row>
    <row r="633" ht="26.25" customHeight="1">
      <c r="A633" s="29" t="n"/>
      <c r="B633" s="29" t="n"/>
      <c r="C633" s="28" t="n"/>
      <c r="D633" s="28" t="n"/>
      <c r="E633" s="28" t="n"/>
      <c r="F633" s="28" t="n"/>
      <c r="G633" s="28" t="n"/>
      <c r="H633" s="29" t="n"/>
      <c r="I633" s="29" t="n"/>
      <c r="J633" s="29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</row>
    <row r="634" ht="26.25" customHeight="1">
      <c r="A634" s="29" t="n"/>
      <c r="B634" s="29" t="n"/>
      <c r="C634" s="28" t="n"/>
      <c r="D634" s="28" t="n"/>
      <c r="E634" s="28" t="n"/>
      <c r="F634" s="28" t="n"/>
      <c r="G634" s="28" t="n"/>
      <c r="H634" s="29" t="n"/>
      <c r="I634" s="29" t="n"/>
      <c r="J634" s="29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</row>
    <row r="635" ht="26.25" customHeight="1">
      <c r="A635" s="29" t="n"/>
      <c r="B635" s="29" t="n"/>
      <c r="C635" s="28" t="n"/>
      <c r="D635" s="28" t="n"/>
      <c r="E635" s="28" t="n"/>
      <c r="F635" s="28" t="n"/>
      <c r="G635" s="28" t="n"/>
      <c r="H635" s="29" t="n"/>
      <c r="I635" s="29" t="n"/>
      <c r="J635" s="29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</row>
    <row r="636" ht="26.25" customHeight="1">
      <c r="A636" s="29" t="n"/>
      <c r="B636" s="29" t="n"/>
      <c r="C636" s="28" t="n"/>
      <c r="D636" s="28" t="n"/>
      <c r="E636" s="28" t="n"/>
      <c r="F636" s="28" t="n"/>
      <c r="G636" s="28" t="n"/>
      <c r="H636" s="29" t="n"/>
      <c r="I636" s="29" t="n"/>
      <c r="J636" s="29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</row>
    <row r="637" ht="26.25" customHeight="1">
      <c r="A637" s="29" t="n"/>
      <c r="B637" s="29" t="n"/>
      <c r="C637" s="28" t="n"/>
      <c r="D637" s="28" t="n"/>
      <c r="E637" s="28" t="n"/>
      <c r="F637" s="28" t="n"/>
      <c r="G637" s="28" t="n"/>
      <c r="H637" s="29" t="n"/>
      <c r="I637" s="29" t="n"/>
      <c r="J637" s="29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</row>
    <row r="638" ht="26.25" customHeight="1">
      <c r="A638" s="29" t="n"/>
      <c r="B638" s="29" t="n"/>
      <c r="C638" s="28" t="n"/>
      <c r="D638" s="28" t="n"/>
      <c r="E638" s="28" t="n"/>
      <c r="F638" s="28" t="n"/>
      <c r="G638" s="28" t="n"/>
      <c r="H638" s="29" t="n"/>
      <c r="I638" s="29" t="n"/>
      <c r="J638" s="29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</row>
    <row r="639" ht="26.25" customHeight="1">
      <c r="A639" s="29" t="n"/>
      <c r="B639" s="29" t="n"/>
      <c r="C639" s="28" t="n"/>
      <c r="D639" s="28" t="n"/>
      <c r="E639" s="28" t="n"/>
      <c r="F639" s="28" t="n"/>
      <c r="G639" s="28" t="n"/>
      <c r="H639" s="29" t="n"/>
      <c r="I639" s="29" t="n"/>
      <c r="J639" s="29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</row>
    <row r="640" ht="26.25" customHeight="1">
      <c r="A640" s="29" t="n"/>
      <c r="B640" s="29" t="n"/>
      <c r="C640" s="28" t="n"/>
      <c r="D640" s="28" t="n"/>
      <c r="E640" s="28" t="n"/>
      <c r="F640" s="28" t="n"/>
      <c r="G640" s="28" t="n"/>
      <c r="H640" s="29" t="n"/>
      <c r="I640" s="29" t="n"/>
      <c r="J640" s="29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</row>
    <row r="641" ht="26.25" customHeight="1">
      <c r="A641" s="29" t="n"/>
      <c r="B641" s="29" t="n"/>
      <c r="C641" s="28" t="n"/>
      <c r="D641" s="28" t="n"/>
      <c r="E641" s="28" t="n"/>
      <c r="F641" s="28" t="n"/>
      <c r="G641" s="28" t="n"/>
      <c r="H641" s="29" t="n"/>
      <c r="I641" s="29" t="n"/>
      <c r="J641" s="29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</row>
    <row r="642" ht="26.25" customHeight="1">
      <c r="A642" s="29" t="n"/>
      <c r="B642" s="29" t="n"/>
      <c r="C642" s="28" t="n"/>
      <c r="D642" s="28" t="n"/>
      <c r="E642" s="28" t="n"/>
      <c r="F642" s="28" t="n"/>
      <c r="G642" s="28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</row>
    <row r="643" ht="26.25" customHeight="1">
      <c r="A643" s="29" t="n"/>
      <c r="B643" s="29" t="n"/>
      <c r="C643" s="28" t="n"/>
      <c r="D643" s="28" t="n"/>
      <c r="E643" s="28" t="n"/>
      <c r="F643" s="28" t="n"/>
      <c r="G643" s="28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</row>
    <row r="644" ht="26.25" customHeight="1">
      <c r="A644" s="29" t="n"/>
      <c r="B644" s="29" t="n"/>
      <c r="C644" s="28" t="n"/>
      <c r="D644" s="28" t="n"/>
      <c r="E644" s="28" t="n"/>
      <c r="F644" s="28" t="n"/>
      <c r="G644" s="28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</row>
    <row r="645" ht="26.25" customHeight="1">
      <c r="A645" s="29" t="n"/>
      <c r="B645" s="29" t="n"/>
      <c r="C645" s="28" t="n"/>
      <c r="D645" s="28" t="n"/>
      <c r="E645" s="28" t="n"/>
      <c r="F645" s="28" t="n"/>
      <c r="G645" s="28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</row>
    <row r="646" ht="26.25" customHeight="1">
      <c r="A646" s="29" t="n"/>
      <c r="B646" s="29" t="n"/>
      <c r="C646" s="28" t="n"/>
      <c r="D646" s="28" t="n"/>
      <c r="E646" s="28" t="n"/>
      <c r="F646" s="28" t="n"/>
      <c r="G646" s="28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</row>
    <row r="647" ht="26.25" customHeight="1">
      <c r="A647" s="29" t="n"/>
      <c r="B647" s="29" t="n"/>
      <c r="C647" s="28" t="n"/>
      <c r="D647" s="28" t="n"/>
      <c r="E647" s="28" t="n"/>
      <c r="F647" s="28" t="n"/>
      <c r="G647" s="28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</row>
    <row r="648" ht="26.25" customHeight="1">
      <c r="A648" s="29" t="n"/>
      <c r="B648" s="29" t="n"/>
      <c r="C648" s="28" t="n"/>
      <c r="D648" s="28" t="n"/>
      <c r="E648" s="28" t="n"/>
      <c r="F648" s="28" t="n"/>
      <c r="G648" s="28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</row>
    <row r="649" ht="26.25" customHeight="1">
      <c r="A649" s="29" t="n"/>
      <c r="B649" s="29" t="n"/>
      <c r="C649" s="28" t="n"/>
      <c r="D649" s="28" t="n"/>
      <c r="E649" s="28" t="n"/>
      <c r="F649" s="28" t="n"/>
      <c r="G649" s="28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</row>
    <row r="650" ht="26.25" customHeight="1">
      <c r="A650" s="29" t="n"/>
      <c r="B650" s="29" t="n"/>
      <c r="C650" s="28" t="n"/>
      <c r="D650" s="28" t="n"/>
      <c r="E650" s="28" t="n"/>
      <c r="F650" s="28" t="n"/>
      <c r="G650" s="28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</row>
    <row r="651" ht="26.25" customHeight="1">
      <c r="A651" s="29" t="n"/>
      <c r="B651" s="29" t="n"/>
      <c r="C651" s="28" t="n"/>
      <c r="D651" s="28" t="n"/>
      <c r="E651" s="28" t="n"/>
      <c r="F651" s="28" t="n"/>
      <c r="G651" s="28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</row>
    <row r="652" ht="26.25" customHeight="1">
      <c r="A652" s="29" t="n"/>
      <c r="B652" s="29" t="n"/>
      <c r="C652" s="28" t="n"/>
      <c r="D652" s="28" t="n"/>
      <c r="E652" s="28" t="n"/>
      <c r="F652" s="28" t="n"/>
      <c r="G652" s="28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</row>
    <row r="653" ht="26.25" customHeight="1">
      <c r="A653" s="29" t="n"/>
      <c r="B653" s="29" t="n"/>
      <c r="C653" s="28" t="n"/>
      <c r="D653" s="28" t="n"/>
      <c r="E653" s="28" t="n"/>
      <c r="F653" s="28" t="n"/>
      <c r="G653" s="28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</row>
    <row r="654" ht="26.25" customHeight="1">
      <c r="A654" s="29" t="n"/>
      <c r="B654" s="29" t="n"/>
      <c r="C654" s="28" t="n"/>
      <c r="D654" s="28" t="n"/>
      <c r="E654" s="28" t="n"/>
      <c r="F654" s="28" t="n"/>
      <c r="G654" s="28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</row>
    <row r="655" ht="26.25" customHeight="1">
      <c r="A655" s="29" t="n"/>
      <c r="B655" s="29" t="n"/>
      <c r="C655" s="28" t="n"/>
      <c r="D655" s="28" t="n"/>
      <c r="E655" s="28" t="n"/>
      <c r="F655" s="28" t="n"/>
      <c r="G655" s="28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</row>
    <row r="656" ht="26.25" customHeight="1">
      <c r="A656" s="29" t="n"/>
      <c r="B656" s="29" t="n"/>
      <c r="C656" s="28" t="n"/>
      <c r="D656" s="28" t="n"/>
      <c r="E656" s="28" t="n"/>
      <c r="F656" s="28" t="n"/>
      <c r="G656" s="28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</row>
    <row r="657" ht="26.25" customHeight="1">
      <c r="A657" s="29" t="n"/>
      <c r="B657" s="29" t="n"/>
      <c r="C657" s="28" t="n"/>
      <c r="D657" s="28" t="n"/>
      <c r="E657" s="28" t="n"/>
      <c r="F657" s="28" t="n"/>
      <c r="G657" s="28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</row>
    <row r="658" ht="26.25" customHeight="1">
      <c r="A658" s="29" t="n"/>
      <c r="B658" s="29" t="n"/>
      <c r="C658" s="28" t="n"/>
      <c r="D658" s="28" t="n"/>
      <c r="E658" s="28" t="n"/>
      <c r="F658" s="28" t="n"/>
      <c r="G658" s="28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</row>
    <row r="659" ht="26.25" customHeight="1">
      <c r="A659" s="29" t="n"/>
      <c r="B659" s="29" t="n"/>
      <c r="C659" s="28" t="n"/>
      <c r="D659" s="28" t="n"/>
      <c r="E659" s="28" t="n"/>
      <c r="F659" s="28" t="n"/>
      <c r="G659" s="28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</row>
    <row r="660" ht="26.25" customHeight="1">
      <c r="A660" s="29" t="n"/>
      <c r="B660" s="29" t="n"/>
      <c r="C660" s="28" t="n"/>
      <c r="D660" s="28" t="n"/>
      <c r="E660" s="28" t="n"/>
      <c r="F660" s="28" t="n"/>
      <c r="G660" s="28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</row>
    <row r="661" ht="26.25" customHeight="1">
      <c r="A661" s="29" t="n"/>
      <c r="B661" s="29" t="n"/>
      <c r="C661" s="28" t="n"/>
      <c r="D661" s="28" t="n"/>
      <c r="E661" s="28" t="n"/>
      <c r="F661" s="28" t="n"/>
      <c r="G661" s="28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</row>
    <row r="662" ht="26.25" customHeight="1">
      <c r="A662" s="29" t="n"/>
      <c r="B662" s="29" t="n"/>
      <c r="C662" s="28" t="n"/>
      <c r="D662" s="28" t="n"/>
      <c r="E662" s="28" t="n"/>
      <c r="F662" s="28" t="n"/>
      <c r="G662" s="28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</row>
    <row r="663" ht="26.25" customHeight="1">
      <c r="A663" s="29" t="n"/>
      <c r="B663" s="29" t="n"/>
      <c r="C663" s="28" t="n"/>
      <c r="D663" s="28" t="n"/>
      <c r="E663" s="28" t="n"/>
      <c r="F663" s="28" t="n"/>
      <c r="G663" s="28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</row>
    <row r="664" ht="26.25" customHeight="1">
      <c r="A664" s="29" t="n"/>
      <c r="B664" s="29" t="n"/>
      <c r="C664" s="28" t="n"/>
      <c r="D664" s="28" t="n"/>
      <c r="E664" s="28" t="n"/>
      <c r="F664" s="28" t="n"/>
      <c r="G664" s="28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</row>
    <row r="665" ht="26.25" customHeight="1">
      <c r="A665" s="29" t="n"/>
      <c r="B665" s="29" t="n"/>
      <c r="C665" s="28" t="n"/>
      <c r="D665" s="28" t="n"/>
      <c r="E665" s="28" t="n"/>
      <c r="F665" s="28" t="n"/>
      <c r="G665" s="28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</row>
    <row r="666" ht="26.25" customHeight="1">
      <c r="A666" s="29" t="n"/>
      <c r="B666" s="29" t="n"/>
      <c r="C666" s="28" t="n"/>
      <c r="D666" s="28" t="n"/>
      <c r="E666" s="28" t="n"/>
      <c r="F666" s="28" t="n"/>
      <c r="G666" s="28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</row>
    <row r="667" ht="26.25" customHeight="1">
      <c r="A667" s="29" t="n"/>
      <c r="B667" s="29" t="n"/>
      <c r="C667" s="28" t="n"/>
      <c r="D667" s="28" t="n"/>
      <c r="E667" s="28" t="n"/>
      <c r="F667" s="28" t="n"/>
      <c r="G667" s="28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</row>
    <row r="668" ht="26.25" customHeight="1">
      <c r="A668" s="29" t="n"/>
      <c r="B668" s="29" t="n"/>
      <c r="C668" s="28" t="n"/>
      <c r="D668" s="28" t="n"/>
      <c r="E668" s="28" t="n"/>
      <c r="F668" s="28" t="n"/>
      <c r="G668" s="28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</row>
    <row r="669" ht="26.25" customHeight="1">
      <c r="A669" s="29" t="n"/>
      <c r="B669" s="29" t="n"/>
      <c r="C669" s="28" t="n"/>
      <c r="D669" s="28" t="n"/>
      <c r="E669" s="28" t="n"/>
      <c r="F669" s="28" t="n"/>
      <c r="G669" s="28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</row>
    <row r="670" ht="26.25" customHeight="1">
      <c r="A670" s="29" t="n"/>
      <c r="B670" s="29" t="n"/>
      <c r="C670" s="28" t="n"/>
      <c r="D670" s="28" t="n"/>
      <c r="E670" s="28" t="n"/>
      <c r="F670" s="28" t="n"/>
      <c r="G670" s="28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</row>
    <row r="671" ht="26.25" customHeight="1">
      <c r="A671" s="29" t="n"/>
      <c r="B671" s="29" t="n"/>
      <c r="C671" s="28" t="n"/>
      <c r="D671" s="28" t="n"/>
      <c r="E671" s="28" t="n"/>
      <c r="F671" s="28" t="n"/>
      <c r="G671" s="28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</row>
    <row r="672" ht="26.25" customHeight="1">
      <c r="A672" s="29" t="n"/>
      <c r="B672" s="29" t="n"/>
      <c r="C672" s="28" t="n"/>
      <c r="D672" s="28" t="n"/>
      <c r="E672" s="28" t="n"/>
      <c r="F672" s="28" t="n"/>
      <c r="G672" s="28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</row>
    <row r="673" ht="26.25" customHeight="1">
      <c r="A673" s="29" t="n"/>
      <c r="B673" s="29" t="n"/>
      <c r="C673" s="28" t="n"/>
      <c r="D673" s="28" t="n"/>
      <c r="E673" s="28" t="n"/>
      <c r="F673" s="28" t="n"/>
      <c r="G673" s="28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</row>
    <row r="674" ht="26.25" customHeight="1">
      <c r="A674" s="29" t="n"/>
      <c r="B674" s="29" t="n"/>
      <c r="C674" s="28" t="n"/>
      <c r="D674" s="28" t="n"/>
      <c r="E674" s="28" t="n"/>
      <c r="F674" s="28" t="n"/>
      <c r="G674" s="28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</row>
    <row r="675" ht="26.25" customHeight="1">
      <c r="A675" s="29" t="n"/>
      <c r="B675" s="29" t="n"/>
      <c r="C675" s="28" t="n"/>
      <c r="D675" s="28" t="n"/>
      <c r="E675" s="28" t="n"/>
      <c r="F675" s="28" t="n"/>
      <c r="G675" s="28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</row>
    <row r="676" ht="26.25" customHeight="1">
      <c r="A676" s="29" t="n"/>
      <c r="B676" s="29" t="n"/>
      <c r="C676" s="28" t="n"/>
      <c r="D676" s="28" t="n"/>
      <c r="E676" s="28" t="n"/>
      <c r="F676" s="28" t="n"/>
      <c r="G676" s="28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</row>
    <row r="677" ht="26.25" customHeight="1">
      <c r="A677" s="29" t="n"/>
      <c r="B677" s="29" t="n"/>
      <c r="C677" s="28" t="n"/>
      <c r="D677" s="28" t="n"/>
      <c r="E677" s="28" t="n"/>
      <c r="F677" s="28" t="n"/>
      <c r="G677" s="28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</row>
    <row r="678" ht="26.25" customHeight="1">
      <c r="A678" s="29" t="n"/>
      <c r="B678" s="29" t="n"/>
      <c r="C678" s="28" t="n"/>
      <c r="D678" s="28" t="n"/>
      <c r="E678" s="28" t="n"/>
      <c r="F678" s="28" t="n"/>
      <c r="G678" s="28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</row>
    <row r="679" ht="26.25" customHeight="1">
      <c r="A679" s="29" t="n"/>
      <c r="B679" s="29" t="n"/>
      <c r="C679" s="28" t="n"/>
      <c r="D679" s="28" t="n"/>
      <c r="E679" s="28" t="n"/>
      <c r="F679" s="28" t="n"/>
      <c r="G679" s="28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</row>
    <row r="680" ht="26.25" customHeight="1">
      <c r="A680" s="29" t="n"/>
      <c r="B680" s="29" t="n"/>
      <c r="C680" s="28" t="n"/>
      <c r="D680" s="28" t="n"/>
      <c r="E680" s="28" t="n"/>
      <c r="F680" s="28" t="n"/>
      <c r="G680" s="28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</row>
    <row r="681" ht="26.25" customHeight="1">
      <c r="A681" s="29" t="n"/>
      <c r="B681" s="29" t="n"/>
      <c r="C681" s="28" t="n"/>
      <c r="D681" s="28" t="n"/>
      <c r="E681" s="28" t="n"/>
      <c r="F681" s="28" t="n"/>
      <c r="G681" s="28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</row>
    <row r="682" ht="26.25" customHeight="1">
      <c r="A682" s="29" t="n"/>
      <c r="B682" s="29" t="n"/>
      <c r="C682" s="28" t="n"/>
      <c r="D682" s="28" t="n"/>
      <c r="E682" s="28" t="n"/>
      <c r="F682" s="28" t="n"/>
      <c r="G682" s="28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</row>
    <row r="683" ht="26.25" customHeight="1">
      <c r="A683" s="29" t="n"/>
      <c r="B683" s="29" t="n"/>
      <c r="C683" s="28" t="n"/>
      <c r="D683" s="28" t="n"/>
      <c r="E683" s="28" t="n"/>
      <c r="F683" s="28" t="n"/>
      <c r="G683" s="28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</row>
    <row r="684" ht="26.25" customHeight="1">
      <c r="A684" s="29" t="n"/>
      <c r="B684" s="29" t="n"/>
      <c r="C684" s="28" t="n"/>
      <c r="D684" s="28" t="n"/>
      <c r="E684" s="28" t="n"/>
      <c r="F684" s="28" t="n"/>
      <c r="G684" s="28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</row>
    <row r="685" ht="26.25" customHeight="1">
      <c r="A685" s="29" t="n"/>
      <c r="B685" s="29" t="n"/>
      <c r="C685" s="28" t="n"/>
      <c r="D685" s="28" t="n"/>
      <c r="E685" s="28" t="n"/>
      <c r="F685" s="28" t="n"/>
      <c r="G685" s="28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</row>
    <row r="686" ht="26.25" customHeight="1">
      <c r="A686" s="29" t="n"/>
      <c r="B686" s="29" t="n"/>
      <c r="C686" s="28" t="n"/>
      <c r="D686" s="28" t="n"/>
      <c r="E686" s="28" t="n"/>
      <c r="F686" s="28" t="n"/>
      <c r="G686" s="28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</row>
    <row r="687" ht="26.25" customHeight="1">
      <c r="A687" s="29" t="n"/>
      <c r="B687" s="29" t="n"/>
      <c r="C687" s="28" t="n"/>
      <c r="D687" s="28" t="n"/>
      <c r="E687" s="28" t="n"/>
      <c r="F687" s="28" t="n"/>
      <c r="G687" s="28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</row>
    <row r="688" ht="26.25" customHeight="1">
      <c r="A688" s="29" t="n"/>
      <c r="B688" s="29" t="n"/>
      <c r="C688" s="28" t="n"/>
      <c r="D688" s="28" t="n"/>
      <c r="E688" s="28" t="n"/>
      <c r="F688" s="28" t="n"/>
      <c r="G688" s="28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</row>
    <row r="689" ht="26.25" customHeight="1">
      <c r="A689" s="29" t="n"/>
      <c r="B689" s="29" t="n"/>
      <c r="C689" s="28" t="n"/>
      <c r="D689" s="28" t="n"/>
      <c r="E689" s="28" t="n"/>
      <c r="F689" s="28" t="n"/>
      <c r="G689" s="28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</row>
    <row r="690" ht="26.25" customHeight="1">
      <c r="A690" s="29" t="n"/>
      <c r="B690" s="29" t="n"/>
      <c r="C690" s="28" t="n"/>
      <c r="D690" s="28" t="n"/>
      <c r="E690" s="28" t="n"/>
      <c r="F690" s="28" t="n"/>
      <c r="G690" s="28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</row>
    <row r="691" ht="26.25" customHeight="1">
      <c r="A691" s="29" t="n"/>
      <c r="B691" s="29" t="n"/>
      <c r="C691" s="28" t="n"/>
      <c r="D691" s="28" t="n"/>
      <c r="E691" s="28" t="n"/>
      <c r="F691" s="28" t="n"/>
      <c r="G691" s="28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</row>
    <row r="692" ht="26.25" customHeight="1">
      <c r="A692" s="29" t="n"/>
      <c r="B692" s="29" t="n"/>
      <c r="C692" s="28" t="n"/>
      <c r="D692" s="28" t="n"/>
      <c r="E692" s="28" t="n"/>
      <c r="F692" s="28" t="n"/>
      <c r="G692" s="28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</row>
    <row r="693" ht="26.25" customHeight="1">
      <c r="A693" s="29" t="n"/>
      <c r="B693" s="29" t="n"/>
      <c r="C693" s="28" t="n"/>
      <c r="D693" s="28" t="n"/>
      <c r="E693" s="28" t="n"/>
      <c r="F693" s="28" t="n"/>
      <c r="G693" s="28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</row>
    <row r="694" ht="26.25" customHeight="1">
      <c r="A694" s="29" t="n"/>
      <c r="B694" s="29" t="n"/>
      <c r="C694" s="28" t="n"/>
      <c r="D694" s="28" t="n"/>
      <c r="E694" s="28" t="n"/>
      <c r="F694" s="28" t="n"/>
      <c r="G694" s="28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</row>
    <row r="695" ht="26.25" customHeight="1">
      <c r="A695" s="29" t="n"/>
      <c r="B695" s="29" t="n"/>
      <c r="C695" s="28" t="n"/>
      <c r="D695" s="28" t="n"/>
      <c r="E695" s="28" t="n"/>
      <c r="F695" s="28" t="n"/>
      <c r="G695" s="28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</row>
    <row r="696" ht="26.25" customHeight="1">
      <c r="A696" s="29" t="n"/>
      <c r="B696" s="29" t="n"/>
      <c r="C696" s="28" t="n"/>
      <c r="D696" s="28" t="n"/>
      <c r="E696" s="28" t="n"/>
      <c r="F696" s="28" t="n"/>
      <c r="G696" s="28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</row>
    <row r="697" ht="26.25" customHeight="1">
      <c r="A697" s="29" t="n"/>
      <c r="B697" s="29" t="n"/>
      <c r="C697" s="28" t="n"/>
      <c r="D697" s="28" t="n"/>
      <c r="E697" s="28" t="n"/>
      <c r="F697" s="28" t="n"/>
      <c r="G697" s="28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</row>
    <row r="698" ht="26.25" customHeight="1">
      <c r="A698" s="29" t="n"/>
      <c r="B698" s="29" t="n"/>
      <c r="C698" s="28" t="n"/>
      <c r="D698" s="28" t="n"/>
      <c r="E698" s="28" t="n"/>
      <c r="F698" s="28" t="n"/>
      <c r="G698" s="28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</row>
    <row r="699" ht="26.25" customHeight="1">
      <c r="A699" s="29" t="n"/>
      <c r="B699" s="29" t="n"/>
      <c r="C699" s="28" t="n"/>
      <c r="D699" s="28" t="n"/>
      <c r="E699" s="28" t="n"/>
      <c r="F699" s="28" t="n"/>
      <c r="G699" s="28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</row>
    <row r="700" ht="26.25" customHeight="1">
      <c r="A700" s="29" t="n"/>
      <c r="B700" s="29" t="n"/>
      <c r="C700" s="28" t="n"/>
      <c r="D700" s="28" t="n"/>
      <c r="E700" s="28" t="n"/>
      <c r="F700" s="28" t="n"/>
      <c r="G700" s="28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</row>
    <row r="701" ht="26.25" customHeight="1">
      <c r="A701" s="29" t="n"/>
      <c r="B701" s="29" t="n"/>
      <c r="C701" s="28" t="n"/>
      <c r="D701" s="28" t="n"/>
      <c r="E701" s="28" t="n"/>
      <c r="F701" s="28" t="n"/>
      <c r="G701" s="28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</row>
    <row r="702" ht="26.25" customHeight="1">
      <c r="A702" s="29" t="n"/>
      <c r="B702" s="29" t="n"/>
      <c r="C702" s="28" t="n"/>
      <c r="D702" s="28" t="n"/>
      <c r="E702" s="28" t="n"/>
      <c r="F702" s="28" t="n"/>
      <c r="G702" s="28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</row>
    <row r="703" ht="26.25" customHeight="1">
      <c r="A703" s="29" t="n"/>
      <c r="B703" s="29" t="n"/>
      <c r="C703" s="28" t="n"/>
      <c r="D703" s="28" t="n"/>
      <c r="E703" s="28" t="n"/>
      <c r="F703" s="28" t="n"/>
      <c r="G703" s="28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</row>
    <row r="704" ht="26.25" customHeight="1">
      <c r="A704" s="29" t="n"/>
      <c r="B704" s="29" t="n"/>
      <c r="C704" s="28" t="n"/>
      <c r="D704" s="28" t="n"/>
      <c r="E704" s="28" t="n"/>
      <c r="F704" s="28" t="n"/>
      <c r="G704" s="28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</row>
    <row r="705" ht="26.25" customHeight="1">
      <c r="A705" s="29" t="n"/>
      <c r="B705" s="29" t="n"/>
      <c r="C705" s="28" t="n"/>
      <c r="D705" s="28" t="n"/>
      <c r="E705" s="28" t="n"/>
      <c r="F705" s="28" t="n"/>
      <c r="G705" s="28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</row>
    <row r="706" ht="26.25" customHeight="1">
      <c r="A706" s="29" t="n"/>
      <c r="B706" s="29" t="n"/>
      <c r="C706" s="28" t="n"/>
      <c r="D706" s="28" t="n"/>
      <c r="E706" s="28" t="n"/>
      <c r="F706" s="28" t="n"/>
      <c r="G706" s="28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</row>
    <row r="707" ht="26.25" customHeight="1">
      <c r="A707" s="29" t="n"/>
      <c r="B707" s="29" t="n"/>
      <c r="C707" s="28" t="n"/>
      <c r="D707" s="28" t="n"/>
      <c r="E707" s="28" t="n"/>
      <c r="F707" s="28" t="n"/>
      <c r="G707" s="28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</row>
    <row r="708" ht="26.25" customHeight="1">
      <c r="A708" s="29" t="n"/>
      <c r="B708" s="29" t="n"/>
      <c r="C708" s="28" t="n"/>
      <c r="D708" s="28" t="n"/>
      <c r="E708" s="28" t="n"/>
      <c r="F708" s="28" t="n"/>
      <c r="G708" s="28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</row>
    <row r="709" ht="26.25" customHeight="1">
      <c r="A709" s="29" t="n"/>
      <c r="B709" s="29" t="n"/>
      <c r="C709" s="28" t="n"/>
      <c r="D709" s="28" t="n"/>
      <c r="E709" s="28" t="n"/>
      <c r="F709" s="28" t="n"/>
      <c r="G709" s="28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</row>
    <row r="710" ht="26.25" customHeight="1">
      <c r="A710" s="29" t="n"/>
      <c r="B710" s="29" t="n"/>
      <c r="C710" s="28" t="n"/>
      <c r="D710" s="28" t="n"/>
      <c r="E710" s="28" t="n"/>
      <c r="F710" s="28" t="n"/>
      <c r="G710" s="28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</row>
    <row r="711" ht="26.25" customHeight="1">
      <c r="A711" s="29" t="n"/>
      <c r="B711" s="29" t="n"/>
      <c r="C711" s="28" t="n"/>
      <c r="D711" s="28" t="n"/>
      <c r="E711" s="28" t="n"/>
      <c r="F711" s="28" t="n"/>
      <c r="G711" s="28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</row>
    <row r="712" ht="26.25" customHeight="1">
      <c r="A712" s="29" t="n"/>
      <c r="B712" s="29" t="n"/>
      <c r="C712" s="28" t="n"/>
      <c r="D712" s="28" t="n"/>
      <c r="E712" s="28" t="n"/>
      <c r="F712" s="28" t="n"/>
      <c r="G712" s="28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</row>
    <row r="713" ht="26.25" customHeight="1">
      <c r="A713" s="29" t="n"/>
      <c r="B713" s="29" t="n"/>
      <c r="C713" s="28" t="n"/>
      <c r="D713" s="28" t="n"/>
      <c r="E713" s="28" t="n"/>
      <c r="F713" s="28" t="n"/>
      <c r="G713" s="28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</row>
    <row r="714" ht="26.25" customHeight="1">
      <c r="A714" s="29" t="n"/>
      <c r="B714" s="29" t="n"/>
      <c r="C714" s="28" t="n"/>
      <c r="D714" s="28" t="n"/>
      <c r="E714" s="28" t="n"/>
      <c r="F714" s="28" t="n"/>
      <c r="G714" s="28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</row>
    <row r="715" ht="26.25" customHeight="1">
      <c r="A715" s="29" t="n"/>
      <c r="B715" s="29" t="n"/>
      <c r="C715" s="28" t="n"/>
      <c r="D715" s="28" t="n"/>
      <c r="E715" s="28" t="n"/>
      <c r="F715" s="28" t="n"/>
      <c r="G715" s="28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</row>
    <row r="716" ht="26.25" customHeight="1">
      <c r="A716" s="29" t="n"/>
      <c r="B716" s="29" t="n"/>
      <c r="C716" s="28" t="n"/>
      <c r="D716" s="28" t="n"/>
      <c r="E716" s="28" t="n"/>
      <c r="F716" s="28" t="n"/>
      <c r="G716" s="28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</row>
    <row r="717" ht="26.25" customHeight="1">
      <c r="A717" s="29" t="n"/>
      <c r="B717" s="29" t="n"/>
      <c r="C717" s="28" t="n"/>
      <c r="D717" s="28" t="n"/>
      <c r="E717" s="28" t="n"/>
      <c r="F717" s="28" t="n"/>
      <c r="G717" s="28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</row>
    <row r="718" ht="26.25" customHeight="1">
      <c r="A718" s="29" t="n"/>
      <c r="B718" s="29" t="n"/>
      <c r="C718" s="28" t="n"/>
      <c r="D718" s="28" t="n"/>
      <c r="E718" s="28" t="n"/>
      <c r="F718" s="28" t="n"/>
      <c r="G718" s="28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</row>
    <row r="719" ht="26.25" customHeight="1">
      <c r="A719" s="29" t="n"/>
      <c r="B719" s="29" t="n"/>
      <c r="C719" s="28" t="n"/>
      <c r="D719" s="28" t="n"/>
      <c r="E719" s="28" t="n"/>
      <c r="F719" s="28" t="n"/>
      <c r="G719" s="28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</row>
    <row r="720" ht="26.25" customHeight="1">
      <c r="A720" s="29" t="n"/>
      <c r="B720" s="29" t="n"/>
      <c r="C720" s="28" t="n"/>
      <c r="D720" s="28" t="n"/>
      <c r="E720" s="28" t="n"/>
      <c r="F720" s="28" t="n"/>
      <c r="G720" s="28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</row>
    <row r="721" ht="26.25" customHeight="1">
      <c r="A721" s="29" t="n"/>
      <c r="B721" s="29" t="n"/>
      <c r="C721" s="28" t="n"/>
      <c r="D721" s="28" t="n"/>
      <c r="E721" s="28" t="n"/>
      <c r="F721" s="28" t="n"/>
      <c r="G721" s="28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</row>
    <row r="722" ht="26.25" customHeight="1">
      <c r="A722" s="29" t="n"/>
      <c r="B722" s="29" t="n"/>
      <c r="C722" s="28" t="n"/>
      <c r="D722" s="28" t="n"/>
      <c r="E722" s="28" t="n"/>
      <c r="F722" s="28" t="n"/>
      <c r="G722" s="28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</row>
    <row r="723" ht="26.25" customHeight="1">
      <c r="A723" s="29" t="n"/>
      <c r="B723" s="29" t="n"/>
      <c r="C723" s="28" t="n"/>
      <c r="D723" s="28" t="n"/>
      <c r="E723" s="28" t="n"/>
      <c r="F723" s="28" t="n"/>
      <c r="G723" s="28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</row>
    <row r="724" ht="26.25" customHeight="1">
      <c r="A724" s="29" t="n"/>
      <c r="B724" s="29" t="n"/>
      <c r="C724" s="28" t="n"/>
      <c r="D724" s="28" t="n"/>
      <c r="E724" s="28" t="n"/>
      <c r="F724" s="28" t="n"/>
      <c r="G724" s="28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</row>
    <row r="725" ht="26.25" customHeight="1">
      <c r="A725" s="29" t="n"/>
      <c r="B725" s="29" t="n"/>
      <c r="C725" s="28" t="n"/>
      <c r="D725" s="28" t="n"/>
      <c r="E725" s="28" t="n"/>
      <c r="F725" s="28" t="n"/>
      <c r="G725" s="28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</row>
    <row r="726" ht="26.25" customHeight="1">
      <c r="A726" s="29" t="n"/>
      <c r="B726" s="29" t="n"/>
      <c r="C726" s="28" t="n"/>
      <c r="D726" s="28" t="n"/>
      <c r="E726" s="28" t="n"/>
      <c r="F726" s="28" t="n"/>
      <c r="G726" s="28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</row>
    <row r="727" ht="26.25" customHeight="1">
      <c r="A727" s="29" t="n"/>
      <c r="B727" s="29" t="n"/>
      <c r="C727" s="28" t="n"/>
      <c r="D727" s="28" t="n"/>
      <c r="E727" s="28" t="n"/>
      <c r="F727" s="28" t="n"/>
      <c r="G727" s="28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</row>
    <row r="728" ht="26.25" customHeight="1">
      <c r="A728" s="29" t="n"/>
      <c r="B728" s="29" t="n"/>
      <c r="C728" s="28" t="n"/>
      <c r="D728" s="28" t="n"/>
      <c r="E728" s="28" t="n"/>
      <c r="F728" s="28" t="n"/>
      <c r="G728" s="28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</row>
    <row r="729" ht="26.25" customHeight="1">
      <c r="A729" s="29" t="n"/>
      <c r="B729" s="29" t="n"/>
      <c r="C729" s="28" t="n"/>
      <c r="D729" s="28" t="n"/>
      <c r="E729" s="28" t="n"/>
      <c r="F729" s="28" t="n"/>
      <c r="G729" s="28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</row>
    <row r="730" ht="26.25" customHeight="1">
      <c r="A730" s="29" t="n"/>
      <c r="B730" s="29" t="n"/>
      <c r="C730" s="28" t="n"/>
      <c r="D730" s="28" t="n"/>
      <c r="E730" s="28" t="n"/>
      <c r="F730" s="28" t="n"/>
      <c r="G730" s="28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</row>
    <row r="731" ht="26.25" customHeight="1">
      <c r="A731" s="29" t="n"/>
      <c r="B731" s="29" t="n"/>
      <c r="C731" s="28" t="n"/>
      <c r="D731" s="28" t="n"/>
      <c r="E731" s="28" t="n"/>
      <c r="F731" s="28" t="n"/>
      <c r="G731" s="28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</row>
    <row r="732" ht="26.25" customHeight="1">
      <c r="A732" s="29" t="n"/>
      <c r="B732" s="29" t="n"/>
      <c r="C732" s="28" t="n"/>
      <c r="D732" s="28" t="n"/>
      <c r="E732" s="28" t="n"/>
      <c r="F732" s="28" t="n"/>
      <c r="G732" s="28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</row>
    <row r="733" ht="26.25" customHeight="1">
      <c r="A733" s="29" t="n"/>
      <c r="B733" s="29" t="n"/>
      <c r="C733" s="28" t="n"/>
      <c r="D733" s="28" t="n"/>
      <c r="E733" s="28" t="n"/>
      <c r="F733" s="28" t="n"/>
      <c r="G733" s="28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</row>
    <row r="734" ht="26.25" customHeight="1">
      <c r="A734" s="29" t="n"/>
      <c r="B734" s="29" t="n"/>
      <c r="C734" s="28" t="n"/>
      <c r="D734" s="28" t="n"/>
      <c r="E734" s="28" t="n"/>
      <c r="F734" s="28" t="n"/>
      <c r="G734" s="28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</row>
    <row r="735" ht="26.25" customHeight="1">
      <c r="A735" s="29" t="n"/>
      <c r="B735" s="29" t="n"/>
      <c r="C735" s="28" t="n"/>
      <c r="D735" s="28" t="n"/>
      <c r="E735" s="28" t="n"/>
      <c r="F735" s="28" t="n"/>
      <c r="G735" s="28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</row>
    <row r="736" ht="26.25" customHeight="1">
      <c r="A736" s="29" t="n"/>
      <c r="B736" s="29" t="n"/>
      <c r="C736" s="28" t="n"/>
      <c r="D736" s="28" t="n"/>
      <c r="E736" s="28" t="n"/>
      <c r="F736" s="28" t="n"/>
      <c r="G736" s="28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</row>
    <row r="737" ht="26.25" customHeight="1">
      <c r="A737" s="29" t="n"/>
      <c r="B737" s="29" t="n"/>
      <c r="C737" s="28" t="n"/>
      <c r="D737" s="28" t="n"/>
      <c r="E737" s="28" t="n"/>
      <c r="F737" s="28" t="n"/>
      <c r="G737" s="28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</row>
    <row r="738" ht="26.25" customHeight="1">
      <c r="A738" s="29" t="n"/>
      <c r="B738" s="29" t="n"/>
      <c r="C738" s="28" t="n"/>
      <c r="D738" s="28" t="n"/>
      <c r="E738" s="28" t="n"/>
      <c r="F738" s="28" t="n"/>
      <c r="G738" s="28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</row>
    <row r="739" ht="26.25" customHeight="1">
      <c r="A739" s="29" t="n"/>
      <c r="B739" s="29" t="n"/>
      <c r="C739" s="28" t="n"/>
      <c r="D739" s="28" t="n"/>
      <c r="E739" s="28" t="n"/>
      <c r="F739" s="28" t="n"/>
      <c r="G739" s="28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</row>
    <row r="740" ht="26.25" customHeight="1">
      <c r="A740" s="29" t="n"/>
      <c r="B740" s="29" t="n"/>
      <c r="C740" s="28" t="n"/>
      <c r="D740" s="28" t="n"/>
      <c r="E740" s="28" t="n"/>
      <c r="F740" s="28" t="n"/>
      <c r="G740" s="28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</row>
    <row r="741" ht="26.25" customHeight="1">
      <c r="A741" s="29" t="n"/>
      <c r="B741" s="29" t="n"/>
      <c r="C741" s="28" t="n"/>
      <c r="D741" s="28" t="n"/>
      <c r="E741" s="28" t="n"/>
      <c r="F741" s="28" t="n"/>
      <c r="G741" s="28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</row>
    <row r="742" ht="26.25" customHeight="1">
      <c r="A742" s="29" t="n"/>
      <c r="B742" s="29" t="n"/>
      <c r="C742" s="28" t="n"/>
      <c r="D742" s="28" t="n"/>
      <c r="E742" s="28" t="n"/>
      <c r="F742" s="28" t="n"/>
      <c r="G742" s="28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</row>
    <row r="743" ht="26.25" customHeight="1">
      <c r="A743" s="29" t="n"/>
      <c r="B743" s="29" t="n"/>
      <c r="C743" s="28" t="n"/>
      <c r="D743" s="28" t="n"/>
      <c r="E743" s="28" t="n"/>
      <c r="F743" s="28" t="n"/>
      <c r="G743" s="28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</row>
    <row r="744" ht="26.25" customHeight="1">
      <c r="A744" s="29" t="n"/>
      <c r="B744" s="29" t="n"/>
      <c r="C744" s="28" t="n"/>
      <c r="D744" s="28" t="n"/>
      <c r="E744" s="28" t="n"/>
      <c r="F744" s="28" t="n"/>
      <c r="G744" s="28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</row>
    <row r="745" ht="26.25" customHeight="1">
      <c r="A745" s="29" t="n"/>
      <c r="B745" s="29" t="n"/>
      <c r="C745" s="28" t="n"/>
      <c r="D745" s="28" t="n"/>
      <c r="E745" s="28" t="n"/>
      <c r="F745" s="28" t="n"/>
      <c r="G745" s="28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</row>
    <row r="746" ht="26.25" customHeight="1">
      <c r="A746" s="29" t="n"/>
      <c r="B746" s="29" t="n"/>
      <c r="C746" s="28" t="n"/>
      <c r="D746" s="28" t="n"/>
      <c r="E746" s="28" t="n"/>
      <c r="F746" s="28" t="n"/>
      <c r="G746" s="28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</row>
    <row r="747" ht="26.25" customHeight="1">
      <c r="A747" s="29" t="n"/>
      <c r="B747" s="29" t="n"/>
      <c r="C747" s="28" t="n"/>
      <c r="D747" s="28" t="n"/>
      <c r="E747" s="28" t="n"/>
      <c r="F747" s="28" t="n"/>
      <c r="G747" s="28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</row>
    <row r="748" ht="26.25" customHeight="1">
      <c r="A748" s="29" t="n"/>
      <c r="B748" s="29" t="n"/>
      <c r="C748" s="28" t="n"/>
      <c r="D748" s="28" t="n"/>
      <c r="E748" s="28" t="n"/>
      <c r="F748" s="28" t="n"/>
      <c r="G748" s="28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</row>
    <row r="749" ht="26.25" customHeight="1">
      <c r="A749" s="29" t="n"/>
      <c r="B749" s="29" t="n"/>
      <c r="C749" s="28" t="n"/>
      <c r="D749" s="28" t="n"/>
      <c r="E749" s="28" t="n"/>
      <c r="F749" s="28" t="n"/>
      <c r="G749" s="28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</row>
    <row r="750" ht="26.25" customHeight="1">
      <c r="A750" s="29" t="n"/>
      <c r="B750" s="29" t="n"/>
      <c r="C750" s="28" t="n"/>
      <c r="D750" s="28" t="n"/>
      <c r="E750" s="28" t="n"/>
      <c r="F750" s="28" t="n"/>
      <c r="G750" s="28" t="n"/>
      <c r="H750" s="29" t="n"/>
      <c r="I750" s="29" t="n"/>
      <c r="J750" s="29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</row>
    <row r="751" ht="26.25" customHeight="1">
      <c r="A751" s="29" t="n"/>
      <c r="B751" s="29" t="n"/>
      <c r="C751" s="28" t="n"/>
      <c r="D751" s="28" t="n"/>
      <c r="E751" s="28" t="n"/>
      <c r="F751" s="28" t="n"/>
      <c r="G751" s="28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</row>
    <row r="752" ht="26.25" customHeight="1">
      <c r="A752" s="29" t="n"/>
      <c r="B752" s="29" t="n"/>
      <c r="C752" s="28" t="n"/>
      <c r="D752" s="28" t="n"/>
      <c r="E752" s="28" t="n"/>
      <c r="F752" s="28" t="n"/>
      <c r="G752" s="28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</row>
    <row r="753" ht="26.25" customHeight="1">
      <c r="A753" s="29" t="n"/>
      <c r="B753" s="29" t="n"/>
      <c r="C753" s="28" t="n"/>
      <c r="D753" s="28" t="n"/>
      <c r="E753" s="28" t="n"/>
      <c r="F753" s="28" t="n"/>
      <c r="G753" s="28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</row>
    <row r="754" ht="26.25" customHeight="1">
      <c r="A754" s="29" t="n"/>
      <c r="B754" s="29" t="n"/>
      <c r="C754" s="28" t="n"/>
      <c r="D754" s="28" t="n"/>
      <c r="E754" s="28" t="n"/>
      <c r="F754" s="28" t="n"/>
      <c r="G754" s="28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</row>
    <row r="755" ht="26.25" customHeight="1">
      <c r="A755" s="29" t="n"/>
      <c r="B755" s="29" t="n"/>
      <c r="C755" s="28" t="n"/>
      <c r="D755" s="28" t="n"/>
      <c r="E755" s="28" t="n"/>
      <c r="F755" s="28" t="n"/>
      <c r="G755" s="28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</row>
    <row r="756" ht="26.25" customHeight="1">
      <c r="A756" s="29" t="n"/>
      <c r="B756" s="29" t="n"/>
      <c r="C756" s="28" t="n"/>
      <c r="D756" s="28" t="n"/>
      <c r="E756" s="28" t="n"/>
      <c r="F756" s="28" t="n"/>
      <c r="G756" s="28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</row>
    <row r="757" ht="26.25" customHeight="1">
      <c r="A757" s="29" t="n"/>
      <c r="B757" s="29" t="n"/>
      <c r="C757" s="28" t="n"/>
      <c r="D757" s="28" t="n"/>
      <c r="E757" s="28" t="n"/>
      <c r="F757" s="28" t="n"/>
      <c r="G757" s="28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</row>
    <row r="758" ht="26.25" customHeight="1">
      <c r="A758" s="29" t="n"/>
      <c r="B758" s="29" t="n"/>
      <c r="C758" s="28" t="n"/>
      <c r="D758" s="28" t="n"/>
      <c r="E758" s="28" t="n"/>
      <c r="F758" s="28" t="n"/>
      <c r="G758" s="28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</row>
    <row r="759" ht="26.25" customHeight="1">
      <c r="A759" s="29" t="n"/>
      <c r="B759" s="29" t="n"/>
      <c r="C759" s="28" t="n"/>
      <c r="D759" s="28" t="n"/>
      <c r="E759" s="28" t="n"/>
      <c r="F759" s="28" t="n"/>
      <c r="G759" s="28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</row>
    <row r="760" ht="26.25" customHeight="1">
      <c r="A760" s="29" t="n"/>
      <c r="B760" s="29" t="n"/>
      <c r="C760" s="28" t="n"/>
      <c r="D760" s="28" t="n"/>
      <c r="E760" s="28" t="n"/>
      <c r="F760" s="28" t="n"/>
      <c r="G760" s="28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</row>
    <row r="761" ht="26.25" customHeight="1">
      <c r="A761" s="29" t="n"/>
      <c r="B761" s="29" t="n"/>
      <c r="C761" s="28" t="n"/>
      <c r="D761" s="28" t="n"/>
      <c r="E761" s="28" t="n"/>
      <c r="F761" s="28" t="n"/>
      <c r="G761" s="28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</row>
    <row r="762" ht="26.25" customHeight="1">
      <c r="A762" s="29" t="n"/>
      <c r="B762" s="29" t="n"/>
      <c r="C762" s="28" t="n"/>
      <c r="D762" s="28" t="n"/>
      <c r="E762" s="28" t="n"/>
      <c r="F762" s="28" t="n"/>
      <c r="G762" s="28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</row>
    <row r="763" ht="26.25" customHeight="1">
      <c r="A763" s="29" t="n"/>
      <c r="B763" s="29" t="n"/>
      <c r="C763" s="28" t="n"/>
      <c r="D763" s="28" t="n"/>
      <c r="E763" s="28" t="n"/>
      <c r="F763" s="28" t="n"/>
      <c r="G763" s="28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</row>
    <row r="764" ht="26.25" customHeight="1">
      <c r="A764" s="29" t="n"/>
      <c r="B764" s="29" t="n"/>
      <c r="C764" s="28" t="n"/>
      <c r="D764" s="28" t="n"/>
      <c r="E764" s="28" t="n"/>
      <c r="F764" s="28" t="n"/>
      <c r="G764" s="28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</row>
    <row r="765" ht="26.25" customHeight="1">
      <c r="A765" s="29" t="n"/>
      <c r="B765" s="29" t="n"/>
      <c r="C765" s="28" t="n"/>
      <c r="D765" s="28" t="n"/>
      <c r="E765" s="28" t="n"/>
      <c r="F765" s="28" t="n"/>
      <c r="G765" s="28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</row>
    <row r="766" ht="26.25" customHeight="1">
      <c r="A766" s="29" t="n"/>
      <c r="B766" s="29" t="n"/>
      <c r="C766" s="28" t="n"/>
      <c r="D766" s="28" t="n"/>
      <c r="E766" s="28" t="n"/>
      <c r="F766" s="28" t="n"/>
      <c r="G766" s="28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</row>
    <row r="767" ht="26.25" customHeight="1">
      <c r="A767" s="29" t="n"/>
      <c r="B767" s="29" t="n"/>
      <c r="C767" s="28" t="n"/>
      <c r="D767" s="28" t="n"/>
      <c r="E767" s="28" t="n"/>
      <c r="F767" s="28" t="n"/>
      <c r="G767" s="28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</row>
    <row r="768" ht="26.25" customHeight="1">
      <c r="A768" s="29" t="n"/>
      <c r="B768" s="29" t="n"/>
      <c r="C768" s="28" t="n"/>
      <c r="D768" s="28" t="n"/>
      <c r="E768" s="28" t="n"/>
      <c r="F768" s="28" t="n"/>
      <c r="G768" s="28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</row>
    <row r="769" ht="26.25" customHeight="1">
      <c r="A769" s="29" t="n"/>
      <c r="B769" s="29" t="n"/>
      <c r="C769" s="28" t="n"/>
      <c r="D769" s="28" t="n"/>
      <c r="E769" s="28" t="n"/>
      <c r="F769" s="28" t="n"/>
      <c r="G769" s="28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</row>
    <row r="770" ht="26.25" customHeight="1">
      <c r="A770" s="29" t="n"/>
      <c r="B770" s="29" t="n"/>
      <c r="C770" s="28" t="n"/>
      <c r="D770" s="28" t="n"/>
      <c r="E770" s="28" t="n"/>
      <c r="F770" s="28" t="n"/>
      <c r="G770" s="28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</row>
    <row r="771" ht="26.25" customHeight="1">
      <c r="A771" s="29" t="n"/>
      <c r="B771" s="29" t="n"/>
      <c r="C771" s="28" t="n"/>
      <c r="D771" s="28" t="n"/>
      <c r="E771" s="28" t="n"/>
      <c r="F771" s="28" t="n"/>
      <c r="G771" s="28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</row>
    <row r="772" ht="26.25" customHeight="1">
      <c r="A772" s="29" t="n"/>
      <c r="B772" s="29" t="n"/>
      <c r="C772" s="28" t="n"/>
      <c r="D772" s="28" t="n"/>
      <c r="E772" s="28" t="n"/>
      <c r="F772" s="28" t="n"/>
      <c r="G772" s="28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</row>
    <row r="773" ht="26.25" customHeight="1">
      <c r="A773" s="29" t="n"/>
      <c r="B773" s="29" t="n"/>
      <c r="C773" s="28" t="n"/>
      <c r="D773" s="28" t="n"/>
      <c r="E773" s="28" t="n"/>
      <c r="F773" s="28" t="n"/>
      <c r="G773" s="28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</row>
    <row r="774" ht="26.25" customHeight="1">
      <c r="A774" s="29" t="n"/>
      <c r="B774" s="29" t="n"/>
      <c r="C774" s="28" t="n"/>
      <c r="D774" s="28" t="n"/>
      <c r="E774" s="28" t="n"/>
      <c r="F774" s="28" t="n"/>
      <c r="G774" s="28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</row>
    <row r="775" ht="26.25" customHeight="1">
      <c r="A775" s="29" t="n"/>
      <c r="B775" s="29" t="n"/>
      <c r="C775" s="28" t="n"/>
      <c r="D775" s="28" t="n"/>
      <c r="E775" s="28" t="n"/>
      <c r="F775" s="28" t="n"/>
      <c r="G775" s="28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</row>
    <row r="776" ht="26.25" customHeight="1">
      <c r="A776" s="29" t="n"/>
      <c r="B776" s="29" t="n"/>
      <c r="C776" s="28" t="n"/>
      <c r="D776" s="28" t="n"/>
      <c r="E776" s="28" t="n"/>
      <c r="F776" s="28" t="n"/>
      <c r="G776" s="28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</row>
    <row r="777" ht="26.25" customHeight="1">
      <c r="A777" s="29" t="n"/>
      <c r="B777" s="29" t="n"/>
      <c r="C777" s="28" t="n"/>
      <c r="D777" s="28" t="n"/>
      <c r="E777" s="28" t="n"/>
      <c r="F777" s="28" t="n"/>
      <c r="G777" s="28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</row>
    <row r="778" ht="26.25" customHeight="1">
      <c r="A778" s="29" t="n"/>
      <c r="B778" s="29" t="n"/>
      <c r="C778" s="28" t="n"/>
      <c r="D778" s="28" t="n"/>
      <c r="E778" s="28" t="n"/>
      <c r="F778" s="28" t="n"/>
      <c r="G778" s="28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</row>
    <row r="779" ht="26.25" customHeight="1">
      <c r="A779" s="29" t="n"/>
      <c r="B779" s="29" t="n"/>
      <c r="C779" s="28" t="n"/>
      <c r="D779" s="28" t="n"/>
      <c r="E779" s="28" t="n"/>
      <c r="F779" s="28" t="n"/>
      <c r="G779" s="28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</row>
    <row r="780" ht="26.25" customHeight="1">
      <c r="A780" s="29" t="n"/>
      <c r="B780" s="29" t="n"/>
      <c r="C780" s="28" t="n"/>
      <c r="D780" s="28" t="n"/>
      <c r="E780" s="28" t="n"/>
      <c r="F780" s="28" t="n"/>
      <c r="G780" s="28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</row>
    <row r="781" ht="26.25" customHeight="1">
      <c r="A781" s="29" t="n"/>
      <c r="B781" s="29" t="n"/>
      <c r="C781" s="28" t="n"/>
      <c r="D781" s="28" t="n"/>
      <c r="E781" s="28" t="n"/>
      <c r="F781" s="28" t="n"/>
      <c r="G781" s="28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</row>
    <row r="782" ht="26.25" customHeight="1">
      <c r="A782" s="29" t="n"/>
      <c r="B782" s="29" t="n"/>
      <c r="C782" s="28" t="n"/>
      <c r="D782" s="28" t="n"/>
      <c r="E782" s="28" t="n"/>
      <c r="F782" s="28" t="n"/>
      <c r="G782" s="28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</row>
    <row r="783" ht="26.25" customHeight="1">
      <c r="A783" s="29" t="n"/>
      <c r="B783" s="29" t="n"/>
      <c r="C783" s="28" t="n"/>
      <c r="D783" s="28" t="n"/>
      <c r="E783" s="28" t="n"/>
      <c r="F783" s="28" t="n"/>
      <c r="G783" s="28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</row>
    <row r="784" ht="26.25" customHeight="1">
      <c r="A784" s="29" t="n"/>
      <c r="B784" s="29" t="n"/>
      <c r="C784" s="28" t="n"/>
      <c r="D784" s="28" t="n"/>
      <c r="E784" s="28" t="n"/>
      <c r="F784" s="28" t="n"/>
      <c r="G784" s="28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</row>
    <row r="785" ht="26.25" customHeight="1">
      <c r="A785" s="29" t="n"/>
      <c r="B785" s="29" t="n"/>
      <c r="C785" s="28" t="n"/>
      <c r="D785" s="28" t="n"/>
      <c r="E785" s="28" t="n"/>
      <c r="F785" s="28" t="n"/>
      <c r="G785" s="28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</row>
    <row r="786" ht="26.25" customHeight="1">
      <c r="A786" s="29" t="n"/>
      <c r="B786" s="29" t="n"/>
      <c r="C786" s="28" t="n"/>
      <c r="D786" s="28" t="n"/>
      <c r="E786" s="28" t="n"/>
      <c r="F786" s="28" t="n"/>
      <c r="G786" s="28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</row>
    <row r="787" ht="26.25" customHeight="1">
      <c r="A787" s="29" t="n"/>
      <c r="B787" s="29" t="n"/>
      <c r="C787" s="28" t="n"/>
      <c r="D787" s="28" t="n"/>
      <c r="E787" s="28" t="n"/>
      <c r="F787" s="28" t="n"/>
      <c r="G787" s="28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</row>
    <row r="788" ht="26.25" customHeight="1">
      <c r="A788" s="29" t="n"/>
      <c r="B788" s="29" t="n"/>
      <c r="C788" s="28" t="n"/>
      <c r="D788" s="28" t="n"/>
      <c r="E788" s="28" t="n"/>
      <c r="F788" s="28" t="n"/>
      <c r="G788" s="28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</row>
    <row r="789" ht="26.25" customHeight="1">
      <c r="A789" s="29" t="n"/>
      <c r="B789" s="29" t="n"/>
      <c r="C789" s="28" t="n"/>
      <c r="D789" s="28" t="n"/>
      <c r="E789" s="28" t="n"/>
      <c r="F789" s="28" t="n"/>
      <c r="G789" s="28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</row>
    <row r="790" ht="26.25" customHeight="1">
      <c r="A790" s="29" t="n"/>
      <c r="B790" s="29" t="n"/>
      <c r="C790" s="28" t="n"/>
      <c r="D790" s="28" t="n"/>
      <c r="E790" s="28" t="n"/>
      <c r="F790" s="28" t="n"/>
      <c r="G790" s="28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</row>
    <row r="791" ht="26.25" customHeight="1">
      <c r="A791" s="29" t="n"/>
      <c r="B791" s="29" t="n"/>
      <c r="C791" s="28" t="n"/>
      <c r="D791" s="28" t="n"/>
      <c r="E791" s="28" t="n"/>
      <c r="F791" s="28" t="n"/>
      <c r="G791" s="28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</row>
    <row r="792" ht="26.25" customHeight="1">
      <c r="A792" s="29" t="n"/>
      <c r="B792" s="29" t="n"/>
      <c r="C792" s="28" t="n"/>
      <c r="D792" s="28" t="n"/>
      <c r="E792" s="28" t="n"/>
      <c r="F792" s="28" t="n"/>
      <c r="G792" s="28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</row>
    <row r="793" ht="26.25" customHeight="1">
      <c r="A793" s="29" t="n"/>
      <c r="B793" s="29" t="n"/>
      <c r="C793" s="28" t="n"/>
      <c r="D793" s="28" t="n"/>
      <c r="E793" s="28" t="n"/>
      <c r="F793" s="28" t="n"/>
      <c r="G793" s="28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</row>
    <row r="794" ht="26.25" customHeight="1">
      <c r="A794" s="29" t="n"/>
      <c r="B794" s="29" t="n"/>
      <c r="C794" s="28" t="n"/>
      <c r="D794" s="28" t="n"/>
      <c r="E794" s="28" t="n"/>
      <c r="F794" s="28" t="n"/>
      <c r="G794" s="28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</row>
    <row r="795" ht="26.25" customHeight="1">
      <c r="A795" s="29" t="n"/>
      <c r="B795" s="29" t="n"/>
      <c r="C795" s="28" t="n"/>
      <c r="D795" s="28" t="n"/>
      <c r="E795" s="28" t="n"/>
      <c r="F795" s="28" t="n"/>
      <c r="G795" s="28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</row>
    <row r="796" ht="26.25" customHeight="1">
      <c r="A796" s="29" t="n"/>
      <c r="B796" s="29" t="n"/>
      <c r="C796" s="28" t="n"/>
      <c r="D796" s="28" t="n"/>
      <c r="E796" s="28" t="n"/>
      <c r="F796" s="28" t="n"/>
      <c r="G796" s="28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</row>
    <row r="797" ht="26.25" customHeight="1">
      <c r="A797" s="29" t="n"/>
      <c r="B797" s="29" t="n"/>
      <c r="C797" s="28" t="n"/>
      <c r="D797" s="28" t="n"/>
      <c r="E797" s="28" t="n"/>
      <c r="F797" s="28" t="n"/>
      <c r="G797" s="28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</row>
    <row r="798" ht="26.25" customHeight="1">
      <c r="A798" s="29" t="n"/>
      <c r="B798" s="29" t="n"/>
      <c r="C798" s="28" t="n"/>
      <c r="D798" s="28" t="n"/>
      <c r="E798" s="28" t="n"/>
      <c r="F798" s="28" t="n"/>
      <c r="G798" s="28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</row>
    <row r="799" ht="26.25" customHeight="1">
      <c r="A799" s="29" t="n"/>
      <c r="B799" s="29" t="n"/>
      <c r="C799" s="28" t="n"/>
      <c r="D799" s="28" t="n"/>
      <c r="E799" s="28" t="n"/>
      <c r="F799" s="28" t="n"/>
      <c r="G799" s="28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</row>
    <row r="800" ht="26.25" customHeight="1">
      <c r="A800" s="29" t="n"/>
      <c r="B800" s="29" t="n"/>
      <c r="C800" s="28" t="n"/>
      <c r="D800" s="28" t="n"/>
      <c r="E800" s="28" t="n"/>
      <c r="F800" s="28" t="n"/>
      <c r="G800" s="28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</row>
    <row r="801" ht="26.25" customHeight="1">
      <c r="A801" s="29" t="n"/>
      <c r="B801" s="29" t="n"/>
      <c r="C801" s="28" t="n"/>
      <c r="D801" s="28" t="n"/>
      <c r="E801" s="28" t="n"/>
      <c r="F801" s="28" t="n"/>
      <c r="G801" s="28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</row>
    <row r="802" ht="26.25" customHeight="1">
      <c r="A802" s="29" t="n"/>
      <c r="B802" s="29" t="n"/>
      <c r="C802" s="28" t="n"/>
      <c r="D802" s="28" t="n"/>
      <c r="E802" s="28" t="n"/>
      <c r="F802" s="28" t="n"/>
      <c r="G802" s="28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</row>
    <row r="803" ht="26.25" customHeight="1">
      <c r="A803" s="29" t="n"/>
      <c r="B803" s="29" t="n"/>
      <c r="C803" s="28" t="n"/>
      <c r="D803" s="28" t="n"/>
      <c r="E803" s="28" t="n"/>
      <c r="F803" s="28" t="n"/>
      <c r="G803" s="28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</row>
    <row r="804" ht="26.25" customHeight="1">
      <c r="A804" s="29" t="n"/>
      <c r="B804" s="29" t="n"/>
      <c r="C804" s="28" t="n"/>
      <c r="D804" s="28" t="n"/>
      <c r="E804" s="28" t="n"/>
      <c r="F804" s="28" t="n"/>
      <c r="G804" s="28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</row>
    <row r="805" ht="26.25" customHeight="1">
      <c r="A805" s="29" t="n"/>
      <c r="B805" s="29" t="n"/>
      <c r="C805" s="28" t="n"/>
      <c r="D805" s="28" t="n"/>
      <c r="E805" s="28" t="n"/>
      <c r="F805" s="28" t="n"/>
      <c r="G805" s="28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</row>
    <row r="806" ht="26.25" customHeight="1">
      <c r="A806" s="29" t="n"/>
      <c r="B806" s="29" t="n"/>
      <c r="C806" s="28" t="n"/>
      <c r="D806" s="28" t="n"/>
      <c r="E806" s="28" t="n"/>
      <c r="F806" s="28" t="n"/>
      <c r="G806" s="28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</row>
    <row r="807" ht="26.25" customHeight="1">
      <c r="A807" s="29" t="n"/>
      <c r="B807" s="29" t="n"/>
      <c r="C807" s="28" t="n"/>
      <c r="D807" s="28" t="n"/>
      <c r="E807" s="28" t="n"/>
      <c r="F807" s="28" t="n"/>
      <c r="G807" s="28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</row>
    <row r="808" ht="26.25" customHeight="1">
      <c r="A808" s="29" t="n"/>
      <c r="B808" s="29" t="n"/>
      <c r="C808" s="28" t="n"/>
      <c r="D808" s="28" t="n"/>
      <c r="E808" s="28" t="n"/>
      <c r="F808" s="28" t="n"/>
      <c r="G808" s="28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</row>
    <row r="809" ht="26.25" customHeight="1">
      <c r="A809" s="29" t="n"/>
      <c r="B809" s="29" t="n"/>
      <c r="C809" s="28" t="n"/>
      <c r="D809" s="28" t="n"/>
      <c r="E809" s="28" t="n"/>
      <c r="F809" s="28" t="n"/>
      <c r="G809" s="28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</row>
    <row r="810" ht="26.25" customHeight="1">
      <c r="A810" s="29" t="n"/>
      <c r="B810" s="29" t="n"/>
      <c r="C810" s="28" t="n"/>
      <c r="D810" s="28" t="n"/>
      <c r="E810" s="28" t="n"/>
      <c r="F810" s="28" t="n"/>
      <c r="G810" s="28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</row>
    <row r="811" ht="26.25" customHeight="1">
      <c r="A811" s="29" t="n"/>
      <c r="B811" s="29" t="n"/>
      <c r="C811" s="28" t="n"/>
      <c r="D811" s="28" t="n"/>
      <c r="E811" s="28" t="n"/>
      <c r="F811" s="28" t="n"/>
      <c r="G811" s="28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</row>
    <row r="812" ht="26.25" customHeight="1">
      <c r="A812" s="29" t="n"/>
      <c r="B812" s="29" t="n"/>
      <c r="C812" s="28" t="n"/>
      <c r="D812" s="28" t="n"/>
      <c r="E812" s="28" t="n"/>
      <c r="F812" s="28" t="n"/>
      <c r="G812" s="28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</row>
    <row r="813" ht="26.25" customHeight="1">
      <c r="A813" s="29" t="n"/>
      <c r="B813" s="29" t="n"/>
      <c r="C813" s="28" t="n"/>
      <c r="D813" s="28" t="n"/>
      <c r="E813" s="28" t="n"/>
      <c r="F813" s="28" t="n"/>
      <c r="G813" s="28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</row>
    <row r="814" ht="26.25" customHeight="1">
      <c r="A814" s="29" t="n"/>
      <c r="B814" s="29" t="n"/>
      <c r="C814" s="28" t="n"/>
      <c r="D814" s="28" t="n"/>
      <c r="E814" s="28" t="n"/>
      <c r="F814" s="28" t="n"/>
      <c r="G814" s="28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</row>
    <row r="815" ht="26.25" customHeight="1">
      <c r="A815" s="29" t="n"/>
      <c r="B815" s="29" t="n"/>
      <c r="C815" s="28" t="n"/>
      <c r="D815" s="28" t="n"/>
      <c r="E815" s="28" t="n"/>
      <c r="F815" s="28" t="n"/>
      <c r="G815" s="28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</row>
    <row r="816" ht="26.25" customHeight="1">
      <c r="A816" s="29" t="n"/>
      <c r="B816" s="29" t="n"/>
      <c r="C816" s="28" t="n"/>
      <c r="D816" s="28" t="n"/>
      <c r="E816" s="28" t="n"/>
      <c r="F816" s="28" t="n"/>
      <c r="G816" s="28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</row>
    <row r="817" ht="26.25" customHeight="1">
      <c r="A817" s="29" t="n"/>
      <c r="B817" s="29" t="n"/>
      <c r="C817" s="28" t="n"/>
      <c r="D817" s="28" t="n"/>
      <c r="E817" s="28" t="n"/>
      <c r="F817" s="28" t="n"/>
      <c r="G817" s="28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</row>
    <row r="818" ht="26.25" customHeight="1">
      <c r="A818" s="29" t="n"/>
      <c r="B818" s="29" t="n"/>
      <c r="C818" s="28" t="n"/>
      <c r="D818" s="28" t="n"/>
      <c r="E818" s="28" t="n"/>
      <c r="F818" s="28" t="n"/>
      <c r="G818" s="28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</row>
    <row r="819" ht="26.25" customHeight="1">
      <c r="A819" s="29" t="n"/>
      <c r="B819" s="29" t="n"/>
      <c r="C819" s="28" t="n"/>
      <c r="D819" s="28" t="n"/>
      <c r="E819" s="28" t="n"/>
      <c r="F819" s="28" t="n"/>
      <c r="G819" s="28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</row>
    <row r="820" ht="26.25" customHeight="1">
      <c r="A820" s="29" t="n"/>
      <c r="B820" s="29" t="n"/>
      <c r="C820" s="28" t="n"/>
      <c r="D820" s="28" t="n"/>
      <c r="E820" s="28" t="n"/>
      <c r="F820" s="28" t="n"/>
      <c r="G820" s="28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</row>
    <row r="821" ht="26.25" customHeight="1">
      <c r="A821" s="29" t="n"/>
      <c r="B821" s="29" t="n"/>
      <c r="C821" s="28" t="n"/>
      <c r="D821" s="28" t="n"/>
      <c r="E821" s="28" t="n"/>
      <c r="F821" s="28" t="n"/>
      <c r="G821" s="28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</row>
    <row r="822" ht="26.25" customHeight="1">
      <c r="A822" s="29" t="n"/>
      <c r="B822" s="29" t="n"/>
      <c r="C822" s="28" t="n"/>
      <c r="D822" s="28" t="n"/>
      <c r="E822" s="28" t="n"/>
      <c r="F822" s="28" t="n"/>
      <c r="G822" s="28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</row>
    <row r="823" ht="26.25" customHeight="1">
      <c r="A823" s="29" t="n"/>
      <c r="B823" s="29" t="n"/>
      <c r="C823" s="28" t="n"/>
      <c r="D823" s="28" t="n"/>
      <c r="E823" s="28" t="n"/>
      <c r="F823" s="28" t="n"/>
      <c r="G823" s="28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</row>
    <row r="824" ht="26.25" customHeight="1">
      <c r="A824" s="29" t="n"/>
      <c r="B824" s="29" t="n"/>
      <c r="C824" s="28" t="n"/>
      <c r="D824" s="28" t="n"/>
      <c r="E824" s="28" t="n"/>
      <c r="F824" s="28" t="n"/>
      <c r="G824" s="28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</row>
    <row r="825" ht="26.25" customHeight="1">
      <c r="A825" s="29" t="n"/>
      <c r="B825" s="29" t="n"/>
      <c r="C825" s="28" t="n"/>
      <c r="D825" s="28" t="n"/>
      <c r="E825" s="28" t="n"/>
      <c r="F825" s="28" t="n"/>
      <c r="G825" s="28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</row>
    <row r="826" ht="26.25" customHeight="1">
      <c r="A826" s="29" t="n"/>
      <c r="B826" s="29" t="n"/>
      <c r="C826" s="28" t="n"/>
      <c r="D826" s="28" t="n"/>
      <c r="E826" s="28" t="n"/>
      <c r="F826" s="28" t="n"/>
      <c r="G826" s="28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</row>
    <row r="827" ht="26.25" customHeight="1">
      <c r="A827" s="29" t="n"/>
      <c r="B827" s="29" t="n"/>
      <c r="C827" s="28" t="n"/>
      <c r="D827" s="28" t="n"/>
      <c r="E827" s="28" t="n"/>
      <c r="F827" s="28" t="n"/>
      <c r="G827" s="28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</row>
    <row r="828" ht="26.25" customHeight="1">
      <c r="A828" s="29" t="n"/>
      <c r="B828" s="29" t="n"/>
      <c r="C828" s="28" t="n"/>
      <c r="D828" s="28" t="n"/>
      <c r="E828" s="28" t="n"/>
      <c r="F828" s="28" t="n"/>
      <c r="G828" s="28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</row>
    <row r="829" ht="26.25" customHeight="1">
      <c r="A829" s="29" t="n"/>
      <c r="B829" s="29" t="n"/>
      <c r="C829" s="28" t="n"/>
      <c r="D829" s="28" t="n"/>
      <c r="E829" s="28" t="n"/>
      <c r="F829" s="28" t="n"/>
      <c r="G829" s="28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</row>
    <row r="830" ht="26.25" customHeight="1">
      <c r="A830" s="29" t="n"/>
      <c r="B830" s="29" t="n"/>
      <c r="C830" s="28" t="n"/>
      <c r="D830" s="28" t="n"/>
      <c r="E830" s="28" t="n"/>
      <c r="F830" s="28" t="n"/>
      <c r="G830" s="28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</row>
    <row r="831" ht="26.25" customHeight="1">
      <c r="A831" s="29" t="n"/>
      <c r="B831" s="29" t="n"/>
      <c r="C831" s="28" t="n"/>
      <c r="D831" s="28" t="n"/>
      <c r="E831" s="28" t="n"/>
      <c r="F831" s="28" t="n"/>
      <c r="G831" s="28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</row>
    <row r="832" ht="26.25" customHeight="1">
      <c r="A832" s="29" t="n"/>
      <c r="B832" s="29" t="n"/>
      <c r="C832" s="28" t="n"/>
      <c r="D832" s="28" t="n"/>
      <c r="E832" s="28" t="n"/>
      <c r="F832" s="28" t="n"/>
      <c r="G832" s="28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</row>
    <row r="833" ht="26.25" customHeight="1">
      <c r="A833" s="29" t="n"/>
      <c r="B833" s="29" t="n"/>
      <c r="C833" s="28" t="n"/>
      <c r="D833" s="28" t="n"/>
      <c r="E833" s="28" t="n"/>
      <c r="F833" s="28" t="n"/>
      <c r="G833" s="28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</row>
    <row r="834" ht="26.25" customHeight="1">
      <c r="A834" s="29" t="n"/>
      <c r="B834" s="29" t="n"/>
      <c r="C834" s="28" t="n"/>
      <c r="D834" s="28" t="n"/>
      <c r="E834" s="28" t="n"/>
      <c r="F834" s="28" t="n"/>
      <c r="G834" s="28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</row>
    <row r="835" ht="26.25" customHeight="1">
      <c r="A835" s="29" t="n"/>
      <c r="B835" s="29" t="n"/>
      <c r="C835" s="28" t="n"/>
      <c r="D835" s="28" t="n"/>
      <c r="E835" s="28" t="n"/>
      <c r="F835" s="28" t="n"/>
      <c r="G835" s="28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</row>
    <row r="836" ht="26.25" customHeight="1">
      <c r="A836" s="29" t="n"/>
      <c r="B836" s="29" t="n"/>
      <c r="C836" s="28" t="n"/>
      <c r="D836" s="28" t="n"/>
      <c r="E836" s="28" t="n"/>
      <c r="F836" s="28" t="n"/>
      <c r="G836" s="28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</row>
    <row r="837" ht="26.25" customHeight="1">
      <c r="A837" s="29" t="n"/>
      <c r="B837" s="29" t="n"/>
      <c r="C837" s="28" t="n"/>
      <c r="D837" s="28" t="n"/>
      <c r="E837" s="28" t="n"/>
      <c r="F837" s="28" t="n"/>
      <c r="G837" s="28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</row>
    <row r="838" ht="26.25" customHeight="1">
      <c r="A838" s="29" t="n"/>
      <c r="B838" s="29" t="n"/>
      <c r="C838" s="28" t="n"/>
      <c r="D838" s="28" t="n"/>
      <c r="E838" s="28" t="n"/>
      <c r="F838" s="28" t="n"/>
      <c r="G838" s="28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</row>
    <row r="839" ht="26.25" customHeight="1">
      <c r="A839" s="29" t="n"/>
      <c r="B839" s="29" t="n"/>
      <c r="C839" s="28" t="n"/>
      <c r="D839" s="28" t="n"/>
      <c r="E839" s="28" t="n"/>
      <c r="F839" s="28" t="n"/>
      <c r="G839" s="28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</row>
    <row r="840" ht="26.25" customHeight="1">
      <c r="A840" s="29" t="n"/>
      <c r="B840" s="29" t="n"/>
      <c r="C840" s="28" t="n"/>
      <c r="D840" s="28" t="n"/>
      <c r="E840" s="28" t="n"/>
      <c r="F840" s="28" t="n"/>
      <c r="G840" s="28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</row>
    <row r="841" ht="26.25" customHeight="1">
      <c r="A841" s="29" t="n"/>
      <c r="B841" s="29" t="n"/>
      <c r="C841" s="28" t="n"/>
      <c r="D841" s="28" t="n"/>
      <c r="E841" s="28" t="n"/>
      <c r="F841" s="28" t="n"/>
      <c r="G841" s="28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</row>
    <row r="842" ht="26.25" customHeight="1">
      <c r="A842" s="29" t="n"/>
      <c r="B842" s="29" t="n"/>
      <c r="C842" s="28" t="n"/>
      <c r="D842" s="28" t="n"/>
      <c r="E842" s="28" t="n"/>
      <c r="F842" s="28" t="n"/>
      <c r="G842" s="28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</row>
    <row r="843" ht="26.25" customHeight="1">
      <c r="A843" s="29" t="n"/>
      <c r="B843" s="29" t="n"/>
      <c r="C843" s="28" t="n"/>
      <c r="D843" s="28" t="n"/>
      <c r="E843" s="28" t="n"/>
      <c r="F843" s="28" t="n"/>
      <c r="G843" s="28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</row>
    <row r="844" ht="26.25" customHeight="1">
      <c r="A844" s="29" t="n"/>
      <c r="B844" s="29" t="n"/>
      <c r="C844" s="28" t="n"/>
      <c r="D844" s="28" t="n"/>
      <c r="E844" s="28" t="n"/>
      <c r="F844" s="28" t="n"/>
      <c r="G844" s="28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</row>
    <row r="845" ht="26.25" customHeight="1">
      <c r="A845" s="29" t="n"/>
      <c r="B845" s="29" t="n"/>
      <c r="C845" s="28" t="n"/>
      <c r="D845" s="28" t="n"/>
      <c r="E845" s="28" t="n"/>
      <c r="F845" s="28" t="n"/>
      <c r="G845" s="28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</row>
    <row r="846" ht="26.25" customHeight="1">
      <c r="A846" s="29" t="n"/>
      <c r="B846" s="29" t="n"/>
      <c r="C846" s="28" t="n"/>
      <c r="D846" s="28" t="n"/>
      <c r="E846" s="28" t="n"/>
      <c r="F846" s="28" t="n"/>
      <c r="G846" s="28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</row>
    <row r="847" ht="26.25" customHeight="1">
      <c r="A847" s="29" t="n"/>
      <c r="B847" s="29" t="n"/>
      <c r="C847" s="28" t="n"/>
      <c r="D847" s="28" t="n"/>
      <c r="E847" s="28" t="n"/>
      <c r="F847" s="28" t="n"/>
      <c r="G847" s="28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</row>
    <row r="848" ht="26.25" customHeight="1">
      <c r="A848" s="29" t="n"/>
      <c r="B848" s="29" t="n"/>
      <c r="C848" s="28" t="n"/>
      <c r="D848" s="28" t="n"/>
      <c r="E848" s="28" t="n"/>
      <c r="F848" s="28" t="n"/>
      <c r="G848" s="28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</row>
    <row r="849" ht="26.25" customHeight="1">
      <c r="A849" s="29" t="n"/>
      <c r="B849" s="29" t="n"/>
      <c r="C849" s="28" t="n"/>
      <c r="D849" s="28" t="n"/>
      <c r="E849" s="28" t="n"/>
      <c r="F849" s="28" t="n"/>
      <c r="G849" s="28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</row>
    <row r="850" ht="26.25" customHeight="1">
      <c r="A850" s="29" t="n"/>
      <c r="B850" s="29" t="n"/>
      <c r="C850" s="28" t="n"/>
      <c r="D850" s="28" t="n"/>
      <c r="E850" s="28" t="n"/>
      <c r="F850" s="28" t="n"/>
      <c r="G850" s="28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</row>
    <row r="851" ht="26.25" customHeight="1">
      <c r="A851" s="29" t="n"/>
      <c r="B851" s="29" t="n"/>
      <c r="C851" s="28" t="n"/>
      <c r="D851" s="28" t="n"/>
      <c r="E851" s="28" t="n"/>
      <c r="F851" s="28" t="n"/>
      <c r="G851" s="28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</row>
    <row r="852" ht="26.25" customHeight="1">
      <c r="A852" s="29" t="n"/>
      <c r="B852" s="29" t="n"/>
      <c r="C852" s="28" t="n"/>
      <c r="D852" s="28" t="n"/>
      <c r="E852" s="28" t="n"/>
      <c r="F852" s="28" t="n"/>
      <c r="G852" s="28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</row>
    <row r="853" ht="26.25" customHeight="1">
      <c r="A853" s="29" t="n"/>
      <c r="B853" s="29" t="n"/>
      <c r="C853" s="28" t="n"/>
      <c r="D853" s="28" t="n"/>
      <c r="E853" s="28" t="n"/>
      <c r="F853" s="28" t="n"/>
      <c r="G853" s="28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</row>
    <row r="854" ht="26.25" customHeight="1">
      <c r="A854" s="29" t="n"/>
      <c r="B854" s="29" t="n"/>
      <c r="C854" s="28" t="n"/>
      <c r="D854" s="28" t="n"/>
      <c r="E854" s="28" t="n"/>
      <c r="F854" s="28" t="n"/>
      <c r="G854" s="28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</row>
    <row r="855" ht="26.25" customHeight="1">
      <c r="A855" s="29" t="n"/>
      <c r="B855" s="29" t="n"/>
      <c r="C855" s="28" t="n"/>
      <c r="D855" s="28" t="n"/>
      <c r="E855" s="28" t="n"/>
      <c r="F855" s="28" t="n"/>
      <c r="G855" s="28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</row>
    <row r="856" ht="26.25" customHeight="1">
      <c r="A856" s="29" t="n"/>
      <c r="B856" s="29" t="n"/>
      <c r="C856" s="28" t="n"/>
      <c r="D856" s="28" t="n"/>
      <c r="E856" s="28" t="n"/>
      <c r="F856" s="28" t="n"/>
      <c r="G856" s="28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</row>
    <row r="857" ht="26.25" customHeight="1">
      <c r="A857" s="29" t="n"/>
      <c r="B857" s="29" t="n"/>
      <c r="C857" s="28" t="n"/>
      <c r="D857" s="28" t="n"/>
      <c r="E857" s="28" t="n"/>
      <c r="F857" s="28" t="n"/>
      <c r="G857" s="28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</row>
    <row r="858" ht="26.25" customHeight="1">
      <c r="A858" s="29" t="n"/>
      <c r="B858" s="29" t="n"/>
      <c r="C858" s="28" t="n"/>
      <c r="D858" s="28" t="n"/>
      <c r="E858" s="28" t="n"/>
      <c r="F858" s="28" t="n"/>
      <c r="G858" s="28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</row>
    <row r="859" ht="26.25" customHeight="1">
      <c r="A859" s="29" t="n"/>
      <c r="B859" s="29" t="n"/>
      <c r="C859" s="28" t="n"/>
      <c r="D859" s="28" t="n"/>
      <c r="E859" s="28" t="n"/>
      <c r="F859" s="28" t="n"/>
      <c r="G859" s="28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</row>
    <row r="860" ht="26.25" customHeight="1">
      <c r="A860" s="29" t="n"/>
      <c r="B860" s="29" t="n"/>
      <c r="C860" s="28" t="n"/>
      <c r="D860" s="28" t="n"/>
      <c r="E860" s="28" t="n"/>
      <c r="F860" s="28" t="n"/>
      <c r="G860" s="28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</row>
    <row r="861" ht="26.25" customHeight="1">
      <c r="A861" s="29" t="n"/>
      <c r="B861" s="29" t="n"/>
      <c r="C861" s="28" t="n"/>
      <c r="D861" s="28" t="n"/>
      <c r="E861" s="28" t="n"/>
      <c r="F861" s="28" t="n"/>
      <c r="G861" s="28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</row>
    <row r="862" ht="26.25" customHeight="1">
      <c r="A862" s="29" t="n"/>
      <c r="B862" s="29" t="n"/>
      <c r="C862" s="28" t="n"/>
      <c r="D862" s="28" t="n"/>
      <c r="E862" s="28" t="n"/>
      <c r="F862" s="28" t="n"/>
      <c r="G862" s="28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</row>
    <row r="863" ht="26.25" customHeight="1">
      <c r="A863" s="29" t="n"/>
      <c r="B863" s="29" t="n"/>
      <c r="C863" s="28" t="n"/>
      <c r="D863" s="28" t="n"/>
      <c r="E863" s="28" t="n"/>
      <c r="F863" s="28" t="n"/>
      <c r="G863" s="28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</row>
    <row r="864" ht="26.25" customHeight="1">
      <c r="A864" s="29" t="n"/>
      <c r="B864" s="29" t="n"/>
      <c r="C864" s="28" t="n"/>
      <c r="D864" s="28" t="n"/>
      <c r="E864" s="28" t="n"/>
      <c r="F864" s="28" t="n"/>
      <c r="G864" s="28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</row>
    <row r="865" ht="26.25" customHeight="1">
      <c r="A865" s="29" t="n"/>
      <c r="B865" s="29" t="n"/>
      <c r="C865" s="28" t="n"/>
      <c r="D865" s="28" t="n"/>
      <c r="E865" s="28" t="n"/>
      <c r="F865" s="28" t="n"/>
      <c r="G865" s="28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</row>
    <row r="866" ht="26.25" customHeight="1">
      <c r="A866" s="29" t="n"/>
      <c r="B866" s="29" t="n"/>
      <c r="C866" s="28" t="n"/>
      <c r="D866" s="28" t="n"/>
      <c r="E866" s="28" t="n"/>
      <c r="F866" s="28" t="n"/>
      <c r="G866" s="28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</row>
    <row r="867" ht="26.25" customHeight="1">
      <c r="A867" s="29" t="n"/>
      <c r="B867" s="29" t="n"/>
      <c r="C867" s="28" t="n"/>
      <c r="D867" s="28" t="n"/>
      <c r="E867" s="28" t="n"/>
      <c r="F867" s="28" t="n"/>
      <c r="G867" s="28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</row>
    <row r="868" ht="26.25" customHeight="1">
      <c r="A868" s="29" t="n"/>
      <c r="B868" s="29" t="n"/>
      <c r="C868" s="28" t="n"/>
      <c r="D868" s="28" t="n"/>
      <c r="E868" s="28" t="n"/>
      <c r="F868" s="28" t="n"/>
      <c r="G868" s="28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</row>
    <row r="869" ht="26.25" customHeight="1">
      <c r="A869" s="29" t="n"/>
      <c r="B869" s="29" t="n"/>
      <c r="C869" s="28" t="n"/>
      <c r="D869" s="28" t="n"/>
      <c r="E869" s="28" t="n"/>
      <c r="F869" s="28" t="n"/>
      <c r="G869" s="28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</row>
    <row r="870" ht="26.25" customHeight="1">
      <c r="A870" s="29" t="n"/>
      <c r="B870" s="29" t="n"/>
      <c r="C870" s="28" t="n"/>
      <c r="D870" s="28" t="n"/>
      <c r="E870" s="28" t="n"/>
      <c r="F870" s="28" t="n"/>
      <c r="G870" s="28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</row>
    <row r="871" ht="26.25" customHeight="1">
      <c r="A871" s="29" t="n"/>
      <c r="B871" s="29" t="n"/>
      <c r="C871" s="28" t="n"/>
      <c r="D871" s="28" t="n"/>
      <c r="E871" s="28" t="n"/>
      <c r="F871" s="28" t="n"/>
      <c r="G871" s="28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</row>
    <row r="872" ht="26.25" customHeight="1">
      <c r="A872" s="29" t="n"/>
      <c r="B872" s="29" t="n"/>
      <c r="C872" s="28" t="n"/>
      <c r="D872" s="28" t="n"/>
      <c r="E872" s="28" t="n"/>
      <c r="F872" s="28" t="n"/>
      <c r="G872" s="28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</row>
    <row r="873" ht="26.25" customHeight="1">
      <c r="A873" s="29" t="n"/>
      <c r="B873" s="29" t="n"/>
      <c r="C873" s="28" t="n"/>
      <c r="D873" s="28" t="n"/>
      <c r="E873" s="28" t="n"/>
      <c r="F873" s="28" t="n"/>
      <c r="G873" s="28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</row>
    <row r="874" ht="26.25" customHeight="1">
      <c r="A874" s="29" t="n"/>
      <c r="B874" s="29" t="n"/>
      <c r="C874" s="28" t="n"/>
      <c r="D874" s="28" t="n"/>
      <c r="E874" s="28" t="n"/>
      <c r="F874" s="28" t="n"/>
      <c r="G874" s="28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</row>
    <row r="875" ht="26.25" customHeight="1">
      <c r="A875" s="29" t="n"/>
      <c r="B875" s="29" t="n"/>
      <c r="C875" s="28" t="n"/>
      <c r="D875" s="28" t="n"/>
      <c r="E875" s="28" t="n"/>
      <c r="F875" s="28" t="n"/>
      <c r="G875" s="28" t="n"/>
      <c r="H875" s="29" t="n"/>
      <c r="I875" s="29" t="n"/>
      <c r="J875" s="29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</row>
    <row r="876" ht="26.25" customHeight="1">
      <c r="A876" s="29" t="n"/>
      <c r="B876" s="29" t="n"/>
      <c r="C876" s="28" t="n"/>
      <c r="D876" s="28" t="n"/>
      <c r="E876" s="28" t="n"/>
      <c r="F876" s="28" t="n"/>
      <c r="G876" s="28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</row>
    <row r="877" ht="26.25" customHeight="1">
      <c r="A877" s="29" t="n"/>
      <c r="B877" s="29" t="n"/>
      <c r="C877" s="28" t="n"/>
      <c r="D877" s="28" t="n"/>
      <c r="E877" s="28" t="n"/>
      <c r="F877" s="28" t="n"/>
      <c r="G877" s="28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</row>
    <row r="878" ht="26.25" customHeight="1">
      <c r="A878" s="29" t="n"/>
      <c r="B878" s="29" t="n"/>
      <c r="C878" s="28" t="n"/>
      <c r="D878" s="28" t="n"/>
      <c r="E878" s="28" t="n"/>
      <c r="F878" s="28" t="n"/>
      <c r="G878" s="28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</row>
    <row r="879" ht="26.25" customHeight="1">
      <c r="A879" s="29" t="n"/>
      <c r="B879" s="29" t="n"/>
      <c r="C879" s="28" t="n"/>
      <c r="D879" s="28" t="n"/>
      <c r="E879" s="28" t="n"/>
      <c r="F879" s="28" t="n"/>
      <c r="G879" s="28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</row>
    <row r="880" ht="26.25" customHeight="1">
      <c r="A880" s="29" t="n"/>
      <c r="B880" s="29" t="n"/>
      <c r="C880" s="28" t="n"/>
      <c r="D880" s="28" t="n"/>
      <c r="E880" s="28" t="n"/>
      <c r="F880" s="28" t="n"/>
      <c r="G880" s="28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</row>
    <row r="881" ht="26.25" customHeight="1">
      <c r="A881" s="29" t="n"/>
      <c r="B881" s="29" t="n"/>
      <c r="C881" s="28" t="n"/>
      <c r="D881" s="28" t="n"/>
      <c r="E881" s="28" t="n"/>
      <c r="F881" s="28" t="n"/>
      <c r="G881" s="28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</row>
    <row r="882" ht="26.25" customHeight="1">
      <c r="A882" s="29" t="n"/>
      <c r="B882" s="29" t="n"/>
      <c r="C882" s="28" t="n"/>
      <c r="D882" s="28" t="n"/>
      <c r="E882" s="28" t="n"/>
      <c r="F882" s="28" t="n"/>
      <c r="G882" s="28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</row>
    <row r="883" ht="26.25" customHeight="1">
      <c r="A883" s="29" t="n"/>
      <c r="B883" s="29" t="n"/>
      <c r="C883" s="28" t="n"/>
      <c r="D883" s="28" t="n"/>
      <c r="E883" s="28" t="n"/>
      <c r="F883" s="28" t="n"/>
      <c r="G883" s="28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</row>
    <row r="884" ht="26.25" customHeight="1">
      <c r="A884" s="29" t="n"/>
      <c r="B884" s="29" t="n"/>
      <c r="C884" s="28" t="n"/>
      <c r="D884" s="28" t="n"/>
      <c r="E884" s="28" t="n"/>
      <c r="F884" s="28" t="n"/>
      <c r="G884" s="28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</row>
    <row r="885" ht="26.25" customHeight="1">
      <c r="A885" s="29" t="n"/>
      <c r="B885" s="29" t="n"/>
      <c r="C885" s="28" t="n"/>
      <c r="D885" s="28" t="n"/>
      <c r="E885" s="28" t="n"/>
      <c r="F885" s="28" t="n"/>
      <c r="G885" s="28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</row>
    <row r="886" ht="26.25" customHeight="1">
      <c r="A886" s="29" t="n"/>
      <c r="B886" s="29" t="n"/>
      <c r="C886" s="28" t="n"/>
      <c r="D886" s="28" t="n"/>
      <c r="E886" s="28" t="n"/>
      <c r="F886" s="28" t="n"/>
      <c r="G886" s="28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</row>
    <row r="887" ht="26.25" customHeight="1">
      <c r="A887" s="29" t="n"/>
      <c r="B887" s="29" t="n"/>
      <c r="C887" s="28" t="n"/>
      <c r="D887" s="28" t="n"/>
      <c r="E887" s="28" t="n"/>
      <c r="F887" s="28" t="n"/>
      <c r="G887" s="28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</row>
    <row r="888" ht="26.25" customHeight="1">
      <c r="A888" s="29" t="n"/>
      <c r="B888" s="29" t="n"/>
      <c r="C888" s="28" t="n"/>
      <c r="D888" s="28" t="n"/>
      <c r="E888" s="28" t="n"/>
      <c r="F888" s="28" t="n"/>
      <c r="G888" s="28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</row>
    <row r="889" ht="26.25" customHeight="1">
      <c r="A889" s="29" t="n"/>
      <c r="B889" s="29" t="n"/>
      <c r="C889" s="28" t="n"/>
      <c r="D889" s="28" t="n"/>
      <c r="E889" s="28" t="n"/>
      <c r="F889" s="28" t="n"/>
      <c r="G889" s="28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</row>
    <row r="890" ht="26.25" customHeight="1">
      <c r="A890" s="29" t="n"/>
      <c r="B890" s="29" t="n"/>
      <c r="C890" s="28" t="n"/>
      <c r="D890" s="28" t="n"/>
      <c r="E890" s="28" t="n"/>
      <c r="F890" s="28" t="n"/>
      <c r="G890" s="28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</row>
    <row r="891" ht="26.25" customHeight="1">
      <c r="A891" s="29" t="n"/>
      <c r="B891" s="29" t="n"/>
      <c r="C891" s="28" t="n"/>
      <c r="D891" s="28" t="n"/>
      <c r="E891" s="28" t="n"/>
      <c r="F891" s="28" t="n"/>
      <c r="G891" s="28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</row>
    <row r="892" ht="26.25" customHeight="1">
      <c r="A892" s="29" t="n"/>
      <c r="B892" s="29" t="n"/>
      <c r="C892" s="28" t="n"/>
      <c r="D892" s="28" t="n"/>
      <c r="E892" s="28" t="n"/>
      <c r="F892" s="28" t="n"/>
      <c r="G892" s="28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</row>
    <row r="893" ht="26.25" customHeight="1">
      <c r="A893" s="29" t="n"/>
      <c r="B893" s="29" t="n"/>
      <c r="C893" s="28" t="n"/>
      <c r="D893" s="28" t="n"/>
      <c r="E893" s="28" t="n"/>
      <c r="F893" s="28" t="n"/>
      <c r="G893" s="28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</row>
    <row r="894" ht="26.25" customHeight="1">
      <c r="A894" s="29" t="n"/>
      <c r="B894" s="29" t="n"/>
      <c r="C894" s="28" t="n"/>
      <c r="D894" s="28" t="n"/>
      <c r="E894" s="28" t="n"/>
      <c r="F894" s="28" t="n"/>
      <c r="G894" s="28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</row>
    <row r="895" ht="26.25" customHeight="1">
      <c r="A895" s="29" t="n"/>
      <c r="B895" s="29" t="n"/>
      <c r="C895" s="28" t="n"/>
      <c r="D895" s="28" t="n"/>
      <c r="E895" s="28" t="n"/>
      <c r="F895" s="28" t="n"/>
      <c r="G895" s="28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</row>
    <row r="896" ht="26.25" customHeight="1">
      <c r="A896" s="29" t="n"/>
      <c r="B896" s="29" t="n"/>
      <c r="C896" s="28" t="n"/>
      <c r="D896" s="28" t="n"/>
      <c r="E896" s="28" t="n"/>
      <c r="F896" s="28" t="n"/>
      <c r="G896" s="28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</row>
    <row r="897" ht="26.25" customHeight="1">
      <c r="A897" s="29" t="n"/>
      <c r="B897" s="29" t="n"/>
      <c r="C897" s="28" t="n"/>
      <c r="D897" s="28" t="n"/>
      <c r="E897" s="28" t="n"/>
      <c r="F897" s="28" t="n"/>
      <c r="G897" s="28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</row>
    <row r="898" ht="26.25" customHeight="1">
      <c r="A898" s="29" t="n"/>
      <c r="B898" s="29" t="n"/>
      <c r="C898" s="28" t="n"/>
      <c r="D898" s="28" t="n"/>
      <c r="E898" s="28" t="n"/>
      <c r="F898" s="28" t="n"/>
      <c r="G898" s="28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</row>
    <row r="899" ht="26.25" customHeight="1">
      <c r="A899" s="29" t="n"/>
      <c r="B899" s="29" t="n"/>
      <c r="C899" s="28" t="n"/>
      <c r="D899" s="28" t="n"/>
      <c r="E899" s="28" t="n"/>
      <c r="F899" s="28" t="n"/>
      <c r="G899" s="28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</row>
    <row r="900" ht="26.25" customHeight="1">
      <c r="A900" s="29" t="n"/>
      <c r="B900" s="29" t="n"/>
      <c r="C900" s="28" t="n"/>
      <c r="D900" s="28" t="n"/>
      <c r="E900" s="28" t="n"/>
      <c r="F900" s="28" t="n"/>
      <c r="G900" s="28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</row>
    <row r="901" ht="26.25" customHeight="1">
      <c r="A901" s="29" t="n"/>
      <c r="B901" s="29" t="n"/>
      <c r="C901" s="28" t="n"/>
      <c r="D901" s="28" t="n"/>
      <c r="E901" s="28" t="n"/>
      <c r="F901" s="28" t="n"/>
      <c r="G901" s="28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</row>
    <row r="902" ht="26.25" customHeight="1">
      <c r="A902" s="29" t="n"/>
      <c r="B902" s="29" t="n"/>
      <c r="C902" s="28" t="n"/>
      <c r="D902" s="28" t="n"/>
      <c r="E902" s="28" t="n"/>
      <c r="F902" s="28" t="n"/>
      <c r="G902" s="28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</row>
    <row r="903" ht="26.25" customHeight="1">
      <c r="A903" s="29" t="n"/>
      <c r="B903" s="29" t="n"/>
      <c r="C903" s="28" t="n"/>
      <c r="D903" s="28" t="n"/>
      <c r="E903" s="28" t="n"/>
      <c r="F903" s="28" t="n"/>
      <c r="G903" s="28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</row>
    <row r="904" ht="26.25" customHeight="1">
      <c r="A904" s="29" t="n"/>
      <c r="B904" s="29" t="n"/>
      <c r="C904" s="28" t="n"/>
      <c r="D904" s="28" t="n"/>
      <c r="E904" s="28" t="n"/>
      <c r="F904" s="28" t="n"/>
      <c r="G904" s="28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</row>
    <row r="905" ht="26.25" customHeight="1">
      <c r="A905" s="29" t="n"/>
      <c r="B905" s="29" t="n"/>
      <c r="C905" s="28" t="n"/>
      <c r="D905" s="28" t="n"/>
      <c r="E905" s="28" t="n"/>
      <c r="F905" s="28" t="n"/>
      <c r="G905" s="28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</row>
    <row r="906" ht="26.25" customHeight="1">
      <c r="A906" s="29" t="n"/>
      <c r="B906" s="29" t="n"/>
      <c r="C906" s="28" t="n"/>
      <c r="D906" s="28" t="n"/>
      <c r="E906" s="28" t="n"/>
      <c r="F906" s="28" t="n"/>
      <c r="G906" s="28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</row>
    <row r="907" ht="26.25" customHeight="1">
      <c r="A907" s="29" t="n"/>
      <c r="B907" s="29" t="n"/>
      <c r="C907" s="28" t="n"/>
      <c r="D907" s="28" t="n"/>
      <c r="E907" s="28" t="n"/>
      <c r="F907" s="28" t="n"/>
      <c r="G907" s="28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</row>
    <row r="908" ht="26.25" customHeight="1">
      <c r="A908" s="29" t="n"/>
      <c r="B908" s="29" t="n"/>
      <c r="C908" s="28" t="n"/>
      <c r="D908" s="28" t="n"/>
      <c r="E908" s="28" t="n"/>
      <c r="F908" s="28" t="n"/>
      <c r="G908" s="28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</row>
    <row r="909" ht="26.25" customHeight="1">
      <c r="A909" s="29" t="n"/>
      <c r="B909" s="29" t="n"/>
      <c r="C909" s="28" t="n"/>
      <c r="D909" s="28" t="n"/>
      <c r="E909" s="28" t="n"/>
      <c r="F909" s="28" t="n"/>
      <c r="G909" s="28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</row>
    <row r="910" ht="26.25" customHeight="1">
      <c r="A910" s="29" t="n"/>
      <c r="B910" s="29" t="n"/>
      <c r="C910" s="28" t="n"/>
      <c r="D910" s="28" t="n"/>
      <c r="E910" s="28" t="n"/>
      <c r="F910" s="28" t="n"/>
      <c r="G910" s="28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</row>
    <row r="911" ht="26.25" customHeight="1">
      <c r="A911" s="29" t="n"/>
      <c r="B911" s="29" t="n"/>
      <c r="C911" s="28" t="n"/>
      <c r="D911" s="28" t="n"/>
      <c r="E911" s="28" t="n"/>
      <c r="F911" s="28" t="n"/>
      <c r="G911" s="28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</row>
    <row r="912" ht="26.25" customHeight="1">
      <c r="A912" s="29" t="n"/>
      <c r="B912" s="29" t="n"/>
      <c r="C912" s="28" t="n"/>
      <c r="D912" s="28" t="n"/>
      <c r="E912" s="28" t="n"/>
      <c r="F912" s="28" t="n"/>
      <c r="G912" s="28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</row>
    <row r="913" ht="26.25" customHeight="1">
      <c r="A913" s="29" t="n"/>
      <c r="B913" s="29" t="n"/>
      <c r="C913" s="28" t="n"/>
      <c r="D913" s="28" t="n"/>
      <c r="E913" s="28" t="n"/>
      <c r="F913" s="28" t="n"/>
      <c r="G913" s="28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</row>
    <row r="914" ht="26.25" customHeight="1">
      <c r="A914" s="29" t="n"/>
      <c r="B914" s="29" t="n"/>
      <c r="C914" s="28" t="n"/>
      <c r="D914" s="28" t="n"/>
      <c r="E914" s="28" t="n"/>
      <c r="F914" s="28" t="n"/>
      <c r="G914" s="28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</row>
    <row r="915" ht="26.25" customHeight="1">
      <c r="A915" s="29" t="n"/>
      <c r="B915" s="29" t="n"/>
      <c r="C915" s="28" t="n"/>
      <c r="D915" s="28" t="n"/>
      <c r="E915" s="28" t="n"/>
      <c r="F915" s="28" t="n"/>
      <c r="G915" s="28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</row>
    <row r="916" ht="26.25" customHeight="1">
      <c r="A916" s="29" t="n"/>
      <c r="B916" s="29" t="n"/>
      <c r="C916" s="28" t="n"/>
      <c r="D916" s="28" t="n"/>
      <c r="E916" s="28" t="n"/>
      <c r="F916" s="28" t="n"/>
      <c r="G916" s="28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</row>
    <row r="917" ht="26.25" customHeight="1">
      <c r="A917" s="29" t="n"/>
      <c r="B917" s="29" t="n"/>
      <c r="C917" s="28" t="n"/>
      <c r="D917" s="28" t="n"/>
      <c r="E917" s="28" t="n"/>
      <c r="F917" s="28" t="n"/>
      <c r="G917" s="28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</row>
    <row r="918" ht="26.25" customHeight="1">
      <c r="A918" s="29" t="n"/>
      <c r="B918" s="29" t="n"/>
      <c r="C918" s="28" t="n"/>
      <c r="D918" s="28" t="n"/>
      <c r="E918" s="28" t="n"/>
      <c r="F918" s="28" t="n"/>
      <c r="G918" s="28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</row>
    <row r="919" ht="26.25" customHeight="1">
      <c r="A919" s="29" t="n"/>
      <c r="B919" s="29" t="n"/>
      <c r="C919" s="28" t="n"/>
      <c r="D919" s="28" t="n"/>
      <c r="E919" s="28" t="n"/>
      <c r="F919" s="28" t="n"/>
      <c r="G919" s="28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</row>
    <row r="920" ht="26.25" customHeight="1">
      <c r="A920" s="29" t="n"/>
      <c r="B920" s="29" t="n"/>
      <c r="C920" s="28" t="n"/>
      <c r="D920" s="28" t="n"/>
      <c r="E920" s="28" t="n"/>
      <c r="F920" s="28" t="n"/>
      <c r="G920" s="28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</row>
    <row r="921" ht="26.25" customHeight="1">
      <c r="A921" s="29" t="n"/>
      <c r="B921" s="29" t="n"/>
      <c r="C921" s="28" t="n"/>
      <c r="D921" s="28" t="n"/>
      <c r="E921" s="28" t="n"/>
      <c r="F921" s="28" t="n"/>
      <c r="G921" s="28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</row>
    <row r="922" ht="26.25" customHeight="1">
      <c r="A922" s="29" t="n"/>
      <c r="B922" s="29" t="n"/>
      <c r="C922" s="28" t="n"/>
      <c r="D922" s="28" t="n"/>
      <c r="E922" s="28" t="n"/>
      <c r="F922" s="28" t="n"/>
      <c r="G922" s="28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</row>
    <row r="923" ht="26.25" customHeight="1">
      <c r="A923" s="29" t="n"/>
      <c r="B923" s="29" t="n"/>
      <c r="C923" s="28" t="n"/>
      <c r="D923" s="28" t="n"/>
      <c r="E923" s="28" t="n"/>
      <c r="F923" s="28" t="n"/>
      <c r="G923" s="28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</row>
    <row r="924" ht="26.25" customHeight="1">
      <c r="A924" s="29" t="n"/>
      <c r="B924" s="29" t="n"/>
      <c r="C924" s="28" t="n"/>
      <c r="D924" s="28" t="n"/>
      <c r="E924" s="28" t="n"/>
      <c r="F924" s="28" t="n"/>
      <c r="G924" s="28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</row>
    <row r="925" ht="26.25" customHeight="1">
      <c r="A925" s="29" t="n"/>
      <c r="B925" s="29" t="n"/>
      <c r="C925" s="28" t="n"/>
      <c r="D925" s="28" t="n"/>
      <c r="E925" s="28" t="n"/>
      <c r="F925" s="28" t="n"/>
      <c r="G925" s="28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</row>
    <row r="926" ht="26.25" customHeight="1">
      <c r="A926" s="29" t="n"/>
      <c r="B926" s="29" t="n"/>
      <c r="C926" s="28" t="n"/>
      <c r="D926" s="28" t="n"/>
      <c r="E926" s="28" t="n"/>
      <c r="F926" s="28" t="n"/>
      <c r="G926" s="28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</row>
    <row r="927" ht="26.25" customHeight="1">
      <c r="A927" s="29" t="n"/>
      <c r="B927" s="29" t="n"/>
      <c r="C927" s="28" t="n"/>
      <c r="D927" s="28" t="n"/>
      <c r="E927" s="28" t="n"/>
      <c r="F927" s="28" t="n"/>
      <c r="G927" s="28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</row>
    <row r="928" ht="26.25" customHeight="1">
      <c r="A928" s="29" t="n"/>
      <c r="B928" s="29" t="n"/>
      <c r="C928" s="28" t="n"/>
      <c r="D928" s="28" t="n"/>
      <c r="E928" s="28" t="n"/>
      <c r="F928" s="28" t="n"/>
      <c r="G928" s="28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</row>
    <row r="929" ht="26.25" customHeight="1">
      <c r="A929" s="29" t="n"/>
      <c r="B929" s="29" t="n"/>
      <c r="C929" s="28" t="n"/>
      <c r="D929" s="28" t="n"/>
      <c r="E929" s="28" t="n"/>
      <c r="F929" s="28" t="n"/>
      <c r="G929" s="28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</row>
    <row r="930" ht="26.25" customHeight="1">
      <c r="A930" s="29" t="n"/>
      <c r="B930" s="29" t="n"/>
      <c r="C930" s="28" t="n"/>
      <c r="D930" s="28" t="n"/>
      <c r="E930" s="28" t="n"/>
      <c r="F930" s="28" t="n"/>
      <c r="G930" s="28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</row>
    <row r="931" ht="26.25" customHeight="1">
      <c r="A931" s="29" t="n"/>
      <c r="B931" s="29" t="n"/>
      <c r="C931" s="28" t="n"/>
      <c r="D931" s="28" t="n"/>
      <c r="E931" s="28" t="n"/>
      <c r="F931" s="28" t="n"/>
      <c r="G931" s="28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</row>
    <row r="932" ht="26.25" customHeight="1">
      <c r="A932" s="29" t="n"/>
      <c r="B932" s="29" t="n"/>
      <c r="C932" s="28" t="n"/>
      <c r="D932" s="28" t="n"/>
      <c r="E932" s="28" t="n"/>
      <c r="F932" s="28" t="n"/>
      <c r="G932" s="28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</row>
    <row r="933" ht="26.25" customHeight="1">
      <c r="A933" s="29" t="n"/>
      <c r="B933" s="29" t="n"/>
      <c r="C933" s="28" t="n"/>
      <c r="D933" s="28" t="n"/>
      <c r="E933" s="28" t="n"/>
      <c r="F933" s="28" t="n"/>
      <c r="G933" s="28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</row>
    <row r="934" ht="26.25" customHeight="1">
      <c r="A934" s="29" t="n"/>
      <c r="B934" s="29" t="n"/>
      <c r="C934" s="28" t="n"/>
      <c r="D934" s="28" t="n"/>
      <c r="E934" s="28" t="n"/>
      <c r="F934" s="28" t="n"/>
      <c r="G934" s="28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</row>
    <row r="935" ht="26.25" customHeight="1">
      <c r="A935" s="29" t="n"/>
      <c r="B935" s="29" t="n"/>
      <c r="C935" s="28" t="n"/>
      <c r="D935" s="28" t="n"/>
      <c r="E935" s="28" t="n"/>
      <c r="F935" s="28" t="n"/>
      <c r="G935" s="28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</row>
    <row r="936" ht="26.25" customHeight="1">
      <c r="A936" s="29" t="n"/>
      <c r="B936" s="29" t="n"/>
      <c r="C936" s="28" t="n"/>
      <c r="D936" s="28" t="n"/>
      <c r="E936" s="28" t="n"/>
      <c r="F936" s="28" t="n"/>
      <c r="G936" s="28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</row>
    <row r="937" ht="26.25" customHeight="1">
      <c r="A937" s="29" t="n"/>
      <c r="B937" s="29" t="n"/>
      <c r="C937" s="28" t="n"/>
      <c r="D937" s="28" t="n"/>
      <c r="E937" s="28" t="n"/>
      <c r="F937" s="28" t="n"/>
      <c r="G937" s="28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</row>
    <row r="938" ht="26.25" customHeight="1">
      <c r="A938" s="29" t="n"/>
      <c r="B938" s="29" t="n"/>
      <c r="C938" s="28" t="n"/>
      <c r="D938" s="28" t="n"/>
      <c r="E938" s="28" t="n"/>
      <c r="F938" s="28" t="n"/>
      <c r="G938" s="28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</row>
    <row r="939" ht="26.25" customHeight="1">
      <c r="A939" s="29" t="n"/>
      <c r="B939" s="29" t="n"/>
      <c r="C939" s="28" t="n"/>
      <c r="D939" s="28" t="n"/>
      <c r="E939" s="28" t="n"/>
      <c r="F939" s="28" t="n"/>
      <c r="G939" s="28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</row>
    <row r="940" ht="26.25" customHeight="1">
      <c r="A940" s="29" t="n"/>
      <c r="B940" s="29" t="n"/>
      <c r="C940" s="28" t="n"/>
      <c r="D940" s="28" t="n"/>
      <c r="E940" s="28" t="n"/>
      <c r="F940" s="28" t="n"/>
      <c r="G940" s="28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</row>
    <row r="941" ht="26.25" customHeight="1">
      <c r="A941" s="29" t="n"/>
      <c r="B941" s="29" t="n"/>
      <c r="C941" s="28" t="n"/>
      <c r="D941" s="28" t="n"/>
      <c r="E941" s="28" t="n"/>
      <c r="F941" s="28" t="n"/>
      <c r="G941" s="28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</row>
    <row r="942" ht="26.25" customHeight="1">
      <c r="A942" s="29" t="n"/>
      <c r="B942" s="29" t="n"/>
      <c r="C942" s="28" t="n"/>
      <c r="D942" s="28" t="n"/>
      <c r="E942" s="28" t="n"/>
      <c r="F942" s="28" t="n"/>
      <c r="G942" s="28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</row>
    <row r="943" ht="26.25" customHeight="1">
      <c r="A943" s="29" t="n"/>
      <c r="B943" s="29" t="n"/>
      <c r="C943" s="28" t="n"/>
      <c r="D943" s="28" t="n"/>
      <c r="E943" s="28" t="n"/>
      <c r="F943" s="28" t="n"/>
      <c r="G943" s="28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</row>
    <row r="944" ht="26.25" customHeight="1">
      <c r="A944" s="29" t="n"/>
      <c r="B944" s="29" t="n"/>
      <c r="C944" s="28" t="n"/>
      <c r="D944" s="28" t="n"/>
      <c r="E944" s="28" t="n"/>
      <c r="F944" s="28" t="n"/>
      <c r="G944" s="28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</row>
    <row r="945" ht="26.25" customHeight="1">
      <c r="A945" s="29" t="n"/>
      <c r="B945" s="29" t="n"/>
      <c r="C945" s="28" t="n"/>
      <c r="D945" s="28" t="n"/>
      <c r="E945" s="28" t="n"/>
      <c r="F945" s="28" t="n"/>
      <c r="G945" s="28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</row>
    <row r="946" ht="26.25" customHeight="1">
      <c r="A946" s="29" t="n"/>
      <c r="B946" s="29" t="n"/>
      <c r="C946" s="28" t="n"/>
      <c r="D946" s="28" t="n"/>
      <c r="E946" s="28" t="n"/>
      <c r="F946" s="28" t="n"/>
      <c r="G946" s="28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</row>
    <row r="947" ht="26.25" customHeight="1">
      <c r="A947" s="29" t="n"/>
      <c r="B947" s="29" t="n"/>
      <c r="C947" s="28" t="n"/>
      <c r="D947" s="28" t="n"/>
      <c r="E947" s="28" t="n"/>
      <c r="F947" s="28" t="n"/>
      <c r="G947" s="28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</row>
    <row r="948" ht="26.25" customHeight="1">
      <c r="A948" s="29" t="n"/>
      <c r="B948" s="29" t="n"/>
      <c r="C948" s="28" t="n"/>
      <c r="D948" s="28" t="n"/>
      <c r="E948" s="28" t="n"/>
      <c r="F948" s="28" t="n"/>
      <c r="G948" s="28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</row>
    <row r="949" ht="26.25" customHeight="1">
      <c r="A949" s="29" t="n"/>
      <c r="B949" s="29" t="n"/>
      <c r="C949" s="28" t="n"/>
      <c r="D949" s="28" t="n"/>
      <c r="E949" s="28" t="n"/>
      <c r="F949" s="28" t="n"/>
      <c r="G949" s="28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</row>
    <row r="950" ht="26.25" customHeight="1">
      <c r="A950" s="29" t="n"/>
      <c r="B950" s="29" t="n"/>
      <c r="C950" s="28" t="n"/>
      <c r="D950" s="28" t="n"/>
      <c r="E950" s="28" t="n"/>
      <c r="F950" s="28" t="n"/>
      <c r="G950" s="28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</row>
    <row r="951" ht="26.25" customHeight="1">
      <c r="A951" s="29" t="n"/>
      <c r="B951" s="29" t="n"/>
      <c r="C951" s="28" t="n"/>
      <c r="D951" s="28" t="n"/>
      <c r="E951" s="28" t="n"/>
      <c r="F951" s="28" t="n"/>
      <c r="G951" s="28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</row>
    <row r="952" ht="26.25" customHeight="1">
      <c r="A952" s="29" t="n"/>
      <c r="B952" s="29" t="n"/>
      <c r="C952" s="28" t="n"/>
      <c r="D952" s="28" t="n"/>
      <c r="E952" s="28" t="n"/>
      <c r="F952" s="28" t="n"/>
      <c r="G952" s="28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</row>
    <row r="953" ht="26.25" customHeight="1">
      <c r="A953" s="29" t="n"/>
      <c r="B953" s="29" t="n"/>
      <c r="C953" s="28" t="n"/>
      <c r="D953" s="28" t="n"/>
      <c r="E953" s="28" t="n"/>
      <c r="F953" s="28" t="n"/>
      <c r="G953" s="28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</row>
    <row r="954" ht="26.25" customHeight="1">
      <c r="A954" s="29" t="n"/>
      <c r="B954" s="29" t="n"/>
      <c r="C954" s="28" t="n"/>
      <c r="D954" s="28" t="n"/>
      <c r="E954" s="28" t="n"/>
      <c r="F954" s="28" t="n"/>
      <c r="G954" s="28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</row>
    <row r="955" ht="26.25" customHeight="1">
      <c r="A955" s="29" t="n"/>
      <c r="B955" s="29" t="n"/>
      <c r="C955" s="28" t="n"/>
      <c r="D955" s="28" t="n"/>
      <c r="E955" s="28" t="n"/>
      <c r="F955" s="28" t="n"/>
      <c r="G955" s="28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</row>
    <row r="956" ht="26.25" customHeight="1">
      <c r="A956" s="29" t="n"/>
      <c r="B956" s="29" t="n"/>
      <c r="C956" s="28" t="n"/>
      <c r="D956" s="28" t="n"/>
      <c r="E956" s="28" t="n"/>
      <c r="F956" s="28" t="n"/>
      <c r="G956" s="28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</row>
    <row r="957" ht="26.25" customHeight="1">
      <c r="A957" s="29" t="n"/>
      <c r="B957" s="29" t="n"/>
      <c r="C957" s="28" t="n"/>
      <c r="D957" s="28" t="n"/>
      <c r="E957" s="28" t="n"/>
      <c r="F957" s="28" t="n"/>
      <c r="G957" s="28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29" t="n"/>
    </row>
    <row r="958" ht="26.25" customHeight="1">
      <c r="A958" s="29" t="n"/>
      <c r="B958" s="29" t="n"/>
      <c r="C958" s="28" t="n"/>
      <c r="D958" s="28" t="n"/>
      <c r="E958" s="28" t="n"/>
      <c r="F958" s="28" t="n"/>
      <c r="G958" s="28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29" t="n"/>
    </row>
    <row r="959" ht="26.25" customHeight="1">
      <c r="A959" s="29" t="n"/>
      <c r="B959" s="29" t="n"/>
      <c r="C959" s="28" t="n"/>
      <c r="D959" s="28" t="n"/>
      <c r="E959" s="28" t="n"/>
      <c r="F959" s="28" t="n"/>
      <c r="G959" s="28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29" t="n"/>
    </row>
    <row r="960" ht="26.25" customHeight="1">
      <c r="A960" s="29" t="n"/>
      <c r="B960" s="29" t="n"/>
      <c r="C960" s="28" t="n"/>
      <c r="D960" s="28" t="n"/>
      <c r="E960" s="28" t="n"/>
      <c r="F960" s="28" t="n"/>
      <c r="G960" s="28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29" t="n"/>
    </row>
    <row r="961" ht="26.25" customHeight="1">
      <c r="A961" s="29" t="n"/>
      <c r="B961" s="29" t="n"/>
      <c r="C961" s="28" t="n"/>
      <c r="D961" s="28" t="n"/>
      <c r="E961" s="28" t="n"/>
      <c r="F961" s="28" t="n"/>
      <c r="G961" s="28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29" t="n"/>
    </row>
    <row r="962" ht="26.25" customHeight="1">
      <c r="A962" s="29" t="n"/>
      <c r="B962" s="29" t="n"/>
      <c r="C962" s="28" t="n"/>
      <c r="D962" s="28" t="n"/>
      <c r="E962" s="28" t="n"/>
      <c r="F962" s="28" t="n"/>
      <c r="G962" s="28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29" t="n"/>
    </row>
    <row r="963" ht="26.25" customHeight="1">
      <c r="A963" s="29" t="n"/>
      <c r="B963" s="29" t="n"/>
      <c r="C963" s="28" t="n"/>
      <c r="D963" s="28" t="n"/>
      <c r="E963" s="28" t="n"/>
      <c r="F963" s="28" t="n"/>
      <c r="G963" s="28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29" t="n"/>
    </row>
    <row r="964" ht="26.25" customHeight="1">
      <c r="A964" s="29" t="n"/>
      <c r="B964" s="29" t="n"/>
      <c r="C964" s="28" t="n"/>
      <c r="D964" s="28" t="n"/>
      <c r="E964" s="28" t="n"/>
      <c r="F964" s="28" t="n"/>
      <c r="G964" s="28" t="n"/>
      <c r="H964" s="29" t="n"/>
      <c r="I964" s="29" t="n"/>
      <c r="J964" s="29" t="n"/>
      <c r="K964" s="29" t="n"/>
      <c r="L964" s="29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29" t="n"/>
      <c r="W964" s="29" t="n"/>
    </row>
    <row r="965" ht="26.25" customHeight="1">
      <c r="A965" s="29" t="n"/>
      <c r="B965" s="29" t="n"/>
      <c r="C965" s="28" t="n"/>
      <c r="D965" s="28" t="n"/>
      <c r="E965" s="28" t="n"/>
      <c r="F965" s="28" t="n"/>
      <c r="G965" s="28" t="n"/>
      <c r="H965" s="29" t="n"/>
      <c r="I965" s="29" t="n"/>
      <c r="J965" s="29" t="n"/>
      <c r="K965" s="29" t="n"/>
      <c r="L965" s="29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29" t="n"/>
      <c r="W965" s="29" t="n"/>
    </row>
    <row r="966" ht="26.25" customHeight="1">
      <c r="A966" s="29" t="n"/>
      <c r="B966" s="29" t="n"/>
      <c r="C966" s="28" t="n"/>
      <c r="D966" s="28" t="n"/>
      <c r="E966" s="28" t="n"/>
      <c r="F966" s="28" t="n"/>
      <c r="G966" s="28" t="n"/>
      <c r="H966" s="29" t="n"/>
      <c r="I966" s="29" t="n"/>
      <c r="J966" s="29" t="n"/>
      <c r="K966" s="29" t="n"/>
      <c r="L966" s="29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29" t="n"/>
      <c r="W966" s="29" t="n"/>
    </row>
    <row r="967" ht="26.25" customHeight="1">
      <c r="A967" s="29" t="n"/>
      <c r="B967" s="29" t="n"/>
      <c r="C967" s="28" t="n"/>
      <c r="D967" s="28" t="n"/>
      <c r="E967" s="28" t="n"/>
      <c r="F967" s="28" t="n"/>
      <c r="G967" s="28" t="n"/>
      <c r="H967" s="29" t="n"/>
      <c r="I967" s="29" t="n"/>
      <c r="J967" s="29" t="n"/>
      <c r="K967" s="29" t="n"/>
      <c r="L967" s="29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29" t="n"/>
      <c r="W967" s="29" t="n"/>
    </row>
    <row r="968" ht="26.25" customHeight="1">
      <c r="A968" s="29" t="n"/>
      <c r="B968" s="29" t="n"/>
      <c r="C968" s="28" t="n"/>
      <c r="D968" s="28" t="n"/>
      <c r="E968" s="28" t="n"/>
      <c r="F968" s="28" t="n"/>
      <c r="G968" s="28" t="n"/>
      <c r="H968" s="29" t="n"/>
      <c r="I968" s="29" t="n"/>
      <c r="J968" s="29" t="n"/>
      <c r="K968" s="29" t="n"/>
      <c r="L968" s="29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29" t="n"/>
      <c r="W968" s="29" t="n"/>
    </row>
    <row r="969" ht="26.25" customHeight="1">
      <c r="A969" s="29" t="n"/>
      <c r="B969" s="29" t="n"/>
      <c r="C969" s="28" t="n"/>
      <c r="D969" s="28" t="n"/>
      <c r="E969" s="28" t="n"/>
      <c r="F969" s="28" t="n"/>
      <c r="G969" s="28" t="n"/>
      <c r="H969" s="29" t="n"/>
      <c r="I969" s="29" t="n"/>
      <c r="J969" s="29" t="n"/>
      <c r="K969" s="29" t="n"/>
      <c r="L969" s="29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29" t="n"/>
      <c r="W969" s="29" t="n"/>
    </row>
    <row r="970" ht="26.25" customHeight="1">
      <c r="A970" s="29" t="n"/>
      <c r="B970" s="29" t="n"/>
      <c r="C970" s="28" t="n"/>
      <c r="D970" s="28" t="n"/>
      <c r="E970" s="28" t="n"/>
      <c r="F970" s="28" t="n"/>
      <c r="G970" s="28" t="n"/>
      <c r="H970" s="29" t="n"/>
      <c r="I970" s="29" t="n"/>
      <c r="J970" s="29" t="n"/>
      <c r="K970" s="29" t="n"/>
      <c r="L970" s="29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29" t="n"/>
      <c r="W970" s="29" t="n"/>
    </row>
    <row r="971" ht="26.25" customHeight="1">
      <c r="A971" s="29" t="n"/>
      <c r="B971" s="29" t="n"/>
      <c r="C971" s="28" t="n"/>
      <c r="D971" s="28" t="n"/>
      <c r="E971" s="28" t="n"/>
      <c r="F971" s="28" t="n"/>
      <c r="G971" s="28" t="n"/>
      <c r="H971" s="29" t="n"/>
      <c r="I971" s="29" t="n"/>
      <c r="J971" s="29" t="n"/>
      <c r="K971" s="29" t="n"/>
      <c r="L971" s="29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29" t="n"/>
      <c r="W971" s="29" t="n"/>
    </row>
    <row r="972" ht="26.25" customHeight="1">
      <c r="A972" s="29" t="n"/>
      <c r="B972" s="29" t="n"/>
      <c r="C972" s="28" t="n"/>
      <c r="D972" s="28" t="n"/>
      <c r="E972" s="28" t="n"/>
      <c r="F972" s="28" t="n"/>
      <c r="G972" s="28" t="n"/>
      <c r="H972" s="29" t="n"/>
      <c r="I972" s="29" t="n"/>
      <c r="J972" s="29" t="n"/>
      <c r="K972" s="29" t="n"/>
      <c r="L972" s="29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29" t="n"/>
      <c r="W972" s="29" t="n"/>
    </row>
    <row r="973" ht="26.25" customHeight="1">
      <c r="A973" s="29" t="n"/>
      <c r="B973" s="29" t="n"/>
      <c r="C973" s="28" t="n"/>
      <c r="D973" s="28" t="n"/>
      <c r="E973" s="28" t="n"/>
      <c r="F973" s="28" t="n"/>
      <c r="G973" s="28" t="n"/>
      <c r="H973" s="29" t="n"/>
      <c r="I973" s="29" t="n"/>
      <c r="J973" s="29" t="n"/>
      <c r="K973" s="29" t="n"/>
      <c r="L973" s="29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29" t="n"/>
      <c r="W973" s="29" t="n"/>
    </row>
    <row r="974" ht="26.25" customHeight="1">
      <c r="A974" s="29" t="n"/>
      <c r="B974" s="29" t="n"/>
      <c r="C974" s="28" t="n"/>
      <c r="D974" s="28" t="n"/>
      <c r="E974" s="28" t="n"/>
      <c r="F974" s="28" t="n"/>
      <c r="G974" s="28" t="n"/>
      <c r="H974" s="29" t="n"/>
      <c r="I974" s="29" t="n"/>
      <c r="J974" s="29" t="n"/>
      <c r="K974" s="29" t="n"/>
      <c r="L974" s="29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29" t="n"/>
      <c r="W974" s="29" t="n"/>
    </row>
    <row r="975" ht="26.25" customHeight="1">
      <c r="A975" s="29" t="n"/>
      <c r="B975" s="29" t="n"/>
      <c r="C975" s="28" t="n"/>
      <c r="D975" s="28" t="n"/>
      <c r="E975" s="28" t="n"/>
      <c r="F975" s="28" t="n"/>
      <c r="G975" s="28" t="n"/>
      <c r="H975" s="29" t="n"/>
      <c r="I975" s="29" t="n"/>
      <c r="J975" s="29" t="n"/>
      <c r="K975" s="29" t="n"/>
      <c r="L975" s="29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29" t="n"/>
      <c r="W975" s="29" t="n"/>
    </row>
    <row r="976" ht="26.25" customHeight="1">
      <c r="A976" s="29" t="n"/>
      <c r="B976" s="29" t="n"/>
      <c r="C976" s="28" t="n"/>
      <c r="D976" s="28" t="n"/>
      <c r="E976" s="28" t="n"/>
      <c r="F976" s="28" t="n"/>
      <c r="G976" s="28" t="n"/>
      <c r="H976" s="29" t="n"/>
      <c r="I976" s="29" t="n"/>
      <c r="J976" s="29" t="n"/>
      <c r="K976" s="29" t="n"/>
      <c r="L976" s="29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29" t="n"/>
      <c r="W976" s="29" t="n"/>
    </row>
    <row r="977" ht="26.25" customHeight="1">
      <c r="A977" s="29" t="n"/>
      <c r="B977" s="29" t="n"/>
      <c r="C977" s="28" t="n"/>
      <c r="D977" s="28" t="n"/>
      <c r="E977" s="28" t="n"/>
      <c r="F977" s="28" t="n"/>
      <c r="G977" s="28" t="n"/>
      <c r="H977" s="29" t="n"/>
      <c r="I977" s="29" t="n"/>
      <c r="J977" s="29" t="n"/>
      <c r="K977" s="29" t="n"/>
      <c r="L977" s="29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29" t="n"/>
      <c r="W977" s="29" t="n"/>
    </row>
    <row r="978" ht="26.25" customHeight="1">
      <c r="A978" s="29" t="n"/>
      <c r="B978" s="29" t="n"/>
      <c r="C978" s="28" t="n"/>
      <c r="D978" s="28" t="n"/>
      <c r="E978" s="28" t="n"/>
      <c r="F978" s="28" t="n"/>
      <c r="G978" s="28" t="n"/>
      <c r="H978" s="29" t="n"/>
      <c r="I978" s="29" t="n"/>
      <c r="J978" s="29" t="n"/>
      <c r="K978" s="29" t="n"/>
      <c r="L978" s="29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29" t="n"/>
      <c r="W978" s="29" t="n"/>
    </row>
    <row r="979" ht="26.25" customHeight="1">
      <c r="A979" s="29" t="n"/>
      <c r="B979" s="29" t="n"/>
      <c r="C979" s="28" t="n"/>
      <c r="D979" s="28" t="n"/>
      <c r="E979" s="28" t="n"/>
      <c r="F979" s="28" t="n"/>
      <c r="G979" s="28" t="n"/>
      <c r="H979" s="29" t="n"/>
      <c r="I979" s="29" t="n"/>
      <c r="J979" s="29" t="n"/>
      <c r="K979" s="29" t="n"/>
      <c r="L979" s="29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29" t="n"/>
      <c r="W979" s="29" t="n"/>
    </row>
    <row r="980" ht="26.25" customHeight="1">
      <c r="A980" s="29" t="n"/>
      <c r="B980" s="29" t="n"/>
      <c r="C980" s="28" t="n"/>
      <c r="D980" s="28" t="n"/>
      <c r="E980" s="28" t="n"/>
      <c r="F980" s="28" t="n"/>
      <c r="G980" s="28" t="n"/>
      <c r="H980" s="29" t="n"/>
      <c r="I980" s="29" t="n"/>
      <c r="J980" s="29" t="n"/>
      <c r="K980" s="29" t="n"/>
      <c r="L980" s="29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29" t="n"/>
      <c r="W980" s="29" t="n"/>
    </row>
  </sheetData>
  <autoFilter ref="A1:G66"/>
  <conditionalFormatting sqref="G1:G65 G67:G980">
    <cfRule type="cellIs" priority="1" operator="greaterThanOrEqual" dxfId="1">
      <formula>5000</formula>
    </cfRule>
    <cfRule type="cellIs" priority="2" operator="equal" dxfId="0">
      <formula>0</formula>
    </cfRule>
  </conditionalFormatting>
  <printOptions horizontalCentered="1" gridLines="1"/>
  <pageMargins left="0.7" right="0.7" top="0.75" bottom="0.75" header="0" footer="0"/>
  <pageSetup orientation="portrait" paperSize="9" fitToHeight="0" pageOrder="overThenDown" cellComments="atEnd"/>
</worksheet>
</file>

<file path=xl/worksheets/sheet38.xml><?xml version="1.0" encoding="utf-8"?>
<worksheet xmlns="http://schemas.openxmlformats.org/spreadsheetml/2006/main">
  <sheetPr>
    <outlinePr summaryBelow="0" summaryRight="0"/>
    <pageSetUpPr/>
  </sheetPr>
  <dimension ref="A1:Z65"/>
  <sheetViews>
    <sheetView workbookViewId="0">
      <selection activeCell="A1" sqref="A1"/>
    </sheetView>
  </sheetViews>
  <sheetFormatPr baseColWidth="8" defaultColWidth="14.42578125" defaultRowHeight="15" customHeight="1"/>
  <cols>
    <col width="64.28515625" customWidth="1" min="2" max="2"/>
  </cols>
  <sheetData>
    <row r="1">
      <c r="A1" s="39" t="inlineStr">
        <is>
          <t>Flat</t>
        </is>
      </c>
      <c r="B1" s="100" t="inlineStr">
        <is>
          <t>Name</t>
        </is>
      </c>
      <c r="C1" s="100" t="inlineStr">
        <is>
          <t>Go?</t>
        </is>
      </c>
      <c r="D1" s="100" t="inlineStr">
        <is>
          <t>Conditions?</t>
        </is>
      </c>
      <c r="E1" s="100" t="n"/>
      <c r="F1" s="100" t="n"/>
      <c r="G1" s="100" t="n"/>
      <c r="H1" s="100" t="n"/>
      <c r="I1" s="100" t="n"/>
      <c r="J1" s="100" t="n"/>
      <c r="K1" s="100" t="n"/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</row>
    <row r="2">
      <c r="A2" s="42" t="inlineStr">
        <is>
          <t>F1</t>
        </is>
      </c>
      <c r="B2" s="36" t="inlineStr">
        <is>
          <t>Azeem Nawaz / Shailesh Srivastava</t>
        </is>
      </c>
      <c r="C2" s="47" t="inlineStr">
        <is>
          <t>Y</t>
        </is>
      </c>
      <c r="D2" s="47" t="inlineStr">
        <is>
          <t>Y</t>
        </is>
      </c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</row>
    <row r="3">
      <c r="A3" s="40" t="inlineStr">
        <is>
          <t>F2</t>
        </is>
      </c>
      <c r="B3" s="37" t="inlineStr">
        <is>
          <t>Ramamurthy P / Shantanu Singh</t>
        </is>
      </c>
      <c r="C3" s="104" t="n"/>
      <c r="D3" s="104" t="n"/>
      <c r="E3" s="104" t="n"/>
      <c r="F3" s="104" t="n"/>
      <c r="G3" s="104" t="n"/>
      <c r="H3" s="104" t="n"/>
      <c r="I3" s="104" t="n"/>
      <c r="J3" s="104" t="n"/>
      <c r="K3" s="104" t="n"/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</row>
    <row r="4">
      <c r="A4" s="42" t="inlineStr">
        <is>
          <t>F3</t>
        </is>
      </c>
      <c r="B4" s="36" t="inlineStr">
        <is>
          <t>Samrat Kar</t>
        </is>
      </c>
      <c r="C4" s="47" t="inlineStr">
        <is>
          <t>Y</t>
        </is>
      </c>
      <c r="D4" s="47" t="inlineStr">
        <is>
          <t>N</t>
        </is>
      </c>
      <c r="E4" s="47" t="n"/>
      <c r="F4" s="47" t="n"/>
      <c r="G4" s="47" t="n"/>
      <c r="H4" s="47" t="n"/>
      <c r="I4" s="47" t="n"/>
      <c r="J4" s="47" t="n"/>
      <c r="K4" s="47" t="n"/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</row>
    <row r="5">
      <c r="A5" s="40" t="inlineStr">
        <is>
          <t>F4</t>
        </is>
      </c>
      <c r="B5" s="37" t="inlineStr">
        <is>
          <t>Renu R</t>
        </is>
      </c>
      <c r="C5" s="104" t="inlineStr">
        <is>
          <t>Y</t>
        </is>
      </c>
      <c r="D5" s="104" t="inlineStr">
        <is>
          <t>N</t>
        </is>
      </c>
      <c r="E5" s="104" t="n"/>
      <c r="F5" s="104" t="n"/>
      <c r="G5" s="104" t="n"/>
      <c r="H5" s="104" t="n"/>
      <c r="I5" s="104" t="n"/>
      <c r="J5" s="104" t="n"/>
      <c r="K5" s="104" t="n"/>
      <c r="L5" s="104" t="n"/>
      <c r="M5" s="104" t="n"/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</row>
    <row r="6">
      <c r="A6" s="42" t="inlineStr">
        <is>
          <t>F5</t>
        </is>
      </c>
      <c r="B6" s="36" t="inlineStr">
        <is>
          <t>PRIYABRATA MOHAPATRA</t>
        </is>
      </c>
      <c r="C6" s="47" t="n"/>
      <c r="D6" s="47" t="n"/>
      <c r="E6" s="47" t="n"/>
      <c r="F6" s="47" t="n"/>
      <c r="G6" s="47" t="n"/>
      <c r="H6" s="47" t="n"/>
      <c r="I6" s="47" t="n"/>
      <c r="J6" s="47" t="n"/>
      <c r="K6" s="47" t="n"/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</row>
    <row r="7">
      <c r="A7" s="40" t="inlineStr">
        <is>
          <t>F6</t>
        </is>
      </c>
      <c r="B7" s="37" t="inlineStr">
        <is>
          <t>Viral Sailesh Shah</t>
        </is>
      </c>
      <c r="C7" s="104" t="inlineStr">
        <is>
          <t>Y</t>
        </is>
      </c>
      <c r="D7" s="104" t="inlineStr">
        <is>
          <t>N</t>
        </is>
      </c>
      <c r="E7" s="104" t="n"/>
      <c r="F7" s="104" t="n"/>
      <c r="G7" s="104" t="n"/>
      <c r="H7" s="104" t="n"/>
      <c r="I7" s="104" t="n"/>
      <c r="J7" s="104" t="n"/>
      <c r="K7" s="104" t="n"/>
      <c r="L7" s="104" t="n"/>
      <c r="M7" s="104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</row>
    <row r="8">
      <c r="A8" s="42" t="inlineStr">
        <is>
          <t>F7</t>
        </is>
      </c>
      <c r="B8" s="36" t="inlineStr">
        <is>
          <t>Vimal NK</t>
        </is>
      </c>
      <c r="C8" s="47" t="inlineStr">
        <is>
          <t>Y</t>
        </is>
      </c>
      <c r="D8" s="47" t="inlineStr">
        <is>
          <t>N</t>
        </is>
      </c>
      <c r="E8" s="47" t="n"/>
      <c r="F8" s="47" t="n"/>
      <c r="G8" s="47" t="n"/>
      <c r="H8" s="47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>
      <c r="A9" s="40" t="inlineStr">
        <is>
          <t>F8</t>
        </is>
      </c>
      <c r="B9" s="37" t="inlineStr">
        <is>
          <t>K sateesh Kumar/ Sreejith Menon</t>
        </is>
      </c>
      <c r="C9" s="104" t="inlineStr">
        <is>
          <t>Y</t>
        </is>
      </c>
      <c r="D9" s="104" t="inlineStr">
        <is>
          <t>N</t>
        </is>
      </c>
      <c r="E9" s="104" t="n"/>
      <c r="F9" s="104" t="n"/>
      <c r="G9" s="104" t="n"/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</row>
    <row r="10">
      <c r="A10" s="42" t="inlineStr">
        <is>
          <t>F9</t>
        </is>
      </c>
      <c r="B10" s="36" t="inlineStr">
        <is>
          <t>Vijay Suswaram</t>
        </is>
      </c>
      <c r="C10" s="47" t="inlineStr">
        <is>
          <t>Y</t>
        </is>
      </c>
      <c r="D10" s="47" t="inlineStr">
        <is>
          <t>N</t>
        </is>
      </c>
      <c r="E10" s="47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>
      <c r="A11" s="40" t="inlineStr">
        <is>
          <t>F10</t>
        </is>
      </c>
      <c r="B11" s="37" t="inlineStr">
        <is>
          <t>Aby Thomas</t>
        </is>
      </c>
      <c r="C11" s="104" t="inlineStr">
        <is>
          <t>Y</t>
        </is>
      </c>
      <c r="D11" s="104" t="inlineStr">
        <is>
          <t>N</t>
        </is>
      </c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</row>
    <row r="12">
      <c r="A12" s="42" t="inlineStr">
        <is>
          <t>F11</t>
        </is>
      </c>
      <c r="B12" s="36" t="inlineStr">
        <is>
          <t>N.Geetha</t>
        </is>
      </c>
      <c r="C12" s="47" t="inlineStr">
        <is>
          <t>Y</t>
        </is>
      </c>
      <c r="D12" s="47" t="inlineStr">
        <is>
          <t>N</t>
        </is>
      </c>
      <c r="E12" s="47" t="n"/>
      <c r="F12" s="47" t="n"/>
      <c r="G12" s="47" t="n"/>
      <c r="H12" s="47" t="n"/>
      <c r="I12" s="47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</row>
    <row r="13">
      <c r="A13" s="40" t="inlineStr">
        <is>
          <t>F12</t>
        </is>
      </c>
      <c r="B13" s="37" t="inlineStr">
        <is>
          <t>Anirudh Singh / Debashish Ghoshal</t>
        </is>
      </c>
      <c r="C13" s="104" t="inlineStr">
        <is>
          <t>Y</t>
        </is>
      </c>
      <c r="D13" s="104" t="inlineStr">
        <is>
          <t>N</t>
        </is>
      </c>
      <c r="E13" s="104" t="n"/>
      <c r="F13" s="104" t="n"/>
      <c r="G13" s="104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</row>
    <row r="14">
      <c r="A14" s="42" t="inlineStr">
        <is>
          <t>F13</t>
        </is>
      </c>
      <c r="B14" s="36" t="inlineStr">
        <is>
          <t>Deepak .P / Sreeniwasa Rao / S Rama Devi</t>
        </is>
      </c>
      <c r="C14" s="47" t="inlineStr">
        <is>
          <t>Y</t>
        </is>
      </c>
      <c r="D14" s="47" t="inlineStr">
        <is>
          <t>N</t>
        </is>
      </c>
      <c r="E14" s="47" t="n"/>
      <c r="F14" s="47" t="n"/>
      <c r="G14" s="47" t="n"/>
      <c r="H14" s="47" t="n"/>
      <c r="I14" s="47" t="n"/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</row>
    <row r="15">
      <c r="A15" s="40" t="inlineStr">
        <is>
          <t>F14</t>
        </is>
      </c>
      <c r="B15" s="37" t="inlineStr">
        <is>
          <t>Hemant Patel</t>
        </is>
      </c>
      <c r="C15" s="104" t="inlineStr">
        <is>
          <t>Y</t>
        </is>
      </c>
      <c r="D15" s="104" t="inlineStr">
        <is>
          <t>N</t>
        </is>
      </c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</row>
    <row r="16">
      <c r="A16" s="42" t="inlineStr">
        <is>
          <t>F15</t>
        </is>
      </c>
      <c r="B16" s="36" t="inlineStr">
        <is>
          <t>Senthil.Vijayaragavan / Malini Balasubramaniam</t>
        </is>
      </c>
      <c r="C16" s="47" t="inlineStr">
        <is>
          <t>Y</t>
        </is>
      </c>
      <c r="D16" s="47" t="inlineStr">
        <is>
          <t>N</t>
        </is>
      </c>
      <c r="E16" s="47" t="n"/>
      <c r="F16" s="47" t="n"/>
      <c r="G16" s="47" t="n"/>
      <c r="H16" s="47" t="n"/>
      <c r="I16" s="47" t="n"/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</row>
    <row r="17">
      <c r="A17" s="40" t="inlineStr">
        <is>
          <t>F16</t>
        </is>
      </c>
      <c r="B17" s="37" t="inlineStr">
        <is>
          <t>Sreeja Sudharma</t>
        </is>
      </c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</row>
    <row r="18">
      <c r="A18" s="42" t="inlineStr">
        <is>
          <t>G1</t>
        </is>
      </c>
      <c r="B18" s="36" t="inlineStr">
        <is>
          <t>Venkataramanan C</t>
        </is>
      </c>
      <c r="C18" s="47" t="inlineStr">
        <is>
          <t>Y</t>
        </is>
      </c>
      <c r="D18" s="47" t="inlineStr">
        <is>
          <t>N</t>
        </is>
      </c>
      <c r="E18" s="47" t="n"/>
      <c r="F18" s="47" t="n"/>
      <c r="G18" s="47" t="n"/>
      <c r="H18" s="47" t="n"/>
      <c r="I18" s="47" t="n"/>
      <c r="J18" s="47" t="n"/>
      <c r="K18" s="47" t="n"/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</row>
    <row r="19">
      <c r="A19" s="40" t="inlineStr">
        <is>
          <t>G2</t>
        </is>
      </c>
      <c r="B19" s="37" t="inlineStr">
        <is>
          <t>Venkat Atukuri / Kaushik 9900523388</t>
        </is>
      </c>
      <c r="C19" s="104" t="inlineStr">
        <is>
          <t>Y</t>
        </is>
      </c>
      <c r="D19" s="104" t="inlineStr">
        <is>
          <t>N</t>
        </is>
      </c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</row>
    <row r="20">
      <c r="A20" s="42" t="inlineStr">
        <is>
          <t>G3</t>
        </is>
      </c>
      <c r="B20" s="36" t="inlineStr">
        <is>
          <t>Balakrishnan</t>
        </is>
      </c>
      <c r="C20" s="47" t="inlineStr">
        <is>
          <t>Y</t>
        </is>
      </c>
      <c r="D20" s="47" t="inlineStr">
        <is>
          <t>N</t>
        </is>
      </c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</row>
    <row r="21">
      <c r="A21" s="40" t="inlineStr">
        <is>
          <t>G4</t>
        </is>
      </c>
      <c r="B21" s="37" t="inlineStr">
        <is>
          <t>Ashwin Pandith</t>
        </is>
      </c>
      <c r="C21" s="104" t="inlineStr">
        <is>
          <t>Y</t>
        </is>
      </c>
      <c r="D21" s="104" t="inlineStr">
        <is>
          <t>N</t>
        </is>
      </c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</row>
    <row r="22">
      <c r="A22" s="42" t="inlineStr">
        <is>
          <t>G5</t>
        </is>
      </c>
      <c r="B22" s="36" t="inlineStr">
        <is>
          <t>Mayank Phophaliya / Abhishek Srawan</t>
        </is>
      </c>
      <c r="C22" s="47" t="n"/>
      <c r="D22" s="47" t="n"/>
      <c r="E22" s="47" t="n"/>
      <c r="F22" s="47" t="n"/>
      <c r="G22" s="47" t="n"/>
      <c r="H22" s="47" t="n"/>
      <c r="I22" s="47" t="n"/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</row>
    <row r="23">
      <c r="A23" s="40" t="inlineStr">
        <is>
          <t>G6</t>
        </is>
      </c>
      <c r="B23" s="37" t="inlineStr">
        <is>
          <t xml:space="preserve">Mohit Daga/Sreenath </t>
        </is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</row>
    <row r="24">
      <c r="A24" s="42" t="inlineStr">
        <is>
          <t>G7</t>
        </is>
      </c>
      <c r="B24" s="36" t="inlineStr">
        <is>
          <t>Prince Richfield</t>
        </is>
      </c>
      <c r="C24" s="47" t="inlineStr">
        <is>
          <t>Y</t>
        </is>
      </c>
      <c r="D24" s="47" t="inlineStr">
        <is>
          <t>N</t>
        </is>
      </c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</row>
    <row r="25">
      <c r="A25" s="40" t="inlineStr">
        <is>
          <t>G8</t>
        </is>
      </c>
      <c r="B25" s="37" t="inlineStr">
        <is>
          <t>R.Ganesh Babu / Ranjith Kumar Ra</t>
        </is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</row>
    <row r="26">
      <c r="A26" s="42" t="inlineStr">
        <is>
          <t>G9</t>
        </is>
      </c>
      <c r="B26" s="36" t="inlineStr">
        <is>
          <t>Bishnu / Chandramouli / Ankur Agarwal</t>
        </is>
      </c>
      <c r="C26" s="47" t="inlineStr">
        <is>
          <t>Y</t>
        </is>
      </c>
      <c r="D26" s="47" t="inlineStr">
        <is>
          <t>N</t>
        </is>
      </c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</row>
    <row r="27">
      <c r="A27" s="40" t="inlineStr">
        <is>
          <t>G10</t>
        </is>
      </c>
      <c r="B27" s="37" t="inlineStr">
        <is>
          <t>Cijo Jacob</t>
        </is>
      </c>
      <c r="C27" s="104" t="inlineStr">
        <is>
          <t>Y</t>
        </is>
      </c>
      <c r="D27" s="104" t="inlineStr">
        <is>
          <t>N</t>
        </is>
      </c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</row>
    <row r="28">
      <c r="A28" s="42" t="inlineStr">
        <is>
          <t>G11</t>
        </is>
      </c>
      <c r="B28" s="36" t="inlineStr">
        <is>
          <t>Ketan Vinay Prabhuverlekar</t>
        </is>
      </c>
      <c r="C28" s="47" t="n"/>
      <c r="D28" s="47" t="n"/>
      <c r="E28" s="47" t="n"/>
      <c r="F28" s="47" t="n"/>
      <c r="G28" s="47" t="n"/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</row>
    <row r="29">
      <c r="A29" s="40" t="inlineStr">
        <is>
          <t>G12</t>
        </is>
      </c>
      <c r="B29" s="37" t="inlineStr">
        <is>
          <t>Shyam Nair</t>
        </is>
      </c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</row>
    <row r="30">
      <c r="A30" s="42" t="inlineStr">
        <is>
          <t>G13</t>
        </is>
      </c>
      <c r="B30" s="36" t="inlineStr">
        <is>
          <t>Ajai Balachandran</t>
        </is>
      </c>
      <c r="C30" s="47" t="n"/>
      <c r="D30" s="47" t="n"/>
      <c r="E30" s="47" t="n"/>
      <c r="F30" s="47" t="n"/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</row>
    <row r="31">
      <c r="A31" s="40" t="inlineStr">
        <is>
          <t>G14</t>
        </is>
      </c>
      <c r="B31" s="37" t="inlineStr">
        <is>
          <t>Surajit Borah</t>
        </is>
      </c>
      <c r="C31" s="104" t="inlineStr">
        <is>
          <t>Y</t>
        </is>
      </c>
      <c r="D31" s="104" t="inlineStr">
        <is>
          <t>N</t>
        </is>
      </c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</row>
    <row r="32">
      <c r="A32" s="42" t="inlineStr">
        <is>
          <t>G15</t>
        </is>
      </c>
      <c r="B32" s="36" t="inlineStr">
        <is>
          <t>Alka Singh / Suresh Nallusamy (6305967349)</t>
        </is>
      </c>
      <c r="C32" s="47" t="inlineStr">
        <is>
          <t>Y</t>
        </is>
      </c>
      <c r="D32" s="47" t="inlineStr">
        <is>
          <t>N</t>
        </is>
      </c>
      <c r="E32" s="47" t="n"/>
      <c r="F32" s="47" t="n"/>
      <c r="G32" s="47" t="n"/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</row>
    <row r="33">
      <c r="A33" s="40" t="inlineStr">
        <is>
          <t>G16</t>
        </is>
      </c>
      <c r="B33" s="37" t="inlineStr">
        <is>
          <t>Premalatha / Praveen Ganesan (owner) 9442827674/ Ganesan Srirangam</t>
        </is>
      </c>
      <c r="C33" s="104" t="inlineStr">
        <is>
          <t>N</t>
        </is>
      </c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</row>
    <row r="34">
      <c r="A34" s="42" t="inlineStr">
        <is>
          <t>S1</t>
        </is>
      </c>
      <c r="B34" s="36" t="inlineStr">
        <is>
          <t>S.N.Behera</t>
        </is>
      </c>
      <c r="C34" s="47" t="inlineStr">
        <is>
          <t>N</t>
        </is>
      </c>
      <c r="D34" s="47" t="inlineStr">
        <is>
          <t>Y</t>
        </is>
      </c>
      <c r="E34" s="47" t="n"/>
      <c r="F34" s="47" t="n"/>
      <c r="G34" s="47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</row>
    <row r="35">
      <c r="A35" s="40" t="inlineStr">
        <is>
          <t>S2</t>
        </is>
      </c>
      <c r="B35" s="37" t="inlineStr">
        <is>
          <t>Sonal Singhal</t>
        </is>
      </c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</row>
    <row r="36">
      <c r="A36" s="42" t="inlineStr">
        <is>
          <t>S3</t>
        </is>
      </c>
      <c r="B36" s="36" t="inlineStr">
        <is>
          <t>Koteswararao / Suresh Kr Nataraja / Manikandan Natarajan</t>
        </is>
      </c>
      <c r="C36" s="47" t="n"/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</row>
    <row r="37">
      <c r="A37" s="40" t="inlineStr">
        <is>
          <t>S4</t>
        </is>
      </c>
      <c r="B37" s="37" t="inlineStr">
        <is>
          <t>Swaminathan R / Vijayalakshmi G / Ankit Chandra (9006212132)</t>
        </is>
      </c>
      <c r="C37" s="104" t="inlineStr">
        <is>
          <t>Y</t>
        </is>
      </c>
      <c r="D37" s="104" t="inlineStr">
        <is>
          <t>N</t>
        </is>
      </c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</row>
    <row r="38">
      <c r="A38" s="42" t="inlineStr">
        <is>
          <t>S5</t>
        </is>
      </c>
      <c r="B38" s="36" t="inlineStr">
        <is>
          <t>Abhishek Gopalakrishnan</t>
        </is>
      </c>
      <c r="C38" s="47" t="inlineStr">
        <is>
          <t>Y</t>
        </is>
      </c>
      <c r="D38" s="47" t="inlineStr">
        <is>
          <t>N</t>
        </is>
      </c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</row>
    <row r="39">
      <c r="A39" s="40" t="inlineStr">
        <is>
          <t>S6</t>
        </is>
      </c>
      <c r="B39" s="37" t="inlineStr">
        <is>
          <t>Priya Prabhu / Vivek Dhingra</t>
        </is>
      </c>
      <c r="C39" s="104" t="inlineStr">
        <is>
          <t>Y</t>
        </is>
      </c>
      <c r="D39" s="104" t="inlineStr">
        <is>
          <t>N</t>
        </is>
      </c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</row>
    <row r="40">
      <c r="A40" s="42" t="inlineStr">
        <is>
          <t>S7</t>
        </is>
      </c>
      <c r="B40" s="36" t="inlineStr">
        <is>
          <t>Harish B</t>
        </is>
      </c>
      <c r="C40" s="47" t="inlineStr">
        <is>
          <t>Y</t>
        </is>
      </c>
      <c r="D40" s="47" t="inlineStr">
        <is>
          <t>N</t>
        </is>
      </c>
      <c r="E40" s="47" t="n"/>
      <c r="F40" s="47" t="n"/>
      <c r="G40" s="47" t="n"/>
      <c r="H40" s="47" t="n"/>
      <c r="I40" s="47" t="n"/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</row>
    <row r="41">
      <c r="A41" s="40" t="inlineStr">
        <is>
          <t>S8</t>
        </is>
      </c>
      <c r="B41" s="37" t="inlineStr">
        <is>
          <t>Irudayaraj Alwin</t>
        </is>
      </c>
      <c r="C41" s="104" t="inlineStr">
        <is>
          <t>Y</t>
        </is>
      </c>
      <c r="D41" s="104" t="inlineStr">
        <is>
          <t>Y</t>
        </is>
      </c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</row>
    <row r="42">
      <c r="A42" s="42" t="inlineStr">
        <is>
          <t>S9</t>
        </is>
      </c>
      <c r="B42" s="36" t="inlineStr">
        <is>
          <t>Pawan GS</t>
        </is>
      </c>
      <c r="C42" s="47" t="inlineStr">
        <is>
          <t>Y</t>
        </is>
      </c>
      <c r="D42" s="47" t="inlineStr">
        <is>
          <t>Y</t>
        </is>
      </c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</row>
    <row r="43">
      <c r="A43" s="40" t="inlineStr">
        <is>
          <t>S10</t>
        </is>
      </c>
      <c r="B43" s="37" t="inlineStr">
        <is>
          <t>Lakshmikanth / Rohit Sadanand / Aman Raj from Nov 2021</t>
        </is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</row>
    <row r="44" ht="15" customHeight="1">
      <c r="A44" s="42" t="inlineStr">
        <is>
          <t>S11</t>
        </is>
      </c>
      <c r="B44" s="36" t="inlineStr">
        <is>
          <t>Gowrish Patnaik / Somananth GM</t>
        </is>
      </c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</row>
    <row r="45">
      <c r="A45" s="40" t="inlineStr">
        <is>
          <t>S12</t>
        </is>
      </c>
      <c r="B45" s="37" t="inlineStr">
        <is>
          <t>Saovik Mondal</t>
        </is>
      </c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</row>
    <row r="46">
      <c r="A46" s="42" t="inlineStr">
        <is>
          <t>S13</t>
        </is>
      </c>
      <c r="B46" s="36" t="inlineStr">
        <is>
          <t>Srinivasa Rao / S Rama Devi</t>
        </is>
      </c>
      <c r="C46" s="47" t="inlineStr">
        <is>
          <t>Y</t>
        </is>
      </c>
      <c r="D46" s="47" t="inlineStr">
        <is>
          <t>N</t>
        </is>
      </c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</row>
    <row r="47">
      <c r="A47" s="40" t="inlineStr">
        <is>
          <t>S14</t>
        </is>
      </c>
      <c r="B47" s="37" t="inlineStr">
        <is>
          <t>Nishant Upadhyay / Anuj Sehgal</t>
        </is>
      </c>
      <c r="C47" s="104" t="inlineStr">
        <is>
          <t>Y</t>
        </is>
      </c>
      <c r="D47" s="104" t="inlineStr">
        <is>
          <t>Y</t>
        </is>
      </c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</row>
    <row r="48">
      <c r="A48" s="42" t="inlineStr">
        <is>
          <t>S15</t>
        </is>
      </c>
      <c r="B48" s="36" t="inlineStr">
        <is>
          <t>Manas Dasgupta</t>
        </is>
      </c>
      <c r="C48" s="47" t="inlineStr">
        <is>
          <t>Y</t>
        </is>
      </c>
      <c r="D48" s="47" t="inlineStr">
        <is>
          <t>N</t>
        </is>
      </c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</row>
    <row r="49">
      <c r="A49" s="40" t="inlineStr">
        <is>
          <t>S16</t>
        </is>
      </c>
      <c r="B49" s="37" t="inlineStr">
        <is>
          <t>Devendra Singh Rawat / Nancy / Sadhana R</t>
        </is>
      </c>
      <c r="C49" s="104" t="inlineStr">
        <is>
          <t>Y</t>
        </is>
      </c>
      <c r="D49" s="104" t="inlineStr">
        <is>
          <t>N</t>
        </is>
      </c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</row>
    <row r="50">
      <c r="A50" s="42" t="inlineStr">
        <is>
          <t>T1</t>
        </is>
      </c>
      <c r="B50" s="36" t="inlineStr">
        <is>
          <t>Prashant Sikdar</t>
        </is>
      </c>
      <c r="C50" s="47" t="inlineStr">
        <is>
          <t>Y</t>
        </is>
      </c>
      <c r="D50" s="47" t="inlineStr">
        <is>
          <t>N</t>
        </is>
      </c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</row>
    <row r="51">
      <c r="A51" s="40" t="inlineStr">
        <is>
          <t>T2</t>
        </is>
      </c>
      <c r="B51" s="37" t="inlineStr">
        <is>
          <t>Kunal Raj Mehta</t>
        </is>
      </c>
      <c r="C51" s="104" t="inlineStr">
        <is>
          <t>Y</t>
        </is>
      </c>
      <c r="D51" s="104" t="inlineStr">
        <is>
          <t>N</t>
        </is>
      </c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</row>
    <row r="52">
      <c r="A52" s="42" t="inlineStr">
        <is>
          <t>T3</t>
        </is>
      </c>
      <c r="B52" s="36" t="inlineStr">
        <is>
          <t>Kapil Garg</t>
        </is>
      </c>
      <c r="C52" s="47" t="inlineStr">
        <is>
          <t>Y</t>
        </is>
      </c>
      <c r="D52" s="47" t="inlineStr">
        <is>
          <t>N</t>
        </is>
      </c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</row>
    <row r="53">
      <c r="A53" s="40" t="inlineStr">
        <is>
          <t>T4</t>
        </is>
      </c>
      <c r="B53" s="37" t="inlineStr">
        <is>
          <t>Vijet Alva / Masood Ali Mohammad</t>
        </is>
      </c>
      <c r="C53" s="104" t="inlineStr">
        <is>
          <t>Y</t>
        </is>
      </c>
      <c r="D53" s="104" t="inlineStr">
        <is>
          <t>N</t>
        </is>
      </c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</row>
    <row r="54">
      <c r="A54" s="42" t="inlineStr">
        <is>
          <t>T5</t>
        </is>
      </c>
      <c r="B54" s="36" t="inlineStr">
        <is>
          <t>Karthikeyan Rajendran / Lata Iyer / Ganesh Iyer</t>
        </is>
      </c>
      <c r="C54" s="47" t="inlineStr">
        <is>
          <t>Y</t>
        </is>
      </c>
      <c r="D54" s="47" t="inlineStr">
        <is>
          <t>N</t>
        </is>
      </c>
      <c r="E54" s="47" t="n"/>
      <c r="F54" s="47" t="n"/>
      <c r="G54" s="47" t="n"/>
      <c r="H54" s="47" t="n"/>
      <c r="I54" s="47" t="n"/>
      <c r="J54" s="47" t="n"/>
      <c r="K54" s="47" t="n"/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</row>
    <row r="55">
      <c r="A55" s="40" t="inlineStr">
        <is>
          <t>T6</t>
        </is>
      </c>
      <c r="B55" s="37" t="inlineStr">
        <is>
          <t>Mythili Ramesh</t>
        </is>
      </c>
      <c r="C55" s="104" t="inlineStr">
        <is>
          <t>Y</t>
        </is>
      </c>
      <c r="D55" s="104" t="inlineStr">
        <is>
          <t>N</t>
        </is>
      </c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</row>
    <row r="56">
      <c r="A56" s="42" t="inlineStr">
        <is>
          <t>T7</t>
        </is>
      </c>
      <c r="B56" s="36" t="inlineStr">
        <is>
          <t>Mahak / Vinyas Ramachandran</t>
        </is>
      </c>
      <c r="C56" s="47" t="inlineStr">
        <is>
          <t>Y</t>
        </is>
      </c>
      <c r="D56" s="47" t="inlineStr">
        <is>
          <t>N</t>
        </is>
      </c>
      <c r="E56" s="47" t="n"/>
      <c r="F56" s="47" t="n"/>
      <c r="G56" s="47" t="n"/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</row>
    <row r="57">
      <c r="A57" s="40" t="inlineStr">
        <is>
          <t>T8</t>
        </is>
      </c>
      <c r="B57" s="37" t="inlineStr">
        <is>
          <t>Lalit Kumar Sharma / Jaishree Sharma</t>
        </is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</row>
    <row r="58">
      <c r="A58" s="42" t="inlineStr">
        <is>
          <t>T9</t>
        </is>
      </c>
      <c r="B58" s="36" t="inlineStr">
        <is>
          <t>Nishith Sahoo / Mohit CH / Anmol Verma</t>
        </is>
      </c>
      <c r="C58" s="47" t="inlineStr">
        <is>
          <t>Y</t>
        </is>
      </c>
      <c r="D58" s="47" t="inlineStr">
        <is>
          <t>Y</t>
        </is>
      </c>
      <c r="E58" s="47" t="n"/>
      <c r="F58" s="47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</row>
    <row r="59">
      <c r="A59" s="40" t="inlineStr">
        <is>
          <t>T10</t>
        </is>
      </c>
      <c r="B59" s="37" t="inlineStr">
        <is>
          <t>Vamsidhar</t>
        </is>
      </c>
      <c r="C59" s="104" t="inlineStr">
        <is>
          <t>Y</t>
        </is>
      </c>
      <c r="D59" s="104" t="inlineStr">
        <is>
          <t>N</t>
        </is>
      </c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</row>
    <row r="60">
      <c r="A60" s="42" t="inlineStr">
        <is>
          <t>T11</t>
        </is>
      </c>
      <c r="B60" s="36" t="inlineStr">
        <is>
          <t>Chaitanya Suthapalli / Vaishnavi Suthapalli / Rahul Kumar - 7349095255</t>
        </is>
      </c>
      <c r="C60" s="47" t="inlineStr">
        <is>
          <t>Y</t>
        </is>
      </c>
      <c r="D60" s="47" t="inlineStr">
        <is>
          <t>Y</t>
        </is>
      </c>
      <c r="E60" s="47" t="n"/>
      <c r="F60" s="47" t="n"/>
      <c r="G60" s="47" t="n"/>
      <c r="H60" s="47" t="n"/>
      <c r="I60" s="47" t="n"/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</row>
    <row r="61">
      <c r="A61" s="40" t="inlineStr">
        <is>
          <t>T12</t>
        </is>
      </c>
      <c r="B61" s="37" t="inlineStr">
        <is>
          <t>MAJ PRASENJIT CHAKRAVARTY</t>
        </is>
      </c>
      <c r="C61" s="104" t="inlineStr">
        <is>
          <t>Y</t>
        </is>
      </c>
      <c r="D61" s="104" t="inlineStr">
        <is>
          <t>Y</t>
        </is>
      </c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</row>
    <row r="62">
      <c r="A62" s="42" t="inlineStr">
        <is>
          <t>T13</t>
        </is>
      </c>
      <c r="B62" s="36" t="inlineStr">
        <is>
          <t>Sonali Deokule</t>
        </is>
      </c>
      <c r="C62" s="47" t="n"/>
      <c r="D62" s="47" t="n"/>
      <c r="E62" s="47" t="n"/>
      <c r="F62" s="47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</row>
    <row r="63">
      <c r="A63" s="40" t="inlineStr">
        <is>
          <t>T14</t>
        </is>
      </c>
      <c r="B63" s="37" t="inlineStr">
        <is>
          <t>Godwin / Jeyarani Jeganathan</t>
        </is>
      </c>
      <c r="C63" s="104" t="inlineStr">
        <is>
          <t>Y</t>
        </is>
      </c>
      <c r="D63" s="104" t="inlineStr">
        <is>
          <t>N</t>
        </is>
      </c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</row>
    <row r="64">
      <c r="A64" s="42" t="inlineStr">
        <is>
          <t>T15</t>
        </is>
      </c>
      <c r="B64" s="36" t="inlineStr">
        <is>
          <t>Trevor</t>
        </is>
      </c>
      <c r="C64" s="47" t="inlineStr">
        <is>
          <t>Y</t>
        </is>
      </c>
      <c r="D64" s="47" t="inlineStr">
        <is>
          <t>N</t>
        </is>
      </c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</row>
    <row r="65">
      <c r="A65" s="40" t="inlineStr">
        <is>
          <t>T16</t>
        </is>
      </c>
      <c r="B65" s="37" t="inlineStr">
        <is>
          <t>Madhusoodanan P.R.</t>
        </is>
      </c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 summaryRight="0"/>
    <pageSetUpPr fitToPage="1"/>
  </sheetPr>
  <dimension ref="A1:X1002"/>
  <sheetViews>
    <sheetView workbookViewId="0">
      <selection activeCell="A1" sqref="A1"/>
    </sheetView>
  </sheetViews>
  <sheetFormatPr baseColWidth="8" defaultColWidth="14.42578125" defaultRowHeight="15" customHeight="1"/>
  <cols>
    <col width="11.42578125" customWidth="1" min="1" max="1"/>
    <col width="16.85546875" customWidth="1" min="2" max="2"/>
    <col width="22.140625" customWidth="1" min="3" max="3"/>
    <col width="22.85546875" customWidth="1" min="4" max="4"/>
    <col width="14.42578125" customWidth="1" min="5" max="5"/>
    <col width="28.28515625" customWidth="1" min="6" max="6"/>
    <col hidden="1" width="14.42578125" customWidth="1" min="7" max="7"/>
    <col width="15" customWidth="1" min="8" max="8"/>
    <col width="11.42578125" customWidth="1" min="9" max="10"/>
    <col width="15" customWidth="1" min="11" max="11"/>
  </cols>
  <sheetData>
    <row r="1">
      <c r="A1" s="100" t="inlineStr">
        <is>
          <t>Maintenance</t>
        </is>
      </c>
      <c r="B1" s="125" t="n"/>
      <c r="C1" s="125" t="n"/>
      <c r="D1" s="125" t="n"/>
      <c r="E1" s="100" t="inlineStr">
        <is>
          <t>Project Balance since 2013</t>
        </is>
      </c>
      <c r="F1" s="100" t="inlineStr">
        <is>
          <t>Maintenance + Project Balance since 2013 including Mar'26 expense</t>
        </is>
      </c>
      <c r="G1" s="100" t="inlineStr">
        <is>
          <t>Feb'26 Expense</t>
        </is>
      </c>
      <c r="H1" s="100" t="inlineStr">
        <is>
          <t>Mar'26 Expense</t>
        </is>
      </c>
      <c r="I1" s="100" t="n"/>
      <c r="J1" s="100" t="inlineStr">
        <is>
          <t>Flat</t>
        </is>
      </c>
      <c r="K1" s="100" t="inlineStr">
        <is>
          <t>Mar'26 Expense</t>
        </is>
      </c>
      <c r="L1" s="100" t="n"/>
      <c r="M1" s="100" t="n"/>
      <c r="N1" s="100" t="n"/>
      <c r="O1" s="39" t="n"/>
      <c r="P1" s="39" t="n"/>
      <c r="Q1" s="100" t="n"/>
      <c r="R1" s="100" t="n"/>
      <c r="S1" s="100" t="n"/>
      <c r="T1" s="100" t="n"/>
      <c r="U1" s="100" t="n"/>
      <c r="V1" s="100" t="n"/>
      <c r="W1" s="100" t="n"/>
      <c r="X1" s="100" t="n"/>
    </row>
    <row r="2">
      <c r="A2" s="36" t="n"/>
      <c r="B2" s="36" t="inlineStr">
        <is>
          <t>Balance till Oct'25</t>
        </is>
      </c>
      <c r="C2" s="47" t="inlineStr">
        <is>
          <t>Nov'25-Feb'26 Expenses</t>
        </is>
      </c>
      <c r="D2" s="47" t="inlineStr">
        <is>
          <t>Nov'25-Feb'26 Collection</t>
        </is>
      </c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3" t="n"/>
      <c r="P2" s="43" t="n"/>
      <c r="Q2" s="47" t="n"/>
      <c r="R2" s="47" t="n"/>
      <c r="S2" s="47" t="n"/>
      <c r="T2" s="47" t="n"/>
      <c r="U2" s="47" t="n"/>
      <c r="V2" s="47" t="n"/>
      <c r="W2" s="47" t="n"/>
      <c r="X2" s="47" t="n"/>
    </row>
    <row r="3">
      <c r="A3" s="37" t="n"/>
      <c r="B3" s="37" t="inlineStr">
        <is>
          <t>As per CA's records</t>
        </is>
      </c>
      <c r="C3" s="104" t="inlineStr">
        <is>
          <t>As per our records</t>
        </is>
      </c>
      <c r="D3" s="126" t="n"/>
      <c r="E3" s="104" t="inlineStr">
        <is>
          <t>As per CA's records</t>
        </is>
      </c>
      <c r="F3" s="104" t="n"/>
      <c r="G3" s="104" t="inlineStr">
        <is>
          <t>TO BE PAID</t>
        </is>
      </c>
      <c r="H3" s="104" t="n"/>
      <c r="I3" s="104" t="n"/>
      <c r="J3" s="104" t="n"/>
      <c r="K3" s="104" t="inlineStr">
        <is>
          <t>TO BE PAID</t>
        </is>
      </c>
      <c r="L3" s="104" t="n"/>
      <c r="M3" s="104" t="n"/>
      <c r="N3" s="104" t="n"/>
      <c r="O3" s="41" t="n"/>
      <c r="P3" s="41" t="n"/>
      <c r="Q3" s="104" t="n"/>
      <c r="R3" s="104" t="n"/>
      <c r="S3" s="104" t="n"/>
      <c r="T3" s="104" t="n"/>
      <c r="U3" s="104" t="n"/>
      <c r="V3" s="104" t="n"/>
      <c r="W3" s="104" t="n"/>
      <c r="X3" s="104" t="n"/>
    </row>
    <row r="4">
      <c r="A4" s="36" t="inlineStr">
        <is>
          <t>Flat F1</t>
        </is>
      </c>
      <c r="B4" s="36" t="n">
        <v>0</v>
      </c>
      <c r="C4" s="43">
        <f>'INCOME-EXPENSE-CYCLES'!AH3+'INCOME-EXPENSE-CYCLES'!AL3+'INCOME-EXPENSE-CYCLES'!AP3+'INCOME-EXPENSE-CYCLES'!AT3+'INCOME-EXPENSE-CYCLES'!AX3</f>
        <v/>
      </c>
      <c r="D4" s="43">
        <f>'INCOME-EXPENSE-CYCLES'!AG3+'INCOME-EXPENSE-CYCLES'!AK3+'INCOME-EXPENSE-CYCLES'!AO3+'INCOME-EXPENSE-CYCLES'!AS3+'INCOME-EXPENSE-CYCLES'!AW3</f>
        <v/>
      </c>
      <c r="E4" s="47" t="n">
        <v>0</v>
      </c>
      <c r="F4" s="43">
        <f>(D4-C4)+B4+E4</f>
        <v/>
      </c>
      <c r="G4" s="47">
        <f>IFERROR(__xludf.DUMMYFUNCTION("IMPORTRANGE(""https://docs.google.com/spreadsheets/d/1fWBYxKVkH-hZRWFcQqynGDAsjpSwrIJaozXRb8KlvuE/edit?gid=1048737824"",""'INCOME-EXPENSE-CYCLES'!AU3:AU66"")"),"#REF!")</f>
        <v/>
      </c>
      <c r="H4" s="47">
        <f>IFERROR(__xludf.DUMMYFUNCTION("IMPORTRANGE(""https://docs.google.com/spreadsheets/d/1fWBYxKVkH-hZRWFcQqynGDAsjpSwrIJaozXRb8KlvuE/edit?gid=1048737824"",""'INCOME-EXPENSE-CYCLES'!AY3:AY66"")"),"#REF!")</f>
        <v/>
      </c>
      <c r="I4" s="47" t="n"/>
      <c r="J4" s="47" t="inlineStr">
        <is>
          <t>Flat F1</t>
        </is>
      </c>
      <c r="K4" s="47">
        <f>IFERROR(__xludf.DUMMYFUNCTION("IMPORTRANGE(""https://docs.google.com/spreadsheets/d/1fWBYxKVkH-hZRWFcQqynGDAsjpSwrIJaozXRb8KlvuE/edit?gid=1048737824"",""'INCOME-EXPENSE-CYCLES'!AY3:AY66"")"),"#REF!")</f>
        <v/>
      </c>
      <c r="L4" s="43" t="n">
        <v>0</v>
      </c>
      <c r="M4" s="47" t="n"/>
      <c r="N4" s="47" t="n"/>
      <c r="O4" s="43" t="n"/>
      <c r="P4" s="43" t="n"/>
      <c r="Q4" s="47" t="n"/>
      <c r="R4" s="47" t="n"/>
      <c r="S4" s="47" t="n"/>
      <c r="T4" s="47" t="n"/>
      <c r="U4" s="47" t="n"/>
      <c r="V4" s="47" t="n"/>
      <c r="W4" s="47" t="n"/>
      <c r="X4" s="47" t="n"/>
    </row>
    <row r="5">
      <c r="A5" s="37" t="inlineStr">
        <is>
          <t>Flat F2</t>
        </is>
      </c>
      <c r="B5" s="37" t="n">
        <v>0</v>
      </c>
      <c r="C5" s="41">
        <f>'INCOME-EXPENSE-CYCLES'!AH4+'INCOME-EXPENSE-CYCLES'!AL4+'INCOME-EXPENSE-CYCLES'!AP4+'INCOME-EXPENSE-CYCLES'!AT4+'INCOME-EXPENSE-CYCLES'!AX4</f>
        <v/>
      </c>
      <c r="D5" s="41">
        <f>'INCOME-EXPENSE-CYCLES'!AG4+'INCOME-EXPENSE-CYCLES'!AK4+'INCOME-EXPENSE-CYCLES'!AO4+'INCOME-EXPENSE-CYCLES'!AS4+'INCOME-EXPENSE-CYCLES'!AW4</f>
        <v/>
      </c>
      <c r="E5" s="104" t="n">
        <v>0</v>
      </c>
      <c r="F5" s="41">
        <f>(D5-C5)+B5+E5</f>
        <v/>
      </c>
      <c r="G5" s="104" t="n"/>
      <c r="H5" s="104" t="n"/>
      <c r="I5" s="104" t="n"/>
      <c r="J5" s="104" t="inlineStr">
        <is>
          <t>Flat F2</t>
        </is>
      </c>
      <c r="K5" s="104" t="n"/>
      <c r="L5" s="41" t="n">
        <v>0</v>
      </c>
      <c r="M5" s="104" t="n"/>
      <c r="N5" s="104" t="n"/>
      <c r="O5" s="41" t="n"/>
      <c r="P5" s="41" t="n"/>
      <c r="Q5" s="104" t="n"/>
      <c r="R5" s="104" t="n"/>
      <c r="S5" s="104" t="n"/>
      <c r="T5" s="104" t="n"/>
      <c r="U5" s="104" t="n"/>
      <c r="V5" s="104" t="n"/>
      <c r="W5" s="104" t="n"/>
      <c r="X5" s="104" t="n"/>
    </row>
    <row r="6">
      <c r="A6" s="36" t="inlineStr">
        <is>
          <t>Flat F3</t>
        </is>
      </c>
      <c r="B6" s="36" t="n">
        <v>0</v>
      </c>
      <c r="C6" s="43">
        <f>'INCOME-EXPENSE-CYCLES'!AH5+'INCOME-EXPENSE-CYCLES'!AL5+'INCOME-EXPENSE-CYCLES'!AP5+'INCOME-EXPENSE-CYCLES'!AT5+'INCOME-EXPENSE-CYCLES'!AX5</f>
        <v/>
      </c>
      <c r="D6" s="43">
        <f>'INCOME-EXPENSE-CYCLES'!AG5+'INCOME-EXPENSE-CYCLES'!AK5+'INCOME-EXPENSE-CYCLES'!AO5+'INCOME-EXPENSE-CYCLES'!AS5+'INCOME-EXPENSE-CYCLES'!AW5</f>
        <v/>
      </c>
      <c r="E6" s="47" t="n">
        <v>0</v>
      </c>
      <c r="F6" s="43">
        <f>(D6-C6)+B6+E6</f>
        <v/>
      </c>
      <c r="G6" s="47" t="n"/>
      <c r="H6" s="47" t="n"/>
      <c r="I6" s="47" t="n"/>
      <c r="J6" s="47" t="inlineStr">
        <is>
          <t>Flat F3</t>
        </is>
      </c>
      <c r="K6" s="47" t="n"/>
      <c r="L6" s="43" t="n">
        <v>0</v>
      </c>
      <c r="M6" s="47" t="n"/>
      <c r="N6" s="47" t="n"/>
      <c r="O6" s="43" t="n"/>
      <c r="P6" s="43" t="n"/>
      <c r="Q6" s="47" t="n"/>
      <c r="R6" s="47" t="n"/>
      <c r="S6" s="47" t="n"/>
      <c r="T6" s="47" t="n"/>
      <c r="U6" s="47" t="n"/>
      <c r="V6" s="47" t="n"/>
      <c r="W6" s="47" t="n"/>
      <c r="X6" s="47" t="n"/>
    </row>
    <row r="7">
      <c r="A7" s="37" t="inlineStr">
        <is>
          <t>Flat F4</t>
        </is>
      </c>
      <c r="B7" s="37" t="n">
        <v>0</v>
      </c>
      <c r="C7" s="41">
        <f>'INCOME-EXPENSE-CYCLES'!AH6+'INCOME-EXPENSE-CYCLES'!AL6+'INCOME-EXPENSE-CYCLES'!AP6+'INCOME-EXPENSE-CYCLES'!AT6+'INCOME-EXPENSE-CYCLES'!AX6</f>
        <v/>
      </c>
      <c r="D7" s="41">
        <f>'INCOME-EXPENSE-CYCLES'!AG6+'INCOME-EXPENSE-CYCLES'!AK6+'INCOME-EXPENSE-CYCLES'!AO6+'INCOME-EXPENSE-CYCLES'!AS6+'INCOME-EXPENSE-CYCLES'!AW6</f>
        <v/>
      </c>
      <c r="E7" s="104" t="n">
        <v>0</v>
      </c>
      <c r="F7" s="41">
        <f>(D7-C7)+B7+E7</f>
        <v/>
      </c>
      <c r="G7" s="104" t="n"/>
      <c r="H7" s="104" t="n"/>
      <c r="I7" s="104" t="n"/>
      <c r="J7" s="104" t="inlineStr">
        <is>
          <t>Flat F4</t>
        </is>
      </c>
      <c r="K7" s="104" t="n"/>
      <c r="L7" s="41" t="n">
        <v>0</v>
      </c>
      <c r="M7" s="104" t="n"/>
      <c r="N7" s="104" t="n"/>
      <c r="O7" s="41" t="n"/>
      <c r="P7" s="41" t="n"/>
      <c r="Q7" s="104" t="n"/>
      <c r="R7" s="104" t="n"/>
      <c r="S7" s="104" t="n"/>
      <c r="T7" s="104" t="n"/>
      <c r="U7" s="104" t="n"/>
      <c r="V7" s="104" t="n"/>
      <c r="W7" s="104" t="n"/>
      <c r="X7" s="104" t="n"/>
    </row>
    <row r="8">
      <c r="A8" s="36" t="inlineStr">
        <is>
          <t>Flat F5</t>
        </is>
      </c>
      <c r="B8" s="36" t="n">
        <v>0</v>
      </c>
      <c r="C8" s="43">
        <f>'INCOME-EXPENSE-CYCLES'!AH7+'INCOME-EXPENSE-CYCLES'!AL7+'INCOME-EXPENSE-CYCLES'!AP7+'INCOME-EXPENSE-CYCLES'!AT7+'INCOME-EXPENSE-CYCLES'!AX7</f>
        <v/>
      </c>
      <c r="D8" s="43">
        <f>'INCOME-EXPENSE-CYCLES'!AG7+'INCOME-EXPENSE-CYCLES'!AK7+'INCOME-EXPENSE-CYCLES'!AO7+'INCOME-EXPENSE-CYCLES'!AS7+'INCOME-EXPENSE-CYCLES'!AW7</f>
        <v/>
      </c>
      <c r="E8" s="47" t="n">
        <v>0</v>
      </c>
      <c r="F8" s="43">
        <f>(D8-C8)+B8+E8</f>
        <v/>
      </c>
      <c r="G8" s="47" t="n"/>
      <c r="H8" s="47" t="n"/>
      <c r="I8" s="47" t="n"/>
      <c r="J8" s="47" t="inlineStr">
        <is>
          <t>Flat F5</t>
        </is>
      </c>
      <c r="K8" s="47" t="n"/>
      <c r="L8" s="43" t="n">
        <v>0</v>
      </c>
      <c r="M8" s="47" t="n"/>
      <c r="N8" s="47" t="n"/>
      <c r="O8" s="43" t="n"/>
      <c r="P8" s="43" t="n"/>
      <c r="Q8" s="47" t="n"/>
      <c r="R8" s="47" t="n"/>
      <c r="S8" s="47" t="n"/>
      <c r="T8" s="47" t="n"/>
      <c r="U8" s="47" t="n"/>
      <c r="V8" s="47" t="n"/>
      <c r="W8" s="47" t="n"/>
      <c r="X8" s="47" t="n"/>
    </row>
    <row r="9">
      <c r="A9" s="37" t="inlineStr">
        <is>
          <t>Flat F6</t>
        </is>
      </c>
      <c r="B9" s="37" t="n">
        <v>0</v>
      </c>
      <c r="C9" s="41">
        <f>'INCOME-EXPENSE-CYCLES'!AH8+'INCOME-EXPENSE-CYCLES'!AL8+'INCOME-EXPENSE-CYCLES'!AP8+'INCOME-EXPENSE-CYCLES'!AT8+'INCOME-EXPENSE-CYCLES'!AX8</f>
        <v/>
      </c>
      <c r="D9" s="41">
        <f>'INCOME-EXPENSE-CYCLES'!AG8+'INCOME-EXPENSE-CYCLES'!AK8+'INCOME-EXPENSE-CYCLES'!AO8+'INCOME-EXPENSE-CYCLES'!AS8+'INCOME-EXPENSE-CYCLES'!AW8</f>
        <v/>
      </c>
      <c r="E9" s="104" t="n">
        <v>0</v>
      </c>
      <c r="F9" s="41">
        <f>(D9-C9)+B9+E9</f>
        <v/>
      </c>
      <c r="G9" s="104" t="n"/>
      <c r="H9" s="104" t="n"/>
      <c r="I9" s="104" t="n"/>
      <c r="J9" s="104" t="inlineStr">
        <is>
          <t>Flat F6</t>
        </is>
      </c>
      <c r="K9" s="104" t="n"/>
      <c r="L9" s="41" t="n">
        <v>0</v>
      </c>
      <c r="M9" s="104" t="n"/>
      <c r="N9" s="104" t="n"/>
      <c r="O9" s="41" t="n"/>
      <c r="P9" s="41" t="n"/>
      <c r="Q9" s="104" t="n"/>
      <c r="R9" s="104" t="n"/>
      <c r="S9" s="104" t="n"/>
      <c r="T9" s="104" t="n"/>
      <c r="U9" s="104" t="n"/>
      <c r="V9" s="104" t="n"/>
      <c r="W9" s="104" t="n"/>
      <c r="X9" s="104" t="n"/>
    </row>
    <row r="10">
      <c r="A10" s="36" t="inlineStr">
        <is>
          <t>Flat F7</t>
        </is>
      </c>
      <c r="B10" s="36" t="n">
        <v>0</v>
      </c>
      <c r="C10" s="43">
        <f>'INCOME-EXPENSE-CYCLES'!AH9+'INCOME-EXPENSE-CYCLES'!AL9+'INCOME-EXPENSE-CYCLES'!AP9+'INCOME-EXPENSE-CYCLES'!AT9+'INCOME-EXPENSE-CYCLES'!AX9</f>
        <v/>
      </c>
      <c r="D10" s="43">
        <f>'INCOME-EXPENSE-CYCLES'!AG9+'INCOME-EXPENSE-CYCLES'!AK9+'INCOME-EXPENSE-CYCLES'!AO9+'INCOME-EXPENSE-CYCLES'!AS9+'INCOME-EXPENSE-CYCLES'!AW9</f>
        <v/>
      </c>
      <c r="E10" s="47" t="n">
        <v>0</v>
      </c>
      <c r="F10" s="43">
        <f>(D10-C10)+B10+E10</f>
        <v/>
      </c>
      <c r="G10" s="47" t="n"/>
      <c r="H10" s="47" t="n"/>
      <c r="I10" s="47" t="n"/>
      <c r="J10" s="47" t="inlineStr">
        <is>
          <t>Flat F7</t>
        </is>
      </c>
      <c r="K10" s="47" t="n"/>
      <c r="L10" s="43" t="n">
        <v>0</v>
      </c>
      <c r="M10" s="47" t="n"/>
      <c r="N10" s="47" t="n"/>
      <c r="O10" s="43" t="n"/>
      <c r="P10" s="43" t="n"/>
      <c r="Q10" s="47" t="n"/>
      <c r="R10" s="47" t="n"/>
      <c r="S10" s="47" t="n"/>
      <c r="T10" s="47" t="n"/>
      <c r="U10" s="47" t="n"/>
      <c r="V10" s="47" t="n"/>
      <c r="W10" s="47" t="n"/>
      <c r="X10" s="47" t="n"/>
    </row>
    <row r="11">
      <c r="A11" s="37" t="inlineStr">
        <is>
          <t>Flat F8</t>
        </is>
      </c>
      <c r="B11" s="37" t="n">
        <v>0</v>
      </c>
      <c r="C11" s="41">
        <f>'INCOME-EXPENSE-CYCLES'!AH10+'INCOME-EXPENSE-CYCLES'!AL10+'INCOME-EXPENSE-CYCLES'!AP10+'INCOME-EXPENSE-CYCLES'!AT10+'INCOME-EXPENSE-CYCLES'!AX10</f>
        <v/>
      </c>
      <c r="D11" s="41">
        <f>'INCOME-EXPENSE-CYCLES'!AG10+'INCOME-EXPENSE-CYCLES'!AK10+'INCOME-EXPENSE-CYCLES'!AO10+'INCOME-EXPENSE-CYCLES'!AS10+'INCOME-EXPENSE-CYCLES'!AW10</f>
        <v/>
      </c>
      <c r="E11" s="104" t="n">
        <v>0</v>
      </c>
      <c r="F11" s="41">
        <f>(D11-C11)+B11+E11</f>
        <v/>
      </c>
      <c r="G11" s="104" t="n"/>
      <c r="H11" s="104" t="n"/>
      <c r="I11" s="104" t="n"/>
      <c r="J11" s="104" t="inlineStr">
        <is>
          <t>Flat F8</t>
        </is>
      </c>
      <c r="K11" s="104" t="n"/>
      <c r="L11" s="41" t="n">
        <v>0</v>
      </c>
      <c r="M11" s="104" t="n"/>
      <c r="N11" s="104" t="n"/>
      <c r="O11" s="41" t="n"/>
      <c r="P11" s="41" t="n"/>
      <c r="Q11" s="104" t="n"/>
      <c r="R11" s="104" t="n"/>
      <c r="S11" s="104" t="n"/>
      <c r="T11" s="104" t="n"/>
      <c r="U11" s="104" t="n"/>
      <c r="V11" s="104" t="n"/>
      <c r="W11" s="104" t="n"/>
      <c r="X11" s="104" t="n"/>
    </row>
    <row r="12">
      <c r="A12" s="36" t="inlineStr">
        <is>
          <t>Flat F9</t>
        </is>
      </c>
      <c r="B12" s="36" t="n">
        <v>0</v>
      </c>
      <c r="C12" s="43">
        <f>'INCOME-EXPENSE-CYCLES'!AH11+'INCOME-EXPENSE-CYCLES'!AL11+'INCOME-EXPENSE-CYCLES'!AP11+'INCOME-EXPENSE-CYCLES'!AT11+'INCOME-EXPENSE-CYCLES'!AX11</f>
        <v/>
      </c>
      <c r="D12" s="43">
        <f>'INCOME-EXPENSE-CYCLES'!AG11+'INCOME-EXPENSE-CYCLES'!AK11+'INCOME-EXPENSE-CYCLES'!AO11+'INCOME-EXPENSE-CYCLES'!AS11+'INCOME-EXPENSE-CYCLES'!AW11</f>
        <v/>
      </c>
      <c r="E12" s="47" t="n">
        <v>0</v>
      </c>
      <c r="F12" s="43">
        <f>(D12-C12)+B12+E12</f>
        <v/>
      </c>
      <c r="G12" s="47" t="n"/>
      <c r="H12" s="47" t="n"/>
      <c r="I12" s="47" t="n"/>
      <c r="J12" s="47" t="inlineStr">
        <is>
          <t>Flat F9</t>
        </is>
      </c>
      <c r="K12" s="47" t="n"/>
      <c r="L12" s="43" t="n">
        <v>0</v>
      </c>
      <c r="M12" s="47" t="n"/>
      <c r="N12" s="47" t="n"/>
      <c r="O12" s="43" t="n"/>
      <c r="P12" s="43" t="n"/>
      <c r="Q12" s="47" t="n"/>
      <c r="R12" s="47" t="n"/>
      <c r="S12" s="47" t="n"/>
      <c r="T12" s="47" t="n"/>
      <c r="U12" s="47" t="n"/>
      <c r="V12" s="47" t="n"/>
      <c r="W12" s="47" t="n"/>
      <c r="X12" s="47" t="n"/>
    </row>
    <row r="13">
      <c r="A13" s="37" t="inlineStr">
        <is>
          <t>Flat F10</t>
        </is>
      </c>
      <c r="B13" s="37" t="n">
        <v>0</v>
      </c>
      <c r="C13" s="41">
        <f>'INCOME-EXPENSE-CYCLES'!AH12+'INCOME-EXPENSE-CYCLES'!AL12+'INCOME-EXPENSE-CYCLES'!AP12+'INCOME-EXPENSE-CYCLES'!AT12+'INCOME-EXPENSE-CYCLES'!AX12</f>
        <v/>
      </c>
      <c r="D13" s="41">
        <f>'INCOME-EXPENSE-CYCLES'!AG12+'INCOME-EXPENSE-CYCLES'!AK12+'INCOME-EXPENSE-CYCLES'!AO12+'INCOME-EXPENSE-CYCLES'!AS12+'INCOME-EXPENSE-CYCLES'!AW12</f>
        <v/>
      </c>
      <c r="E13" s="104" t="n">
        <v>0</v>
      </c>
      <c r="F13" s="41">
        <f>(D13-C13)+B13+E13</f>
        <v/>
      </c>
      <c r="G13" s="104" t="n"/>
      <c r="H13" s="104" t="n"/>
      <c r="I13" s="104" t="n"/>
      <c r="J13" s="104" t="inlineStr">
        <is>
          <t>Flat F10</t>
        </is>
      </c>
      <c r="K13" s="104" t="n"/>
      <c r="L13" s="41" t="n">
        <v>0</v>
      </c>
      <c r="M13" s="104" t="n"/>
      <c r="N13" s="104" t="n"/>
      <c r="O13" s="41" t="n"/>
      <c r="P13" s="41" t="n"/>
      <c r="Q13" s="104" t="n"/>
      <c r="R13" s="104" t="n"/>
      <c r="S13" s="104" t="n"/>
      <c r="T13" s="104" t="n"/>
      <c r="U13" s="104" t="n"/>
      <c r="V13" s="104" t="n"/>
      <c r="W13" s="104" t="n"/>
      <c r="X13" s="104" t="n"/>
    </row>
    <row r="14">
      <c r="A14" s="36" t="inlineStr">
        <is>
          <t>Flat F11</t>
        </is>
      </c>
      <c r="B14" s="36" t="n">
        <v>0</v>
      </c>
      <c r="C14" s="43">
        <f>'INCOME-EXPENSE-CYCLES'!AH13+'INCOME-EXPENSE-CYCLES'!AL13+'INCOME-EXPENSE-CYCLES'!AP13+'INCOME-EXPENSE-CYCLES'!AT13+'INCOME-EXPENSE-CYCLES'!AX13</f>
        <v/>
      </c>
      <c r="D14" s="43">
        <f>'INCOME-EXPENSE-CYCLES'!AG13+'INCOME-EXPENSE-CYCLES'!AK13+'INCOME-EXPENSE-CYCLES'!AO13+'INCOME-EXPENSE-CYCLES'!AS13+'INCOME-EXPENSE-CYCLES'!AW13</f>
        <v/>
      </c>
      <c r="E14" s="47" t="n">
        <v>0</v>
      </c>
      <c r="F14" s="43">
        <f>(D14-C14)+B14+E14</f>
        <v/>
      </c>
      <c r="G14" s="47" t="n"/>
      <c r="H14" s="47" t="n"/>
      <c r="I14" s="47" t="n"/>
      <c r="J14" s="47" t="inlineStr">
        <is>
          <t>Flat F11</t>
        </is>
      </c>
      <c r="K14" s="47" t="n"/>
      <c r="L14" s="43" t="n">
        <v>0</v>
      </c>
      <c r="M14" s="47" t="n"/>
      <c r="N14" s="47" t="n"/>
      <c r="O14" s="43" t="n"/>
      <c r="P14" s="43" t="n"/>
      <c r="Q14" s="47" t="n"/>
      <c r="R14" s="47" t="n"/>
      <c r="S14" s="47" t="n"/>
      <c r="T14" s="47" t="n"/>
      <c r="U14" s="47" t="n"/>
      <c r="V14" s="47" t="n"/>
      <c r="W14" s="47" t="n"/>
      <c r="X14" s="47" t="n"/>
    </row>
    <row r="15">
      <c r="A15" s="37" t="inlineStr">
        <is>
          <t>Flat F12</t>
        </is>
      </c>
      <c r="B15" s="37" t="n">
        <v>0</v>
      </c>
      <c r="C15" s="41">
        <f>'INCOME-EXPENSE-CYCLES'!AH14+'INCOME-EXPENSE-CYCLES'!AL14+'INCOME-EXPENSE-CYCLES'!AP14+'INCOME-EXPENSE-CYCLES'!AT14+'INCOME-EXPENSE-CYCLES'!AX14</f>
        <v/>
      </c>
      <c r="D15" s="41">
        <f>'INCOME-EXPENSE-CYCLES'!AG14+'INCOME-EXPENSE-CYCLES'!AK14+'INCOME-EXPENSE-CYCLES'!AO14+'INCOME-EXPENSE-CYCLES'!AS14+'INCOME-EXPENSE-CYCLES'!AW14</f>
        <v/>
      </c>
      <c r="E15" s="104" t="n">
        <v>0</v>
      </c>
      <c r="F15" s="41">
        <f>(D15-C15)+B15+E15</f>
        <v/>
      </c>
      <c r="G15" s="104" t="n"/>
      <c r="H15" s="104" t="n"/>
      <c r="I15" s="104" t="n"/>
      <c r="J15" s="104" t="inlineStr">
        <is>
          <t>Flat F12</t>
        </is>
      </c>
      <c r="K15" s="104" t="n"/>
      <c r="L15" s="41" t="n">
        <v>0</v>
      </c>
      <c r="M15" s="104" t="n"/>
      <c r="N15" s="104" t="n"/>
      <c r="O15" s="41" t="n"/>
      <c r="P15" s="41" t="n"/>
      <c r="Q15" s="104" t="n"/>
      <c r="R15" s="104" t="n"/>
      <c r="S15" s="104" t="n"/>
      <c r="T15" s="104" t="n"/>
      <c r="U15" s="104" t="n"/>
      <c r="V15" s="104" t="n"/>
      <c r="W15" s="104" t="n"/>
      <c r="X15" s="104" t="n"/>
    </row>
    <row r="16">
      <c r="A16" s="36" t="inlineStr">
        <is>
          <t>Flat F13</t>
        </is>
      </c>
      <c r="B16" s="36" t="n">
        <v>0</v>
      </c>
      <c r="C16" s="43">
        <f>'INCOME-EXPENSE-CYCLES'!AH15+'INCOME-EXPENSE-CYCLES'!AL15+'INCOME-EXPENSE-CYCLES'!AP15+'INCOME-EXPENSE-CYCLES'!AT15+'INCOME-EXPENSE-CYCLES'!AX15</f>
        <v/>
      </c>
      <c r="D16" s="43">
        <f>'INCOME-EXPENSE-CYCLES'!AG15+'INCOME-EXPENSE-CYCLES'!AK15+'INCOME-EXPENSE-CYCLES'!AO15+'INCOME-EXPENSE-CYCLES'!AS15+'INCOME-EXPENSE-CYCLES'!AW15</f>
        <v/>
      </c>
      <c r="E16" s="47" t="n">
        <v>0</v>
      </c>
      <c r="F16" s="43">
        <f>(D16-C16)+B16+E16</f>
        <v/>
      </c>
      <c r="G16" s="47" t="n"/>
      <c r="H16" s="47" t="n"/>
      <c r="I16" s="47" t="n"/>
      <c r="J16" s="47" t="inlineStr">
        <is>
          <t>Flat F13</t>
        </is>
      </c>
      <c r="K16" s="47" t="n"/>
      <c r="L16" s="43" t="n">
        <v>0</v>
      </c>
      <c r="M16" s="47" t="n"/>
      <c r="N16" s="47" t="n"/>
      <c r="O16" s="43" t="n"/>
      <c r="P16" s="43" t="n"/>
      <c r="Q16" s="47" t="n"/>
      <c r="R16" s="47" t="n"/>
      <c r="S16" s="47" t="n"/>
      <c r="T16" s="47" t="n"/>
      <c r="U16" s="47" t="n"/>
      <c r="V16" s="47" t="n"/>
      <c r="W16" s="47" t="n"/>
      <c r="X16" s="47" t="n"/>
    </row>
    <row r="17">
      <c r="A17" s="37" t="inlineStr">
        <is>
          <t>Flat F14</t>
        </is>
      </c>
      <c r="B17" s="37" t="n">
        <v>0</v>
      </c>
      <c r="C17" s="41">
        <f>'INCOME-EXPENSE-CYCLES'!AH16+'INCOME-EXPENSE-CYCLES'!AL16+'INCOME-EXPENSE-CYCLES'!AP16+'INCOME-EXPENSE-CYCLES'!AT16+'INCOME-EXPENSE-CYCLES'!AX16</f>
        <v/>
      </c>
      <c r="D17" s="41">
        <f>'INCOME-EXPENSE-CYCLES'!AG16+'INCOME-EXPENSE-CYCLES'!AK16+'INCOME-EXPENSE-CYCLES'!AO16+'INCOME-EXPENSE-CYCLES'!AS16+'INCOME-EXPENSE-CYCLES'!AW16</f>
        <v/>
      </c>
      <c r="E17" s="104" t="n">
        <v>0</v>
      </c>
      <c r="F17" s="41">
        <f>(D17-C17)+B17+E17</f>
        <v/>
      </c>
      <c r="G17" s="104" t="n"/>
      <c r="H17" s="104" t="n"/>
      <c r="I17" s="104" t="n"/>
      <c r="J17" s="104" t="inlineStr">
        <is>
          <t>Flat F14</t>
        </is>
      </c>
      <c r="K17" s="104" t="n"/>
      <c r="L17" s="41" t="n">
        <v>0</v>
      </c>
      <c r="M17" s="104" t="n"/>
      <c r="N17" s="104" t="n"/>
      <c r="O17" s="41" t="n"/>
      <c r="P17" s="41" t="n"/>
      <c r="Q17" s="104" t="n"/>
      <c r="R17" s="104" t="n"/>
      <c r="S17" s="104" t="n"/>
      <c r="T17" s="104" t="n"/>
      <c r="U17" s="104" t="n"/>
      <c r="V17" s="104" t="n"/>
      <c r="W17" s="104" t="n"/>
      <c r="X17" s="104" t="n"/>
    </row>
    <row r="18">
      <c r="A18" s="36" t="inlineStr">
        <is>
          <t>Flat F15</t>
        </is>
      </c>
      <c r="B18" s="36" t="n">
        <v>0</v>
      </c>
      <c r="C18" s="43">
        <f>'INCOME-EXPENSE-CYCLES'!AH17+'INCOME-EXPENSE-CYCLES'!AL17+'INCOME-EXPENSE-CYCLES'!AP17+'INCOME-EXPENSE-CYCLES'!AT17+'INCOME-EXPENSE-CYCLES'!AX17</f>
        <v/>
      </c>
      <c r="D18" s="43">
        <f>'INCOME-EXPENSE-CYCLES'!AG17+'INCOME-EXPENSE-CYCLES'!AK17+'INCOME-EXPENSE-CYCLES'!AO17+'INCOME-EXPENSE-CYCLES'!AS17+'INCOME-EXPENSE-CYCLES'!AW17</f>
        <v/>
      </c>
      <c r="E18" s="47" t="n">
        <v>0</v>
      </c>
      <c r="F18" s="43">
        <f>(D18-C18)+B18+E18</f>
        <v/>
      </c>
      <c r="G18" s="47" t="n"/>
      <c r="H18" s="47" t="n"/>
      <c r="I18" s="47" t="n"/>
      <c r="J18" s="47" t="inlineStr">
        <is>
          <t>Flat F15</t>
        </is>
      </c>
      <c r="K18" s="47" t="n"/>
      <c r="L18" s="43" t="n">
        <v>0</v>
      </c>
      <c r="M18" s="47" t="n"/>
      <c r="N18" s="47" t="n"/>
      <c r="O18" s="43" t="n"/>
      <c r="P18" s="43" t="n"/>
      <c r="Q18" s="47" t="n"/>
      <c r="R18" s="47" t="n"/>
      <c r="S18" s="47" t="n"/>
      <c r="T18" s="47" t="n"/>
      <c r="U18" s="47" t="n"/>
      <c r="V18" s="47" t="n"/>
      <c r="W18" s="47" t="n"/>
      <c r="X18" s="47" t="n"/>
    </row>
    <row r="19">
      <c r="A19" s="37" t="inlineStr">
        <is>
          <t>Flat F16</t>
        </is>
      </c>
      <c r="B19" s="37" t="n">
        <v>0</v>
      </c>
      <c r="C19" s="41">
        <f>'INCOME-EXPENSE-CYCLES'!AH18+'INCOME-EXPENSE-CYCLES'!AL18+'INCOME-EXPENSE-CYCLES'!AP18+'INCOME-EXPENSE-CYCLES'!AT18+'INCOME-EXPENSE-CYCLES'!AX18</f>
        <v/>
      </c>
      <c r="D19" s="41">
        <f>'INCOME-EXPENSE-CYCLES'!AG18+'INCOME-EXPENSE-CYCLES'!AK18+'INCOME-EXPENSE-CYCLES'!AO18+'INCOME-EXPENSE-CYCLES'!AS18+'INCOME-EXPENSE-CYCLES'!AW18</f>
        <v/>
      </c>
      <c r="E19" s="104" t="n">
        <v>0</v>
      </c>
      <c r="F19" s="41">
        <f>(D19-C19)+B19+E19</f>
        <v/>
      </c>
      <c r="G19" s="104" t="n"/>
      <c r="H19" s="104" t="n"/>
      <c r="I19" s="104" t="n"/>
      <c r="J19" s="104" t="inlineStr">
        <is>
          <t>Flat F16</t>
        </is>
      </c>
      <c r="K19" s="104" t="n"/>
      <c r="L19" s="41" t="n">
        <v>0</v>
      </c>
      <c r="M19" s="104" t="n"/>
      <c r="N19" s="104" t="n"/>
      <c r="O19" s="41" t="n"/>
      <c r="P19" s="41" t="n"/>
      <c r="Q19" s="104" t="n"/>
      <c r="R19" s="104" t="n"/>
      <c r="S19" s="104" t="n"/>
      <c r="T19" s="104" t="n"/>
      <c r="U19" s="104" t="n"/>
      <c r="V19" s="104" t="n"/>
      <c r="W19" s="104" t="n"/>
      <c r="X19" s="104" t="n"/>
    </row>
    <row r="20">
      <c r="A20" s="36" t="inlineStr">
        <is>
          <t>Flat G1</t>
        </is>
      </c>
      <c r="B20" s="36" t="n">
        <v>0</v>
      </c>
      <c r="C20" s="43">
        <f>'INCOME-EXPENSE-CYCLES'!AH19+'INCOME-EXPENSE-CYCLES'!AL19+'INCOME-EXPENSE-CYCLES'!AP19+'INCOME-EXPENSE-CYCLES'!AT19+'INCOME-EXPENSE-CYCLES'!AX19</f>
        <v/>
      </c>
      <c r="D20" s="43">
        <f>'INCOME-EXPENSE-CYCLES'!AG19+'INCOME-EXPENSE-CYCLES'!AK19+'INCOME-EXPENSE-CYCLES'!AO19+'INCOME-EXPENSE-CYCLES'!AS19+'INCOME-EXPENSE-CYCLES'!AW19</f>
        <v/>
      </c>
      <c r="E20" s="47" t="n">
        <v>0</v>
      </c>
      <c r="F20" s="43">
        <f>(D20-C20)+B20+E20</f>
        <v/>
      </c>
      <c r="G20" s="47" t="n"/>
      <c r="H20" s="47" t="n"/>
      <c r="I20" s="47" t="n"/>
      <c r="J20" s="47" t="inlineStr">
        <is>
          <t>Flat G1</t>
        </is>
      </c>
      <c r="K20" s="47" t="n"/>
      <c r="L20" s="43" t="n">
        <v>0</v>
      </c>
      <c r="M20" s="47" t="n"/>
      <c r="N20" s="47" t="n"/>
      <c r="O20" s="43" t="n"/>
      <c r="P20" s="43" t="n"/>
      <c r="Q20" s="47" t="n"/>
      <c r="R20" s="47" t="n"/>
      <c r="S20" s="47" t="n"/>
      <c r="T20" s="47" t="n"/>
      <c r="U20" s="47" t="n"/>
      <c r="V20" s="47" t="n"/>
      <c r="W20" s="47" t="n"/>
      <c r="X20" s="47" t="n"/>
    </row>
    <row r="21">
      <c r="A21" s="37" t="inlineStr">
        <is>
          <t>Flat G2</t>
        </is>
      </c>
      <c r="B21" s="37" t="n">
        <v>0</v>
      </c>
      <c r="C21" s="41">
        <f>'INCOME-EXPENSE-CYCLES'!AH20+'INCOME-EXPENSE-CYCLES'!AL20+'INCOME-EXPENSE-CYCLES'!AP20+'INCOME-EXPENSE-CYCLES'!AT20+'INCOME-EXPENSE-CYCLES'!AX20</f>
        <v/>
      </c>
      <c r="D21" s="41">
        <f>'INCOME-EXPENSE-CYCLES'!AG20+'INCOME-EXPENSE-CYCLES'!AK20+'INCOME-EXPENSE-CYCLES'!AO20+'INCOME-EXPENSE-CYCLES'!AS20+'INCOME-EXPENSE-CYCLES'!AW20</f>
        <v/>
      </c>
      <c r="E21" s="104" t="n">
        <v>0</v>
      </c>
      <c r="F21" s="41">
        <f>(D21-C21)+B21+E21</f>
        <v/>
      </c>
      <c r="G21" s="104" t="n"/>
      <c r="H21" s="104" t="n"/>
      <c r="I21" s="104" t="n"/>
      <c r="J21" s="104" t="inlineStr">
        <is>
          <t>Flat G2</t>
        </is>
      </c>
      <c r="K21" s="104" t="n"/>
      <c r="L21" s="41" t="n">
        <v>0</v>
      </c>
      <c r="M21" s="104" t="n"/>
      <c r="N21" s="104" t="n"/>
      <c r="O21" s="41" t="n"/>
      <c r="P21" s="41" t="n"/>
      <c r="Q21" s="104" t="n"/>
      <c r="R21" s="104" t="n"/>
      <c r="S21" s="104" t="n"/>
      <c r="T21" s="104" t="n"/>
      <c r="U21" s="104" t="n"/>
      <c r="V21" s="104" t="n"/>
      <c r="W21" s="104" t="n"/>
      <c r="X21" s="104" t="n"/>
    </row>
    <row r="22">
      <c r="A22" s="36" t="inlineStr">
        <is>
          <t>Flat G3</t>
        </is>
      </c>
      <c r="B22" s="36" t="n">
        <v>0</v>
      </c>
      <c r="C22" s="43">
        <f>'INCOME-EXPENSE-CYCLES'!AH21+'INCOME-EXPENSE-CYCLES'!AL21+'INCOME-EXPENSE-CYCLES'!AP21+'INCOME-EXPENSE-CYCLES'!AT21+'INCOME-EXPENSE-CYCLES'!AX21</f>
        <v/>
      </c>
      <c r="D22" s="43">
        <f>'INCOME-EXPENSE-CYCLES'!AG21+'INCOME-EXPENSE-CYCLES'!AK21+'INCOME-EXPENSE-CYCLES'!AO21+'INCOME-EXPENSE-CYCLES'!AS21+'INCOME-EXPENSE-CYCLES'!AW21</f>
        <v/>
      </c>
      <c r="E22" s="47" t="n">
        <v>0</v>
      </c>
      <c r="F22" s="43">
        <f>(D22-C22)+B22+E22</f>
        <v/>
      </c>
      <c r="G22" s="47" t="n"/>
      <c r="H22" s="47" t="n"/>
      <c r="I22" s="47" t="n"/>
      <c r="J22" s="47" t="inlineStr">
        <is>
          <t>Flat G3</t>
        </is>
      </c>
      <c r="K22" s="47" t="n"/>
      <c r="L22" s="43" t="n">
        <v>0</v>
      </c>
      <c r="M22" s="47" t="n"/>
      <c r="N22" s="47" t="n"/>
      <c r="O22" s="43" t="n"/>
      <c r="P22" s="43" t="n"/>
      <c r="Q22" s="47" t="n"/>
      <c r="R22" s="47" t="n"/>
      <c r="S22" s="47" t="n"/>
      <c r="T22" s="47" t="n"/>
      <c r="U22" s="47" t="n"/>
      <c r="V22" s="47" t="n"/>
      <c r="W22" s="47" t="n"/>
      <c r="X22" s="47" t="n"/>
    </row>
    <row r="23">
      <c r="A23" s="37" t="inlineStr">
        <is>
          <t>Flat G4</t>
        </is>
      </c>
      <c r="B23" s="37" t="n">
        <v>0</v>
      </c>
      <c r="C23" s="41">
        <f>'INCOME-EXPENSE-CYCLES'!AH22+'INCOME-EXPENSE-CYCLES'!AL22+'INCOME-EXPENSE-CYCLES'!AP22+'INCOME-EXPENSE-CYCLES'!AT22+'INCOME-EXPENSE-CYCLES'!AX22</f>
        <v/>
      </c>
      <c r="D23" s="41">
        <f>'INCOME-EXPENSE-CYCLES'!AG22+'INCOME-EXPENSE-CYCLES'!AK22+'INCOME-EXPENSE-CYCLES'!AO22+'INCOME-EXPENSE-CYCLES'!AS22+'INCOME-EXPENSE-CYCLES'!AW22</f>
        <v/>
      </c>
      <c r="E23" s="104" t="n">
        <v>0</v>
      </c>
      <c r="F23" s="41">
        <f>(D23-C23)+B23+E23</f>
        <v/>
      </c>
      <c r="G23" s="104" t="n"/>
      <c r="H23" s="104" t="n"/>
      <c r="I23" s="104" t="n"/>
      <c r="J23" s="104" t="inlineStr">
        <is>
          <t>Flat G4</t>
        </is>
      </c>
      <c r="K23" s="104" t="n"/>
      <c r="L23" s="41" t="n">
        <v>0</v>
      </c>
      <c r="M23" s="104" t="n"/>
      <c r="N23" s="104" t="n"/>
      <c r="O23" s="41" t="n"/>
      <c r="P23" s="41" t="n"/>
      <c r="Q23" s="104" t="n"/>
      <c r="R23" s="104" t="n"/>
      <c r="S23" s="104" t="n"/>
      <c r="T23" s="104" t="n"/>
      <c r="U23" s="104" t="n"/>
      <c r="V23" s="104" t="n"/>
      <c r="W23" s="104" t="n"/>
      <c r="X23" s="104" t="n"/>
    </row>
    <row r="24">
      <c r="A24" s="36" t="inlineStr">
        <is>
          <t>Flat G5</t>
        </is>
      </c>
      <c r="B24" s="36" t="n">
        <v>0</v>
      </c>
      <c r="C24" s="43">
        <f>'INCOME-EXPENSE-CYCLES'!AH23+'INCOME-EXPENSE-CYCLES'!AL23+'INCOME-EXPENSE-CYCLES'!AP23+'INCOME-EXPENSE-CYCLES'!AT23+'INCOME-EXPENSE-CYCLES'!AX23</f>
        <v/>
      </c>
      <c r="D24" s="43">
        <f>'INCOME-EXPENSE-CYCLES'!AG23+'INCOME-EXPENSE-CYCLES'!AK23+'INCOME-EXPENSE-CYCLES'!AO23+'INCOME-EXPENSE-CYCLES'!AS23+'INCOME-EXPENSE-CYCLES'!AW23</f>
        <v/>
      </c>
      <c r="E24" s="47" t="n">
        <v>0</v>
      </c>
      <c r="F24" s="43">
        <f>(D24-C24)+B24+E24</f>
        <v/>
      </c>
      <c r="G24" s="47" t="n"/>
      <c r="H24" s="47" t="n"/>
      <c r="I24" s="47" t="n"/>
      <c r="J24" s="47" t="inlineStr">
        <is>
          <t>Flat G5</t>
        </is>
      </c>
      <c r="K24" s="47" t="n"/>
      <c r="L24" s="43" t="n">
        <v>0</v>
      </c>
      <c r="M24" s="47" t="n"/>
      <c r="N24" s="47" t="n"/>
      <c r="O24" s="43" t="n"/>
      <c r="P24" s="43" t="n"/>
      <c r="Q24" s="47" t="n"/>
      <c r="R24" s="47" t="n"/>
      <c r="S24" s="47" t="n"/>
      <c r="T24" s="47" t="n"/>
      <c r="U24" s="47" t="n"/>
      <c r="V24" s="47" t="n"/>
      <c r="W24" s="47" t="n"/>
      <c r="X24" s="47" t="n"/>
    </row>
    <row r="25">
      <c r="A25" s="37" t="inlineStr">
        <is>
          <t>Flat G6</t>
        </is>
      </c>
      <c r="B25" s="37" t="n">
        <v>0</v>
      </c>
      <c r="C25" s="41">
        <f>'INCOME-EXPENSE-CYCLES'!AH24+'INCOME-EXPENSE-CYCLES'!AL24+'INCOME-EXPENSE-CYCLES'!AP24+'INCOME-EXPENSE-CYCLES'!AT24+'INCOME-EXPENSE-CYCLES'!AX24</f>
        <v/>
      </c>
      <c r="D25" s="41">
        <f>'INCOME-EXPENSE-CYCLES'!AG24+'INCOME-EXPENSE-CYCLES'!AK24+'INCOME-EXPENSE-CYCLES'!AO24+'INCOME-EXPENSE-CYCLES'!AS24+'INCOME-EXPENSE-CYCLES'!AW24</f>
        <v/>
      </c>
      <c r="E25" s="104" t="n">
        <v>0</v>
      </c>
      <c r="F25" s="41">
        <f>(D25-C25)+B25+E25</f>
        <v/>
      </c>
      <c r="G25" s="104" t="n"/>
      <c r="H25" s="104" t="n"/>
      <c r="I25" s="104" t="n"/>
      <c r="J25" s="104" t="inlineStr">
        <is>
          <t>Flat G6</t>
        </is>
      </c>
      <c r="K25" s="104" t="n"/>
      <c r="L25" s="41" t="n">
        <v>0</v>
      </c>
      <c r="M25" s="104" t="n"/>
      <c r="N25" s="104" t="n"/>
      <c r="O25" s="41" t="n"/>
      <c r="P25" s="41" t="n"/>
      <c r="Q25" s="104" t="n"/>
      <c r="R25" s="104" t="n"/>
      <c r="S25" s="104" t="n"/>
      <c r="T25" s="104" t="n"/>
      <c r="U25" s="104" t="n"/>
      <c r="V25" s="104" t="n"/>
      <c r="W25" s="104" t="n"/>
      <c r="X25" s="104" t="n"/>
    </row>
    <row r="26">
      <c r="A26" s="36" t="inlineStr">
        <is>
          <t>Flat G7</t>
        </is>
      </c>
      <c r="B26" s="36" t="n">
        <v>0</v>
      </c>
      <c r="C26" s="43">
        <f>'INCOME-EXPENSE-CYCLES'!AH25+'INCOME-EXPENSE-CYCLES'!AL25+'INCOME-EXPENSE-CYCLES'!AP25+'INCOME-EXPENSE-CYCLES'!AT25+'INCOME-EXPENSE-CYCLES'!AX25</f>
        <v/>
      </c>
      <c r="D26" s="43">
        <f>'INCOME-EXPENSE-CYCLES'!AG25+'INCOME-EXPENSE-CYCLES'!AK25+'INCOME-EXPENSE-CYCLES'!AO25+'INCOME-EXPENSE-CYCLES'!AS25+'INCOME-EXPENSE-CYCLES'!AW25</f>
        <v/>
      </c>
      <c r="E26" s="47" t="n">
        <v>0</v>
      </c>
      <c r="F26" s="43">
        <f>(D26-C26)+B26+E26</f>
        <v/>
      </c>
      <c r="G26" s="47" t="n"/>
      <c r="H26" s="47" t="n"/>
      <c r="I26" s="47" t="n"/>
      <c r="J26" s="47" t="inlineStr">
        <is>
          <t>Flat G7</t>
        </is>
      </c>
      <c r="K26" s="47" t="n"/>
      <c r="L26" s="43" t="n">
        <v>0</v>
      </c>
      <c r="M26" s="47" t="n"/>
      <c r="N26" s="47" t="n"/>
      <c r="O26" s="43" t="n"/>
      <c r="P26" s="43" t="n"/>
      <c r="Q26" s="47" t="n"/>
      <c r="R26" s="47" t="n"/>
      <c r="S26" s="47" t="n"/>
      <c r="T26" s="47" t="n"/>
      <c r="U26" s="47" t="n"/>
      <c r="V26" s="47" t="n"/>
      <c r="W26" s="47" t="n"/>
      <c r="X26" s="47" t="n"/>
    </row>
    <row r="27">
      <c r="A27" s="37" t="inlineStr">
        <is>
          <t>Flat G8</t>
        </is>
      </c>
      <c r="B27" s="37" t="n">
        <v>0</v>
      </c>
      <c r="C27" s="41">
        <f>'INCOME-EXPENSE-CYCLES'!AH26+'INCOME-EXPENSE-CYCLES'!AL26+'INCOME-EXPENSE-CYCLES'!AP26+'INCOME-EXPENSE-CYCLES'!AT26+'INCOME-EXPENSE-CYCLES'!AX26</f>
        <v/>
      </c>
      <c r="D27" s="41">
        <f>'INCOME-EXPENSE-CYCLES'!AG26+'INCOME-EXPENSE-CYCLES'!AK26+'INCOME-EXPENSE-CYCLES'!AO26+'INCOME-EXPENSE-CYCLES'!AS26+'INCOME-EXPENSE-CYCLES'!AW26</f>
        <v/>
      </c>
      <c r="E27" s="104" t="n">
        <v>0</v>
      </c>
      <c r="F27" s="41">
        <f>(D27-C27)+B27+E27</f>
        <v/>
      </c>
      <c r="G27" s="104" t="n"/>
      <c r="H27" s="104" t="n"/>
      <c r="I27" s="104" t="n"/>
      <c r="J27" s="104" t="inlineStr">
        <is>
          <t>Flat G8</t>
        </is>
      </c>
      <c r="K27" s="104" t="n"/>
      <c r="L27" s="41" t="n">
        <v>0</v>
      </c>
      <c r="M27" s="104" t="n"/>
      <c r="N27" s="104" t="n"/>
      <c r="O27" s="41" t="n"/>
      <c r="P27" s="41" t="n"/>
      <c r="Q27" s="104" t="n"/>
      <c r="R27" s="104" t="n"/>
      <c r="S27" s="104" t="n"/>
      <c r="T27" s="104" t="n"/>
      <c r="U27" s="104" t="n"/>
      <c r="V27" s="104" t="n"/>
      <c r="W27" s="104" t="n"/>
      <c r="X27" s="104" t="n"/>
    </row>
    <row r="28">
      <c r="A28" s="36" t="inlineStr">
        <is>
          <t>Flat G9</t>
        </is>
      </c>
      <c r="B28" s="36" t="n">
        <v>0</v>
      </c>
      <c r="C28" s="43">
        <f>'INCOME-EXPENSE-CYCLES'!AH27+'INCOME-EXPENSE-CYCLES'!AL27+'INCOME-EXPENSE-CYCLES'!AP27+'INCOME-EXPENSE-CYCLES'!AT27+'INCOME-EXPENSE-CYCLES'!AX27</f>
        <v/>
      </c>
      <c r="D28" s="43">
        <f>'INCOME-EXPENSE-CYCLES'!AG27+'INCOME-EXPENSE-CYCLES'!AK27+'INCOME-EXPENSE-CYCLES'!AO27+'INCOME-EXPENSE-CYCLES'!AS27+'INCOME-EXPENSE-CYCLES'!AW27</f>
        <v/>
      </c>
      <c r="E28" s="47" t="n">
        <v>0</v>
      </c>
      <c r="F28" s="43">
        <f>(D28-C28)+B28+E28</f>
        <v/>
      </c>
      <c r="G28" s="47" t="n"/>
      <c r="H28" s="47" t="n"/>
      <c r="I28" s="47" t="n"/>
      <c r="J28" s="47" t="inlineStr">
        <is>
          <t>Flat G9</t>
        </is>
      </c>
      <c r="K28" s="47" t="n"/>
      <c r="L28" s="43" t="n">
        <v>0</v>
      </c>
      <c r="M28" s="47" t="n"/>
      <c r="N28" s="47" t="n"/>
      <c r="O28" s="43" t="n"/>
      <c r="P28" s="43" t="n"/>
      <c r="Q28" s="47" t="n"/>
      <c r="R28" s="47" t="n"/>
      <c r="S28" s="47" t="n"/>
      <c r="T28" s="47" t="n"/>
      <c r="U28" s="47" t="n"/>
      <c r="V28" s="47" t="n"/>
      <c r="W28" s="47" t="n"/>
      <c r="X28" s="47" t="n"/>
    </row>
    <row r="29">
      <c r="A29" s="37" t="inlineStr">
        <is>
          <t>Flat G10</t>
        </is>
      </c>
      <c r="B29" s="37" t="n">
        <v>0</v>
      </c>
      <c r="C29" s="41">
        <f>'INCOME-EXPENSE-CYCLES'!AH28+'INCOME-EXPENSE-CYCLES'!AL28+'INCOME-EXPENSE-CYCLES'!AP28+'INCOME-EXPENSE-CYCLES'!AT28+'INCOME-EXPENSE-CYCLES'!AX28</f>
        <v/>
      </c>
      <c r="D29" s="41">
        <f>'INCOME-EXPENSE-CYCLES'!AG28+'INCOME-EXPENSE-CYCLES'!AK28+'INCOME-EXPENSE-CYCLES'!AO28+'INCOME-EXPENSE-CYCLES'!AS28+'INCOME-EXPENSE-CYCLES'!AW28</f>
        <v/>
      </c>
      <c r="E29" s="104" t="n">
        <v>0</v>
      </c>
      <c r="F29" s="41">
        <f>(D29-C29)+B29+E29</f>
        <v/>
      </c>
      <c r="G29" s="104" t="n"/>
      <c r="H29" s="104" t="n"/>
      <c r="I29" s="104" t="n"/>
      <c r="J29" s="104" t="inlineStr">
        <is>
          <t>Flat G10</t>
        </is>
      </c>
      <c r="K29" s="104" t="n"/>
      <c r="L29" s="41" t="n">
        <v>0</v>
      </c>
      <c r="M29" s="104" t="n"/>
      <c r="N29" s="104" t="n"/>
      <c r="O29" s="41" t="n"/>
      <c r="P29" s="41" t="n"/>
      <c r="Q29" s="104" t="n"/>
      <c r="R29" s="104" t="n"/>
      <c r="S29" s="104" t="n"/>
      <c r="T29" s="104" t="n"/>
      <c r="U29" s="104" t="n"/>
      <c r="V29" s="104" t="n"/>
      <c r="W29" s="104" t="n"/>
      <c r="X29" s="104" t="n"/>
    </row>
    <row r="30">
      <c r="A30" s="36" t="inlineStr">
        <is>
          <t>Flat G11</t>
        </is>
      </c>
      <c r="B30" s="36" t="n">
        <v>0</v>
      </c>
      <c r="C30" s="43">
        <f>'INCOME-EXPENSE-CYCLES'!AH29+'INCOME-EXPENSE-CYCLES'!AL29+'INCOME-EXPENSE-CYCLES'!AP29+'INCOME-EXPENSE-CYCLES'!AT29+'INCOME-EXPENSE-CYCLES'!AX29</f>
        <v/>
      </c>
      <c r="D30" s="43">
        <f>'INCOME-EXPENSE-CYCLES'!AG29+'INCOME-EXPENSE-CYCLES'!AK29+'INCOME-EXPENSE-CYCLES'!AO29+'INCOME-EXPENSE-CYCLES'!AS29+'INCOME-EXPENSE-CYCLES'!AW29</f>
        <v/>
      </c>
      <c r="E30" s="47" t="n">
        <v>0</v>
      </c>
      <c r="F30" s="43">
        <f>(D30-C30)+B30+E30</f>
        <v/>
      </c>
      <c r="G30" s="47" t="n"/>
      <c r="H30" s="47" t="n"/>
      <c r="I30" s="47" t="n"/>
      <c r="J30" s="47" t="inlineStr">
        <is>
          <t>Flat G11</t>
        </is>
      </c>
      <c r="K30" s="47" t="n"/>
      <c r="L30" s="43" t="n">
        <v>0</v>
      </c>
      <c r="M30" s="47" t="n"/>
      <c r="N30" s="47" t="n"/>
      <c r="O30" s="43" t="n"/>
      <c r="P30" s="43" t="n"/>
      <c r="Q30" s="47" t="n"/>
      <c r="R30" s="47" t="n"/>
      <c r="S30" s="47" t="n"/>
      <c r="T30" s="47" t="n"/>
      <c r="U30" s="47" t="n"/>
      <c r="V30" s="47" t="n"/>
      <c r="W30" s="47" t="n"/>
      <c r="X30" s="47" t="n"/>
    </row>
    <row r="31">
      <c r="A31" s="37" t="inlineStr">
        <is>
          <t>Flat G12</t>
        </is>
      </c>
      <c r="B31" s="37" t="n">
        <v>0</v>
      </c>
      <c r="C31" s="41">
        <f>'INCOME-EXPENSE-CYCLES'!AH30+'INCOME-EXPENSE-CYCLES'!AL30+'INCOME-EXPENSE-CYCLES'!AP30+'INCOME-EXPENSE-CYCLES'!AT30+'INCOME-EXPENSE-CYCLES'!AX30</f>
        <v/>
      </c>
      <c r="D31" s="41">
        <f>'INCOME-EXPENSE-CYCLES'!AG30+'INCOME-EXPENSE-CYCLES'!AK30+'INCOME-EXPENSE-CYCLES'!AO30+'INCOME-EXPENSE-CYCLES'!AS30+'INCOME-EXPENSE-CYCLES'!AW30</f>
        <v/>
      </c>
      <c r="E31" s="104" t="n">
        <v>0</v>
      </c>
      <c r="F31" s="41">
        <f>(D31-C31)+B31+E31</f>
        <v/>
      </c>
      <c r="G31" s="104" t="n"/>
      <c r="H31" s="104" t="n"/>
      <c r="I31" s="104" t="n"/>
      <c r="J31" s="104" t="inlineStr">
        <is>
          <t>Flat G12</t>
        </is>
      </c>
      <c r="K31" s="104" t="n"/>
      <c r="L31" s="41" t="n">
        <v>0</v>
      </c>
      <c r="M31" s="104" t="n"/>
      <c r="N31" s="104" t="n"/>
      <c r="O31" s="41" t="n"/>
      <c r="P31" s="41" t="n"/>
      <c r="Q31" s="104" t="n"/>
      <c r="R31" s="104" t="n"/>
      <c r="S31" s="104" t="n"/>
      <c r="T31" s="104" t="n"/>
      <c r="U31" s="104" t="n"/>
      <c r="V31" s="104" t="n"/>
      <c r="W31" s="104" t="n"/>
      <c r="X31" s="104" t="n"/>
    </row>
    <row r="32">
      <c r="A32" s="36" t="inlineStr">
        <is>
          <t>Flat G13</t>
        </is>
      </c>
      <c r="B32" s="36" t="n">
        <v>0</v>
      </c>
      <c r="C32" s="43">
        <f>'INCOME-EXPENSE-CYCLES'!AH31+'INCOME-EXPENSE-CYCLES'!AL31+'INCOME-EXPENSE-CYCLES'!AP31+'INCOME-EXPENSE-CYCLES'!AT31+'INCOME-EXPENSE-CYCLES'!AX31</f>
        <v/>
      </c>
      <c r="D32" s="43">
        <f>'INCOME-EXPENSE-CYCLES'!AG31+'INCOME-EXPENSE-CYCLES'!AK31+'INCOME-EXPENSE-CYCLES'!AO31+'INCOME-EXPENSE-CYCLES'!AS31+'INCOME-EXPENSE-CYCLES'!AW31</f>
        <v/>
      </c>
      <c r="E32" s="47" t="n">
        <v>0</v>
      </c>
      <c r="F32" s="43">
        <f>(D32-C32)+B32+E32</f>
        <v/>
      </c>
      <c r="G32" s="47" t="n"/>
      <c r="H32" s="47" t="n"/>
      <c r="I32" s="47" t="n"/>
      <c r="J32" s="47" t="inlineStr">
        <is>
          <t>Flat G13</t>
        </is>
      </c>
      <c r="K32" s="47" t="n"/>
      <c r="L32" s="43" t="n">
        <v>0</v>
      </c>
      <c r="M32" s="47" t="n"/>
      <c r="N32" s="47" t="n"/>
      <c r="O32" s="43" t="n"/>
      <c r="P32" s="43" t="n"/>
      <c r="Q32" s="47" t="n"/>
      <c r="R32" s="47" t="n"/>
      <c r="S32" s="47" t="n"/>
      <c r="T32" s="47" t="n"/>
      <c r="U32" s="47" t="n"/>
      <c r="V32" s="47" t="n"/>
      <c r="W32" s="47" t="n"/>
      <c r="X32" s="47" t="n"/>
    </row>
    <row r="33">
      <c r="A33" s="37" t="inlineStr">
        <is>
          <t>Flat G14</t>
        </is>
      </c>
      <c r="B33" s="37" t="n">
        <v>0</v>
      </c>
      <c r="C33" s="41">
        <f>'INCOME-EXPENSE-CYCLES'!AH32+'INCOME-EXPENSE-CYCLES'!AL32+'INCOME-EXPENSE-CYCLES'!AP32+'INCOME-EXPENSE-CYCLES'!AT32+'INCOME-EXPENSE-CYCLES'!AX32</f>
        <v/>
      </c>
      <c r="D33" s="41">
        <f>'INCOME-EXPENSE-CYCLES'!AG32+'INCOME-EXPENSE-CYCLES'!AK32+'INCOME-EXPENSE-CYCLES'!AO32+'INCOME-EXPENSE-CYCLES'!AS32+'INCOME-EXPENSE-CYCLES'!AW32</f>
        <v/>
      </c>
      <c r="E33" s="104" t="n">
        <v>0</v>
      </c>
      <c r="F33" s="41">
        <f>(D33-C33)+B33+E33</f>
        <v/>
      </c>
      <c r="G33" s="104" t="n"/>
      <c r="H33" s="104" t="n"/>
      <c r="I33" s="104" t="n"/>
      <c r="J33" s="104" t="inlineStr">
        <is>
          <t>Flat G14</t>
        </is>
      </c>
      <c r="K33" s="104" t="n"/>
      <c r="L33" s="41" t="n">
        <v>0</v>
      </c>
      <c r="M33" s="104" t="n"/>
      <c r="N33" s="104" t="n"/>
      <c r="O33" s="41" t="n"/>
      <c r="P33" s="41" t="n"/>
      <c r="Q33" s="104" t="n"/>
      <c r="R33" s="104" t="n"/>
      <c r="S33" s="104" t="n"/>
      <c r="T33" s="104" t="n"/>
      <c r="U33" s="104" t="n"/>
      <c r="V33" s="104" t="n"/>
      <c r="W33" s="104" t="n"/>
      <c r="X33" s="104" t="n"/>
    </row>
    <row r="34">
      <c r="A34" s="36" t="inlineStr">
        <is>
          <t>Flat G15</t>
        </is>
      </c>
      <c r="B34" s="36" t="n">
        <v>0</v>
      </c>
      <c r="C34" s="43">
        <f>'INCOME-EXPENSE-CYCLES'!AH33+'INCOME-EXPENSE-CYCLES'!AL33+'INCOME-EXPENSE-CYCLES'!AP33+'INCOME-EXPENSE-CYCLES'!AT33+'INCOME-EXPENSE-CYCLES'!AX33</f>
        <v/>
      </c>
      <c r="D34" s="43">
        <f>'INCOME-EXPENSE-CYCLES'!AG33+'INCOME-EXPENSE-CYCLES'!AK33+'INCOME-EXPENSE-CYCLES'!AO33+'INCOME-EXPENSE-CYCLES'!AS33+'INCOME-EXPENSE-CYCLES'!AW33</f>
        <v/>
      </c>
      <c r="E34" s="47" t="n">
        <v>0</v>
      </c>
      <c r="F34" s="43">
        <f>(D34-C34)+B34+E34</f>
        <v/>
      </c>
      <c r="G34" s="47" t="n"/>
      <c r="H34" s="47" t="n"/>
      <c r="I34" s="47" t="n"/>
      <c r="J34" s="47" t="inlineStr">
        <is>
          <t>Flat G15</t>
        </is>
      </c>
      <c r="K34" s="47" t="n"/>
      <c r="L34" s="43" t="n">
        <v>0</v>
      </c>
      <c r="M34" s="47" t="n"/>
      <c r="N34" s="47" t="n"/>
      <c r="O34" s="43" t="n"/>
      <c r="P34" s="43" t="n"/>
      <c r="Q34" s="47" t="n"/>
      <c r="R34" s="47" t="n"/>
      <c r="S34" s="47" t="n"/>
      <c r="T34" s="47" t="n"/>
      <c r="U34" s="47" t="n"/>
      <c r="V34" s="47" t="n"/>
      <c r="W34" s="47" t="n"/>
      <c r="X34" s="47" t="n"/>
    </row>
    <row r="35">
      <c r="A35" s="37" t="inlineStr">
        <is>
          <t>Flat G16</t>
        </is>
      </c>
      <c r="B35" s="37" t="n">
        <v>0</v>
      </c>
      <c r="C35" s="41">
        <f>'INCOME-EXPENSE-CYCLES'!AH34+'INCOME-EXPENSE-CYCLES'!AL34+'INCOME-EXPENSE-CYCLES'!AP34+'INCOME-EXPENSE-CYCLES'!AT34+'INCOME-EXPENSE-CYCLES'!AX34</f>
        <v/>
      </c>
      <c r="D35" s="41">
        <f>'INCOME-EXPENSE-CYCLES'!AG34+'INCOME-EXPENSE-CYCLES'!AK34+'INCOME-EXPENSE-CYCLES'!AO34+'INCOME-EXPENSE-CYCLES'!AS34+'INCOME-EXPENSE-CYCLES'!AW34</f>
        <v/>
      </c>
      <c r="E35" s="104" t="n">
        <v>0</v>
      </c>
      <c r="F35" s="41">
        <f>(D35-C35)+B35+E35</f>
        <v/>
      </c>
      <c r="G35" s="104" t="n"/>
      <c r="H35" s="104" t="n"/>
      <c r="I35" s="104" t="n"/>
      <c r="J35" s="104" t="inlineStr">
        <is>
          <t>Flat G16</t>
        </is>
      </c>
      <c r="K35" s="104" t="n"/>
      <c r="L35" s="41" t="n">
        <v>0</v>
      </c>
      <c r="M35" s="104" t="n"/>
      <c r="N35" s="104" t="n"/>
      <c r="O35" s="41" t="n"/>
      <c r="P35" s="41" t="n"/>
      <c r="Q35" s="104" t="n"/>
      <c r="R35" s="104" t="n"/>
      <c r="S35" s="104" t="n"/>
      <c r="T35" s="104" t="n"/>
      <c r="U35" s="104" t="n"/>
      <c r="V35" s="104" t="n"/>
      <c r="W35" s="104" t="n"/>
      <c r="X35" s="104" t="n"/>
    </row>
    <row r="36">
      <c r="A36" s="36" t="inlineStr">
        <is>
          <t>Flat S1</t>
        </is>
      </c>
      <c r="B36" s="36" t="n">
        <v>0</v>
      </c>
      <c r="C36" s="43">
        <f>'INCOME-EXPENSE-CYCLES'!AH35+'INCOME-EXPENSE-CYCLES'!AL35+'INCOME-EXPENSE-CYCLES'!AP35+'INCOME-EXPENSE-CYCLES'!AT35+'INCOME-EXPENSE-CYCLES'!AX35</f>
        <v/>
      </c>
      <c r="D36" s="43">
        <f>'INCOME-EXPENSE-CYCLES'!AG35+'INCOME-EXPENSE-CYCLES'!AK35+'INCOME-EXPENSE-CYCLES'!AO35+'INCOME-EXPENSE-CYCLES'!AS35+'INCOME-EXPENSE-CYCLES'!AW35</f>
        <v/>
      </c>
      <c r="E36" s="47" t="n">
        <v>0</v>
      </c>
      <c r="F36" s="43">
        <f>(D36-C36)+B36+E36</f>
        <v/>
      </c>
      <c r="G36" s="47" t="n"/>
      <c r="H36" s="47" t="n"/>
      <c r="I36" s="47" t="n"/>
      <c r="J36" s="47" t="inlineStr">
        <is>
          <t>Flat S1</t>
        </is>
      </c>
      <c r="K36" s="47" t="n"/>
      <c r="L36" s="43" t="n">
        <v>0</v>
      </c>
      <c r="M36" s="47" t="n"/>
      <c r="N36" s="47" t="n"/>
      <c r="O36" s="43" t="n"/>
      <c r="P36" s="43" t="n"/>
      <c r="Q36" s="47" t="n"/>
      <c r="R36" s="47" t="n"/>
      <c r="S36" s="47" t="n"/>
      <c r="T36" s="47" t="n"/>
      <c r="U36" s="47" t="n"/>
      <c r="V36" s="47" t="n"/>
      <c r="W36" s="47" t="n"/>
      <c r="X36" s="47" t="n"/>
    </row>
    <row r="37">
      <c r="A37" s="37" t="inlineStr">
        <is>
          <t>Flat S2</t>
        </is>
      </c>
      <c r="B37" s="37" t="n">
        <v>0</v>
      </c>
      <c r="C37" s="41">
        <f>'INCOME-EXPENSE-CYCLES'!AH36+'INCOME-EXPENSE-CYCLES'!AL36+'INCOME-EXPENSE-CYCLES'!AP36+'INCOME-EXPENSE-CYCLES'!AT36+'INCOME-EXPENSE-CYCLES'!AX36</f>
        <v/>
      </c>
      <c r="D37" s="41">
        <f>'INCOME-EXPENSE-CYCLES'!AG36+'INCOME-EXPENSE-CYCLES'!AK36+'INCOME-EXPENSE-CYCLES'!AO36+'INCOME-EXPENSE-CYCLES'!AS36+'INCOME-EXPENSE-CYCLES'!AW36</f>
        <v/>
      </c>
      <c r="E37" s="104" t="n">
        <v>0</v>
      </c>
      <c r="F37" s="41">
        <f>(D37-C37)+B37+E37</f>
        <v/>
      </c>
      <c r="G37" s="104" t="n"/>
      <c r="H37" s="104" t="n"/>
      <c r="I37" s="104" t="n"/>
      <c r="J37" s="104" t="inlineStr">
        <is>
          <t>Flat S2</t>
        </is>
      </c>
      <c r="K37" s="104" t="n"/>
      <c r="L37" s="41" t="n">
        <v>0</v>
      </c>
      <c r="M37" s="104" t="n"/>
      <c r="N37" s="104" t="n"/>
      <c r="O37" s="41" t="n"/>
      <c r="P37" s="41" t="n"/>
      <c r="Q37" s="104" t="n"/>
      <c r="R37" s="104" t="n"/>
      <c r="S37" s="104" t="n"/>
      <c r="T37" s="104" t="n"/>
      <c r="U37" s="104" t="n"/>
      <c r="V37" s="104" t="n"/>
      <c r="W37" s="104" t="n"/>
      <c r="X37" s="104" t="n"/>
    </row>
    <row r="38">
      <c r="A38" s="36" t="inlineStr">
        <is>
          <t>Flat S3</t>
        </is>
      </c>
      <c r="B38" s="36" t="n">
        <v>0</v>
      </c>
      <c r="C38" s="43">
        <f>'INCOME-EXPENSE-CYCLES'!AH37+'INCOME-EXPENSE-CYCLES'!AL37+'INCOME-EXPENSE-CYCLES'!AP37+'INCOME-EXPENSE-CYCLES'!AT37+'INCOME-EXPENSE-CYCLES'!AX37</f>
        <v/>
      </c>
      <c r="D38" s="43">
        <f>'INCOME-EXPENSE-CYCLES'!AG37+'INCOME-EXPENSE-CYCLES'!AK37+'INCOME-EXPENSE-CYCLES'!AO37+'INCOME-EXPENSE-CYCLES'!AS37+'INCOME-EXPENSE-CYCLES'!AW37</f>
        <v/>
      </c>
      <c r="E38" s="47" t="n">
        <v>0</v>
      </c>
      <c r="F38" s="43">
        <f>(D38-C38)+B38+E38</f>
        <v/>
      </c>
      <c r="G38" s="47" t="n"/>
      <c r="H38" s="47" t="n"/>
      <c r="I38" s="47" t="n"/>
      <c r="J38" s="47" t="inlineStr">
        <is>
          <t>Flat S3</t>
        </is>
      </c>
      <c r="K38" s="47" t="n"/>
      <c r="L38" s="43" t="n">
        <v>0</v>
      </c>
      <c r="M38" s="47" t="n"/>
      <c r="N38" s="47" t="n"/>
      <c r="O38" s="43" t="n"/>
      <c r="P38" s="43" t="n"/>
      <c r="Q38" s="47" t="n"/>
      <c r="R38" s="47" t="n"/>
      <c r="S38" s="47" t="n"/>
      <c r="T38" s="47" t="n"/>
      <c r="U38" s="47" t="n"/>
      <c r="V38" s="47" t="n"/>
      <c r="W38" s="47" t="n"/>
      <c r="X38" s="47" t="n"/>
    </row>
    <row r="39">
      <c r="A39" s="37" t="inlineStr">
        <is>
          <t>Flat S4</t>
        </is>
      </c>
      <c r="B39" s="37" t="n">
        <v>0</v>
      </c>
      <c r="C39" s="41">
        <f>'INCOME-EXPENSE-CYCLES'!AH38+'INCOME-EXPENSE-CYCLES'!AL38+'INCOME-EXPENSE-CYCLES'!AP38+'INCOME-EXPENSE-CYCLES'!AT38+'INCOME-EXPENSE-CYCLES'!AX38</f>
        <v/>
      </c>
      <c r="D39" s="41">
        <f>'INCOME-EXPENSE-CYCLES'!AG38+'INCOME-EXPENSE-CYCLES'!AK38+'INCOME-EXPENSE-CYCLES'!AO38+'INCOME-EXPENSE-CYCLES'!AS38+'INCOME-EXPENSE-CYCLES'!AW38</f>
        <v/>
      </c>
      <c r="E39" s="104" t="n">
        <v>0</v>
      </c>
      <c r="F39" s="41">
        <f>(D39-C39)+B39+E39</f>
        <v/>
      </c>
      <c r="G39" s="104" t="n"/>
      <c r="H39" s="104" t="n"/>
      <c r="I39" s="104" t="n"/>
      <c r="J39" s="104" t="inlineStr">
        <is>
          <t>Flat S4</t>
        </is>
      </c>
      <c r="K39" s="104" t="n"/>
      <c r="L39" s="41" t="n">
        <v>0</v>
      </c>
      <c r="M39" s="104" t="n"/>
      <c r="N39" s="104" t="n"/>
      <c r="O39" s="41" t="n"/>
      <c r="P39" s="41" t="n"/>
      <c r="Q39" s="104" t="n"/>
      <c r="R39" s="104" t="n"/>
      <c r="S39" s="104" t="n"/>
      <c r="T39" s="104" t="n"/>
      <c r="U39" s="104" t="n"/>
      <c r="V39" s="104" t="n"/>
      <c r="W39" s="104" t="n"/>
      <c r="X39" s="104" t="n"/>
    </row>
    <row r="40">
      <c r="A40" s="36" t="inlineStr">
        <is>
          <t>Flat S5</t>
        </is>
      </c>
      <c r="B40" s="36" t="n">
        <v>0</v>
      </c>
      <c r="C40" s="43">
        <f>'INCOME-EXPENSE-CYCLES'!AH39+'INCOME-EXPENSE-CYCLES'!AL39+'INCOME-EXPENSE-CYCLES'!AP39+'INCOME-EXPENSE-CYCLES'!AT39+'INCOME-EXPENSE-CYCLES'!AX39</f>
        <v/>
      </c>
      <c r="D40" s="43">
        <f>'INCOME-EXPENSE-CYCLES'!AG39+'INCOME-EXPENSE-CYCLES'!AK39+'INCOME-EXPENSE-CYCLES'!AO39+'INCOME-EXPENSE-CYCLES'!AS39+'INCOME-EXPENSE-CYCLES'!AW39</f>
        <v/>
      </c>
      <c r="E40" s="47" t="n">
        <v>0</v>
      </c>
      <c r="F40" s="43">
        <f>(D40-C40)+B40+E40</f>
        <v/>
      </c>
      <c r="G40" s="47" t="n"/>
      <c r="H40" s="47" t="n"/>
      <c r="I40" s="47" t="n"/>
      <c r="J40" s="47" t="inlineStr">
        <is>
          <t>Flat S5</t>
        </is>
      </c>
      <c r="K40" s="47" t="n"/>
      <c r="L40" s="43" t="n">
        <v>0</v>
      </c>
      <c r="M40" s="47" t="n"/>
      <c r="N40" s="47" t="n"/>
      <c r="O40" s="43" t="n"/>
      <c r="P40" s="43" t="n"/>
      <c r="Q40" s="47" t="n"/>
      <c r="R40" s="47" t="n"/>
      <c r="S40" s="47" t="n"/>
      <c r="T40" s="47" t="n"/>
      <c r="U40" s="47" t="n"/>
      <c r="V40" s="47" t="n"/>
      <c r="W40" s="47" t="n"/>
      <c r="X40" s="47" t="n"/>
    </row>
    <row r="41">
      <c r="A41" s="37" t="inlineStr">
        <is>
          <t>Flat S6</t>
        </is>
      </c>
      <c r="B41" s="37" t="n">
        <v>0</v>
      </c>
      <c r="C41" s="41">
        <f>'INCOME-EXPENSE-CYCLES'!AH40+'INCOME-EXPENSE-CYCLES'!AL40+'INCOME-EXPENSE-CYCLES'!AP40+'INCOME-EXPENSE-CYCLES'!AT40+'INCOME-EXPENSE-CYCLES'!AX40</f>
        <v/>
      </c>
      <c r="D41" s="41">
        <f>'INCOME-EXPENSE-CYCLES'!AG40+'INCOME-EXPENSE-CYCLES'!AK40+'INCOME-EXPENSE-CYCLES'!AO40+'INCOME-EXPENSE-CYCLES'!AS40+'INCOME-EXPENSE-CYCLES'!AW40</f>
        <v/>
      </c>
      <c r="E41" s="104" t="n">
        <v>0</v>
      </c>
      <c r="F41" s="41">
        <f>(D41-C41)+B41+E41</f>
        <v/>
      </c>
      <c r="G41" s="104" t="n"/>
      <c r="H41" s="104" t="n"/>
      <c r="I41" s="104" t="n"/>
      <c r="J41" s="104" t="inlineStr">
        <is>
          <t>Flat S6</t>
        </is>
      </c>
      <c r="K41" s="104" t="n"/>
      <c r="L41" s="41" t="n">
        <v>0</v>
      </c>
      <c r="M41" s="104" t="n"/>
      <c r="N41" s="104" t="n"/>
      <c r="O41" s="41" t="n"/>
      <c r="P41" s="41" t="n"/>
      <c r="Q41" s="104" t="n"/>
      <c r="R41" s="104" t="n"/>
      <c r="S41" s="104" t="n"/>
      <c r="T41" s="104" t="n"/>
      <c r="U41" s="104" t="n"/>
      <c r="V41" s="104" t="n"/>
      <c r="W41" s="104" t="n"/>
      <c r="X41" s="104" t="n"/>
    </row>
    <row r="42">
      <c r="A42" s="36" t="inlineStr">
        <is>
          <t>Flat S7</t>
        </is>
      </c>
      <c r="B42" s="36" t="n">
        <v>0</v>
      </c>
      <c r="C42" s="43">
        <f>'INCOME-EXPENSE-CYCLES'!AH41+'INCOME-EXPENSE-CYCLES'!AL41+'INCOME-EXPENSE-CYCLES'!AP41+'INCOME-EXPENSE-CYCLES'!AT41+'INCOME-EXPENSE-CYCLES'!AX41</f>
        <v/>
      </c>
      <c r="D42" s="43">
        <f>'INCOME-EXPENSE-CYCLES'!AG41+'INCOME-EXPENSE-CYCLES'!AK41+'INCOME-EXPENSE-CYCLES'!AO41+'INCOME-EXPENSE-CYCLES'!AS41+'INCOME-EXPENSE-CYCLES'!AW41</f>
        <v/>
      </c>
      <c r="E42" s="47" t="n">
        <v>0</v>
      </c>
      <c r="F42" s="43">
        <f>(D42-C42)+B42+E42</f>
        <v/>
      </c>
      <c r="G42" s="47" t="n"/>
      <c r="H42" s="47" t="n"/>
      <c r="I42" s="47" t="n"/>
      <c r="J42" s="47" t="inlineStr">
        <is>
          <t>Flat S7</t>
        </is>
      </c>
      <c r="K42" s="47" t="n"/>
      <c r="L42" s="43" t="n">
        <v>0</v>
      </c>
      <c r="M42" s="47" t="n"/>
      <c r="N42" s="47" t="n"/>
      <c r="O42" s="43" t="n"/>
      <c r="P42" s="43" t="n"/>
      <c r="Q42" s="47" t="n"/>
      <c r="R42" s="47" t="n"/>
      <c r="S42" s="47" t="n"/>
      <c r="T42" s="47" t="n"/>
      <c r="U42" s="47" t="n"/>
      <c r="V42" s="47" t="n"/>
      <c r="W42" s="47" t="n"/>
      <c r="X42" s="47" t="n"/>
    </row>
    <row r="43">
      <c r="A43" s="37" t="inlineStr">
        <is>
          <t>Flat S8</t>
        </is>
      </c>
      <c r="B43" s="37" t="n">
        <v>0</v>
      </c>
      <c r="C43" s="41">
        <f>'INCOME-EXPENSE-CYCLES'!AH42+'INCOME-EXPENSE-CYCLES'!AL42+'INCOME-EXPENSE-CYCLES'!AP42+'INCOME-EXPENSE-CYCLES'!AT42+'INCOME-EXPENSE-CYCLES'!AX42</f>
        <v/>
      </c>
      <c r="D43" s="41">
        <f>'INCOME-EXPENSE-CYCLES'!AG42+'INCOME-EXPENSE-CYCLES'!AK42+'INCOME-EXPENSE-CYCLES'!AO42+'INCOME-EXPENSE-CYCLES'!AS42+'INCOME-EXPENSE-CYCLES'!AW42</f>
        <v/>
      </c>
      <c r="E43" s="104" t="n">
        <v>0</v>
      </c>
      <c r="F43" s="41">
        <f>(D43-C43)+B43+E43</f>
        <v/>
      </c>
      <c r="G43" s="104" t="n"/>
      <c r="H43" s="104" t="n"/>
      <c r="I43" s="104" t="n"/>
      <c r="J43" s="104" t="inlineStr">
        <is>
          <t>Flat S8</t>
        </is>
      </c>
      <c r="K43" s="104" t="n"/>
      <c r="L43" s="41" t="n">
        <v>0</v>
      </c>
      <c r="M43" s="104" t="n"/>
      <c r="N43" s="104" t="n"/>
      <c r="O43" s="41" t="n"/>
      <c r="P43" s="41" t="n"/>
      <c r="Q43" s="104" t="n"/>
      <c r="R43" s="104" t="n"/>
      <c r="S43" s="104" t="n"/>
      <c r="T43" s="104" t="n"/>
      <c r="U43" s="104" t="n"/>
      <c r="V43" s="104" t="n"/>
      <c r="W43" s="104" t="n"/>
      <c r="X43" s="104" t="n"/>
    </row>
    <row r="44">
      <c r="A44" s="36" t="inlineStr">
        <is>
          <t>Flat S9</t>
        </is>
      </c>
      <c r="B44" s="36" t="n">
        <v>0</v>
      </c>
      <c r="C44" s="43">
        <f>'INCOME-EXPENSE-CYCLES'!AH43+'INCOME-EXPENSE-CYCLES'!AL43+'INCOME-EXPENSE-CYCLES'!AP43+'INCOME-EXPENSE-CYCLES'!AT43+'INCOME-EXPENSE-CYCLES'!AX43</f>
        <v/>
      </c>
      <c r="D44" s="43">
        <f>'INCOME-EXPENSE-CYCLES'!AG43+'INCOME-EXPENSE-CYCLES'!AK43+'INCOME-EXPENSE-CYCLES'!AO43+'INCOME-EXPENSE-CYCLES'!AS43+'INCOME-EXPENSE-CYCLES'!AW43</f>
        <v/>
      </c>
      <c r="E44" s="47" t="n">
        <v>0</v>
      </c>
      <c r="F44" s="43">
        <f>(D44-C44)+B44+E44</f>
        <v/>
      </c>
      <c r="G44" s="47" t="n"/>
      <c r="H44" s="47" t="n"/>
      <c r="I44" s="47" t="n"/>
      <c r="J44" s="47" t="inlineStr">
        <is>
          <t>Flat S9</t>
        </is>
      </c>
      <c r="K44" s="47" t="n"/>
      <c r="L44" s="43" t="n">
        <v>0</v>
      </c>
      <c r="M44" s="47" t="n"/>
      <c r="N44" s="47" t="n"/>
      <c r="O44" s="43" t="n"/>
      <c r="P44" s="43" t="n"/>
      <c r="Q44" s="47" t="n"/>
      <c r="R44" s="47" t="n"/>
      <c r="S44" s="47" t="n"/>
      <c r="T44" s="47" t="n"/>
      <c r="U44" s="47" t="n"/>
      <c r="V44" s="47" t="n"/>
      <c r="W44" s="47" t="n"/>
      <c r="X44" s="47" t="n"/>
    </row>
    <row r="45">
      <c r="A45" s="37" t="inlineStr">
        <is>
          <t>Flat S10</t>
        </is>
      </c>
      <c r="B45" s="37" t="n">
        <v>0</v>
      </c>
      <c r="C45" s="41">
        <f>'INCOME-EXPENSE-CYCLES'!AH44+'INCOME-EXPENSE-CYCLES'!AL44+'INCOME-EXPENSE-CYCLES'!AP44+'INCOME-EXPENSE-CYCLES'!AT44+'INCOME-EXPENSE-CYCLES'!AX44</f>
        <v/>
      </c>
      <c r="D45" s="41">
        <f>'INCOME-EXPENSE-CYCLES'!AG44+'INCOME-EXPENSE-CYCLES'!AK44+'INCOME-EXPENSE-CYCLES'!AO44+'INCOME-EXPENSE-CYCLES'!AS44+'INCOME-EXPENSE-CYCLES'!AW44</f>
        <v/>
      </c>
      <c r="E45" s="104" t="n">
        <v>0</v>
      </c>
      <c r="F45" s="41">
        <f>(D45-C45)+B45+E45</f>
        <v/>
      </c>
      <c r="G45" s="104" t="n"/>
      <c r="H45" s="104" t="n"/>
      <c r="I45" s="104" t="n"/>
      <c r="J45" s="104" t="inlineStr">
        <is>
          <t>Flat S10</t>
        </is>
      </c>
      <c r="K45" s="104" t="n"/>
      <c r="L45" s="41" t="n">
        <v>0</v>
      </c>
      <c r="M45" s="104" t="n"/>
      <c r="N45" s="104" t="n"/>
      <c r="O45" s="41" t="n"/>
      <c r="P45" s="41" t="n"/>
      <c r="Q45" s="104" t="n"/>
      <c r="R45" s="104" t="n"/>
      <c r="S45" s="104" t="n"/>
      <c r="T45" s="104" t="n"/>
      <c r="U45" s="104" t="n"/>
      <c r="V45" s="104" t="n"/>
      <c r="W45" s="104" t="n"/>
      <c r="X45" s="104" t="n"/>
    </row>
    <row r="46">
      <c r="A46" s="36" t="inlineStr">
        <is>
          <t>Flat S11</t>
        </is>
      </c>
      <c r="B46" s="36" t="n">
        <v>0</v>
      </c>
      <c r="C46" s="43">
        <f>'INCOME-EXPENSE-CYCLES'!AH45+'INCOME-EXPENSE-CYCLES'!AL45+'INCOME-EXPENSE-CYCLES'!AP45+'INCOME-EXPENSE-CYCLES'!AT45+'INCOME-EXPENSE-CYCLES'!AX45</f>
        <v/>
      </c>
      <c r="D46" s="43">
        <f>'INCOME-EXPENSE-CYCLES'!AG45+'INCOME-EXPENSE-CYCLES'!AK45+'INCOME-EXPENSE-CYCLES'!AO45+'INCOME-EXPENSE-CYCLES'!AS45+'INCOME-EXPENSE-CYCLES'!AW45</f>
        <v/>
      </c>
      <c r="E46" s="47" t="n">
        <v>0</v>
      </c>
      <c r="F46" s="43">
        <f>(D46-C46)+B46+E46</f>
        <v/>
      </c>
      <c r="G46" s="47" t="n"/>
      <c r="H46" s="47" t="n"/>
      <c r="I46" s="47" t="n"/>
      <c r="J46" s="47" t="inlineStr">
        <is>
          <t>Flat S11</t>
        </is>
      </c>
      <c r="K46" s="47" t="n"/>
      <c r="L46" s="43" t="n">
        <v>0</v>
      </c>
      <c r="M46" s="47" t="n"/>
      <c r="N46" s="47" t="n"/>
      <c r="O46" s="43" t="n"/>
      <c r="P46" s="43" t="n"/>
      <c r="Q46" s="47" t="n"/>
      <c r="R46" s="47" t="n"/>
      <c r="S46" s="47" t="n"/>
      <c r="T46" s="47" t="n"/>
      <c r="U46" s="47" t="n"/>
      <c r="V46" s="47" t="n"/>
      <c r="W46" s="47" t="n"/>
      <c r="X46" s="47" t="n"/>
    </row>
    <row r="47">
      <c r="A47" s="37" t="inlineStr">
        <is>
          <t>Flat S12</t>
        </is>
      </c>
      <c r="B47" s="37" t="n">
        <v>0</v>
      </c>
      <c r="C47" s="41">
        <f>'INCOME-EXPENSE-CYCLES'!AH46+'INCOME-EXPENSE-CYCLES'!AL46+'INCOME-EXPENSE-CYCLES'!AP46+'INCOME-EXPENSE-CYCLES'!AT46+'INCOME-EXPENSE-CYCLES'!AX46</f>
        <v/>
      </c>
      <c r="D47" s="41">
        <f>'INCOME-EXPENSE-CYCLES'!AG46+'INCOME-EXPENSE-CYCLES'!AK46+'INCOME-EXPENSE-CYCLES'!AO46+'INCOME-EXPENSE-CYCLES'!AS46+'INCOME-EXPENSE-CYCLES'!AW46</f>
        <v/>
      </c>
      <c r="E47" s="104" t="n">
        <v>0</v>
      </c>
      <c r="F47" s="41">
        <f>(D47-C47)+B47+E47</f>
        <v/>
      </c>
      <c r="G47" s="104" t="n"/>
      <c r="H47" s="104" t="n"/>
      <c r="I47" s="104" t="n"/>
      <c r="J47" s="104" t="inlineStr">
        <is>
          <t>Flat S12</t>
        </is>
      </c>
      <c r="K47" s="104" t="n"/>
      <c r="L47" s="41" t="n">
        <v>0</v>
      </c>
      <c r="M47" s="104" t="n"/>
      <c r="N47" s="104" t="n"/>
      <c r="O47" s="41" t="n"/>
      <c r="P47" s="41" t="n"/>
      <c r="Q47" s="104" t="n"/>
      <c r="R47" s="104" t="n"/>
      <c r="S47" s="104" t="n"/>
      <c r="T47" s="104" t="n"/>
      <c r="U47" s="104" t="n"/>
      <c r="V47" s="104" t="n"/>
      <c r="W47" s="104" t="n"/>
      <c r="X47" s="104" t="n"/>
    </row>
    <row r="48">
      <c r="A48" s="36" t="inlineStr">
        <is>
          <t>Flat S13</t>
        </is>
      </c>
      <c r="B48" s="36" t="n">
        <v>0</v>
      </c>
      <c r="C48" s="43">
        <f>'INCOME-EXPENSE-CYCLES'!AH47+'INCOME-EXPENSE-CYCLES'!AL47+'INCOME-EXPENSE-CYCLES'!AP47+'INCOME-EXPENSE-CYCLES'!AT47+'INCOME-EXPENSE-CYCLES'!AX47</f>
        <v/>
      </c>
      <c r="D48" s="43">
        <f>'INCOME-EXPENSE-CYCLES'!AG47+'INCOME-EXPENSE-CYCLES'!AK47+'INCOME-EXPENSE-CYCLES'!AO47+'INCOME-EXPENSE-CYCLES'!AS47+'INCOME-EXPENSE-CYCLES'!AW47</f>
        <v/>
      </c>
      <c r="E48" s="47" t="n">
        <v>0</v>
      </c>
      <c r="F48" s="43">
        <f>(D48-C48)+B48+E48</f>
        <v/>
      </c>
      <c r="G48" s="47" t="n"/>
      <c r="H48" s="47" t="n"/>
      <c r="I48" s="47" t="n"/>
      <c r="J48" s="47" t="inlineStr">
        <is>
          <t>Flat S13</t>
        </is>
      </c>
      <c r="K48" s="47" t="n"/>
      <c r="L48" s="43" t="n">
        <v>0</v>
      </c>
      <c r="M48" s="47" t="n"/>
      <c r="N48" s="47" t="n"/>
      <c r="O48" s="43" t="n"/>
      <c r="P48" s="43" t="n"/>
      <c r="Q48" s="47" t="n"/>
      <c r="R48" s="47" t="n"/>
      <c r="S48" s="47" t="n"/>
      <c r="T48" s="47" t="n"/>
      <c r="U48" s="47" t="n"/>
      <c r="V48" s="47" t="n"/>
      <c r="W48" s="47" t="n"/>
      <c r="X48" s="47" t="n"/>
    </row>
    <row r="49">
      <c r="A49" s="37" t="inlineStr">
        <is>
          <t>Flat S14</t>
        </is>
      </c>
      <c r="B49" s="37" t="n">
        <v>0</v>
      </c>
      <c r="C49" s="41">
        <f>'INCOME-EXPENSE-CYCLES'!AH48+'INCOME-EXPENSE-CYCLES'!AL48+'INCOME-EXPENSE-CYCLES'!AP48+'INCOME-EXPENSE-CYCLES'!AT48+'INCOME-EXPENSE-CYCLES'!AX48</f>
        <v/>
      </c>
      <c r="D49" s="41">
        <f>'INCOME-EXPENSE-CYCLES'!AG48+'INCOME-EXPENSE-CYCLES'!AK48+'INCOME-EXPENSE-CYCLES'!AO48+'INCOME-EXPENSE-CYCLES'!AS48+'INCOME-EXPENSE-CYCLES'!AW48</f>
        <v/>
      </c>
      <c r="E49" s="104" t="n">
        <v>0</v>
      </c>
      <c r="F49" s="41">
        <f>(D49-C49)+B49+E49</f>
        <v/>
      </c>
      <c r="G49" s="104" t="n"/>
      <c r="H49" s="104" t="n"/>
      <c r="I49" s="104" t="n"/>
      <c r="J49" s="104" t="inlineStr">
        <is>
          <t>Flat S14</t>
        </is>
      </c>
      <c r="K49" s="104" t="n"/>
      <c r="L49" s="41" t="n">
        <v>0</v>
      </c>
      <c r="M49" s="104" t="n"/>
      <c r="N49" s="104" t="n"/>
      <c r="O49" s="41" t="n"/>
      <c r="P49" s="41" t="n"/>
      <c r="Q49" s="104" t="n"/>
      <c r="R49" s="104" t="n"/>
      <c r="S49" s="104" t="n"/>
      <c r="T49" s="104" t="n"/>
      <c r="U49" s="104" t="n"/>
      <c r="V49" s="104" t="n"/>
      <c r="W49" s="104" t="n"/>
      <c r="X49" s="104" t="n"/>
    </row>
    <row r="50">
      <c r="A50" s="36" t="inlineStr">
        <is>
          <t>Flat S15</t>
        </is>
      </c>
      <c r="B50" s="36" t="n">
        <v>0</v>
      </c>
      <c r="C50" s="43">
        <f>'INCOME-EXPENSE-CYCLES'!AH49+'INCOME-EXPENSE-CYCLES'!AL49+'INCOME-EXPENSE-CYCLES'!AP49+'INCOME-EXPENSE-CYCLES'!AT49+'INCOME-EXPENSE-CYCLES'!AX49</f>
        <v/>
      </c>
      <c r="D50" s="43">
        <f>'INCOME-EXPENSE-CYCLES'!AG49+'INCOME-EXPENSE-CYCLES'!AK49+'INCOME-EXPENSE-CYCLES'!AO49+'INCOME-EXPENSE-CYCLES'!AS49+'INCOME-EXPENSE-CYCLES'!AW49</f>
        <v/>
      </c>
      <c r="E50" s="47" t="n">
        <v>0</v>
      </c>
      <c r="F50" s="43">
        <f>(D50-C50)+B50+E50</f>
        <v/>
      </c>
      <c r="G50" s="47" t="n"/>
      <c r="H50" s="47" t="n"/>
      <c r="I50" s="47" t="n"/>
      <c r="J50" s="47" t="inlineStr">
        <is>
          <t>Flat S15</t>
        </is>
      </c>
      <c r="K50" s="47" t="n"/>
      <c r="L50" s="43" t="n">
        <v>0</v>
      </c>
      <c r="M50" s="47" t="n"/>
      <c r="N50" s="47" t="n"/>
      <c r="O50" s="43" t="n"/>
      <c r="P50" s="43" t="n"/>
      <c r="Q50" s="47" t="n"/>
      <c r="R50" s="47" t="n"/>
      <c r="S50" s="47" t="n"/>
      <c r="T50" s="47" t="n"/>
      <c r="U50" s="47" t="n"/>
      <c r="V50" s="47" t="n"/>
      <c r="W50" s="47" t="n"/>
      <c r="X50" s="47" t="n"/>
    </row>
    <row r="51">
      <c r="A51" s="37" t="inlineStr">
        <is>
          <t>Flat S16</t>
        </is>
      </c>
      <c r="B51" s="37" t="n">
        <v>0</v>
      </c>
      <c r="C51" s="41">
        <f>'INCOME-EXPENSE-CYCLES'!AH50+'INCOME-EXPENSE-CYCLES'!AL50+'INCOME-EXPENSE-CYCLES'!AP50+'INCOME-EXPENSE-CYCLES'!AT50+'INCOME-EXPENSE-CYCLES'!AX50</f>
        <v/>
      </c>
      <c r="D51" s="41">
        <f>'INCOME-EXPENSE-CYCLES'!AG50+'INCOME-EXPENSE-CYCLES'!AK50+'INCOME-EXPENSE-CYCLES'!AO50+'INCOME-EXPENSE-CYCLES'!AS50+'INCOME-EXPENSE-CYCLES'!AW50</f>
        <v/>
      </c>
      <c r="E51" s="104" t="n">
        <v>0</v>
      </c>
      <c r="F51" s="41">
        <f>(D51-C51)+B51+E51</f>
        <v/>
      </c>
      <c r="G51" s="104" t="n"/>
      <c r="H51" s="104" t="n"/>
      <c r="I51" s="104" t="n"/>
      <c r="J51" s="104" t="inlineStr">
        <is>
          <t>Flat S16</t>
        </is>
      </c>
      <c r="K51" s="104" t="n"/>
      <c r="L51" s="41" t="n">
        <v>0</v>
      </c>
      <c r="M51" s="104" t="n"/>
      <c r="N51" s="104" t="n"/>
      <c r="O51" s="41" t="n"/>
      <c r="P51" s="41" t="n"/>
      <c r="Q51" s="104" t="n"/>
      <c r="R51" s="104" t="n"/>
      <c r="S51" s="104" t="n"/>
      <c r="T51" s="104" t="n"/>
      <c r="U51" s="104" t="n"/>
      <c r="V51" s="104" t="n"/>
      <c r="W51" s="104" t="n"/>
      <c r="X51" s="104" t="n"/>
    </row>
    <row r="52">
      <c r="A52" s="36" t="inlineStr">
        <is>
          <t>Flat T1</t>
        </is>
      </c>
      <c r="B52" s="36" t="n">
        <v>0</v>
      </c>
      <c r="C52" s="43">
        <f>'INCOME-EXPENSE-CYCLES'!AH51+'INCOME-EXPENSE-CYCLES'!AL51+'INCOME-EXPENSE-CYCLES'!AP51+'INCOME-EXPENSE-CYCLES'!AT51+'INCOME-EXPENSE-CYCLES'!AX51</f>
        <v/>
      </c>
      <c r="D52" s="43">
        <f>'INCOME-EXPENSE-CYCLES'!AG51+'INCOME-EXPENSE-CYCLES'!AK51+'INCOME-EXPENSE-CYCLES'!AO51+'INCOME-EXPENSE-CYCLES'!AS51+'INCOME-EXPENSE-CYCLES'!AW51</f>
        <v/>
      </c>
      <c r="E52" s="47" t="n">
        <v>0</v>
      </c>
      <c r="F52" s="43">
        <f>(D52-C52)+B52+E52</f>
        <v/>
      </c>
      <c r="G52" s="47" t="n"/>
      <c r="H52" s="47" t="n"/>
      <c r="I52" s="47" t="n"/>
      <c r="J52" s="47" t="inlineStr">
        <is>
          <t>Flat T1</t>
        </is>
      </c>
      <c r="K52" s="47" t="n"/>
      <c r="L52" s="43" t="n">
        <v>0</v>
      </c>
      <c r="M52" s="47" t="n"/>
      <c r="N52" s="47" t="n"/>
      <c r="O52" s="43" t="n"/>
      <c r="P52" s="43" t="n"/>
      <c r="Q52" s="47" t="n"/>
      <c r="R52" s="47" t="n"/>
      <c r="S52" s="47" t="n"/>
      <c r="T52" s="47" t="n"/>
      <c r="U52" s="47" t="n"/>
      <c r="V52" s="47" t="n"/>
      <c r="W52" s="47" t="n"/>
      <c r="X52" s="47" t="n"/>
    </row>
    <row r="53">
      <c r="A53" s="37" t="inlineStr">
        <is>
          <t>Flat T2</t>
        </is>
      </c>
      <c r="B53" s="37" t="n">
        <v>0</v>
      </c>
      <c r="C53" s="41">
        <f>'INCOME-EXPENSE-CYCLES'!AH52+'INCOME-EXPENSE-CYCLES'!AL52+'INCOME-EXPENSE-CYCLES'!AP52+'INCOME-EXPENSE-CYCLES'!AT52+'INCOME-EXPENSE-CYCLES'!AX52</f>
        <v/>
      </c>
      <c r="D53" s="41">
        <f>'INCOME-EXPENSE-CYCLES'!AG52+'INCOME-EXPENSE-CYCLES'!AK52+'INCOME-EXPENSE-CYCLES'!AO52+'INCOME-EXPENSE-CYCLES'!AS52+'INCOME-EXPENSE-CYCLES'!AW52</f>
        <v/>
      </c>
      <c r="E53" s="104" t="n">
        <v>0</v>
      </c>
      <c r="F53" s="41">
        <f>(D53-C53)+B53+E53</f>
        <v/>
      </c>
      <c r="G53" s="104" t="n"/>
      <c r="H53" s="104" t="n"/>
      <c r="I53" s="104" t="n"/>
      <c r="J53" s="104" t="inlineStr">
        <is>
          <t>Flat T2</t>
        </is>
      </c>
      <c r="K53" s="104" t="n"/>
      <c r="L53" s="41" t="n">
        <v>0</v>
      </c>
      <c r="M53" s="104" t="n"/>
      <c r="N53" s="104" t="n"/>
      <c r="O53" s="41" t="n"/>
      <c r="P53" s="41" t="n"/>
      <c r="Q53" s="104" t="n"/>
      <c r="R53" s="104" t="n"/>
      <c r="S53" s="104" t="n"/>
      <c r="T53" s="104" t="n"/>
      <c r="U53" s="104" t="n"/>
      <c r="V53" s="104" t="n"/>
      <c r="W53" s="104" t="n"/>
      <c r="X53" s="104" t="n"/>
    </row>
    <row r="54">
      <c r="A54" s="36" t="inlineStr">
        <is>
          <t>Flat T3</t>
        </is>
      </c>
      <c r="B54" s="36" t="n">
        <v>0</v>
      </c>
      <c r="C54" s="43">
        <f>'INCOME-EXPENSE-CYCLES'!AH53+'INCOME-EXPENSE-CYCLES'!AL53+'INCOME-EXPENSE-CYCLES'!AP53+'INCOME-EXPENSE-CYCLES'!AT53+'INCOME-EXPENSE-CYCLES'!AX53</f>
        <v/>
      </c>
      <c r="D54" s="43">
        <f>'INCOME-EXPENSE-CYCLES'!AG53+'INCOME-EXPENSE-CYCLES'!AK53+'INCOME-EXPENSE-CYCLES'!AO53+'INCOME-EXPENSE-CYCLES'!AS53+'INCOME-EXPENSE-CYCLES'!AW53</f>
        <v/>
      </c>
      <c r="E54" s="47" t="n">
        <v>0</v>
      </c>
      <c r="F54" s="43">
        <f>(D54-C54)+B54+E54</f>
        <v/>
      </c>
      <c r="G54" s="47" t="n"/>
      <c r="H54" s="47" t="n"/>
      <c r="I54" s="47" t="n"/>
      <c r="J54" s="47" t="inlineStr">
        <is>
          <t>Flat T3</t>
        </is>
      </c>
      <c r="K54" s="47" t="n"/>
      <c r="L54" s="43" t="n">
        <v>0</v>
      </c>
      <c r="M54" s="47" t="n"/>
      <c r="N54" s="47" t="n"/>
      <c r="O54" s="43" t="n"/>
      <c r="P54" s="43" t="n"/>
      <c r="Q54" s="47" t="n"/>
      <c r="R54" s="47" t="n"/>
      <c r="S54" s="47" t="n"/>
      <c r="T54" s="47" t="n"/>
      <c r="U54" s="47" t="n"/>
      <c r="V54" s="47" t="n"/>
      <c r="W54" s="47" t="n"/>
      <c r="X54" s="47" t="n"/>
    </row>
    <row r="55">
      <c r="A55" s="37" t="inlineStr">
        <is>
          <t>Flat T4</t>
        </is>
      </c>
      <c r="B55" s="37" t="n">
        <v>0</v>
      </c>
      <c r="C55" s="41">
        <f>'INCOME-EXPENSE-CYCLES'!AH54+'INCOME-EXPENSE-CYCLES'!AL54+'INCOME-EXPENSE-CYCLES'!AP54+'INCOME-EXPENSE-CYCLES'!AT54+'INCOME-EXPENSE-CYCLES'!AX54</f>
        <v/>
      </c>
      <c r="D55" s="41">
        <f>'INCOME-EXPENSE-CYCLES'!AG54+'INCOME-EXPENSE-CYCLES'!AK54+'INCOME-EXPENSE-CYCLES'!AO54+'INCOME-EXPENSE-CYCLES'!AS54+'INCOME-EXPENSE-CYCLES'!AW54</f>
        <v/>
      </c>
      <c r="E55" s="104" t="n">
        <v>0</v>
      </c>
      <c r="F55" s="41">
        <f>(D55-C55)+B55+E55</f>
        <v/>
      </c>
      <c r="G55" s="104" t="n"/>
      <c r="H55" s="104" t="n"/>
      <c r="I55" s="104" t="n"/>
      <c r="J55" s="104" t="inlineStr">
        <is>
          <t>Flat T4</t>
        </is>
      </c>
      <c r="K55" s="104" t="n"/>
      <c r="L55" s="41" t="n">
        <v>0</v>
      </c>
      <c r="M55" s="104" t="n"/>
      <c r="N55" s="104" t="n"/>
      <c r="O55" s="41" t="n"/>
      <c r="P55" s="41" t="n"/>
      <c r="Q55" s="104" t="n"/>
      <c r="R55" s="104" t="n"/>
      <c r="S55" s="104" t="n"/>
      <c r="T55" s="104" t="n"/>
      <c r="U55" s="104" t="n"/>
      <c r="V55" s="104" t="n"/>
      <c r="W55" s="104" t="n"/>
      <c r="X55" s="104" t="n"/>
    </row>
    <row r="56">
      <c r="A56" s="36" t="inlineStr">
        <is>
          <t>Flat T5</t>
        </is>
      </c>
      <c r="B56" s="36" t="n">
        <v>0</v>
      </c>
      <c r="C56" s="43">
        <f>'INCOME-EXPENSE-CYCLES'!AH55+'INCOME-EXPENSE-CYCLES'!AL55+'INCOME-EXPENSE-CYCLES'!AP55+'INCOME-EXPENSE-CYCLES'!AT55+'INCOME-EXPENSE-CYCLES'!AX55</f>
        <v/>
      </c>
      <c r="D56" s="43">
        <f>'INCOME-EXPENSE-CYCLES'!AG55+'INCOME-EXPENSE-CYCLES'!AK55+'INCOME-EXPENSE-CYCLES'!AO55+'INCOME-EXPENSE-CYCLES'!AS55+'INCOME-EXPENSE-CYCLES'!AW55</f>
        <v/>
      </c>
      <c r="E56" s="47" t="n">
        <v>0</v>
      </c>
      <c r="F56" s="43">
        <f>(D56-C56)+B56+E56</f>
        <v/>
      </c>
      <c r="G56" s="47" t="n"/>
      <c r="H56" s="47" t="n"/>
      <c r="I56" s="47" t="n"/>
      <c r="J56" s="47" t="inlineStr">
        <is>
          <t>Flat T5</t>
        </is>
      </c>
      <c r="K56" s="47" t="n"/>
      <c r="L56" s="43" t="n">
        <v>0</v>
      </c>
      <c r="M56" s="47" t="n"/>
      <c r="N56" s="47" t="n"/>
      <c r="O56" s="43" t="n"/>
      <c r="P56" s="43" t="n"/>
      <c r="Q56" s="47" t="n"/>
      <c r="R56" s="47" t="n"/>
      <c r="S56" s="47" t="n"/>
      <c r="T56" s="47" t="n"/>
      <c r="U56" s="47" t="n"/>
      <c r="V56" s="47" t="n"/>
      <c r="W56" s="47" t="n"/>
      <c r="X56" s="47" t="n"/>
    </row>
    <row r="57">
      <c r="A57" s="37" t="inlineStr">
        <is>
          <t>Flat T6</t>
        </is>
      </c>
      <c r="B57" s="37" t="n">
        <v>0</v>
      </c>
      <c r="C57" s="41">
        <f>'INCOME-EXPENSE-CYCLES'!AH56+'INCOME-EXPENSE-CYCLES'!AL56+'INCOME-EXPENSE-CYCLES'!AP56+'INCOME-EXPENSE-CYCLES'!AT56+'INCOME-EXPENSE-CYCLES'!AX56</f>
        <v/>
      </c>
      <c r="D57" s="41">
        <f>'INCOME-EXPENSE-CYCLES'!AG56+'INCOME-EXPENSE-CYCLES'!AK56+'INCOME-EXPENSE-CYCLES'!AO56+'INCOME-EXPENSE-CYCLES'!AS56+'INCOME-EXPENSE-CYCLES'!AW56</f>
        <v/>
      </c>
      <c r="E57" s="104" t="n">
        <v>0</v>
      </c>
      <c r="F57" s="41">
        <f>(D57-C57)+B57+E57</f>
        <v/>
      </c>
      <c r="G57" s="104" t="n"/>
      <c r="H57" s="104" t="n"/>
      <c r="I57" s="104" t="n"/>
      <c r="J57" s="104" t="inlineStr">
        <is>
          <t>Flat T6</t>
        </is>
      </c>
      <c r="K57" s="104" t="n"/>
      <c r="L57" s="41" t="n">
        <v>0</v>
      </c>
      <c r="M57" s="104" t="n"/>
      <c r="N57" s="104" t="n"/>
      <c r="O57" s="41" t="n"/>
      <c r="P57" s="41" t="n"/>
      <c r="Q57" s="104" t="n"/>
      <c r="R57" s="104" t="n"/>
      <c r="S57" s="104" t="n"/>
      <c r="T57" s="104" t="n"/>
      <c r="U57" s="104" t="n"/>
      <c r="V57" s="104" t="n"/>
      <c r="W57" s="104" t="n"/>
      <c r="X57" s="104" t="n"/>
    </row>
    <row r="58">
      <c r="A58" s="36" t="inlineStr">
        <is>
          <t>Flat T7</t>
        </is>
      </c>
      <c r="B58" s="36" t="n">
        <v>0</v>
      </c>
      <c r="C58" s="43">
        <f>'INCOME-EXPENSE-CYCLES'!AH57+'INCOME-EXPENSE-CYCLES'!AL57+'INCOME-EXPENSE-CYCLES'!AP57+'INCOME-EXPENSE-CYCLES'!AT57+'INCOME-EXPENSE-CYCLES'!AX57</f>
        <v/>
      </c>
      <c r="D58" s="43">
        <f>'INCOME-EXPENSE-CYCLES'!AG57+'INCOME-EXPENSE-CYCLES'!AK57+'INCOME-EXPENSE-CYCLES'!AO57+'INCOME-EXPENSE-CYCLES'!AS57+'INCOME-EXPENSE-CYCLES'!AW57</f>
        <v/>
      </c>
      <c r="E58" s="47" t="n">
        <v>0</v>
      </c>
      <c r="F58" s="43">
        <f>(D58-C58)+B58+E58</f>
        <v/>
      </c>
      <c r="G58" s="47" t="n"/>
      <c r="H58" s="47" t="n"/>
      <c r="I58" s="47" t="n"/>
      <c r="J58" s="47" t="inlineStr">
        <is>
          <t>Flat T7</t>
        </is>
      </c>
      <c r="K58" s="47" t="n"/>
      <c r="L58" s="43" t="n">
        <v>0</v>
      </c>
      <c r="M58" s="47" t="n"/>
      <c r="N58" s="47" t="n"/>
      <c r="O58" s="43" t="n"/>
      <c r="P58" s="43" t="n"/>
      <c r="Q58" s="47" t="n"/>
      <c r="R58" s="47" t="n"/>
      <c r="S58" s="47" t="n"/>
      <c r="T58" s="47" t="n"/>
      <c r="U58" s="47" t="n"/>
      <c r="V58" s="47" t="n"/>
      <c r="W58" s="47" t="n"/>
      <c r="X58" s="47" t="n"/>
    </row>
    <row r="59">
      <c r="A59" s="37" t="inlineStr">
        <is>
          <t>Flat T8</t>
        </is>
      </c>
      <c r="B59" s="37" t="n">
        <v>0</v>
      </c>
      <c r="C59" s="41">
        <f>'INCOME-EXPENSE-CYCLES'!AH58+'INCOME-EXPENSE-CYCLES'!AL58+'INCOME-EXPENSE-CYCLES'!AP58+'INCOME-EXPENSE-CYCLES'!AT58+'INCOME-EXPENSE-CYCLES'!AX58</f>
        <v/>
      </c>
      <c r="D59" s="41">
        <f>'INCOME-EXPENSE-CYCLES'!AG58+'INCOME-EXPENSE-CYCLES'!AK58+'INCOME-EXPENSE-CYCLES'!AO58+'INCOME-EXPENSE-CYCLES'!AS58+'INCOME-EXPENSE-CYCLES'!AW58</f>
        <v/>
      </c>
      <c r="E59" s="104" t="n">
        <v>0</v>
      </c>
      <c r="F59" s="41">
        <f>(D59-C59)+B59+E59</f>
        <v/>
      </c>
      <c r="G59" s="104" t="n"/>
      <c r="H59" s="104" t="n"/>
      <c r="I59" s="104" t="n"/>
      <c r="J59" s="104" t="inlineStr">
        <is>
          <t>Flat T8</t>
        </is>
      </c>
      <c r="K59" s="104" t="n"/>
      <c r="L59" s="41" t="n">
        <v>0</v>
      </c>
      <c r="M59" s="104" t="n"/>
      <c r="N59" s="104" t="n"/>
      <c r="O59" s="41" t="n"/>
      <c r="P59" s="41" t="n"/>
      <c r="Q59" s="104" t="n"/>
      <c r="R59" s="104" t="n"/>
      <c r="S59" s="104" t="n"/>
      <c r="T59" s="104" t="n"/>
      <c r="U59" s="104" t="n"/>
      <c r="V59" s="104" t="n"/>
      <c r="W59" s="104" t="n"/>
      <c r="X59" s="104" t="n"/>
    </row>
    <row r="60">
      <c r="A60" s="36" t="inlineStr">
        <is>
          <t>Flat T9</t>
        </is>
      </c>
      <c r="B60" s="36" t="n">
        <v>0</v>
      </c>
      <c r="C60" s="43">
        <f>'INCOME-EXPENSE-CYCLES'!AH59+'INCOME-EXPENSE-CYCLES'!AL59+'INCOME-EXPENSE-CYCLES'!AP59+'INCOME-EXPENSE-CYCLES'!AT59+'INCOME-EXPENSE-CYCLES'!AX59</f>
        <v/>
      </c>
      <c r="D60" s="43">
        <f>'INCOME-EXPENSE-CYCLES'!AG59+'INCOME-EXPENSE-CYCLES'!AK59+'INCOME-EXPENSE-CYCLES'!AO59+'INCOME-EXPENSE-CYCLES'!AS59+'INCOME-EXPENSE-CYCLES'!AW59</f>
        <v/>
      </c>
      <c r="E60" s="47" t="n">
        <v>0</v>
      </c>
      <c r="F60" s="43">
        <f>(D60-C60)+B60+E60</f>
        <v/>
      </c>
      <c r="G60" s="47" t="n"/>
      <c r="H60" s="47" t="n"/>
      <c r="I60" s="47" t="n"/>
      <c r="J60" s="47" t="inlineStr">
        <is>
          <t>Flat T9</t>
        </is>
      </c>
      <c r="K60" s="47" t="n"/>
      <c r="L60" s="43" t="n">
        <v>0</v>
      </c>
      <c r="M60" s="47" t="n"/>
      <c r="N60" s="47" t="n"/>
      <c r="O60" s="43" t="n"/>
      <c r="P60" s="43" t="n"/>
      <c r="Q60" s="47" t="n"/>
      <c r="R60" s="47" t="n"/>
      <c r="S60" s="47" t="n"/>
      <c r="T60" s="47" t="n"/>
      <c r="U60" s="47" t="n"/>
      <c r="V60" s="47" t="n"/>
      <c r="W60" s="47" t="n"/>
      <c r="X60" s="47" t="n"/>
    </row>
    <row r="61">
      <c r="A61" s="37" t="inlineStr">
        <is>
          <t>Flat T10</t>
        </is>
      </c>
      <c r="B61" s="37" t="n">
        <v>0</v>
      </c>
      <c r="C61" s="41">
        <f>'INCOME-EXPENSE-CYCLES'!AH60+'INCOME-EXPENSE-CYCLES'!AL60+'INCOME-EXPENSE-CYCLES'!AP60+'INCOME-EXPENSE-CYCLES'!AT60+'INCOME-EXPENSE-CYCLES'!AX60</f>
        <v/>
      </c>
      <c r="D61" s="41">
        <f>'INCOME-EXPENSE-CYCLES'!AG60+'INCOME-EXPENSE-CYCLES'!AK60+'INCOME-EXPENSE-CYCLES'!AO60+'INCOME-EXPENSE-CYCLES'!AS60+'INCOME-EXPENSE-CYCLES'!AW60</f>
        <v/>
      </c>
      <c r="E61" s="104" t="n">
        <v>0</v>
      </c>
      <c r="F61" s="41">
        <f>(D61-C61)+B61+E61</f>
        <v/>
      </c>
      <c r="G61" s="104" t="n"/>
      <c r="H61" s="104" t="n"/>
      <c r="I61" s="104" t="n"/>
      <c r="J61" s="104" t="inlineStr">
        <is>
          <t>Flat T10</t>
        </is>
      </c>
      <c r="K61" s="104" t="n"/>
      <c r="L61" s="41" t="n">
        <v>0</v>
      </c>
      <c r="M61" s="104" t="n"/>
      <c r="N61" s="104" t="n"/>
      <c r="O61" s="41" t="n"/>
      <c r="P61" s="41" t="n"/>
      <c r="Q61" s="104" t="n"/>
      <c r="R61" s="104" t="n"/>
      <c r="S61" s="104" t="n"/>
      <c r="T61" s="104" t="n"/>
      <c r="U61" s="104" t="n"/>
      <c r="V61" s="104" t="n"/>
      <c r="W61" s="104" t="n"/>
      <c r="X61" s="104" t="n"/>
    </row>
    <row r="62">
      <c r="A62" s="36" t="inlineStr">
        <is>
          <t>Flat T11</t>
        </is>
      </c>
      <c r="B62" s="36" t="n">
        <v>0</v>
      </c>
      <c r="C62" s="43">
        <f>'INCOME-EXPENSE-CYCLES'!AH61+'INCOME-EXPENSE-CYCLES'!AL61+'INCOME-EXPENSE-CYCLES'!AP61+'INCOME-EXPENSE-CYCLES'!AT61+'INCOME-EXPENSE-CYCLES'!AX61</f>
        <v/>
      </c>
      <c r="D62" s="43">
        <f>'INCOME-EXPENSE-CYCLES'!AG61+'INCOME-EXPENSE-CYCLES'!AK61+'INCOME-EXPENSE-CYCLES'!AO61+'INCOME-EXPENSE-CYCLES'!AS61+'INCOME-EXPENSE-CYCLES'!AW61</f>
        <v/>
      </c>
      <c r="E62" s="47" t="n">
        <v>0</v>
      </c>
      <c r="F62" s="43">
        <f>(D62-C62)+B62+E62</f>
        <v/>
      </c>
      <c r="G62" s="47" t="n"/>
      <c r="H62" s="47" t="n"/>
      <c r="I62" s="47" t="n"/>
      <c r="J62" s="47" t="inlineStr">
        <is>
          <t>Flat T11</t>
        </is>
      </c>
      <c r="K62" s="47" t="n"/>
      <c r="L62" s="43" t="n">
        <v>0</v>
      </c>
      <c r="M62" s="47" t="n"/>
      <c r="N62" s="47" t="n"/>
      <c r="O62" s="43" t="n"/>
      <c r="P62" s="43" t="n"/>
      <c r="Q62" s="47" t="n"/>
      <c r="R62" s="47" t="n"/>
      <c r="S62" s="47" t="n"/>
      <c r="T62" s="47" t="n"/>
      <c r="U62" s="47" t="n"/>
      <c r="V62" s="47" t="n"/>
      <c r="W62" s="47" t="n"/>
      <c r="X62" s="47" t="n"/>
    </row>
    <row r="63">
      <c r="A63" s="37" t="inlineStr">
        <is>
          <t>Flat T12</t>
        </is>
      </c>
      <c r="B63" s="37" t="n">
        <v>0</v>
      </c>
      <c r="C63" s="41">
        <f>'INCOME-EXPENSE-CYCLES'!AH62+'INCOME-EXPENSE-CYCLES'!AL62+'INCOME-EXPENSE-CYCLES'!AP62+'INCOME-EXPENSE-CYCLES'!AT62+'INCOME-EXPENSE-CYCLES'!AX62</f>
        <v/>
      </c>
      <c r="D63" s="41">
        <f>'INCOME-EXPENSE-CYCLES'!AG62+'INCOME-EXPENSE-CYCLES'!AK62+'INCOME-EXPENSE-CYCLES'!AO62+'INCOME-EXPENSE-CYCLES'!AS62+'INCOME-EXPENSE-CYCLES'!AW62</f>
        <v/>
      </c>
      <c r="E63" s="104" t="n">
        <v>0</v>
      </c>
      <c r="F63" s="41">
        <f>(D63-C63)+B63+E63</f>
        <v/>
      </c>
      <c r="G63" s="104" t="n"/>
      <c r="H63" s="104" t="n"/>
      <c r="I63" s="104" t="n"/>
      <c r="J63" s="104" t="inlineStr">
        <is>
          <t>Flat T12</t>
        </is>
      </c>
      <c r="K63" s="104" t="n"/>
      <c r="L63" s="41" t="n">
        <v>0</v>
      </c>
      <c r="M63" s="104" t="n"/>
      <c r="N63" s="104" t="n"/>
      <c r="O63" s="41" t="n"/>
      <c r="P63" s="41" t="n"/>
      <c r="Q63" s="104" t="n"/>
      <c r="R63" s="104" t="n"/>
      <c r="S63" s="104" t="n"/>
      <c r="T63" s="104" t="n"/>
      <c r="U63" s="104" t="n"/>
      <c r="V63" s="104" t="n"/>
      <c r="W63" s="104" t="n"/>
      <c r="X63" s="104" t="n"/>
    </row>
    <row r="64">
      <c r="A64" s="36" t="inlineStr">
        <is>
          <t>Flat T13</t>
        </is>
      </c>
      <c r="B64" s="36" t="n">
        <v>0</v>
      </c>
      <c r="C64" s="43">
        <f>'INCOME-EXPENSE-CYCLES'!AH63+'INCOME-EXPENSE-CYCLES'!AL63+'INCOME-EXPENSE-CYCLES'!AP63+'INCOME-EXPENSE-CYCLES'!AT63+'INCOME-EXPENSE-CYCLES'!AX63</f>
        <v/>
      </c>
      <c r="D64" s="43">
        <f>'INCOME-EXPENSE-CYCLES'!AG63+'INCOME-EXPENSE-CYCLES'!AK63+'INCOME-EXPENSE-CYCLES'!AO63+'INCOME-EXPENSE-CYCLES'!AS63+'INCOME-EXPENSE-CYCLES'!AW63</f>
        <v/>
      </c>
      <c r="E64" s="47" t="n">
        <v>0</v>
      </c>
      <c r="F64" s="43">
        <f>(D64-C64)+B64+E64</f>
        <v/>
      </c>
      <c r="G64" s="47" t="n"/>
      <c r="H64" s="47" t="n"/>
      <c r="I64" s="47" t="n"/>
      <c r="J64" s="47" t="inlineStr">
        <is>
          <t>Flat T13</t>
        </is>
      </c>
      <c r="K64" s="47" t="n"/>
      <c r="L64" s="43" t="n">
        <v>0</v>
      </c>
      <c r="M64" s="47" t="n"/>
      <c r="N64" s="47" t="n"/>
      <c r="O64" s="43" t="n"/>
      <c r="P64" s="43" t="n"/>
      <c r="Q64" s="47" t="n"/>
      <c r="R64" s="47" t="n"/>
      <c r="S64" s="47" t="n"/>
      <c r="T64" s="47" t="n"/>
      <c r="U64" s="47" t="n"/>
      <c r="V64" s="47" t="n"/>
      <c r="W64" s="47" t="n"/>
      <c r="X64" s="47" t="n"/>
    </row>
    <row r="65">
      <c r="A65" s="37" t="inlineStr">
        <is>
          <t>Flat T14</t>
        </is>
      </c>
      <c r="B65" s="37" t="n">
        <v>0</v>
      </c>
      <c r="C65" s="41">
        <f>'INCOME-EXPENSE-CYCLES'!AH64+'INCOME-EXPENSE-CYCLES'!AL64+'INCOME-EXPENSE-CYCLES'!AP64+'INCOME-EXPENSE-CYCLES'!AT64+'INCOME-EXPENSE-CYCLES'!AX64</f>
        <v/>
      </c>
      <c r="D65" s="41">
        <f>'INCOME-EXPENSE-CYCLES'!AG64+'INCOME-EXPENSE-CYCLES'!AK64+'INCOME-EXPENSE-CYCLES'!AO64+'INCOME-EXPENSE-CYCLES'!AS64+'INCOME-EXPENSE-CYCLES'!AW64</f>
        <v/>
      </c>
      <c r="E65" s="104" t="n">
        <v>0</v>
      </c>
      <c r="F65" s="41">
        <f>(D65-C65)+B65+E65</f>
        <v/>
      </c>
      <c r="G65" s="104" t="n"/>
      <c r="H65" s="104" t="n"/>
      <c r="I65" s="104" t="n"/>
      <c r="J65" s="104" t="inlineStr">
        <is>
          <t>Flat T14</t>
        </is>
      </c>
      <c r="K65" s="104" t="n"/>
      <c r="L65" s="41" t="n">
        <v>0</v>
      </c>
      <c r="M65" s="104" t="n"/>
      <c r="N65" s="104" t="n"/>
      <c r="O65" s="41" t="n"/>
      <c r="P65" s="41" t="n"/>
      <c r="Q65" s="104" t="n"/>
      <c r="R65" s="104" t="n"/>
      <c r="S65" s="104" t="n"/>
      <c r="T65" s="104" t="n"/>
      <c r="U65" s="104" t="n"/>
      <c r="V65" s="104" t="n"/>
      <c r="W65" s="104" t="n"/>
      <c r="X65" s="104" t="n"/>
    </row>
    <row r="66">
      <c r="A66" s="36" t="inlineStr">
        <is>
          <t>Flat T15</t>
        </is>
      </c>
      <c r="B66" s="36" t="n">
        <v>0</v>
      </c>
      <c r="C66" s="43">
        <f>'INCOME-EXPENSE-CYCLES'!AH65+'INCOME-EXPENSE-CYCLES'!AL65+'INCOME-EXPENSE-CYCLES'!AP65+'INCOME-EXPENSE-CYCLES'!AT65+'INCOME-EXPENSE-CYCLES'!AX65</f>
        <v/>
      </c>
      <c r="D66" s="43">
        <f>'INCOME-EXPENSE-CYCLES'!AG65+'INCOME-EXPENSE-CYCLES'!AK65+'INCOME-EXPENSE-CYCLES'!AO65+'INCOME-EXPENSE-CYCLES'!AS65+'INCOME-EXPENSE-CYCLES'!AW65</f>
        <v/>
      </c>
      <c r="E66" s="47" t="n">
        <v>0</v>
      </c>
      <c r="F66" s="43">
        <f>(D66-C66)+B66+E66</f>
        <v/>
      </c>
      <c r="G66" s="47" t="n"/>
      <c r="H66" s="47" t="n"/>
      <c r="I66" s="47" t="n"/>
      <c r="J66" s="47" t="inlineStr">
        <is>
          <t>Flat T15</t>
        </is>
      </c>
      <c r="K66" s="47" t="n"/>
      <c r="L66" s="43" t="n">
        <v>0</v>
      </c>
      <c r="M66" s="47" t="n"/>
      <c r="N66" s="47" t="n"/>
      <c r="O66" s="43" t="n"/>
      <c r="P66" s="43" t="n"/>
      <c r="Q66" s="47" t="n"/>
      <c r="R66" s="47" t="n"/>
      <c r="S66" s="47" t="n"/>
      <c r="T66" s="47" t="n"/>
      <c r="U66" s="47" t="n"/>
      <c r="V66" s="47" t="n"/>
      <c r="W66" s="47" t="n"/>
      <c r="X66" s="47" t="n"/>
    </row>
    <row r="67">
      <c r="A67" s="37" t="inlineStr">
        <is>
          <t>Flat T16</t>
        </is>
      </c>
      <c r="B67" s="37" t="n">
        <v>0</v>
      </c>
      <c r="C67" s="41">
        <f>'INCOME-EXPENSE-CYCLES'!AH66+'INCOME-EXPENSE-CYCLES'!AL66+'INCOME-EXPENSE-CYCLES'!AP66+'INCOME-EXPENSE-CYCLES'!AT66+'INCOME-EXPENSE-CYCLES'!AX66</f>
        <v/>
      </c>
      <c r="D67" s="41">
        <f>'INCOME-EXPENSE-CYCLES'!AG66+'INCOME-EXPENSE-CYCLES'!AK66+'INCOME-EXPENSE-CYCLES'!AO66+'INCOME-EXPENSE-CYCLES'!AS66+'INCOME-EXPENSE-CYCLES'!AW66</f>
        <v/>
      </c>
      <c r="E67" s="104" t="n">
        <v>0</v>
      </c>
      <c r="F67" s="41">
        <f>(D67-C67)+B67+E67</f>
        <v/>
      </c>
      <c r="G67" s="104" t="n"/>
      <c r="H67" s="104" t="n"/>
      <c r="I67" s="104" t="n"/>
      <c r="J67" s="104" t="inlineStr">
        <is>
          <t>Flat T16</t>
        </is>
      </c>
      <c r="K67" s="104" t="n"/>
      <c r="L67" s="41" t="n">
        <v>0</v>
      </c>
      <c r="M67" s="104" t="n"/>
      <c r="N67" s="104" t="n"/>
      <c r="O67" s="41" t="n"/>
      <c r="P67" s="41" t="n"/>
      <c r="Q67" s="104" t="n"/>
      <c r="R67" s="104" t="n"/>
      <c r="S67" s="104" t="n"/>
      <c r="T67" s="104" t="n"/>
      <c r="U67" s="104" t="n"/>
      <c r="V67" s="104" t="n"/>
      <c r="W67" s="104" t="n"/>
      <c r="X67" s="104" t="n"/>
    </row>
    <row r="68">
      <c r="F68" s="30" t="n"/>
      <c r="O68" s="11" t="n"/>
      <c r="P68" s="11" t="n"/>
    </row>
    <row r="69">
      <c r="F69" s="30" t="n"/>
      <c r="O69" s="11" t="n"/>
      <c r="P69" s="11" t="n"/>
    </row>
    <row r="70">
      <c r="F70" s="30" t="n"/>
    </row>
    <row r="71">
      <c r="F71" s="30" t="n"/>
    </row>
    <row r="72">
      <c r="F72" s="30" t="n"/>
    </row>
    <row r="73">
      <c r="F73" s="30" t="n"/>
    </row>
    <row r="74">
      <c r="F74" s="30" t="n"/>
    </row>
    <row r="75">
      <c r="F75" s="30" t="n"/>
    </row>
    <row r="76">
      <c r="F76" s="30" t="n"/>
    </row>
    <row r="77">
      <c r="F77" s="30" t="n"/>
    </row>
    <row r="78">
      <c r="F78" s="30" t="n"/>
    </row>
    <row r="79">
      <c r="F79" s="30" t="n"/>
    </row>
    <row r="80">
      <c r="F80" s="30" t="n"/>
    </row>
    <row r="81">
      <c r="F81" s="30" t="n"/>
    </row>
    <row r="82">
      <c r="F82" s="30" t="n"/>
    </row>
    <row r="83">
      <c r="F83" s="30" t="n"/>
    </row>
    <row r="84">
      <c r="F84" s="30" t="n"/>
    </row>
    <row r="85">
      <c r="F85" s="30" t="n"/>
    </row>
    <row r="86">
      <c r="F86" s="30" t="n"/>
    </row>
    <row r="87">
      <c r="F87" s="30" t="n"/>
    </row>
    <row r="88">
      <c r="F88" s="30" t="n"/>
    </row>
    <row r="89">
      <c r="F89" s="30" t="n"/>
    </row>
    <row r="90">
      <c r="F90" s="30" t="n"/>
    </row>
    <row r="91">
      <c r="F91" s="30" t="n"/>
    </row>
    <row r="92">
      <c r="F92" s="30" t="n"/>
    </row>
    <row r="93">
      <c r="F93" s="30" t="n"/>
    </row>
    <row r="94">
      <c r="F94" s="30" t="n"/>
    </row>
    <row r="95">
      <c r="F95" s="30" t="n"/>
    </row>
    <row r="96">
      <c r="F96" s="30" t="n"/>
    </row>
    <row r="97">
      <c r="F97" s="30" t="n"/>
    </row>
    <row r="98">
      <c r="F98" s="30" t="n"/>
    </row>
    <row r="99">
      <c r="F99" s="30" t="n"/>
    </row>
    <row r="100">
      <c r="F100" s="30" t="n"/>
    </row>
    <row r="101">
      <c r="F101" s="30" t="n"/>
    </row>
    <row r="102">
      <c r="F102" s="30" t="n"/>
    </row>
    <row r="103">
      <c r="F103" s="30" t="n"/>
    </row>
    <row r="104">
      <c r="F104" s="30" t="n"/>
    </row>
    <row r="105">
      <c r="F105" s="30" t="n"/>
    </row>
    <row r="106">
      <c r="F106" s="30" t="n"/>
    </row>
    <row r="107">
      <c r="F107" s="30" t="n"/>
    </row>
    <row r="108">
      <c r="F108" s="30" t="n"/>
    </row>
    <row r="109">
      <c r="F109" s="30" t="n"/>
    </row>
    <row r="110">
      <c r="F110" s="30" t="n"/>
    </row>
    <row r="111">
      <c r="F111" s="30" t="n"/>
    </row>
    <row r="112">
      <c r="F112" s="30" t="n"/>
    </row>
    <row r="113">
      <c r="F113" s="30" t="n"/>
    </row>
    <row r="114">
      <c r="F114" s="30" t="n"/>
    </row>
    <row r="115">
      <c r="F115" s="30" t="n"/>
    </row>
    <row r="116">
      <c r="F116" s="30" t="n"/>
    </row>
    <row r="117">
      <c r="F117" s="30" t="n"/>
    </row>
    <row r="118">
      <c r="F118" s="30" t="n"/>
    </row>
    <row r="119">
      <c r="F119" s="30" t="n"/>
    </row>
    <row r="120">
      <c r="F120" s="30" t="n"/>
    </row>
    <row r="121">
      <c r="F121" s="30" t="n"/>
    </row>
    <row r="122">
      <c r="F122" s="30" t="n"/>
    </row>
    <row r="123">
      <c r="F123" s="30" t="n"/>
    </row>
    <row r="124">
      <c r="F124" s="30" t="n"/>
    </row>
    <row r="125">
      <c r="F125" s="30" t="n"/>
    </row>
    <row r="126">
      <c r="F126" s="30" t="n"/>
    </row>
    <row r="127">
      <c r="F127" s="30" t="n"/>
    </row>
    <row r="128">
      <c r="F128" s="30" t="n"/>
    </row>
    <row r="129">
      <c r="F129" s="30" t="n"/>
    </row>
    <row r="130">
      <c r="F130" s="30" t="n"/>
    </row>
    <row r="131">
      <c r="F131" s="30" t="n"/>
    </row>
    <row r="132">
      <c r="F132" s="30" t="n"/>
    </row>
    <row r="133">
      <c r="F133" s="30" t="n"/>
    </row>
    <row r="134">
      <c r="F134" s="30" t="n"/>
    </row>
    <row r="135">
      <c r="F135" s="30" t="n"/>
    </row>
    <row r="136">
      <c r="F136" s="30" t="n"/>
    </row>
    <row r="137">
      <c r="F137" s="30" t="n"/>
    </row>
    <row r="138">
      <c r="F138" s="30" t="n"/>
    </row>
    <row r="139">
      <c r="F139" s="30" t="n"/>
    </row>
    <row r="140">
      <c r="F140" s="30" t="n"/>
    </row>
    <row r="141">
      <c r="F141" s="30" t="n"/>
    </row>
    <row r="142">
      <c r="F142" s="30" t="n"/>
    </row>
    <row r="143">
      <c r="F143" s="30" t="n"/>
    </row>
    <row r="144">
      <c r="F144" s="30" t="n"/>
    </row>
    <row r="145">
      <c r="F145" s="30" t="n"/>
    </row>
    <row r="146">
      <c r="F146" s="30" t="n"/>
    </row>
    <row r="147">
      <c r="F147" s="30" t="n"/>
    </row>
    <row r="148">
      <c r="F148" s="30" t="n"/>
    </row>
    <row r="149">
      <c r="F149" s="30" t="n"/>
    </row>
    <row r="150">
      <c r="F150" s="30" t="n"/>
    </row>
    <row r="151">
      <c r="F151" s="30" t="n"/>
    </row>
    <row r="152">
      <c r="F152" s="30" t="n"/>
    </row>
    <row r="153">
      <c r="F153" s="30" t="n"/>
    </row>
    <row r="154">
      <c r="F154" s="30" t="n"/>
    </row>
    <row r="155">
      <c r="F155" s="30" t="n"/>
    </row>
    <row r="156">
      <c r="F156" s="30" t="n"/>
    </row>
    <row r="157">
      <c r="F157" s="30" t="n"/>
    </row>
    <row r="158">
      <c r="F158" s="30" t="n"/>
    </row>
    <row r="159">
      <c r="F159" s="30" t="n"/>
    </row>
    <row r="160">
      <c r="F160" s="30" t="n"/>
    </row>
    <row r="161">
      <c r="F161" s="30" t="n"/>
    </row>
    <row r="162">
      <c r="F162" s="30" t="n"/>
    </row>
    <row r="163">
      <c r="F163" s="30" t="n"/>
    </row>
    <row r="164">
      <c r="F164" s="30" t="n"/>
    </row>
    <row r="165">
      <c r="F165" s="30" t="n"/>
    </row>
    <row r="166">
      <c r="F166" s="30" t="n"/>
    </row>
    <row r="167">
      <c r="F167" s="30" t="n"/>
    </row>
    <row r="168">
      <c r="F168" s="30" t="n"/>
    </row>
    <row r="169">
      <c r="F169" s="30" t="n"/>
    </row>
    <row r="170">
      <c r="F170" s="30" t="n"/>
    </row>
    <row r="171">
      <c r="F171" s="30" t="n"/>
    </row>
    <row r="172">
      <c r="F172" s="30" t="n"/>
    </row>
    <row r="173">
      <c r="F173" s="30" t="n"/>
    </row>
    <row r="174">
      <c r="F174" s="30" t="n"/>
    </row>
    <row r="175">
      <c r="F175" s="30" t="n"/>
    </row>
    <row r="176">
      <c r="F176" s="30" t="n"/>
    </row>
    <row r="177">
      <c r="F177" s="30" t="n"/>
    </row>
    <row r="178">
      <c r="F178" s="30" t="n"/>
    </row>
    <row r="179">
      <c r="F179" s="30" t="n"/>
    </row>
    <row r="180">
      <c r="F180" s="30" t="n"/>
    </row>
    <row r="181">
      <c r="F181" s="30" t="n"/>
    </row>
    <row r="182">
      <c r="F182" s="30" t="n"/>
    </row>
    <row r="183">
      <c r="F183" s="30" t="n"/>
    </row>
    <row r="184">
      <c r="F184" s="30" t="n"/>
    </row>
    <row r="185">
      <c r="F185" s="30" t="n"/>
    </row>
    <row r="186">
      <c r="F186" s="30" t="n"/>
    </row>
    <row r="187">
      <c r="F187" s="30" t="n"/>
    </row>
    <row r="188">
      <c r="F188" s="30" t="n"/>
    </row>
    <row r="189">
      <c r="F189" s="30" t="n"/>
    </row>
    <row r="190">
      <c r="F190" s="30" t="n"/>
    </row>
    <row r="191">
      <c r="F191" s="30" t="n"/>
    </row>
    <row r="192">
      <c r="F192" s="30" t="n"/>
    </row>
    <row r="193">
      <c r="F193" s="30" t="n"/>
    </row>
    <row r="194">
      <c r="F194" s="30" t="n"/>
    </row>
    <row r="195">
      <c r="F195" s="30" t="n"/>
    </row>
    <row r="196">
      <c r="F196" s="30" t="n"/>
    </row>
    <row r="197">
      <c r="F197" s="30" t="n"/>
    </row>
    <row r="198">
      <c r="F198" s="30" t="n"/>
    </row>
    <row r="199">
      <c r="F199" s="30" t="n"/>
    </row>
    <row r="200">
      <c r="F200" s="30" t="n"/>
    </row>
    <row r="201">
      <c r="F201" s="30" t="n"/>
    </row>
    <row r="202">
      <c r="F202" s="30" t="n"/>
    </row>
    <row r="203">
      <c r="F203" s="30" t="n"/>
    </row>
    <row r="204">
      <c r="F204" s="30" t="n"/>
    </row>
    <row r="205">
      <c r="F205" s="30" t="n"/>
    </row>
    <row r="206">
      <c r="F206" s="30" t="n"/>
    </row>
    <row r="207">
      <c r="F207" s="30" t="n"/>
    </row>
    <row r="208">
      <c r="F208" s="30" t="n"/>
    </row>
    <row r="209">
      <c r="F209" s="30" t="n"/>
    </row>
    <row r="210">
      <c r="F210" s="30" t="n"/>
    </row>
    <row r="211">
      <c r="F211" s="30" t="n"/>
    </row>
    <row r="212">
      <c r="F212" s="30" t="n"/>
    </row>
    <row r="213">
      <c r="F213" s="30" t="n"/>
    </row>
    <row r="214">
      <c r="F214" s="30" t="n"/>
    </row>
    <row r="215">
      <c r="F215" s="30" t="n"/>
    </row>
    <row r="216">
      <c r="F216" s="30" t="n"/>
    </row>
    <row r="217">
      <c r="F217" s="30" t="n"/>
    </row>
    <row r="218">
      <c r="F218" s="30" t="n"/>
    </row>
    <row r="219">
      <c r="F219" s="30" t="n"/>
    </row>
    <row r="220">
      <c r="F220" s="30" t="n"/>
    </row>
    <row r="221">
      <c r="F221" s="30" t="n"/>
    </row>
    <row r="222">
      <c r="F222" s="30" t="n"/>
    </row>
    <row r="223">
      <c r="F223" s="30" t="n"/>
    </row>
    <row r="224">
      <c r="F224" s="30" t="n"/>
    </row>
    <row r="225">
      <c r="F225" s="30" t="n"/>
    </row>
    <row r="226">
      <c r="F226" s="30" t="n"/>
    </row>
    <row r="227">
      <c r="F227" s="30" t="n"/>
    </row>
    <row r="228">
      <c r="F228" s="30" t="n"/>
    </row>
    <row r="229">
      <c r="F229" s="30" t="n"/>
    </row>
    <row r="230">
      <c r="F230" s="30" t="n"/>
    </row>
    <row r="231">
      <c r="F231" s="30" t="n"/>
    </row>
    <row r="232">
      <c r="F232" s="30" t="n"/>
    </row>
    <row r="233">
      <c r="F233" s="30" t="n"/>
    </row>
    <row r="234">
      <c r="F234" s="30" t="n"/>
    </row>
    <row r="235">
      <c r="F235" s="30" t="n"/>
    </row>
    <row r="236">
      <c r="F236" s="30" t="n"/>
    </row>
    <row r="237">
      <c r="F237" s="30" t="n"/>
    </row>
    <row r="238">
      <c r="F238" s="30" t="n"/>
    </row>
    <row r="239">
      <c r="F239" s="30" t="n"/>
    </row>
    <row r="240">
      <c r="F240" s="30" t="n"/>
    </row>
    <row r="241">
      <c r="F241" s="30" t="n"/>
    </row>
    <row r="242">
      <c r="F242" s="30" t="n"/>
    </row>
    <row r="243">
      <c r="F243" s="30" t="n"/>
    </row>
    <row r="244">
      <c r="F244" s="30" t="n"/>
    </row>
    <row r="245">
      <c r="F245" s="30" t="n"/>
    </row>
    <row r="246">
      <c r="F246" s="30" t="n"/>
    </row>
    <row r="247">
      <c r="F247" s="30" t="n"/>
    </row>
    <row r="248">
      <c r="F248" s="30" t="n"/>
    </row>
    <row r="249">
      <c r="F249" s="30" t="n"/>
    </row>
    <row r="250">
      <c r="F250" s="30" t="n"/>
    </row>
    <row r="251">
      <c r="F251" s="30" t="n"/>
    </row>
    <row r="252">
      <c r="F252" s="30" t="n"/>
    </row>
    <row r="253">
      <c r="F253" s="30" t="n"/>
    </row>
    <row r="254">
      <c r="F254" s="30" t="n"/>
    </row>
    <row r="255">
      <c r="F255" s="30" t="n"/>
    </row>
    <row r="256">
      <c r="F256" s="30" t="n"/>
    </row>
    <row r="257">
      <c r="F257" s="30" t="n"/>
    </row>
    <row r="258">
      <c r="F258" s="30" t="n"/>
    </row>
    <row r="259">
      <c r="F259" s="30" t="n"/>
    </row>
    <row r="260">
      <c r="F260" s="30" t="n"/>
    </row>
    <row r="261">
      <c r="F261" s="30" t="n"/>
    </row>
    <row r="262">
      <c r="F262" s="30" t="n"/>
    </row>
    <row r="263">
      <c r="F263" s="30" t="n"/>
    </row>
    <row r="264">
      <c r="F264" s="30" t="n"/>
    </row>
    <row r="265">
      <c r="F265" s="30" t="n"/>
    </row>
    <row r="266">
      <c r="F266" s="30" t="n"/>
    </row>
    <row r="267">
      <c r="F267" s="30" t="n"/>
    </row>
    <row r="268">
      <c r="F268" s="30" t="n"/>
    </row>
    <row r="269">
      <c r="F269" s="30" t="n"/>
    </row>
    <row r="270">
      <c r="F270" s="30" t="n"/>
    </row>
    <row r="271">
      <c r="F271" s="30" t="n"/>
    </row>
    <row r="272">
      <c r="F272" s="30" t="n"/>
    </row>
    <row r="273">
      <c r="F273" s="30" t="n"/>
    </row>
    <row r="274">
      <c r="F274" s="30" t="n"/>
    </row>
    <row r="275">
      <c r="F275" s="30" t="n"/>
    </row>
    <row r="276">
      <c r="F276" s="30" t="n"/>
    </row>
    <row r="277">
      <c r="F277" s="30" t="n"/>
    </row>
    <row r="278">
      <c r="F278" s="30" t="n"/>
    </row>
    <row r="279">
      <c r="F279" s="30" t="n"/>
    </row>
    <row r="280">
      <c r="F280" s="30" t="n"/>
    </row>
    <row r="281">
      <c r="F281" s="30" t="n"/>
    </row>
    <row r="282">
      <c r="F282" s="30" t="n"/>
    </row>
    <row r="283">
      <c r="F283" s="30" t="n"/>
    </row>
    <row r="284">
      <c r="F284" s="30" t="n"/>
    </row>
    <row r="285">
      <c r="F285" s="30" t="n"/>
    </row>
    <row r="286">
      <c r="F286" s="30" t="n"/>
    </row>
    <row r="287">
      <c r="F287" s="30" t="n"/>
    </row>
    <row r="288">
      <c r="F288" s="30" t="n"/>
    </row>
    <row r="289">
      <c r="F289" s="30" t="n"/>
    </row>
    <row r="290">
      <c r="F290" s="30" t="n"/>
    </row>
    <row r="291">
      <c r="F291" s="30" t="n"/>
    </row>
    <row r="292">
      <c r="F292" s="30" t="n"/>
    </row>
    <row r="293">
      <c r="F293" s="30" t="n"/>
    </row>
    <row r="294">
      <c r="F294" s="30" t="n"/>
    </row>
    <row r="295">
      <c r="F295" s="30" t="n"/>
    </row>
    <row r="296">
      <c r="F296" s="30" t="n"/>
    </row>
    <row r="297">
      <c r="F297" s="30" t="n"/>
    </row>
    <row r="298">
      <c r="F298" s="30" t="n"/>
    </row>
    <row r="299">
      <c r="F299" s="30" t="n"/>
    </row>
    <row r="300">
      <c r="F300" s="30" t="n"/>
    </row>
    <row r="301">
      <c r="F301" s="30" t="n"/>
    </row>
    <row r="302">
      <c r="F302" s="30" t="n"/>
    </row>
    <row r="303">
      <c r="F303" s="30" t="n"/>
    </row>
    <row r="304">
      <c r="F304" s="30" t="n"/>
    </row>
    <row r="305">
      <c r="F305" s="30" t="n"/>
    </row>
    <row r="306">
      <c r="F306" s="30" t="n"/>
    </row>
    <row r="307">
      <c r="F307" s="30" t="n"/>
    </row>
    <row r="308">
      <c r="F308" s="30" t="n"/>
    </row>
    <row r="309">
      <c r="F309" s="30" t="n"/>
    </row>
    <row r="310">
      <c r="F310" s="30" t="n"/>
    </row>
    <row r="311">
      <c r="F311" s="30" t="n"/>
    </row>
    <row r="312">
      <c r="F312" s="30" t="n"/>
    </row>
    <row r="313">
      <c r="F313" s="30" t="n"/>
    </row>
    <row r="314">
      <c r="F314" s="30" t="n"/>
    </row>
    <row r="315">
      <c r="F315" s="30" t="n"/>
    </row>
    <row r="316">
      <c r="F316" s="30" t="n"/>
    </row>
    <row r="317">
      <c r="F317" s="30" t="n"/>
    </row>
    <row r="318">
      <c r="F318" s="30" t="n"/>
    </row>
    <row r="319">
      <c r="F319" s="30" t="n"/>
    </row>
    <row r="320">
      <c r="F320" s="30" t="n"/>
    </row>
    <row r="321">
      <c r="F321" s="30" t="n"/>
    </row>
    <row r="322">
      <c r="F322" s="30" t="n"/>
    </row>
    <row r="323">
      <c r="F323" s="30" t="n"/>
    </row>
    <row r="324">
      <c r="F324" s="30" t="n"/>
    </row>
    <row r="325">
      <c r="F325" s="30" t="n"/>
    </row>
    <row r="326">
      <c r="F326" s="30" t="n"/>
    </row>
    <row r="327">
      <c r="F327" s="30" t="n"/>
    </row>
    <row r="328">
      <c r="F328" s="30" t="n"/>
    </row>
    <row r="329">
      <c r="F329" s="30" t="n"/>
    </row>
    <row r="330">
      <c r="F330" s="30" t="n"/>
    </row>
    <row r="331">
      <c r="F331" s="30" t="n"/>
    </row>
    <row r="332">
      <c r="F332" s="30" t="n"/>
    </row>
    <row r="333">
      <c r="F333" s="30" t="n"/>
    </row>
    <row r="334">
      <c r="F334" s="30" t="n"/>
    </row>
    <row r="335">
      <c r="F335" s="30" t="n"/>
    </row>
    <row r="336">
      <c r="F336" s="30" t="n"/>
    </row>
    <row r="337">
      <c r="F337" s="30" t="n"/>
    </row>
    <row r="338">
      <c r="F338" s="30" t="n"/>
    </row>
    <row r="339">
      <c r="F339" s="30" t="n"/>
    </row>
    <row r="340">
      <c r="F340" s="30" t="n"/>
    </row>
    <row r="341">
      <c r="F341" s="30" t="n"/>
    </row>
    <row r="342">
      <c r="F342" s="30" t="n"/>
    </row>
    <row r="343">
      <c r="F343" s="30" t="n"/>
    </row>
    <row r="344">
      <c r="F344" s="30" t="n"/>
    </row>
    <row r="345">
      <c r="F345" s="30" t="n"/>
    </row>
    <row r="346">
      <c r="F346" s="30" t="n"/>
    </row>
    <row r="347">
      <c r="F347" s="30" t="n"/>
    </row>
    <row r="348">
      <c r="F348" s="30" t="n"/>
    </row>
    <row r="349">
      <c r="F349" s="30" t="n"/>
    </row>
    <row r="350">
      <c r="F350" s="30" t="n"/>
    </row>
    <row r="351">
      <c r="F351" s="30" t="n"/>
    </row>
    <row r="352">
      <c r="F352" s="30" t="n"/>
    </row>
    <row r="353">
      <c r="F353" s="30" t="n"/>
    </row>
    <row r="354">
      <c r="F354" s="30" t="n"/>
    </row>
    <row r="355">
      <c r="F355" s="30" t="n"/>
    </row>
    <row r="356">
      <c r="F356" s="30" t="n"/>
    </row>
    <row r="357">
      <c r="F357" s="30" t="n"/>
    </row>
    <row r="358">
      <c r="F358" s="30" t="n"/>
    </row>
    <row r="359">
      <c r="F359" s="30" t="n"/>
    </row>
    <row r="360">
      <c r="F360" s="30" t="n"/>
    </row>
    <row r="361">
      <c r="F361" s="30" t="n"/>
    </row>
    <row r="362">
      <c r="F362" s="30" t="n"/>
    </row>
    <row r="363">
      <c r="F363" s="30" t="n"/>
    </row>
    <row r="364">
      <c r="F364" s="30" t="n"/>
    </row>
    <row r="365">
      <c r="F365" s="30" t="n"/>
    </row>
    <row r="366">
      <c r="F366" s="30" t="n"/>
    </row>
    <row r="367">
      <c r="F367" s="30" t="n"/>
    </row>
    <row r="368">
      <c r="F368" s="30" t="n"/>
    </row>
    <row r="369">
      <c r="F369" s="30" t="n"/>
    </row>
    <row r="370">
      <c r="F370" s="30" t="n"/>
    </row>
    <row r="371">
      <c r="F371" s="30" t="n"/>
    </row>
    <row r="372">
      <c r="F372" s="30" t="n"/>
    </row>
    <row r="373">
      <c r="F373" s="30" t="n"/>
    </row>
    <row r="374">
      <c r="F374" s="30" t="n"/>
    </row>
    <row r="375">
      <c r="F375" s="30" t="n"/>
    </row>
    <row r="376">
      <c r="F376" s="30" t="n"/>
    </row>
    <row r="377">
      <c r="F377" s="30" t="n"/>
    </row>
    <row r="378">
      <c r="F378" s="30" t="n"/>
    </row>
    <row r="379">
      <c r="F379" s="30" t="n"/>
    </row>
    <row r="380">
      <c r="F380" s="30" t="n"/>
    </row>
    <row r="381">
      <c r="F381" s="30" t="n"/>
    </row>
    <row r="382">
      <c r="F382" s="30" t="n"/>
    </row>
    <row r="383">
      <c r="F383" s="30" t="n"/>
    </row>
    <row r="384">
      <c r="F384" s="30" t="n"/>
    </row>
    <row r="385">
      <c r="F385" s="30" t="n"/>
    </row>
    <row r="386">
      <c r="F386" s="30" t="n"/>
    </row>
    <row r="387">
      <c r="F387" s="30" t="n"/>
    </row>
    <row r="388">
      <c r="F388" s="30" t="n"/>
    </row>
    <row r="389">
      <c r="F389" s="30" t="n"/>
    </row>
    <row r="390">
      <c r="F390" s="30" t="n"/>
    </row>
    <row r="391">
      <c r="F391" s="30" t="n"/>
    </row>
    <row r="392">
      <c r="F392" s="30" t="n"/>
    </row>
    <row r="393">
      <c r="F393" s="30" t="n"/>
    </row>
    <row r="394">
      <c r="F394" s="30" t="n"/>
    </row>
    <row r="395">
      <c r="F395" s="30" t="n"/>
    </row>
    <row r="396">
      <c r="F396" s="30" t="n"/>
    </row>
    <row r="397">
      <c r="F397" s="30" t="n"/>
    </row>
    <row r="398">
      <c r="F398" s="30" t="n"/>
    </row>
    <row r="399">
      <c r="F399" s="30" t="n"/>
    </row>
    <row r="400">
      <c r="F400" s="30" t="n"/>
    </row>
    <row r="401">
      <c r="F401" s="30" t="n"/>
    </row>
    <row r="402">
      <c r="F402" s="30" t="n"/>
    </row>
    <row r="403">
      <c r="F403" s="30" t="n"/>
    </row>
    <row r="404">
      <c r="F404" s="30" t="n"/>
    </row>
    <row r="405">
      <c r="F405" s="30" t="n"/>
    </row>
    <row r="406">
      <c r="F406" s="30" t="n"/>
    </row>
    <row r="407">
      <c r="F407" s="30" t="n"/>
    </row>
    <row r="408">
      <c r="F408" s="30" t="n"/>
    </row>
    <row r="409">
      <c r="F409" s="30" t="n"/>
    </row>
    <row r="410">
      <c r="F410" s="30" t="n"/>
    </row>
    <row r="411">
      <c r="F411" s="30" t="n"/>
    </row>
    <row r="412">
      <c r="F412" s="30" t="n"/>
    </row>
    <row r="413">
      <c r="F413" s="30" t="n"/>
    </row>
    <row r="414">
      <c r="F414" s="30" t="n"/>
    </row>
    <row r="415">
      <c r="F415" s="30" t="n"/>
    </row>
    <row r="416">
      <c r="F416" s="30" t="n"/>
    </row>
    <row r="417">
      <c r="F417" s="30" t="n"/>
    </row>
    <row r="418">
      <c r="F418" s="30" t="n"/>
    </row>
    <row r="419">
      <c r="F419" s="30" t="n"/>
    </row>
    <row r="420">
      <c r="F420" s="30" t="n"/>
    </row>
    <row r="421">
      <c r="F421" s="30" t="n"/>
    </row>
    <row r="422">
      <c r="F422" s="30" t="n"/>
    </row>
    <row r="423">
      <c r="F423" s="30" t="n"/>
    </row>
    <row r="424">
      <c r="F424" s="30" t="n"/>
    </row>
    <row r="425">
      <c r="F425" s="30" t="n"/>
    </row>
    <row r="426">
      <c r="F426" s="30" t="n"/>
    </row>
    <row r="427">
      <c r="F427" s="30" t="n"/>
    </row>
    <row r="428">
      <c r="F428" s="30" t="n"/>
    </row>
    <row r="429">
      <c r="F429" s="30" t="n"/>
    </row>
    <row r="430">
      <c r="F430" s="30" t="n"/>
    </row>
    <row r="431">
      <c r="F431" s="30" t="n"/>
    </row>
    <row r="432">
      <c r="F432" s="30" t="n"/>
    </row>
    <row r="433">
      <c r="F433" s="30" t="n"/>
    </row>
    <row r="434">
      <c r="F434" s="30" t="n"/>
    </row>
    <row r="435">
      <c r="F435" s="30" t="n"/>
    </row>
    <row r="436">
      <c r="F436" s="30" t="n"/>
    </row>
    <row r="437">
      <c r="F437" s="30" t="n"/>
    </row>
    <row r="438">
      <c r="F438" s="30" t="n"/>
    </row>
    <row r="439">
      <c r="F439" s="30" t="n"/>
    </row>
    <row r="440">
      <c r="F440" s="30" t="n"/>
    </row>
    <row r="441">
      <c r="F441" s="30" t="n"/>
    </row>
    <row r="442">
      <c r="F442" s="30" t="n"/>
    </row>
    <row r="443">
      <c r="F443" s="30" t="n"/>
    </row>
    <row r="444">
      <c r="F444" s="30" t="n"/>
    </row>
    <row r="445">
      <c r="F445" s="30" t="n"/>
    </row>
    <row r="446">
      <c r="F446" s="30" t="n"/>
    </row>
    <row r="447">
      <c r="F447" s="30" t="n"/>
    </row>
    <row r="448">
      <c r="F448" s="30" t="n"/>
    </row>
    <row r="449">
      <c r="F449" s="30" t="n"/>
    </row>
    <row r="450">
      <c r="F450" s="30" t="n"/>
    </row>
    <row r="451">
      <c r="F451" s="30" t="n"/>
    </row>
    <row r="452">
      <c r="F452" s="30" t="n"/>
    </row>
    <row r="453">
      <c r="F453" s="30" t="n"/>
    </row>
    <row r="454">
      <c r="F454" s="30" t="n"/>
    </row>
    <row r="455">
      <c r="F455" s="30" t="n"/>
    </row>
    <row r="456">
      <c r="F456" s="30" t="n"/>
    </row>
    <row r="457">
      <c r="F457" s="30" t="n"/>
    </row>
    <row r="458">
      <c r="F458" s="30" t="n"/>
    </row>
    <row r="459">
      <c r="F459" s="30" t="n"/>
    </row>
    <row r="460">
      <c r="F460" s="30" t="n"/>
    </row>
    <row r="461">
      <c r="F461" s="30" t="n"/>
    </row>
    <row r="462">
      <c r="F462" s="30" t="n"/>
    </row>
    <row r="463">
      <c r="F463" s="30" t="n"/>
    </row>
    <row r="464">
      <c r="F464" s="30" t="n"/>
    </row>
    <row r="465">
      <c r="F465" s="30" t="n"/>
    </row>
    <row r="466">
      <c r="F466" s="30" t="n"/>
    </row>
    <row r="467">
      <c r="F467" s="30" t="n"/>
    </row>
    <row r="468">
      <c r="F468" s="30" t="n"/>
    </row>
    <row r="469">
      <c r="F469" s="30" t="n"/>
    </row>
    <row r="470">
      <c r="F470" s="30" t="n"/>
    </row>
    <row r="471">
      <c r="F471" s="30" t="n"/>
    </row>
    <row r="472">
      <c r="F472" s="30" t="n"/>
    </row>
    <row r="473">
      <c r="F473" s="30" t="n"/>
    </row>
    <row r="474">
      <c r="F474" s="30" t="n"/>
    </row>
    <row r="475">
      <c r="F475" s="30" t="n"/>
    </row>
    <row r="476">
      <c r="F476" s="30" t="n"/>
    </row>
    <row r="477">
      <c r="F477" s="30" t="n"/>
    </row>
    <row r="478">
      <c r="F478" s="30" t="n"/>
    </row>
    <row r="479">
      <c r="F479" s="30" t="n"/>
    </row>
    <row r="480">
      <c r="F480" s="30" t="n"/>
    </row>
    <row r="481">
      <c r="F481" s="30" t="n"/>
    </row>
    <row r="482">
      <c r="F482" s="30" t="n"/>
    </row>
    <row r="483">
      <c r="F483" s="30" t="n"/>
    </row>
    <row r="484">
      <c r="F484" s="30" t="n"/>
    </row>
    <row r="485">
      <c r="F485" s="30" t="n"/>
    </row>
    <row r="486">
      <c r="F486" s="30" t="n"/>
    </row>
    <row r="487">
      <c r="F487" s="30" t="n"/>
    </row>
    <row r="488">
      <c r="F488" s="30" t="n"/>
    </row>
    <row r="489">
      <c r="F489" s="30" t="n"/>
    </row>
    <row r="490">
      <c r="F490" s="30" t="n"/>
    </row>
    <row r="491">
      <c r="F491" s="30" t="n"/>
    </row>
    <row r="492">
      <c r="F492" s="30" t="n"/>
    </row>
    <row r="493">
      <c r="F493" s="30" t="n"/>
    </row>
    <row r="494">
      <c r="F494" s="30" t="n"/>
    </row>
    <row r="495">
      <c r="F495" s="30" t="n"/>
    </row>
    <row r="496">
      <c r="F496" s="30" t="n"/>
    </row>
    <row r="497">
      <c r="F497" s="30" t="n"/>
    </row>
    <row r="498">
      <c r="F498" s="30" t="n"/>
    </row>
    <row r="499">
      <c r="F499" s="30" t="n"/>
    </row>
    <row r="500">
      <c r="F500" s="30" t="n"/>
    </row>
    <row r="501">
      <c r="F501" s="30" t="n"/>
    </row>
    <row r="502">
      <c r="F502" s="30" t="n"/>
    </row>
    <row r="503">
      <c r="F503" s="30" t="n"/>
    </row>
    <row r="504">
      <c r="F504" s="30" t="n"/>
    </row>
    <row r="505">
      <c r="F505" s="30" t="n"/>
    </row>
    <row r="506">
      <c r="F506" s="30" t="n"/>
    </row>
    <row r="507">
      <c r="F507" s="30" t="n"/>
    </row>
    <row r="508">
      <c r="F508" s="30" t="n"/>
    </row>
    <row r="509">
      <c r="F509" s="30" t="n"/>
    </row>
    <row r="510">
      <c r="F510" s="30" t="n"/>
    </row>
    <row r="511">
      <c r="F511" s="30" t="n"/>
    </row>
    <row r="512">
      <c r="F512" s="30" t="n"/>
    </row>
    <row r="513">
      <c r="F513" s="30" t="n"/>
    </row>
    <row r="514">
      <c r="F514" s="30" t="n"/>
    </row>
    <row r="515">
      <c r="F515" s="30" t="n"/>
    </row>
    <row r="516">
      <c r="F516" s="30" t="n"/>
    </row>
    <row r="517">
      <c r="F517" s="30" t="n"/>
    </row>
    <row r="518">
      <c r="F518" s="30" t="n"/>
    </row>
    <row r="519">
      <c r="F519" s="30" t="n"/>
    </row>
    <row r="520">
      <c r="F520" s="30" t="n"/>
    </row>
    <row r="521">
      <c r="F521" s="30" t="n"/>
    </row>
    <row r="522">
      <c r="F522" s="30" t="n"/>
    </row>
    <row r="523">
      <c r="F523" s="30" t="n"/>
    </row>
    <row r="524">
      <c r="F524" s="30" t="n"/>
    </row>
    <row r="525">
      <c r="F525" s="30" t="n"/>
    </row>
    <row r="526">
      <c r="F526" s="30" t="n"/>
    </row>
    <row r="527">
      <c r="F527" s="30" t="n"/>
    </row>
    <row r="528">
      <c r="F528" s="30" t="n"/>
    </row>
    <row r="529">
      <c r="F529" s="30" t="n"/>
    </row>
    <row r="530">
      <c r="F530" s="30" t="n"/>
    </row>
    <row r="531">
      <c r="F531" s="30" t="n"/>
    </row>
    <row r="532">
      <c r="F532" s="30" t="n"/>
    </row>
    <row r="533">
      <c r="F533" s="30" t="n"/>
    </row>
    <row r="534">
      <c r="F534" s="30" t="n"/>
    </row>
    <row r="535">
      <c r="F535" s="30" t="n"/>
    </row>
    <row r="536">
      <c r="F536" s="30" t="n"/>
    </row>
    <row r="537">
      <c r="F537" s="30" t="n"/>
    </row>
    <row r="538">
      <c r="F538" s="30" t="n"/>
    </row>
    <row r="539">
      <c r="F539" s="30" t="n"/>
    </row>
    <row r="540">
      <c r="F540" s="30" t="n"/>
    </row>
    <row r="541">
      <c r="F541" s="30" t="n"/>
    </row>
    <row r="542">
      <c r="F542" s="30" t="n"/>
    </row>
    <row r="543">
      <c r="F543" s="30" t="n"/>
    </row>
    <row r="544">
      <c r="F544" s="30" t="n"/>
    </row>
    <row r="545">
      <c r="F545" s="30" t="n"/>
    </row>
    <row r="546">
      <c r="F546" s="30" t="n"/>
    </row>
    <row r="547">
      <c r="F547" s="30" t="n"/>
    </row>
    <row r="548">
      <c r="F548" s="30" t="n"/>
    </row>
    <row r="549">
      <c r="F549" s="30" t="n"/>
    </row>
    <row r="550">
      <c r="F550" s="30" t="n"/>
    </row>
    <row r="551">
      <c r="F551" s="30" t="n"/>
    </row>
    <row r="552">
      <c r="F552" s="30" t="n"/>
    </row>
    <row r="553">
      <c r="F553" s="30" t="n"/>
    </row>
    <row r="554">
      <c r="F554" s="30" t="n"/>
    </row>
    <row r="555">
      <c r="F555" s="30" t="n"/>
    </row>
    <row r="556">
      <c r="F556" s="30" t="n"/>
    </row>
    <row r="557">
      <c r="F557" s="30" t="n"/>
    </row>
    <row r="558">
      <c r="F558" s="30" t="n"/>
    </row>
    <row r="559">
      <c r="F559" s="30" t="n"/>
    </row>
    <row r="560">
      <c r="F560" s="30" t="n"/>
    </row>
    <row r="561">
      <c r="F561" s="30" t="n"/>
    </row>
    <row r="562">
      <c r="F562" s="30" t="n"/>
    </row>
    <row r="563">
      <c r="F563" s="30" t="n"/>
    </row>
    <row r="564">
      <c r="F564" s="30" t="n"/>
    </row>
    <row r="565">
      <c r="F565" s="30" t="n"/>
    </row>
    <row r="566">
      <c r="F566" s="30" t="n"/>
    </row>
    <row r="567">
      <c r="F567" s="30" t="n"/>
    </row>
    <row r="568">
      <c r="F568" s="30" t="n"/>
    </row>
    <row r="569">
      <c r="F569" s="30" t="n"/>
    </row>
    <row r="570">
      <c r="F570" s="30" t="n"/>
    </row>
    <row r="571">
      <c r="F571" s="30" t="n"/>
    </row>
    <row r="572">
      <c r="F572" s="30" t="n"/>
    </row>
    <row r="573">
      <c r="F573" s="30" t="n"/>
    </row>
    <row r="574">
      <c r="F574" s="30" t="n"/>
    </row>
    <row r="575">
      <c r="F575" s="30" t="n"/>
    </row>
    <row r="576">
      <c r="F576" s="30" t="n"/>
    </row>
    <row r="577">
      <c r="F577" s="30" t="n"/>
    </row>
    <row r="578">
      <c r="F578" s="30" t="n"/>
    </row>
    <row r="579">
      <c r="F579" s="30" t="n"/>
    </row>
    <row r="580">
      <c r="F580" s="30" t="n"/>
    </row>
    <row r="581">
      <c r="F581" s="30" t="n"/>
    </row>
    <row r="582">
      <c r="F582" s="30" t="n"/>
    </row>
    <row r="583">
      <c r="F583" s="30" t="n"/>
    </row>
    <row r="584">
      <c r="F584" s="30" t="n"/>
    </row>
    <row r="585">
      <c r="F585" s="30" t="n"/>
    </row>
    <row r="586">
      <c r="F586" s="30" t="n"/>
    </row>
    <row r="587">
      <c r="F587" s="30" t="n"/>
    </row>
    <row r="588">
      <c r="F588" s="30" t="n"/>
    </row>
    <row r="589">
      <c r="F589" s="30" t="n"/>
    </row>
    <row r="590">
      <c r="F590" s="30" t="n"/>
    </row>
    <row r="591">
      <c r="F591" s="30" t="n"/>
    </row>
    <row r="592">
      <c r="F592" s="30" t="n"/>
    </row>
    <row r="593">
      <c r="F593" s="30" t="n"/>
    </row>
    <row r="594">
      <c r="F594" s="30" t="n"/>
    </row>
    <row r="595">
      <c r="F595" s="30" t="n"/>
    </row>
    <row r="596">
      <c r="F596" s="30" t="n"/>
    </row>
    <row r="597">
      <c r="F597" s="30" t="n"/>
    </row>
    <row r="598">
      <c r="F598" s="30" t="n"/>
    </row>
    <row r="599">
      <c r="F599" s="30" t="n"/>
    </row>
    <row r="600">
      <c r="F600" s="30" t="n"/>
    </row>
    <row r="601">
      <c r="F601" s="30" t="n"/>
    </row>
    <row r="602">
      <c r="F602" s="30" t="n"/>
    </row>
    <row r="603">
      <c r="F603" s="30" t="n"/>
    </row>
    <row r="604">
      <c r="F604" s="30" t="n"/>
    </row>
    <row r="605">
      <c r="F605" s="30" t="n"/>
    </row>
    <row r="606">
      <c r="F606" s="30" t="n"/>
    </row>
    <row r="607">
      <c r="F607" s="30" t="n"/>
    </row>
    <row r="608">
      <c r="F608" s="30" t="n"/>
    </row>
    <row r="609">
      <c r="F609" s="30" t="n"/>
    </row>
    <row r="610">
      <c r="F610" s="30" t="n"/>
    </row>
    <row r="611">
      <c r="F611" s="30" t="n"/>
    </row>
    <row r="612">
      <c r="F612" s="30" t="n"/>
    </row>
    <row r="613">
      <c r="F613" s="30" t="n"/>
    </row>
    <row r="614">
      <c r="F614" s="30" t="n"/>
    </row>
    <row r="615">
      <c r="F615" s="30" t="n"/>
    </row>
    <row r="616">
      <c r="F616" s="30" t="n"/>
    </row>
    <row r="617">
      <c r="F617" s="30" t="n"/>
    </row>
    <row r="618">
      <c r="F618" s="30" t="n"/>
    </row>
    <row r="619">
      <c r="F619" s="30" t="n"/>
    </row>
    <row r="620">
      <c r="F620" s="30" t="n"/>
    </row>
    <row r="621">
      <c r="F621" s="30" t="n"/>
    </row>
    <row r="622">
      <c r="F622" s="30" t="n"/>
    </row>
    <row r="623">
      <c r="F623" s="30" t="n"/>
    </row>
    <row r="624">
      <c r="F624" s="30" t="n"/>
    </row>
    <row r="625">
      <c r="F625" s="30" t="n"/>
    </row>
    <row r="626">
      <c r="F626" s="30" t="n"/>
    </row>
    <row r="627">
      <c r="F627" s="30" t="n"/>
    </row>
    <row r="628">
      <c r="F628" s="30" t="n"/>
    </row>
    <row r="629">
      <c r="F629" s="30" t="n"/>
    </row>
    <row r="630">
      <c r="F630" s="30" t="n"/>
    </row>
    <row r="631">
      <c r="F631" s="30" t="n"/>
    </row>
    <row r="632">
      <c r="F632" s="30" t="n"/>
    </row>
    <row r="633">
      <c r="F633" s="30" t="n"/>
    </row>
    <row r="634">
      <c r="F634" s="30" t="n"/>
    </row>
    <row r="635">
      <c r="F635" s="30" t="n"/>
    </row>
    <row r="636">
      <c r="F636" s="30" t="n"/>
    </row>
    <row r="637">
      <c r="F637" s="30" t="n"/>
    </row>
    <row r="638">
      <c r="F638" s="30" t="n"/>
    </row>
    <row r="639">
      <c r="F639" s="30" t="n"/>
    </row>
    <row r="640">
      <c r="F640" s="30" t="n"/>
    </row>
    <row r="641">
      <c r="F641" s="30" t="n"/>
    </row>
    <row r="642">
      <c r="F642" s="30" t="n"/>
    </row>
    <row r="643">
      <c r="F643" s="30" t="n"/>
    </row>
    <row r="644">
      <c r="F644" s="30" t="n"/>
    </row>
    <row r="645">
      <c r="F645" s="30" t="n"/>
    </row>
    <row r="646">
      <c r="F646" s="30" t="n"/>
    </row>
    <row r="647">
      <c r="F647" s="30" t="n"/>
    </row>
    <row r="648">
      <c r="F648" s="30" t="n"/>
    </row>
    <row r="649">
      <c r="F649" s="30" t="n"/>
    </row>
    <row r="650">
      <c r="F650" s="30" t="n"/>
    </row>
    <row r="651">
      <c r="F651" s="30" t="n"/>
    </row>
    <row r="652">
      <c r="F652" s="30" t="n"/>
    </row>
    <row r="653">
      <c r="F653" s="30" t="n"/>
    </row>
    <row r="654">
      <c r="F654" s="30" t="n"/>
    </row>
    <row r="655">
      <c r="F655" s="30" t="n"/>
    </row>
    <row r="656">
      <c r="F656" s="30" t="n"/>
    </row>
    <row r="657">
      <c r="F657" s="30" t="n"/>
    </row>
    <row r="658">
      <c r="F658" s="30" t="n"/>
    </row>
    <row r="659">
      <c r="F659" s="30" t="n"/>
    </row>
    <row r="660">
      <c r="F660" s="30" t="n"/>
    </row>
    <row r="661">
      <c r="F661" s="30" t="n"/>
    </row>
    <row r="662">
      <c r="F662" s="30" t="n"/>
    </row>
    <row r="663">
      <c r="F663" s="30" t="n"/>
    </row>
    <row r="664">
      <c r="F664" s="30" t="n"/>
    </row>
    <row r="665">
      <c r="F665" s="30" t="n"/>
    </row>
    <row r="666">
      <c r="F666" s="30" t="n"/>
    </row>
    <row r="667">
      <c r="F667" s="30" t="n"/>
    </row>
    <row r="668">
      <c r="F668" s="30" t="n"/>
    </row>
    <row r="669">
      <c r="F669" s="30" t="n"/>
    </row>
    <row r="670">
      <c r="F670" s="30" t="n"/>
    </row>
    <row r="671">
      <c r="F671" s="30" t="n"/>
    </row>
    <row r="672">
      <c r="F672" s="30" t="n"/>
    </row>
    <row r="673">
      <c r="F673" s="30" t="n"/>
    </row>
    <row r="674">
      <c r="F674" s="30" t="n"/>
    </row>
    <row r="675">
      <c r="F675" s="30" t="n"/>
    </row>
    <row r="676">
      <c r="F676" s="30" t="n"/>
    </row>
    <row r="677">
      <c r="F677" s="30" t="n"/>
    </row>
    <row r="678">
      <c r="F678" s="30" t="n"/>
    </row>
    <row r="679">
      <c r="F679" s="30" t="n"/>
    </row>
    <row r="680">
      <c r="F680" s="30" t="n"/>
    </row>
    <row r="681">
      <c r="F681" s="30" t="n"/>
    </row>
    <row r="682">
      <c r="F682" s="30" t="n"/>
    </row>
    <row r="683">
      <c r="F683" s="30" t="n"/>
    </row>
    <row r="684">
      <c r="F684" s="30" t="n"/>
    </row>
    <row r="685">
      <c r="F685" s="30" t="n"/>
    </row>
    <row r="686">
      <c r="F686" s="30" t="n"/>
    </row>
    <row r="687">
      <c r="F687" s="30" t="n"/>
    </row>
    <row r="688">
      <c r="F688" s="30" t="n"/>
    </row>
    <row r="689">
      <c r="F689" s="30" t="n"/>
    </row>
    <row r="690">
      <c r="F690" s="30" t="n"/>
    </row>
    <row r="691">
      <c r="F691" s="30" t="n"/>
    </row>
    <row r="692">
      <c r="F692" s="30" t="n"/>
    </row>
    <row r="693">
      <c r="F693" s="30" t="n"/>
    </row>
    <row r="694">
      <c r="F694" s="30" t="n"/>
    </row>
    <row r="695">
      <c r="F695" s="30" t="n"/>
    </row>
    <row r="696">
      <c r="F696" s="30" t="n"/>
    </row>
    <row r="697">
      <c r="F697" s="30" t="n"/>
    </row>
    <row r="698">
      <c r="F698" s="30" t="n"/>
    </row>
    <row r="699">
      <c r="F699" s="30" t="n"/>
    </row>
    <row r="700">
      <c r="F700" s="30" t="n"/>
    </row>
    <row r="701">
      <c r="F701" s="30" t="n"/>
    </row>
    <row r="702">
      <c r="F702" s="30" t="n"/>
    </row>
    <row r="703">
      <c r="F703" s="30" t="n"/>
    </row>
    <row r="704">
      <c r="F704" s="30" t="n"/>
    </row>
    <row r="705">
      <c r="F705" s="30" t="n"/>
    </row>
    <row r="706">
      <c r="F706" s="30" t="n"/>
    </row>
    <row r="707">
      <c r="F707" s="30" t="n"/>
    </row>
    <row r="708">
      <c r="F708" s="30" t="n"/>
    </row>
    <row r="709">
      <c r="F709" s="30" t="n"/>
    </row>
    <row r="710">
      <c r="F710" s="30" t="n"/>
    </row>
    <row r="711">
      <c r="F711" s="30" t="n"/>
    </row>
    <row r="712">
      <c r="F712" s="30" t="n"/>
    </row>
    <row r="713">
      <c r="F713" s="30" t="n"/>
    </row>
    <row r="714">
      <c r="F714" s="30" t="n"/>
    </row>
    <row r="715">
      <c r="F715" s="30" t="n"/>
    </row>
    <row r="716">
      <c r="F716" s="30" t="n"/>
    </row>
    <row r="717">
      <c r="F717" s="30" t="n"/>
    </row>
    <row r="718">
      <c r="F718" s="30" t="n"/>
    </row>
    <row r="719">
      <c r="F719" s="30" t="n"/>
    </row>
    <row r="720">
      <c r="F720" s="30" t="n"/>
    </row>
    <row r="721">
      <c r="F721" s="30" t="n"/>
    </row>
    <row r="722">
      <c r="F722" s="30" t="n"/>
    </row>
    <row r="723">
      <c r="F723" s="30" t="n"/>
    </row>
    <row r="724">
      <c r="F724" s="30" t="n"/>
    </row>
    <row r="725">
      <c r="F725" s="30" t="n"/>
    </row>
    <row r="726">
      <c r="F726" s="30" t="n"/>
    </row>
    <row r="727">
      <c r="F727" s="30" t="n"/>
    </row>
    <row r="728">
      <c r="F728" s="30" t="n"/>
    </row>
    <row r="729">
      <c r="F729" s="30" t="n"/>
    </row>
    <row r="730">
      <c r="F730" s="30" t="n"/>
    </row>
    <row r="731">
      <c r="F731" s="30" t="n"/>
    </row>
    <row r="732">
      <c r="F732" s="30" t="n"/>
    </row>
    <row r="733">
      <c r="F733" s="30" t="n"/>
    </row>
    <row r="734">
      <c r="F734" s="30" t="n"/>
    </row>
    <row r="735">
      <c r="F735" s="30" t="n"/>
    </row>
    <row r="736">
      <c r="F736" s="30" t="n"/>
    </row>
    <row r="737">
      <c r="F737" s="30" t="n"/>
    </row>
    <row r="738">
      <c r="F738" s="30" t="n"/>
    </row>
    <row r="739">
      <c r="F739" s="30" t="n"/>
    </row>
    <row r="740">
      <c r="F740" s="30" t="n"/>
    </row>
    <row r="741">
      <c r="F741" s="30" t="n"/>
    </row>
    <row r="742">
      <c r="F742" s="30" t="n"/>
    </row>
    <row r="743">
      <c r="F743" s="30" t="n"/>
    </row>
    <row r="744">
      <c r="F744" s="30" t="n"/>
    </row>
    <row r="745">
      <c r="F745" s="30" t="n"/>
    </row>
    <row r="746">
      <c r="F746" s="30" t="n"/>
    </row>
    <row r="747">
      <c r="F747" s="30" t="n"/>
    </row>
    <row r="748">
      <c r="F748" s="30" t="n"/>
    </row>
    <row r="749">
      <c r="F749" s="30" t="n"/>
    </row>
    <row r="750">
      <c r="F750" s="30" t="n"/>
    </row>
    <row r="751">
      <c r="F751" s="30" t="n"/>
    </row>
    <row r="752">
      <c r="F752" s="30" t="n"/>
    </row>
    <row r="753">
      <c r="F753" s="30" t="n"/>
    </row>
    <row r="754">
      <c r="F754" s="30" t="n"/>
    </row>
    <row r="755">
      <c r="F755" s="30" t="n"/>
    </row>
    <row r="756">
      <c r="F756" s="30" t="n"/>
    </row>
    <row r="757">
      <c r="F757" s="30" t="n"/>
    </row>
    <row r="758">
      <c r="F758" s="30" t="n"/>
    </row>
    <row r="759">
      <c r="F759" s="30" t="n"/>
    </row>
    <row r="760">
      <c r="F760" s="30" t="n"/>
    </row>
    <row r="761">
      <c r="F761" s="30" t="n"/>
    </row>
    <row r="762">
      <c r="F762" s="30" t="n"/>
    </row>
    <row r="763">
      <c r="F763" s="30" t="n"/>
    </row>
    <row r="764">
      <c r="F764" s="30" t="n"/>
    </row>
    <row r="765">
      <c r="F765" s="30" t="n"/>
    </row>
    <row r="766">
      <c r="F766" s="30" t="n"/>
    </row>
    <row r="767">
      <c r="F767" s="30" t="n"/>
    </row>
    <row r="768">
      <c r="F768" s="30" t="n"/>
    </row>
    <row r="769">
      <c r="F769" s="30" t="n"/>
    </row>
    <row r="770">
      <c r="F770" s="30" t="n"/>
    </row>
    <row r="771">
      <c r="F771" s="30" t="n"/>
    </row>
    <row r="772">
      <c r="F772" s="30" t="n"/>
    </row>
    <row r="773">
      <c r="F773" s="30" t="n"/>
    </row>
    <row r="774">
      <c r="F774" s="30" t="n"/>
    </row>
    <row r="775">
      <c r="F775" s="30" t="n"/>
    </row>
    <row r="776">
      <c r="F776" s="30" t="n"/>
    </row>
    <row r="777">
      <c r="F777" s="30" t="n"/>
    </row>
    <row r="778">
      <c r="F778" s="30" t="n"/>
    </row>
    <row r="779">
      <c r="F779" s="30" t="n"/>
    </row>
    <row r="780">
      <c r="F780" s="30" t="n"/>
    </row>
    <row r="781">
      <c r="F781" s="30" t="n"/>
    </row>
    <row r="782">
      <c r="F782" s="30" t="n"/>
    </row>
    <row r="783">
      <c r="F783" s="30" t="n"/>
    </row>
    <row r="784">
      <c r="F784" s="30" t="n"/>
    </row>
    <row r="785">
      <c r="F785" s="30" t="n"/>
    </row>
    <row r="786">
      <c r="F786" s="30" t="n"/>
    </row>
    <row r="787">
      <c r="F787" s="30" t="n"/>
    </row>
    <row r="788">
      <c r="F788" s="30" t="n"/>
    </row>
    <row r="789">
      <c r="F789" s="30" t="n"/>
    </row>
    <row r="790">
      <c r="F790" s="30" t="n"/>
    </row>
    <row r="791">
      <c r="F791" s="30" t="n"/>
    </row>
    <row r="792">
      <c r="F792" s="30" t="n"/>
    </row>
    <row r="793">
      <c r="F793" s="30" t="n"/>
    </row>
    <row r="794">
      <c r="F794" s="30" t="n"/>
    </row>
    <row r="795">
      <c r="F795" s="30" t="n"/>
    </row>
    <row r="796">
      <c r="F796" s="30" t="n"/>
    </row>
    <row r="797">
      <c r="F797" s="30" t="n"/>
    </row>
    <row r="798">
      <c r="F798" s="30" t="n"/>
    </row>
    <row r="799">
      <c r="F799" s="30" t="n"/>
    </row>
    <row r="800">
      <c r="F800" s="30" t="n"/>
    </row>
    <row r="801">
      <c r="F801" s="30" t="n"/>
    </row>
    <row r="802">
      <c r="F802" s="30" t="n"/>
    </row>
    <row r="803">
      <c r="F803" s="30" t="n"/>
    </row>
    <row r="804">
      <c r="F804" s="30" t="n"/>
    </row>
    <row r="805">
      <c r="F805" s="30" t="n"/>
    </row>
    <row r="806">
      <c r="F806" s="30" t="n"/>
    </row>
    <row r="807">
      <c r="F807" s="30" t="n"/>
    </row>
    <row r="808">
      <c r="F808" s="30" t="n"/>
    </row>
    <row r="809">
      <c r="F809" s="30" t="n"/>
    </row>
    <row r="810">
      <c r="F810" s="30" t="n"/>
    </row>
    <row r="811">
      <c r="F811" s="30" t="n"/>
    </row>
    <row r="812">
      <c r="F812" s="30" t="n"/>
    </row>
    <row r="813">
      <c r="F813" s="30" t="n"/>
    </row>
    <row r="814">
      <c r="F814" s="30" t="n"/>
    </row>
    <row r="815">
      <c r="F815" s="30" t="n"/>
    </row>
    <row r="816">
      <c r="F816" s="30" t="n"/>
    </row>
    <row r="817">
      <c r="F817" s="30" t="n"/>
    </row>
    <row r="818">
      <c r="F818" s="30" t="n"/>
    </row>
    <row r="819">
      <c r="F819" s="30" t="n"/>
    </row>
    <row r="820">
      <c r="F820" s="30" t="n"/>
    </row>
    <row r="821">
      <c r="F821" s="30" t="n"/>
    </row>
    <row r="822">
      <c r="F822" s="30" t="n"/>
    </row>
    <row r="823">
      <c r="F823" s="30" t="n"/>
    </row>
    <row r="824">
      <c r="F824" s="30" t="n"/>
    </row>
    <row r="825">
      <c r="F825" s="30" t="n"/>
    </row>
    <row r="826">
      <c r="F826" s="30" t="n"/>
    </row>
    <row r="827">
      <c r="F827" s="30" t="n"/>
    </row>
    <row r="828">
      <c r="F828" s="30" t="n"/>
    </row>
    <row r="829">
      <c r="F829" s="30" t="n"/>
    </row>
    <row r="830">
      <c r="F830" s="30" t="n"/>
    </row>
    <row r="831">
      <c r="F831" s="30" t="n"/>
    </row>
    <row r="832">
      <c r="F832" s="30" t="n"/>
    </row>
    <row r="833">
      <c r="F833" s="30" t="n"/>
    </row>
    <row r="834">
      <c r="F834" s="30" t="n"/>
    </row>
    <row r="835">
      <c r="F835" s="30" t="n"/>
    </row>
    <row r="836">
      <c r="F836" s="30" t="n"/>
    </row>
    <row r="837">
      <c r="F837" s="30" t="n"/>
    </row>
    <row r="838">
      <c r="F838" s="30" t="n"/>
    </row>
    <row r="839">
      <c r="F839" s="30" t="n"/>
    </row>
    <row r="840">
      <c r="F840" s="30" t="n"/>
    </row>
    <row r="841">
      <c r="F841" s="30" t="n"/>
    </row>
    <row r="842">
      <c r="F842" s="30" t="n"/>
    </row>
    <row r="843">
      <c r="F843" s="30" t="n"/>
    </row>
    <row r="844">
      <c r="F844" s="30" t="n"/>
    </row>
    <row r="845">
      <c r="F845" s="30" t="n"/>
    </row>
    <row r="846">
      <c r="F846" s="30" t="n"/>
    </row>
    <row r="847">
      <c r="F847" s="30" t="n"/>
    </row>
    <row r="848">
      <c r="F848" s="30" t="n"/>
    </row>
    <row r="849">
      <c r="F849" s="30" t="n"/>
    </row>
    <row r="850">
      <c r="F850" s="30" t="n"/>
    </row>
    <row r="851">
      <c r="F851" s="30" t="n"/>
    </row>
    <row r="852">
      <c r="F852" s="30" t="n"/>
    </row>
    <row r="853">
      <c r="F853" s="30" t="n"/>
    </row>
    <row r="854">
      <c r="F854" s="30" t="n"/>
    </row>
    <row r="855">
      <c r="F855" s="30" t="n"/>
    </row>
    <row r="856">
      <c r="F856" s="30" t="n"/>
    </row>
    <row r="857">
      <c r="F857" s="30" t="n"/>
    </row>
    <row r="858">
      <c r="F858" s="30" t="n"/>
    </row>
    <row r="859">
      <c r="F859" s="30" t="n"/>
    </row>
    <row r="860">
      <c r="F860" s="30" t="n"/>
    </row>
    <row r="861">
      <c r="F861" s="30" t="n"/>
    </row>
    <row r="862">
      <c r="F862" s="30" t="n"/>
    </row>
    <row r="863">
      <c r="F863" s="30" t="n"/>
    </row>
    <row r="864">
      <c r="F864" s="30" t="n"/>
    </row>
    <row r="865">
      <c r="F865" s="30" t="n"/>
    </row>
    <row r="866">
      <c r="F866" s="30" t="n"/>
    </row>
    <row r="867">
      <c r="F867" s="30" t="n"/>
    </row>
    <row r="868">
      <c r="F868" s="30" t="n"/>
    </row>
    <row r="869">
      <c r="F869" s="30" t="n"/>
    </row>
    <row r="870">
      <c r="F870" s="30" t="n"/>
    </row>
    <row r="871">
      <c r="F871" s="30" t="n"/>
    </row>
    <row r="872">
      <c r="F872" s="30" t="n"/>
    </row>
    <row r="873">
      <c r="F873" s="30" t="n"/>
    </row>
    <row r="874">
      <c r="F874" s="30" t="n"/>
    </row>
    <row r="875">
      <c r="F875" s="30" t="n"/>
    </row>
    <row r="876">
      <c r="F876" s="30" t="n"/>
    </row>
    <row r="877">
      <c r="F877" s="30" t="n"/>
    </row>
    <row r="878">
      <c r="F878" s="30" t="n"/>
    </row>
    <row r="879">
      <c r="F879" s="30" t="n"/>
    </row>
    <row r="880">
      <c r="F880" s="30" t="n"/>
    </row>
    <row r="881">
      <c r="F881" s="30" t="n"/>
    </row>
    <row r="882">
      <c r="F882" s="30" t="n"/>
    </row>
    <row r="883">
      <c r="F883" s="30" t="n"/>
    </row>
    <row r="884">
      <c r="F884" s="30" t="n"/>
    </row>
    <row r="885">
      <c r="F885" s="30" t="n"/>
    </row>
    <row r="886">
      <c r="F886" s="30" t="n"/>
    </row>
    <row r="887">
      <c r="F887" s="30" t="n"/>
    </row>
    <row r="888">
      <c r="F888" s="30" t="n"/>
    </row>
    <row r="889">
      <c r="F889" s="30" t="n"/>
    </row>
    <row r="890">
      <c r="F890" s="30" t="n"/>
    </row>
    <row r="891">
      <c r="F891" s="30" t="n"/>
    </row>
    <row r="892">
      <c r="F892" s="30" t="n"/>
    </row>
    <row r="893">
      <c r="F893" s="30" t="n"/>
    </row>
    <row r="894">
      <c r="F894" s="30" t="n"/>
    </row>
    <row r="895">
      <c r="F895" s="30" t="n"/>
    </row>
    <row r="896">
      <c r="F896" s="30" t="n"/>
    </row>
    <row r="897">
      <c r="F897" s="30" t="n"/>
    </row>
    <row r="898">
      <c r="F898" s="30" t="n"/>
    </row>
    <row r="899">
      <c r="F899" s="30" t="n"/>
    </row>
    <row r="900">
      <c r="F900" s="30" t="n"/>
    </row>
    <row r="901">
      <c r="F901" s="30" t="n"/>
    </row>
    <row r="902">
      <c r="F902" s="30" t="n"/>
    </row>
    <row r="903">
      <c r="F903" s="30" t="n"/>
    </row>
    <row r="904">
      <c r="F904" s="30" t="n"/>
    </row>
    <row r="905">
      <c r="F905" s="30" t="n"/>
    </row>
    <row r="906">
      <c r="F906" s="30" t="n"/>
    </row>
    <row r="907">
      <c r="F907" s="30" t="n"/>
    </row>
    <row r="908">
      <c r="F908" s="30" t="n"/>
    </row>
    <row r="909">
      <c r="F909" s="30" t="n"/>
    </row>
    <row r="910">
      <c r="F910" s="30" t="n"/>
    </row>
    <row r="911">
      <c r="F911" s="30" t="n"/>
    </row>
    <row r="912">
      <c r="F912" s="30" t="n"/>
    </row>
    <row r="913">
      <c r="F913" s="30" t="n"/>
    </row>
    <row r="914">
      <c r="F914" s="30" t="n"/>
    </row>
    <row r="915">
      <c r="F915" s="30" t="n"/>
    </row>
    <row r="916">
      <c r="F916" s="30" t="n"/>
    </row>
    <row r="917">
      <c r="F917" s="30" t="n"/>
    </row>
    <row r="918">
      <c r="F918" s="30" t="n"/>
    </row>
    <row r="919">
      <c r="F919" s="30" t="n"/>
    </row>
    <row r="920">
      <c r="F920" s="30" t="n"/>
    </row>
    <row r="921">
      <c r="F921" s="30" t="n"/>
    </row>
    <row r="922">
      <c r="F922" s="30" t="n"/>
    </row>
    <row r="923">
      <c r="F923" s="30" t="n"/>
    </row>
    <row r="924">
      <c r="F924" s="30" t="n"/>
    </row>
    <row r="925">
      <c r="F925" s="30" t="n"/>
    </row>
    <row r="926">
      <c r="F926" s="30" t="n"/>
    </row>
    <row r="927">
      <c r="F927" s="30" t="n"/>
    </row>
    <row r="928">
      <c r="F928" s="30" t="n"/>
    </row>
    <row r="929">
      <c r="F929" s="30" t="n"/>
    </row>
    <row r="930">
      <c r="F930" s="30" t="n"/>
    </row>
    <row r="931">
      <c r="F931" s="30" t="n"/>
    </row>
    <row r="932">
      <c r="F932" s="30" t="n"/>
    </row>
    <row r="933">
      <c r="F933" s="30" t="n"/>
    </row>
    <row r="934">
      <c r="F934" s="30" t="n"/>
    </row>
    <row r="935">
      <c r="F935" s="30" t="n"/>
    </row>
    <row r="936">
      <c r="F936" s="30" t="n"/>
    </row>
    <row r="937">
      <c r="F937" s="30" t="n"/>
    </row>
    <row r="938">
      <c r="F938" s="30" t="n"/>
    </row>
    <row r="939">
      <c r="F939" s="30" t="n"/>
    </row>
    <row r="940">
      <c r="F940" s="30" t="n"/>
    </row>
    <row r="941">
      <c r="F941" s="30" t="n"/>
    </row>
    <row r="942">
      <c r="F942" s="30" t="n"/>
    </row>
    <row r="943">
      <c r="F943" s="30" t="n"/>
    </row>
    <row r="944">
      <c r="F944" s="30" t="n"/>
    </row>
    <row r="945">
      <c r="F945" s="30" t="n"/>
    </row>
    <row r="946">
      <c r="F946" s="30" t="n"/>
    </row>
    <row r="947">
      <c r="F947" s="30" t="n"/>
    </row>
    <row r="948">
      <c r="F948" s="30" t="n"/>
    </row>
    <row r="949">
      <c r="F949" s="30" t="n"/>
    </row>
    <row r="950">
      <c r="F950" s="30" t="n"/>
    </row>
    <row r="951">
      <c r="F951" s="30" t="n"/>
    </row>
    <row r="952">
      <c r="F952" s="30" t="n"/>
    </row>
    <row r="953">
      <c r="F953" s="30" t="n"/>
    </row>
    <row r="954">
      <c r="F954" s="30" t="n"/>
    </row>
    <row r="955">
      <c r="F955" s="30" t="n"/>
    </row>
    <row r="956">
      <c r="F956" s="30" t="n"/>
    </row>
    <row r="957">
      <c r="F957" s="30" t="n"/>
    </row>
    <row r="958">
      <c r="F958" s="30" t="n"/>
    </row>
    <row r="959">
      <c r="F959" s="30" t="n"/>
    </row>
    <row r="960">
      <c r="F960" s="30" t="n"/>
    </row>
    <row r="961">
      <c r="F961" s="30" t="n"/>
    </row>
    <row r="962">
      <c r="F962" s="30" t="n"/>
    </row>
    <row r="963">
      <c r="F963" s="30" t="n"/>
    </row>
    <row r="964">
      <c r="F964" s="30" t="n"/>
    </row>
    <row r="965">
      <c r="F965" s="30" t="n"/>
    </row>
    <row r="966">
      <c r="F966" s="30" t="n"/>
    </row>
    <row r="967">
      <c r="F967" s="30" t="n"/>
    </row>
    <row r="968">
      <c r="F968" s="30" t="n"/>
    </row>
    <row r="969">
      <c r="F969" s="30" t="n"/>
    </row>
    <row r="970">
      <c r="F970" s="30" t="n"/>
    </row>
    <row r="971">
      <c r="F971" s="30" t="n"/>
    </row>
    <row r="972">
      <c r="F972" s="30" t="n"/>
    </row>
    <row r="973">
      <c r="F973" s="30" t="n"/>
    </row>
    <row r="974">
      <c r="F974" s="30" t="n"/>
    </row>
    <row r="975">
      <c r="F975" s="30" t="n"/>
    </row>
    <row r="976">
      <c r="F976" s="30" t="n"/>
    </row>
    <row r="977">
      <c r="F977" s="30" t="n"/>
    </row>
    <row r="978">
      <c r="F978" s="30" t="n"/>
    </row>
    <row r="979">
      <c r="F979" s="30" t="n"/>
    </row>
    <row r="980">
      <c r="F980" s="30" t="n"/>
    </row>
    <row r="981">
      <c r="F981" s="30" t="n"/>
    </row>
    <row r="982">
      <c r="F982" s="30" t="n"/>
    </row>
    <row r="983">
      <c r="F983" s="30" t="n"/>
    </row>
    <row r="984">
      <c r="F984" s="30" t="n"/>
    </row>
    <row r="985">
      <c r="F985" s="30" t="n"/>
    </row>
    <row r="986">
      <c r="F986" s="30" t="n"/>
    </row>
    <row r="987">
      <c r="F987" s="30" t="n"/>
    </row>
    <row r="988">
      <c r="F988" s="30" t="n"/>
    </row>
    <row r="989">
      <c r="F989" s="30" t="n"/>
    </row>
    <row r="990">
      <c r="F990" s="30" t="n"/>
    </row>
    <row r="991">
      <c r="F991" s="30" t="n"/>
    </row>
    <row r="992">
      <c r="F992" s="30" t="n"/>
    </row>
    <row r="993">
      <c r="F993" s="30" t="n"/>
    </row>
    <row r="994">
      <c r="F994" s="30" t="n"/>
    </row>
    <row r="995">
      <c r="F995" s="30" t="n"/>
    </row>
    <row r="996">
      <c r="F996" s="30" t="n"/>
    </row>
    <row r="997">
      <c r="F997" s="30" t="n"/>
    </row>
    <row r="998">
      <c r="F998" s="30" t="n"/>
    </row>
    <row r="999">
      <c r="F999" s="30" t="n"/>
    </row>
    <row r="1000">
      <c r="F1000" s="30" t="n"/>
    </row>
    <row r="1001">
      <c r="F1001" s="30" t="n"/>
    </row>
    <row r="1002">
      <c r="F1002" s="30" t="n"/>
    </row>
  </sheetData>
  <mergeCells count="2">
    <mergeCell ref="A1:D1"/>
    <mergeCell ref="C3:D3"/>
  </mergeCell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0.xml><?xml version="1.0" encoding="utf-8"?>
<worksheet xmlns="http://schemas.openxmlformats.org/spreadsheetml/2006/main">
  <sheetPr>
    <outlinePr summaryBelow="0" summaryRight="0"/>
    <pageSetUpPr/>
  </sheetPr>
  <dimension ref="A2:B65"/>
  <sheetViews>
    <sheetView workbookViewId="0">
      <selection activeCell="A1" sqref="A1"/>
    </sheetView>
  </sheetViews>
  <sheetFormatPr baseColWidth="8" defaultColWidth="14.42578125" defaultRowHeight="15" customHeight="1"/>
  <sheetData>
    <row r="2">
      <c r="A2" s="31" t="inlineStr">
        <is>
          <t>Flat F1</t>
        </is>
      </c>
      <c r="B2" s="6" t="n">
        <v>0</v>
      </c>
    </row>
    <row r="3">
      <c r="A3" s="31" t="inlineStr">
        <is>
          <t>Flat F2</t>
        </is>
      </c>
      <c r="B3" s="6" t="n">
        <v>0</v>
      </c>
    </row>
    <row r="4">
      <c r="A4" s="31" t="inlineStr">
        <is>
          <t>Flat F3</t>
        </is>
      </c>
      <c r="B4" s="6" t="n">
        <v>0</v>
      </c>
    </row>
    <row r="5">
      <c r="A5" s="31" t="inlineStr">
        <is>
          <t>Flat F4</t>
        </is>
      </c>
      <c r="B5" s="6" t="n">
        <v>0</v>
      </c>
    </row>
    <row r="6">
      <c r="A6" s="31" t="inlineStr">
        <is>
          <t>Flat F5</t>
        </is>
      </c>
      <c r="B6" s="6" t="n">
        <v>0</v>
      </c>
    </row>
    <row r="7">
      <c r="A7" s="31" t="inlineStr">
        <is>
          <t>Flat F6</t>
        </is>
      </c>
      <c r="B7" s="6" t="n">
        <v>0</v>
      </c>
    </row>
    <row r="8">
      <c r="A8" s="31" t="inlineStr">
        <is>
          <t>Flat F7</t>
        </is>
      </c>
      <c r="B8" s="6" t="n">
        <v>0</v>
      </c>
    </row>
    <row r="9">
      <c r="A9" s="31" t="inlineStr">
        <is>
          <t>Flat F8</t>
        </is>
      </c>
      <c r="B9" s="6" t="n">
        <v>0</v>
      </c>
    </row>
    <row r="10">
      <c r="A10" s="31" t="inlineStr">
        <is>
          <t>Flat F9</t>
        </is>
      </c>
      <c r="B10" s="6" t="n">
        <v>0</v>
      </c>
    </row>
    <row r="11">
      <c r="A11" s="31" t="inlineStr">
        <is>
          <t>Flat F10</t>
        </is>
      </c>
      <c r="B11" s="6" t="n">
        <v>0</v>
      </c>
    </row>
    <row r="12">
      <c r="A12" s="31" t="inlineStr">
        <is>
          <t>Flat F11</t>
        </is>
      </c>
      <c r="B12" s="6" t="n">
        <v>0</v>
      </c>
    </row>
    <row r="13">
      <c r="A13" s="31" t="inlineStr">
        <is>
          <t>Flat F12</t>
        </is>
      </c>
      <c r="B13" s="6" t="n">
        <v>0</v>
      </c>
    </row>
    <row r="14">
      <c r="A14" s="31" t="inlineStr">
        <is>
          <t>Flat F13</t>
        </is>
      </c>
      <c r="B14" s="6" t="n">
        <v>0</v>
      </c>
    </row>
    <row r="15">
      <c r="A15" s="31" t="inlineStr">
        <is>
          <t>Flat F14</t>
        </is>
      </c>
      <c r="B15" s="6" t="n">
        <v>0</v>
      </c>
    </row>
    <row r="16">
      <c r="A16" s="31" t="inlineStr">
        <is>
          <t>Flat F15</t>
        </is>
      </c>
      <c r="B16" s="6" t="n">
        <v>0</v>
      </c>
    </row>
    <row r="17">
      <c r="A17" s="31" t="inlineStr">
        <is>
          <t>Flat F16</t>
        </is>
      </c>
      <c r="B17" s="6" t="n">
        <v>0</v>
      </c>
    </row>
    <row r="18">
      <c r="A18" s="31" t="inlineStr">
        <is>
          <t>Flat G1</t>
        </is>
      </c>
      <c r="B18" s="6" t="n">
        <v>0</v>
      </c>
    </row>
    <row r="19">
      <c r="A19" s="31" t="inlineStr">
        <is>
          <t>Flat G2</t>
        </is>
      </c>
      <c r="B19" s="6" t="n">
        <v>0</v>
      </c>
    </row>
    <row r="20">
      <c r="A20" s="31" t="inlineStr">
        <is>
          <t>Flat G3</t>
        </is>
      </c>
      <c r="B20" s="6" t="n">
        <v>0</v>
      </c>
    </row>
    <row r="21">
      <c r="A21" s="31" t="inlineStr">
        <is>
          <t>Flat G4</t>
        </is>
      </c>
      <c r="B21" s="6" t="n">
        <v>0</v>
      </c>
    </row>
    <row r="22">
      <c r="A22" s="31" t="inlineStr">
        <is>
          <t>Flat G5</t>
        </is>
      </c>
      <c r="B22" s="6" t="n">
        <v>0</v>
      </c>
    </row>
    <row r="23">
      <c r="A23" s="31" t="inlineStr">
        <is>
          <t>Flat G6</t>
        </is>
      </c>
      <c r="B23" s="6" t="n">
        <v>0</v>
      </c>
    </row>
    <row r="24">
      <c r="A24" s="31" t="inlineStr">
        <is>
          <t>Flat G7</t>
        </is>
      </c>
      <c r="B24" s="6" t="n">
        <v>0</v>
      </c>
    </row>
    <row r="25">
      <c r="A25" s="31" t="inlineStr">
        <is>
          <t>Flat G8</t>
        </is>
      </c>
      <c r="B25" s="6" t="n">
        <v>0</v>
      </c>
    </row>
    <row r="26">
      <c r="A26" s="31" t="inlineStr">
        <is>
          <t>Flat G9</t>
        </is>
      </c>
      <c r="B26" s="6" t="n">
        <v>0</v>
      </c>
    </row>
    <row r="27">
      <c r="A27" s="31" t="inlineStr">
        <is>
          <t>Flat G10</t>
        </is>
      </c>
      <c r="B27" s="6" t="n">
        <v>0</v>
      </c>
    </row>
    <row r="28">
      <c r="A28" s="31" t="inlineStr">
        <is>
          <t>Flat G11</t>
        </is>
      </c>
      <c r="B28" s="6" t="n">
        <v>0</v>
      </c>
    </row>
    <row r="29">
      <c r="A29" s="31" t="inlineStr">
        <is>
          <t>Flat G12</t>
        </is>
      </c>
      <c r="B29" s="6" t="n">
        <v>0</v>
      </c>
    </row>
    <row r="30">
      <c r="A30" s="31" t="inlineStr">
        <is>
          <t>Flat G13</t>
        </is>
      </c>
      <c r="B30" s="6" t="n">
        <v>0</v>
      </c>
    </row>
    <row r="31">
      <c r="A31" s="31" t="inlineStr">
        <is>
          <t>Flat G14</t>
        </is>
      </c>
      <c r="B31" s="6" t="n">
        <v>0</v>
      </c>
    </row>
    <row r="32">
      <c r="A32" s="31" t="inlineStr">
        <is>
          <t>Flat G15</t>
        </is>
      </c>
      <c r="B32" s="6" t="n">
        <v>0</v>
      </c>
    </row>
    <row r="33">
      <c r="A33" s="31" t="inlineStr">
        <is>
          <t>Flat G16</t>
        </is>
      </c>
      <c r="B33" s="6" t="n">
        <v>0</v>
      </c>
    </row>
    <row r="34">
      <c r="A34" s="31" t="inlineStr">
        <is>
          <t>Flat S1</t>
        </is>
      </c>
      <c r="B34" s="6" t="n">
        <v>0</v>
      </c>
    </row>
    <row r="35">
      <c r="A35" s="31" t="inlineStr">
        <is>
          <t>Flat S2</t>
        </is>
      </c>
      <c r="B35" s="6" t="n">
        <v>0</v>
      </c>
    </row>
    <row r="36">
      <c r="A36" s="31" t="inlineStr">
        <is>
          <t>Flat S3</t>
        </is>
      </c>
      <c r="B36" s="6" t="n">
        <v>0</v>
      </c>
    </row>
    <row r="37">
      <c r="A37" s="31" t="inlineStr">
        <is>
          <t>Flat S4</t>
        </is>
      </c>
      <c r="B37" s="6" t="n">
        <v>0</v>
      </c>
    </row>
    <row r="38">
      <c r="A38" s="31" t="inlineStr">
        <is>
          <t>Flat S5</t>
        </is>
      </c>
      <c r="B38" s="6" t="n">
        <v>0</v>
      </c>
    </row>
    <row r="39">
      <c r="A39" s="31" t="inlineStr">
        <is>
          <t>Flat S6</t>
        </is>
      </c>
      <c r="B39" s="6" t="n">
        <v>0</v>
      </c>
    </row>
    <row r="40">
      <c r="A40" s="31" t="inlineStr">
        <is>
          <t>Flat S7</t>
        </is>
      </c>
      <c r="B40" s="6" t="n">
        <v>0</v>
      </c>
    </row>
    <row r="41">
      <c r="A41" s="31" t="inlineStr">
        <is>
          <t>Flat S8</t>
        </is>
      </c>
      <c r="B41" s="6" t="n">
        <v>0</v>
      </c>
    </row>
    <row r="42">
      <c r="A42" s="31" t="inlineStr">
        <is>
          <t>Flat S9</t>
        </is>
      </c>
      <c r="B42" s="6" t="n">
        <v>0</v>
      </c>
    </row>
    <row r="43">
      <c r="A43" s="31" t="inlineStr">
        <is>
          <t>Flat S10</t>
        </is>
      </c>
      <c r="B43" s="6" t="n">
        <v>0</v>
      </c>
    </row>
    <row r="44">
      <c r="A44" s="31" t="inlineStr">
        <is>
          <t>Flat S11</t>
        </is>
      </c>
      <c r="B44" s="6" t="n">
        <v>0</v>
      </c>
    </row>
    <row r="45">
      <c r="A45" s="31" t="inlineStr">
        <is>
          <t>Flat S12</t>
        </is>
      </c>
      <c r="B45" s="6" t="n">
        <v>0</v>
      </c>
    </row>
    <row r="46">
      <c r="A46" s="31" t="inlineStr">
        <is>
          <t>Flat S13</t>
        </is>
      </c>
      <c r="B46" s="6" t="n">
        <v>0</v>
      </c>
    </row>
    <row r="47">
      <c r="A47" s="31" t="inlineStr">
        <is>
          <t>Flat S14</t>
        </is>
      </c>
      <c r="B47" s="6" t="n">
        <v>0</v>
      </c>
    </row>
    <row r="48">
      <c r="A48" s="31" t="inlineStr">
        <is>
          <t>Flat S15</t>
        </is>
      </c>
      <c r="B48" s="6" t="n">
        <v>0</v>
      </c>
    </row>
    <row r="49">
      <c r="A49" s="31" t="inlineStr">
        <is>
          <t>Flat S16</t>
        </is>
      </c>
      <c r="B49" s="6" t="n">
        <v>0</v>
      </c>
    </row>
    <row r="50">
      <c r="A50" s="31" t="inlineStr">
        <is>
          <t>Flat T1</t>
        </is>
      </c>
      <c r="B50" s="6" t="n">
        <v>0</v>
      </c>
    </row>
    <row r="51">
      <c r="A51" s="31" t="inlineStr">
        <is>
          <t>Flat T2</t>
        </is>
      </c>
      <c r="B51" s="6" t="n">
        <v>0</v>
      </c>
    </row>
    <row r="52">
      <c r="A52" s="31" t="inlineStr">
        <is>
          <t>Flat T3</t>
        </is>
      </c>
      <c r="B52" s="6" t="n">
        <v>0</v>
      </c>
    </row>
    <row r="53">
      <c r="A53" s="31" t="inlineStr">
        <is>
          <t>Flat T4</t>
        </is>
      </c>
      <c r="B53" s="6" t="n">
        <v>0</v>
      </c>
    </row>
    <row r="54">
      <c r="A54" s="31" t="inlineStr">
        <is>
          <t>Flat T5</t>
        </is>
      </c>
      <c r="B54" s="6" t="n">
        <v>0</v>
      </c>
    </row>
    <row r="55">
      <c r="A55" s="31" t="inlineStr">
        <is>
          <t>Flat T6</t>
        </is>
      </c>
      <c r="B55" s="6" t="n">
        <v>0</v>
      </c>
    </row>
    <row r="56">
      <c r="A56" s="31" t="inlineStr">
        <is>
          <t>Flat T7</t>
        </is>
      </c>
      <c r="B56" s="6" t="n">
        <v>0</v>
      </c>
    </row>
    <row r="57">
      <c r="A57" s="31" t="inlineStr">
        <is>
          <t>Flat T8</t>
        </is>
      </c>
      <c r="B57" s="6" t="n">
        <v>0</v>
      </c>
    </row>
    <row r="58">
      <c r="A58" s="31" t="inlineStr">
        <is>
          <t>Flat T9</t>
        </is>
      </c>
      <c r="B58" s="6" t="n">
        <v>0</v>
      </c>
    </row>
    <row r="59">
      <c r="A59" s="31" t="inlineStr">
        <is>
          <t>Flat T10</t>
        </is>
      </c>
      <c r="B59" s="6" t="n">
        <v>0</v>
      </c>
    </row>
    <row r="60">
      <c r="A60" s="31" t="inlineStr">
        <is>
          <t>Flat T11</t>
        </is>
      </c>
      <c r="B60" s="6" t="n">
        <v>0</v>
      </c>
    </row>
    <row r="61">
      <c r="A61" s="31" t="inlineStr">
        <is>
          <t>Flat T12</t>
        </is>
      </c>
      <c r="B61" s="6" t="n">
        <v>0</v>
      </c>
    </row>
    <row r="62">
      <c r="A62" s="31" t="inlineStr">
        <is>
          <t>Flat T13</t>
        </is>
      </c>
      <c r="B62" s="6" t="n">
        <v>0</v>
      </c>
    </row>
    <row r="63">
      <c r="A63" s="31" t="inlineStr">
        <is>
          <t>Flat T14</t>
        </is>
      </c>
      <c r="B63" s="6" t="n">
        <v>0</v>
      </c>
    </row>
    <row r="64">
      <c r="A64" s="31" t="inlineStr">
        <is>
          <t>Flat T15</t>
        </is>
      </c>
      <c r="B64" s="6" t="n">
        <v>0</v>
      </c>
    </row>
    <row r="65">
      <c r="A65" s="31" t="inlineStr">
        <is>
          <t>Flat T16</t>
        </is>
      </c>
      <c r="B65" s="6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2026-04-19T11:23:40Z</dcterms:created>
  <dcterms:modified xsi:type="dcterms:W3CDTF">2026-05-05T17:28:40Z</dcterms:modified>
  <cp:lastModifiedBy>Samrat Kar</cp:lastModifiedBy>
</cp:coreProperties>
</file>